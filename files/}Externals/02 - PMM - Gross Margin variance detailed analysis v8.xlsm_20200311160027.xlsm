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720" yWindow="-165" windowWidth="15480" windowHeight="9930" firstSheet="1" activeTab="1"/>
  </bookViews>
  <sheets>
    <sheet name="Context" sheetId="2" state="hidden" r:id="rId1"/>
    <sheet name="PMM Analysis Report" sheetId="1" r:id="rId2"/>
    <sheet name="{PL}PickLst" sheetId="6" state="hidden" r:id="rId3"/>
    <sheet name="PMM Bridge" sheetId="7" r:id="rId4"/>
  </sheets>
  <functionGroups builtInGroupCount="17"/>
  <definedNames>
    <definedName name="ActualBudget">Context!$B$16</definedName>
    <definedName name="ActualForecast">Context!$B$17</definedName>
    <definedName name="ActualMonth">Context!$B$15</definedName>
    <definedName name="ActualYear">Context!$B$14</definedName>
    <definedName name="Auto_Fit">'PMM Analysis Report'!$Q$29:$BV$587</definedName>
    <definedName name="Cube1">Context!$B$11</definedName>
    <definedName name="Cube2">Context!$B$12</definedName>
    <definedName name="Cube3">Context!$B$13</definedName>
    <definedName name="DEFAULT_ACTIVITY">'PMM Analysis Report'!$F$15</definedName>
    <definedName name="DEFAULT_CURRENCY">'PMM Analysis Report'!$F$16</definedName>
    <definedName name="DEFAULT_GAAP">'PMM Analysis Report'!$F$17</definedName>
    <definedName name="DEFAULT_INTEGRATION_RATE">'PMM Analysis Report'!$F$18</definedName>
    <definedName name="DEFAULT_LEGAL_ORGANIZATION">'PMM Analysis Report'!$F$14</definedName>
    <definedName name="DEFAULT_MANAGEMENT_ORGANIZATION">'PMM Analysis Report'!$F$13</definedName>
    <definedName name="DEFAULT_PERIOD">'PMM Analysis Report'!$F$11</definedName>
    <definedName name="DEFAULT_PHASE">'PMM Analysis Report'!$F$20</definedName>
    <definedName name="Desc_Rev_km_E">Context!$E$7</definedName>
    <definedName name="Desc_Rev_km_F">Context!$F$7</definedName>
    <definedName name="Desc_Tot_Driv_Hours_E">Context!$E$8</definedName>
    <definedName name="Desc_Tot_Driv_Hours_F">Context!$F$8</definedName>
    <definedName name="Desc_Tot_km_E">Context!$E$5</definedName>
    <definedName name="Desc_Tot_km_F">Context!$F$5</definedName>
    <definedName name="Desc_Tot_nb_vehicle_E">Context!$E$6</definedName>
    <definedName name="Desc_Tot_nb_vehicle_F">Context!$F$6</definedName>
    <definedName name="Host_Serveur">_xll.DBRW("tango_core_model:z_Admin_Param","SERVER_NAME","STR_VAR1")</definedName>
    <definedName name="Languages">Context!$B$19:$B$20</definedName>
    <definedName name="LIST_PHASES">'PMM Analysis Report'!$D$20:$D$23</definedName>
    <definedName name="LIST_YEARS">'PMM Analysis Report'!$D$24:$D$27</definedName>
    <definedName name="Locallanguage">Context!$B$18</definedName>
    <definedName name="Print_Area" localSheetId="1">'PMM Analysis Report'!$J$6:$BX$589</definedName>
    <definedName name="Print_Area" localSheetId="3">'PMM Bridge'!$F$3:$V$13</definedName>
    <definedName name="Server">Context!$B$4</definedName>
    <definedName name="V_ACTIVITY">'PMM Analysis Report'!$N$15</definedName>
    <definedName name="V_LANG">'PMM Analysis Report'!$N$19</definedName>
    <definedName name="xServer">Context!$B$5</definedName>
    <definedName name="Z_83BB5152_01BA_42DF_B23D_4001406CC674_.wvu.Cols" localSheetId="3" hidden="1">'PMM Bridge'!$A:$D</definedName>
    <definedName name="Z_83BB5152_01BA_42DF_B23D_4001406CC674_.wvu.PrintArea" localSheetId="1" hidden="1">'PMM Analysis Report'!$J$6:$BX$589</definedName>
    <definedName name="Z_83BB5152_01BA_42DF_B23D_4001406CC674_.wvu.PrintArea" localSheetId="3" hidden="1">'PMM Bridge'!$F$3:$V$13</definedName>
    <definedName name="Z_83BB5152_01BA_42DF_B23D_4001406CC674_.wvu.Rows" localSheetId="3" hidden="1">'PMM Bridge'!$8:$9</definedName>
    <definedName name="Z_97DA177E_F101_4CD5_8BC6_6997082DB660_.wvu.Cols" localSheetId="1" hidden="1">'PMM Analysis Report'!$A:$H,'PMM Analysis Report'!$R:$R,'PMM Analysis Report'!$V:$V,'PMM Analysis Report'!$AA:$BW</definedName>
    <definedName name="Z_97DA177E_F101_4CD5_8BC6_6997082DB660_.wvu.Cols" localSheetId="3" hidden="1">'PMM Bridge'!$A:$D</definedName>
    <definedName name="Z_97DA177E_F101_4CD5_8BC6_6997082DB660_.wvu.PrintArea" localSheetId="1" hidden="1">'PMM Analysis Report'!$J$6:$BX$589</definedName>
    <definedName name="Z_97DA177E_F101_4CD5_8BC6_6997082DB660_.wvu.PrintArea" localSheetId="3" hidden="1">'PMM Bridge'!$F$3:$V$13</definedName>
    <definedName name="Z_97DA177E_F101_4CD5_8BC6_6997082DB660_.wvu.Rows" localSheetId="1" hidden="1">'PMM Analysis Report'!$1:$4,'PMM Analysis Report'!$14:$14,'PMM Analysis Report'!$17:$18,'PMM Analysis Report'!$24:$28,'PMM Analysis Report'!$35:$35,'PMM Analysis Report'!$37:$50,'PMM Analysis Report'!$52:$52,'PMM Analysis Report'!$54:$59,'PMM Analysis Report'!$61:$61,'PMM Analysis Report'!$63:$78,'PMM Analysis Report'!$80:$80,'PMM Analysis Report'!$82:$95,'PMM Analysis Report'!$97:$97,'PMM Analysis Report'!$99:$109,'PMM Analysis Report'!$112:$118,'PMM Analysis Report'!$251:$314,'PMM Analysis Report'!$321:$326,'PMM Analysis Report'!$330:$333,'PMM Analysis Report'!$335:$376,'PMM Analysis Report'!$384:$389,'PMM Analysis Report'!$393:$396,'PMM Analysis Report'!$398:$439,'PMM Analysis Report'!$447:$452,'PMM Analysis Report'!$456:$459,'PMM Analysis Report'!$461:$502,'PMM Analysis Report'!$511:$516,'PMM Analysis Report'!$520:$523,'PMM Analysis Report'!$525:$566,'PMM Analysis Report'!$574:$579,'PMM Analysis Report'!$583:$586</definedName>
    <definedName name="Z_97DA177E_F101_4CD5_8BC6_6997082DB660_.wvu.Rows" localSheetId="3" hidden="1">'PMM Bridge'!$8:$9</definedName>
  </definedNames>
  <calcPr calcId="145621" calcMode="manual" calcCompleted="0" calcOnSave="0" concurrentCalc="0"/>
  <customWorkbookViews>
    <customWorkbookView name="Dev" guid="{83BB5152-01BA-42DF-B23D-4001406CC674}" maximized="1" windowWidth="1276" windowHeight="798" activeSheetId="1"/>
    <customWorkbookView name="Prod" guid="{97DA177E-F101-4CD5-8BC6-6997082DB660}" maximized="1" windowWidth="1362" windowHeight="569" activeSheetId="1" showFormulaBar="0"/>
  </customWorkbookViews>
</workbook>
</file>

<file path=xl/calcChain.xml><?xml version="1.0" encoding="utf-8"?>
<calcChain xmlns="http://schemas.openxmlformats.org/spreadsheetml/2006/main">
  <c r="B6" i="2" l="1"/>
  <c r="N15" i="1"/>
  <c r="N16" i="1"/>
  <c r="N17" i="1"/>
  <c r="N18" i="1"/>
  <c r="B5" i="2"/>
  <c r="F14" i="1"/>
  <c r="N14" i="1"/>
  <c r="F13" i="1"/>
  <c r="N13" i="1"/>
  <c r="B14" i="2"/>
  <c r="E25" i="1"/>
  <c r="S3" i="1"/>
  <c r="BV2" i="1"/>
  <c r="D20" i="1"/>
  <c r="G21" i="1"/>
  <c r="O20" i="1"/>
  <c r="V1" i="1"/>
  <c r="AD1" i="1"/>
  <c r="BV1" i="1"/>
  <c r="BV108" i="1"/>
  <c r="E26" i="1"/>
  <c r="R3" i="1"/>
  <c r="BU2" i="1"/>
  <c r="B21" i="1"/>
  <c r="C21" i="1"/>
  <c r="D21" i="1"/>
  <c r="F21" i="1"/>
  <c r="N20" i="1"/>
  <c r="E21" i="1"/>
  <c r="R1" i="1"/>
  <c r="AC1" i="1"/>
  <c r="BU1" i="1"/>
  <c r="BU108" i="1"/>
  <c r="Q3" i="1"/>
  <c r="BT2" i="1"/>
  <c r="F20" i="1"/>
  <c r="N12" i="1"/>
  <c r="Q1" i="1"/>
  <c r="AB1" i="1"/>
  <c r="BT1" i="1"/>
  <c r="BT108" i="1"/>
  <c r="BR2" i="1"/>
  <c r="BR1" i="1"/>
  <c r="BR108" i="1"/>
  <c r="BQ2" i="1"/>
  <c r="BQ1" i="1"/>
  <c r="BQ108" i="1"/>
  <c r="BP2" i="1"/>
  <c r="BP1" i="1"/>
  <c r="BP108" i="1"/>
  <c r="BN2" i="1"/>
  <c r="BN1" i="1"/>
  <c r="BN108" i="1"/>
  <c r="BM2" i="1"/>
  <c r="BM1" i="1"/>
  <c r="BM108" i="1"/>
  <c r="BL2" i="1"/>
  <c r="BL1" i="1"/>
  <c r="BL108" i="1"/>
  <c r="BJ2" i="1"/>
  <c r="BJ1" i="1"/>
  <c r="BJ108" i="1"/>
  <c r="BI2" i="1"/>
  <c r="BI1" i="1"/>
  <c r="BI108" i="1"/>
  <c r="BH2" i="1"/>
  <c r="BH1" i="1"/>
  <c r="BH108" i="1"/>
  <c r="BF2" i="1"/>
  <c r="BF1" i="1"/>
  <c r="BF108" i="1"/>
  <c r="BE2" i="1"/>
  <c r="BE1" i="1"/>
  <c r="BE108" i="1"/>
  <c r="BD2" i="1"/>
  <c r="BD1" i="1"/>
  <c r="BD108" i="1"/>
  <c r="BB2" i="1"/>
  <c r="BB1" i="1"/>
  <c r="BB108" i="1"/>
  <c r="BA2" i="1"/>
  <c r="BA1" i="1"/>
  <c r="BA108" i="1"/>
  <c r="AZ2" i="1"/>
  <c r="AZ1" i="1"/>
  <c r="AZ108" i="1"/>
  <c r="AX2" i="1"/>
  <c r="AX1" i="1"/>
  <c r="AX108" i="1"/>
  <c r="AW2" i="1"/>
  <c r="AW1" i="1"/>
  <c r="AW108" i="1"/>
  <c r="AV2" i="1"/>
  <c r="AV1" i="1"/>
  <c r="AV108" i="1"/>
  <c r="AT2" i="1"/>
  <c r="AT1" i="1"/>
  <c r="AT108" i="1"/>
  <c r="AS2" i="1"/>
  <c r="AS1" i="1"/>
  <c r="AS108" i="1"/>
  <c r="AR2" i="1"/>
  <c r="AR1" i="1"/>
  <c r="AR108" i="1"/>
  <c r="AP2" i="1"/>
  <c r="AP1" i="1"/>
  <c r="AP108" i="1"/>
  <c r="AO2" i="1"/>
  <c r="AO1" i="1"/>
  <c r="AO108" i="1"/>
  <c r="AN2" i="1"/>
  <c r="AN1" i="1"/>
  <c r="AN108" i="1"/>
  <c r="AL2" i="1"/>
  <c r="AL1" i="1"/>
  <c r="AL108" i="1"/>
  <c r="AK2" i="1"/>
  <c r="AK1" i="1"/>
  <c r="AK108" i="1"/>
  <c r="AJ2" i="1"/>
  <c r="AJ1" i="1"/>
  <c r="AJ108" i="1"/>
  <c r="AH2" i="1"/>
  <c r="AH1" i="1"/>
  <c r="AH108" i="1"/>
  <c r="AG2" i="1"/>
  <c r="AG1" i="1"/>
  <c r="AG108" i="1"/>
  <c r="AF2" i="1"/>
  <c r="AF1" i="1"/>
  <c r="AF108" i="1"/>
  <c r="AD2" i="1"/>
  <c r="AD108" i="1"/>
  <c r="AC2" i="1"/>
  <c r="AC108" i="1"/>
  <c r="AB2" i="1"/>
  <c r="AB108" i="1"/>
  <c r="B15" i="2"/>
  <c r="F11" i="1"/>
  <c r="N11" i="1"/>
  <c r="Q2" i="1"/>
  <c r="V2" i="1"/>
  <c r="V108" i="1"/>
  <c r="Q108" i="1"/>
  <c r="W108" i="1"/>
  <c r="X108" i="1"/>
  <c r="R2" i="1"/>
  <c r="R108" i="1"/>
  <c r="S108" i="1"/>
  <c r="T108" i="1"/>
  <c r="L108" i="1"/>
  <c r="BV107" i="1"/>
  <c r="BU107" i="1"/>
  <c r="BT107" i="1"/>
  <c r="BR107" i="1"/>
  <c r="BQ107" i="1"/>
  <c r="BP107" i="1"/>
  <c r="BN107" i="1"/>
  <c r="BM107" i="1"/>
  <c r="BL107" i="1"/>
  <c r="BJ107" i="1"/>
  <c r="BI107" i="1"/>
  <c r="BH107" i="1"/>
  <c r="BF107" i="1"/>
  <c r="BE107" i="1"/>
  <c r="BD107" i="1"/>
  <c r="BB107" i="1"/>
  <c r="BA107" i="1"/>
  <c r="AZ107" i="1"/>
  <c r="AX107" i="1"/>
  <c r="AW107" i="1"/>
  <c r="AV107" i="1"/>
  <c r="AT107" i="1"/>
  <c r="AS107" i="1"/>
  <c r="AR107" i="1"/>
  <c r="AP107" i="1"/>
  <c r="AO107" i="1"/>
  <c r="AN107" i="1"/>
  <c r="AL107" i="1"/>
  <c r="AK107" i="1"/>
  <c r="AJ107" i="1"/>
  <c r="AH107" i="1"/>
  <c r="AG107" i="1"/>
  <c r="AF107" i="1"/>
  <c r="AD107" i="1"/>
  <c r="AC107" i="1"/>
  <c r="AB107" i="1"/>
  <c r="V107" i="1"/>
  <c r="Q107" i="1"/>
  <c r="W107" i="1"/>
  <c r="X107" i="1"/>
  <c r="R107" i="1"/>
  <c r="S107" i="1"/>
  <c r="T107" i="1"/>
  <c r="L107" i="1"/>
  <c r="BV106" i="1"/>
  <c r="BU106" i="1"/>
  <c r="BT106" i="1"/>
  <c r="BR106" i="1"/>
  <c r="BQ106" i="1"/>
  <c r="BP106" i="1"/>
  <c r="BN106" i="1"/>
  <c r="BM106" i="1"/>
  <c r="BL106" i="1"/>
  <c r="BJ106" i="1"/>
  <c r="BI106" i="1"/>
  <c r="BH106" i="1"/>
  <c r="BF106" i="1"/>
  <c r="BE106" i="1"/>
  <c r="BD106" i="1"/>
  <c r="BB106" i="1"/>
  <c r="BA106" i="1"/>
  <c r="AZ106" i="1"/>
  <c r="AX106" i="1"/>
  <c r="AW106" i="1"/>
  <c r="AV106" i="1"/>
  <c r="AT106" i="1"/>
  <c r="AS106" i="1"/>
  <c r="AR106" i="1"/>
  <c r="AP106" i="1"/>
  <c r="AO106" i="1"/>
  <c r="AN106" i="1"/>
  <c r="AL106" i="1"/>
  <c r="AK106" i="1"/>
  <c r="AJ106" i="1"/>
  <c r="AH106" i="1"/>
  <c r="AG106" i="1"/>
  <c r="AF106" i="1"/>
  <c r="AD106" i="1"/>
  <c r="AC106" i="1"/>
  <c r="AB106" i="1"/>
  <c r="V106" i="1"/>
  <c r="Q106" i="1"/>
  <c r="W106" i="1"/>
  <c r="X106" i="1"/>
  <c r="R106" i="1"/>
  <c r="S106" i="1"/>
  <c r="T106" i="1"/>
  <c r="L106" i="1"/>
  <c r="BV105" i="1"/>
  <c r="BU105" i="1"/>
  <c r="BT105" i="1"/>
  <c r="BR105" i="1"/>
  <c r="BQ105" i="1"/>
  <c r="BP105" i="1"/>
  <c r="BN105" i="1"/>
  <c r="BM105" i="1"/>
  <c r="BL105" i="1"/>
  <c r="BJ105" i="1"/>
  <c r="BI105" i="1"/>
  <c r="BH105" i="1"/>
  <c r="BF105" i="1"/>
  <c r="BE105" i="1"/>
  <c r="BD105" i="1"/>
  <c r="BB105" i="1"/>
  <c r="BA105" i="1"/>
  <c r="AZ105" i="1"/>
  <c r="AX105" i="1"/>
  <c r="AW105" i="1"/>
  <c r="AV105" i="1"/>
  <c r="AT105" i="1"/>
  <c r="AS105" i="1"/>
  <c r="AR105" i="1"/>
  <c r="AP105" i="1"/>
  <c r="AO105" i="1"/>
  <c r="AN105" i="1"/>
  <c r="AL105" i="1"/>
  <c r="AK105" i="1"/>
  <c r="AJ105" i="1"/>
  <c r="AH105" i="1"/>
  <c r="AG105" i="1"/>
  <c r="AF105" i="1"/>
  <c r="AD105" i="1"/>
  <c r="AC105" i="1"/>
  <c r="AB105" i="1"/>
  <c r="V105" i="1"/>
  <c r="Q105" i="1"/>
  <c r="W105" i="1"/>
  <c r="X105" i="1"/>
  <c r="R105" i="1"/>
  <c r="S105" i="1"/>
  <c r="T105" i="1"/>
  <c r="L105" i="1"/>
  <c r="BV46" i="1"/>
  <c r="BU46" i="1"/>
  <c r="BT46" i="1"/>
  <c r="BR46" i="1"/>
  <c r="BQ46" i="1"/>
  <c r="BP46" i="1"/>
  <c r="BN46" i="1"/>
  <c r="BM46" i="1"/>
  <c r="BL46" i="1"/>
  <c r="BJ46" i="1"/>
  <c r="BI46" i="1"/>
  <c r="BH46" i="1"/>
  <c r="BF46" i="1"/>
  <c r="BE46" i="1"/>
  <c r="BD46" i="1"/>
  <c r="BB46" i="1"/>
  <c r="BA46" i="1"/>
  <c r="AZ46" i="1"/>
  <c r="AX46" i="1"/>
  <c r="AW46" i="1"/>
  <c r="AV46" i="1"/>
  <c r="AT46" i="1"/>
  <c r="AS46" i="1"/>
  <c r="AR46" i="1"/>
  <c r="AP46" i="1"/>
  <c r="AO46" i="1"/>
  <c r="AN46" i="1"/>
  <c r="AL46" i="1"/>
  <c r="AK46" i="1"/>
  <c r="AJ46" i="1"/>
  <c r="AH46" i="1"/>
  <c r="AG46" i="1"/>
  <c r="AF46" i="1"/>
  <c r="AD46" i="1"/>
  <c r="AC46" i="1"/>
  <c r="AB46" i="1"/>
  <c r="V46" i="1"/>
  <c r="Q46" i="1"/>
  <c r="W46" i="1"/>
  <c r="X46" i="1"/>
  <c r="R46" i="1"/>
  <c r="S46" i="1"/>
  <c r="T46" i="1"/>
  <c r="L46" i="1"/>
  <c r="BV45" i="1"/>
  <c r="BU45" i="1"/>
  <c r="BT45" i="1"/>
  <c r="BR45" i="1"/>
  <c r="BQ45" i="1"/>
  <c r="BP45" i="1"/>
  <c r="BN45" i="1"/>
  <c r="BM45" i="1"/>
  <c r="BL45" i="1"/>
  <c r="BJ45" i="1"/>
  <c r="BI45" i="1"/>
  <c r="BH45" i="1"/>
  <c r="BF45" i="1"/>
  <c r="BE45" i="1"/>
  <c r="BD45" i="1"/>
  <c r="BB45" i="1"/>
  <c r="BA45" i="1"/>
  <c r="AZ45" i="1"/>
  <c r="AX45" i="1"/>
  <c r="AW45" i="1"/>
  <c r="AV45" i="1"/>
  <c r="AT45" i="1"/>
  <c r="AS45" i="1"/>
  <c r="AR45" i="1"/>
  <c r="AP45" i="1"/>
  <c r="AO45" i="1"/>
  <c r="AN45" i="1"/>
  <c r="AL45" i="1"/>
  <c r="AK45" i="1"/>
  <c r="AJ45" i="1"/>
  <c r="AH45" i="1"/>
  <c r="AG45" i="1"/>
  <c r="AF45" i="1"/>
  <c r="AD45" i="1"/>
  <c r="AC45" i="1"/>
  <c r="AB45" i="1"/>
  <c r="V45" i="1"/>
  <c r="Q45" i="1"/>
  <c r="W45" i="1"/>
  <c r="X45" i="1"/>
  <c r="R45" i="1"/>
  <c r="S45" i="1"/>
  <c r="T45" i="1"/>
  <c r="L45" i="1"/>
  <c r="BV44" i="1"/>
  <c r="BU44" i="1"/>
  <c r="BT44" i="1"/>
  <c r="BR44" i="1"/>
  <c r="BQ44" i="1"/>
  <c r="BP44" i="1"/>
  <c r="BN44" i="1"/>
  <c r="BM44" i="1"/>
  <c r="BL44" i="1"/>
  <c r="BJ44" i="1"/>
  <c r="BI44" i="1"/>
  <c r="BH44" i="1"/>
  <c r="BF44" i="1"/>
  <c r="BE44" i="1"/>
  <c r="BD44" i="1"/>
  <c r="BB44" i="1"/>
  <c r="BA44" i="1"/>
  <c r="AZ44" i="1"/>
  <c r="AX44" i="1"/>
  <c r="AW44" i="1"/>
  <c r="AV44" i="1"/>
  <c r="AT44" i="1"/>
  <c r="AS44" i="1"/>
  <c r="AR44" i="1"/>
  <c r="AP44" i="1"/>
  <c r="AO44" i="1"/>
  <c r="AN44" i="1"/>
  <c r="AL44" i="1"/>
  <c r="AK44" i="1"/>
  <c r="AJ44" i="1"/>
  <c r="AH44" i="1"/>
  <c r="AG44" i="1"/>
  <c r="AF44" i="1"/>
  <c r="AD44" i="1"/>
  <c r="AC44" i="1"/>
  <c r="AB44" i="1"/>
  <c r="V44" i="1"/>
  <c r="Q44" i="1"/>
  <c r="W44" i="1"/>
  <c r="X44" i="1"/>
  <c r="R44" i="1"/>
  <c r="S44" i="1"/>
  <c r="T44" i="1"/>
  <c r="L44" i="1"/>
  <c r="BV43" i="1"/>
  <c r="BU43" i="1"/>
  <c r="BT43" i="1"/>
  <c r="BR43" i="1"/>
  <c r="BQ43" i="1"/>
  <c r="BP43" i="1"/>
  <c r="BN43" i="1"/>
  <c r="BM43" i="1"/>
  <c r="BL43" i="1"/>
  <c r="BJ43" i="1"/>
  <c r="BI43" i="1"/>
  <c r="BH43" i="1"/>
  <c r="BF43" i="1"/>
  <c r="BE43" i="1"/>
  <c r="BD43" i="1"/>
  <c r="BB43" i="1"/>
  <c r="BA43" i="1"/>
  <c r="AZ43" i="1"/>
  <c r="AX43" i="1"/>
  <c r="AW43" i="1"/>
  <c r="AV43" i="1"/>
  <c r="AT43" i="1"/>
  <c r="AS43" i="1"/>
  <c r="AR43" i="1"/>
  <c r="AP43" i="1"/>
  <c r="AO43" i="1"/>
  <c r="AN43" i="1"/>
  <c r="AL43" i="1"/>
  <c r="AK43" i="1"/>
  <c r="AJ43" i="1"/>
  <c r="AH43" i="1"/>
  <c r="AG43" i="1"/>
  <c r="AF43" i="1"/>
  <c r="AD43" i="1"/>
  <c r="AC43" i="1"/>
  <c r="AB43" i="1"/>
  <c r="V43" i="1"/>
  <c r="Q43" i="1"/>
  <c r="W43" i="1"/>
  <c r="X43" i="1"/>
  <c r="R43" i="1"/>
  <c r="S43" i="1"/>
  <c r="T43" i="1"/>
  <c r="L43" i="1"/>
  <c r="L39" i="1"/>
  <c r="Q39" i="1"/>
  <c r="R39" i="1"/>
  <c r="S39" i="1"/>
  <c r="T39" i="1"/>
  <c r="V39" i="1"/>
  <c r="W39" i="1"/>
  <c r="X39" i="1"/>
  <c r="AB39" i="1"/>
  <c r="AC39" i="1"/>
  <c r="AD39" i="1"/>
  <c r="AF39" i="1"/>
  <c r="AG39" i="1"/>
  <c r="AH39" i="1"/>
  <c r="AJ39" i="1"/>
  <c r="AK39" i="1"/>
  <c r="AL39" i="1"/>
  <c r="AN39" i="1"/>
  <c r="AO39" i="1"/>
  <c r="AP39" i="1"/>
  <c r="AR39" i="1"/>
  <c r="AS39" i="1"/>
  <c r="AT39" i="1"/>
  <c r="AV39" i="1"/>
  <c r="AW39" i="1"/>
  <c r="AX39" i="1"/>
  <c r="AZ39" i="1"/>
  <c r="BA39" i="1"/>
  <c r="BB39" i="1"/>
  <c r="BD39" i="1"/>
  <c r="BE39" i="1"/>
  <c r="BF39" i="1"/>
  <c r="BH39" i="1"/>
  <c r="BI39" i="1"/>
  <c r="BJ39" i="1"/>
  <c r="BL39" i="1"/>
  <c r="BM39" i="1"/>
  <c r="BN39" i="1"/>
  <c r="BP39" i="1"/>
  <c r="BQ39" i="1"/>
  <c r="BR39" i="1"/>
  <c r="BT39" i="1"/>
  <c r="BU39" i="1"/>
  <c r="BV39" i="1"/>
  <c r="G22" i="1"/>
  <c r="O21" i="1"/>
  <c r="E20" i="1"/>
  <c r="B206" i="1"/>
  <c r="V206" i="1"/>
  <c r="Q206" i="1"/>
  <c r="W206" i="1"/>
  <c r="X206" i="1"/>
  <c r="F22" i="1"/>
  <c r="N21" i="1"/>
  <c r="R206" i="1"/>
  <c r="S206" i="1"/>
  <c r="T206" i="1"/>
  <c r="L206" i="1"/>
  <c r="B205" i="1"/>
  <c r="V205" i="1"/>
  <c r="Q205" i="1"/>
  <c r="W205" i="1"/>
  <c r="X205" i="1"/>
  <c r="R205" i="1"/>
  <c r="S205" i="1"/>
  <c r="T205" i="1"/>
  <c r="L205" i="1"/>
  <c r="B204" i="1"/>
  <c r="V204" i="1"/>
  <c r="Q204" i="1"/>
  <c r="W204" i="1"/>
  <c r="X204" i="1"/>
  <c r="R204" i="1"/>
  <c r="S204" i="1"/>
  <c r="T204" i="1"/>
  <c r="L204" i="1"/>
  <c r="B203" i="1"/>
  <c r="V203" i="1"/>
  <c r="Q203" i="1"/>
  <c r="W203" i="1"/>
  <c r="X203" i="1"/>
  <c r="R203" i="1"/>
  <c r="S203" i="1"/>
  <c r="T203" i="1"/>
  <c r="L203" i="1"/>
  <c r="B200" i="1"/>
  <c r="V200" i="1"/>
  <c r="Q200" i="1"/>
  <c r="W200" i="1"/>
  <c r="X200" i="1"/>
  <c r="R200" i="1"/>
  <c r="S200" i="1"/>
  <c r="T200" i="1"/>
  <c r="L200" i="1"/>
  <c r="B199" i="1"/>
  <c r="V199" i="1"/>
  <c r="Q199" i="1"/>
  <c r="W199" i="1"/>
  <c r="X199" i="1"/>
  <c r="R199" i="1"/>
  <c r="S199" i="1"/>
  <c r="T199" i="1"/>
  <c r="L199" i="1"/>
  <c r="B198" i="1"/>
  <c r="V198" i="1"/>
  <c r="Q198" i="1"/>
  <c r="W198" i="1"/>
  <c r="X198" i="1"/>
  <c r="R198" i="1"/>
  <c r="S198" i="1"/>
  <c r="T198" i="1"/>
  <c r="L198" i="1"/>
  <c r="B197" i="1"/>
  <c r="V197" i="1"/>
  <c r="Q197" i="1"/>
  <c r="W197" i="1"/>
  <c r="X197" i="1"/>
  <c r="R197" i="1"/>
  <c r="S197" i="1"/>
  <c r="T197" i="1"/>
  <c r="L197" i="1"/>
  <c r="B194" i="1"/>
  <c r="V194" i="1"/>
  <c r="Q194" i="1"/>
  <c r="W194" i="1"/>
  <c r="X194" i="1"/>
  <c r="R194" i="1"/>
  <c r="S194" i="1"/>
  <c r="T194" i="1"/>
  <c r="L194" i="1"/>
  <c r="B193" i="1"/>
  <c r="V193" i="1"/>
  <c r="Q193" i="1"/>
  <c r="W193" i="1"/>
  <c r="X193" i="1"/>
  <c r="R193" i="1"/>
  <c r="S193" i="1"/>
  <c r="T193" i="1"/>
  <c r="L193" i="1"/>
  <c r="B192" i="1"/>
  <c r="V192" i="1"/>
  <c r="Q192" i="1"/>
  <c r="W192" i="1"/>
  <c r="X192" i="1"/>
  <c r="R192" i="1"/>
  <c r="S192" i="1"/>
  <c r="T192" i="1"/>
  <c r="L192" i="1"/>
  <c r="B191" i="1"/>
  <c r="V191" i="1"/>
  <c r="Q191" i="1"/>
  <c r="W191" i="1"/>
  <c r="X191" i="1"/>
  <c r="R191" i="1"/>
  <c r="S191" i="1"/>
  <c r="T191" i="1"/>
  <c r="L191" i="1"/>
  <c r="B190" i="1"/>
  <c r="V190" i="1"/>
  <c r="Q190" i="1"/>
  <c r="W190" i="1"/>
  <c r="X190" i="1"/>
  <c r="R190" i="1"/>
  <c r="S190" i="1"/>
  <c r="T190" i="1"/>
  <c r="L190" i="1"/>
  <c r="B189" i="1"/>
  <c r="V189" i="1"/>
  <c r="Q189" i="1"/>
  <c r="W189" i="1"/>
  <c r="X189" i="1"/>
  <c r="R189" i="1"/>
  <c r="S189" i="1"/>
  <c r="T189" i="1"/>
  <c r="L189" i="1"/>
  <c r="B188" i="1"/>
  <c r="V188" i="1"/>
  <c r="Q188" i="1"/>
  <c r="W188" i="1"/>
  <c r="X188" i="1"/>
  <c r="R188" i="1"/>
  <c r="S188" i="1"/>
  <c r="T188" i="1"/>
  <c r="L188" i="1"/>
  <c r="B187" i="1"/>
  <c r="V187" i="1"/>
  <c r="Q187" i="1"/>
  <c r="W187" i="1"/>
  <c r="X187" i="1"/>
  <c r="R187" i="1"/>
  <c r="S187" i="1"/>
  <c r="T187" i="1"/>
  <c r="L187" i="1"/>
  <c r="B186" i="1"/>
  <c r="V186" i="1"/>
  <c r="Q186" i="1"/>
  <c r="W186" i="1"/>
  <c r="X186" i="1"/>
  <c r="R186" i="1"/>
  <c r="S186" i="1"/>
  <c r="T186" i="1"/>
  <c r="L186" i="1"/>
  <c r="B185" i="1"/>
  <c r="V185" i="1"/>
  <c r="Q185" i="1"/>
  <c r="W185" i="1"/>
  <c r="X185" i="1"/>
  <c r="R185" i="1"/>
  <c r="S185" i="1"/>
  <c r="T185" i="1"/>
  <c r="L185" i="1"/>
  <c r="B184" i="1"/>
  <c r="V184" i="1"/>
  <c r="Q184" i="1"/>
  <c r="W184" i="1"/>
  <c r="X184" i="1"/>
  <c r="R184" i="1"/>
  <c r="S184" i="1"/>
  <c r="T184" i="1"/>
  <c r="L184" i="1"/>
  <c r="B183" i="1"/>
  <c r="V183" i="1"/>
  <c r="Q183" i="1"/>
  <c r="W183" i="1"/>
  <c r="X183" i="1"/>
  <c r="R183" i="1"/>
  <c r="S183" i="1"/>
  <c r="T183" i="1"/>
  <c r="L183" i="1"/>
  <c r="B182" i="1"/>
  <c r="V182" i="1"/>
  <c r="Q182" i="1"/>
  <c r="W182" i="1"/>
  <c r="X182" i="1"/>
  <c r="R182" i="1"/>
  <c r="S182" i="1"/>
  <c r="T182" i="1"/>
  <c r="L182" i="1"/>
  <c r="B181" i="1"/>
  <c r="V181" i="1"/>
  <c r="Q181" i="1"/>
  <c r="W181" i="1"/>
  <c r="X181" i="1"/>
  <c r="R181" i="1"/>
  <c r="S181" i="1"/>
  <c r="T181" i="1"/>
  <c r="L181" i="1"/>
  <c r="B178" i="1"/>
  <c r="V178" i="1"/>
  <c r="Q178" i="1"/>
  <c r="W178" i="1"/>
  <c r="X178" i="1"/>
  <c r="R178" i="1"/>
  <c r="S178" i="1"/>
  <c r="T178" i="1"/>
  <c r="L178" i="1"/>
  <c r="B177" i="1"/>
  <c r="V177" i="1"/>
  <c r="Q177" i="1"/>
  <c r="W177" i="1"/>
  <c r="X177" i="1"/>
  <c r="R177" i="1"/>
  <c r="S177" i="1"/>
  <c r="T177" i="1"/>
  <c r="L177" i="1"/>
  <c r="B176" i="1"/>
  <c r="V176" i="1"/>
  <c r="Q176" i="1"/>
  <c r="W176" i="1"/>
  <c r="X176" i="1"/>
  <c r="R176" i="1"/>
  <c r="S176" i="1"/>
  <c r="T176" i="1"/>
  <c r="L176" i="1"/>
  <c r="B175" i="1"/>
  <c r="V175" i="1"/>
  <c r="Q175" i="1"/>
  <c r="W175" i="1"/>
  <c r="X175" i="1"/>
  <c r="R175" i="1"/>
  <c r="S175" i="1"/>
  <c r="T175" i="1"/>
  <c r="L175" i="1"/>
  <c r="B174" i="1"/>
  <c r="V174" i="1"/>
  <c r="Q174" i="1"/>
  <c r="W174" i="1"/>
  <c r="X174" i="1"/>
  <c r="R174" i="1"/>
  <c r="S174" i="1"/>
  <c r="T174" i="1"/>
  <c r="L174" i="1"/>
  <c r="B173" i="1"/>
  <c r="V173" i="1"/>
  <c r="Q173" i="1"/>
  <c r="W173" i="1"/>
  <c r="X173" i="1"/>
  <c r="R173" i="1"/>
  <c r="S173" i="1"/>
  <c r="T173" i="1"/>
  <c r="L173" i="1"/>
  <c r="B172" i="1"/>
  <c r="V172" i="1"/>
  <c r="Q172" i="1"/>
  <c r="W172" i="1"/>
  <c r="X172" i="1"/>
  <c r="R172" i="1"/>
  <c r="S172" i="1"/>
  <c r="T172" i="1"/>
  <c r="L172" i="1"/>
  <c r="B171" i="1"/>
  <c r="V171" i="1"/>
  <c r="Q171" i="1"/>
  <c r="W171" i="1"/>
  <c r="X171" i="1"/>
  <c r="R171" i="1"/>
  <c r="S171" i="1"/>
  <c r="T171" i="1"/>
  <c r="L171" i="1"/>
  <c r="B170" i="1"/>
  <c r="V170" i="1"/>
  <c r="Q170" i="1"/>
  <c r="W170" i="1"/>
  <c r="X170" i="1"/>
  <c r="R170" i="1"/>
  <c r="S170" i="1"/>
  <c r="T170" i="1"/>
  <c r="L170" i="1"/>
  <c r="B169" i="1"/>
  <c r="V169" i="1"/>
  <c r="Q169" i="1"/>
  <c r="W169" i="1"/>
  <c r="X169" i="1"/>
  <c r="R169" i="1"/>
  <c r="S169" i="1"/>
  <c r="T169" i="1"/>
  <c r="L169" i="1"/>
  <c r="B168" i="1"/>
  <c r="V168" i="1"/>
  <c r="Q168" i="1"/>
  <c r="W168" i="1"/>
  <c r="X168" i="1"/>
  <c r="R168" i="1"/>
  <c r="S168" i="1"/>
  <c r="T168" i="1"/>
  <c r="L168" i="1"/>
  <c r="B167" i="1"/>
  <c r="V167" i="1"/>
  <c r="Q167" i="1"/>
  <c r="W167" i="1"/>
  <c r="X167" i="1"/>
  <c r="R167" i="1"/>
  <c r="S167" i="1"/>
  <c r="T167" i="1"/>
  <c r="L167" i="1"/>
  <c r="B166" i="1"/>
  <c r="V166" i="1"/>
  <c r="Q166" i="1"/>
  <c r="W166" i="1"/>
  <c r="X166" i="1"/>
  <c r="R166" i="1"/>
  <c r="S166" i="1"/>
  <c r="T166" i="1"/>
  <c r="L166" i="1"/>
  <c r="B165" i="1"/>
  <c r="V165" i="1"/>
  <c r="Q165" i="1"/>
  <c r="W165" i="1"/>
  <c r="X165" i="1"/>
  <c r="R165" i="1"/>
  <c r="S165" i="1"/>
  <c r="T165" i="1"/>
  <c r="L165" i="1"/>
  <c r="B164" i="1"/>
  <c r="V164" i="1"/>
  <c r="Q164" i="1"/>
  <c r="W164" i="1"/>
  <c r="X164" i="1"/>
  <c r="R164" i="1"/>
  <c r="S164" i="1"/>
  <c r="T164" i="1"/>
  <c r="L164" i="1"/>
  <c r="B163" i="1"/>
  <c r="V163" i="1"/>
  <c r="Q163" i="1"/>
  <c r="W163" i="1"/>
  <c r="X163" i="1"/>
  <c r="R163" i="1"/>
  <c r="S163" i="1"/>
  <c r="T163" i="1"/>
  <c r="L163" i="1"/>
  <c r="B162" i="1"/>
  <c r="V162" i="1"/>
  <c r="Q162" i="1"/>
  <c r="W162" i="1"/>
  <c r="X162" i="1"/>
  <c r="R162" i="1"/>
  <c r="S162" i="1"/>
  <c r="T162" i="1"/>
  <c r="L162" i="1"/>
  <c r="B141" i="1"/>
  <c r="V141" i="1"/>
  <c r="Q141" i="1"/>
  <c r="W141" i="1"/>
  <c r="X141" i="1"/>
  <c r="R141" i="1"/>
  <c r="S141" i="1"/>
  <c r="T141" i="1"/>
  <c r="L141" i="1"/>
  <c r="B140" i="1"/>
  <c r="V140" i="1"/>
  <c r="Q140" i="1"/>
  <c r="W140" i="1"/>
  <c r="X140" i="1"/>
  <c r="R140" i="1"/>
  <c r="S140" i="1"/>
  <c r="T140" i="1"/>
  <c r="L140" i="1"/>
  <c r="B139" i="1"/>
  <c r="V139" i="1"/>
  <c r="Q139" i="1"/>
  <c r="W139" i="1"/>
  <c r="X139" i="1"/>
  <c r="R139" i="1"/>
  <c r="S139" i="1"/>
  <c r="T139" i="1"/>
  <c r="L139" i="1"/>
  <c r="B138" i="1"/>
  <c r="V138" i="1"/>
  <c r="Q138" i="1"/>
  <c r="W138" i="1"/>
  <c r="X138" i="1"/>
  <c r="R138" i="1"/>
  <c r="S138" i="1"/>
  <c r="T138" i="1"/>
  <c r="L138" i="1"/>
  <c r="B159" i="1"/>
  <c r="V159" i="1"/>
  <c r="Q159" i="1"/>
  <c r="W159" i="1"/>
  <c r="X159" i="1"/>
  <c r="R159" i="1"/>
  <c r="S159" i="1"/>
  <c r="T159" i="1"/>
  <c r="B158" i="1"/>
  <c r="V158" i="1"/>
  <c r="Q158" i="1"/>
  <c r="W158" i="1"/>
  <c r="X158" i="1"/>
  <c r="R158" i="1"/>
  <c r="S158" i="1"/>
  <c r="T158" i="1"/>
  <c r="B157" i="1"/>
  <c r="V157" i="1"/>
  <c r="Q157" i="1"/>
  <c r="W157" i="1"/>
  <c r="X157" i="1"/>
  <c r="R157" i="1"/>
  <c r="S157" i="1"/>
  <c r="T157" i="1"/>
  <c r="B156" i="1"/>
  <c r="V156" i="1"/>
  <c r="Q156" i="1"/>
  <c r="W156" i="1"/>
  <c r="X156" i="1"/>
  <c r="R156" i="1"/>
  <c r="S156" i="1"/>
  <c r="T156" i="1"/>
  <c r="B155" i="1"/>
  <c r="V155" i="1"/>
  <c r="Q155" i="1"/>
  <c r="W155" i="1"/>
  <c r="X155" i="1"/>
  <c r="R155" i="1"/>
  <c r="S155" i="1"/>
  <c r="T155" i="1"/>
  <c r="B154" i="1"/>
  <c r="V154" i="1"/>
  <c r="Q154" i="1"/>
  <c r="W154" i="1"/>
  <c r="X154" i="1"/>
  <c r="R154" i="1"/>
  <c r="S154" i="1"/>
  <c r="T154" i="1"/>
  <c r="B153" i="1"/>
  <c r="V153" i="1"/>
  <c r="Q153" i="1"/>
  <c r="W153" i="1"/>
  <c r="X153" i="1"/>
  <c r="R153" i="1"/>
  <c r="S153" i="1"/>
  <c r="T153" i="1"/>
  <c r="B152" i="1"/>
  <c r="V152" i="1"/>
  <c r="Q152" i="1"/>
  <c r="W152" i="1"/>
  <c r="X152" i="1"/>
  <c r="R152" i="1"/>
  <c r="S152" i="1"/>
  <c r="T152" i="1"/>
  <c r="B151" i="1"/>
  <c r="V151" i="1"/>
  <c r="Q151" i="1"/>
  <c r="W151" i="1"/>
  <c r="X151" i="1"/>
  <c r="R151" i="1"/>
  <c r="S151" i="1"/>
  <c r="T151" i="1"/>
  <c r="B150" i="1"/>
  <c r="V150" i="1"/>
  <c r="Q150" i="1"/>
  <c r="W150" i="1"/>
  <c r="X150" i="1"/>
  <c r="R150" i="1"/>
  <c r="S150" i="1"/>
  <c r="T150" i="1"/>
  <c r="B149" i="1"/>
  <c r="V149" i="1"/>
  <c r="Q149" i="1"/>
  <c r="W149" i="1"/>
  <c r="X149" i="1"/>
  <c r="R149" i="1"/>
  <c r="S149" i="1"/>
  <c r="T149" i="1"/>
  <c r="B148" i="1"/>
  <c r="V148" i="1"/>
  <c r="Q148" i="1"/>
  <c r="W148" i="1"/>
  <c r="X148" i="1"/>
  <c r="R148" i="1"/>
  <c r="S148" i="1"/>
  <c r="T148" i="1"/>
  <c r="B147" i="1"/>
  <c r="V147" i="1"/>
  <c r="Q147" i="1"/>
  <c r="W147" i="1"/>
  <c r="X147" i="1"/>
  <c r="R147" i="1"/>
  <c r="S147" i="1"/>
  <c r="T147" i="1"/>
  <c r="B146" i="1"/>
  <c r="V146" i="1"/>
  <c r="Q146" i="1"/>
  <c r="W146" i="1"/>
  <c r="X146" i="1"/>
  <c r="R146" i="1"/>
  <c r="S146" i="1"/>
  <c r="T146" i="1"/>
  <c r="B145" i="1"/>
  <c r="V145" i="1"/>
  <c r="Q145" i="1"/>
  <c r="W145" i="1"/>
  <c r="X145" i="1"/>
  <c r="R145" i="1"/>
  <c r="S145" i="1"/>
  <c r="T145" i="1"/>
  <c r="B144" i="1"/>
  <c r="V144" i="1"/>
  <c r="Q144" i="1"/>
  <c r="W144" i="1"/>
  <c r="X144" i="1"/>
  <c r="R144" i="1"/>
  <c r="S144" i="1"/>
  <c r="T144" i="1"/>
  <c r="B143" i="1"/>
  <c r="V143" i="1"/>
  <c r="Q143" i="1"/>
  <c r="W143" i="1"/>
  <c r="X143" i="1"/>
  <c r="R143" i="1"/>
  <c r="S143" i="1"/>
  <c r="T143" i="1"/>
  <c r="B142" i="1"/>
  <c r="V142" i="1"/>
  <c r="Q142" i="1"/>
  <c r="W142" i="1"/>
  <c r="X142" i="1"/>
  <c r="R142" i="1"/>
  <c r="S142" i="1"/>
  <c r="T142" i="1"/>
  <c r="B137" i="1"/>
  <c r="V137" i="1"/>
  <c r="Q137" i="1"/>
  <c r="W137" i="1"/>
  <c r="X137" i="1"/>
  <c r="R137" i="1"/>
  <c r="S137" i="1"/>
  <c r="T137" i="1"/>
  <c r="B136" i="1"/>
  <c r="V136" i="1"/>
  <c r="Q136" i="1"/>
  <c r="W136" i="1"/>
  <c r="X136" i="1"/>
  <c r="R136" i="1"/>
  <c r="S136" i="1"/>
  <c r="T136" i="1"/>
  <c r="B135" i="1"/>
  <c r="V135" i="1"/>
  <c r="Q135" i="1"/>
  <c r="W135" i="1"/>
  <c r="X135" i="1"/>
  <c r="R135" i="1"/>
  <c r="S135" i="1"/>
  <c r="T135" i="1"/>
  <c r="B134" i="1"/>
  <c r="V134" i="1"/>
  <c r="Q134" i="1"/>
  <c r="W134" i="1"/>
  <c r="X134" i="1"/>
  <c r="R134" i="1"/>
  <c r="S134" i="1"/>
  <c r="T134" i="1"/>
  <c r="B133" i="1"/>
  <c r="V133" i="1"/>
  <c r="Q133" i="1"/>
  <c r="W133" i="1"/>
  <c r="X133" i="1"/>
  <c r="R133" i="1"/>
  <c r="S133" i="1"/>
  <c r="T133" i="1"/>
  <c r="B132" i="1"/>
  <c r="V132" i="1"/>
  <c r="Q132" i="1"/>
  <c r="W132" i="1"/>
  <c r="X132" i="1"/>
  <c r="R132" i="1"/>
  <c r="S132" i="1"/>
  <c r="T132" i="1"/>
  <c r="B131" i="1"/>
  <c r="V131" i="1"/>
  <c r="Q131" i="1"/>
  <c r="W131" i="1"/>
  <c r="X131" i="1"/>
  <c r="R131" i="1"/>
  <c r="S131" i="1"/>
  <c r="T131" i="1"/>
  <c r="B130" i="1"/>
  <c r="V130" i="1"/>
  <c r="Q130" i="1"/>
  <c r="W130" i="1"/>
  <c r="X130" i="1"/>
  <c r="R130" i="1"/>
  <c r="S130" i="1"/>
  <c r="T13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37" i="1"/>
  <c r="L136" i="1"/>
  <c r="L135" i="1"/>
  <c r="L134" i="1"/>
  <c r="L133" i="1"/>
  <c r="L132" i="1"/>
  <c r="L131" i="1"/>
  <c r="L130" i="1"/>
  <c r="N216" i="1"/>
  <c r="N220" i="1"/>
  <c r="Q332" i="1"/>
  <c r="R332" i="1"/>
  <c r="D324" i="1"/>
  <c r="Q317" i="1"/>
  <c r="Q320" i="1"/>
  <c r="R320" i="1"/>
  <c r="S320" i="1"/>
  <c r="S324" i="1"/>
  <c r="R220" i="1"/>
  <c r="V332" i="1"/>
  <c r="F324" i="1"/>
  <c r="V320" i="1"/>
  <c r="W320" i="1"/>
  <c r="W324" i="1"/>
  <c r="V220" i="1"/>
  <c r="N221" i="1"/>
  <c r="Q330" i="1"/>
  <c r="R330" i="1"/>
  <c r="D325" i="1"/>
  <c r="Q53" i="1"/>
  <c r="R53" i="1"/>
  <c r="S53" i="1"/>
  <c r="D322" i="1"/>
  <c r="Q318" i="1"/>
  <c r="R318" i="1"/>
  <c r="S318" i="1"/>
  <c r="S322" i="1"/>
  <c r="D323" i="1"/>
  <c r="Q319" i="1"/>
  <c r="R319" i="1"/>
  <c r="S319" i="1"/>
  <c r="S323" i="1"/>
  <c r="R36" i="1"/>
  <c r="Q36" i="1"/>
  <c r="S36" i="1"/>
  <c r="S328" i="1"/>
  <c r="S325" i="1"/>
  <c r="R221" i="1"/>
  <c r="V330" i="1"/>
  <c r="F325" i="1"/>
  <c r="V53" i="1"/>
  <c r="W53" i="1"/>
  <c r="F322" i="1"/>
  <c r="V318" i="1"/>
  <c r="W318" i="1"/>
  <c r="W322" i="1"/>
  <c r="F323" i="1"/>
  <c r="V319" i="1"/>
  <c r="W319" i="1"/>
  <c r="W323" i="1"/>
  <c r="V36" i="1"/>
  <c r="W36" i="1"/>
  <c r="W328" i="1"/>
  <c r="W325" i="1"/>
  <c r="V221" i="1"/>
  <c r="N237" i="1"/>
  <c r="N232" i="1"/>
  <c r="N227" i="1"/>
  <c r="N222" i="1"/>
  <c r="N217" i="1"/>
  <c r="B209" i="1"/>
  <c r="L209" i="1"/>
  <c r="N244" i="1"/>
  <c r="Q209" i="1"/>
  <c r="Q210" i="1"/>
  <c r="R209" i="1"/>
  <c r="R210" i="1"/>
  <c r="S210" i="1"/>
  <c r="R124" i="1"/>
  <c r="R215" i="1"/>
  <c r="Q124" i="1"/>
  <c r="V246" i="1"/>
  <c r="V124" i="1"/>
  <c r="V215" i="1"/>
  <c r="X217" i="1"/>
  <c r="R246" i="1"/>
  <c r="T217" i="1"/>
  <c r="V62" i="1"/>
  <c r="W391" i="1"/>
  <c r="V81" i="1"/>
  <c r="W454" i="1"/>
  <c r="V98" i="1"/>
  <c r="W518" i="1"/>
  <c r="V111" i="1"/>
  <c r="W581" i="1"/>
  <c r="V245" i="1"/>
  <c r="V244" i="1"/>
  <c r="Q585" i="1"/>
  <c r="V585" i="1"/>
  <c r="Q583" i="1"/>
  <c r="V583" i="1"/>
  <c r="F578" i="1"/>
  <c r="Q111" i="1"/>
  <c r="W111" i="1"/>
  <c r="F575" i="1"/>
  <c r="Q571" i="1"/>
  <c r="V571" i="1"/>
  <c r="W571" i="1"/>
  <c r="W575" i="1"/>
  <c r="F576" i="1"/>
  <c r="Q572" i="1"/>
  <c r="V572" i="1"/>
  <c r="W572" i="1"/>
  <c r="W576" i="1"/>
  <c r="F577" i="1"/>
  <c r="Q570" i="1"/>
  <c r="Q573" i="1"/>
  <c r="V573" i="1"/>
  <c r="W573" i="1"/>
  <c r="W577" i="1"/>
  <c r="W578" i="1"/>
  <c r="V241" i="1"/>
  <c r="Q522" i="1"/>
  <c r="V522" i="1"/>
  <c r="Q520" i="1"/>
  <c r="V520" i="1"/>
  <c r="F515" i="1"/>
  <c r="Q98" i="1"/>
  <c r="W98" i="1"/>
  <c r="F512" i="1"/>
  <c r="Q507" i="1"/>
  <c r="V507" i="1"/>
  <c r="W507" i="1"/>
  <c r="W512" i="1"/>
  <c r="F513" i="1"/>
  <c r="Q508" i="1"/>
  <c r="V508" i="1"/>
  <c r="W508" i="1"/>
  <c r="W513" i="1"/>
  <c r="F514" i="1"/>
  <c r="Q506" i="1"/>
  <c r="Q510" i="1"/>
  <c r="V510" i="1"/>
  <c r="W510" i="1"/>
  <c r="W514" i="1"/>
  <c r="W515" i="1"/>
  <c r="V236" i="1"/>
  <c r="Q458" i="1"/>
  <c r="V458" i="1"/>
  <c r="Q456" i="1"/>
  <c r="V456" i="1"/>
  <c r="F451" i="1"/>
  <c r="Q81" i="1"/>
  <c r="W81" i="1"/>
  <c r="F448" i="1"/>
  <c r="Q444" i="1"/>
  <c r="V444" i="1"/>
  <c r="W444" i="1"/>
  <c r="W448" i="1"/>
  <c r="F449" i="1"/>
  <c r="Q445" i="1"/>
  <c r="V445" i="1"/>
  <c r="W445" i="1"/>
  <c r="W449" i="1"/>
  <c r="F450" i="1"/>
  <c r="Q443" i="1"/>
  <c r="Q446" i="1"/>
  <c r="V446" i="1"/>
  <c r="W446" i="1"/>
  <c r="W450" i="1"/>
  <c r="W451" i="1"/>
  <c r="V231" i="1"/>
  <c r="Q395" i="1"/>
  <c r="V395" i="1"/>
  <c r="Q393" i="1"/>
  <c r="V393" i="1"/>
  <c r="F388" i="1"/>
  <c r="Q62" i="1"/>
  <c r="W62" i="1"/>
  <c r="F385" i="1"/>
  <c r="Q381" i="1"/>
  <c r="V381" i="1"/>
  <c r="W381" i="1"/>
  <c r="W385" i="1"/>
  <c r="F386" i="1"/>
  <c r="Q382" i="1"/>
  <c r="V382" i="1"/>
  <c r="W382" i="1"/>
  <c r="W386" i="1"/>
  <c r="F387" i="1"/>
  <c r="Q380" i="1"/>
  <c r="Q383" i="1"/>
  <c r="V383" i="1"/>
  <c r="W383" i="1"/>
  <c r="W387" i="1"/>
  <c r="W388" i="1"/>
  <c r="V226" i="1"/>
  <c r="V243" i="1"/>
  <c r="V225" i="1"/>
  <c r="V230" i="1"/>
  <c r="V235" i="1"/>
  <c r="V240" i="1"/>
  <c r="V242" i="1"/>
  <c r="V239" i="1"/>
  <c r="V238" i="1"/>
  <c r="V234" i="1"/>
  <c r="V233" i="1"/>
  <c r="V229" i="1"/>
  <c r="V228" i="1"/>
  <c r="V224" i="1"/>
  <c r="V223" i="1"/>
  <c r="V219" i="1"/>
  <c r="V218" i="1"/>
  <c r="V216" i="1"/>
  <c r="K215" i="1"/>
  <c r="K246" i="1"/>
  <c r="N245" i="1"/>
  <c r="M244" i="1"/>
  <c r="M216" i="1"/>
  <c r="Q32" i="1"/>
  <c r="R247" i="1"/>
  <c r="N243" i="1"/>
  <c r="R218" i="1"/>
  <c r="R219" i="1"/>
  <c r="R393" i="1"/>
  <c r="D385" i="1"/>
  <c r="R381" i="1"/>
  <c r="S381" i="1"/>
  <c r="S385" i="1"/>
  <c r="R223" i="1"/>
  <c r="R395" i="1"/>
  <c r="D386" i="1"/>
  <c r="R382" i="1"/>
  <c r="S382" i="1"/>
  <c r="S386" i="1"/>
  <c r="R224" i="1"/>
  <c r="D387" i="1"/>
  <c r="R383" i="1"/>
  <c r="S383" i="1"/>
  <c r="S387" i="1"/>
  <c r="R225" i="1"/>
  <c r="D388" i="1"/>
  <c r="R62" i="1"/>
  <c r="S62" i="1"/>
  <c r="S391" i="1"/>
  <c r="S388" i="1"/>
  <c r="R226" i="1"/>
  <c r="R456" i="1"/>
  <c r="D448" i="1"/>
  <c r="R444" i="1"/>
  <c r="S444" i="1"/>
  <c r="S448" i="1"/>
  <c r="R228" i="1"/>
  <c r="R458" i="1"/>
  <c r="D449" i="1"/>
  <c r="R445" i="1"/>
  <c r="S445" i="1"/>
  <c r="S449" i="1"/>
  <c r="R229" i="1"/>
  <c r="D450" i="1"/>
  <c r="R446" i="1"/>
  <c r="S446" i="1"/>
  <c r="S450" i="1"/>
  <c r="R230" i="1"/>
  <c r="D451" i="1"/>
  <c r="R81" i="1"/>
  <c r="S81" i="1"/>
  <c r="S454" i="1"/>
  <c r="S451" i="1"/>
  <c r="R231" i="1"/>
  <c r="R520" i="1"/>
  <c r="D512" i="1"/>
  <c r="R507" i="1"/>
  <c r="S507" i="1"/>
  <c r="S512" i="1"/>
  <c r="R233" i="1"/>
  <c r="R522" i="1"/>
  <c r="D513" i="1"/>
  <c r="R508" i="1"/>
  <c r="S508" i="1"/>
  <c r="S513" i="1"/>
  <c r="R234" i="1"/>
  <c r="D514" i="1"/>
  <c r="R510" i="1"/>
  <c r="S510" i="1"/>
  <c r="S514" i="1"/>
  <c r="R235" i="1"/>
  <c r="D515" i="1"/>
  <c r="R98" i="1"/>
  <c r="S98" i="1"/>
  <c r="S518" i="1"/>
  <c r="S515" i="1"/>
  <c r="R236" i="1"/>
  <c r="R583" i="1"/>
  <c r="D575" i="1"/>
  <c r="R571" i="1"/>
  <c r="S571" i="1"/>
  <c r="S575" i="1"/>
  <c r="R238" i="1"/>
  <c r="R585" i="1"/>
  <c r="D576" i="1"/>
  <c r="R572" i="1"/>
  <c r="S572" i="1"/>
  <c r="S576" i="1"/>
  <c r="R239" i="1"/>
  <c r="D577" i="1"/>
  <c r="R573" i="1"/>
  <c r="S573" i="1"/>
  <c r="S577" i="1"/>
  <c r="R240" i="1"/>
  <c r="D578" i="1"/>
  <c r="R111" i="1"/>
  <c r="S111" i="1"/>
  <c r="S581" i="1"/>
  <c r="S578" i="1"/>
  <c r="R241" i="1"/>
  <c r="R216" i="1"/>
  <c r="R245" i="1"/>
  <c r="R244" i="1"/>
  <c r="R243" i="1"/>
  <c r="R242" i="1"/>
  <c r="N241" i="1"/>
  <c r="N240" i="1"/>
  <c r="N239" i="1"/>
  <c r="N238" i="1"/>
  <c r="N236" i="1"/>
  <c r="N235" i="1"/>
  <c r="N234" i="1"/>
  <c r="N233" i="1"/>
  <c r="N229" i="1"/>
  <c r="N230" i="1"/>
  <c r="N231" i="1"/>
  <c r="N228" i="1"/>
  <c r="N224" i="1"/>
  <c r="N225" i="1"/>
  <c r="N226" i="1"/>
  <c r="N223" i="1"/>
  <c r="N219" i="1"/>
  <c r="N218" i="1"/>
  <c r="V247" i="1"/>
  <c r="V32" i="1"/>
  <c r="V214" i="1"/>
  <c r="R32" i="1"/>
  <c r="R214" i="1"/>
  <c r="D579" i="1"/>
  <c r="S579" i="1"/>
  <c r="S580" i="1"/>
  <c r="D516" i="1"/>
  <c r="S516" i="1"/>
  <c r="S517" i="1"/>
  <c r="D452" i="1"/>
  <c r="S452" i="1"/>
  <c r="S453" i="1"/>
  <c r="D389" i="1"/>
  <c r="S389" i="1"/>
  <c r="S390" i="1"/>
  <c r="D326" i="1"/>
  <c r="S326" i="1"/>
  <c r="S327" i="1"/>
  <c r="L116" i="1"/>
  <c r="Q116" i="1"/>
  <c r="O210" i="1"/>
  <c r="V209" i="1"/>
  <c r="V210" i="1"/>
  <c r="W210" i="1"/>
  <c r="W209" i="1"/>
  <c r="X209" i="1"/>
  <c r="S209" i="1"/>
  <c r="T209" i="1"/>
  <c r="Q129" i="1"/>
  <c r="R129" i="1"/>
  <c r="S129" i="1"/>
  <c r="B202" i="1"/>
  <c r="V202" i="1"/>
  <c r="Q202" i="1"/>
  <c r="W202" i="1"/>
  <c r="X202" i="1"/>
  <c r="R202" i="1"/>
  <c r="S202" i="1"/>
  <c r="T202" i="1"/>
  <c r="B196" i="1"/>
  <c r="V196" i="1"/>
  <c r="Q196" i="1"/>
  <c r="W196" i="1"/>
  <c r="X196" i="1"/>
  <c r="R196" i="1"/>
  <c r="S196" i="1"/>
  <c r="T196" i="1"/>
  <c r="B180" i="1"/>
  <c r="V180" i="1"/>
  <c r="Q180" i="1"/>
  <c r="W180" i="1"/>
  <c r="X180" i="1"/>
  <c r="R180" i="1"/>
  <c r="S180" i="1"/>
  <c r="T180" i="1"/>
  <c r="B161" i="1"/>
  <c r="V161" i="1"/>
  <c r="Q161" i="1"/>
  <c r="W161" i="1"/>
  <c r="X161" i="1"/>
  <c r="R161" i="1"/>
  <c r="S161" i="1"/>
  <c r="T161" i="1"/>
  <c r="B129" i="1"/>
  <c r="V129" i="1"/>
  <c r="W129" i="1"/>
  <c r="X129" i="1"/>
  <c r="T129" i="1"/>
  <c r="L202" i="1"/>
  <c r="L196" i="1"/>
  <c r="L180" i="1"/>
  <c r="L161" i="1"/>
  <c r="L129" i="1"/>
  <c r="B124" i="1"/>
  <c r="L124" i="1"/>
  <c r="L101" i="1"/>
  <c r="L75" i="1"/>
  <c r="L74" i="1"/>
  <c r="B62" i="1"/>
  <c r="K62" i="1"/>
  <c r="Q88" i="1"/>
  <c r="L88" i="1"/>
  <c r="BV88" i="1"/>
  <c r="BU88" i="1"/>
  <c r="BT88" i="1"/>
  <c r="BR88" i="1"/>
  <c r="BQ88" i="1"/>
  <c r="BP88" i="1"/>
  <c r="BN88" i="1"/>
  <c r="BM88" i="1"/>
  <c r="BL88" i="1"/>
  <c r="BJ88" i="1"/>
  <c r="BI88" i="1"/>
  <c r="BH88" i="1"/>
  <c r="BF88" i="1"/>
  <c r="BE88" i="1"/>
  <c r="BD88" i="1"/>
  <c r="BB88" i="1"/>
  <c r="BA88" i="1"/>
  <c r="AZ88" i="1"/>
  <c r="AX88" i="1"/>
  <c r="AW88" i="1"/>
  <c r="AV88" i="1"/>
  <c r="AT88" i="1"/>
  <c r="AS88" i="1"/>
  <c r="AR88" i="1"/>
  <c r="AP88" i="1"/>
  <c r="AO88" i="1"/>
  <c r="AN88" i="1"/>
  <c r="AL88" i="1"/>
  <c r="AK88" i="1"/>
  <c r="AJ88" i="1"/>
  <c r="AH88" i="1"/>
  <c r="AG88" i="1"/>
  <c r="AF88" i="1"/>
  <c r="AD88" i="1"/>
  <c r="AC88" i="1"/>
  <c r="AB88" i="1"/>
  <c r="V88" i="1"/>
  <c r="W88" i="1"/>
  <c r="X88" i="1"/>
  <c r="R88" i="1"/>
  <c r="S88" i="1"/>
  <c r="T88" i="1"/>
  <c r="L95" i="1"/>
  <c r="Q95" i="1"/>
  <c r="R95" i="1"/>
  <c r="S95" i="1"/>
  <c r="T95" i="1"/>
  <c r="V95" i="1"/>
  <c r="W95" i="1"/>
  <c r="X95" i="1"/>
  <c r="BV101" i="1"/>
  <c r="BU101" i="1"/>
  <c r="BT101" i="1"/>
  <c r="BR101" i="1"/>
  <c r="BQ101" i="1"/>
  <c r="BP101" i="1"/>
  <c r="BN101" i="1"/>
  <c r="BM101" i="1"/>
  <c r="BL101" i="1"/>
  <c r="BJ101" i="1"/>
  <c r="BI101" i="1"/>
  <c r="BH101" i="1"/>
  <c r="BF101" i="1"/>
  <c r="BE101" i="1"/>
  <c r="BD101" i="1"/>
  <c r="BB101" i="1"/>
  <c r="BA101" i="1"/>
  <c r="AZ101" i="1"/>
  <c r="AX101" i="1"/>
  <c r="AW101" i="1"/>
  <c r="AV101" i="1"/>
  <c r="AT101" i="1"/>
  <c r="AS101" i="1"/>
  <c r="AR101" i="1"/>
  <c r="AP101" i="1"/>
  <c r="AO101" i="1"/>
  <c r="AN101" i="1"/>
  <c r="AL101" i="1"/>
  <c r="AK101" i="1"/>
  <c r="AJ101" i="1"/>
  <c r="AH101" i="1"/>
  <c r="AG101" i="1"/>
  <c r="AF101" i="1"/>
  <c r="AD101" i="1"/>
  <c r="AC101" i="1"/>
  <c r="AB101" i="1"/>
  <c r="V101" i="1"/>
  <c r="Q101" i="1"/>
  <c r="W101" i="1"/>
  <c r="X101" i="1"/>
  <c r="R101" i="1"/>
  <c r="S101" i="1"/>
  <c r="T101" i="1"/>
  <c r="BV90" i="1"/>
  <c r="BU90" i="1"/>
  <c r="BT90" i="1"/>
  <c r="BR90" i="1"/>
  <c r="BQ90" i="1"/>
  <c r="BP90" i="1"/>
  <c r="BN90" i="1"/>
  <c r="BM90" i="1"/>
  <c r="BL90" i="1"/>
  <c r="BJ90" i="1"/>
  <c r="BI90" i="1"/>
  <c r="BH90" i="1"/>
  <c r="BF90" i="1"/>
  <c r="BE90" i="1"/>
  <c r="BD90" i="1"/>
  <c r="BB90" i="1"/>
  <c r="BA90" i="1"/>
  <c r="AZ90" i="1"/>
  <c r="AX90" i="1"/>
  <c r="AW90" i="1"/>
  <c r="AV90" i="1"/>
  <c r="AT90" i="1"/>
  <c r="AS90" i="1"/>
  <c r="AR90" i="1"/>
  <c r="AP90" i="1"/>
  <c r="AO90" i="1"/>
  <c r="AN90" i="1"/>
  <c r="AL90" i="1"/>
  <c r="AK90" i="1"/>
  <c r="AJ90" i="1"/>
  <c r="AH90" i="1"/>
  <c r="AG90" i="1"/>
  <c r="AF90" i="1"/>
  <c r="AD90" i="1"/>
  <c r="AC90" i="1"/>
  <c r="AB90" i="1"/>
  <c r="V90" i="1"/>
  <c r="Q90" i="1"/>
  <c r="W90" i="1"/>
  <c r="X90" i="1"/>
  <c r="R90" i="1"/>
  <c r="S90" i="1"/>
  <c r="T90" i="1"/>
  <c r="L90" i="1"/>
  <c r="L76" i="1"/>
  <c r="L77" i="1"/>
  <c r="L73" i="1"/>
  <c r="L65" i="1"/>
  <c r="L66" i="1"/>
  <c r="L67" i="1"/>
  <c r="L68" i="1"/>
  <c r="L69" i="1"/>
  <c r="L70" i="1"/>
  <c r="L71" i="1"/>
  <c r="L72" i="1"/>
  <c r="L78" i="1"/>
  <c r="BV75" i="1"/>
  <c r="BU75" i="1"/>
  <c r="BT75" i="1"/>
  <c r="BR75" i="1"/>
  <c r="BQ75" i="1"/>
  <c r="BP75" i="1"/>
  <c r="BN75" i="1"/>
  <c r="BM75" i="1"/>
  <c r="BL75" i="1"/>
  <c r="BJ75" i="1"/>
  <c r="BI75" i="1"/>
  <c r="BH75" i="1"/>
  <c r="BF75" i="1"/>
  <c r="BE75" i="1"/>
  <c r="BD75" i="1"/>
  <c r="BB75" i="1"/>
  <c r="BA75" i="1"/>
  <c r="AZ75" i="1"/>
  <c r="AX75" i="1"/>
  <c r="AW75" i="1"/>
  <c r="AV75" i="1"/>
  <c r="AT75" i="1"/>
  <c r="AS75" i="1"/>
  <c r="AR75" i="1"/>
  <c r="AP75" i="1"/>
  <c r="AO75" i="1"/>
  <c r="AN75" i="1"/>
  <c r="AL75" i="1"/>
  <c r="AK75" i="1"/>
  <c r="AJ75" i="1"/>
  <c r="AH75" i="1"/>
  <c r="AG75" i="1"/>
  <c r="AF75" i="1"/>
  <c r="AD75" i="1"/>
  <c r="AC75" i="1"/>
  <c r="AB75" i="1"/>
  <c r="V75" i="1"/>
  <c r="Q75" i="1"/>
  <c r="W75" i="1"/>
  <c r="X75" i="1"/>
  <c r="R75" i="1"/>
  <c r="S75" i="1"/>
  <c r="T75" i="1"/>
  <c r="BV74" i="1"/>
  <c r="BU74" i="1"/>
  <c r="BT74" i="1"/>
  <c r="BR74" i="1"/>
  <c r="BQ74" i="1"/>
  <c r="BP74" i="1"/>
  <c r="BN74" i="1"/>
  <c r="BM74" i="1"/>
  <c r="BL74" i="1"/>
  <c r="BJ74" i="1"/>
  <c r="BI74" i="1"/>
  <c r="BH74" i="1"/>
  <c r="BF74" i="1"/>
  <c r="BE74" i="1"/>
  <c r="BD74" i="1"/>
  <c r="BB74" i="1"/>
  <c r="BA74" i="1"/>
  <c r="AZ74" i="1"/>
  <c r="AX74" i="1"/>
  <c r="AW74" i="1"/>
  <c r="AV74" i="1"/>
  <c r="AT74" i="1"/>
  <c r="AS74" i="1"/>
  <c r="AR74" i="1"/>
  <c r="AP74" i="1"/>
  <c r="AO74" i="1"/>
  <c r="AN74" i="1"/>
  <c r="AL74" i="1"/>
  <c r="AK74" i="1"/>
  <c r="AJ74" i="1"/>
  <c r="AH74" i="1"/>
  <c r="AG74" i="1"/>
  <c r="AF74" i="1"/>
  <c r="AD74" i="1"/>
  <c r="AC74" i="1"/>
  <c r="AB74" i="1"/>
  <c r="V74" i="1"/>
  <c r="Q74" i="1"/>
  <c r="W74" i="1"/>
  <c r="X74" i="1"/>
  <c r="R74" i="1"/>
  <c r="S74" i="1"/>
  <c r="T74" i="1"/>
  <c r="BV78" i="1"/>
  <c r="BU78" i="1"/>
  <c r="BT78" i="1"/>
  <c r="BR78" i="1"/>
  <c r="BQ78" i="1"/>
  <c r="BP78" i="1"/>
  <c r="BN78" i="1"/>
  <c r="BM78" i="1"/>
  <c r="BL78" i="1"/>
  <c r="BJ78" i="1"/>
  <c r="BI78" i="1"/>
  <c r="BH78" i="1"/>
  <c r="BF78" i="1"/>
  <c r="BE78" i="1"/>
  <c r="BD78" i="1"/>
  <c r="BB78" i="1"/>
  <c r="BA78" i="1"/>
  <c r="AZ78" i="1"/>
  <c r="AX78" i="1"/>
  <c r="AW78" i="1"/>
  <c r="AV78" i="1"/>
  <c r="AT78" i="1"/>
  <c r="AS78" i="1"/>
  <c r="AR78" i="1"/>
  <c r="AP78" i="1"/>
  <c r="AO78" i="1"/>
  <c r="AN78" i="1"/>
  <c r="AL78" i="1"/>
  <c r="AK78" i="1"/>
  <c r="AJ78" i="1"/>
  <c r="AH78" i="1"/>
  <c r="AG78" i="1"/>
  <c r="AF78" i="1"/>
  <c r="AD78" i="1"/>
  <c r="AC78" i="1"/>
  <c r="AB78" i="1"/>
  <c r="V78" i="1"/>
  <c r="Q78" i="1"/>
  <c r="W78" i="1"/>
  <c r="X78" i="1"/>
  <c r="R78" i="1"/>
  <c r="S78" i="1"/>
  <c r="T78" i="1"/>
  <c r="BV104" i="1"/>
  <c r="BU104" i="1"/>
  <c r="BT104" i="1"/>
  <c r="BR104" i="1"/>
  <c r="BQ104" i="1"/>
  <c r="BP104" i="1"/>
  <c r="BN104" i="1"/>
  <c r="BM104" i="1"/>
  <c r="BL104" i="1"/>
  <c r="BJ104" i="1"/>
  <c r="BI104" i="1"/>
  <c r="BH104" i="1"/>
  <c r="BF104" i="1"/>
  <c r="BE104" i="1"/>
  <c r="BD104" i="1"/>
  <c r="BB104" i="1"/>
  <c r="BA104" i="1"/>
  <c r="AZ104" i="1"/>
  <c r="AX104" i="1"/>
  <c r="AW104" i="1"/>
  <c r="AV104" i="1"/>
  <c r="AT104" i="1"/>
  <c r="AS104" i="1"/>
  <c r="AR104" i="1"/>
  <c r="AP104" i="1"/>
  <c r="AO104" i="1"/>
  <c r="AN104" i="1"/>
  <c r="AL104" i="1"/>
  <c r="AK104" i="1"/>
  <c r="AJ104" i="1"/>
  <c r="AH104" i="1"/>
  <c r="AG104" i="1"/>
  <c r="AF104" i="1"/>
  <c r="AD104" i="1"/>
  <c r="AC104" i="1"/>
  <c r="AB104" i="1"/>
  <c r="V104" i="1"/>
  <c r="Q104" i="1"/>
  <c r="W104" i="1"/>
  <c r="X104" i="1"/>
  <c r="R104" i="1"/>
  <c r="S104" i="1"/>
  <c r="T104" i="1"/>
  <c r="L104" i="1"/>
  <c r="BV99" i="1"/>
  <c r="BU99" i="1"/>
  <c r="BT99" i="1"/>
  <c r="BR99" i="1"/>
  <c r="BQ99" i="1"/>
  <c r="BP99" i="1"/>
  <c r="BN99" i="1"/>
  <c r="BM99" i="1"/>
  <c r="BL99" i="1"/>
  <c r="BJ99" i="1"/>
  <c r="BI99" i="1"/>
  <c r="BH99" i="1"/>
  <c r="BF99" i="1"/>
  <c r="BE99" i="1"/>
  <c r="BD99" i="1"/>
  <c r="BB99" i="1"/>
  <c r="BA99" i="1"/>
  <c r="AZ99" i="1"/>
  <c r="AX99" i="1"/>
  <c r="AW99" i="1"/>
  <c r="AV99" i="1"/>
  <c r="AT99" i="1"/>
  <c r="AS99" i="1"/>
  <c r="AR99" i="1"/>
  <c r="AP99" i="1"/>
  <c r="AO99" i="1"/>
  <c r="AN99" i="1"/>
  <c r="AL99" i="1"/>
  <c r="AK99" i="1"/>
  <c r="AJ99" i="1"/>
  <c r="AH99" i="1"/>
  <c r="AG99" i="1"/>
  <c r="AF99" i="1"/>
  <c r="AD99" i="1"/>
  <c r="AC99" i="1"/>
  <c r="AB99" i="1"/>
  <c r="V99" i="1"/>
  <c r="Q99" i="1"/>
  <c r="W99" i="1"/>
  <c r="X99" i="1"/>
  <c r="R99" i="1"/>
  <c r="S99" i="1"/>
  <c r="T99" i="1"/>
  <c r="L99" i="1"/>
  <c r="L87" i="1"/>
  <c r="L89" i="1"/>
  <c r="BV89" i="1"/>
  <c r="BU89" i="1"/>
  <c r="BT89" i="1"/>
  <c r="BR89" i="1"/>
  <c r="BQ89" i="1"/>
  <c r="BP89" i="1"/>
  <c r="BN89" i="1"/>
  <c r="BM89" i="1"/>
  <c r="BL89" i="1"/>
  <c r="BJ89" i="1"/>
  <c r="BI89" i="1"/>
  <c r="BH89" i="1"/>
  <c r="BF89" i="1"/>
  <c r="BE89" i="1"/>
  <c r="BD89" i="1"/>
  <c r="BB89" i="1"/>
  <c r="BA89" i="1"/>
  <c r="AZ89" i="1"/>
  <c r="AX89" i="1"/>
  <c r="AW89" i="1"/>
  <c r="AV89" i="1"/>
  <c r="AT89" i="1"/>
  <c r="AS89" i="1"/>
  <c r="AR89" i="1"/>
  <c r="AP89" i="1"/>
  <c r="AO89" i="1"/>
  <c r="AN89" i="1"/>
  <c r="AL89" i="1"/>
  <c r="AK89" i="1"/>
  <c r="AJ89" i="1"/>
  <c r="AH89" i="1"/>
  <c r="AG89" i="1"/>
  <c r="AF89" i="1"/>
  <c r="AD89" i="1"/>
  <c r="AC89" i="1"/>
  <c r="AB89" i="1"/>
  <c r="V89" i="1"/>
  <c r="Q89" i="1"/>
  <c r="W89" i="1"/>
  <c r="X89" i="1"/>
  <c r="R89" i="1"/>
  <c r="S89" i="1"/>
  <c r="T89" i="1"/>
  <c r="BV87" i="1"/>
  <c r="BU87" i="1"/>
  <c r="BT87" i="1"/>
  <c r="BR87" i="1"/>
  <c r="BQ87" i="1"/>
  <c r="BP87" i="1"/>
  <c r="BN87" i="1"/>
  <c r="BM87" i="1"/>
  <c r="BL87" i="1"/>
  <c r="BJ87" i="1"/>
  <c r="BI87" i="1"/>
  <c r="BH87" i="1"/>
  <c r="BF87" i="1"/>
  <c r="BE87" i="1"/>
  <c r="BD87" i="1"/>
  <c r="BB87" i="1"/>
  <c r="BA87" i="1"/>
  <c r="AZ87" i="1"/>
  <c r="AX87" i="1"/>
  <c r="AW87" i="1"/>
  <c r="AV87" i="1"/>
  <c r="AT87" i="1"/>
  <c r="AS87" i="1"/>
  <c r="AR87" i="1"/>
  <c r="AP87" i="1"/>
  <c r="AO87" i="1"/>
  <c r="AN87" i="1"/>
  <c r="AL87" i="1"/>
  <c r="AK87" i="1"/>
  <c r="AJ87" i="1"/>
  <c r="AH87" i="1"/>
  <c r="AG87" i="1"/>
  <c r="AF87" i="1"/>
  <c r="AD87" i="1"/>
  <c r="AC87" i="1"/>
  <c r="AB87" i="1"/>
  <c r="V87" i="1"/>
  <c r="Q87" i="1"/>
  <c r="W87" i="1"/>
  <c r="X87" i="1"/>
  <c r="R87" i="1"/>
  <c r="S87" i="1"/>
  <c r="T87" i="1"/>
  <c r="BV77" i="1"/>
  <c r="BU77" i="1"/>
  <c r="BT77" i="1"/>
  <c r="BR77" i="1"/>
  <c r="BQ77" i="1"/>
  <c r="BP77" i="1"/>
  <c r="BN77" i="1"/>
  <c r="BM77" i="1"/>
  <c r="BL77" i="1"/>
  <c r="BJ77" i="1"/>
  <c r="BI77" i="1"/>
  <c r="BH77" i="1"/>
  <c r="BF77" i="1"/>
  <c r="BE77" i="1"/>
  <c r="BD77" i="1"/>
  <c r="BB77" i="1"/>
  <c r="BA77" i="1"/>
  <c r="AZ77" i="1"/>
  <c r="AX77" i="1"/>
  <c r="AW77" i="1"/>
  <c r="AV77" i="1"/>
  <c r="AT77" i="1"/>
  <c r="AS77" i="1"/>
  <c r="AR77" i="1"/>
  <c r="AP77" i="1"/>
  <c r="AO77" i="1"/>
  <c r="AN77" i="1"/>
  <c r="AL77" i="1"/>
  <c r="AK77" i="1"/>
  <c r="AJ77" i="1"/>
  <c r="AH77" i="1"/>
  <c r="AG77" i="1"/>
  <c r="AF77" i="1"/>
  <c r="AD77" i="1"/>
  <c r="AC77" i="1"/>
  <c r="AB77" i="1"/>
  <c r="V77" i="1"/>
  <c r="Q77" i="1"/>
  <c r="W77" i="1"/>
  <c r="X77" i="1"/>
  <c r="R77" i="1"/>
  <c r="S77" i="1"/>
  <c r="T77" i="1"/>
  <c r="BV64" i="1"/>
  <c r="BU64" i="1"/>
  <c r="BT64" i="1"/>
  <c r="BR64" i="1"/>
  <c r="BQ64" i="1"/>
  <c r="BP64" i="1"/>
  <c r="BN64" i="1"/>
  <c r="BM64" i="1"/>
  <c r="BL64" i="1"/>
  <c r="BJ64" i="1"/>
  <c r="BI64" i="1"/>
  <c r="BH64" i="1"/>
  <c r="BF64" i="1"/>
  <c r="BE64" i="1"/>
  <c r="BD64" i="1"/>
  <c r="BB64" i="1"/>
  <c r="BA64" i="1"/>
  <c r="AZ64" i="1"/>
  <c r="AX64" i="1"/>
  <c r="AW64" i="1"/>
  <c r="AV64" i="1"/>
  <c r="AT64" i="1"/>
  <c r="AS64" i="1"/>
  <c r="AR64" i="1"/>
  <c r="AP64" i="1"/>
  <c r="AO64" i="1"/>
  <c r="AN64" i="1"/>
  <c r="AL64" i="1"/>
  <c r="AK64" i="1"/>
  <c r="AJ64" i="1"/>
  <c r="AH64" i="1"/>
  <c r="AG64" i="1"/>
  <c r="AF64" i="1"/>
  <c r="AD64" i="1"/>
  <c r="AC64" i="1"/>
  <c r="AB64" i="1"/>
  <c r="V64" i="1"/>
  <c r="Q64" i="1"/>
  <c r="W64" i="1"/>
  <c r="X64" i="1"/>
  <c r="R64" i="1"/>
  <c r="S64" i="1"/>
  <c r="T64" i="1"/>
  <c r="L64" i="1"/>
  <c r="E24" i="1"/>
  <c r="N2" i="1"/>
  <c r="D13" i="1"/>
  <c r="G11" i="1"/>
  <c r="G14" i="1"/>
  <c r="G16" i="1"/>
  <c r="Q13" i="1"/>
  <c r="C25" i="1"/>
  <c r="B22" i="1"/>
  <c r="C22" i="1"/>
  <c r="B23" i="1"/>
  <c r="C23" i="1"/>
  <c r="C24" i="1"/>
  <c r="C26" i="1"/>
  <c r="E27" i="1"/>
  <c r="C27" i="1"/>
  <c r="C250" i="1"/>
  <c r="C251" i="1"/>
  <c r="C252" i="1"/>
  <c r="C253" i="1"/>
  <c r="C254" i="1"/>
  <c r="C255" i="1"/>
  <c r="C256" i="1"/>
  <c r="C257" i="1"/>
  <c r="C259" i="1"/>
  <c r="AC36" i="1"/>
  <c r="AC124" i="1"/>
  <c r="C260" i="1"/>
  <c r="AG36" i="1"/>
  <c r="AG124" i="1"/>
  <c r="C261" i="1"/>
  <c r="AK36" i="1"/>
  <c r="AK124" i="1"/>
  <c r="C262" i="1"/>
  <c r="AO36" i="1"/>
  <c r="AO124" i="1"/>
  <c r="C263" i="1"/>
  <c r="AS36" i="1"/>
  <c r="AS124" i="1"/>
  <c r="C264" i="1"/>
  <c r="AW36" i="1"/>
  <c r="AW124" i="1"/>
  <c r="C265" i="1"/>
  <c r="BA36" i="1"/>
  <c r="BA124" i="1"/>
  <c r="C266" i="1"/>
  <c r="BE36" i="1"/>
  <c r="BE124" i="1"/>
  <c r="C267" i="1"/>
  <c r="BI36" i="1"/>
  <c r="BI124" i="1"/>
  <c r="C268" i="1"/>
  <c r="BM36" i="1"/>
  <c r="BM124" i="1"/>
  <c r="C269" i="1"/>
  <c r="BQ36" i="1"/>
  <c r="BQ124" i="1"/>
  <c r="C270" i="1"/>
  <c r="BU36" i="1"/>
  <c r="BU124" i="1"/>
  <c r="C271" i="1"/>
  <c r="C273" i="1"/>
  <c r="AC332" i="1"/>
  <c r="C274" i="1"/>
  <c r="AG332" i="1"/>
  <c r="C275" i="1"/>
  <c r="AK332" i="1"/>
  <c r="C276" i="1"/>
  <c r="AO332" i="1"/>
  <c r="C277" i="1"/>
  <c r="AS332" i="1"/>
  <c r="C278" i="1"/>
  <c r="AW332" i="1"/>
  <c r="C279" i="1"/>
  <c r="BA332" i="1"/>
  <c r="C280" i="1"/>
  <c r="BE332" i="1"/>
  <c r="C281" i="1"/>
  <c r="BI332" i="1"/>
  <c r="C282" i="1"/>
  <c r="BM332" i="1"/>
  <c r="C283" i="1"/>
  <c r="BQ332" i="1"/>
  <c r="C284" i="1"/>
  <c r="BU332" i="1"/>
  <c r="C285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30" i="1"/>
  <c r="C332" i="1"/>
  <c r="C335" i="1"/>
  <c r="AC318" i="1"/>
  <c r="C336" i="1"/>
  <c r="AG318" i="1"/>
  <c r="C337" i="1"/>
  <c r="AK318" i="1"/>
  <c r="C338" i="1"/>
  <c r="AO318" i="1"/>
  <c r="C339" i="1"/>
  <c r="AS318" i="1"/>
  <c r="C340" i="1"/>
  <c r="AW318" i="1"/>
  <c r="C341" i="1"/>
  <c r="BA318" i="1"/>
  <c r="C342" i="1"/>
  <c r="BE318" i="1"/>
  <c r="C343" i="1"/>
  <c r="BI318" i="1"/>
  <c r="C344" i="1"/>
  <c r="BM318" i="1"/>
  <c r="C345" i="1"/>
  <c r="BQ318" i="1"/>
  <c r="C346" i="1"/>
  <c r="BU318" i="1"/>
  <c r="C347" i="1"/>
  <c r="C349" i="1"/>
  <c r="AC319" i="1"/>
  <c r="C350" i="1"/>
  <c r="AG319" i="1"/>
  <c r="C351" i="1"/>
  <c r="AK319" i="1"/>
  <c r="C352" i="1"/>
  <c r="AO319" i="1"/>
  <c r="C353" i="1"/>
  <c r="AS319" i="1"/>
  <c r="C354" i="1"/>
  <c r="AW319" i="1"/>
  <c r="C355" i="1"/>
  <c r="BA319" i="1"/>
  <c r="C356" i="1"/>
  <c r="BE319" i="1"/>
  <c r="C357" i="1"/>
  <c r="BI319" i="1"/>
  <c r="C358" i="1"/>
  <c r="BM319" i="1"/>
  <c r="C359" i="1"/>
  <c r="BQ319" i="1"/>
  <c r="C360" i="1"/>
  <c r="BU319" i="1"/>
  <c r="C361" i="1"/>
  <c r="C393" i="1"/>
  <c r="C395" i="1"/>
  <c r="C398" i="1"/>
  <c r="AC381" i="1"/>
  <c r="C399" i="1"/>
  <c r="AG381" i="1"/>
  <c r="C400" i="1"/>
  <c r="AK381" i="1"/>
  <c r="C401" i="1"/>
  <c r="AO381" i="1"/>
  <c r="C402" i="1"/>
  <c r="AS381" i="1"/>
  <c r="C403" i="1"/>
  <c r="AW381" i="1"/>
  <c r="C404" i="1"/>
  <c r="BA381" i="1"/>
  <c r="C405" i="1"/>
  <c r="BE381" i="1"/>
  <c r="C406" i="1"/>
  <c r="BI381" i="1"/>
  <c r="C407" i="1"/>
  <c r="BM381" i="1"/>
  <c r="C408" i="1"/>
  <c r="BQ381" i="1"/>
  <c r="C409" i="1"/>
  <c r="BU381" i="1"/>
  <c r="C410" i="1"/>
  <c r="C412" i="1"/>
  <c r="AC382" i="1"/>
  <c r="C413" i="1"/>
  <c r="AG382" i="1"/>
  <c r="C414" i="1"/>
  <c r="AK382" i="1"/>
  <c r="C415" i="1"/>
  <c r="AO382" i="1"/>
  <c r="C416" i="1"/>
  <c r="AS382" i="1"/>
  <c r="C417" i="1"/>
  <c r="AW382" i="1"/>
  <c r="C418" i="1"/>
  <c r="BA382" i="1"/>
  <c r="C419" i="1"/>
  <c r="BE382" i="1"/>
  <c r="C420" i="1"/>
  <c r="BI382" i="1"/>
  <c r="C421" i="1"/>
  <c r="BM382" i="1"/>
  <c r="C422" i="1"/>
  <c r="BQ382" i="1"/>
  <c r="C423" i="1"/>
  <c r="BU382" i="1"/>
  <c r="C424" i="1"/>
  <c r="C456" i="1"/>
  <c r="C458" i="1"/>
  <c r="C461" i="1"/>
  <c r="AC444" i="1"/>
  <c r="C462" i="1"/>
  <c r="AG444" i="1"/>
  <c r="C463" i="1"/>
  <c r="AK444" i="1"/>
  <c r="C464" i="1"/>
  <c r="AO444" i="1"/>
  <c r="C465" i="1"/>
  <c r="AS444" i="1"/>
  <c r="C466" i="1"/>
  <c r="AW444" i="1"/>
  <c r="C467" i="1"/>
  <c r="BA444" i="1"/>
  <c r="C468" i="1"/>
  <c r="BE444" i="1"/>
  <c r="C469" i="1"/>
  <c r="BI444" i="1"/>
  <c r="C470" i="1"/>
  <c r="BM444" i="1"/>
  <c r="C471" i="1"/>
  <c r="BQ444" i="1"/>
  <c r="C472" i="1"/>
  <c r="BU444" i="1"/>
  <c r="C473" i="1"/>
  <c r="C475" i="1"/>
  <c r="AC445" i="1"/>
  <c r="C476" i="1"/>
  <c r="AG445" i="1"/>
  <c r="C477" i="1"/>
  <c r="AK445" i="1"/>
  <c r="C478" i="1"/>
  <c r="AO445" i="1"/>
  <c r="C479" i="1"/>
  <c r="AS445" i="1"/>
  <c r="C480" i="1"/>
  <c r="AW445" i="1"/>
  <c r="C481" i="1"/>
  <c r="BA445" i="1"/>
  <c r="C482" i="1"/>
  <c r="BE445" i="1"/>
  <c r="C483" i="1"/>
  <c r="BI445" i="1"/>
  <c r="C484" i="1"/>
  <c r="BM445" i="1"/>
  <c r="C485" i="1"/>
  <c r="BQ445" i="1"/>
  <c r="C486" i="1"/>
  <c r="BU445" i="1"/>
  <c r="C487" i="1"/>
  <c r="C520" i="1"/>
  <c r="C522" i="1"/>
  <c r="C525" i="1"/>
  <c r="AC507" i="1"/>
  <c r="C526" i="1"/>
  <c r="AG507" i="1"/>
  <c r="C527" i="1"/>
  <c r="AK507" i="1"/>
  <c r="C528" i="1"/>
  <c r="AO507" i="1"/>
  <c r="C529" i="1"/>
  <c r="AS507" i="1"/>
  <c r="C530" i="1"/>
  <c r="AW507" i="1"/>
  <c r="C531" i="1"/>
  <c r="BA507" i="1"/>
  <c r="C532" i="1"/>
  <c r="BE507" i="1"/>
  <c r="C533" i="1"/>
  <c r="BI507" i="1"/>
  <c r="C534" i="1"/>
  <c r="BM507" i="1"/>
  <c r="C535" i="1"/>
  <c r="BQ507" i="1"/>
  <c r="C536" i="1"/>
  <c r="BU507" i="1"/>
  <c r="C537" i="1"/>
  <c r="C539" i="1"/>
  <c r="AC508" i="1"/>
  <c r="AC509" i="1"/>
  <c r="C540" i="1"/>
  <c r="AG508" i="1"/>
  <c r="AG509" i="1"/>
  <c r="C541" i="1"/>
  <c r="AK508" i="1"/>
  <c r="AK509" i="1"/>
  <c r="C542" i="1"/>
  <c r="AO508" i="1"/>
  <c r="AO509" i="1"/>
  <c r="C543" i="1"/>
  <c r="AS508" i="1"/>
  <c r="AS509" i="1"/>
  <c r="C544" i="1"/>
  <c r="AW508" i="1"/>
  <c r="AW509" i="1"/>
  <c r="C545" i="1"/>
  <c r="BA508" i="1"/>
  <c r="BA509" i="1"/>
  <c r="C546" i="1"/>
  <c r="BE508" i="1"/>
  <c r="BE509" i="1"/>
  <c r="C547" i="1"/>
  <c r="BI508" i="1"/>
  <c r="BI509" i="1"/>
  <c r="C548" i="1"/>
  <c r="BM508" i="1"/>
  <c r="BM509" i="1"/>
  <c r="C549" i="1"/>
  <c r="BQ508" i="1"/>
  <c r="BQ509" i="1"/>
  <c r="C550" i="1"/>
  <c r="BU508" i="1"/>
  <c r="BU509" i="1"/>
  <c r="C551" i="1"/>
  <c r="C583" i="1"/>
  <c r="C585" i="1"/>
  <c r="B9" i="1"/>
  <c r="B8" i="1"/>
  <c r="B7" i="1"/>
  <c r="B6" i="1"/>
  <c r="O331" i="1"/>
  <c r="O333" i="1"/>
  <c r="O394" i="1"/>
  <c r="O396" i="1"/>
  <c r="O457" i="1"/>
  <c r="O459" i="1"/>
  <c r="O521" i="1"/>
  <c r="O523" i="1"/>
  <c r="O584" i="1"/>
  <c r="O586" i="1"/>
  <c r="A520" i="1"/>
  <c r="O520" i="1"/>
  <c r="A3" i="1"/>
  <c r="M21" i="1"/>
  <c r="M20" i="1"/>
  <c r="M12" i="1"/>
  <c r="AX45" i="7"/>
  <c r="AX42" i="7"/>
  <c r="A540" i="1"/>
  <c r="A526" i="1"/>
  <c r="A476" i="1"/>
  <c r="A462" i="1"/>
  <c r="A413" i="1"/>
  <c r="A399" i="1"/>
  <c r="A350" i="1"/>
  <c r="A336" i="1"/>
  <c r="A288" i="1"/>
  <c r="BT29" i="1"/>
  <c r="BP29" i="1"/>
  <c r="BL29" i="1"/>
  <c r="BH29" i="1"/>
  <c r="BD29" i="1"/>
  <c r="AZ29" i="1"/>
  <c r="AV29" i="1"/>
  <c r="AR29" i="1"/>
  <c r="AN29" i="1"/>
  <c r="AJ29" i="1"/>
  <c r="AF29" i="1"/>
  <c r="AB29" i="1"/>
  <c r="A260" i="1"/>
  <c r="A274" i="1"/>
  <c r="D10" i="1"/>
  <c r="BP55" i="7"/>
  <c r="BN69" i="7"/>
  <c r="BO69" i="7"/>
  <c r="BL69" i="7"/>
  <c r="BM69" i="7"/>
  <c r="BJ69" i="7"/>
  <c r="BK69" i="7"/>
  <c r="BH69" i="7"/>
  <c r="BI69" i="7"/>
  <c r="BF69" i="7"/>
  <c r="BG69" i="7"/>
  <c r="BD69" i="7"/>
  <c r="BE69" i="7"/>
  <c r="BB69" i="7"/>
  <c r="BC69" i="7"/>
  <c r="AZ69" i="7"/>
  <c r="BA69" i="7"/>
  <c r="AV55" i="7"/>
  <c r="BN68" i="7"/>
  <c r="BL68" i="7"/>
  <c r="BJ68" i="7"/>
  <c r="BH68" i="7"/>
  <c r="BF68" i="7"/>
  <c r="BD68" i="7"/>
  <c r="BB68" i="7"/>
  <c r="AZ68" i="7"/>
  <c r="AT68" i="7"/>
  <c r="AR68" i="7"/>
  <c r="AP68" i="7"/>
  <c r="AN68" i="7"/>
  <c r="AL68" i="7"/>
  <c r="AJ68" i="7"/>
  <c r="AH68" i="7"/>
  <c r="AF68" i="7"/>
  <c r="BB508" i="1"/>
  <c r="BJ508" i="1"/>
  <c r="AP508" i="1"/>
  <c r="BD507" i="1"/>
  <c r="AH507" i="1"/>
  <c r="AJ124" i="1"/>
  <c r="BP124" i="1"/>
  <c r="AX508" i="1"/>
  <c r="BF36" i="1"/>
  <c r="AN124" i="1"/>
  <c r="AH508" i="1"/>
  <c r="BP507" i="1"/>
  <c r="AD507" i="1"/>
  <c r="O125" i="1"/>
  <c r="BF124" i="1"/>
  <c r="BP36" i="1"/>
  <c r="A393" i="1"/>
  <c r="BF332" i="1"/>
  <c r="AR332" i="1"/>
  <c r="BP445" i="1"/>
  <c r="AT445" i="1"/>
  <c r="AZ444" i="1"/>
  <c r="AD444" i="1"/>
  <c r="BL124" i="1"/>
  <c r="BL332" i="1"/>
  <c r="BP318" i="1"/>
  <c r="AX445" i="1"/>
  <c r="AN444" i="1"/>
  <c r="BF382" i="1"/>
  <c r="AV382" i="1"/>
  <c r="BV381" i="1"/>
  <c r="BL381" i="1"/>
  <c r="AP381" i="1"/>
  <c r="AF381" i="1"/>
  <c r="BT319" i="1"/>
  <c r="BV36" i="1"/>
  <c r="AX507" i="1"/>
  <c r="AP36" i="1"/>
  <c r="AB124" i="1"/>
  <c r="BD318" i="1"/>
  <c r="AT332" i="1"/>
  <c r="AP318" i="1"/>
  <c r="BB445" i="1"/>
  <c r="BH444" i="1"/>
  <c r="BP382" i="1"/>
  <c r="AD381" i="1"/>
  <c r="BF319" i="1"/>
  <c r="AV319" i="1"/>
  <c r="AD383" i="1"/>
  <c r="AZ317" i="1"/>
  <c r="BU317" i="1"/>
  <c r="AX320" i="1"/>
  <c r="BT320" i="1"/>
  <c r="AW330" i="1"/>
  <c r="BR330" i="1"/>
  <c r="AV380" i="1"/>
  <c r="BQ380" i="1"/>
  <c r="AT383" i="1"/>
  <c r="BP383" i="1"/>
  <c r="AS393" i="1"/>
  <c r="BN393" i="1"/>
  <c r="AR395" i="1"/>
  <c r="BM395" i="1"/>
  <c r="AP443" i="1"/>
  <c r="BL443" i="1"/>
  <c r="AO446" i="1"/>
  <c r="BJ446" i="1"/>
  <c r="AN456" i="1"/>
  <c r="BI456" i="1"/>
  <c r="AL458" i="1"/>
  <c r="AR508" i="1"/>
  <c r="AZ508" i="1"/>
  <c r="BL508" i="1"/>
  <c r="BN507" i="1"/>
  <c r="AZ124" i="1"/>
  <c r="AT507" i="1"/>
  <c r="A522" i="1"/>
  <c r="AX124" i="1"/>
  <c r="BD36" i="1"/>
  <c r="AH124" i="1"/>
  <c r="AN36" i="1"/>
  <c r="AP332" i="1"/>
  <c r="BV332" i="1"/>
  <c r="AJ445" i="1"/>
  <c r="BJ444" i="1"/>
  <c r="AN507" i="1"/>
  <c r="AP124" i="1"/>
  <c r="BV124" i="1"/>
  <c r="A585" i="1"/>
  <c r="BJ332" i="1"/>
  <c r="AJ318" i="1"/>
  <c r="BB444" i="1"/>
  <c r="BV382" i="1"/>
  <c r="BL382" i="1"/>
  <c r="AP382" i="1"/>
  <c r="AF382" i="1"/>
  <c r="BF381" i="1"/>
  <c r="AV381" i="1"/>
  <c r="AD319" i="1"/>
  <c r="BN319" i="1"/>
  <c r="BL507" i="1"/>
  <c r="BD124" i="1"/>
  <c r="BT507" i="1"/>
  <c r="AB507" i="1"/>
  <c r="BH124" i="1"/>
  <c r="A456" i="1"/>
  <c r="AF332" i="1"/>
  <c r="AZ318" i="1"/>
  <c r="AH445" i="1"/>
  <c r="AP444" i="1"/>
  <c r="AT382" i="1"/>
  <c r="AZ381" i="1"/>
  <c r="BL319" i="1"/>
  <c r="AP319" i="1"/>
  <c r="AO317" i="1"/>
  <c r="BJ317" i="1"/>
  <c r="AN320" i="1"/>
  <c r="BI320" i="1"/>
  <c r="AL330" i="1"/>
  <c r="BH330" i="1"/>
  <c r="AK380" i="1"/>
  <c r="BF380" i="1"/>
  <c r="AJ383" i="1"/>
  <c r="BE383" i="1"/>
  <c r="AH393" i="1"/>
  <c r="BD393" i="1"/>
  <c r="AG395" i="1"/>
  <c r="BB395" i="1"/>
  <c r="AF443" i="1"/>
  <c r="BA443" i="1"/>
  <c r="BV443" i="1"/>
  <c r="AZ446" i="1"/>
  <c r="BU446" i="1"/>
  <c r="AX456" i="1"/>
  <c r="BT456" i="1"/>
  <c r="BF508" i="1"/>
  <c r="BR508" i="1"/>
  <c r="AJ508" i="1"/>
  <c r="AF508" i="1"/>
  <c r="A332" i="1"/>
  <c r="BB36" i="1"/>
  <c r="AV36" i="1"/>
  <c r="BB507" i="1"/>
  <c r="AD124" i="1"/>
  <c r="BN332" i="1"/>
  <c r="BJ445" i="1"/>
  <c r="BP444" i="1"/>
  <c r="AV507" i="1"/>
  <c r="BJ124" i="1"/>
  <c r="AL318" i="1"/>
  <c r="BT445" i="1"/>
  <c r="BN382" i="1"/>
  <c r="BT381" i="1"/>
  <c r="AX381" i="1"/>
  <c r="AR36" i="1"/>
  <c r="AB508" i="1"/>
  <c r="AL507" i="1"/>
  <c r="AR124" i="1"/>
  <c r="BJ318" i="1"/>
  <c r="BR319" i="1"/>
  <c r="AJ317" i="1"/>
  <c r="AH320" i="1"/>
  <c r="AG330" i="1"/>
  <c r="AF380" i="1"/>
  <c r="BV380" i="1"/>
  <c r="BU383" i="1"/>
  <c r="BT393" i="1"/>
  <c r="BR395" i="1"/>
  <c r="BQ443" i="1"/>
  <c r="BP446" i="1"/>
  <c r="BN456" i="1"/>
  <c r="BV318" i="1"/>
  <c r="BH445" i="1"/>
  <c r="BV444" i="1"/>
  <c r="AZ382" i="1"/>
  <c r="BB319" i="1"/>
  <c r="AR319" i="1"/>
  <c r="AF319" i="1"/>
  <c r="AG317" i="1"/>
  <c r="BB317" i="1"/>
  <c r="AF320" i="1"/>
  <c r="BA320" i="1"/>
  <c r="BV320" i="1"/>
  <c r="AZ330" i="1"/>
  <c r="BU330" i="1"/>
  <c r="AX380" i="1"/>
  <c r="BT380" i="1"/>
  <c r="AW383" i="1"/>
  <c r="BR383" i="1"/>
  <c r="AV393" i="1"/>
  <c r="BQ393" i="1"/>
  <c r="AT395" i="1"/>
  <c r="BP395" i="1"/>
  <c r="AS443" i="1"/>
  <c r="BN443" i="1"/>
  <c r="AR446" i="1"/>
  <c r="BM446" i="1"/>
  <c r="AP456" i="1"/>
  <c r="BL456" i="1"/>
  <c r="AO458" i="1"/>
  <c r="BJ458" i="1"/>
  <c r="AN506" i="1"/>
  <c r="BI506" i="1"/>
  <c r="BF507" i="1"/>
  <c r="AN318" i="1"/>
  <c r="BT444" i="1"/>
  <c r="AR382" i="1"/>
  <c r="AK317" i="1"/>
  <c r="AJ320" i="1"/>
  <c r="AH330" i="1"/>
  <c r="AG380" i="1"/>
  <c r="AF383" i="1"/>
  <c r="BV383" i="1"/>
  <c r="BU393" i="1"/>
  <c r="BT395" i="1"/>
  <c r="BR443" i="1"/>
  <c r="BQ446" i="1"/>
  <c r="BP456" i="1"/>
  <c r="BH458" i="1"/>
  <c r="AR506" i="1"/>
  <c r="BT506" i="1"/>
  <c r="AW510" i="1"/>
  <c r="BR510" i="1"/>
  <c r="AV520" i="1"/>
  <c r="BQ520" i="1"/>
  <c r="AT522" i="1"/>
  <c r="BP522" i="1"/>
  <c r="AS570" i="1"/>
  <c r="BN570" i="1"/>
  <c r="AR571" i="1"/>
  <c r="BM571" i="1"/>
  <c r="AP572" i="1"/>
  <c r="BL572" i="1"/>
  <c r="AO573" i="1"/>
  <c r="BJ573" i="1"/>
  <c r="AN583" i="1"/>
  <c r="BI583" i="1"/>
  <c r="BV508" i="1"/>
  <c r="AZ507" i="1"/>
  <c r="AL36" i="1"/>
  <c r="BR36" i="1"/>
  <c r="AV508" i="1"/>
  <c r="AV124" i="1"/>
  <c r="AH332" i="1"/>
  <c r="AB332" i="1"/>
  <c r="AT444" i="1"/>
  <c r="BD508" i="1"/>
  <c r="AJ332" i="1"/>
  <c r="BR318" i="1"/>
  <c r="AR445" i="1"/>
  <c r="BD382" i="1"/>
  <c r="AH382" i="1"/>
  <c r="AN381" i="1"/>
  <c r="AL332" i="1"/>
  <c r="AZ332" i="1"/>
  <c r="BT318" i="1"/>
  <c r="A395" i="1"/>
  <c r="AX444" i="1"/>
  <c r="BJ381" i="1"/>
  <c r="BD319" i="1"/>
  <c r="BE317" i="1"/>
  <c r="BD320" i="1"/>
  <c r="BB330" i="1"/>
  <c r="BA380" i="1"/>
  <c r="AZ383" i="1"/>
  <c r="AX393" i="1"/>
  <c r="AW395" i="1"/>
  <c r="AV443" i="1"/>
  <c r="AT446" i="1"/>
  <c r="AS456" i="1"/>
  <c r="AR458" i="1"/>
  <c r="BD332" i="1"/>
  <c r="BL318" i="1"/>
  <c r="AN445" i="1"/>
  <c r="BD444" i="1"/>
  <c r="AD382" i="1"/>
  <c r="AJ381" i="1"/>
  <c r="BH319" i="1"/>
  <c r="AL319" i="1"/>
  <c r="AD380" i="1"/>
  <c r="AR317" i="1"/>
  <c r="BM317" i="1"/>
  <c r="AP320" i="1"/>
  <c r="BL320" i="1"/>
  <c r="AO330" i="1"/>
  <c r="BJ330" i="1"/>
  <c r="AN380" i="1"/>
  <c r="BI380" i="1"/>
  <c r="AL383" i="1"/>
  <c r="BH383" i="1"/>
  <c r="AK393" i="1"/>
  <c r="BF393" i="1"/>
  <c r="AJ395" i="1"/>
  <c r="BE395" i="1"/>
  <c r="AH443" i="1"/>
  <c r="BD443" i="1"/>
  <c r="AG446" i="1"/>
  <c r="BB446" i="1"/>
  <c r="AF456" i="1"/>
  <c r="BA456" i="1"/>
  <c r="BV456" i="1"/>
  <c r="AZ458" i="1"/>
  <c r="BU458" i="1"/>
  <c r="AX506" i="1"/>
  <c r="AN508" i="1"/>
  <c r="AJ36" i="1"/>
  <c r="D22" i="1"/>
  <c r="AH444" i="1"/>
  <c r="BF317" i="1"/>
  <c r="BE320" i="1"/>
  <c r="BD330" i="1"/>
  <c r="BB380" i="1"/>
  <c r="BA383" i="1"/>
  <c r="AZ393" i="1"/>
  <c r="AX395" i="1"/>
  <c r="AW443" i="1"/>
  <c r="AV446" i="1"/>
  <c r="AT456" i="1"/>
  <c r="AS458" i="1"/>
  <c r="BV458" i="1"/>
  <c r="BF506" i="1"/>
  <c r="AL510" i="1"/>
  <c r="BH510" i="1"/>
  <c r="AK520" i="1"/>
  <c r="BF520" i="1"/>
  <c r="AJ522" i="1"/>
  <c r="BE522" i="1"/>
  <c r="AH570" i="1"/>
  <c r="BD570" i="1"/>
  <c r="AT508" i="1"/>
  <c r="AT36" i="1"/>
  <c r="AP507" i="1"/>
  <c r="A330" i="1"/>
  <c r="AJ444" i="1"/>
  <c r="AX36" i="1"/>
  <c r="AD332" i="1"/>
  <c r="AV318" i="1"/>
  <c r="BT382" i="1"/>
  <c r="AH381" i="1"/>
  <c r="BN36" i="1"/>
  <c r="BN124" i="1"/>
  <c r="AH318" i="1"/>
  <c r="AF444" i="1"/>
  <c r="AX319" i="1"/>
  <c r="BP317" i="1"/>
  <c r="BM330" i="1"/>
  <c r="BJ383" i="1"/>
  <c r="BH395" i="1"/>
  <c r="BE446" i="1"/>
  <c r="AR507" i="1"/>
  <c r="BR445" i="1"/>
  <c r="BP381" i="1"/>
  <c r="AJ319" i="1"/>
  <c r="AW317" i="1"/>
  <c r="AV320" i="1"/>
  <c r="AT330" i="1"/>
  <c r="AS380" i="1"/>
  <c r="AR383" i="1"/>
  <c r="AP393" i="1"/>
  <c r="AO395" i="1"/>
  <c r="AN443" i="1"/>
  <c r="AL446" i="1"/>
  <c r="AK456" i="1"/>
  <c r="AJ458" i="1"/>
  <c r="AH506" i="1"/>
  <c r="BQ317" i="1"/>
  <c r="BN330" i="1"/>
  <c r="BL383" i="1"/>
  <c r="BI395" i="1"/>
  <c r="BF446" i="1"/>
  <c r="BA458" i="1"/>
  <c r="BM506" i="1"/>
  <c r="BM510" i="1"/>
  <c r="BL520" i="1"/>
  <c r="BJ522" i="1"/>
  <c r="BI570" i="1"/>
  <c r="AW571" i="1"/>
  <c r="AF572" i="1"/>
  <c r="BF572" i="1"/>
  <c r="AT573" i="1"/>
  <c r="BU573" i="1"/>
  <c r="BD583" i="1"/>
  <c r="AL585" i="1"/>
  <c r="BH585" i="1"/>
  <c r="AC572" i="1"/>
  <c r="AC510" i="1"/>
  <c r="AC458" i="1"/>
  <c r="AD317" i="1"/>
  <c r="B53" i="1"/>
  <c r="BL53" i="1"/>
  <c r="AP53" i="1"/>
  <c r="BQ62" i="1"/>
  <c r="AV62" i="1"/>
  <c r="BV81" i="1"/>
  <c r="BA81" i="1"/>
  <c r="AF81" i="1"/>
  <c r="B98" i="1"/>
  <c r="BH98" i="1"/>
  <c r="AL98" i="1"/>
  <c r="BM120" i="1"/>
  <c r="AR120" i="1"/>
  <c r="BP111" i="1"/>
  <c r="AT111" i="1"/>
  <c r="BU117" i="1"/>
  <c r="AZ117" i="1"/>
  <c r="AD117" i="1"/>
  <c r="BE116" i="1"/>
  <c r="AJ116" i="1"/>
  <c r="BJ115" i="1"/>
  <c r="AO115" i="1"/>
  <c r="BP114" i="1"/>
  <c r="AT114" i="1"/>
  <c r="BU113" i="1"/>
  <c r="AZ113" i="1"/>
  <c r="AD113" i="1"/>
  <c r="BE112" i="1"/>
  <c r="AJ112" i="1"/>
  <c r="BJ109" i="1"/>
  <c r="AO109" i="1"/>
  <c r="BP100" i="1"/>
  <c r="AT100" i="1"/>
  <c r="BU103" i="1"/>
  <c r="AZ103" i="1"/>
  <c r="AD103" i="1"/>
  <c r="BE102" i="1"/>
  <c r="AJ102" i="1"/>
  <c r="BJ95" i="1"/>
  <c r="AO95" i="1"/>
  <c r="BP94" i="1"/>
  <c r="AT94" i="1"/>
  <c r="BU93" i="1"/>
  <c r="AZ93" i="1"/>
  <c r="BH508" i="1"/>
  <c r="BJ507" i="1"/>
  <c r="BJ36" i="1"/>
  <c r="BT508" i="1"/>
  <c r="A583" i="1"/>
  <c r="AZ445" i="1"/>
  <c r="BN508" i="1"/>
  <c r="AZ36" i="1"/>
  <c r="BT332" i="1"/>
  <c r="BF445" i="1"/>
  <c r="BN381" i="1"/>
  <c r="BV319" i="1"/>
  <c r="BT124" i="1"/>
  <c r="AB318" i="1"/>
  <c r="AV332" i="1"/>
  <c r="AJ382" i="1"/>
  <c r="AN319" i="1"/>
  <c r="AS320" i="1"/>
  <c r="AP380" i="1"/>
  <c r="AN393" i="1"/>
  <c r="AK443" i="1"/>
  <c r="AH456" i="1"/>
  <c r="AF124" i="1"/>
  <c r="AT318" i="1"/>
  <c r="AB444" i="1"/>
  <c r="AT381" i="1"/>
  <c r="AZ319" i="1"/>
  <c r="AB319" i="1"/>
  <c r="BH317" i="1"/>
  <c r="BF320" i="1"/>
  <c r="BE330" i="1"/>
  <c r="BD380" i="1"/>
  <c r="BB383" i="1"/>
  <c r="BA393" i="1"/>
  <c r="AZ395" i="1"/>
  <c r="AX443" i="1"/>
  <c r="AW446" i="1"/>
  <c r="AV456" i="1"/>
  <c r="AT458" i="1"/>
  <c r="AS506" i="1"/>
  <c r="AT124" i="1"/>
  <c r="BV445" i="1"/>
  <c r="BR381" i="1"/>
  <c r="AT320" i="1"/>
  <c r="AR380" i="1"/>
  <c r="AO393" i="1"/>
  <c r="AL443" i="1"/>
  <c r="AJ456" i="1"/>
  <c r="BN458" i="1"/>
  <c r="AG510" i="1"/>
  <c r="AF520" i="1"/>
  <c r="BV520" i="1"/>
  <c r="BU522" i="1"/>
  <c r="BT570" i="1"/>
  <c r="BB571" i="1"/>
  <c r="AK572" i="1"/>
  <c r="BP508" i="1"/>
  <c r="AD36" i="1"/>
  <c r="BR507" i="1"/>
  <c r="AV444" i="1"/>
  <c r="A458" i="1"/>
  <c r="BR444" i="1"/>
  <c r="AT317" i="1"/>
  <c r="AO383" i="1"/>
  <c r="AJ446" i="1"/>
  <c r="BP332" i="1"/>
  <c r="BJ319" i="1"/>
  <c r="AL317" i="1"/>
  <c r="AJ330" i="1"/>
  <c r="AG383" i="1"/>
  <c r="BV393" i="1"/>
  <c r="BT443" i="1"/>
  <c r="BQ456" i="1"/>
  <c r="BN506" i="1"/>
  <c r="AS330" i="1"/>
  <c r="AN395" i="1"/>
  <c r="AH458" i="1"/>
  <c r="BB510" i="1"/>
  <c r="AZ522" i="1"/>
  <c r="AL571" i="1"/>
  <c r="BA572" i="1"/>
  <c r="AZ573" i="1"/>
  <c r="AS583" i="1"/>
  <c r="AG585" i="1"/>
  <c r="BM585" i="1"/>
  <c r="AB585" i="1"/>
  <c r="AC446" i="1"/>
  <c r="AB317" i="1"/>
  <c r="BA53" i="1"/>
  <c r="BV62" i="1"/>
  <c r="AP62" i="1"/>
  <c r="BL81" i="1"/>
  <c r="AK81" i="1"/>
  <c r="BB98" i="1"/>
  <c r="AB98" i="1"/>
  <c r="AW120" i="1"/>
  <c r="BJ111" i="1"/>
  <c r="AJ111" i="1"/>
  <c r="BE117" i="1"/>
  <c r="BU116" i="1"/>
  <c r="AT116" i="1"/>
  <c r="BP115" i="1"/>
  <c r="AJ115" i="1"/>
  <c r="BE114" i="1"/>
  <c r="AD114" i="1"/>
  <c r="AT113" i="1"/>
  <c r="BP112" i="1"/>
  <c r="AO112" i="1"/>
  <c r="BE109" i="1"/>
  <c r="AD109" i="1"/>
  <c r="AZ100" i="1"/>
  <c r="BP103" i="1"/>
  <c r="AO103" i="1"/>
  <c r="BJ102" i="1"/>
  <c r="AD102" i="1"/>
  <c r="BU95" i="1"/>
  <c r="AT95" i="1"/>
  <c r="BJ94" i="1"/>
  <c r="AJ94" i="1"/>
  <c r="BE93" i="1"/>
  <c r="AD93" i="1"/>
  <c r="BE92" i="1"/>
  <c r="AJ92" i="1"/>
  <c r="BJ91" i="1"/>
  <c r="AO91" i="1"/>
  <c r="BR332" i="1"/>
  <c r="BB382" i="1"/>
  <c r="BP319" i="1"/>
  <c r="BA317" i="1"/>
  <c r="AZ320" i="1"/>
  <c r="AX330" i="1"/>
  <c r="AW380" i="1"/>
  <c r="AV383" i="1"/>
  <c r="AT393" i="1"/>
  <c r="AS395" i="1"/>
  <c r="AR443" i="1"/>
  <c r="AP446" i="1"/>
  <c r="AO456" i="1"/>
  <c r="AN458" i="1"/>
  <c r="BR458" i="1"/>
  <c r="BB506" i="1"/>
  <c r="AJ510" i="1"/>
  <c r="BE510" i="1"/>
  <c r="AH520" i="1"/>
  <c r="BD520" i="1"/>
  <c r="AG522" i="1"/>
  <c r="BB522" i="1"/>
  <c r="AF570" i="1"/>
  <c r="BA570" i="1"/>
  <c r="BV570" i="1"/>
  <c r="AZ571" i="1"/>
  <c r="BU571" i="1"/>
  <c r="AX572" i="1"/>
  <c r="BT572" i="1"/>
  <c r="AW573" i="1"/>
  <c r="BR573" i="1"/>
  <c r="AV583" i="1"/>
  <c r="BQ583" i="1"/>
  <c r="AT585" i="1"/>
  <c r="BP585" i="1"/>
  <c r="AC585" i="1"/>
  <c r="AB522" i="1"/>
  <c r="AC393" i="1"/>
  <c r="AB120" i="1"/>
  <c r="BD53" i="1"/>
  <c r="AH53" i="1"/>
  <c r="BI62" i="1"/>
  <c r="AN62" i="1"/>
  <c r="BN81" i="1"/>
  <c r="AS81" i="1"/>
  <c r="BU98" i="1"/>
  <c r="AZ98" i="1"/>
  <c r="AD98" i="1"/>
  <c r="BE120" i="1"/>
  <c r="AJ120" i="1"/>
  <c r="BH111" i="1"/>
  <c r="AL111" i="1"/>
  <c r="BM117" i="1"/>
  <c r="AR117" i="1"/>
  <c r="BR116" i="1"/>
  <c r="AW116" i="1"/>
  <c r="AB116" i="1"/>
  <c r="BB115" i="1"/>
  <c r="AG115" i="1"/>
  <c r="BH114" i="1"/>
  <c r="AL114" i="1"/>
  <c r="BM113" i="1"/>
  <c r="AR113" i="1"/>
  <c r="BR112" i="1"/>
  <c r="AW112" i="1"/>
  <c r="AB112" i="1"/>
  <c r="BB109" i="1"/>
  <c r="AG109" i="1"/>
  <c r="BH100" i="1"/>
  <c r="AL100" i="1"/>
  <c r="BM103" i="1"/>
  <c r="AR103" i="1"/>
  <c r="BR102" i="1"/>
  <c r="AW102" i="1"/>
  <c r="AB102" i="1"/>
  <c r="BB95" i="1"/>
  <c r="AG95" i="1"/>
  <c r="BH94" i="1"/>
  <c r="AL94" i="1"/>
  <c r="BM93" i="1"/>
  <c r="AR93" i="1"/>
  <c r="BR92" i="1"/>
  <c r="AW92" i="1"/>
  <c r="AB92" i="1"/>
  <c r="BB91" i="1"/>
  <c r="AG91" i="1"/>
  <c r="BH86" i="1"/>
  <c r="AL86" i="1"/>
  <c r="BM85" i="1"/>
  <c r="AR85" i="1"/>
  <c r="BR84" i="1"/>
  <c r="AW84" i="1"/>
  <c r="AB84" i="1"/>
  <c r="BB83" i="1"/>
  <c r="AG83" i="1"/>
  <c r="BH82" i="1"/>
  <c r="AL82" i="1"/>
  <c r="BM76" i="1"/>
  <c r="AL124" i="1"/>
  <c r="AV445" i="1"/>
  <c r="BH320" i="1"/>
  <c r="BE380" i="1"/>
  <c r="BB393" i="1"/>
  <c r="AZ443" i="1"/>
  <c r="AW456" i="1"/>
  <c r="AF506" i="1"/>
  <c r="AN510" i="1"/>
  <c r="AL520" i="1"/>
  <c r="AK522" i="1"/>
  <c r="AJ570" i="1"/>
  <c r="AH571" i="1"/>
  <c r="AG572" i="1"/>
  <c r="AF573" i="1"/>
  <c r="BV573" i="1"/>
  <c r="BU583" i="1"/>
  <c r="BT585" i="1"/>
  <c r="AB506" i="1"/>
  <c r="BU53" i="1"/>
  <c r="AD53" i="1"/>
  <c r="AJ62" i="1"/>
  <c r="AO81" i="1"/>
  <c r="AV98" i="1"/>
  <c r="BA120" i="1"/>
  <c r="BD111" i="1"/>
  <c r="BI117" i="1"/>
  <c r="BN116" i="1"/>
  <c r="BT115" i="1"/>
  <c r="AC115" i="1"/>
  <c r="AH114" i="1"/>
  <c r="AN113" i="1"/>
  <c r="AS112" i="1"/>
  <c r="AX109" i="1"/>
  <c r="BD100" i="1"/>
  <c r="BI103" i="1"/>
  <c r="BN102" i="1"/>
  <c r="AX95" i="1"/>
  <c r="BD94" i="1"/>
  <c r="BI93" i="1"/>
  <c r="BN92" i="1"/>
  <c r="BT91" i="1"/>
  <c r="AC91" i="1"/>
  <c r="AT86" i="1"/>
  <c r="BN85" i="1"/>
  <c r="AK85" i="1"/>
  <c r="BE84" i="1"/>
  <c r="AC84" i="1"/>
  <c r="AV83" i="1"/>
  <c r="BP82" i="1"/>
  <c r="AN82" i="1"/>
  <c r="BF76" i="1"/>
  <c r="AJ76" i="1"/>
  <c r="BJ73" i="1"/>
  <c r="AO73" i="1"/>
  <c r="BL36" i="1"/>
  <c r="AB36" i="1"/>
  <c r="AJ507" i="1"/>
  <c r="BH332" i="1"/>
  <c r="AF507" i="1"/>
  <c r="BB318" i="1"/>
  <c r="AN382" i="1"/>
  <c r="AH36" i="1"/>
  <c r="BR124" i="1"/>
  <c r="AR330" i="1"/>
  <c r="AL395" i="1"/>
  <c r="AG458" i="1"/>
  <c r="AR318" i="1"/>
  <c r="AK320" i="1"/>
  <c r="AH380" i="1"/>
  <c r="AF393" i="1"/>
  <c r="BU395" i="1"/>
  <c r="BR446" i="1"/>
  <c r="BP458" i="1"/>
  <c r="AV317" i="1"/>
  <c r="AP383" i="1"/>
  <c r="AK446" i="1"/>
  <c r="AZ506" i="1"/>
  <c r="BA520" i="1"/>
  <c r="AX570" i="1"/>
  <c r="BR571" i="1"/>
  <c r="BV572" i="1"/>
  <c r="BP573" i="1"/>
  <c r="BN583" i="1"/>
  <c r="AW585" i="1"/>
  <c r="AC570" i="1"/>
  <c r="AC522" i="1"/>
  <c r="AC395" i="1"/>
  <c r="BQ53" i="1"/>
  <c r="AK53" i="1"/>
  <c r="BF62" i="1"/>
  <c r="AF62" i="1"/>
  <c r="AV81" i="1"/>
  <c r="BR98" i="1"/>
  <c r="AR98" i="1"/>
  <c r="BH120" i="1"/>
  <c r="AG120" i="1"/>
  <c r="AZ111" i="1"/>
  <c r="BP117" i="1"/>
  <c r="AO117" i="1"/>
  <c r="BJ116" i="1"/>
  <c r="AD116" i="1"/>
  <c r="AZ115" i="1"/>
  <c r="BU114" i="1"/>
  <c r="AO114" i="1"/>
  <c r="BJ113" i="1"/>
  <c r="AJ113" i="1"/>
  <c r="AZ112" i="1"/>
  <c r="BU109" i="1"/>
  <c r="AT109" i="1"/>
  <c r="BJ100" i="1"/>
  <c r="AJ100" i="1"/>
  <c r="BE103" i="1"/>
  <c r="BU102" i="1"/>
  <c r="AT102" i="1"/>
  <c r="BE95" i="1"/>
  <c r="AD95" i="1"/>
  <c r="AZ94" i="1"/>
  <c r="BP93" i="1"/>
  <c r="AO93" i="1"/>
  <c r="BP92" i="1"/>
  <c r="AT92" i="1"/>
  <c r="BU91" i="1"/>
  <c r="AZ91" i="1"/>
  <c r="AD91" i="1"/>
  <c r="BL444" i="1"/>
  <c r="BH381" i="1"/>
  <c r="AF317" i="1"/>
  <c r="BV317" i="1"/>
  <c r="BU320" i="1"/>
  <c r="BT330" i="1"/>
  <c r="BR380" i="1"/>
  <c r="BQ383" i="1"/>
  <c r="BP393" i="1"/>
  <c r="BN395" i="1"/>
  <c r="BM443" i="1"/>
  <c r="BL446" i="1"/>
  <c r="BJ456" i="1"/>
  <c r="BD458" i="1"/>
  <c r="AO506" i="1"/>
  <c r="BQ506" i="1"/>
  <c r="AT510" i="1"/>
  <c r="BP510" i="1"/>
  <c r="AS520" i="1"/>
  <c r="BN520" i="1"/>
  <c r="AR522" i="1"/>
  <c r="BM522" i="1"/>
  <c r="AP570" i="1"/>
  <c r="BL570" i="1"/>
  <c r="AO571" i="1"/>
  <c r="BJ571" i="1"/>
  <c r="AN572" i="1"/>
  <c r="BI572" i="1"/>
  <c r="AL573" i="1"/>
  <c r="BH573" i="1"/>
  <c r="AK583" i="1"/>
  <c r="BF583" i="1"/>
  <c r="AJ585" i="1"/>
  <c r="BE585" i="1"/>
  <c r="AC571" i="1"/>
  <c r="AC506" i="1"/>
  <c r="AC456" i="1"/>
  <c r="AD320" i="1"/>
  <c r="BN53" i="1"/>
  <c r="AS53" i="1"/>
  <c r="BT62" i="1"/>
  <c r="AX62" i="1"/>
  <c r="AC62" i="1"/>
  <c r="BD81" i="1"/>
  <c r="AH81" i="1"/>
  <c r="BJ98" i="1"/>
  <c r="AO98" i="1"/>
  <c r="BP120" i="1"/>
  <c r="AT120" i="1"/>
  <c r="BR111" i="1"/>
  <c r="AW111" i="1"/>
  <c r="AB111" i="1"/>
  <c r="BB117" i="1"/>
  <c r="AG117" i="1"/>
  <c r="BH116" i="1"/>
  <c r="AL116" i="1"/>
  <c r="BM115" i="1"/>
  <c r="AR115" i="1"/>
  <c r="BR114" i="1"/>
  <c r="AW114" i="1"/>
  <c r="AB114" i="1"/>
  <c r="BB113" i="1"/>
  <c r="AG113" i="1"/>
  <c r="BH112" i="1"/>
  <c r="AL112" i="1"/>
  <c r="BM109" i="1"/>
  <c r="AR109" i="1"/>
  <c r="BR100" i="1"/>
  <c r="AW100" i="1"/>
  <c r="AB100" i="1"/>
  <c r="BB103" i="1"/>
  <c r="AG103" i="1"/>
  <c r="BH102" i="1"/>
  <c r="AL102" i="1"/>
  <c r="BM95" i="1"/>
  <c r="AR95" i="1"/>
  <c r="BR94" i="1"/>
  <c r="AW94" i="1"/>
  <c r="AB94" i="1"/>
  <c r="BB93" i="1"/>
  <c r="AG93" i="1"/>
  <c r="BH92" i="1"/>
  <c r="AL92" i="1"/>
  <c r="BM91" i="1"/>
  <c r="AR91" i="1"/>
  <c r="BR86" i="1"/>
  <c r="AW86" i="1"/>
  <c r="AB86" i="1"/>
  <c r="BB85" i="1"/>
  <c r="AG85" i="1"/>
  <c r="BH84" i="1"/>
  <c r="AL84" i="1"/>
  <c r="BM83" i="1"/>
  <c r="AR83" i="1"/>
  <c r="BR82" i="1"/>
  <c r="AW82" i="1"/>
  <c r="AB82" i="1"/>
  <c r="BB76" i="1"/>
  <c r="BB332" i="1"/>
  <c r="BR382" i="1"/>
  <c r="BI317" i="1"/>
  <c r="BF330" i="1"/>
  <c r="BD383" i="1"/>
  <c r="BA395" i="1"/>
  <c r="AX446" i="1"/>
  <c r="AV458" i="1"/>
  <c r="BH506" i="1"/>
  <c r="BI510" i="1"/>
  <c r="BH520" i="1"/>
  <c r="BF522" i="1"/>
  <c r="BE570" i="1"/>
  <c r="BD571" i="1"/>
  <c r="BB572" i="1"/>
  <c r="BA573" i="1"/>
  <c r="AZ583" i="1"/>
  <c r="AX585" i="1"/>
  <c r="AB583" i="1"/>
  <c r="AD395" i="1"/>
  <c r="AZ53" i="1"/>
  <c r="BE62" i="1"/>
  <c r="BJ81" i="1"/>
  <c r="BQ98" i="1"/>
  <c r="BV120" i="1"/>
  <c r="AF120" i="1"/>
  <c r="AH111" i="1"/>
  <c r="AN117" i="1"/>
  <c r="AS116" i="1"/>
  <c r="AX115" i="1"/>
  <c r="BD114" i="1"/>
  <c r="BI113" i="1"/>
  <c r="BN112" i="1"/>
  <c r="BT109" i="1"/>
  <c r="AC109" i="1"/>
  <c r="AH100" i="1"/>
  <c r="AN103" i="1"/>
  <c r="AS102" i="1"/>
  <c r="BT95" i="1"/>
  <c r="AC95" i="1"/>
  <c r="AH94" i="1"/>
  <c r="AN93" i="1"/>
  <c r="AS92" i="1"/>
  <c r="AX91" i="1"/>
  <c r="BI86" i="1"/>
  <c r="AF86" i="1"/>
  <c r="AZ85" i="1"/>
  <c r="BT84" i="1"/>
  <c r="AP84" i="1"/>
  <c r="AD508" i="1"/>
  <c r="BH36" i="1"/>
  <c r="BD381" i="1"/>
  <c r="D15" i="1"/>
  <c r="BF443" i="1"/>
  <c r="AF445" i="1"/>
  <c r="AB380" i="1"/>
  <c r="BN380" i="1"/>
  <c r="BI443" i="1"/>
  <c r="BD506" i="1"/>
  <c r="BP320" i="1"/>
  <c r="BE456" i="1"/>
  <c r="AO522" i="1"/>
  <c r="AV572" i="1"/>
  <c r="AH583" i="1"/>
  <c r="BB585" i="1"/>
  <c r="AB510" i="1"/>
  <c r="BF53" i="1"/>
  <c r="BA62" i="1"/>
  <c r="AP81" i="1"/>
  <c r="AG98" i="1"/>
  <c r="BU111" i="1"/>
  <c r="BJ117" i="1"/>
  <c r="AZ116" i="1"/>
  <c r="AT115" i="1"/>
  <c r="AJ114" i="1"/>
  <c r="BU112" i="1"/>
  <c r="BP109" i="1"/>
  <c r="BE100" i="1"/>
  <c r="AT103" i="1"/>
  <c r="AO102" i="1"/>
  <c r="AZ95" i="1"/>
  <c r="AO94" i="1"/>
  <c r="AJ93" i="1"/>
  <c r="AO92" i="1"/>
  <c r="AT91" i="1"/>
  <c r="BH318" i="1"/>
  <c r="AL381" i="1"/>
  <c r="AO320" i="1"/>
  <c r="AL380" i="1"/>
  <c r="AJ393" i="1"/>
  <c r="AG443" i="1"/>
  <c r="BV446" i="1"/>
  <c r="BL458" i="1"/>
  <c r="BV506" i="1"/>
  <c r="BU510" i="1"/>
  <c r="BT520" i="1"/>
  <c r="BR522" i="1"/>
  <c r="BQ570" i="1"/>
  <c r="BP571" i="1"/>
  <c r="BN572" i="1"/>
  <c r="BM573" i="1"/>
  <c r="BL583" i="1"/>
  <c r="BJ585" i="1"/>
  <c r="AC520" i="1"/>
  <c r="AB330" i="1"/>
  <c r="AN53" i="1"/>
  <c r="AS62" i="1"/>
  <c r="AX81" i="1"/>
  <c r="BE98" i="1"/>
  <c r="BJ120" i="1"/>
  <c r="BM111" i="1"/>
  <c r="BR117" i="1"/>
  <c r="AB117" i="1"/>
  <c r="AG116" i="1"/>
  <c r="AL115" i="1"/>
  <c r="AR114" i="1"/>
  <c r="AW113" i="1"/>
  <c r="BB112" i="1"/>
  <c r="BH109" i="1"/>
  <c r="BM100" i="1"/>
  <c r="BR103" i="1"/>
  <c r="AB103" i="1"/>
  <c r="AG102" i="1"/>
  <c r="BH95" i="1"/>
  <c r="BM94" i="1"/>
  <c r="BR93" i="1"/>
  <c r="AB93" i="1"/>
  <c r="AG92" i="1"/>
  <c r="AL91" i="1"/>
  <c r="AR86" i="1"/>
  <c r="AW85" i="1"/>
  <c r="BB84" i="1"/>
  <c r="BH83" i="1"/>
  <c r="BM82" i="1"/>
  <c r="BR76" i="1"/>
  <c r="AX318" i="1"/>
  <c r="AL320" i="1"/>
  <c r="AG393" i="1"/>
  <c r="BT446" i="1"/>
  <c r="BU506" i="1"/>
  <c r="BR520" i="1"/>
  <c r="BP570" i="1"/>
  <c r="BM572" i="1"/>
  <c r="BJ583" i="1"/>
  <c r="AD510" i="1"/>
  <c r="AO53" i="1"/>
  <c r="AZ81" i="1"/>
  <c r="BL120" i="1"/>
  <c r="BT117" i="1"/>
  <c r="AH116" i="1"/>
  <c r="AS114" i="1"/>
  <c r="BD112" i="1"/>
  <c r="BN100" i="1"/>
  <c r="AC103" i="1"/>
  <c r="BI95" i="1"/>
  <c r="BT93" i="1"/>
  <c r="AH92" i="1"/>
  <c r="BA86" i="1"/>
  <c r="AS85" i="1"/>
  <c r="AJ84" i="1"/>
  <c r="AO83" i="1"/>
  <c r="BA82" i="1"/>
  <c r="BN76" i="1"/>
  <c r="AD76" i="1"/>
  <c r="AZ73" i="1"/>
  <c r="BU70" i="1"/>
  <c r="AZ70" i="1"/>
  <c r="AD70" i="1"/>
  <c r="BE69" i="1"/>
  <c r="AJ69" i="1"/>
  <c r="BJ68" i="1"/>
  <c r="AO68" i="1"/>
  <c r="BP67" i="1"/>
  <c r="AT67" i="1"/>
  <c r="BU66" i="1"/>
  <c r="AZ66" i="1"/>
  <c r="AD66" i="1"/>
  <c r="BE71" i="1"/>
  <c r="AJ71" i="1"/>
  <c r="BJ72" i="1"/>
  <c r="AO72" i="1"/>
  <c r="BP65" i="1"/>
  <c r="AT65" i="1"/>
  <c r="BU63" i="1"/>
  <c r="AZ63" i="1"/>
  <c r="AD63" i="1"/>
  <c r="BE58" i="1"/>
  <c r="AJ58" i="1"/>
  <c r="BJ57" i="1"/>
  <c r="AO57" i="1"/>
  <c r="BP59" i="1"/>
  <c r="AT59" i="1"/>
  <c r="BU56" i="1"/>
  <c r="AZ56" i="1"/>
  <c r="AD56" i="1"/>
  <c r="BE55" i="1"/>
  <c r="AJ55" i="1"/>
  <c r="BJ54" i="1"/>
  <c r="AO54" i="1"/>
  <c r="BP50" i="1"/>
  <c r="AT50" i="1"/>
  <c r="BU49" i="1"/>
  <c r="AZ49" i="1"/>
  <c r="AD49" i="1"/>
  <c r="BE48" i="1"/>
  <c r="AJ48" i="1"/>
  <c r="BJ47" i="1"/>
  <c r="AO47" i="1"/>
  <c r="BP42" i="1"/>
  <c r="AT42" i="1"/>
  <c r="BU41" i="1"/>
  <c r="AZ41" i="1"/>
  <c r="AD41" i="1"/>
  <c r="BE40" i="1"/>
  <c r="AJ40" i="1"/>
  <c r="BJ38" i="1"/>
  <c r="AO38" i="1"/>
  <c r="BU37" i="1"/>
  <c r="AZ37" i="1"/>
  <c r="AD37" i="1"/>
  <c r="BN445" i="1"/>
  <c r="BB381" i="1"/>
  <c r="AW320" i="1"/>
  <c r="AT380" i="1"/>
  <c r="AR393" i="1"/>
  <c r="AO443" i="1"/>
  <c r="AL456" i="1"/>
  <c r="BQ458" i="1"/>
  <c r="AH510" i="1"/>
  <c r="AG520" i="1"/>
  <c r="AF522" i="1"/>
  <c r="BV522" i="1"/>
  <c r="BU570" i="1"/>
  <c r="BT571" i="1"/>
  <c r="BR572" i="1"/>
  <c r="BQ573" i="1"/>
  <c r="BP583" i="1"/>
  <c r="BN585" i="1"/>
  <c r="AD522" i="1"/>
  <c r="AC120" i="1"/>
  <c r="AJ53" i="1"/>
  <c r="AO62" i="1"/>
  <c r="AT81" i="1"/>
  <c r="BA98" i="1"/>
  <c r="BF120" i="1"/>
  <c r="BI111" i="1"/>
  <c r="BN117" i="1"/>
  <c r="BT116" i="1"/>
  <c r="AC116" i="1"/>
  <c r="AH115" i="1"/>
  <c r="AN114" i="1"/>
  <c r="AS113" i="1"/>
  <c r="AX112" i="1"/>
  <c r="BD109" i="1"/>
  <c r="BI100" i="1"/>
  <c r="BN103" i="1"/>
  <c r="BT102" i="1"/>
  <c r="AC102" i="1"/>
  <c r="BD95" i="1"/>
  <c r="BI94" i="1"/>
  <c r="BN93" i="1"/>
  <c r="BT92" i="1"/>
  <c r="AC92" i="1"/>
  <c r="AH91" i="1"/>
  <c r="AX86" i="1"/>
  <c r="BQ85" i="1"/>
  <c r="AO85" i="1"/>
  <c r="BI84" i="1"/>
  <c r="AF84" i="1"/>
  <c r="AZ83" i="1"/>
  <c r="BT82" i="1"/>
  <c r="AP82" i="1"/>
  <c r="BJ76" i="1"/>
  <c r="AL76" i="1"/>
  <c r="BM73" i="1"/>
  <c r="AR73" i="1"/>
  <c r="BR70" i="1"/>
  <c r="AW70" i="1"/>
  <c r="AB70" i="1"/>
  <c r="BB69" i="1"/>
  <c r="AG69" i="1"/>
  <c r="BH68" i="1"/>
  <c r="AL68" i="1"/>
  <c r="BM67" i="1"/>
  <c r="AR67" i="1"/>
  <c r="BR66" i="1"/>
  <c r="AW66" i="1"/>
  <c r="AB66" i="1"/>
  <c r="BB71" i="1"/>
  <c r="AG71" i="1"/>
  <c r="BH72" i="1"/>
  <c r="AL72" i="1"/>
  <c r="BM65" i="1"/>
  <c r="AR65" i="1"/>
  <c r="BR63" i="1"/>
  <c r="AW63" i="1"/>
  <c r="AB63" i="1"/>
  <c r="BB58" i="1"/>
  <c r="AD445" i="1"/>
  <c r="BL445" i="1"/>
  <c r="BL380" i="1"/>
  <c r="AH319" i="1"/>
  <c r="BQ320" i="1"/>
  <c r="BL393" i="1"/>
  <c r="BF456" i="1"/>
  <c r="BJ393" i="1"/>
  <c r="AR510" i="1"/>
  <c r="AG571" i="1"/>
  <c r="AJ573" i="1"/>
  <c r="BT583" i="1"/>
  <c r="AC583" i="1"/>
  <c r="AD330" i="1"/>
  <c r="AF53" i="1"/>
  <c r="BQ81" i="1"/>
  <c r="BM98" i="1"/>
  <c r="BB120" i="1"/>
  <c r="AO111" i="1"/>
  <c r="AJ117" i="1"/>
  <c r="BU115" i="1"/>
  <c r="BJ114" i="1"/>
  <c r="BE113" i="1"/>
  <c r="AT112" i="1"/>
  <c r="AJ109" i="1"/>
  <c r="AD100" i="1"/>
  <c r="BP102" i="1"/>
  <c r="BU94" i="1"/>
  <c r="BJ93" i="1"/>
  <c r="BJ92" i="1"/>
  <c r="BP91" i="1"/>
  <c r="BU86" i="1"/>
  <c r="AR444" i="1"/>
  <c r="AP317" i="1"/>
  <c r="AN330" i="1"/>
  <c r="AK383" i="1"/>
  <c r="AH395" i="1"/>
  <c r="AF446" i="1"/>
  <c r="BU456" i="1"/>
  <c r="AV506" i="1"/>
  <c r="AZ510" i="1"/>
  <c r="AX520" i="1"/>
  <c r="AW522" i="1"/>
  <c r="AV570" i="1"/>
  <c r="AT571" i="1"/>
  <c r="AS572" i="1"/>
  <c r="AR573" i="1"/>
  <c r="AP583" i="1"/>
  <c r="AO585" i="1"/>
  <c r="AC573" i="1"/>
  <c r="AB458" i="1"/>
  <c r="BI53" i="1"/>
  <c r="BN62" i="1"/>
  <c r="BT81" i="1"/>
  <c r="AC81" i="1"/>
  <c r="AJ98" i="1"/>
  <c r="AO120" i="1"/>
  <c r="AR111" i="1"/>
  <c r="AW117" i="1"/>
  <c r="BB116" i="1"/>
  <c r="BH115" i="1"/>
  <c r="BM114" i="1"/>
  <c r="BR113" i="1"/>
  <c r="AB113" i="1"/>
  <c r="AG112" i="1"/>
  <c r="AL109" i="1"/>
  <c r="AR100" i="1"/>
  <c r="AW103" i="1"/>
  <c r="BB102" i="1"/>
  <c r="AL95" i="1"/>
  <c r="AR94" i="1"/>
  <c r="AW93" i="1"/>
  <c r="BB92" i="1"/>
  <c r="BH91" i="1"/>
  <c r="BM86" i="1"/>
  <c r="BR85" i="1"/>
  <c r="AB85" i="1"/>
  <c r="AG84" i="1"/>
  <c r="AL83" i="1"/>
  <c r="AR82" i="1"/>
  <c r="AB382" i="1"/>
  <c r="AJ380" i="1"/>
  <c r="BV395" i="1"/>
  <c r="BI458" i="1"/>
  <c r="BT510" i="1"/>
  <c r="BQ522" i="1"/>
  <c r="BN571" i="1"/>
  <c r="BL573" i="1"/>
  <c r="BI585" i="1"/>
  <c r="AC317" i="1"/>
  <c r="AT62" i="1"/>
  <c r="BF98" i="1"/>
  <c r="BN111" i="1"/>
  <c r="AC117" i="1"/>
  <c r="AN115" i="1"/>
  <c r="AX113" i="1"/>
  <c r="BI109" i="1"/>
  <c r="BT103" i="1"/>
  <c r="AH102" i="1"/>
  <c r="BN94" i="1"/>
  <c r="AC93" i="1"/>
  <c r="AN91" i="1"/>
  <c r="BU85" i="1"/>
  <c r="BL84" i="1"/>
  <c r="BJ83" i="1"/>
  <c r="BV82" i="1"/>
  <c r="AF82" i="1"/>
  <c r="AT76" i="1"/>
  <c r="BP73" i="1"/>
  <c r="AJ73" i="1"/>
  <c r="BJ70" i="1"/>
  <c r="AO70" i="1"/>
  <c r="BP69" i="1"/>
  <c r="AT69" i="1"/>
  <c r="BU68" i="1"/>
  <c r="AZ68" i="1"/>
  <c r="AD68" i="1"/>
  <c r="BE67" i="1"/>
  <c r="AJ67" i="1"/>
  <c r="BJ66" i="1"/>
  <c r="AO66" i="1"/>
  <c r="BP71" i="1"/>
  <c r="AT71" i="1"/>
  <c r="BU72" i="1"/>
  <c r="AZ72" i="1"/>
  <c r="AD72" i="1"/>
  <c r="BE65" i="1"/>
  <c r="AJ65" i="1"/>
  <c r="BJ63" i="1"/>
  <c r="AO63" i="1"/>
  <c r="BP58" i="1"/>
  <c r="AT58" i="1"/>
  <c r="BU57" i="1"/>
  <c r="AZ57" i="1"/>
  <c r="AD57" i="1"/>
  <c r="BE59" i="1"/>
  <c r="AJ59" i="1"/>
  <c r="BJ56" i="1"/>
  <c r="AO56" i="1"/>
  <c r="BP55" i="1"/>
  <c r="AT55" i="1"/>
  <c r="BU54" i="1"/>
  <c r="AZ54" i="1"/>
  <c r="AD54" i="1"/>
  <c r="BE50" i="1"/>
  <c r="AJ50" i="1"/>
  <c r="BJ49" i="1"/>
  <c r="AO49" i="1"/>
  <c r="BP48" i="1"/>
  <c r="AT48" i="1"/>
  <c r="BU47" i="1"/>
  <c r="AZ47" i="1"/>
  <c r="AD47" i="1"/>
  <c r="BE42" i="1"/>
  <c r="AJ42" i="1"/>
  <c r="BJ41" i="1"/>
  <c r="AO41" i="1"/>
  <c r="BP40" i="1"/>
  <c r="AT40" i="1"/>
  <c r="BU38" i="1"/>
  <c r="AZ38" i="1"/>
  <c r="AD38" i="1"/>
  <c r="BJ37" i="1"/>
  <c r="AO37" i="1"/>
  <c r="AN332" i="1"/>
  <c r="BF444" i="1"/>
  <c r="AX317" i="1"/>
  <c r="AV330" i="1"/>
  <c r="AS383" i="1"/>
  <c r="AP395" i="1"/>
  <c r="AN446" i="1"/>
  <c r="AK458" i="1"/>
  <c r="BA506" i="1"/>
  <c r="BD510" i="1"/>
  <c r="BB520" i="1"/>
  <c r="BA522" i="1"/>
  <c r="AZ570" i="1"/>
  <c r="AX571" i="1"/>
  <c r="AW572" i="1"/>
  <c r="AV573" i="1"/>
  <c r="AT583" i="1"/>
  <c r="AS585" i="1"/>
  <c r="AD583" i="1"/>
  <c r="AB443" i="1"/>
  <c r="BE53" i="1"/>
  <c r="BJ62" i="1"/>
  <c r="BP81" i="1"/>
  <c r="BV98" i="1"/>
  <c r="AF98" i="1"/>
  <c r="AK120" i="1"/>
  <c r="AN111" i="1"/>
  <c r="AS117" i="1"/>
  <c r="AX116" i="1"/>
  <c r="BD115" i="1"/>
  <c r="BI114" i="1"/>
  <c r="BN113" i="1"/>
  <c r="BT112" i="1"/>
  <c r="AC112" i="1"/>
  <c r="AH109" i="1"/>
  <c r="AN100" i="1"/>
  <c r="AS103" i="1"/>
  <c r="AX102" i="1"/>
  <c r="AH95" i="1"/>
  <c r="AN94" i="1"/>
  <c r="AS93" i="1"/>
  <c r="AX92" i="1"/>
  <c r="BD91" i="1"/>
  <c r="BL86" i="1"/>
  <c r="AJ86" i="1"/>
  <c r="BD85" i="1"/>
  <c r="BV84" i="1"/>
  <c r="AT84" i="1"/>
  <c r="BN83" i="1"/>
  <c r="AK83" i="1"/>
  <c r="BE82" i="1"/>
  <c r="AC82" i="1"/>
  <c r="AW76" i="1"/>
  <c r="AB76" i="1"/>
  <c r="BB73" i="1"/>
  <c r="AG73" i="1"/>
  <c r="BH70" i="1"/>
  <c r="AL70" i="1"/>
  <c r="BM69" i="1"/>
  <c r="AR69" i="1"/>
  <c r="BR68" i="1"/>
  <c r="AW68" i="1"/>
  <c r="AB68" i="1"/>
  <c r="BB67" i="1"/>
  <c r="AG67" i="1"/>
  <c r="AF36" i="1"/>
  <c r="BH507" i="1"/>
  <c r="BI393" i="1"/>
  <c r="AT319" i="1"/>
  <c r="BJ395" i="1"/>
  <c r="AB381" i="1"/>
  <c r="AP520" i="1"/>
  <c r="BE573" i="1"/>
  <c r="AB571" i="1"/>
  <c r="BL62" i="1"/>
  <c r="AW98" i="1"/>
  <c r="AD111" i="1"/>
  <c r="BE115" i="1"/>
  <c r="AO113" i="1"/>
  <c r="BU100" i="1"/>
  <c r="AZ102" i="1"/>
  <c r="BP95" i="1"/>
  <c r="AT93" i="1"/>
  <c r="BE91" i="1"/>
  <c r="BL317" i="1"/>
  <c r="BF383" i="1"/>
  <c r="BA446" i="1"/>
  <c r="BJ506" i="1"/>
  <c r="BI520" i="1"/>
  <c r="BF570" i="1"/>
  <c r="BD572" i="1"/>
  <c r="BA583" i="1"/>
  <c r="AB573" i="1"/>
  <c r="AX53" i="1"/>
  <c r="BI81" i="1"/>
  <c r="BU120" i="1"/>
  <c r="AG111" i="1"/>
  <c r="AR116" i="1"/>
  <c r="BB114" i="1"/>
  <c r="BM112" i="1"/>
  <c r="AB109" i="1"/>
  <c r="AL103" i="1"/>
  <c r="BR95" i="1"/>
  <c r="AG94" i="1"/>
  <c r="AR92" i="1"/>
  <c r="BB86" i="1"/>
  <c r="BM84" i="1"/>
  <c r="AB83" i="1"/>
  <c r="AH383" i="1"/>
  <c r="AT506" i="1"/>
  <c r="AT570" i="1"/>
  <c r="AO583" i="1"/>
  <c r="BJ53" i="1"/>
  <c r="AK98" i="1"/>
  <c r="BD116" i="1"/>
  <c r="AC113" i="1"/>
  <c r="AX103" i="1"/>
  <c r="AS94" i="1"/>
  <c r="BP86" i="1"/>
  <c r="AX84" i="1"/>
  <c r="BI82" i="1"/>
  <c r="AO76" i="1"/>
  <c r="AD73" i="1"/>
  <c r="AJ70" i="1"/>
  <c r="AO69" i="1"/>
  <c r="AT68" i="1"/>
  <c r="AZ67" i="1"/>
  <c r="BE66" i="1"/>
  <c r="BJ71" i="1"/>
  <c r="BP72" i="1"/>
  <c r="BU65" i="1"/>
  <c r="AD65" i="1"/>
  <c r="AJ63" i="1"/>
  <c r="AO58" i="1"/>
  <c r="AT57" i="1"/>
  <c r="AZ59" i="1"/>
  <c r="BE56" i="1"/>
  <c r="BJ55" i="1"/>
  <c r="BP54" i="1"/>
  <c r="BU50" i="1"/>
  <c r="AD50" i="1"/>
  <c r="AJ49" i="1"/>
  <c r="AO48" i="1"/>
  <c r="AT47" i="1"/>
  <c r="AZ42" i="1"/>
  <c r="BE41" i="1"/>
  <c r="BJ40" i="1"/>
  <c r="BP38" i="1"/>
  <c r="AJ37" i="1"/>
  <c r="BQ330" i="1"/>
  <c r="BL395" i="1"/>
  <c r="BB458" i="1"/>
  <c r="BN510" i="1"/>
  <c r="BL522" i="1"/>
  <c r="BI571" i="1"/>
  <c r="BF573" i="1"/>
  <c r="BD585" i="1"/>
  <c r="AC330" i="1"/>
  <c r="AZ62" i="1"/>
  <c r="BL98" i="1"/>
  <c r="BT111" i="1"/>
  <c r="AH117" i="1"/>
  <c r="AS115" i="1"/>
  <c r="BD113" i="1"/>
  <c r="BN109" i="1"/>
  <c r="AC100" i="1"/>
  <c r="AN102" i="1"/>
  <c r="BT94" i="1"/>
  <c r="AH93" i="1"/>
  <c r="AS91" i="1"/>
  <c r="AC86" i="1"/>
  <c r="BP84" i="1"/>
  <c r="BF83" i="1"/>
  <c r="AX82" i="1"/>
  <c r="AR76" i="1"/>
  <c r="AW73" i="1"/>
  <c r="BB70" i="1"/>
  <c r="BH69" i="1"/>
  <c r="BM68" i="1"/>
  <c r="BR67" i="1"/>
  <c r="AB67" i="1"/>
  <c r="AR66" i="1"/>
  <c r="BM71" i="1"/>
  <c r="AL71" i="1"/>
  <c r="BB72" i="1"/>
  <c r="AB72" i="1"/>
  <c r="AW65" i="1"/>
  <c r="BM63" i="1"/>
  <c r="AL63" i="1"/>
  <c r="BH58" i="1"/>
  <c r="AG58" i="1"/>
  <c r="BH57" i="1"/>
  <c r="AL57" i="1"/>
  <c r="BM59" i="1"/>
  <c r="AR59" i="1"/>
  <c r="BR56" i="1"/>
  <c r="AW56" i="1"/>
  <c r="AB56" i="1"/>
  <c r="BB55" i="1"/>
  <c r="AG55" i="1"/>
  <c r="BH54" i="1"/>
  <c r="AL54" i="1"/>
  <c r="BM50" i="1"/>
  <c r="AR50" i="1"/>
  <c r="BR49" i="1"/>
  <c r="AW49" i="1"/>
  <c r="AB49" i="1"/>
  <c r="BB48" i="1"/>
  <c r="AG48" i="1"/>
  <c r="BH47" i="1"/>
  <c r="AL47" i="1"/>
  <c r="BM42" i="1"/>
  <c r="AR42" i="1"/>
  <c r="BR41" i="1"/>
  <c r="AW41" i="1"/>
  <c r="AB41" i="1"/>
  <c r="BB40" i="1"/>
  <c r="AG40" i="1"/>
  <c r="BH38" i="1"/>
  <c r="AL38" i="1"/>
  <c r="BR37" i="1"/>
  <c r="AW37" i="1"/>
  <c r="AB37" i="1"/>
  <c r="V115" i="1"/>
  <c r="V91" i="1"/>
  <c r="V63" i="1"/>
  <c r="V37" i="1"/>
  <c r="Q120" i="1"/>
  <c r="AH317" i="1"/>
  <c r="BU380" i="1"/>
  <c r="BP443" i="1"/>
  <c r="AP506" i="1"/>
  <c r="AT520" i="1"/>
  <c r="AR570" i="1"/>
  <c r="AO572" i="1"/>
  <c r="AL583" i="1"/>
  <c r="AD571" i="1"/>
  <c r="AL62" i="1"/>
  <c r="AX98" i="1"/>
  <c r="BF111" i="1"/>
  <c r="BQ116" i="1"/>
  <c r="AF115" i="1"/>
  <c r="AP113" i="1"/>
  <c r="BA109" i="1"/>
  <c r="BL103" i="1"/>
  <c r="BF94" i="1"/>
  <c r="BQ92" i="1"/>
  <c r="AF91" i="1"/>
  <c r="BP85" i="1"/>
  <c r="BF84" i="1"/>
  <c r="AX83" i="1"/>
  <c r="AO82" i="1"/>
  <c r="AK76" i="1"/>
  <c r="AP73" i="1"/>
  <c r="AV70" i="1"/>
  <c r="BA69" i="1"/>
  <c r="BF68" i="1"/>
  <c r="BL67" i="1"/>
  <c r="BQ66" i="1"/>
  <c r="BV71" i="1"/>
  <c r="AF71" i="1"/>
  <c r="AK72" i="1"/>
  <c r="AP65" i="1"/>
  <c r="AV63" i="1"/>
  <c r="BA58" i="1"/>
  <c r="BF57" i="1"/>
  <c r="BL59" i="1"/>
  <c r="BQ56" i="1"/>
  <c r="BV55" i="1"/>
  <c r="AF55" i="1"/>
  <c r="AK54" i="1"/>
  <c r="AP50" i="1"/>
  <c r="AV49" i="1"/>
  <c r="BA48" i="1"/>
  <c r="BF47" i="1"/>
  <c r="BL42" i="1"/>
  <c r="BQ41" i="1"/>
  <c r="BV40" i="1"/>
  <c r="AF40" i="1"/>
  <c r="AK38" i="1"/>
  <c r="AV37" i="1"/>
  <c r="K81" i="1"/>
  <c r="V100" i="1"/>
  <c r="V68" i="1"/>
  <c r="Q113" i="1"/>
  <c r="Q73" i="1"/>
  <c r="Q67" i="1"/>
  <c r="Q65" i="1"/>
  <c r="Q59" i="1"/>
  <c r="R50" i="1"/>
  <c r="R42" i="1"/>
  <c r="L100" i="1"/>
  <c r="L57" i="1"/>
  <c r="Q29" i="1"/>
  <c r="M391" i="1"/>
  <c r="L94" i="1"/>
  <c r="M388" i="1"/>
  <c r="M325" i="1"/>
  <c r="AR320" i="1"/>
  <c r="AL393" i="1"/>
  <c r="AG456" i="1"/>
  <c r="AF510" i="1"/>
  <c r="BU520" i="1"/>
  <c r="BR570" i="1"/>
  <c r="BP572" i="1"/>
  <c r="BM583" i="1"/>
  <c r="AD520" i="1"/>
  <c r="AW53" i="1"/>
  <c r="BH81" i="1"/>
  <c r="BT120" i="1"/>
  <c r="AF111" i="1"/>
  <c r="AP116" i="1"/>
  <c r="BA114" i="1"/>
  <c r="BL112" i="1"/>
  <c r="BV100" i="1"/>
  <c r="AK103" i="1"/>
  <c r="BQ95" i="1"/>
  <c r="AF94" i="1"/>
  <c r="AP92" i="1"/>
  <c r="BF86" i="1"/>
  <c r="AX85" i="1"/>
  <c r="AO84" i="1"/>
  <c r="AF83" i="1"/>
  <c r="BT76" i="1"/>
  <c r="BT73" i="1"/>
  <c r="AC73" i="1"/>
  <c r="AH70" i="1"/>
  <c r="AN69" i="1"/>
  <c r="AS68" i="1"/>
  <c r="AX67" i="1"/>
  <c r="BD66" i="1"/>
  <c r="BI71" i="1"/>
  <c r="BN72" i="1"/>
  <c r="BT65" i="1"/>
  <c r="AC65" i="1"/>
  <c r="AH63" i="1"/>
  <c r="AN58" i="1"/>
  <c r="AS57" i="1"/>
  <c r="AX59" i="1"/>
  <c r="BD56" i="1"/>
  <c r="BD445" i="1"/>
  <c r="BD317" i="1"/>
  <c r="AX383" i="1"/>
  <c r="AS446" i="1"/>
  <c r="BE506" i="1"/>
  <c r="BE520" i="1"/>
  <c r="BB570" i="1"/>
  <c r="AZ572" i="1"/>
  <c r="AW583" i="1"/>
  <c r="AD585" i="1"/>
  <c r="AR53" i="1"/>
  <c r="BB81" i="1"/>
  <c r="BN120" i="1"/>
  <c r="BV117" i="1"/>
  <c r="AK116" i="1"/>
  <c r="AV114" i="1"/>
  <c r="BF112" i="1"/>
  <c r="BQ100" i="1"/>
  <c r="AF103" i="1"/>
  <c r="BL95" i="1"/>
  <c r="BV93" i="1"/>
  <c r="AK92" i="1"/>
  <c r="BD86" i="1"/>
  <c r="AT85" i="1"/>
  <c r="AK84" i="1"/>
  <c r="AC83" i="1"/>
  <c r="BP76" i="1"/>
  <c r="BQ73" i="1"/>
  <c r="BV70" i="1"/>
  <c r="AF70" i="1"/>
  <c r="AK69" i="1"/>
  <c r="AP68" i="1"/>
  <c r="AV67" i="1"/>
  <c r="BA66" i="1"/>
  <c r="BF71" i="1"/>
  <c r="BL72" i="1"/>
  <c r="BQ65" i="1"/>
  <c r="BV63" i="1"/>
  <c r="AF63" i="1"/>
  <c r="AK58" i="1"/>
  <c r="AP57" i="1"/>
  <c r="AV59" i="1"/>
  <c r="BA56" i="1"/>
  <c r="BF55" i="1"/>
  <c r="BL54" i="1"/>
  <c r="BQ50" i="1"/>
  <c r="BV49" i="1"/>
  <c r="AF49" i="1"/>
  <c r="AK48" i="1"/>
  <c r="AP47" i="1"/>
  <c r="AV42" i="1"/>
  <c r="BA41" i="1"/>
  <c r="BF40" i="1"/>
  <c r="BL38" i="1"/>
  <c r="BV37" i="1"/>
  <c r="AF37" i="1"/>
  <c r="V120" i="1"/>
  <c r="V85" i="1"/>
  <c r="V50" i="1"/>
  <c r="R443" i="1"/>
  <c r="R112" i="1"/>
  <c r="Q91" i="1"/>
  <c r="R82" i="1"/>
  <c r="M585" i="1"/>
  <c r="L392" i="1"/>
  <c r="L329" i="1"/>
  <c r="M389" i="1"/>
  <c r="M450" i="1"/>
  <c r="L380" i="1"/>
  <c r="L443" i="1"/>
  <c r="BL330" i="1"/>
  <c r="BF395" i="1"/>
  <c r="AX458" i="1"/>
  <c r="BL510" i="1"/>
  <c r="BI522" i="1"/>
  <c r="BF571" i="1"/>
  <c r="BD573" i="1"/>
  <c r="BA585" i="1"/>
  <c r="AB393" i="1"/>
  <c r="AR62" i="1"/>
  <c r="BD98" i="1"/>
  <c r="BL111" i="1"/>
  <c r="BV116" i="1"/>
  <c r="AK115" i="1"/>
  <c r="AV113" i="1"/>
  <c r="BF109" i="1"/>
  <c r="BQ103" i="1"/>
  <c r="AF102" i="1"/>
  <c r="BL94" i="1"/>
  <c r="BV92" i="1"/>
  <c r="AK91" i="1"/>
  <c r="BT85" i="1"/>
  <c r="BJ84" i="1"/>
  <c r="BA83" i="1"/>
  <c r="AS82" i="1"/>
  <c r="AN76" i="1"/>
  <c r="AS73" i="1"/>
  <c r="AX70" i="1"/>
  <c r="BD69" i="1"/>
  <c r="BI68" i="1"/>
  <c r="BN67" i="1"/>
  <c r="BT66" i="1"/>
  <c r="AC66" i="1"/>
  <c r="AH71" i="1"/>
  <c r="AN72" i="1"/>
  <c r="AS65" i="1"/>
  <c r="AX63" i="1"/>
  <c r="BD58" i="1"/>
  <c r="BI57" i="1"/>
  <c r="BN59" i="1"/>
  <c r="BT56" i="1"/>
  <c r="AC56" i="1"/>
  <c r="AH55" i="1"/>
  <c r="AN54" i="1"/>
  <c r="AS50" i="1"/>
  <c r="AX49" i="1"/>
  <c r="BD48" i="1"/>
  <c r="BI47" i="1"/>
  <c r="BN42" i="1"/>
  <c r="BT41" i="1"/>
  <c r="AC41" i="1"/>
  <c r="AH40" i="1"/>
  <c r="AN38" i="1"/>
  <c r="AX37" i="1"/>
  <c r="V117" i="1"/>
  <c r="V84" i="1"/>
  <c r="V48" i="1"/>
  <c r="BD49" i="1"/>
  <c r="AC42" i="1"/>
  <c r="V114" i="1"/>
  <c r="R115" i="1"/>
  <c r="R92" i="1"/>
  <c r="Q42" i="1"/>
  <c r="L48" i="1"/>
  <c r="AN50" i="1"/>
  <c r="BI42" i="1"/>
  <c r="AH38" i="1"/>
  <c r="V103" i="1"/>
  <c r="R68" i="1"/>
  <c r="R57" i="1"/>
  <c r="L115" i="1"/>
  <c r="M326" i="1"/>
  <c r="L91" i="1"/>
  <c r="BN54" i="1"/>
  <c r="AN48" i="1"/>
  <c r="BI40" i="1"/>
  <c r="AH37" i="1"/>
  <c r="V58" i="1"/>
  <c r="R69" i="1"/>
  <c r="D17" i="1"/>
  <c r="L40" i="1"/>
  <c r="M453" i="1"/>
  <c r="AX55" i="1"/>
  <c r="R93" i="1"/>
  <c r="L455" i="1"/>
  <c r="L83" i="1"/>
  <c r="AX40" i="1"/>
  <c r="R67" i="1"/>
  <c r="L58" i="1"/>
  <c r="M579" i="1"/>
  <c r="M577" i="1"/>
  <c r="BD38" i="1"/>
  <c r="Q49" i="1"/>
  <c r="L103" i="1"/>
  <c r="L318" i="1"/>
  <c r="M515" i="1"/>
  <c r="BB124" i="1"/>
  <c r="D23" i="1"/>
  <c r="BD456" i="1"/>
  <c r="BR317" i="1"/>
  <c r="BH446" i="1"/>
  <c r="BM380" i="1"/>
  <c r="AN570" i="1"/>
  <c r="AX583" i="1"/>
  <c r="AB446" i="1"/>
  <c r="AK62" i="1"/>
  <c r="BR120" i="1"/>
  <c r="AT117" i="1"/>
  <c r="AD115" i="1"/>
  <c r="BJ112" i="1"/>
  <c r="AO100" i="1"/>
  <c r="AJ95" i="1"/>
  <c r="BU92" i="1"/>
  <c r="AL508" i="1"/>
  <c r="BV507" i="1"/>
  <c r="AX382" i="1"/>
  <c r="BN318" i="1"/>
  <c r="BP330" i="1"/>
  <c r="BE458" i="1"/>
  <c r="BH443" i="1"/>
  <c r="BH571" i="1"/>
  <c r="AR585" i="1"/>
  <c r="BV53" i="1"/>
  <c r="BF81" i="1"/>
  <c r="AL120" i="1"/>
  <c r="BP116" i="1"/>
  <c r="AZ114" i="1"/>
  <c r="AD112" i="1"/>
  <c r="BJ103" i="1"/>
  <c r="BE94" i="1"/>
  <c r="AZ92" i="1"/>
  <c r="BI330" i="1"/>
  <c r="BD395" i="1"/>
  <c r="AW458" i="1"/>
  <c r="BJ510" i="1"/>
  <c r="BH522" i="1"/>
  <c r="BE571" i="1"/>
  <c r="BB573" i="1"/>
  <c r="AZ585" i="1"/>
  <c r="AB395" i="1"/>
  <c r="BD62" i="1"/>
  <c r="BP98" i="1"/>
  <c r="AD120" i="1"/>
  <c r="AL117" i="1"/>
  <c r="AW115" i="1"/>
  <c r="BH113" i="1"/>
  <c r="BR109" i="1"/>
  <c r="AG100" i="1"/>
  <c r="AR102" i="1"/>
  <c r="AB95" i="1"/>
  <c r="AL93" i="1"/>
  <c r="AW91" i="1"/>
  <c r="BH85" i="1"/>
  <c r="BR83" i="1"/>
  <c r="AG82" i="1"/>
  <c r="AN317" i="1"/>
  <c r="BU443" i="1"/>
  <c r="AW520" i="1"/>
  <c r="AR572" i="1"/>
  <c r="AD572" i="1"/>
  <c r="BU81" i="1"/>
  <c r="AS111" i="1"/>
  <c r="BN114" i="1"/>
  <c r="AN109" i="1"/>
  <c r="BD92" i="1"/>
  <c r="BF85" i="1"/>
  <c r="BD83" i="1"/>
  <c r="BU76" i="1"/>
  <c r="BE73" i="1"/>
  <c r="BE70" i="1"/>
  <c r="BJ69" i="1"/>
  <c r="BP68" i="1"/>
  <c r="BU67" i="1"/>
  <c r="AD67" i="1"/>
  <c r="AJ66" i="1"/>
  <c r="AO71" i="1"/>
  <c r="AT72" i="1"/>
  <c r="AZ65" i="1"/>
  <c r="BE63" i="1"/>
  <c r="BJ58" i="1"/>
  <c r="BP57" i="1"/>
  <c r="BU59" i="1"/>
  <c r="AD59" i="1"/>
  <c r="AJ56" i="1"/>
  <c r="AO55" i="1"/>
  <c r="AT54" i="1"/>
  <c r="AZ50" i="1"/>
  <c r="BE49" i="1"/>
  <c r="BJ48" i="1"/>
  <c r="BP47" i="1"/>
  <c r="BU42" i="1"/>
  <c r="AD42" i="1"/>
  <c r="AJ41" i="1"/>
  <c r="AO40" i="1"/>
  <c r="AT38" i="1"/>
  <c r="BE37" i="1"/>
  <c r="AD318" i="1"/>
  <c r="BT317" i="1"/>
  <c r="BN383" i="1"/>
  <c r="BI446" i="1"/>
  <c r="BP506" i="1"/>
  <c r="BM520" i="1"/>
  <c r="BJ570" i="1"/>
  <c r="BH572" i="1"/>
  <c r="BE583" i="1"/>
  <c r="AB570" i="1"/>
  <c r="AT53" i="1"/>
  <c r="BE81" i="1"/>
  <c r="BQ120" i="1"/>
  <c r="AC111" i="1"/>
  <c r="AN116" i="1"/>
  <c r="AX114" i="1"/>
  <c r="BI112" i="1"/>
  <c r="BT100" i="1"/>
  <c r="AH103" i="1"/>
  <c r="BN95" i="1"/>
  <c r="AC94" i="1"/>
  <c r="AN92" i="1"/>
  <c r="BE86" i="1"/>
  <c r="AV85" i="1"/>
  <c r="AN84" i="1"/>
  <c r="AD83" i="1"/>
  <c r="BQ76" i="1"/>
  <c r="BR73" i="1"/>
  <c r="AB73" i="1"/>
  <c r="AG70" i="1"/>
  <c r="AL69" i="1"/>
  <c r="AR68" i="1"/>
  <c r="AW67" i="1"/>
  <c r="BH66" i="1"/>
  <c r="AG66" i="1"/>
  <c r="AW71" i="1"/>
  <c r="BR72" i="1"/>
  <c r="AR72" i="1"/>
  <c r="BH65" i="1"/>
  <c r="AG65" i="1"/>
  <c r="BB63" i="1"/>
  <c r="BR58" i="1"/>
  <c r="AR58" i="1"/>
  <c r="BR57" i="1"/>
  <c r="AW57" i="1"/>
  <c r="AB57" i="1"/>
  <c r="BB59" i="1"/>
  <c r="AG59" i="1"/>
  <c r="BH56" i="1"/>
  <c r="AL56" i="1"/>
  <c r="BM55" i="1"/>
  <c r="AR55" i="1"/>
  <c r="BR54" i="1"/>
  <c r="AW54" i="1"/>
  <c r="AB54" i="1"/>
  <c r="BB50" i="1"/>
  <c r="AG50" i="1"/>
  <c r="BH49" i="1"/>
  <c r="AL49" i="1"/>
  <c r="BM48" i="1"/>
  <c r="AR48" i="1"/>
  <c r="BR47" i="1"/>
  <c r="AW47" i="1"/>
  <c r="AB47" i="1"/>
  <c r="BB42" i="1"/>
  <c r="AG42" i="1"/>
  <c r="BH41" i="1"/>
  <c r="AL41" i="1"/>
  <c r="BM40" i="1"/>
  <c r="AR40" i="1"/>
  <c r="BR38" i="1"/>
  <c r="AW38" i="1"/>
  <c r="AB38" i="1"/>
  <c r="BH37" i="1"/>
  <c r="AL37" i="1"/>
  <c r="V570" i="1"/>
  <c r="V70" i="1"/>
  <c r="V49" i="1"/>
  <c r="BH382" i="1"/>
  <c r="AF330" i="1"/>
  <c r="BR393" i="1"/>
  <c r="BM456" i="1"/>
  <c r="AV510" i="1"/>
  <c r="AS522" i="1"/>
  <c r="AP571" i="1"/>
  <c r="AN573" i="1"/>
  <c r="AK585" i="1"/>
  <c r="AD456" i="1"/>
  <c r="AG53" i="1"/>
  <c r="AR81" i="1"/>
  <c r="BD120" i="1"/>
  <c r="BL117" i="1"/>
  <c r="BV115" i="1"/>
  <c r="AK114" i="1"/>
  <c r="AV112" i="1"/>
  <c r="BF100" i="1"/>
  <c r="BQ102" i="1"/>
  <c r="BA95" i="1"/>
  <c r="BL93" i="1"/>
  <c r="BV91" i="1"/>
  <c r="AV86" i="1"/>
  <c r="AN85" i="1"/>
  <c r="AD84" i="1"/>
  <c r="BQ82" i="1"/>
  <c r="BI76" i="1"/>
  <c r="BL73" i="1"/>
  <c r="BQ70" i="1"/>
  <c r="BV69" i="1"/>
  <c r="AF69" i="1"/>
  <c r="AK68" i="1"/>
  <c r="AP67" i="1"/>
  <c r="AV66" i="1"/>
  <c r="BA71" i="1"/>
  <c r="BF72" i="1"/>
  <c r="BL65" i="1"/>
  <c r="BQ63" i="1"/>
  <c r="BV58" i="1"/>
  <c r="AF58" i="1"/>
  <c r="AK57" i="1"/>
  <c r="AP59" i="1"/>
  <c r="AV56" i="1"/>
  <c r="BA55" i="1"/>
  <c r="BF54" i="1"/>
  <c r="BL50" i="1"/>
  <c r="BQ49" i="1"/>
  <c r="BV48" i="1"/>
  <c r="AF48" i="1"/>
  <c r="AK47" i="1"/>
  <c r="AP42" i="1"/>
  <c r="AV41" i="1"/>
  <c r="BA40" i="1"/>
  <c r="BF38" i="1"/>
  <c r="BQ37" i="1"/>
  <c r="V443" i="1"/>
  <c r="V92" i="1"/>
  <c r="V55" i="1"/>
  <c r="B16" i="2"/>
  <c r="Q102" i="1"/>
  <c r="Q69" i="1"/>
  <c r="Q71" i="1"/>
  <c r="Q58" i="1"/>
  <c r="Q55" i="1"/>
  <c r="R48" i="1"/>
  <c r="R40" i="1"/>
  <c r="D18" i="1"/>
  <c r="M522" i="1"/>
  <c r="L47" i="1"/>
  <c r="L507" i="1"/>
  <c r="L570" i="1"/>
  <c r="M327" i="1"/>
  <c r="M18" i="1"/>
  <c r="M14" i="1"/>
  <c r="AR381" i="1"/>
  <c r="AO380" i="1"/>
  <c r="AJ443" i="1"/>
  <c r="BM458" i="1"/>
  <c r="BV510" i="1"/>
  <c r="BT522" i="1"/>
  <c r="BQ571" i="1"/>
  <c r="BN573" i="1"/>
  <c r="BL585" i="1"/>
  <c r="AB320" i="1"/>
  <c r="BB62" i="1"/>
  <c r="BN98" i="1"/>
  <c r="BV111" i="1"/>
  <c r="AK117" i="1"/>
  <c r="AV115" i="1"/>
  <c r="BF113" i="1"/>
  <c r="BQ109" i="1"/>
  <c r="AF100" i="1"/>
  <c r="AP102" i="1"/>
  <c r="BV94" i="1"/>
  <c r="AK93" i="1"/>
  <c r="AV91" i="1"/>
  <c r="AD86" i="1"/>
  <c r="BQ84" i="1"/>
  <c r="BI83" i="1"/>
  <c r="AZ82" i="1"/>
  <c r="AS76" i="1"/>
  <c r="AX73" i="1"/>
  <c r="BD70" i="1"/>
  <c r="BI69" i="1"/>
  <c r="BN68" i="1"/>
  <c r="BT67" i="1"/>
  <c r="AC67" i="1"/>
  <c r="AH66" i="1"/>
  <c r="AN71" i="1"/>
  <c r="AS72" i="1"/>
  <c r="AX65" i="1"/>
  <c r="BD63" i="1"/>
  <c r="BI58" i="1"/>
  <c r="BN57" i="1"/>
  <c r="BT59" i="1"/>
  <c r="AC59" i="1"/>
  <c r="AH56" i="1"/>
  <c r="BA330" i="1"/>
  <c r="AV395" i="1"/>
  <c r="AP458" i="1"/>
  <c r="BF510" i="1"/>
  <c r="BD522" i="1"/>
  <c r="BA571" i="1"/>
  <c r="AX573" i="1"/>
  <c r="AV585" i="1"/>
  <c r="AD393" i="1"/>
  <c r="AW62" i="1"/>
  <c r="BI98" i="1"/>
  <c r="BQ111" i="1"/>
  <c r="AF117" i="1"/>
  <c r="AP115" i="1"/>
  <c r="BA113" i="1"/>
  <c r="BL109" i="1"/>
  <c r="BV103" i="1"/>
  <c r="AK102" i="1"/>
  <c r="BQ94" i="1"/>
  <c r="AF93" i="1"/>
  <c r="AP91" i="1"/>
  <c r="BV85" i="1"/>
  <c r="BN84" i="1"/>
  <c r="BE83" i="1"/>
  <c r="AV82" i="1"/>
  <c r="AP76" i="1"/>
  <c r="AV73" i="1"/>
  <c r="BA70" i="1"/>
  <c r="BF69" i="1"/>
  <c r="BL68" i="1"/>
  <c r="BQ67" i="1"/>
  <c r="BV66" i="1"/>
  <c r="AF66" i="1"/>
  <c r="AK71" i="1"/>
  <c r="AP72" i="1"/>
  <c r="AV65" i="1"/>
  <c r="BA63" i="1"/>
  <c r="BF58" i="1"/>
  <c r="BL57" i="1"/>
  <c r="BQ59" i="1"/>
  <c r="BV56" i="1"/>
  <c r="AF56" i="1"/>
  <c r="AK55" i="1"/>
  <c r="AP54" i="1"/>
  <c r="AV50" i="1"/>
  <c r="BA49" i="1"/>
  <c r="BF48" i="1"/>
  <c r="BL47" i="1"/>
  <c r="BQ42" i="1"/>
  <c r="BV41" i="1"/>
  <c r="AF41" i="1"/>
  <c r="AK40" i="1"/>
  <c r="AP38" i="1"/>
  <c r="BA37" i="1"/>
  <c r="V102" i="1"/>
  <c r="V71" i="1"/>
  <c r="M449" i="1"/>
  <c r="R116" i="1"/>
  <c r="Q100" i="1"/>
  <c r="Q93" i="1"/>
  <c r="Q85" i="1"/>
  <c r="L63" i="1"/>
  <c r="M332" i="1"/>
  <c r="L49" i="1"/>
  <c r="M518" i="1"/>
  <c r="M387" i="1"/>
  <c r="M517" i="1"/>
  <c r="BF318" i="1"/>
  <c r="BN317" i="1"/>
  <c r="BI383" i="1"/>
  <c r="BD446" i="1"/>
  <c r="BL506" i="1"/>
  <c r="BJ520" i="1"/>
  <c r="BH570" i="1"/>
  <c r="BE572" i="1"/>
  <c r="BB583" i="1"/>
  <c r="AB572" i="1"/>
  <c r="AL53" i="1"/>
  <c r="AW81" i="1"/>
  <c r="BI120" i="1"/>
  <c r="BQ117" i="1"/>
  <c r="AF116" i="1"/>
  <c r="AP114" i="1"/>
  <c r="BA112" i="1"/>
  <c r="BL100" i="1"/>
  <c r="BV102" i="1"/>
  <c r="BF95" i="1"/>
  <c r="BQ93" i="1"/>
  <c r="AF92" i="1"/>
  <c r="AZ86" i="1"/>
  <c r="AP85" i="1"/>
  <c r="AH84" i="1"/>
  <c r="BU82" i="1"/>
  <c r="BL76" i="1"/>
  <c r="BN73" i="1"/>
  <c r="BT70" i="1"/>
  <c r="AC70" i="1"/>
  <c r="AH69" i="1"/>
  <c r="AN68" i="1"/>
  <c r="AS67" i="1"/>
  <c r="AX66" i="1"/>
  <c r="BD71" i="1"/>
  <c r="BI72" i="1"/>
  <c r="BN65" i="1"/>
  <c r="BT63" i="1"/>
  <c r="AC63" i="1"/>
  <c r="AH58" i="1"/>
  <c r="AN57" i="1"/>
  <c r="AS59" i="1"/>
  <c r="AX56" i="1"/>
  <c r="BD55" i="1"/>
  <c r="BI54" i="1"/>
  <c r="BN50" i="1"/>
  <c r="BT49" i="1"/>
  <c r="AC49" i="1"/>
  <c r="AH48" i="1"/>
  <c r="AN47" i="1"/>
  <c r="AS42" i="1"/>
  <c r="AX41" i="1"/>
  <c r="BD40" i="1"/>
  <c r="BI38" i="1"/>
  <c r="BT37" i="1"/>
  <c r="AC37" i="1"/>
  <c r="K111" i="1"/>
  <c r="V72" i="1"/>
  <c r="R117" i="1"/>
  <c r="AS54" i="1"/>
  <c r="BN47" i="1"/>
  <c r="AN40" i="1"/>
  <c r="V42" i="1"/>
  <c r="Q50" i="1"/>
  <c r="M393" i="1"/>
  <c r="AC55" i="1"/>
  <c r="AX48" i="1"/>
  <c r="BT40" i="1"/>
  <c r="AS37" i="1"/>
  <c r="R76" i="1"/>
  <c r="R72" i="1"/>
  <c r="R54" i="1"/>
  <c r="M583" i="1"/>
  <c r="L571" i="1"/>
  <c r="M386" i="1"/>
  <c r="M324" i="1"/>
  <c r="AC50" i="1"/>
  <c r="AX42" i="1"/>
  <c r="Q114" i="1"/>
  <c r="AN42" i="1"/>
  <c r="R113" i="1"/>
  <c r="R58" i="1"/>
  <c r="M520" i="1"/>
  <c r="M581" i="1"/>
  <c r="M512" i="1"/>
  <c r="AS41" i="1"/>
  <c r="Q84" i="1"/>
  <c r="Q47" i="1"/>
  <c r="H5" i="7"/>
  <c r="M575" i="1"/>
  <c r="BD54" i="1"/>
  <c r="R102" i="1"/>
  <c r="R59" i="1"/>
  <c r="K36" i="1"/>
  <c r="M322" i="1"/>
  <c r="BI50" i="1"/>
  <c r="Q37" i="1"/>
  <c r="BA47" i="7"/>
  <c r="L82" i="1"/>
  <c r="M13" i="1"/>
  <c r="AX332" i="1"/>
  <c r="BM383" i="1"/>
  <c r="BR585" i="1"/>
  <c r="AO116" i="1"/>
  <c r="AJ91" i="1"/>
  <c r="BJ320" i="1"/>
  <c r="AZ456" i="1"/>
  <c r="AL522" i="1"/>
  <c r="AG573" i="1"/>
  <c r="AC443" i="1"/>
  <c r="AN81" i="1"/>
  <c r="BH117" i="1"/>
  <c r="AG114" i="1"/>
  <c r="BB100" i="1"/>
  <c r="AW95" i="1"/>
  <c r="BR91" i="1"/>
  <c r="AR84" i="1"/>
  <c r="AL444" i="1"/>
  <c r="AX510" i="1"/>
  <c r="AN585" i="1"/>
  <c r="AP120" i="1"/>
  <c r="AH112" i="1"/>
  <c r="AN86" i="1"/>
  <c r="AT82" i="1"/>
  <c r="BP70" i="1"/>
  <c r="AD69" i="1"/>
  <c r="AO67" i="1"/>
  <c r="AZ71" i="1"/>
  <c r="BJ65" i="1"/>
  <c r="BU58" i="1"/>
  <c r="AJ57" i="1"/>
  <c r="AT56" i="1"/>
  <c r="BE54" i="1"/>
  <c r="BP49" i="1"/>
  <c r="AD48" i="1"/>
  <c r="AO42" i="1"/>
  <c r="AZ40" i="1"/>
  <c r="BP380" i="1"/>
  <c r="AL506" i="1"/>
  <c r="AO570" i="1"/>
  <c r="AJ583" i="1"/>
  <c r="BP53" i="1"/>
  <c r="AP98" i="1"/>
  <c r="BI116" i="1"/>
  <c r="AH113" i="1"/>
  <c r="BD103" i="1"/>
  <c r="AX94" i="1"/>
  <c r="BT86" i="1"/>
  <c r="BA84" i="1"/>
  <c r="AJ82" i="1"/>
  <c r="AL73" i="1"/>
  <c r="AW69" i="1"/>
  <c r="BH67" i="1"/>
  <c r="AL66" i="1"/>
  <c r="AB71" i="1"/>
  <c r="BR65" i="1"/>
  <c r="BH63" i="1"/>
  <c r="AW58" i="1"/>
  <c r="BB57" i="1"/>
  <c r="BH59" i="1"/>
  <c r="BM56" i="1"/>
  <c r="BR55" i="1"/>
  <c r="AB55" i="1"/>
  <c r="AG54" i="1"/>
  <c r="AL50" i="1"/>
  <c r="AR49" i="1"/>
  <c r="AW48" i="1"/>
  <c r="BB47" i="1"/>
  <c r="BH42" i="1"/>
  <c r="BM41" i="1"/>
  <c r="BR40" i="1"/>
  <c r="AB40" i="1"/>
  <c r="AG38" i="1"/>
  <c r="AR37" i="1"/>
  <c r="V109" i="1"/>
  <c r="V56" i="1"/>
  <c r="AG320" i="1"/>
  <c r="BN446" i="1"/>
  <c r="BP520" i="1"/>
  <c r="BJ572" i="1"/>
  <c r="AD506" i="1"/>
  <c r="BM81" i="1"/>
  <c r="AK111" i="1"/>
  <c r="BF114" i="1"/>
  <c r="AF109" i="1"/>
  <c r="BV95" i="1"/>
  <c r="AV92" i="1"/>
  <c r="BA85" i="1"/>
  <c r="AJ83" i="1"/>
  <c r="BV73" i="1"/>
  <c r="AK70" i="1"/>
  <c r="AV68" i="1"/>
  <c r="BF66" i="1"/>
  <c r="BQ72" i="1"/>
  <c r="AF65" i="1"/>
  <c r="AP58" i="1"/>
  <c r="BA59" i="1"/>
  <c r="BL55" i="1"/>
  <c r="BV50" i="1"/>
  <c r="AK49" i="1"/>
  <c r="AV47" i="1"/>
  <c r="BF41" i="1"/>
  <c r="BQ38" i="1"/>
  <c r="R570" i="1"/>
  <c r="Q70" i="1"/>
  <c r="Q63" i="1"/>
  <c r="R49" i="1"/>
  <c r="R37" i="1"/>
  <c r="L54" i="1"/>
  <c r="L519" i="1"/>
  <c r="M578" i="1"/>
  <c r="B18" i="2"/>
  <c r="AP330" i="1"/>
  <c r="AF458" i="1"/>
  <c r="AX522" i="1"/>
  <c r="AS573" i="1"/>
  <c r="AB456" i="1"/>
  <c r="AL81" i="1"/>
  <c r="BF117" i="1"/>
  <c r="AF114" i="1"/>
  <c r="BA100" i="1"/>
  <c r="AV95" i="1"/>
  <c r="BQ91" i="1"/>
  <c r="AJ85" i="1"/>
  <c r="BN82" i="1"/>
  <c r="BI73" i="1"/>
  <c r="BT69" i="1"/>
  <c r="AH68" i="1"/>
  <c r="AS66" i="1"/>
  <c r="BD72" i="1"/>
  <c r="BN63" i="1"/>
  <c r="AC58" i="1"/>
  <c r="AN59" i="1"/>
  <c r="AW393" i="1"/>
  <c r="AK510" i="1"/>
  <c r="AF571" i="1"/>
  <c r="BR583" i="1"/>
  <c r="BR62" i="1"/>
  <c r="AS120" i="1"/>
  <c r="BL115" i="1"/>
  <c r="AK112" i="1"/>
  <c r="BF102" i="1"/>
  <c r="BA93" i="1"/>
  <c r="AO86" i="1"/>
  <c r="BT83" i="1"/>
  <c r="BA76" i="1"/>
  <c r="BL70" i="1"/>
  <c r="BV68" i="1"/>
  <c r="AK67" i="1"/>
  <c r="AV71" i="1"/>
  <c r="BF65" i="1"/>
  <c r="BQ58" i="1"/>
  <c r="AF57" i="1"/>
  <c r="AP56" i="1"/>
  <c r="BA54" i="1"/>
  <c r="BL49" i="1"/>
  <c r="BV47" i="1"/>
  <c r="AK42" i="1"/>
  <c r="AV40" i="1"/>
  <c r="V113" i="1"/>
  <c r="V40" i="1"/>
  <c r="R109" i="1"/>
  <c r="Q86" i="1"/>
  <c r="L114" i="1"/>
  <c r="M580" i="1"/>
  <c r="M390" i="1"/>
  <c r="AL382" i="1"/>
  <c r="BE443" i="1"/>
  <c r="AO520" i="1"/>
  <c r="AJ572" i="1"/>
  <c r="BV585" i="1"/>
  <c r="BR81" i="1"/>
  <c r="AP111" i="1"/>
  <c r="BL114" i="1"/>
  <c r="AK109" i="1"/>
  <c r="BA92" i="1"/>
  <c r="BE85" i="1"/>
  <c r="AN83" i="1"/>
  <c r="AC76" i="1"/>
  <c r="AN70" i="1"/>
  <c r="AX68" i="1"/>
  <c r="BI66" i="1"/>
  <c r="BT72" i="1"/>
  <c r="AH65" i="1"/>
  <c r="AS58" i="1"/>
  <c r="BD59" i="1"/>
  <c r="BN55" i="1"/>
  <c r="AC54" i="1"/>
  <c r="AN49" i="1"/>
  <c r="AX47" i="1"/>
  <c r="BI41" i="1"/>
  <c r="BT38" i="1"/>
  <c r="V112" i="1"/>
  <c r="V38" i="1"/>
  <c r="BI48" i="1"/>
  <c r="BD37" i="1"/>
  <c r="R100" i="1"/>
  <c r="Q40" i="1"/>
  <c r="BT55" i="1"/>
  <c r="BN41" i="1"/>
  <c r="V67" i="1"/>
  <c r="R66" i="1"/>
  <c r="M323" i="1"/>
  <c r="BT50" i="1"/>
  <c r="BN38" i="1"/>
  <c r="V380" i="1"/>
  <c r="L86" i="1"/>
  <c r="L85" i="1"/>
  <c r="V86" i="1"/>
  <c r="M458" i="1"/>
  <c r="L84" i="1"/>
  <c r="R65" i="1"/>
  <c r="M451" i="1"/>
  <c r="L59" i="1"/>
  <c r="L92" i="1"/>
  <c r="AV53" i="1"/>
  <c r="BP113" i="1"/>
  <c r="BT36" i="1"/>
  <c r="BH380" i="1"/>
  <c r="AG506" i="1"/>
  <c r="AK570" i="1"/>
  <c r="AF583" i="1"/>
  <c r="BT53" i="1"/>
  <c r="AT98" i="1"/>
  <c r="BM116" i="1"/>
  <c r="AL113" i="1"/>
  <c r="BH103" i="1"/>
  <c r="BB94" i="1"/>
  <c r="AB91" i="1"/>
  <c r="AW83" i="1"/>
  <c r="AK330" i="1"/>
  <c r="AV522" i="1"/>
  <c r="AD458" i="1"/>
  <c r="AX117" i="1"/>
  <c r="AS100" i="1"/>
  <c r="AN95" i="1"/>
  <c r="AD85" i="1"/>
  <c r="AZ76" i="1"/>
  <c r="AT70" i="1"/>
  <c r="BE68" i="1"/>
  <c r="BP66" i="1"/>
  <c r="AD71" i="1"/>
  <c r="AO65" i="1"/>
  <c r="AZ58" i="1"/>
  <c r="BJ59" i="1"/>
  <c r="BU55" i="1"/>
  <c r="AJ54" i="1"/>
  <c r="AT49" i="1"/>
  <c r="BE47" i="1"/>
  <c r="BP41" i="1"/>
  <c r="AD40" i="1"/>
  <c r="AB445" i="1"/>
  <c r="BM393" i="1"/>
  <c r="AS510" i="1"/>
  <c r="AN571" i="1"/>
  <c r="AH585" i="1"/>
  <c r="BU62" i="1"/>
  <c r="AV120" i="1"/>
  <c r="BN115" i="1"/>
  <c r="AN112" i="1"/>
  <c r="BI102" i="1"/>
  <c r="BD93" i="1"/>
  <c r="AP86" i="1"/>
  <c r="BU83" i="1"/>
  <c r="BD76" i="1"/>
  <c r="BM70" i="1"/>
  <c r="AB69" i="1"/>
  <c r="AL67" i="1"/>
  <c r="BR71" i="1"/>
  <c r="BM72" i="1"/>
  <c r="BB65" i="1"/>
  <c r="AR63" i="1"/>
  <c r="AL58" i="1"/>
  <c r="AR57" i="1"/>
  <c r="AW59" i="1"/>
  <c r="BB56" i="1"/>
  <c r="BH55" i="1"/>
  <c r="BM54" i="1"/>
  <c r="BR50" i="1"/>
  <c r="AB50" i="1"/>
  <c r="AG49" i="1"/>
  <c r="AL48" i="1"/>
  <c r="AR47" i="1"/>
  <c r="AW42" i="1"/>
  <c r="BB41" i="1"/>
  <c r="BH40" i="1"/>
  <c r="BM38" i="1"/>
  <c r="AG37" i="1"/>
  <c r="V41" i="1"/>
  <c r="BV330" i="1"/>
  <c r="BF458" i="1"/>
  <c r="BN522" i="1"/>
  <c r="BI573" i="1"/>
  <c r="AC320" i="1"/>
  <c r="BT98" i="1"/>
  <c r="AP117" i="1"/>
  <c r="BL113" i="1"/>
  <c r="AK100" i="1"/>
  <c r="AF95" i="1"/>
  <c r="BA91" i="1"/>
  <c r="BU84" i="1"/>
  <c r="BD82" i="1"/>
  <c r="BA73" i="1"/>
  <c r="BL69" i="1"/>
  <c r="BV67" i="1"/>
  <c r="AK66" i="1"/>
  <c r="AV72" i="1"/>
  <c r="BF63" i="1"/>
  <c r="BQ57" i="1"/>
  <c r="AF59" i="1"/>
  <c r="AP55" i="1"/>
  <c r="BA50" i="1"/>
  <c r="BL48" i="1"/>
  <c r="BV42" i="1"/>
  <c r="AK41" i="1"/>
  <c r="AV38" i="1"/>
  <c r="BF37" i="1"/>
  <c r="V82" i="1"/>
  <c r="R114" i="1"/>
  <c r="Q68" i="1"/>
  <c r="Q57" i="1"/>
  <c r="R47" i="1"/>
  <c r="D11" i="1"/>
  <c r="M395" i="1"/>
  <c r="K7" i="1"/>
  <c r="L93" i="1"/>
  <c r="AN383" i="1"/>
  <c r="AW506" i="1"/>
  <c r="AW570" i="1"/>
  <c r="AR583" i="1"/>
  <c r="BR53" i="1"/>
  <c r="AS98" i="1"/>
  <c r="BL116" i="1"/>
  <c r="AK113" i="1"/>
  <c r="BF103" i="1"/>
  <c r="BA94" i="1"/>
  <c r="BV86" i="1"/>
  <c r="BD84" i="1"/>
  <c r="AK82" i="1"/>
  <c r="AN73" i="1"/>
  <c r="AX69" i="1"/>
  <c r="BI67" i="1"/>
  <c r="BT71" i="1"/>
  <c r="AH72" i="1"/>
  <c r="AS63" i="1"/>
  <c r="BD57" i="1"/>
  <c r="BN56" i="1"/>
  <c r="AT443" i="1"/>
  <c r="AJ520" i="1"/>
  <c r="BV571" i="1"/>
  <c r="BQ585" i="1"/>
  <c r="AB62" i="1"/>
  <c r="AV111" i="1"/>
  <c r="BQ114" i="1"/>
  <c r="AP109" i="1"/>
  <c r="BF92" i="1"/>
  <c r="BI85" i="1"/>
  <c r="AP83" i="1"/>
  <c r="AF76" i="1"/>
  <c r="AP70" i="1"/>
  <c r="BA68" i="1"/>
  <c r="BL66" i="1"/>
  <c r="BV72" i="1"/>
  <c r="AK65" i="1"/>
  <c r="AV58" i="1"/>
  <c r="BF59" i="1"/>
  <c r="BQ55" i="1"/>
  <c r="AF54" i="1"/>
  <c r="AP49" i="1"/>
  <c r="BA47" i="1"/>
  <c r="BL41" i="1"/>
  <c r="BV38" i="1"/>
  <c r="V94" i="1"/>
  <c r="R84" i="1"/>
  <c r="R83" i="1"/>
  <c r="L56" i="1"/>
  <c r="L41" i="1"/>
  <c r="M11" i="1"/>
  <c r="BM320" i="1"/>
  <c r="BB456" i="1"/>
  <c r="AN522" i="1"/>
  <c r="AH573" i="1"/>
  <c r="AD443" i="1"/>
  <c r="AB81" i="1"/>
  <c r="AV117" i="1"/>
  <c r="BQ113" i="1"/>
  <c r="AP100" i="1"/>
  <c r="AK95" i="1"/>
  <c r="BF91" i="1"/>
  <c r="AC85" i="1"/>
  <c r="BF82" i="1"/>
  <c r="BD73" i="1"/>
  <c r="BN69" i="1"/>
  <c r="AC68" i="1"/>
  <c r="AN66" i="1"/>
  <c r="AX72" i="1"/>
  <c r="BI63" i="1"/>
  <c r="BT57" i="1"/>
  <c r="AH59" i="1"/>
  <c r="AS55" i="1"/>
  <c r="BD50" i="1"/>
  <c r="BN48" i="1"/>
  <c r="AC47" i="1"/>
  <c r="AN41" i="1"/>
  <c r="AX38" i="1"/>
  <c r="BI37" i="1"/>
  <c r="V93" i="1"/>
  <c r="Q117" i="1"/>
  <c r="BT42" i="1"/>
  <c r="R94" i="1"/>
  <c r="AH54" i="1"/>
  <c r="AC40" i="1"/>
  <c r="Q112" i="1"/>
  <c r="R63" i="1"/>
  <c r="M330" i="1"/>
  <c r="M448" i="1"/>
  <c r="AH49" i="1"/>
  <c r="Q103" i="1"/>
  <c r="Q82" i="1"/>
  <c r="K8" i="1"/>
  <c r="M17" i="1"/>
  <c r="Q109" i="1"/>
  <c r="AC48" i="1"/>
  <c r="L109" i="1"/>
  <c r="M10" i="1"/>
  <c r="R91" i="1"/>
  <c r="L50" i="1"/>
  <c r="M576" i="1"/>
  <c r="BI49" i="1"/>
  <c r="AH42" i="1"/>
  <c r="V59" i="1"/>
  <c r="AS38" i="1"/>
  <c r="R506" i="1"/>
  <c r="L117" i="1"/>
  <c r="BI55" i="1"/>
  <c r="R55" i="1"/>
  <c r="BN37" i="1"/>
  <c r="M513" i="1"/>
  <c r="L444" i="1"/>
  <c r="D14" i="1"/>
  <c r="BN320" i="1"/>
  <c r="AK506" i="1"/>
  <c r="AZ109" i="1"/>
  <c r="AD94" i="1"/>
  <c r="AP445" i="1"/>
  <c r="BE393" i="1"/>
  <c r="AO510" i="1"/>
  <c r="AJ571" i="1"/>
  <c r="BV583" i="1"/>
  <c r="AC53" i="1"/>
  <c r="AZ120" i="1"/>
  <c r="BR115" i="1"/>
  <c r="AR112" i="1"/>
  <c r="BM102" i="1"/>
  <c r="BH93" i="1"/>
  <c r="AG86" i="1"/>
  <c r="BB82" i="1"/>
  <c r="AF395" i="1"/>
  <c r="AS571" i="1"/>
  <c r="BP62" i="1"/>
  <c r="BI115" i="1"/>
  <c r="BD102" i="1"/>
  <c r="AX93" i="1"/>
  <c r="BQ83" i="1"/>
  <c r="BU73" i="1"/>
  <c r="BU69" i="1"/>
  <c r="AJ68" i="1"/>
  <c r="AT66" i="1"/>
  <c r="BE72" i="1"/>
  <c r="BP63" i="1"/>
  <c r="AD58" i="1"/>
  <c r="AO59" i="1"/>
  <c r="AZ55" i="1"/>
  <c r="BJ50" i="1"/>
  <c r="BU48" i="1"/>
  <c r="AJ47" i="1"/>
  <c r="AT41" i="1"/>
  <c r="BE38" i="1"/>
  <c r="BP37" i="1"/>
  <c r="AB383" i="1"/>
  <c r="BJ443" i="1"/>
  <c r="AR520" i="1"/>
  <c r="AL572" i="1"/>
  <c r="AD570" i="1"/>
  <c r="AD62" i="1"/>
  <c r="AX111" i="1"/>
  <c r="BT114" i="1"/>
  <c r="AS109" i="1"/>
  <c r="BI92" i="1"/>
  <c r="BJ85" i="1"/>
  <c r="AS83" i="1"/>
  <c r="AG76" i="1"/>
  <c r="AR70" i="1"/>
  <c r="BB68" i="1"/>
  <c r="BM66" i="1"/>
  <c r="BH71" i="1"/>
  <c r="AW72" i="1"/>
  <c r="AL65" i="1"/>
  <c r="AG63" i="1"/>
  <c r="AB58" i="1"/>
  <c r="AG57" i="1"/>
  <c r="AL59" i="1"/>
  <c r="AR56" i="1"/>
  <c r="AW55" i="1"/>
  <c r="BB54" i="1"/>
  <c r="BH50" i="1"/>
  <c r="BM49" i="1"/>
  <c r="BR48" i="1"/>
  <c r="AB48" i="1"/>
  <c r="AG47" i="1"/>
  <c r="AL42" i="1"/>
  <c r="AR41" i="1"/>
  <c r="AW40" i="1"/>
  <c r="BB38" i="1"/>
  <c r="BM37" i="1"/>
  <c r="V83" i="1"/>
  <c r="R317" i="1"/>
  <c r="AF318" i="1"/>
  <c r="BT383" i="1"/>
  <c r="BR506" i="1"/>
  <c r="BM570" i="1"/>
  <c r="BH583" i="1"/>
  <c r="BB53" i="1"/>
  <c r="AC98" i="1"/>
  <c r="AV116" i="1"/>
  <c r="BQ112" i="1"/>
  <c r="AP103" i="1"/>
  <c r="AK94" i="1"/>
  <c r="BJ86" i="1"/>
  <c r="AS84" i="1"/>
  <c r="BV76" i="1"/>
  <c r="AF73" i="1"/>
  <c r="AP69" i="1"/>
  <c r="BA67" i="1"/>
  <c r="BL71" i="1"/>
  <c r="BV65" i="1"/>
  <c r="AK63" i="1"/>
  <c r="AV57" i="1"/>
  <c r="BF56" i="1"/>
  <c r="BQ54" i="1"/>
  <c r="AF50" i="1"/>
  <c r="AP48" i="1"/>
  <c r="BA42" i="1"/>
  <c r="BL40" i="1"/>
  <c r="AK37" i="1"/>
  <c r="L37" i="1"/>
  <c r="V65" i="1"/>
  <c r="R103" i="1"/>
  <c r="Q66" i="1"/>
  <c r="Q56" i="1"/>
  <c r="R41" i="1"/>
  <c r="L112" i="1"/>
  <c r="M516" i="1"/>
  <c r="M16" i="1"/>
  <c r="BN444" i="1"/>
  <c r="AK395" i="1"/>
  <c r="BA510" i="1"/>
  <c r="AV571" i="1"/>
  <c r="AP585" i="1"/>
  <c r="AB53" i="1"/>
  <c r="AX120" i="1"/>
  <c r="BQ115" i="1"/>
  <c r="AP112" i="1"/>
  <c r="BL102" i="1"/>
  <c r="BF93" i="1"/>
  <c r="AS86" i="1"/>
  <c r="BV83" i="1"/>
  <c r="BE76" i="1"/>
  <c r="BN70" i="1"/>
  <c r="AC69" i="1"/>
  <c r="AN67" i="1"/>
  <c r="AX71" i="1"/>
  <c r="BI65" i="1"/>
  <c r="BT58" i="1"/>
  <c r="AH57" i="1"/>
  <c r="AS56" i="1"/>
  <c r="BB320" i="1"/>
  <c r="AR456" i="1"/>
  <c r="AH522" i="1"/>
  <c r="BU572" i="1"/>
  <c r="AB520" i="1"/>
  <c r="AG81" i="1"/>
  <c r="BA117" i="1"/>
  <c r="BV113" i="1"/>
  <c r="AV100" i="1"/>
  <c r="AP95" i="1"/>
  <c r="BL91" i="1"/>
  <c r="AF85" i="1"/>
  <c r="BJ82" i="1"/>
  <c r="BF73" i="1"/>
  <c r="BQ69" i="1"/>
  <c r="AF68" i="1"/>
  <c r="AP66" i="1"/>
  <c r="BA72" i="1"/>
  <c r="BL63" i="1"/>
  <c r="BV57" i="1"/>
  <c r="AK59" i="1"/>
  <c r="AV55" i="1"/>
  <c r="BF50" i="1"/>
  <c r="BQ48" i="1"/>
  <c r="AF47" i="1"/>
  <c r="AP41" i="1"/>
  <c r="BA38" i="1"/>
  <c r="BL37" i="1"/>
  <c r="V73" i="1"/>
  <c r="R120" i="1"/>
  <c r="Q94" i="1"/>
  <c r="D16" i="1"/>
  <c r="M456" i="1"/>
  <c r="L381" i="1"/>
  <c r="L317" i="1"/>
  <c r="M15" i="1"/>
  <c r="BJ380" i="1"/>
  <c r="AJ506" i="1"/>
  <c r="AL570" i="1"/>
  <c r="AG583" i="1"/>
  <c r="BH53" i="1"/>
  <c r="AH98" i="1"/>
  <c r="BA116" i="1"/>
  <c r="BV112" i="1"/>
  <c r="AV103" i="1"/>
  <c r="AP94" i="1"/>
  <c r="BN86" i="1"/>
  <c r="AV84" i="1"/>
  <c r="AD82" i="1"/>
  <c r="AH73" i="1"/>
  <c r="AS69" i="1"/>
  <c r="BD67" i="1"/>
  <c r="BN71" i="1"/>
  <c r="AC72" i="1"/>
  <c r="AN63" i="1"/>
  <c r="AX57" i="1"/>
  <c r="BI56" i="1"/>
  <c r="BT54" i="1"/>
  <c r="AH50" i="1"/>
  <c r="AS48" i="1"/>
  <c r="BD42" i="1"/>
  <c r="BN40" i="1"/>
  <c r="AC38" i="1"/>
  <c r="AN37" i="1"/>
  <c r="V69" i="1"/>
  <c r="AN55" i="1"/>
  <c r="AH41" i="1"/>
  <c r="V76" i="1"/>
  <c r="R86" i="1"/>
  <c r="L55" i="1"/>
  <c r="AS49" i="1"/>
  <c r="Q83" i="1"/>
  <c r="R56" i="1"/>
  <c r="L42" i="1"/>
  <c r="M385" i="1"/>
  <c r="AS47" i="1"/>
  <c r="BN49" i="1"/>
  <c r="R71" i="1"/>
  <c r="L582" i="1"/>
  <c r="BT48" i="1"/>
  <c r="R85" i="1"/>
  <c r="M328" i="1"/>
  <c r="V54" i="1"/>
  <c r="L113" i="1"/>
  <c r="Q41" i="1"/>
  <c r="M452" i="1"/>
  <c r="BJ382" i="1"/>
  <c r="BQ572" i="1"/>
  <c r="BE111" i="1"/>
  <c r="AJ103" i="1"/>
  <c r="AD92" i="1"/>
  <c r="AC383" i="1"/>
  <c r="BB443" i="1"/>
  <c r="AN520" i="1"/>
  <c r="AH572" i="1"/>
  <c r="BU585" i="1"/>
  <c r="AH62" i="1"/>
  <c r="BB111" i="1"/>
  <c r="AB115" i="1"/>
  <c r="AW109" i="1"/>
  <c r="BM92" i="1"/>
  <c r="AL85" i="1"/>
  <c r="BH76" i="1"/>
  <c r="BR456" i="1"/>
  <c r="AP573" i="1"/>
  <c r="AD81" i="1"/>
  <c r="BT113" i="1"/>
  <c r="BI91" i="1"/>
  <c r="AH83" i="1"/>
  <c r="AT73" i="1"/>
  <c r="AZ69" i="1"/>
  <c r="BJ67" i="1"/>
  <c r="BU71" i="1"/>
  <c r="AJ72" i="1"/>
  <c r="AT63" i="1"/>
  <c r="BE57" i="1"/>
  <c r="BP56" i="1"/>
  <c r="AD55" i="1"/>
  <c r="AO50" i="1"/>
  <c r="AZ48" i="1"/>
  <c r="BJ42" i="1"/>
  <c r="BU40" i="1"/>
  <c r="AJ38" i="1"/>
  <c r="AT37" i="1"/>
  <c r="BR320" i="1"/>
  <c r="BH456" i="1"/>
  <c r="AP522" i="1"/>
  <c r="AK573" i="1"/>
  <c r="AD446" i="1"/>
  <c r="AJ81" i="1"/>
  <c r="BD117" i="1"/>
  <c r="AC114" i="1"/>
  <c r="AX100" i="1"/>
  <c r="AS95" i="1"/>
  <c r="BN91" i="1"/>
  <c r="AH85" i="1"/>
  <c r="BL82" i="1"/>
  <c r="BH73" i="1"/>
  <c r="BR69" i="1"/>
  <c r="AG68" i="1"/>
  <c r="BB66" i="1"/>
  <c r="AR71" i="1"/>
  <c r="AG72" i="1"/>
  <c r="AB65" i="1"/>
  <c r="BM58" i="1"/>
  <c r="BM57" i="1"/>
  <c r="BR59" i="1"/>
  <c r="AB59" i="1"/>
  <c r="AG56" i="1"/>
  <c r="AL55" i="1"/>
  <c r="AR54" i="1"/>
  <c r="AW50" i="1"/>
  <c r="BB49" i="1"/>
  <c r="BH48" i="1"/>
  <c r="BM47" i="1"/>
  <c r="BR42" i="1"/>
  <c r="AB42" i="1"/>
  <c r="AG41" i="1"/>
  <c r="AL40" i="1"/>
  <c r="AR38" i="1"/>
  <c r="BB37" i="1"/>
  <c r="V317" i="1"/>
  <c r="V66" i="1"/>
  <c r="R380" i="1"/>
  <c r="AC380" i="1"/>
  <c r="BQ395" i="1"/>
  <c r="BQ510" i="1"/>
  <c r="BL571" i="1"/>
  <c r="BF585" i="1"/>
  <c r="BH62" i="1"/>
  <c r="AH120" i="1"/>
  <c r="BA115" i="1"/>
  <c r="BV109" i="1"/>
  <c r="AV102" i="1"/>
  <c r="AP93" i="1"/>
  <c r="AH86" i="1"/>
  <c r="BL83" i="1"/>
  <c r="AV76" i="1"/>
  <c r="BF70" i="1"/>
  <c r="BQ68" i="1"/>
  <c r="AF67" i="1"/>
  <c r="AP71" i="1"/>
  <c r="BA65" i="1"/>
  <c r="BL58" i="1"/>
  <c r="BV59" i="1"/>
  <c r="AK56" i="1"/>
  <c r="AV54" i="1"/>
  <c r="BF49" i="1"/>
  <c r="BQ47" i="1"/>
  <c r="AF42" i="1"/>
  <c r="AP40" i="1"/>
  <c r="V116" i="1"/>
  <c r="V47" i="1"/>
  <c r="Q76" i="1"/>
  <c r="Q72" i="1"/>
  <c r="Q54" i="1"/>
  <c r="R38" i="1"/>
  <c r="L38" i="1"/>
  <c r="M514" i="1"/>
  <c r="M19" i="1"/>
  <c r="AS317" i="1"/>
  <c r="AH446" i="1"/>
  <c r="AZ520" i="1"/>
  <c r="AT572" i="1"/>
  <c r="AD573" i="1"/>
  <c r="AG62" i="1"/>
  <c r="BA111" i="1"/>
  <c r="BV114" i="1"/>
  <c r="AV109" i="1"/>
  <c r="BL92" i="1"/>
  <c r="BL85" i="1"/>
  <c r="AT83" i="1"/>
  <c r="AH76" i="1"/>
  <c r="AS70" i="1"/>
  <c r="BD68" i="1"/>
  <c r="BN66" i="1"/>
  <c r="AC71" i="1"/>
  <c r="AN65" i="1"/>
  <c r="AX58" i="1"/>
  <c r="BI59" i="1"/>
  <c r="AZ380" i="1"/>
  <c r="BT458" i="1"/>
  <c r="AG570" i="1"/>
  <c r="BT573" i="1"/>
  <c r="BM53" i="1"/>
  <c r="AN98" i="1"/>
  <c r="BF116" i="1"/>
  <c r="AF113" i="1"/>
  <c r="BA103" i="1"/>
  <c r="AV94" i="1"/>
  <c r="BQ86" i="1"/>
  <c r="AZ84" i="1"/>
  <c r="AH82" i="1"/>
  <c r="AK73" i="1"/>
  <c r="AV69" i="1"/>
  <c r="BF67" i="1"/>
  <c r="BQ71" i="1"/>
  <c r="AF72" i="1"/>
  <c r="AP63" i="1"/>
  <c r="BA57" i="1"/>
  <c r="BL56" i="1"/>
  <c r="BV54" i="1"/>
  <c r="AK50" i="1"/>
  <c r="AV48" i="1"/>
  <c r="BF42" i="1"/>
  <c r="BQ40" i="1"/>
  <c r="AF38" i="1"/>
  <c r="AP37" i="1"/>
  <c r="V57" i="1"/>
  <c r="Q115" i="1"/>
  <c r="Q92" i="1"/>
  <c r="L102" i="1"/>
  <c r="AG47" i="7"/>
  <c r="K120" i="1"/>
  <c r="AL445" i="1"/>
  <c r="BH393" i="1"/>
  <c r="AP510" i="1"/>
  <c r="AK571" i="1"/>
  <c r="AF585" i="1"/>
  <c r="BM62" i="1"/>
  <c r="AN120" i="1"/>
  <c r="BF115" i="1"/>
  <c r="AF112" i="1"/>
  <c r="BA102" i="1"/>
  <c r="AV93" i="1"/>
  <c r="AK86" i="1"/>
  <c r="BP83" i="1"/>
  <c r="AX76" i="1"/>
  <c r="BI70" i="1"/>
  <c r="BT68" i="1"/>
  <c r="AH67" i="1"/>
  <c r="AS71" i="1"/>
  <c r="BD65" i="1"/>
  <c r="BN58" i="1"/>
  <c r="AC57" i="1"/>
  <c r="AN56" i="1"/>
  <c r="AX54" i="1"/>
  <c r="BT47" i="1"/>
  <c r="AS40" i="1"/>
  <c r="V506" i="1"/>
  <c r="AX50" i="1"/>
  <c r="Q48" i="1"/>
  <c r="BD47" i="1"/>
  <c r="R70" i="1"/>
  <c r="M454" i="1"/>
  <c r="BD41" i="1"/>
  <c r="L506" i="1"/>
  <c r="Q38" i="1"/>
  <c r="R73" i="1"/>
  <c r="AH47" i="1"/>
  <c r="B17" i="2"/>
  <c r="S37" i="1"/>
  <c r="W37" i="1"/>
  <c r="S41" i="1"/>
  <c r="W41" i="1"/>
  <c r="S49" i="1"/>
  <c r="W49" i="1"/>
  <c r="S91" i="1"/>
  <c r="T91" i="1"/>
  <c r="S116" i="1"/>
  <c r="W116" i="1"/>
  <c r="S59" i="1"/>
  <c r="T59" i="1"/>
  <c r="S65" i="1"/>
  <c r="T65" i="1"/>
  <c r="S67" i="1"/>
  <c r="T67" i="1"/>
  <c r="S73" i="1"/>
  <c r="T73" i="1"/>
  <c r="S102" i="1"/>
  <c r="T102" i="1"/>
  <c r="W54" i="1"/>
  <c r="X54" i="1"/>
  <c r="S38" i="1"/>
  <c r="W38" i="1"/>
  <c r="S47" i="1"/>
  <c r="W47" i="1"/>
  <c r="S85" i="1"/>
  <c r="T85" i="1"/>
  <c r="S93" i="1"/>
  <c r="T93" i="1"/>
  <c r="S109" i="1"/>
  <c r="W109" i="1"/>
  <c r="S84" i="1"/>
  <c r="W84" i="1"/>
  <c r="W86" i="1"/>
  <c r="X86" i="1"/>
  <c r="H6" i="7"/>
  <c r="S55" i="1"/>
  <c r="T55" i="1"/>
  <c r="S58" i="1"/>
  <c r="T58" i="1"/>
  <c r="S71" i="1"/>
  <c r="T71" i="1"/>
  <c r="S69" i="1"/>
  <c r="T69" i="1"/>
  <c r="S82" i="1"/>
  <c r="W82" i="1"/>
  <c r="S113" i="1"/>
  <c r="T113" i="1"/>
  <c r="S103" i="1"/>
  <c r="W103" i="1"/>
  <c r="W114" i="1"/>
  <c r="S114" i="1"/>
  <c r="W58" i="1"/>
  <c r="X58" i="1"/>
  <c r="S54" i="1"/>
  <c r="T54" i="1"/>
  <c r="S56" i="1"/>
  <c r="T56" i="1"/>
  <c r="S57" i="1"/>
  <c r="T57" i="1"/>
  <c r="S63" i="1"/>
  <c r="T63" i="1"/>
  <c r="S72" i="1"/>
  <c r="T72" i="1"/>
  <c r="S66" i="1"/>
  <c r="T66" i="1"/>
  <c r="S68" i="1"/>
  <c r="T68" i="1"/>
  <c r="S70" i="1"/>
  <c r="T70" i="1"/>
  <c r="S76" i="1"/>
  <c r="T76" i="1"/>
  <c r="S83" i="1"/>
  <c r="W83" i="1"/>
  <c r="S112" i="1"/>
  <c r="W112" i="1"/>
  <c r="W67" i="1"/>
  <c r="X67" i="1"/>
  <c r="X103" i="1"/>
  <c r="W40" i="1"/>
  <c r="S40" i="1"/>
  <c r="W42" i="1"/>
  <c r="S42" i="1"/>
  <c r="W48" i="1"/>
  <c r="S48" i="1"/>
  <c r="W50" i="1"/>
  <c r="S50" i="1"/>
  <c r="S86" i="1"/>
  <c r="T86" i="1"/>
  <c r="S92" i="1"/>
  <c r="T92" i="1"/>
  <c r="S94" i="1"/>
  <c r="T94" i="1"/>
  <c r="S100" i="1"/>
  <c r="T100" i="1"/>
  <c r="S115" i="1"/>
  <c r="T115" i="1"/>
  <c r="X42" i="1"/>
  <c r="W76" i="1"/>
  <c r="X76" i="1"/>
  <c r="X114" i="1"/>
  <c r="S117" i="1"/>
  <c r="W117" i="1"/>
  <c r="T117" i="1"/>
  <c r="X38" i="1"/>
  <c r="X48" i="1"/>
  <c r="W59" i="1"/>
  <c r="X59" i="1"/>
  <c r="W72" i="1"/>
  <c r="X72" i="1"/>
  <c r="W69" i="1"/>
  <c r="X69" i="1"/>
  <c r="X84" i="1"/>
  <c r="W93" i="1"/>
  <c r="X93" i="1"/>
  <c r="X112" i="1"/>
  <c r="X117" i="1"/>
  <c r="A253" i="1"/>
  <c r="D415" i="1"/>
  <c r="D478" i="1"/>
  <c r="D343" i="1"/>
  <c r="T82" i="1"/>
  <c r="T83" i="1"/>
  <c r="W85" i="1"/>
  <c r="W91" i="1"/>
  <c r="W92" i="1"/>
  <c r="W94" i="1"/>
  <c r="W100" i="1"/>
  <c r="T109" i="1"/>
  <c r="T112" i="1"/>
  <c r="W115" i="1"/>
  <c r="T116" i="1"/>
  <c r="S120" i="1"/>
  <c r="T120" i="1"/>
  <c r="T84" i="1"/>
  <c r="X40" i="1"/>
  <c r="X50" i="1"/>
  <c r="W57" i="1"/>
  <c r="X57" i="1"/>
  <c r="W71" i="1"/>
  <c r="X71" i="1"/>
  <c r="W73" i="1"/>
  <c r="X73" i="1"/>
  <c r="X85" i="1"/>
  <c r="X94" i="1"/>
  <c r="W102" i="1"/>
  <c r="X102" i="1"/>
  <c r="W113" i="1"/>
  <c r="X113" i="1"/>
  <c r="W120" i="1"/>
  <c r="X120" i="1"/>
  <c r="B483" i="1"/>
  <c r="B403" i="1"/>
  <c r="D471" i="1"/>
  <c r="X81" i="1"/>
  <c r="T37" i="1"/>
  <c r="T38" i="1"/>
  <c r="T40" i="1"/>
  <c r="T41" i="1"/>
  <c r="T42" i="1"/>
  <c r="T47" i="1"/>
  <c r="T48" i="1"/>
  <c r="T49" i="1"/>
  <c r="T50" i="1"/>
  <c r="W55" i="1"/>
  <c r="W56" i="1"/>
  <c r="W63" i="1"/>
  <c r="W65" i="1"/>
  <c r="W66" i="1"/>
  <c r="W68" i="1"/>
  <c r="W70" i="1"/>
  <c r="T103" i="1"/>
  <c r="T114" i="1"/>
  <c r="X47" i="1"/>
  <c r="X55" i="1"/>
  <c r="X65" i="1"/>
  <c r="X68" i="1"/>
  <c r="X82" i="1"/>
  <c r="X92" i="1"/>
  <c r="X100" i="1"/>
  <c r="X116" i="1"/>
  <c r="A255" i="1"/>
  <c r="K53" i="1"/>
  <c r="A257" i="1"/>
  <c r="B421" i="1"/>
  <c r="B337" i="1"/>
  <c r="S393" i="1"/>
  <c r="T393" i="1"/>
  <c r="X37" i="1"/>
  <c r="X41" i="1"/>
  <c r="X49" i="1"/>
  <c r="X56" i="1"/>
  <c r="X63" i="1"/>
  <c r="X66" i="1"/>
  <c r="X70" i="1"/>
  <c r="X83" i="1"/>
  <c r="X91" i="1"/>
  <c r="X109" i="1"/>
  <c r="X115" i="1"/>
  <c r="D405" i="1"/>
  <c r="D469" i="1"/>
  <c r="B476" i="1"/>
  <c r="D485" i="1"/>
  <c r="D336" i="1"/>
  <c r="B277" i="1"/>
  <c r="B291" i="1"/>
  <c r="X517" i="1"/>
  <c r="X506" i="1"/>
  <c r="W506" i="1"/>
  <c r="T517" i="1"/>
  <c r="T506" i="1"/>
  <c r="S506" i="1"/>
  <c r="B413" i="1"/>
  <c r="D423" i="1"/>
  <c r="D464" i="1"/>
  <c r="B481" i="1"/>
  <c r="D341" i="1"/>
  <c r="D280" i="1"/>
  <c r="D294" i="1"/>
  <c r="T81" i="1"/>
  <c r="AL125" i="1"/>
  <c r="B360" i="1"/>
  <c r="D401" i="1"/>
  <c r="B407" i="1"/>
  <c r="D419" i="1"/>
  <c r="B466" i="1"/>
  <c r="B471" i="1"/>
  <c r="D479" i="1"/>
  <c r="B344" i="1"/>
  <c r="D284" i="1"/>
  <c r="D298" i="1"/>
  <c r="B271" i="1"/>
  <c r="AC125" i="1"/>
  <c r="S330" i="1"/>
  <c r="T330" i="1"/>
  <c r="S585" i="1"/>
  <c r="T585" i="1"/>
  <c r="K98" i="1"/>
  <c r="A254" i="1"/>
  <c r="B399" i="1"/>
  <c r="D409" i="1"/>
  <c r="B417" i="1"/>
  <c r="D463" i="1"/>
  <c r="B473" i="1"/>
  <c r="D487" i="1"/>
  <c r="B339" i="1"/>
  <c r="X62" i="1"/>
  <c r="B262" i="1"/>
  <c r="AT125" i="1"/>
  <c r="D533" i="1"/>
  <c r="S456" i="1"/>
  <c r="T456" i="1"/>
  <c r="AN509" i="1"/>
  <c r="B543" i="1"/>
  <c r="B350" i="1"/>
  <c r="B351" i="1"/>
  <c r="B352" i="1"/>
  <c r="D352" i="1"/>
  <c r="B354" i="1"/>
  <c r="D354" i="1"/>
  <c r="B356" i="1"/>
  <c r="D356" i="1"/>
  <c r="B358" i="1"/>
  <c r="D358" i="1"/>
  <c r="D351" i="1"/>
  <c r="B401" i="1"/>
  <c r="D403" i="1"/>
  <c r="B409" i="1"/>
  <c r="D413" i="1"/>
  <c r="B419" i="1"/>
  <c r="D421" i="1"/>
  <c r="B462" i="1"/>
  <c r="B469" i="1"/>
  <c r="D473" i="1"/>
  <c r="B477" i="1"/>
  <c r="B479" i="1"/>
  <c r="B484" i="1"/>
  <c r="D486" i="1"/>
  <c r="B345" i="1"/>
  <c r="B340" i="1"/>
  <c r="D347" i="1"/>
  <c r="D345" i="1"/>
  <c r="D340" i="1"/>
  <c r="B281" i="1"/>
  <c r="B295" i="1"/>
  <c r="B284" i="1"/>
  <c r="B298" i="1"/>
  <c r="AZ49" i="7"/>
  <c r="W124" i="1"/>
  <c r="X124" i="1"/>
  <c r="V125" i="1"/>
  <c r="AZ40" i="7"/>
  <c r="T98" i="1"/>
  <c r="AF125" i="1"/>
  <c r="BI125" i="1"/>
  <c r="A252" i="1"/>
  <c r="B530" i="1"/>
  <c r="BF509" i="1"/>
  <c r="D547" i="1"/>
  <c r="B353" i="1"/>
  <c r="D353" i="1"/>
  <c r="B355" i="1"/>
  <c r="D355" i="1"/>
  <c r="B357" i="1"/>
  <c r="D357" i="1"/>
  <c r="B359" i="1"/>
  <c r="D360" i="1"/>
  <c r="D399" i="1"/>
  <c r="B405" i="1"/>
  <c r="D407" i="1"/>
  <c r="B415" i="1"/>
  <c r="D417" i="1"/>
  <c r="B423" i="1"/>
  <c r="B463" i="1"/>
  <c r="D465" i="1"/>
  <c r="D467" i="1"/>
  <c r="B470" i="1"/>
  <c r="D472" i="1"/>
  <c r="D477" i="1"/>
  <c r="D482" i="1"/>
  <c r="B485" i="1"/>
  <c r="B342" i="1"/>
  <c r="D339" i="1"/>
  <c r="B279" i="1"/>
  <c r="B293" i="1"/>
  <c r="D278" i="1"/>
  <c r="D292" i="1"/>
  <c r="S124" i="1"/>
  <c r="AN49" i="7"/>
  <c r="BH49" i="7"/>
  <c r="Q125" i="1"/>
  <c r="BH40" i="7"/>
  <c r="AN40" i="7"/>
  <c r="O395" i="1"/>
  <c r="BR125" i="1"/>
  <c r="BA125" i="1"/>
  <c r="B347" i="1"/>
  <c r="B343" i="1"/>
  <c r="B336" i="1"/>
  <c r="D344" i="1"/>
  <c r="D337" i="1"/>
  <c r="B275" i="1"/>
  <c r="B289" i="1"/>
  <c r="B280" i="1"/>
  <c r="B294" i="1"/>
  <c r="AF49" i="7"/>
  <c r="R125" i="1"/>
  <c r="T124" i="1"/>
  <c r="AF40" i="7"/>
  <c r="O456" i="1"/>
  <c r="T111" i="1"/>
  <c r="BH125" i="1"/>
  <c r="AR125" i="1"/>
  <c r="AB125" i="1"/>
  <c r="BN125" i="1"/>
  <c r="D263" i="1"/>
  <c r="D261" i="1"/>
  <c r="B526" i="1"/>
  <c r="D528" i="1"/>
  <c r="D531" i="1"/>
  <c r="B534" i="1"/>
  <c r="B537" i="1"/>
  <c r="W330" i="1"/>
  <c r="X330" i="1"/>
  <c r="T388" i="1"/>
  <c r="T386" i="1"/>
  <c r="T389" i="1"/>
  <c r="X386" i="1"/>
  <c r="X387" i="1"/>
  <c r="F389" i="1"/>
  <c r="W389" i="1"/>
  <c r="X389" i="1"/>
  <c r="X388" i="1"/>
  <c r="T387" i="1"/>
  <c r="W395" i="1"/>
  <c r="S395" i="1"/>
  <c r="W456" i="1"/>
  <c r="X456" i="1"/>
  <c r="T515" i="1"/>
  <c r="T513" i="1"/>
  <c r="T516" i="1"/>
  <c r="X513" i="1"/>
  <c r="X515" i="1"/>
  <c r="T514" i="1"/>
  <c r="X514" i="1"/>
  <c r="F516" i="1"/>
  <c r="W516" i="1"/>
  <c r="X516" i="1"/>
  <c r="W522" i="1"/>
  <c r="S522" i="1"/>
  <c r="AB509" i="1"/>
  <c r="B540" i="1"/>
  <c r="D276" i="1"/>
  <c r="D290" i="1"/>
  <c r="O458" i="1"/>
  <c r="D251" i="1"/>
  <c r="X36" i="1"/>
  <c r="BT125" i="1"/>
  <c r="BD125" i="1"/>
  <c r="B264" i="1"/>
  <c r="D271" i="1"/>
  <c r="D269" i="1"/>
  <c r="Q509" i="1"/>
  <c r="B535" i="1"/>
  <c r="D359" i="1"/>
  <c r="B361" i="1"/>
  <c r="D361" i="1"/>
  <c r="D350" i="1"/>
  <c r="B400" i="1"/>
  <c r="D400" i="1"/>
  <c r="B402" i="1"/>
  <c r="D402" i="1"/>
  <c r="B404" i="1"/>
  <c r="D404" i="1"/>
  <c r="B406" i="1"/>
  <c r="D406" i="1"/>
  <c r="B408" i="1"/>
  <c r="D408" i="1"/>
  <c r="B410" i="1"/>
  <c r="D410" i="1"/>
  <c r="B414" i="1"/>
  <c r="D414" i="1"/>
  <c r="B416" i="1"/>
  <c r="D416" i="1"/>
  <c r="B418" i="1"/>
  <c r="D418" i="1"/>
  <c r="B420" i="1"/>
  <c r="D420" i="1"/>
  <c r="B422" i="1"/>
  <c r="D422" i="1"/>
  <c r="B424" i="1"/>
  <c r="D424" i="1"/>
  <c r="B465" i="1"/>
  <c r="B467" i="1"/>
  <c r="D468" i="1"/>
  <c r="B480" i="1"/>
  <c r="D481" i="1"/>
  <c r="D483" i="1"/>
  <c r="B487" i="1"/>
  <c r="B346" i="1"/>
  <c r="B341" i="1"/>
  <c r="B338" i="1"/>
  <c r="D346" i="1"/>
  <c r="D342" i="1"/>
  <c r="D338" i="1"/>
  <c r="E22" i="1"/>
  <c r="B276" i="1"/>
  <c r="B290" i="1"/>
  <c r="B283" i="1"/>
  <c r="B297" i="1"/>
  <c r="B285" i="1"/>
  <c r="B299" i="1"/>
  <c r="D282" i="1"/>
  <c r="D296" i="1"/>
  <c r="D274" i="1"/>
  <c r="D288" i="1"/>
  <c r="O585" i="1"/>
  <c r="X53" i="1"/>
  <c r="BL125" i="1"/>
  <c r="B266" i="1"/>
  <c r="BV125" i="1"/>
  <c r="BJ125" i="1"/>
  <c r="D265" i="1"/>
  <c r="AP125" i="1"/>
  <c r="A256" i="1"/>
  <c r="R509" i="1"/>
  <c r="B527" i="1"/>
  <c r="B529" i="1"/>
  <c r="B531" i="1"/>
  <c r="W520" i="1"/>
  <c r="X520" i="1"/>
  <c r="BD509" i="1"/>
  <c r="B547" i="1"/>
  <c r="BN509" i="1"/>
  <c r="D549" i="1"/>
  <c r="D462" i="1"/>
  <c r="B464" i="1"/>
  <c r="D466" i="1"/>
  <c r="B468" i="1"/>
  <c r="D470" i="1"/>
  <c r="B472" i="1"/>
  <c r="D476" i="1"/>
  <c r="B478" i="1"/>
  <c r="D480" i="1"/>
  <c r="B482" i="1"/>
  <c r="D484" i="1"/>
  <c r="B486" i="1"/>
  <c r="E23" i="1"/>
  <c r="B274" i="1"/>
  <c r="B288" i="1"/>
  <c r="B278" i="1"/>
  <c r="B292" i="1"/>
  <c r="B282" i="1"/>
  <c r="B296" i="1"/>
  <c r="D285" i="1"/>
  <c r="D299" i="1"/>
  <c r="D283" i="1"/>
  <c r="D297" i="1"/>
  <c r="D281" i="1"/>
  <c r="D295" i="1"/>
  <c r="D279" i="1"/>
  <c r="D293" i="1"/>
  <c r="D277" i="1"/>
  <c r="D291" i="1"/>
  <c r="D275" i="1"/>
  <c r="D289" i="1"/>
  <c r="O393" i="1"/>
  <c r="O583" i="1"/>
  <c r="T53" i="1"/>
  <c r="X390" i="1"/>
  <c r="T390" i="1"/>
  <c r="X380" i="1"/>
  <c r="W380" i="1"/>
  <c r="T380" i="1"/>
  <c r="S380" i="1"/>
  <c r="T62" i="1"/>
  <c r="X98" i="1"/>
  <c r="T36" i="1"/>
  <c r="B270" i="1"/>
  <c r="B268" i="1"/>
  <c r="B263" i="1"/>
  <c r="BF125" i="1"/>
  <c r="AS125" i="1"/>
  <c r="AH125" i="1"/>
  <c r="AD125" i="1"/>
  <c r="K276" i="1"/>
  <c r="O330" i="1"/>
  <c r="V509" i="1"/>
  <c r="D526" i="1"/>
  <c r="B528" i="1"/>
  <c r="D532" i="1"/>
  <c r="B536" i="1"/>
  <c r="D537" i="1"/>
  <c r="T451" i="1"/>
  <c r="T449" i="1"/>
  <c r="T452" i="1"/>
  <c r="X449" i="1"/>
  <c r="F452" i="1"/>
  <c r="W452" i="1"/>
  <c r="X452" i="1"/>
  <c r="T450" i="1"/>
  <c r="X450" i="1"/>
  <c r="X451" i="1"/>
  <c r="W458" i="1"/>
  <c r="S458" i="1"/>
  <c r="S583" i="1"/>
  <c r="T583" i="1"/>
  <c r="AH509" i="1"/>
  <c r="D541" i="1"/>
  <c r="BT509" i="1"/>
  <c r="B551" i="1"/>
  <c r="X317" i="1"/>
  <c r="W317" i="1"/>
  <c r="T327" i="1"/>
  <c r="T317" i="1"/>
  <c r="S317" i="1"/>
  <c r="X327" i="1"/>
  <c r="T453" i="1"/>
  <c r="X443" i="1"/>
  <c r="W443" i="1"/>
  <c r="T443" i="1"/>
  <c r="S443" i="1"/>
  <c r="X453" i="1"/>
  <c r="B251" i="1"/>
  <c r="X111" i="1"/>
  <c r="B267" i="1"/>
  <c r="AV125" i="1"/>
  <c r="AN125" i="1"/>
  <c r="B260" i="1"/>
  <c r="BQ125" i="1"/>
  <c r="D267" i="1"/>
  <c r="BB125" i="1"/>
  <c r="AX125" i="1"/>
  <c r="AK125" i="1"/>
  <c r="O522" i="1"/>
  <c r="D529" i="1"/>
  <c r="D530" i="1"/>
  <c r="D536" i="1"/>
  <c r="X324" i="1"/>
  <c r="T324" i="1"/>
  <c r="T325" i="1"/>
  <c r="F326" i="1"/>
  <c r="W326" i="1"/>
  <c r="X326" i="1"/>
  <c r="X323" i="1"/>
  <c r="X325" i="1"/>
  <c r="T323" i="1"/>
  <c r="T326" i="1"/>
  <c r="W332" i="1"/>
  <c r="S332" i="1"/>
  <c r="W393" i="1"/>
  <c r="X393" i="1"/>
  <c r="S520" i="1"/>
  <c r="T520" i="1"/>
  <c r="AD509" i="1"/>
  <c r="D540" i="1"/>
  <c r="AV509" i="1"/>
  <c r="B545" i="1"/>
  <c r="AX509" i="1"/>
  <c r="D545" i="1"/>
  <c r="T570" i="1"/>
  <c r="S570" i="1"/>
  <c r="X580" i="1"/>
  <c r="X570" i="1"/>
  <c r="W570" i="1"/>
  <c r="T580" i="1"/>
  <c r="BP125" i="1"/>
  <c r="B269" i="1"/>
  <c r="AZ125" i="1"/>
  <c r="B265" i="1"/>
  <c r="AJ125" i="1"/>
  <c r="B261" i="1"/>
  <c r="BU125" i="1"/>
  <c r="D270" i="1"/>
  <c r="BM125" i="1"/>
  <c r="D268" i="1"/>
  <c r="BE125" i="1"/>
  <c r="D266" i="1"/>
  <c r="AW125" i="1"/>
  <c r="D264" i="1"/>
  <c r="AO125" i="1"/>
  <c r="D262" i="1"/>
  <c r="AG125" i="1"/>
  <c r="D260" i="1"/>
  <c r="O332" i="1"/>
  <c r="D527" i="1"/>
  <c r="B532" i="1"/>
  <c r="B533" i="1"/>
  <c r="D534" i="1"/>
  <c r="D535" i="1"/>
  <c r="W583" i="1"/>
  <c r="X583" i="1"/>
  <c r="AF509" i="1"/>
  <c r="B541" i="1"/>
  <c r="AP509" i="1"/>
  <c r="D543" i="1"/>
  <c r="BL509" i="1"/>
  <c r="B549" i="1"/>
  <c r="BV509" i="1"/>
  <c r="D551" i="1"/>
  <c r="AJ509" i="1"/>
  <c r="B542" i="1"/>
  <c r="AT509" i="1"/>
  <c r="D544" i="1"/>
  <c r="AZ509" i="1"/>
  <c r="B546" i="1"/>
  <c r="BJ509" i="1"/>
  <c r="D548" i="1"/>
  <c r="BP509" i="1"/>
  <c r="B550" i="1"/>
  <c r="C33" i="2"/>
  <c r="C35" i="2"/>
  <c r="C34" i="2"/>
  <c r="T332" i="1"/>
  <c r="X332" i="1"/>
  <c r="T395" i="1"/>
  <c r="X395" i="1"/>
  <c r="T458" i="1"/>
  <c r="X458" i="1"/>
  <c r="T522" i="1"/>
  <c r="X522" i="1"/>
  <c r="W585" i="1"/>
  <c r="X585" i="1"/>
  <c r="T578" i="1"/>
  <c r="T576" i="1"/>
  <c r="T579" i="1"/>
  <c r="F579" i="1"/>
  <c r="W579" i="1"/>
  <c r="X579" i="1"/>
  <c r="X576" i="1"/>
  <c r="X578" i="1"/>
  <c r="T577" i="1"/>
  <c r="X577" i="1"/>
  <c r="AL509" i="1"/>
  <c r="D542" i="1"/>
  <c r="AR509" i="1"/>
  <c r="B544" i="1"/>
  <c r="BB509" i="1"/>
  <c r="D546" i="1"/>
  <c r="BH509" i="1"/>
  <c r="B548" i="1"/>
  <c r="BR509" i="1"/>
  <c r="D550" i="1"/>
  <c r="AR69" i="7"/>
  <c r="AS69" i="7"/>
  <c r="AN69" i="7"/>
  <c r="AO69" i="7"/>
  <c r="AJ69" i="7"/>
  <c r="AK69" i="7"/>
  <c r="AF69" i="7"/>
  <c r="AG69" i="7"/>
  <c r="AT69" i="7"/>
  <c r="AU69" i="7"/>
  <c r="AP69" i="7"/>
  <c r="AQ69" i="7"/>
  <c r="AL69" i="7"/>
  <c r="AM69" i="7"/>
  <c r="AH69" i="7"/>
  <c r="AI69" i="7"/>
  <c r="AG49" i="7"/>
  <c r="AG40" i="7"/>
  <c r="D255" i="1"/>
  <c r="D254" i="1"/>
  <c r="D257" i="1"/>
  <c r="D256" i="1"/>
  <c r="D252" i="1"/>
  <c r="D253" i="1"/>
  <c r="D539" i="1"/>
  <c r="D525" i="1"/>
  <c r="D475" i="1"/>
  <c r="D461" i="1"/>
  <c r="D412" i="1"/>
  <c r="D398" i="1"/>
  <c r="D349" i="1"/>
  <c r="D287" i="1"/>
  <c r="D259" i="1"/>
  <c r="D335" i="1"/>
  <c r="D250" i="1"/>
  <c r="AZ47" i="7"/>
  <c r="D273" i="1"/>
  <c r="BA49" i="7"/>
  <c r="BA40" i="7"/>
  <c r="T575" i="1"/>
  <c r="T512" i="1"/>
  <c r="T448" i="1"/>
  <c r="T385" i="1"/>
  <c r="T322" i="1"/>
  <c r="B254" i="1"/>
  <c r="B253" i="1"/>
  <c r="B257" i="1"/>
  <c r="B256" i="1"/>
  <c r="B252" i="1"/>
  <c r="B255" i="1"/>
  <c r="M381" i="1"/>
  <c r="M398" i="1"/>
  <c r="M382" i="1"/>
  <c r="M419" i="1"/>
  <c r="M383" i="1"/>
  <c r="M445" i="1"/>
  <c r="M482" i="1"/>
  <c r="M444" i="1"/>
  <c r="M461" i="1"/>
  <c r="M446" i="1"/>
  <c r="AF51" i="7"/>
  <c r="AF39" i="7"/>
  <c r="AF63" i="7"/>
  <c r="AG51" i="7"/>
  <c r="AH49" i="7"/>
  <c r="AH51" i="7"/>
  <c r="AI49" i="7"/>
  <c r="AI51" i="7"/>
  <c r="AJ49" i="7"/>
  <c r="AJ51" i="7"/>
  <c r="AK49" i="7"/>
  <c r="AK51" i="7"/>
  <c r="AL49" i="7"/>
  <c r="AL51" i="7"/>
  <c r="AM49" i="7"/>
  <c r="AM51" i="7"/>
  <c r="AN51" i="7"/>
  <c r="AW34" i="7"/>
  <c r="AZ51" i="7"/>
  <c r="BA51" i="7"/>
  <c r="W327" i="1"/>
  <c r="BB49" i="7"/>
  <c r="BB51" i="7"/>
  <c r="W390" i="1"/>
  <c r="BC49" i="7"/>
  <c r="BC51" i="7"/>
  <c r="W453" i="1"/>
  <c r="BD49" i="7"/>
  <c r="BD51" i="7"/>
  <c r="W517" i="1"/>
  <c r="BE49" i="7"/>
  <c r="BE51" i="7"/>
  <c r="W580" i="1"/>
  <c r="BF49" i="7"/>
  <c r="BF51" i="7"/>
  <c r="BG49" i="7"/>
  <c r="BG51" i="7"/>
  <c r="BH51" i="7"/>
  <c r="AY34" i="7"/>
  <c r="AX34" i="7"/>
  <c r="AV56" i="7"/>
  <c r="AW35" i="7"/>
  <c r="AY35" i="7"/>
  <c r="AX35" i="7"/>
  <c r="AV57" i="7"/>
  <c r="AG41" i="7"/>
  <c r="AH41" i="7"/>
  <c r="AI41" i="7"/>
  <c r="AJ41" i="7"/>
  <c r="AK41" i="7"/>
  <c r="AL41" i="7"/>
  <c r="AM41" i="7"/>
  <c r="AW23" i="7"/>
  <c r="AW28" i="7"/>
  <c r="AF42" i="7"/>
  <c r="AG42" i="7"/>
  <c r="AH42" i="7"/>
  <c r="AI42" i="7"/>
  <c r="AJ42" i="7"/>
  <c r="AK42" i="7"/>
  <c r="AL42" i="7"/>
  <c r="AM42" i="7"/>
  <c r="AN42" i="7"/>
  <c r="AW24" i="7"/>
  <c r="AW25" i="7"/>
  <c r="AW29" i="7"/>
  <c r="BP56" i="7"/>
  <c r="BP57" i="7"/>
  <c r="BA41" i="7"/>
  <c r="BB41" i="7"/>
  <c r="BC41" i="7"/>
  <c r="BD41" i="7"/>
  <c r="BE41" i="7"/>
  <c r="BF41" i="7"/>
  <c r="BG41" i="7"/>
  <c r="AY23" i="7"/>
  <c r="AY28" i="7"/>
  <c r="AZ42" i="7"/>
  <c r="BA42" i="7"/>
  <c r="BB42" i="7"/>
  <c r="BC42" i="7"/>
  <c r="BD42" i="7"/>
  <c r="BE42" i="7"/>
  <c r="BF42" i="7"/>
  <c r="BG42" i="7"/>
  <c r="BH42" i="7"/>
  <c r="AY24" i="7"/>
  <c r="AY25" i="7"/>
  <c r="AY29" i="7"/>
  <c r="AX29" i="7"/>
  <c r="AU29" i="7"/>
  <c r="AW30" i="7"/>
  <c r="AY30" i="7"/>
  <c r="AX30" i="7"/>
  <c r="AU30" i="7"/>
  <c r="AF50" i="7"/>
  <c r="AV48" i="7"/>
  <c r="AV50" i="7"/>
  <c r="AF70" i="7"/>
  <c r="AV64" i="7"/>
  <c r="AV63" i="7"/>
  <c r="AV65" i="7"/>
  <c r="AV53" i="7"/>
  <c r="AV52" i="7"/>
  <c r="AF66" i="7"/>
  <c r="AF64" i="7"/>
  <c r="AF65" i="7"/>
  <c r="W125" i="1"/>
  <c r="S125" i="1"/>
  <c r="B539" i="1"/>
  <c r="B475" i="1"/>
  <c r="B461" i="1"/>
  <c r="B412" i="1"/>
  <c r="B398" i="1"/>
  <c r="B525" i="1"/>
  <c r="B335" i="1"/>
  <c r="B349" i="1"/>
  <c r="B273" i="1"/>
  <c r="B287" i="1"/>
  <c r="B250" i="1"/>
  <c r="B259" i="1"/>
  <c r="AN39" i="7"/>
  <c r="AN63" i="7"/>
  <c r="AG50" i="7"/>
  <c r="AH50" i="7"/>
  <c r="AI50" i="7"/>
  <c r="AJ50" i="7"/>
  <c r="AK50" i="7"/>
  <c r="AL50" i="7"/>
  <c r="AM50" i="7"/>
  <c r="AT70" i="7"/>
  <c r="AU70" i="7"/>
  <c r="AN66" i="7"/>
  <c r="AN64" i="7"/>
  <c r="AN65" i="7"/>
  <c r="X575" i="1"/>
  <c r="AF47" i="7"/>
  <c r="M509" i="1"/>
  <c r="M546" i="1"/>
  <c r="M507" i="1"/>
  <c r="M525" i="1"/>
  <c r="M508" i="1"/>
  <c r="M510" i="1"/>
  <c r="M573" i="1"/>
  <c r="M571" i="1"/>
  <c r="M572" i="1"/>
  <c r="X512" i="1"/>
  <c r="X448" i="1"/>
  <c r="X385" i="1"/>
  <c r="X322" i="1"/>
  <c r="K295" i="1"/>
  <c r="M319" i="1"/>
  <c r="M356" i="1"/>
  <c r="M318" i="1"/>
  <c r="M335" i="1"/>
  <c r="M320" i="1"/>
  <c r="AM40" i="7"/>
  <c r="S509" i="1"/>
  <c r="W509" i="1"/>
  <c r="BG40" i="7"/>
  <c r="BH63" i="7"/>
  <c r="BA29" i="7"/>
  <c r="BA30" i="7"/>
  <c r="AZ50" i="7"/>
  <c r="BA50" i="7"/>
  <c r="BB50" i="7"/>
  <c r="BC50" i="7"/>
  <c r="BD50" i="7"/>
  <c r="BE50" i="7"/>
  <c r="BF50" i="7"/>
  <c r="BG50" i="7"/>
  <c r="BP48" i="7"/>
  <c r="BP50" i="7"/>
  <c r="BN70" i="7"/>
  <c r="BO70" i="7"/>
  <c r="BP64" i="7"/>
  <c r="BP63" i="7"/>
  <c r="BP65" i="7"/>
  <c r="BP53" i="7"/>
  <c r="BP52" i="7"/>
  <c r="BH66" i="7"/>
  <c r="BH64" i="7"/>
  <c r="BH65" i="7"/>
  <c r="AZ63" i="7"/>
  <c r="AZ70" i="7"/>
  <c r="AZ66" i="7"/>
  <c r="AZ64" i="7"/>
  <c r="AZ65" i="7"/>
  <c r="S329" i="1"/>
  <c r="AH40" i="7"/>
  <c r="AJ40" i="7"/>
  <c r="S455" i="1"/>
  <c r="BG66" i="7"/>
  <c r="BG55" i="7"/>
  <c r="BG63" i="7"/>
  <c r="BG64" i="7"/>
  <c r="BG54" i="7"/>
  <c r="BG65" i="7"/>
  <c r="AM64" i="7"/>
  <c r="AM63" i="7"/>
  <c r="AM65" i="7"/>
  <c r="AM55" i="7"/>
  <c r="AM66" i="7"/>
  <c r="AM54" i="7"/>
  <c r="AM39" i="7"/>
  <c r="W392" i="1"/>
  <c r="BC40" i="7"/>
  <c r="W519" i="1"/>
  <c r="BE40" i="7"/>
  <c r="W582" i="1"/>
  <c r="BF40" i="7"/>
  <c r="S582" i="1"/>
  <c r="AL40" i="7"/>
  <c r="BF32" i="1"/>
  <c r="AP32" i="1"/>
  <c r="BV32" i="1"/>
  <c r="BN32" i="1"/>
  <c r="AX32" i="1"/>
  <c r="AH32" i="1"/>
  <c r="AT32" i="1"/>
  <c r="BR32" i="1"/>
  <c r="BJ32" i="1"/>
  <c r="BB32" i="1"/>
  <c r="AL32" i="1"/>
  <c r="AD32" i="1"/>
  <c r="W329" i="1"/>
  <c r="BB40" i="7"/>
  <c r="W455" i="1"/>
  <c r="BD40" i="7"/>
  <c r="BQ32" i="1"/>
  <c r="BA32" i="1"/>
  <c r="AK32" i="1"/>
  <c r="BI32" i="1"/>
  <c r="AS32" i="1"/>
  <c r="BE32" i="1"/>
  <c r="AG32" i="1"/>
  <c r="AW32" i="1"/>
  <c r="AO32" i="1"/>
  <c r="BM32" i="1"/>
  <c r="BU32" i="1"/>
  <c r="AC32" i="1"/>
  <c r="AN47" i="7"/>
  <c r="BH47" i="7"/>
  <c r="W32" i="1"/>
  <c r="N10" i="7"/>
  <c r="S32" i="1"/>
  <c r="H10" i="7"/>
  <c r="BL32" i="1"/>
  <c r="AV32" i="1"/>
  <c r="AF32" i="1"/>
  <c r="BT32" i="1"/>
  <c r="BD32" i="1"/>
  <c r="AN32" i="1"/>
  <c r="BP32" i="1"/>
  <c r="AJ32" i="1"/>
  <c r="AZ32" i="1"/>
  <c r="AR32" i="1"/>
  <c r="AB32" i="1"/>
  <c r="BH32" i="1"/>
  <c r="BB70" i="7"/>
  <c r="BA66" i="7"/>
  <c r="BA54" i="7"/>
  <c r="BA65" i="7"/>
  <c r="BA55" i="7"/>
  <c r="BA64" i="7"/>
  <c r="BA63" i="7"/>
  <c r="AI40" i="7"/>
  <c r="S392" i="1"/>
  <c r="S519" i="1"/>
  <c r="AK40" i="7"/>
  <c r="AG63" i="7"/>
  <c r="AG64" i="7"/>
  <c r="AH70" i="7"/>
  <c r="AG66" i="7"/>
  <c r="AG54" i="7"/>
  <c r="AG55" i="7"/>
  <c r="AG39" i="7"/>
  <c r="AG65" i="7"/>
  <c r="AI64" i="7"/>
  <c r="AI63" i="7"/>
  <c r="AL70" i="7"/>
  <c r="AI65" i="7"/>
  <c r="AI55" i="7"/>
  <c r="AI66" i="7"/>
  <c r="AI39" i="7"/>
  <c r="AI54" i="7"/>
  <c r="BF64" i="7"/>
  <c r="BL70" i="7"/>
  <c r="BF66" i="7"/>
  <c r="BF63" i="7"/>
  <c r="BF65" i="7"/>
  <c r="BF55" i="7"/>
  <c r="BF54" i="7"/>
  <c r="BJ70" i="7"/>
  <c r="BE66" i="7"/>
  <c r="BE54" i="7"/>
  <c r="BE64" i="7"/>
  <c r="BE65" i="7"/>
  <c r="BE63" i="7"/>
  <c r="BE55" i="7"/>
  <c r="AH39" i="7"/>
  <c r="AH54" i="7"/>
  <c r="AJ70" i="7"/>
  <c r="AH65" i="7"/>
  <c r="AH55" i="7"/>
  <c r="AH63" i="7"/>
  <c r="AH66" i="7"/>
  <c r="AH64" i="7"/>
  <c r="AJ39" i="7"/>
  <c r="AJ55" i="7"/>
  <c r="AN70" i="7"/>
  <c r="AJ66" i="7"/>
  <c r="AJ64" i="7"/>
  <c r="AJ54" i="7"/>
  <c r="AJ65" i="7"/>
  <c r="AJ63" i="7"/>
  <c r="AK63" i="7"/>
  <c r="AK64" i="7"/>
  <c r="AP70" i="7"/>
  <c r="AK66" i="7"/>
  <c r="AK54" i="7"/>
  <c r="AK39" i="7"/>
  <c r="AK65" i="7"/>
  <c r="AK55" i="7"/>
  <c r="BB64" i="7"/>
  <c r="BD70" i="7"/>
  <c r="BB66" i="7"/>
  <c r="BB63" i="7"/>
  <c r="BB65" i="7"/>
  <c r="BB55" i="7"/>
  <c r="BB54" i="7"/>
  <c r="AL39" i="7"/>
  <c r="AL54" i="7"/>
  <c r="AL64" i="7"/>
  <c r="AR70" i="7"/>
  <c r="AL65" i="7"/>
  <c r="AL63" i="7"/>
  <c r="AL55" i="7"/>
  <c r="AL66" i="7"/>
  <c r="BF70" i="7"/>
  <c r="BC66" i="7"/>
  <c r="BC55" i="7"/>
  <c r="BC64" i="7"/>
  <c r="BC54" i="7"/>
  <c r="BC65" i="7"/>
  <c r="BC63" i="7"/>
  <c r="BD63" i="7"/>
  <c r="BH70" i="7"/>
  <c r="BD66" i="7"/>
  <c r="BD64" i="7"/>
  <c r="BD54" i="7"/>
  <c r="BD65" i="7"/>
  <c r="BD55" i="7"/>
  <c r="BP59" i="7"/>
  <c r="BP61" i="7"/>
  <c r="AV59" i="7"/>
  <c r="AV61" i="7"/>
  <c r="BH57" i="7"/>
  <c r="AZ57" i="7"/>
  <c r="BA31" i="7"/>
  <c r="BH50" i="7"/>
  <c r="AZ54" i="7"/>
  <c r="BH54" i="7"/>
  <c r="AZ53" i="7"/>
  <c r="BH53" i="7"/>
  <c r="BG53" i="7"/>
  <c r="BA53" i="7"/>
  <c r="BE53" i="7"/>
  <c r="BF53" i="7"/>
  <c r="BC53" i="7"/>
  <c r="BB53" i="7"/>
  <c r="BD53" i="7"/>
  <c r="AN57" i="7"/>
  <c r="AF57" i="7"/>
  <c r="AU31" i="7"/>
  <c r="AF53" i="7"/>
  <c r="AN50" i="7"/>
  <c r="AN53" i="7"/>
  <c r="AF54" i="7"/>
  <c r="AN54" i="7"/>
  <c r="AG53" i="7"/>
  <c r="AM53" i="7"/>
  <c r="AJ53" i="7"/>
  <c r="AK53" i="7"/>
  <c r="AH53" i="7"/>
  <c r="AL53" i="7"/>
  <c r="AI53" i="7"/>
  <c r="BH52" i="7"/>
  <c r="BF52" i="7"/>
  <c r="BD52" i="7"/>
  <c r="BB52" i="7"/>
  <c r="AZ52" i="7"/>
  <c r="BG52" i="7"/>
  <c r="BE52" i="7"/>
  <c r="BC52" i="7"/>
  <c r="BA52" i="7"/>
  <c r="BF57" i="7"/>
  <c r="BB57" i="7"/>
  <c r="BE57" i="7"/>
  <c r="BA57" i="7"/>
  <c r="BD57" i="7"/>
  <c r="BC57" i="7"/>
  <c r="BG57" i="7"/>
  <c r="AM52" i="7"/>
  <c r="AK52" i="7"/>
  <c r="AI52" i="7"/>
  <c r="AG52" i="7"/>
  <c r="AN52" i="7"/>
  <c r="AL52" i="7"/>
  <c r="AJ52" i="7"/>
  <c r="AH52" i="7"/>
  <c r="AF52" i="7"/>
  <c r="AM57" i="7"/>
  <c r="AI57" i="7"/>
  <c r="AL57" i="7"/>
  <c r="AH57" i="7"/>
  <c r="AK57" i="7"/>
  <c r="AJ57" i="7"/>
  <c r="AG57" i="7"/>
  <c r="BF60" i="7"/>
  <c r="BB60" i="7"/>
  <c r="BE60" i="7"/>
  <c r="BA60" i="7"/>
  <c r="BH60" i="7"/>
  <c r="AZ60" i="7"/>
  <c r="BG60" i="7"/>
  <c r="BD60" i="7"/>
  <c r="BC60" i="7"/>
  <c r="BP76" i="7"/>
  <c r="AV76" i="7"/>
  <c r="BH56" i="7"/>
  <c r="AZ55" i="7"/>
  <c r="BH55" i="7"/>
  <c r="AZ56" i="7"/>
  <c r="BG56" i="7"/>
  <c r="BA56" i="7"/>
  <c r="BF56" i="7"/>
  <c r="BE56" i="7"/>
  <c r="BB56" i="7"/>
  <c r="BC56" i="7"/>
  <c r="BD56" i="7"/>
  <c r="AN56" i="7"/>
  <c r="AF55" i="7"/>
  <c r="AF56" i="7"/>
  <c r="AN55" i="7"/>
  <c r="AM56" i="7"/>
  <c r="AG56" i="7"/>
  <c r="AI56" i="7"/>
  <c r="AH56" i="7"/>
  <c r="AL56" i="7"/>
  <c r="AK56" i="7"/>
  <c r="AJ56" i="7"/>
  <c r="BH61" i="7"/>
  <c r="BD61" i="7"/>
  <c r="AZ61" i="7"/>
  <c r="AZ84" i="7"/>
  <c r="BG61" i="7"/>
  <c r="BC61" i="7"/>
  <c r="BF61" i="7"/>
  <c r="BE61" i="7"/>
  <c r="BE84" i="7"/>
  <c r="BB61" i="7"/>
  <c r="BA61" i="7"/>
  <c r="AM60" i="7"/>
  <c r="AI60" i="7"/>
  <c r="AL60" i="7"/>
  <c r="AH60" i="7"/>
  <c r="AG60" i="7"/>
  <c r="AN60" i="7"/>
  <c r="AF60" i="7"/>
  <c r="AK60" i="7"/>
  <c r="AJ60" i="7"/>
  <c r="BA70" i="7"/>
  <c r="AG70" i="7"/>
  <c r="BB83" i="7"/>
  <c r="BD83" i="7"/>
  <c r="BG83" i="7"/>
  <c r="BH59" i="7"/>
  <c r="BH82" i="7"/>
  <c r="BD59" i="7"/>
  <c r="AZ59" i="7"/>
  <c r="BG59" i="7"/>
  <c r="BG82" i="7"/>
  <c r="BC59" i="7"/>
  <c r="BC82" i="7"/>
  <c r="BB59" i="7"/>
  <c r="BA59" i="7"/>
  <c r="BF59" i="7"/>
  <c r="BF82" i="7"/>
  <c r="BE59" i="7"/>
  <c r="BE82" i="7"/>
  <c r="BH79" i="7"/>
  <c r="BC83" i="7"/>
  <c r="BF79" i="7"/>
  <c r="BE79" i="7"/>
  <c r="AZ78" i="7"/>
  <c r="BD79" i="7"/>
  <c r="BA83" i="7"/>
  <c r="BF83" i="7"/>
  <c r="BG79" i="7"/>
  <c r="BA82" i="7"/>
  <c r="AZ82" i="7"/>
  <c r="BA79" i="7"/>
  <c r="BE83" i="7"/>
  <c r="BA90" i="7"/>
  <c r="BA84" i="7"/>
  <c r="BC84" i="7"/>
  <c r="BH84" i="7"/>
  <c r="BH83" i="7"/>
  <c r="BB79" i="7"/>
  <c r="BB82" i="7"/>
  <c r="BD82" i="7"/>
  <c r="BC79" i="7"/>
  <c r="BB84" i="7"/>
  <c r="BG84" i="7"/>
  <c r="BH87" i="7"/>
  <c r="AZ87" i="7"/>
  <c r="AZ86" i="7"/>
  <c r="BH86" i="7"/>
  <c r="BA87" i="7"/>
  <c r="BG78" i="7"/>
  <c r="BA86" i="7"/>
  <c r="BA78" i="7"/>
  <c r="BA77" i="7"/>
  <c r="BG87" i="7"/>
  <c r="BG86" i="7"/>
  <c r="BG77" i="7"/>
  <c r="BF77" i="7"/>
  <c r="BB77" i="7"/>
  <c r="BD86" i="7"/>
  <c r="BE77" i="7"/>
  <c r="BB87" i="7"/>
  <c r="BD87" i="7"/>
  <c r="BF78" i="7"/>
  <c r="BC77" i="7"/>
  <c r="BE86" i="7"/>
  <c r="BE78" i="7"/>
  <c r="BC86" i="7"/>
  <c r="BB86" i="7"/>
  <c r="BE87" i="7"/>
  <c r="BD78" i="7"/>
  <c r="BF87" i="7"/>
  <c r="BC78" i="7"/>
  <c r="BB78" i="7"/>
  <c r="BC87" i="7"/>
  <c r="BD77" i="7"/>
  <c r="BF86" i="7"/>
  <c r="BG80" i="7"/>
  <c r="BD80" i="7"/>
  <c r="BB76" i="7"/>
  <c r="BA80" i="7"/>
  <c r="BH77" i="7"/>
  <c r="BC75" i="7"/>
  <c r="BH80" i="7"/>
  <c r="BC80" i="7"/>
  <c r="BH76" i="7"/>
  <c r="BE80" i="7"/>
  <c r="AZ77" i="7"/>
  <c r="BA75" i="7"/>
  <c r="BB80" i="7"/>
  <c r="BD76" i="7"/>
  <c r="BF80" i="7"/>
  <c r="BA76" i="7"/>
  <c r="AZ75" i="7"/>
  <c r="AZ80" i="7"/>
  <c r="BB75" i="7"/>
  <c r="BF76" i="7"/>
  <c r="BE75" i="7"/>
  <c r="BE76" i="7"/>
  <c r="BG75" i="7"/>
  <c r="BH75" i="7"/>
  <c r="BC76" i="7"/>
  <c r="BD75" i="7"/>
  <c r="AZ76" i="7"/>
  <c r="BF75" i="7"/>
  <c r="BG76" i="7"/>
  <c r="AI70" i="7"/>
  <c r="BB90" i="7"/>
  <c r="BC70" i="7"/>
  <c r="BC90" i="7"/>
  <c r="AZ83" i="7"/>
  <c r="BH78" i="7"/>
  <c r="AZ90" i="7"/>
  <c r="AZ79" i="7"/>
  <c r="BF84" i="7"/>
  <c r="BD84" i="7"/>
  <c r="AN83" i="7"/>
  <c r="AK59" i="7"/>
  <c r="AG59" i="7"/>
  <c r="AN59" i="7"/>
  <c r="AJ59" i="7"/>
  <c r="AJ82" i="7"/>
  <c r="AF59" i="7"/>
  <c r="AI59" i="7"/>
  <c r="AH59" i="7"/>
  <c r="AM59" i="7"/>
  <c r="AM82" i="7"/>
  <c r="AL59" i="7"/>
  <c r="AK61" i="7"/>
  <c r="AG61" i="7"/>
  <c r="AN61" i="7"/>
  <c r="AJ61" i="7"/>
  <c r="AF61" i="7"/>
  <c r="AM61" i="7"/>
  <c r="AL61" i="7"/>
  <c r="AI61" i="7"/>
  <c r="AH61" i="7"/>
  <c r="AJ83" i="7"/>
  <c r="AM84" i="7"/>
  <c r="AG84" i="7"/>
  <c r="AL83" i="7"/>
  <c r="AG90" i="7"/>
  <c r="AH84" i="7"/>
  <c r="AK84" i="7"/>
  <c r="AH82" i="7"/>
  <c r="AF83" i="7"/>
  <c r="AH90" i="7"/>
  <c r="AK83" i="7"/>
  <c r="AJ90" i="7"/>
  <c r="AK70" i="7"/>
  <c r="AK90" i="7"/>
  <c r="AM83" i="7"/>
  <c r="AI84" i="7"/>
  <c r="AJ84" i="7"/>
  <c r="AI82" i="7"/>
  <c r="AG82" i="7"/>
  <c r="AN87" i="7"/>
  <c r="AF86" i="7"/>
  <c r="AF87" i="7"/>
  <c r="AN86" i="7"/>
  <c r="AG87" i="7"/>
  <c r="AG78" i="7"/>
  <c r="AM78" i="7"/>
  <c r="AM77" i="7"/>
  <c r="AG77" i="7"/>
  <c r="AM86" i="7"/>
  <c r="AG86" i="7"/>
  <c r="AM87" i="7"/>
  <c r="AJ87" i="7"/>
  <c r="AL78" i="7"/>
  <c r="AK78" i="7"/>
  <c r="AK87" i="7"/>
  <c r="AI78" i="7"/>
  <c r="AH86" i="7"/>
  <c r="AI77" i="7"/>
  <c r="AH87" i="7"/>
  <c r="AL77" i="7"/>
  <c r="AJ86" i="7"/>
  <c r="AJ77" i="7"/>
  <c r="AL87" i="7"/>
  <c r="AI86" i="7"/>
  <c r="AJ78" i="7"/>
  <c r="AI87" i="7"/>
  <c r="AH78" i="7"/>
  <c r="AL86" i="7"/>
  <c r="AK77" i="7"/>
  <c r="AH77" i="7"/>
  <c r="AK86" i="7"/>
  <c r="AI76" i="7"/>
  <c r="AF76" i="7"/>
  <c r="AL76" i="7"/>
  <c r="AF77" i="7"/>
  <c r="AK76" i="7"/>
  <c r="AN76" i="7"/>
  <c r="AG76" i="7"/>
  <c r="AH76" i="7"/>
  <c r="AN80" i="7"/>
  <c r="AJ76" i="7"/>
  <c r="AM76" i="7"/>
  <c r="AF80" i="7"/>
  <c r="AN77" i="7"/>
  <c r="AF78" i="7"/>
  <c r="AL79" i="7"/>
  <c r="AH80" i="7"/>
  <c r="AJ80" i="7"/>
  <c r="AK79" i="7"/>
  <c r="AK75" i="7"/>
  <c r="AJ79" i="7"/>
  <c r="AI75" i="7"/>
  <c r="AN79" i="7"/>
  <c r="AF90" i="7"/>
  <c r="AF75" i="7"/>
  <c r="AH79" i="7"/>
  <c r="AK80" i="7"/>
  <c r="AM80" i="7"/>
  <c r="AN75" i="7"/>
  <c r="AN78" i="7"/>
  <c r="AH75" i="7"/>
  <c r="AF79" i="7"/>
  <c r="AI80" i="7"/>
  <c r="AL75" i="7"/>
  <c r="AG80" i="7"/>
  <c r="AM75" i="7"/>
  <c r="AG75" i="7"/>
  <c r="AJ75" i="7"/>
  <c r="AL80" i="7"/>
  <c r="AG79" i="7"/>
  <c r="AM79" i="7"/>
  <c r="AI79" i="7"/>
  <c r="AI90" i="7"/>
  <c r="AH83" i="7"/>
  <c r="AF84" i="7"/>
  <c r="AI83" i="7"/>
  <c r="AN82" i="7"/>
  <c r="AG83" i="7"/>
  <c r="AL84" i="7"/>
  <c r="AN84" i="7"/>
  <c r="AL82" i="7"/>
  <c r="AF82" i="7"/>
  <c r="AK82" i="7"/>
  <c r="BD90" i="7"/>
  <c r="BE70" i="7"/>
  <c r="BE90" i="7"/>
  <c r="AL90" i="7"/>
  <c r="AM70" i="7"/>
  <c r="AM90" i="7"/>
  <c r="BF90" i="7"/>
  <c r="BG70" i="7"/>
  <c r="BG90" i="7"/>
  <c r="BH90" i="7"/>
  <c r="BI70" i="7"/>
  <c r="BI90" i="7"/>
  <c r="AN90" i="7"/>
  <c r="AO70" i="7"/>
  <c r="AO90" i="7"/>
  <c r="AP90" i="7"/>
  <c r="AQ70" i="7"/>
  <c r="AQ90" i="7"/>
  <c r="BJ90" i="7"/>
  <c r="BK70" i="7"/>
  <c r="BK90" i="7"/>
  <c r="AT90" i="7"/>
  <c r="AU90" i="7"/>
  <c r="AR90" i="7"/>
  <c r="AS70" i="7"/>
  <c r="AS90" i="7"/>
  <c r="BN90" i="7"/>
  <c r="BO90" i="7"/>
  <c r="BL90" i="7"/>
  <c r="BM70" i="7"/>
  <c r="BM90" i="7"/>
</calcChain>
</file>

<file path=xl/sharedStrings.xml><?xml version="1.0" encoding="utf-8"?>
<sst xmlns="http://schemas.openxmlformats.org/spreadsheetml/2006/main" count="813" uniqueCount="435">
  <si>
    <t>Phase</t>
  </si>
  <si>
    <t>ACT_TOT</t>
  </si>
  <si>
    <t>Period</t>
  </si>
  <si>
    <t>Legal organization</t>
  </si>
  <si>
    <t>Activity</t>
  </si>
  <si>
    <t>Currency</t>
  </si>
  <si>
    <t>Gaap</t>
  </si>
  <si>
    <t>Integration rate</t>
  </si>
  <si>
    <t>Language</t>
  </si>
  <si>
    <t>English</t>
  </si>
  <si>
    <t>Period_Year_Month</t>
  </si>
  <si>
    <t>output</t>
  </si>
  <si>
    <t>Indicator</t>
  </si>
  <si>
    <t xml:space="preserve"> </t>
  </si>
  <si>
    <t>PL0000_ST</t>
  </si>
  <si>
    <t>PL0000_DO</t>
  </si>
  <si>
    <t>D - Driving Cost as % of revenue</t>
  </si>
  <si>
    <t>z_Translate_Report</t>
  </si>
  <si>
    <t>Context_selection</t>
  </si>
  <si>
    <t>P&amp;L Aggregated Context :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</si>
  <si>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</si>
  <si>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</si>
  <si>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</si>
  <si>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</si>
  <si>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</si>
  <si>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</si>
  <si>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</si>
  <si>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</si>
  <si>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</si>
  <si>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</si>
  <si>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</si>
  <si>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</si>
  <si>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</si>
  <si>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</si>
  <si>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</si>
  <si>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Note List :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</si>
  <si>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</si>
  <si>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</si>
  <si>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</si>
  <si>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</si>
  <si>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</si>
  <si>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French</t>
  </si>
  <si>
    <t>A</t>
  </si>
  <si>
    <t>B</t>
  </si>
  <si>
    <t>C</t>
  </si>
  <si>
    <t>PL1110_DO_10</t>
  </si>
  <si>
    <t>PL1115_DO_20</t>
  </si>
  <si>
    <t>PL1115_DO_99</t>
  </si>
  <si>
    <t>PL1155_DO_10</t>
  </si>
  <si>
    <t>PL1140_DO_10</t>
  </si>
  <si>
    <t>PL0000_DO_IM</t>
  </si>
  <si>
    <t>PL1110_MF_10</t>
  </si>
  <si>
    <t>PL1115_MF_20</t>
  </si>
  <si>
    <t>PL1115_MF_11</t>
  </si>
  <si>
    <t>PL1115_MF_12</t>
  </si>
  <si>
    <t>PL1115_MF_25</t>
  </si>
  <si>
    <t>PL1115_MF_30</t>
  </si>
  <si>
    <t>PL1115_MF_31</t>
  </si>
  <si>
    <t>PL1115_MF_32</t>
  </si>
  <si>
    <t>PL1115_MF_99</t>
  </si>
  <si>
    <t>PL1155_MF_99</t>
  </si>
  <si>
    <t>PL0000_MF_IM</t>
  </si>
  <si>
    <t>PL1115_ET_80</t>
  </si>
  <si>
    <t>PL1115_ET_81</t>
  </si>
  <si>
    <t>PL1115_ET_82</t>
  </si>
  <si>
    <t>PL1115_ET_83</t>
  </si>
  <si>
    <t>PL1115_ET_99</t>
  </si>
  <si>
    <t>PL1155_ET_15</t>
  </si>
  <si>
    <t>PL1155_ET_16</t>
  </si>
  <si>
    <t>PL1155_ET_17</t>
  </si>
  <si>
    <t>PL1155_ET_18</t>
  </si>
  <si>
    <t>PL1155_ET_99</t>
  </si>
  <si>
    <t>PL1155_FL_99</t>
  </si>
  <si>
    <t>PL1150_FL_10</t>
  </si>
  <si>
    <t>PL1140_FL_05</t>
  </si>
  <si>
    <t>PL1160_FL_10</t>
  </si>
  <si>
    <t>PL0000_MI</t>
  </si>
  <si>
    <t>PL0000_CD</t>
  </si>
  <si>
    <t>PL0000_CS</t>
  </si>
  <si>
    <t>PL0000_DS</t>
  </si>
  <si>
    <t>PL0000_AC</t>
  </si>
  <si>
    <t>TPL10_dest_nosub</t>
  </si>
  <si>
    <t>PL0000_OT</t>
  </si>
  <si>
    <t>PMM_D1</t>
  </si>
  <si>
    <t>PMM_D2</t>
  </si>
  <si>
    <t>PMM_D3</t>
  </si>
  <si>
    <t>PMM_GM_IMPACT_D</t>
  </si>
  <si>
    <t>PMM_GM_IMPACT_M1</t>
  </si>
  <si>
    <t>PMM_GM_IMPACT_M2</t>
  </si>
  <si>
    <t>PMM_GM_IMPACT_M3</t>
  </si>
  <si>
    <t>PMM_GM_IMPACT_D1</t>
  </si>
  <si>
    <t>PMM_GM_IMPACT_D2</t>
  </si>
  <si>
    <t>PMM_GM_IMPACT_D3</t>
  </si>
  <si>
    <t>PMM_GM_IMPACT_DCOMP</t>
  </si>
  <si>
    <t>PMM_GM_IMPACT_DVOL</t>
  </si>
  <si>
    <t>PMM_M</t>
  </si>
  <si>
    <t>PMM_D</t>
  </si>
  <si>
    <t>PMM_M1</t>
  </si>
  <si>
    <t>PMM_M2</t>
  </si>
  <si>
    <t>PMM_M3</t>
  </si>
  <si>
    <t>PMM_D_CWU</t>
  </si>
  <si>
    <t>PMM_D_PWU</t>
  </si>
  <si>
    <t>PMM_GM_IMPACT_MCOMP</t>
  </si>
  <si>
    <t>PMM_GM_IMPACT_MVOL</t>
  </si>
  <si>
    <t>PMM_GM_IMPACT_M</t>
  </si>
  <si>
    <t>PMM_M_CWU</t>
  </si>
  <si>
    <t>PMM_M_PWU</t>
  </si>
  <si>
    <t>PMM_E1</t>
  </si>
  <si>
    <t>PMM_E2</t>
  </si>
  <si>
    <t>PMM_E3</t>
  </si>
  <si>
    <t>PMM_E</t>
  </si>
  <si>
    <t>PMM_E_CWU</t>
  </si>
  <si>
    <t>PMM_E_PWU</t>
  </si>
  <si>
    <t>PMM_GM_IMPACT_E1</t>
  </si>
  <si>
    <t>PMM_GM_IMPACT_E2</t>
  </si>
  <si>
    <t>PMM_GM_IMPACT_E3</t>
  </si>
  <si>
    <t>PMM_GM_IMPACT_ECOMP</t>
  </si>
  <si>
    <t>PMM_GM_IMPACT_EVOL</t>
  </si>
  <si>
    <t>PMM_GM_IMPACT_E</t>
  </si>
  <si>
    <t>PMM_F1</t>
  </si>
  <si>
    <t>PMM_F2</t>
  </si>
  <si>
    <t>PMM_F3</t>
  </si>
  <si>
    <t>PMM_F</t>
  </si>
  <si>
    <t>PMM_F_CWU</t>
  </si>
  <si>
    <t>PMM_F_PWU</t>
  </si>
  <si>
    <t>PMM_GM_IMPACT_F1</t>
  </si>
  <si>
    <t>PMM_GM_IMPACT_F2</t>
  </si>
  <si>
    <t>PMM_GM_IMPACT_F3</t>
  </si>
  <si>
    <t>PMM_GM_IMPACT_FCOMP</t>
  </si>
  <si>
    <t>PMM_GM_IMPACT_F</t>
  </si>
  <si>
    <t>PMM_GM_IMPACT_FVOL</t>
  </si>
  <si>
    <t>PMM_O</t>
  </si>
  <si>
    <t>PMM_O1</t>
  </si>
  <si>
    <t>PMM_O2</t>
  </si>
  <si>
    <t>PMM_O3</t>
  </si>
  <si>
    <t>PMM_GM_IMPACT_O1</t>
  </si>
  <si>
    <t>PMM_GM_IMPACT_O2</t>
  </si>
  <si>
    <t>PMM_GM_IMPACT_O3</t>
  </si>
  <si>
    <t>PMM_GM_IMPACT_OCOMP</t>
  </si>
  <si>
    <t>PMM_GM_IMPACT_OVOL</t>
  </si>
  <si>
    <t>PMM_GM_IMPACT_O</t>
  </si>
  <si>
    <t>GROSS_MARGIN_dest</t>
  </si>
  <si>
    <t>PMM_GM_IMPACT_DMISS</t>
  </si>
  <si>
    <t>PMM_GM_IMPACT_MMISS</t>
  </si>
  <si>
    <t>PMM_GM_IMPACT_EMISS</t>
  </si>
  <si>
    <t>PMM_GM_IMPACT_FMISS</t>
  </si>
  <si>
    <t>PMM_GM_IMPACT_OMISS</t>
  </si>
  <si>
    <t>Calc excel</t>
  </si>
  <si>
    <t>Management_organization</t>
  </si>
  <si>
    <t>PMM_O_CWU</t>
  </si>
  <si>
    <t>PMM_O_PWU</t>
  </si>
  <si>
    <t>Cube n°3 :</t>
  </si>
  <si>
    <t>TPL11_dest_nosub</t>
  </si>
  <si>
    <t>PMM_detailed_analysis</t>
  </si>
  <si>
    <t>PMM_Level2</t>
  </si>
  <si>
    <t>M1_Maint_Cost_per</t>
  </si>
  <si>
    <t>M3_Revenue_per</t>
  </si>
  <si>
    <t>D1_Driv_Cost_per</t>
  </si>
  <si>
    <t>D3_Revenue_per</t>
  </si>
  <si>
    <t>E3_Revenue_per</t>
  </si>
  <si>
    <t>E1_Energ_Cost_per</t>
  </si>
  <si>
    <t>F3_Revenue_per</t>
  </si>
  <si>
    <t>F1_Fleet_Cost_per</t>
  </si>
  <si>
    <t>O1_Other_Cost_per</t>
  </si>
  <si>
    <t>O3_Revenue_per</t>
  </si>
  <si>
    <t>TOT_D_Impact</t>
  </si>
  <si>
    <t>TOT_M_Impact</t>
  </si>
  <si>
    <t>TOT_E_Impact</t>
  </si>
  <si>
    <t>TOT_F_Impact</t>
  </si>
  <si>
    <t>TOT_O_Impact</t>
  </si>
  <si>
    <t>ROA_Var</t>
  </si>
  <si>
    <t>Yes</t>
  </si>
  <si>
    <t>Charts synchronizaton</t>
  </si>
  <si>
    <t>Charts zoom</t>
  </si>
  <si>
    <t>yWater</t>
  </si>
  <si>
    <t>yTitle</t>
  </si>
  <si>
    <t>yLabel</t>
  </si>
  <si>
    <t>axis-</t>
  </si>
  <si>
    <t>axis</t>
  </si>
  <si>
    <t>axis+</t>
  </si>
  <si>
    <t>Bottom margin</t>
  </si>
  <si>
    <t>Space-</t>
  </si>
  <si>
    <t>Var-</t>
  </si>
  <si>
    <t>Var+</t>
  </si>
  <si>
    <t>Space+</t>
  </si>
  <si>
    <t>Top margin</t>
  </si>
  <si>
    <t>Tech Values</t>
  </si>
  <si>
    <t>xWater</t>
  </si>
  <si>
    <t>Water</t>
  </si>
  <si>
    <t>Axis- size</t>
  </si>
  <si>
    <t>Axis size</t>
  </si>
  <si>
    <t>Label Red</t>
  </si>
  <si>
    <t>Axis+ size</t>
  </si>
  <si>
    <t>Label Green</t>
  </si>
  <si>
    <t>Axis ratio</t>
  </si>
  <si>
    <t>ValDiv</t>
  </si>
  <si>
    <t>AbsMax</t>
  </si>
  <si>
    <t>Max</t>
  </si>
  <si>
    <t>Min</t>
  </si>
  <si>
    <t>xWater gap</t>
  </si>
  <si>
    <t>Bar space</t>
  </si>
  <si>
    <t>Size</t>
  </si>
  <si>
    <t>Label margin</t>
  </si>
  <si>
    <t>Label margin ratio</t>
  </si>
  <si>
    <t>Val2</t>
  </si>
  <si>
    <t>top/bottom margin</t>
  </si>
  <si>
    <t>Val</t>
  </si>
  <si>
    <t>Min top/bottom margin</t>
  </si>
  <si>
    <t>Var</t>
  </si>
  <si>
    <t>top/bottom margin ratio</t>
  </si>
  <si>
    <t>Global ratio</t>
  </si>
  <si>
    <t>Vol.</t>
  </si>
  <si>
    <t>O</t>
  </si>
  <si>
    <t>F</t>
  </si>
  <si>
    <t>E</t>
  </si>
  <si>
    <t>M</t>
  </si>
  <si>
    <t>D</t>
  </si>
  <si>
    <t>ROA</t>
  </si>
  <si>
    <t>Synchro</t>
  </si>
  <si>
    <t>-</t>
  </si>
  <si>
    <t>Zoom</t>
  </si>
  <si>
    <t>+</t>
  </si>
  <si>
    <t>ZoomVal</t>
  </si>
  <si>
    <t>Cut-</t>
  </si>
  <si>
    <t>Cut+</t>
  </si>
  <si>
    <t>Round</t>
  </si>
  <si>
    <t>maxFactor</t>
  </si>
  <si>
    <t>SizeFactor+</t>
  </si>
  <si>
    <t>maxVal</t>
  </si>
  <si>
    <t>maxVar</t>
  </si>
  <si>
    <t>GM_Var_Bridge</t>
  </si>
  <si>
    <t>Actual_N_1</t>
  </si>
  <si>
    <t>Warning_work_unit</t>
  </si>
  <si>
    <t>Not_defined</t>
  </si>
  <si>
    <t>Management_Organization</t>
  </si>
  <si>
    <t>PL1003_RC_PR</t>
  </si>
  <si>
    <t>PL1003_RC_30</t>
  </si>
  <si>
    <t>PL1003_RC_SA</t>
  </si>
  <si>
    <t>PL1003_RC_45</t>
  </si>
  <si>
    <t>PL1007_RC_OG</t>
  </si>
  <si>
    <t>PL0000_RP</t>
  </si>
  <si>
    <t>PL0000_AR</t>
  </si>
  <si>
    <t>Gross_Margin_percentage_ROA_nosub</t>
  </si>
  <si>
    <t>Integration_Rate</t>
  </si>
  <si>
    <t>Legal_Organization</t>
  </si>
  <si>
    <t>Default values</t>
  </si>
  <si>
    <t>PMM_TRANSIT</t>
  </si>
  <si>
    <t>LCL</t>
  </si>
  <si>
    <t>Local_Gaap_Mgmt_tool</t>
  </si>
  <si>
    <t>NO_APP</t>
  </si>
  <si>
    <t>Years</t>
  </si>
  <si>
    <t>V8</t>
  </si>
  <si>
    <t>V9</t>
  </si>
  <si>
    <t>VF</t>
  </si>
  <si>
    <t>Phase BUD</t>
  </si>
  <si>
    <t>Phase FC1</t>
  </si>
  <si>
    <t>Phase FC2</t>
  </si>
  <si>
    <t>N</t>
  </si>
  <si>
    <t>N+1</t>
  </si>
  <si>
    <t>N-1</t>
  </si>
  <si>
    <t>Prior year</t>
  </si>
  <si>
    <t>Next year</t>
  </si>
  <si>
    <t>REV</t>
  </si>
  <si>
    <t>J</t>
  </si>
  <si>
    <t>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</si>
  <si>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</si>
  <si>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</si>
  <si>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</si>
  <si>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</si>
  <si>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</si>
  <si>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</si>
  <si>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</si>
  <si>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</si>
  <si>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</si>
  <si>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</si>
  <si>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</si>
  <si>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</si>
  <si>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D_PWU</t>
  </si>
  <si>
    <t>D3</t>
  </si>
  <si>
    <t>AB</t>
  </si>
  <si>
    <t>AF</t>
  </si>
  <si>
    <t>AJ</t>
  </si>
  <si>
    <t>AN</t>
  </si>
  <si>
    <t>AR</t>
  </si>
  <si>
    <t>AV</t>
  </si>
  <si>
    <t>AZ</t>
  </si>
  <si>
    <t>BD</t>
  </si>
  <si>
    <t>BH</t>
  </si>
  <si>
    <t>BL</t>
  </si>
  <si>
    <t>BP</t>
  </si>
  <si>
    <t>BT</t>
  </si>
  <si>
    <t xml:space="preserve">Business Model : </t>
  </si>
  <si>
    <t>PAYS</t>
  </si>
  <si>
    <t>BM</t>
  </si>
  <si>
    <t>LABEL_BM</t>
  </si>
  <si>
    <t>D1</t>
  </si>
  <si>
    <t>D2</t>
  </si>
  <si>
    <t>M1</t>
  </si>
  <si>
    <t>M2</t>
  </si>
  <si>
    <t>E1</t>
  </si>
  <si>
    <t>E2</t>
  </si>
  <si>
    <t>F1</t>
  </si>
  <si>
    <t>F2</t>
  </si>
  <si>
    <t>SUBNM(Server&amp;A11;"";DEFAULT_PERIOD;$N$18)</t>
  </si>
  <si>
    <t>tango_core_model:</t>
  </si>
  <si>
    <t>REPORT_PL</t>
  </si>
  <si>
    <t>TC_PMM_BM_WU</t>
  </si>
  <si>
    <t>Specific descriptions</t>
  </si>
  <si>
    <t>Tot_km</t>
  </si>
  <si>
    <t>Total km : Total number of kilometers, revenue and non revenue, run over the considered period by a trainset</t>
  </si>
  <si>
    <t>Km totaux : Les kilomètres totaux correspondent au nombre total de kilomètres commerciaux et non commerciaux parcourus par les trains</t>
  </si>
  <si>
    <t>Tot_nb_vehicle</t>
  </si>
  <si>
    <t>Total number of vehicles : Total number of vessels at the end of a period within the operating fleet to deliver services</t>
  </si>
  <si>
    <t>Nombre total de véhicules : Le nombre total de véhicules correspond au nombre total de navires dans la flotte d'exploitation</t>
  </si>
  <si>
    <t>Rev_km</t>
  </si>
  <si>
    <t>Revenue km : Total number of kilometers run over the considered period on commercial services by a trainset</t>
  </si>
  <si>
    <t>Km Commerciaux : Nombre total de kilomètres parcourus par les trains en service commercial pendant la période concernée</t>
  </si>
  <si>
    <t>Tot_driv_hours</t>
  </si>
  <si>
    <t>Total driving paid hours : Total number of hours paid to crew members</t>
  </si>
  <si>
    <t>Total heures payées : Nombre total d'heures payées aux membres d'équipage</t>
  </si>
  <si>
    <t/>
  </si>
  <si>
    <t>Driv_rev_hours</t>
  </si>
  <si>
    <t>Nb_act_vandalism</t>
  </si>
  <si>
    <t>Tot_work_days</t>
  </si>
  <si>
    <t>Nb_op_serv</t>
  </si>
  <si>
    <t>Nb_pass</t>
  </si>
  <si>
    <t>Elec_consu</t>
  </si>
  <si>
    <t>Variable description for context selection</t>
  </si>
  <si>
    <t>Tot_km :</t>
  </si>
  <si>
    <t>Tot_nb_vehicle :</t>
  </si>
  <si>
    <t>Rev_km :</t>
  </si>
  <si>
    <t>Tot_driv_hours :</t>
  </si>
  <si>
    <t>N-2</t>
  </si>
  <si>
    <t>PL1002_FL_HG</t>
  </si>
  <si>
    <t>PL1002_MF_HG</t>
  </si>
  <si>
    <t>PL1003_MF_HG</t>
  </si>
  <si>
    <t>PL1006_FL</t>
  </si>
  <si>
    <t>PL1116_MF</t>
  </si>
  <si>
    <t>PL1145_MF</t>
  </si>
  <si>
    <t>PL1115_ET_801</t>
  </si>
  <si>
    <t>PL1115_ET_802</t>
  </si>
  <si>
    <t>PL1116_FL</t>
  </si>
  <si>
    <t>PL1151_FL_10</t>
  </si>
  <si>
    <t>PL0000_RC_PMM</t>
  </si>
  <si>
    <t>PL0000_ET_PMM</t>
  </si>
  <si>
    <t>PL0000_MF_PMM</t>
  </si>
  <si>
    <t>PL0000_FL_PMM</t>
  </si>
  <si>
    <t>PL0000_IN_PMM</t>
  </si>
  <si>
    <t>PL1140_MF_10</t>
  </si>
  <si>
    <t>PL1003_RC_55</t>
  </si>
  <si>
    <t>TPL12_dest</t>
  </si>
  <si>
    <t>TPL13_dest</t>
  </si>
  <si>
    <t>TPL14_dest</t>
  </si>
  <si>
    <t>TPL15_dest</t>
  </si>
  <si>
    <t>TPL16_dest</t>
  </si>
  <si>
    <t>TPL1_dest</t>
  </si>
  <si>
    <t>Bridge PMM</t>
  </si>
  <si>
    <t>∑ D3+M3+E3+F3+O3</t>
  </si>
  <si>
    <t>PL0000_BD</t>
  </si>
  <si>
    <t>PL0000_BD_CAFOP</t>
  </si>
  <si>
    <t>PL1210_BD</t>
  </si>
  <si>
    <t>PL1210_BD_20</t>
  </si>
  <si>
    <t>PL1216_BD</t>
  </si>
  <si>
    <t>PL1255_BD</t>
  </si>
  <si>
    <t>PL1265_BD</t>
  </si>
  <si>
    <t>PL0000_BD_OE</t>
  </si>
  <si>
    <t>PL0000_BD_RESOP</t>
  </si>
  <si>
    <t>PL1211_BD</t>
  </si>
  <si>
    <t>PL1240_BD</t>
  </si>
  <si>
    <t>PL1260_BD</t>
  </si>
  <si>
    <t>PL1270_BD</t>
  </si>
  <si>
    <t>PL0000_BD_IM</t>
  </si>
  <si>
    <t>PL0000_TPL12</t>
  </si>
  <si>
    <t>PL1210_XX</t>
  </si>
  <si>
    <t>PL1211_XX</t>
  </si>
  <si>
    <t>PL1215_XX</t>
  </si>
  <si>
    <t>PL1216_XX</t>
  </si>
  <si>
    <t>PL1240_XX</t>
  </si>
  <si>
    <t>PL1245_XX</t>
  </si>
  <si>
    <t>PL1250_XX</t>
  </si>
  <si>
    <t>PL1255_XX</t>
  </si>
  <si>
    <t>PL1260_XX</t>
  </si>
  <si>
    <t>PL1265_XX</t>
  </si>
  <si>
    <t>PL1270_XX</t>
  </si>
  <si>
    <t>PL1215_BD_20</t>
  </si>
  <si>
    <t>PL1215_BD_70</t>
  </si>
  <si>
    <t>PL1215_BD_75</t>
  </si>
  <si>
    <t>PL1215_BD_99</t>
  </si>
  <si>
    <t>PL0000_TPL13</t>
  </si>
  <si>
    <t>TPL13_dest_GA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</si>
  <si>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</si>
  <si>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</si>
  <si>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</si>
  <si>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</si>
  <si>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</si>
  <si>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</si>
  <si>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</si>
  <si>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</si>
  <si>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PL0000_MGF</t>
  </si>
  <si>
    <t>PL0000_PU</t>
  </si>
  <si>
    <t>PL0000_RD</t>
  </si>
  <si>
    <t>PL0000_RM</t>
  </si>
  <si>
    <t>PL0000_SE</t>
  </si>
  <si>
    <t>PL0000_TD</t>
  </si>
  <si>
    <t>PL0000_TM</t>
  </si>
  <si>
    <t>PL0000_OO</t>
  </si>
  <si>
    <t>PL10L_OO</t>
  </si>
  <si>
    <t>PL119L_OO</t>
  </si>
  <si>
    <t>PL129L_OO</t>
  </si>
  <si>
    <t>PL139L_OO</t>
  </si>
  <si>
    <t>PL1400_OO</t>
  </si>
  <si>
    <t>PL1410_OO</t>
  </si>
  <si>
    <t>PL1415_OO</t>
  </si>
  <si>
    <t>PL1420_OO</t>
  </si>
  <si>
    <t>PL1425_OO</t>
  </si>
  <si>
    <t>PL1430_OO</t>
  </si>
  <si>
    <t>PL1440_OO</t>
  </si>
  <si>
    <t>PL149L_OO</t>
  </si>
  <si>
    <t>PL0000_TPL14</t>
  </si>
  <si>
    <t>PL0000_JV</t>
  </si>
  <si>
    <t>PL1500_JV</t>
  </si>
  <si>
    <t>PL1520_JV</t>
  </si>
  <si>
    <t>PL0000_TPL15</t>
  </si>
  <si>
    <t>PL0000_AS</t>
  </si>
  <si>
    <t>PL1600_AS</t>
  </si>
  <si>
    <t>PL1620_AS</t>
  </si>
  <si>
    <t>PL0000_TPL16</t>
  </si>
  <si>
    <t>PL1003_RC_150</t>
  </si>
  <si>
    <t>PL1003_RC_160</t>
  </si>
  <si>
    <t>PL1003_RC_170</t>
  </si>
  <si>
    <t>PL1003_RC_180</t>
  </si>
  <si>
    <t>PL1115_FL_56</t>
  </si>
  <si>
    <t>PL1115_FL_65</t>
  </si>
  <si>
    <t>PL1115_FL_70</t>
  </si>
  <si>
    <t>PL1115_FL_55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</si>
</sst>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#,##0.0"/>
    <numFmt numFmtId="166" formatCode="0.0%"/>
    <numFmt numFmtId="167" formatCode="#,##0.0&quot; pts&quot;"/>
    <numFmt numFmtId="168" formatCode="#,##0.00_ ;\-#,##0.00\ "/>
    <numFmt numFmtId="169" formatCode="0.0"/>
    <numFmt numFmtId="170" formatCode="\+#,##0.0;\-#,##0.0;0"/>
    <numFmt numFmtId="171" formatCode="\+#,##0.0;\-#,##0.0;0;"/>
    <numFmt numFmtId="172" formatCode="#,##0;\-#,##0;;"/>
    <numFmt numFmtId="173" formatCode="#,##0.0000"/>
    <numFmt numFmtId="174" formatCode="0.0000"/>
    <numFmt numFmtId="175" formatCode="0.0000000"/>
  </numFmts>
  <fonts count="1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0"/>
      <color indexed="10"/>
      <name val="Calibri"/>
      <family val="2"/>
    </font>
    <font>
      <sz val="10"/>
      <color indexed="12"/>
      <name val="Calibri"/>
      <family val="2"/>
    </font>
    <font>
      <b/>
      <sz val="14"/>
      <name val="Calibri"/>
      <family val="2"/>
    </font>
    <font>
      <b/>
      <sz val="32"/>
      <color indexed="9"/>
      <name val="Calibri"/>
      <family val="2"/>
    </font>
    <font>
      <b/>
      <i/>
      <sz val="20"/>
      <color indexed="9"/>
      <name val="Calibri"/>
      <family val="2"/>
    </font>
    <font>
      <sz val="10"/>
      <name val="Wingdings"/>
      <charset val="2"/>
    </font>
    <font>
      <b/>
      <sz val="16"/>
      <name val="Calibri"/>
      <family val="2"/>
    </font>
    <font>
      <b/>
      <sz val="10"/>
      <color indexed="53"/>
      <name val="Calibri"/>
      <family val="2"/>
    </font>
    <font>
      <b/>
      <sz val="10"/>
      <color indexed="9"/>
      <name val="Calibri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sz val="15"/>
      <name val="Calibri"/>
      <family val="2"/>
    </font>
    <font>
      <b/>
      <sz val="16"/>
      <color indexed="57"/>
      <name val="Wingdings"/>
      <charset val="2"/>
    </font>
    <font>
      <sz val="18"/>
      <color indexed="9"/>
      <name val="Calibri"/>
      <family val="2"/>
    </font>
    <font>
      <b/>
      <sz val="16"/>
      <color indexed="23"/>
      <name val="Calibri"/>
      <family val="2"/>
    </font>
    <font>
      <b/>
      <sz val="22"/>
      <name val="Calibri"/>
      <family val="2"/>
    </font>
    <font>
      <b/>
      <sz val="15"/>
      <name val="Calibri"/>
      <family val="2"/>
    </font>
    <font>
      <b/>
      <sz val="18"/>
      <name val="Wingdings"/>
      <charset val="2"/>
    </font>
    <font>
      <sz val="10"/>
      <color indexed="9"/>
      <name val="Wingdings"/>
      <charset val="2"/>
    </font>
    <font>
      <b/>
      <sz val="18"/>
      <color indexed="23"/>
      <name val="Calibri"/>
      <family val="2"/>
    </font>
    <font>
      <b/>
      <sz val="16"/>
      <color indexed="52"/>
      <name val="Wingdings"/>
      <charset val="2"/>
    </font>
    <font>
      <b/>
      <sz val="18"/>
      <color indexed="52"/>
      <name val="Wingdings"/>
      <charset val="2"/>
    </font>
    <font>
      <b/>
      <sz val="12"/>
      <color indexed="61"/>
      <name val="Calibri"/>
      <family val="2"/>
    </font>
    <font>
      <sz val="11"/>
      <name val="Calibri"/>
      <family val="2"/>
    </font>
    <font>
      <sz val="26"/>
      <name val="Calibri"/>
      <family val="2"/>
    </font>
    <font>
      <i/>
      <sz val="15"/>
      <name val="Calibri"/>
      <family val="2"/>
    </font>
    <font>
      <b/>
      <sz val="11"/>
      <name val="Calibri"/>
      <family val="2"/>
    </font>
    <font>
      <b/>
      <sz val="11"/>
      <color indexed="17"/>
      <name val="Calibri"/>
      <family val="2"/>
    </font>
    <font>
      <b/>
      <sz val="10"/>
      <name val="Arial"/>
      <family val="2"/>
    </font>
    <font>
      <sz val="10"/>
      <color indexed="53"/>
      <name val="Calibri"/>
      <family val="2"/>
    </font>
    <font>
      <sz val="10"/>
      <color indexed="23"/>
      <name val="Calibri"/>
      <family val="2"/>
    </font>
    <font>
      <i/>
      <sz val="10"/>
      <name val="Calibri"/>
      <family val="2"/>
    </font>
    <font>
      <sz val="12"/>
      <name val="Arial"/>
      <family val="2"/>
    </font>
    <font>
      <b/>
      <sz val="16"/>
      <color indexed="9"/>
      <name val="Calibri"/>
      <family val="2"/>
    </font>
    <font>
      <sz val="14"/>
      <color indexed="61"/>
      <name val="Calibri"/>
      <family val="2"/>
    </font>
    <font>
      <i/>
      <sz val="14"/>
      <color indexed="23"/>
      <name val="Calibri"/>
      <family val="2"/>
    </font>
    <font>
      <sz val="11"/>
      <color theme="1"/>
      <name val="Calibri"/>
      <family val="2"/>
      <scheme val="minor"/>
    </font>
    <font>
      <sz val="22"/>
      <color theme="1" tint="0.14999847407452621"/>
      <name val="Calibri"/>
      <family val="2"/>
    </font>
    <font>
      <b/>
      <sz val="16"/>
      <color theme="0"/>
      <name val="Calibri"/>
      <family val="2"/>
    </font>
    <font>
      <sz val="14"/>
      <color rgb="FFFF0000"/>
      <name val="Calibri"/>
      <family val="2"/>
    </font>
    <font>
      <sz val="11"/>
      <name val="Calibri"/>
      <family val="2"/>
      <scheme val="minor"/>
    </font>
    <font>
      <b/>
      <sz val="14"/>
      <color theme="3"/>
      <name val="Arial"/>
      <family val="2"/>
    </font>
    <font>
      <sz val="10"/>
      <color rgb="FFFF0000"/>
      <name val="Calibri"/>
      <family val="2"/>
    </font>
    <font>
      <b/>
      <sz val="16"/>
      <color theme="1" tint="0.249977111117893"/>
      <name val="Calibri"/>
      <family val="2"/>
    </font>
    <font>
      <b/>
      <i/>
      <sz val="11"/>
      <color theme="0" tint="-0.14999847407452621"/>
      <name val="Calibri"/>
      <family val="2"/>
      <scheme val="minor"/>
    </font>
    <font>
      <sz val="14"/>
      <color rgb="FF222222"/>
      <name val="Arial"/>
      <family val="2"/>
    </font>
    <font>
      <sz val="24"/>
      <color rgb="FFFF0000"/>
      <name val="Wingdings"/>
      <charset val="2"/>
    </font>
    <font>
      <sz val="14"/>
      <color rgb="FFFF0000"/>
      <name val="Arial"/>
      <family val="2"/>
    </font>
    <font>
      <sz val="24"/>
      <color theme="0"/>
      <name val="Wingdings"/>
      <charset val="2"/>
    </font>
    <font>
      <sz val="12"/>
      <color theme="0"/>
      <name val="Calibri"/>
      <family val="2"/>
    </font>
    <font>
      <sz val="10"/>
      <color theme="0"/>
      <name val="Calibri"/>
      <family val="2"/>
    </font>
    <font>
      <sz val="20"/>
      <color indexed="9"/>
      <name val="Calibri"/>
      <family val="2"/>
    </font>
    <font>
      <b/>
      <sz val="18"/>
      <color theme="1" tint="0.499984740745262"/>
      <name val="Calibri"/>
      <family val="2"/>
    </font>
    <font>
      <sz val="10"/>
      <color theme="0" tint="-4.9989318521683403E-2"/>
      <name val="Calibri"/>
      <family val="2"/>
    </font>
    <font>
      <sz val="12"/>
      <name val="Calibri"/>
      <family val="2"/>
    </font>
    <font>
      <b/>
      <sz val="20"/>
      <color indexed="9"/>
      <name val="Calibri"/>
      <family val="2"/>
    </font>
    <font>
      <b/>
      <i/>
      <sz val="16"/>
      <color indexed="9"/>
      <name val="Calibri"/>
      <family val="2"/>
    </font>
    <font>
      <sz val="11"/>
      <color indexed="63"/>
      <name val="Calibri"/>
      <family val="2"/>
    </font>
    <font>
      <b/>
      <sz val="12"/>
      <color indexed="23"/>
      <name val="Calibri"/>
      <family val="2"/>
    </font>
    <font>
      <b/>
      <sz val="12"/>
      <color theme="0"/>
      <name val="Calibri"/>
      <family val="2"/>
    </font>
    <font>
      <b/>
      <sz val="12"/>
      <color indexed="10"/>
      <name val="Calibri"/>
      <family val="2"/>
    </font>
    <font>
      <b/>
      <sz val="12"/>
      <color indexed="57"/>
      <name val="Wingdings"/>
      <charset val="2"/>
    </font>
    <font>
      <sz val="12"/>
      <color indexed="9"/>
      <name val="Calibri"/>
      <family val="2"/>
    </font>
    <font>
      <sz val="12"/>
      <color indexed="61"/>
      <name val="Calibri"/>
      <family val="2"/>
    </font>
    <font>
      <b/>
      <sz val="12"/>
      <color theme="1" tint="0.249977111117893"/>
      <name val="Calibri"/>
      <family val="2"/>
    </font>
    <font>
      <sz val="12"/>
      <color theme="1" tint="0.499984740745262"/>
      <name val="Calibri"/>
      <family val="2"/>
    </font>
    <font>
      <b/>
      <sz val="12"/>
      <color indexed="52"/>
      <name val="Wingdings"/>
      <charset val="2"/>
    </font>
    <font>
      <i/>
      <sz val="12"/>
      <color rgb="FF6C6C6C"/>
      <name val="Calibri"/>
      <family val="2"/>
    </font>
    <font>
      <i/>
      <sz val="12"/>
      <color indexed="23"/>
      <name val="Calibri"/>
      <family val="2"/>
    </font>
    <font>
      <sz val="12"/>
      <color theme="6" tint="-0.249977111117893"/>
      <name val="Calibri"/>
      <family val="2"/>
    </font>
    <font>
      <i/>
      <sz val="12"/>
      <color theme="0" tint="-0.499984740745262"/>
      <name val="Calibri"/>
      <family val="2"/>
    </font>
    <font>
      <i/>
      <sz val="12"/>
      <color theme="1" tint="0.499984740745262"/>
      <name val="Calibri"/>
      <family val="2"/>
    </font>
    <font>
      <sz val="12"/>
      <color theme="1" tint="0.249977111117893"/>
      <name val="Calibri"/>
      <family val="2"/>
    </font>
    <font>
      <b/>
      <sz val="14"/>
      <color theme="1" tint="0.499984740745262"/>
      <name val="Calibri"/>
      <family val="2"/>
    </font>
    <font>
      <i/>
      <sz val="11"/>
      <color theme="1" tint="0.34998626667073579"/>
      <name val="Calibri"/>
      <family val="2"/>
    </font>
    <font>
      <b/>
      <sz val="16"/>
      <color theme="0"/>
      <name val="Wingdings"/>
      <charset val="2"/>
    </font>
    <font>
      <b/>
      <i/>
      <sz val="12"/>
      <color rgb="FF808080"/>
      <name val="Calibri"/>
      <family val="2"/>
    </font>
    <font>
      <b/>
      <sz val="15"/>
      <color theme="1" tint="0.249977111117893"/>
      <name val="Calibri"/>
      <family val="2"/>
    </font>
    <font>
      <b/>
      <sz val="18"/>
      <color theme="1" tint="0.249977111117893"/>
      <name val="Wingdings"/>
      <charset val="2"/>
    </font>
    <font>
      <i/>
      <sz val="12"/>
      <color theme="1" tint="0.249977111117893"/>
      <name val="Calibri"/>
      <family val="2"/>
    </font>
    <font>
      <b/>
      <sz val="12"/>
      <color theme="1" tint="0.249977111117893"/>
      <name val="Wingdings"/>
      <charset val="2"/>
    </font>
    <font>
      <b/>
      <sz val="12"/>
      <color indexed="9"/>
      <name val="Calibri"/>
      <family val="2"/>
    </font>
    <font>
      <i/>
      <sz val="14"/>
      <color indexed="61"/>
      <name val="Calibri"/>
      <family val="2"/>
    </font>
    <font>
      <b/>
      <i/>
      <sz val="12"/>
      <name val="Calibri"/>
      <family val="2"/>
    </font>
    <font>
      <b/>
      <i/>
      <sz val="16"/>
      <color indexed="52"/>
      <name val="Wingdings"/>
      <charset val="2"/>
    </font>
    <font>
      <i/>
      <sz val="22"/>
      <color theme="1" tint="0.14999847407452621"/>
      <name val="Calibri"/>
      <family val="2"/>
    </font>
    <font>
      <b/>
      <i/>
      <sz val="16"/>
      <color indexed="23"/>
      <name val="Calibri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8"/>
      <color theme="1" tint="0.249977111117893"/>
      <name val="Calibri"/>
      <family val="2"/>
    </font>
    <font>
      <sz val="10"/>
      <name val="Calibri"/>
      <family val="2"/>
      <scheme val="minor"/>
    </font>
    <font>
      <b/>
      <sz val="16"/>
      <color rgb="FFFF0000"/>
      <name val="Calibri"/>
      <family val="2"/>
    </font>
    <font>
      <b/>
      <sz val="14"/>
      <color rgb="FF6C6C6C"/>
      <name val="Calibri"/>
      <family val="2"/>
    </font>
    <font>
      <b/>
      <sz val="16"/>
      <color theme="0"/>
      <name val="Calibri"/>
      <family val="2"/>
      <scheme val="minor"/>
    </font>
    <font>
      <sz val="9"/>
      <color theme="1" tint="0.34998626667073579"/>
      <name val="Segoe UI"/>
      <family val="2"/>
    </font>
    <font>
      <b/>
      <sz val="12"/>
      <color theme="1" tint="0.34998626667073579"/>
      <name val="Calibri"/>
      <family val="2"/>
      <scheme val="minor"/>
    </font>
    <font>
      <b/>
      <u val="singleAccounting"/>
      <sz val="12"/>
      <color theme="1" tint="0.34998626667073579"/>
      <name val="Calibri"/>
      <family val="2"/>
      <scheme val="minor"/>
    </font>
    <font>
      <b/>
      <i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0"/>
      <color indexed="23"/>
      <name val="Calibri"/>
      <family val="2"/>
    </font>
    <font>
      <b/>
      <sz val="11"/>
      <color indexed="63"/>
      <name val="Calibri"/>
      <family val="2"/>
    </font>
    <font>
      <sz val="16"/>
      <color indexed="23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9F9F9"/>
        <bgColor indexed="64"/>
      </patternFill>
    </fill>
    <fill>
      <gradientFill degree="90">
        <stop position="0">
          <color rgb="FF959AA3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gradientFill>
        <stop position="0">
          <color theme="0"/>
        </stop>
        <stop position="1">
          <color rgb="FFFF6565"/>
        </stop>
      </gradientFill>
    </fill>
    <fill>
      <gradientFill degree="90">
        <stop position="0">
          <color rgb="FFABAFB5"/>
        </stop>
        <stop position="1">
          <color theme="0" tint="-0.25098422193060094"/>
        </stop>
      </gradientFill>
    </fill>
    <fill>
      <patternFill patternType="solid">
        <fgColor rgb="FFC5C5C5"/>
        <bgColor indexed="64"/>
      </patternFill>
    </fill>
    <fill>
      <patternFill patternType="solid">
        <fgColor rgb="FFF5F5F5"/>
        <bgColor indexed="64"/>
      </patternFill>
    </fill>
    <fill>
      <gradientFill degree="270">
        <stop position="0">
          <color rgb="FFC5C5C5"/>
        </stop>
        <stop position="1">
          <color theme="0" tint="-0.1490218817712943"/>
        </stop>
      </gradientFill>
    </fill>
    <fill>
      <gradientFill degree="270">
        <stop position="0">
          <color rgb="FFDAD8DA"/>
        </stop>
        <stop position="1">
          <color theme="0" tint="-5.0965910824915313E-2"/>
        </stop>
      </gradientFill>
    </fill>
    <fill>
      <gradientFill degree="90">
        <stop position="0">
          <color theme="0" tint="-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9"/>
      </patternFill>
    </fill>
    <fill>
      <patternFill patternType="gray0625">
        <fgColor theme="0" tint="-0.499984740745262"/>
        <bgColor rgb="FFD9D9D9"/>
      </patternFill>
    </fill>
    <fill>
      <patternFill patternType="gray0625">
        <fgColor theme="0" tint="-0.499984740745262"/>
        <bgColor rgb="FFC5C5C5"/>
      </patternFill>
    </fill>
    <fill>
      <gradientFill degree="90">
        <stop position="0">
          <color theme="0" tint="-0.1490218817712943"/>
        </stop>
        <stop position="1">
          <color theme="0" tint="-0.25098422193060094"/>
        </stop>
      </gradientFill>
    </fill>
    <fill>
      <patternFill patternType="solid">
        <fgColor rgb="FFF3F3F3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 style="medium">
        <color indexed="9"/>
      </left>
      <right/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499984740745262"/>
      </bottom>
      <diagonal/>
    </border>
    <border>
      <left/>
      <right/>
      <top/>
      <bottom style="hair">
        <color rgb="FFFF0000"/>
      </bottom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/>
      <right/>
      <top style="hair">
        <color rgb="FFFF0000"/>
      </top>
      <bottom style="thin">
        <color theme="1" tint="0.499984740745262"/>
      </bottom>
      <diagonal/>
    </border>
    <border>
      <left/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0"/>
      </left>
      <right/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rgb="FFF9F9F9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1" tint="0.499984740745262"/>
      </bottom>
      <diagonal/>
    </border>
    <border>
      <left/>
      <right style="medium">
        <color rgb="FFF9F9F9"/>
      </right>
      <top style="thin">
        <color theme="1" tint="0.499984740745262"/>
      </top>
      <bottom style="thin">
        <color theme="0"/>
      </bottom>
      <diagonal/>
    </border>
    <border>
      <left style="medium">
        <color rgb="FFF9F9F9"/>
      </left>
      <right/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0"/>
      </top>
      <bottom/>
      <diagonal/>
    </border>
    <border>
      <left/>
      <right style="medium">
        <color rgb="FFF9F9F9"/>
      </right>
      <top/>
      <bottom style="thin">
        <color theme="0"/>
      </bottom>
      <diagonal/>
    </border>
    <border>
      <left/>
      <right style="thin">
        <color theme="1" tint="0.499984740745262"/>
      </right>
      <top/>
      <bottom style="thin">
        <color theme="0"/>
      </bottom>
      <diagonal/>
    </border>
    <border>
      <left/>
      <right style="medium">
        <color rgb="FFF9F9F9"/>
      </right>
      <top style="thin">
        <color theme="0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rgb="FFF9F9F9"/>
      </right>
      <top/>
      <bottom style="thin">
        <color theme="1" tint="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/>
      <bottom style="thin">
        <color theme="0"/>
      </bottom>
      <diagonal/>
    </border>
    <border>
      <left style="thin">
        <color theme="1" tint="0.499984740745262"/>
      </left>
      <right/>
      <top style="thin">
        <color theme="0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0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/>
      <right/>
      <top style="thin">
        <color theme="0"/>
      </top>
      <bottom style="double">
        <color theme="0" tint="-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double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double">
        <color theme="0" tint="-0.499984740745262"/>
      </bottom>
      <diagonal/>
    </border>
    <border>
      <left style="thin">
        <color theme="0"/>
      </left>
      <right/>
      <top style="thin">
        <color theme="0"/>
      </top>
      <bottom style="double">
        <color theme="0" tint="-0.499984740745262"/>
      </bottom>
      <diagonal/>
    </border>
    <border>
      <left/>
      <right style="thin">
        <color theme="1" tint="0.499984740745262"/>
      </right>
      <top style="thin">
        <color theme="0"/>
      </top>
      <bottom style="double">
        <color theme="0" tint="-0.499984740745262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double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/>
      <diagonal/>
    </border>
    <border>
      <left style="thin">
        <color theme="1" tint="0.499984740745262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/>
      <right/>
      <top/>
      <bottom style="dashed">
        <color rgb="FFFF0000"/>
      </bottom>
      <diagonal/>
    </border>
    <border>
      <left style="medium">
        <color indexed="64"/>
      </left>
      <right style="medium">
        <color indexed="64"/>
      </right>
      <top/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ashed">
        <color rgb="FFFF0000"/>
      </left>
      <right style="dashed">
        <color rgb="FFFF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rgb="FFFF0000"/>
      </left>
      <right style="medium">
        <color indexed="64"/>
      </right>
      <top/>
      <bottom/>
      <diagonal/>
    </border>
    <border>
      <left style="dotted">
        <color rgb="FFFF0000"/>
      </left>
      <right style="medium">
        <color indexed="64"/>
      </right>
      <top/>
      <bottom style="dashed">
        <color rgb="FFFF0000"/>
      </bottom>
      <diagonal/>
    </border>
    <border>
      <left style="dotted">
        <color rgb="FFFF0000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dotted">
        <color rgb="FFFF0000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rgb="FFFF0000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7">
    <xf numFmtId="0" fontId="0" fillId="0" borderId="0"/>
    <xf numFmtId="164" fontId="4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47" fillId="0" borderId="0" applyFont="0" applyFill="0" applyBorder="0" applyAlignment="0" applyProtection="0"/>
  </cellStyleXfs>
  <cellXfs count="613">
    <xf numFmtId="0" fontId="0" fillId="0" borderId="0" xfId="0"/>
    <xf numFmtId="0" fontId="2" fillId="0" borderId="0" xfId="4" applyFont="1" applyFill="1" applyBorder="1" applyAlignment="1" applyProtection="1">
      <alignment horizontal="center" vertical="center"/>
    </xf>
    <xf numFmtId="0" fontId="2" fillId="3" borderId="0" xfId="4" applyFont="1" applyFill="1" applyBorder="1" applyAlignment="1" applyProtection="1">
      <alignment horizontal="center" vertical="center"/>
    </xf>
    <xf numFmtId="0" fontId="3" fillId="3" borderId="0" xfId="3" applyFont="1" applyFill="1" applyBorder="1" applyAlignment="1" applyProtection="1">
      <alignment horizontal="center"/>
    </xf>
    <xf numFmtId="0" fontId="4" fillId="3" borderId="0" xfId="3" applyFont="1" applyFill="1" applyBorder="1" applyAlignment="1" applyProtection="1">
      <alignment horizontal="right"/>
    </xf>
    <xf numFmtId="0" fontId="5" fillId="3" borderId="0" xfId="4" applyFont="1" applyFill="1" applyBorder="1" applyAlignment="1" applyProtection="1">
      <alignment vertical="center"/>
    </xf>
    <xf numFmtId="0" fontId="1" fillId="3" borderId="1" xfId="3" applyFill="1" applyBorder="1" applyProtection="1"/>
    <xf numFmtId="0" fontId="6" fillId="3" borderId="0" xfId="4" applyFont="1" applyFill="1" applyBorder="1" applyAlignment="1" applyProtection="1">
      <alignment vertical="center"/>
    </xf>
    <xf numFmtId="0" fontId="7" fillId="3" borderId="0" xfId="4" applyFont="1" applyFill="1" applyBorder="1" applyAlignment="1" applyProtection="1">
      <alignment vertical="center"/>
    </xf>
    <xf numFmtId="0" fontId="5" fillId="0" borderId="0" xfId="4" applyFont="1" applyFill="1" applyBorder="1" applyAlignment="1" applyProtection="1">
      <alignment vertical="center"/>
    </xf>
    <xf numFmtId="0" fontId="5" fillId="3" borderId="0" xfId="4" applyFont="1" applyFill="1" applyBorder="1" applyAlignment="1" applyProtection="1">
      <alignment horizontal="left" vertic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Border="1" applyProtection="1"/>
    <xf numFmtId="0" fontId="5" fillId="3" borderId="0" xfId="5" applyFont="1" applyFill="1" applyBorder="1" applyAlignment="1" applyProtection="1">
      <alignment vertical="center"/>
    </xf>
    <xf numFmtId="0" fontId="2" fillId="3" borderId="0" xfId="4" applyFont="1" applyFill="1" applyBorder="1" applyAlignment="1" applyProtection="1">
      <alignment vertical="center"/>
    </xf>
    <xf numFmtId="0" fontId="8" fillId="3" borderId="0" xfId="5" applyFont="1" applyFill="1" applyBorder="1" applyAlignment="1" applyProtection="1">
      <alignment horizontal="right" vertical="center"/>
    </xf>
    <xf numFmtId="165" fontId="8" fillId="3" borderId="0" xfId="5" applyNumberFormat="1" applyFont="1" applyFill="1" applyBorder="1" applyAlignment="1" applyProtection="1">
      <alignment horizontal="right" vertical="center"/>
    </xf>
    <xf numFmtId="2" fontId="9" fillId="3" borderId="0" xfId="5" applyNumberFormat="1" applyFont="1" applyFill="1" applyBorder="1" applyAlignment="1" applyProtection="1">
      <alignment vertical="center"/>
    </xf>
    <xf numFmtId="0" fontId="2" fillId="0" borderId="6" xfId="4" applyFont="1" applyFill="1" applyBorder="1" applyAlignment="1" applyProtection="1">
      <alignment horizontal="center" vertical="center"/>
    </xf>
    <xf numFmtId="0" fontId="2" fillId="0" borderId="7" xfId="4" applyFont="1" applyFill="1" applyBorder="1" applyAlignment="1" applyProtection="1">
      <alignment horizontal="center" vertical="center"/>
    </xf>
    <xf numFmtId="0" fontId="5" fillId="0" borderId="7" xfId="4" applyFont="1" applyFill="1" applyBorder="1" applyAlignment="1" applyProtection="1">
      <alignment horizontal="left" vertical="center"/>
    </xf>
    <xf numFmtId="0" fontId="5" fillId="0" borderId="7" xfId="3" applyFont="1" applyFill="1" applyBorder="1" applyAlignment="1">
      <alignment horizontal="left" indent="1"/>
    </xf>
    <xf numFmtId="0" fontId="5" fillId="0" borderId="7" xfId="4" applyFont="1" applyFill="1" applyBorder="1" applyAlignment="1" applyProtection="1">
      <alignment vertical="center"/>
    </xf>
    <xf numFmtId="0" fontId="6" fillId="2" borderId="7" xfId="4" applyFont="1" applyFill="1" applyBorder="1" applyAlignment="1" applyProtection="1">
      <alignment vertical="center"/>
    </xf>
    <xf numFmtId="0" fontId="6" fillId="0" borderId="7" xfId="4" applyFont="1" applyFill="1" applyBorder="1" applyAlignment="1" applyProtection="1">
      <alignment vertical="center"/>
    </xf>
    <xf numFmtId="0" fontId="7" fillId="0" borderId="7" xfId="4" applyFont="1" applyFill="1" applyBorder="1" applyAlignment="1" applyProtection="1">
      <alignment vertical="center"/>
    </xf>
    <xf numFmtId="0" fontId="7" fillId="0" borderId="8" xfId="4" applyFont="1" applyFill="1" applyBorder="1" applyAlignment="1" applyProtection="1">
      <alignment vertical="center"/>
    </xf>
    <xf numFmtId="0" fontId="11" fillId="0" borderId="9" xfId="3" applyFont="1" applyFill="1" applyBorder="1" applyAlignment="1">
      <alignment vertical="center"/>
    </xf>
    <xf numFmtId="0" fontId="7" fillId="0" borderId="10" xfId="4" applyFont="1" applyFill="1" applyBorder="1" applyAlignment="1" applyProtection="1">
      <alignment vertical="center"/>
    </xf>
    <xf numFmtId="0" fontId="12" fillId="0" borderId="9" xfId="3" applyFont="1" applyFill="1" applyBorder="1" applyAlignment="1">
      <alignment vertical="center"/>
    </xf>
    <xf numFmtId="0" fontId="2" fillId="0" borderId="9" xfId="4" applyFont="1" applyFill="1" applyBorder="1" applyAlignment="1" applyProtection="1">
      <alignment horizontal="center" vertical="center"/>
    </xf>
    <xf numFmtId="0" fontId="5" fillId="0" borderId="0" xfId="3" applyFont="1" applyFill="1" applyBorder="1" applyAlignment="1">
      <alignment horizontal="left" indent="1"/>
    </xf>
    <xf numFmtId="0" fontId="1" fillId="0" borderId="0" xfId="3" applyFill="1" applyBorder="1" applyAlignment="1"/>
    <xf numFmtId="0" fontId="13" fillId="0" borderId="0" xfId="3" applyFont="1" applyFill="1" applyBorder="1" applyAlignment="1"/>
    <xf numFmtId="0" fontId="7" fillId="0" borderId="0" xfId="4" applyFont="1" applyFill="1" applyBorder="1" applyAlignment="1" applyProtection="1">
      <alignment vertical="center"/>
    </xf>
    <xf numFmtId="0" fontId="5" fillId="0" borderId="0" xfId="4" applyFont="1" applyFill="1" applyAlignment="1" applyProtection="1">
      <alignment vertical="center"/>
    </xf>
    <xf numFmtId="0" fontId="15" fillId="0" borderId="0" xfId="4" applyFont="1" applyFill="1" applyBorder="1" applyAlignment="1" applyProtection="1">
      <alignment horizontal="center" vertical="center"/>
    </xf>
    <xf numFmtId="0" fontId="16" fillId="0" borderId="0" xfId="2" applyFont="1" applyFill="1" applyBorder="1" applyAlignment="1">
      <alignment horizontal="center" vertical="center" wrapText="1"/>
    </xf>
    <xf numFmtId="0" fontId="17" fillId="0" borderId="0" xfId="3" applyFont="1" applyFill="1" applyBorder="1" applyAlignment="1">
      <alignment horizontal="center" vertical="center" wrapText="1"/>
    </xf>
    <xf numFmtId="0" fontId="4" fillId="0" borderId="0" xfId="3" applyFont="1" applyFill="1" applyBorder="1" applyAlignment="1" applyProtection="1">
      <alignment horizontal="left"/>
    </xf>
    <xf numFmtId="0" fontId="18" fillId="0" borderId="0" xfId="3" applyFont="1" applyFill="1" applyBorder="1" applyAlignment="1">
      <alignment horizontal="left"/>
    </xf>
    <xf numFmtId="0" fontId="2" fillId="5" borderId="0" xfId="4" applyFont="1" applyFill="1" applyBorder="1" applyAlignment="1" applyProtection="1">
      <alignment horizontal="center" vertical="center"/>
    </xf>
    <xf numFmtId="0" fontId="4" fillId="5" borderId="0" xfId="3" applyFont="1" applyFill="1" applyBorder="1" applyAlignment="1" applyProtection="1">
      <alignment horizontal="left"/>
    </xf>
    <xf numFmtId="0" fontId="5" fillId="5" borderId="0" xfId="4" applyFont="1" applyFill="1" applyBorder="1" applyAlignment="1" applyProtection="1">
      <alignment vertical="center"/>
    </xf>
    <xf numFmtId="0" fontId="16" fillId="5" borderId="0" xfId="2" applyFont="1" applyFill="1" applyBorder="1" applyAlignment="1">
      <alignment horizontal="center" vertical="center" wrapText="1"/>
    </xf>
    <xf numFmtId="0" fontId="17" fillId="5" borderId="0" xfId="3" applyFont="1" applyFill="1" applyBorder="1" applyAlignment="1">
      <alignment vertical="center" wrapText="1"/>
    </xf>
    <xf numFmtId="0" fontId="5" fillId="5" borderId="0" xfId="3" applyFont="1" applyFill="1" applyBorder="1" applyAlignment="1">
      <alignment vertical="center"/>
    </xf>
    <xf numFmtId="0" fontId="17" fillId="5" borderId="0" xfId="3" applyFont="1" applyFill="1" applyBorder="1" applyAlignment="1">
      <alignment horizontal="center" vertical="center" wrapText="1"/>
    </xf>
    <xf numFmtId="0" fontId="7" fillId="5" borderId="10" xfId="4" applyFont="1" applyFill="1" applyBorder="1" applyAlignment="1" applyProtection="1">
      <alignment vertical="center"/>
    </xf>
    <xf numFmtId="0" fontId="5" fillId="0" borderId="0" xfId="3" applyFont="1" applyFill="1" applyBorder="1" applyAlignment="1">
      <alignment vertical="center" wrapText="1"/>
    </xf>
    <xf numFmtId="0" fontId="19" fillId="0" borderId="0" xfId="3" applyFont="1" applyFill="1" applyBorder="1" applyAlignment="1">
      <alignment horizontal="center" vertical="center" wrapText="1"/>
    </xf>
    <xf numFmtId="0" fontId="20" fillId="0" borderId="0" xfId="3" applyFont="1" applyFill="1" applyBorder="1" applyAlignment="1">
      <alignment horizontal="center" vertical="center" wrapText="1"/>
    </xf>
    <xf numFmtId="0" fontId="21" fillId="0" borderId="0" xfId="4" applyFont="1" applyFill="1" applyBorder="1" applyAlignment="1" applyProtection="1">
      <alignment horizontal="left" vertical="center"/>
    </xf>
    <xf numFmtId="0" fontId="21" fillId="0" borderId="0" xfId="4" applyFont="1" applyFill="1" applyBorder="1" applyAlignment="1" applyProtection="1">
      <alignment vertical="center"/>
    </xf>
    <xf numFmtId="0" fontId="2" fillId="0" borderId="9" xfId="5" applyFont="1" applyFill="1" applyBorder="1" applyAlignment="1" applyProtection="1">
      <alignment horizontal="left" vertical="center"/>
    </xf>
    <xf numFmtId="0" fontId="5" fillId="0" borderId="0" xfId="5" applyFont="1" applyFill="1" applyBorder="1" applyAlignment="1">
      <alignment horizontal="left" vertical="center"/>
    </xf>
    <xf numFmtId="0" fontId="23" fillId="0" borderId="0" xfId="2" applyFont="1" applyFill="1" applyBorder="1" applyAlignment="1">
      <alignment horizontal="center" vertical="center"/>
    </xf>
    <xf numFmtId="0" fontId="5" fillId="0" borderId="0" xfId="4" applyFont="1" applyFill="1" applyBorder="1" applyAlignment="1" applyProtection="1">
      <alignment horizontal="left" vertical="center"/>
    </xf>
    <xf numFmtId="0" fontId="25" fillId="0" borderId="9" xfId="5" applyFont="1" applyFill="1" applyBorder="1" applyAlignment="1" applyProtection="1">
      <alignment horizontal="center" vertical="center" textRotation="90"/>
    </xf>
    <xf numFmtId="0" fontId="48" fillId="8" borderId="0" xfId="5" applyFont="1" applyFill="1" applyBorder="1" applyAlignment="1" applyProtection="1">
      <alignment vertical="center" textRotation="90" wrapText="1"/>
    </xf>
    <xf numFmtId="0" fontId="26" fillId="0" borderId="0" xfId="5" applyFont="1" applyFill="1" applyBorder="1" applyAlignment="1" applyProtection="1">
      <alignment horizontal="center" vertical="center"/>
    </xf>
    <xf numFmtId="0" fontId="14" fillId="0" borderId="0" xfId="5" applyFont="1" applyFill="1" applyBorder="1" applyAlignment="1">
      <alignment horizontal="left" vertical="center" wrapText="1"/>
    </xf>
    <xf numFmtId="0" fontId="18" fillId="0" borderId="0" xfId="2" applyFont="1" applyFill="1" applyBorder="1" applyAlignment="1">
      <alignment horizontal="center"/>
    </xf>
    <xf numFmtId="166" fontId="14" fillId="0" borderId="0" xfId="6" applyNumberFormat="1" applyFont="1" applyFill="1" applyBorder="1" applyAlignment="1">
      <alignment horizontal="right" vertical="center" wrapText="1" indent="1"/>
    </xf>
    <xf numFmtId="167" fontId="27" fillId="0" borderId="0" xfId="5" applyNumberFormat="1" applyFont="1" applyFill="1" applyBorder="1" applyAlignment="1">
      <alignment vertical="center" wrapText="1"/>
    </xf>
    <xf numFmtId="0" fontId="28" fillId="0" borderId="0" xfId="2" applyFont="1" applyFill="1" applyBorder="1" applyAlignment="1">
      <alignment horizontal="center" vertical="center"/>
    </xf>
    <xf numFmtId="165" fontId="27" fillId="0" borderId="0" xfId="4" applyNumberFormat="1" applyFont="1" applyFill="1" applyBorder="1" applyAlignment="1" applyProtection="1">
      <alignment horizontal="right" vertical="center" indent="1"/>
    </xf>
    <xf numFmtId="0" fontId="30" fillId="0" borderId="9" xfId="5" applyFont="1" applyFill="1" applyBorder="1" applyAlignment="1" applyProtection="1">
      <alignment horizontal="center" vertical="center" textRotation="90"/>
    </xf>
    <xf numFmtId="0" fontId="5" fillId="0" borderId="1" xfId="4" applyFont="1" applyFill="1" applyBorder="1" applyAlignment="1" applyProtection="1">
      <alignment vertical="center"/>
    </xf>
    <xf numFmtId="0" fontId="2" fillId="0" borderId="0" xfId="5" applyFont="1" applyFill="1" applyBorder="1" applyAlignment="1" applyProtection="1">
      <alignment horizontal="left" vertical="center"/>
    </xf>
    <xf numFmtId="3" fontId="5" fillId="0" borderId="0" xfId="5" applyNumberFormat="1" applyFont="1" applyFill="1" applyBorder="1" applyAlignment="1">
      <alignment horizontal="left" vertical="center"/>
    </xf>
    <xf numFmtId="166" fontId="5" fillId="0" borderId="0" xfId="5" applyNumberFormat="1" applyFont="1" applyFill="1" applyBorder="1" applyAlignment="1">
      <alignment horizontal="left" vertical="center"/>
    </xf>
    <xf numFmtId="166" fontId="31" fillId="0" borderId="0" xfId="5" applyNumberFormat="1" applyFont="1" applyFill="1" applyBorder="1" applyAlignment="1">
      <alignment horizontal="center" vertical="center" wrapText="1"/>
    </xf>
    <xf numFmtId="0" fontId="2" fillId="8" borderId="18" xfId="5" applyFont="1" applyFill="1" applyBorder="1" applyAlignment="1" applyProtection="1">
      <alignment horizontal="left" vertical="center"/>
    </xf>
    <xf numFmtId="0" fontId="2" fillId="8" borderId="19" xfId="5" applyFont="1" applyFill="1" applyBorder="1" applyAlignment="1" applyProtection="1">
      <alignment horizontal="left" vertical="center"/>
    </xf>
    <xf numFmtId="0" fontId="5" fillId="8" borderId="19" xfId="5" applyFont="1" applyFill="1" applyBorder="1" applyAlignment="1">
      <alignment horizontal="left" vertical="center"/>
    </xf>
    <xf numFmtId="3" fontId="5" fillId="8" borderId="19" xfId="5" applyNumberFormat="1" applyFont="1" applyFill="1" applyBorder="1" applyAlignment="1">
      <alignment horizontal="left" vertical="center"/>
    </xf>
    <xf numFmtId="166" fontId="5" fillId="8" borderId="19" xfId="5" applyNumberFormat="1" applyFont="1" applyFill="1" applyBorder="1" applyAlignment="1">
      <alignment horizontal="left" vertical="center"/>
    </xf>
    <xf numFmtId="0" fontId="5" fillId="8" borderId="20" xfId="5" applyFont="1" applyFill="1" applyBorder="1" applyAlignment="1">
      <alignment horizontal="left" vertical="center"/>
    </xf>
    <xf numFmtId="0" fontId="5" fillId="0" borderId="10" xfId="5" applyFont="1" applyFill="1" applyBorder="1" applyAlignment="1">
      <alignment horizontal="left" vertical="center"/>
    </xf>
    <xf numFmtId="0" fontId="21" fillId="8" borderId="21" xfId="4" applyFont="1" applyFill="1" applyBorder="1" applyAlignment="1" applyProtection="1">
      <alignment vertical="center"/>
    </xf>
    <xf numFmtId="166" fontId="32" fillId="8" borderId="22" xfId="5" applyNumberFormat="1" applyFont="1" applyFill="1" applyBorder="1" applyAlignment="1">
      <alignment horizontal="center" vertical="center" wrapText="1"/>
    </xf>
    <xf numFmtId="0" fontId="24" fillId="0" borderId="10" xfId="4" applyFont="1" applyFill="1" applyBorder="1" applyAlignment="1" applyProtection="1">
      <alignment vertical="center"/>
    </xf>
    <xf numFmtId="0" fontId="5" fillId="0" borderId="0" xfId="4" applyFont="1" applyFill="1" applyBorder="1" applyAlignment="1" applyProtection="1"/>
    <xf numFmtId="0" fontId="2" fillId="0" borderId="0" xfId="4" applyFont="1" applyFill="1" applyBorder="1" applyAlignment="1" applyProtection="1">
      <alignment horizontal="center"/>
    </xf>
    <xf numFmtId="0" fontId="5" fillId="0" borderId="0" xfId="4" applyFont="1" applyFill="1" applyBorder="1" applyAlignment="1" applyProtection="1">
      <alignment horizontal="left"/>
    </xf>
    <xf numFmtId="0" fontId="25" fillId="0" borderId="9" xfId="5" applyFont="1" applyFill="1" applyBorder="1" applyAlignment="1" applyProtection="1">
      <alignment horizontal="center" textRotation="90"/>
    </xf>
    <xf numFmtId="0" fontId="25" fillId="8" borderId="21" xfId="5" applyFont="1" applyFill="1" applyBorder="1" applyAlignment="1" applyProtection="1">
      <alignment horizontal="center" textRotation="90"/>
    </xf>
    <xf numFmtId="0" fontId="25" fillId="8" borderId="0" xfId="5" applyFont="1" applyFill="1" applyBorder="1" applyAlignment="1" applyProtection="1">
      <alignment horizontal="center" textRotation="90"/>
    </xf>
    <xf numFmtId="0" fontId="25" fillId="8" borderId="22" xfId="5" applyFont="1" applyFill="1" applyBorder="1" applyAlignment="1" applyProtection="1">
      <alignment horizontal="center" textRotation="90"/>
    </xf>
    <xf numFmtId="0" fontId="7" fillId="0" borderId="10" xfId="4" applyFont="1" applyFill="1" applyBorder="1" applyAlignment="1" applyProtection="1"/>
    <xf numFmtId="0" fontId="7" fillId="0" borderId="0" xfId="4" applyFont="1" applyFill="1" applyBorder="1" applyAlignment="1" applyProtection="1"/>
    <xf numFmtId="0" fontId="25" fillId="8" borderId="23" xfId="5" applyFont="1" applyFill="1" applyBorder="1" applyAlignment="1" applyProtection="1">
      <alignment horizontal="center" vertical="center" textRotation="90"/>
    </xf>
    <xf numFmtId="0" fontId="25" fillId="8" borderId="17" xfId="5" applyFont="1" applyFill="1" applyBorder="1" applyAlignment="1" applyProtection="1">
      <alignment horizontal="center" vertical="center" textRotation="90"/>
    </xf>
    <xf numFmtId="0" fontId="25" fillId="8" borderId="24" xfId="5" applyFont="1" applyFill="1" applyBorder="1" applyAlignment="1" applyProtection="1">
      <alignment horizontal="center" vertical="center" textRotation="90"/>
    </xf>
    <xf numFmtId="0" fontId="25" fillId="0" borderId="0" xfId="5" applyFont="1" applyFill="1" applyBorder="1" applyAlignment="1" applyProtection="1">
      <alignment horizontal="center" vertical="center" textRotation="90"/>
    </xf>
    <xf numFmtId="0" fontId="25" fillId="8" borderId="18" xfId="5" applyFont="1" applyFill="1" applyBorder="1" applyAlignment="1" applyProtection="1">
      <alignment horizontal="center" vertical="center" textRotation="90"/>
    </xf>
    <xf numFmtId="0" fontId="25" fillId="8" borderId="19" xfId="5" applyFont="1" applyFill="1" applyBorder="1" applyAlignment="1" applyProtection="1">
      <alignment horizontal="center" vertical="center" textRotation="90"/>
    </xf>
    <xf numFmtId="0" fontId="25" fillId="8" borderId="25" xfId="5" applyFont="1" applyFill="1" applyBorder="1" applyAlignment="1" applyProtection="1">
      <alignment vertical="center"/>
    </xf>
    <xf numFmtId="0" fontId="25" fillId="8" borderId="20" xfId="5" applyFont="1" applyFill="1" applyBorder="1" applyAlignment="1" applyProtection="1">
      <alignment horizontal="center" vertical="center" textRotation="90"/>
    </xf>
    <xf numFmtId="0" fontId="48" fillId="8" borderId="21" xfId="5" applyFont="1" applyFill="1" applyBorder="1" applyAlignment="1" applyProtection="1">
      <alignment vertical="center" textRotation="90" wrapText="1"/>
    </xf>
    <xf numFmtId="166" fontId="31" fillId="8" borderId="22" xfId="5" applyNumberFormat="1" applyFont="1" applyFill="1" applyBorder="1" applyAlignment="1">
      <alignment horizontal="center" vertical="center" wrapText="1"/>
    </xf>
    <xf numFmtId="0" fontId="28" fillId="0" borderId="28" xfId="2" applyFont="1" applyFill="1" applyBorder="1" applyAlignment="1">
      <alignment horizontal="center" vertical="center"/>
    </xf>
    <xf numFmtId="0" fontId="35" fillId="8" borderId="0" xfId="4" applyFont="1" applyFill="1" applyBorder="1" applyAlignment="1" applyProtection="1">
      <alignment vertical="center" textRotation="90" wrapText="1"/>
    </xf>
    <xf numFmtId="0" fontId="25" fillId="8" borderId="21" xfId="5" applyFont="1" applyFill="1" applyBorder="1" applyAlignment="1" applyProtection="1">
      <alignment horizontal="center" vertical="center" textRotation="90"/>
    </xf>
    <xf numFmtId="0" fontId="25" fillId="8" borderId="0" xfId="5" applyFont="1" applyFill="1" applyBorder="1" applyAlignment="1" applyProtection="1">
      <alignment horizontal="center" vertical="center" textRotation="90"/>
    </xf>
    <xf numFmtId="0" fontId="25" fillId="8" borderId="22" xfId="5" applyFont="1" applyFill="1" applyBorder="1" applyAlignment="1" applyProtection="1">
      <alignment horizontal="center" vertical="center" textRotation="90"/>
    </xf>
    <xf numFmtId="0" fontId="2" fillId="8" borderId="21" xfId="5" applyFont="1" applyFill="1" applyBorder="1" applyAlignment="1" applyProtection="1">
      <alignment horizontal="left" vertical="center"/>
    </xf>
    <xf numFmtId="0" fontId="2" fillId="8" borderId="0" xfId="5" applyFont="1" applyFill="1" applyBorder="1" applyAlignment="1" applyProtection="1">
      <alignment horizontal="left" vertical="center"/>
    </xf>
    <xf numFmtId="0" fontId="25" fillId="8" borderId="17" xfId="5" applyFont="1" applyFill="1" applyBorder="1" applyAlignment="1" applyProtection="1">
      <alignment vertical="center"/>
    </xf>
    <xf numFmtId="0" fontId="15" fillId="3" borderId="0" xfId="5" applyFont="1" applyFill="1" applyBorder="1" applyAlignment="1" applyProtection="1">
      <alignment horizontal="center" vertical="center"/>
    </xf>
    <xf numFmtId="0" fontId="15" fillId="0" borderId="9" xfId="5" applyFont="1" applyFill="1" applyBorder="1" applyAlignment="1" applyProtection="1">
      <alignment horizontal="center" vertical="center"/>
    </xf>
    <xf numFmtId="0" fontId="15" fillId="0" borderId="0" xfId="5" applyFont="1" applyFill="1" applyBorder="1" applyAlignment="1" applyProtection="1">
      <alignment horizontal="center" vertical="center"/>
    </xf>
    <xf numFmtId="0" fontId="34" fillId="0" borderId="0" xfId="5" applyFont="1" applyFill="1" applyBorder="1" applyAlignment="1" applyProtection="1">
      <alignment horizontal="left" vertical="center"/>
    </xf>
    <xf numFmtId="0" fontId="37" fillId="0" borderId="0" xfId="5" applyFont="1" applyFill="1" applyBorder="1" applyAlignment="1" applyProtection="1">
      <alignment horizontal="left" vertical="center"/>
    </xf>
    <xf numFmtId="0" fontId="38" fillId="0" borderId="0" xfId="2" applyFont="1" applyFill="1" applyBorder="1" applyAlignment="1">
      <alignment horizontal="center"/>
    </xf>
    <xf numFmtId="9" fontId="34" fillId="0" borderId="0" xfId="5" applyNumberFormat="1" applyFont="1" applyFill="1" applyBorder="1" applyAlignment="1" applyProtection="1">
      <alignment horizontal="right" vertical="center" indent="1"/>
    </xf>
    <xf numFmtId="3" fontId="2" fillId="0" borderId="0" xfId="5" applyNumberFormat="1" applyFont="1" applyFill="1" applyBorder="1" applyAlignment="1" applyProtection="1">
      <alignment horizontal="right" vertical="center" indent="1"/>
    </xf>
    <xf numFmtId="9" fontId="2" fillId="0" borderId="0" xfId="5" applyNumberFormat="1" applyFont="1" applyFill="1" applyBorder="1" applyAlignment="1" applyProtection="1">
      <alignment horizontal="right" vertical="center" indent="1"/>
    </xf>
    <xf numFmtId="0" fontId="2" fillId="0" borderId="0" xfId="4" applyFont="1" applyFill="1" applyBorder="1" applyAlignment="1" applyProtection="1">
      <alignment horizontal="right" vertical="center" indent="1"/>
    </xf>
    <xf numFmtId="9" fontId="2" fillId="0" borderId="0" xfId="5" applyNumberFormat="1" applyFont="1" applyFill="1" applyBorder="1" applyAlignment="1" applyProtection="1">
      <alignment vertical="center"/>
    </xf>
    <xf numFmtId="0" fontId="2" fillId="0" borderId="34" xfId="4" applyFont="1" applyFill="1" applyBorder="1" applyAlignment="1" applyProtection="1">
      <alignment horizontal="center" vertical="center"/>
    </xf>
    <xf numFmtId="0" fontId="2" fillId="0" borderId="35" xfId="4" applyFont="1" applyFill="1" applyBorder="1" applyAlignment="1" applyProtection="1">
      <alignment horizontal="center" vertical="center"/>
    </xf>
    <xf numFmtId="0" fontId="5" fillId="0" borderId="35" xfId="4" applyFont="1" applyFill="1" applyBorder="1" applyAlignment="1" applyProtection="1">
      <alignment horizontal="left" vertical="center"/>
    </xf>
    <xf numFmtId="0" fontId="5" fillId="0" borderId="35" xfId="4" applyFont="1" applyFill="1" applyBorder="1" applyAlignment="1" applyProtection="1">
      <alignment vertical="center"/>
    </xf>
    <xf numFmtId="0" fontId="7" fillId="0" borderId="36" xfId="4" applyFont="1" applyFill="1" applyBorder="1" applyAlignment="1" applyProtection="1">
      <alignment vertical="center"/>
    </xf>
    <xf numFmtId="0" fontId="6" fillId="0" borderId="0" xfId="4" applyFont="1" applyFill="1" applyBorder="1" applyAlignment="1" applyProtection="1">
      <alignment vertical="center"/>
    </xf>
    <xf numFmtId="0" fontId="2" fillId="12" borderId="1" xfId="4" applyFont="1" applyFill="1" applyBorder="1" applyAlignment="1" applyProtection="1">
      <alignment horizontal="center" vertical="center"/>
    </xf>
    <xf numFmtId="0" fontId="1" fillId="0" borderId="0" xfId="3" applyFont="1" applyProtection="1">
      <protection locked="0"/>
    </xf>
    <xf numFmtId="0" fontId="51" fillId="0" borderId="0" xfId="0" applyFont="1"/>
    <xf numFmtId="0" fontId="3" fillId="3" borderId="2" xfId="3" applyFont="1" applyFill="1" applyBorder="1" applyAlignment="1" applyProtection="1">
      <alignment horizontal="left"/>
      <protection locked="0"/>
    </xf>
    <xf numFmtId="0" fontId="39" fillId="13" borderId="3" xfId="3" applyFont="1" applyFill="1" applyBorder="1" applyProtection="1">
      <protection locked="0"/>
    </xf>
    <xf numFmtId="0" fontId="39" fillId="0" borderId="1" xfId="3" applyFont="1" applyBorder="1" applyAlignment="1" applyProtection="1">
      <alignment horizontal="center"/>
      <protection locked="0"/>
    </xf>
    <xf numFmtId="0" fontId="39" fillId="14" borderId="1" xfId="3" applyFont="1" applyFill="1" applyBorder="1" applyAlignment="1" applyProtection="1">
      <alignment horizontal="center"/>
      <protection locked="0"/>
    </xf>
    <xf numFmtId="0" fontId="39" fillId="0" borderId="1" xfId="3" applyFont="1" applyBorder="1" applyAlignment="1" applyProtection="1">
      <alignment horizontal="center"/>
    </xf>
    <xf numFmtId="0" fontId="52" fillId="0" borderId="0" xfId="3" applyFont="1" applyFill="1" applyAlignment="1" applyProtection="1">
      <alignment horizontal="center"/>
      <protection locked="0"/>
    </xf>
    <xf numFmtId="0" fontId="5" fillId="3" borderId="0" xfId="5" applyFont="1" applyFill="1" applyBorder="1" applyAlignment="1" applyProtection="1">
      <alignment horizontal="left" vertical="center"/>
    </xf>
    <xf numFmtId="0" fontId="41" fillId="3" borderId="0" xfId="5" applyFont="1" applyFill="1" applyBorder="1" applyAlignment="1" applyProtection="1">
      <alignment horizontal="left" vertical="center" textRotation="90"/>
    </xf>
    <xf numFmtId="0" fontId="40" fillId="3" borderId="0" xfId="5" applyFont="1" applyFill="1" applyBorder="1" applyAlignment="1" applyProtection="1">
      <alignment horizontal="left" vertical="center"/>
    </xf>
    <xf numFmtId="0" fontId="36" fillId="3" borderId="0" xfId="4" applyFont="1" applyFill="1" applyBorder="1" applyAlignment="1" applyProtection="1">
      <alignment horizontal="left" vertical="center"/>
    </xf>
    <xf numFmtId="0" fontId="42" fillId="3" borderId="0" xfId="4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/>
    </xf>
    <xf numFmtId="0" fontId="5" fillId="5" borderId="0" xfId="5" applyFont="1" applyFill="1" applyBorder="1" applyAlignment="1" applyProtection="1">
      <alignment horizontal="left" vertical="center"/>
    </xf>
    <xf numFmtId="0" fontId="1" fillId="3" borderId="4" xfId="3" applyFill="1" applyBorder="1" applyProtection="1"/>
    <xf numFmtId="4" fontId="39" fillId="0" borderId="1" xfId="3" applyNumberFormat="1" applyFont="1" applyBorder="1" applyAlignment="1" applyProtection="1">
      <alignment horizontal="center"/>
      <protection locked="0"/>
    </xf>
    <xf numFmtId="0" fontId="43" fillId="0" borderId="0" xfId="3" applyFont="1" applyFill="1" applyBorder="1" applyAlignment="1">
      <alignment vertical="center"/>
    </xf>
    <xf numFmtId="0" fontId="39" fillId="0" borderId="1" xfId="3" applyFont="1" applyBorder="1" applyAlignment="1" applyProtection="1">
      <alignment horizontal="left"/>
      <protection locked="0"/>
    </xf>
    <xf numFmtId="0" fontId="20" fillId="0" borderId="0" xfId="5" applyFont="1" applyFill="1" applyBorder="1" applyAlignment="1">
      <alignment horizontal="left" vertical="center"/>
    </xf>
    <xf numFmtId="0" fontId="0" fillId="0" borderId="1" xfId="0" applyBorder="1"/>
    <xf numFmtId="0" fontId="37" fillId="3" borderId="13" xfId="3" applyFont="1" applyFill="1" applyBorder="1" applyAlignment="1" applyProtection="1">
      <alignment horizontal="left" vertical="center"/>
      <protection locked="0"/>
    </xf>
    <xf numFmtId="0" fontId="37" fillId="4" borderId="12" xfId="3" applyFont="1" applyFill="1" applyBorder="1" applyAlignment="1">
      <alignment horizontal="left" vertical="center"/>
    </xf>
    <xf numFmtId="0" fontId="55" fillId="0" borderId="0" xfId="0" applyFont="1"/>
    <xf numFmtId="0" fontId="56" fillId="0" borderId="0" xfId="0" applyFont="1"/>
    <xf numFmtId="0" fontId="57" fillId="0" borderId="0" xfId="3" applyFont="1" applyFill="1" applyBorder="1" applyAlignment="1">
      <alignment horizontal="right"/>
    </xf>
    <xf numFmtId="0" fontId="58" fillId="0" borderId="0" xfId="3" applyFont="1" applyFill="1" applyBorder="1" applyAlignment="1">
      <alignment vertical="center"/>
    </xf>
    <xf numFmtId="0" fontId="49" fillId="8" borderId="21" xfId="5" applyFont="1" applyFill="1" applyBorder="1" applyAlignment="1" applyProtection="1">
      <alignment horizontal="center" vertical="center" textRotation="90"/>
    </xf>
    <xf numFmtId="0" fontId="60" fillId="8" borderId="0" xfId="5" applyFont="1" applyFill="1" applyBorder="1" applyAlignment="1" applyProtection="1">
      <alignment horizontal="left" vertical="center"/>
    </xf>
    <xf numFmtId="0" fontId="60" fillId="8" borderId="17" xfId="5" applyFont="1" applyFill="1" applyBorder="1" applyAlignment="1" applyProtection="1">
      <alignment horizontal="left" vertical="center"/>
    </xf>
    <xf numFmtId="0" fontId="22" fillId="3" borderId="0" xfId="4" applyFont="1" applyFill="1" applyBorder="1" applyAlignment="1" applyProtection="1">
      <alignment vertical="center"/>
    </xf>
    <xf numFmtId="0" fontId="27" fillId="3" borderId="0" xfId="4" applyFont="1" applyFill="1" applyBorder="1" applyAlignment="1" applyProtection="1">
      <alignment horizontal="right" vertical="center"/>
    </xf>
    <xf numFmtId="0" fontId="27" fillId="3" borderId="0" xfId="4" applyFont="1" applyFill="1" applyBorder="1" applyAlignment="1" applyProtection="1">
      <alignment vertical="center"/>
    </xf>
    <xf numFmtId="0" fontId="22" fillId="3" borderId="0" xfId="4" applyFont="1" applyFill="1" applyBorder="1" applyAlignment="1" applyProtection="1">
      <alignment horizontal="left" vertical="center"/>
    </xf>
    <xf numFmtId="0" fontId="27" fillId="3" borderId="0" xfId="4" applyFont="1" applyFill="1" applyBorder="1" applyAlignment="1" applyProtection="1">
      <alignment horizontal="center" vertical="center"/>
    </xf>
    <xf numFmtId="3" fontId="22" fillId="3" borderId="0" xfId="4" applyNumberFormat="1" applyFont="1" applyFill="1" applyBorder="1" applyAlignment="1" applyProtection="1">
      <alignment horizontal="left" vertical="center"/>
    </xf>
    <xf numFmtId="2" fontId="22" fillId="3" borderId="0" xfId="4" applyNumberFormat="1" applyFont="1" applyFill="1" applyBorder="1" applyAlignment="1" applyProtection="1">
      <alignment horizontal="left" vertical="center"/>
    </xf>
    <xf numFmtId="0" fontId="22" fillId="3" borderId="0" xfId="4" applyFont="1" applyFill="1" applyBorder="1" applyAlignment="1" applyProtection="1">
      <alignment horizontal="right" vertical="center"/>
    </xf>
    <xf numFmtId="170" fontId="22" fillId="3" borderId="0" xfId="4" applyNumberFormat="1" applyFont="1" applyFill="1" applyBorder="1" applyAlignment="1" applyProtection="1">
      <alignment horizontal="right" vertical="center"/>
    </xf>
    <xf numFmtId="171" fontId="22" fillId="3" borderId="0" xfId="4" applyNumberFormat="1" applyFont="1" applyFill="1" applyBorder="1" applyAlignment="1" applyProtection="1">
      <alignment horizontal="center" vertical="center"/>
    </xf>
    <xf numFmtId="0" fontId="22" fillId="3" borderId="0" xfId="4" applyFont="1" applyFill="1" applyBorder="1" applyAlignment="1" applyProtection="1">
      <alignment horizontal="center" vertical="center"/>
    </xf>
    <xf numFmtId="3" fontId="22" fillId="3" borderId="0" xfId="4" applyNumberFormat="1" applyFont="1" applyFill="1" applyBorder="1" applyAlignment="1" applyProtection="1">
      <alignment horizontal="center" vertical="center"/>
    </xf>
    <xf numFmtId="0" fontId="20" fillId="3" borderId="0" xfId="4" applyFont="1" applyFill="1" applyBorder="1" applyAlignment="1" applyProtection="1">
      <alignment vertical="center"/>
    </xf>
    <xf numFmtId="0" fontId="20" fillId="3" borderId="0" xfId="4" applyNumberFormat="1" applyFont="1" applyFill="1" applyBorder="1" applyAlignment="1" applyProtection="1">
      <alignment vertical="center"/>
    </xf>
    <xf numFmtId="3" fontId="20" fillId="3" borderId="0" xfId="4" applyNumberFormat="1" applyFont="1" applyFill="1" applyBorder="1" applyAlignment="1" applyProtection="1">
      <alignment vertical="center"/>
    </xf>
    <xf numFmtId="3" fontId="5" fillId="3" borderId="0" xfId="4" applyNumberFormat="1" applyFont="1" applyFill="1" applyBorder="1" applyAlignment="1" applyProtection="1">
      <alignment horizontal="center" vertical="center"/>
    </xf>
    <xf numFmtId="0" fontId="10" fillId="3" borderId="0" xfId="4" applyFont="1" applyFill="1" applyBorder="1" applyAlignment="1" applyProtection="1">
      <alignment horizontal="right" vertical="center"/>
    </xf>
    <xf numFmtId="0" fontId="10" fillId="3" borderId="0" xfId="4" applyFont="1" applyFill="1" applyBorder="1" applyAlignment="1" applyProtection="1">
      <alignment vertical="center"/>
    </xf>
    <xf numFmtId="0" fontId="61" fillId="3" borderId="0" xfId="4" applyFont="1" applyFill="1" applyBorder="1" applyAlignment="1" applyProtection="1">
      <alignment vertical="center"/>
    </xf>
    <xf numFmtId="172" fontId="20" fillId="3" borderId="0" xfId="4" applyNumberFormat="1" applyFont="1" applyFill="1" applyBorder="1" applyAlignment="1" applyProtection="1">
      <alignment vertical="center"/>
    </xf>
    <xf numFmtId="169" fontId="20" fillId="3" borderId="0" xfId="4" applyNumberFormat="1" applyFont="1" applyFill="1" applyBorder="1" applyAlignment="1" applyProtection="1">
      <alignment vertical="center"/>
    </xf>
    <xf numFmtId="3" fontId="5" fillId="3" borderId="0" xfId="4" applyNumberFormat="1" applyFont="1" applyFill="1" applyBorder="1" applyAlignment="1" applyProtection="1">
      <alignment vertical="center"/>
    </xf>
    <xf numFmtId="0" fontId="26" fillId="3" borderId="0" xfId="4" applyFont="1" applyFill="1" applyBorder="1" applyAlignment="1" applyProtection="1">
      <alignment horizontal="center" vertical="center"/>
    </xf>
    <xf numFmtId="9" fontId="22" fillId="3" borderId="0" xfId="4" applyNumberFormat="1" applyFont="1" applyFill="1" applyBorder="1" applyAlignment="1" applyProtection="1">
      <alignment vertical="center"/>
    </xf>
    <xf numFmtId="10" fontId="22" fillId="3" borderId="0" xfId="4" applyNumberFormat="1" applyFont="1" applyFill="1" applyBorder="1" applyAlignment="1" applyProtection="1">
      <alignment vertical="center"/>
    </xf>
    <xf numFmtId="2" fontId="22" fillId="3" borderId="0" xfId="4" applyNumberFormat="1" applyFont="1" applyFill="1" applyBorder="1" applyAlignment="1" applyProtection="1">
      <alignment vertical="center"/>
    </xf>
    <xf numFmtId="3" fontId="22" fillId="3" borderId="0" xfId="4" applyNumberFormat="1" applyFont="1" applyFill="1" applyBorder="1" applyAlignment="1" applyProtection="1">
      <alignment vertical="center"/>
    </xf>
    <xf numFmtId="170" fontId="22" fillId="3" borderId="0" xfId="4" applyNumberFormat="1" applyFont="1" applyFill="1" applyBorder="1" applyAlignment="1" applyProtection="1">
      <alignment horizontal="center" vertical="center"/>
    </xf>
    <xf numFmtId="0" fontId="0" fillId="15" borderId="1" xfId="0" applyFill="1" applyBorder="1"/>
    <xf numFmtId="0" fontId="15" fillId="0" borderId="34" xfId="5" applyFont="1" applyFill="1" applyBorder="1" applyAlignment="1" applyProtection="1">
      <alignment horizontal="center" vertical="center"/>
    </xf>
    <xf numFmtId="0" fontId="15" fillId="0" borderId="35" xfId="5" applyFont="1" applyFill="1" applyBorder="1" applyAlignment="1" applyProtection="1">
      <alignment horizontal="center" vertical="center"/>
    </xf>
    <xf numFmtId="0" fontId="34" fillId="0" borderId="35" xfId="5" applyFont="1" applyFill="1" applyBorder="1" applyAlignment="1" applyProtection="1">
      <alignment horizontal="left" vertical="center"/>
    </xf>
    <xf numFmtId="0" fontId="37" fillId="0" borderId="35" xfId="5" applyFont="1" applyFill="1" applyBorder="1" applyAlignment="1" applyProtection="1">
      <alignment horizontal="left" vertical="center"/>
    </xf>
    <xf numFmtId="0" fontId="38" fillId="0" borderId="35" xfId="2" applyFont="1" applyFill="1" applyBorder="1" applyAlignment="1">
      <alignment horizontal="center"/>
    </xf>
    <xf numFmtId="9" fontId="34" fillId="0" borderId="35" xfId="5" applyNumberFormat="1" applyFont="1" applyFill="1" applyBorder="1" applyAlignment="1" applyProtection="1">
      <alignment horizontal="right" vertical="center" indent="1"/>
    </xf>
    <xf numFmtId="3" fontId="2" fillId="0" borderId="35" xfId="5" applyNumberFormat="1" applyFont="1" applyFill="1" applyBorder="1" applyAlignment="1" applyProtection="1">
      <alignment horizontal="right" vertical="center" indent="1"/>
    </xf>
    <xf numFmtId="9" fontId="2" fillId="0" borderId="35" xfId="5" applyNumberFormat="1" applyFont="1" applyFill="1" applyBorder="1" applyAlignment="1" applyProtection="1">
      <alignment horizontal="right" vertical="center" indent="1"/>
    </xf>
    <xf numFmtId="0" fontId="2" fillId="0" borderId="35" xfId="4" applyFont="1" applyFill="1" applyBorder="1" applyAlignment="1" applyProtection="1">
      <alignment horizontal="right" vertical="center" indent="1"/>
    </xf>
    <xf numFmtId="9" fontId="2" fillId="0" borderId="35" xfId="5" applyNumberFormat="1" applyFont="1" applyFill="1" applyBorder="1" applyAlignment="1" applyProtection="1">
      <alignment vertical="center"/>
    </xf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64" fillId="3" borderId="0" xfId="4" applyFont="1" applyFill="1" applyBorder="1" applyAlignment="1" applyProtection="1">
      <alignment vertical="center"/>
    </xf>
    <xf numFmtId="0" fontId="0" fillId="3" borderId="0" xfId="0" applyFill="1"/>
    <xf numFmtId="0" fontId="2" fillId="24" borderId="23" xfId="4" applyFont="1" applyFill="1" applyBorder="1" applyAlignment="1" applyProtection="1">
      <alignment horizontal="center" vertical="center"/>
    </xf>
    <xf numFmtId="0" fontId="2" fillId="24" borderId="17" xfId="4" applyFont="1" applyFill="1" applyBorder="1" applyAlignment="1" applyProtection="1">
      <alignment horizontal="center" vertical="center"/>
    </xf>
    <xf numFmtId="0" fontId="2" fillId="24" borderId="24" xfId="4" applyFont="1" applyFill="1" applyBorder="1" applyAlignment="1" applyProtection="1">
      <alignment horizontal="center" vertical="center"/>
    </xf>
    <xf numFmtId="0" fontId="27" fillId="3" borderId="0" xfId="4" applyFont="1" applyFill="1" applyBorder="1" applyAlignment="1" applyProtection="1">
      <alignment horizontal="center" vertical="center"/>
    </xf>
    <xf numFmtId="166" fontId="5" fillId="0" borderId="40" xfId="5" applyNumberFormat="1" applyFont="1" applyFill="1" applyBorder="1" applyAlignment="1">
      <alignment horizontal="left" vertical="center"/>
    </xf>
    <xf numFmtId="0" fontId="5" fillId="0" borderId="58" xfId="5" applyFont="1" applyFill="1" applyBorder="1" applyAlignment="1">
      <alignment horizontal="left" vertical="center"/>
    </xf>
    <xf numFmtId="0" fontId="45" fillId="8" borderId="43" xfId="2" applyFont="1" applyFill="1" applyBorder="1" applyAlignment="1">
      <alignment horizontal="center"/>
    </xf>
    <xf numFmtId="0" fontId="33" fillId="8" borderId="43" xfId="2" applyFont="1" applyFill="1" applyBorder="1" applyAlignment="1">
      <alignment horizontal="center"/>
    </xf>
    <xf numFmtId="166" fontId="14" fillId="0" borderId="62" xfId="6" applyNumberFormat="1" applyFont="1" applyFill="1" applyBorder="1" applyAlignment="1">
      <alignment horizontal="right" vertical="center" wrapText="1" indent="1"/>
    </xf>
    <xf numFmtId="0" fontId="5" fillId="8" borderId="22" xfId="5" applyFont="1" applyFill="1" applyBorder="1" applyAlignment="1">
      <alignment horizontal="left" vertical="center"/>
    </xf>
    <xf numFmtId="165" fontId="27" fillId="0" borderId="68" xfId="4" applyNumberFormat="1" applyFont="1" applyFill="1" applyBorder="1" applyAlignment="1" applyProtection="1">
      <alignment horizontal="right" vertical="center" indent="1"/>
    </xf>
    <xf numFmtId="3" fontId="65" fillId="0" borderId="0" xfId="4" applyNumberFormat="1" applyFont="1" applyFill="1" applyBorder="1" applyAlignment="1" applyProtection="1">
      <alignment horizontal="right" vertical="center" indent="1"/>
    </xf>
    <xf numFmtId="0" fontId="18" fillId="4" borderId="11" xfId="3" applyFont="1" applyFill="1" applyBorder="1" applyAlignment="1">
      <alignment horizontal="left" vertical="center"/>
    </xf>
    <xf numFmtId="0" fontId="18" fillId="4" borderId="12" xfId="3" applyFont="1" applyFill="1" applyBorder="1" applyAlignment="1">
      <alignment horizontal="left" vertical="center"/>
    </xf>
    <xf numFmtId="0" fontId="54" fillId="0" borderId="0" xfId="4" applyFont="1" applyFill="1" applyBorder="1" applyAlignment="1" applyProtection="1">
      <alignment horizontal="left" vertical="center"/>
    </xf>
    <xf numFmtId="3" fontId="34" fillId="29" borderId="14" xfId="5" applyNumberFormat="1" applyFont="1" applyFill="1" applyBorder="1" applyAlignment="1">
      <alignment horizontal="right" vertical="center" wrapText="1" indent="1"/>
    </xf>
    <xf numFmtId="3" fontId="34" fillId="28" borderId="15" xfId="5" applyNumberFormat="1" applyFont="1" applyFill="1" applyBorder="1" applyAlignment="1">
      <alignment horizontal="right" vertical="center" wrapText="1" indent="1"/>
    </xf>
    <xf numFmtId="166" fontId="34" fillId="28" borderId="14" xfId="5" applyNumberFormat="1" applyFont="1" applyFill="1" applyBorder="1" applyAlignment="1">
      <alignment horizontal="right" vertical="center" wrapText="1" indent="1"/>
    </xf>
    <xf numFmtId="3" fontId="34" fillId="0" borderId="0" xfId="4" applyNumberFormat="1" applyFont="1" applyFill="1" applyBorder="1" applyAlignment="1" applyProtection="1">
      <alignment horizontal="right" vertical="center" indent="1"/>
    </xf>
    <xf numFmtId="0" fontId="65" fillId="0" borderId="0" xfId="4" applyFont="1" applyFill="1" applyBorder="1" applyAlignment="1" applyProtection="1">
      <alignment vertical="center"/>
    </xf>
    <xf numFmtId="0" fontId="65" fillId="0" borderId="0" xfId="4" applyFont="1" applyFill="1" applyBorder="1" applyAlignment="1" applyProtection="1">
      <alignment horizontal="left" vertical="center"/>
    </xf>
    <xf numFmtId="0" fontId="65" fillId="3" borderId="0" xfId="5" applyFont="1" applyFill="1" applyBorder="1" applyAlignment="1" applyProtection="1">
      <alignment horizontal="left" vertical="center"/>
    </xf>
    <xf numFmtId="0" fontId="69" fillId="0" borderId="9" xfId="5" applyFont="1" applyFill="1" applyBorder="1" applyAlignment="1" applyProtection="1">
      <alignment horizontal="center" vertical="center" textRotation="90"/>
    </xf>
    <xf numFmtId="0" fontId="71" fillId="0" borderId="0" xfId="2" applyFont="1" applyFill="1" applyBorder="1" applyAlignment="1">
      <alignment horizontal="center"/>
    </xf>
    <xf numFmtId="3" fontId="70" fillId="9" borderId="37" xfId="3" applyNumberFormat="1" applyFont="1" applyFill="1" applyBorder="1" applyAlignment="1">
      <alignment horizontal="right" vertical="center" wrapText="1" indent="1"/>
    </xf>
    <xf numFmtId="3" fontId="70" fillId="9" borderId="26" xfId="3" applyNumberFormat="1" applyFont="1" applyFill="1" applyBorder="1" applyAlignment="1">
      <alignment horizontal="right" vertical="center" wrapText="1" indent="1"/>
    </xf>
    <xf numFmtId="3" fontId="70" fillId="18" borderId="32" xfId="3" applyNumberFormat="1" applyFont="1" applyFill="1" applyBorder="1" applyAlignment="1">
      <alignment horizontal="right" vertical="center" wrapText="1" indent="1"/>
    </xf>
    <xf numFmtId="0" fontId="72" fillId="0" borderId="0" xfId="2" applyFont="1" applyFill="1" applyBorder="1" applyAlignment="1">
      <alignment horizontal="center" vertical="center"/>
    </xf>
    <xf numFmtId="0" fontId="73" fillId="0" borderId="10" xfId="4" applyFont="1" applyFill="1" applyBorder="1" applyAlignment="1" applyProtection="1">
      <alignment vertical="center"/>
    </xf>
    <xf numFmtId="0" fontId="34" fillId="0" borderId="0" xfId="5" applyFont="1" applyFill="1" applyBorder="1" applyAlignment="1">
      <alignment horizontal="left" vertical="center"/>
    </xf>
    <xf numFmtId="3" fontId="34" fillId="6" borderId="14" xfId="5" applyNumberFormat="1" applyFont="1" applyFill="1" applyBorder="1" applyAlignment="1">
      <alignment horizontal="right" vertical="center" wrapText="1" indent="1"/>
    </xf>
    <xf numFmtId="3" fontId="34" fillId="7" borderId="15" xfId="5" applyNumberFormat="1" applyFont="1" applyFill="1" applyBorder="1" applyAlignment="1">
      <alignment horizontal="right" vertical="center" wrapText="1" indent="1"/>
    </xf>
    <xf numFmtId="166" fontId="34" fillId="7" borderId="14" xfId="5" applyNumberFormat="1" applyFont="1" applyFill="1" applyBorder="1" applyAlignment="1">
      <alignment horizontal="right" vertical="center" wrapText="1" indent="1"/>
    </xf>
    <xf numFmtId="166" fontId="34" fillId="7" borderId="15" xfId="5" applyNumberFormat="1" applyFont="1" applyFill="1" applyBorder="1" applyAlignment="1">
      <alignment horizontal="right" vertical="center" wrapText="1" indent="1"/>
    </xf>
    <xf numFmtId="3" fontId="34" fillId="6" borderId="16" xfId="5" applyNumberFormat="1" applyFont="1" applyFill="1" applyBorder="1" applyAlignment="1">
      <alignment horizontal="right" vertical="center" wrapText="1" indent="1"/>
    </xf>
    <xf numFmtId="0" fontId="74" fillId="0" borderId="0" xfId="2" applyFont="1" applyFill="1" applyBorder="1" applyAlignment="1">
      <alignment horizontal="center"/>
    </xf>
    <xf numFmtId="3" fontId="75" fillId="19" borderId="40" xfId="5" applyNumberFormat="1" applyFont="1" applyFill="1" applyBorder="1" applyAlignment="1">
      <alignment horizontal="right" vertical="center" wrapText="1" indent="1"/>
    </xf>
    <xf numFmtId="3" fontId="65" fillId="6" borderId="0" xfId="5" applyNumberFormat="1" applyFont="1" applyFill="1" applyBorder="1" applyAlignment="1">
      <alignment horizontal="right" vertical="center" wrapText="1" indent="1"/>
    </xf>
    <xf numFmtId="166" fontId="76" fillId="6" borderId="0" xfId="3" applyNumberFormat="1" applyFont="1" applyFill="1" applyBorder="1" applyAlignment="1">
      <alignment horizontal="right" vertical="center" wrapText="1" indent="1"/>
    </xf>
    <xf numFmtId="166" fontId="77" fillId="0" borderId="0" xfId="5" applyNumberFormat="1" applyFont="1" applyFill="1" applyBorder="1" applyAlignment="1">
      <alignment horizontal="center" vertical="center" wrapText="1"/>
    </xf>
    <xf numFmtId="165" fontId="65" fillId="8" borderId="68" xfId="4" applyNumberFormat="1" applyFont="1" applyFill="1" applyBorder="1" applyAlignment="1" applyProtection="1">
      <alignment horizontal="right" vertical="center" indent="1"/>
    </xf>
    <xf numFmtId="0" fontId="74" fillId="8" borderId="43" xfId="2" applyFont="1" applyFill="1" applyBorder="1" applyAlignment="1">
      <alignment horizontal="center"/>
    </xf>
    <xf numFmtId="165" fontId="18" fillId="8" borderId="68" xfId="4" applyNumberFormat="1" applyFont="1" applyFill="1" applyBorder="1" applyAlignment="1" applyProtection="1">
      <alignment horizontal="right" vertical="center" indent="1"/>
    </xf>
    <xf numFmtId="165" fontId="18" fillId="0" borderId="68" xfId="4" applyNumberFormat="1" applyFont="1" applyFill="1" applyBorder="1" applyAlignment="1" applyProtection="1">
      <alignment horizontal="right" vertical="center" indent="1"/>
    </xf>
    <xf numFmtId="164" fontId="65" fillId="25" borderId="63" xfId="1" applyFont="1" applyFill="1" applyBorder="1" applyAlignment="1">
      <alignment horizontal="right" vertical="center" wrapText="1" indent="1"/>
    </xf>
    <xf numFmtId="168" fontId="65" fillId="25" borderId="14" xfId="1" applyNumberFormat="1" applyFont="1" applyFill="1" applyBorder="1" applyAlignment="1">
      <alignment horizontal="right" vertical="center" wrapText="1" indent="1"/>
    </xf>
    <xf numFmtId="3" fontId="76" fillId="11" borderId="15" xfId="5" applyNumberFormat="1" applyFont="1" applyFill="1" applyBorder="1" applyAlignment="1">
      <alignment vertical="center" wrapText="1"/>
    </xf>
    <xf numFmtId="164" fontId="65" fillId="25" borderId="65" xfId="1" applyFont="1" applyFill="1" applyBorder="1" applyAlignment="1">
      <alignment horizontal="right" vertical="center" wrapText="1" indent="1"/>
    </xf>
    <xf numFmtId="164" fontId="65" fillId="25" borderId="14" xfId="1" applyFont="1" applyFill="1" applyBorder="1" applyAlignment="1">
      <alignment horizontal="right" vertical="center" wrapText="1" indent="1"/>
    </xf>
    <xf numFmtId="3" fontId="76" fillId="11" borderId="0" xfId="5" applyNumberFormat="1" applyFont="1" applyFill="1" applyBorder="1" applyAlignment="1">
      <alignment vertical="center" wrapText="1"/>
    </xf>
    <xf numFmtId="3" fontId="82" fillId="11" borderId="48" xfId="5" applyNumberFormat="1" applyFont="1" applyFill="1" applyBorder="1" applyAlignment="1">
      <alignment vertical="center" wrapText="1"/>
    </xf>
    <xf numFmtId="0" fontId="81" fillId="8" borderId="43" xfId="2" applyFont="1" applyFill="1" applyBorder="1" applyAlignment="1">
      <alignment horizontal="center"/>
    </xf>
    <xf numFmtId="164" fontId="81" fillId="25" borderId="64" xfId="1" applyFont="1" applyFill="1" applyBorder="1" applyAlignment="1">
      <alignment horizontal="right" vertical="center" wrapText="1" indent="1"/>
    </xf>
    <xf numFmtId="164" fontId="81" fillId="25" borderId="56" xfId="1" applyFont="1" applyFill="1" applyBorder="1" applyAlignment="1">
      <alignment horizontal="right" vertical="center" wrapText="1" indent="1"/>
    </xf>
    <xf numFmtId="3" fontId="82" fillId="11" borderId="54" xfId="5" applyNumberFormat="1" applyFont="1" applyFill="1" applyBorder="1" applyAlignment="1">
      <alignment vertical="center" wrapText="1"/>
    </xf>
    <xf numFmtId="165" fontId="81" fillId="8" borderId="68" xfId="4" applyNumberFormat="1" applyFont="1" applyFill="1" applyBorder="1" applyAlignment="1" applyProtection="1">
      <alignment horizontal="right" vertical="center" indent="1"/>
    </xf>
    <xf numFmtId="164" fontId="81" fillId="25" borderId="66" xfId="1" applyFont="1" applyFill="1" applyBorder="1" applyAlignment="1">
      <alignment horizontal="right" vertical="center" wrapText="1" indent="1"/>
    </xf>
    <xf numFmtId="0" fontId="74" fillId="8" borderId="43" xfId="2" applyFont="1" applyFill="1" applyBorder="1" applyAlignment="1">
      <alignment horizontal="center" vertical="center"/>
    </xf>
    <xf numFmtId="164" fontId="65" fillId="25" borderId="63" xfId="1" applyFont="1" applyFill="1" applyBorder="1" applyAlignment="1">
      <alignment horizontal="right" vertical="center" wrapText="1"/>
    </xf>
    <xf numFmtId="164" fontId="65" fillId="25" borderId="15" xfId="1" applyFont="1" applyFill="1" applyBorder="1" applyAlignment="1">
      <alignment horizontal="right" vertical="center" wrapText="1"/>
    </xf>
    <xf numFmtId="3" fontId="18" fillId="10" borderId="29" xfId="5" applyNumberFormat="1" applyFont="1" applyFill="1" applyBorder="1" applyAlignment="1">
      <alignment vertical="center" wrapText="1"/>
    </xf>
    <xf numFmtId="165" fontId="65" fillId="8" borderId="69" xfId="4" applyNumberFormat="1" applyFont="1" applyFill="1" applyBorder="1" applyAlignment="1" applyProtection="1">
      <alignment horizontal="right" vertical="center"/>
    </xf>
    <xf numFmtId="164" fontId="65" fillId="25" borderId="70" xfId="1" applyFont="1" applyFill="1" applyBorder="1" applyAlignment="1">
      <alignment horizontal="right" vertical="center" wrapText="1"/>
    </xf>
    <xf numFmtId="0" fontId="74" fillId="0" borderId="43" xfId="2" applyFont="1" applyFill="1" applyBorder="1" applyAlignment="1">
      <alignment horizontal="center" vertical="center"/>
    </xf>
    <xf numFmtId="2" fontId="65" fillId="25" borderId="62" xfId="5" applyNumberFormat="1" applyFont="1" applyFill="1" applyBorder="1" applyAlignment="1">
      <alignment horizontal="right" vertical="center" wrapText="1"/>
    </xf>
    <xf numFmtId="2" fontId="65" fillId="25" borderId="0" xfId="5" applyNumberFormat="1" applyFont="1" applyFill="1" applyBorder="1" applyAlignment="1">
      <alignment horizontal="right" vertical="center" wrapText="1"/>
    </xf>
    <xf numFmtId="3" fontId="83" fillId="10" borderId="30" xfId="5" applyNumberFormat="1" applyFont="1" applyFill="1" applyBorder="1" applyAlignment="1">
      <alignment vertical="center" wrapText="1"/>
    </xf>
    <xf numFmtId="3" fontId="65" fillId="10" borderId="28" xfId="5" applyNumberFormat="1" applyFont="1" applyFill="1" applyBorder="1" applyAlignment="1">
      <alignment vertical="center" wrapText="1"/>
    </xf>
    <xf numFmtId="165" fontId="65" fillId="8" borderId="68" xfId="4" applyNumberFormat="1" applyFont="1" applyFill="1" applyBorder="1" applyAlignment="1" applyProtection="1">
      <alignment horizontal="right" vertical="center"/>
    </xf>
    <xf numFmtId="2" fontId="65" fillId="25" borderId="67" xfId="5" applyNumberFormat="1" applyFont="1" applyFill="1" applyBorder="1" applyAlignment="1">
      <alignment horizontal="right" vertical="center" wrapText="1"/>
    </xf>
    <xf numFmtId="166" fontId="70" fillId="26" borderId="31" xfId="5" applyNumberFormat="1" applyFont="1" applyFill="1" applyBorder="1" applyAlignment="1">
      <alignment horizontal="right" vertical="center" wrapText="1" indent="1"/>
    </xf>
    <xf numFmtId="166" fontId="70" fillId="26" borderId="32" xfId="5" applyNumberFormat="1" applyFont="1" applyFill="1" applyBorder="1" applyAlignment="1">
      <alignment horizontal="right" vertical="center" wrapText="1" indent="1"/>
    </xf>
    <xf numFmtId="3" fontId="75" fillId="10" borderId="27" xfId="5" applyNumberFormat="1" applyFont="1" applyFill="1" applyBorder="1" applyAlignment="1" applyProtection="1">
      <alignment vertical="center" wrapText="1"/>
    </xf>
    <xf numFmtId="3" fontId="18" fillId="10" borderId="33" xfId="5" applyNumberFormat="1" applyFont="1" applyFill="1" applyBorder="1" applyAlignment="1">
      <alignment vertical="center" wrapText="1"/>
    </xf>
    <xf numFmtId="166" fontId="70" fillId="26" borderId="37" xfId="5" applyNumberFormat="1" applyFont="1" applyFill="1" applyBorder="1" applyAlignment="1">
      <alignment horizontal="right" vertical="center" wrapText="1" indent="1"/>
    </xf>
    <xf numFmtId="3" fontId="75" fillId="10" borderId="27" xfId="5" applyNumberFormat="1" applyFont="1" applyFill="1" applyBorder="1" applyAlignment="1">
      <alignment vertical="center" wrapText="1"/>
    </xf>
    <xf numFmtId="165" fontId="75" fillId="11" borderId="65" xfId="1" applyNumberFormat="1" applyFont="1" applyFill="1" applyBorder="1" applyAlignment="1">
      <alignment horizontal="right" vertical="center" wrapText="1" indent="1"/>
    </xf>
    <xf numFmtId="165" fontId="75" fillId="11" borderId="14" xfId="1" applyNumberFormat="1" applyFont="1" applyFill="1" applyBorder="1" applyAlignment="1">
      <alignment horizontal="right" vertical="center" wrapText="1" indent="1"/>
    </xf>
    <xf numFmtId="165" fontId="65" fillId="20" borderId="15" xfId="1" applyNumberFormat="1" applyFont="1" applyFill="1" applyBorder="1" applyAlignment="1">
      <alignment horizontal="right" vertical="center" indent="1"/>
    </xf>
    <xf numFmtId="166" fontId="65" fillId="20" borderId="51" xfId="6" applyNumberFormat="1" applyFont="1" applyFill="1" applyBorder="1" applyAlignment="1">
      <alignment horizontal="right" vertical="center" indent="1"/>
    </xf>
    <xf numFmtId="165" fontId="75" fillId="11" borderId="59" xfId="1" applyNumberFormat="1" applyFont="1" applyFill="1" applyBorder="1" applyAlignment="1">
      <alignment horizontal="right" vertical="center" wrapText="1" indent="1"/>
    </xf>
    <xf numFmtId="165" fontId="75" fillId="11" borderId="41" xfId="1" applyNumberFormat="1" applyFont="1" applyFill="1" applyBorder="1" applyAlignment="1">
      <alignment horizontal="right" vertical="center" wrapText="1" indent="1"/>
    </xf>
    <xf numFmtId="165" fontId="65" fillId="20" borderId="54" xfId="1" applyNumberFormat="1" applyFont="1" applyFill="1" applyBorder="1" applyAlignment="1">
      <alignment horizontal="right" vertical="center" indent="1"/>
    </xf>
    <xf numFmtId="166" fontId="65" fillId="20" borderId="57" xfId="6" applyNumberFormat="1" applyFont="1" applyFill="1" applyBorder="1" applyAlignment="1">
      <alignment horizontal="right" vertical="center" indent="1"/>
    </xf>
    <xf numFmtId="0" fontId="75" fillId="21" borderId="40" xfId="3" applyFont="1" applyFill="1" applyBorder="1" applyAlignment="1">
      <alignment horizontal="center" vertical="center" wrapText="1"/>
    </xf>
    <xf numFmtId="0" fontId="65" fillId="0" borderId="0" xfId="3" applyFont="1" applyFill="1" applyBorder="1" applyAlignment="1">
      <alignment vertical="center" wrapText="1"/>
    </xf>
    <xf numFmtId="0" fontId="85" fillId="8" borderId="0" xfId="5" applyFont="1" applyFill="1" applyBorder="1" applyAlignment="1" applyProtection="1">
      <alignment horizontal="right" vertical="center"/>
    </xf>
    <xf numFmtId="0" fontId="46" fillId="8" borderId="0" xfId="5" applyFont="1" applyFill="1" applyBorder="1" applyAlignment="1" applyProtection="1">
      <alignment horizontal="center" vertical="center" textRotation="90"/>
    </xf>
    <xf numFmtId="0" fontId="79" fillId="8" borderId="0" xfId="5" applyFont="1" applyFill="1" applyBorder="1" applyAlignment="1" applyProtection="1">
      <alignment horizontal="center" vertical="center" textRotation="90"/>
    </xf>
    <xf numFmtId="167" fontId="70" fillId="9" borderId="33" xfId="6" applyNumberFormat="1" applyFont="1" applyFill="1" applyBorder="1" applyAlignment="1">
      <alignment horizontal="right" vertical="center" wrapText="1" indent="1"/>
    </xf>
    <xf numFmtId="0" fontId="27" fillId="3" borderId="0" xfId="4" applyFont="1" applyFill="1" applyBorder="1" applyAlignment="1" applyProtection="1">
      <alignment horizontal="center" vertical="center"/>
    </xf>
    <xf numFmtId="0" fontId="18" fillId="3" borderId="15" xfId="3" applyFont="1" applyFill="1" applyBorder="1" applyAlignment="1" applyProtection="1">
      <alignment horizontal="left" vertical="center" indent="1"/>
      <protection locked="0"/>
    </xf>
    <xf numFmtId="0" fontId="18" fillId="3" borderId="39" xfId="3" applyFont="1" applyFill="1" applyBorder="1" applyAlignment="1" applyProtection="1">
      <alignment horizontal="left" vertical="center" indent="1"/>
      <protection locked="0"/>
    </xf>
    <xf numFmtId="0" fontId="18" fillId="3" borderId="13" xfId="3" applyFont="1" applyFill="1" applyBorder="1" applyAlignment="1" applyProtection="1">
      <alignment horizontal="left" vertical="center" indent="1"/>
      <protection locked="0"/>
    </xf>
    <xf numFmtId="167" fontId="86" fillId="9" borderId="27" xfId="6" applyNumberFormat="1" applyFont="1" applyFill="1" applyBorder="1" applyAlignment="1">
      <alignment horizontal="right" vertical="center" wrapText="1"/>
    </xf>
    <xf numFmtId="167" fontId="86" fillId="9" borderId="32" xfId="6" applyNumberFormat="1" applyFont="1" applyFill="1" applyBorder="1" applyAlignment="1">
      <alignment horizontal="right" vertical="center" wrapText="1"/>
    </xf>
    <xf numFmtId="0" fontId="75" fillId="0" borderId="0" xfId="5" applyFont="1" applyFill="1" applyBorder="1" applyAlignment="1">
      <alignment horizontal="left" vertical="center" wrapText="1"/>
    </xf>
    <xf numFmtId="0" fontId="83" fillId="20" borderId="15" xfId="5" applyFont="1" applyFill="1" applyBorder="1" applyAlignment="1">
      <alignment horizontal="left" vertical="center" indent="1"/>
    </xf>
    <xf numFmtId="0" fontId="83" fillId="20" borderId="0" xfId="5" applyFont="1" applyFill="1" applyBorder="1" applyAlignment="1">
      <alignment horizontal="left" vertical="center" indent="1"/>
    </xf>
    <xf numFmtId="0" fontId="54" fillId="0" borderId="0" xfId="5" applyFont="1" applyFill="1" applyBorder="1" applyAlignment="1">
      <alignment horizontal="left" vertical="center" wrapText="1"/>
    </xf>
    <xf numFmtId="167" fontId="80" fillId="11" borderId="51" xfId="5" applyNumberFormat="1" applyFont="1" applyFill="1" applyBorder="1" applyAlignment="1">
      <alignment horizontal="right" vertical="center" wrapText="1" indent="1"/>
    </xf>
    <xf numFmtId="167" fontId="82" fillId="11" borderId="53" xfId="5" applyNumberFormat="1" applyFont="1" applyFill="1" applyBorder="1" applyAlignment="1">
      <alignment horizontal="right" vertical="center" wrapText="1" indent="1"/>
    </xf>
    <xf numFmtId="167" fontId="82" fillId="11" borderId="57" xfId="5" applyNumberFormat="1" applyFont="1" applyFill="1" applyBorder="1" applyAlignment="1">
      <alignment horizontal="right" vertical="center" wrapText="1" indent="1"/>
    </xf>
    <xf numFmtId="167" fontId="18" fillId="10" borderId="46" xfId="5" applyNumberFormat="1" applyFont="1" applyFill="1" applyBorder="1" applyAlignment="1">
      <alignment horizontal="right" vertical="center" wrapText="1" indent="1"/>
    </xf>
    <xf numFmtId="167" fontId="76" fillId="11" borderId="51" xfId="5" applyNumberFormat="1" applyFont="1" applyFill="1" applyBorder="1" applyAlignment="1">
      <alignment horizontal="right" vertical="center" wrapText="1" indent="1"/>
    </xf>
    <xf numFmtId="166" fontId="78" fillId="8" borderId="0" xfId="6" applyNumberFormat="1" applyFont="1" applyFill="1" applyBorder="1" applyAlignment="1" applyProtection="1">
      <alignment horizontal="right" vertical="center" indent="1"/>
    </xf>
    <xf numFmtId="166" fontId="70" fillId="9" borderId="37" xfId="6" applyNumberFormat="1" applyFont="1" applyFill="1" applyBorder="1" applyAlignment="1">
      <alignment horizontal="right" vertical="center" wrapText="1" indent="1"/>
    </xf>
    <xf numFmtId="166" fontId="70" fillId="9" borderId="26" xfId="6" applyNumberFormat="1" applyFont="1" applyFill="1" applyBorder="1" applyAlignment="1">
      <alignment horizontal="right" vertical="center" wrapText="1" indent="1"/>
    </xf>
    <xf numFmtId="166" fontId="70" fillId="18" borderId="33" xfId="3" applyNumberFormat="1" applyFont="1" applyFill="1" applyBorder="1" applyAlignment="1">
      <alignment horizontal="right" vertical="center" wrapText="1" indent="1"/>
    </xf>
    <xf numFmtId="165" fontId="18" fillId="8" borderId="0" xfId="4" applyNumberFormat="1" applyFont="1" applyFill="1" applyBorder="1" applyAlignment="1" applyProtection="1">
      <alignment horizontal="right" vertical="center"/>
    </xf>
    <xf numFmtId="0" fontId="33" fillId="8" borderId="0" xfId="2" applyFont="1" applyFill="1" applyBorder="1" applyAlignment="1">
      <alignment horizontal="center" vertical="center"/>
    </xf>
    <xf numFmtId="166" fontId="70" fillId="18" borderId="78" xfId="3" applyNumberFormat="1" applyFont="1" applyFill="1" applyBorder="1" applyAlignment="1">
      <alignment horizontal="right" vertical="center" wrapText="1" indent="1"/>
    </xf>
    <xf numFmtId="0" fontId="59" fillId="8" borderId="0" xfId="3" applyFont="1" applyFill="1" applyBorder="1" applyAlignment="1">
      <alignment horizontal="right" vertical="center"/>
    </xf>
    <xf numFmtId="0" fontId="59" fillId="8" borderId="17" xfId="3" applyFont="1" applyFill="1" applyBorder="1" applyAlignment="1">
      <alignment horizontal="right" vertical="center"/>
    </xf>
    <xf numFmtId="168" fontId="83" fillId="4" borderId="47" xfId="1" applyNumberFormat="1" applyFont="1" applyFill="1" applyBorder="1" applyAlignment="1">
      <alignment horizontal="right" vertical="center" wrapText="1" indent="1"/>
    </xf>
    <xf numFmtId="168" fontId="83" fillId="4" borderId="60" xfId="6" applyNumberFormat="1" applyFont="1" applyFill="1" applyBorder="1" applyAlignment="1">
      <alignment horizontal="right" vertical="center" wrapText="1" indent="1"/>
    </xf>
    <xf numFmtId="168" fontId="83" fillId="4" borderId="45" xfId="6" applyNumberFormat="1" applyFont="1" applyFill="1" applyBorder="1" applyAlignment="1">
      <alignment horizontal="right" vertical="center" wrapText="1" indent="1"/>
    </xf>
    <xf numFmtId="2" fontId="83" fillId="11" borderId="29" xfId="5" applyNumberFormat="1" applyFont="1" applyFill="1" applyBorder="1" applyAlignment="1">
      <alignment vertical="center" wrapText="1"/>
    </xf>
    <xf numFmtId="2" fontId="83" fillId="11" borderId="46" xfId="5" applyNumberFormat="1" applyFont="1" applyFill="1" applyBorder="1" applyAlignment="1">
      <alignment horizontal="left" vertical="center" wrapText="1" indent="1"/>
    </xf>
    <xf numFmtId="168" fontId="83" fillId="4" borderId="61" xfId="1" applyNumberFormat="1" applyFont="1" applyFill="1" applyBorder="1" applyAlignment="1">
      <alignment horizontal="right" vertical="center" wrapText="1" indent="1"/>
    </xf>
    <xf numFmtId="2" fontId="83" fillId="11" borderId="48" xfId="5" applyNumberFormat="1" applyFont="1" applyFill="1" applyBorder="1" applyAlignment="1">
      <alignment vertical="center" wrapText="1"/>
    </xf>
    <xf numFmtId="2" fontId="83" fillId="11" borderId="49" xfId="5" applyNumberFormat="1" applyFont="1" applyFill="1" applyBorder="1" applyAlignment="1">
      <alignment horizontal="left" vertical="center" wrapText="1" indent="1"/>
    </xf>
    <xf numFmtId="168" fontId="83" fillId="4" borderId="72" xfId="6" applyNumberFormat="1" applyFont="1" applyFill="1" applyBorder="1" applyAlignment="1">
      <alignment horizontal="right" vertical="center" wrapText="1" indent="1"/>
    </xf>
    <xf numFmtId="168" fontId="83" fillId="4" borderId="73" xfId="6" applyNumberFormat="1" applyFont="1" applyFill="1" applyBorder="1" applyAlignment="1">
      <alignment horizontal="right" vertical="center" wrapText="1" indent="1"/>
    </xf>
    <xf numFmtId="2" fontId="83" fillId="11" borderId="74" xfId="5" applyNumberFormat="1" applyFont="1" applyFill="1" applyBorder="1" applyAlignment="1">
      <alignment vertical="center" wrapText="1"/>
    </xf>
    <xf numFmtId="2" fontId="83" fillId="11" borderId="75" xfId="5" applyNumberFormat="1" applyFont="1" applyFill="1" applyBorder="1" applyAlignment="1">
      <alignment horizontal="left" vertical="center" wrapText="1" indent="1"/>
    </xf>
    <xf numFmtId="4" fontId="83" fillId="4" borderId="60" xfId="6" applyNumberFormat="1" applyFont="1" applyFill="1" applyBorder="1" applyAlignment="1">
      <alignment horizontal="right" vertical="center" wrapText="1" indent="1"/>
    </xf>
    <xf numFmtId="4" fontId="83" fillId="4" borderId="61" xfId="1" applyNumberFormat="1" applyFont="1" applyFill="1" applyBorder="1" applyAlignment="1">
      <alignment horizontal="right" vertical="center" wrapText="1" indent="1"/>
    </xf>
    <xf numFmtId="4" fontId="83" fillId="4" borderId="72" xfId="6" applyNumberFormat="1" applyFont="1" applyFill="1" applyBorder="1" applyAlignment="1">
      <alignment horizontal="right" vertical="center" wrapText="1" indent="1"/>
    </xf>
    <xf numFmtId="3" fontId="75" fillId="10" borderId="29" xfId="5" applyNumberFormat="1" applyFont="1" applyFill="1" applyBorder="1" applyAlignment="1">
      <alignment vertical="center" wrapText="1"/>
    </xf>
    <xf numFmtId="167" fontId="75" fillId="10" borderId="46" xfId="5" applyNumberFormat="1" applyFont="1" applyFill="1" applyBorder="1" applyAlignment="1">
      <alignment horizontal="right" vertical="center" wrapText="1" indent="1"/>
    </xf>
    <xf numFmtId="3" fontId="83" fillId="10" borderId="28" xfId="5" applyNumberFormat="1" applyFont="1" applyFill="1" applyBorder="1" applyAlignment="1">
      <alignment vertical="center" wrapText="1"/>
    </xf>
    <xf numFmtId="3" fontId="75" fillId="10" borderId="33" xfId="5" applyNumberFormat="1" applyFont="1" applyFill="1" applyBorder="1" applyAlignment="1">
      <alignment vertical="center" wrapText="1"/>
    </xf>
    <xf numFmtId="166" fontId="54" fillId="0" borderId="62" xfId="6" applyNumberFormat="1" applyFont="1" applyFill="1" applyBorder="1" applyAlignment="1">
      <alignment horizontal="right" vertical="center" wrapText="1" indent="1"/>
    </xf>
    <xf numFmtId="166" fontId="54" fillId="0" borderId="0" xfId="6" applyNumberFormat="1" applyFont="1" applyFill="1" applyBorder="1" applyAlignment="1">
      <alignment horizontal="right" vertical="center" wrapText="1" indent="1"/>
    </xf>
    <xf numFmtId="167" fontId="88" fillId="0" borderId="0" xfId="5" applyNumberFormat="1" applyFont="1" applyFill="1" applyBorder="1" applyAlignment="1">
      <alignment vertical="center" wrapText="1"/>
    </xf>
    <xf numFmtId="0" fontId="89" fillId="0" borderId="28" xfId="2" applyFont="1" applyFill="1" applyBorder="1" applyAlignment="1">
      <alignment horizontal="center" vertical="center"/>
    </xf>
    <xf numFmtId="164" fontId="83" fillId="25" borderId="63" xfId="1" applyFont="1" applyFill="1" applyBorder="1" applyAlignment="1">
      <alignment horizontal="right" vertical="center" wrapText="1" indent="1"/>
    </xf>
    <xf numFmtId="164" fontId="90" fillId="25" borderId="64" xfId="1" applyFont="1" applyFill="1" applyBorder="1" applyAlignment="1">
      <alignment horizontal="right" vertical="center" wrapText="1" indent="1"/>
    </xf>
    <xf numFmtId="164" fontId="83" fillId="25" borderId="63" xfId="1" applyFont="1" applyFill="1" applyBorder="1" applyAlignment="1">
      <alignment horizontal="right" vertical="center" wrapText="1"/>
    </xf>
    <xf numFmtId="164" fontId="83" fillId="25" borderId="15" xfId="1" applyFont="1" applyFill="1" applyBorder="1" applyAlignment="1">
      <alignment horizontal="right" vertical="center" wrapText="1"/>
    </xf>
    <xf numFmtId="2" fontId="83" fillId="25" borderId="62" xfId="5" applyNumberFormat="1" applyFont="1" applyFill="1" applyBorder="1" applyAlignment="1">
      <alignment horizontal="right" vertical="center" wrapText="1"/>
    </xf>
    <xf numFmtId="2" fontId="83" fillId="25" borderId="0" xfId="5" applyNumberFormat="1" applyFont="1" applyFill="1" applyBorder="1" applyAlignment="1">
      <alignment horizontal="right" vertical="center" wrapText="1"/>
    </xf>
    <xf numFmtId="166" fontId="75" fillId="26" borderId="31" xfId="5" applyNumberFormat="1" applyFont="1" applyFill="1" applyBorder="1" applyAlignment="1">
      <alignment horizontal="right" vertical="center" wrapText="1" indent="1"/>
    </xf>
    <xf numFmtId="166" fontId="75" fillId="26" borderId="32" xfId="5" applyNumberFormat="1" applyFont="1" applyFill="1" applyBorder="1" applyAlignment="1">
      <alignment horizontal="right" vertical="center" wrapText="1" indent="1"/>
    </xf>
    <xf numFmtId="164" fontId="83" fillId="25" borderId="70" xfId="1" applyFont="1" applyFill="1" applyBorder="1" applyAlignment="1">
      <alignment horizontal="right" vertical="center" wrapText="1"/>
    </xf>
    <xf numFmtId="2" fontId="83" fillId="25" borderId="67" xfId="5" applyNumberFormat="1" applyFont="1" applyFill="1" applyBorder="1" applyAlignment="1">
      <alignment horizontal="right" vertical="center" wrapText="1"/>
    </xf>
    <xf numFmtId="166" fontId="75" fillId="26" borderId="37" xfId="5" applyNumberFormat="1" applyFont="1" applyFill="1" applyBorder="1" applyAlignment="1">
      <alignment horizontal="right" vertical="center" wrapText="1" indent="1"/>
    </xf>
    <xf numFmtId="166" fontId="75" fillId="0" borderId="62" xfId="6" applyNumberFormat="1" applyFont="1" applyFill="1" applyBorder="1" applyAlignment="1">
      <alignment horizontal="right" vertical="center" wrapText="1" indent="1"/>
    </xf>
    <xf numFmtId="166" fontId="75" fillId="0" borderId="0" xfId="6" applyNumberFormat="1" applyFont="1" applyFill="1" applyBorder="1" applyAlignment="1">
      <alignment horizontal="right" vertical="center" wrapText="1" indent="1"/>
    </xf>
    <xf numFmtId="167" fontId="75" fillId="0" borderId="0" xfId="5" applyNumberFormat="1" applyFont="1" applyFill="1" applyBorder="1" applyAlignment="1">
      <alignment vertical="center" wrapText="1"/>
    </xf>
    <xf numFmtId="0" fontId="91" fillId="0" borderId="28" xfId="2" applyFont="1" applyFill="1" applyBorder="1" applyAlignment="1">
      <alignment horizontal="center" vertical="center"/>
    </xf>
    <xf numFmtId="0" fontId="18" fillId="30" borderId="12" xfId="3" applyFont="1" applyFill="1" applyBorder="1" applyAlignment="1">
      <alignment horizontal="left" vertical="center"/>
    </xf>
    <xf numFmtId="0" fontId="18" fillId="30" borderId="39" xfId="3" applyFont="1" applyFill="1" applyBorder="1" applyAlignment="1" applyProtection="1">
      <alignment horizontal="left" vertical="center" indent="1"/>
      <protection locked="0"/>
    </xf>
    <xf numFmtId="0" fontId="69" fillId="0" borderId="0" xfId="5" applyFont="1" applyFill="1" applyBorder="1" applyAlignment="1" applyProtection="1">
      <alignment horizontal="center" vertical="center" textRotation="90"/>
    </xf>
    <xf numFmtId="0" fontId="5" fillId="0" borderId="0" xfId="5" applyFont="1" applyFill="1" applyBorder="1" applyAlignment="1" applyProtection="1">
      <alignment horizontal="left" vertical="center"/>
    </xf>
    <xf numFmtId="0" fontId="30" fillId="0" borderId="0" xfId="5" applyFont="1" applyFill="1" applyBorder="1" applyAlignment="1" applyProtection="1">
      <alignment horizontal="center" vertical="center" textRotation="90"/>
    </xf>
    <xf numFmtId="0" fontId="25" fillId="0" borderId="0" xfId="5" applyFont="1" applyFill="1" applyBorder="1" applyAlignment="1" applyProtection="1">
      <alignment horizontal="center" textRotation="90"/>
    </xf>
    <xf numFmtId="0" fontId="10" fillId="0" borderId="0" xfId="4" applyFont="1" applyFill="1" applyBorder="1" applyAlignment="1" applyProtection="1">
      <alignment horizontal="left" vertical="center"/>
    </xf>
    <xf numFmtId="0" fontId="8" fillId="0" borderId="0" xfId="5" applyFont="1" applyFill="1" applyBorder="1" applyAlignment="1" applyProtection="1">
      <alignment horizontal="right" vertical="center"/>
    </xf>
    <xf numFmtId="0" fontId="5" fillId="0" borderId="0" xfId="3" applyFont="1" applyFill="1" applyBorder="1" applyAlignment="1">
      <alignment vertical="center"/>
    </xf>
    <xf numFmtId="0" fontId="2" fillId="0" borderId="0" xfId="4" applyFont="1" applyFill="1" applyBorder="1" applyAlignment="1" applyProtection="1">
      <alignment vertical="center"/>
    </xf>
    <xf numFmtId="0" fontId="29" fillId="0" borderId="0" xfId="4" applyFont="1" applyFill="1" applyBorder="1" applyAlignment="1" applyProtection="1">
      <alignment vertical="center"/>
    </xf>
    <xf numFmtId="0" fontId="73" fillId="0" borderId="0" xfId="4" applyFont="1" applyFill="1" applyBorder="1" applyAlignment="1" applyProtection="1">
      <alignment vertical="center"/>
    </xf>
    <xf numFmtId="0" fontId="24" fillId="0" borderId="0" xfId="4" applyFont="1" applyFill="1" applyBorder="1" applyAlignment="1" applyProtection="1">
      <alignment vertical="center"/>
    </xf>
    <xf numFmtId="0" fontId="50" fillId="0" borderId="0" xfId="4" applyFont="1" applyFill="1" applyBorder="1" applyAlignment="1" applyProtection="1">
      <alignment vertical="center"/>
    </xf>
    <xf numFmtId="10" fontId="50" fillId="0" borderId="0" xfId="6" applyNumberFormat="1" applyFont="1" applyFill="1" applyBorder="1" applyAlignment="1" applyProtection="1">
      <alignment vertical="center"/>
    </xf>
    <xf numFmtId="0" fontId="2" fillId="0" borderId="0" xfId="4" applyFont="1" applyFill="1" applyBorder="1" applyAlignment="1" applyProtection="1">
      <alignment horizontal="left" vertical="center"/>
    </xf>
    <xf numFmtId="0" fontId="2" fillId="3" borderId="0" xfId="4" applyFont="1" applyFill="1" applyBorder="1" applyAlignment="1" applyProtection="1">
      <alignment horizontal="left" vertical="center"/>
    </xf>
    <xf numFmtId="0" fontId="5" fillId="3" borderId="1" xfId="4" applyFont="1" applyFill="1" applyBorder="1" applyAlignment="1" applyProtection="1">
      <alignment horizontal="left" vertical="center"/>
    </xf>
    <xf numFmtId="0" fontId="5" fillId="0" borderId="1" xfId="4" applyFont="1" applyFill="1" applyBorder="1" applyAlignment="1" applyProtection="1">
      <alignment horizontal="left" vertical="center"/>
    </xf>
    <xf numFmtId="0" fontId="40" fillId="0" borderId="0" xfId="4" applyFont="1" applyFill="1" applyBorder="1" applyAlignment="1" applyProtection="1">
      <alignment horizontal="left" vertical="center"/>
    </xf>
    <xf numFmtId="0" fontId="41" fillId="0" borderId="0" xfId="5" applyFont="1" applyFill="1" applyBorder="1" applyAlignment="1" applyProtection="1">
      <alignment horizontal="left" vertical="center" textRotation="90"/>
    </xf>
    <xf numFmtId="0" fontId="65" fillId="0" borderId="0" xfId="5" applyFont="1" applyFill="1" applyBorder="1" applyAlignment="1" applyProtection="1">
      <alignment horizontal="left" vertical="center"/>
    </xf>
    <xf numFmtId="0" fontId="41" fillId="0" borderId="0" xfId="5" applyFont="1" applyFill="1" applyBorder="1" applyAlignment="1" applyProtection="1">
      <alignment horizontal="left" vertical="center"/>
    </xf>
    <xf numFmtId="0" fontId="53" fillId="0" borderId="0" xfId="5" applyFont="1" applyFill="1" applyBorder="1" applyAlignment="1" applyProtection="1">
      <alignment horizontal="left" vertical="center"/>
    </xf>
    <xf numFmtId="0" fontId="40" fillId="0" borderId="0" xfId="5" applyFont="1" applyFill="1" applyBorder="1" applyAlignment="1" applyProtection="1">
      <alignment horizontal="left" vertical="center"/>
    </xf>
    <xf numFmtId="0" fontId="2" fillId="0" borderId="1" xfId="4" applyFont="1" applyFill="1" applyBorder="1" applyAlignment="1" applyProtection="1">
      <alignment horizontal="left" vertical="center"/>
    </xf>
    <xf numFmtId="0" fontId="18" fillId="3" borderId="0" xfId="5" applyFont="1" applyFill="1" applyBorder="1" applyAlignment="1" applyProtection="1">
      <alignment horizontal="left" vertical="center"/>
    </xf>
    <xf numFmtId="0" fontId="18" fillId="0" borderId="0" xfId="5" applyFont="1" applyFill="1" applyBorder="1" applyAlignment="1" applyProtection="1">
      <alignment horizontal="left" vertical="center"/>
    </xf>
    <xf numFmtId="0" fontId="18" fillId="0" borderId="0" xfId="4" applyFont="1" applyFill="1" applyBorder="1" applyAlignment="1" applyProtection="1">
      <alignment vertical="center"/>
    </xf>
    <xf numFmtId="0" fontId="18" fillId="0" borderId="0" xfId="4" applyFont="1" applyFill="1" applyBorder="1" applyAlignment="1" applyProtection="1">
      <alignment horizontal="left" vertical="center"/>
    </xf>
    <xf numFmtId="3" fontId="18" fillId="0" borderId="0" xfId="4" applyNumberFormat="1" applyFont="1" applyFill="1" applyBorder="1" applyAlignment="1" applyProtection="1">
      <alignment horizontal="right" vertical="center" indent="1"/>
    </xf>
    <xf numFmtId="0" fontId="92" fillId="0" borderId="10" xfId="4" applyFont="1" applyFill="1" applyBorder="1" applyAlignment="1" applyProtection="1">
      <alignment vertical="center"/>
    </xf>
    <xf numFmtId="0" fontId="92" fillId="0" borderId="0" xfId="4" applyFont="1" applyFill="1" applyBorder="1" applyAlignment="1" applyProtection="1">
      <alignment vertical="center"/>
    </xf>
    <xf numFmtId="0" fontId="0" fillId="30" borderId="0" xfId="0" applyFill="1"/>
    <xf numFmtId="165" fontId="5" fillId="30" borderId="0" xfId="1" applyNumberFormat="1" applyFont="1" applyFill="1" applyBorder="1" applyAlignment="1" applyProtection="1">
      <alignment horizontal="center" vertical="center" textRotation="91"/>
    </xf>
    <xf numFmtId="0" fontId="0" fillId="30" borderId="0" xfId="0" quotePrefix="1" applyFill="1"/>
    <xf numFmtId="3" fontId="5" fillId="30" borderId="0" xfId="5" applyNumberFormat="1" applyFont="1" applyFill="1" applyBorder="1" applyAlignment="1" applyProtection="1">
      <alignment horizontal="right" vertical="center"/>
    </xf>
    <xf numFmtId="0" fontId="0" fillId="0" borderId="0" xfId="0" applyFont="1" applyFill="1"/>
    <xf numFmtId="0" fontId="7" fillId="5" borderId="0" xfId="4" applyFont="1" applyFill="1" applyBorder="1" applyAlignment="1" applyProtection="1">
      <alignment vertical="center"/>
    </xf>
    <xf numFmtId="0" fontId="5" fillId="8" borderId="0" xfId="5" applyFont="1" applyFill="1" applyBorder="1" applyAlignment="1">
      <alignment horizontal="left" vertical="center"/>
    </xf>
    <xf numFmtId="166" fontId="32" fillId="8" borderId="0" xfId="5" applyNumberFormat="1" applyFont="1" applyFill="1" applyBorder="1" applyAlignment="1">
      <alignment horizontal="center" vertical="center" wrapText="1"/>
    </xf>
    <xf numFmtId="166" fontId="31" fillId="8" borderId="0" xfId="5" applyNumberFormat="1" applyFont="1" applyFill="1" applyBorder="1" applyAlignment="1">
      <alignment horizontal="center" vertical="center" wrapText="1"/>
    </xf>
    <xf numFmtId="0" fontId="5" fillId="3" borderId="0" xfId="5" quotePrefix="1" applyFont="1" applyFill="1" applyBorder="1" applyAlignment="1" applyProtection="1">
      <alignment vertical="center"/>
    </xf>
    <xf numFmtId="0" fontId="1" fillId="0" borderId="0" xfId="3" applyFont="1" applyFill="1" applyBorder="1" applyAlignment="1"/>
    <xf numFmtId="0" fontId="10" fillId="5" borderId="0" xfId="3" applyFont="1" applyFill="1" applyBorder="1" applyAlignment="1">
      <alignment horizontal="center" vertical="center" wrapText="1"/>
    </xf>
    <xf numFmtId="166" fontId="70" fillId="9" borderId="79" xfId="6" applyNumberFormat="1" applyFont="1" applyFill="1" applyBorder="1" applyAlignment="1">
      <alignment horizontal="right" vertical="center" wrapText="1" indent="1"/>
    </xf>
    <xf numFmtId="168" fontId="83" fillId="4" borderId="80" xfId="6" applyNumberFormat="1" applyFont="1" applyFill="1" applyBorder="1" applyAlignment="1">
      <alignment horizontal="right" vertical="center" wrapText="1" indent="1"/>
    </xf>
    <xf numFmtId="168" fontId="83" fillId="4" borderId="81" xfId="1" applyNumberFormat="1" applyFont="1" applyFill="1" applyBorder="1" applyAlignment="1">
      <alignment horizontal="right" vertical="center" wrapText="1" indent="1"/>
    </xf>
    <xf numFmtId="168" fontId="83" fillId="4" borderId="82" xfId="6" applyNumberFormat="1" applyFont="1" applyFill="1" applyBorder="1" applyAlignment="1">
      <alignment horizontal="right" vertical="center" wrapText="1" indent="1"/>
    </xf>
    <xf numFmtId="166" fontId="75" fillId="0" borderId="68" xfId="6" applyNumberFormat="1" applyFont="1" applyFill="1" applyBorder="1" applyAlignment="1">
      <alignment horizontal="right" vertical="center" wrapText="1" indent="1"/>
    </xf>
    <xf numFmtId="164" fontId="83" fillId="25" borderId="69" xfId="1" applyFont="1" applyFill="1" applyBorder="1" applyAlignment="1">
      <alignment horizontal="right" vertical="center" wrapText="1" indent="1"/>
    </xf>
    <xf numFmtId="164" fontId="90" fillId="25" borderId="83" xfId="1" applyFont="1" applyFill="1" applyBorder="1" applyAlignment="1">
      <alignment horizontal="right" vertical="center" wrapText="1" indent="1"/>
    </xf>
    <xf numFmtId="164" fontId="83" fillId="25" borderId="69" xfId="1" applyFont="1" applyFill="1" applyBorder="1" applyAlignment="1">
      <alignment horizontal="right" vertical="center" wrapText="1"/>
    </xf>
    <xf numFmtId="2" fontId="83" fillId="25" borderId="68" xfId="5" applyNumberFormat="1" applyFont="1" applyFill="1" applyBorder="1" applyAlignment="1">
      <alignment horizontal="right" vertical="center" wrapText="1"/>
    </xf>
    <xf numFmtId="166" fontId="75" fillId="26" borderId="79" xfId="5" applyNumberFormat="1" applyFont="1" applyFill="1" applyBorder="1" applyAlignment="1">
      <alignment horizontal="right" vertical="center" wrapText="1" indent="1"/>
    </xf>
    <xf numFmtId="165" fontId="75" fillId="11" borderId="69" xfId="1" applyNumberFormat="1" applyFont="1" applyFill="1" applyBorder="1" applyAlignment="1">
      <alignment horizontal="right" vertical="center" wrapText="1" indent="1"/>
    </xf>
    <xf numFmtId="165" fontId="75" fillId="11" borderId="84" xfId="1" applyNumberFormat="1" applyFont="1" applyFill="1" applyBorder="1" applyAlignment="1">
      <alignment horizontal="right" vertical="center" wrapText="1" indent="1"/>
    </xf>
    <xf numFmtId="166" fontId="54" fillId="0" borderId="68" xfId="6" applyNumberFormat="1" applyFont="1" applyFill="1" applyBorder="1" applyAlignment="1">
      <alignment horizontal="right" vertical="center" wrapText="1" indent="1"/>
    </xf>
    <xf numFmtId="166" fontId="14" fillId="0" borderId="68" xfId="6" applyNumberFormat="1" applyFont="1" applyFill="1" applyBorder="1" applyAlignment="1">
      <alignment horizontal="right" vertical="center" wrapText="1" indent="1"/>
    </xf>
    <xf numFmtId="164" fontId="65" fillId="25" borderId="69" xfId="1" applyFont="1" applyFill="1" applyBorder="1" applyAlignment="1">
      <alignment horizontal="right" vertical="center" wrapText="1" indent="1"/>
    </xf>
    <xf numFmtId="164" fontId="81" fillId="25" borderId="83" xfId="1" applyFont="1" applyFill="1" applyBorder="1" applyAlignment="1">
      <alignment horizontal="right" vertical="center" wrapText="1" indent="1"/>
    </xf>
    <xf numFmtId="164" fontId="65" fillId="25" borderId="69" xfId="1" applyFont="1" applyFill="1" applyBorder="1" applyAlignment="1">
      <alignment horizontal="right" vertical="center" wrapText="1"/>
    </xf>
    <xf numFmtId="2" fontId="65" fillId="25" borderId="68" xfId="5" applyNumberFormat="1" applyFont="1" applyFill="1" applyBorder="1" applyAlignment="1">
      <alignment horizontal="right" vertical="center" wrapText="1"/>
    </xf>
    <xf numFmtId="166" fontId="70" fillId="26" borderId="79" xfId="5" applyNumberFormat="1" applyFont="1" applyFill="1" applyBorder="1" applyAlignment="1">
      <alignment horizontal="right" vertical="center" wrapText="1" indent="1"/>
    </xf>
    <xf numFmtId="173" fontId="5" fillId="30" borderId="0" xfId="5" applyNumberFormat="1" applyFont="1" applyFill="1" applyBorder="1" applyAlignment="1" applyProtection="1">
      <alignment horizontal="right" vertical="center"/>
    </xf>
    <xf numFmtId="4" fontId="5" fillId="30" borderId="0" xfId="5" quotePrefix="1" applyNumberFormat="1" applyFont="1" applyFill="1" applyBorder="1" applyAlignment="1" applyProtection="1">
      <alignment horizontal="right" vertical="center"/>
    </xf>
    <xf numFmtId="165" fontId="83" fillId="20" borderId="15" xfId="5" applyNumberFormat="1" applyFont="1" applyFill="1" applyBorder="1" applyAlignment="1">
      <alignment horizontal="right" vertical="center" indent="1"/>
    </xf>
    <xf numFmtId="165" fontId="83" fillId="20" borderId="0" xfId="5" applyNumberFormat="1" applyFont="1" applyFill="1" applyBorder="1" applyAlignment="1">
      <alignment horizontal="right" vertical="center" indent="1"/>
    </xf>
    <xf numFmtId="173" fontId="41" fillId="0" borderId="0" xfId="5" applyNumberFormat="1" applyFont="1" applyFill="1" applyBorder="1" applyAlignment="1" applyProtection="1">
      <alignment horizontal="left" vertical="center" textRotation="90"/>
    </xf>
    <xf numFmtId="173" fontId="5" fillId="0" borderId="0" xfId="4" applyNumberFormat="1" applyFont="1" applyFill="1" applyBorder="1" applyAlignment="1" applyProtection="1">
      <alignment vertical="center"/>
    </xf>
    <xf numFmtId="173" fontId="2" fillId="0" borderId="0" xfId="4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75" fontId="50" fillId="0" borderId="0" xfId="6" applyNumberFormat="1" applyFont="1" applyFill="1" applyBorder="1" applyAlignment="1" applyProtection="1">
      <alignment vertical="center"/>
    </xf>
    <xf numFmtId="174" fontId="5" fillId="30" borderId="0" xfId="6" applyNumberFormat="1" applyFont="1" applyFill="1" applyBorder="1" applyAlignment="1" applyProtection="1">
      <alignment horizontal="center" vertical="center" textRotation="91"/>
    </xf>
    <xf numFmtId="4" fontId="83" fillId="11" borderId="29" xfId="5" applyNumberFormat="1" applyFont="1" applyFill="1" applyBorder="1" applyAlignment="1">
      <alignment vertical="center" wrapText="1"/>
    </xf>
    <xf numFmtId="0" fontId="51" fillId="0" borderId="0" xfId="3" applyFont="1" applyFill="1" applyBorder="1" applyAlignment="1">
      <alignment horizontal="left" vertical="center"/>
    </xf>
    <xf numFmtId="0" fontId="18" fillId="0" borderId="0" xfId="4" applyFont="1" applyFill="1" applyBorder="1" applyAlignment="1" applyProtection="1">
      <alignment horizontal="right" vertical="center"/>
    </xf>
    <xf numFmtId="0" fontId="93" fillId="8" borderId="43" xfId="2" applyFont="1" applyFill="1" applyBorder="1" applyAlignment="1">
      <alignment horizontal="center"/>
    </xf>
    <xf numFmtId="168" fontId="90" fillId="4" borderId="85" xfId="1" applyNumberFormat="1" applyFont="1" applyFill="1" applyBorder="1" applyAlignment="1">
      <alignment horizontal="right" vertical="center" wrapText="1" indent="1"/>
    </xf>
    <xf numFmtId="168" fontId="90" fillId="4" borderId="86" xfId="1" applyNumberFormat="1" applyFont="1" applyFill="1" applyBorder="1" applyAlignment="1">
      <alignment horizontal="right" vertical="center" wrapText="1" indent="1"/>
    </xf>
    <xf numFmtId="2" fontId="90" fillId="11" borderId="48" xfId="5" applyNumberFormat="1" applyFont="1" applyFill="1" applyBorder="1" applyAlignment="1">
      <alignment vertical="center" wrapText="1"/>
    </xf>
    <xf numFmtId="2" fontId="90" fillId="11" borderId="49" xfId="5" applyNumberFormat="1" applyFont="1" applyFill="1" applyBorder="1" applyAlignment="1">
      <alignment horizontal="left" vertical="center" wrapText="1" indent="1"/>
    </xf>
    <xf numFmtId="165" fontId="94" fillId="8" borderId="68" xfId="4" applyNumberFormat="1" applyFont="1" applyFill="1" applyBorder="1" applyAlignment="1" applyProtection="1">
      <alignment horizontal="right" vertical="center" indent="1"/>
    </xf>
    <xf numFmtId="4" fontId="90" fillId="4" borderId="85" xfId="1" applyNumberFormat="1" applyFont="1" applyFill="1" applyBorder="1" applyAlignment="1">
      <alignment horizontal="right" vertical="center" wrapText="1" indent="1"/>
    </xf>
    <xf numFmtId="166" fontId="95" fillId="8" borderId="22" xfId="5" applyNumberFormat="1" applyFont="1" applyFill="1" applyBorder="1" applyAlignment="1">
      <alignment horizontal="center" vertical="center" wrapText="1"/>
    </xf>
    <xf numFmtId="166" fontId="95" fillId="8" borderId="0" xfId="5" applyNumberFormat="1" applyFont="1" applyFill="1" applyBorder="1" applyAlignment="1">
      <alignment horizontal="center" vertical="center" wrapText="1"/>
    </xf>
    <xf numFmtId="0" fontId="96" fillId="8" borderId="21" xfId="5" applyFont="1" applyFill="1" applyBorder="1" applyAlignment="1" applyProtection="1">
      <alignment vertical="center" textRotation="90" wrapText="1"/>
    </xf>
    <xf numFmtId="168" fontId="90" fillId="4" borderId="87" xfId="1" applyNumberFormat="1" applyFont="1" applyFill="1" applyBorder="1" applyAlignment="1">
      <alignment horizontal="right" vertical="center" wrapText="1" indent="1"/>
    </xf>
    <xf numFmtId="0" fontId="97" fillId="8" borderId="0" xfId="5" applyFont="1" applyFill="1" applyBorder="1" applyAlignment="1" applyProtection="1">
      <alignment horizontal="center" vertical="center" textRotation="90"/>
    </xf>
    <xf numFmtId="0" fontId="0" fillId="0" borderId="0" xfId="0"/>
    <xf numFmtId="0" fontId="5" fillId="0" borderId="1" xfId="4" applyFont="1" applyFill="1" applyBorder="1" applyAlignment="1" applyProtection="1">
      <alignment vertical="center"/>
    </xf>
    <xf numFmtId="0" fontId="2" fillId="12" borderId="1" xfId="4" applyFont="1" applyFill="1" applyBorder="1" applyAlignment="1" applyProtection="1">
      <alignment horizontal="center" vertical="center"/>
    </xf>
    <xf numFmtId="0" fontId="98" fillId="0" borderId="0" xfId="0" applyFont="1"/>
    <xf numFmtId="0" fontId="99" fillId="0" borderId="0" xfId="0" applyFont="1"/>
    <xf numFmtId="0" fontId="0" fillId="0" borderId="1" xfId="0" applyBorder="1" applyAlignment="1"/>
    <xf numFmtId="0" fontId="65" fillId="8" borderId="0" xfId="5" applyFont="1" applyFill="1" applyBorder="1" applyAlignment="1" applyProtection="1">
      <alignment horizontal="left" vertical="center"/>
    </xf>
    <xf numFmtId="165" fontId="75" fillId="11" borderId="67" xfId="1" applyNumberFormat="1" applyFont="1" applyFill="1" applyBorder="1" applyAlignment="1">
      <alignment horizontal="right" vertical="center" wrapText="1" indent="1"/>
    </xf>
    <xf numFmtId="165" fontId="75" fillId="11" borderId="40" xfId="1" applyNumberFormat="1" applyFont="1" applyFill="1" applyBorder="1" applyAlignment="1">
      <alignment horizontal="right" vertical="center" wrapText="1" indent="1"/>
    </xf>
    <xf numFmtId="165" fontId="65" fillId="20" borderId="0" xfId="1" applyNumberFormat="1" applyFont="1" applyFill="1" applyBorder="1" applyAlignment="1">
      <alignment horizontal="right" vertical="center" indent="1"/>
    </xf>
    <xf numFmtId="166" fontId="65" fillId="20" borderId="28" xfId="6" applyNumberFormat="1" applyFont="1" applyFill="1" applyBorder="1" applyAlignment="1">
      <alignment horizontal="right" vertical="center" indent="1"/>
    </xf>
    <xf numFmtId="165" fontId="75" fillId="11" borderId="68" xfId="1" applyNumberFormat="1" applyFont="1" applyFill="1" applyBorder="1" applyAlignment="1">
      <alignment horizontal="right" vertical="center" wrapText="1" indent="1"/>
    </xf>
    <xf numFmtId="0" fontId="33" fillId="8" borderId="0" xfId="2" applyFont="1" applyFill="1" applyBorder="1" applyAlignment="1">
      <alignment horizontal="center"/>
    </xf>
    <xf numFmtId="165" fontId="75" fillId="11" borderId="0" xfId="1" applyNumberFormat="1" applyFont="1" applyFill="1" applyBorder="1" applyAlignment="1">
      <alignment horizontal="right" vertical="center" wrapText="1" indent="1"/>
    </xf>
    <xf numFmtId="166" fontId="65" fillId="20" borderId="0" xfId="6" applyNumberFormat="1" applyFont="1" applyFill="1" applyBorder="1" applyAlignment="1">
      <alignment horizontal="right" vertical="center" indent="1"/>
    </xf>
    <xf numFmtId="165" fontId="65" fillId="8" borderId="0" xfId="4" applyNumberFormat="1" applyFont="1" applyFill="1" applyBorder="1" applyAlignment="1" applyProtection="1">
      <alignment horizontal="right" vertical="center" indent="1"/>
    </xf>
    <xf numFmtId="0" fontId="5" fillId="0" borderId="4" xfId="4" applyFont="1" applyFill="1" applyBorder="1" applyAlignment="1" applyProtection="1">
      <alignment vertical="center"/>
    </xf>
    <xf numFmtId="0" fontId="2" fillId="0" borderId="4" xfId="4" applyFont="1" applyFill="1" applyBorder="1" applyAlignment="1" applyProtection="1">
      <alignment horizontal="center" vertical="center"/>
    </xf>
    <xf numFmtId="0" fontId="5" fillId="0" borderId="90" xfId="4" applyFont="1" applyFill="1" applyBorder="1" applyAlignment="1" applyProtection="1">
      <alignment horizontal="left" vertical="center"/>
    </xf>
    <xf numFmtId="0" fontId="100" fillId="0" borderId="91" xfId="0" applyFont="1" applyBorder="1"/>
    <xf numFmtId="0" fontId="5" fillId="0" borderId="92" xfId="4" applyFont="1" applyFill="1" applyBorder="1" applyAlignment="1" applyProtection="1">
      <alignment horizontal="left" vertical="center"/>
    </xf>
    <xf numFmtId="0" fontId="5" fillId="0" borderId="94" xfId="4" applyFont="1" applyFill="1" applyBorder="1" applyAlignment="1" applyProtection="1">
      <alignment vertical="center"/>
    </xf>
    <xf numFmtId="0" fontId="2" fillId="0" borderId="94" xfId="4" applyFont="1" applyFill="1" applyBorder="1" applyAlignment="1" applyProtection="1">
      <alignment horizontal="center" vertical="center"/>
    </xf>
    <xf numFmtId="0" fontId="5" fillId="0" borderId="95" xfId="4" applyFont="1" applyFill="1" applyBorder="1" applyAlignment="1" applyProtection="1">
      <alignment horizontal="left" vertical="center"/>
    </xf>
    <xf numFmtId="0" fontId="2" fillId="0" borderId="89" xfId="4" applyFont="1" applyFill="1" applyBorder="1" applyAlignment="1" applyProtection="1">
      <alignment vertical="center"/>
    </xf>
    <xf numFmtId="0" fontId="101" fillId="20" borderId="0" xfId="5" applyFont="1" applyFill="1" applyBorder="1" applyAlignment="1">
      <alignment horizontal="right" vertical="center" indent="1"/>
    </xf>
    <xf numFmtId="0" fontId="5" fillId="0" borderId="4" xfId="4" applyFont="1" applyFill="1" applyBorder="1" applyAlignment="1" applyProtection="1">
      <alignment horizontal="left" vertical="center"/>
    </xf>
    <xf numFmtId="0" fontId="5" fillId="0" borderId="94" xfId="4" applyFont="1" applyFill="1" applyBorder="1" applyAlignment="1" applyProtection="1">
      <alignment horizontal="left" vertical="center"/>
    </xf>
    <xf numFmtId="0" fontId="102" fillId="0" borderId="91" xfId="0" applyFont="1" applyBorder="1"/>
    <xf numFmtId="0" fontId="102" fillId="0" borderId="0" xfId="0" applyFont="1" applyBorder="1"/>
    <xf numFmtId="0" fontId="102" fillId="0" borderId="93" xfId="0" applyFont="1" applyBorder="1"/>
    <xf numFmtId="0" fontId="102" fillId="0" borderId="94" xfId="0" applyFont="1" applyBorder="1"/>
    <xf numFmtId="166" fontId="104" fillId="0" borderId="0" xfId="6" applyNumberFormat="1" applyFont="1" applyFill="1" applyBorder="1" applyAlignment="1" applyProtection="1">
      <alignment horizontal="center" vertical="center"/>
    </xf>
    <xf numFmtId="167" fontId="87" fillId="0" borderId="0" xfId="5" applyNumberFormat="1" applyFont="1" applyFill="1" applyBorder="1" applyAlignment="1">
      <alignment horizontal="center" vertical="center" wrapText="1"/>
    </xf>
    <xf numFmtId="0" fontId="79" fillId="0" borderId="0" xfId="5" applyFont="1" applyFill="1" applyBorder="1" applyAlignment="1" applyProtection="1">
      <alignment horizontal="center" vertical="center" textRotation="90"/>
    </xf>
    <xf numFmtId="3" fontId="105" fillId="31" borderId="0" xfId="1" applyNumberFormat="1" applyFont="1" applyFill="1" applyBorder="1" applyAlignment="1">
      <alignment horizontal="center" vertical="center"/>
    </xf>
    <xf numFmtId="0" fontId="25" fillId="0" borderId="97" xfId="5" applyFont="1" applyFill="1" applyBorder="1" applyAlignment="1" applyProtection="1">
      <alignment horizontal="center" vertical="center" textRotation="90"/>
    </xf>
    <xf numFmtId="0" fontId="106" fillId="0" borderId="0" xfId="0" applyFont="1" applyFill="1" applyBorder="1" applyAlignment="1">
      <alignment vertical="center" textRotation="90" wrapText="1"/>
    </xf>
    <xf numFmtId="0" fontId="109" fillId="0" borderId="0" xfId="0" applyFont="1" applyFill="1" applyBorder="1" applyAlignment="1">
      <alignment vertical="center"/>
    </xf>
    <xf numFmtId="3" fontId="99" fillId="0" borderId="99" xfId="1" applyNumberFormat="1" applyFont="1" applyFill="1" applyBorder="1" applyAlignment="1">
      <alignment horizontal="center" vertical="center"/>
    </xf>
    <xf numFmtId="0" fontId="110" fillId="0" borderId="0" xfId="0" applyFont="1" applyFill="1" applyBorder="1" applyAlignment="1">
      <alignment horizontal="left" vertical="center" indent="2"/>
    </xf>
    <xf numFmtId="3" fontId="51" fillId="0" borderId="99" xfId="1" applyNumberFormat="1" applyFont="1" applyFill="1" applyBorder="1" applyAlignment="1">
      <alignment horizontal="center" vertical="center"/>
    </xf>
    <xf numFmtId="0" fontId="111" fillId="0" borderId="101" xfId="0" applyFont="1" applyFill="1" applyBorder="1" applyAlignment="1">
      <alignment vertical="center"/>
    </xf>
    <xf numFmtId="3" fontId="51" fillId="0" borderId="102" xfId="1" applyNumberFormat="1" applyFont="1" applyFill="1" applyBorder="1" applyAlignment="1">
      <alignment horizontal="center" vertical="center"/>
    </xf>
    <xf numFmtId="0" fontId="107" fillId="0" borderId="0" xfId="0" applyFont="1" applyFill="1" applyBorder="1" applyAlignment="1">
      <alignment vertical="center"/>
    </xf>
    <xf numFmtId="0" fontId="25" fillId="0" borderId="104" xfId="5" applyFont="1" applyFill="1" applyBorder="1" applyAlignment="1" applyProtection="1">
      <alignment horizontal="center" vertical="center" textRotation="90"/>
    </xf>
    <xf numFmtId="0" fontId="106" fillId="0" borderId="96" xfId="0" applyFont="1" applyFill="1" applyBorder="1" applyAlignment="1">
      <alignment vertical="center" textRotation="90" wrapText="1"/>
    </xf>
    <xf numFmtId="3" fontId="51" fillId="0" borderId="106" xfId="1" applyNumberFormat="1" applyFont="1" applyFill="1" applyBorder="1" applyAlignment="1">
      <alignment horizontal="center" vertical="center"/>
    </xf>
    <xf numFmtId="3" fontId="105" fillId="31" borderId="107" xfId="1" applyNumberFormat="1" applyFont="1" applyFill="1" applyBorder="1" applyAlignment="1">
      <alignment horizontal="center" vertical="center"/>
    </xf>
    <xf numFmtId="0" fontId="105" fillId="0" borderId="0" xfId="0" applyFont="1" applyFill="1" applyBorder="1" applyAlignment="1">
      <alignment horizontal="center" vertical="center" wrapText="1"/>
    </xf>
    <xf numFmtId="3" fontId="105" fillId="0" borderId="0" xfId="1" applyNumberFormat="1" applyFont="1" applyFill="1" applyBorder="1" applyAlignment="1">
      <alignment horizontal="center" vertical="center"/>
    </xf>
    <xf numFmtId="0" fontId="0" fillId="0" borderId="0" xfId="0" applyFill="1"/>
    <xf numFmtId="0" fontId="68" fillId="7" borderId="39" xfId="5" applyFont="1" applyFill="1" applyBorder="1" applyAlignment="1">
      <alignment horizontal="left" vertical="center"/>
    </xf>
    <xf numFmtId="0" fontId="25" fillId="0" borderId="0" xfId="5" applyFont="1" applyFill="1" applyBorder="1" applyAlignment="1" applyProtection="1">
      <alignment horizontal="center" vertical="center"/>
    </xf>
    <xf numFmtId="3" fontId="51" fillId="0" borderId="101" xfId="1" applyNumberFormat="1" applyFont="1" applyFill="1" applyBorder="1" applyAlignment="1">
      <alignment horizontal="center" vertical="center"/>
    </xf>
    <xf numFmtId="3" fontId="99" fillId="0" borderId="108" xfId="1" applyNumberFormat="1" applyFont="1" applyFill="1" applyBorder="1" applyAlignment="1">
      <alignment horizontal="center" vertical="center"/>
    </xf>
    <xf numFmtId="3" fontId="51" fillId="0" borderId="108" xfId="1" applyNumberFormat="1" applyFont="1" applyFill="1" applyBorder="1" applyAlignment="1">
      <alignment horizontal="center" vertical="center"/>
    </xf>
    <xf numFmtId="3" fontId="51" fillId="0" borderId="109" xfId="1" applyNumberFormat="1" applyFont="1" applyFill="1" applyBorder="1" applyAlignment="1">
      <alignment horizontal="center" vertical="center"/>
    </xf>
    <xf numFmtId="3" fontId="51" fillId="0" borderId="110" xfId="1" applyNumberFormat="1" applyFont="1" applyFill="1" applyBorder="1" applyAlignment="1">
      <alignment horizontal="center" vertical="center"/>
    </xf>
    <xf numFmtId="0" fontId="7" fillId="0" borderId="111" xfId="4" applyFont="1" applyFill="1" applyBorder="1" applyAlignment="1" applyProtection="1">
      <alignment vertical="center"/>
    </xf>
    <xf numFmtId="3" fontId="99" fillId="0" borderId="112" xfId="1" applyNumberFormat="1" applyFont="1" applyFill="1" applyBorder="1" applyAlignment="1">
      <alignment horizontal="center" vertical="center"/>
    </xf>
    <xf numFmtId="3" fontId="105" fillId="31" borderId="114" xfId="1" applyNumberFormat="1" applyFont="1" applyFill="1" applyBorder="1" applyAlignment="1">
      <alignment horizontal="center" vertical="center"/>
    </xf>
    <xf numFmtId="0" fontId="108" fillId="0" borderId="116" xfId="0" applyFont="1" applyFill="1" applyBorder="1" applyAlignment="1">
      <alignment vertical="center"/>
    </xf>
    <xf numFmtId="0" fontId="7" fillId="0" borderId="94" xfId="4" applyFont="1" applyFill="1" applyBorder="1" applyAlignment="1" applyProtection="1">
      <alignment vertical="center"/>
    </xf>
    <xf numFmtId="3" fontId="105" fillId="31" borderId="117" xfId="1" applyNumberFormat="1" applyFont="1" applyFill="1" applyBorder="1" applyAlignment="1">
      <alignment horizontal="center" vertical="center"/>
    </xf>
    <xf numFmtId="3" fontId="99" fillId="0" borderId="118" xfId="1" applyNumberFormat="1" applyFont="1" applyFill="1" applyBorder="1" applyAlignment="1">
      <alignment horizontal="center" vertical="center"/>
    </xf>
    <xf numFmtId="3" fontId="25" fillId="0" borderId="0" xfId="5" applyNumberFormat="1" applyFont="1" applyFill="1" applyBorder="1" applyAlignment="1" applyProtection="1">
      <alignment vertical="center" textRotation="90"/>
    </xf>
    <xf numFmtId="0" fontId="68" fillId="7" borderId="39" xfId="5" applyFont="1" applyFill="1" applyBorder="1" applyAlignment="1">
      <alignment horizontal="left" vertical="center" indent="3"/>
    </xf>
    <xf numFmtId="0" fontId="68" fillId="7" borderId="39" xfId="5" applyFont="1" applyFill="1" applyBorder="1" applyAlignment="1">
      <alignment horizontal="left" vertical="center" indent="5"/>
    </xf>
    <xf numFmtId="0" fontId="68" fillId="7" borderId="39" xfId="5" applyFont="1" applyFill="1" applyBorder="1" applyAlignment="1">
      <alignment horizontal="left" vertical="center" indent="8"/>
    </xf>
    <xf numFmtId="0" fontId="112" fillId="0" borderId="0" xfId="5" applyFont="1" applyFill="1" applyBorder="1" applyAlignment="1" applyProtection="1">
      <alignment horizontal="left" vertical="center"/>
    </xf>
    <xf numFmtId="0" fontId="16" fillId="0" borderId="0" xfId="4" applyFont="1" applyFill="1" applyBorder="1" applyAlignment="1" applyProtection="1">
      <alignment vertical="center"/>
    </xf>
    <xf numFmtId="0" fontId="112" fillId="0" borderId="0" xfId="5" applyFont="1" applyFill="1" applyBorder="1" applyAlignment="1" applyProtection="1">
      <alignment horizontal="left" vertical="center" textRotation="90"/>
    </xf>
    <xf numFmtId="0" fontId="113" fillId="7" borderId="39" xfId="5" applyFont="1" applyFill="1" applyBorder="1" applyAlignment="1">
      <alignment horizontal="left" vertical="center" indent="5"/>
    </xf>
    <xf numFmtId="0" fontId="113" fillId="7" borderId="39" xfId="5" applyFont="1" applyFill="1" applyBorder="1" applyAlignment="1">
      <alignment horizontal="left" vertical="center"/>
    </xf>
    <xf numFmtId="0" fontId="37" fillId="0" borderId="0" xfId="5" applyFont="1" applyFill="1" applyBorder="1" applyAlignment="1">
      <alignment horizontal="left" vertical="center"/>
    </xf>
    <xf numFmtId="3" fontId="37" fillId="6" borderId="14" xfId="5" applyNumberFormat="1" applyFont="1" applyFill="1" applyBorder="1" applyAlignment="1">
      <alignment horizontal="right" vertical="center" wrapText="1" indent="1"/>
    </xf>
    <xf numFmtId="3" fontId="37" fillId="7" borderId="15" xfId="5" applyNumberFormat="1" applyFont="1" applyFill="1" applyBorder="1" applyAlignment="1">
      <alignment horizontal="right" vertical="center" wrapText="1" indent="1"/>
    </xf>
    <xf numFmtId="166" fontId="37" fillId="7" borderId="15" xfId="5" applyNumberFormat="1" applyFont="1" applyFill="1" applyBorder="1" applyAlignment="1">
      <alignment horizontal="right" vertical="center" wrapText="1" indent="1"/>
    </xf>
    <xf numFmtId="3" fontId="37" fillId="0" borderId="0" xfId="4" applyNumberFormat="1" applyFont="1" applyFill="1" applyBorder="1" applyAlignment="1" applyProtection="1">
      <alignment horizontal="right" vertical="center" indent="1"/>
    </xf>
    <xf numFmtId="0" fontId="16" fillId="0" borderId="10" xfId="4" applyFont="1" applyFill="1" applyBorder="1" applyAlignment="1" applyProtection="1">
      <alignment vertical="center"/>
    </xf>
    <xf numFmtId="0" fontId="5" fillId="0" borderId="0" xfId="4" applyFont="1" applyFill="1" applyBorder="1" applyAlignment="1" applyProtection="1">
      <alignment horizontal="center" vertical="center"/>
    </xf>
    <xf numFmtId="0" fontId="114" fillId="0" borderId="0" xfId="5" applyFont="1" applyFill="1" applyBorder="1" applyAlignment="1" applyProtection="1">
      <alignment horizontal="center" vertical="center" textRotation="90"/>
    </xf>
    <xf numFmtId="0" fontId="114" fillId="0" borderId="9" xfId="5" applyFont="1" applyFill="1" applyBorder="1" applyAlignment="1" applyProtection="1">
      <alignment horizontal="center" vertical="center" textRotation="90"/>
    </xf>
    <xf numFmtId="0" fontId="114" fillId="8" borderId="0" xfId="5" applyFont="1" applyFill="1" applyBorder="1" applyAlignment="1" applyProtection="1">
      <alignment horizontal="center" vertical="center" textRotation="90"/>
    </xf>
    <xf numFmtId="0" fontId="113" fillId="7" borderId="39" xfId="5" applyFont="1" applyFill="1" applyBorder="1" applyAlignment="1">
      <alignment horizontal="left" vertical="center" indent="3"/>
    </xf>
    <xf numFmtId="0" fontId="113" fillId="7" borderId="39" xfId="5" applyFont="1" applyFill="1" applyBorder="1" applyAlignment="1">
      <alignment horizontal="left" vertical="center" indent="8"/>
    </xf>
    <xf numFmtId="0" fontId="68" fillId="7" borderId="39" xfId="5" applyFont="1" applyFill="1" applyBorder="1" applyAlignment="1">
      <alignment horizontal="left" vertical="center" indent="10"/>
    </xf>
    <xf numFmtId="0" fontId="39" fillId="13" borderId="3" xfId="3" applyFont="1" applyFill="1" applyBorder="1" applyAlignment="1" applyProtection="1">
      <alignment horizontal="left" vertical="center"/>
      <protection locked="0"/>
    </xf>
    <xf numFmtId="0" fontId="113" fillId="7" borderId="39" xfId="5" applyFont="1" applyFill="1" applyBorder="1" applyAlignment="1">
      <alignment horizontal="left" vertical="center" indent="5"/>
    </xf>
    <xf numFmtId="0" fontId="68" fillId="7" borderId="39" xfId="5" applyFont="1" applyFill="1" applyBorder="1" applyAlignment="1">
      <alignment horizontal="left" vertical="center" indent="5"/>
    </xf>
    <xf numFmtId="0" fontId="113" fillId="7" borderId="39" xfId="5" applyFont="1" applyFill="1" applyBorder="1" applyAlignment="1">
      <alignment horizontal="left" vertical="center" indent="3"/>
    </xf>
    <xf numFmtId="0" fontId="107" fillId="0" borderId="103" xfId="0" applyFont="1" applyFill="1" applyBorder="1" applyAlignment="1">
      <alignment horizontal="center" vertical="center" wrapText="1"/>
    </xf>
    <xf numFmtId="0" fontId="107" fillId="0" borderId="105" xfId="0" applyFont="1" applyFill="1" applyBorder="1" applyAlignment="1">
      <alignment horizontal="center" vertical="center" wrapText="1"/>
    </xf>
    <xf numFmtId="0" fontId="70" fillId="18" borderId="31" xfId="3" applyFont="1" applyFill="1" applyBorder="1" applyAlignment="1">
      <alignment horizontal="left" vertical="center" indent="1"/>
    </xf>
    <xf numFmtId="0" fontId="70" fillId="18" borderId="32" xfId="3" applyFont="1" applyFill="1" applyBorder="1" applyAlignment="1">
      <alignment horizontal="left" vertical="center" indent="1"/>
    </xf>
    <xf numFmtId="0" fontId="70" fillId="18" borderId="33" xfId="3" applyFont="1" applyFill="1" applyBorder="1" applyAlignment="1">
      <alignment horizontal="left" vertical="center" indent="1"/>
    </xf>
    <xf numFmtId="0" fontId="70" fillId="18" borderId="31" xfId="3" applyFont="1" applyFill="1" applyBorder="1" applyAlignment="1">
      <alignment horizontal="left" vertical="center"/>
    </xf>
    <xf numFmtId="0" fontId="70" fillId="18" borderId="32" xfId="3" applyFont="1" applyFill="1" applyBorder="1" applyAlignment="1">
      <alignment horizontal="left" vertical="center"/>
    </xf>
    <xf numFmtId="0" fontId="70" fillId="18" borderId="33" xfId="3" applyFont="1" applyFill="1" applyBorder="1" applyAlignment="1">
      <alignment horizontal="left" vertical="center"/>
    </xf>
    <xf numFmtId="0" fontId="75" fillId="6" borderId="0" xfId="5" applyFont="1" applyFill="1" applyBorder="1" applyAlignment="1">
      <alignment horizontal="left" vertical="center" wrapText="1" indent="1"/>
    </xf>
    <xf numFmtId="167" fontId="87" fillId="8" borderId="44" xfId="5" applyNumberFormat="1" applyFont="1" applyFill="1" applyBorder="1" applyAlignment="1">
      <alignment horizontal="left" vertical="center" wrapText="1" indent="2"/>
    </xf>
    <xf numFmtId="0" fontId="70" fillId="18" borderId="119" xfId="3" applyFont="1" applyFill="1" applyBorder="1" applyAlignment="1">
      <alignment horizontal="left" vertical="center"/>
    </xf>
    <xf numFmtId="0" fontId="70" fillId="18" borderId="120" xfId="3" applyFont="1" applyFill="1" applyBorder="1" applyAlignment="1">
      <alignment horizontal="left" vertical="center"/>
    </xf>
    <xf numFmtId="0" fontId="70" fillId="18" borderId="121" xfId="3" applyFont="1" applyFill="1" applyBorder="1" applyAlignment="1">
      <alignment horizontal="left" vertical="center"/>
    </xf>
    <xf numFmtId="167" fontId="87" fillId="8" borderId="44" xfId="5" applyNumberFormat="1" applyFont="1" applyFill="1" applyBorder="1" applyAlignment="1">
      <alignment horizontal="left" vertical="center" wrapText="1" indent="1"/>
    </xf>
    <xf numFmtId="0" fontId="103" fillId="0" borderId="0" xfId="5" applyFont="1" applyFill="1" applyBorder="1" applyAlignment="1" applyProtection="1">
      <alignment horizontal="left"/>
    </xf>
    <xf numFmtId="0" fontId="107" fillId="0" borderId="98" xfId="0" applyFont="1" applyFill="1" applyBorder="1" applyAlignment="1">
      <alignment horizontal="center" vertical="center" wrapText="1"/>
    </xf>
    <xf numFmtId="0" fontId="107" fillId="0" borderId="100" xfId="0" applyFont="1" applyFill="1" applyBorder="1" applyAlignment="1">
      <alignment horizontal="center" vertical="center" wrapText="1"/>
    </xf>
    <xf numFmtId="0" fontId="68" fillId="7" borderId="39" xfId="5" applyFont="1" applyFill="1" applyBorder="1" applyAlignment="1">
      <alignment horizontal="left" vertical="center"/>
    </xf>
    <xf numFmtId="0" fontId="75" fillId="6" borderId="0" xfId="5" applyFont="1" applyFill="1" applyBorder="1" applyAlignment="1">
      <alignment horizontal="left" vertical="center" wrapText="1" indent="3"/>
    </xf>
    <xf numFmtId="0" fontId="68" fillId="7" borderId="15" xfId="5" applyFont="1" applyFill="1" applyBorder="1" applyAlignment="1">
      <alignment horizontal="left" vertical="center"/>
    </xf>
    <xf numFmtId="0" fontId="105" fillId="31" borderId="115" xfId="0" applyFont="1" applyFill="1" applyBorder="1" applyAlignment="1">
      <alignment horizontal="center" vertical="center" wrapText="1"/>
    </xf>
    <xf numFmtId="0" fontId="105" fillId="31" borderId="113" xfId="0" applyFont="1" applyFill="1" applyBorder="1" applyAlignment="1">
      <alignment horizontal="center" vertical="center" wrapText="1"/>
    </xf>
    <xf numFmtId="0" fontId="66" fillId="16" borderId="0" xfId="3" applyFont="1" applyFill="1" applyBorder="1" applyAlignment="1">
      <alignment horizontal="center" vertical="center"/>
    </xf>
    <xf numFmtId="0" fontId="67" fillId="16" borderId="0" xfId="3" applyFont="1" applyFill="1" applyBorder="1" applyAlignment="1">
      <alignment horizontal="center" vertical="center"/>
    </xf>
    <xf numFmtId="0" fontId="17" fillId="23" borderId="0" xfId="3" applyFont="1" applyFill="1" applyBorder="1" applyAlignment="1">
      <alignment horizontal="center" vertical="center" wrapText="1"/>
    </xf>
    <xf numFmtId="0" fontId="75" fillId="22" borderId="30" xfId="3" applyFont="1" applyFill="1" applyBorder="1" applyAlignment="1">
      <alignment horizontal="center" vertical="center" wrapText="1"/>
    </xf>
    <xf numFmtId="0" fontId="75" fillId="22" borderId="0" xfId="3" applyFont="1" applyFill="1" applyBorder="1" applyAlignment="1">
      <alignment horizontal="center" vertical="center" wrapText="1"/>
    </xf>
    <xf numFmtId="0" fontId="75" fillId="22" borderId="5" xfId="3" applyFont="1" applyFill="1" applyBorder="1" applyAlignment="1">
      <alignment horizontal="center" vertical="center" wrapText="1"/>
    </xf>
    <xf numFmtId="3" fontId="70" fillId="9" borderId="31" xfId="3" applyNumberFormat="1" applyFont="1" applyFill="1" applyBorder="1" applyAlignment="1">
      <alignment horizontal="left" vertical="center" wrapText="1"/>
    </xf>
    <xf numFmtId="3" fontId="70" fillId="9" borderId="32" xfId="3" applyNumberFormat="1" applyFont="1" applyFill="1" applyBorder="1" applyAlignment="1">
      <alignment horizontal="left" vertical="center" wrapText="1"/>
    </xf>
    <xf numFmtId="0" fontId="68" fillId="28" borderId="39" xfId="5" applyFont="1" applyFill="1" applyBorder="1" applyAlignment="1">
      <alignment horizontal="left" vertical="center" indent="4"/>
    </xf>
    <xf numFmtId="0" fontId="68" fillId="28" borderId="39" xfId="5" applyFont="1" applyFill="1" applyBorder="1" applyAlignment="1">
      <alignment horizontal="left" vertical="center" indent="6"/>
    </xf>
    <xf numFmtId="0" fontId="75" fillId="27" borderId="31" xfId="5" applyFont="1" applyFill="1" applyBorder="1" applyAlignment="1">
      <alignment horizontal="right" vertical="center" wrapText="1" indent="1"/>
    </xf>
    <xf numFmtId="0" fontId="75" fillId="27" borderId="32" xfId="5" applyFont="1" applyFill="1" applyBorder="1" applyAlignment="1">
      <alignment horizontal="right" vertical="center" wrapText="1" indent="1"/>
    </xf>
    <xf numFmtId="0" fontId="75" fillId="27" borderId="38" xfId="5" applyFont="1" applyFill="1" applyBorder="1" applyAlignment="1">
      <alignment horizontal="right" vertical="center" wrapText="1" indent="1"/>
    </xf>
    <xf numFmtId="0" fontId="83" fillId="11" borderId="39" xfId="5" applyFont="1" applyFill="1" applyBorder="1" applyAlignment="1">
      <alignment horizontal="left" vertical="center" wrapText="1" indent="4"/>
    </xf>
    <xf numFmtId="0" fontId="83" fillId="11" borderId="52" xfId="5" applyFont="1" applyFill="1" applyBorder="1" applyAlignment="1">
      <alignment horizontal="left" vertical="center" wrapText="1" indent="4"/>
    </xf>
    <xf numFmtId="0" fontId="81" fillId="11" borderId="39" xfId="5" applyFont="1" applyFill="1" applyBorder="1" applyAlignment="1">
      <alignment horizontal="left" vertical="center" wrapText="1" indent="4"/>
    </xf>
    <xf numFmtId="0" fontId="81" fillId="11" borderId="52" xfId="5" applyFont="1" applyFill="1" applyBorder="1" applyAlignment="1">
      <alignment horizontal="left" vertical="center" wrapText="1" indent="4"/>
    </xf>
    <xf numFmtId="0" fontId="81" fillId="11" borderId="54" xfId="5" applyFont="1" applyFill="1" applyBorder="1" applyAlignment="1">
      <alignment horizontal="left" vertical="center" wrapText="1" indent="4"/>
    </xf>
    <xf numFmtId="0" fontId="81" fillId="11" borderId="55" xfId="5" applyFont="1" applyFill="1" applyBorder="1" applyAlignment="1">
      <alignment horizontal="left" vertical="center" wrapText="1" indent="4"/>
    </xf>
    <xf numFmtId="0" fontId="83" fillId="11" borderId="76" xfId="5" applyFont="1" applyFill="1" applyBorder="1" applyAlignment="1">
      <alignment horizontal="left" vertical="center" wrapText="1" indent="1"/>
    </xf>
    <xf numFmtId="0" fontId="83" fillId="11" borderId="42" xfId="5" applyFont="1" applyFill="1" applyBorder="1" applyAlignment="1">
      <alignment horizontal="left" vertical="center" wrapText="1" indent="1"/>
    </xf>
    <xf numFmtId="0" fontId="83" fillId="11" borderId="54" xfId="5" applyFont="1" applyFill="1" applyBorder="1" applyAlignment="1">
      <alignment horizontal="left" vertical="center" wrapText="1" indent="1"/>
    </xf>
    <xf numFmtId="0" fontId="83" fillId="11" borderId="55" xfId="5" applyFont="1" applyFill="1" applyBorder="1" applyAlignment="1">
      <alignment horizontal="left" vertical="center" wrapText="1" indent="1"/>
    </xf>
    <xf numFmtId="0" fontId="12" fillId="17" borderId="0" xfId="3" applyFont="1" applyFill="1" applyBorder="1" applyAlignment="1">
      <alignment horizontal="center" vertical="center"/>
    </xf>
    <xf numFmtId="0" fontId="70" fillId="18" borderId="38" xfId="3" applyFont="1" applyFill="1" applyBorder="1" applyAlignment="1">
      <alignment horizontal="left" vertical="center" indent="1"/>
    </xf>
    <xf numFmtId="0" fontId="84" fillId="8" borderId="77" xfId="5" applyFont="1" applyFill="1" applyBorder="1" applyAlignment="1" applyProtection="1">
      <alignment horizontal="center" vertical="center" textRotation="90" wrapText="1"/>
    </xf>
    <xf numFmtId="0" fontId="84" fillId="8" borderId="28" xfId="5" applyFont="1" applyFill="1" applyBorder="1" applyAlignment="1" applyProtection="1">
      <alignment horizontal="center" vertical="center" textRotation="90" wrapText="1"/>
    </xf>
    <xf numFmtId="0" fontId="84" fillId="8" borderId="57" xfId="5" applyFont="1" applyFill="1" applyBorder="1" applyAlignment="1" applyProtection="1">
      <alignment horizontal="center" vertical="center" textRotation="90" wrapText="1"/>
    </xf>
    <xf numFmtId="0" fontId="83" fillId="11" borderId="76" xfId="5" applyFont="1" applyFill="1" applyBorder="1" applyAlignment="1">
      <alignment horizontal="left" vertical="center" wrapText="1" indent="2"/>
    </xf>
    <xf numFmtId="0" fontId="83" fillId="11" borderId="42" xfId="5" applyFont="1" applyFill="1" applyBorder="1" applyAlignment="1">
      <alignment horizontal="left" vertical="center" wrapText="1" indent="2"/>
    </xf>
    <xf numFmtId="0" fontId="83" fillId="11" borderId="13" xfId="5" applyFont="1" applyFill="1" applyBorder="1" applyAlignment="1">
      <alignment horizontal="left" vertical="center" wrapText="1" indent="2"/>
    </xf>
    <xf numFmtId="0" fontId="83" fillId="11" borderId="71" xfId="5" applyFont="1" applyFill="1" applyBorder="1" applyAlignment="1">
      <alignment horizontal="left" vertical="center" wrapText="1" indent="2"/>
    </xf>
    <xf numFmtId="0" fontId="83" fillId="11" borderId="15" xfId="5" applyFont="1" applyFill="1" applyBorder="1" applyAlignment="1">
      <alignment horizontal="left" vertical="center" wrapText="1" indent="4"/>
    </xf>
    <xf numFmtId="0" fontId="83" fillId="11" borderId="50" xfId="5" applyFont="1" applyFill="1" applyBorder="1" applyAlignment="1">
      <alignment horizontal="left" vertical="center" wrapText="1" indent="4"/>
    </xf>
    <xf numFmtId="0" fontId="17" fillId="23" borderId="30" xfId="3" applyFont="1" applyFill="1" applyBorder="1" applyAlignment="1">
      <alignment horizontal="center" vertical="center" wrapText="1"/>
    </xf>
    <xf numFmtId="0" fontId="17" fillId="23" borderId="40" xfId="3" applyFont="1" applyFill="1" applyBorder="1" applyAlignment="1">
      <alignment horizontal="center" vertical="center" wrapText="1"/>
    </xf>
    <xf numFmtId="0" fontId="14" fillId="8" borderId="0" xfId="5" applyFont="1" applyFill="1" applyBorder="1" applyAlignment="1" applyProtection="1">
      <alignment horizontal="center" vertical="center"/>
    </xf>
    <xf numFmtId="0" fontId="90" fillId="11" borderId="88" xfId="5" applyFont="1" applyFill="1" applyBorder="1" applyAlignment="1">
      <alignment horizontal="left" vertical="center" wrapText="1" indent="5"/>
    </xf>
    <xf numFmtId="0" fontId="90" fillId="11" borderId="39" xfId="5" applyFont="1" applyFill="1" applyBorder="1" applyAlignment="1">
      <alignment horizontal="left" vertical="center" wrapText="1" indent="5"/>
    </xf>
    <xf numFmtId="0" fontId="90" fillId="11" borderId="52" xfId="5" applyFont="1" applyFill="1" applyBorder="1" applyAlignment="1">
      <alignment horizontal="left" vertical="center" wrapText="1" indent="5"/>
    </xf>
    <xf numFmtId="0" fontId="98" fillId="0" borderId="0" xfId="0" applyFont="1" applyAlignment="1">
      <alignment horizontal="center"/>
    </xf>
    <xf numFmtId="3" fontId="25" fillId="0" borderId="0" xfId="5" applyNumberFormat="1" applyFont="1" applyFill="1" applyBorder="1" applyAlignment="1" applyProtection="1">
      <alignment horizontal="center" vertical="center" textRotation="90"/>
    </xf>
    <xf numFmtId="3" fontId="25" fillId="0" borderId="0" xfId="5" applyNumberFormat="1" applyFont="1" applyFill="1" applyBorder="1" applyAlignment="1" applyProtection="1">
      <alignment horizontal="right" vertical="center" textRotation="90"/>
    </xf>
    <xf numFmtId="0" fontId="10" fillId="8" borderId="0" xfId="5" applyFont="1" applyFill="1" applyBorder="1" applyAlignment="1" applyProtection="1">
      <alignment horizontal="center" vertical="center"/>
    </xf>
    <xf numFmtId="0" fontId="105" fillId="31" borderId="107" xfId="0" applyFont="1" applyFill="1" applyBorder="1" applyAlignment="1">
      <alignment horizontal="center" vertical="center" wrapText="1"/>
    </xf>
    <xf numFmtId="0" fontId="27" fillId="3" borderId="0" xfId="4" applyFont="1" applyFill="1" applyBorder="1" applyAlignment="1" applyProtection="1">
      <alignment horizontal="center" vertical="center"/>
    </xf>
    <xf numFmtId="0" fontId="62" fillId="16" borderId="0" xfId="3" applyFont="1" applyFill="1" applyBorder="1" applyAlignment="1">
      <alignment horizontal="center" vertical="center"/>
    </xf>
    <xf numFmtId="0" fontId="44" fillId="16" borderId="0" xfId="3" applyFont="1" applyFill="1" applyBorder="1" applyAlignment="1">
      <alignment horizontal="center" vertical="center"/>
    </xf>
    <xf numFmtId="0" fontId="2" fillId="24" borderId="18" xfId="4" applyFont="1" applyFill="1" applyBorder="1" applyAlignment="1" applyProtection="1">
      <alignment horizontal="center" vertical="center"/>
    </xf>
    <xf numFmtId="0" fontId="2" fillId="24" borderId="19" xfId="4" applyFont="1" applyFill="1" applyBorder="1" applyAlignment="1" applyProtection="1">
      <alignment horizontal="center" vertical="center"/>
    </xf>
    <xf numFmtId="0" fontId="2" fillId="24" borderId="20" xfId="4" applyFont="1" applyFill="1" applyBorder="1" applyAlignment="1" applyProtection="1">
      <alignment horizontal="center" vertical="center"/>
    </xf>
    <xf numFmtId="0" fontId="63" fillId="0" borderId="17" xfId="5" applyFont="1" applyFill="1" applyBorder="1" applyAlignment="1" applyProtection="1">
      <alignment horizontal="center"/>
    </xf>
    <xf numFmtId="3" fontId="63" fillId="0" borderId="17" xfId="5" applyNumberFormat="1" applyFont="1" applyFill="1" applyBorder="1" applyAlignment="1" applyProtection="1">
      <alignment horizontal="center"/>
    </xf>
  </cellXfs>
  <cellStyles count="7">
    <cellStyle name="Milliers" xfId="1" builtinId="3"/>
    <cellStyle name="Normal" xfId="0" builtinId="0"/>
    <cellStyle name="Normal 10" xfId="2"/>
    <cellStyle name="Normal 2" xfId="3"/>
    <cellStyle name="Normal 3 2" xfId="4"/>
    <cellStyle name="Normal_Copie de CRD_CRC_domaine TER_ergo" xfId="5"/>
    <cellStyle name="Pourcentage" xfId="6" builtinId="5"/>
  </cellStyles>
  <dxfs count="558"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theme="6" tint="-0.24994659260841701"/>
      </font>
    </dxf>
    <dxf>
      <font>
        <color rgb="FFFF0000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theme="0" tint="-0.1499679555650502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D9D9D9"/>
      </font>
      <fill>
        <patternFill patternType="gray0625">
          <fgColor theme="1" tint="0.499984740745262"/>
          <bgColor rgb="FFD9D9D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</dxfs>
  <tableStyles count="0" defaultTableStyle="TableStyleMedium2" defaultPivotStyle="PivotStyleLight16"/>
  <colors>
    <mruColors>
      <color rgb="FFFFFFCC"/>
      <color rgb="FFF9F9F9"/>
      <color rgb="FFFF9F9F"/>
      <color rgb="FFFFD1D1"/>
      <color rgb="FFE2E2E2"/>
      <color rgb="FFF3F3F3"/>
      <color rgb="FFD9D9D9"/>
      <color rgb="FFDEDED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094400526782184E-2"/>
          <c:y val="3.312772506915608E-2"/>
          <c:w val="0.76073072376393003"/>
          <c:h val="0.892123090542662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'PMM Analysis Report'!$A$252</c:f>
              <c:strCache>
                <c:ptCount val="1"/>
                <c:pt idx="0">
                  <c:v>GROSS MARGIN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Report'!$B$252:$D$252</c:f>
              <c:numCache>
                <c:formatCode>0.0000</c:formatCode>
                <c:ptCount val="3"/>
                <c:pt idx="0">
                  <c:v>0.15891</c:v>
                </c:pt>
                <c:pt idx="1">
                  <c:v>1.1062000000000001E-2</c:v>
                </c:pt>
                <c:pt idx="2">
                  <c:v>1.9612999999999998E-2</c:v>
                </c:pt>
              </c:numCache>
            </c:numRef>
          </c:val>
        </c:ser>
        <c:ser>
          <c:idx val="1"/>
          <c:order val="1"/>
          <c:tx>
            <c:strRef>
              <c:f>'PMM Analysis Report'!$A$253</c:f>
              <c:strCache>
                <c:ptCount val="1"/>
                <c:pt idx="0">
                  <c:v>O - Other Operating cost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Report'!$B$253:$D$253</c:f>
              <c:numCache>
                <c:formatCode>0.0000</c:formatCode>
                <c:ptCount val="3"/>
                <c:pt idx="0">
                  <c:v>0.191527</c:v>
                </c:pt>
                <c:pt idx="1">
                  <c:v>0.23921100000000001</c:v>
                </c:pt>
                <c:pt idx="2">
                  <c:v>0.20741399999999999</c:v>
                </c:pt>
              </c:numCache>
            </c:numRef>
          </c:val>
        </c:ser>
        <c:ser>
          <c:idx val="2"/>
          <c:order val="2"/>
          <c:tx>
            <c:strRef>
              <c:f>'PMM Analysis Report'!$A$254</c:f>
              <c:strCache>
                <c:ptCount val="1"/>
                <c:pt idx="0">
                  <c:v>F - Fleet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Report'!$B$254:$D$254</c:f>
              <c:numCache>
                <c:formatCode>0.0000</c:formatCode>
                <c:ptCount val="3"/>
                <c:pt idx="0">
                  <c:v>8.6439000000000002E-2</c:v>
                </c:pt>
                <c:pt idx="1">
                  <c:v>0.13323599999999999</c:v>
                </c:pt>
                <c:pt idx="2">
                  <c:v>0.140684</c:v>
                </c:pt>
              </c:numCache>
            </c:numRef>
          </c:val>
        </c:ser>
        <c:ser>
          <c:idx val="3"/>
          <c:order val="3"/>
          <c:tx>
            <c:strRef>
              <c:f>'PMM Analysis Report'!$A$255</c:f>
              <c:strCache>
                <c:ptCount val="1"/>
                <c:pt idx="0">
                  <c:v>E - Energy for traction PMM</c:v>
                </c:pt>
              </c:strCache>
            </c:strRef>
          </c:tx>
          <c:spPr>
            <a:solidFill>
              <a:srgbClr val="FFFFCC"/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Report'!$B$255:$D$255</c:f>
              <c:numCache>
                <c:formatCode>0.0000</c:formatCode>
                <c:ptCount val="3"/>
                <c:pt idx="0">
                  <c:v>0.140818</c:v>
                </c:pt>
                <c:pt idx="1">
                  <c:v>0.14388200000000001</c:v>
                </c:pt>
                <c:pt idx="2">
                  <c:v>0.16688500000000001</c:v>
                </c:pt>
              </c:numCache>
            </c:numRef>
          </c:val>
        </c:ser>
        <c:ser>
          <c:idx val="4"/>
          <c:order val="4"/>
          <c:tx>
            <c:strRef>
              <c:f>'PMM Analysis Report'!$A$256</c:f>
              <c:strCache>
                <c:ptCount val="1"/>
                <c:pt idx="0">
                  <c:v>M - Maintenance &amp; cleaning of fleet PMM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Report'!$B$256:$D$256</c:f>
              <c:numCache>
                <c:formatCode>0.0000</c:formatCode>
                <c:ptCount val="3"/>
                <c:pt idx="0">
                  <c:v>0.122863</c:v>
                </c:pt>
                <c:pt idx="1">
                  <c:v>0.12717500000000001</c:v>
                </c:pt>
                <c:pt idx="2">
                  <c:v>0.14461399999999999</c:v>
                </c:pt>
              </c:numCache>
            </c:numRef>
          </c:val>
        </c:ser>
        <c:ser>
          <c:idx val="5"/>
          <c:order val="5"/>
          <c:tx>
            <c:strRef>
              <c:f>'PMM Analysis Report'!$A$257</c:f>
              <c:strCache>
                <c:ptCount val="1"/>
                <c:pt idx="0">
                  <c:v>D - Driving/operating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dLbls>
            <c:numFmt formatCode="0.0%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'PMM Analysis Report'!$B$250:$D$250</c:f>
              <c:strCache>
                <c:ptCount val="3"/>
                <c:pt idx="0">
                  <c:v>Actual N</c:v>
                </c:pt>
                <c:pt idx="1">
                  <c:v>Budget V current N</c:v>
                </c:pt>
                <c:pt idx="2">
                  <c:v>Actual N-1</c:v>
                </c:pt>
              </c:strCache>
            </c:strRef>
          </c:cat>
          <c:val>
            <c:numRef>
              <c:f>'PMM Analysis Report'!$B$257:$D$257</c:f>
              <c:numCache>
                <c:formatCode>0.0000</c:formatCode>
                <c:ptCount val="3"/>
                <c:pt idx="0">
                  <c:v>0.299678</c:v>
                </c:pt>
                <c:pt idx="1">
                  <c:v>0.34569</c:v>
                </c:pt>
                <c:pt idx="2">
                  <c:v>0.321158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424704"/>
        <c:axId val="182426624"/>
      </c:barChart>
      <c:catAx>
        <c:axId val="18242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426624"/>
        <c:crosses val="autoZero"/>
        <c:auto val="1"/>
        <c:lblAlgn val="ctr"/>
        <c:lblOffset val="100"/>
        <c:noMultiLvlLbl val="0"/>
      </c:catAx>
      <c:valAx>
        <c:axId val="18242662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82424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879657924063809"/>
          <c:y val="0.18360557870725261"/>
          <c:w val="0.17253332884616984"/>
          <c:h val="0.73604231417859478"/>
        </c:manualLayout>
      </c:layout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Report'!$B$259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Report'!$A$260:$A$271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Report'!$B$260:$B$271</c:f>
              <c:numCache>
                <c:formatCode>#,##0.0000</c:formatCode>
                <c:ptCount val="12"/>
                <c:pt idx="0">
                  <c:v>0.30321208500170355</c:v>
                </c:pt>
                <c:pt idx="1">
                  <c:v>-9.673570348785597E-2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Report'!$C$259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Report'!$A$260:$A$271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Report'!$C$260:$C$271</c:f>
              <c:numCache>
                <c:formatCode>#,##0.0000</c:formatCode>
                <c:ptCount val="12"/>
                <c:pt idx="0">
                  <c:v>5.9783382403588645E-2</c:v>
                </c:pt>
                <c:pt idx="1">
                  <c:v>-4.4783102327887722E-2</c:v>
                </c:pt>
                <c:pt idx="2">
                  <c:v>0.19637694695213753</c:v>
                </c:pt>
                <c:pt idx="3">
                  <c:v>0.18183648973782179</c:v>
                </c:pt>
                <c:pt idx="4">
                  <c:v>0.16631128673143755</c:v>
                </c:pt>
                <c:pt idx="5">
                  <c:v>0.16358074142546444</c:v>
                </c:pt>
                <c:pt idx="6">
                  <c:v>0.14471740453773632</c:v>
                </c:pt>
                <c:pt idx="7">
                  <c:v>0.18624128595924169</c:v>
                </c:pt>
                <c:pt idx="8">
                  <c:v>0.12812270147021085</c:v>
                </c:pt>
                <c:pt idx="9">
                  <c:v>0.16668939776905717</c:v>
                </c:pt>
                <c:pt idx="10">
                  <c:v>0.17506026160096788</c:v>
                </c:pt>
                <c:pt idx="11">
                  <c:v>2.5437626429257669E-2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Report'!$D$259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Report'!$A$260:$A$271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Report'!$D$260:$D$271</c:f>
              <c:numCache>
                <c:formatCode>#,##0.0000</c:formatCode>
                <c:ptCount val="12"/>
                <c:pt idx="0">
                  <c:v>0.16464066368578381</c:v>
                </c:pt>
                <c:pt idx="1">
                  <c:v>1.1443558727959137E-2</c:v>
                </c:pt>
                <c:pt idx="2">
                  <c:v>0.12734018092830107</c:v>
                </c:pt>
                <c:pt idx="3">
                  <c:v>0.11636337005548342</c:v>
                </c:pt>
                <c:pt idx="4">
                  <c:v>0.14296253733614539</c:v>
                </c:pt>
                <c:pt idx="5">
                  <c:v>0.26578153396243642</c:v>
                </c:pt>
                <c:pt idx="6">
                  <c:v>0.12743981416531749</c:v>
                </c:pt>
                <c:pt idx="7">
                  <c:v>0.13996233256942359</c:v>
                </c:pt>
                <c:pt idx="8">
                  <c:v>0.12538008555062161</c:v>
                </c:pt>
                <c:pt idx="9">
                  <c:v>-9.537404521789776E-2</c:v>
                </c:pt>
                <c:pt idx="10">
                  <c:v>5.197748710103537E-2</c:v>
                </c:pt>
                <c:pt idx="11">
                  <c:v>0.13400070786964241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056128"/>
        <c:axId val="189058432"/>
      </c:lineChart>
      <c:catAx>
        <c:axId val="189056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89058432"/>
        <c:crosses val="autoZero"/>
        <c:auto val="1"/>
        <c:lblAlgn val="ctr"/>
        <c:lblOffset val="100"/>
        <c:noMultiLvlLbl val="0"/>
      </c:catAx>
      <c:valAx>
        <c:axId val="18905843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89056128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Report'!$B$287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Report'!$A$288:$A$299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Report'!$B$288:$B$299</c:f>
              <c:numCache>
                <c:formatCode>#,##0.00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Report'!$C$287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Report'!$A$288:$A$299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Report'!$C$288:$C$299</c:f>
              <c:numCache>
                <c:formatCode>#,##0.00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Report'!$D$287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Report'!$A$288:$A$299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Report'!$D$288:$D$299</c:f>
              <c:numCache>
                <c:formatCode>#,##0.00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733696"/>
        <c:axId val="190760832"/>
      </c:lineChart>
      <c:catAx>
        <c:axId val="19073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190760832"/>
        <c:crosses val="autoZero"/>
        <c:auto val="1"/>
        <c:lblAlgn val="ctr"/>
        <c:lblOffset val="100"/>
        <c:noMultiLvlLbl val="0"/>
      </c:catAx>
      <c:valAx>
        <c:axId val="190760832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9073369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Report'!$B$335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Report'!$A$336:$A$347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Report'!$B$336:$B$347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Report'!$C$335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Report'!$A$336:$A$347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Report'!$C$336:$C$347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Report'!$D$335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Report'!$A$336:$A$347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Report'!$D$336:$D$347</c:f>
              <c:numCache>
                <c:formatCode>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047616"/>
        <c:axId val="280031616"/>
      </c:lineChart>
      <c:catAx>
        <c:axId val="238047616"/>
        <c:scaling>
          <c:orientation val="minMax"/>
        </c:scaling>
        <c:delete val="0"/>
        <c:axPos val="b"/>
        <c:majorTickMark val="out"/>
        <c:minorTickMark val="none"/>
        <c:tickLblPos val="nextTo"/>
        <c:crossAx val="280031616"/>
        <c:crosses val="autoZero"/>
        <c:auto val="1"/>
        <c:lblAlgn val="ctr"/>
        <c:lblOffset val="100"/>
        <c:noMultiLvlLbl val="0"/>
      </c:catAx>
      <c:valAx>
        <c:axId val="280031616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3804761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Report'!$B$349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Report'!$A$350:$A$361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Report'!$B$350:$B$361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Report'!$C$349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Report'!$A$350:$A$361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Report'!$C$350:$C$361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Report'!$D$349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Report'!$A$350:$A$361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Report'!$D$350:$D$361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75904"/>
        <c:axId val="205698176"/>
      </c:lineChart>
      <c:catAx>
        <c:axId val="205675904"/>
        <c:scaling>
          <c:orientation val="minMax"/>
        </c:scaling>
        <c:delete val="0"/>
        <c:axPos val="b"/>
        <c:majorTickMark val="out"/>
        <c:minorTickMark val="none"/>
        <c:tickLblPos val="nextTo"/>
        <c:crossAx val="205698176"/>
        <c:crosses val="autoZero"/>
        <c:auto val="1"/>
        <c:lblAlgn val="ctr"/>
        <c:lblOffset val="100"/>
        <c:noMultiLvlLbl val="0"/>
      </c:catAx>
      <c:valAx>
        <c:axId val="205698176"/>
        <c:scaling>
          <c:orientation val="minMax"/>
        </c:scaling>
        <c:delete val="0"/>
        <c:axPos val="l"/>
        <c:majorGridlines/>
        <c:numFmt formatCode="#,##0.0000" sourceLinked="0"/>
        <c:majorTickMark val="out"/>
        <c:minorTickMark val="none"/>
        <c:tickLblPos val="nextTo"/>
        <c:crossAx val="205675904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Report'!$B$398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Report'!$A$399:$A$410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Report'!$B$399:$B$410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Report'!$C$398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Report'!$A$399:$A$410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Report'!$C$399:$C$410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Report'!$D$398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Report'!$A$399:$A$410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Report'!$D$399:$D$410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11616"/>
        <c:axId val="205713408"/>
      </c:lineChart>
      <c:catAx>
        <c:axId val="205711616"/>
        <c:scaling>
          <c:orientation val="minMax"/>
        </c:scaling>
        <c:delete val="0"/>
        <c:axPos val="b"/>
        <c:majorTickMark val="out"/>
        <c:minorTickMark val="none"/>
        <c:tickLblPos val="nextTo"/>
        <c:crossAx val="205713408"/>
        <c:crosses val="autoZero"/>
        <c:auto val="1"/>
        <c:lblAlgn val="ctr"/>
        <c:lblOffset val="100"/>
        <c:noMultiLvlLbl val="0"/>
      </c:catAx>
      <c:valAx>
        <c:axId val="205713408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0571161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Report'!$B$412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Report'!$A$413:$A$424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Report'!$B$413:$B$424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Report'!$C$412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Report'!$A$413:$A$424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Report'!$C$413:$C$424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Report'!$D$412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Report'!$A$413:$A$424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Report'!$D$413:$D$424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803584"/>
        <c:axId val="214805120"/>
      </c:lineChart>
      <c:catAx>
        <c:axId val="214803584"/>
        <c:scaling>
          <c:orientation val="minMax"/>
        </c:scaling>
        <c:delete val="0"/>
        <c:axPos val="b"/>
        <c:majorTickMark val="out"/>
        <c:minorTickMark val="none"/>
        <c:tickLblPos val="nextTo"/>
        <c:crossAx val="214805120"/>
        <c:crosses val="autoZero"/>
        <c:auto val="1"/>
        <c:lblAlgn val="ctr"/>
        <c:lblOffset val="100"/>
        <c:noMultiLvlLbl val="0"/>
      </c:catAx>
      <c:valAx>
        <c:axId val="214805120"/>
        <c:scaling>
          <c:orientation val="minMax"/>
        </c:scaling>
        <c:delete val="0"/>
        <c:axPos val="l"/>
        <c:majorGridlines/>
        <c:numFmt formatCode="#,##0.0000" sourceLinked="0"/>
        <c:majorTickMark val="out"/>
        <c:minorTickMark val="none"/>
        <c:tickLblPos val="nextTo"/>
        <c:crossAx val="214803584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Report'!$B$461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Report'!$A$462:$A$473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Report'!$B$462:$B$473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Report'!$C$461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Report'!$A$462:$A$473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Report'!$C$462:$C$473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Report'!$D$461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Report'!$A$462:$A$473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Report'!$D$462:$D$473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982656"/>
        <c:axId val="214984192"/>
      </c:lineChart>
      <c:catAx>
        <c:axId val="2149826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4984192"/>
        <c:crosses val="autoZero"/>
        <c:auto val="1"/>
        <c:lblAlgn val="ctr"/>
        <c:lblOffset val="100"/>
        <c:noMultiLvlLbl val="0"/>
      </c:catAx>
      <c:valAx>
        <c:axId val="214984192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498265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Report'!$B$475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Report'!$A$476:$A$487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Report'!$B$476:$B$487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Report'!$C$475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Report'!$A$476:$A$487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Report'!$C$476:$C$487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Report'!$D$475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Report'!$A$476:$A$487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Report'!$D$476:$D$487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005824"/>
        <c:axId val="215019904"/>
      </c:lineChart>
      <c:catAx>
        <c:axId val="21500582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019904"/>
        <c:crosses val="autoZero"/>
        <c:auto val="1"/>
        <c:lblAlgn val="ctr"/>
        <c:lblOffset val="100"/>
        <c:noMultiLvlLbl val="0"/>
      </c:catAx>
      <c:valAx>
        <c:axId val="215019904"/>
        <c:scaling>
          <c:orientation val="minMax"/>
        </c:scaling>
        <c:delete val="0"/>
        <c:axPos val="l"/>
        <c:majorGridlines/>
        <c:numFmt formatCode="#,##0.0000" sourceLinked="0"/>
        <c:majorTickMark val="out"/>
        <c:minorTickMark val="none"/>
        <c:tickLblPos val="nextTo"/>
        <c:crossAx val="215005824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Report'!$B$525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Report'!$A$526:$A$537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Report'!$B$526:$B$537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Report'!$C$525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Report'!$A$526:$A$537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Report'!$C$526:$C$537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Report'!$D$525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Report'!$A$526:$A$537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Report'!$D$526:$D$537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246336"/>
        <c:axId val="215247872"/>
      </c:lineChart>
      <c:catAx>
        <c:axId val="215246336"/>
        <c:scaling>
          <c:orientation val="minMax"/>
        </c:scaling>
        <c:delete val="0"/>
        <c:axPos val="b"/>
        <c:majorTickMark val="out"/>
        <c:minorTickMark val="none"/>
        <c:tickLblPos val="nextTo"/>
        <c:crossAx val="215247872"/>
        <c:crosses val="autoZero"/>
        <c:auto val="1"/>
        <c:lblAlgn val="ctr"/>
        <c:lblOffset val="100"/>
        <c:noMultiLvlLbl val="0"/>
      </c:catAx>
      <c:valAx>
        <c:axId val="215247872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524633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'PMM Analysis Report'!$B$539</c:f>
              <c:strCache>
                <c:ptCount val="1"/>
                <c:pt idx="0">
                  <c:v>Actual N</c:v>
                </c:pt>
              </c:strCache>
            </c:strRef>
          </c:tx>
          <c:cat>
            <c:strRef>
              <c:f>'PMM Analysis Report'!$A$540:$A$551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Report'!$B$540:$B$551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'PMM Analysis Report'!$C$539</c:f>
              <c:strCache>
                <c:ptCount val="1"/>
                <c:pt idx="0">
                  <c:v>Budget V current N</c:v>
                </c:pt>
              </c:strCache>
            </c:strRef>
          </c:tx>
          <c:cat>
            <c:strRef>
              <c:f>'PMM Analysis Report'!$A$540:$A$551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Report'!$C$540:$C$551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'PMM Analysis Report'!$D$539</c:f>
              <c:strCache>
                <c:ptCount val="1"/>
                <c:pt idx="0">
                  <c:v>Actual N-1</c:v>
                </c:pt>
              </c:strCache>
            </c:strRef>
          </c:tx>
          <c:cat>
            <c:strRef>
              <c:f>'PMM Analysis Report'!$A$540:$A$551</c:f>
              <c:strCache>
                <c:ptCount val="12"/>
                <c:pt idx="0">
                  <c:v>J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'PMM Analysis Report'!$D$540:$D$551</c:f>
              <c:numCache>
                <c:formatCode>#,##0.0000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560576"/>
        <c:axId val="215562112"/>
      </c:lineChart>
      <c:catAx>
        <c:axId val="215560576"/>
        <c:scaling>
          <c:orientation val="minMax"/>
        </c:scaling>
        <c:delete val="0"/>
        <c:axPos val="b"/>
        <c:majorTickMark val="out"/>
        <c:minorTickMark val="none"/>
        <c:tickLblPos val="nextTo"/>
        <c:crossAx val="215562112"/>
        <c:crosses val="autoZero"/>
        <c:auto val="1"/>
        <c:lblAlgn val="ctr"/>
        <c:lblOffset val="100"/>
        <c:noMultiLvlLbl val="0"/>
      </c:catAx>
      <c:valAx>
        <c:axId val="21556211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15560576"/>
        <c:crosses val="autoZero"/>
        <c:crossBetween val="between"/>
      </c:valAx>
    </c:plotArea>
    <c:legend>
      <c:legendPos val="r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'PMM Bridge'!$AE$84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Bridge'!$AF$84:$AN$84</c:f>
              <c:numCache>
                <c:formatCode>General</c:formatCode>
                <c:ptCount val="9"/>
                <c:pt idx="0">
                  <c:v>8.3177880731834293</c:v>
                </c:pt>
                <c:pt idx="1">
                  <c:v>8.3177880731834293</c:v>
                </c:pt>
                <c:pt idx="2">
                  <c:v>8.3177880731834293</c:v>
                </c:pt>
                <c:pt idx="3">
                  <c:v>8.3177880731834293</c:v>
                </c:pt>
                <c:pt idx="4">
                  <c:v>8.3177880731834293</c:v>
                </c:pt>
                <c:pt idx="5">
                  <c:v>8.3177880731834293</c:v>
                </c:pt>
                <c:pt idx="6">
                  <c:v>8.3177880731834293</c:v>
                </c:pt>
                <c:pt idx="7">
                  <c:v>8.3177880731834293</c:v>
                </c:pt>
                <c:pt idx="8">
                  <c:v>8.3177880731834293</c:v>
                </c:pt>
              </c:numCache>
            </c:numRef>
          </c:val>
        </c:ser>
        <c:ser>
          <c:idx val="1"/>
          <c:order val="2"/>
          <c:tx>
            <c:strRef>
              <c:f>'PMM Bridge'!$AE$83</c:f>
              <c:strCache>
                <c:ptCount val="1"/>
                <c:pt idx="0">
                  <c:v>axis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val>
            <c:numRef>
              <c:f>'PMM Bridge'!$AF$83:$AN$83</c:f>
              <c:numCache>
                <c:formatCode>General</c:formatCode>
                <c:ptCount val="9"/>
                <c:pt idx="0">
                  <c:v>0.33950155400748694</c:v>
                </c:pt>
                <c:pt idx="1">
                  <c:v>0.33950155400748694</c:v>
                </c:pt>
                <c:pt idx="2">
                  <c:v>0.33950155400748694</c:v>
                </c:pt>
                <c:pt idx="3">
                  <c:v>0.33950155400748694</c:v>
                </c:pt>
                <c:pt idx="4">
                  <c:v>0.33950155400748694</c:v>
                </c:pt>
                <c:pt idx="5">
                  <c:v>0.33950155400748694</c:v>
                </c:pt>
                <c:pt idx="6">
                  <c:v>0.33950155400748694</c:v>
                </c:pt>
                <c:pt idx="7">
                  <c:v>0.33950155400748694</c:v>
                </c:pt>
                <c:pt idx="8">
                  <c:v>0.33950155400748694</c:v>
                </c:pt>
              </c:numCache>
            </c:numRef>
          </c:val>
        </c:ser>
        <c:ser>
          <c:idx val="0"/>
          <c:order val="3"/>
          <c:tx>
            <c:strRef>
              <c:f>'PMM Bridge'!$AE$82</c:f>
              <c:strCache>
                <c:ptCount val="1"/>
                <c:pt idx="0">
                  <c:v>axis+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Bridge'!$AF$82:$AN$82</c:f>
              <c:numCache>
                <c:formatCode>General</c:formatCode>
                <c:ptCount val="9"/>
                <c:pt idx="0">
                  <c:v>91.342710372809094</c:v>
                </c:pt>
                <c:pt idx="1">
                  <c:v>91.342710372809094</c:v>
                </c:pt>
                <c:pt idx="2">
                  <c:v>91.342710372809094</c:v>
                </c:pt>
                <c:pt idx="3">
                  <c:v>91.342710372809094</c:v>
                </c:pt>
                <c:pt idx="4">
                  <c:v>91.342710372809094</c:v>
                </c:pt>
                <c:pt idx="5">
                  <c:v>91.342710372809094</c:v>
                </c:pt>
                <c:pt idx="6">
                  <c:v>91.342710372809094</c:v>
                </c:pt>
                <c:pt idx="7">
                  <c:v>91.342710372809094</c:v>
                </c:pt>
                <c:pt idx="8">
                  <c:v>91.342710372809094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5335168"/>
        <c:axId val="225336704"/>
      </c:barChart>
      <c:barChart>
        <c:barDir val="col"/>
        <c:grouping val="stacked"/>
        <c:varyColors val="0"/>
        <c:ser>
          <c:idx val="3"/>
          <c:order val="4"/>
          <c:tx>
            <c:strRef>
              <c:f>'PMM Bridge'!$AE$80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Bridge'!$AF$80:$AN$80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ser>
          <c:idx val="4"/>
          <c:order val="5"/>
          <c:tx>
            <c:strRef>
              <c:f>'PMM Bridge'!$AE$79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Bridge'!$AF$79:$AN$79</c:f>
              <c:numCache>
                <c:formatCode>General</c:formatCode>
                <c:ptCount val="9"/>
                <c:pt idx="0">
                  <c:v>0</c:v>
                </c:pt>
                <c:pt idx="1">
                  <c:v>1.8504662022460785</c:v>
                </c:pt>
                <c:pt idx="2">
                  <c:v>29.406343999597222</c:v>
                </c:pt>
                <c:pt idx="3">
                  <c:v>38.371128791589811</c:v>
                </c:pt>
                <c:pt idx="4">
                  <c:v>39.211303451727453</c:v>
                </c:pt>
                <c:pt idx="5">
                  <c:v>39.808331033403185</c:v>
                </c:pt>
                <c:pt idx="6">
                  <c:v>48.926087131425597</c:v>
                </c:pt>
                <c:pt idx="7">
                  <c:v>30.958596340564458</c:v>
                </c:pt>
                <c:pt idx="8">
                  <c:v>0</c:v>
                </c:pt>
              </c:numCache>
            </c:numRef>
          </c:val>
        </c:ser>
        <c:ser>
          <c:idx val="5"/>
          <c:order val="6"/>
          <c:tx>
            <c:strRef>
              <c:f>'PMM Bridge'!$AE$78</c:f>
              <c:strCache>
                <c:ptCount val="1"/>
                <c:pt idx="0">
                  <c:v>Var-</c:v>
                </c:pt>
              </c:strCache>
            </c:strRef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</c:dPt>
          <c:val>
            <c:numRef>
              <c:f>'PMM Bridge'!$AF$78:$AN$78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27.258131373103865</c:v>
                </c:pt>
                <c:pt idx="8">
                  <c:v>0</c:v>
                </c:pt>
              </c:numCache>
            </c:numRef>
          </c:val>
        </c:ser>
        <c:ser>
          <c:idx val="6"/>
          <c:order val="7"/>
          <c:tx>
            <c:strRef>
              <c:f>'PMM Bridge'!$AE$77</c:f>
              <c:strCache>
                <c:ptCount val="1"/>
                <c:pt idx="0">
                  <c:v>Var+</c:v>
                </c:pt>
              </c:strCache>
            </c:strRef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val>
            <c:numRef>
              <c:f>'PMM Bridge'!$AF$77:$AN$77</c:f>
              <c:numCache>
                <c:formatCode>General</c:formatCode>
                <c:ptCount val="9"/>
                <c:pt idx="0">
                  <c:v>1.8504662022460761</c:v>
                </c:pt>
                <c:pt idx="1">
                  <c:v>27.555877797351151</c:v>
                </c:pt>
                <c:pt idx="2">
                  <c:v>8.9647847919925852</c:v>
                </c:pt>
                <c:pt idx="3">
                  <c:v>0.84017466013764741</c:v>
                </c:pt>
                <c:pt idx="4">
                  <c:v>0.59702758167573444</c:v>
                </c:pt>
                <c:pt idx="5">
                  <c:v>9.1177560980224168</c:v>
                </c:pt>
                <c:pt idx="6">
                  <c:v>9.2906405822427303</c:v>
                </c:pt>
                <c:pt idx="7">
                  <c:v>0</c:v>
                </c:pt>
                <c:pt idx="8">
                  <c:v>30.961573657922948</c:v>
                </c:pt>
              </c:numCache>
            </c:numRef>
          </c:val>
        </c:ser>
        <c:ser>
          <c:idx val="7"/>
          <c:order val="8"/>
          <c:tx>
            <c:strRef>
              <c:f>'PMM Bridge'!$AE$76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Bridge'!$AF$76:$AN$76</c:f>
              <c:numCache>
                <c:formatCode>General</c:formatCode>
                <c:ptCount val="9"/>
                <c:pt idx="0">
                  <c:v>81.17445609737959</c:v>
                </c:pt>
                <c:pt idx="1">
                  <c:v>53.618578300028432</c:v>
                </c:pt>
                <c:pt idx="2">
                  <c:v>44.653793508035847</c:v>
                </c:pt>
                <c:pt idx="3">
                  <c:v>43.813618847898198</c:v>
                </c:pt>
                <c:pt idx="4">
                  <c:v>43.216591266222473</c:v>
                </c:pt>
                <c:pt idx="5">
                  <c:v>34.098835168200054</c:v>
                </c:pt>
                <c:pt idx="6">
                  <c:v>24.808194585957331</c:v>
                </c:pt>
                <c:pt idx="7">
                  <c:v>24.808194585957331</c:v>
                </c:pt>
                <c:pt idx="8">
                  <c:v>52.06334864170271</c:v>
                </c:pt>
              </c:numCache>
            </c:numRef>
          </c:val>
        </c:ser>
        <c:ser>
          <c:idx val="8"/>
          <c:order val="9"/>
          <c:tx>
            <c:strRef>
              <c:f>'PMM Bridge'!$AE$75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Bridge'!$AF$75:$AN$75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5367168"/>
        <c:axId val="225368704"/>
      </c:barChart>
      <c:scatterChart>
        <c:scatterStyle val="lineMarker"/>
        <c:varyColors val="0"/>
        <c:ser>
          <c:idx val="13"/>
          <c:order val="0"/>
          <c:tx>
            <c:v>ZoomVal</c:v>
          </c:tx>
          <c:spPr>
            <a:ln w="25400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Bridge'!$AU$31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chemeClr val="bg1"/>
              </a:solidFill>
              <a:ln w="12700">
                <a:solidFill>
                  <a:srgbClr val="FF0000"/>
                </a:solidFill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Bridge'!$AV$76</c:f>
              <c:numCache>
                <c:formatCode>General</c:formatCode>
                <c:ptCount val="1"/>
                <c:pt idx="0">
                  <c:v>-8.4875388501871729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'PMM Bridge'!$AE$63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13.83800505243325</c:v>
                </c:pt>
                <c:pt idx="1">
                  <c:v>41.393882849784397</c:v>
                </c:pt>
                <c:pt idx="2">
                  <c:v>50.358667641776975</c:v>
                </c:pt>
                <c:pt idx="3">
                  <c:v>51.198842301914624</c:v>
                </c:pt>
                <c:pt idx="4">
                  <c:v>51.795869883590363</c:v>
                </c:pt>
                <c:pt idx="5">
                  <c:v>60.913625981612782</c:v>
                </c:pt>
                <c:pt idx="6">
                  <c:v>70.204266563855498</c:v>
                </c:pt>
                <c:pt idx="7">
                  <c:v>35.946135190751633</c:v>
                </c:pt>
                <c:pt idx="8">
                  <c:v>42.946135190751626</c:v>
                </c:pt>
              </c:numCache>
            </c:numRef>
          </c:yVal>
          <c:smooth val="0"/>
        </c:ser>
        <c:ser>
          <c:idx val="10"/>
          <c:order val="11"/>
          <c:tx>
            <c:strRef>
              <c:f>'PMM Bridge'!$AE$64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13.83800505243325</c:v>
                </c:pt>
                <c:pt idx="1">
                  <c:v>41.393882849784397</c:v>
                </c:pt>
                <c:pt idx="2">
                  <c:v>50.358667641776975</c:v>
                </c:pt>
                <c:pt idx="3">
                  <c:v>51.198842301914624</c:v>
                </c:pt>
                <c:pt idx="4">
                  <c:v>51.795869883590363</c:v>
                </c:pt>
                <c:pt idx="5">
                  <c:v>60.913625981612782</c:v>
                </c:pt>
                <c:pt idx="6">
                  <c:v>70.204266563855498</c:v>
                </c:pt>
                <c:pt idx="7">
                  <c:v>35.946135190751633</c:v>
                </c:pt>
                <c:pt idx="8">
                  <c:v>42.946135190751626</c:v>
                </c:pt>
              </c:numCache>
            </c:numRef>
          </c:yVal>
          <c:smooth val="0"/>
        </c:ser>
        <c:ser>
          <c:idx val="11"/>
          <c:order val="12"/>
          <c:tx>
            <c:strRef>
              <c:f>'PMM Bridge'!$AE$66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Bridge'!$AF$47</c:f>
                  <c:strCache>
                    <c:ptCount val="1"/>
                    <c:pt idx="0">
                      <c:v>Budget V current N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tx>
                <c:strRef>
                  <c:f>'PMM Bridge'!$AG$47</c:f>
                  <c:strCache>
                    <c:ptCount val="1"/>
                    <c:pt idx="0">
                      <c:v>ROA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tx>
                <c:strRef>
                  <c:f>'PMM Bridge'!$AH$47</c:f>
                  <c:strCache>
                    <c:ptCount val="1"/>
                    <c:pt idx="0">
                      <c:v>D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tx>
                <c:strRef>
                  <c:f>'PMM Bridge'!$AI$47</c:f>
                  <c:strCache>
                    <c:ptCount val="1"/>
                    <c:pt idx="0">
                      <c:v>M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tx>
                <c:strRef>
                  <c:f>'PMM Bridge'!$AJ$47</c:f>
                  <c:strCache>
                    <c:ptCount val="1"/>
                    <c:pt idx="0">
                      <c:v>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tx>
                <c:strRef>
                  <c:f>'PMM Bridge'!$AK$47</c:f>
                  <c:strCache>
                    <c:ptCount val="1"/>
                    <c:pt idx="0">
                      <c:v>F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tx>
                <c:strRef>
                  <c:f>'PMM Bridge'!$AL$47</c:f>
                  <c:strCache>
                    <c:ptCount val="1"/>
                    <c:pt idx="0">
                      <c:v>O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tx>
                <c:strRef>
                  <c:f>'PMM Bridge'!$AM$47</c:f>
                  <c:strCache>
                    <c:ptCount val="1"/>
                    <c:pt idx="0">
                      <c:v>Vol.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tx>
                <c:strRef>
                  <c:f>'PMM Bridge'!$AN$47</c:f>
                  <c:strCache>
                    <c:ptCount val="1"/>
                    <c:pt idx="0">
                      <c:v>Actual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yVal>
            <c:numRef>
              <c:f>'PMM Bridge'!$AF$87:$AN$87</c:f>
              <c:numCache>
                <c:formatCode>General</c:formatCode>
                <c:ptCount val="9"/>
                <c:pt idx="0">
                  <c:v>19.088005052433253</c:v>
                </c:pt>
                <c:pt idx="1">
                  <c:v>46.643882849784404</c:v>
                </c:pt>
                <c:pt idx="2">
                  <c:v>55.608667641776989</c:v>
                </c:pt>
                <c:pt idx="3">
                  <c:v>56.448842301914624</c:v>
                </c:pt>
                <c:pt idx="4">
                  <c:v>57.045869883590363</c:v>
                </c:pt>
                <c:pt idx="5">
                  <c:v>66.163625981612782</c:v>
                </c:pt>
                <c:pt idx="6">
                  <c:v>75.454266563855498</c:v>
                </c:pt>
                <c:pt idx="7">
                  <c:v>30.696135190751626</c:v>
                </c:pt>
                <c:pt idx="8">
                  <c:v>48.196135190751633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67168"/>
        <c:axId val="225368704"/>
      </c:scatterChart>
      <c:catAx>
        <c:axId val="225335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25336704"/>
        <c:crosses val="autoZero"/>
        <c:auto val="1"/>
        <c:lblAlgn val="ctr"/>
        <c:lblOffset val="100"/>
        <c:noMultiLvlLbl val="0"/>
      </c:catAx>
      <c:valAx>
        <c:axId val="22533670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5335168"/>
        <c:crosses val="autoZero"/>
        <c:crossBetween val="between"/>
      </c:valAx>
      <c:catAx>
        <c:axId val="225367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25368704"/>
        <c:crosses val="autoZero"/>
        <c:auto val="1"/>
        <c:lblAlgn val="ctr"/>
        <c:lblOffset val="100"/>
        <c:noMultiLvlLbl val="0"/>
      </c:catAx>
      <c:valAx>
        <c:axId val="225368704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53671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'PMM Bridge'!$AE$84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Bridge'!$AF$84:$AN$84</c:f>
              <c:numCache>
                <c:formatCode>General</c:formatCode>
                <c:ptCount val="9"/>
                <c:pt idx="0">
                  <c:v>8.3177880731834293</c:v>
                </c:pt>
                <c:pt idx="1">
                  <c:v>8.3177880731834293</c:v>
                </c:pt>
                <c:pt idx="2">
                  <c:v>8.3177880731834293</c:v>
                </c:pt>
                <c:pt idx="3">
                  <c:v>8.3177880731834293</c:v>
                </c:pt>
                <c:pt idx="4">
                  <c:v>8.3177880731834293</c:v>
                </c:pt>
                <c:pt idx="5">
                  <c:v>8.3177880731834293</c:v>
                </c:pt>
                <c:pt idx="6">
                  <c:v>8.3177880731834293</c:v>
                </c:pt>
                <c:pt idx="7">
                  <c:v>8.3177880731834293</c:v>
                </c:pt>
                <c:pt idx="8">
                  <c:v>8.3177880731834293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6567680"/>
        <c:axId val="226569216"/>
      </c:barChart>
      <c:barChart>
        <c:barDir val="col"/>
        <c:grouping val="stacked"/>
        <c:varyColors val="0"/>
        <c:ser>
          <c:idx val="3"/>
          <c:order val="3"/>
          <c:tx>
            <c:strRef>
              <c:f>'PMM Bridge'!$AE$80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Bridge'!$AF$80:$AN$80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ser>
          <c:idx val="4"/>
          <c:order val="4"/>
          <c:tx>
            <c:strRef>
              <c:f>'PMM Bridge'!$AE$79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Bridge'!$AF$79:$AN$79</c:f>
              <c:numCache>
                <c:formatCode>General</c:formatCode>
                <c:ptCount val="9"/>
                <c:pt idx="0">
                  <c:v>0</c:v>
                </c:pt>
                <c:pt idx="1">
                  <c:v>1.8504662022460785</c:v>
                </c:pt>
                <c:pt idx="2">
                  <c:v>29.406343999597222</c:v>
                </c:pt>
                <c:pt idx="3">
                  <c:v>38.371128791589811</c:v>
                </c:pt>
                <c:pt idx="4">
                  <c:v>39.211303451727453</c:v>
                </c:pt>
                <c:pt idx="5">
                  <c:v>39.808331033403185</c:v>
                </c:pt>
                <c:pt idx="6">
                  <c:v>48.926087131425597</c:v>
                </c:pt>
                <c:pt idx="7">
                  <c:v>30.958596340564458</c:v>
                </c:pt>
                <c:pt idx="8">
                  <c:v>0</c:v>
                </c:pt>
              </c:numCache>
            </c:numRef>
          </c:val>
        </c:ser>
        <c:ser>
          <c:idx val="5"/>
          <c:order val="5"/>
          <c:tx>
            <c:strRef>
              <c:f>'PMM Bridge'!$AE$78</c:f>
              <c:strCache>
                <c:ptCount val="1"/>
                <c:pt idx="0">
                  <c:v>Var-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85000"/>
                      <a:shade val="30000"/>
                      <a:satMod val="115000"/>
                    </a:schemeClr>
                  </a:gs>
                  <a:gs pos="50000">
                    <a:schemeClr val="bg1">
                      <a:lumMod val="8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8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solidFill>
                  <a:schemeClr val="tx1"/>
                </a:solidFill>
              </a:ln>
            </c:spPr>
          </c:dPt>
          <c:val>
            <c:numRef>
              <c:f>'PMM Bridge'!$AF$78:$AN$78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27.258131373103865</c:v>
                </c:pt>
                <c:pt idx="8">
                  <c:v>0</c:v>
                </c:pt>
              </c:numCache>
            </c:numRef>
          </c:val>
        </c:ser>
        <c:ser>
          <c:idx val="6"/>
          <c:order val="6"/>
          <c:tx>
            <c:strRef>
              <c:f>'PMM Bridge'!$AE$77</c:f>
              <c:strCache>
                <c:ptCount val="1"/>
                <c:pt idx="0">
                  <c:v>Var+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val>
            <c:numRef>
              <c:f>'PMM Bridge'!$AF$77:$AN$77</c:f>
              <c:numCache>
                <c:formatCode>General</c:formatCode>
                <c:ptCount val="9"/>
                <c:pt idx="0">
                  <c:v>1.8504662022460761</c:v>
                </c:pt>
                <c:pt idx="1">
                  <c:v>27.555877797351151</c:v>
                </c:pt>
                <c:pt idx="2">
                  <c:v>8.9647847919925852</c:v>
                </c:pt>
                <c:pt idx="3">
                  <c:v>0.84017466013764741</c:v>
                </c:pt>
                <c:pt idx="4">
                  <c:v>0.59702758167573444</c:v>
                </c:pt>
                <c:pt idx="5">
                  <c:v>9.1177560980224168</c:v>
                </c:pt>
                <c:pt idx="6">
                  <c:v>9.2906405822427303</c:v>
                </c:pt>
                <c:pt idx="7">
                  <c:v>0</c:v>
                </c:pt>
                <c:pt idx="8">
                  <c:v>30.961573657922948</c:v>
                </c:pt>
              </c:numCache>
            </c:numRef>
          </c:val>
        </c:ser>
        <c:ser>
          <c:idx val="7"/>
          <c:order val="7"/>
          <c:tx>
            <c:strRef>
              <c:f>'PMM Bridge'!$AE$76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Bridge'!$AF$76:$AN$76</c:f>
              <c:numCache>
                <c:formatCode>General</c:formatCode>
                <c:ptCount val="9"/>
                <c:pt idx="0">
                  <c:v>81.17445609737959</c:v>
                </c:pt>
                <c:pt idx="1">
                  <c:v>53.618578300028432</c:v>
                </c:pt>
                <c:pt idx="2">
                  <c:v>44.653793508035847</c:v>
                </c:pt>
                <c:pt idx="3">
                  <c:v>43.813618847898198</c:v>
                </c:pt>
                <c:pt idx="4">
                  <c:v>43.216591266222473</c:v>
                </c:pt>
                <c:pt idx="5">
                  <c:v>34.098835168200054</c:v>
                </c:pt>
                <c:pt idx="6">
                  <c:v>24.808194585957331</c:v>
                </c:pt>
                <c:pt idx="7">
                  <c:v>24.808194585957331</c:v>
                </c:pt>
                <c:pt idx="8">
                  <c:v>52.06334864170271</c:v>
                </c:pt>
              </c:numCache>
            </c:numRef>
          </c:val>
        </c:ser>
        <c:ser>
          <c:idx val="8"/>
          <c:order val="8"/>
          <c:tx>
            <c:strRef>
              <c:f>'PMM Bridge'!$AE$75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Bridge'!$AF$75:$AN$75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6611968"/>
        <c:axId val="226613504"/>
      </c:barChart>
      <c:scatterChart>
        <c:scatterStyle val="lineMarker"/>
        <c:varyColors val="0"/>
        <c:ser>
          <c:idx val="12"/>
          <c:order val="0"/>
          <c:tx>
            <c:strRef>
              <c:f>'PMM Bridge'!$AE$68</c:f>
              <c:strCache>
                <c:ptCount val="1"/>
                <c:pt idx="0">
                  <c:v>Water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'PMM Bridge'!$AF$69:$AU$69</c:f>
              <c:numCache>
                <c:formatCode>0.00</c:formatCode>
                <c:ptCount val="16"/>
                <c:pt idx="0">
                  <c:v>0.6</c:v>
                </c:pt>
                <c:pt idx="1">
                  <c:v>1.6</c:v>
                </c:pt>
                <c:pt idx="2">
                  <c:v>1.6</c:v>
                </c:pt>
                <c:pt idx="3">
                  <c:v>2.6</c:v>
                </c:pt>
                <c:pt idx="4">
                  <c:v>2.6</c:v>
                </c:pt>
                <c:pt idx="5">
                  <c:v>3.6</c:v>
                </c:pt>
                <c:pt idx="6">
                  <c:v>3.6</c:v>
                </c:pt>
                <c:pt idx="7">
                  <c:v>4.5999999999999996</c:v>
                </c:pt>
                <c:pt idx="8">
                  <c:v>4.5999999999999996</c:v>
                </c:pt>
                <c:pt idx="9">
                  <c:v>5.6</c:v>
                </c:pt>
                <c:pt idx="10">
                  <c:v>5.6</c:v>
                </c:pt>
                <c:pt idx="11">
                  <c:v>6.6</c:v>
                </c:pt>
                <c:pt idx="12">
                  <c:v>6.6</c:v>
                </c:pt>
                <c:pt idx="13">
                  <c:v>7.6</c:v>
                </c:pt>
                <c:pt idx="14">
                  <c:v>7.6</c:v>
                </c:pt>
                <c:pt idx="15">
                  <c:v>8.6</c:v>
                </c:pt>
              </c:numCache>
            </c:numRef>
          </c:xVal>
          <c:yVal>
            <c:numRef>
              <c:f>'PMM Bridge'!$AF$90:$AU$90</c:f>
              <c:numCache>
                <c:formatCode>General</c:formatCode>
                <c:ptCount val="16"/>
                <c:pt idx="0">
                  <c:v>10.33800505243325</c:v>
                </c:pt>
                <c:pt idx="1">
                  <c:v>10.33800505243325</c:v>
                </c:pt>
                <c:pt idx="2">
                  <c:v>37.893882849784397</c:v>
                </c:pt>
                <c:pt idx="3">
                  <c:v>37.893882849784397</c:v>
                </c:pt>
                <c:pt idx="4">
                  <c:v>46.858667641776982</c:v>
                </c:pt>
                <c:pt idx="5">
                  <c:v>46.858667641776982</c:v>
                </c:pt>
                <c:pt idx="6">
                  <c:v>47.698842301914624</c:v>
                </c:pt>
                <c:pt idx="7">
                  <c:v>47.698842301914624</c:v>
                </c:pt>
                <c:pt idx="8">
                  <c:v>48.295869883590356</c:v>
                </c:pt>
                <c:pt idx="9">
                  <c:v>48.295869883590356</c:v>
                </c:pt>
                <c:pt idx="10">
                  <c:v>57.413625981612768</c:v>
                </c:pt>
                <c:pt idx="11">
                  <c:v>57.413625981612768</c:v>
                </c:pt>
                <c:pt idx="12">
                  <c:v>66.704266563855498</c:v>
                </c:pt>
                <c:pt idx="13">
                  <c:v>66.704266563855498</c:v>
                </c:pt>
                <c:pt idx="14">
                  <c:v>39.446135190751633</c:v>
                </c:pt>
                <c:pt idx="15">
                  <c:v>39.446135190751633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67680"/>
        <c:axId val="226569216"/>
      </c:scatterChart>
      <c:scatterChart>
        <c:scatterStyle val="lineMarker"/>
        <c:varyColors val="0"/>
        <c:ser>
          <c:idx val="13"/>
          <c:order val="1"/>
          <c:tx>
            <c:v>ZoomVal</c:v>
          </c:tx>
          <c:spPr>
            <a:ln w="25400">
              <a:noFill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Bridge'!$AV$76</c:f>
              <c:numCache>
                <c:formatCode>General</c:formatCode>
                <c:ptCount val="1"/>
                <c:pt idx="0">
                  <c:v>-8.4875388501871729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'PMM Bridge'!$AE$63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13.83800505243325</c:v>
                </c:pt>
                <c:pt idx="1">
                  <c:v>41.393882849784397</c:v>
                </c:pt>
                <c:pt idx="2">
                  <c:v>50.358667641776975</c:v>
                </c:pt>
                <c:pt idx="3">
                  <c:v>51.198842301914624</c:v>
                </c:pt>
                <c:pt idx="4">
                  <c:v>51.795869883590363</c:v>
                </c:pt>
                <c:pt idx="5">
                  <c:v>60.913625981612782</c:v>
                </c:pt>
                <c:pt idx="6">
                  <c:v>70.204266563855498</c:v>
                </c:pt>
                <c:pt idx="7">
                  <c:v>35.946135190751633</c:v>
                </c:pt>
                <c:pt idx="8">
                  <c:v>42.946135190751626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'PMM Bridge'!$AE$64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Bridge'!$AF$86:$AN$86</c:f>
              <c:numCache>
                <c:formatCode>General</c:formatCode>
                <c:ptCount val="9"/>
                <c:pt idx="0">
                  <c:v>13.83800505243325</c:v>
                </c:pt>
                <c:pt idx="1">
                  <c:v>41.393882849784397</c:v>
                </c:pt>
                <c:pt idx="2">
                  <c:v>50.358667641776975</c:v>
                </c:pt>
                <c:pt idx="3">
                  <c:v>51.198842301914624</c:v>
                </c:pt>
                <c:pt idx="4">
                  <c:v>51.795869883590363</c:v>
                </c:pt>
                <c:pt idx="5">
                  <c:v>60.913625981612782</c:v>
                </c:pt>
                <c:pt idx="6">
                  <c:v>70.204266563855498</c:v>
                </c:pt>
                <c:pt idx="7">
                  <c:v>35.946135190751633</c:v>
                </c:pt>
                <c:pt idx="8">
                  <c:v>42.946135190751626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'PMM Bridge'!$AE$66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Bridge'!$AF$87:$AN$87</c:f>
              <c:numCache>
                <c:formatCode>General</c:formatCode>
                <c:ptCount val="9"/>
                <c:pt idx="0">
                  <c:v>19.088005052433253</c:v>
                </c:pt>
                <c:pt idx="1">
                  <c:v>46.643882849784404</c:v>
                </c:pt>
                <c:pt idx="2">
                  <c:v>55.608667641776989</c:v>
                </c:pt>
                <c:pt idx="3">
                  <c:v>56.448842301914624</c:v>
                </c:pt>
                <c:pt idx="4">
                  <c:v>57.045869883590363</c:v>
                </c:pt>
                <c:pt idx="5">
                  <c:v>66.163625981612782</c:v>
                </c:pt>
                <c:pt idx="6">
                  <c:v>75.454266563855498</c:v>
                </c:pt>
                <c:pt idx="7">
                  <c:v>30.696135190751626</c:v>
                </c:pt>
                <c:pt idx="8">
                  <c:v>48.196135190751633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11968"/>
        <c:axId val="226613504"/>
      </c:scatterChart>
      <c:catAx>
        <c:axId val="226567680"/>
        <c:scaling>
          <c:orientation val="minMax"/>
        </c:scaling>
        <c:delete val="1"/>
        <c:axPos val="b"/>
        <c:majorTickMark val="out"/>
        <c:minorTickMark val="none"/>
        <c:tickLblPos val="nextTo"/>
        <c:crossAx val="226569216"/>
        <c:crosses val="autoZero"/>
        <c:auto val="1"/>
        <c:lblAlgn val="ctr"/>
        <c:lblOffset val="100"/>
        <c:noMultiLvlLbl val="0"/>
      </c:catAx>
      <c:valAx>
        <c:axId val="22656921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6567680"/>
        <c:crosses val="autoZero"/>
        <c:crossBetween val="between"/>
      </c:valAx>
      <c:catAx>
        <c:axId val="226611968"/>
        <c:scaling>
          <c:orientation val="minMax"/>
        </c:scaling>
        <c:delete val="1"/>
        <c:axPos val="b"/>
        <c:majorTickMark val="out"/>
        <c:minorTickMark val="none"/>
        <c:tickLblPos val="nextTo"/>
        <c:crossAx val="226613504"/>
        <c:crosses val="autoZero"/>
        <c:auto val="1"/>
        <c:lblAlgn val="ctr"/>
        <c:lblOffset val="100"/>
        <c:noMultiLvlLbl val="0"/>
      </c:catAx>
      <c:valAx>
        <c:axId val="226613504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66119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'PMM Bridge'!$AY$84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Bridge'!$AZ$84:$BH$84</c:f>
              <c:numCache>
                <c:formatCode>General</c:formatCode>
                <c:ptCount val="9"/>
                <c:pt idx="0">
                  <c:v>8.3177880731834293</c:v>
                </c:pt>
                <c:pt idx="1">
                  <c:v>8.3177880731834293</c:v>
                </c:pt>
                <c:pt idx="2">
                  <c:v>8.3177880731834293</c:v>
                </c:pt>
                <c:pt idx="3">
                  <c:v>8.3177880731834293</c:v>
                </c:pt>
                <c:pt idx="4">
                  <c:v>8.3177880731834293</c:v>
                </c:pt>
                <c:pt idx="5">
                  <c:v>8.3177880731834293</c:v>
                </c:pt>
                <c:pt idx="6">
                  <c:v>8.3177880731834293</c:v>
                </c:pt>
                <c:pt idx="7">
                  <c:v>8.3177880731834293</c:v>
                </c:pt>
                <c:pt idx="8">
                  <c:v>8.3177880731834293</c:v>
                </c:pt>
              </c:numCache>
            </c:numRef>
          </c:val>
        </c:ser>
        <c:ser>
          <c:idx val="1"/>
          <c:order val="2"/>
          <c:tx>
            <c:strRef>
              <c:f>'PMM Bridge'!$AY$83</c:f>
              <c:strCache>
                <c:ptCount val="1"/>
                <c:pt idx="0">
                  <c:v>axis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val>
            <c:numRef>
              <c:f>'PMM Bridge'!$AZ$83:$BH$83</c:f>
              <c:numCache>
                <c:formatCode>General</c:formatCode>
                <c:ptCount val="9"/>
                <c:pt idx="0">
                  <c:v>0.33950155400748694</c:v>
                </c:pt>
                <c:pt idx="1">
                  <c:v>0.33950155400748694</c:v>
                </c:pt>
                <c:pt idx="2">
                  <c:v>0.33950155400748694</c:v>
                </c:pt>
                <c:pt idx="3">
                  <c:v>0.33950155400748694</c:v>
                </c:pt>
                <c:pt idx="4">
                  <c:v>0.33950155400748694</c:v>
                </c:pt>
                <c:pt idx="5">
                  <c:v>0.33950155400748694</c:v>
                </c:pt>
                <c:pt idx="6">
                  <c:v>0.33950155400748694</c:v>
                </c:pt>
                <c:pt idx="7">
                  <c:v>0.33950155400748694</c:v>
                </c:pt>
                <c:pt idx="8">
                  <c:v>0.33950155400748694</c:v>
                </c:pt>
              </c:numCache>
            </c:numRef>
          </c:val>
        </c:ser>
        <c:ser>
          <c:idx val="0"/>
          <c:order val="3"/>
          <c:tx>
            <c:strRef>
              <c:f>'PMM Bridge'!$AY$82</c:f>
              <c:strCache>
                <c:ptCount val="1"/>
                <c:pt idx="0">
                  <c:v>axis+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Bridge'!$AZ$82:$BH$82</c:f>
              <c:numCache>
                <c:formatCode>General</c:formatCode>
                <c:ptCount val="9"/>
                <c:pt idx="0">
                  <c:v>91.342710372809094</c:v>
                </c:pt>
                <c:pt idx="1">
                  <c:v>91.342710372809094</c:v>
                </c:pt>
                <c:pt idx="2">
                  <c:v>91.342710372809094</c:v>
                </c:pt>
                <c:pt idx="3">
                  <c:v>91.342710372809094</c:v>
                </c:pt>
                <c:pt idx="4">
                  <c:v>91.342710372809094</c:v>
                </c:pt>
                <c:pt idx="5">
                  <c:v>91.342710372809094</c:v>
                </c:pt>
                <c:pt idx="6">
                  <c:v>91.342710372809094</c:v>
                </c:pt>
                <c:pt idx="7">
                  <c:v>91.342710372809094</c:v>
                </c:pt>
                <c:pt idx="8">
                  <c:v>91.342710372809094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6680192"/>
        <c:axId val="226694272"/>
      </c:barChart>
      <c:barChart>
        <c:barDir val="col"/>
        <c:grouping val="stacked"/>
        <c:varyColors val="0"/>
        <c:ser>
          <c:idx val="3"/>
          <c:order val="4"/>
          <c:tx>
            <c:strRef>
              <c:f>'PMM Bridge'!$AY$80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Bridge'!$AZ$80:$BH$80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ser>
          <c:idx val="4"/>
          <c:order val="5"/>
          <c:tx>
            <c:strRef>
              <c:f>'PMM Bridge'!$AY$79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Bridge'!$AZ$79:$BH$79</c:f>
              <c:numCache>
                <c:formatCode>General</c:formatCode>
                <c:ptCount val="9"/>
                <c:pt idx="0">
                  <c:v>0</c:v>
                </c:pt>
                <c:pt idx="1">
                  <c:v>2.7802647204062971</c:v>
                </c:pt>
                <c:pt idx="2">
                  <c:v>55.858936099002719</c:v>
                </c:pt>
                <c:pt idx="3">
                  <c:v>60.044010460370522</c:v>
                </c:pt>
                <c:pt idx="4">
                  <c:v>64.281881393168433</c:v>
                </c:pt>
                <c:pt idx="5">
                  <c:v>69.360585013472871</c:v>
                </c:pt>
                <c:pt idx="6">
                  <c:v>79.929516513636017</c:v>
                </c:pt>
                <c:pt idx="7">
                  <c:v>30.967752907679973</c:v>
                </c:pt>
                <c:pt idx="8">
                  <c:v>0</c:v>
                </c:pt>
              </c:numCache>
            </c:numRef>
          </c:val>
        </c:ser>
        <c:ser>
          <c:idx val="5"/>
          <c:order val="6"/>
          <c:tx>
            <c:strRef>
              <c:f>'PMM Bridge'!$AY$78</c:f>
              <c:strCache>
                <c:ptCount val="1"/>
                <c:pt idx="0">
                  <c:v>Var-</c:v>
                </c:pt>
              </c:strCache>
            </c:strRef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</c:dPt>
          <c:dPt>
            <c:idx val="7"/>
            <c:invertIfNegative val="0"/>
            <c:bubble3D val="0"/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</c:spPr>
          </c:dPt>
          <c:val>
            <c:numRef>
              <c:f>'PMM Bridge'!$AZ$78:$BH$78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52.057169391945678</c:v>
                </c:pt>
                <c:pt idx="8">
                  <c:v>0</c:v>
                </c:pt>
              </c:numCache>
            </c:numRef>
          </c:val>
        </c:ser>
        <c:ser>
          <c:idx val="6"/>
          <c:order val="7"/>
          <c:tx>
            <c:strRef>
              <c:f>'PMM Bridge'!$AY$77</c:f>
              <c:strCache>
                <c:ptCount val="1"/>
                <c:pt idx="0">
                  <c:v>Var+</c:v>
                </c:pt>
              </c:strCache>
            </c:strRef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5400000" scaled="1"/>
              <a:tileRect/>
            </a:gra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dPt>
            <c:idx val="8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50000"/>
                      <a:shade val="30000"/>
                      <a:satMod val="115000"/>
                    </a:schemeClr>
                  </a:gs>
                  <a:gs pos="50000">
                    <a:schemeClr val="bg1">
                      <a:lumMod val="50000"/>
                      <a:shade val="67500"/>
                      <a:satMod val="115000"/>
                    </a:schemeClr>
                  </a:gs>
                  <a:gs pos="100000">
                    <a:schemeClr val="bg1">
                      <a:lumMod val="50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noFill/>
              </a:ln>
            </c:spPr>
          </c:dPt>
          <c:val>
            <c:numRef>
              <c:f>'PMM Bridge'!$AZ$77:$BH$77</c:f>
              <c:numCache>
                <c:formatCode>General</c:formatCode>
                <c:ptCount val="9"/>
                <c:pt idx="0">
                  <c:v>2.7802647204062962</c:v>
                </c:pt>
                <c:pt idx="1">
                  <c:v>53.078671378596411</c:v>
                </c:pt>
                <c:pt idx="2">
                  <c:v>4.1850743613678114</c:v>
                </c:pt>
                <c:pt idx="3">
                  <c:v>4.2378709327979029</c:v>
                </c:pt>
                <c:pt idx="4">
                  <c:v>5.0787036203044522</c:v>
                </c:pt>
                <c:pt idx="5">
                  <c:v>10.568931500163153</c:v>
                </c:pt>
                <c:pt idx="6">
                  <c:v>3.0954057859896285</c:v>
                </c:pt>
                <c:pt idx="7">
                  <c:v>0</c:v>
                </c:pt>
                <c:pt idx="8">
                  <c:v>30.961573657922948</c:v>
                </c:pt>
              </c:numCache>
            </c:numRef>
          </c:val>
        </c:ser>
        <c:ser>
          <c:idx val="7"/>
          <c:order val="8"/>
          <c:tx>
            <c:strRef>
              <c:f>'PMM Bridge'!$AY$76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Bridge'!$AZ$76:$BH$76</c:f>
              <c:numCache>
                <c:formatCode>General</c:formatCode>
                <c:ptCount val="9"/>
                <c:pt idx="0">
                  <c:v>80.244657579219364</c:v>
                </c:pt>
                <c:pt idx="1">
                  <c:v>27.16598620062295</c:v>
                </c:pt>
                <c:pt idx="2">
                  <c:v>22.980911839255132</c:v>
                </c:pt>
                <c:pt idx="3">
                  <c:v>18.743040906457228</c:v>
                </c:pt>
                <c:pt idx="4">
                  <c:v>13.664337286152778</c:v>
                </c:pt>
                <c:pt idx="5">
                  <c:v>3.0954057859896227</c:v>
                </c:pt>
                <c:pt idx="6">
                  <c:v>0</c:v>
                </c:pt>
                <c:pt idx="7">
                  <c:v>0</c:v>
                </c:pt>
                <c:pt idx="8">
                  <c:v>52.06334864170271</c:v>
                </c:pt>
              </c:numCache>
            </c:numRef>
          </c:val>
        </c:ser>
        <c:ser>
          <c:idx val="8"/>
          <c:order val="9"/>
          <c:tx>
            <c:strRef>
              <c:f>'PMM Bridge'!$AY$75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Bridge'!$AZ$75:$BH$75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6695808"/>
        <c:axId val="226701696"/>
      </c:barChart>
      <c:scatterChart>
        <c:scatterStyle val="lineMarker"/>
        <c:varyColors val="0"/>
        <c:ser>
          <c:idx val="13"/>
          <c:order val="0"/>
          <c:tx>
            <c:v>ZoomVal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Bridge'!$BA$31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solidFill>
                <a:schemeClr val="bg1"/>
              </a:solidFill>
              <a:ln w="12700">
                <a:solidFill>
                  <a:srgbClr val="FF0000"/>
                </a:solidFill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Bridge'!$BP$76</c:f>
              <c:numCache>
                <c:formatCode>General</c:formatCode>
                <c:ptCount val="1"/>
                <c:pt idx="0">
                  <c:v>-8.4875388501871729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'PMM Bridge'!$AY$63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14.767803570593468</c:v>
                </c:pt>
                <c:pt idx="1">
                  <c:v>67.846474949189883</c:v>
                </c:pt>
                <c:pt idx="2">
                  <c:v>72.031549310557693</c:v>
                </c:pt>
                <c:pt idx="3">
                  <c:v>76.269420243355597</c:v>
                </c:pt>
                <c:pt idx="4">
                  <c:v>81.348123863660064</c:v>
                </c:pt>
                <c:pt idx="5">
                  <c:v>91.917055363823209</c:v>
                </c:pt>
                <c:pt idx="6">
                  <c:v>95.012461149812836</c:v>
                </c:pt>
                <c:pt idx="7">
                  <c:v>35.955291757867144</c:v>
                </c:pt>
                <c:pt idx="8">
                  <c:v>42.955291757867144</c:v>
                </c:pt>
              </c:numCache>
            </c:numRef>
          </c:yVal>
          <c:smooth val="0"/>
        </c:ser>
        <c:ser>
          <c:idx val="10"/>
          <c:order val="11"/>
          <c:tx>
            <c:strRef>
              <c:f>'PMM Bridge'!$AY$64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14.767803570593468</c:v>
                </c:pt>
                <c:pt idx="1">
                  <c:v>67.846474949189883</c:v>
                </c:pt>
                <c:pt idx="2">
                  <c:v>72.031549310557693</c:v>
                </c:pt>
                <c:pt idx="3">
                  <c:v>76.269420243355597</c:v>
                </c:pt>
                <c:pt idx="4">
                  <c:v>81.348123863660064</c:v>
                </c:pt>
                <c:pt idx="5">
                  <c:v>91.917055363823209</c:v>
                </c:pt>
                <c:pt idx="6">
                  <c:v>95.012461149812836</c:v>
                </c:pt>
                <c:pt idx="7">
                  <c:v>35.955291757867144</c:v>
                </c:pt>
                <c:pt idx="8">
                  <c:v>42.955291757867144</c:v>
                </c:pt>
              </c:numCache>
            </c:numRef>
          </c:yVal>
          <c:smooth val="0"/>
        </c:ser>
        <c:ser>
          <c:idx val="11"/>
          <c:order val="12"/>
          <c:tx>
            <c:strRef>
              <c:f>'PMM Bridge'!$AY$66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'PMM Bridge'!$AZ$47</c:f>
                  <c:strCache>
                    <c:ptCount val="1"/>
                    <c:pt idx="0">
                      <c:v>Actual N-1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tx>
                <c:strRef>
                  <c:f>'PMM Bridge'!$BA$47</c:f>
                  <c:strCache>
                    <c:ptCount val="1"/>
                    <c:pt idx="0">
                      <c:v>ROA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tx>
                <c:strRef>
                  <c:f>'PMM Bridge'!$BB$47</c:f>
                  <c:strCache>
                    <c:ptCount val="1"/>
                    <c:pt idx="0">
                      <c:v>D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tx>
                <c:strRef>
                  <c:f>'PMM Bridge'!$BC$47</c:f>
                  <c:strCache>
                    <c:ptCount val="1"/>
                    <c:pt idx="0">
                      <c:v>M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tx>
                <c:strRef>
                  <c:f>'PMM Bridge'!$BD$47</c:f>
                  <c:strCache>
                    <c:ptCount val="1"/>
                    <c:pt idx="0">
                      <c:v>E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tx>
                <c:strRef>
                  <c:f>'PMM Bridge'!$BE$47</c:f>
                  <c:strCache>
                    <c:ptCount val="1"/>
                    <c:pt idx="0">
                      <c:v>F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tx>
                <c:strRef>
                  <c:f>'PMM Bridge'!$BF$47</c:f>
                  <c:strCache>
                    <c:ptCount val="1"/>
                    <c:pt idx="0">
                      <c:v>O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tx>
                <c:strRef>
                  <c:f>'PMM Bridge'!$BG$47</c:f>
                  <c:strCache>
                    <c:ptCount val="1"/>
                    <c:pt idx="0">
                      <c:v>Vol.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tx>
                <c:strRef>
                  <c:f>'PMM Bridge'!$BH$47</c:f>
                  <c:strCache>
                    <c:ptCount val="1"/>
                    <c:pt idx="0">
                      <c:v>Actual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yVal>
            <c:numRef>
              <c:f>'PMM Bridge'!$AZ$87:$BH$87</c:f>
              <c:numCache>
                <c:formatCode>General</c:formatCode>
                <c:ptCount val="9"/>
                <c:pt idx="0">
                  <c:v>20.017803570593472</c:v>
                </c:pt>
                <c:pt idx="1">
                  <c:v>73.096474949189883</c:v>
                </c:pt>
                <c:pt idx="2">
                  <c:v>77.281549310557693</c:v>
                </c:pt>
                <c:pt idx="3">
                  <c:v>81.519420243355611</c:v>
                </c:pt>
                <c:pt idx="4">
                  <c:v>86.598123863660064</c:v>
                </c:pt>
                <c:pt idx="5">
                  <c:v>97.167055363823209</c:v>
                </c:pt>
                <c:pt idx="6">
                  <c:v>100.26246114981284</c:v>
                </c:pt>
                <c:pt idx="7">
                  <c:v>30.705291757867144</c:v>
                </c:pt>
                <c:pt idx="8">
                  <c:v>48.205291757867144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95808"/>
        <c:axId val="226701696"/>
      </c:scatterChart>
      <c:catAx>
        <c:axId val="226680192"/>
        <c:scaling>
          <c:orientation val="minMax"/>
        </c:scaling>
        <c:delete val="1"/>
        <c:axPos val="b"/>
        <c:majorTickMark val="out"/>
        <c:minorTickMark val="none"/>
        <c:tickLblPos val="nextTo"/>
        <c:crossAx val="226694272"/>
        <c:crosses val="autoZero"/>
        <c:auto val="1"/>
        <c:lblAlgn val="ctr"/>
        <c:lblOffset val="100"/>
        <c:noMultiLvlLbl val="0"/>
      </c:catAx>
      <c:valAx>
        <c:axId val="22669427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6680192"/>
        <c:crosses val="autoZero"/>
        <c:crossBetween val="between"/>
      </c:valAx>
      <c:catAx>
        <c:axId val="226695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26701696"/>
        <c:crosses val="autoZero"/>
        <c:auto val="1"/>
        <c:lblAlgn val="ctr"/>
        <c:lblOffset val="100"/>
        <c:noMultiLvlLbl val="0"/>
      </c:catAx>
      <c:valAx>
        <c:axId val="226701696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66958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'PMM Bridge'!$AY$84</c:f>
              <c:strCache>
                <c:ptCount val="1"/>
                <c:pt idx="0">
                  <c:v>axis-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Bridge'!$AZ$84:$BH$84</c:f>
              <c:numCache>
                <c:formatCode>General</c:formatCode>
                <c:ptCount val="9"/>
                <c:pt idx="0">
                  <c:v>8.3177880731834293</c:v>
                </c:pt>
                <c:pt idx="1">
                  <c:v>8.3177880731834293</c:v>
                </c:pt>
                <c:pt idx="2">
                  <c:v>8.3177880731834293</c:v>
                </c:pt>
                <c:pt idx="3">
                  <c:v>8.3177880731834293</c:v>
                </c:pt>
                <c:pt idx="4">
                  <c:v>8.3177880731834293</c:v>
                </c:pt>
                <c:pt idx="5">
                  <c:v>8.3177880731834293</c:v>
                </c:pt>
                <c:pt idx="6">
                  <c:v>8.3177880731834293</c:v>
                </c:pt>
                <c:pt idx="7">
                  <c:v>8.3177880731834293</c:v>
                </c:pt>
                <c:pt idx="8">
                  <c:v>8.3177880731834293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6777728"/>
        <c:axId val="226779520"/>
      </c:barChart>
      <c:barChart>
        <c:barDir val="col"/>
        <c:grouping val="stacked"/>
        <c:varyColors val="0"/>
        <c:ser>
          <c:idx val="3"/>
          <c:order val="3"/>
          <c:tx>
            <c:strRef>
              <c:f>'PMM Bridge'!$AY$80</c:f>
              <c:strCache>
                <c:ptCount val="1"/>
                <c:pt idx="0">
                  <c:v>Bottom margin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Bridge'!$AZ$80:$BH$80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ser>
          <c:idx val="4"/>
          <c:order val="4"/>
          <c:tx>
            <c:strRef>
              <c:f>'PMM Bridge'!$AY$79</c:f>
              <c:strCache>
                <c:ptCount val="1"/>
                <c:pt idx="0">
                  <c:v>Space-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Bridge'!$AZ$79:$BH$79</c:f>
              <c:numCache>
                <c:formatCode>General</c:formatCode>
                <c:ptCount val="9"/>
                <c:pt idx="0">
                  <c:v>0</c:v>
                </c:pt>
                <c:pt idx="1">
                  <c:v>2.7802647204062971</c:v>
                </c:pt>
                <c:pt idx="2">
                  <c:v>55.858936099002719</c:v>
                </c:pt>
                <c:pt idx="3">
                  <c:v>60.044010460370522</c:v>
                </c:pt>
                <c:pt idx="4">
                  <c:v>64.281881393168433</c:v>
                </c:pt>
                <c:pt idx="5">
                  <c:v>69.360585013472871</c:v>
                </c:pt>
                <c:pt idx="6">
                  <c:v>79.929516513636017</c:v>
                </c:pt>
                <c:pt idx="7">
                  <c:v>30.967752907679973</c:v>
                </c:pt>
                <c:pt idx="8">
                  <c:v>0</c:v>
                </c:pt>
              </c:numCache>
            </c:numRef>
          </c:val>
        </c:ser>
        <c:ser>
          <c:idx val="5"/>
          <c:order val="5"/>
          <c:tx>
            <c:strRef>
              <c:f>'PMM Bridge'!$AY$78</c:f>
              <c:strCache>
                <c:ptCount val="1"/>
                <c:pt idx="0">
                  <c:v>Var-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85000"/>
                      <a:shade val="30000"/>
                      <a:satMod val="115000"/>
                    </a:schemeClr>
                  </a:gs>
                  <a:gs pos="50000">
                    <a:schemeClr val="bg1">
                      <a:lumMod val="8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85000"/>
                      <a:shade val="100000"/>
                      <a:satMod val="115000"/>
                    </a:schemeClr>
                  </a:gs>
                </a:gsLst>
                <a:lin ang="5400000" scaled="1"/>
                <a:tileRect/>
              </a:gradFill>
              <a:ln>
                <a:solidFill>
                  <a:schemeClr val="tx1"/>
                </a:solidFill>
              </a:ln>
            </c:spPr>
          </c:dPt>
          <c:val>
            <c:numRef>
              <c:f>'PMM Bridge'!$AZ$78:$BH$78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52.057169391945678</c:v>
                </c:pt>
                <c:pt idx="8">
                  <c:v>0</c:v>
                </c:pt>
              </c:numCache>
            </c:numRef>
          </c:val>
        </c:ser>
        <c:ser>
          <c:idx val="6"/>
          <c:order val="6"/>
          <c:tx>
            <c:strRef>
              <c:f>'PMM Bridge'!$AY$77</c:f>
              <c:strCache>
                <c:ptCount val="1"/>
                <c:pt idx="0">
                  <c:v>Var+</c:v>
                </c:pt>
              </c:strCache>
            </c:strRef>
          </c:tx>
          <c:spPr>
            <a:noFill/>
            <a:ln>
              <a:solidFill>
                <a:schemeClr val="tx1"/>
              </a:solidFill>
            </a:ln>
          </c:spPr>
          <c:invertIfNegative val="0"/>
          <c:val>
            <c:numRef>
              <c:f>'PMM Bridge'!$AZ$77:$BH$77</c:f>
              <c:numCache>
                <c:formatCode>General</c:formatCode>
                <c:ptCount val="9"/>
                <c:pt idx="0">
                  <c:v>2.7802647204062962</c:v>
                </c:pt>
                <c:pt idx="1">
                  <c:v>53.078671378596411</c:v>
                </c:pt>
                <c:pt idx="2">
                  <c:v>4.1850743613678114</c:v>
                </c:pt>
                <c:pt idx="3">
                  <c:v>4.2378709327979029</c:v>
                </c:pt>
                <c:pt idx="4">
                  <c:v>5.0787036203044522</c:v>
                </c:pt>
                <c:pt idx="5">
                  <c:v>10.568931500163153</c:v>
                </c:pt>
                <c:pt idx="6">
                  <c:v>3.0954057859896285</c:v>
                </c:pt>
                <c:pt idx="7">
                  <c:v>0</c:v>
                </c:pt>
                <c:pt idx="8">
                  <c:v>30.961573657922948</c:v>
                </c:pt>
              </c:numCache>
            </c:numRef>
          </c:val>
        </c:ser>
        <c:ser>
          <c:idx val="7"/>
          <c:order val="7"/>
          <c:tx>
            <c:strRef>
              <c:f>'PMM Bridge'!$AY$76</c:f>
              <c:strCache>
                <c:ptCount val="1"/>
                <c:pt idx="0">
                  <c:v>Space+</c:v>
                </c:pt>
              </c:strCache>
            </c:strRef>
          </c:tx>
          <c:spPr>
            <a:noFill/>
          </c:spPr>
          <c:invertIfNegative val="0"/>
          <c:val>
            <c:numRef>
              <c:f>'PMM Bridge'!$AZ$76:$BH$76</c:f>
              <c:numCache>
                <c:formatCode>General</c:formatCode>
                <c:ptCount val="9"/>
                <c:pt idx="0">
                  <c:v>80.244657579219364</c:v>
                </c:pt>
                <c:pt idx="1">
                  <c:v>27.16598620062295</c:v>
                </c:pt>
                <c:pt idx="2">
                  <c:v>22.980911839255132</c:v>
                </c:pt>
                <c:pt idx="3">
                  <c:v>18.743040906457228</c:v>
                </c:pt>
                <c:pt idx="4">
                  <c:v>13.664337286152778</c:v>
                </c:pt>
                <c:pt idx="5">
                  <c:v>3.0954057859896227</c:v>
                </c:pt>
                <c:pt idx="6">
                  <c:v>0</c:v>
                </c:pt>
                <c:pt idx="7">
                  <c:v>0</c:v>
                </c:pt>
                <c:pt idx="8">
                  <c:v>52.06334864170271</c:v>
                </c:pt>
              </c:numCache>
            </c:numRef>
          </c:val>
        </c:ser>
        <c:ser>
          <c:idx val="8"/>
          <c:order val="8"/>
          <c:tx>
            <c:strRef>
              <c:f>'PMM Bridge'!$AY$75</c:f>
              <c:strCache>
                <c:ptCount val="1"/>
                <c:pt idx="0">
                  <c:v>Top margin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val>
            <c:numRef>
              <c:f>'PMM Bridge'!$AZ$75:$BH$75</c:f>
              <c:numCache>
                <c:formatCode>General</c:formatCode>
                <c:ptCount val="9"/>
                <c:pt idx="0">
                  <c:v>8.4875388501871729</c:v>
                </c:pt>
                <c:pt idx="1">
                  <c:v>8.4875388501871729</c:v>
                </c:pt>
                <c:pt idx="2">
                  <c:v>8.4875388501871729</c:v>
                </c:pt>
                <c:pt idx="3">
                  <c:v>8.4875388501871729</c:v>
                </c:pt>
                <c:pt idx="4">
                  <c:v>8.4875388501871729</c:v>
                </c:pt>
                <c:pt idx="5">
                  <c:v>8.4875388501871729</c:v>
                </c:pt>
                <c:pt idx="6">
                  <c:v>8.4875388501871729</c:v>
                </c:pt>
                <c:pt idx="7">
                  <c:v>8.4875388501871729</c:v>
                </c:pt>
                <c:pt idx="8">
                  <c:v>8.4875388501871729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6781056"/>
        <c:axId val="226782592"/>
      </c:barChart>
      <c:scatterChart>
        <c:scatterStyle val="lineMarker"/>
        <c:varyColors val="0"/>
        <c:ser>
          <c:idx val="12"/>
          <c:order val="0"/>
          <c:tx>
            <c:strRef>
              <c:f>'PMM Bridge'!$AY$68</c:f>
              <c:strCache>
                <c:ptCount val="1"/>
                <c:pt idx="0">
                  <c:v>Water</c:v>
                </c:pt>
              </c:strCache>
            </c:strRef>
          </c:tx>
          <c:spPr>
            <a:ln w="95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'PMM Bridge'!$AZ$69:$BO$69</c:f>
              <c:numCache>
                <c:formatCode>0.00</c:formatCode>
                <c:ptCount val="16"/>
                <c:pt idx="0">
                  <c:v>0.6</c:v>
                </c:pt>
                <c:pt idx="1">
                  <c:v>1.6</c:v>
                </c:pt>
                <c:pt idx="2">
                  <c:v>1.6</c:v>
                </c:pt>
                <c:pt idx="3">
                  <c:v>2.6</c:v>
                </c:pt>
                <c:pt idx="4">
                  <c:v>2.6</c:v>
                </c:pt>
                <c:pt idx="5">
                  <c:v>3.6</c:v>
                </c:pt>
                <c:pt idx="6">
                  <c:v>3.6</c:v>
                </c:pt>
                <c:pt idx="7">
                  <c:v>4.5999999999999996</c:v>
                </c:pt>
                <c:pt idx="8">
                  <c:v>4.5999999999999996</c:v>
                </c:pt>
                <c:pt idx="9">
                  <c:v>5.6</c:v>
                </c:pt>
                <c:pt idx="10">
                  <c:v>5.6</c:v>
                </c:pt>
                <c:pt idx="11">
                  <c:v>6.6</c:v>
                </c:pt>
                <c:pt idx="12">
                  <c:v>6.6</c:v>
                </c:pt>
                <c:pt idx="13">
                  <c:v>7.6</c:v>
                </c:pt>
                <c:pt idx="14">
                  <c:v>7.6</c:v>
                </c:pt>
                <c:pt idx="15">
                  <c:v>8.6</c:v>
                </c:pt>
              </c:numCache>
            </c:numRef>
          </c:xVal>
          <c:yVal>
            <c:numRef>
              <c:f>'PMM Bridge'!$AZ$90:$BO$90</c:f>
              <c:numCache>
                <c:formatCode>General</c:formatCode>
                <c:ptCount val="16"/>
                <c:pt idx="0">
                  <c:v>11.26780357059347</c:v>
                </c:pt>
                <c:pt idx="1">
                  <c:v>11.26780357059347</c:v>
                </c:pt>
                <c:pt idx="2">
                  <c:v>64.346474949189883</c:v>
                </c:pt>
                <c:pt idx="3">
                  <c:v>64.346474949189883</c:v>
                </c:pt>
                <c:pt idx="4">
                  <c:v>68.531549310557693</c:v>
                </c:pt>
                <c:pt idx="5">
                  <c:v>68.531549310557693</c:v>
                </c:pt>
                <c:pt idx="6">
                  <c:v>72.769420243355597</c:v>
                </c:pt>
                <c:pt idx="7">
                  <c:v>72.769420243355597</c:v>
                </c:pt>
                <c:pt idx="8">
                  <c:v>77.848123863660064</c:v>
                </c:pt>
                <c:pt idx="9">
                  <c:v>77.848123863660064</c:v>
                </c:pt>
                <c:pt idx="10">
                  <c:v>88.417055363823209</c:v>
                </c:pt>
                <c:pt idx="11">
                  <c:v>88.417055363823209</c:v>
                </c:pt>
                <c:pt idx="12">
                  <c:v>91.512461149812836</c:v>
                </c:pt>
                <c:pt idx="13">
                  <c:v>91.512461149812836</c:v>
                </c:pt>
                <c:pt idx="14">
                  <c:v>39.455291757867144</c:v>
                </c:pt>
                <c:pt idx="15">
                  <c:v>39.455291757867144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77728"/>
        <c:axId val="226779520"/>
      </c:scatterChart>
      <c:scatterChart>
        <c:scatterStyle val="lineMarker"/>
        <c:varyColors val="0"/>
        <c:ser>
          <c:idx val="13"/>
          <c:order val="1"/>
          <c:tx>
            <c:v>ZoomVal</c:v>
          </c:tx>
          <c:spPr>
            <a:ln w="28575">
              <a:noFill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Ref>
              <c:f>'PMM Bridge'!$BP$76</c:f>
              <c:numCache>
                <c:formatCode>General</c:formatCode>
                <c:ptCount val="1"/>
                <c:pt idx="0">
                  <c:v>-8.4875388501871729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'PMM Bridge'!$AY$63</c:f>
              <c:strCache>
                <c:ptCount val="1"/>
                <c:pt idx="0">
                  <c:v>Label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14.767803570593468</c:v>
                </c:pt>
                <c:pt idx="1">
                  <c:v>67.846474949189883</c:v>
                </c:pt>
                <c:pt idx="2">
                  <c:v>72.031549310557693</c:v>
                </c:pt>
                <c:pt idx="3">
                  <c:v>76.269420243355597</c:v>
                </c:pt>
                <c:pt idx="4">
                  <c:v>81.348123863660064</c:v>
                </c:pt>
                <c:pt idx="5">
                  <c:v>91.917055363823209</c:v>
                </c:pt>
                <c:pt idx="6">
                  <c:v>95.012461149812836</c:v>
                </c:pt>
                <c:pt idx="7">
                  <c:v>35.955291757867144</c:v>
                </c:pt>
                <c:pt idx="8">
                  <c:v>42.955291757867144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'PMM Bridge'!$AY$64</c:f>
              <c:strCache>
                <c:ptCount val="1"/>
                <c:pt idx="0">
                  <c:v>Label Red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Bridge'!$AZ$86:$BH$86</c:f>
              <c:numCache>
                <c:formatCode>General</c:formatCode>
                <c:ptCount val="9"/>
                <c:pt idx="0">
                  <c:v>14.767803570593468</c:v>
                </c:pt>
                <c:pt idx="1">
                  <c:v>67.846474949189883</c:v>
                </c:pt>
                <c:pt idx="2">
                  <c:v>72.031549310557693</c:v>
                </c:pt>
                <c:pt idx="3">
                  <c:v>76.269420243355597</c:v>
                </c:pt>
                <c:pt idx="4">
                  <c:v>81.348123863660064</c:v>
                </c:pt>
                <c:pt idx="5">
                  <c:v>91.917055363823209</c:v>
                </c:pt>
                <c:pt idx="6">
                  <c:v>95.012461149812836</c:v>
                </c:pt>
                <c:pt idx="7">
                  <c:v>35.955291757867144</c:v>
                </c:pt>
                <c:pt idx="8">
                  <c:v>42.955291757867144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'PMM Bridge'!$AY$66</c:f>
              <c:strCache>
                <c:ptCount val="1"/>
                <c:pt idx="0">
                  <c:v>yTitle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yVal>
            <c:numRef>
              <c:f>'PMM Bridge'!$AZ$87:$BH$87</c:f>
              <c:numCache>
                <c:formatCode>General</c:formatCode>
                <c:ptCount val="9"/>
                <c:pt idx="0">
                  <c:v>20.017803570593472</c:v>
                </c:pt>
                <c:pt idx="1">
                  <c:v>73.096474949189883</c:v>
                </c:pt>
                <c:pt idx="2">
                  <c:v>77.281549310557693</c:v>
                </c:pt>
                <c:pt idx="3">
                  <c:v>81.519420243355611</c:v>
                </c:pt>
                <c:pt idx="4">
                  <c:v>86.598123863660064</c:v>
                </c:pt>
                <c:pt idx="5">
                  <c:v>97.167055363823209</c:v>
                </c:pt>
                <c:pt idx="6">
                  <c:v>100.26246114981284</c:v>
                </c:pt>
                <c:pt idx="7">
                  <c:v>30.705291757867144</c:v>
                </c:pt>
                <c:pt idx="8">
                  <c:v>48.205291757867144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81056"/>
        <c:axId val="226782592"/>
      </c:scatterChart>
      <c:catAx>
        <c:axId val="226777728"/>
        <c:scaling>
          <c:orientation val="minMax"/>
        </c:scaling>
        <c:delete val="1"/>
        <c:axPos val="b"/>
        <c:majorTickMark val="out"/>
        <c:minorTickMark val="none"/>
        <c:tickLblPos val="nextTo"/>
        <c:crossAx val="226779520"/>
        <c:crosses val="autoZero"/>
        <c:auto val="1"/>
        <c:lblAlgn val="ctr"/>
        <c:lblOffset val="100"/>
        <c:noMultiLvlLbl val="0"/>
      </c:catAx>
      <c:valAx>
        <c:axId val="22677952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26777728"/>
        <c:crosses val="autoZero"/>
        <c:crossBetween val="between"/>
      </c:valAx>
      <c:catAx>
        <c:axId val="226781056"/>
        <c:scaling>
          <c:orientation val="minMax"/>
        </c:scaling>
        <c:delete val="1"/>
        <c:axPos val="b"/>
        <c:majorTickMark val="out"/>
        <c:minorTickMark val="none"/>
        <c:tickLblPos val="nextTo"/>
        <c:crossAx val="226782592"/>
        <c:crosses val="autoZero"/>
        <c:auto val="1"/>
        <c:lblAlgn val="ctr"/>
        <c:lblOffset val="100"/>
        <c:noMultiLvlLbl val="0"/>
      </c:catAx>
      <c:valAx>
        <c:axId val="226782592"/>
        <c:scaling>
          <c:orientation val="minMax"/>
          <c:max val="100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678105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3.png"/><Relationship Id="rId5" Type="http://schemas.openxmlformats.org/officeDocument/2006/relationships/image" Target="../media/image5.png"/><Relationship Id="rId4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28</xdr:row>
          <xdr:rowOff>28575</xdr:rowOff>
        </xdr:from>
        <xdr:to>
          <xdr:col>12</xdr:col>
          <xdr:colOff>2667000</xdr:colOff>
          <xdr:row>31</xdr:row>
          <xdr:rowOff>57150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oneCellAnchor>
    <xdr:from>
      <xdr:col>10</xdr:col>
      <xdr:colOff>103077</xdr:colOff>
      <xdr:row>6</xdr:row>
      <xdr:rowOff>33896</xdr:rowOff>
    </xdr:from>
    <xdr:ext cx="1400410" cy="479398"/>
    <xdr:pic>
      <xdr:nvPicPr>
        <xdr:cNvPr id="170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006" y="619003"/>
          <a:ext cx="1400410" cy="479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23</xdr:col>
      <xdr:colOff>139024</xdr:colOff>
      <xdr:row>6</xdr:row>
      <xdr:rowOff>90424</xdr:rowOff>
    </xdr:from>
    <xdr:to>
      <xdr:col>23</xdr:col>
      <xdr:colOff>643162</xdr:colOff>
      <xdr:row>7</xdr:row>
      <xdr:rowOff>181862</xdr:rowOff>
    </xdr:to>
    <xdr:pic>
      <xdr:nvPicPr>
        <xdr:cNvPr id="1715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7131" y="675531"/>
          <a:ext cx="512523" cy="5327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244929</xdr:colOff>
      <xdr:row>251</xdr:row>
      <xdr:rowOff>84364</xdr:rowOff>
    </xdr:from>
    <xdr:to>
      <xdr:col>18</xdr:col>
      <xdr:colOff>1074964</xdr:colOff>
      <xdr:row>273</xdr:row>
      <xdr:rowOff>122464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262616</xdr:colOff>
      <xdr:row>276</xdr:row>
      <xdr:rowOff>33618</xdr:rowOff>
    </xdr:from>
    <xdr:to>
      <xdr:col>19</xdr:col>
      <xdr:colOff>79</xdr:colOff>
      <xdr:row>293</xdr:row>
      <xdr:rowOff>13607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4080</xdr:colOff>
      <xdr:row>295</xdr:row>
      <xdr:rowOff>18566</xdr:rowOff>
    </xdr:from>
    <xdr:to>
      <xdr:col>18</xdr:col>
      <xdr:colOff>1102178</xdr:colOff>
      <xdr:row>313</xdr:row>
      <xdr:rowOff>97488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335</xdr:row>
      <xdr:rowOff>0</xdr:rowOff>
    </xdr:from>
    <xdr:to>
      <xdr:col>19</xdr:col>
      <xdr:colOff>365539</xdr:colOff>
      <xdr:row>354</xdr:row>
      <xdr:rowOff>17318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17318</xdr:colOff>
      <xdr:row>356</xdr:row>
      <xdr:rowOff>29413</xdr:rowOff>
    </xdr:from>
    <xdr:to>
      <xdr:col>19</xdr:col>
      <xdr:colOff>382857</xdr:colOff>
      <xdr:row>375</xdr:row>
      <xdr:rowOff>196102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398</xdr:row>
      <xdr:rowOff>0</xdr:rowOff>
    </xdr:from>
    <xdr:to>
      <xdr:col>19</xdr:col>
      <xdr:colOff>365539</xdr:colOff>
      <xdr:row>417</xdr:row>
      <xdr:rowOff>17318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6112</xdr:colOff>
      <xdr:row>418</xdr:row>
      <xdr:rowOff>369792</xdr:rowOff>
    </xdr:from>
    <xdr:to>
      <xdr:col>19</xdr:col>
      <xdr:colOff>371651</xdr:colOff>
      <xdr:row>438</xdr:row>
      <xdr:rowOff>78440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461</xdr:row>
      <xdr:rowOff>0</xdr:rowOff>
    </xdr:from>
    <xdr:to>
      <xdr:col>19</xdr:col>
      <xdr:colOff>365539</xdr:colOff>
      <xdr:row>480</xdr:row>
      <xdr:rowOff>17318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6112</xdr:colOff>
      <xdr:row>481</xdr:row>
      <xdr:rowOff>369792</xdr:rowOff>
    </xdr:from>
    <xdr:to>
      <xdr:col>19</xdr:col>
      <xdr:colOff>371651</xdr:colOff>
      <xdr:row>501</xdr:row>
      <xdr:rowOff>78440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525</xdr:row>
      <xdr:rowOff>0</xdr:rowOff>
    </xdr:from>
    <xdr:to>
      <xdr:col>19</xdr:col>
      <xdr:colOff>365539</xdr:colOff>
      <xdr:row>544</xdr:row>
      <xdr:rowOff>17318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6112</xdr:colOff>
      <xdr:row>545</xdr:row>
      <xdr:rowOff>369792</xdr:rowOff>
    </xdr:from>
    <xdr:to>
      <xdr:col>19</xdr:col>
      <xdr:colOff>371651</xdr:colOff>
      <xdr:row>565</xdr:row>
      <xdr:rowOff>78440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28</xdr:row>
          <xdr:rowOff>38100</xdr:rowOff>
        </xdr:from>
        <xdr:to>
          <xdr:col>14</xdr:col>
          <xdr:colOff>1495425</xdr:colOff>
          <xdr:row>31</xdr:row>
          <xdr:rowOff>123825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18</xdr:col>
      <xdr:colOff>341691</xdr:colOff>
      <xdr:row>214</xdr:row>
      <xdr:rowOff>37386</xdr:rowOff>
    </xdr:from>
    <xdr:to>
      <xdr:col>19</xdr:col>
      <xdr:colOff>7421</xdr:colOff>
      <xdr:row>245</xdr:row>
      <xdr:rowOff>100886</xdr:rowOff>
    </xdr:to>
    <xdr:sp macro="" textlink="">
      <xdr:nvSpPr>
        <xdr:cNvPr id="17" name="Flèche courbée vers la gauche 16"/>
        <xdr:cNvSpPr/>
      </xdr:nvSpPr>
      <xdr:spPr>
        <a:xfrm>
          <a:off x="11096282" y="10410977"/>
          <a:ext cx="791412" cy="5189682"/>
        </a:xfrm>
        <a:prstGeom prst="curvedLeft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351588</xdr:colOff>
      <xdr:row>214</xdr:row>
      <xdr:rowOff>37386</xdr:rowOff>
    </xdr:from>
    <xdr:to>
      <xdr:col>23</xdr:col>
      <xdr:colOff>294409</xdr:colOff>
      <xdr:row>245</xdr:row>
      <xdr:rowOff>100886</xdr:rowOff>
    </xdr:to>
    <xdr:sp macro="" textlink="">
      <xdr:nvSpPr>
        <xdr:cNvPr id="18" name="Flèche courbée vers la gauche 17"/>
        <xdr:cNvSpPr/>
      </xdr:nvSpPr>
      <xdr:spPr>
        <a:xfrm>
          <a:off x="15054724" y="10410977"/>
          <a:ext cx="670185" cy="5189682"/>
        </a:xfrm>
        <a:prstGeom prst="curvedLeft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22</xdr:row>
      <xdr:rowOff>0</xdr:rowOff>
    </xdr:from>
    <xdr:to>
      <xdr:col>23</xdr:col>
      <xdr:colOff>0</xdr:colOff>
      <xdr:row>22</xdr:row>
      <xdr:rowOff>0</xdr:rowOff>
    </xdr:to>
    <xdr:sp macro="" textlink="">
      <xdr:nvSpPr>
        <xdr:cNvPr id="4" name="Rectangle à coins arrondis 3"/>
        <xdr:cNvSpPr/>
      </xdr:nvSpPr>
      <xdr:spPr>
        <a:xfrm>
          <a:off x="18935700" y="38947725"/>
          <a:ext cx="0" cy="0"/>
        </a:xfrm>
        <a:prstGeom prst="roundRect">
          <a:avLst>
            <a:gd name="adj" fmla="val 1138"/>
          </a:avLst>
        </a:prstGeom>
        <a:solidFill>
          <a:schemeClr val="bg2">
            <a:alpha val="32000"/>
          </a:schemeClr>
        </a:solidFill>
        <a:ln>
          <a:solidFill>
            <a:schemeClr val="bg1">
              <a:lumMod val="85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36000" rIns="36000" rtlCol="0" anchor="ctr" anchorCtr="0"/>
        <a:lstStyle>
          <a:defPPr>
            <a:defRPr lang="fr-FR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82550" indent="-82550" algn="ctr" eaLnBrk="0" hangingPunct="0">
            <a:spcBef>
              <a:spcPts val="300"/>
            </a:spcBef>
            <a:spcAft>
              <a:spcPts val="300"/>
            </a:spcAft>
            <a:buFont typeface="Arial" pitchFamily="34" charset="0"/>
            <a:buChar char="•"/>
            <a:tabLst>
              <a:tab pos="7000875" algn="l"/>
            </a:tabLst>
          </a:pPr>
          <a:r>
            <a:rPr lang="en-US" sz="1600" b="1" kern="0">
              <a:solidFill>
                <a:srgbClr val="FF0000"/>
              </a:solidFill>
              <a:latin typeface="Arial"/>
              <a:ea typeface="Geneva" pitchFamily="126" charset="-128"/>
            </a:rPr>
            <a:t>F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13</xdr:col>
      <xdr:colOff>0</xdr:colOff>
      <xdr:row>12</xdr:row>
      <xdr:rowOff>0</xdr:rowOff>
    </xdr:to>
    <xdr:graphicFrame macro="">
      <xdr:nvGraphicFramePr>
        <xdr:cNvPr id="6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13</xdr:col>
      <xdr:colOff>0</xdr:colOff>
      <xdr:row>12</xdr:row>
      <xdr:rowOff>0</xdr:rowOff>
    </xdr:to>
    <xdr:graphicFrame macro="">
      <xdr:nvGraphicFramePr>
        <xdr:cNvPr id="7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899293</xdr:colOff>
      <xdr:row>11</xdr:row>
      <xdr:rowOff>165344</xdr:rowOff>
    </xdr:from>
    <xdr:to>
      <xdr:col>19</xdr:col>
      <xdr:colOff>0</xdr:colOff>
      <xdr:row>12</xdr:row>
      <xdr:rowOff>0</xdr:rowOff>
    </xdr:to>
    <xdr:graphicFrame macro="">
      <xdr:nvGraphicFramePr>
        <xdr:cNvPr id="9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899293</xdr:colOff>
      <xdr:row>11</xdr:row>
      <xdr:rowOff>165344</xdr:rowOff>
    </xdr:from>
    <xdr:to>
      <xdr:col>19</xdr:col>
      <xdr:colOff>0</xdr:colOff>
      <xdr:row>12</xdr:row>
      <xdr:rowOff>2</xdr:rowOff>
    </xdr:to>
    <xdr:graphicFrame macro="">
      <xdr:nvGraphicFramePr>
        <xdr:cNvPr id="10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869677</xdr:colOff>
      <xdr:row>4</xdr:row>
      <xdr:rowOff>125776</xdr:rowOff>
    </xdr:from>
    <xdr:to>
      <xdr:col>19</xdr:col>
      <xdr:colOff>301571</xdr:colOff>
      <xdr:row>5</xdr:row>
      <xdr:rowOff>187042</xdr:rowOff>
    </xdr:to>
    <xdr:pic>
      <xdr:nvPicPr>
        <xdr:cNvPr id="12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8530" y="966217"/>
          <a:ext cx="384394" cy="397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7</xdr:col>
      <xdr:colOff>11206</xdr:colOff>
      <xdr:row>4</xdr:row>
      <xdr:rowOff>33616</xdr:rowOff>
    </xdr:from>
    <xdr:ext cx="1400410" cy="479398"/>
    <xdr:pic>
      <xdr:nvPicPr>
        <xdr:cNvPr id="13" name="Image 7"/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235" y="874057"/>
          <a:ext cx="1400410" cy="479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6.bin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5" tint="0.79998168889431442"/>
  </sheetPr>
  <dimension ref="A1:G73"/>
  <sheetViews>
    <sheetView showGridLines="0" zoomScaleNormal="55" workbookViewId="0">
      <selection activeCell="C4" sqref="C4"/>
    </sheetView>
  </sheetViews>
  <sheetFormatPr baseColWidth="10" defaultColWidth="11.42578125" defaultRowHeight="15" x14ac:dyDescent="0.25"/>
  <cols>
    <col min="1" max="1" width="48.140625" style="129" customWidth="1"/>
    <col min="2" max="2" width="35.85546875" customWidth="1"/>
    <col min="3" max="3" width="33.85546875" bestFit="1" customWidth="1"/>
    <col min="4" max="4" width="19.28515625" bestFit="1" customWidth="1"/>
    <col min="5" max="5" width="107.140625" bestFit="1" customWidth="1"/>
    <col min="6" max="6" width="125.85546875" bestFit="1" customWidth="1"/>
    <col min="7" max="7" width="113.5703125" bestFit="1" customWidth="1"/>
  </cols>
  <sheetData>
    <row r="1" spans="1:7" ht="18" x14ac:dyDescent="0.25">
      <c r="A1" s="135" t="s">
        <v>19</v>
      </c>
    </row>
    <row r="2" spans="1:7" x14ac:dyDescent="0.25">
      <c r="A2" s="128"/>
    </row>
    <row r="3" spans="1:7" ht="15.75" x14ac:dyDescent="0.25">
      <c r="A3" s="130" t="s">
        <v>20</v>
      </c>
      <c r="D3" s="450" t="s">
        <v>307</v>
      </c>
      <c r="E3" s="446"/>
      <c r="F3" s="446"/>
      <c r="G3" s="446"/>
    </row>
    <row r="4" spans="1:7" x14ac:dyDescent="0.25">
      <c r="A4" s="131" t="s">
        <v>21</v>
      </c>
      <c r="B4" s="133" t="s">
        <v>304</v>
      </c>
      <c r="D4" s="448" t="s">
        <v>12</v>
      </c>
      <c r="E4" s="448" t="s">
        <v>9</v>
      </c>
      <c r="F4" s="448" t="s">
        <v>41</v>
      </c>
      <c r="G4" s="446"/>
    </row>
    <row r="5" spans="1:7" x14ac:dyDescent="0.25">
      <c r="A5" s="131" t="s">
        <v>22</v>
      </c>
      <c r="B5" s="134" t="str">
        <f>LEFT(Server,LEN(Server)-1)</f>
        <v>tango_core_model</v>
      </c>
      <c r="D5" s="447" t="s">
        <v>308</v>
      </c>
      <c r="E5" s="451" t="s">
        <v>309</v>
      </c>
      <c r="F5" s="451" t="s">
        <v>310</v>
      </c>
      <c r="G5" s="446"/>
    </row>
    <row r="6" spans="1:7" x14ac:dyDescent="0.25">
      <c r="A6" s="131" t="s">
        <v>23</v>
      </c>
      <c r="B6" s="132" t="str">
        <f ca="1">Host_Serveur</f>
        <v>FRSAPP021269</v>
      </c>
      <c r="D6" s="447" t="s">
        <v>311</v>
      </c>
      <c r="E6" s="451" t="s">
        <v>312</v>
      </c>
      <c r="F6" s="451" t="s">
        <v>313</v>
      </c>
      <c r="G6" s="446"/>
    </row>
    <row r="7" spans="1:7" x14ac:dyDescent="0.25">
      <c r="A7" s="131" t="s">
        <v>24</v>
      </c>
      <c r="B7" s="132">
        <v>0</v>
      </c>
      <c r="D7" s="447" t="s">
        <v>314</v>
      </c>
      <c r="E7" s="451" t="s">
        <v>315</v>
      </c>
      <c r="F7" s="451" t="s">
        <v>316</v>
      </c>
      <c r="G7" s="446"/>
    </row>
    <row r="8" spans="1:7" x14ac:dyDescent="0.25">
      <c r="A8" s="131" t="s">
        <v>25</v>
      </c>
      <c r="B8" s="132">
        <v>0</v>
      </c>
      <c r="D8" s="447" t="s">
        <v>317</v>
      </c>
      <c r="E8" s="451" t="s">
        <v>318</v>
      </c>
      <c r="F8" s="451" t="s">
        <v>319</v>
      </c>
      <c r="G8" s="446"/>
    </row>
    <row r="9" spans="1:7" ht="15.75" x14ac:dyDescent="0.25">
      <c r="A9" s="130" t="s">
        <v>26</v>
      </c>
      <c r="G9" s="446"/>
    </row>
    <row r="11" spans="1:7" x14ac:dyDescent="0.25">
      <c r="A11" s="131" t="s">
        <v>27</v>
      </c>
      <c r="B11" s="132" t="s">
        <v>305</v>
      </c>
    </row>
    <row r="12" spans="1:7" x14ac:dyDescent="0.25">
      <c r="A12" s="131" t="s">
        <v>28</v>
      </c>
      <c r="B12" s="144" t="s">
        <v>306</v>
      </c>
    </row>
    <row r="13" spans="1:7" x14ac:dyDescent="0.25">
      <c r="A13" s="131" t="s">
        <v>151</v>
      </c>
      <c r="B13" s="132" t="s">
        <v>305</v>
      </c>
    </row>
    <row r="14" spans="1:7" x14ac:dyDescent="0.25">
      <c r="A14" s="131" t="s">
        <v>29</v>
      </c>
      <c r="B14" s="134" t="str">
        <f ca="1">_xll.DBR(Server&amp;"z_admin_Param","YEAR_ACTUAL","STR_VAR1")</f>
        <v>2020</v>
      </c>
    </row>
    <row r="15" spans="1:7" x14ac:dyDescent="0.25">
      <c r="A15" s="131" t="s">
        <v>30</v>
      </c>
      <c r="B15" s="134" t="str">
        <f ca="1">_xll.DBR(Server&amp;"z_admin_Param","MONTH_ACTUAL","STR_VAR1")</f>
        <v>2020.02</v>
      </c>
    </row>
    <row r="16" spans="1:7" x14ac:dyDescent="0.25">
      <c r="A16" s="131" t="s">
        <v>31</v>
      </c>
      <c r="B16" s="134" t="str">
        <f ca="1">_xll.DBR(Server&amp;"z_admin_Param","BUDGET_VERSION","STR_VAR1")</f>
        <v>BUDG_TOT</v>
      </c>
    </row>
    <row r="17" spans="1:3" x14ac:dyDescent="0.25">
      <c r="A17" s="131" t="s">
        <v>32</v>
      </c>
      <c r="B17" s="134" t="str">
        <f ca="1">_xll.DBR(Server&amp;"z_admin_Param","FORECAST_VERSION","STR_VAR1")</f>
        <v>FC_2_TOT</v>
      </c>
    </row>
    <row r="18" spans="1:3" x14ac:dyDescent="0.25">
      <c r="A18" s="131" t="s">
        <v>33</v>
      </c>
      <c r="B18" s="134" t="str">
        <f ca="1">_xll.DBR(Server&amp;"z_Client_Properties","Language",_xll.TM1USER(xServer))</f>
        <v>French</v>
      </c>
    </row>
    <row r="19" spans="1:3" x14ac:dyDescent="0.25">
      <c r="A19" s="534" t="s">
        <v>34</v>
      </c>
      <c r="B19" s="146" t="s">
        <v>9</v>
      </c>
    </row>
    <row r="20" spans="1:3" x14ac:dyDescent="0.25">
      <c r="A20" s="534"/>
      <c r="B20" s="146" t="s">
        <v>41</v>
      </c>
    </row>
    <row r="21" spans="1:3" x14ac:dyDescent="0.25">
      <c r="A21" s="534" t="s">
        <v>35</v>
      </c>
      <c r="B21" s="132" t="s">
        <v>42</v>
      </c>
    </row>
    <row r="22" spans="1:3" x14ac:dyDescent="0.25">
      <c r="A22" s="534"/>
      <c r="B22" s="132" t="s">
        <v>43</v>
      </c>
    </row>
    <row r="23" spans="1:3" x14ac:dyDescent="0.25">
      <c r="A23" s="534"/>
      <c r="B23" s="132" t="s">
        <v>44</v>
      </c>
    </row>
    <row r="24" spans="1:3" x14ac:dyDescent="0.25">
      <c r="A24" s="128"/>
    </row>
    <row r="25" spans="1:3" ht="15.75" x14ac:dyDescent="0.25">
      <c r="A25" s="130" t="s">
        <v>36</v>
      </c>
    </row>
    <row r="26" spans="1:3" x14ac:dyDescent="0.25">
      <c r="A26" s="128" t="s">
        <v>37</v>
      </c>
    </row>
    <row r="27" spans="1:3" x14ac:dyDescent="0.25">
      <c r="A27" s="128" t="s">
        <v>38</v>
      </c>
    </row>
    <row r="28" spans="1:3" x14ac:dyDescent="0.25">
      <c r="A28" s="128" t="s">
        <v>39</v>
      </c>
    </row>
    <row r="29" spans="1:3" x14ac:dyDescent="0.25">
      <c r="A29" s="128" t="s">
        <v>40</v>
      </c>
    </row>
    <row r="30" spans="1:3" x14ac:dyDescent="0.25">
      <c r="A30" s="151"/>
    </row>
    <row r="32" spans="1:3" x14ac:dyDescent="0.25">
      <c r="B32" s="127" t="s">
        <v>17</v>
      </c>
      <c r="C32" s="127" t="s">
        <v>250</v>
      </c>
    </row>
    <row r="33" spans="2:3" x14ac:dyDescent="0.25">
      <c r="B33" s="68" t="s">
        <v>18</v>
      </c>
      <c r="C33" s="148" t="str">
        <f ca="1">FIXED(ActualYear-1,0,TRUE)</f>
        <v>2019</v>
      </c>
    </row>
    <row r="34" spans="2:3" x14ac:dyDescent="0.25">
      <c r="B34" s="68" t="s">
        <v>10</v>
      </c>
      <c r="C34" s="148" t="str">
        <f ca="1">ActualYear</f>
        <v>2020</v>
      </c>
    </row>
    <row r="35" spans="2:3" x14ac:dyDescent="0.25">
      <c r="B35" s="68" t="s">
        <v>148</v>
      </c>
      <c r="C35" s="148" t="str">
        <f ca="1">FIXED(ActualYear+1,0,TRUE)</f>
        <v>2021</v>
      </c>
    </row>
    <row r="36" spans="2:3" x14ac:dyDescent="0.25">
      <c r="B36" s="68" t="s">
        <v>3</v>
      </c>
    </row>
    <row r="37" spans="2:3" x14ac:dyDescent="0.25">
      <c r="B37" s="68" t="s">
        <v>4</v>
      </c>
    </row>
    <row r="38" spans="2:3" x14ac:dyDescent="0.25">
      <c r="B38" s="68" t="s">
        <v>5</v>
      </c>
    </row>
    <row r="39" spans="2:3" x14ac:dyDescent="0.25">
      <c r="B39" s="68" t="s">
        <v>6</v>
      </c>
    </row>
    <row r="40" spans="2:3" x14ac:dyDescent="0.25">
      <c r="B40" s="68" t="s">
        <v>7</v>
      </c>
    </row>
    <row r="41" spans="2:3" x14ac:dyDescent="0.25">
      <c r="B41" s="68" t="s">
        <v>8</v>
      </c>
    </row>
    <row r="42" spans="2:3" x14ac:dyDescent="0.25">
      <c r="B42" s="68" t="s">
        <v>11</v>
      </c>
    </row>
    <row r="43" spans="2:3" x14ac:dyDescent="0.25">
      <c r="B43" s="68" t="s">
        <v>231</v>
      </c>
    </row>
    <row r="44" spans="2:3" x14ac:dyDescent="0.25">
      <c r="B44" s="68" t="s">
        <v>153</v>
      </c>
    </row>
    <row r="45" spans="2:3" x14ac:dyDescent="0.25">
      <c r="B45" s="148" t="s">
        <v>154</v>
      </c>
    </row>
    <row r="46" spans="2:3" x14ac:dyDescent="0.25">
      <c r="B46" s="148" t="s">
        <v>157</v>
      </c>
    </row>
    <row r="47" spans="2:3" x14ac:dyDescent="0.25">
      <c r="B47" s="148" t="s">
        <v>158</v>
      </c>
    </row>
    <row r="48" spans="2:3" x14ac:dyDescent="0.25">
      <c r="B48" s="148" t="s">
        <v>155</v>
      </c>
    </row>
    <row r="49" spans="2:2" x14ac:dyDescent="0.25">
      <c r="B49" s="148" t="s">
        <v>156</v>
      </c>
    </row>
    <row r="50" spans="2:2" x14ac:dyDescent="0.25">
      <c r="B50" s="148" t="s">
        <v>160</v>
      </c>
    </row>
    <row r="51" spans="2:2" x14ac:dyDescent="0.25">
      <c r="B51" s="148" t="s">
        <v>159</v>
      </c>
    </row>
    <row r="52" spans="2:2" x14ac:dyDescent="0.25">
      <c r="B52" s="148" t="s">
        <v>162</v>
      </c>
    </row>
    <row r="53" spans="2:2" x14ac:dyDescent="0.25">
      <c r="B53" s="148" t="s">
        <v>161</v>
      </c>
    </row>
    <row r="54" spans="2:2" x14ac:dyDescent="0.25">
      <c r="B54" s="148" t="s">
        <v>163</v>
      </c>
    </row>
    <row r="55" spans="2:2" x14ac:dyDescent="0.25">
      <c r="B55" s="148" t="s">
        <v>164</v>
      </c>
    </row>
    <row r="56" spans="2:2" x14ac:dyDescent="0.25">
      <c r="B56" s="148" t="s">
        <v>165</v>
      </c>
    </row>
    <row r="57" spans="2:2" x14ac:dyDescent="0.25">
      <c r="B57" s="148" t="s">
        <v>166</v>
      </c>
    </row>
    <row r="58" spans="2:2" x14ac:dyDescent="0.25">
      <c r="B58" s="148" t="s">
        <v>167</v>
      </c>
    </row>
    <row r="59" spans="2:2" x14ac:dyDescent="0.25">
      <c r="B59" s="148" t="s">
        <v>168</v>
      </c>
    </row>
    <row r="60" spans="2:2" x14ac:dyDescent="0.25">
      <c r="B60" s="148" t="s">
        <v>169</v>
      </c>
    </row>
    <row r="61" spans="2:2" x14ac:dyDescent="0.25">
      <c r="B61" s="148" t="s">
        <v>170</v>
      </c>
    </row>
    <row r="62" spans="2:2" x14ac:dyDescent="0.25">
      <c r="B62" s="148" t="s">
        <v>242</v>
      </c>
    </row>
    <row r="63" spans="2:2" x14ac:dyDescent="0.25">
      <c r="B63" s="148" t="s">
        <v>11</v>
      </c>
    </row>
    <row r="64" spans="2:2" x14ac:dyDescent="0.25">
      <c r="B64" s="148" t="s">
        <v>230</v>
      </c>
    </row>
    <row r="65" spans="1:2" ht="18" x14ac:dyDescent="0.25">
      <c r="A65" s="152"/>
      <c r="B65" s="148" t="s">
        <v>232</v>
      </c>
    </row>
    <row r="66" spans="1:2" x14ac:dyDescent="0.25">
      <c r="B66" s="186" t="s">
        <v>233</v>
      </c>
    </row>
    <row r="67" spans="1:2" x14ac:dyDescent="0.25">
      <c r="B67" t="s">
        <v>217</v>
      </c>
    </row>
    <row r="73" spans="1:2" ht="18" x14ac:dyDescent="0.25">
      <c r="A73" s="152"/>
    </row>
  </sheetData>
  <sheetProtection sheet="1" objects="1" scenarios="1"/>
  <customSheetViews>
    <customSheetView guid="{83BB5152-01BA-42DF-B23D-4001406CC674}" showGridLines="0" state="hidden">
      <selection activeCell="B7" sqref="B7"/>
      <pageMargins left="0.7" right="0.7" top="0.75" bottom="0.75" header="0.3" footer="0.3"/>
      <pageSetup paperSize="9" orientation="portrait" r:id="rId1"/>
    </customSheetView>
    <customSheetView guid="{97DA177E-F101-4CD5-8BC6-6997082DB660}" showGridLines="0" state="hidden">
      <selection activeCell="B7" sqref="B7"/>
      <pageMargins left="0.7" right="0.7" top="0.75" bottom="0.75" header="0.3" footer="0.3"/>
      <pageSetup paperSize="9" orientation="portrait" r:id="rId2"/>
    </customSheetView>
  </customSheetViews>
  <mergeCells count="2">
    <mergeCell ref="A19:A20"/>
    <mergeCell ref="A21:A23"/>
  </mergeCell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FF0000"/>
    <outlinePr summaryBelow="0" summaryRight="0"/>
    <pageSetUpPr autoPageBreaks="0" fitToPage="1"/>
  </sheetPr>
  <dimension ref="A1:CA1388"/>
  <sheetViews>
    <sheetView showGridLines="0" showRowColHeaders="0" tabSelected="1" topLeftCell="I5" zoomScale="85" zoomScaleNormal="85" zoomScaleSheetLayoutView="55" workbookViewId="0">
      <selection activeCell="O16" sqref="O16"/>
    </sheetView>
  </sheetViews>
  <sheetFormatPr baseColWidth="10" defaultColWidth="11.42578125" defaultRowHeight="18" customHeight="1" outlineLevelRow="5" outlineLevelCol="1" x14ac:dyDescent="0.25"/>
  <cols>
    <col min="1" max="1" width="15.42578125" style="9" hidden="1" customWidth="1"/>
    <col min="2" max="2" width="31" style="9" hidden="1" customWidth="1"/>
    <col min="3" max="3" width="9.42578125" style="9" hidden="1" customWidth="1"/>
    <col min="4" max="4" width="21.5703125" style="1" hidden="1" customWidth="1"/>
    <col min="5" max="5" width="16" style="1" hidden="1" customWidth="1"/>
    <col min="6" max="6" width="16.28515625" style="1" hidden="1" customWidth="1"/>
    <col min="7" max="7" width="11" style="57" hidden="1" customWidth="1"/>
    <col min="8" max="8" width="10.7109375" style="57" hidden="1" customWidth="1"/>
    <col min="9" max="9" width="3.42578125" style="1" customWidth="1"/>
    <col min="10" max="10" width="4" style="1" customWidth="1"/>
    <col min="11" max="11" width="2.42578125" style="1" customWidth="1"/>
    <col min="12" max="12" width="3.28515625" style="1" customWidth="1"/>
    <col min="13" max="13" width="40.42578125" style="57" customWidth="1"/>
    <col min="14" max="14" width="25.5703125" style="57" customWidth="1"/>
    <col min="15" max="15" width="36.42578125" style="57" customWidth="1"/>
    <col min="16" max="16" width="5.5703125" style="9" customWidth="1"/>
    <col min="17" max="17" width="17.85546875" style="9" customWidth="1"/>
    <col min="18" max="18" width="23.7109375" style="9" customWidth="1" outlineLevel="1"/>
    <col min="19" max="19" width="15.7109375" style="126" customWidth="1"/>
    <col min="20" max="20" width="10.7109375" style="126" customWidth="1"/>
    <col min="21" max="21" width="12.28515625" style="126" customWidth="1"/>
    <col min="22" max="22" width="17.85546875" style="9" customWidth="1" outlineLevel="1"/>
    <col min="23" max="23" width="16.5703125" style="126" customWidth="1"/>
    <col min="24" max="24" width="10.7109375" style="34" customWidth="1"/>
    <col min="25" max="25" width="2.42578125" style="34" customWidth="1"/>
    <col min="26" max="26" width="2.42578125" style="34" customWidth="1" collapsed="1"/>
    <col min="27" max="27" width="2.42578125" style="34" hidden="1" customWidth="1" outlineLevel="1" collapsed="1"/>
    <col min="28" max="29" width="12.85546875" style="34" hidden="1" customWidth="1" outlineLevel="1"/>
    <col min="30" max="30" width="13.42578125" style="34" hidden="1" customWidth="1" outlineLevel="1"/>
    <col min="31" max="31" width="1" style="34" hidden="1" customWidth="1" outlineLevel="1"/>
    <col min="32" max="33" width="12.28515625" style="34" hidden="1" customWidth="1" outlineLevel="1"/>
    <col min="34" max="34" width="12.42578125" style="34" hidden="1" customWidth="1" outlineLevel="1"/>
    <col min="35" max="35" width="1" style="34" hidden="1" customWidth="1" outlineLevel="1"/>
    <col min="36" max="37" width="12.28515625" style="34" hidden="1" customWidth="1" outlineLevel="1"/>
    <col min="38" max="38" width="13.42578125" style="34" hidden="1" customWidth="1" outlineLevel="1"/>
    <col min="39" max="39" width="1" style="34" hidden="1" customWidth="1" outlineLevel="1"/>
    <col min="40" max="41" width="12.28515625" style="34" hidden="1" customWidth="1" outlineLevel="1"/>
    <col min="42" max="42" width="13.42578125" style="34" hidden="1" customWidth="1" outlineLevel="1"/>
    <col min="43" max="43" width="1" style="34" hidden="1" customWidth="1" outlineLevel="1"/>
    <col min="44" max="44" width="8.42578125" style="34" hidden="1" customWidth="1" outlineLevel="1"/>
    <col min="45" max="45" width="12.28515625" style="34" hidden="1" customWidth="1" outlineLevel="1"/>
    <col min="46" max="46" width="13.42578125" style="34" hidden="1" customWidth="1" outlineLevel="1"/>
    <col min="47" max="47" width="1" style="34" hidden="1" customWidth="1" outlineLevel="1"/>
    <col min="48" max="48" width="8.42578125" style="34" hidden="1" customWidth="1" outlineLevel="1"/>
    <col min="49" max="49" width="12.28515625" style="34" hidden="1" customWidth="1" outlineLevel="1"/>
    <col min="50" max="50" width="13.42578125" style="34" hidden="1" customWidth="1" outlineLevel="1"/>
    <col min="51" max="51" width="1" style="34" hidden="1" customWidth="1" outlineLevel="1"/>
    <col min="52" max="52" width="8.42578125" style="34" hidden="1" customWidth="1" outlineLevel="1"/>
    <col min="53" max="53" width="12.28515625" style="34" hidden="1" customWidth="1" outlineLevel="1"/>
    <col min="54" max="54" width="13.42578125" style="34" hidden="1" customWidth="1" outlineLevel="1"/>
    <col min="55" max="55" width="1" style="34" hidden="1" customWidth="1" outlineLevel="1"/>
    <col min="56" max="56" width="8.42578125" style="34" hidden="1" customWidth="1" outlineLevel="1"/>
    <col min="57" max="57" width="12.28515625" style="34" hidden="1" customWidth="1" outlineLevel="1"/>
    <col min="58" max="58" width="13.42578125" style="34" hidden="1" customWidth="1" outlineLevel="1"/>
    <col min="59" max="59" width="1" style="34" hidden="1" customWidth="1" outlineLevel="1"/>
    <col min="60" max="60" width="8.42578125" style="34" hidden="1" customWidth="1" outlineLevel="1"/>
    <col min="61" max="61" width="12.28515625" style="34" hidden="1" customWidth="1" outlineLevel="1"/>
    <col min="62" max="62" width="13.42578125" style="34" hidden="1" customWidth="1" outlineLevel="1"/>
    <col min="63" max="63" width="1" style="34" hidden="1" customWidth="1" outlineLevel="1"/>
    <col min="64" max="64" width="8.42578125" style="34" hidden="1" customWidth="1" outlineLevel="1"/>
    <col min="65" max="65" width="12.28515625" style="34" hidden="1" customWidth="1" outlineLevel="1"/>
    <col min="66" max="66" width="13.42578125" style="34" hidden="1" customWidth="1" outlineLevel="1"/>
    <col min="67" max="67" width="1" style="34" hidden="1" customWidth="1" outlineLevel="1"/>
    <col min="68" max="68" width="8.42578125" style="34" hidden="1" customWidth="1" outlineLevel="1"/>
    <col min="69" max="69" width="12.28515625" style="34" hidden="1" customWidth="1" outlineLevel="1"/>
    <col min="70" max="70" width="13.42578125" style="34" hidden="1" customWidth="1" outlineLevel="1"/>
    <col min="71" max="71" width="1" style="34" hidden="1" customWidth="1" outlineLevel="1"/>
    <col min="72" max="72" width="8.42578125" style="34" hidden="1" customWidth="1" outlineLevel="1"/>
    <col min="73" max="73" width="12.28515625" style="34" hidden="1" customWidth="1" outlineLevel="1"/>
    <col min="74" max="74" width="13.42578125" style="34" hidden="1" customWidth="1" outlineLevel="1"/>
    <col min="75" max="75" width="2.42578125" style="34" hidden="1" customWidth="1" outlineLevel="1"/>
    <col min="76" max="76" width="1.7109375" style="34" customWidth="1"/>
    <col min="77" max="77" width="3.5703125" style="34" customWidth="1"/>
    <col min="78" max="78" width="38.42578125" style="34" customWidth="1"/>
    <col min="79" max="79" width="17.85546875" style="9" bestFit="1" customWidth="1"/>
    <col min="80" max="16384" width="11.42578125" style="9"/>
  </cols>
  <sheetData>
    <row r="1" spans="1:78" ht="37.5" hidden="1" customHeight="1" x14ac:dyDescent="0.25">
      <c r="D1" s="9"/>
      <c r="E1" s="9"/>
      <c r="I1" s="2"/>
      <c r="J1" s="2"/>
      <c r="K1" s="2"/>
      <c r="L1" s="2"/>
      <c r="M1" s="3"/>
      <c r="N1" s="3"/>
      <c r="O1" s="4" t="s">
        <v>0</v>
      </c>
      <c r="P1" s="5"/>
      <c r="Q1" s="6" t="str">
        <f ca="1">VLOOKUP($N$12,$D$20:$E$23,2,0)</f>
        <v>ACT_TOT</v>
      </c>
      <c r="R1" s="6" t="str">
        <f ca="1">VLOOKUP($N$20,$D$20:$E$23,2,0)</f>
        <v>BUDG_VC_TOT</v>
      </c>
      <c r="S1" s="6"/>
      <c r="T1" s="6"/>
      <c r="U1" s="7"/>
      <c r="V1" s="6" t="str">
        <f ca="1">VLOOKUP($O$20,$D$20:$E$23,2,0)</f>
        <v>ACT_TOT</v>
      </c>
      <c r="W1" s="6"/>
      <c r="X1" s="6"/>
      <c r="Y1" s="8"/>
      <c r="Z1" s="8"/>
      <c r="AA1" s="8"/>
      <c r="AB1" s="6" t="str">
        <f ca="1">Q1</f>
        <v>ACT_TOT</v>
      </c>
      <c r="AC1" s="6" t="str">
        <f ca="1">R1</f>
        <v>BUDG_VC_TOT</v>
      </c>
      <c r="AD1" s="6" t="str">
        <f ca="1">V1</f>
        <v>ACT_TOT</v>
      </c>
      <c r="AE1" s="6"/>
      <c r="AF1" s="6" t="str">
        <f ca="1">$AB$1</f>
        <v>ACT_TOT</v>
      </c>
      <c r="AG1" s="6" t="str">
        <f ca="1">$AC$1</f>
        <v>BUDG_VC_TOT</v>
      </c>
      <c r="AH1" s="6" t="str">
        <f ca="1">$AD$1</f>
        <v>ACT_TOT</v>
      </c>
      <c r="AI1" s="6"/>
      <c r="AJ1" s="6" t="str">
        <f ca="1">$AB$1</f>
        <v>ACT_TOT</v>
      </c>
      <c r="AK1" s="6" t="str">
        <f ca="1">$AC$1</f>
        <v>BUDG_VC_TOT</v>
      </c>
      <c r="AL1" s="6" t="str">
        <f ca="1">$AD$1</f>
        <v>ACT_TOT</v>
      </c>
      <c r="AM1" s="6"/>
      <c r="AN1" s="6" t="str">
        <f ca="1">$AB$1</f>
        <v>ACT_TOT</v>
      </c>
      <c r="AO1" s="6" t="str">
        <f ca="1">$AC$1</f>
        <v>BUDG_VC_TOT</v>
      </c>
      <c r="AP1" s="6" t="str">
        <f ca="1">$AD$1</f>
        <v>ACT_TOT</v>
      </c>
      <c r="AQ1" s="6"/>
      <c r="AR1" s="6" t="str">
        <f ca="1">$AB$1</f>
        <v>ACT_TOT</v>
      </c>
      <c r="AS1" s="6" t="str">
        <f ca="1">$AC$1</f>
        <v>BUDG_VC_TOT</v>
      </c>
      <c r="AT1" s="6" t="str">
        <f ca="1">$AD$1</f>
        <v>ACT_TOT</v>
      </c>
      <c r="AU1" s="6"/>
      <c r="AV1" s="6" t="str">
        <f ca="1">$AB$1</f>
        <v>ACT_TOT</v>
      </c>
      <c r="AW1" s="6" t="str">
        <f ca="1">$AC$1</f>
        <v>BUDG_VC_TOT</v>
      </c>
      <c r="AX1" s="6" t="str">
        <f ca="1">$AD$1</f>
        <v>ACT_TOT</v>
      </c>
      <c r="AY1" s="6"/>
      <c r="AZ1" s="6" t="str">
        <f ca="1">$AB$1</f>
        <v>ACT_TOT</v>
      </c>
      <c r="BA1" s="6" t="str">
        <f ca="1">$AC$1</f>
        <v>BUDG_VC_TOT</v>
      </c>
      <c r="BB1" s="6" t="str">
        <f ca="1">$AD$1</f>
        <v>ACT_TOT</v>
      </c>
      <c r="BC1" s="6"/>
      <c r="BD1" s="6" t="str">
        <f ca="1">$AB$1</f>
        <v>ACT_TOT</v>
      </c>
      <c r="BE1" s="6" t="str">
        <f ca="1">$AC$1</f>
        <v>BUDG_VC_TOT</v>
      </c>
      <c r="BF1" s="6" t="str">
        <f ca="1">$AD$1</f>
        <v>ACT_TOT</v>
      </c>
      <c r="BG1" s="6"/>
      <c r="BH1" s="6" t="str">
        <f ca="1">$AB$1</f>
        <v>ACT_TOT</v>
      </c>
      <c r="BI1" s="6" t="str">
        <f ca="1">$AC$1</f>
        <v>BUDG_VC_TOT</v>
      </c>
      <c r="BJ1" s="6" t="str">
        <f ca="1">$AD$1</f>
        <v>ACT_TOT</v>
      </c>
      <c r="BK1" s="6"/>
      <c r="BL1" s="6" t="str">
        <f ca="1">$AB$1</f>
        <v>ACT_TOT</v>
      </c>
      <c r="BM1" s="6" t="str">
        <f ca="1">$AC$1</f>
        <v>BUDG_VC_TOT</v>
      </c>
      <c r="BN1" s="6" t="str">
        <f ca="1">$AD$1</f>
        <v>ACT_TOT</v>
      </c>
      <c r="BO1" s="6"/>
      <c r="BP1" s="6" t="str">
        <f ca="1">$AB$1</f>
        <v>ACT_TOT</v>
      </c>
      <c r="BQ1" s="6" t="str">
        <f ca="1">$AC$1</f>
        <v>BUDG_VC_TOT</v>
      </c>
      <c r="BR1" s="6" t="str">
        <f ca="1">$AD$1</f>
        <v>ACT_TOT</v>
      </c>
      <c r="BS1" s="6"/>
      <c r="BT1" s="6" t="str">
        <f ca="1">$AB$1</f>
        <v>ACT_TOT</v>
      </c>
      <c r="BU1" s="6" t="str">
        <f ca="1">$AC$1</f>
        <v>BUDG_VC_TOT</v>
      </c>
      <c r="BV1" s="6" t="str">
        <f ca="1">$AD$1</f>
        <v>ACT_TOT</v>
      </c>
      <c r="BW1" s="8"/>
      <c r="BX1" s="8"/>
      <c r="BY1" s="8"/>
      <c r="BZ1" s="8"/>
    </row>
    <row r="2" spans="1:78" ht="37.5" hidden="1" customHeight="1" x14ac:dyDescent="0.25">
      <c r="D2" s="9"/>
      <c r="E2" s="9"/>
      <c r="I2" s="2"/>
      <c r="J2" s="2"/>
      <c r="K2" s="2"/>
      <c r="L2" s="2"/>
      <c r="M2" s="10"/>
      <c r="N2" s="10" t="str">
        <f ca="1">_xll.DBRA(Server&amp;$A11,$N11,F25)</f>
        <v>2019.02_YTD</v>
      </c>
      <c r="O2" s="11" t="s">
        <v>2</v>
      </c>
      <c r="P2" s="12"/>
      <c r="Q2" s="13" t="str">
        <f ca="1">_xll.SUBNM(Server&amp;"period","",$N$11)</f>
        <v>2020.02_YTD</v>
      </c>
      <c r="R2" s="13" t="str">
        <f ca="1">IF($N$21="N",Q2,_xll.DBRA(Server&amp;$O$2,IF($N$21="N-2",$N$2,$Q$2),VLOOKUP($N$21,$D$24:$G$27,3,FALSE)))</f>
        <v>2020.02_YTD</v>
      </c>
      <c r="S2" s="143"/>
      <c r="T2" s="7"/>
      <c r="U2" s="7"/>
      <c r="V2" s="13" t="str">
        <f ca="1">IF($O$21="N",Q2,_xll.DBRA(Server&amp;$O$2,IF($O$21="N-2",$N$2,$Q$2),VLOOKUP($O$21,$D$24:$G$27,3,FALSE)))</f>
        <v>2019.02_YTD</v>
      </c>
      <c r="W2" s="7"/>
      <c r="X2" s="8"/>
      <c r="Y2" s="8"/>
      <c r="Z2" s="8"/>
      <c r="AA2" s="8"/>
      <c r="AB2" s="5" t="str">
        <f ca="1">$Q$3&amp;"."&amp;AB3</f>
        <v>2020.01</v>
      </c>
      <c r="AC2" s="5" t="str">
        <f ca="1">$R$3&amp;"."&amp;AC3</f>
        <v>2020.01</v>
      </c>
      <c r="AD2" s="5" t="str">
        <f ca="1">$S$3&amp;"."&amp;AD3</f>
        <v>2019.01</v>
      </c>
      <c r="AE2" s="5"/>
      <c r="AF2" s="5" t="str">
        <f ca="1">$Q$3&amp;"."&amp;AF3</f>
        <v>2020.02</v>
      </c>
      <c r="AG2" s="5" t="str">
        <f ca="1">$R$3&amp;"."&amp;AG3</f>
        <v>2020.02</v>
      </c>
      <c r="AH2" s="5" t="str">
        <f ca="1">$S$3&amp;"."&amp;AH3</f>
        <v>2019.02</v>
      </c>
      <c r="AI2" s="5"/>
      <c r="AJ2" s="5" t="str">
        <f ca="1">$Q$3&amp;"."&amp;AJ3</f>
        <v>2020.03</v>
      </c>
      <c r="AK2" s="5" t="str">
        <f ca="1">$R$3&amp;"."&amp;AK3</f>
        <v>2020.03</v>
      </c>
      <c r="AL2" s="5" t="str">
        <f ca="1">$S$3&amp;"."&amp;AL3</f>
        <v>2019.03</v>
      </c>
      <c r="AM2" s="5"/>
      <c r="AN2" s="5" t="str">
        <f ca="1">$Q$3&amp;"."&amp;AN3</f>
        <v>2020.04</v>
      </c>
      <c r="AO2" s="5" t="str">
        <f ca="1">$R$3&amp;"."&amp;AO3</f>
        <v>2020.04</v>
      </c>
      <c r="AP2" s="5" t="str">
        <f ca="1">$S$3&amp;"."&amp;AP3</f>
        <v>2019.04</v>
      </c>
      <c r="AQ2" s="5"/>
      <c r="AR2" s="5" t="str">
        <f ca="1">$Q$3&amp;"."&amp;AR3</f>
        <v>2020.05</v>
      </c>
      <c r="AS2" s="5" t="str">
        <f ca="1">$R$3&amp;"."&amp;AS3</f>
        <v>2020.05</v>
      </c>
      <c r="AT2" s="5" t="str">
        <f ca="1">$S$3&amp;"."&amp;AT3</f>
        <v>2019.05</v>
      </c>
      <c r="AU2" s="5"/>
      <c r="AV2" s="5" t="str">
        <f ca="1">$Q$3&amp;"."&amp;AV3</f>
        <v>2020.06</v>
      </c>
      <c r="AW2" s="5" t="str">
        <f ca="1">$R$3&amp;"."&amp;AW3</f>
        <v>2020.06</v>
      </c>
      <c r="AX2" s="5" t="str">
        <f ca="1">$S$3&amp;"."&amp;AX3</f>
        <v>2019.06</v>
      </c>
      <c r="AY2" s="5"/>
      <c r="AZ2" s="5" t="str">
        <f ca="1">$Q$3&amp;"."&amp;AZ3</f>
        <v>2020.07</v>
      </c>
      <c r="BA2" s="5" t="str">
        <f ca="1">$R$3&amp;"."&amp;BA3</f>
        <v>2020.07</v>
      </c>
      <c r="BB2" s="5" t="str">
        <f ca="1">$S$3&amp;"."&amp;BB3</f>
        <v>2019.07</v>
      </c>
      <c r="BC2" s="5"/>
      <c r="BD2" s="5" t="str">
        <f ca="1">$Q$3&amp;"."&amp;BD3</f>
        <v>2020.08</v>
      </c>
      <c r="BE2" s="5" t="str">
        <f ca="1">$R$3&amp;"."&amp;BE3</f>
        <v>2020.08</v>
      </c>
      <c r="BF2" s="5" t="str">
        <f ca="1">$S$3&amp;"."&amp;BF3</f>
        <v>2019.08</v>
      </c>
      <c r="BG2" s="5"/>
      <c r="BH2" s="5" t="str">
        <f ca="1">$Q$3&amp;"."&amp;BH3</f>
        <v>2020.09</v>
      </c>
      <c r="BI2" s="5" t="str">
        <f ca="1">$R$3&amp;"."&amp;BI3</f>
        <v>2020.09</v>
      </c>
      <c r="BJ2" s="5" t="str">
        <f ca="1">$S$3&amp;"."&amp;BJ3</f>
        <v>2019.09</v>
      </c>
      <c r="BK2" s="5"/>
      <c r="BL2" s="5" t="str">
        <f ca="1">$Q$3&amp;"."&amp;BL3</f>
        <v>2020.10</v>
      </c>
      <c r="BM2" s="5" t="str">
        <f ca="1">$R$3&amp;"."&amp;BM3</f>
        <v>2020.10</v>
      </c>
      <c r="BN2" s="5" t="str">
        <f ca="1">$S$3&amp;"."&amp;BN3</f>
        <v>2019.10</v>
      </c>
      <c r="BO2" s="5"/>
      <c r="BP2" s="5" t="str">
        <f ca="1">$Q$3&amp;"."&amp;BP3</f>
        <v>2020.11</v>
      </c>
      <c r="BQ2" s="5" t="str">
        <f ca="1">$R$3&amp;"."&amp;BQ3</f>
        <v>2020.11</v>
      </c>
      <c r="BR2" s="5" t="str">
        <f ca="1">$S$3&amp;"."&amp;BR3</f>
        <v>2019.11</v>
      </c>
      <c r="BS2" s="5"/>
      <c r="BT2" s="5" t="str">
        <f ca="1">$Q$3&amp;"."&amp;BT3</f>
        <v>2020.12</v>
      </c>
      <c r="BU2" s="5" t="str">
        <f ca="1">$R$3&amp;"."&amp;BU3</f>
        <v>2020.12</v>
      </c>
      <c r="BV2" s="5" t="str">
        <f ca="1">$S$3&amp;"."&amp;BV3</f>
        <v>2019.12</v>
      </c>
      <c r="BW2" s="8"/>
      <c r="BX2" s="8"/>
      <c r="BY2" s="8"/>
      <c r="BZ2" s="8"/>
    </row>
    <row r="3" spans="1:78" ht="37.5" hidden="1" customHeight="1" x14ac:dyDescent="0.25">
      <c r="A3" s="465" t="str">
        <f ca="1">IF(AND(COUNTIF(V_ACTIVITY,"*Rail*"),COUNTIF(C:C,"*Tot_km*")),IF(V_LANG="French",Desc_Tot_km_F,Desc_Tot_km_E),"")</f>
        <v/>
      </c>
      <c r="D3" s="9"/>
      <c r="E3" s="9"/>
      <c r="I3" s="2"/>
      <c r="J3" s="2"/>
      <c r="K3" s="2"/>
      <c r="L3" s="2"/>
      <c r="M3" s="10"/>
      <c r="N3" s="10"/>
      <c r="O3" s="141"/>
      <c r="P3" s="15"/>
      <c r="Q3" s="13" t="str">
        <f ca="1">ActualYear</f>
        <v>2020</v>
      </c>
      <c r="R3" s="5" t="str">
        <f ca="1">VLOOKUP($N$21,$D$24:$E$27,2,0)</f>
        <v>2020</v>
      </c>
      <c r="S3" s="5" t="str">
        <f ca="1">VLOOKUP($O$21,$D$24:$E$27,2,0)</f>
        <v>2019</v>
      </c>
      <c r="T3" s="7"/>
      <c r="U3" s="7"/>
      <c r="V3" s="5"/>
      <c r="W3" s="7"/>
      <c r="X3" s="8"/>
      <c r="Y3" s="8"/>
      <c r="Z3" s="8"/>
      <c r="AA3" s="8"/>
      <c r="AB3" s="399" t="s">
        <v>265</v>
      </c>
      <c r="AC3" s="399" t="s">
        <v>265</v>
      </c>
      <c r="AD3" s="399" t="s">
        <v>265</v>
      </c>
      <c r="AE3" s="399"/>
      <c r="AF3" s="399" t="s">
        <v>266</v>
      </c>
      <c r="AG3" s="399" t="s">
        <v>266</v>
      </c>
      <c r="AH3" s="399" t="s">
        <v>266</v>
      </c>
      <c r="AI3" s="399"/>
      <c r="AJ3" s="399" t="s">
        <v>267</v>
      </c>
      <c r="AK3" s="399" t="s">
        <v>267</v>
      </c>
      <c r="AL3" s="399" t="s">
        <v>267</v>
      </c>
      <c r="AM3" s="399"/>
      <c r="AN3" s="399" t="s">
        <v>268</v>
      </c>
      <c r="AO3" s="399" t="s">
        <v>268</v>
      </c>
      <c r="AP3" s="399" t="s">
        <v>268</v>
      </c>
      <c r="AQ3" s="399"/>
      <c r="AR3" s="399" t="s">
        <v>269</v>
      </c>
      <c r="AS3" s="399" t="s">
        <v>269</v>
      </c>
      <c r="AT3" s="399" t="s">
        <v>269</v>
      </c>
      <c r="AU3" s="399"/>
      <c r="AV3" s="399" t="s">
        <v>270</v>
      </c>
      <c r="AW3" s="399" t="s">
        <v>270</v>
      </c>
      <c r="AX3" s="399" t="s">
        <v>270</v>
      </c>
      <c r="AY3" s="399"/>
      <c r="AZ3" s="399" t="s">
        <v>271</v>
      </c>
      <c r="BA3" s="399" t="s">
        <v>271</v>
      </c>
      <c r="BB3" s="399" t="s">
        <v>271</v>
      </c>
      <c r="BC3" s="399"/>
      <c r="BD3" s="399" t="s">
        <v>272</v>
      </c>
      <c r="BE3" s="399" t="s">
        <v>272</v>
      </c>
      <c r="BF3" s="399" t="s">
        <v>272</v>
      </c>
      <c r="BG3" s="399"/>
      <c r="BH3" s="399" t="s">
        <v>273</v>
      </c>
      <c r="BI3" s="399" t="s">
        <v>273</v>
      </c>
      <c r="BJ3" s="399" t="s">
        <v>273</v>
      </c>
      <c r="BK3" s="399"/>
      <c r="BL3" s="399" t="s">
        <v>274</v>
      </c>
      <c r="BM3" s="399" t="s">
        <v>274</v>
      </c>
      <c r="BN3" s="399" t="s">
        <v>274</v>
      </c>
      <c r="BO3" s="399"/>
      <c r="BP3" s="399" t="s">
        <v>275</v>
      </c>
      <c r="BQ3" s="399" t="s">
        <v>275</v>
      </c>
      <c r="BR3" s="399" t="s">
        <v>275</v>
      </c>
      <c r="BS3" s="399"/>
      <c r="BT3" s="399" t="s">
        <v>276</v>
      </c>
      <c r="BU3" s="399" t="s">
        <v>276</v>
      </c>
      <c r="BV3" s="399" t="s">
        <v>276</v>
      </c>
      <c r="BW3" s="8"/>
      <c r="BX3" s="8"/>
      <c r="BY3" s="8"/>
      <c r="BZ3" s="8"/>
    </row>
    <row r="4" spans="1:78" ht="45" hidden="1" customHeight="1" x14ac:dyDescent="0.25">
      <c r="D4" s="9" t="s">
        <v>303</v>
      </c>
      <c r="E4" s="9"/>
      <c r="I4" s="2"/>
      <c r="J4" s="2"/>
      <c r="K4" s="2"/>
      <c r="L4" s="2"/>
      <c r="M4" s="10"/>
      <c r="N4" s="10"/>
      <c r="O4" s="10"/>
      <c r="P4" s="16"/>
      <c r="Q4" s="17"/>
      <c r="R4" s="14"/>
      <c r="S4" s="7"/>
      <c r="T4" s="7"/>
      <c r="U4" s="7"/>
      <c r="V4" s="5"/>
      <c r="W4" s="7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</row>
    <row r="5" spans="1:78" ht="13.5" customHeight="1" x14ac:dyDescent="0.25">
      <c r="A5" s="470" t="s">
        <v>327</v>
      </c>
      <c r="B5" s="462"/>
      <c r="C5" s="462"/>
      <c r="D5" s="462"/>
      <c r="E5" s="462"/>
      <c r="F5" s="463"/>
      <c r="G5" s="472"/>
      <c r="H5" s="464"/>
      <c r="O5" s="363"/>
      <c r="P5" s="364"/>
      <c r="Q5" s="365"/>
      <c r="R5" s="366"/>
      <c r="S5" s="365"/>
      <c r="T5" s="365"/>
      <c r="U5" s="365"/>
      <c r="V5" s="365"/>
      <c r="W5" s="365"/>
      <c r="X5" s="365"/>
    </row>
    <row r="6" spans="1:78" ht="20.25" customHeight="1" x14ac:dyDescent="0.2">
      <c r="A6" s="474" t="s">
        <v>328</v>
      </c>
      <c r="B6" s="475" t="str">
        <f ca="1">IF(AND(COUNTIF(V_ACTIVITY,"*Rail*"),COUNTIF(C:C,"*Tot_km*")),IF(V_LANG="French",Desc_Tot_km_F,Desc_Tot_km_E),"")</f>
        <v/>
      </c>
      <c r="D6" s="9"/>
      <c r="E6" s="9"/>
      <c r="H6" s="466"/>
      <c r="J6" s="18"/>
      <c r="K6" s="19"/>
      <c r="L6" s="19"/>
      <c r="M6" s="20"/>
      <c r="N6" s="20"/>
      <c r="O6" s="21"/>
      <c r="P6" s="22"/>
      <c r="Q6" s="22"/>
      <c r="R6" s="22"/>
      <c r="S6" s="23"/>
      <c r="T6" s="23"/>
      <c r="U6" s="24"/>
      <c r="V6" s="22"/>
      <c r="W6" s="24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6"/>
    </row>
    <row r="7" spans="1:78" ht="33.75" customHeight="1" x14ac:dyDescent="0.2">
      <c r="A7" s="474" t="s">
        <v>329</v>
      </c>
      <c r="B7" s="475" t="str">
        <f ca="1">IF(AND(COUNTIF(V_ACTIVITY,"*Ferries*"),COUNTIF(C:C,"Tot_nb_vehicle")),IF(V_LANG="French",Desc_Tot_nb_vehicle_F,Desc_Tot_nb_vehicle_E),"")</f>
        <v/>
      </c>
      <c r="D7" s="9"/>
      <c r="E7" s="9"/>
      <c r="H7" s="466"/>
      <c r="J7" s="27"/>
      <c r="K7" s="560" t="str">
        <f ca="1">_xll.DBRA(Server&amp;Context!$B$32,Context!$B$44,$N$19)</f>
        <v>PMM - Gross Margin variance breakdown detailed analysis</v>
      </c>
      <c r="L7" s="560"/>
      <c r="M7" s="560"/>
      <c r="N7" s="560"/>
      <c r="O7" s="560"/>
      <c r="P7" s="560"/>
      <c r="Q7" s="560"/>
      <c r="R7" s="560"/>
      <c r="S7" s="560"/>
      <c r="T7" s="560"/>
      <c r="U7" s="560"/>
      <c r="V7" s="560"/>
      <c r="W7" s="560"/>
      <c r="X7" s="560"/>
      <c r="Y7" s="560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28"/>
    </row>
    <row r="8" spans="1:78" ht="21" customHeight="1" x14ac:dyDescent="0.2">
      <c r="A8" s="474" t="s">
        <v>330</v>
      </c>
      <c r="B8" s="475" t="str">
        <f ca="1">IF(AND(COUNTIF(V_ACTIVITY,"*Rail*"),COUNTIF(C:C,"Rev_km")),IF(V_LANG="French",Desc_Rev_km_F,Desc_Rev_km_E),"")</f>
        <v/>
      </c>
      <c r="D8" s="9"/>
      <c r="E8" s="9"/>
      <c r="H8" s="466"/>
      <c r="J8" s="29"/>
      <c r="K8" s="561" t="str">
        <f ca="1">_xll.DBRA(Server&amp;$A$13,$N13,$N$19)&amp;"  //  "&amp;_xll.DBRA(Server&amp;$A$15,$N15,$N$19)&amp;"  //  "&amp;_xll.DBRA(Server&amp;$A$16,$N16,$N$19)&amp;"  //  "&amp;_xll.DBRA(Server&amp;$A$17,$N17,$N$19)</f>
        <v>TRANSDEV All  //  PMM Transit activities  //  Local Currency  //  Local Gaap Management tool</v>
      </c>
      <c r="L8" s="561"/>
      <c r="M8" s="561"/>
      <c r="N8" s="561"/>
      <c r="O8" s="561"/>
      <c r="P8" s="561"/>
      <c r="Q8" s="561"/>
      <c r="R8" s="561"/>
      <c r="S8" s="561"/>
      <c r="T8" s="561"/>
      <c r="U8" s="561"/>
      <c r="V8" s="561"/>
      <c r="W8" s="561"/>
      <c r="X8" s="561"/>
      <c r="Y8" s="561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28"/>
    </row>
    <row r="9" spans="1:78" ht="35.1" customHeight="1" x14ac:dyDescent="0.2">
      <c r="A9" s="476" t="s">
        <v>331</v>
      </c>
      <c r="B9" s="477" t="str">
        <f ca="1">IF(AND(OR(COUNTIF(V_ACTIVITY,"*Rail*"),COUNTIF(V_ACTIVITY,"*Ferries*")),COUNTIF(C:C,"Tot_driv_hours")),IF(V_LANG="French",Desc_Tot_Driv_Hours_F,Desc_Tot_Driv_Hours_E),"")</f>
        <v/>
      </c>
      <c r="C9" s="467"/>
      <c r="D9" s="467"/>
      <c r="E9" s="467"/>
      <c r="F9" s="468"/>
      <c r="G9" s="473"/>
      <c r="H9" s="469"/>
      <c r="J9" s="30"/>
      <c r="M9" s="9"/>
      <c r="N9" s="9"/>
      <c r="O9" s="31"/>
      <c r="P9" s="31"/>
      <c r="Q9" s="32"/>
      <c r="R9" s="32"/>
      <c r="S9" s="32"/>
      <c r="T9" s="33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28"/>
    </row>
    <row r="10" spans="1:78" ht="21" customHeight="1" x14ac:dyDescent="0.2">
      <c r="A10" s="5"/>
      <c r="B10" s="5"/>
      <c r="D10" s="14" t="str">
        <f>N19</f>
        <v>English</v>
      </c>
      <c r="E10" s="14"/>
      <c r="F10" s="373" t="s">
        <v>245</v>
      </c>
      <c r="G10" s="372" t="s">
        <v>292</v>
      </c>
      <c r="J10" s="30"/>
      <c r="M10" s="219" t="str">
        <f ca="1">_xll.DBRA(Server&amp;Context!B32,Context!$B33,$N$19)</f>
        <v>Context selection</v>
      </c>
      <c r="N10" s="219"/>
      <c r="O10" s="31"/>
      <c r="P10" s="31"/>
      <c r="Q10" s="32"/>
      <c r="R10" s="32"/>
      <c r="S10" s="145"/>
      <c r="T10" s="33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28"/>
    </row>
    <row r="11" spans="1:78" ht="20.25" customHeight="1" x14ac:dyDescent="0.4">
      <c r="A11" s="373" t="s">
        <v>2</v>
      </c>
      <c r="B11" s="373"/>
      <c r="D11" s="10" t="str">
        <f ca="1">_xll.DBRA(Server&amp;$A11,$N11,$N$19)</f>
        <v>February 2020 YTD</v>
      </c>
      <c r="E11" s="10"/>
      <c r="F11" s="10" t="str">
        <f ca="1">ActualMonth&amp;"_YTD"</f>
        <v>2020.02_YTD</v>
      </c>
      <c r="G11" s="57" t="str">
        <f ca="1">_xll.DBRA(Server&amp;A13,D13,"Country")</f>
        <v/>
      </c>
      <c r="J11" s="30"/>
      <c r="M11" s="217" t="str">
        <f ca="1">_xll.DBRA(Server&amp;Context!$B$32,Context!$B34,$N$19)</f>
        <v>Period : Year/Month</v>
      </c>
      <c r="N11" s="296" t="str">
        <f ca="1">_xll.SUBNM(Server&amp;A11,"default",DEFAULT_PERIOD,$N$19)</f>
        <v>February 2020 YTD</v>
      </c>
      <c r="O11" s="9"/>
      <c r="P11" s="31"/>
      <c r="Q11" s="32"/>
      <c r="R11" s="32"/>
      <c r="S11" s="32"/>
      <c r="T11" s="33"/>
      <c r="U11" s="32"/>
      <c r="V11" s="153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28"/>
    </row>
    <row r="12" spans="1:78" ht="20.25" customHeight="1" x14ac:dyDescent="0.4">
      <c r="A12" s="373"/>
      <c r="B12" s="373"/>
      <c r="D12" s="10"/>
      <c r="E12" s="10"/>
      <c r="F12" s="10"/>
      <c r="J12" s="30"/>
      <c r="M12" s="218" t="str">
        <f>IF($N$19="English","Analysis Phase","Phase d'analyse")</f>
        <v>Analysis Phase</v>
      </c>
      <c r="N12" s="297" t="str">
        <f ca="1">DEFAULT_PHASE</f>
        <v>Actual</v>
      </c>
      <c r="O12" s="9"/>
      <c r="P12" s="31"/>
      <c r="Q12" s="32"/>
      <c r="R12" s="32"/>
      <c r="S12" s="32"/>
      <c r="T12" s="33"/>
      <c r="U12" s="32"/>
      <c r="V12" s="153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28"/>
    </row>
    <row r="13" spans="1:78" ht="20.25" customHeight="1" x14ac:dyDescent="0.2">
      <c r="A13" s="373" t="s">
        <v>234</v>
      </c>
      <c r="B13" s="373"/>
      <c r="D13" s="10" t="str">
        <f ca="1">_xll.DBRA(Server&amp;$A13,$N13,$N$19)</f>
        <v>TRANSDEV All</v>
      </c>
      <c r="E13" s="10"/>
      <c r="F13" s="10" t="str">
        <f ca="1">_xll.DBR(Server&amp;"z_Client_Properties","Default_Management_Organization",_xll.TM1USER(xServer))</f>
        <v>VTD_corp</v>
      </c>
      <c r="G13" s="372" t="s">
        <v>293</v>
      </c>
      <c r="J13" s="30"/>
      <c r="M13" s="218" t="str">
        <f ca="1">_xll.DBRA(Server&amp;Context!$B$32,Context!$B35,$N$19)</f>
        <v>Management organization</v>
      </c>
      <c r="N13" s="297" t="str">
        <f ca="1">_xll.SUBNM(Server&amp;A13,"TOUT",DEFAULT_MANAGEMENT_ORGANIZATION)</f>
        <v>VTD_corp</v>
      </c>
      <c r="O13" s="433" t="s">
        <v>291</v>
      </c>
      <c r="P13" s="31"/>
      <c r="Q13" s="432" t="str">
        <f ca="1">IF(_xll.ELLEV(Server&amp;$A$13,N13)=0,IF(G14&lt;&gt;"",G16,IF($N$19="English","Not PMM","Non PMM")),IF(_xll.ELISPAR(Server&amp;$A$13,"VTD_CORP_BM",RIGHT(N13,4)),_xll.DBR(Server&amp;"TC_BM_ACTIVITY_LABEL",$N$15,G11&amp;"_"&amp;RIGHT(N13,4),"STR_VAR1"),IF($N$19="English","Not Applicable","Non Applicable")))</f>
        <v>Not Applicable</v>
      </c>
      <c r="R13" s="32"/>
      <c r="S13" s="32"/>
      <c r="T13" s="33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28"/>
    </row>
    <row r="14" spans="1:78" ht="15.75" hidden="1" customHeight="1" x14ac:dyDescent="0.2">
      <c r="A14" s="373" t="s">
        <v>244</v>
      </c>
      <c r="B14" s="373"/>
      <c r="D14" s="10" t="str">
        <f ca="1">_xll.DBRA(Server&amp;$A14,$N14,$N$19)</f>
        <v>TRANSDEV All</v>
      </c>
      <c r="E14" s="10"/>
      <c r="F14" s="10" t="str">
        <f ca="1">_xll.DBR(Server&amp;"z_Client_Properties","Default_Legal_Organization",_xll.TM1USER(xServer))</f>
        <v>VTD_corp</v>
      </c>
      <c r="G14" s="57" t="str">
        <f ca="1">_xll.DBRA(Server&amp;A13,D13,"Business_Model")</f>
        <v/>
      </c>
      <c r="J14" s="30"/>
      <c r="M14" s="357" t="str">
        <f ca="1">_xll.DBRA(Server&amp;Context!$B$32,Context!$B36,$N$19)</f>
        <v>Legal organization</v>
      </c>
      <c r="N14" s="358" t="str">
        <f ca="1">_xll.SUBNM(Server&amp;A14,"",DEFAULT_LEGAL_ORGANIZATION,N19)</f>
        <v>TRANSDEV All</v>
      </c>
      <c r="O14" s="9"/>
      <c r="P14" s="31"/>
      <c r="Q14" s="32"/>
      <c r="R14" s="32"/>
      <c r="S14" s="32"/>
      <c r="T14" s="33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28"/>
    </row>
    <row r="15" spans="1:78" ht="20.25" customHeight="1" x14ac:dyDescent="0.25">
      <c r="A15" s="373" t="s">
        <v>4</v>
      </c>
      <c r="B15" s="373"/>
      <c r="D15" s="10" t="str">
        <f ca="1">_xll.DBRA(Server&amp;$A15,$N15,$N$19)</f>
        <v>PMM Transit activities</v>
      </c>
      <c r="E15" s="10"/>
      <c r="F15" s="10" t="s">
        <v>246</v>
      </c>
      <c r="G15" s="372" t="s">
        <v>294</v>
      </c>
      <c r="J15" s="30"/>
      <c r="M15" s="218" t="str">
        <f ca="1">_xll.DBRA(Server&amp;Context!$B$32,Context!$B37,$N$19)</f>
        <v>Activity</v>
      </c>
      <c r="N15" s="297" t="str">
        <f ca="1">_xll.SUBNM(Server&amp;A15,"PMM_ACTIVITY",DEFAULT_ACTIVITY,$N$19)</f>
        <v>PMM Transit activities</v>
      </c>
      <c r="O15" s="9"/>
      <c r="P15" s="31"/>
      <c r="Q15"/>
      <c r="R15" s="32"/>
      <c r="S15" s="32"/>
      <c r="T15" s="9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28"/>
    </row>
    <row r="16" spans="1:78" ht="20.25" customHeight="1" x14ac:dyDescent="0.25">
      <c r="A16" s="373" t="s">
        <v>5</v>
      </c>
      <c r="B16" s="373"/>
      <c r="D16" s="10" t="str">
        <f ca="1">_xll.DBRA(Server&amp;$A16,$N16,$N$19)</f>
        <v>Local Currency</v>
      </c>
      <c r="E16" s="10"/>
      <c r="F16" s="10" t="s">
        <v>247</v>
      </c>
      <c r="G16" s="57" t="str">
        <f ca="1">_xll.DBRW(Server&amp;"TC_BM_ACTIVITY_LABEL",$N$15,$G$11&amp;"_"&amp;$G$14,"STR_VAR1")</f>
        <v>*KEY_ERR</v>
      </c>
      <c r="J16" s="30"/>
      <c r="M16" s="218" t="str">
        <f ca="1">_xll.DBRA(Server&amp;Context!$B$32,Context!$B38,$N$19)</f>
        <v>Currency</v>
      </c>
      <c r="N16" s="297" t="str">
        <f ca="1">_xll.SUBNM(Server&amp;A16,"default",DEFAULT_CURRENCY,$N$19)</f>
        <v>Local Currency</v>
      </c>
      <c r="O16" s="9"/>
      <c r="P16" s="31"/>
      <c r="Q16" s="32"/>
      <c r="R16" s="32"/>
      <c r="S16"/>
      <c r="T16" s="33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28"/>
    </row>
    <row r="17" spans="1:78" ht="20.25" customHeight="1" x14ac:dyDescent="0.2">
      <c r="A17" s="373" t="s">
        <v>6</v>
      </c>
      <c r="B17" s="373"/>
      <c r="D17" s="10" t="str">
        <f ca="1">_xll.DBRA(Server&amp;$A17,$N17,$N$19)</f>
        <v>Local Gaap Management tool</v>
      </c>
      <c r="E17" s="10"/>
      <c r="F17" s="10" t="s">
        <v>248</v>
      </c>
      <c r="G17" s="57" t="s">
        <v>13</v>
      </c>
      <c r="J17" s="30"/>
      <c r="M17" s="218" t="str">
        <f ca="1">_xll.DBRA(Server&amp;Context!$B$32,Context!$B39,$N$19)</f>
        <v>Gaap</v>
      </c>
      <c r="N17" s="297" t="str">
        <f ca="1">_xll.SUBNM(Server&amp;A17,"",DEFAULT_GAAP,N19)</f>
        <v>Local Gaap Management tool</v>
      </c>
      <c r="O17" s="9"/>
      <c r="P17" s="31"/>
      <c r="Q17" s="32"/>
      <c r="R17" s="32"/>
      <c r="S17" s="32"/>
      <c r="T17" s="33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28"/>
    </row>
    <row r="18" spans="1:78" ht="20.25" customHeight="1" x14ac:dyDescent="0.2">
      <c r="A18" s="373" t="s">
        <v>243</v>
      </c>
      <c r="B18" s="373"/>
      <c r="D18" s="10" t="str">
        <f ca="1">_xll.DBRA(Server&amp;$A18,$N18,$N$19)</f>
        <v>Package data (Integration rate No-APP)</v>
      </c>
      <c r="E18" s="10"/>
      <c r="F18" s="10" t="s">
        <v>249</v>
      </c>
      <c r="G18" s="57" t="s">
        <v>13</v>
      </c>
      <c r="J18" s="30"/>
      <c r="M18" s="218" t="str">
        <f ca="1">_xll.DBRA(Server&amp;Context!$B$32,Context!$B40,$N$19)</f>
        <v>Integration rate</v>
      </c>
      <c r="N18" s="297" t="str">
        <f ca="1">_xll.SUBNM(Server&amp;A18,"",DEFAULT_INTEGRATION_RATE,N19)</f>
        <v>Package data (Integration rate No-APP)</v>
      </c>
      <c r="P18" s="31"/>
      <c r="Q18" s="32"/>
      <c r="R18" s="32"/>
      <c r="S18" s="32"/>
      <c r="T18" s="33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28"/>
    </row>
    <row r="19" spans="1:78" ht="20.25" customHeight="1" x14ac:dyDescent="0.2">
      <c r="B19" s="373"/>
      <c r="C19" s="373"/>
      <c r="D19" s="373"/>
      <c r="E19" s="373"/>
      <c r="F19" s="373"/>
      <c r="J19" s="30"/>
      <c r="M19" s="218" t="str">
        <f ca="1">_xll.DBRA(Server&amp;Context!$B$32,Context!$B41,$N$19)</f>
        <v>Language</v>
      </c>
      <c r="N19" s="298" t="s">
        <v>9</v>
      </c>
      <c r="P19" s="31"/>
      <c r="Q19" s="32"/>
      <c r="R19" s="32"/>
      <c r="S19" s="32"/>
      <c r="T19" s="33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28"/>
    </row>
    <row r="20" spans="1:78" ht="20.25" customHeight="1" x14ac:dyDescent="0.2">
      <c r="A20" s="372" t="s">
        <v>0</v>
      </c>
      <c r="B20" s="372"/>
      <c r="C20" s="372" t="s">
        <v>1</v>
      </c>
      <c r="D20" s="374" t="str">
        <f ca="1">_xll.DBRA(Server&amp;$A$20,$C20,$N$19)</f>
        <v>Actual</v>
      </c>
      <c r="E20" s="374" t="str">
        <f>C20</f>
        <v>ACT_TOT</v>
      </c>
      <c r="F20" s="10" t="str">
        <f ca="1">D20</f>
        <v>Actual</v>
      </c>
      <c r="J20" s="30"/>
      <c r="M20" s="218" t="str">
        <f>IF($N$19="English","Comparison Phases","Phases de comparaison")</f>
        <v>Comparison Phases</v>
      </c>
      <c r="N20" s="297" t="str">
        <f ca="1">F21</f>
        <v>Budget V current</v>
      </c>
      <c r="O20" s="297" t="str">
        <f ca="1">G21</f>
        <v>Actual</v>
      </c>
      <c r="P20" s="31"/>
      <c r="Q20" s="32"/>
      <c r="R20" s="32"/>
      <c r="S20" s="32"/>
      <c r="T20" s="33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28"/>
    </row>
    <row r="21" spans="1:78" ht="20.25" customHeight="1" x14ac:dyDescent="0.2">
      <c r="A21" s="372" t="s">
        <v>254</v>
      </c>
      <c r="B21" s="372" t="str">
        <f ca="1">_xll.DBR(Server&amp;"z_Admin_Param","BUDGET_VERSION_BUDGET_FORECAST","STR_VAR1")</f>
        <v>VC</v>
      </c>
      <c r="C21" s="372" t="str">
        <f ca="1">"BUDG"&amp;IF(B21="VF","","_"&amp;B21)&amp;"_TOT"</f>
        <v>BUDG_VC_TOT</v>
      </c>
      <c r="D21" s="374" t="str">
        <f ca="1">_xll.DBRA(Server&amp;$A$20,$C21,$N$19)</f>
        <v>Budget V current</v>
      </c>
      <c r="E21" s="374" t="str">
        <f ca="1">C21</f>
        <v>BUDG_VC_TOT</v>
      </c>
      <c r="F21" s="10" t="str">
        <f ca="1">D21</f>
        <v>Budget V current</v>
      </c>
      <c r="G21" s="10" t="str">
        <f ca="1">D20</f>
        <v>Actual</v>
      </c>
      <c r="J21" s="30"/>
      <c r="M21" s="218" t="str">
        <f>IF($N$19="English","Comparison year","Années de comparaison")</f>
        <v>Comparison year</v>
      </c>
      <c r="N21" s="297" t="str">
        <f>F22</f>
        <v>N</v>
      </c>
      <c r="O21" s="297" t="str">
        <f>G22</f>
        <v>N-1</v>
      </c>
      <c r="P21" s="31"/>
      <c r="Q21" s="32"/>
      <c r="R21" s="32"/>
      <c r="S21" s="32"/>
      <c r="T21" s="33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28"/>
    </row>
    <row r="22" spans="1:78" ht="20.25" customHeight="1" x14ac:dyDescent="0.2">
      <c r="A22" s="372" t="s">
        <v>255</v>
      </c>
      <c r="B22" s="372" t="str">
        <f ca="1">_xll.DBR(Server&amp;"z_Admin_Param","FORECAST_1_VERSION_BUDGET_FORECAST","STR_VAR1")</f>
        <v>VC</v>
      </c>
      <c r="C22" s="372" t="str">
        <f ca="1">"FC_1"&amp;IF(B22="VF","","_"&amp;B22)&amp;"_TOT"</f>
        <v>FC_1_VC_TOT</v>
      </c>
      <c r="D22" s="374" t="str">
        <f ca="1">_xll.DBRA(Server&amp;$A$20,$C22,$N$19)</f>
        <v>Forecast 1 V current</v>
      </c>
      <c r="E22" s="374" t="str">
        <f ca="1">C22</f>
        <v>FC_1_VC_TOT</v>
      </c>
      <c r="F22" s="10" t="str">
        <f>D26</f>
        <v>N</v>
      </c>
      <c r="G22" s="10" t="str">
        <f>D25</f>
        <v>N-1</v>
      </c>
      <c r="J22" s="30"/>
      <c r="M22" s="9"/>
      <c r="N22" s="9"/>
      <c r="O22" s="9"/>
      <c r="P22" s="31"/>
      <c r="Q22" s="32"/>
      <c r="R22" s="32"/>
      <c r="S22" s="32"/>
      <c r="T22" s="33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28"/>
    </row>
    <row r="23" spans="1:78" ht="11.25" customHeight="1" x14ac:dyDescent="0.4">
      <c r="A23" s="366" t="s">
        <v>256</v>
      </c>
      <c r="B23" s="372" t="str">
        <f ca="1">_xll.DBR(Server&amp;"z_Admin_Param","FORECAST_2_VERSION_BUDGET_FORECAST","STR_VAR1")</f>
        <v>VC</v>
      </c>
      <c r="C23" s="372" t="str">
        <f ca="1">"FC_2"&amp;IF(B23="VF","","_"&amp;B23)&amp;"_TOT"</f>
        <v>FC_2_VC_TOT</v>
      </c>
      <c r="D23" s="374" t="str">
        <f ca="1">_xll.DBRA(Server&amp;$A$20,$C23,$N$19)</f>
        <v>Forecast 2 V current</v>
      </c>
      <c r="E23" s="374" t="str">
        <f ca="1">C23</f>
        <v>FC_2_VC_TOT</v>
      </c>
      <c r="J23" s="30"/>
      <c r="M23" s="9"/>
      <c r="N23" s="9"/>
      <c r="O23" s="31"/>
      <c r="P23" s="31"/>
      <c r="Q23" s="153"/>
      <c r="R23" s="154"/>
      <c r="S23" s="32"/>
      <c r="T23" s="33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28"/>
    </row>
    <row r="24" spans="1:78" ht="15.75" hidden="1" customHeight="1" x14ac:dyDescent="0.4">
      <c r="A24" s="366" t="s">
        <v>250</v>
      </c>
      <c r="B24" s="372"/>
      <c r="C24" s="372" t="str">
        <f ca="1">E24</f>
        <v>2018</v>
      </c>
      <c r="D24" s="382" t="s">
        <v>332</v>
      </c>
      <c r="E24" s="375" t="str">
        <f ca="1">FIXED(ActualYear-2,0,TRUE)</f>
        <v>2018</v>
      </c>
      <c r="F24" s="57" t="s">
        <v>260</v>
      </c>
      <c r="J24" s="30"/>
      <c r="M24" s="449"/>
      <c r="N24" s="9"/>
      <c r="O24" s="31"/>
      <c r="P24" s="31"/>
      <c r="Q24" s="153"/>
      <c r="R24" s="154"/>
      <c r="S24" s="32"/>
      <c r="T24" s="33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28"/>
    </row>
    <row r="25" spans="1:78" ht="15.75" hidden="1" customHeight="1" x14ac:dyDescent="0.4">
      <c r="A25" s="366"/>
      <c r="B25" s="372"/>
      <c r="C25" s="372" t="str">
        <f ca="1">E25</f>
        <v>2019</v>
      </c>
      <c r="D25" s="382" t="s">
        <v>259</v>
      </c>
      <c r="E25" s="375" t="str">
        <f ca="1">FIXED(ActualYear-1,0,TRUE)</f>
        <v>2019</v>
      </c>
      <c r="F25" s="57" t="s">
        <v>260</v>
      </c>
      <c r="J25" s="30"/>
      <c r="M25" s="449"/>
      <c r="N25" s="9"/>
      <c r="O25" s="31"/>
      <c r="P25" s="31"/>
      <c r="Q25" s="153"/>
      <c r="R25" s="154"/>
      <c r="S25" s="32"/>
      <c r="T25" s="33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28"/>
    </row>
    <row r="26" spans="1:78" ht="20.25" hidden="1" customHeight="1" x14ac:dyDescent="0.4">
      <c r="A26" s="366"/>
      <c r="B26" s="372"/>
      <c r="C26" s="372" t="str">
        <f ca="1">E26</f>
        <v>2020</v>
      </c>
      <c r="D26" s="382" t="s">
        <v>257</v>
      </c>
      <c r="E26" s="375" t="str">
        <f ca="1">ActualYear</f>
        <v>2020</v>
      </c>
      <c r="F26" s="57"/>
      <c r="J26" s="30"/>
      <c r="M26" s="449"/>
      <c r="N26" s="9"/>
      <c r="O26" s="31"/>
      <c r="P26" s="31"/>
      <c r="Q26" s="153"/>
      <c r="R26" s="154"/>
      <c r="S26" s="32"/>
      <c r="T26" s="33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28"/>
    </row>
    <row r="27" spans="1:78" ht="20.25" hidden="1" customHeight="1" x14ac:dyDescent="0.4">
      <c r="A27" s="366"/>
      <c r="B27" s="372"/>
      <c r="C27" s="372" t="str">
        <f ca="1">E27</f>
        <v>2021</v>
      </c>
      <c r="D27" s="382" t="s">
        <v>258</v>
      </c>
      <c r="E27" s="375" t="str">
        <f ca="1">FIXED(ActualYear+1,0,TRUE)</f>
        <v>2021</v>
      </c>
      <c r="F27" s="57" t="s">
        <v>261</v>
      </c>
      <c r="J27" s="30"/>
      <c r="M27" s="449"/>
      <c r="N27" s="9"/>
      <c r="O27" s="31"/>
      <c r="P27" s="31"/>
      <c r="Q27" s="153"/>
      <c r="R27" s="154"/>
      <c r="S27" s="154"/>
      <c r="T27" s="154"/>
      <c r="U27" s="154"/>
      <c r="V27" s="154"/>
      <c r="W27" s="32"/>
      <c r="X27" s="32"/>
      <c r="Y27" s="32"/>
      <c r="Z27" s="32"/>
      <c r="AA27" s="32"/>
      <c r="AB27" s="400"/>
      <c r="AC27" s="400"/>
      <c r="AD27" s="400"/>
      <c r="AE27" s="400"/>
      <c r="AF27" s="400"/>
      <c r="AG27" s="400"/>
      <c r="AH27" s="400"/>
      <c r="AI27" s="400"/>
      <c r="AJ27" s="400"/>
      <c r="AK27" s="400"/>
      <c r="AL27" s="400"/>
      <c r="AM27" s="400"/>
      <c r="AN27" s="400"/>
      <c r="AO27" s="400"/>
      <c r="AP27" s="400"/>
      <c r="AQ27" s="400"/>
      <c r="AR27" s="400"/>
      <c r="AS27" s="400"/>
      <c r="AT27" s="400"/>
      <c r="AU27" s="400"/>
      <c r="AV27" s="400"/>
      <c r="AW27" s="400"/>
      <c r="AX27" s="400"/>
      <c r="AY27" s="400"/>
      <c r="AZ27" s="400"/>
      <c r="BA27" s="400"/>
      <c r="BB27" s="400"/>
      <c r="BC27" s="400"/>
      <c r="BD27" s="400"/>
      <c r="BE27" s="400"/>
      <c r="BF27" s="400"/>
      <c r="BG27" s="400"/>
      <c r="BH27" s="400"/>
      <c r="BI27" s="400"/>
      <c r="BJ27" s="400"/>
      <c r="BK27" s="400"/>
      <c r="BL27" s="400"/>
      <c r="BM27" s="400"/>
      <c r="BN27" s="400"/>
      <c r="BO27" s="400"/>
      <c r="BP27" s="400"/>
      <c r="BQ27" s="400"/>
      <c r="BR27" s="400"/>
      <c r="BS27" s="400"/>
      <c r="BT27" s="400"/>
      <c r="BU27" s="400"/>
      <c r="BV27" s="400"/>
      <c r="BW27" s="32"/>
      <c r="BX27" s="28"/>
    </row>
    <row r="28" spans="1:78" ht="20.25" hidden="1" customHeight="1" x14ac:dyDescent="0.4">
      <c r="A28" s="366" t="s">
        <v>250</v>
      </c>
      <c r="D28" s="9"/>
      <c r="E28" s="9"/>
      <c r="F28" s="9"/>
      <c r="J28" s="30"/>
      <c r="M28" s="600"/>
      <c r="N28" s="9"/>
      <c r="O28" s="31"/>
      <c r="P28" s="31"/>
      <c r="Q28" s="153"/>
      <c r="R28" s="154"/>
      <c r="S28" s="32"/>
      <c r="T28" s="33"/>
      <c r="U28" s="32"/>
      <c r="V28" s="32"/>
      <c r="W28" s="32"/>
      <c r="X28" s="32"/>
      <c r="Y28" s="32"/>
      <c r="Z28" s="32"/>
      <c r="AA28" s="32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400"/>
      <c r="AS28" s="400"/>
      <c r="AT28" s="400"/>
      <c r="AU28" s="400"/>
      <c r="AV28" s="400"/>
      <c r="AW28" s="400"/>
      <c r="AX28" s="400"/>
      <c r="AY28" s="400"/>
      <c r="AZ28" s="400"/>
      <c r="BA28" s="400"/>
      <c r="BB28" s="400"/>
      <c r="BC28" s="400"/>
      <c r="BD28" s="400"/>
      <c r="BE28" s="400"/>
      <c r="BF28" s="400"/>
      <c r="BG28" s="400"/>
      <c r="BH28" s="400"/>
      <c r="BI28" s="400"/>
      <c r="BJ28" s="400"/>
      <c r="BK28" s="400"/>
      <c r="BL28" s="400"/>
      <c r="BM28" s="400"/>
      <c r="BN28" s="400"/>
      <c r="BO28" s="400"/>
      <c r="BP28" s="400"/>
      <c r="BQ28" s="400"/>
      <c r="BR28" s="400"/>
      <c r="BS28" s="400"/>
      <c r="BT28" s="400"/>
      <c r="BU28" s="400"/>
      <c r="BV28" s="400"/>
      <c r="BW28" s="32"/>
      <c r="BX28" s="28"/>
    </row>
    <row r="29" spans="1:78" s="35" customFormat="1" ht="12.75" customHeight="1" x14ac:dyDescent="0.2">
      <c r="D29" s="1"/>
      <c r="E29" s="1"/>
      <c r="G29" s="376"/>
      <c r="H29" s="376"/>
      <c r="I29" s="1"/>
      <c r="J29" s="30"/>
      <c r="K29" s="1"/>
      <c r="L29" s="1"/>
      <c r="M29" s="600"/>
      <c r="N29" s="9"/>
      <c r="O29" s="9"/>
      <c r="P29" s="37"/>
      <c r="Q29" s="562" t="str">
        <f ca="1">_xll.DBRA(Server&amp;$A$11,$N11,$N$19)</f>
        <v>February 2020 YTD</v>
      </c>
      <c r="R29" s="562"/>
      <c r="S29" s="562"/>
      <c r="T29" s="562"/>
      <c r="U29" s="562"/>
      <c r="V29" s="562"/>
      <c r="W29" s="562"/>
      <c r="X29" s="562"/>
      <c r="Y29" s="38"/>
      <c r="Z29" s="38"/>
      <c r="AA29" s="38"/>
      <c r="AB29" s="594" t="str">
        <f>IF($N$19="English","January","Janvier")</f>
        <v>January</v>
      </c>
      <c r="AC29" s="562"/>
      <c r="AD29" s="595"/>
      <c r="AE29" s="400"/>
      <c r="AF29" s="594" t="str">
        <f>IF($N$19="English","February","Février")</f>
        <v>February</v>
      </c>
      <c r="AG29" s="562"/>
      <c r="AH29" s="595"/>
      <c r="AI29" s="400"/>
      <c r="AJ29" s="594" t="str">
        <f>IF($N$19="English","March","Mars")</f>
        <v>March</v>
      </c>
      <c r="AK29" s="562"/>
      <c r="AL29" s="595"/>
      <c r="AM29" s="400"/>
      <c r="AN29" s="594" t="str">
        <f>IF($N$19="English","April","Avril")</f>
        <v>April</v>
      </c>
      <c r="AO29" s="562"/>
      <c r="AP29" s="595"/>
      <c r="AQ29" s="400"/>
      <c r="AR29" s="594" t="str">
        <f>IF($N$19="English","May","Mai")</f>
        <v>May</v>
      </c>
      <c r="AS29" s="562"/>
      <c r="AT29" s="595"/>
      <c r="AU29" s="400"/>
      <c r="AV29" s="594" t="str">
        <f>IF($N$19="English","June","Juin")</f>
        <v>June</v>
      </c>
      <c r="AW29" s="562"/>
      <c r="AX29" s="595"/>
      <c r="AY29" s="400"/>
      <c r="AZ29" s="594" t="str">
        <f>IF($N$19="English","July","Juillet")</f>
        <v>July</v>
      </c>
      <c r="BA29" s="562"/>
      <c r="BB29" s="595"/>
      <c r="BC29" s="400"/>
      <c r="BD29" s="594" t="str">
        <f>IF($N$19="English","August","Août")</f>
        <v>August</v>
      </c>
      <c r="BE29" s="562"/>
      <c r="BF29" s="595"/>
      <c r="BG29" s="400"/>
      <c r="BH29" s="594" t="str">
        <f>IF($N$19="English","September","Septembre")</f>
        <v>September</v>
      </c>
      <c r="BI29" s="562"/>
      <c r="BJ29" s="595"/>
      <c r="BK29" s="400"/>
      <c r="BL29" s="594" t="str">
        <f>IF($N$19="English","October","Octobre")</f>
        <v>October</v>
      </c>
      <c r="BM29" s="562"/>
      <c r="BN29" s="595"/>
      <c r="BO29" s="400"/>
      <c r="BP29" s="594" t="str">
        <f>IF($N$19="English","November","Novembre")</f>
        <v>November</v>
      </c>
      <c r="BQ29" s="562"/>
      <c r="BR29" s="595"/>
      <c r="BS29" s="400"/>
      <c r="BT29" s="594" t="str">
        <f>IF($N$19="English","December","Décembre")</f>
        <v>December</v>
      </c>
      <c r="BU29" s="562"/>
      <c r="BV29" s="595"/>
      <c r="BW29" s="38"/>
      <c r="BX29" s="28"/>
      <c r="BY29" s="34"/>
      <c r="BZ29" s="34"/>
    </row>
    <row r="30" spans="1:78" s="35" customFormat="1" ht="12.75" customHeight="1" x14ac:dyDescent="0.25">
      <c r="D30" s="1"/>
      <c r="E30" s="1"/>
      <c r="F30" s="39"/>
      <c r="G30" s="376"/>
      <c r="H30" s="376"/>
      <c r="I30" s="1"/>
      <c r="J30" s="30"/>
      <c r="K30" s="1"/>
      <c r="L30" s="1"/>
      <c r="M30" s="9"/>
      <c r="N30" s="9"/>
      <c r="O30" s="40"/>
      <c r="P30" s="37"/>
      <c r="Q30" s="562"/>
      <c r="R30" s="562"/>
      <c r="S30" s="562"/>
      <c r="T30" s="562"/>
      <c r="U30" s="562"/>
      <c r="V30" s="562"/>
      <c r="W30" s="562"/>
      <c r="X30" s="562"/>
      <c r="Y30" s="38"/>
      <c r="Z30" s="38"/>
      <c r="AA30" s="38"/>
      <c r="AB30" s="594"/>
      <c r="AC30" s="562"/>
      <c r="AD30" s="595"/>
      <c r="AE30" s="400"/>
      <c r="AF30" s="594"/>
      <c r="AG30" s="562"/>
      <c r="AH30" s="595"/>
      <c r="AI30" s="400"/>
      <c r="AJ30" s="594"/>
      <c r="AK30" s="562"/>
      <c r="AL30" s="595"/>
      <c r="AM30" s="400"/>
      <c r="AN30" s="594"/>
      <c r="AO30" s="562"/>
      <c r="AP30" s="595"/>
      <c r="AQ30" s="400"/>
      <c r="AR30" s="594"/>
      <c r="AS30" s="562"/>
      <c r="AT30" s="595"/>
      <c r="AU30" s="400"/>
      <c r="AV30" s="594"/>
      <c r="AW30" s="562"/>
      <c r="AX30" s="595"/>
      <c r="AY30" s="400"/>
      <c r="AZ30" s="594"/>
      <c r="BA30" s="562"/>
      <c r="BB30" s="595"/>
      <c r="BC30" s="400"/>
      <c r="BD30" s="594"/>
      <c r="BE30" s="562"/>
      <c r="BF30" s="595"/>
      <c r="BG30" s="400"/>
      <c r="BH30" s="594"/>
      <c r="BI30" s="562"/>
      <c r="BJ30" s="595"/>
      <c r="BK30" s="400"/>
      <c r="BL30" s="594"/>
      <c r="BM30" s="562"/>
      <c r="BN30" s="595"/>
      <c r="BO30" s="400"/>
      <c r="BP30" s="594"/>
      <c r="BQ30" s="562"/>
      <c r="BR30" s="595"/>
      <c r="BS30" s="400"/>
      <c r="BT30" s="594"/>
      <c r="BU30" s="562"/>
      <c r="BV30" s="595"/>
      <c r="BW30" s="38"/>
      <c r="BX30" s="28"/>
      <c r="BY30" s="34"/>
      <c r="BZ30" s="34"/>
    </row>
    <row r="31" spans="1:78" s="43" customFormat="1" ht="2.25" customHeight="1" x14ac:dyDescent="0.25">
      <c r="D31" s="41"/>
      <c r="E31" s="41"/>
      <c r="F31" s="42"/>
      <c r="G31" s="376"/>
      <c r="H31" s="376"/>
      <c r="I31" s="1"/>
      <c r="J31" s="30"/>
      <c r="K31" s="1"/>
      <c r="L31" s="1"/>
      <c r="M31" s="9"/>
      <c r="N31" s="9"/>
      <c r="O31" s="40"/>
      <c r="P31" s="44"/>
      <c r="Q31" s="45"/>
      <c r="R31" s="45"/>
      <c r="S31" s="45"/>
      <c r="T31" s="45"/>
      <c r="U31" s="46"/>
      <c r="V31" s="45"/>
      <c r="W31" s="45"/>
      <c r="X31" s="45"/>
      <c r="Y31" s="47"/>
      <c r="Z31" s="47"/>
      <c r="AA31" s="47"/>
      <c r="AB31" s="401"/>
      <c r="AC31" s="401"/>
      <c r="AD31" s="401"/>
      <c r="AE31" s="400"/>
      <c r="AF31" s="401"/>
      <c r="AG31" s="401"/>
      <c r="AH31" s="401"/>
      <c r="AI31" s="400"/>
      <c r="AJ31" s="401"/>
      <c r="AK31" s="401"/>
      <c r="AL31" s="401"/>
      <c r="AM31" s="400"/>
      <c r="AN31" s="401"/>
      <c r="AO31" s="401"/>
      <c r="AP31" s="401"/>
      <c r="AQ31" s="400"/>
      <c r="AR31" s="401"/>
      <c r="AS31" s="401"/>
      <c r="AT31" s="401"/>
      <c r="AU31" s="400"/>
      <c r="AV31" s="401"/>
      <c r="AW31" s="401"/>
      <c r="AX31" s="401"/>
      <c r="AY31" s="400"/>
      <c r="AZ31" s="401"/>
      <c r="BA31" s="401"/>
      <c r="BB31" s="401"/>
      <c r="BC31" s="400"/>
      <c r="BD31" s="401"/>
      <c r="BE31" s="401"/>
      <c r="BF31" s="401"/>
      <c r="BG31" s="400"/>
      <c r="BH31" s="401"/>
      <c r="BI31" s="401"/>
      <c r="BJ31" s="401"/>
      <c r="BK31" s="400"/>
      <c r="BL31" s="401"/>
      <c r="BM31" s="401"/>
      <c r="BN31" s="401"/>
      <c r="BO31" s="400"/>
      <c r="BP31" s="401"/>
      <c r="BQ31" s="401"/>
      <c r="BR31" s="401"/>
      <c r="BS31" s="400"/>
      <c r="BT31" s="401"/>
      <c r="BU31" s="401"/>
      <c r="BV31" s="401"/>
      <c r="BW31" s="47"/>
      <c r="BX31" s="48"/>
      <c r="BY31" s="395"/>
      <c r="BZ31" s="34"/>
    </row>
    <row r="32" spans="1:78" s="35" customFormat="1" ht="26.25" customHeight="1" x14ac:dyDescent="0.25">
      <c r="A32" s="39"/>
      <c r="B32" s="376" t="s">
        <v>12</v>
      </c>
      <c r="D32" s="1"/>
      <c r="E32" s="1"/>
      <c r="H32" s="376"/>
      <c r="I32" s="1"/>
      <c r="J32" s="30"/>
      <c r="K32" s="1"/>
      <c r="L32" s="1"/>
      <c r="M32" s="9"/>
      <c r="N32" s="9"/>
      <c r="O32" s="40"/>
      <c r="P32" s="37"/>
      <c r="Q32" s="289" t="str">
        <f ca="1">N12</f>
        <v>Actual</v>
      </c>
      <c r="R32" s="289" t="str">
        <f ca="1">N20&amp;" "&amp;N21</f>
        <v>Budget V current N</v>
      </c>
      <c r="S32" s="563" t="str">
        <f ca="1">Q32&amp;" / "&amp;R32</f>
        <v>Actual / Budget V current N</v>
      </c>
      <c r="T32" s="564"/>
      <c r="U32" s="290"/>
      <c r="V32" s="289" t="str">
        <f ca="1">O20&amp;" "&amp;O21</f>
        <v>Actual N-1</v>
      </c>
      <c r="W32" s="565" t="str">
        <f ca="1">Q32&amp;" / "&amp;V32</f>
        <v>Actual / Actual N-1</v>
      </c>
      <c r="X32" s="564"/>
      <c r="Y32" s="38"/>
      <c r="Z32" s="38"/>
      <c r="AA32" s="38"/>
      <c r="AB32" s="289" t="str">
        <f ca="1">VLOOKUP(AB$1,$C$20:$D$23,2,0)</f>
        <v>Actual</v>
      </c>
      <c r="AC32" s="289" t="str">
        <f ca="1">VLOOKUP(AC$1,$C$20:$D$23,2,0)&amp;" "&amp;VLOOKUP($R$3,$C$24:$D$27,2,0)</f>
        <v>Budget V current N</v>
      </c>
      <c r="AD32" s="289" t="str">
        <f ca="1">VLOOKUP(AD$1,$C$20:$D$23,2,0)&amp;" "&amp;VLOOKUP($S$3,$C$24:$D$27,2,0)</f>
        <v>Actual N-1</v>
      </c>
      <c r="AE32" s="400"/>
      <c r="AF32" s="289" t="str">
        <f ca="1">VLOOKUP(AF$1,$C$20:$D$23,2,0)</f>
        <v>Actual</v>
      </c>
      <c r="AG32" s="289" t="str">
        <f ca="1">VLOOKUP(AG$1,$C$20:$D$23,2,0)&amp;" "&amp;VLOOKUP($R$3,$C$24:$D$27,2,0)</f>
        <v>Budget V current N</v>
      </c>
      <c r="AH32" s="289" t="str">
        <f ca="1">VLOOKUP(AH$1,$C$20:$D$23,2,0)&amp;" "&amp;VLOOKUP($S$3,$C$24:$D$27,2,0)</f>
        <v>Actual N-1</v>
      </c>
      <c r="AI32" s="400"/>
      <c r="AJ32" s="289" t="str">
        <f ca="1">VLOOKUP(AJ$1,$C$20:$D$23,2,0)</f>
        <v>Actual</v>
      </c>
      <c r="AK32" s="289" t="str">
        <f ca="1">VLOOKUP(AK$1,$C$20:$D$23,2,0)&amp;" "&amp;VLOOKUP($R$3,$C$24:$D$27,2,0)</f>
        <v>Budget V current N</v>
      </c>
      <c r="AL32" s="289" t="str">
        <f ca="1">VLOOKUP(AL$1,$C$20:$D$23,2,0)&amp;" "&amp;VLOOKUP($S$3,$C$24:$D$27,2,0)</f>
        <v>Actual N-1</v>
      </c>
      <c r="AM32" s="400"/>
      <c r="AN32" s="289" t="str">
        <f ca="1">VLOOKUP(AN$1,$C$20:$D$23,2,0)</f>
        <v>Actual</v>
      </c>
      <c r="AO32" s="289" t="str">
        <f ca="1">VLOOKUP(AO$1,$C$20:$D$23,2,0)&amp;" "&amp;VLOOKUP($R$3,$C$24:$D$27,2,0)</f>
        <v>Budget V current N</v>
      </c>
      <c r="AP32" s="289" t="str">
        <f ca="1">VLOOKUP(AP$1,$C$20:$D$23,2,0)&amp;" "&amp;VLOOKUP($S$3,$C$24:$D$27,2,0)</f>
        <v>Actual N-1</v>
      </c>
      <c r="AQ32" s="400"/>
      <c r="AR32" s="289" t="str">
        <f ca="1">VLOOKUP(AR$1,$C$20:$D$23,2,0)</f>
        <v>Actual</v>
      </c>
      <c r="AS32" s="289" t="str">
        <f ca="1">VLOOKUP(AS$1,$C$20:$D$23,2,0)&amp;" "&amp;VLOOKUP($R$3,$C$24:$D$27,2,0)</f>
        <v>Budget V current N</v>
      </c>
      <c r="AT32" s="289" t="str">
        <f ca="1">VLOOKUP(AT$1,$C$20:$D$23,2,0)&amp;" "&amp;VLOOKUP($S$3,$C$24:$D$27,2,0)</f>
        <v>Actual N-1</v>
      </c>
      <c r="AU32" s="400"/>
      <c r="AV32" s="289" t="str">
        <f ca="1">VLOOKUP(AV$1,$C$20:$D$23,2,0)</f>
        <v>Actual</v>
      </c>
      <c r="AW32" s="289" t="str">
        <f ca="1">VLOOKUP(AW$1,$C$20:$D$23,2,0)&amp;" "&amp;VLOOKUP($R$3,$C$24:$D$27,2,0)</f>
        <v>Budget V current N</v>
      </c>
      <c r="AX32" s="289" t="str">
        <f ca="1">VLOOKUP(AX$1,$C$20:$D$23,2,0)&amp;" "&amp;VLOOKUP($S$3,$C$24:$D$27,2,0)</f>
        <v>Actual N-1</v>
      </c>
      <c r="AY32" s="400"/>
      <c r="AZ32" s="289" t="str">
        <f ca="1">VLOOKUP(AZ$1,$C$20:$D$23,2,0)</f>
        <v>Actual</v>
      </c>
      <c r="BA32" s="289" t="str">
        <f ca="1">VLOOKUP(BA$1,$C$20:$D$23,2,0)&amp;" "&amp;VLOOKUP($R$3,$C$24:$D$27,2,0)</f>
        <v>Budget V current N</v>
      </c>
      <c r="BB32" s="289" t="str">
        <f ca="1">VLOOKUP(BB$1,$C$20:$D$23,2,0)&amp;" "&amp;VLOOKUP($S$3,$C$24:$D$27,2,0)</f>
        <v>Actual N-1</v>
      </c>
      <c r="BC32" s="400"/>
      <c r="BD32" s="289" t="str">
        <f ca="1">VLOOKUP(BD$1,$C$20:$D$23,2,0)</f>
        <v>Actual</v>
      </c>
      <c r="BE32" s="289" t="str">
        <f ca="1">VLOOKUP(BE$1,$C$20:$D$23,2,0)&amp;" "&amp;VLOOKUP($R$3,$C$24:$D$27,2,0)</f>
        <v>Budget V current N</v>
      </c>
      <c r="BF32" s="289" t="str">
        <f ca="1">VLOOKUP(BF$1,$C$20:$D$23,2,0)&amp;" "&amp;VLOOKUP($S$3,$C$24:$D$27,2,0)</f>
        <v>Actual N-1</v>
      </c>
      <c r="BG32" s="400"/>
      <c r="BH32" s="289" t="str">
        <f ca="1">VLOOKUP(BH$1,$C$20:$D$23,2,0)</f>
        <v>Actual</v>
      </c>
      <c r="BI32" s="289" t="str">
        <f ca="1">VLOOKUP(BI$1,$C$20:$D$23,2,0)&amp;" "&amp;VLOOKUP($R$3,$C$24:$D$27,2,0)</f>
        <v>Budget V current N</v>
      </c>
      <c r="BJ32" s="289" t="str">
        <f ca="1">VLOOKUP(BJ$1,$C$20:$D$23,2,0)&amp;" "&amp;VLOOKUP($S$3,$C$24:$D$27,2,0)</f>
        <v>Actual N-1</v>
      </c>
      <c r="BK32" s="400"/>
      <c r="BL32" s="289" t="str">
        <f ca="1">VLOOKUP(BL$1,$C$20:$D$23,2,0)</f>
        <v>Actual</v>
      </c>
      <c r="BM32" s="289" t="str">
        <f ca="1">VLOOKUP(BM$1,$C$20:$D$23,2,0)&amp;" "&amp;VLOOKUP($R$3,$C$24:$D$27,2,0)</f>
        <v>Budget V current N</v>
      </c>
      <c r="BN32" s="289" t="str">
        <f ca="1">VLOOKUP(BN$1,$C$20:$D$23,2,0)&amp;" "&amp;VLOOKUP($S$3,$C$24:$D$27,2,0)</f>
        <v>Actual N-1</v>
      </c>
      <c r="BO32" s="400"/>
      <c r="BP32" s="289" t="str">
        <f ca="1">VLOOKUP(BP$1,$C$20:$D$23,2,0)</f>
        <v>Actual</v>
      </c>
      <c r="BQ32" s="289" t="str">
        <f ca="1">VLOOKUP(BQ$1,$C$20:$D$23,2,0)&amp;" "&amp;VLOOKUP($R$3,$C$24:$D$27,2,0)</f>
        <v>Budget V current N</v>
      </c>
      <c r="BR32" s="289" t="str">
        <f ca="1">VLOOKUP(BR$1,$C$20:$D$23,2,0)&amp;" "&amp;VLOOKUP($S$3,$C$24:$D$27,2,0)</f>
        <v>Actual N-1</v>
      </c>
      <c r="BS32" s="400"/>
      <c r="BT32" s="289" t="str">
        <f ca="1">VLOOKUP(BT$1,$C$20:$D$23,2,0)</f>
        <v>Actual</v>
      </c>
      <c r="BU32" s="289" t="str">
        <f ca="1">VLOOKUP(BU$1,$C$20:$D$23,2,0)&amp;" "&amp;VLOOKUP($R$3,$C$24:$D$27,2,0)</f>
        <v>Budget V current N</v>
      </c>
      <c r="BV32" s="289" t="str">
        <f ca="1">VLOOKUP(BV$1,$C$20:$D$23,2,0)&amp;" "&amp;VLOOKUP($S$3,$C$24:$D$27,2,0)</f>
        <v>Actual N-1</v>
      </c>
      <c r="BW32" s="38"/>
      <c r="BX32" s="28"/>
      <c r="BY32" s="34"/>
      <c r="BZ32" s="34"/>
    </row>
    <row r="33" spans="1:78" s="35" customFormat="1" ht="5.25" customHeight="1" x14ac:dyDescent="0.25">
      <c r="A33" s="39"/>
      <c r="B33" s="36"/>
      <c r="D33" s="1"/>
      <c r="E33" s="1"/>
      <c r="H33" s="36"/>
      <c r="I33" s="1"/>
      <c r="J33" s="30"/>
      <c r="K33" s="36"/>
      <c r="L33" s="36"/>
      <c r="M33" s="9"/>
      <c r="N33" s="9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0"/>
      <c r="AF33" s="40"/>
      <c r="AG33" s="40"/>
      <c r="AH33" s="40"/>
      <c r="AI33" s="400"/>
      <c r="AJ33" s="40"/>
      <c r="AK33" s="40"/>
      <c r="AL33" s="40"/>
      <c r="AM33" s="400"/>
      <c r="AN33" s="40"/>
      <c r="AO33" s="40"/>
      <c r="AP33" s="40"/>
      <c r="AQ33" s="400"/>
      <c r="AR33" s="40"/>
      <c r="AS33" s="40"/>
      <c r="AT33" s="40"/>
      <c r="AU33" s="400"/>
      <c r="AV33" s="40"/>
      <c r="AW33" s="40"/>
      <c r="AX33" s="40"/>
      <c r="AY33" s="400"/>
      <c r="AZ33" s="40"/>
      <c r="BA33" s="40"/>
      <c r="BB33" s="40"/>
      <c r="BC33" s="400"/>
      <c r="BD33" s="40"/>
      <c r="BE33" s="40"/>
      <c r="BF33" s="40"/>
      <c r="BG33" s="400"/>
      <c r="BH33" s="40"/>
      <c r="BI33" s="40"/>
      <c r="BJ33" s="40"/>
      <c r="BK33" s="400"/>
      <c r="BL33" s="40"/>
      <c r="BM33" s="40"/>
      <c r="BN33" s="40"/>
      <c r="BO33" s="400"/>
      <c r="BP33" s="40"/>
      <c r="BQ33" s="40"/>
      <c r="BR33" s="40"/>
      <c r="BS33" s="400"/>
      <c r="BT33" s="40"/>
      <c r="BU33" s="40"/>
      <c r="BV33" s="40"/>
      <c r="BW33" s="40"/>
      <c r="BX33" s="28"/>
      <c r="BY33" s="34"/>
      <c r="BZ33" s="34"/>
    </row>
    <row r="34" spans="1:78" s="35" customFormat="1" ht="5.25" customHeight="1" x14ac:dyDescent="0.25">
      <c r="A34" s="39" t="s">
        <v>12</v>
      </c>
      <c r="B34" s="36"/>
      <c r="H34" s="36"/>
      <c r="I34" s="1"/>
      <c r="J34" s="30"/>
      <c r="K34" s="36"/>
      <c r="L34" s="36"/>
      <c r="M34" s="9"/>
      <c r="N34" s="9"/>
      <c r="O34" s="40"/>
      <c r="P34" s="37"/>
      <c r="Q34" s="50"/>
      <c r="R34" s="50"/>
      <c r="S34" s="38"/>
      <c r="T34" s="38"/>
      <c r="U34" s="49"/>
      <c r="V34" s="50"/>
      <c r="W34" s="50"/>
      <c r="X34" s="51"/>
      <c r="Y34" s="38"/>
      <c r="Z34" s="38"/>
      <c r="AA34" s="38"/>
      <c r="AB34" s="38"/>
      <c r="AC34" s="38"/>
      <c r="AD34" s="38"/>
      <c r="AE34" s="400"/>
      <c r="AF34" s="38"/>
      <c r="AG34" s="38"/>
      <c r="AH34" s="38"/>
      <c r="AI34" s="400"/>
      <c r="AJ34" s="38"/>
      <c r="AK34" s="38"/>
      <c r="AL34" s="38"/>
      <c r="AM34" s="400"/>
      <c r="AN34" s="38"/>
      <c r="AO34" s="38"/>
      <c r="AP34" s="38"/>
      <c r="AQ34" s="400"/>
      <c r="AR34" s="38"/>
      <c r="AS34" s="38"/>
      <c r="AT34" s="38"/>
      <c r="AU34" s="400"/>
      <c r="AV34" s="38"/>
      <c r="AW34" s="38"/>
      <c r="AX34" s="38"/>
      <c r="AY34" s="400"/>
      <c r="AZ34" s="38"/>
      <c r="BA34" s="38"/>
      <c r="BB34" s="38"/>
      <c r="BC34" s="400"/>
      <c r="BD34" s="38"/>
      <c r="BE34" s="38"/>
      <c r="BF34" s="38"/>
      <c r="BG34" s="400"/>
      <c r="BH34" s="38"/>
      <c r="BI34" s="38"/>
      <c r="BJ34" s="38"/>
      <c r="BK34" s="400"/>
      <c r="BL34" s="38"/>
      <c r="BM34" s="38"/>
      <c r="BN34" s="38"/>
      <c r="BO34" s="400"/>
      <c r="BP34" s="38"/>
      <c r="BQ34" s="38"/>
      <c r="BR34" s="38"/>
      <c r="BS34" s="400"/>
      <c r="BT34" s="38"/>
      <c r="BU34" s="38"/>
      <c r="BV34" s="38"/>
      <c r="BW34" s="38"/>
      <c r="BX34" s="28"/>
      <c r="BY34" s="34"/>
      <c r="BZ34" s="34"/>
    </row>
    <row r="35" spans="1:78" ht="3.75" hidden="1" customHeight="1" x14ac:dyDescent="0.25">
      <c r="A35" s="57"/>
      <c r="B35" s="377"/>
      <c r="H35" s="377"/>
      <c r="I35" s="95"/>
      <c r="J35" s="58"/>
      <c r="K35" s="59"/>
      <c r="L35" s="60"/>
      <c r="M35" s="61"/>
      <c r="N35" s="61"/>
      <c r="O35" s="61"/>
      <c r="P35" s="62"/>
      <c r="Q35" s="63"/>
      <c r="R35" s="63"/>
      <c r="S35" s="64"/>
      <c r="T35" s="65"/>
      <c r="U35" s="66"/>
      <c r="V35" s="63"/>
      <c r="W35" s="64"/>
      <c r="X35" s="65"/>
      <c r="Y35" s="56"/>
      <c r="Z35" s="56"/>
      <c r="AA35" s="56"/>
      <c r="AB35" s="63"/>
      <c r="AC35" s="63"/>
      <c r="AD35" s="63"/>
      <c r="AE35" s="400"/>
      <c r="AF35" s="63"/>
      <c r="AG35" s="63"/>
      <c r="AH35" s="63"/>
      <c r="AI35" s="400"/>
      <c r="AJ35" s="63"/>
      <c r="AK35" s="63"/>
      <c r="AL35" s="63"/>
      <c r="AM35" s="400"/>
      <c r="AN35" s="63"/>
      <c r="AO35" s="63"/>
      <c r="AP35" s="63"/>
      <c r="AQ35" s="400"/>
      <c r="AR35" s="63"/>
      <c r="AS35" s="63"/>
      <c r="AT35" s="63"/>
      <c r="AU35" s="400"/>
      <c r="AV35" s="63"/>
      <c r="AW35" s="63"/>
      <c r="AX35" s="63"/>
      <c r="AY35" s="400"/>
      <c r="AZ35" s="63"/>
      <c r="BA35" s="63"/>
      <c r="BB35" s="63"/>
      <c r="BC35" s="400"/>
      <c r="BD35" s="63"/>
      <c r="BE35" s="63"/>
      <c r="BF35" s="63"/>
      <c r="BG35" s="400"/>
      <c r="BH35" s="63"/>
      <c r="BI35" s="63"/>
      <c r="BJ35" s="63"/>
      <c r="BK35" s="400"/>
      <c r="BL35" s="63"/>
      <c r="BM35" s="63"/>
      <c r="BN35" s="63"/>
      <c r="BO35" s="400"/>
      <c r="BP35" s="63"/>
      <c r="BQ35" s="63"/>
      <c r="BR35" s="63"/>
      <c r="BS35" s="400"/>
      <c r="BT35" s="63"/>
      <c r="BU35" s="63"/>
      <c r="BV35" s="63"/>
      <c r="BW35" s="56"/>
      <c r="BX35" s="28"/>
      <c r="BZ35" s="367"/>
    </row>
    <row r="36" spans="1:78" s="224" customFormat="1" ht="37.5" customHeight="1" collapsed="1" x14ac:dyDescent="0.25">
      <c r="A36" s="226" t="s">
        <v>81</v>
      </c>
      <c r="B36" s="378" t="s">
        <v>81</v>
      </c>
      <c r="D36" s="225"/>
      <c r="E36" s="225"/>
      <c r="H36" s="378"/>
      <c r="I36" s="359"/>
      <c r="J36" s="227"/>
      <c r="K36" s="566" t="str">
        <f ca="1">_xll.DBRA(Server&amp;$B$32,$B36,$N$19)</f>
        <v>REVENUE FROM ORDINARY ACTIVITIES (ROA) net of subcontracted transport and reinvoicing</v>
      </c>
      <c r="L36" s="567"/>
      <c r="M36" s="567"/>
      <c r="N36" s="567"/>
      <c r="O36" s="567"/>
      <c r="P36" s="228"/>
      <c r="Q36" s="229">
        <f ca="1">_xll.DBRW(Server&amp;Cube1,$N$15,$N$16,$N$17,$N$18,$N$14,$N$13,$N$11,$Q$1,$B36)</f>
        <v>15596865636.140003</v>
      </c>
      <c r="R36" s="230">
        <f ca="1">_xll.DBRW(Server&amp;Cube1,$N$15,$N$16,$N$17,$N$18,$N$14,$N$13,$R$2,$R$1,$B36)</f>
        <v>13390992978.713367</v>
      </c>
      <c r="S36" s="231">
        <f ca="1">Q36-R36</f>
        <v>2205872657.4266357</v>
      </c>
      <c r="T36" s="313">
        <f t="shared" ref="T36:T50" ca="1" si="0">IF(R36&lt;&gt;0,IF(R36&gt;0,S36/R36,-S36/R36),0)</f>
        <v>0.16472808707562928</v>
      </c>
      <c r="U36" s="216"/>
      <c r="V36" s="229">
        <f ca="1">_xll.DBRW(Server&amp;Cube1,$N$15,$N$16,$N$17,$N$18,$N$14,$N$13,$V$2,$V$1,$B36)</f>
        <v>11347870530.716995</v>
      </c>
      <c r="W36" s="231">
        <f t="shared" ref="W36:W50" ca="1" si="1">Q36-V36</f>
        <v>4248995105.423008</v>
      </c>
      <c r="X36" s="313">
        <f t="shared" ref="X36:X50" ca="1" si="2">IF(V36&lt;&gt;0,IF(V36&gt;0,W36/V36,-W36/V36),0)</f>
        <v>0.37443105240949048</v>
      </c>
      <c r="Y36" s="232"/>
      <c r="Z36" s="232"/>
      <c r="AA36" s="232"/>
      <c r="AB36" s="229">
        <f ca="1">_xll.DBRW(Server&amp;Cube1,$N$15,$N$16,$N$17,$N$18,$N$14,$N$13,AB$2,AB$1,$B36)</f>
        <v>9969489869.9799976</v>
      </c>
      <c r="AC36" s="230">
        <f ca="1">_xll.DBRW(Server&amp;Cube1,$N$15,$N$16,$N$17,$N$18,$N$14,$N$13,AC$2,AC$1,$B36)</f>
        <v>7151638356.0816956</v>
      </c>
      <c r="AD36" s="230">
        <f ca="1">_xll.DBRW(Server&amp;Cube1,$N$15,$N$16,$N$17,$N$18,$N$14,$N$13,AD$2,AD$1,$B36)</f>
        <v>605120142.9612788</v>
      </c>
      <c r="AE36" s="400"/>
      <c r="AF36" s="229">
        <f ca="1">_xll.DBRW(Server&amp;Cube1,$N$15,$N$16,$N$17,$N$18,$N$14,$N$13,AF$2,AF$1,$B36)</f>
        <v>5627375766.1599989</v>
      </c>
      <c r="AG36" s="230">
        <f ca="1">_xll.DBRW(Server&amp;Cube1,$N$15,$N$16,$N$17,$N$18,$N$14,$N$13,AG$2,AG$1,$B36)</f>
        <v>6239354622.6316738</v>
      </c>
      <c r="AH36" s="230">
        <f ca="1">_xll.DBRW(Server&amp;Cube1,$N$15,$N$16,$N$17,$N$18,$N$14,$N$13,AH$2,AH$1,$B36)</f>
        <v>10742750387.75572</v>
      </c>
      <c r="AI36" s="400"/>
      <c r="AJ36" s="229">
        <f ca="1">_xll.DBRW(Server&amp;Cube1,$N$15,$N$16,$N$17,$N$18,$N$14,$N$13,AJ$2,AJ$1,$B36)</f>
        <v>0</v>
      </c>
      <c r="AK36" s="230">
        <f ca="1">_xll.DBRW(Server&amp;Cube1,$N$15,$N$16,$N$17,$N$18,$N$14,$N$13,AK$2,AK$1,$B36)</f>
        <v>8614871641.3419476</v>
      </c>
      <c r="AL36" s="230">
        <f ca="1">_xll.DBRW(Server&amp;Cube1,$N$15,$N$16,$N$17,$N$18,$N$14,$N$13,AL$2,AL$1,$B36)</f>
        <v>6849340310.9985561</v>
      </c>
      <c r="AM36" s="400"/>
      <c r="AN36" s="229">
        <f ca="1">_xll.DBRW(Server&amp;Cube1,$N$15,$N$16,$N$17,$N$18,$N$14,$N$13,AN$2,AN$1,$B36)</f>
        <v>0</v>
      </c>
      <c r="AO36" s="230">
        <f ca="1">_xll.DBRW(Server&amp;Cube1,$N$15,$N$16,$N$17,$N$18,$N$14,$N$13,AO$2,AO$1,$B36)</f>
        <v>8312655649.5458231</v>
      </c>
      <c r="AP36" s="230">
        <f ca="1">_xll.DBRW(Server&amp;Cube1,$N$15,$N$16,$N$17,$N$18,$N$14,$N$13,AP$2,AP$1,$B36)</f>
        <v>6812187852.2600021</v>
      </c>
      <c r="AQ36" s="400"/>
      <c r="AR36" s="229">
        <f ca="1">_xll.DBRW(Server&amp;Cube1,$N$15,$N$16,$N$17,$N$18,$N$14,$N$13,AR$2,AR$1,$B36)</f>
        <v>0</v>
      </c>
      <c r="AS36" s="230">
        <f ca="1">_xll.DBRW(Server&amp;Cube1,$N$15,$N$16,$N$17,$N$18,$N$14,$N$13,AS$2,AS$1,$B36)</f>
        <v>8152717873.3442354</v>
      </c>
      <c r="AT36" s="230">
        <f ca="1">_xll.DBRW(Server&amp;Cube1,$N$15,$N$16,$N$17,$N$18,$N$14,$N$13,AT$2,AT$1,$B36)</f>
        <v>8494905601.0699997</v>
      </c>
      <c r="AU36" s="400"/>
      <c r="AV36" s="229">
        <f ca="1">_xll.DBRW(Server&amp;Cube1,$N$15,$N$16,$N$17,$N$18,$N$14,$N$13,AV$2,AV$1,$B36)</f>
        <v>0</v>
      </c>
      <c r="AW36" s="230">
        <f ca="1">_xll.DBRW(Server&amp;Cube1,$N$15,$N$16,$N$17,$N$18,$N$14,$N$13,AW$2,AW$1,$B36)</f>
        <v>8125303732.7691517</v>
      </c>
      <c r="AX36" s="230">
        <f ca="1">_xll.DBRW(Server&amp;Cube1,$N$15,$N$16,$N$17,$N$18,$N$14,$N$13,AX$2,AX$1,$B36)</f>
        <v>8033687292.3299961</v>
      </c>
      <c r="AY36" s="400"/>
      <c r="AZ36" s="229">
        <f ca="1">_xll.DBRW(Server&amp;Cube1,$N$15,$N$16,$N$17,$N$18,$N$14,$N$13,AZ$2,AZ$1,$B36)</f>
        <v>0</v>
      </c>
      <c r="BA36" s="230">
        <f ca="1">_xll.DBRW(Server&amp;Cube1,$N$15,$N$16,$N$17,$N$18,$N$14,$N$13,BA$2,BA$1,$B36)</f>
        <v>7969975722.5131655</v>
      </c>
      <c r="BB36" s="230">
        <f ca="1">_xll.DBRW(Server&amp;Cube1,$N$15,$N$16,$N$17,$N$18,$N$14,$N$13,BB$2,BB$1,$B36)</f>
        <v>-36523830877.725639</v>
      </c>
      <c r="BC36" s="400"/>
      <c r="BD36" s="229">
        <f ca="1">_xll.DBRW(Server&amp;Cube1,$N$15,$N$16,$N$17,$N$18,$N$14,$N$13,BD$2,BD$1,$B36)</f>
        <v>0</v>
      </c>
      <c r="BE36" s="230">
        <f ca="1">_xll.DBRW(Server&amp;Cube1,$N$15,$N$16,$N$17,$N$18,$N$14,$N$13,BE$2,BE$1,$B36)</f>
        <v>8290466336.6490889</v>
      </c>
      <c r="BF36" s="230">
        <f ca="1">_xll.DBRW(Server&amp;Cube1,$N$15,$N$16,$N$17,$N$18,$N$14,$N$13,BF$2,BF$1,$B36)</f>
        <v>770735820.20000029</v>
      </c>
      <c r="BG36" s="400"/>
      <c r="BH36" s="229">
        <f ca="1">_xll.DBRW(Server&amp;Cube1,$N$15,$N$16,$N$17,$N$18,$N$14,$N$13,BH$2,BH$1,$B36)</f>
        <v>0</v>
      </c>
      <c r="BI36" s="230">
        <f ca="1">_xll.DBRW(Server&amp;Cube1,$N$15,$N$16,$N$17,$N$18,$N$14,$N$13,BI$2,BI$1,$B36)</f>
        <v>8011709313.3782988</v>
      </c>
      <c r="BJ36" s="230">
        <f ca="1">_xll.DBRW(Server&amp;Cube1,$N$15,$N$16,$N$17,$N$18,$N$14,$N$13,BJ$2,BJ$1,$B36)</f>
        <v>57845595660.099983</v>
      </c>
      <c r="BK36" s="400"/>
      <c r="BL36" s="229">
        <f ca="1">_xll.DBRW(Server&amp;Cube1,$N$15,$N$16,$N$17,$N$18,$N$14,$N$13,BL$2,BL$1,$B36)</f>
        <v>0</v>
      </c>
      <c r="BM36" s="230">
        <f ca="1">_xll.DBRW(Server&amp;Cube1,$N$15,$N$16,$N$17,$N$18,$N$14,$N$13,BM$2,BM$1,$B36)</f>
        <v>8413408403.6404915</v>
      </c>
      <c r="BN36" s="230">
        <f ca="1">_xll.DBRW(Server&amp;Cube1,$N$15,$N$16,$N$17,$N$18,$N$14,$N$13,BN$2,BN$1,$B36)</f>
        <v>7424317073.5000029</v>
      </c>
      <c r="BO36" s="400"/>
      <c r="BP36" s="229">
        <f ca="1">_xll.DBRW(Server&amp;Cube1,$N$15,$N$16,$N$17,$N$18,$N$14,$N$13,BP$2,BP$1,$B36)</f>
        <v>0</v>
      </c>
      <c r="BQ36" s="230">
        <f ca="1">_xll.DBRW(Server&amp;Cube1,$N$15,$N$16,$N$17,$N$18,$N$14,$N$13,BQ$2,BQ$1,$B36)</f>
        <v>8289841122.3730421</v>
      </c>
      <c r="BR36" s="230">
        <f ca="1">_xll.DBRW(Server&amp;Cube1,$N$15,$N$16,$N$17,$N$18,$N$14,$N$13,BR$2,BR$1,$B36)</f>
        <v>6785683915.7000036</v>
      </c>
      <c r="BS36" s="400"/>
      <c r="BT36" s="229">
        <f ca="1">_xll.DBRW(Server&amp;Cube1,$N$15,$N$16,$N$17,$N$18,$N$14,$N$13,BT$2,BT$1,$B36)</f>
        <v>0</v>
      </c>
      <c r="BU36" s="230">
        <f ca="1">_xll.DBRW(Server&amp;Cube1,$N$15,$N$16,$N$17,$N$18,$N$14,$N$13,BU$2,BU$1,$B36)</f>
        <v>8097689535.9674473</v>
      </c>
      <c r="BV36" s="230">
        <f ca="1">_xll.DBRW(Server&amp;Cube1,$N$15,$N$16,$N$17,$N$18,$N$14,$N$13,BV$2,BV$1,$B36)</f>
        <v>79433263932.790009</v>
      </c>
      <c r="BW36" s="232"/>
      <c r="BX36" s="233"/>
      <c r="BY36" s="368"/>
      <c r="BZ36" s="368"/>
    </row>
    <row r="37" spans="1:78" ht="21" hidden="1" customHeight="1" outlineLevel="1" collapsed="1" x14ac:dyDescent="0.2">
      <c r="A37" s="53"/>
      <c r="B37" s="57" t="s">
        <v>343</v>
      </c>
      <c r="D37" s="52"/>
      <c r="E37" s="52"/>
      <c r="I37" s="69"/>
      <c r="J37" s="54"/>
      <c r="K37" s="36"/>
      <c r="L37" s="555" t="str">
        <f ca="1">_xll.DBRA(Server&amp;$B$32,$B37,$N$19)</f>
        <v>ROA on the current period PMM</v>
      </c>
      <c r="M37" s="555"/>
      <c r="N37" s="555"/>
      <c r="O37" s="555"/>
      <c r="P37" s="147"/>
      <c r="Q37" s="220">
        <f ca="1">_xll.DBRW(Server&amp;Cube1,$N$15,$N$16,$N$17,$N$18,$N$14,$N$13,$N$11,$Q$1,$B37)</f>
        <v>15687002971.980001</v>
      </c>
      <c r="R37" s="220">
        <f ca="1">_xll.DBRW(Server&amp;Cube1,$N$15,$N$16,$N$17,$N$18,$N$14,$N$13,$R$2,$R$1,$B37)</f>
        <v>13480142789.812435</v>
      </c>
      <c r="S37" s="221">
        <f t="shared" ref="S37:S50" ca="1" si="3">Q37-R37</f>
        <v>2206860182.1675663</v>
      </c>
      <c r="T37" s="222">
        <f t="shared" ca="1" si="0"/>
        <v>0.16371192921156533</v>
      </c>
      <c r="U37" s="223"/>
      <c r="V37" s="220">
        <f ca="1">_xll.DBRW(Server&amp;Cube1,$N$15,$N$16,$N$17,$N$18,$N$14,$N$13,$V$2,$V$1,$B37)</f>
        <v>11445999889.078722</v>
      </c>
      <c r="W37" s="221">
        <f t="shared" ca="1" si="1"/>
        <v>4241003082.9012794</v>
      </c>
      <c r="X37" s="222">
        <f t="shared" ca="1" si="2"/>
        <v>0.37052272619256804</v>
      </c>
      <c r="Y37" s="56"/>
      <c r="Z37" s="56"/>
      <c r="AA37" s="56"/>
      <c r="AB37" s="220">
        <f ca="1">_xll.DBRW(Server&amp;Cube1,$N$15,$N$16,$N$17,$N$18,$N$14,$N$13,AB$2,AB$1,$B37)</f>
        <v>9996021107.1200008</v>
      </c>
      <c r="AC37" s="220">
        <f ca="1">_xll.DBRW(Server&amp;Cube1,$N$15,$N$16,$N$17,$N$18,$N$14,$N$13,AC$2,AC$1,$B37)</f>
        <v>7199940901.2943048</v>
      </c>
      <c r="AD37" s="220">
        <f ca="1">_xll.DBRW(Server&amp;Cube1,$N$15,$N$16,$N$17,$N$18,$N$14,$N$13,AD$2,AD$1,$B37)</f>
        <v>641008803.35694623</v>
      </c>
      <c r="AE37" s="400"/>
      <c r="AF37" s="220">
        <f ca="1">_xll.DBRW(Server&amp;Cube1,$N$15,$N$16,$N$17,$N$18,$N$14,$N$13,AF$2,AF$1,$B37)</f>
        <v>5690981864.8599968</v>
      </c>
      <c r="AG37" s="220">
        <f ca="1">_xll.DBRW(Server&amp;Cube1,$N$15,$N$16,$N$17,$N$18,$N$14,$N$13,AG$2,AG$1,$B37)</f>
        <v>6280201888.5181332</v>
      </c>
      <c r="AH37" s="220">
        <f ca="1">_xll.DBRW(Server&amp;Cube1,$N$15,$N$16,$N$17,$N$18,$N$14,$N$13,AH$2,AH$1,$B37)</f>
        <v>10804991085.721779</v>
      </c>
      <c r="AI37" s="400"/>
      <c r="AJ37" s="220">
        <f ca="1">_xll.DBRW(Server&amp;Cube1,$N$15,$N$16,$N$17,$N$18,$N$14,$N$13,AJ$2,AJ$1,$B37)</f>
        <v>0</v>
      </c>
      <c r="AK37" s="220">
        <f ca="1">_xll.DBRW(Server&amp;Cube1,$N$15,$N$16,$N$17,$N$18,$N$14,$N$13,AK$2,AK$1,$B37)</f>
        <v>8662482750.4783707</v>
      </c>
      <c r="AL37" s="220">
        <f ca="1">_xll.DBRW(Server&amp;Cube1,$N$15,$N$16,$N$17,$N$18,$N$14,$N$13,AL$2,AL$1,$B37)</f>
        <v>6904062283.6243258</v>
      </c>
      <c r="AM37" s="400"/>
      <c r="AN37" s="220">
        <f ca="1">_xll.DBRW(Server&amp;Cube1,$N$15,$N$16,$N$17,$N$18,$N$14,$N$13,AN$2,AN$1,$B37)</f>
        <v>0</v>
      </c>
      <c r="AO37" s="220">
        <f ca="1">_xll.DBRW(Server&amp;Cube1,$N$15,$N$16,$N$17,$N$18,$N$14,$N$13,AO$2,AO$1,$B37)</f>
        <v>8353325582.6936636</v>
      </c>
      <c r="AP37" s="220">
        <f ca="1">_xll.DBRW(Server&amp;Cube1,$N$15,$N$16,$N$17,$N$18,$N$14,$N$13,AP$2,AP$1,$B37)</f>
        <v>6834180971.2700005</v>
      </c>
      <c r="AQ37" s="400"/>
      <c r="AR37" s="220">
        <f ca="1">_xll.DBRW(Server&amp;Cube1,$N$15,$N$16,$N$17,$N$18,$N$14,$N$13,AR$2,AR$1,$B37)</f>
        <v>0</v>
      </c>
      <c r="AS37" s="220">
        <f ca="1">_xll.DBRW(Server&amp;Cube1,$N$15,$N$16,$N$17,$N$18,$N$14,$N$13,AS$2,AS$1,$B37)</f>
        <v>8196936068.5672474</v>
      </c>
      <c r="AT37" s="220">
        <f ca="1">_xll.DBRW(Server&amp;Cube1,$N$15,$N$16,$N$17,$N$18,$N$14,$N$13,AT$2,AT$1,$B37)</f>
        <v>8591711462.3999977</v>
      </c>
      <c r="AU37" s="400"/>
      <c r="AV37" s="220">
        <f ca="1">_xll.DBRW(Server&amp;Cube1,$N$15,$N$16,$N$17,$N$18,$N$14,$N$13,AV$2,AV$1,$B37)</f>
        <v>0</v>
      </c>
      <c r="AW37" s="220">
        <f ca="1">_xll.DBRW(Server&amp;Cube1,$N$15,$N$16,$N$17,$N$18,$N$14,$N$13,AW$2,AW$1,$B37)</f>
        <v>8170578108.7405663</v>
      </c>
      <c r="AX37" s="220">
        <f ca="1">_xll.DBRW(Server&amp;Cube1,$N$15,$N$16,$N$17,$N$18,$N$14,$N$13,AX$2,AX$1,$B37)</f>
        <v>8086484357.5100012</v>
      </c>
      <c r="AY37" s="400"/>
      <c r="AZ37" s="220">
        <f ca="1">_xll.DBRW(Server&amp;Cube1,$N$15,$N$16,$N$17,$N$18,$N$14,$N$13,AZ$2,AZ$1,$B37)</f>
        <v>0</v>
      </c>
      <c r="BA37" s="220">
        <f ca="1">_xll.DBRW(Server&amp;Cube1,$N$15,$N$16,$N$17,$N$18,$N$14,$N$13,BA$2,BA$1,$B37)</f>
        <v>8001546674.0187845</v>
      </c>
      <c r="BB37" s="220">
        <f ca="1">_xll.DBRW(Server&amp;Cube1,$N$15,$N$16,$N$17,$N$18,$N$14,$N$13,BB$2,BB$1,$B37)</f>
        <v>-36505888030.074532</v>
      </c>
      <c r="BC37" s="400"/>
      <c r="BD37" s="220">
        <f ca="1">_xll.DBRW(Server&amp;Cube1,$N$15,$N$16,$N$17,$N$18,$N$14,$N$13,BD$2,BD$1,$B37)</f>
        <v>0</v>
      </c>
      <c r="BE37" s="220">
        <f ca="1">_xll.DBRW(Server&amp;Cube1,$N$15,$N$16,$N$17,$N$18,$N$14,$N$13,BE$2,BE$1,$B37)</f>
        <v>8319849154.1322908</v>
      </c>
      <c r="BF37" s="220">
        <f ca="1">_xll.DBRW(Server&amp;Cube1,$N$15,$N$16,$N$17,$N$18,$N$14,$N$13,BF$2,BF$1,$B37)</f>
        <v>827358434.37</v>
      </c>
      <c r="BG37" s="400"/>
      <c r="BH37" s="220">
        <f ca="1">_xll.DBRW(Server&amp;Cube1,$N$15,$N$16,$N$17,$N$18,$N$14,$N$13,BH$2,BH$1,$B37)</f>
        <v>0</v>
      </c>
      <c r="BI37" s="220">
        <f ca="1">_xll.DBRW(Server&amp;Cube1,$N$15,$N$16,$N$17,$N$18,$N$14,$N$13,BI$2,BI$1,$B37)</f>
        <v>8059303804.7408466</v>
      </c>
      <c r="BJ37" s="220">
        <f ca="1">_xll.DBRW(Server&amp;Cube1,$N$15,$N$16,$N$17,$N$18,$N$14,$N$13,BJ$2,BJ$1,$B37)</f>
        <v>57893697791.010017</v>
      </c>
      <c r="BK37" s="400"/>
      <c r="BL37" s="220">
        <f ca="1">_xll.DBRW(Server&amp;Cube1,$N$15,$N$16,$N$17,$N$18,$N$14,$N$13,BL$2,BL$1,$B37)</f>
        <v>0</v>
      </c>
      <c r="BM37" s="220">
        <f ca="1">_xll.DBRW(Server&amp;Cube1,$N$15,$N$16,$N$17,$N$18,$N$14,$N$13,BM$2,BM$1,$B37)</f>
        <v>8456526972.0336914</v>
      </c>
      <c r="BN37" s="220">
        <f ca="1">_xll.DBRW(Server&amp;Cube1,$N$15,$N$16,$N$17,$N$18,$N$14,$N$13,BN$2,BN$1,$B37)</f>
        <v>7621784349.960001</v>
      </c>
      <c r="BO37" s="400"/>
      <c r="BP37" s="220">
        <f ca="1">_xll.DBRW(Server&amp;Cube1,$N$15,$N$16,$N$17,$N$18,$N$14,$N$13,BP$2,BP$1,$B37)</f>
        <v>0</v>
      </c>
      <c r="BQ37" s="220">
        <f ca="1">_xll.DBRW(Server&amp;Cube1,$N$15,$N$16,$N$17,$N$18,$N$14,$N$13,BQ$2,BQ$1,$B37)</f>
        <v>8334468174.4025269</v>
      </c>
      <c r="BR37" s="220">
        <f ca="1">_xll.DBRW(Server&amp;Cube1,$N$15,$N$16,$N$17,$N$18,$N$14,$N$13,BR$2,BR$1,$B37)</f>
        <v>6926777770.79</v>
      </c>
      <c r="BS37" s="400"/>
      <c r="BT37" s="220">
        <f ca="1">_xll.DBRW(Server&amp;Cube1,$N$15,$N$16,$N$17,$N$18,$N$14,$N$13,BT$2,BT$1,$B37)</f>
        <v>0</v>
      </c>
      <c r="BU37" s="220">
        <f ca="1">_xll.DBRW(Server&amp;Cube1,$N$15,$N$16,$N$17,$N$18,$N$14,$N$13,BU$2,BU$1,$B37)</f>
        <v>8139932145.6939964</v>
      </c>
      <c r="BV37" s="220">
        <f ca="1">_xll.DBRW(Server&amp;Cube1,$N$15,$N$16,$N$17,$N$18,$N$14,$N$13,BV$2,BV$1,$B37)</f>
        <v>79560501790.37001</v>
      </c>
      <c r="BW37" s="56"/>
      <c r="BX37" s="28"/>
    </row>
    <row r="38" spans="1:78" ht="18.75" hidden="1" customHeight="1" outlineLevel="2" x14ac:dyDescent="0.2">
      <c r="A38" s="53"/>
      <c r="B38" s="57" t="s">
        <v>235</v>
      </c>
      <c r="D38" s="52"/>
      <c r="E38" s="52"/>
      <c r="I38" s="69"/>
      <c r="J38" s="54"/>
      <c r="K38" s="36"/>
      <c r="L38" s="568" t="str">
        <f ca="1">_xll.DBRA(Server&amp;$B$32,$B38,$N$19)</f>
        <v>Passengers Revenues</v>
      </c>
      <c r="M38" s="568"/>
      <c r="N38" s="568"/>
      <c r="O38" s="568"/>
      <c r="P38" s="147"/>
      <c r="Q38" s="220">
        <f ca="1">_xll.DBRW(Server&amp;Cube1,$N$15,$N$16,$N$17,$N$18,$N$14,$N$13,$N$11,$Q$1,$B38)</f>
        <v>15035508318.880001</v>
      </c>
      <c r="R38" s="220">
        <f ca="1">_xll.DBRW(Server&amp;Cube1,$N$15,$N$16,$N$17,$N$18,$N$14,$N$13,$R$2,$R$1,$B38)</f>
        <v>13058180199.031479</v>
      </c>
      <c r="S38" s="221">
        <f t="shared" ca="1" si="3"/>
        <v>1977328119.8485222</v>
      </c>
      <c r="T38" s="222">
        <f t="shared" ca="1" si="0"/>
        <v>0.15142447796785496</v>
      </c>
      <c r="U38" s="223"/>
      <c r="V38" s="220">
        <f ca="1">_xll.DBRW(Server&amp;Cube1,$N$15,$N$16,$N$17,$N$18,$N$14,$N$13,$V$2,$V$1,$B38)</f>
        <v>11020547532.285036</v>
      </c>
      <c r="W38" s="221">
        <f t="shared" ca="1" si="1"/>
        <v>4014960786.594965</v>
      </c>
      <c r="X38" s="222">
        <f t="shared" ca="1" si="2"/>
        <v>0.36431590851843004</v>
      </c>
      <c r="Y38" s="56"/>
      <c r="Z38" s="56"/>
      <c r="AA38" s="56"/>
      <c r="AB38" s="220">
        <f ca="1">_xll.DBRW(Server&amp;Cube1,$N$15,$N$16,$N$17,$N$18,$N$14,$N$13,AB$2,AB$1,$B38)</f>
        <v>9869083942.949995</v>
      </c>
      <c r="AC38" s="220">
        <f ca="1">_xll.DBRW(Server&amp;Cube1,$N$15,$N$16,$N$17,$N$18,$N$14,$N$13,AC$2,AC$1,$B38)</f>
        <v>6985218235.8177433</v>
      </c>
      <c r="AD38" s="220">
        <f ca="1">_xll.DBRW(Server&amp;Cube1,$N$15,$N$16,$N$17,$N$18,$N$14,$N$13,AD$2,AD$1,$B38)</f>
        <v>367520168.78779656</v>
      </c>
      <c r="AE38" s="400"/>
      <c r="AF38" s="220">
        <f ca="1">_xll.DBRW(Server&amp;Cube1,$N$15,$N$16,$N$17,$N$18,$N$14,$N$13,AF$2,AF$1,$B38)</f>
        <v>5166424375.9300003</v>
      </c>
      <c r="AG38" s="220">
        <f ca="1">_xll.DBRW(Server&amp;Cube1,$N$15,$N$16,$N$17,$N$18,$N$14,$N$13,AG$2,AG$1,$B38)</f>
        <v>6072961963.2137346</v>
      </c>
      <c r="AH38" s="220">
        <f ca="1">_xll.DBRW(Server&amp;Cube1,$N$15,$N$16,$N$17,$N$18,$N$14,$N$13,AH$2,AH$1,$B38)</f>
        <v>10653027363.497234</v>
      </c>
      <c r="AI38" s="400"/>
      <c r="AJ38" s="220">
        <f ca="1">_xll.DBRW(Server&amp;Cube1,$N$15,$N$16,$N$17,$N$18,$N$14,$N$13,AJ$2,AJ$1,$B38)</f>
        <v>0</v>
      </c>
      <c r="AK38" s="220">
        <f ca="1">_xll.DBRW(Server&amp;Cube1,$N$15,$N$16,$N$17,$N$18,$N$14,$N$13,AK$2,AK$1,$B38)</f>
        <v>8441966235.9566965</v>
      </c>
      <c r="AL38" s="220">
        <f ca="1">_xll.DBRW(Server&amp;Cube1,$N$15,$N$16,$N$17,$N$18,$N$14,$N$13,AL$2,AL$1,$B38)</f>
        <v>6972618926.0479641</v>
      </c>
      <c r="AM38" s="400"/>
      <c r="AN38" s="220">
        <f ca="1">_xll.DBRW(Server&amp;Cube1,$N$15,$N$16,$N$17,$N$18,$N$14,$N$13,AN$2,AN$1,$B38)</f>
        <v>0</v>
      </c>
      <c r="AO38" s="220">
        <f ca="1">_xll.DBRW(Server&amp;Cube1,$N$15,$N$16,$N$17,$N$18,$N$14,$N$13,AO$2,AO$1,$B38)</f>
        <v>8152070641.9711781</v>
      </c>
      <c r="AP38" s="220">
        <f ca="1">_xll.DBRW(Server&amp;Cube1,$N$15,$N$16,$N$17,$N$18,$N$14,$N$13,AP$2,AP$1,$B38)</f>
        <v>6762504536.4700003</v>
      </c>
      <c r="AQ38" s="400"/>
      <c r="AR38" s="220">
        <f ca="1">_xll.DBRW(Server&amp;Cube1,$N$15,$N$16,$N$17,$N$18,$N$14,$N$13,AR$2,AR$1,$B38)</f>
        <v>0</v>
      </c>
      <c r="AS38" s="220">
        <f ca="1">_xll.DBRW(Server&amp;Cube1,$N$15,$N$16,$N$17,$N$18,$N$14,$N$13,AS$2,AS$1,$B38)</f>
        <v>7961845138.0874538</v>
      </c>
      <c r="AT38" s="220">
        <f ca="1">_xll.DBRW(Server&amp;Cube1,$N$15,$N$16,$N$17,$N$18,$N$14,$N$13,AT$2,AT$1,$B38)</f>
        <v>8010389720.7199984</v>
      </c>
      <c r="AU38" s="400"/>
      <c r="AV38" s="220">
        <f ca="1">_xll.DBRW(Server&amp;Cube1,$N$15,$N$16,$N$17,$N$18,$N$14,$N$13,AV$2,AV$1,$B38)</f>
        <v>0</v>
      </c>
      <c r="AW38" s="220">
        <f ca="1">_xll.DBRW(Server&amp;Cube1,$N$15,$N$16,$N$17,$N$18,$N$14,$N$13,AW$2,AW$1,$B38)</f>
        <v>7976397507.0174522</v>
      </c>
      <c r="AX38" s="220">
        <f ca="1">_xll.DBRW(Server&amp;Cube1,$N$15,$N$16,$N$17,$N$18,$N$14,$N$13,AX$2,AX$1,$B38)</f>
        <v>7017010233.5099983</v>
      </c>
      <c r="AY38" s="400"/>
      <c r="AZ38" s="220">
        <f ca="1">_xll.DBRW(Server&amp;Cube1,$N$15,$N$16,$N$17,$N$18,$N$14,$N$13,AZ$2,AZ$1,$B38)</f>
        <v>0</v>
      </c>
      <c r="BA38" s="220">
        <f ca="1">_xll.DBRW(Server&amp;Cube1,$N$15,$N$16,$N$17,$N$18,$N$14,$N$13,BA$2,BA$1,$B38)</f>
        <v>7772214004.5705395</v>
      </c>
      <c r="BB38" s="220">
        <f ca="1">_xll.DBRW(Server&amp;Cube1,$N$15,$N$16,$N$17,$N$18,$N$14,$N$13,BB$2,BB$1,$B38)</f>
        <v>-36459973199.61969</v>
      </c>
      <c r="BC38" s="400"/>
      <c r="BD38" s="220">
        <f ca="1">_xll.DBRW(Server&amp;Cube1,$N$15,$N$16,$N$17,$N$18,$N$14,$N$13,BD$2,BD$1,$B38)</f>
        <v>0</v>
      </c>
      <c r="BE38" s="220">
        <f ca="1">_xll.DBRW(Server&amp;Cube1,$N$15,$N$16,$N$17,$N$18,$N$14,$N$13,BE$2,BE$1,$B38)</f>
        <v>8108202383.7596226</v>
      </c>
      <c r="BF38" s="220">
        <f ca="1">_xll.DBRW(Server&amp;Cube1,$N$15,$N$16,$N$17,$N$18,$N$14,$N$13,BF$2,BF$1,$B38)</f>
        <v>470630124.80000007</v>
      </c>
      <c r="BG38" s="400"/>
      <c r="BH38" s="220">
        <f ca="1">_xll.DBRW(Server&amp;Cube1,$N$15,$N$16,$N$17,$N$18,$N$14,$N$13,BH$2,BH$1,$B38)</f>
        <v>0</v>
      </c>
      <c r="BI38" s="220">
        <f ca="1">_xll.DBRW(Server&amp;Cube1,$N$15,$N$16,$N$17,$N$18,$N$14,$N$13,BI$2,BI$1,$B38)</f>
        <v>7832521737.2368279</v>
      </c>
      <c r="BJ38" s="220">
        <f ca="1">_xll.DBRW(Server&amp;Cube1,$N$15,$N$16,$N$17,$N$18,$N$14,$N$13,BJ$2,BJ$1,$B38)</f>
        <v>57165233676.650009</v>
      </c>
      <c r="BK38" s="400"/>
      <c r="BL38" s="220">
        <f ca="1">_xll.DBRW(Server&amp;Cube1,$N$15,$N$16,$N$17,$N$18,$N$14,$N$13,BL$2,BL$1,$B38)</f>
        <v>0</v>
      </c>
      <c r="BM38" s="220">
        <f ca="1">_xll.DBRW(Server&amp;Cube1,$N$15,$N$16,$N$17,$N$18,$N$14,$N$13,BM$2,BM$1,$B38)</f>
        <v>8224563426.0574827</v>
      </c>
      <c r="BN38" s="220">
        <f ca="1">_xll.DBRW(Server&amp;Cube1,$N$15,$N$16,$N$17,$N$18,$N$14,$N$13,BN$2,BN$1,$B38)</f>
        <v>7056270222.5800028</v>
      </c>
      <c r="BO38" s="400"/>
      <c r="BP38" s="220">
        <f ca="1">_xll.DBRW(Server&amp;Cube1,$N$15,$N$16,$N$17,$N$18,$N$14,$N$13,BP$2,BP$1,$B38)</f>
        <v>0</v>
      </c>
      <c r="BQ38" s="220">
        <f ca="1">_xll.DBRW(Server&amp;Cube1,$N$15,$N$16,$N$17,$N$18,$N$14,$N$13,BQ$2,BQ$1,$B38)</f>
        <v>8110865871.5797033</v>
      </c>
      <c r="BR38" s="220">
        <f ca="1">_xll.DBRW(Server&amp;Cube1,$N$15,$N$16,$N$17,$N$18,$N$14,$N$13,BR$2,BR$1,$B38)</f>
        <v>6175429226.2999992</v>
      </c>
      <c r="BS38" s="400"/>
      <c r="BT38" s="220">
        <f ca="1">_xll.DBRW(Server&amp;Cube1,$N$15,$N$16,$N$17,$N$18,$N$14,$N$13,BT$2,BT$1,$B38)</f>
        <v>0</v>
      </c>
      <c r="BU38" s="220">
        <f ca="1">_xll.DBRW(Server&amp;Cube1,$N$15,$N$16,$N$17,$N$18,$N$14,$N$13,BU$2,BU$1,$B38)</f>
        <v>7920860455.9139118</v>
      </c>
      <c r="BV38" s="220">
        <f ca="1">_xll.DBRW(Server&amp;Cube1,$N$15,$N$16,$N$17,$N$18,$N$14,$N$13,BV$2,BV$1,$B38)</f>
        <v>78200601785.280045</v>
      </c>
      <c r="BW38" s="56"/>
      <c r="BX38" s="28"/>
    </row>
    <row r="39" spans="1:78" ht="18.75" hidden="1" customHeight="1" outlineLevel="2" x14ac:dyDescent="0.2">
      <c r="A39" s="53"/>
      <c r="B39" s="360" t="s">
        <v>349</v>
      </c>
      <c r="D39" s="52"/>
      <c r="E39" s="52"/>
      <c r="I39" s="69"/>
      <c r="J39" s="54"/>
      <c r="K39" s="36"/>
      <c r="L39" s="569" t="str">
        <f ca="1">" incl. " &amp; _xll.DBRA(Server&amp;$B$32,$B39,$N$19)</f>
        <v xml:space="preserve"> incl. Energy indexation</v>
      </c>
      <c r="M39" s="569"/>
      <c r="N39" s="569"/>
      <c r="O39" s="569"/>
      <c r="P39" s="147"/>
      <c r="Q39" s="220">
        <f ca="1">_xll.DBRW(Server&amp;Cube1,$N$15,$N$16,$N$17,$N$18,$N$14,$N$13,$N$11,$Q$1,$B39)</f>
        <v>135929.5</v>
      </c>
      <c r="R39" s="220">
        <f ca="1">_xll.DBRW(Server&amp;Cube1,$N$15,$N$16,$N$17,$N$18,$N$14,$N$13,$R$2,$R$1,$B39)</f>
        <v>12654343.129999999</v>
      </c>
      <c r="S39" s="221">
        <f t="shared" ref="S39" ca="1" si="4">Q39-R39</f>
        <v>-12518413.629999999</v>
      </c>
      <c r="T39" s="222">
        <f t="shared" ref="T39" ca="1" si="5">IF(R39&lt;&gt;0,IF(R39&gt;0,S39/R39,-S39/R39),0)</f>
        <v>-0.98925827294205826</v>
      </c>
      <c r="U39" s="223"/>
      <c r="V39" s="220">
        <f ca="1">_xll.DBRW(Server&amp;Cube1,$N$15,$N$16,$N$17,$N$18,$N$14,$N$13,$V$2,$V$1,$B39)</f>
        <v>9204130.3899999987</v>
      </c>
      <c r="W39" s="221">
        <f t="shared" ref="W39" ca="1" si="6">Q39-V39</f>
        <v>-9068200.8899999987</v>
      </c>
      <c r="X39" s="222">
        <f t="shared" ref="X39" ca="1" si="7">IF(V39&lt;&gt;0,IF(V39&gt;0,W39/V39,-W39/V39),0)</f>
        <v>-0.98523168466325906</v>
      </c>
      <c r="Y39" s="56"/>
      <c r="Z39" s="56"/>
      <c r="AA39" s="56"/>
      <c r="AB39" s="220">
        <f ca="1">_xll.DBRW(Server&amp;Cube1,$N$15,$N$16,$N$17,$N$18,$N$14,$N$13,AB$2,AB$1,$B39)</f>
        <v>103683.19999999998</v>
      </c>
      <c r="AC39" s="220">
        <f ca="1">_xll.DBRW(Server&amp;Cube1,$N$15,$N$16,$N$17,$N$18,$N$14,$N$13,AC$2,AC$1,$B39)</f>
        <v>6464635.1500000004</v>
      </c>
      <c r="AD39" s="220">
        <f ca="1">_xll.DBRW(Server&amp;Cube1,$N$15,$N$16,$N$17,$N$18,$N$14,$N$13,AD$2,AD$1,$B39)</f>
        <v>4939909.6400000006</v>
      </c>
      <c r="AE39" s="400"/>
      <c r="AF39" s="220">
        <f ca="1">_xll.DBRW(Server&amp;Cube1,$N$15,$N$16,$N$17,$N$18,$N$14,$N$13,AF$2,AF$1,$B39)</f>
        <v>32246.30000000001</v>
      </c>
      <c r="AG39" s="220">
        <f ca="1">_xll.DBRW(Server&amp;Cube1,$N$15,$N$16,$N$17,$N$18,$N$14,$N$13,AG$2,AG$1,$B39)</f>
        <v>6189707.9800000004</v>
      </c>
      <c r="AH39" s="220">
        <f ca="1">_xll.DBRW(Server&amp;Cube1,$N$15,$N$16,$N$17,$N$18,$N$14,$N$13,AH$2,AH$1,$B39)</f>
        <v>4264220.7499999991</v>
      </c>
      <c r="AI39" s="400"/>
      <c r="AJ39" s="220">
        <f ca="1">_xll.DBRW(Server&amp;Cube1,$N$15,$N$16,$N$17,$N$18,$N$14,$N$13,AJ$2,AJ$1,$B39)</f>
        <v>0</v>
      </c>
      <c r="AK39" s="220">
        <f ca="1">_xll.DBRW(Server&amp;Cube1,$N$15,$N$16,$N$17,$N$18,$N$14,$N$13,AK$2,AK$1,$B39)</f>
        <v>6277168.0300000003</v>
      </c>
      <c r="AL39" s="220">
        <f ca="1">_xll.DBRW(Server&amp;Cube1,$N$15,$N$16,$N$17,$N$18,$N$14,$N$13,AL$2,AL$1,$B39)</f>
        <v>6292637.3600000003</v>
      </c>
      <c r="AM39" s="400"/>
      <c r="AN39" s="220">
        <f ca="1">_xll.DBRW(Server&amp;Cube1,$N$15,$N$16,$N$17,$N$18,$N$14,$N$13,AN$2,AN$1,$B39)</f>
        <v>0</v>
      </c>
      <c r="AO39" s="220">
        <f ca="1">_xll.DBRW(Server&amp;Cube1,$N$15,$N$16,$N$17,$N$18,$N$14,$N$13,AO$2,AO$1,$B39)</f>
        <v>6004113.8899999987</v>
      </c>
      <c r="AP39" s="220">
        <f ca="1">_xll.DBRW(Server&amp;Cube1,$N$15,$N$16,$N$17,$N$18,$N$14,$N$13,AP$2,AP$1,$B39)</f>
        <v>94991.51999999999</v>
      </c>
      <c r="AQ39" s="400"/>
      <c r="AR39" s="220">
        <f ca="1">_xll.DBRW(Server&amp;Cube1,$N$15,$N$16,$N$17,$N$18,$N$14,$N$13,AR$2,AR$1,$B39)</f>
        <v>0</v>
      </c>
      <c r="AS39" s="220">
        <f ca="1">_xll.DBRW(Server&amp;Cube1,$N$15,$N$16,$N$17,$N$18,$N$14,$N$13,AS$2,AS$1,$B39)</f>
        <v>6002325.1100000003</v>
      </c>
      <c r="AT39" s="220">
        <f ca="1">_xll.DBRW(Server&amp;Cube1,$N$15,$N$16,$N$17,$N$18,$N$14,$N$13,AT$2,AT$1,$B39)</f>
        <v>25549236.77</v>
      </c>
      <c r="AU39" s="400"/>
      <c r="AV39" s="220">
        <f ca="1">_xll.DBRW(Server&amp;Cube1,$N$15,$N$16,$N$17,$N$18,$N$14,$N$13,AV$2,AV$1,$B39)</f>
        <v>0</v>
      </c>
      <c r="AW39" s="220">
        <f ca="1">_xll.DBRW(Server&amp;Cube1,$N$15,$N$16,$N$17,$N$18,$N$14,$N$13,AW$2,AW$1,$B39)</f>
        <v>5282744.17</v>
      </c>
      <c r="AX39" s="220">
        <f ca="1">_xll.DBRW(Server&amp;Cube1,$N$15,$N$16,$N$17,$N$18,$N$14,$N$13,AX$2,AX$1,$B39)</f>
        <v>4847352.8499999996</v>
      </c>
      <c r="AY39" s="400"/>
      <c r="AZ39" s="220">
        <f ca="1">_xll.DBRW(Server&amp;Cube1,$N$15,$N$16,$N$17,$N$18,$N$14,$N$13,AZ$2,AZ$1,$B39)</f>
        <v>0</v>
      </c>
      <c r="BA39" s="220">
        <f ca="1">_xll.DBRW(Server&amp;Cube1,$N$15,$N$16,$N$17,$N$18,$N$14,$N$13,BA$2,BA$1,$B39)</f>
        <v>4453703.5099999988</v>
      </c>
      <c r="BB39" s="220">
        <f ca="1">_xll.DBRW(Server&amp;Cube1,$N$15,$N$16,$N$17,$N$18,$N$14,$N$13,BB$2,BB$1,$B39)</f>
        <v>4993589.42</v>
      </c>
      <c r="BC39" s="400"/>
      <c r="BD39" s="220">
        <f ca="1">_xll.DBRW(Server&amp;Cube1,$N$15,$N$16,$N$17,$N$18,$N$14,$N$13,BD$2,BD$1,$B39)</f>
        <v>0</v>
      </c>
      <c r="BE39" s="220">
        <f ca="1">_xll.DBRW(Server&amp;Cube1,$N$15,$N$16,$N$17,$N$18,$N$14,$N$13,BE$2,BE$1,$B39)</f>
        <v>4755323.2700000014</v>
      </c>
      <c r="BF39" s="220">
        <f ca="1">_xll.DBRW(Server&amp;Cube1,$N$15,$N$16,$N$17,$N$18,$N$14,$N$13,BF$2,BF$1,$B39)</f>
        <v>4411019.07</v>
      </c>
      <c r="BG39" s="400"/>
      <c r="BH39" s="220">
        <f ca="1">_xll.DBRW(Server&amp;Cube1,$N$15,$N$16,$N$17,$N$18,$N$14,$N$13,BH$2,BH$1,$B39)</f>
        <v>0</v>
      </c>
      <c r="BI39" s="220">
        <f ca="1">_xll.DBRW(Server&amp;Cube1,$N$15,$N$16,$N$17,$N$18,$N$14,$N$13,BI$2,BI$1,$B39)</f>
        <v>5101683.669999999</v>
      </c>
      <c r="BJ39" s="220">
        <f ca="1">_xll.DBRW(Server&amp;Cube1,$N$15,$N$16,$N$17,$N$18,$N$14,$N$13,BJ$2,BJ$1,$B39)</f>
        <v>5164435.580000001</v>
      </c>
      <c r="BK39" s="400"/>
      <c r="BL39" s="220">
        <f ca="1">_xll.DBRW(Server&amp;Cube1,$N$15,$N$16,$N$17,$N$18,$N$14,$N$13,BL$2,BL$1,$B39)</f>
        <v>0</v>
      </c>
      <c r="BM39" s="220">
        <f ca="1">_xll.DBRW(Server&amp;Cube1,$N$15,$N$16,$N$17,$N$18,$N$14,$N$13,BM$2,BM$1,$B39)</f>
        <v>5325266.3600000003</v>
      </c>
      <c r="BN39" s="220">
        <f ca="1">_xll.DBRW(Server&amp;Cube1,$N$15,$N$16,$N$17,$N$18,$N$14,$N$13,BN$2,BN$1,$B39)</f>
        <v>5970975.299999998</v>
      </c>
      <c r="BO39" s="400"/>
      <c r="BP39" s="220">
        <f ca="1">_xll.DBRW(Server&amp;Cube1,$N$15,$N$16,$N$17,$N$18,$N$14,$N$13,BP$2,BP$1,$B39)</f>
        <v>0</v>
      </c>
      <c r="BQ39" s="220">
        <f ca="1">_xll.DBRW(Server&amp;Cube1,$N$15,$N$16,$N$17,$N$18,$N$14,$N$13,BQ$2,BQ$1,$B39)</f>
        <v>5215922.0900000017</v>
      </c>
      <c r="BR39" s="220">
        <f ca="1">_xll.DBRW(Server&amp;Cube1,$N$15,$N$16,$N$17,$N$18,$N$14,$N$13,BR$2,BR$1,$B39)</f>
        <v>5797691.1899999995</v>
      </c>
      <c r="BS39" s="400"/>
      <c r="BT39" s="220">
        <f ca="1">_xll.DBRW(Server&amp;Cube1,$N$15,$N$16,$N$17,$N$18,$N$14,$N$13,BT$2,BT$1,$B39)</f>
        <v>0</v>
      </c>
      <c r="BU39" s="220">
        <f ca="1">_xll.DBRW(Server&amp;Cube1,$N$15,$N$16,$N$17,$N$18,$N$14,$N$13,BU$2,BU$1,$B39)</f>
        <v>5024710.0600000005</v>
      </c>
      <c r="BV39" s="220">
        <f ca="1">_xll.DBRW(Server&amp;Cube1,$N$15,$N$16,$N$17,$N$18,$N$14,$N$13,BV$2,BV$1,$B39)</f>
        <v>5633667.9399999995</v>
      </c>
      <c r="BW39" s="56"/>
      <c r="BX39" s="28"/>
    </row>
    <row r="40" spans="1:78" ht="18.75" hidden="1" customHeight="1" outlineLevel="2" x14ac:dyDescent="0.2">
      <c r="A40" s="53"/>
      <c r="B40" s="57" t="s">
        <v>236</v>
      </c>
      <c r="D40" s="52"/>
      <c r="E40" s="52"/>
      <c r="I40" s="69"/>
      <c r="J40" s="54"/>
      <c r="K40" s="36"/>
      <c r="L40" s="568" t="str">
        <f ca="1">_xll.DBRA(Server&amp;$B$32,$B40,$N$19)</f>
        <v>Other transportation revenue (incl. subcontracting revenue)</v>
      </c>
      <c r="M40" s="568"/>
      <c r="N40" s="568"/>
      <c r="O40" s="568"/>
      <c r="P40" s="147"/>
      <c r="Q40" s="220">
        <f ca="1">_xll.DBRW(Server&amp;Cube1,$N$15,$N$16,$N$17,$N$18,$N$14,$N$13,$N$11,$Q$1,$B40)</f>
        <v>38340366.509999998</v>
      </c>
      <c r="R40" s="220">
        <f ca="1">_xll.DBRW(Server&amp;Cube1,$N$15,$N$16,$N$17,$N$18,$N$14,$N$13,$R$2,$R$1,$B40)</f>
        <v>73584219.688541606</v>
      </c>
      <c r="S40" s="221">
        <f t="shared" ca="1" si="3"/>
        <v>-35243853.178541608</v>
      </c>
      <c r="T40" s="222">
        <f t="shared" ca="1" si="0"/>
        <v>-0.47895939275727228</v>
      </c>
      <c r="U40" s="223"/>
      <c r="V40" s="220">
        <f ca="1">_xll.DBRW(Server&amp;Cube1,$N$15,$N$16,$N$17,$N$18,$N$14,$N$13,$V$2,$V$1,$B40)</f>
        <v>44365980.366682991</v>
      </c>
      <c r="W40" s="221">
        <f t="shared" ca="1" si="1"/>
        <v>-6025613.8566829935</v>
      </c>
      <c r="X40" s="222">
        <f t="shared" ca="1" si="2"/>
        <v>-0.13581608716592183</v>
      </c>
      <c r="Y40" s="56"/>
      <c r="Z40" s="56"/>
      <c r="AA40" s="56"/>
      <c r="AB40" s="220">
        <f ca="1">_xll.DBRW(Server&amp;Cube1,$N$15,$N$16,$N$17,$N$18,$N$14,$N$13,AB$2,AB$1,$B40)</f>
        <v>12612386.289999999</v>
      </c>
      <c r="AC40" s="220">
        <f ca="1">_xll.DBRW(Server&amp;Cube1,$N$15,$N$16,$N$17,$N$18,$N$14,$N$13,AC$2,AC$1,$B40)</f>
        <v>36129033.767701</v>
      </c>
      <c r="AD40" s="220">
        <f ca="1">_xll.DBRW(Server&amp;Cube1,$N$15,$N$16,$N$17,$N$18,$N$14,$N$13,AD$2,AD$1,$B40)</f>
        <v>17258441.053322997</v>
      </c>
      <c r="AE40" s="400"/>
      <c r="AF40" s="220">
        <f ca="1">_xll.DBRW(Server&amp;Cube1,$N$15,$N$16,$N$17,$N$18,$N$14,$N$13,AF$2,AF$1,$B40)</f>
        <v>25727980.219999999</v>
      </c>
      <c r="AG40" s="220">
        <f ca="1">_xll.DBRW(Server&amp;Cube1,$N$15,$N$16,$N$17,$N$18,$N$14,$N$13,AG$2,AG$1,$B40)</f>
        <v>37455185.920840584</v>
      </c>
      <c r="AH40" s="220">
        <f ca="1">_xll.DBRW(Server&amp;Cube1,$N$15,$N$16,$N$17,$N$18,$N$14,$N$13,AH$2,AH$1,$B40)</f>
        <v>27107539.313359994</v>
      </c>
      <c r="AI40" s="400"/>
      <c r="AJ40" s="220">
        <f ca="1">_xll.DBRW(Server&amp;Cube1,$N$15,$N$16,$N$17,$N$18,$N$14,$N$13,AJ$2,AJ$1,$B40)</f>
        <v>0</v>
      </c>
      <c r="AK40" s="220">
        <f ca="1">_xll.DBRW(Server&amp;Cube1,$N$15,$N$16,$N$17,$N$18,$N$14,$N$13,AK$2,AK$1,$B40)</f>
        <v>42916641.253886536</v>
      </c>
      <c r="AL40" s="220">
        <f ca="1">_xll.DBRW(Server&amp;Cube1,$N$15,$N$16,$N$17,$N$18,$N$14,$N$13,AL$2,AL$1,$B40)</f>
        <v>29043521.533316996</v>
      </c>
      <c r="AM40" s="400"/>
      <c r="AN40" s="220">
        <f ca="1">_xll.DBRW(Server&amp;Cube1,$N$15,$N$16,$N$17,$N$18,$N$14,$N$13,AN$2,AN$1,$B40)</f>
        <v>0</v>
      </c>
      <c r="AO40" s="220">
        <f ca="1">_xll.DBRW(Server&amp;Cube1,$N$15,$N$16,$N$17,$N$18,$N$14,$N$13,AO$2,AO$1,$B40)</f>
        <v>44980732.198374882</v>
      </c>
      <c r="AP40" s="220">
        <f ca="1">_xll.DBRW(Server&amp;Cube1,$N$15,$N$16,$N$17,$N$18,$N$14,$N$13,AP$2,AP$1,$B40)</f>
        <v>18410039.200000003</v>
      </c>
      <c r="AQ40" s="400"/>
      <c r="AR40" s="220">
        <f ca="1">_xll.DBRW(Server&amp;Cube1,$N$15,$N$16,$N$17,$N$18,$N$14,$N$13,AR$2,AR$1,$B40)</f>
        <v>0</v>
      </c>
      <c r="AS40" s="220">
        <f ca="1">_xll.DBRW(Server&amp;Cube1,$N$15,$N$16,$N$17,$N$18,$N$14,$N$13,AS$2,AS$1,$B40)</f>
        <v>55477741.320637703</v>
      </c>
      <c r="AT40" s="220">
        <f ca="1">_xll.DBRW(Server&amp;Cube1,$N$15,$N$16,$N$17,$N$18,$N$14,$N$13,AT$2,AT$1,$B40)</f>
        <v>58968444.170000009</v>
      </c>
      <c r="AU40" s="400"/>
      <c r="AV40" s="220">
        <f ca="1">_xll.DBRW(Server&amp;Cube1,$N$15,$N$16,$N$17,$N$18,$N$14,$N$13,AV$2,AV$1,$B40)</f>
        <v>0</v>
      </c>
      <c r="AW40" s="220">
        <f ca="1">_xll.DBRW(Server&amp;Cube1,$N$15,$N$16,$N$17,$N$18,$N$14,$N$13,AW$2,AW$1,$B40)</f>
        <v>56055019.692121379</v>
      </c>
      <c r="AX40" s="220">
        <f ca="1">_xll.DBRW(Server&amp;Cube1,$N$15,$N$16,$N$17,$N$18,$N$14,$N$13,AX$2,AX$1,$B40)</f>
        <v>38090716.600000001</v>
      </c>
      <c r="AY40" s="400"/>
      <c r="AZ40" s="220">
        <f ca="1">_xll.DBRW(Server&amp;Cube1,$N$15,$N$16,$N$17,$N$18,$N$14,$N$13,AZ$2,AZ$1,$B40)</f>
        <v>0</v>
      </c>
      <c r="BA40" s="220">
        <f ca="1">_xll.DBRW(Server&amp;Cube1,$N$15,$N$16,$N$17,$N$18,$N$14,$N$13,BA$2,BA$1,$B40)</f>
        <v>53956040.757484943</v>
      </c>
      <c r="BB40" s="220">
        <f ca="1">_xll.DBRW(Server&amp;Cube1,$N$15,$N$16,$N$17,$N$18,$N$14,$N$13,BB$2,BB$1,$B40)</f>
        <v>10470263.19296</v>
      </c>
      <c r="BC40" s="400"/>
      <c r="BD40" s="220">
        <f ca="1">_xll.DBRW(Server&amp;Cube1,$N$15,$N$16,$N$17,$N$18,$N$14,$N$13,BD$2,BD$1,$B40)</f>
        <v>0</v>
      </c>
      <c r="BE40" s="220">
        <f ca="1">_xll.DBRW(Server&amp;Cube1,$N$15,$N$16,$N$17,$N$18,$N$14,$N$13,BE$2,BE$1,$B40)</f>
        <v>51403437.462722883</v>
      </c>
      <c r="BF40" s="220">
        <f ca="1">_xll.DBRW(Server&amp;Cube1,$N$15,$N$16,$N$17,$N$18,$N$14,$N$13,BF$2,BF$1,$B40)</f>
        <v>63656150.989999995</v>
      </c>
      <c r="BG40" s="400"/>
      <c r="BH40" s="220">
        <f ca="1">_xll.DBRW(Server&amp;Cube1,$N$15,$N$16,$N$17,$N$18,$N$14,$N$13,BH$2,BH$1,$B40)</f>
        <v>0</v>
      </c>
      <c r="BI40" s="220">
        <f ca="1">_xll.DBRW(Server&amp;Cube1,$N$15,$N$16,$N$17,$N$18,$N$14,$N$13,BI$2,BI$1,$B40)</f>
        <v>44865870.615560383</v>
      </c>
      <c r="BJ40" s="220">
        <f ca="1">_xll.DBRW(Server&amp;Cube1,$N$15,$N$16,$N$17,$N$18,$N$14,$N$13,BJ$2,BJ$1,$B40)</f>
        <v>26713907.469999999</v>
      </c>
      <c r="BK40" s="400"/>
      <c r="BL40" s="220">
        <f ca="1">_xll.DBRW(Server&amp;Cube1,$N$15,$N$16,$N$17,$N$18,$N$14,$N$13,BL$2,BL$1,$B40)</f>
        <v>0</v>
      </c>
      <c r="BM40" s="220">
        <f ca="1">_xll.DBRW(Server&amp;Cube1,$N$15,$N$16,$N$17,$N$18,$N$14,$N$13,BM$2,BM$1,$B40)</f>
        <v>43400683.548271976</v>
      </c>
      <c r="BN40" s="220">
        <f ca="1">_xll.DBRW(Server&amp;Cube1,$N$15,$N$16,$N$17,$N$18,$N$14,$N$13,BN$2,BN$1,$B40)</f>
        <v>91418124.890000001</v>
      </c>
      <c r="BO40" s="400"/>
      <c r="BP40" s="220">
        <f ca="1">_xll.DBRW(Server&amp;Cube1,$N$15,$N$16,$N$17,$N$18,$N$14,$N$13,BP$2,BP$1,$B40)</f>
        <v>0</v>
      </c>
      <c r="BQ40" s="220">
        <f ca="1">_xll.DBRW(Server&amp;Cube1,$N$15,$N$16,$N$17,$N$18,$N$14,$N$13,BQ$2,BQ$1,$B40)</f>
        <v>39100444.350433215</v>
      </c>
      <c r="BR40" s="220">
        <f ca="1">_xll.DBRW(Server&amp;Cube1,$N$15,$N$16,$N$17,$N$18,$N$14,$N$13,BR$2,BR$1,$B40)</f>
        <v>63741942.090000011</v>
      </c>
      <c r="BS40" s="400"/>
      <c r="BT40" s="220">
        <f ca="1">_xll.DBRW(Server&amp;Cube1,$N$15,$N$16,$N$17,$N$18,$N$14,$N$13,BT$2,BT$1,$B40)</f>
        <v>0</v>
      </c>
      <c r="BU40" s="220">
        <f ca="1">_xll.DBRW(Server&amp;Cube1,$N$15,$N$16,$N$17,$N$18,$N$14,$N$13,BU$2,BU$1,$B40)</f>
        <v>42097876.974112019</v>
      </c>
      <c r="BV40" s="220">
        <f ca="1">_xll.DBRW(Server&amp;Cube1,$N$15,$N$16,$N$17,$N$18,$N$14,$N$13,BV$2,BV$1,$B40)</f>
        <v>32369518.90000001</v>
      </c>
      <c r="BW40" s="56"/>
      <c r="BX40" s="28"/>
    </row>
    <row r="41" spans="1:78" ht="18.75" hidden="1" customHeight="1" outlineLevel="2" x14ac:dyDescent="0.2">
      <c r="A41" s="53"/>
      <c r="B41" s="57" t="s">
        <v>237</v>
      </c>
      <c r="D41" s="52"/>
      <c r="E41" s="52"/>
      <c r="I41" s="69"/>
      <c r="J41" s="54"/>
      <c r="K41" s="36"/>
      <c r="L41" s="568" t="str">
        <f ca="1">_xll.DBRA(Server&amp;$B$32,$B41,$N$19)</f>
        <v>Others sales of services &amp; Advertising</v>
      </c>
      <c r="M41" s="568"/>
      <c r="N41" s="568"/>
      <c r="O41" s="568"/>
      <c r="P41" s="147"/>
      <c r="Q41" s="220">
        <f ca="1">_xll.DBRW(Server&amp;Cube1,$N$15,$N$16,$N$17,$N$18,$N$14,$N$13,$N$11,$Q$1,$B41)</f>
        <v>225535094.36000001</v>
      </c>
      <c r="R41" s="220">
        <f ca="1">_xll.DBRW(Server&amp;Cube1,$N$15,$N$16,$N$17,$N$18,$N$14,$N$13,$R$2,$R$1,$B41)</f>
        <v>204273943.34658369</v>
      </c>
      <c r="S41" s="221">
        <f t="shared" ca="1" si="3"/>
        <v>21261151.01341632</v>
      </c>
      <c r="T41" s="222">
        <f t="shared" ca="1" si="0"/>
        <v>0.10408156157901817</v>
      </c>
      <c r="U41" s="223"/>
      <c r="V41" s="220">
        <f ca="1">_xll.DBRW(Server&amp;Cube1,$N$15,$N$16,$N$17,$N$18,$N$14,$N$13,$V$2,$V$1,$B41)</f>
        <v>69705808.132336617</v>
      </c>
      <c r="W41" s="221">
        <f t="shared" ca="1" si="1"/>
        <v>155829286.2276634</v>
      </c>
      <c r="X41" s="222">
        <f t="shared" ca="1" si="2"/>
        <v>2.2355280055260414</v>
      </c>
      <c r="Y41" s="56"/>
      <c r="Z41" s="56"/>
      <c r="AA41" s="56"/>
      <c r="AB41" s="220">
        <f ca="1">_xll.DBRW(Server&amp;Cube1,$N$15,$N$16,$N$17,$N$18,$N$14,$N$13,AB$2,AB$1,$B41)</f>
        <v>48878098.830000021</v>
      </c>
      <c r="AC41" s="220">
        <f ca="1">_xll.DBRW(Server&amp;Cube1,$N$15,$N$16,$N$17,$N$18,$N$14,$N$13,AC$2,AC$1,$B41)</f>
        <v>103389994.21943215</v>
      </c>
      <c r="AD41" s="220">
        <f ca="1">_xll.DBRW(Server&amp;Cube1,$N$15,$N$16,$N$17,$N$18,$N$14,$N$13,AD$2,AD$1,$B41)</f>
        <v>20123714.058357399</v>
      </c>
      <c r="AE41" s="400"/>
      <c r="AF41" s="220">
        <f ca="1">_xll.DBRW(Server&amp;Cube1,$N$15,$N$16,$N$17,$N$18,$N$14,$N$13,AF$2,AF$1,$B41)</f>
        <v>176656995.52999994</v>
      </c>
      <c r="AG41" s="220">
        <f ca="1">_xll.DBRW(Server&amp;Cube1,$N$15,$N$16,$N$17,$N$18,$N$14,$N$13,AG$2,AG$1,$B41)</f>
        <v>100883949.12715158</v>
      </c>
      <c r="AH41" s="220">
        <f ca="1">_xll.DBRW(Server&amp;Cube1,$N$15,$N$16,$N$17,$N$18,$N$14,$N$13,AH$2,AH$1,$B41)</f>
        <v>49582094.073979191</v>
      </c>
      <c r="AI41" s="400"/>
      <c r="AJ41" s="220">
        <f ca="1">_xll.DBRW(Server&amp;Cube1,$N$15,$N$16,$N$17,$N$18,$N$14,$N$13,AJ$2,AJ$1,$B41)</f>
        <v>0</v>
      </c>
      <c r="AK41" s="220">
        <f ca="1">_xll.DBRW(Server&amp;Cube1,$N$15,$N$16,$N$17,$N$18,$N$14,$N$13,AK$2,AK$1,$B41)</f>
        <v>101870205.23472518</v>
      </c>
      <c r="AL41" s="220">
        <f ca="1">_xll.DBRW(Server&amp;Cube1,$N$15,$N$16,$N$17,$N$18,$N$14,$N$13,AL$2,AL$1,$B41)</f>
        <v>-217134834.13478658</v>
      </c>
      <c r="AM41" s="400"/>
      <c r="AN41" s="220">
        <f ca="1">_xll.DBRW(Server&amp;Cube1,$N$15,$N$16,$N$17,$N$18,$N$14,$N$13,AN$2,AN$1,$B41)</f>
        <v>0</v>
      </c>
      <c r="AO41" s="220">
        <f ca="1">_xll.DBRW(Server&amp;Cube1,$N$15,$N$16,$N$17,$N$18,$N$14,$N$13,AO$2,AO$1,$B41)</f>
        <v>100960273.26961342</v>
      </c>
      <c r="AP41" s="220">
        <f ca="1">_xll.DBRW(Server&amp;Cube1,$N$15,$N$16,$N$17,$N$18,$N$14,$N$13,AP$2,AP$1,$B41)</f>
        <v>281906.43999999884</v>
      </c>
      <c r="AQ41" s="400"/>
      <c r="AR41" s="220">
        <f ca="1">_xll.DBRW(Server&amp;Cube1,$N$15,$N$16,$N$17,$N$18,$N$14,$N$13,AR$2,AR$1,$B41)</f>
        <v>0</v>
      </c>
      <c r="AS41" s="220">
        <f ca="1">_xll.DBRW(Server&amp;Cube1,$N$15,$N$16,$N$17,$N$18,$N$14,$N$13,AS$2,AS$1,$B41)</f>
        <v>101067772.86459079</v>
      </c>
      <c r="AT41" s="220">
        <f ca="1">_xll.DBRW(Server&amp;Cube1,$N$15,$N$16,$N$17,$N$18,$N$14,$N$13,AT$2,AT$1,$B41)</f>
        <v>163070875.92000002</v>
      </c>
      <c r="AU41" s="400"/>
      <c r="AV41" s="220">
        <f ca="1">_xll.DBRW(Server&amp;Cube1,$N$15,$N$16,$N$17,$N$18,$N$14,$N$13,AV$2,AV$1,$B41)</f>
        <v>0</v>
      </c>
      <c r="AW41" s="220">
        <f ca="1">_xll.DBRW(Server&amp;Cube1,$N$15,$N$16,$N$17,$N$18,$N$14,$N$13,AW$2,AW$1,$B41)</f>
        <v>103476340.20271352</v>
      </c>
      <c r="AX41" s="220">
        <f ca="1">_xll.DBRW(Server&amp;Cube1,$N$15,$N$16,$N$17,$N$18,$N$14,$N$13,AX$2,AX$1,$B41)</f>
        <v>368052727.63</v>
      </c>
      <c r="AY41" s="400"/>
      <c r="AZ41" s="220">
        <f ca="1">_xll.DBRW(Server&amp;Cube1,$N$15,$N$16,$N$17,$N$18,$N$14,$N$13,AZ$2,AZ$1,$B41)</f>
        <v>0</v>
      </c>
      <c r="BA41" s="220">
        <f ca="1">_xll.DBRW(Server&amp;Cube1,$N$15,$N$16,$N$17,$N$18,$N$14,$N$13,BA$2,BA$1,$B41)</f>
        <v>104563873.66797924</v>
      </c>
      <c r="BB41" s="220">
        <f ca="1">_xll.DBRW(Server&amp;Cube1,$N$15,$N$16,$N$17,$N$18,$N$14,$N$13,BB$2,BB$1,$B41)</f>
        <v>-214841801.17885906</v>
      </c>
      <c r="BC41" s="400"/>
      <c r="BD41" s="220">
        <f ca="1">_xll.DBRW(Server&amp;Cube1,$N$15,$N$16,$N$17,$N$18,$N$14,$N$13,BD$2,BD$1,$B41)</f>
        <v>0</v>
      </c>
      <c r="BE41" s="220">
        <f ca="1">_xll.DBRW(Server&amp;Cube1,$N$15,$N$16,$N$17,$N$18,$N$14,$N$13,BE$2,BE$1,$B41)</f>
        <v>100596423.68105629</v>
      </c>
      <c r="BF41" s="220">
        <f ca="1">_xll.DBRW(Server&amp;Cube1,$N$15,$N$16,$N$17,$N$18,$N$14,$N$13,BF$2,BF$1,$B41)</f>
        <v>34315344.5</v>
      </c>
      <c r="BG41" s="400"/>
      <c r="BH41" s="220">
        <f ca="1">_xll.DBRW(Server&amp;Cube1,$N$15,$N$16,$N$17,$N$18,$N$14,$N$13,BH$2,BH$1,$B41)</f>
        <v>0</v>
      </c>
      <c r="BI41" s="220">
        <f ca="1">_xll.DBRW(Server&amp;Cube1,$N$15,$N$16,$N$17,$N$18,$N$14,$N$13,BI$2,BI$1,$B41)</f>
        <v>100390874.82244425</v>
      </c>
      <c r="BJ41" s="220">
        <f ca="1">_xll.DBRW(Server&amp;Cube1,$N$15,$N$16,$N$17,$N$18,$N$14,$N$13,BJ$2,BJ$1,$B41)</f>
        <v>743014542.77999973</v>
      </c>
      <c r="BK41" s="400"/>
      <c r="BL41" s="220">
        <f ca="1">_xll.DBRW(Server&amp;Cube1,$N$15,$N$16,$N$17,$N$18,$N$14,$N$13,BL$2,BL$1,$B41)</f>
        <v>0</v>
      </c>
      <c r="BM41" s="220">
        <f ca="1">_xll.DBRW(Server&amp;Cube1,$N$15,$N$16,$N$17,$N$18,$N$14,$N$13,BM$2,BM$1,$B41)</f>
        <v>110754893.31947635</v>
      </c>
      <c r="BN41" s="220">
        <f ca="1">_xll.DBRW(Server&amp;Cube1,$N$15,$N$16,$N$17,$N$18,$N$14,$N$13,BN$2,BN$1,$B41)</f>
        <v>327890911.78999996</v>
      </c>
      <c r="BO41" s="400"/>
      <c r="BP41" s="220">
        <f ca="1">_xll.DBRW(Server&amp;Cube1,$N$15,$N$16,$N$17,$N$18,$N$14,$N$13,BP$2,BP$1,$B41)</f>
        <v>0</v>
      </c>
      <c r="BQ41" s="220">
        <f ca="1">_xll.DBRW(Server&amp;Cube1,$N$15,$N$16,$N$17,$N$18,$N$14,$N$13,BQ$2,BQ$1,$B41)</f>
        <v>110780269.39448996</v>
      </c>
      <c r="BR41" s="220">
        <f ca="1">_xll.DBRW(Server&amp;Cube1,$N$15,$N$16,$N$17,$N$18,$N$14,$N$13,BR$2,BR$1,$B41)</f>
        <v>462676566.65000004</v>
      </c>
      <c r="BS41" s="400"/>
      <c r="BT41" s="220">
        <f ca="1">_xll.DBRW(Server&amp;Cube1,$N$15,$N$16,$N$17,$N$18,$N$14,$N$13,BT$2,BT$1,$B41)</f>
        <v>0</v>
      </c>
      <c r="BU41" s="220">
        <f ca="1">_xll.DBRW(Server&amp;Cube1,$N$15,$N$16,$N$17,$N$18,$N$14,$N$13,BU$2,BU$1,$B41)</f>
        <v>117891793.84152888</v>
      </c>
      <c r="BV41" s="220">
        <f ca="1">_xll.DBRW(Server&amp;Cube1,$N$15,$N$16,$N$17,$N$18,$N$14,$N$13,BV$2,BV$1,$B41)</f>
        <v>1460459596.97</v>
      </c>
      <c r="BW41" s="56"/>
      <c r="BX41" s="28"/>
    </row>
    <row r="42" spans="1:78" ht="18.75" hidden="1" customHeight="1" outlineLevel="2" x14ac:dyDescent="0.2">
      <c r="A42" s="53"/>
      <c r="B42" s="57" t="s">
        <v>238</v>
      </c>
      <c r="D42" s="52"/>
      <c r="E42" s="52"/>
      <c r="I42" s="69"/>
      <c r="J42" s="54"/>
      <c r="K42" s="36"/>
      <c r="L42" s="568" t="str">
        <f ca="1">_xll.DBRA(Server&amp;$B$32,$B42,$N$19)</f>
        <v>Bonus/penalties</v>
      </c>
      <c r="M42" s="568"/>
      <c r="N42" s="568"/>
      <c r="O42" s="568"/>
      <c r="P42" s="147"/>
      <c r="Q42" s="220">
        <f ca="1">_xll.DBRW(Server&amp;Cube1,$N$15,$N$16,$N$17,$N$18,$N$14,$N$13,$N$11,$Q$1,$B42)</f>
        <v>-288288.99000000005</v>
      </c>
      <c r="R42" s="220">
        <f ca="1">_xll.DBRW(Server&amp;Cube1,$N$15,$N$16,$N$17,$N$18,$N$14,$N$13,$R$2,$R$1,$B42)</f>
        <v>-235771495.15333334</v>
      </c>
      <c r="S42" s="221">
        <f t="shared" ca="1" si="3"/>
        <v>235483206.16333333</v>
      </c>
      <c r="T42" s="222">
        <f t="shared" ca="1" si="0"/>
        <v>0.9987772525690074</v>
      </c>
      <c r="U42" s="223"/>
      <c r="V42" s="220">
        <f ca="1">_xll.DBRW(Server&amp;Cube1,$N$15,$N$16,$N$17,$N$18,$N$14,$N$13,$V$2,$V$1,$B42)</f>
        <v>-111959669.0766663</v>
      </c>
      <c r="W42" s="221">
        <f t="shared" ca="1" si="1"/>
        <v>111671380.0866663</v>
      </c>
      <c r="X42" s="222">
        <f t="shared" ca="1" si="2"/>
        <v>0.99742506393259711</v>
      </c>
      <c r="Y42" s="56"/>
      <c r="Z42" s="56"/>
      <c r="AA42" s="56"/>
      <c r="AB42" s="220">
        <f ca="1">_xll.DBRW(Server&amp;Cube1,$N$15,$N$16,$N$17,$N$18,$N$14,$N$13,AB$2,AB$1,$B42)</f>
        <v>-109716970.14</v>
      </c>
      <c r="AC42" s="220">
        <f ca="1">_xll.DBRW(Server&amp;Cube1,$N$15,$N$16,$N$17,$N$18,$N$14,$N$13,AC$2,AC$1,$B42)</f>
        <v>-119252690.41666667</v>
      </c>
      <c r="AD42" s="220">
        <f ca="1">_xll.DBRW(Server&amp;Cube1,$N$15,$N$16,$N$17,$N$18,$N$14,$N$13,AD$2,AD$1,$B42)</f>
        <v>29233465.826666307</v>
      </c>
      <c r="AE42" s="400"/>
      <c r="AF42" s="220">
        <f ca="1">_xll.DBRW(Server&amp;Cube1,$N$15,$N$16,$N$17,$N$18,$N$14,$N$13,AF$2,AF$1,$B42)</f>
        <v>109428681.15000001</v>
      </c>
      <c r="AG42" s="220">
        <f ca="1">_xll.DBRW(Server&amp;Cube1,$N$15,$N$16,$N$17,$N$18,$N$14,$N$13,AG$2,AG$1,$B42)</f>
        <v>-116518804.73666668</v>
      </c>
      <c r="AH42" s="220">
        <f ca="1">_xll.DBRW(Server&amp;Cube1,$N$15,$N$16,$N$17,$N$18,$N$14,$N$13,AH$2,AH$1,$B42)</f>
        <v>-141193134.90333259</v>
      </c>
      <c r="AI42" s="400"/>
      <c r="AJ42" s="220">
        <f ca="1">_xll.DBRW(Server&amp;Cube1,$N$15,$N$16,$N$17,$N$18,$N$14,$N$13,AJ$2,AJ$1,$B42)</f>
        <v>0</v>
      </c>
      <c r="AK42" s="220">
        <f ca="1">_xll.DBRW(Server&amp;Cube1,$N$15,$N$16,$N$17,$N$18,$N$14,$N$13,AK$2,AK$1,$B42)</f>
        <v>-118787018.63666667</v>
      </c>
      <c r="AL42" s="220">
        <f ca="1">_xll.DBRW(Server&amp;Cube1,$N$15,$N$16,$N$17,$N$18,$N$14,$N$13,AL$2,AL$1,$B42)</f>
        <v>-109376580.8233337</v>
      </c>
      <c r="AM42" s="400"/>
      <c r="AN42" s="220">
        <f ca="1">_xll.DBRW(Server&amp;Cube1,$N$15,$N$16,$N$17,$N$18,$N$14,$N$13,AN$2,AN$1,$B42)</f>
        <v>0</v>
      </c>
      <c r="AO42" s="220">
        <f ca="1">_xll.DBRW(Server&amp;Cube1,$N$15,$N$16,$N$17,$N$18,$N$14,$N$13,AO$2,AO$1,$B42)</f>
        <v>-131117680.65666667</v>
      </c>
      <c r="AP42" s="220">
        <f ca="1">_xll.DBRW(Server&amp;Cube1,$N$15,$N$16,$N$17,$N$18,$N$14,$N$13,AP$2,AP$1,$B42)</f>
        <v>-112369431.82999998</v>
      </c>
      <c r="AQ42" s="400"/>
      <c r="AR42" s="220">
        <f ca="1">_xll.DBRW(Server&amp;Cube1,$N$15,$N$16,$N$17,$N$18,$N$14,$N$13,AR$2,AR$1,$B42)</f>
        <v>0</v>
      </c>
      <c r="AS42" s="220">
        <f ca="1">_xll.DBRW(Server&amp;Cube1,$N$15,$N$16,$N$17,$N$18,$N$14,$N$13,AS$2,AS$1,$B42)</f>
        <v>-108948446.07666668</v>
      </c>
      <c r="AT42" s="220">
        <f ca="1">_xll.DBRW(Server&amp;Cube1,$N$15,$N$16,$N$17,$N$18,$N$14,$N$13,AT$2,AT$1,$B42)</f>
        <v>33052676</v>
      </c>
      <c r="AU42" s="400"/>
      <c r="AV42" s="220">
        <f ca="1">_xll.DBRW(Server&amp;Cube1,$N$15,$N$16,$N$17,$N$18,$N$14,$N$13,AV$2,AV$1,$B42)</f>
        <v>0</v>
      </c>
      <c r="AW42" s="220">
        <f ca="1">_xll.DBRW(Server&amp;Cube1,$N$15,$N$16,$N$17,$N$18,$N$14,$N$13,AW$2,AW$1,$B42)</f>
        <v>-156067815.20666665</v>
      </c>
      <c r="AX42" s="220">
        <f ca="1">_xll.DBRW(Server&amp;Cube1,$N$15,$N$16,$N$17,$N$18,$N$14,$N$13,AX$2,AX$1,$B42)</f>
        <v>558583755.23000002</v>
      </c>
      <c r="AY42" s="400"/>
      <c r="AZ42" s="220">
        <f ca="1">_xll.DBRW(Server&amp;Cube1,$N$15,$N$16,$N$17,$N$18,$N$14,$N$13,AZ$2,AZ$1,$B42)</f>
        <v>0</v>
      </c>
      <c r="BA42" s="220">
        <f ca="1">_xll.DBRW(Server&amp;Cube1,$N$15,$N$16,$N$17,$N$18,$N$14,$N$13,BA$2,BA$1,$B42)</f>
        <v>-106667404.52666669</v>
      </c>
      <c r="BB42" s="220">
        <f ca="1">_xll.DBRW(Server&amp;Cube1,$N$15,$N$16,$N$17,$N$18,$N$14,$N$13,BB$2,BB$1,$B42)</f>
        <v>22139508.429999005</v>
      </c>
      <c r="BC42" s="400"/>
      <c r="BD42" s="220">
        <f ca="1">_xll.DBRW(Server&amp;Cube1,$N$15,$N$16,$N$17,$N$18,$N$14,$N$13,BD$2,BD$1,$B42)</f>
        <v>0</v>
      </c>
      <c r="BE42" s="220">
        <f ca="1">_xll.DBRW(Server&amp;Cube1,$N$15,$N$16,$N$17,$N$18,$N$14,$N$13,BE$2,BE$1,$B42)</f>
        <v>-114821493.89666668</v>
      </c>
      <c r="BF42" s="220">
        <f ca="1">_xll.DBRW(Server&amp;Cube1,$N$15,$N$16,$N$17,$N$18,$N$14,$N$13,BF$2,BF$1,$B42)</f>
        <v>28882095.479999989</v>
      </c>
      <c r="BG42" s="400"/>
      <c r="BH42" s="220">
        <f ca="1">_xll.DBRW(Server&amp;Cube1,$N$15,$N$16,$N$17,$N$18,$N$14,$N$13,BH$2,BH$1,$B42)</f>
        <v>0</v>
      </c>
      <c r="BI42" s="220">
        <f ca="1">_xll.DBRW(Server&amp;Cube1,$N$15,$N$16,$N$17,$N$18,$N$14,$N$13,BI$2,BI$1,$B42)</f>
        <v>-111378678.93666667</v>
      </c>
      <c r="BJ42" s="220">
        <f ca="1">_xll.DBRW(Server&amp;Cube1,$N$15,$N$16,$N$17,$N$18,$N$14,$N$13,BJ$2,BJ$1,$B42)</f>
        <v>-236956516.98999995</v>
      </c>
      <c r="BK42" s="400"/>
      <c r="BL42" s="220">
        <f ca="1">_xll.DBRW(Server&amp;Cube1,$N$15,$N$16,$N$17,$N$18,$N$14,$N$13,BL$2,BL$1,$B42)</f>
        <v>0</v>
      </c>
      <c r="BM42" s="220">
        <f ca="1">_xll.DBRW(Server&amp;Cube1,$N$15,$N$16,$N$17,$N$18,$N$14,$N$13,BM$2,BM$1,$B42)</f>
        <v>-110182704.05666667</v>
      </c>
      <c r="BN42" s="220">
        <f ca="1">_xll.DBRW(Server&amp;Cube1,$N$15,$N$16,$N$17,$N$18,$N$14,$N$13,BN$2,BN$1,$B42)</f>
        <v>-63266502.160000019</v>
      </c>
      <c r="BO42" s="400"/>
      <c r="BP42" s="220">
        <f ca="1">_xll.DBRW(Server&amp;Cube1,$N$15,$N$16,$N$17,$N$18,$N$14,$N$13,BP$2,BP$1,$B42)</f>
        <v>0</v>
      </c>
      <c r="BQ42" s="220">
        <f ca="1">_xll.DBRW(Server&amp;Cube1,$N$15,$N$16,$N$17,$N$18,$N$14,$N$13,BQ$2,BQ$1,$B42)</f>
        <v>-116247536.30666667</v>
      </c>
      <c r="BR42" s="220">
        <f ca="1">_xll.DBRW(Server&amp;Cube1,$N$15,$N$16,$N$17,$N$18,$N$14,$N$13,BR$2,BR$1,$B42)</f>
        <v>40199477.310000002</v>
      </c>
      <c r="BS42" s="400"/>
      <c r="BT42" s="220">
        <f ca="1">_xll.DBRW(Server&amp;Cube1,$N$15,$N$16,$N$17,$N$18,$N$14,$N$13,BT$2,BT$1,$B42)</f>
        <v>0</v>
      </c>
      <c r="BU42" s="220">
        <f ca="1">_xll.DBRW(Server&amp;Cube1,$N$15,$N$16,$N$17,$N$18,$N$14,$N$13,BU$2,BU$1,$B42)</f>
        <v>-138901473.23666668</v>
      </c>
      <c r="BV42" s="220">
        <f ca="1">_xll.DBRW(Server&amp;Cube1,$N$15,$N$16,$N$17,$N$18,$N$14,$N$13,BV$2,BV$1,$B42)</f>
        <v>-343895523.81000006</v>
      </c>
      <c r="BW42" s="56"/>
      <c r="BX42" s="28"/>
    </row>
    <row r="43" spans="1:78" ht="18.75" hidden="1" customHeight="1" outlineLevel="2" x14ac:dyDescent="0.2">
      <c r="A43" s="53"/>
      <c r="B43" s="57" t="s">
        <v>427</v>
      </c>
      <c r="D43" s="52"/>
      <c r="E43" s="52"/>
      <c r="I43" s="69"/>
      <c r="J43" s="54"/>
      <c r="K43" s="36"/>
      <c r="L43" s="568" t="str">
        <f ca="1">_xll.DBRA(Server&amp;$B$32,$B43,$N$19)</f>
        <v>Revenue from contractual private customer (except tourism)</v>
      </c>
      <c r="M43" s="568"/>
      <c r="N43" s="568"/>
      <c r="O43" s="568"/>
      <c r="P43" s="147"/>
      <c r="Q43" s="220">
        <f ca="1">_xll.DBRW(Server&amp;Cube1,$N$15,$N$16,$N$17,$N$18,$N$14,$N$13,$N$11,$Q$1,$B43)</f>
        <v>0</v>
      </c>
      <c r="R43" s="220">
        <f ca="1">_xll.DBRW(Server&amp;Cube1,$N$15,$N$16,$N$17,$N$18,$N$14,$N$13,$R$2,$R$1,$B43)</f>
        <v>0</v>
      </c>
      <c r="S43" s="221">
        <f t="shared" ref="S43:S46" ca="1" si="8">Q43-R43</f>
        <v>0</v>
      </c>
      <c r="T43" s="222">
        <f t="shared" ref="T43:T46" ca="1" si="9">IF(R43&lt;&gt;0,IF(R43&gt;0,S43/R43,-S43/R43),0)</f>
        <v>0</v>
      </c>
      <c r="U43" s="223"/>
      <c r="V43" s="220">
        <f ca="1">_xll.DBRW(Server&amp;Cube1,$N$15,$N$16,$N$17,$N$18,$N$14,$N$13,$V$2,$V$1,$B43)</f>
        <v>0</v>
      </c>
      <c r="W43" s="221">
        <f t="shared" ref="W43:W46" ca="1" si="10">Q43-V43</f>
        <v>0</v>
      </c>
      <c r="X43" s="222">
        <f t="shared" ref="X43:X46" ca="1" si="11">IF(V43&lt;&gt;0,IF(V43&gt;0,W43/V43,-W43/V43),0)</f>
        <v>0</v>
      </c>
      <c r="Y43" s="56"/>
      <c r="Z43" s="56"/>
      <c r="AA43" s="56"/>
      <c r="AB43" s="220">
        <f ca="1">_xll.DBRW(Server&amp;Cube1,$N$15,$N$16,$N$17,$N$18,$N$14,$N$13,AB$2,AB$1,$B43)</f>
        <v>0</v>
      </c>
      <c r="AC43" s="220">
        <f ca="1">_xll.DBRW(Server&amp;Cube1,$N$15,$N$16,$N$17,$N$18,$N$14,$N$13,AC$2,AC$1,$B43)</f>
        <v>0</v>
      </c>
      <c r="AD43" s="220">
        <f ca="1">_xll.DBRW(Server&amp;Cube1,$N$15,$N$16,$N$17,$N$18,$N$14,$N$13,AD$2,AD$1,$B43)</f>
        <v>0</v>
      </c>
      <c r="AE43" s="400"/>
      <c r="AF43" s="220">
        <f ca="1">_xll.DBRW(Server&amp;Cube1,$N$15,$N$16,$N$17,$N$18,$N$14,$N$13,AF$2,AF$1,$B43)</f>
        <v>0</v>
      </c>
      <c r="AG43" s="220">
        <f ca="1">_xll.DBRW(Server&amp;Cube1,$N$15,$N$16,$N$17,$N$18,$N$14,$N$13,AG$2,AG$1,$B43)</f>
        <v>0</v>
      </c>
      <c r="AH43" s="220">
        <f ca="1">_xll.DBRW(Server&amp;Cube1,$N$15,$N$16,$N$17,$N$18,$N$14,$N$13,AH$2,AH$1,$B43)</f>
        <v>0</v>
      </c>
      <c r="AI43" s="400"/>
      <c r="AJ43" s="220">
        <f ca="1">_xll.DBRW(Server&amp;Cube1,$N$15,$N$16,$N$17,$N$18,$N$14,$N$13,AJ$2,AJ$1,$B43)</f>
        <v>0</v>
      </c>
      <c r="AK43" s="220">
        <f ca="1">_xll.DBRW(Server&amp;Cube1,$N$15,$N$16,$N$17,$N$18,$N$14,$N$13,AK$2,AK$1,$B43)</f>
        <v>0</v>
      </c>
      <c r="AL43" s="220">
        <f ca="1">_xll.DBRW(Server&amp;Cube1,$N$15,$N$16,$N$17,$N$18,$N$14,$N$13,AL$2,AL$1,$B43)</f>
        <v>0</v>
      </c>
      <c r="AM43" s="400"/>
      <c r="AN43" s="220">
        <f ca="1">_xll.DBRW(Server&amp;Cube1,$N$15,$N$16,$N$17,$N$18,$N$14,$N$13,AN$2,AN$1,$B43)</f>
        <v>0</v>
      </c>
      <c r="AO43" s="220">
        <f ca="1">_xll.DBRW(Server&amp;Cube1,$N$15,$N$16,$N$17,$N$18,$N$14,$N$13,AO$2,AO$1,$B43)</f>
        <v>0</v>
      </c>
      <c r="AP43" s="220">
        <f ca="1">_xll.DBRW(Server&amp;Cube1,$N$15,$N$16,$N$17,$N$18,$N$14,$N$13,AP$2,AP$1,$B43)</f>
        <v>0</v>
      </c>
      <c r="AQ43" s="400"/>
      <c r="AR43" s="220">
        <f ca="1">_xll.DBRW(Server&amp;Cube1,$N$15,$N$16,$N$17,$N$18,$N$14,$N$13,AR$2,AR$1,$B43)</f>
        <v>0</v>
      </c>
      <c r="AS43" s="220">
        <f ca="1">_xll.DBRW(Server&amp;Cube1,$N$15,$N$16,$N$17,$N$18,$N$14,$N$13,AS$2,AS$1,$B43)</f>
        <v>0</v>
      </c>
      <c r="AT43" s="220">
        <f ca="1">_xll.DBRW(Server&amp;Cube1,$N$15,$N$16,$N$17,$N$18,$N$14,$N$13,AT$2,AT$1,$B43)</f>
        <v>0</v>
      </c>
      <c r="AU43" s="400"/>
      <c r="AV43" s="220">
        <f ca="1">_xll.DBRW(Server&amp;Cube1,$N$15,$N$16,$N$17,$N$18,$N$14,$N$13,AV$2,AV$1,$B43)</f>
        <v>0</v>
      </c>
      <c r="AW43" s="220">
        <f ca="1">_xll.DBRW(Server&amp;Cube1,$N$15,$N$16,$N$17,$N$18,$N$14,$N$13,AW$2,AW$1,$B43)</f>
        <v>0</v>
      </c>
      <c r="AX43" s="220">
        <f ca="1">_xll.DBRW(Server&amp;Cube1,$N$15,$N$16,$N$17,$N$18,$N$14,$N$13,AX$2,AX$1,$B43)</f>
        <v>0</v>
      </c>
      <c r="AY43" s="400"/>
      <c r="AZ43" s="220">
        <f ca="1">_xll.DBRW(Server&amp;Cube1,$N$15,$N$16,$N$17,$N$18,$N$14,$N$13,AZ$2,AZ$1,$B43)</f>
        <v>0</v>
      </c>
      <c r="BA43" s="220">
        <f ca="1">_xll.DBRW(Server&amp;Cube1,$N$15,$N$16,$N$17,$N$18,$N$14,$N$13,BA$2,BA$1,$B43)</f>
        <v>0</v>
      </c>
      <c r="BB43" s="220">
        <f ca="1">_xll.DBRW(Server&amp;Cube1,$N$15,$N$16,$N$17,$N$18,$N$14,$N$13,BB$2,BB$1,$B43)</f>
        <v>0</v>
      </c>
      <c r="BC43" s="400"/>
      <c r="BD43" s="220">
        <f ca="1">_xll.DBRW(Server&amp;Cube1,$N$15,$N$16,$N$17,$N$18,$N$14,$N$13,BD$2,BD$1,$B43)</f>
        <v>0</v>
      </c>
      <c r="BE43" s="220">
        <f ca="1">_xll.DBRW(Server&amp;Cube1,$N$15,$N$16,$N$17,$N$18,$N$14,$N$13,BE$2,BE$1,$B43)</f>
        <v>0</v>
      </c>
      <c r="BF43" s="220">
        <f ca="1">_xll.DBRW(Server&amp;Cube1,$N$15,$N$16,$N$17,$N$18,$N$14,$N$13,BF$2,BF$1,$B43)</f>
        <v>0</v>
      </c>
      <c r="BG43" s="400"/>
      <c r="BH43" s="220">
        <f ca="1">_xll.DBRW(Server&amp;Cube1,$N$15,$N$16,$N$17,$N$18,$N$14,$N$13,BH$2,BH$1,$B43)</f>
        <v>0</v>
      </c>
      <c r="BI43" s="220">
        <f ca="1">_xll.DBRW(Server&amp;Cube1,$N$15,$N$16,$N$17,$N$18,$N$14,$N$13,BI$2,BI$1,$B43)</f>
        <v>0</v>
      </c>
      <c r="BJ43" s="220">
        <f ca="1">_xll.DBRW(Server&amp;Cube1,$N$15,$N$16,$N$17,$N$18,$N$14,$N$13,BJ$2,BJ$1,$B43)</f>
        <v>0</v>
      </c>
      <c r="BK43" s="400"/>
      <c r="BL43" s="220">
        <f ca="1">_xll.DBRW(Server&amp;Cube1,$N$15,$N$16,$N$17,$N$18,$N$14,$N$13,BL$2,BL$1,$B43)</f>
        <v>0</v>
      </c>
      <c r="BM43" s="220">
        <f ca="1">_xll.DBRW(Server&amp;Cube1,$N$15,$N$16,$N$17,$N$18,$N$14,$N$13,BM$2,BM$1,$B43)</f>
        <v>0</v>
      </c>
      <c r="BN43" s="220">
        <f ca="1">_xll.DBRW(Server&amp;Cube1,$N$15,$N$16,$N$17,$N$18,$N$14,$N$13,BN$2,BN$1,$B43)</f>
        <v>0</v>
      </c>
      <c r="BO43" s="400"/>
      <c r="BP43" s="220">
        <f ca="1">_xll.DBRW(Server&amp;Cube1,$N$15,$N$16,$N$17,$N$18,$N$14,$N$13,BP$2,BP$1,$B43)</f>
        <v>0</v>
      </c>
      <c r="BQ43" s="220">
        <f ca="1">_xll.DBRW(Server&amp;Cube1,$N$15,$N$16,$N$17,$N$18,$N$14,$N$13,BQ$2,BQ$1,$B43)</f>
        <v>0</v>
      </c>
      <c r="BR43" s="220">
        <f ca="1">_xll.DBRW(Server&amp;Cube1,$N$15,$N$16,$N$17,$N$18,$N$14,$N$13,BR$2,BR$1,$B43)</f>
        <v>0</v>
      </c>
      <c r="BS43" s="400"/>
      <c r="BT43" s="220">
        <f ca="1">_xll.DBRW(Server&amp;Cube1,$N$15,$N$16,$N$17,$N$18,$N$14,$N$13,BT$2,BT$1,$B43)</f>
        <v>0</v>
      </c>
      <c r="BU43" s="220">
        <f ca="1">_xll.DBRW(Server&amp;Cube1,$N$15,$N$16,$N$17,$N$18,$N$14,$N$13,BU$2,BU$1,$B43)</f>
        <v>0</v>
      </c>
      <c r="BV43" s="220">
        <f ca="1">_xll.DBRW(Server&amp;Cube1,$N$15,$N$16,$N$17,$N$18,$N$14,$N$13,BV$2,BV$1,$B43)</f>
        <v>0</v>
      </c>
      <c r="BW43" s="56"/>
      <c r="BX43" s="28"/>
    </row>
    <row r="44" spans="1:78" ht="18.75" hidden="1" customHeight="1" outlineLevel="2" x14ac:dyDescent="0.2">
      <c r="A44" s="53"/>
      <c r="B44" s="57" t="s">
        <v>428</v>
      </c>
      <c r="D44" s="52"/>
      <c r="E44" s="52"/>
      <c r="I44" s="69"/>
      <c r="J44" s="54"/>
      <c r="K44" s="36"/>
      <c r="L44" s="568" t="str">
        <f ca="1">_xll.DBRA(Server&amp;$B$32,$B44,$N$19)</f>
        <v>Revenue from charter activities</v>
      </c>
      <c r="M44" s="568"/>
      <c r="N44" s="568"/>
      <c r="O44" s="568"/>
      <c r="P44" s="147"/>
      <c r="Q44" s="220">
        <f ca="1">_xll.DBRW(Server&amp;Cube1,$N$15,$N$16,$N$17,$N$18,$N$14,$N$13,$N$11,$Q$1,$B44)</f>
        <v>0</v>
      </c>
      <c r="R44" s="220">
        <f ca="1">_xll.DBRW(Server&amp;Cube1,$N$15,$N$16,$N$17,$N$18,$N$14,$N$13,$R$2,$R$1,$B44)</f>
        <v>0</v>
      </c>
      <c r="S44" s="221">
        <f t="shared" ca="1" si="8"/>
        <v>0</v>
      </c>
      <c r="T44" s="222">
        <f t="shared" ca="1" si="9"/>
        <v>0</v>
      </c>
      <c r="U44" s="223"/>
      <c r="V44" s="220">
        <f ca="1">_xll.DBRW(Server&amp;Cube1,$N$15,$N$16,$N$17,$N$18,$N$14,$N$13,$V$2,$V$1,$B44)</f>
        <v>0</v>
      </c>
      <c r="W44" s="221">
        <f t="shared" ca="1" si="10"/>
        <v>0</v>
      </c>
      <c r="X44" s="222">
        <f t="shared" ca="1" si="11"/>
        <v>0</v>
      </c>
      <c r="Y44" s="56"/>
      <c r="Z44" s="56"/>
      <c r="AA44" s="56"/>
      <c r="AB44" s="220">
        <f ca="1">_xll.DBRW(Server&amp;Cube1,$N$15,$N$16,$N$17,$N$18,$N$14,$N$13,AB$2,AB$1,$B44)</f>
        <v>0</v>
      </c>
      <c r="AC44" s="220">
        <f ca="1">_xll.DBRW(Server&amp;Cube1,$N$15,$N$16,$N$17,$N$18,$N$14,$N$13,AC$2,AC$1,$B44)</f>
        <v>0</v>
      </c>
      <c r="AD44" s="220">
        <f ca="1">_xll.DBRW(Server&amp;Cube1,$N$15,$N$16,$N$17,$N$18,$N$14,$N$13,AD$2,AD$1,$B44)</f>
        <v>0</v>
      </c>
      <c r="AE44" s="400"/>
      <c r="AF44" s="220">
        <f ca="1">_xll.DBRW(Server&amp;Cube1,$N$15,$N$16,$N$17,$N$18,$N$14,$N$13,AF$2,AF$1,$B44)</f>
        <v>0</v>
      </c>
      <c r="AG44" s="220">
        <f ca="1">_xll.DBRW(Server&amp;Cube1,$N$15,$N$16,$N$17,$N$18,$N$14,$N$13,AG$2,AG$1,$B44)</f>
        <v>0</v>
      </c>
      <c r="AH44" s="220">
        <f ca="1">_xll.DBRW(Server&amp;Cube1,$N$15,$N$16,$N$17,$N$18,$N$14,$N$13,AH$2,AH$1,$B44)</f>
        <v>0</v>
      </c>
      <c r="AI44" s="400"/>
      <c r="AJ44" s="220">
        <f ca="1">_xll.DBRW(Server&amp;Cube1,$N$15,$N$16,$N$17,$N$18,$N$14,$N$13,AJ$2,AJ$1,$B44)</f>
        <v>0</v>
      </c>
      <c r="AK44" s="220">
        <f ca="1">_xll.DBRW(Server&amp;Cube1,$N$15,$N$16,$N$17,$N$18,$N$14,$N$13,AK$2,AK$1,$B44)</f>
        <v>0</v>
      </c>
      <c r="AL44" s="220">
        <f ca="1">_xll.DBRW(Server&amp;Cube1,$N$15,$N$16,$N$17,$N$18,$N$14,$N$13,AL$2,AL$1,$B44)</f>
        <v>0</v>
      </c>
      <c r="AM44" s="400"/>
      <c r="AN44" s="220">
        <f ca="1">_xll.DBRW(Server&amp;Cube1,$N$15,$N$16,$N$17,$N$18,$N$14,$N$13,AN$2,AN$1,$B44)</f>
        <v>0</v>
      </c>
      <c r="AO44" s="220">
        <f ca="1">_xll.DBRW(Server&amp;Cube1,$N$15,$N$16,$N$17,$N$18,$N$14,$N$13,AO$2,AO$1,$B44)</f>
        <v>0</v>
      </c>
      <c r="AP44" s="220">
        <f ca="1">_xll.DBRW(Server&amp;Cube1,$N$15,$N$16,$N$17,$N$18,$N$14,$N$13,AP$2,AP$1,$B44)</f>
        <v>0</v>
      </c>
      <c r="AQ44" s="400"/>
      <c r="AR44" s="220">
        <f ca="1">_xll.DBRW(Server&amp;Cube1,$N$15,$N$16,$N$17,$N$18,$N$14,$N$13,AR$2,AR$1,$B44)</f>
        <v>0</v>
      </c>
      <c r="AS44" s="220">
        <f ca="1">_xll.DBRW(Server&amp;Cube1,$N$15,$N$16,$N$17,$N$18,$N$14,$N$13,AS$2,AS$1,$B44)</f>
        <v>0</v>
      </c>
      <c r="AT44" s="220">
        <f ca="1">_xll.DBRW(Server&amp;Cube1,$N$15,$N$16,$N$17,$N$18,$N$14,$N$13,AT$2,AT$1,$B44)</f>
        <v>0</v>
      </c>
      <c r="AU44" s="400"/>
      <c r="AV44" s="220">
        <f ca="1">_xll.DBRW(Server&amp;Cube1,$N$15,$N$16,$N$17,$N$18,$N$14,$N$13,AV$2,AV$1,$B44)</f>
        <v>0</v>
      </c>
      <c r="AW44" s="220">
        <f ca="1">_xll.DBRW(Server&amp;Cube1,$N$15,$N$16,$N$17,$N$18,$N$14,$N$13,AW$2,AW$1,$B44)</f>
        <v>0</v>
      </c>
      <c r="AX44" s="220">
        <f ca="1">_xll.DBRW(Server&amp;Cube1,$N$15,$N$16,$N$17,$N$18,$N$14,$N$13,AX$2,AX$1,$B44)</f>
        <v>0</v>
      </c>
      <c r="AY44" s="400"/>
      <c r="AZ44" s="220">
        <f ca="1">_xll.DBRW(Server&amp;Cube1,$N$15,$N$16,$N$17,$N$18,$N$14,$N$13,AZ$2,AZ$1,$B44)</f>
        <v>0</v>
      </c>
      <c r="BA44" s="220">
        <f ca="1">_xll.DBRW(Server&amp;Cube1,$N$15,$N$16,$N$17,$N$18,$N$14,$N$13,BA$2,BA$1,$B44)</f>
        <v>0</v>
      </c>
      <c r="BB44" s="220">
        <f ca="1">_xll.DBRW(Server&amp;Cube1,$N$15,$N$16,$N$17,$N$18,$N$14,$N$13,BB$2,BB$1,$B44)</f>
        <v>0</v>
      </c>
      <c r="BC44" s="400"/>
      <c r="BD44" s="220">
        <f ca="1">_xll.DBRW(Server&amp;Cube1,$N$15,$N$16,$N$17,$N$18,$N$14,$N$13,BD$2,BD$1,$B44)</f>
        <v>0</v>
      </c>
      <c r="BE44" s="220">
        <f ca="1">_xll.DBRW(Server&amp;Cube1,$N$15,$N$16,$N$17,$N$18,$N$14,$N$13,BE$2,BE$1,$B44)</f>
        <v>0</v>
      </c>
      <c r="BF44" s="220">
        <f ca="1">_xll.DBRW(Server&amp;Cube1,$N$15,$N$16,$N$17,$N$18,$N$14,$N$13,BF$2,BF$1,$B44)</f>
        <v>0</v>
      </c>
      <c r="BG44" s="400"/>
      <c r="BH44" s="220">
        <f ca="1">_xll.DBRW(Server&amp;Cube1,$N$15,$N$16,$N$17,$N$18,$N$14,$N$13,BH$2,BH$1,$B44)</f>
        <v>0</v>
      </c>
      <c r="BI44" s="220">
        <f ca="1">_xll.DBRW(Server&amp;Cube1,$N$15,$N$16,$N$17,$N$18,$N$14,$N$13,BI$2,BI$1,$B44)</f>
        <v>0</v>
      </c>
      <c r="BJ44" s="220">
        <f ca="1">_xll.DBRW(Server&amp;Cube1,$N$15,$N$16,$N$17,$N$18,$N$14,$N$13,BJ$2,BJ$1,$B44)</f>
        <v>0</v>
      </c>
      <c r="BK44" s="400"/>
      <c r="BL44" s="220">
        <f ca="1">_xll.DBRW(Server&amp;Cube1,$N$15,$N$16,$N$17,$N$18,$N$14,$N$13,BL$2,BL$1,$B44)</f>
        <v>0</v>
      </c>
      <c r="BM44" s="220">
        <f ca="1">_xll.DBRW(Server&amp;Cube1,$N$15,$N$16,$N$17,$N$18,$N$14,$N$13,BM$2,BM$1,$B44)</f>
        <v>0</v>
      </c>
      <c r="BN44" s="220">
        <f ca="1">_xll.DBRW(Server&amp;Cube1,$N$15,$N$16,$N$17,$N$18,$N$14,$N$13,BN$2,BN$1,$B44)</f>
        <v>0</v>
      </c>
      <c r="BO44" s="400"/>
      <c r="BP44" s="220">
        <f ca="1">_xll.DBRW(Server&amp;Cube1,$N$15,$N$16,$N$17,$N$18,$N$14,$N$13,BP$2,BP$1,$B44)</f>
        <v>0</v>
      </c>
      <c r="BQ44" s="220">
        <f ca="1">_xll.DBRW(Server&amp;Cube1,$N$15,$N$16,$N$17,$N$18,$N$14,$N$13,BQ$2,BQ$1,$B44)</f>
        <v>0</v>
      </c>
      <c r="BR44" s="220">
        <f ca="1">_xll.DBRW(Server&amp;Cube1,$N$15,$N$16,$N$17,$N$18,$N$14,$N$13,BR$2,BR$1,$B44)</f>
        <v>0</v>
      </c>
      <c r="BS44" s="400"/>
      <c r="BT44" s="220">
        <f ca="1">_xll.DBRW(Server&amp;Cube1,$N$15,$N$16,$N$17,$N$18,$N$14,$N$13,BT$2,BT$1,$B44)</f>
        <v>0</v>
      </c>
      <c r="BU44" s="220">
        <f ca="1">_xll.DBRW(Server&amp;Cube1,$N$15,$N$16,$N$17,$N$18,$N$14,$N$13,BU$2,BU$1,$B44)</f>
        <v>0</v>
      </c>
      <c r="BV44" s="220">
        <f ca="1">_xll.DBRW(Server&amp;Cube1,$N$15,$N$16,$N$17,$N$18,$N$14,$N$13,BV$2,BV$1,$B44)</f>
        <v>0</v>
      </c>
      <c r="BW44" s="56"/>
      <c r="BX44" s="28"/>
    </row>
    <row r="45" spans="1:78" ht="18.75" hidden="1" customHeight="1" outlineLevel="2" x14ac:dyDescent="0.2">
      <c r="A45" s="53"/>
      <c r="B45" s="57" t="s">
        <v>429</v>
      </c>
      <c r="D45" s="52"/>
      <c r="E45" s="52"/>
      <c r="I45" s="69"/>
      <c r="J45" s="54"/>
      <c r="K45" s="36"/>
      <c r="L45" s="568" t="str">
        <f ca="1">_xll.DBRA(Server&amp;$B$32,$B45,$N$19)</f>
        <v>Franchisee revenue and brokerage fees</v>
      </c>
      <c r="M45" s="568"/>
      <c r="N45" s="568"/>
      <c r="O45" s="568"/>
      <c r="P45" s="147"/>
      <c r="Q45" s="220">
        <f ca="1">_xll.DBRW(Server&amp;Cube1,$N$15,$N$16,$N$17,$N$18,$N$14,$N$13,$N$11,$Q$1,$B45)</f>
        <v>0</v>
      </c>
      <c r="R45" s="220">
        <f ca="1">_xll.DBRW(Server&amp;Cube1,$N$15,$N$16,$N$17,$N$18,$N$14,$N$13,$R$2,$R$1,$B45)</f>
        <v>0</v>
      </c>
      <c r="S45" s="221">
        <f t="shared" ca="1" si="8"/>
        <v>0</v>
      </c>
      <c r="T45" s="222">
        <f t="shared" ca="1" si="9"/>
        <v>0</v>
      </c>
      <c r="U45" s="223"/>
      <c r="V45" s="220">
        <f ca="1">_xll.DBRW(Server&amp;Cube1,$N$15,$N$16,$N$17,$N$18,$N$14,$N$13,$V$2,$V$1,$B45)</f>
        <v>0</v>
      </c>
      <c r="W45" s="221">
        <f t="shared" ca="1" si="10"/>
        <v>0</v>
      </c>
      <c r="X45" s="222">
        <f t="shared" ca="1" si="11"/>
        <v>0</v>
      </c>
      <c r="Y45" s="56"/>
      <c r="Z45" s="56"/>
      <c r="AA45" s="56"/>
      <c r="AB45" s="220">
        <f ca="1">_xll.DBRW(Server&amp;Cube1,$N$15,$N$16,$N$17,$N$18,$N$14,$N$13,AB$2,AB$1,$B45)</f>
        <v>0</v>
      </c>
      <c r="AC45" s="220">
        <f ca="1">_xll.DBRW(Server&amp;Cube1,$N$15,$N$16,$N$17,$N$18,$N$14,$N$13,AC$2,AC$1,$B45)</f>
        <v>0</v>
      </c>
      <c r="AD45" s="220">
        <f ca="1">_xll.DBRW(Server&amp;Cube1,$N$15,$N$16,$N$17,$N$18,$N$14,$N$13,AD$2,AD$1,$B45)</f>
        <v>0</v>
      </c>
      <c r="AE45" s="400"/>
      <c r="AF45" s="220">
        <f ca="1">_xll.DBRW(Server&amp;Cube1,$N$15,$N$16,$N$17,$N$18,$N$14,$N$13,AF$2,AF$1,$B45)</f>
        <v>0</v>
      </c>
      <c r="AG45" s="220">
        <f ca="1">_xll.DBRW(Server&amp;Cube1,$N$15,$N$16,$N$17,$N$18,$N$14,$N$13,AG$2,AG$1,$B45)</f>
        <v>0</v>
      </c>
      <c r="AH45" s="220">
        <f ca="1">_xll.DBRW(Server&amp;Cube1,$N$15,$N$16,$N$17,$N$18,$N$14,$N$13,AH$2,AH$1,$B45)</f>
        <v>0</v>
      </c>
      <c r="AI45" s="400"/>
      <c r="AJ45" s="220">
        <f ca="1">_xll.DBRW(Server&amp;Cube1,$N$15,$N$16,$N$17,$N$18,$N$14,$N$13,AJ$2,AJ$1,$B45)</f>
        <v>0</v>
      </c>
      <c r="AK45" s="220">
        <f ca="1">_xll.DBRW(Server&amp;Cube1,$N$15,$N$16,$N$17,$N$18,$N$14,$N$13,AK$2,AK$1,$B45)</f>
        <v>0</v>
      </c>
      <c r="AL45" s="220">
        <f ca="1">_xll.DBRW(Server&amp;Cube1,$N$15,$N$16,$N$17,$N$18,$N$14,$N$13,AL$2,AL$1,$B45)</f>
        <v>0</v>
      </c>
      <c r="AM45" s="400"/>
      <c r="AN45" s="220">
        <f ca="1">_xll.DBRW(Server&amp;Cube1,$N$15,$N$16,$N$17,$N$18,$N$14,$N$13,AN$2,AN$1,$B45)</f>
        <v>0</v>
      </c>
      <c r="AO45" s="220">
        <f ca="1">_xll.DBRW(Server&amp;Cube1,$N$15,$N$16,$N$17,$N$18,$N$14,$N$13,AO$2,AO$1,$B45)</f>
        <v>0</v>
      </c>
      <c r="AP45" s="220">
        <f ca="1">_xll.DBRW(Server&amp;Cube1,$N$15,$N$16,$N$17,$N$18,$N$14,$N$13,AP$2,AP$1,$B45)</f>
        <v>0</v>
      </c>
      <c r="AQ45" s="400"/>
      <c r="AR45" s="220">
        <f ca="1">_xll.DBRW(Server&amp;Cube1,$N$15,$N$16,$N$17,$N$18,$N$14,$N$13,AR$2,AR$1,$B45)</f>
        <v>0</v>
      </c>
      <c r="AS45" s="220">
        <f ca="1">_xll.DBRW(Server&amp;Cube1,$N$15,$N$16,$N$17,$N$18,$N$14,$N$13,AS$2,AS$1,$B45)</f>
        <v>0</v>
      </c>
      <c r="AT45" s="220">
        <f ca="1">_xll.DBRW(Server&amp;Cube1,$N$15,$N$16,$N$17,$N$18,$N$14,$N$13,AT$2,AT$1,$B45)</f>
        <v>0</v>
      </c>
      <c r="AU45" s="400"/>
      <c r="AV45" s="220">
        <f ca="1">_xll.DBRW(Server&amp;Cube1,$N$15,$N$16,$N$17,$N$18,$N$14,$N$13,AV$2,AV$1,$B45)</f>
        <v>0</v>
      </c>
      <c r="AW45" s="220">
        <f ca="1">_xll.DBRW(Server&amp;Cube1,$N$15,$N$16,$N$17,$N$18,$N$14,$N$13,AW$2,AW$1,$B45)</f>
        <v>0</v>
      </c>
      <c r="AX45" s="220">
        <f ca="1">_xll.DBRW(Server&amp;Cube1,$N$15,$N$16,$N$17,$N$18,$N$14,$N$13,AX$2,AX$1,$B45)</f>
        <v>0</v>
      </c>
      <c r="AY45" s="400"/>
      <c r="AZ45" s="220">
        <f ca="1">_xll.DBRW(Server&amp;Cube1,$N$15,$N$16,$N$17,$N$18,$N$14,$N$13,AZ$2,AZ$1,$B45)</f>
        <v>0</v>
      </c>
      <c r="BA45" s="220">
        <f ca="1">_xll.DBRW(Server&amp;Cube1,$N$15,$N$16,$N$17,$N$18,$N$14,$N$13,BA$2,BA$1,$B45)</f>
        <v>0</v>
      </c>
      <c r="BB45" s="220">
        <f ca="1">_xll.DBRW(Server&amp;Cube1,$N$15,$N$16,$N$17,$N$18,$N$14,$N$13,BB$2,BB$1,$B45)</f>
        <v>0</v>
      </c>
      <c r="BC45" s="400"/>
      <c r="BD45" s="220">
        <f ca="1">_xll.DBRW(Server&amp;Cube1,$N$15,$N$16,$N$17,$N$18,$N$14,$N$13,BD$2,BD$1,$B45)</f>
        <v>0</v>
      </c>
      <c r="BE45" s="220">
        <f ca="1">_xll.DBRW(Server&amp;Cube1,$N$15,$N$16,$N$17,$N$18,$N$14,$N$13,BE$2,BE$1,$B45)</f>
        <v>0</v>
      </c>
      <c r="BF45" s="220">
        <f ca="1">_xll.DBRW(Server&amp;Cube1,$N$15,$N$16,$N$17,$N$18,$N$14,$N$13,BF$2,BF$1,$B45)</f>
        <v>0</v>
      </c>
      <c r="BG45" s="400"/>
      <c r="BH45" s="220">
        <f ca="1">_xll.DBRW(Server&amp;Cube1,$N$15,$N$16,$N$17,$N$18,$N$14,$N$13,BH$2,BH$1,$B45)</f>
        <v>0</v>
      </c>
      <c r="BI45" s="220">
        <f ca="1">_xll.DBRW(Server&amp;Cube1,$N$15,$N$16,$N$17,$N$18,$N$14,$N$13,BI$2,BI$1,$B45)</f>
        <v>0</v>
      </c>
      <c r="BJ45" s="220">
        <f ca="1">_xll.DBRW(Server&amp;Cube1,$N$15,$N$16,$N$17,$N$18,$N$14,$N$13,BJ$2,BJ$1,$B45)</f>
        <v>0</v>
      </c>
      <c r="BK45" s="400"/>
      <c r="BL45" s="220">
        <f ca="1">_xll.DBRW(Server&amp;Cube1,$N$15,$N$16,$N$17,$N$18,$N$14,$N$13,BL$2,BL$1,$B45)</f>
        <v>0</v>
      </c>
      <c r="BM45" s="220">
        <f ca="1">_xll.DBRW(Server&amp;Cube1,$N$15,$N$16,$N$17,$N$18,$N$14,$N$13,BM$2,BM$1,$B45)</f>
        <v>0</v>
      </c>
      <c r="BN45" s="220">
        <f ca="1">_xll.DBRW(Server&amp;Cube1,$N$15,$N$16,$N$17,$N$18,$N$14,$N$13,BN$2,BN$1,$B45)</f>
        <v>0</v>
      </c>
      <c r="BO45" s="400"/>
      <c r="BP45" s="220">
        <f ca="1">_xll.DBRW(Server&amp;Cube1,$N$15,$N$16,$N$17,$N$18,$N$14,$N$13,BP$2,BP$1,$B45)</f>
        <v>0</v>
      </c>
      <c r="BQ45" s="220">
        <f ca="1">_xll.DBRW(Server&amp;Cube1,$N$15,$N$16,$N$17,$N$18,$N$14,$N$13,BQ$2,BQ$1,$B45)</f>
        <v>0</v>
      </c>
      <c r="BR45" s="220">
        <f ca="1">_xll.DBRW(Server&amp;Cube1,$N$15,$N$16,$N$17,$N$18,$N$14,$N$13,BR$2,BR$1,$B45)</f>
        <v>0</v>
      </c>
      <c r="BS45" s="400"/>
      <c r="BT45" s="220">
        <f ca="1">_xll.DBRW(Server&amp;Cube1,$N$15,$N$16,$N$17,$N$18,$N$14,$N$13,BT$2,BT$1,$B45)</f>
        <v>0</v>
      </c>
      <c r="BU45" s="220">
        <f ca="1">_xll.DBRW(Server&amp;Cube1,$N$15,$N$16,$N$17,$N$18,$N$14,$N$13,BU$2,BU$1,$B45)</f>
        <v>0</v>
      </c>
      <c r="BV45" s="220">
        <f ca="1">_xll.DBRW(Server&amp;Cube1,$N$15,$N$16,$N$17,$N$18,$N$14,$N$13,BV$2,BV$1,$B45)</f>
        <v>0</v>
      </c>
      <c r="BW45" s="56"/>
      <c r="BX45" s="28"/>
    </row>
    <row r="46" spans="1:78" ht="18.75" hidden="1" customHeight="1" outlineLevel="2" x14ac:dyDescent="0.2">
      <c r="A46" s="53"/>
      <c r="B46" s="57" t="s">
        <v>430</v>
      </c>
      <c r="D46" s="52"/>
      <c r="E46" s="52"/>
      <c r="I46" s="69"/>
      <c r="J46" s="54"/>
      <c r="K46" s="36"/>
      <c r="L46" s="568" t="str">
        <f ca="1">_xll.DBRA(Server&amp;$B$32,$B46,$N$19)</f>
        <v>Franchisee reimbursement revenue</v>
      </c>
      <c r="M46" s="568"/>
      <c r="N46" s="568"/>
      <c r="O46" s="568"/>
      <c r="P46" s="147"/>
      <c r="Q46" s="220">
        <f ca="1">_xll.DBRW(Server&amp;Cube1,$N$15,$N$16,$N$17,$N$18,$N$14,$N$13,$N$11,$Q$1,$B46)</f>
        <v>0</v>
      </c>
      <c r="R46" s="220">
        <f ca="1">_xll.DBRW(Server&amp;Cube1,$N$15,$N$16,$N$17,$N$18,$N$14,$N$13,$R$2,$R$1,$B46)</f>
        <v>0</v>
      </c>
      <c r="S46" s="221">
        <f t="shared" ca="1" si="8"/>
        <v>0</v>
      </c>
      <c r="T46" s="222">
        <f t="shared" ca="1" si="9"/>
        <v>0</v>
      </c>
      <c r="U46" s="223"/>
      <c r="V46" s="220">
        <f ca="1">_xll.DBRW(Server&amp;Cube1,$N$15,$N$16,$N$17,$N$18,$N$14,$N$13,$V$2,$V$1,$B46)</f>
        <v>0</v>
      </c>
      <c r="W46" s="221">
        <f t="shared" ca="1" si="10"/>
        <v>0</v>
      </c>
      <c r="X46" s="222">
        <f t="shared" ca="1" si="11"/>
        <v>0</v>
      </c>
      <c r="Y46" s="56"/>
      <c r="Z46" s="56"/>
      <c r="AA46" s="56"/>
      <c r="AB46" s="220">
        <f ca="1">_xll.DBRW(Server&amp;Cube1,$N$15,$N$16,$N$17,$N$18,$N$14,$N$13,AB$2,AB$1,$B46)</f>
        <v>0</v>
      </c>
      <c r="AC46" s="220">
        <f ca="1">_xll.DBRW(Server&amp;Cube1,$N$15,$N$16,$N$17,$N$18,$N$14,$N$13,AC$2,AC$1,$B46)</f>
        <v>0</v>
      </c>
      <c r="AD46" s="220">
        <f ca="1">_xll.DBRW(Server&amp;Cube1,$N$15,$N$16,$N$17,$N$18,$N$14,$N$13,AD$2,AD$1,$B46)</f>
        <v>0</v>
      </c>
      <c r="AE46" s="400"/>
      <c r="AF46" s="220">
        <f ca="1">_xll.DBRW(Server&amp;Cube1,$N$15,$N$16,$N$17,$N$18,$N$14,$N$13,AF$2,AF$1,$B46)</f>
        <v>0</v>
      </c>
      <c r="AG46" s="220">
        <f ca="1">_xll.DBRW(Server&amp;Cube1,$N$15,$N$16,$N$17,$N$18,$N$14,$N$13,AG$2,AG$1,$B46)</f>
        <v>0</v>
      </c>
      <c r="AH46" s="220">
        <f ca="1">_xll.DBRW(Server&amp;Cube1,$N$15,$N$16,$N$17,$N$18,$N$14,$N$13,AH$2,AH$1,$B46)</f>
        <v>0</v>
      </c>
      <c r="AI46" s="400"/>
      <c r="AJ46" s="220">
        <f ca="1">_xll.DBRW(Server&amp;Cube1,$N$15,$N$16,$N$17,$N$18,$N$14,$N$13,AJ$2,AJ$1,$B46)</f>
        <v>0</v>
      </c>
      <c r="AK46" s="220">
        <f ca="1">_xll.DBRW(Server&amp;Cube1,$N$15,$N$16,$N$17,$N$18,$N$14,$N$13,AK$2,AK$1,$B46)</f>
        <v>0</v>
      </c>
      <c r="AL46" s="220">
        <f ca="1">_xll.DBRW(Server&amp;Cube1,$N$15,$N$16,$N$17,$N$18,$N$14,$N$13,AL$2,AL$1,$B46)</f>
        <v>0</v>
      </c>
      <c r="AM46" s="400"/>
      <c r="AN46" s="220">
        <f ca="1">_xll.DBRW(Server&amp;Cube1,$N$15,$N$16,$N$17,$N$18,$N$14,$N$13,AN$2,AN$1,$B46)</f>
        <v>0</v>
      </c>
      <c r="AO46" s="220">
        <f ca="1">_xll.DBRW(Server&amp;Cube1,$N$15,$N$16,$N$17,$N$18,$N$14,$N$13,AO$2,AO$1,$B46)</f>
        <v>0</v>
      </c>
      <c r="AP46" s="220">
        <f ca="1">_xll.DBRW(Server&amp;Cube1,$N$15,$N$16,$N$17,$N$18,$N$14,$N$13,AP$2,AP$1,$B46)</f>
        <v>0</v>
      </c>
      <c r="AQ46" s="400"/>
      <c r="AR46" s="220">
        <f ca="1">_xll.DBRW(Server&amp;Cube1,$N$15,$N$16,$N$17,$N$18,$N$14,$N$13,AR$2,AR$1,$B46)</f>
        <v>0</v>
      </c>
      <c r="AS46" s="220">
        <f ca="1">_xll.DBRW(Server&amp;Cube1,$N$15,$N$16,$N$17,$N$18,$N$14,$N$13,AS$2,AS$1,$B46)</f>
        <v>0</v>
      </c>
      <c r="AT46" s="220">
        <f ca="1">_xll.DBRW(Server&amp;Cube1,$N$15,$N$16,$N$17,$N$18,$N$14,$N$13,AT$2,AT$1,$B46)</f>
        <v>0</v>
      </c>
      <c r="AU46" s="400"/>
      <c r="AV46" s="220">
        <f ca="1">_xll.DBRW(Server&amp;Cube1,$N$15,$N$16,$N$17,$N$18,$N$14,$N$13,AV$2,AV$1,$B46)</f>
        <v>0</v>
      </c>
      <c r="AW46" s="220">
        <f ca="1">_xll.DBRW(Server&amp;Cube1,$N$15,$N$16,$N$17,$N$18,$N$14,$N$13,AW$2,AW$1,$B46)</f>
        <v>0</v>
      </c>
      <c r="AX46" s="220">
        <f ca="1">_xll.DBRW(Server&amp;Cube1,$N$15,$N$16,$N$17,$N$18,$N$14,$N$13,AX$2,AX$1,$B46)</f>
        <v>0</v>
      </c>
      <c r="AY46" s="400"/>
      <c r="AZ46" s="220">
        <f ca="1">_xll.DBRW(Server&amp;Cube1,$N$15,$N$16,$N$17,$N$18,$N$14,$N$13,AZ$2,AZ$1,$B46)</f>
        <v>0</v>
      </c>
      <c r="BA46" s="220">
        <f ca="1">_xll.DBRW(Server&amp;Cube1,$N$15,$N$16,$N$17,$N$18,$N$14,$N$13,BA$2,BA$1,$B46)</f>
        <v>0</v>
      </c>
      <c r="BB46" s="220">
        <f ca="1">_xll.DBRW(Server&amp;Cube1,$N$15,$N$16,$N$17,$N$18,$N$14,$N$13,BB$2,BB$1,$B46)</f>
        <v>0</v>
      </c>
      <c r="BC46" s="400"/>
      <c r="BD46" s="220">
        <f ca="1">_xll.DBRW(Server&amp;Cube1,$N$15,$N$16,$N$17,$N$18,$N$14,$N$13,BD$2,BD$1,$B46)</f>
        <v>0</v>
      </c>
      <c r="BE46" s="220">
        <f ca="1">_xll.DBRW(Server&amp;Cube1,$N$15,$N$16,$N$17,$N$18,$N$14,$N$13,BE$2,BE$1,$B46)</f>
        <v>0</v>
      </c>
      <c r="BF46" s="220">
        <f ca="1">_xll.DBRW(Server&amp;Cube1,$N$15,$N$16,$N$17,$N$18,$N$14,$N$13,BF$2,BF$1,$B46)</f>
        <v>0</v>
      </c>
      <c r="BG46" s="400"/>
      <c r="BH46" s="220">
        <f ca="1">_xll.DBRW(Server&amp;Cube1,$N$15,$N$16,$N$17,$N$18,$N$14,$N$13,BH$2,BH$1,$B46)</f>
        <v>0</v>
      </c>
      <c r="BI46" s="220">
        <f ca="1">_xll.DBRW(Server&amp;Cube1,$N$15,$N$16,$N$17,$N$18,$N$14,$N$13,BI$2,BI$1,$B46)</f>
        <v>0</v>
      </c>
      <c r="BJ46" s="220">
        <f ca="1">_xll.DBRW(Server&amp;Cube1,$N$15,$N$16,$N$17,$N$18,$N$14,$N$13,BJ$2,BJ$1,$B46)</f>
        <v>0</v>
      </c>
      <c r="BK46" s="400"/>
      <c r="BL46" s="220">
        <f ca="1">_xll.DBRW(Server&amp;Cube1,$N$15,$N$16,$N$17,$N$18,$N$14,$N$13,BL$2,BL$1,$B46)</f>
        <v>0</v>
      </c>
      <c r="BM46" s="220">
        <f ca="1">_xll.DBRW(Server&amp;Cube1,$N$15,$N$16,$N$17,$N$18,$N$14,$N$13,BM$2,BM$1,$B46)</f>
        <v>0</v>
      </c>
      <c r="BN46" s="220">
        <f ca="1">_xll.DBRW(Server&amp;Cube1,$N$15,$N$16,$N$17,$N$18,$N$14,$N$13,BN$2,BN$1,$B46)</f>
        <v>0</v>
      </c>
      <c r="BO46" s="400"/>
      <c r="BP46" s="220">
        <f ca="1">_xll.DBRW(Server&amp;Cube1,$N$15,$N$16,$N$17,$N$18,$N$14,$N$13,BP$2,BP$1,$B46)</f>
        <v>0</v>
      </c>
      <c r="BQ46" s="220">
        <f ca="1">_xll.DBRW(Server&amp;Cube1,$N$15,$N$16,$N$17,$N$18,$N$14,$N$13,BQ$2,BQ$1,$B46)</f>
        <v>0</v>
      </c>
      <c r="BR46" s="220">
        <f ca="1">_xll.DBRW(Server&amp;Cube1,$N$15,$N$16,$N$17,$N$18,$N$14,$N$13,BR$2,BR$1,$B46)</f>
        <v>0</v>
      </c>
      <c r="BS46" s="400"/>
      <c r="BT46" s="220">
        <f ca="1">_xll.DBRW(Server&amp;Cube1,$N$15,$N$16,$N$17,$N$18,$N$14,$N$13,BT$2,BT$1,$B46)</f>
        <v>0</v>
      </c>
      <c r="BU46" s="220">
        <f ca="1">_xll.DBRW(Server&amp;Cube1,$N$15,$N$16,$N$17,$N$18,$N$14,$N$13,BU$2,BU$1,$B46)</f>
        <v>0</v>
      </c>
      <c r="BV46" s="220">
        <f ca="1">_xll.DBRW(Server&amp;Cube1,$N$15,$N$16,$N$17,$N$18,$N$14,$N$13,BV$2,BV$1,$B46)</f>
        <v>0</v>
      </c>
      <c r="BW46" s="56"/>
      <c r="BX46" s="28"/>
    </row>
    <row r="47" spans="1:78" ht="18.75" hidden="1" customHeight="1" outlineLevel="2" x14ac:dyDescent="0.2">
      <c r="A47" s="53"/>
      <c r="B47" s="57" t="s">
        <v>239</v>
      </c>
      <c r="D47" s="52"/>
      <c r="E47" s="52"/>
      <c r="I47" s="69"/>
      <c r="J47" s="54"/>
      <c r="K47" s="36"/>
      <c r="L47" s="568" t="str">
        <f ca="1">_xll.DBRA(Server&amp;$B$32,$B47,$N$19)</f>
        <v>Operating grants (guaranteed and variable)</v>
      </c>
      <c r="M47" s="568"/>
      <c r="N47" s="568"/>
      <c r="O47" s="568"/>
      <c r="P47" s="147"/>
      <c r="Q47" s="220">
        <f ca="1">_xll.DBRW(Server&amp;Cube1,$N$15,$N$16,$N$17,$N$18,$N$14,$N$13,$N$11,$Q$1,$B47)</f>
        <v>388809871.81000006</v>
      </c>
      <c r="R47" s="220">
        <f ca="1">_xll.DBRW(Server&amp;Cube1,$N$15,$N$16,$N$17,$N$18,$N$14,$N$13,$R$2,$R$1,$B47)</f>
        <v>379875922.89917171</v>
      </c>
      <c r="S47" s="221">
        <f t="shared" ca="1" si="3"/>
        <v>8933948.910828352</v>
      </c>
      <c r="T47" s="222">
        <f t="shared" ca="1" si="0"/>
        <v>2.3518070960237294E-2</v>
      </c>
      <c r="U47" s="223"/>
      <c r="V47" s="220">
        <f ca="1">_xll.DBRW(Server&amp;Cube1,$N$15,$N$16,$N$17,$N$18,$N$14,$N$13,$V$2,$V$1,$B47)</f>
        <v>423340237.37133706</v>
      </c>
      <c r="W47" s="221">
        <f t="shared" ca="1" si="1"/>
        <v>-34530365.561336994</v>
      </c>
      <c r="X47" s="222">
        <f t="shared" ca="1" si="2"/>
        <v>-8.1566462417434565E-2</v>
      </c>
      <c r="Y47" s="56"/>
      <c r="Z47" s="56"/>
      <c r="AA47" s="56"/>
      <c r="AB47" s="220">
        <f ca="1">_xll.DBRW(Server&amp;Cube1,$N$15,$N$16,$N$17,$N$18,$N$14,$N$13,AB$2,AB$1,$B47)</f>
        <v>175709975.61000001</v>
      </c>
      <c r="AC47" s="220">
        <f ca="1">_xll.DBRW(Server&amp;Cube1,$N$15,$N$16,$N$17,$N$18,$N$14,$N$13,AC$2,AC$1,$B47)</f>
        <v>194456327.90609708</v>
      </c>
      <c r="AD47" s="220">
        <f ca="1">_xll.DBRW(Server&amp;Cube1,$N$15,$N$16,$N$17,$N$18,$N$14,$N$13,AD$2,AD$1,$B47)</f>
        <v>206873013.63080299</v>
      </c>
      <c r="AE47" s="400"/>
      <c r="AF47" s="220">
        <f ca="1">_xll.DBRW(Server&amp;Cube1,$N$15,$N$16,$N$17,$N$18,$N$14,$N$13,AF$2,AF$1,$B47)</f>
        <v>213099896.19999999</v>
      </c>
      <c r="AG47" s="220">
        <f ca="1">_xll.DBRW(Server&amp;Cube1,$N$15,$N$16,$N$17,$N$18,$N$14,$N$13,AG$2,AG$1,$B47)</f>
        <v>185419594.99307454</v>
      </c>
      <c r="AH47" s="220">
        <f ca="1">_xll.DBRW(Server&amp;Cube1,$N$15,$N$16,$N$17,$N$18,$N$14,$N$13,AH$2,AH$1,$B47)</f>
        <v>216467223.74053398</v>
      </c>
      <c r="AI47" s="400"/>
      <c r="AJ47" s="220">
        <f ca="1">_xll.DBRW(Server&amp;Cube1,$N$15,$N$16,$N$17,$N$18,$N$14,$N$13,AJ$2,AJ$1,$B47)</f>
        <v>0</v>
      </c>
      <c r="AK47" s="220">
        <f ca="1">_xll.DBRW(Server&amp;Cube1,$N$15,$N$16,$N$17,$N$18,$N$14,$N$13,AK$2,AK$1,$B47)</f>
        <v>194516686.66973275</v>
      </c>
      <c r="AL47" s="220">
        <f ca="1">_xll.DBRW(Server&amp;Cube1,$N$15,$N$16,$N$17,$N$18,$N$14,$N$13,AL$2,AL$1,$B47)</f>
        <v>228911251.00116301</v>
      </c>
      <c r="AM47" s="400"/>
      <c r="AN47" s="220">
        <f ca="1">_xll.DBRW(Server&amp;Cube1,$N$15,$N$16,$N$17,$N$18,$N$14,$N$13,AN$2,AN$1,$B47)</f>
        <v>0</v>
      </c>
      <c r="AO47" s="220">
        <f ca="1">_xll.DBRW(Server&amp;Cube1,$N$15,$N$16,$N$17,$N$18,$N$14,$N$13,AO$2,AO$1,$B47)</f>
        <v>186431615.91116548</v>
      </c>
      <c r="AP47" s="220">
        <f ca="1">_xll.DBRW(Server&amp;Cube1,$N$15,$N$16,$N$17,$N$18,$N$14,$N$13,AP$2,AP$1,$B47)</f>
        <v>165353920.99000001</v>
      </c>
      <c r="AQ47" s="400"/>
      <c r="AR47" s="220">
        <f ca="1">_xll.DBRW(Server&amp;Cube1,$N$15,$N$16,$N$17,$N$18,$N$14,$N$13,AR$2,AR$1,$B47)</f>
        <v>0</v>
      </c>
      <c r="AS47" s="220">
        <f ca="1">_xll.DBRW(Server&amp;Cube1,$N$15,$N$16,$N$17,$N$18,$N$14,$N$13,AS$2,AS$1,$B47)</f>
        <v>187493862.37123108</v>
      </c>
      <c r="AT47" s="220">
        <f ca="1">_xll.DBRW(Server&amp;Cube1,$N$15,$N$16,$N$17,$N$18,$N$14,$N$13,AT$2,AT$1,$B47)</f>
        <v>326229745.58999991</v>
      </c>
      <c r="AU47" s="400"/>
      <c r="AV47" s="220">
        <f ca="1">_xll.DBRW(Server&amp;Cube1,$N$15,$N$16,$N$17,$N$18,$N$14,$N$13,AV$2,AV$1,$B47)</f>
        <v>0</v>
      </c>
      <c r="AW47" s="220">
        <f ca="1">_xll.DBRW(Server&amp;Cube1,$N$15,$N$16,$N$17,$N$18,$N$14,$N$13,AW$2,AW$1,$B47)</f>
        <v>190717057.03494626</v>
      </c>
      <c r="AX47" s="220">
        <f ca="1">_xll.DBRW(Server&amp;Cube1,$N$15,$N$16,$N$17,$N$18,$N$14,$N$13,AX$2,AX$1,$B47)</f>
        <v>104746924.54000002</v>
      </c>
      <c r="AY47" s="400"/>
      <c r="AZ47" s="220">
        <f ca="1">_xll.DBRW(Server&amp;Cube1,$N$15,$N$16,$N$17,$N$18,$N$14,$N$13,AZ$2,AZ$1,$B47)</f>
        <v>0</v>
      </c>
      <c r="BA47" s="220">
        <f ca="1">_xll.DBRW(Server&amp;Cube1,$N$15,$N$16,$N$17,$N$18,$N$14,$N$13,BA$2,BA$1,$B47)</f>
        <v>177480159.54944798</v>
      </c>
      <c r="BB47" s="220">
        <f ca="1">_xll.DBRW(Server&amp;Cube1,$N$15,$N$16,$N$17,$N$18,$N$14,$N$13,BB$2,BB$1,$B47)</f>
        <v>136317199.10106</v>
      </c>
      <c r="BC47" s="400"/>
      <c r="BD47" s="220">
        <f ca="1">_xll.DBRW(Server&amp;Cube1,$N$15,$N$16,$N$17,$N$18,$N$14,$N$13,BD$2,BD$1,$B47)</f>
        <v>0</v>
      </c>
      <c r="BE47" s="220">
        <f ca="1">_xll.DBRW(Server&amp;Cube1,$N$15,$N$16,$N$17,$N$18,$N$14,$N$13,BE$2,BE$1,$B47)</f>
        <v>174468403.12555629</v>
      </c>
      <c r="BF47" s="220">
        <f ca="1">_xll.DBRW(Server&amp;Cube1,$N$15,$N$16,$N$17,$N$18,$N$14,$N$13,BF$2,BF$1,$B47)</f>
        <v>229874718.59999999</v>
      </c>
      <c r="BG47" s="400"/>
      <c r="BH47" s="220">
        <f ca="1">_xll.DBRW(Server&amp;Cube1,$N$15,$N$16,$N$17,$N$18,$N$14,$N$13,BH$2,BH$1,$B47)</f>
        <v>0</v>
      </c>
      <c r="BI47" s="220">
        <f ca="1">_xll.DBRW(Server&amp;Cube1,$N$15,$N$16,$N$17,$N$18,$N$14,$N$13,BI$2,BI$1,$B47)</f>
        <v>192904001.00268</v>
      </c>
      <c r="BJ47" s="220">
        <f ca="1">_xll.DBRW(Server&amp;Cube1,$N$15,$N$16,$N$17,$N$18,$N$14,$N$13,BJ$2,BJ$1,$B47)</f>
        <v>195692181.09999999</v>
      </c>
      <c r="BK47" s="400"/>
      <c r="BL47" s="220">
        <f ca="1">_xll.DBRW(Server&amp;Cube1,$N$15,$N$16,$N$17,$N$18,$N$14,$N$13,BL$2,BL$1,$B47)</f>
        <v>0</v>
      </c>
      <c r="BM47" s="220">
        <f ca="1">_xll.DBRW(Server&amp;Cube1,$N$15,$N$16,$N$17,$N$18,$N$14,$N$13,BM$2,BM$1,$B47)</f>
        <v>187990673.16512752</v>
      </c>
      <c r="BN47" s="220">
        <f ca="1">_xll.DBRW(Server&amp;Cube1,$N$15,$N$16,$N$17,$N$18,$N$14,$N$13,BN$2,BN$1,$B47)</f>
        <v>209471592.86000004</v>
      </c>
      <c r="BO47" s="400"/>
      <c r="BP47" s="220">
        <f ca="1">_xll.DBRW(Server&amp;Cube1,$N$15,$N$16,$N$17,$N$18,$N$14,$N$13,BP$2,BP$1,$B47)</f>
        <v>0</v>
      </c>
      <c r="BQ47" s="220">
        <f ca="1">_xll.DBRW(Server&amp;Cube1,$N$15,$N$16,$N$17,$N$18,$N$14,$N$13,BQ$2,BQ$1,$B47)</f>
        <v>189969125.38456818</v>
      </c>
      <c r="BR47" s="220">
        <f ca="1">_xll.DBRW(Server&amp;Cube1,$N$15,$N$16,$N$17,$N$18,$N$14,$N$13,BR$2,BR$1,$B47)</f>
        <v>184730558.44000003</v>
      </c>
      <c r="BS47" s="400"/>
      <c r="BT47" s="220">
        <f ca="1">_xll.DBRW(Server&amp;Cube1,$N$15,$N$16,$N$17,$N$18,$N$14,$N$13,BT$2,BT$1,$B47)</f>
        <v>0</v>
      </c>
      <c r="BU47" s="220">
        <f ca="1">_xll.DBRW(Server&amp;Cube1,$N$15,$N$16,$N$17,$N$18,$N$14,$N$13,BU$2,BU$1,$B47)</f>
        <v>197983492.20111185</v>
      </c>
      <c r="BV47" s="220">
        <f ca="1">_xll.DBRW(Server&amp;Cube1,$N$15,$N$16,$N$17,$N$18,$N$14,$N$13,BV$2,BV$1,$B47)</f>
        <v>210966413.02999997</v>
      </c>
      <c r="BW47" s="56"/>
      <c r="BX47" s="28"/>
    </row>
    <row r="48" spans="1:78" ht="21" hidden="1" customHeight="1" outlineLevel="1" x14ac:dyDescent="0.2">
      <c r="A48" s="53"/>
      <c r="B48" s="57" t="s">
        <v>240</v>
      </c>
      <c r="D48" s="52"/>
      <c r="E48" s="52"/>
      <c r="I48" s="69"/>
      <c r="J48" s="54"/>
      <c r="K48" s="36"/>
      <c r="L48" s="555" t="str">
        <f ca="1">_xll.DBRA(Server&amp;$B$32,$B48,$N$19)</f>
        <v>Adjusted revenues from previous periods</v>
      </c>
      <c r="M48" s="555"/>
      <c r="N48" s="555"/>
      <c r="O48" s="555"/>
      <c r="P48" s="147"/>
      <c r="Q48" s="220">
        <f ca="1">_xll.DBRW(Server&amp;Cube1,$N$15,$N$16,$N$17,$N$18,$N$14,$N$13,$N$11,$Q$1,$B48)</f>
        <v>0</v>
      </c>
      <c r="R48" s="220">
        <f ca="1">_xll.DBRW(Server&amp;Cube1,$N$15,$N$16,$N$17,$N$18,$N$14,$N$13,$R$2,$R$1,$B48)</f>
        <v>0</v>
      </c>
      <c r="S48" s="221">
        <f t="shared" ca="1" si="3"/>
        <v>0</v>
      </c>
      <c r="T48" s="222">
        <f t="shared" ca="1" si="0"/>
        <v>0</v>
      </c>
      <c r="U48" s="223"/>
      <c r="V48" s="220">
        <f ca="1">_xll.DBRW(Server&amp;Cube1,$N$15,$N$16,$N$17,$N$18,$N$14,$N$13,$V$2,$V$1,$B48)</f>
        <v>-849.48</v>
      </c>
      <c r="W48" s="221">
        <f t="shared" ca="1" si="1"/>
        <v>849.48</v>
      </c>
      <c r="X48" s="222">
        <f t="shared" ca="1" si="2"/>
        <v>1</v>
      </c>
      <c r="Y48" s="56"/>
      <c r="Z48" s="56"/>
      <c r="AA48" s="56"/>
      <c r="AB48" s="220">
        <f ca="1">_xll.DBRW(Server&amp;Cube1,$N$15,$N$16,$N$17,$N$18,$N$14,$N$13,AB$2,AB$1,$B48)</f>
        <v>0</v>
      </c>
      <c r="AC48" s="220">
        <f ca="1">_xll.DBRW(Server&amp;Cube1,$N$15,$N$16,$N$17,$N$18,$N$14,$N$13,AC$2,AC$1,$B48)</f>
        <v>0</v>
      </c>
      <c r="AD48" s="220">
        <f ca="1">_xll.DBRW(Server&amp;Cube1,$N$15,$N$16,$N$17,$N$18,$N$14,$N$13,AD$2,AD$1,$B48)</f>
        <v>-4914.8099999999995</v>
      </c>
      <c r="AE48" s="400"/>
      <c r="AF48" s="220">
        <f ca="1">_xll.DBRW(Server&amp;Cube1,$N$15,$N$16,$N$17,$N$18,$N$14,$N$13,AF$2,AF$1,$B48)</f>
        <v>0</v>
      </c>
      <c r="AG48" s="220">
        <f ca="1">_xll.DBRW(Server&amp;Cube1,$N$15,$N$16,$N$17,$N$18,$N$14,$N$13,AG$2,AG$1,$B48)</f>
        <v>0</v>
      </c>
      <c r="AH48" s="220">
        <f ca="1">_xll.DBRW(Server&amp;Cube1,$N$15,$N$16,$N$17,$N$18,$N$14,$N$13,AH$2,AH$1,$B48)</f>
        <v>4065.33</v>
      </c>
      <c r="AI48" s="400"/>
      <c r="AJ48" s="220">
        <f ca="1">_xll.DBRW(Server&amp;Cube1,$N$15,$N$16,$N$17,$N$18,$N$14,$N$13,AJ$2,AJ$1,$B48)</f>
        <v>0</v>
      </c>
      <c r="AK48" s="220">
        <f ca="1">_xll.DBRW(Server&amp;Cube1,$N$15,$N$16,$N$17,$N$18,$N$14,$N$13,AK$2,AK$1,$B48)</f>
        <v>0</v>
      </c>
      <c r="AL48" s="220">
        <f ca="1">_xll.DBRW(Server&amp;Cube1,$N$15,$N$16,$N$17,$N$18,$N$14,$N$13,AL$2,AL$1,$B48)</f>
        <v>0</v>
      </c>
      <c r="AM48" s="400"/>
      <c r="AN48" s="220">
        <f ca="1">_xll.DBRW(Server&amp;Cube1,$N$15,$N$16,$N$17,$N$18,$N$14,$N$13,AN$2,AN$1,$B48)</f>
        <v>0</v>
      </c>
      <c r="AO48" s="220">
        <f ca="1">_xll.DBRW(Server&amp;Cube1,$N$15,$N$16,$N$17,$N$18,$N$14,$N$13,AO$2,AO$1,$B48)</f>
        <v>0</v>
      </c>
      <c r="AP48" s="220">
        <f ca="1">_xll.DBRW(Server&amp;Cube1,$N$15,$N$16,$N$17,$N$18,$N$14,$N$13,AP$2,AP$1,$B48)</f>
        <v>93296.47</v>
      </c>
      <c r="AQ48" s="400"/>
      <c r="AR48" s="220">
        <f ca="1">_xll.DBRW(Server&amp;Cube1,$N$15,$N$16,$N$17,$N$18,$N$14,$N$13,AR$2,AR$1,$B48)</f>
        <v>0</v>
      </c>
      <c r="AS48" s="220">
        <f ca="1">_xll.DBRW(Server&amp;Cube1,$N$15,$N$16,$N$17,$N$18,$N$14,$N$13,AS$2,AS$1,$B48)</f>
        <v>0</v>
      </c>
      <c r="AT48" s="220">
        <f ca="1">_xll.DBRW(Server&amp;Cube1,$N$15,$N$16,$N$17,$N$18,$N$14,$N$13,AT$2,AT$1,$B48)</f>
        <v>-92440.6</v>
      </c>
      <c r="AU48" s="400"/>
      <c r="AV48" s="220">
        <f ca="1">_xll.DBRW(Server&amp;Cube1,$N$15,$N$16,$N$17,$N$18,$N$14,$N$13,AV$2,AV$1,$B48)</f>
        <v>0</v>
      </c>
      <c r="AW48" s="220">
        <f ca="1">_xll.DBRW(Server&amp;Cube1,$N$15,$N$16,$N$17,$N$18,$N$14,$N$13,AW$2,AW$1,$B48)</f>
        <v>0</v>
      </c>
      <c r="AX48" s="220">
        <f ca="1">_xll.DBRW(Server&amp;Cube1,$N$15,$N$16,$N$17,$N$18,$N$14,$N$13,AX$2,AX$1,$B48)</f>
        <v>0</v>
      </c>
      <c r="AY48" s="400"/>
      <c r="AZ48" s="220">
        <f ca="1">_xll.DBRW(Server&amp;Cube1,$N$15,$N$16,$N$17,$N$18,$N$14,$N$13,AZ$2,AZ$1,$B48)</f>
        <v>0</v>
      </c>
      <c r="BA48" s="220">
        <f ca="1">_xll.DBRW(Server&amp;Cube1,$N$15,$N$16,$N$17,$N$18,$N$14,$N$13,BA$2,BA$1,$B48)</f>
        <v>0</v>
      </c>
      <c r="BB48" s="220">
        <f ca="1">_xll.DBRW(Server&amp;Cube1,$N$15,$N$16,$N$17,$N$18,$N$14,$N$13,BB$2,BB$1,$B48)</f>
        <v>44512.47</v>
      </c>
      <c r="BC48" s="400"/>
      <c r="BD48" s="220">
        <f ca="1">_xll.DBRW(Server&amp;Cube1,$N$15,$N$16,$N$17,$N$18,$N$14,$N$13,BD$2,BD$1,$B48)</f>
        <v>0</v>
      </c>
      <c r="BE48" s="220">
        <f ca="1">_xll.DBRW(Server&amp;Cube1,$N$15,$N$16,$N$17,$N$18,$N$14,$N$13,BE$2,BE$1,$B48)</f>
        <v>0</v>
      </c>
      <c r="BF48" s="220">
        <f ca="1">_xll.DBRW(Server&amp;Cube1,$N$15,$N$16,$N$17,$N$18,$N$14,$N$13,BF$2,BF$1,$B48)</f>
        <v>-44512.47</v>
      </c>
      <c r="BG48" s="400"/>
      <c r="BH48" s="220">
        <f ca="1">_xll.DBRW(Server&amp;Cube1,$N$15,$N$16,$N$17,$N$18,$N$14,$N$13,BH$2,BH$1,$B48)</f>
        <v>0</v>
      </c>
      <c r="BI48" s="220">
        <f ca="1">_xll.DBRW(Server&amp;Cube1,$N$15,$N$16,$N$17,$N$18,$N$14,$N$13,BI$2,BI$1,$B48)</f>
        <v>0</v>
      </c>
      <c r="BJ48" s="220">
        <f ca="1">_xll.DBRW(Server&amp;Cube1,$N$15,$N$16,$N$17,$N$18,$N$14,$N$13,BJ$2,BJ$1,$B48)</f>
        <v>-4048.53</v>
      </c>
      <c r="BK48" s="400"/>
      <c r="BL48" s="220">
        <f ca="1">_xll.DBRW(Server&amp;Cube1,$N$15,$N$16,$N$17,$N$18,$N$14,$N$13,BL$2,BL$1,$B48)</f>
        <v>0</v>
      </c>
      <c r="BM48" s="220">
        <f ca="1">_xll.DBRW(Server&amp;Cube1,$N$15,$N$16,$N$17,$N$18,$N$14,$N$13,BM$2,BM$1,$B48)</f>
        <v>0</v>
      </c>
      <c r="BN48" s="220">
        <f ca="1">_xll.DBRW(Server&amp;Cube1,$N$15,$N$16,$N$17,$N$18,$N$14,$N$13,BN$2,BN$1,$B48)</f>
        <v>0</v>
      </c>
      <c r="BO48" s="400"/>
      <c r="BP48" s="220">
        <f ca="1">_xll.DBRW(Server&amp;Cube1,$N$15,$N$16,$N$17,$N$18,$N$14,$N$13,BP$2,BP$1,$B48)</f>
        <v>0</v>
      </c>
      <c r="BQ48" s="220">
        <f ca="1">_xll.DBRW(Server&amp;Cube1,$N$15,$N$16,$N$17,$N$18,$N$14,$N$13,BQ$2,BQ$1,$B48)</f>
        <v>0</v>
      </c>
      <c r="BR48" s="220">
        <f ca="1">_xll.DBRW(Server&amp;Cube1,$N$15,$N$16,$N$17,$N$18,$N$14,$N$13,BR$2,BR$1,$B48)</f>
        <v>-0.08</v>
      </c>
      <c r="BS48" s="400"/>
      <c r="BT48" s="220">
        <f ca="1">_xll.DBRW(Server&amp;Cube1,$N$15,$N$16,$N$17,$N$18,$N$14,$N$13,BT$2,BT$1,$B48)</f>
        <v>0</v>
      </c>
      <c r="BU48" s="220">
        <f ca="1">_xll.DBRW(Server&amp;Cube1,$N$15,$N$16,$N$17,$N$18,$N$14,$N$13,BU$2,BU$1,$B48)</f>
        <v>0</v>
      </c>
      <c r="BV48" s="220">
        <f ca="1">_xll.DBRW(Server&amp;Cube1,$N$15,$N$16,$N$17,$N$18,$N$14,$N$13,BV$2,BV$1,$B48)</f>
        <v>0</v>
      </c>
      <c r="BW48" s="56"/>
      <c r="BX48" s="28"/>
    </row>
    <row r="49" spans="1:78" ht="21" hidden="1" customHeight="1" outlineLevel="1" x14ac:dyDescent="0.2">
      <c r="A49" s="53"/>
      <c r="B49" s="57" t="s">
        <v>241</v>
      </c>
      <c r="D49" s="52"/>
      <c r="E49" s="52"/>
      <c r="I49" s="69"/>
      <c r="J49" s="54"/>
      <c r="K49" s="36"/>
      <c r="L49" s="555" t="str">
        <f ca="1">_xll.DBRA(Server&amp;$B$32,$B49,$N$19)</f>
        <v>Additional Revenues</v>
      </c>
      <c r="M49" s="555"/>
      <c r="N49" s="555"/>
      <c r="O49" s="555"/>
      <c r="P49" s="147"/>
      <c r="Q49" s="220">
        <f ca="1">_xll.DBRW(Server&amp;Cube1,$N$15,$N$16,$N$17,$N$18,$N$14,$N$13,$N$11,$Q$1,$B49)</f>
        <v>925734.42</v>
      </c>
      <c r="R49" s="220">
        <f ca="1">_xll.DBRW(Server&amp;Cube1,$N$15,$N$16,$N$17,$N$18,$N$14,$N$13,$R$2,$R$1,$B49)</f>
        <v>1032589.82</v>
      </c>
      <c r="S49" s="221">
        <f t="shared" ca="1" si="3"/>
        <v>-106855.39999999991</v>
      </c>
      <c r="T49" s="222">
        <f t="shared" ca="1" si="0"/>
        <v>-0.10348291057140183</v>
      </c>
      <c r="U49" s="223"/>
      <c r="V49" s="220">
        <f ca="1">_xll.DBRW(Server&amp;Cube1,$N$15,$N$16,$N$17,$N$18,$N$14,$N$13,$V$2,$V$1,$B49)</f>
        <v>1074033.29</v>
      </c>
      <c r="W49" s="221">
        <f t="shared" ca="1" si="1"/>
        <v>-148298.87</v>
      </c>
      <c r="X49" s="222">
        <f t="shared" ca="1" si="2"/>
        <v>-0.13807660468326824</v>
      </c>
      <c r="Y49" s="56"/>
      <c r="Z49" s="56"/>
      <c r="AA49" s="56"/>
      <c r="AB49" s="220">
        <f ca="1">_xll.DBRW(Server&amp;Cube1,$N$15,$N$16,$N$17,$N$18,$N$14,$N$13,AB$2,AB$1,$B49)</f>
        <v>0</v>
      </c>
      <c r="AC49" s="220">
        <f ca="1">_xll.DBRW(Server&amp;Cube1,$N$15,$N$16,$N$17,$N$18,$N$14,$N$13,AC$2,AC$1,$B49)</f>
        <v>518663.27999999997</v>
      </c>
      <c r="AD49" s="220">
        <f ca="1">_xll.DBRW(Server&amp;Cube1,$N$15,$N$16,$N$17,$N$18,$N$14,$N$13,AD$2,AD$1,$B49)</f>
        <v>539338.17999999993</v>
      </c>
      <c r="AE49" s="400"/>
      <c r="AF49" s="220">
        <f ca="1">_xll.DBRW(Server&amp;Cube1,$N$15,$N$16,$N$17,$N$18,$N$14,$N$13,AF$2,AF$1,$B49)</f>
        <v>925734.42</v>
      </c>
      <c r="AG49" s="220">
        <f ca="1">_xll.DBRW(Server&amp;Cube1,$N$15,$N$16,$N$17,$N$18,$N$14,$N$13,AG$2,AG$1,$B49)</f>
        <v>513926.54</v>
      </c>
      <c r="AH49" s="220">
        <f ca="1">_xll.DBRW(Server&amp;Cube1,$N$15,$N$16,$N$17,$N$18,$N$14,$N$13,AH$2,AH$1,$B49)</f>
        <v>534695.11</v>
      </c>
      <c r="AI49" s="400"/>
      <c r="AJ49" s="220">
        <f ca="1">_xll.DBRW(Server&amp;Cube1,$N$15,$N$16,$N$17,$N$18,$N$14,$N$13,AJ$2,AJ$1,$B49)</f>
        <v>0</v>
      </c>
      <c r="AK49" s="220">
        <f ca="1">_xll.DBRW(Server&amp;Cube1,$N$15,$N$16,$N$17,$N$18,$N$14,$N$13,AK$2,AK$1,$B49)</f>
        <v>509165.68</v>
      </c>
      <c r="AL49" s="220">
        <f ca="1">_xll.DBRW(Server&amp;Cube1,$N$15,$N$16,$N$17,$N$18,$N$14,$N$13,AL$2,AL$1,$B49)</f>
        <v>530073.84</v>
      </c>
      <c r="AM49" s="400"/>
      <c r="AN49" s="220">
        <f ca="1">_xll.DBRW(Server&amp;Cube1,$N$15,$N$16,$N$17,$N$18,$N$14,$N$13,AN$2,AN$1,$B49)</f>
        <v>0</v>
      </c>
      <c r="AO49" s="220">
        <f ca="1">_xll.DBRW(Server&amp;Cube1,$N$15,$N$16,$N$17,$N$18,$N$14,$N$13,AO$2,AO$1,$B49)</f>
        <v>514071.54</v>
      </c>
      <c r="AP49" s="220">
        <f ca="1">_xll.DBRW(Server&amp;Cube1,$N$15,$N$16,$N$17,$N$18,$N$14,$N$13,AP$2,AP$1,$B49)</f>
        <v>525502.86</v>
      </c>
      <c r="AQ49" s="400"/>
      <c r="AR49" s="220">
        <f ca="1">_xll.DBRW(Server&amp;Cube1,$N$15,$N$16,$N$17,$N$18,$N$14,$N$13,AR$2,AR$1,$B49)</f>
        <v>0</v>
      </c>
      <c r="AS49" s="220">
        <f ca="1">_xll.DBRW(Server&amp;Cube1,$N$15,$N$16,$N$17,$N$18,$N$14,$N$13,AS$2,AS$1,$B49)</f>
        <v>509219.62999999995</v>
      </c>
      <c r="AT49" s="220">
        <f ca="1">_xll.DBRW(Server&amp;Cube1,$N$15,$N$16,$N$17,$N$18,$N$14,$N$13,AT$2,AT$1,$B49)</f>
        <v>520920.76000000018</v>
      </c>
      <c r="AU49" s="400"/>
      <c r="AV49" s="220">
        <f ca="1">_xll.DBRW(Server&amp;Cube1,$N$15,$N$16,$N$17,$N$18,$N$14,$N$13,AV$2,AV$1,$B49)</f>
        <v>0</v>
      </c>
      <c r="AW49" s="220">
        <f ca="1">_xll.DBRW(Server&amp;Cube1,$N$15,$N$16,$N$17,$N$18,$N$14,$N$13,AW$2,AW$1,$B49)</f>
        <v>504338.56</v>
      </c>
      <c r="AX49" s="220">
        <f ca="1">_xll.DBRW(Server&amp;Cube1,$N$15,$N$16,$N$17,$N$18,$N$14,$N$13,AX$2,AX$1,$B49)</f>
        <v>516312.60999999993</v>
      </c>
      <c r="AY49" s="400"/>
      <c r="AZ49" s="220">
        <f ca="1">_xll.DBRW(Server&amp;Cube1,$N$15,$N$16,$N$17,$N$18,$N$14,$N$13,AZ$2,AZ$1,$B49)</f>
        <v>0</v>
      </c>
      <c r="BA49" s="220">
        <f ca="1">_xll.DBRW(Server&amp;Cube1,$N$15,$N$16,$N$17,$N$18,$N$14,$N$13,BA$2,BA$1,$B49)</f>
        <v>500010.9</v>
      </c>
      <c r="BB49" s="220">
        <f ca="1">_xll.DBRW(Server&amp;Cube1,$N$15,$N$16,$N$17,$N$18,$N$14,$N$13,BB$2,BB$1,$B49)</f>
        <v>154269.18000000005</v>
      </c>
      <c r="BC49" s="400"/>
      <c r="BD49" s="220">
        <f ca="1">_xll.DBRW(Server&amp;Cube1,$N$15,$N$16,$N$17,$N$18,$N$14,$N$13,BD$2,BD$1,$B49)</f>
        <v>0</v>
      </c>
      <c r="BE49" s="220">
        <f ca="1">_xll.DBRW(Server&amp;Cube1,$N$15,$N$16,$N$17,$N$18,$N$14,$N$13,BE$2,BE$1,$B49)</f>
        <v>495074.48</v>
      </c>
      <c r="BF49" s="220">
        <f ca="1">_xll.DBRW(Server&amp;Cube1,$N$15,$N$16,$N$17,$N$18,$N$14,$N$13,BF$2,BF$1,$B49)</f>
        <v>536716.84000000008</v>
      </c>
      <c r="BG49" s="400"/>
      <c r="BH49" s="220">
        <f ca="1">_xll.DBRW(Server&amp;Cube1,$N$15,$N$16,$N$17,$N$18,$N$14,$N$13,BH$2,BH$1,$B49)</f>
        <v>0</v>
      </c>
      <c r="BI49" s="220">
        <f ca="1">_xll.DBRW(Server&amp;Cube1,$N$15,$N$16,$N$17,$N$18,$N$14,$N$13,BI$2,BI$1,$B49)</f>
        <v>490112.90000000014</v>
      </c>
      <c r="BJ49" s="220">
        <f ca="1">_xll.DBRW(Server&amp;Cube1,$N$15,$N$16,$N$17,$N$18,$N$14,$N$13,BJ$2,BJ$1,$B49)</f>
        <v>481947.47999999963</v>
      </c>
      <c r="BK49" s="400"/>
      <c r="BL49" s="220">
        <f ca="1">_xll.DBRW(Server&amp;Cube1,$N$15,$N$16,$N$17,$N$18,$N$14,$N$13,BL$2,BL$1,$B49)</f>
        <v>0</v>
      </c>
      <c r="BM49" s="220">
        <f ca="1">_xll.DBRW(Server&amp;Cube1,$N$15,$N$16,$N$17,$N$18,$N$14,$N$13,BM$2,BM$1,$B49)</f>
        <v>485120.12</v>
      </c>
      <c r="BN49" s="220">
        <f ca="1">_xll.DBRW(Server&amp;Cube1,$N$15,$N$16,$N$17,$N$18,$N$14,$N$13,BN$2,BN$1,$B49)</f>
        <v>477266.18000000017</v>
      </c>
      <c r="BO49" s="400"/>
      <c r="BP49" s="220">
        <f ca="1">_xll.DBRW(Server&amp;Cube1,$N$15,$N$16,$N$17,$N$18,$N$14,$N$13,BP$2,BP$1,$B49)</f>
        <v>0</v>
      </c>
      <c r="BQ49" s="220">
        <f ca="1">_xll.DBRW(Server&amp;Cube1,$N$15,$N$16,$N$17,$N$18,$N$14,$N$13,BQ$2,BQ$1,$B49)</f>
        <v>480100.17000000004</v>
      </c>
      <c r="BR49" s="220">
        <f ca="1">_xll.DBRW(Server&amp;Cube1,$N$15,$N$16,$N$17,$N$18,$N$14,$N$13,BR$2,BR$1,$B49)</f>
        <v>472609.99</v>
      </c>
      <c r="BS49" s="400"/>
      <c r="BT49" s="220">
        <f ca="1">_xll.DBRW(Server&amp;Cube1,$N$15,$N$16,$N$17,$N$18,$N$14,$N$13,BT$2,BT$1,$B49)</f>
        <v>0</v>
      </c>
      <c r="BU49" s="220">
        <f ca="1">_xll.DBRW(Server&amp;Cube1,$N$15,$N$16,$N$17,$N$18,$N$14,$N$13,BU$2,BU$1,$B49)</f>
        <v>479146.04999999981</v>
      </c>
      <c r="BV49" s="220">
        <f ca="1">_xll.DBRW(Server&amp;Cube1,$N$15,$N$16,$N$17,$N$18,$N$14,$N$13,BV$2,BV$1,$B49)</f>
        <v>467927.53000000061</v>
      </c>
      <c r="BW49" s="56"/>
      <c r="BX49" s="28"/>
    </row>
    <row r="50" spans="1:78" ht="23.25" hidden="1" customHeight="1" outlineLevel="1" x14ac:dyDescent="0.2">
      <c r="A50" s="53"/>
      <c r="B50" s="360" t="s">
        <v>14</v>
      </c>
      <c r="D50" s="52"/>
      <c r="E50" s="52"/>
      <c r="H50" s="360"/>
      <c r="I50" s="69"/>
      <c r="J50" s="54"/>
      <c r="K50" s="36"/>
      <c r="L50" s="555" t="str">
        <f ca="1">_xll.DBRA(Server&amp;$B$32,$B50,$N$19)</f>
        <v>Subcontracted transport</v>
      </c>
      <c r="M50" s="555"/>
      <c r="N50" s="555"/>
      <c r="O50" s="555"/>
      <c r="P50" s="234" t="s">
        <v>13</v>
      </c>
      <c r="Q50" s="235">
        <f ca="1">_xll.DBRW(Server&amp;Cube1,$N$15,$N$16,$N$17,$N$18,$N$14,$N$13,$N$11,$Q$1,$B50)</f>
        <v>-91063070.25999999</v>
      </c>
      <c r="R50" s="235">
        <f ca="1">_xll.DBRW(Server&amp;Cube1,$N$15,$N$16,$N$17,$N$18,$N$14,$N$13,$R$2,$R$1,$B50)</f>
        <v>-90182400.919070587</v>
      </c>
      <c r="S50" s="236">
        <f t="shared" ca="1" si="3"/>
        <v>-880669.3409294039</v>
      </c>
      <c r="T50" s="237">
        <f t="shared" ca="1" si="0"/>
        <v>-9.765423541115455E-3</v>
      </c>
      <c r="U50" s="223"/>
      <c r="V50" s="235">
        <f ca="1">_xll.DBRW(Server&amp;Cube1,$N$15,$N$16,$N$17,$N$18,$N$14,$N$13,$V$2,$V$1,$B50)</f>
        <v>-99202542.171729624</v>
      </c>
      <c r="W50" s="236">
        <f t="shared" ca="1" si="1"/>
        <v>8139471.9117296338</v>
      </c>
      <c r="X50" s="237">
        <f t="shared" ca="1" si="2"/>
        <v>8.2049025494118744E-2</v>
      </c>
      <c r="Y50" s="56"/>
      <c r="Z50" s="56"/>
      <c r="AA50" s="56"/>
      <c r="AB50" s="235">
        <f ca="1">_xll.DBRW(Server&amp;Cube1,$N$15,$N$16,$N$17,$N$18,$N$14,$N$13,AB$2,AB$1,$B50)</f>
        <v>-26531237.139999993</v>
      </c>
      <c r="AC50" s="235">
        <f ca="1">_xll.DBRW(Server&amp;Cube1,$N$15,$N$16,$N$17,$N$18,$N$14,$N$13,AC$2,AC$1,$B50)</f>
        <v>-48821208.49261114</v>
      </c>
      <c r="AD50" s="235">
        <f ca="1">_xll.DBRW(Server&amp;Cube1,$N$15,$N$16,$N$17,$N$18,$N$14,$N$13,AD$2,AD$1,$B50)</f>
        <v>-36423083.765667401</v>
      </c>
      <c r="AE50" s="400"/>
      <c r="AF50" s="235">
        <f ca="1">_xll.DBRW(Server&amp;Cube1,$N$15,$N$16,$N$17,$N$18,$N$14,$N$13,AF$2,AF$1,$B50)</f>
        <v>-64531833.12000002</v>
      </c>
      <c r="AG50" s="235">
        <f ca="1">_xll.DBRW(Server&amp;Cube1,$N$15,$N$16,$N$17,$N$18,$N$14,$N$13,AG$2,AG$1,$B50)</f>
        <v>-41361192.426459432</v>
      </c>
      <c r="AH50" s="235">
        <f ca="1">_xll.DBRW(Server&amp;Cube1,$N$15,$N$16,$N$17,$N$18,$N$14,$N$13,AH$2,AH$1,$B50)</f>
        <v>-62779458.406062193</v>
      </c>
      <c r="AI50" s="400"/>
      <c r="AJ50" s="235">
        <f ca="1">_xll.DBRW(Server&amp;Cube1,$N$15,$N$16,$N$17,$N$18,$N$14,$N$13,AJ$2,AJ$1,$B50)</f>
        <v>0</v>
      </c>
      <c r="AK50" s="235">
        <f ca="1">_xll.DBRW(Server&amp;Cube1,$N$15,$N$16,$N$17,$N$18,$N$14,$N$13,AK$2,AK$1,$B50)</f>
        <v>-48120274.816425882</v>
      </c>
      <c r="AL50" s="235">
        <f ca="1">_xll.DBRW(Server&amp;Cube1,$N$15,$N$16,$N$17,$N$18,$N$14,$N$13,AL$2,AL$1,$B50)</f>
        <v>-55252046.465770394</v>
      </c>
      <c r="AM50" s="400"/>
      <c r="AN50" s="235">
        <f ca="1">_xll.DBRW(Server&amp;Cube1,$N$15,$N$16,$N$17,$N$18,$N$14,$N$13,AN$2,AN$1,$B50)</f>
        <v>0</v>
      </c>
      <c r="AO50" s="235">
        <f ca="1">_xll.DBRW(Server&amp;Cube1,$N$15,$N$16,$N$17,$N$18,$N$14,$N$13,AO$2,AO$1,$B50)</f>
        <v>-41184004.687843561</v>
      </c>
      <c r="AP50" s="235">
        <f ca="1">_xll.DBRW(Server&amp;Cube1,$N$15,$N$16,$N$17,$N$18,$N$14,$N$13,AP$2,AP$1,$B50)</f>
        <v>-22611918.339999992</v>
      </c>
      <c r="AQ50" s="400"/>
      <c r="AR50" s="235">
        <f ca="1">_xll.DBRW(Server&amp;Cube1,$N$15,$N$16,$N$17,$N$18,$N$14,$N$13,AR$2,AR$1,$B50)</f>
        <v>0</v>
      </c>
      <c r="AS50" s="235">
        <f ca="1">_xll.DBRW(Server&amp;Cube1,$N$15,$N$16,$N$17,$N$18,$N$14,$N$13,AS$2,AS$1,$B50)</f>
        <v>-44727414.853010543</v>
      </c>
      <c r="AT50" s="235">
        <f ca="1">_xll.DBRW(Server&amp;Cube1,$N$15,$N$16,$N$17,$N$18,$N$14,$N$13,AT$2,AT$1,$B50)</f>
        <v>-97234341.489999995</v>
      </c>
      <c r="AU50" s="400"/>
      <c r="AV50" s="235">
        <f ca="1">_xll.DBRW(Server&amp;Cube1,$N$15,$N$16,$N$17,$N$18,$N$14,$N$13,AV$2,AV$1,$B50)</f>
        <v>0</v>
      </c>
      <c r="AW50" s="235">
        <f ca="1">_xll.DBRW(Server&amp;Cube1,$N$15,$N$16,$N$17,$N$18,$N$14,$N$13,AW$2,AW$1,$B50)</f>
        <v>-45778714.531411126</v>
      </c>
      <c r="AX50" s="235">
        <f ca="1">_xll.DBRW(Server&amp;Cube1,$N$15,$N$16,$N$17,$N$18,$N$14,$N$13,AX$2,AX$1,$B50)</f>
        <v>-53313377.789999992</v>
      </c>
      <c r="AY50" s="400"/>
      <c r="AZ50" s="235">
        <f ca="1">_xll.DBRW(Server&amp;Cube1,$N$15,$N$16,$N$17,$N$18,$N$14,$N$13,AZ$2,AZ$1,$B50)</f>
        <v>0</v>
      </c>
      <c r="BA50" s="235">
        <f ca="1">_xll.DBRW(Server&amp;Cube1,$N$15,$N$16,$N$17,$N$18,$N$14,$N$13,BA$2,BA$1,$B50)</f>
        <v>-32070962.405616652</v>
      </c>
      <c r="BB50" s="235">
        <f ca="1">_xll.DBRW(Server&amp;Cube1,$N$15,$N$16,$N$17,$N$18,$N$14,$N$13,BB$2,BB$1,$B50)</f>
        <v>-18141629.301109999</v>
      </c>
      <c r="BC50" s="400"/>
      <c r="BD50" s="235">
        <f ca="1">_xll.DBRW(Server&amp;Cube1,$N$15,$N$16,$N$17,$N$18,$N$14,$N$13,BD$2,BD$1,$B50)</f>
        <v>0</v>
      </c>
      <c r="BE50" s="235">
        <f ca="1">_xll.DBRW(Server&amp;Cube1,$N$15,$N$16,$N$17,$N$18,$N$14,$N$13,BE$2,BE$1,$B50)</f>
        <v>-29877891.963202324</v>
      </c>
      <c r="BF50" s="235">
        <f ca="1">_xll.DBRW(Server&amp;Cube1,$N$15,$N$16,$N$17,$N$18,$N$14,$N$13,BF$2,BF$1,$B50)</f>
        <v>-57114818.540000007</v>
      </c>
      <c r="BG50" s="400"/>
      <c r="BH50" s="235">
        <f ca="1">_xll.DBRW(Server&amp;Cube1,$N$15,$N$16,$N$17,$N$18,$N$14,$N$13,BH$2,BH$1,$B50)</f>
        <v>0</v>
      </c>
      <c r="BI50" s="235">
        <f ca="1">_xll.DBRW(Server&amp;Cube1,$N$15,$N$16,$N$17,$N$18,$N$14,$N$13,BI$2,BI$1,$B50)</f>
        <v>-48084604.262550525</v>
      </c>
      <c r="BJ50" s="235">
        <f ca="1">_xll.DBRW(Server&amp;Cube1,$N$15,$N$16,$N$17,$N$18,$N$14,$N$13,BJ$2,BJ$1,$B50)</f>
        <v>-48580029.859999992</v>
      </c>
      <c r="BK50" s="400"/>
      <c r="BL50" s="235">
        <f ca="1">_xll.DBRW(Server&amp;Cube1,$N$15,$N$16,$N$17,$N$18,$N$14,$N$13,BL$2,BL$1,$B50)</f>
        <v>0</v>
      </c>
      <c r="BM50" s="235">
        <f ca="1">_xll.DBRW(Server&amp;Cube1,$N$15,$N$16,$N$17,$N$18,$N$14,$N$13,BM$2,BM$1,$B50)</f>
        <v>-43603688.513202935</v>
      </c>
      <c r="BN50" s="235">
        <f ca="1">_xll.DBRW(Server&amp;Cube1,$N$15,$N$16,$N$17,$N$18,$N$14,$N$13,BN$2,BN$1,$B50)</f>
        <v>-197944542.63999996</v>
      </c>
      <c r="BO50" s="400"/>
      <c r="BP50" s="235">
        <f ca="1">_xll.DBRW(Server&amp;Cube1,$N$15,$N$16,$N$17,$N$18,$N$14,$N$13,BP$2,BP$1,$B50)</f>
        <v>0</v>
      </c>
      <c r="BQ50" s="235">
        <f ca="1">_xll.DBRW(Server&amp;Cube1,$N$15,$N$16,$N$17,$N$18,$N$14,$N$13,BQ$2,BQ$1,$B50)</f>
        <v>-45107152.199481986</v>
      </c>
      <c r="BR50" s="235">
        <f ca="1">_xll.DBRW(Server&amp;Cube1,$N$15,$N$16,$N$17,$N$18,$N$14,$N$13,BR$2,BR$1,$B50)</f>
        <v>-141566465</v>
      </c>
      <c r="BS50" s="400"/>
      <c r="BT50" s="235">
        <f ca="1">_xll.DBRW(Server&amp;Cube1,$N$15,$N$16,$N$17,$N$18,$N$14,$N$13,BT$2,BT$1,$B50)</f>
        <v>0</v>
      </c>
      <c r="BU50" s="235">
        <f ca="1">_xll.DBRW(Server&amp;Cube1,$N$15,$N$16,$N$17,$N$18,$N$14,$N$13,BU$2,BU$1,$B50)</f>
        <v>-42721755.776549235</v>
      </c>
      <c r="BV50" s="235">
        <f ca="1">_xll.DBRW(Server&amp;Cube1,$N$15,$N$16,$N$17,$N$18,$N$14,$N$13,BV$2,BV$1,$B50)</f>
        <v>-127705785.11000003</v>
      </c>
      <c r="BW50" s="56"/>
      <c r="BX50" s="28"/>
    </row>
    <row r="51" spans="1:78" ht="6" customHeight="1" x14ac:dyDescent="0.2">
      <c r="A51" s="57"/>
      <c r="B51" s="360"/>
      <c r="H51" s="360"/>
      <c r="I51" s="69"/>
      <c r="J51" s="54"/>
      <c r="K51" s="69"/>
      <c r="L51" s="69"/>
      <c r="M51" s="55"/>
      <c r="N51" s="55"/>
      <c r="O51" s="55"/>
      <c r="P51" s="55"/>
      <c r="Q51" s="70"/>
      <c r="R51" s="70"/>
      <c r="S51" s="70"/>
      <c r="T51" s="71"/>
      <c r="U51" s="70"/>
      <c r="V51" s="70"/>
      <c r="W51" s="70"/>
      <c r="X51" s="71"/>
      <c r="Y51" s="55"/>
      <c r="Z51" s="55"/>
      <c r="AA51" s="55"/>
      <c r="AB51" s="70"/>
      <c r="AC51" s="70"/>
      <c r="AD51" s="70"/>
      <c r="AE51" s="400"/>
      <c r="AF51" s="70"/>
      <c r="AG51" s="70"/>
      <c r="AH51" s="70"/>
      <c r="AI51" s="400"/>
      <c r="AJ51" s="70"/>
      <c r="AK51" s="70"/>
      <c r="AL51" s="70"/>
      <c r="AM51" s="400"/>
      <c r="AN51" s="70"/>
      <c r="AO51" s="70"/>
      <c r="AP51" s="70"/>
      <c r="AQ51" s="400"/>
      <c r="AR51" s="70"/>
      <c r="AS51" s="70"/>
      <c r="AT51" s="70"/>
      <c r="AU51" s="400"/>
      <c r="AV51" s="70"/>
      <c r="AW51" s="70"/>
      <c r="AX51" s="70"/>
      <c r="AY51" s="400"/>
      <c r="AZ51" s="70"/>
      <c r="BA51" s="70"/>
      <c r="BB51" s="70"/>
      <c r="BC51" s="400"/>
      <c r="BD51" s="70"/>
      <c r="BE51" s="70"/>
      <c r="BF51" s="70"/>
      <c r="BG51" s="400"/>
      <c r="BH51" s="70"/>
      <c r="BI51" s="70"/>
      <c r="BJ51" s="70"/>
      <c r="BK51" s="400"/>
      <c r="BL51" s="70"/>
      <c r="BM51" s="70"/>
      <c r="BN51" s="70"/>
      <c r="BO51" s="400"/>
      <c r="BP51" s="70"/>
      <c r="BQ51" s="70"/>
      <c r="BR51" s="70"/>
      <c r="BS51" s="400"/>
      <c r="BT51" s="70"/>
      <c r="BU51" s="70"/>
      <c r="BV51" s="70"/>
      <c r="BW51" s="55"/>
      <c r="BX51" s="28"/>
    </row>
    <row r="52" spans="1:78" ht="3" hidden="1" customHeight="1" x14ac:dyDescent="0.25">
      <c r="A52" s="57"/>
      <c r="B52" s="377"/>
      <c r="H52" s="377"/>
      <c r="I52" s="95"/>
      <c r="J52" s="58"/>
      <c r="K52" s="59"/>
      <c r="L52" s="60"/>
      <c r="M52" s="61"/>
      <c r="N52" s="61"/>
      <c r="O52" s="61"/>
      <c r="P52" s="62"/>
      <c r="Q52" s="63"/>
      <c r="R52" s="63"/>
      <c r="S52" s="64"/>
      <c r="T52" s="65"/>
      <c r="U52" s="66"/>
      <c r="V52" s="63"/>
      <c r="W52" s="64"/>
      <c r="X52" s="65"/>
      <c r="Y52" s="55"/>
      <c r="Z52" s="55"/>
      <c r="AA52" s="55"/>
      <c r="AB52" s="63"/>
      <c r="AC52" s="63"/>
      <c r="AD52" s="63"/>
      <c r="AE52" s="400"/>
      <c r="AF52" s="63"/>
      <c r="AG52" s="63"/>
      <c r="AH52" s="63"/>
      <c r="AI52" s="400"/>
      <c r="AJ52" s="63"/>
      <c r="AK52" s="63"/>
      <c r="AL52" s="63"/>
      <c r="AM52" s="400"/>
      <c r="AN52" s="63"/>
      <c r="AO52" s="63"/>
      <c r="AP52" s="63"/>
      <c r="AQ52" s="400"/>
      <c r="AR52" s="63"/>
      <c r="AS52" s="63"/>
      <c r="AT52" s="63"/>
      <c r="AU52" s="400"/>
      <c r="AV52" s="63"/>
      <c r="AW52" s="63"/>
      <c r="AX52" s="63"/>
      <c r="AY52" s="400"/>
      <c r="AZ52" s="63"/>
      <c r="BA52" s="63"/>
      <c r="BB52" s="63"/>
      <c r="BC52" s="400"/>
      <c r="BD52" s="63"/>
      <c r="BE52" s="63"/>
      <c r="BF52" s="63"/>
      <c r="BG52" s="400"/>
      <c r="BH52" s="63"/>
      <c r="BI52" s="63"/>
      <c r="BJ52" s="63"/>
      <c r="BK52" s="400"/>
      <c r="BL52" s="63"/>
      <c r="BM52" s="63"/>
      <c r="BN52" s="63"/>
      <c r="BO52" s="400"/>
      <c r="BP52" s="63"/>
      <c r="BQ52" s="63"/>
      <c r="BR52" s="63"/>
      <c r="BS52" s="400"/>
      <c r="BT52" s="63"/>
      <c r="BU52" s="63"/>
      <c r="BV52" s="63"/>
      <c r="BW52" s="55"/>
      <c r="BX52" s="28"/>
      <c r="BZ52" s="367"/>
    </row>
    <row r="53" spans="1:78" s="34" customFormat="1" ht="23.25" customHeight="1" collapsed="1" x14ac:dyDescent="0.25">
      <c r="A53" s="136" t="s">
        <v>15</v>
      </c>
      <c r="B53" s="360" t="str">
        <f ca="1">_xll.DBRA(Server&amp;$B$32,$A53,$N$19)</f>
        <v>Driving/operating (RESOP)</v>
      </c>
      <c r="C53" s="9"/>
      <c r="D53" s="1"/>
      <c r="E53" s="1"/>
      <c r="H53" s="360"/>
      <c r="I53" s="95"/>
      <c r="J53" s="58"/>
      <c r="K53" s="556" t="str">
        <f ca="1">"D - "&amp;LEFT(B53,FIND("(",B53,1)-1)</f>
        <v xml:space="preserve">D - Driving/operating </v>
      </c>
      <c r="L53" s="556"/>
      <c r="M53" s="556"/>
      <c r="N53" s="556"/>
      <c r="O53" s="556"/>
      <c r="P53" s="240"/>
      <c r="Q53" s="241">
        <f ca="1">_xll.DBRW(Server&amp;Cube1,$N$15,$N$16,$N$17,$N$18,$N$14,$N$13,$N$11,$Q$1,$A53)</f>
        <v>-4674040227.750001</v>
      </c>
      <c r="R53" s="241">
        <f ca="1">_xll.DBRW(Server&amp;Cube1,$N$15,$N$16,$N$17,$N$18,$N$14,$N$13,$R$2,$R$1,$A53)</f>
        <v>-4629131319.3652954</v>
      </c>
      <c r="S53" s="242">
        <f ca="1">Q53-R53</f>
        <v>-44908908.384705544</v>
      </c>
      <c r="T53" s="243">
        <f ca="1">IF(R53&lt;&gt;0,IF(R53&gt;0,S53/R53,-S53/R53),0)</f>
        <v>-9.70136841805193E-3</v>
      </c>
      <c r="U53" s="216"/>
      <c r="V53" s="241">
        <f ca="1">_xll.DBRW(Server&amp;Cube1,$N$15,$N$16,$N$17,$N$18,$N$14,$N$13,$V$2,$V$1,$A53)</f>
        <v>-3644460130.452352</v>
      </c>
      <c r="W53" s="242">
        <f ca="1">Q53-V53</f>
        <v>-1029580097.2976489</v>
      </c>
      <c r="X53" s="243">
        <f ca="1">IF(V53&lt;&gt;0,IF(V53&gt;0,W53/V53,-W53/V53),0)</f>
        <v>-0.28250551808611962</v>
      </c>
      <c r="Y53" s="55"/>
      <c r="Z53" s="55"/>
      <c r="AA53" s="55"/>
      <c r="AB53" s="241">
        <f ca="1">_xll.DBRW(Server&amp;Cube1,$N$15,$N$16,$N$17,$N$18,$N$14,$N$13,AB$2,AB$1,$B53)</f>
        <v>-2477984852.4299998</v>
      </c>
      <c r="AC53" s="241">
        <f ca="1">_xll.DBRW(Server&amp;Cube1,$N$15,$N$16,$N$17,$N$18,$N$14,$N$13,AC$2,AC$1,$B53)</f>
        <v>-2318006295.0191712</v>
      </c>
      <c r="AD53" s="241">
        <f ca="1">_xll.DBRW(Server&amp;Cube1,$N$15,$N$16,$N$17,$N$18,$N$14,$N$13,AD$2,AD$1,$B53)</f>
        <v>-251463840.03434932</v>
      </c>
      <c r="AE53" s="400"/>
      <c r="AF53" s="241">
        <f ca="1">_xll.DBRW(Server&amp;Cube1,$N$15,$N$16,$N$17,$N$18,$N$14,$N$13,AF$2,AF$1,$B53)</f>
        <v>-2196055375.3199992</v>
      </c>
      <c r="AG53" s="241">
        <f ca="1">_xll.DBRW(Server&amp;Cube1,$N$15,$N$16,$N$17,$N$18,$N$14,$N$13,AG$2,AG$1,$B53)</f>
        <v>-2311125024.3461256</v>
      </c>
      <c r="AH53" s="241">
        <f ca="1">_xll.DBRW(Server&amp;Cube1,$N$15,$N$16,$N$17,$N$18,$N$14,$N$13,AH$2,AH$1,$B53)</f>
        <v>-3392996290.4179993</v>
      </c>
      <c r="AI53" s="400"/>
      <c r="AJ53" s="241">
        <f ca="1">_xll.DBRW(Server&amp;Cube1,$N$15,$N$16,$N$17,$N$18,$N$14,$N$13,AJ$2,AJ$1,$B53)</f>
        <v>0</v>
      </c>
      <c r="AK53" s="241">
        <f ca="1">_xll.DBRW(Server&amp;Cube1,$N$15,$N$16,$N$17,$N$18,$N$14,$N$13,AK$2,AK$1,$B53)</f>
        <v>-2397388201.6554918</v>
      </c>
      <c r="AL53" s="241">
        <f ca="1">_xll.DBRW(Server&amp;Cube1,$N$15,$N$16,$N$17,$N$18,$N$14,$N$13,AL$2,AL$1,$B53)</f>
        <v>-1968644618.8710716</v>
      </c>
      <c r="AM53" s="400"/>
      <c r="AN53" s="241">
        <f ca="1">_xll.DBRW(Server&amp;Cube1,$N$15,$N$16,$N$17,$N$18,$N$14,$N$13,AN$2,AN$1,$B53)</f>
        <v>0</v>
      </c>
      <c r="AO53" s="241">
        <f ca="1">_xll.DBRW(Server&amp;Cube1,$N$15,$N$16,$N$17,$N$18,$N$14,$N$13,AO$2,AO$1,$B53)</f>
        <v>-2334348229.8199697</v>
      </c>
      <c r="AP53" s="241">
        <f ca="1">_xll.DBRW(Server&amp;Cube1,$N$15,$N$16,$N$17,$N$18,$N$14,$N$13,AP$2,AP$1,$B53)</f>
        <v>-2015580796.3799996</v>
      </c>
      <c r="AQ53" s="400"/>
      <c r="AR53" s="241">
        <f ca="1">_xll.DBRW(Server&amp;Cube1,$N$15,$N$16,$N$17,$N$18,$N$14,$N$13,AR$2,AR$1,$B53)</f>
        <v>0</v>
      </c>
      <c r="AS53" s="241">
        <f ca="1">_xll.DBRW(Server&amp;Cube1,$N$15,$N$16,$N$17,$N$18,$N$14,$N$13,AS$2,AS$1,$B53)</f>
        <v>-2325872020.1434679</v>
      </c>
      <c r="AT53" s="241">
        <f ca="1">_xll.DBRW(Server&amp;Cube1,$N$15,$N$16,$N$17,$N$18,$N$14,$N$13,AT$2,AT$1,$B53)</f>
        <v>-2557522090.1199985</v>
      </c>
      <c r="AU53" s="400"/>
      <c r="AV53" s="241">
        <f ca="1">_xll.DBRW(Server&amp;Cube1,$N$15,$N$16,$N$17,$N$18,$N$14,$N$13,AV$2,AV$1,$B53)</f>
        <v>0</v>
      </c>
      <c r="AW53" s="241">
        <f ca="1">_xll.DBRW(Server&amp;Cube1,$N$15,$N$16,$N$17,$N$18,$N$14,$N$13,AW$2,AW$1,$B53)</f>
        <v>-2339576721.2738676</v>
      </c>
      <c r="AX53" s="241">
        <f ca="1">_xll.DBRW(Server&amp;Cube1,$N$15,$N$16,$N$17,$N$18,$N$14,$N$13,AX$2,AX$1,$B53)</f>
        <v>-2110495601.7100008</v>
      </c>
      <c r="AY53" s="400"/>
      <c r="AZ53" s="241">
        <f ca="1">_xll.DBRW(Server&amp;Cube1,$N$15,$N$16,$N$17,$N$18,$N$14,$N$13,AZ$2,AZ$1,$B53)</f>
        <v>0</v>
      </c>
      <c r="BA53" s="241">
        <f ca="1">_xll.DBRW(Server&amp;Cube1,$N$15,$N$16,$N$17,$N$18,$N$14,$N$13,BA$2,BA$1,$B53)</f>
        <v>-2308952109.7012434</v>
      </c>
      <c r="BB53" s="241">
        <f ca="1">_xll.DBRW(Server&amp;Cube1,$N$15,$N$16,$N$17,$N$18,$N$14,$N$13,BB$2,BB$1,$B53)</f>
        <v>10226554845.540152</v>
      </c>
      <c r="BC53" s="400"/>
      <c r="BD53" s="241">
        <f ca="1">_xll.DBRW(Server&amp;Cube1,$N$15,$N$16,$N$17,$N$18,$N$14,$N$13,BD$2,BD$1,$B53)</f>
        <v>0</v>
      </c>
      <c r="BE53" s="241">
        <f ca="1">_xll.DBRW(Server&amp;Cube1,$N$15,$N$16,$N$17,$N$18,$N$14,$N$13,BE$2,BE$1,$B53)</f>
        <v>-2271527735.353333</v>
      </c>
      <c r="BF53" s="241">
        <f ca="1">_xll.DBRW(Server&amp;Cube1,$N$15,$N$16,$N$17,$N$18,$N$14,$N$13,BF$2,BF$1,$B53)</f>
        <v>-289384949.69000006</v>
      </c>
      <c r="BG53" s="400"/>
      <c r="BH53" s="241">
        <f ca="1">_xll.DBRW(Server&amp;Cube1,$N$15,$N$16,$N$17,$N$18,$N$14,$N$13,BH$2,BH$1,$B53)</f>
        <v>0</v>
      </c>
      <c r="BI53" s="241">
        <f ca="1">_xll.DBRW(Server&amp;Cube1,$N$15,$N$16,$N$17,$N$18,$N$14,$N$13,BI$2,BI$1,$B53)</f>
        <v>-2430156503.4728384</v>
      </c>
      <c r="BJ53" s="241">
        <f ca="1">_xll.DBRW(Server&amp;Cube1,$N$15,$N$16,$N$17,$N$18,$N$14,$N$13,BJ$2,BJ$1,$B53)</f>
        <v>-16702029845.099993</v>
      </c>
      <c r="BK53" s="400"/>
      <c r="BL53" s="241">
        <f ca="1">_xll.DBRW(Server&amp;Cube1,$N$15,$N$16,$N$17,$N$18,$N$14,$N$13,BL$2,BL$1,$B53)</f>
        <v>0</v>
      </c>
      <c r="BM53" s="241">
        <f ca="1">_xll.DBRW(Server&amp;Cube1,$N$15,$N$16,$N$17,$N$18,$N$14,$N$13,BM$2,BM$1,$B53)</f>
        <v>-2499140865.243258</v>
      </c>
      <c r="BN53" s="241">
        <f ca="1">_xll.DBRW(Server&amp;Cube1,$N$15,$N$16,$N$17,$N$18,$N$14,$N$13,BN$2,BN$1,$B53)</f>
        <v>-2990493680.9299998</v>
      </c>
      <c r="BO53" s="400"/>
      <c r="BP53" s="241">
        <f ca="1">_xll.DBRW(Server&amp;Cube1,$N$15,$N$16,$N$17,$N$18,$N$14,$N$13,BP$2,BP$1,$B53)</f>
        <v>0</v>
      </c>
      <c r="BQ53" s="241">
        <f ca="1">_xll.DBRW(Server&amp;Cube1,$N$15,$N$16,$N$17,$N$18,$N$14,$N$13,BQ$2,BQ$1,$B53)</f>
        <v>-2322067923.9051571</v>
      </c>
      <c r="BR53" s="241">
        <f ca="1">_xll.DBRW(Server&amp;Cube1,$N$15,$N$16,$N$17,$N$18,$N$14,$N$13,BR$2,BR$1,$B53)</f>
        <v>-2178081992.77</v>
      </c>
      <c r="BS53" s="400"/>
      <c r="BT53" s="241">
        <f ca="1">_xll.DBRW(Server&amp;Cube1,$N$15,$N$16,$N$17,$N$18,$N$14,$N$13,BT$2,BT$1,$B53)</f>
        <v>0</v>
      </c>
      <c r="BU53" s="241">
        <f ca="1">_xll.DBRW(Server&amp;Cube1,$N$15,$N$16,$N$17,$N$18,$N$14,$N$13,BU$2,BU$1,$B53)</f>
        <v>-3269271078.3652005</v>
      </c>
      <c r="BV53" s="241">
        <f ca="1">_xll.DBRW(Server&amp;Cube1,$N$15,$N$16,$N$17,$N$18,$N$14,$N$13,BV$2,BV$1,$B53)</f>
        <v>-22941070582.76001</v>
      </c>
      <c r="BW53" s="55"/>
      <c r="BX53" s="28"/>
    </row>
    <row r="54" spans="1:78" ht="19.5" hidden="1" customHeight="1" outlineLevel="1" x14ac:dyDescent="0.2">
      <c r="A54" s="57"/>
      <c r="B54" s="360" t="s">
        <v>45</v>
      </c>
      <c r="H54" s="360"/>
      <c r="I54" s="69"/>
      <c r="J54" s="54"/>
      <c r="K54" s="9"/>
      <c r="L54" s="555" t="str">
        <f ca="1">LEFT(_xll.DBRA(Server&amp;$B$32,$B54,$N$19),FIND("(",_xll.DBRA(Server&amp;$B$32,$B54,$N$19),1)-1)</f>
        <v xml:space="preserve">Staff costs </v>
      </c>
      <c r="M54" s="555"/>
      <c r="N54" s="555"/>
      <c r="O54" s="555"/>
      <c r="P54" s="234"/>
      <c r="Q54" s="235">
        <f ca="1">_xll.DBRW(Server&amp;Cube1,$N$15,$N$16,$N$17,$N$18,$N$14,$N$13,$N$11,$Q$1,$B54)</f>
        <v>-4153396809.2499995</v>
      </c>
      <c r="R54" s="235">
        <f ca="1">_xll.DBRW(Server&amp;Cube1,$N$15,$N$16,$N$17,$N$18,$N$14,$N$13,$R$2,$R$1,$B54)</f>
        <v>-4261120390.888011</v>
      </c>
      <c r="S54" s="236">
        <f t="shared" ref="S54:S59" ca="1" si="12">Q54-R54</f>
        <v>107723581.63801146</v>
      </c>
      <c r="T54" s="238">
        <f t="shared" ref="T54:T59" ca="1" si="13">IF(R54&lt;&gt;0,IF(R54&gt;0,S54/R54,-S54/R54),0)</f>
        <v>2.5280576880288994E-2</v>
      </c>
      <c r="U54" s="223"/>
      <c r="V54" s="235">
        <f ca="1">_xll.DBRW(Server&amp;Cube1,$N$15,$N$16,$N$17,$N$18,$N$14,$N$13,$V$2,$V$1,$B54)</f>
        <v>-3319124815.8756032</v>
      </c>
      <c r="W54" s="236">
        <f t="shared" ref="W54:W59" ca="1" si="14">Q54-V54</f>
        <v>-834271993.37439632</v>
      </c>
      <c r="X54" s="238">
        <f t="shared" ref="X54:X59" ca="1" si="15">IF(V54&lt;&gt;0,IF(V54&gt;0,W54/V54,-W54/V54),0)</f>
        <v>-0.25135300407626004</v>
      </c>
      <c r="Y54" s="55"/>
      <c r="Z54" s="55"/>
      <c r="AA54" s="55"/>
      <c r="AB54" s="235">
        <f ca="1">_xll.DBRW(Server&amp;Cube1,$N$15,$N$16,$N$17,$N$18,$N$14,$N$13,AB$2,AB$1,$B54)</f>
        <v>-2270878869.3499999</v>
      </c>
      <c r="AC54" s="235">
        <f ca="1">_xll.DBRW(Server&amp;Cube1,$N$15,$N$16,$N$17,$N$18,$N$14,$N$13,AC$2,AC$1,$B54)</f>
        <v>-2136491555.2025566</v>
      </c>
      <c r="AD54" s="235">
        <f ca="1">_xll.DBRW(Server&amp;Cube1,$N$15,$N$16,$N$17,$N$18,$N$14,$N$13,AD$2,AD$1,$B54)</f>
        <v>-249510149.78686568</v>
      </c>
      <c r="AE54" s="400"/>
      <c r="AF54" s="235">
        <f ca="1">_xll.DBRW(Server&amp;Cube1,$N$15,$N$16,$N$17,$N$18,$N$14,$N$13,AF$2,AF$1,$B54)</f>
        <v>-1882517939.9000001</v>
      </c>
      <c r="AG54" s="235">
        <f ca="1">_xll.DBRW(Server&amp;Cube1,$N$15,$N$16,$N$17,$N$18,$N$14,$N$13,AG$2,AG$1,$B54)</f>
        <v>-2124628835.6854537</v>
      </c>
      <c r="AH54" s="235">
        <f ca="1">_xll.DBRW(Server&amp;Cube1,$N$15,$N$16,$N$17,$N$18,$N$14,$N$13,AH$2,AH$1,$B54)</f>
        <v>-3069614666.0887375</v>
      </c>
      <c r="AI54" s="400"/>
      <c r="AJ54" s="235">
        <f ca="1">_xll.DBRW(Server&amp;Cube1,$N$15,$N$16,$N$17,$N$18,$N$14,$N$13,AJ$2,AJ$1,$B54)</f>
        <v>0</v>
      </c>
      <c r="AK54" s="235">
        <f ca="1">_xll.DBRW(Server&amp;Cube1,$N$15,$N$16,$N$17,$N$18,$N$14,$N$13,AK$2,AK$1,$B54)</f>
        <v>-2213957919.4016576</v>
      </c>
      <c r="AL54" s="235">
        <f ca="1">_xll.DBRW(Server&amp;Cube1,$N$15,$N$16,$N$17,$N$18,$N$14,$N$13,AL$2,AL$1,$B54)</f>
        <v>-1822399156.2328188</v>
      </c>
      <c r="AM54" s="400"/>
      <c r="AN54" s="235">
        <f ca="1">_xll.DBRW(Server&amp;Cube1,$N$15,$N$16,$N$17,$N$18,$N$14,$N$13,AN$2,AN$1,$B54)</f>
        <v>0</v>
      </c>
      <c r="AO54" s="235">
        <f ca="1">_xll.DBRW(Server&amp;Cube1,$N$15,$N$16,$N$17,$N$18,$N$14,$N$13,AO$2,AO$1,$B54)</f>
        <v>-2144378290.3073561</v>
      </c>
      <c r="AP54" s="235">
        <f ca="1">_xll.DBRW(Server&amp;Cube1,$N$15,$N$16,$N$17,$N$18,$N$14,$N$13,AP$2,AP$1,$B54)</f>
        <v>-1862941276.1200001</v>
      </c>
      <c r="AQ54" s="400"/>
      <c r="AR54" s="235">
        <f ca="1">_xll.DBRW(Server&amp;Cube1,$N$15,$N$16,$N$17,$N$18,$N$14,$N$13,AR$2,AR$1,$B54)</f>
        <v>0</v>
      </c>
      <c r="AS54" s="235">
        <f ca="1">_xll.DBRW(Server&amp;Cube1,$N$15,$N$16,$N$17,$N$18,$N$14,$N$13,AS$2,AS$1,$B54)</f>
        <v>-2131068496.5562704</v>
      </c>
      <c r="AT54" s="235">
        <f ca="1">_xll.DBRW(Server&amp;Cube1,$N$15,$N$16,$N$17,$N$18,$N$14,$N$13,AT$2,AT$1,$B54)</f>
        <v>-2311703465.0900006</v>
      </c>
      <c r="AU54" s="400"/>
      <c r="AV54" s="235">
        <f ca="1">_xll.DBRW(Server&amp;Cube1,$N$15,$N$16,$N$17,$N$18,$N$14,$N$13,AV$2,AV$1,$B54)</f>
        <v>0</v>
      </c>
      <c r="AW54" s="235">
        <f ca="1">_xll.DBRW(Server&amp;Cube1,$N$15,$N$16,$N$17,$N$18,$N$14,$N$13,AW$2,AW$1,$B54)</f>
        <v>-2148495188.318325</v>
      </c>
      <c r="AX54" s="235">
        <f ca="1">_xll.DBRW(Server&amp;Cube1,$N$15,$N$16,$N$17,$N$18,$N$14,$N$13,AX$2,AX$1,$B54)</f>
        <v>-1883800776.3300002</v>
      </c>
      <c r="AY54" s="400"/>
      <c r="AZ54" s="235">
        <f ca="1">_xll.DBRW(Server&amp;Cube1,$N$15,$N$16,$N$17,$N$18,$N$14,$N$13,AZ$2,AZ$1,$B54)</f>
        <v>0</v>
      </c>
      <c r="BA54" s="235">
        <f ca="1">_xll.DBRW(Server&amp;Cube1,$N$15,$N$16,$N$17,$N$18,$N$14,$N$13,BA$2,BA$1,$B54)</f>
        <v>-2123821174.3793795</v>
      </c>
      <c r="BB54" s="235">
        <f ca="1">_xll.DBRW(Server&amp;Cube1,$N$15,$N$16,$N$17,$N$18,$N$14,$N$13,BB$2,BB$1,$B54)</f>
        <v>9156458018.1400681</v>
      </c>
      <c r="BC54" s="400"/>
      <c r="BD54" s="235">
        <f ca="1">_xll.DBRW(Server&amp;Cube1,$N$15,$N$16,$N$17,$N$18,$N$14,$N$13,BD$2,BD$1,$B54)</f>
        <v>0</v>
      </c>
      <c r="BE54" s="235">
        <f ca="1">_xll.DBRW(Server&amp;Cube1,$N$15,$N$16,$N$17,$N$18,$N$14,$N$13,BE$2,BE$1,$B54)</f>
        <v>-2074738609.2599375</v>
      </c>
      <c r="BF54" s="235">
        <f ca="1">_xll.DBRW(Server&amp;Cube1,$N$15,$N$16,$N$17,$N$18,$N$14,$N$13,BF$2,BF$1,$B54)</f>
        <v>-281227197.48000014</v>
      </c>
      <c r="BG54" s="400"/>
      <c r="BH54" s="235">
        <f ca="1">_xll.DBRW(Server&amp;Cube1,$N$15,$N$16,$N$17,$N$18,$N$14,$N$13,BH$2,BH$1,$B54)</f>
        <v>0</v>
      </c>
      <c r="BI54" s="235">
        <f ca="1">_xll.DBRW(Server&amp;Cube1,$N$15,$N$16,$N$17,$N$18,$N$14,$N$13,BI$2,BI$1,$B54)</f>
        <v>-2239296462.0511861</v>
      </c>
      <c r="BJ54" s="235">
        <f ca="1">_xll.DBRW(Server&amp;Cube1,$N$15,$N$16,$N$17,$N$18,$N$14,$N$13,BJ$2,BJ$1,$B54)</f>
        <v>-14896562455.269997</v>
      </c>
      <c r="BK54" s="400"/>
      <c r="BL54" s="235">
        <f ca="1">_xll.DBRW(Server&amp;Cube1,$N$15,$N$16,$N$17,$N$18,$N$14,$N$13,BL$2,BL$1,$B54)</f>
        <v>0</v>
      </c>
      <c r="BM54" s="235">
        <f ca="1">_xll.DBRW(Server&amp;Cube1,$N$15,$N$16,$N$17,$N$18,$N$14,$N$13,BM$2,BM$1,$B54)</f>
        <v>-2308189019.5900946</v>
      </c>
      <c r="BN54" s="235">
        <f ca="1">_xll.DBRW(Server&amp;Cube1,$N$15,$N$16,$N$17,$N$18,$N$14,$N$13,BN$2,BN$1,$B54)</f>
        <v>-2809221431.3800001</v>
      </c>
      <c r="BO54" s="400"/>
      <c r="BP54" s="235">
        <f ca="1">_xll.DBRW(Server&amp;Cube1,$N$15,$N$16,$N$17,$N$18,$N$14,$N$13,BP$2,BP$1,$B54)</f>
        <v>0</v>
      </c>
      <c r="BQ54" s="235">
        <f ca="1">_xll.DBRW(Server&amp;Cube1,$N$15,$N$16,$N$17,$N$18,$N$14,$N$13,BQ$2,BQ$1,$B54)</f>
        <v>-2140032633.1774912</v>
      </c>
      <c r="BR54" s="235">
        <f ca="1">_xll.DBRW(Server&amp;Cube1,$N$15,$N$16,$N$17,$N$18,$N$14,$N$13,BR$2,BR$1,$B54)</f>
        <v>-1994128817.7999997</v>
      </c>
      <c r="BS54" s="400"/>
      <c r="BT54" s="235">
        <f ca="1">_xll.DBRW(Server&amp;Cube1,$N$15,$N$16,$N$17,$N$18,$N$14,$N$13,BT$2,BT$1,$B54)</f>
        <v>0</v>
      </c>
      <c r="BU54" s="235">
        <f ca="1">_xll.DBRW(Server&amp;Cube1,$N$15,$N$16,$N$17,$N$18,$N$14,$N$13,BU$2,BU$1,$B54)</f>
        <v>-3084211068.7551889</v>
      </c>
      <c r="BV54" s="235">
        <f ca="1">_xll.DBRW(Server&amp;Cube1,$N$15,$N$16,$N$17,$N$18,$N$14,$N$13,BV$2,BV$1,$B54)</f>
        <v>-20678158178.630001</v>
      </c>
      <c r="BW54" s="55"/>
      <c r="BX54" s="28"/>
    </row>
    <row r="55" spans="1:78" ht="19.5" hidden="1" customHeight="1" outlineLevel="1" x14ac:dyDescent="0.2">
      <c r="A55" s="57"/>
      <c r="B55" s="360" t="s">
        <v>46</v>
      </c>
      <c r="H55" s="360"/>
      <c r="I55" s="69"/>
      <c r="J55" s="54"/>
      <c r="K55" s="9"/>
      <c r="L55" s="555" t="str">
        <f ca="1">LEFT(_xll.DBRA(Server&amp;$B$32,$B55,$N$19),FIND("(",_xll.DBRA(Server&amp;$B$32,$B55,$N$19),1)-1)</f>
        <v xml:space="preserve">Interim staff </v>
      </c>
      <c r="M55" s="555"/>
      <c r="N55" s="555"/>
      <c r="O55" s="555"/>
      <c r="P55" s="234"/>
      <c r="Q55" s="235">
        <f ca="1">_xll.DBRW(Server&amp;Cube1,$N$15,$N$16,$N$17,$N$18,$N$14,$N$13,$N$11,$Q$1,$B55)</f>
        <v>0</v>
      </c>
      <c r="R55" s="235">
        <f ca="1">_xll.DBRW(Server&amp;Cube1,$N$15,$N$16,$N$17,$N$18,$N$14,$N$13,$R$2,$R$1,$B55)</f>
        <v>-4681392.6846531313</v>
      </c>
      <c r="S55" s="236">
        <f t="shared" ca="1" si="12"/>
        <v>4681392.6846531313</v>
      </c>
      <c r="T55" s="238">
        <f t="shared" ca="1" si="13"/>
        <v>1</v>
      </c>
      <c r="U55" s="223"/>
      <c r="V55" s="235">
        <f ca="1">_xll.DBRW(Server&amp;Cube1,$N$15,$N$16,$N$17,$N$18,$N$14,$N$13,$V$2,$V$1,$B55)</f>
        <v>-5596546.9066700004</v>
      </c>
      <c r="W55" s="236">
        <f t="shared" ca="1" si="14"/>
        <v>5596546.9066700004</v>
      </c>
      <c r="X55" s="238">
        <f t="shared" ca="1" si="15"/>
        <v>1</v>
      </c>
      <c r="Y55" s="55"/>
      <c r="Z55" s="55"/>
      <c r="AA55" s="55"/>
      <c r="AB55" s="235">
        <f ca="1">_xll.DBRW(Server&amp;Cube1,$N$15,$N$16,$N$17,$N$18,$N$14,$N$13,AB$2,AB$1,$B55)</f>
        <v>0</v>
      </c>
      <c r="AC55" s="235">
        <f ca="1">_xll.DBRW(Server&amp;Cube1,$N$15,$N$16,$N$17,$N$18,$N$14,$N$13,AC$2,AC$1,$B55)</f>
        <v>-2246099.632033925</v>
      </c>
      <c r="AD55" s="235">
        <f ca="1">_xll.DBRW(Server&amp;Cube1,$N$15,$N$16,$N$17,$N$18,$N$14,$N$13,AD$2,AD$1,$B55)</f>
        <v>-1507872.5833299998</v>
      </c>
      <c r="AE55" s="400"/>
      <c r="AF55" s="235">
        <f ca="1">_xll.DBRW(Server&amp;Cube1,$N$15,$N$16,$N$17,$N$18,$N$14,$N$13,AF$2,AF$1,$B55)</f>
        <v>0</v>
      </c>
      <c r="AG55" s="235">
        <f ca="1">_xll.DBRW(Server&amp;Cube1,$N$15,$N$16,$N$17,$N$18,$N$14,$N$13,AG$2,AG$1,$B55)</f>
        <v>-2435293.0526192058</v>
      </c>
      <c r="AH55" s="235">
        <f ca="1">_xll.DBRW(Server&amp;Cube1,$N$15,$N$16,$N$17,$N$18,$N$14,$N$13,AH$2,AH$1,$B55)</f>
        <v>-4088674.3233400006</v>
      </c>
      <c r="AI55" s="400"/>
      <c r="AJ55" s="235">
        <f ca="1">_xll.DBRW(Server&amp;Cube1,$N$15,$N$16,$N$17,$N$18,$N$14,$N$13,AJ$2,AJ$1,$B55)</f>
        <v>0</v>
      </c>
      <c r="AK55" s="235">
        <f ca="1">_xll.DBRW(Server&amp;Cube1,$N$15,$N$16,$N$17,$N$18,$N$14,$N$13,AK$2,AK$1,$B55)</f>
        <v>-2305744.6828309484</v>
      </c>
      <c r="AL55" s="235">
        <f ca="1">_xll.DBRW(Server&amp;Cube1,$N$15,$N$16,$N$17,$N$18,$N$14,$N$13,AL$2,AL$1,$B55)</f>
        <v>-3388594.7933299998</v>
      </c>
      <c r="AM55" s="400"/>
      <c r="AN55" s="235">
        <f ca="1">_xll.DBRW(Server&amp;Cube1,$N$15,$N$16,$N$17,$N$18,$N$14,$N$13,AN$2,AN$1,$B55)</f>
        <v>0</v>
      </c>
      <c r="AO55" s="235">
        <f ca="1">_xll.DBRW(Server&amp;Cube1,$N$15,$N$16,$N$17,$N$18,$N$14,$N$13,AO$2,AO$1,$B55)</f>
        <v>-2552278.5931917438</v>
      </c>
      <c r="AP55" s="235">
        <f ca="1">_xll.DBRW(Server&amp;Cube1,$N$15,$N$16,$N$17,$N$18,$N$14,$N$13,AP$2,AP$1,$B55)</f>
        <v>201171.36000000016</v>
      </c>
      <c r="AQ55" s="400"/>
      <c r="AR55" s="235">
        <f ca="1">_xll.DBRW(Server&amp;Cube1,$N$15,$N$16,$N$17,$N$18,$N$14,$N$13,AR$2,AR$1,$B55)</f>
        <v>0</v>
      </c>
      <c r="AS55" s="235">
        <f ca="1">_xll.DBRW(Server&amp;Cube1,$N$15,$N$16,$N$17,$N$18,$N$14,$N$13,AS$2,AS$1,$B55)</f>
        <v>-2361360.7613894227</v>
      </c>
      <c r="AT55" s="235">
        <f ca="1">_xll.DBRW(Server&amp;Cube1,$N$15,$N$16,$N$17,$N$18,$N$14,$N$13,AT$2,AT$1,$B55)</f>
        <v>-7378896.7999999998</v>
      </c>
      <c r="AU55" s="400"/>
      <c r="AV55" s="235">
        <f ca="1">_xll.DBRW(Server&amp;Cube1,$N$15,$N$16,$N$17,$N$18,$N$14,$N$13,AV$2,AV$1,$B55)</f>
        <v>0</v>
      </c>
      <c r="AW55" s="235">
        <f ca="1">_xll.DBRW(Server&amp;Cube1,$N$15,$N$16,$N$17,$N$18,$N$14,$N$13,AW$2,AW$1,$B55)</f>
        <v>-2587231.4824994067</v>
      </c>
      <c r="AX55" s="235">
        <f ca="1">_xll.DBRW(Server&amp;Cube1,$N$15,$N$16,$N$17,$N$18,$N$14,$N$13,AX$2,AX$1,$B55)</f>
        <v>-3923254.03</v>
      </c>
      <c r="AY55" s="400"/>
      <c r="AZ55" s="235">
        <f ca="1">_xll.DBRW(Server&amp;Cube1,$N$15,$N$16,$N$17,$N$18,$N$14,$N$13,AZ$2,AZ$1,$B55)</f>
        <v>0</v>
      </c>
      <c r="BA55" s="235">
        <f ca="1">_xll.DBRW(Server&amp;Cube1,$N$15,$N$16,$N$17,$N$18,$N$14,$N$13,BA$2,BA$1,$B55)</f>
        <v>-3189395.5712851728</v>
      </c>
      <c r="BB55" s="235">
        <f ca="1">_xll.DBRW(Server&amp;Cube1,$N$15,$N$16,$N$17,$N$18,$N$14,$N$13,BB$2,BB$1,$B55)</f>
        <v>-22527.783299999661</v>
      </c>
      <c r="BC55" s="400"/>
      <c r="BD55" s="235">
        <f ca="1">_xll.DBRW(Server&amp;Cube1,$N$15,$N$16,$N$17,$N$18,$N$14,$N$13,BD$2,BD$1,$B55)</f>
        <v>0</v>
      </c>
      <c r="BE55" s="235">
        <f ca="1">_xll.DBRW(Server&amp;Cube1,$N$15,$N$16,$N$17,$N$18,$N$14,$N$13,BE$2,BE$1,$B55)</f>
        <v>-3427352.4542424749</v>
      </c>
      <c r="BF55" s="235">
        <f ca="1">_xll.DBRW(Server&amp;Cube1,$N$15,$N$16,$N$17,$N$18,$N$14,$N$13,BF$2,BF$1,$B55)</f>
        <v>-8294731.2599999998</v>
      </c>
      <c r="BG55" s="400"/>
      <c r="BH55" s="235">
        <f ca="1">_xll.DBRW(Server&amp;Cube1,$N$15,$N$16,$N$17,$N$18,$N$14,$N$13,BH$2,BH$1,$B55)</f>
        <v>0</v>
      </c>
      <c r="BI55" s="235">
        <f ca="1">_xll.DBRW(Server&amp;Cube1,$N$15,$N$16,$N$17,$N$18,$N$14,$N$13,BI$2,BI$1,$B55)</f>
        <v>-3053570.6708975914</v>
      </c>
      <c r="BJ55" s="235">
        <f ca="1">_xll.DBRW(Server&amp;Cube1,$N$15,$N$16,$N$17,$N$18,$N$14,$N$13,BJ$2,BJ$1,$B55)</f>
        <v>-4362103.1899999995</v>
      </c>
      <c r="BK55" s="400"/>
      <c r="BL55" s="235">
        <f ca="1">_xll.DBRW(Server&amp;Cube1,$N$15,$N$16,$N$17,$N$18,$N$14,$N$13,BL$2,BL$1,$B55)</f>
        <v>0</v>
      </c>
      <c r="BM55" s="235">
        <f ca="1">_xll.DBRW(Server&amp;Cube1,$N$15,$N$16,$N$17,$N$18,$N$14,$N$13,BM$2,BM$1,$B55)</f>
        <v>-2409471.2196220374</v>
      </c>
      <c r="BN55" s="235">
        <f ca="1">_xll.DBRW(Server&amp;Cube1,$N$15,$N$16,$N$17,$N$18,$N$14,$N$13,BN$2,BN$1,$B55)</f>
        <v>-1530159.4500000002</v>
      </c>
      <c r="BO55" s="400"/>
      <c r="BP55" s="235">
        <f ca="1">_xll.DBRW(Server&amp;Cube1,$N$15,$N$16,$N$17,$N$18,$N$14,$N$13,BP$2,BP$1,$B55)</f>
        <v>0</v>
      </c>
      <c r="BQ55" s="235">
        <f ca="1">_xll.DBRW(Server&amp;Cube1,$N$15,$N$16,$N$17,$N$18,$N$14,$N$13,BQ$2,BQ$1,$B55)</f>
        <v>-2130746.7185723977</v>
      </c>
      <c r="BR55" s="235">
        <f ca="1">_xll.DBRW(Server&amp;Cube1,$N$15,$N$16,$N$17,$N$18,$N$14,$N$13,BR$2,BR$1,$B55)</f>
        <v>-7964869.9000000022</v>
      </c>
      <c r="BS55" s="400"/>
      <c r="BT55" s="235">
        <f ca="1">_xll.DBRW(Server&amp;Cube1,$N$15,$N$16,$N$17,$N$18,$N$14,$N$13,BT$2,BT$1,$B55)</f>
        <v>0</v>
      </c>
      <c r="BU55" s="235">
        <f ca="1">_xll.DBRW(Server&amp;Cube1,$N$15,$N$16,$N$17,$N$18,$N$14,$N$13,BU$2,BU$1,$B55)</f>
        <v>-2856599.3658660199</v>
      </c>
      <c r="BV55" s="235">
        <f ca="1">_xll.DBRW(Server&amp;Cube1,$N$15,$N$16,$N$17,$N$18,$N$14,$N$13,BV$2,BV$1,$B55)</f>
        <v>-5128018.8999999976</v>
      </c>
      <c r="BW55" s="55"/>
      <c r="BX55" s="28"/>
    </row>
    <row r="56" spans="1:78" ht="19.5" hidden="1" customHeight="1" outlineLevel="1" x14ac:dyDescent="0.2">
      <c r="A56" s="57"/>
      <c r="B56" s="360" t="s">
        <v>47</v>
      </c>
      <c r="H56" s="360"/>
      <c r="I56" s="69"/>
      <c r="J56" s="54"/>
      <c r="K56" s="9"/>
      <c r="L56" s="555" t="str">
        <f ca="1">LEFT(_xll.DBRA(Server&amp;$B$32,$B56,$N$19),FIND("(",_xll.DBRA(Server&amp;$B$32,$B56,$N$19),1)-1)</f>
        <v xml:space="preserve">Others </v>
      </c>
      <c r="M56" s="555"/>
      <c r="N56" s="555"/>
      <c r="O56" s="555"/>
      <c r="P56" s="234"/>
      <c r="Q56" s="235">
        <f ca="1">_xll.DBRW(Server&amp;Cube1,$N$15,$N$16,$N$17,$N$18,$N$14,$N$13,$N$11,$Q$1,$B56)</f>
        <v>-369785495.88</v>
      </c>
      <c r="R56" s="235">
        <f ca="1">_xll.DBRW(Server&amp;Cube1,$N$15,$N$16,$N$17,$N$18,$N$14,$N$13,$R$2,$R$1,$B56)</f>
        <v>-248063946.25373238</v>
      </c>
      <c r="S56" s="236">
        <f t="shared" ca="1" si="12"/>
        <v>-121721549.62626761</v>
      </c>
      <c r="T56" s="238">
        <f t="shared" ca="1" si="13"/>
        <v>-0.49068617775581397</v>
      </c>
      <c r="U56" s="223"/>
      <c r="V56" s="235">
        <f ca="1">_xll.DBRW(Server&amp;Cube1,$N$15,$N$16,$N$17,$N$18,$N$14,$N$13,$V$2,$V$1,$B56)</f>
        <v>-193494517.16008514</v>
      </c>
      <c r="W56" s="236">
        <f t="shared" ca="1" si="14"/>
        <v>-176290978.71991485</v>
      </c>
      <c r="X56" s="238">
        <f t="shared" ca="1" si="15"/>
        <v>-0.91109030533440305</v>
      </c>
      <c r="Y56" s="55"/>
      <c r="Z56" s="55"/>
      <c r="AA56" s="55"/>
      <c r="AB56" s="235">
        <f ca="1">_xll.DBRW(Server&amp;Cube1,$N$15,$N$16,$N$17,$N$18,$N$14,$N$13,AB$2,AB$1,$B56)</f>
        <v>-130120514.58000001</v>
      </c>
      <c r="AC56" s="235">
        <f ca="1">_xll.DBRW(Server&amp;Cube1,$N$15,$N$16,$N$17,$N$18,$N$14,$N$13,AC$2,AC$1,$B56)</f>
        <v>-121642308.7158201</v>
      </c>
      <c r="AD56" s="235">
        <f ca="1">_xll.DBRW(Server&amp;Cube1,$N$15,$N$16,$N$17,$N$18,$N$14,$N$13,AD$2,AD$1,$B56)</f>
        <v>-1044673.7591527189</v>
      </c>
      <c r="AE56" s="400"/>
      <c r="AF56" s="235">
        <f ca="1">_xll.DBRW(Server&amp;Cube1,$N$15,$N$16,$N$17,$N$18,$N$14,$N$13,AF$2,AF$1,$B56)</f>
        <v>-239664981.29999998</v>
      </c>
      <c r="AG56" s="235">
        <f ca="1">_xll.DBRW(Server&amp;Cube1,$N$15,$N$16,$N$17,$N$18,$N$14,$N$13,AG$2,AG$1,$B56)</f>
        <v>-126421637.53791226</v>
      </c>
      <c r="AH56" s="235">
        <f ca="1">_xll.DBRW(Server&amp;Cube1,$N$15,$N$16,$N$17,$N$18,$N$14,$N$13,AH$2,AH$1,$B56)</f>
        <v>-192449843.40093243</v>
      </c>
      <c r="AI56" s="400"/>
      <c r="AJ56" s="235">
        <f ca="1">_xll.DBRW(Server&amp;Cube1,$N$15,$N$16,$N$17,$N$18,$N$14,$N$13,AJ$2,AJ$1,$B56)</f>
        <v>0</v>
      </c>
      <c r="AK56" s="235">
        <f ca="1">_xll.DBRW(Server&amp;Cube1,$N$15,$N$16,$N$17,$N$18,$N$14,$N$13,AK$2,AK$1,$B56)</f>
        <v>-123447906.0389581</v>
      </c>
      <c r="AL56" s="235">
        <f ca="1">_xll.DBRW(Server&amp;Cube1,$N$15,$N$16,$N$17,$N$18,$N$14,$N$13,AL$2,AL$1,$B56)</f>
        <v>-80479688.829914853</v>
      </c>
      <c r="AM56" s="400"/>
      <c r="AN56" s="235">
        <f ca="1">_xll.DBRW(Server&amp;Cube1,$N$15,$N$16,$N$17,$N$18,$N$14,$N$13,AN$2,AN$1,$B56)</f>
        <v>0</v>
      </c>
      <c r="AO56" s="235">
        <f ca="1">_xll.DBRW(Server&amp;Cube1,$N$15,$N$16,$N$17,$N$18,$N$14,$N$13,AO$2,AO$1,$B56)</f>
        <v>-129699890.40342161</v>
      </c>
      <c r="AP56" s="235">
        <f ca="1">_xll.DBRW(Server&amp;Cube1,$N$15,$N$16,$N$17,$N$18,$N$14,$N$13,AP$2,AP$1,$B56)</f>
        <v>-90235187.089999989</v>
      </c>
      <c r="AQ56" s="400"/>
      <c r="AR56" s="235">
        <f ca="1">_xll.DBRW(Server&amp;Cube1,$N$15,$N$16,$N$17,$N$18,$N$14,$N$13,AR$2,AR$1,$B56)</f>
        <v>0</v>
      </c>
      <c r="AS56" s="235">
        <f ca="1">_xll.DBRW(Server&amp;Cube1,$N$15,$N$16,$N$17,$N$18,$N$14,$N$13,AS$2,AS$1,$B56)</f>
        <v>-134823937.44871128</v>
      </c>
      <c r="AT56" s="235">
        <f ca="1">_xll.DBRW(Server&amp;Cube1,$N$15,$N$16,$N$17,$N$18,$N$14,$N$13,AT$2,AT$1,$B56)</f>
        <v>-146594067.92000008</v>
      </c>
      <c r="AU56" s="400"/>
      <c r="AV56" s="235">
        <f ca="1">_xll.DBRW(Server&amp;Cube1,$N$15,$N$16,$N$17,$N$18,$N$14,$N$13,AV$2,AV$1,$B56)</f>
        <v>0</v>
      </c>
      <c r="AW56" s="235">
        <f ca="1">_xll.DBRW(Server&amp;Cube1,$N$15,$N$16,$N$17,$N$18,$N$14,$N$13,AW$2,AW$1,$B56)</f>
        <v>-130955015.7329971</v>
      </c>
      <c r="AX56" s="235">
        <f ca="1">_xll.DBRW(Server&amp;Cube1,$N$15,$N$16,$N$17,$N$18,$N$14,$N$13,AX$2,AX$1,$B56)</f>
        <v>-145185643.33000007</v>
      </c>
      <c r="AY56" s="400"/>
      <c r="AZ56" s="235">
        <f ca="1">_xll.DBRW(Server&amp;Cube1,$N$15,$N$16,$N$17,$N$18,$N$14,$N$13,AZ$2,AZ$1,$B56)</f>
        <v>0</v>
      </c>
      <c r="BA56" s="235">
        <f ca="1">_xll.DBRW(Server&amp;Cube1,$N$15,$N$16,$N$17,$N$18,$N$14,$N$13,BA$2,BA$1,$B56)</f>
        <v>-124397411.17594352</v>
      </c>
      <c r="BB56" s="235">
        <f ca="1">_xll.DBRW(Server&amp;Cube1,$N$15,$N$16,$N$17,$N$18,$N$14,$N$13,BB$2,BB$1,$B56)</f>
        <v>642603208.22337472</v>
      </c>
      <c r="BC56" s="400"/>
      <c r="BD56" s="235">
        <f ca="1">_xll.DBRW(Server&amp;Cube1,$N$15,$N$16,$N$17,$N$18,$N$14,$N$13,BD$2,BD$1,$B56)</f>
        <v>0</v>
      </c>
      <c r="BE56" s="235">
        <f ca="1">_xll.DBRW(Server&amp;Cube1,$N$15,$N$16,$N$17,$N$18,$N$14,$N$13,BE$2,BE$1,$B56)</f>
        <v>-135815130.09456074</v>
      </c>
      <c r="BF56" s="235">
        <f ca="1">_xll.DBRW(Server&amp;Cube1,$N$15,$N$16,$N$17,$N$18,$N$14,$N$13,BF$2,BF$1,$B56)</f>
        <v>-5105782.879999999</v>
      </c>
      <c r="BG56" s="400"/>
      <c r="BH56" s="235">
        <f ca="1">_xll.DBRW(Server&amp;Cube1,$N$15,$N$16,$N$17,$N$18,$N$14,$N$13,BH$2,BH$1,$B56)</f>
        <v>0</v>
      </c>
      <c r="BI56" s="235">
        <f ca="1">_xll.DBRW(Server&amp;Cube1,$N$15,$N$16,$N$17,$N$18,$N$14,$N$13,BI$2,BI$1,$B56)</f>
        <v>-130144325.00263061</v>
      </c>
      <c r="BJ56" s="235">
        <f ca="1">_xll.DBRW(Server&amp;Cube1,$N$15,$N$16,$N$17,$N$18,$N$14,$N$13,BJ$2,BJ$1,$B56)</f>
        <v>-1138743181.2899997</v>
      </c>
      <c r="BK56" s="400"/>
      <c r="BL56" s="235">
        <f ca="1">_xll.DBRW(Server&amp;Cube1,$N$15,$N$16,$N$17,$N$18,$N$14,$N$13,BL$2,BL$1,$B56)</f>
        <v>0</v>
      </c>
      <c r="BM56" s="235">
        <f ca="1">_xll.DBRW(Server&amp;Cube1,$N$15,$N$16,$N$17,$N$18,$N$14,$N$13,BM$2,BM$1,$B56)</f>
        <v>-130911851.53318624</v>
      </c>
      <c r="BN56" s="235">
        <f ca="1">_xll.DBRW(Server&amp;Cube1,$N$15,$N$16,$N$17,$N$18,$N$14,$N$13,BN$2,BN$1,$B56)</f>
        <v>-102104605.75</v>
      </c>
      <c r="BO56" s="400"/>
      <c r="BP56" s="235">
        <f ca="1">_xll.DBRW(Server&amp;Cube1,$N$15,$N$16,$N$17,$N$18,$N$14,$N$13,BP$2,BP$1,$B56)</f>
        <v>0</v>
      </c>
      <c r="BQ56" s="235">
        <f ca="1">_xll.DBRW(Server&amp;Cube1,$N$15,$N$16,$N$17,$N$18,$N$14,$N$13,BQ$2,BQ$1,$B56)</f>
        <v>-122242553.74078959</v>
      </c>
      <c r="BR56" s="235">
        <f ca="1">_xll.DBRW(Server&amp;Cube1,$N$15,$N$16,$N$17,$N$18,$N$14,$N$13,BR$2,BR$1,$B56)</f>
        <v>-95720480.180000007</v>
      </c>
      <c r="BS56" s="400"/>
      <c r="BT56" s="235">
        <f ca="1">_xll.DBRW(Server&amp;Cube1,$N$15,$N$16,$N$17,$N$18,$N$14,$N$13,BT$2,BT$1,$B56)</f>
        <v>0</v>
      </c>
      <c r="BU56" s="235">
        <f ca="1">_xll.DBRW(Server&amp;Cube1,$N$15,$N$16,$N$17,$N$18,$N$14,$N$13,BU$2,BU$1,$B56)</f>
        <v>-124228891.60923509</v>
      </c>
      <c r="BV56" s="235">
        <f ca="1">_xll.DBRW(Server&amp;Cube1,$N$15,$N$16,$N$17,$N$18,$N$14,$N$13,BV$2,BV$1,$B56)</f>
        <v>-1358641051.52</v>
      </c>
      <c r="BW56" s="55"/>
      <c r="BX56" s="28"/>
    </row>
    <row r="57" spans="1:78" s="34" customFormat="1" ht="19.5" hidden="1" customHeight="1" outlineLevel="1" x14ac:dyDescent="0.2">
      <c r="A57" s="57"/>
      <c r="B57" s="360" t="s">
        <v>49</v>
      </c>
      <c r="C57" s="9"/>
      <c r="D57" s="1"/>
      <c r="E57" s="1"/>
      <c r="H57" s="360"/>
      <c r="I57" s="69"/>
      <c r="J57" s="54"/>
      <c r="K57" s="9"/>
      <c r="L57" s="555" t="str">
        <f ca="1">_xll.DBRA(Server&amp;$B$32,$B57,$N$19)</f>
        <v>Amortization of pensions</v>
      </c>
      <c r="M57" s="555"/>
      <c r="N57" s="555"/>
      <c r="O57" s="555"/>
      <c r="P57" s="234"/>
      <c r="Q57" s="235">
        <f ca="1">_xll.DBRW(Server&amp;Cube1,$N$15,$N$16,$N$17,$N$18,$N$14,$N$13,$N$11,$Q$1,$B57)</f>
        <v>0</v>
      </c>
      <c r="R57" s="235">
        <f ca="1">_xll.DBRW(Server&amp;Cube1,$N$15,$N$16,$N$17,$N$18,$N$14,$N$13,$R$2,$R$1,$B57)</f>
        <v>0</v>
      </c>
      <c r="S57" s="236">
        <f ca="1">Q57-R57</f>
        <v>0</v>
      </c>
      <c r="T57" s="238">
        <f ca="1">IF(R57&lt;&gt;0,IF(R57&gt;0,S57/R57,-S57/R57),0)</f>
        <v>0</v>
      </c>
      <c r="U57" s="223"/>
      <c r="V57" s="235">
        <f ca="1">_xll.DBRW(Server&amp;Cube1,$N$15,$N$16,$N$17,$N$18,$N$14,$N$13,$V$2,$V$1,$B57)</f>
        <v>-43.52</v>
      </c>
      <c r="W57" s="236">
        <f ca="1">Q57-V57</f>
        <v>43.52</v>
      </c>
      <c r="X57" s="238">
        <f ca="1">IF(V57&lt;&gt;0,IF(V57&gt;0,W57/V57,-W57/V57),0)</f>
        <v>1</v>
      </c>
      <c r="Y57" s="55"/>
      <c r="Z57" s="55"/>
      <c r="AA57" s="55"/>
      <c r="AB57" s="235">
        <f ca="1">_xll.DBRW(Server&amp;Cube1,$N$15,$N$16,$N$17,$N$18,$N$14,$N$13,AB$2,AB$1,$B57)</f>
        <v>0</v>
      </c>
      <c r="AC57" s="235">
        <f ca="1">_xll.DBRW(Server&amp;Cube1,$N$15,$N$16,$N$17,$N$18,$N$14,$N$13,AC$2,AC$1,$B57)</f>
        <v>0</v>
      </c>
      <c r="AD57" s="235">
        <f ca="1">_xll.DBRW(Server&amp;Cube1,$N$15,$N$16,$N$17,$N$18,$N$14,$N$13,AD$2,AD$1,$B57)</f>
        <v>-21.76</v>
      </c>
      <c r="AE57" s="400"/>
      <c r="AF57" s="235">
        <f ca="1">_xll.DBRW(Server&amp;Cube1,$N$15,$N$16,$N$17,$N$18,$N$14,$N$13,AF$2,AF$1,$B57)</f>
        <v>0</v>
      </c>
      <c r="AG57" s="235">
        <f ca="1">_xll.DBRW(Server&amp;Cube1,$N$15,$N$16,$N$17,$N$18,$N$14,$N$13,AG$2,AG$1,$B57)</f>
        <v>0</v>
      </c>
      <c r="AH57" s="235">
        <f ca="1">_xll.DBRW(Server&amp;Cube1,$N$15,$N$16,$N$17,$N$18,$N$14,$N$13,AH$2,AH$1,$B57)</f>
        <v>-21.76</v>
      </c>
      <c r="AI57" s="400"/>
      <c r="AJ57" s="235">
        <f ca="1">_xll.DBRW(Server&amp;Cube1,$N$15,$N$16,$N$17,$N$18,$N$14,$N$13,AJ$2,AJ$1,$B57)</f>
        <v>0</v>
      </c>
      <c r="AK57" s="235">
        <f ca="1">_xll.DBRW(Server&amp;Cube1,$N$15,$N$16,$N$17,$N$18,$N$14,$N$13,AK$2,AK$1,$B57)</f>
        <v>0</v>
      </c>
      <c r="AL57" s="235">
        <f ca="1">_xll.DBRW(Server&amp;Cube1,$N$15,$N$16,$N$17,$N$18,$N$14,$N$13,AL$2,AL$1,$B57)</f>
        <v>-21.76</v>
      </c>
      <c r="AM57" s="400"/>
      <c r="AN57" s="235">
        <f ca="1">_xll.DBRW(Server&amp;Cube1,$N$15,$N$16,$N$17,$N$18,$N$14,$N$13,AN$2,AN$1,$B57)</f>
        <v>0</v>
      </c>
      <c r="AO57" s="235">
        <f ca="1">_xll.DBRW(Server&amp;Cube1,$N$15,$N$16,$N$17,$N$18,$N$14,$N$13,AO$2,AO$1,$B57)</f>
        <v>0</v>
      </c>
      <c r="AP57" s="235">
        <f ca="1">_xll.DBRW(Server&amp;Cube1,$N$15,$N$16,$N$17,$N$18,$N$14,$N$13,AP$2,AP$1,$B57)</f>
        <v>-21.760000000000009</v>
      </c>
      <c r="AQ57" s="400"/>
      <c r="AR57" s="235">
        <f ca="1">_xll.DBRW(Server&amp;Cube1,$N$15,$N$16,$N$17,$N$18,$N$14,$N$13,AR$2,AR$1,$B57)</f>
        <v>0</v>
      </c>
      <c r="AS57" s="235">
        <f ca="1">_xll.DBRW(Server&amp;Cube1,$N$15,$N$16,$N$17,$N$18,$N$14,$N$13,AS$2,AS$1,$B57)</f>
        <v>0</v>
      </c>
      <c r="AT57" s="235">
        <f ca="1">_xll.DBRW(Server&amp;Cube1,$N$15,$N$16,$N$17,$N$18,$N$14,$N$13,AT$2,AT$1,$B57)</f>
        <v>0</v>
      </c>
      <c r="AU57" s="400"/>
      <c r="AV57" s="235">
        <f ca="1">_xll.DBRW(Server&amp;Cube1,$N$15,$N$16,$N$17,$N$18,$N$14,$N$13,AV$2,AV$1,$B57)</f>
        <v>0</v>
      </c>
      <c r="AW57" s="235">
        <f ca="1">_xll.DBRW(Server&amp;Cube1,$N$15,$N$16,$N$17,$N$18,$N$14,$N$13,AW$2,AW$1,$B57)</f>
        <v>0</v>
      </c>
      <c r="AX57" s="235">
        <f ca="1">_xll.DBRW(Server&amp;Cube1,$N$15,$N$16,$N$17,$N$18,$N$14,$N$13,AX$2,AX$1,$B57)</f>
        <v>0</v>
      </c>
      <c r="AY57" s="400"/>
      <c r="AZ57" s="235">
        <f ca="1">_xll.DBRW(Server&amp;Cube1,$N$15,$N$16,$N$17,$N$18,$N$14,$N$13,AZ$2,AZ$1,$B57)</f>
        <v>0</v>
      </c>
      <c r="BA57" s="235">
        <f ca="1">_xll.DBRW(Server&amp;Cube1,$N$15,$N$16,$N$17,$N$18,$N$14,$N$13,BA$2,BA$1,$B57)</f>
        <v>0</v>
      </c>
      <c r="BB57" s="235">
        <f ca="1">_xll.DBRW(Server&amp;Cube1,$N$15,$N$16,$N$17,$N$18,$N$14,$N$13,BB$2,BB$1,$B57)</f>
        <v>0</v>
      </c>
      <c r="BC57" s="400"/>
      <c r="BD57" s="235">
        <f ca="1">_xll.DBRW(Server&amp;Cube1,$N$15,$N$16,$N$17,$N$18,$N$14,$N$13,BD$2,BD$1,$B57)</f>
        <v>0</v>
      </c>
      <c r="BE57" s="235">
        <f ca="1">_xll.DBRW(Server&amp;Cube1,$N$15,$N$16,$N$17,$N$18,$N$14,$N$13,BE$2,BE$1,$B57)</f>
        <v>0</v>
      </c>
      <c r="BF57" s="235">
        <f ca="1">_xll.DBRW(Server&amp;Cube1,$N$15,$N$16,$N$17,$N$18,$N$14,$N$13,BF$2,BF$1,$B57)</f>
        <v>0</v>
      </c>
      <c r="BG57" s="400"/>
      <c r="BH57" s="235">
        <f ca="1">_xll.DBRW(Server&amp;Cube1,$N$15,$N$16,$N$17,$N$18,$N$14,$N$13,BH$2,BH$1,$B57)</f>
        <v>0</v>
      </c>
      <c r="BI57" s="235">
        <f ca="1">_xll.DBRW(Server&amp;Cube1,$N$15,$N$16,$N$17,$N$18,$N$14,$N$13,BI$2,BI$1,$B57)</f>
        <v>0</v>
      </c>
      <c r="BJ57" s="235">
        <f ca="1">_xll.DBRW(Server&amp;Cube1,$N$15,$N$16,$N$17,$N$18,$N$14,$N$13,BJ$2,BJ$1,$B57)</f>
        <v>0</v>
      </c>
      <c r="BK57" s="400"/>
      <c r="BL57" s="235">
        <f ca="1">_xll.DBRW(Server&amp;Cube1,$N$15,$N$16,$N$17,$N$18,$N$14,$N$13,BL$2,BL$1,$B57)</f>
        <v>0</v>
      </c>
      <c r="BM57" s="235">
        <f ca="1">_xll.DBRW(Server&amp;Cube1,$N$15,$N$16,$N$17,$N$18,$N$14,$N$13,BM$2,BM$1,$B57)</f>
        <v>0</v>
      </c>
      <c r="BN57" s="235">
        <f ca="1">_xll.DBRW(Server&amp;Cube1,$N$15,$N$16,$N$17,$N$18,$N$14,$N$13,BN$2,BN$1,$B57)</f>
        <v>0</v>
      </c>
      <c r="BO57" s="400"/>
      <c r="BP57" s="235">
        <f ca="1">_xll.DBRW(Server&amp;Cube1,$N$15,$N$16,$N$17,$N$18,$N$14,$N$13,BP$2,BP$1,$B57)</f>
        <v>0</v>
      </c>
      <c r="BQ57" s="235">
        <f ca="1">_xll.DBRW(Server&amp;Cube1,$N$15,$N$16,$N$17,$N$18,$N$14,$N$13,BQ$2,BQ$1,$B57)</f>
        <v>0</v>
      </c>
      <c r="BR57" s="235">
        <f ca="1">_xll.DBRW(Server&amp;Cube1,$N$15,$N$16,$N$17,$N$18,$N$14,$N$13,BR$2,BR$1,$B57)</f>
        <v>0</v>
      </c>
      <c r="BS57" s="400"/>
      <c r="BT57" s="235">
        <f ca="1">_xll.DBRW(Server&amp;Cube1,$N$15,$N$16,$N$17,$N$18,$N$14,$N$13,BT$2,BT$1,$B57)</f>
        <v>0</v>
      </c>
      <c r="BU57" s="235">
        <f ca="1">_xll.DBRW(Server&amp;Cube1,$N$15,$N$16,$N$17,$N$18,$N$14,$N$13,BU$2,BU$1,$B57)</f>
        <v>0</v>
      </c>
      <c r="BV57" s="235">
        <f ca="1">_xll.DBRW(Server&amp;Cube1,$N$15,$N$16,$N$17,$N$18,$N$14,$N$13,BV$2,BV$1,$B57)</f>
        <v>0</v>
      </c>
      <c r="BW57" s="55"/>
      <c r="BX57" s="28"/>
    </row>
    <row r="58" spans="1:78" s="34" customFormat="1" ht="19.5" hidden="1" customHeight="1" outlineLevel="1" x14ac:dyDescent="0.2">
      <c r="A58" s="57"/>
      <c r="B58" s="360" t="s">
        <v>50</v>
      </c>
      <c r="C58" s="9"/>
      <c r="D58" s="1"/>
      <c r="E58" s="1"/>
      <c r="H58" s="360"/>
      <c r="I58" s="69"/>
      <c r="J58" s="54"/>
      <c r="K58" s="9"/>
      <c r="L58" s="555" t="str">
        <f ca="1">LEFT(_xll.DBRA(Server&amp;$B$32,$B58,$N$19),FIND("(",_xll.DBRA(Server&amp;$B$32,$B58,$N$19),1)-1)</f>
        <v xml:space="preserve">Impairment </v>
      </c>
      <c r="M58" s="555"/>
      <c r="N58" s="555"/>
      <c r="O58" s="555"/>
      <c r="P58" s="234"/>
      <c r="Q58" s="235">
        <f ca="1">_xll.DBRW(Server&amp;Cube1,$N$15,$N$16,$N$17,$N$18,$N$14,$N$13,$N$11,$Q$1,$B58)</f>
        <v>-152649888.11999997</v>
      </c>
      <c r="R58" s="235">
        <f ca="1">_xll.DBRW(Server&amp;Cube1,$N$15,$N$16,$N$17,$N$18,$N$14,$N$13,$R$2,$R$1,$B58)</f>
        <v>-116895432.25184369</v>
      </c>
      <c r="S58" s="236">
        <f ca="1">Q58-R58</f>
        <v>-35754455.868156284</v>
      </c>
      <c r="T58" s="238">
        <f ca="1">IF(R58&lt;&gt;0,IF(R58&gt;0,S58/R58,-S58/R58),0)</f>
        <v>-0.3058670059162415</v>
      </c>
      <c r="U58" s="223"/>
      <c r="V58" s="235">
        <f ca="1">_xll.DBRW(Server&amp;Cube1,$N$15,$N$16,$N$17,$N$18,$N$14,$N$13,$V$2,$V$1,$B58)</f>
        <v>-127783126.41000001</v>
      </c>
      <c r="W58" s="236">
        <f ca="1">Q58-V58</f>
        <v>-24866761.709999964</v>
      </c>
      <c r="X58" s="238">
        <f ca="1">IF(V58&lt;&gt;0,IF(V58&gt;0,W58/V58,-W58/V58),0)</f>
        <v>-0.19460129368108769</v>
      </c>
      <c r="Y58" s="55"/>
      <c r="Z58" s="55"/>
      <c r="AA58" s="55"/>
      <c r="AB58" s="239">
        <f ca="1">_xll.DBRW(Server&amp;Cube1,$N$15,$N$16,$N$17,$N$18,$N$14,$N$13,AB$2,AB$1,$B58)</f>
        <v>-77354930.550000012</v>
      </c>
      <c r="AC58" s="239">
        <f ca="1">_xll.DBRW(Server&amp;Cube1,$N$15,$N$16,$N$17,$N$18,$N$14,$N$13,AC$2,AC$1,$B58)</f>
        <v>-58430417.235921845</v>
      </c>
      <c r="AD58" s="239">
        <f ca="1">_xll.DBRW(Server&amp;Cube1,$N$15,$N$16,$N$17,$N$18,$N$14,$N$13,AD$2,AD$1,$B58)</f>
        <v>-170000.22</v>
      </c>
      <c r="AE58" s="400"/>
      <c r="AF58" s="239">
        <f ca="1">_xll.DBRW(Server&amp;Cube1,$N$15,$N$16,$N$17,$N$18,$N$14,$N$13,AF$2,AF$1,$B58)</f>
        <v>-75294957.570000008</v>
      </c>
      <c r="AG58" s="239">
        <f ca="1">_xll.DBRW(Server&amp;Cube1,$N$15,$N$16,$N$17,$N$18,$N$14,$N$13,AG$2,AG$1,$B58)</f>
        <v>-58465015.015921853</v>
      </c>
      <c r="AH58" s="239">
        <f ca="1">_xll.DBRW(Server&amp;Cube1,$N$15,$N$16,$N$17,$N$18,$N$14,$N$13,AH$2,AH$1,$B58)</f>
        <v>-127613126.19000001</v>
      </c>
      <c r="AI58" s="400"/>
      <c r="AJ58" s="239">
        <f ca="1">_xll.DBRW(Server&amp;Cube1,$N$15,$N$16,$N$17,$N$18,$N$14,$N$13,AJ$2,AJ$1,$B58)</f>
        <v>0</v>
      </c>
      <c r="AK58" s="239">
        <f ca="1">_xll.DBRW(Server&amp;Cube1,$N$15,$N$16,$N$17,$N$18,$N$14,$N$13,AK$2,AK$1,$B58)</f>
        <v>-58463637.327921838</v>
      </c>
      <c r="AL58" s="239">
        <f ca="1">_xll.DBRW(Server&amp;Cube1,$N$15,$N$16,$N$17,$N$18,$N$14,$N$13,AL$2,AL$1,$B58)</f>
        <v>-63783943.270000011</v>
      </c>
      <c r="AM58" s="400"/>
      <c r="AN58" s="239">
        <f ca="1">_xll.DBRW(Server&amp;Cube1,$N$15,$N$16,$N$17,$N$18,$N$14,$N$13,AN$2,AN$1,$B58)</f>
        <v>0</v>
      </c>
      <c r="AO58" s="239">
        <f ca="1">_xll.DBRW(Server&amp;Cube1,$N$15,$N$16,$N$17,$N$18,$N$14,$N$13,AO$2,AO$1,$B58)</f>
        <v>-58521189.363921836</v>
      </c>
      <c r="AP58" s="239">
        <f ca="1">_xll.DBRW(Server&amp;Cube1,$N$15,$N$16,$N$17,$N$18,$N$14,$N$13,AP$2,AP$1,$B58)</f>
        <v>-63602516.150000006</v>
      </c>
      <c r="AQ58" s="400"/>
      <c r="AR58" s="239">
        <f ca="1">_xll.DBRW(Server&amp;Cube1,$N$15,$N$16,$N$17,$N$18,$N$14,$N$13,AR$2,AR$1,$B58)</f>
        <v>0</v>
      </c>
      <c r="AS58" s="239">
        <f ca="1">_xll.DBRW(Server&amp;Cube1,$N$15,$N$16,$N$17,$N$18,$N$14,$N$13,AS$2,AS$1,$B58)</f>
        <v>-58411847.905921847</v>
      </c>
      <c r="AT58" s="239">
        <f ca="1">_xll.DBRW(Server&amp;Cube1,$N$15,$N$16,$N$17,$N$18,$N$14,$N$13,AT$2,AT$1,$B58)</f>
        <v>-93243356.720000014</v>
      </c>
      <c r="AU58" s="400"/>
      <c r="AV58" s="239">
        <f ca="1">_xll.DBRW(Server&amp;Cube1,$N$15,$N$16,$N$17,$N$18,$N$14,$N$13,AV$2,AV$1,$B58)</f>
        <v>0</v>
      </c>
      <c r="AW58" s="239">
        <f ca="1">_xll.DBRW(Server&amp;Cube1,$N$15,$N$16,$N$17,$N$18,$N$14,$N$13,AW$2,AW$1,$B58)</f>
        <v>-58383217.425921842</v>
      </c>
      <c r="AX58" s="239">
        <f ca="1">_xll.DBRW(Server&amp;Cube1,$N$15,$N$16,$N$17,$N$18,$N$14,$N$13,AX$2,AX$1,$B58)</f>
        <v>-78605186.899999961</v>
      </c>
      <c r="AY58" s="400"/>
      <c r="AZ58" s="239">
        <f ca="1">_xll.DBRW(Server&amp;Cube1,$N$15,$N$16,$N$17,$N$18,$N$14,$N$13,AZ$2,AZ$1,$B58)</f>
        <v>0</v>
      </c>
      <c r="BA58" s="239">
        <f ca="1">_xll.DBRW(Server&amp;Cube1,$N$15,$N$16,$N$17,$N$18,$N$14,$N$13,BA$2,BA$1,$B58)</f>
        <v>-58480093.744619764</v>
      </c>
      <c r="BB58" s="239">
        <f ca="1">_xll.DBRW(Server&amp;Cube1,$N$15,$N$16,$N$17,$N$18,$N$14,$N$13,BB$2,BB$1,$B58)</f>
        <v>427345797.81999999</v>
      </c>
      <c r="BC58" s="400"/>
      <c r="BD58" s="239">
        <f ca="1">_xll.DBRW(Server&amp;Cube1,$N$15,$N$16,$N$17,$N$18,$N$14,$N$13,BD$2,BD$1,$B58)</f>
        <v>0</v>
      </c>
      <c r="BE58" s="239">
        <f ca="1">_xll.DBRW(Server&amp;Cube1,$N$15,$N$16,$N$17,$N$18,$N$14,$N$13,BE$2,BE$1,$B58)</f>
        <v>-58464384.00461977</v>
      </c>
      <c r="BF58" s="239">
        <f ca="1">_xll.DBRW(Server&amp;Cube1,$N$15,$N$16,$N$17,$N$18,$N$14,$N$13,BF$2,BF$1,$B58)</f>
        <v>94316.220000000059</v>
      </c>
      <c r="BG58" s="400"/>
      <c r="BH58" s="239">
        <f ca="1">_xll.DBRW(Server&amp;Cube1,$N$15,$N$16,$N$17,$N$18,$N$14,$N$13,BH$2,BH$1,$B58)</f>
        <v>0</v>
      </c>
      <c r="BI58" s="239">
        <f ca="1">_xll.DBRW(Server&amp;Cube1,$N$15,$N$16,$N$17,$N$18,$N$14,$N$13,BI$2,BI$1,$B58)</f>
        <v>-58470518.674499765</v>
      </c>
      <c r="BJ58" s="239">
        <f ca="1">_xll.DBRW(Server&amp;Cube1,$N$15,$N$16,$N$17,$N$18,$N$14,$N$13,BJ$2,BJ$1,$B58)</f>
        <v>-663187076.5</v>
      </c>
      <c r="BK58" s="400"/>
      <c r="BL58" s="239">
        <f ca="1">_xll.DBRW(Server&amp;Cube1,$N$15,$N$16,$N$17,$N$18,$N$14,$N$13,BL$2,BL$1,$B58)</f>
        <v>0</v>
      </c>
      <c r="BM58" s="239">
        <f ca="1">_xll.DBRW(Server&amp;Cube1,$N$15,$N$16,$N$17,$N$18,$N$14,$N$13,BM$2,BM$1,$B58)</f>
        <v>-58436951.314499766</v>
      </c>
      <c r="BN58" s="239">
        <f ca="1">_xll.DBRW(Server&amp;Cube1,$N$15,$N$16,$N$17,$N$18,$N$14,$N$13,BN$2,BN$1,$B58)</f>
        <v>-78351491.430000007</v>
      </c>
      <c r="BO58" s="400"/>
      <c r="BP58" s="239">
        <f ca="1">_xll.DBRW(Server&amp;Cube1,$N$15,$N$16,$N$17,$N$18,$N$14,$N$13,BP$2,BP$1,$B58)</f>
        <v>0</v>
      </c>
      <c r="BQ58" s="239">
        <f ca="1">_xll.DBRW(Server&amp;Cube1,$N$15,$N$16,$N$17,$N$18,$N$14,$N$13,BQ$2,BQ$1,$B58)</f>
        <v>-58465669.604679756</v>
      </c>
      <c r="BR58" s="239">
        <f ca="1">_xll.DBRW(Server&amp;Cube1,$N$15,$N$16,$N$17,$N$18,$N$14,$N$13,BR$2,BR$1,$B58)</f>
        <v>-81388374.330000028</v>
      </c>
      <c r="BS58" s="400"/>
      <c r="BT58" s="239">
        <f ca="1">_xll.DBRW(Server&amp;Cube1,$N$15,$N$16,$N$17,$N$18,$N$14,$N$13,BT$2,BT$1,$B58)</f>
        <v>0</v>
      </c>
      <c r="BU58" s="239">
        <f ca="1">_xll.DBRW(Server&amp;Cube1,$N$15,$N$16,$N$17,$N$18,$N$14,$N$13,BU$2,BU$1,$B58)</f>
        <v>-58852792.799399763</v>
      </c>
      <c r="BV58" s="239">
        <f ca="1">_xll.DBRW(Server&amp;Cube1,$N$15,$N$16,$N$17,$N$18,$N$14,$N$13,BV$2,BV$1,$B58)</f>
        <v>-900644028.37999988</v>
      </c>
      <c r="BW58" s="55"/>
      <c r="BX58" s="28"/>
    </row>
    <row r="59" spans="1:78" s="34" customFormat="1" ht="19.5" hidden="1" customHeight="1" outlineLevel="1" x14ac:dyDescent="0.2">
      <c r="A59" s="57"/>
      <c r="B59" s="360" t="s">
        <v>48</v>
      </c>
      <c r="C59" s="9"/>
      <c r="D59" s="1"/>
      <c r="E59" s="1"/>
      <c r="H59" s="360"/>
      <c r="I59" s="69"/>
      <c r="J59" s="54"/>
      <c r="K59" s="9"/>
      <c r="L59" s="555" t="str">
        <f ca="1">LEFT(_xll.DBRA(Server&amp;$B$32,$B59,$N$19),FIND("(",_xll.DBRA(Server&amp;$B$32,$B59,$N$19),1)-1)</f>
        <v xml:space="preserve">Reinvoicing - Others </v>
      </c>
      <c r="M59" s="555"/>
      <c r="N59" s="555"/>
      <c r="O59" s="555"/>
      <c r="P59" s="234"/>
      <c r="Q59" s="235">
        <f ca="1">_xll.DBRW(Server&amp;Cube1,$N$15,$N$16,$N$17,$N$18,$N$14,$N$13,$N$11,$Q$1,$B59)</f>
        <v>1791965.5</v>
      </c>
      <c r="R59" s="235">
        <f ca="1">_xll.DBRW(Server&amp;Cube1,$N$15,$N$16,$N$17,$N$18,$N$14,$N$13,$R$2,$R$1,$B59)</f>
        <v>1629842.7129451511</v>
      </c>
      <c r="S59" s="236">
        <f t="shared" ca="1" si="12"/>
        <v>162122.78705484886</v>
      </c>
      <c r="T59" s="238">
        <f t="shared" ca="1" si="13"/>
        <v>9.9471431057227888E-2</v>
      </c>
      <c r="U59" s="223"/>
      <c r="V59" s="235">
        <f ca="1">_xll.DBRW(Server&amp;Cube1,$N$15,$N$16,$N$17,$N$18,$N$14,$N$13,$V$2,$V$1,$B59)</f>
        <v>1538919.4200069997</v>
      </c>
      <c r="W59" s="236">
        <f t="shared" ca="1" si="14"/>
        <v>253046.07999300025</v>
      </c>
      <c r="X59" s="238">
        <f t="shared" ca="1" si="15"/>
        <v>0.16443101354315828</v>
      </c>
      <c r="Y59" s="55"/>
      <c r="Z59" s="55"/>
      <c r="AA59" s="55"/>
      <c r="AB59" s="235">
        <f ca="1">_xll.DBRW(Server&amp;Cube1,$N$15,$N$16,$N$17,$N$18,$N$14,$N$13,AB$2,AB$1,$B59)</f>
        <v>369462.04999999993</v>
      </c>
      <c r="AC59" s="235">
        <f ca="1">_xll.DBRW(Server&amp;Cube1,$N$15,$N$16,$N$17,$N$18,$N$14,$N$13,AC$2,AC$1,$B59)</f>
        <v>804085.76716146222</v>
      </c>
      <c r="AD59" s="235">
        <f ca="1">_xll.DBRW(Server&amp;Cube1,$N$15,$N$16,$N$17,$N$18,$N$14,$N$13,AD$2,AD$1,$B59)</f>
        <v>768878.07499899995</v>
      </c>
      <c r="AE59" s="400"/>
      <c r="AF59" s="235">
        <f ca="1">_xll.DBRW(Server&amp;Cube1,$N$15,$N$16,$N$17,$N$18,$N$14,$N$13,AF$2,AF$1,$B59)</f>
        <v>1422503.4499999997</v>
      </c>
      <c r="AG59" s="235">
        <f ca="1">_xll.DBRW(Server&amp;Cube1,$N$15,$N$16,$N$17,$N$18,$N$14,$N$13,AG$2,AG$1,$B59)</f>
        <v>825756.94578368892</v>
      </c>
      <c r="AH59" s="235">
        <f ca="1">_xll.DBRW(Server&amp;Cube1,$N$15,$N$16,$N$17,$N$18,$N$14,$N$13,AH$2,AH$1,$B59)</f>
        <v>770041.34500800003</v>
      </c>
      <c r="AI59" s="400"/>
      <c r="AJ59" s="235">
        <f ca="1">_xll.DBRW(Server&amp;Cube1,$N$15,$N$16,$N$17,$N$18,$N$14,$N$13,AJ$2,AJ$1,$B59)</f>
        <v>0</v>
      </c>
      <c r="AK59" s="235">
        <f ca="1">_xll.DBRW(Server&amp;Cube1,$N$15,$N$16,$N$17,$N$18,$N$14,$N$13,AK$2,AK$1,$B59)</f>
        <v>787005.79587646201</v>
      </c>
      <c r="AL59" s="235">
        <f ca="1">_xll.DBRW(Server&amp;Cube1,$N$15,$N$16,$N$17,$N$18,$N$14,$N$13,AL$2,AL$1,$B59)</f>
        <v>1406786.0149929998</v>
      </c>
      <c r="AM59" s="400"/>
      <c r="AN59" s="235">
        <f ca="1">_xll.DBRW(Server&amp;Cube1,$N$15,$N$16,$N$17,$N$18,$N$14,$N$13,AN$2,AN$1,$B59)</f>
        <v>0</v>
      </c>
      <c r="AO59" s="235">
        <f ca="1">_xll.DBRW(Server&amp;Cube1,$N$15,$N$16,$N$17,$N$18,$N$14,$N$13,AO$2,AO$1,$B59)</f>
        <v>803418.84792063595</v>
      </c>
      <c r="AP59" s="235">
        <f ca="1">_xll.DBRW(Server&amp;Cube1,$N$15,$N$16,$N$17,$N$18,$N$14,$N$13,AP$2,AP$1,$B59)</f>
        <v>997033.38000000012</v>
      </c>
      <c r="AQ59" s="400"/>
      <c r="AR59" s="235">
        <f ca="1">_xll.DBRW(Server&amp;Cube1,$N$15,$N$16,$N$17,$N$18,$N$14,$N$13,AR$2,AR$1,$B59)</f>
        <v>0</v>
      </c>
      <c r="AS59" s="235">
        <f ca="1">_xll.DBRW(Server&amp;Cube1,$N$15,$N$16,$N$17,$N$18,$N$14,$N$13,AS$2,AS$1,$B59)</f>
        <v>793622.52882548235</v>
      </c>
      <c r="AT59" s="235">
        <f ca="1">_xll.DBRW(Server&amp;Cube1,$N$15,$N$16,$N$17,$N$18,$N$14,$N$13,AT$2,AT$1,$B59)</f>
        <v>1397696.4099999997</v>
      </c>
      <c r="AU59" s="400"/>
      <c r="AV59" s="235">
        <f ca="1">_xll.DBRW(Server&amp;Cube1,$N$15,$N$16,$N$17,$N$18,$N$14,$N$13,AV$2,AV$1,$B59)</f>
        <v>0</v>
      </c>
      <c r="AW59" s="235">
        <f ca="1">_xll.DBRW(Server&amp;Cube1,$N$15,$N$16,$N$17,$N$18,$N$14,$N$13,AW$2,AW$1,$B59)</f>
        <v>843931.68587646133</v>
      </c>
      <c r="AX59" s="235">
        <f ca="1">_xll.DBRW(Server&amp;Cube1,$N$15,$N$16,$N$17,$N$18,$N$14,$N$13,AX$2,AX$1,$B59)</f>
        <v>1019258.8800000002</v>
      </c>
      <c r="AY59" s="400"/>
      <c r="AZ59" s="235">
        <f ca="1">_xll.DBRW(Server&amp;Cube1,$N$15,$N$16,$N$17,$N$18,$N$14,$N$13,AZ$2,AZ$1,$B59)</f>
        <v>0</v>
      </c>
      <c r="BA59" s="235">
        <f ca="1">_xll.DBRW(Server&amp;Cube1,$N$15,$N$16,$N$17,$N$18,$N$14,$N$13,BA$2,BA$1,$B59)</f>
        <v>935965.16998467327</v>
      </c>
      <c r="BB59" s="235">
        <f ca="1">_xll.DBRW(Server&amp;Cube1,$N$15,$N$16,$N$17,$N$18,$N$14,$N$13,BB$2,BB$1,$B59)</f>
        <v>170349.14000000007</v>
      </c>
      <c r="BC59" s="400"/>
      <c r="BD59" s="235">
        <f ca="1">_xll.DBRW(Server&amp;Cube1,$N$15,$N$16,$N$17,$N$18,$N$14,$N$13,BD$2,BD$1,$B59)</f>
        <v>0</v>
      </c>
      <c r="BE59" s="235">
        <f ca="1">_xll.DBRW(Server&amp;Cube1,$N$15,$N$16,$N$17,$N$18,$N$14,$N$13,BE$2,BE$1,$B59)</f>
        <v>917740.46002701286</v>
      </c>
      <c r="BF59" s="235">
        <f ca="1">_xll.DBRW(Server&amp;Cube1,$N$15,$N$16,$N$17,$N$18,$N$14,$N$13,BF$2,BF$1,$B59)</f>
        <v>5148445.71</v>
      </c>
      <c r="BG59" s="400"/>
      <c r="BH59" s="235">
        <f ca="1">_xll.DBRW(Server&amp;Cube1,$N$15,$N$16,$N$17,$N$18,$N$14,$N$13,BH$2,BH$1,$B59)</f>
        <v>0</v>
      </c>
      <c r="BI59" s="235">
        <f ca="1">_xll.DBRW(Server&amp;Cube1,$N$15,$N$16,$N$17,$N$18,$N$14,$N$13,BI$2,BI$1,$B59)</f>
        <v>808372.92637646268</v>
      </c>
      <c r="BJ59" s="235">
        <f ca="1">_xll.DBRW(Server&amp;Cube1,$N$15,$N$16,$N$17,$N$18,$N$14,$N$13,BJ$2,BJ$1,$B59)</f>
        <v>824971.14999999991</v>
      </c>
      <c r="BK59" s="400"/>
      <c r="BL59" s="235">
        <f ca="1">_xll.DBRW(Server&amp;Cube1,$N$15,$N$16,$N$17,$N$18,$N$14,$N$13,BL$2,BL$1,$B59)</f>
        <v>0</v>
      </c>
      <c r="BM59" s="235">
        <f ca="1">_xll.DBRW(Server&amp;Cube1,$N$15,$N$16,$N$17,$N$18,$N$14,$N$13,BM$2,BM$1,$B59)</f>
        <v>806428.41414416395</v>
      </c>
      <c r="BN59" s="235">
        <f ca="1">_xll.DBRW(Server&amp;Cube1,$N$15,$N$16,$N$17,$N$18,$N$14,$N$13,BN$2,BN$1,$B59)</f>
        <v>714007.07999999984</v>
      </c>
      <c r="BO59" s="400"/>
      <c r="BP59" s="235">
        <f ca="1">_xll.DBRW(Server&amp;Cube1,$N$15,$N$16,$N$17,$N$18,$N$14,$N$13,BP$2,BP$1,$B59)</f>
        <v>0</v>
      </c>
      <c r="BQ59" s="235">
        <f ca="1">_xll.DBRW(Server&amp;Cube1,$N$15,$N$16,$N$17,$N$18,$N$14,$N$13,BQ$2,BQ$1,$B59)</f>
        <v>803679.3363764619</v>
      </c>
      <c r="BR59" s="235">
        <f ca="1">_xll.DBRW(Server&amp;Cube1,$N$15,$N$16,$N$17,$N$18,$N$14,$N$13,BR$2,BR$1,$B59)</f>
        <v>1120549.4399999997</v>
      </c>
      <c r="BS59" s="400"/>
      <c r="BT59" s="235">
        <f ca="1">_xll.DBRW(Server&amp;Cube1,$N$15,$N$16,$N$17,$N$18,$N$14,$N$13,BT$2,BT$1,$B59)</f>
        <v>0</v>
      </c>
      <c r="BU59" s="235">
        <f ca="1">_xll.DBRW(Server&amp;Cube1,$N$15,$N$16,$N$17,$N$18,$N$14,$N$13,BU$2,BU$1,$B59)</f>
        <v>878274.16448950872</v>
      </c>
      <c r="BV59" s="235">
        <f ca="1">_xll.DBRW(Server&amp;Cube1,$N$15,$N$16,$N$17,$N$18,$N$14,$N$13,BV$2,BV$1,$B59)</f>
        <v>1500694.6700000013</v>
      </c>
      <c r="BW59" s="55"/>
      <c r="BX59" s="28"/>
    </row>
    <row r="60" spans="1:78" s="34" customFormat="1" ht="3" customHeight="1" x14ac:dyDescent="0.2">
      <c r="A60" s="136"/>
      <c r="B60" s="360"/>
      <c r="C60" s="9"/>
      <c r="D60" s="1"/>
      <c r="E60" s="1"/>
      <c r="H60" s="360"/>
      <c r="I60" s="69"/>
      <c r="J60" s="54"/>
      <c r="K60" s="69"/>
      <c r="L60" s="69"/>
      <c r="M60" s="55"/>
      <c r="N60" s="55"/>
      <c r="O60" s="55"/>
      <c r="P60" s="55"/>
      <c r="Q60" s="70"/>
      <c r="R60" s="70"/>
      <c r="S60" s="70"/>
      <c r="T60" s="71"/>
      <c r="U60" s="70"/>
      <c r="V60" s="70"/>
      <c r="W60" s="70"/>
      <c r="X60" s="71"/>
      <c r="Y60" s="55"/>
      <c r="Z60" s="55"/>
      <c r="AA60" s="55"/>
      <c r="AB60" s="70"/>
      <c r="AC60" s="70"/>
      <c r="AD60" s="70"/>
      <c r="AE60" s="400"/>
      <c r="AF60" s="70"/>
      <c r="AG60" s="70"/>
      <c r="AH60" s="70"/>
      <c r="AI60" s="400"/>
      <c r="AJ60" s="70"/>
      <c r="AK60" s="70"/>
      <c r="AL60" s="70"/>
      <c r="AM60" s="400"/>
      <c r="AN60" s="70"/>
      <c r="AO60" s="70"/>
      <c r="AP60" s="70"/>
      <c r="AQ60" s="400"/>
      <c r="AR60" s="70"/>
      <c r="AS60" s="70"/>
      <c r="AT60" s="70"/>
      <c r="AU60" s="400"/>
      <c r="AV60" s="70"/>
      <c r="AW60" s="70"/>
      <c r="AX60" s="70"/>
      <c r="AY60" s="400"/>
      <c r="AZ60" s="70"/>
      <c r="BA60" s="70"/>
      <c r="BB60" s="70"/>
      <c r="BC60" s="400"/>
      <c r="BD60" s="70"/>
      <c r="BE60" s="70"/>
      <c r="BF60" s="70"/>
      <c r="BG60" s="400"/>
      <c r="BH60" s="70"/>
      <c r="BI60" s="70"/>
      <c r="BJ60" s="70"/>
      <c r="BK60" s="400"/>
      <c r="BL60" s="70"/>
      <c r="BM60" s="70"/>
      <c r="BN60" s="70"/>
      <c r="BO60" s="400"/>
      <c r="BP60" s="70"/>
      <c r="BQ60" s="70"/>
      <c r="BR60" s="70"/>
      <c r="BS60" s="400"/>
      <c r="BT60" s="70"/>
      <c r="BU60" s="70"/>
      <c r="BV60" s="70"/>
      <c r="BW60" s="55"/>
      <c r="BX60" s="28"/>
    </row>
    <row r="61" spans="1:78" ht="3.75" hidden="1" customHeight="1" x14ac:dyDescent="0.25">
      <c r="A61" s="137"/>
      <c r="B61" s="377"/>
      <c r="H61" s="377"/>
      <c r="I61" s="95"/>
      <c r="J61" s="58"/>
      <c r="K61" s="59"/>
      <c r="L61" s="60"/>
      <c r="M61" s="61"/>
      <c r="N61" s="61"/>
      <c r="O61" s="61"/>
      <c r="P61" s="62"/>
      <c r="Q61" s="63"/>
      <c r="R61" s="63"/>
      <c r="S61" s="64"/>
      <c r="T61" s="65"/>
      <c r="U61" s="66"/>
      <c r="V61" s="63"/>
      <c r="W61" s="64"/>
      <c r="X61" s="65"/>
      <c r="Y61" s="55"/>
      <c r="Z61" s="55"/>
      <c r="AA61" s="55"/>
      <c r="AB61" s="63"/>
      <c r="AC61" s="63"/>
      <c r="AD61" s="63"/>
      <c r="AE61" s="400"/>
      <c r="AF61" s="63"/>
      <c r="AG61" s="63"/>
      <c r="AH61" s="63"/>
      <c r="AI61" s="400"/>
      <c r="AJ61" s="63"/>
      <c r="AK61" s="63"/>
      <c r="AL61" s="63"/>
      <c r="AM61" s="400"/>
      <c r="AN61" s="63"/>
      <c r="AO61" s="63"/>
      <c r="AP61" s="63"/>
      <c r="AQ61" s="400"/>
      <c r="AR61" s="63"/>
      <c r="AS61" s="63"/>
      <c r="AT61" s="63"/>
      <c r="AU61" s="400"/>
      <c r="AV61" s="63"/>
      <c r="AW61" s="63"/>
      <c r="AX61" s="63"/>
      <c r="AY61" s="400"/>
      <c r="AZ61" s="63"/>
      <c r="BA61" s="63"/>
      <c r="BB61" s="63"/>
      <c r="BC61" s="400"/>
      <c r="BD61" s="63"/>
      <c r="BE61" s="63"/>
      <c r="BF61" s="63"/>
      <c r="BG61" s="400"/>
      <c r="BH61" s="63"/>
      <c r="BI61" s="63"/>
      <c r="BJ61" s="63"/>
      <c r="BK61" s="400"/>
      <c r="BL61" s="63"/>
      <c r="BM61" s="63"/>
      <c r="BN61" s="63"/>
      <c r="BO61" s="400"/>
      <c r="BP61" s="63"/>
      <c r="BQ61" s="63"/>
      <c r="BR61" s="63"/>
      <c r="BS61" s="400"/>
      <c r="BT61" s="63"/>
      <c r="BU61" s="63"/>
      <c r="BV61" s="63"/>
      <c r="BW61" s="55"/>
      <c r="BX61" s="28"/>
      <c r="BZ61" s="367"/>
    </row>
    <row r="62" spans="1:78" s="34" customFormat="1" ht="23.25" customHeight="1" collapsed="1" x14ac:dyDescent="0.25">
      <c r="A62" s="136" t="s">
        <v>345</v>
      </c>
      <c r="B62" s="360" t="str">
        <f ca="1">_xll.DBRA(Server&amp;$B$32,$A62,$N$19)</f>
        <v>Maintenance &amp; cleaning of fleet PMM</v>
      </c>
      <c r="C62" s="9"/>
      <c r="D62" s="1"/>
      <c r="E62" s="1"/>
      <c r="H62" s="360"/>
      <c r="I62" s="95"/>
      <c r="J62" s="58"/>
      <c r="K62" s="556" t="str">
        <f ca="1">"M - "&amp;_xll.DBRA(Server&amp;$B$32,$B62,$N$19)</f>
        <v>M - Maintenance &amp; cleaning of fleet PMM</v>
      </c>
      <c r="L62" s="556"/>
      <c r="M62" s="556"/>
      <c r="N62" s="556"/>
      <c r="O62" s="556"/>
      <c r="P62" s="240"/>
      <c r="Q62" s="241">
        <f ca="1">_xll.DBRW(Server&amp;Cube1,$N$15,$N$16,$N$17,$N$18,$N$14,$N$13,$N$11,$Q$1,$A62)</f>
        <v>-1916276215.0199986</v>
      </c>
      <c r="R62" s="241">
        <f ca="1">_xll.DBRW(Server&amp;Cube1,$N$15,$N$16,$N$17,$N$18,$N$14,$N$13,$R$2,$R$1,$A62)</f>
        <v>-1703000871.9086833</v>
      </c>
      <c r="S62" s="242">
        <f ca="1">Q62-R62</f>
        <v>-213275343.11131525</v>
      </c>
      <c r="T62" s="243">
        <f ca="1">IF(R62&lt;&gt;0,IF(R62&gt;0,S62/R62,-S62/R62),0)</f>
        <v>-0.12523501698051467</v>
      </c>
      <c r="U62" s="216"/>
      <c r="V62" s="241">
        <f ca="1">_xll.DBRW(Server&amp;Cube1,$N$15,$N$16,$N$17,$N$18,$N$14,$N$13,$V$2,$V$1,$A62)</f>
        <v>-1641058362.7532549</v>
      </c>
      <c r="W62" s="242">
        <f ca="1">Q62-V62</f>
        <v>-275217852.26674366</v>
      </c>
      <c r="X62" s="243">
        <f ca="1">IF(V62&lt;&gt;0,IF(V62&gt;0,W62/V62,-W62/V62),0)</f>
        <v>-0.16770753466988345</v>
      </c>
      <c r="Y62" s="55"/>
      <c r="Z62" s="55"/>
      <c r="AA62" s="55"/>
      <c r="AB62" s="241">
        <f ca="1">_xll.DBRW(Server&amp;Cube1,$N$15,$N$16,$N$17,$N$18,$N$14,$N$13,AB$2,AB$1,$B62)</f>
        <v>-1014021613.0899999</v>
      </c>
      <c r="AC62" s="241">
        <f ca="1">_xll.DBRW(Server&amp;Cube1,$N$15,$N$16,$N$17,$N$18,$N$14,$N$13,AC$2,AC$1,$B62)</f>
        <v>-874747749.76955736</v>
      </c>
      <c r="AD62" s="241">
        <f ca="1">_xll.DBRW(Server&amp;Cube1,$N$15,$N$16,$N$17,$N$18,$N$14,$N$13,AD$2,AD$1,$B62)</f>
        <v>-66799935.160033904</v>
      </c>
      <c r="AE62" s="400"/>
      <c r="AF62" s="241">
        <f ca="1">_xll.DBRW(Server&amp;Cube1,$N$15,$N$16,$N$17,$N$18,$N$14,$N$13,AF$2,AF$1,$B62)</f>
        <v>-902254601.93000054</v>
      </c>
      <c r="AG62" s="241">
        <f ca="1">_xll.DBRW(Server&amp;Cube1,$N$15,$N$16,$N$17,$N$18,$N$14,$N$13,AG$2,AG$1,$B62)</f>
        <v>-828253122.13912714</v>
      </c>
      <c r="AH62" s="241">
        <f ca="1">_xll.DBRW(Server&amp;Cube1,$N$15,$N$16,$N$17,$N$18,$N$14,$N$13,AH$2,AH$1,$B62)</f>
        <v>-1574258427.5932212</v>
      </c>
      <c r="AI62" s="400"/>
      <c r="AJ62" s="241">
        <f ca="1">_xll.DBRW(Server&amp;Cube1,$N$15,$N$16,$N$17,$N$18,$N$14,$N$13,AJ$2,AJ$1,$B62)</f>
        <v>0</v>
      </c>
      <c r="AK62" s="241">
        <f ca="1">_xll.DBRW(Server&amp;Cube1,$N$15,$N$16,$N$17,$N$18,$N$14,$N$13,AK$2,AK$1,$B62)</f>
        <v>-806738495.14214849</v>
      </c>
      <c r="AL62" s="241">
        <f ca="1">_xll.DBRW(Server&amp;Cube1,$N$15,$N$16,$N$17,$N$18,$N$14,$N$13,AL$2,AL$1,$B62)</f>
        <v>-821823032.14179516</v>
      </c>
      <c r="AM62" s="400"/>
      <c r="AN62" s="241">
        <f ca="1">_xll.DBRW(Server&amp;Cube1,$N$15,$N$16,$N$17,$N$18,$N$14,$N$13,AN$2,AN$1,$B62)</f>
        <v>0</v>
      </c>
      <c r="AO62" s="241">
        <f ca="1">_xll.DBRW(Server&amp;Cube1,$N$15,$N$16,$N$17,$N$18,$N$14,$N$13,AO$2,AO$1,$B62)</f>
        <v>-837189901.00788784</v>
      </c>
      <c r="AP62" s="241">
        <f ca="1">_xll.DBRW(Server&amp;Cube1,$N$15,$N$16,$N$17,$N$18,$N$14,$N$13,AP$2,AP$1,$B62)</f>
        <v>-832248552.10999978</v>
      </c>
      <c r="AQ62" s="400"/>
      <c r="AR62" s="241">
        <f ca="1">_xll.DBRW(Server&amp;Cube1,$N$15,$N$16,$N$17,$N$18,$N$14,$N$13,AR$2,AR$1,$B62)</f>
        <v>0</v>
      </c>
      <c r="AS62" s="241">
        <f ca="1">_xll.DBRW(Server&amp;Cube1,$N$15,$N$16,$N$17,$N$18,$N$14,$N$13,AS$2,AS$1,$B62)</f>
        <v>-833521019.01386786</v>
      </c>
      <c r="AT62" s="241">
        <f ca="1">_xll.DBRW(Server&amp;Cube1,$N$15,$N$16,$N$17,$N$18,$N$14,$N$13,AT$2,AT$1,$B62)</f>
        <v>-1005163411.7599999</v>
      </c>
      <c r="AU62" s="400"/>
      <c r="AV62" s="241">
        <f ca="1">_xll.DBRW(Server&amp;Cube1,$N$15,$N$16,$N$17,$N$18,$N$14,$N$13,AV$2,AV$1,$B62)</f>
        <v>0</v>
      </c>
      <c r="AW62" s="241">
        <f ca="1">_xll.DBRW(Server&amp;Cube1,$N$15,$N$16,$N$17,$N$18,$N$14,$N$13,AW$2,AW$1,$B62)</f>
        <v>-840266740.01203597</v>
      </c>
      <c r="AX62" s="241">
        <f ca="1">_xll.DBRW(Server&amp;Cube1,$N$15,$N$16,$N$17,$N$18,$N$14,$N$13,AX$2,AX$1,$B62)</f>
        <v>-940082808.16999984</v>
      </c>
      <c r="AY62" s="400"/>
      <c r="AZ62" s="241">
        <f ca="1">_xll.DBRW(Server&amp;Cube1,$N$15,$N$16,$N$17,$N$18,$N$14,$N$13,AZ$2,AZ$1,$B62)</f>
        <v>0</v>
      </c>
      <c r="BA62" s="241">
        <f ca="1">_xll.DBRW(Server&amp;Cube1,$N$15,$N$16,$N$17,$N$18,$N$14,$N$13,BA$2,BA$1,$B62)</f>
        <v>-842503029.55972028</v>
      </c>
      <c r="BB62" s="241">
        <f ca="1">_xll.DBRW(Server&amp;Cube1,$N$15,$N$16,$N$17,$N$18,$N$14,$N$13,BB$2,BB$1,$B62)</f>
        <v>4665439602.2345963</v>
      </c>
      <c r="BC62" s="400"/>
      <c r="BD62" s="241">
        <f ca="1">_xll.DBRW(Server&amp;Cube1,$N$15,$N$16,$N$17,$N$18,$N$14,$N$13,BD$2,BD$1,$B62)</f>
        <v>0</v>
      </c>
      <c r="BE62" s="241">
        <f ca="1">_xll.DBRW(Server&amp;Cube1,$N$15,$N$16,$N$17,$N$18,$N$14,$N$13,BE$2,BE$1,$B62)</f>
        <v>-844757654.15160239</v>
      </c>
      <c r="BF62" s="241">
        <f ca="1">_xll.DBRW(Server&amp;Cube1,$N$15,$N$16,$N$17,$N$18,$N$14,$N$13,BF$2,BF$1,$B62)</f>
        <v>-83872197.060000002</v>
      </c>
      <c r="BG62" s="400"/>
      <c r="BH62" s="241">
        <f ca="1">_xll.DBRW(Server&amp;Cube1,$N$15,$N$16,$N$17,$N$18,$N$14,$N$13,BH$2,BH$1,$B62)</f>
        <v>0</v>
      </c>
      <c r="BI62" s="241">
        <f ca="1">_xll.DBRW(Server&amp;Cube1,$N$15,$N$16,$N$17,$N$18,$N$14,$N$13,BI$2,BI$1,$B62)</f>
        <v>-863029812.85448992</v>
      </c>
      <c r="BJ62" s="241">
        <f ca="1">_xll.DBRW(Server&amp;Cube1,$N$15,$N$16,$N$17,$N$18,$N$14,$N$13,BJ$2,BJ$1,$B62)</f>
        <v>-7292231752.1300011</v>
      </c>
      <c r="BK62" s="400"/>
      <c r="BL62" s="241">
        <f ca="1">_xll.DBRW(Server&amp;Cube1,$N$15,$N$16,$N$17,$N$18,$N$14,$N$13,BL$2,BL$1,$B62)</f>
        <v>0</v>
      </c>
      <c r="BM62" s="241">
        <f ca="1">_xll.DBRW(Server&amp;Cube1,$N$15,$N$16,$N$17,$N$18,$N$14,$N$13,BM$2,BM$1,$B62)</f>
        <v>-850369013.61126876</v>
      </c>
      <c r="BN62" s="241">
        <f ca="1">_xll.DBRW(Server&amp;Cube1,$N$15,$N$16,$N$17,$N$18,$N$14,$N$13,BN$2,BN$1,$B62)</f>
        <v>-1117734602.0999997</v>
      </c>
      <c r="BO62" s="400"/>
      <c r="BP62" s="241">
        <f ca="1">_xll.DBRW(Server&amp;Cube1,$N$15,$N$16,$N$17,$N$18,$N$14,$N$13,BP$2,BP$1,$B62)</f>
        <v>0</v>
      </c>
      <c r="BQ62" s="241">
        <f ca="1">_xll.DBRW(Server&amp;Cube1,$N$15,$N$16,$N$17,$N$18,$N$14,$N$13,BQ$2,BQ$1,$B62)</f>
        <v>-843467234.41867888</v>
      </c>
      <c r="BR62" s="241">
        <f ca="1">_xll.DBRW(Server&amp;Cube1,$N$15,$N$16,$N$17,$N$18,$N$14,$N$13,BR$2,BR$1,$B62)</f>
        <v>-911683848.82000017</v>
      </c>
      <c r="BS62" s="400"/>
      <c r="BT62" s="241">
        <f ca="1">_xll.DBRW(Server&amp;Cube1,$N$15,$N$16,$N$17,$N$18,$N$14,$N$13,BT$2,BT$1,$B62)</f>
        <v>0</v>
      </c>
      <c r="BU62" s="241">
        <f ca="1">_xll.DBRW(Server&amp;Cube1,$N$15,$N$16,$N$17,$N$18,$N$14,$N$13,BU$2,BU$1,$B62)</f>
        <v>-827717143.08735347</v>
      </c>
      <c r="BV62" s="241">
        <f ca="1">_xll.DBRW(Server&amp;Cube1,$N$15,$N$16,$N$17,$N$18,$N$14,$N$13,BV$2,BV$1,$B62)</f>
        <v>-10133719193.460003</v>
      </c>
      <c r="BW62" s="55"/>
      <c r="BX62" s="28"/>
    </row>
    <row r="63" spans="1:78" ht="19.5" hidden="1" customHeight="1" outlineLevel="1" x14ac:dyDescent="0.2">
      <c r="A63" s="142"/>
      <c r="B63" s="360" t="s">
        <v>51</v>
      </c>
      <c r="H63" s="360"/>
      <c r="I63" s="69"/>
      <c r="J63" s="54"/>
      <c r="K63" s="9"/>
      <c r="L63" s="557" t="str">
        <f ca="1">LEFT(_xll.DBRA(Server&amp;$B$32,$B63,$N$19),FIND("(",_xll.DBRA(Server&amp;$B$32,$B63,$N$19),1)-1)</f>
        <v xml:space="preserve">Staff costs </v>
      </c>
      <c r="M63" s="557"/>
      <c r="N63" s="557"/>
      <c r="O63" s="557"/>
      <c r="P63" s="234"/>
      <c r="Q63" s="235">
        <f ca="1">_xll.DBRW(Server&amp;Cube1,$N$15,$N$16,$N$17,$N$18,$N$14,$N$13,$N$11,$Q$1,$B63)</f>
        <v>-697126635.29999995</v>
      </c>
      <c r="R63" s="235">
        <f ca="1">_xll.DBRW(Server&amp;Cube1,$N$15,$N$16,$N$17,$N$18,$N$14,$N$13,$R$2,$R$1,$B63)</f>
        <v>-793546413.00608838</v>
      </c>
      <c r="S63" s="236">
        <f t="shared" ref="S63:S70" ca="1" si="16">Q63-R63</f>
        <v>96419777.706088424</v>
      </c>
      <c r="T63" s="238">
        <f t="shared" ref="T63:T70" ca="1" si="17">IF(R63&lt;&gt;0,IF(R63&gt;0,S63/R63,-S63/R63),0)</f>
        <v>0.12150490018704005</v>
      </c>
      <c r="U63" s="223"/>
      <c r="V63" s="235">
        <f ca="1">_xll.DBRW(Server&amp;Cube1,$N$15,$N$16,$N$17,$N$18,$N$14,$N$13,$V$2,$V$1,$B63)</f>
        <v>-628251091.65999985</v>
      </c>
      <c r="W63" s="236">
        <f t="shared" ref="W63:W70" ca="1" si="18">Q63-V63</f>
        <v>-68875543.640000105</v>
      </c>
      <c r="X63" s="238">
        <f t="shared" ref="X63:X70" ca="1" si="19">IF(V63&lt;&gt;0,IF(V63&gt;0,W63/V63,-W63/V63),0)</f>
        <v>-0.10963059922110653</v>
      </c>
      <c r="Y63" s="55"/>
      <c r="Z63" s="55"/>
      <c r="AA63" s="55"/>
      <c r="AB63" s="235">
        <f ca="1">_xll.DBRW(Server&amp;Cube1,$N$15,$N$16,$N$17,$N$18,$N$14,$N$13,AB$2,AB$1,$B63)</f>
        <v>-384422141.76999998</v>
      </c>
      <c r="AC63" s="235">
        <f ca="1">_xll.DBRW(Server&amp;Cube1,$N$15,$N$16,$N$17,$N$18,$N$14,$N$13,AC$2,AC$1,$B63)</f>
        <v>-434030395.35419703</v>
      </c>
      <c r="AD63" s="235">
        <f ca="1">_xll.DBRW(Server&amp;Cube1,$N$15,$N$16,$N$17,$N$18,$N$14,$N$13,AD$2,AD$1,$B63)</f>
        <v>-27332771.689999998</v>
      </c>
      <c r="AE63" s="400"/>
      <c r="AF63" s="235">
        <f ca="1">_xll.DBRW(Server&amp;Cube1,$N$15,$N$16,$N$17,$N$18,$N$14,$N$13,AF$2,AF$1,$B63)</f>
        <v>-312704493.52999991</v>
      </c>
      <c r="AG63" s="235">
        <f ca="1">_xll.DBRW(Server&amp;Cube1,$N$15,$N$16,$N$17,$N$18,$N$14,$N$13,AG$2,AG$1,$B63)</f>
        <v>-359516017.65189147</v>
      </c>
      <c r="AH63" s="235">
        <f ca="1">_xll.DBRW(Server&amp;Cube1,$N$15,$N$16,$N$17,$N$18,$N$14,$N$13,AH$2,AH$1,$B63)</f>
        <v>-600918319.97000003</v>
      </c>
      <c r="AI63" s="400"/>
      <c r="AJ63" s="235">
        <f ca="1">_xll.DBRW(Server&amp;Cube1,$N$15,$N$16,$N$17,$N$18,$N$14,$N$13,AJ$2,AJ$1,$B63)</f>
        <v>0</v>
      </c>
      <c r="AK63" s="235">
        <f ca="1">_xll.DBRW(Server&amp;Cube1,$N$15,$N$16,$N$17,$N$18,$N$14,$N$13,AK$2,AK$1,$B63)</f>
        <v>-363252984.50686109</v>
      </c>
      <c r="AL63" s="235">
        <f ca="1">_xll.DBRW(Server&amp;Cube1,$N$15,$N$16,$N$17,$N$18,$N$14,$N$13,AL$2,AL$1,$B63)</f>
        <v>-326797967.66000026</v>
      </c>
      <c r="AM63" s="400"/>
      <c r="AN63" s="235">
        <f ca="1">_xll.DBRW(Server&amp;Cube1,$N$15,$N$16,$N$17,$N$18,$N$14,$N$13,AN$2,AN$1,$B63)</f>
        <v>0</v>
      </c>
      <c r="AO63" s="235">
        <f ca="1">_xll.DBRW(Server&amp;Cube1,$N$15,$N$16,$N$17,$N$18,$N$14,$N$13,AO$2,AO$1,$B63)</f>
        <v>-374414072.90698105</v>
      </c>
      <c r="AP63" s="235">
        <f ca="1">_xll.DBRW(Server&amp;Cube1,$N$15,$N$16,$N$17,$N$18,$N$14,$N$13,AP$2,AP$1,$B63)</f>
        <v>-344465089.31000012</v>
      </c>
      <c r="AQ63" s="400"/>
      <c r="AR63" s="235">
        <f ca="1">_xll.DBRW(Server&amp;Cube1,$N$15,$N$16,$N$17,$N$18,$N$14,$N$13,AR$2,AR$1,$B63)</f>
        <v>0</v>
      </c>
      <c r="AS63" s="235">
        <f ca="1">_xll.DBRW(Server&amp;Cube1,$N$15,$N$16,$N$17,$N$18,$N$14,$N$13,AS$2,AS$1,$B63)</f>
        <v>-370276817.20642084</v>
      </c>
      <c r="AT63" s="235">
        <f ca="1">_xll.DBRW(Server&amp;Cube1,$N$15,$N$16,$N$17,$N$18,$N$14,$N$13,AT$2,AT$1,$B63)</f>
        <v>-379536180.73000002</v>
      </c>
      <c r="AU63" s="400"/>
      <c r="AV63" s="235">
        <f ca="1">_xll.DBRW(Server&amp;Cube1,$N$15,$N$16,$N$17,$N$18,$N$14,$N$13,AV$2,AV$1,$B63)</f>
        <v>0</v>
      </c>
      <c r="AW63" s="235">
        <f ca="1">_xll.DBRW(Server&amp;Cube1,$N$15,$N$16,$N$17,$N$18,$N$14,$N$13,AW$2,AW$1,$B63)</f>
        <v>-366581266.22579962</v>
      </c>
      <c r="AX63" s="235">
        <f ca="1">_xll.DBRW(Server&amp;Cube1,$N$15,$N$16,$N$17,$N$18,$N$14,$N$13,AX$2,AX$1,$B63)</f>
        <v>-346532312.30000001</v>
      </c>
      <c r="AY63" s="400"/>
      <c r="AZ63" s="235">
        <f ca="1">_xll.DBRW(Server&amp;Cube1,$N$15,$N$16,$N$17,$N$18,$N$14,$N$13,AZ$2,AZ$1,$B63)</f>
        <v>0</v>
      </c>
      <c r="BA63" s="235">
        <f ca="1">_xll.DBRW(Server&amp;Cube1,$N$15,$N$16,$N$17,$N$18,$N$14,$N$13,BA$2,BA$1,$B63)</f>
        <v>-373370225.93697035</v>
      </c>
      <c r="BB63" s="235">
        <f ca="1">_xll.DBRW(Server&amp;Cube1,$N$15,$N$16,$N$17,$N$18,$N$14,$N$13,BB$2,BB$1,$B63)</f>
        <v>1812801448.9499998</v>
      </c>
      <c r="BC63" s="400"/>
      <c r="BD63" s="235">
        <f ca="1">_xll.DBRW(Server&amp;Cube1,$N$15,$N$16,$N$17,$N$18,$N$14,$N$13,BD$2,BD$1,$B63)</f>
        <v>0</v>
      </c>
      <c r="BE63" s="235">
        <f ca="1">_xll.DBRW(Server&amp;Cube1,$N$15,$N$16,$N$17,$N$18,$N$14,$N$13,BE$2,BE$1,$B63)</f>
        <v>-368947891.94519854</v>
      </c>
      <c r="BF63" s="235">
        <f ca="1">_xll.DBRW(Server&amp;Cube1,$N$15,$N$16,$N$17,$N$18,$N$14,$N$13,BF$2,BF$1,$B63)</f>
        <v>-30382234.780000009</v>
      </c>
      <c r="BG63" s="400"/>
      <c r="BH63" s="235">
        <f ca="1">_xll.DBRW(Server&amp;Cube1,$N$15,$N$16,$N$17,$N$18,$N$14,$N$13,BH$2,BH$1,$B63)</f>
        <v>0</v>
      </c>
      <c r="BI63" s="235">
        <f ca="1">_xll.DBRW(Server&amp;Cube1,$N$15,$N$16,$N$17,$N$18,$N$14,$N$13,BI$2,BI$1,$B63)</f>
        <v>-382674050.41629243</v>
      </c>
      <c r="BJ63" s="235">
        <f ca="1">_xll.DBRW(Server&amp;Cube1,$N$15,$N$16,$N$17,$N$18,$N$14,$N$13,BJ$2,BJ$1,$B63)</f>
        <v>-2825950768.7299995</v>
      </c>
      <c r="BK63" s="400"/>
      <c r="BL63" s="235">
        <f ca="1">_xll.DBRW(Server&amp;Cube1,$N$15,$N$16,$N$17,$N$18,$N$14,$N$13,BL$2,BL$1,$B63)</f>
        <v>0</v>
      </c>
      <c r="BM63" s="235">
        <f ca="1">_xll.DBRW(Server&amp;Cube1,$N$15,$N$16,$N$17,$N$18,$N$14,$N$13,BM$2,BM$1,$B63)</f>
        <v>-372382223.91164488</v>
      </c>
      <c r="BN63" s="235">
        <f ca="1">_xll.DBRW(Server&amp;Cube1,$N$15,$N$16,$N$17,$N$18,$N$14,$N$13,BN$2,BN$1,$B63)</f>
        <v>-484826208.57000011</v>
      </c>
      <c r="BO63" s="400"/>
      <c r="BP63" s="235">
        <f ca="1">_xll.DBRW(Server&amp;Cube1,$N$15,$N$16,$N$17,$N$18,$N$14,$N$13,BP$2,BP$1,$B63)</f>
        <v>0</v>
      </c>
      <c r="BQ63" s="235">
        <f ca="1">_xll.DBRW(Server&amp;Cube1,$N$15,$N$16,$N$17,$N$18,$N$14,$N$13,BQ$2,BQ$1,$B63)</f>
        <v>-372205309.90393829</v>
      </c>
      <c r="BR63" s="235">
        <f ca="1">_xll.DBRW(Server&amp;Cube1,$N$15,$N$16,$N$17,$N$18,$N$14,$N$13,BR$2,BR$1,$B63)</f>
        <v>-339326332.87000012</v>
      </c>
      <c r="BS63" s="400"/>
      <c r="BT63" s="235">
        <f ca="1">_xll.DBRW(Server&amp;Cube1,$N$15,$N$16,$N$17,$N$18,$N$14,$N$13,BT$2,BT$1,$B63)</f>
        <v>0</v>
      </c>
      <c r="BU63" s="235">
        <f ca="1">_xll.DBRW(Server&amp;Cube1,$N$15,$N$16,$N$17,$N$18,$N$14,$N$13,BU$2,BU$1,$B63)</f>
        <v>-398190866.99883342</v>
      </c>
      <c r="BV63" s="235">
        <f ca="1">_xll.DBRW(Server&amp;Cube1,$N$15,$N$16,$N$17,$N$18,$N$14,$N$13,BV$2,BV$1,$B63)</f>
        <v>-3893732760.9800005</v>
      </c>
      <c r="BW63" s="55"/>
      <c r="BX63" s="28"/>
    </row>
    <row r="64" spans="1:78" ht="19.5" hidden="1" customHeight="1" outlineLevel="1" x14ac:dyDescent="0.2">
      <c r="A64" s="142"/>
      <c r="B64" s="360" t="s">
        <v>337</v>
      </c>
      <c r="H64" s="360"/>
      <c r="I64" s="69"/>
      <c r="J64" s="54"/>
      <c r="K64" s="9"/>
      <c r="L64" s="555" t="str">
        <f ca="1">LEFT(_xll.DBRA(Server&amp;$B$32,$B64,$N$19),FIND("(",_xll.DBRA(Server&amp;$B$32,$B64,$N$19),1)-1)</f>
        <v xml:space="preserve">COS - Lease expenses </v>
      </c>
      <c r="M64" s="555"/>
      <c r="N64" s="555"/>
      <c r="O64" s="555"/>
      <c r="P64" s="234"/>
      <c r="Q64" s="235">
        <f ca="1">_xll.DBRW(Server&amp;Cube1,$N$15,$N$16,$N$17,$N$18,$N$14,$N$13,$N$11,$Q$1,$B64)</f>
        <v>-136496.66</v>
      </c>
      <c r="R64" s="235">
        <f ca="1">_xll.DBRW(Server&amp;Cube1,$N$15,$N$16,$N$17,$N$18,$N$14,$N$13,$R$2,$R$1,$B64)</f>
        <v>-15827.46</v>
      </c>
      <c r="S64" s="236">
        <f ca="1">Q64-R64</f>
        <v>-120669.20000000001</v>
      </c>
      <c r="T64" s="238">
        <f ca="1">IF(R64&lt;&gt;0,IF(R64&gt;0,S64/R64,-S64/R64),0)</f>
        <v>-7.6240407494316846</v>
      </c>
      <c r="U64" s="223"/>
      <c r="V64" s="235">
        <f ca="1">_xll.DBRW(Server&amp;Cube1,$N$15,$N$16,$N$17,$N$18,$N$14,$N$13,$V$2,$V$1,$B64)</f>
        <v>-115405.43000000001</v>
      </c>
      <c r="W64" s="236">
        <f ca="1">Q64-V64</f>
        <v>-21091.229999999996</v>
      </c>
      <c r="X64" s="238">
        <f ca="1">IF(V64&lt;&gt;0,IF(V64&gt;0,W64/V64,-W64/V64),0)</f>
        <v>-0.18275769173079634</v>
      </c>
      <c r="Y64" s="55"/>
      <c r="Z64" s="55"/>
      <c r="AA64" s="55"/>
      <c r="AB64" s="235">
        <f ca="1">_xll.DBRW(Server&amp;Cube1,$N$15,$N$16,$N$17,$N$18,$N$14,$N$13,AB$2,AB$1,$B64)</f>
        <v>0</v>
      </c>
      <c r="AC64" s="235">
        <f ca="1">_xll.DBRW(Server&amp;Cube1,$N$15,$N$16,$N$17,$N$18,$N$14,$N$13,AC$2,AC$1,$B64)</f>
        <v>-9514.73</v>
      </c>
      <c r="AD64" s="235">
        <f ca="1">_xll.DBRW(Server&amp;Cube1,$N$15,$N$16,$N$17,$N$18,$N$14,$N$13,AD$2,AD$1,$B64)</f>
        <v>-70608.97</v>
      </c>
      <c r="AE64" s="400"/>
      <c r="AF64" s="235">
        <f ca="1">_xll.DBRW(Server&amp;Cube1,$N$15,$N$16,$N$17,$N$18,$N$14,$N$13,AF$2,AF$1,$B64)</f>
        <v>-136496.66</v>
      </c>
      <c r="AG64" s="235">
        <f ca="1">_xll.DBRW(Server&amp;Cube1,$N$15,$N$16,$N$17,$N$18,$N$14,$N$13,AG$2,AG$1,$B64)</f>
        <v>-6312.73</v>
      </c>
      <c r="AH64" s="235">
        <f ca="1">_xll.DBRW(Server&amp;Cube1,$N$15,$N$16,$N$17,$N$18,$N$14,$N$13,AH$2,AH$1,$B64)</f>
        <v>-44796.46</v>
      </c>
      <c r="AI64" s="400"/>
      <c r="AJ64" s="235">
        <f ca="1">_xll.DBRW(Server&amp;Cube1,$N$15,$N$16,$N$17,$N$18,$N$14,$N$13,AJ$2,AJ$1,$B64)</f>
        <v>0</v>
      </c>
      <c r="AK64" s="235">
        <f ca="1">_xll.DBRW(Server&amp;Cube1,$N$15,$N$16,$N$17,$N$18,$N$14,$N$13,AK$2,AK$1,$B64)</f>
        <v>-6312.73</v>
      </c>
      <c r="AL64" s="235">
        <f ca="1">_xll.DBRW(Server&amp;Cube1,$N$15,$N$16,$N$17,$N$18,$N$14,$N$13,AL$2,AL$1,$B64)</f>
        <v>-44702.569999999992</v>
      </c>
      <c r="AM64" s="400"/>
      <c r="AN64" s="235">
        <f ca="1">_xll.DBRW(Server&amp;Cube1,$N$15,$N$16,$N$17,$N$18,$N$14,$N$13,AN$2,AN$1,$B64)</f>
        <v>0</v>
      </c>
      <c r="AO64" s="235">
        <f ca="1">_xll.DBRW(Server&amp;Cube1,$N$15,$N$16,$N$17,$N$18,$N$14,$N$13,AO$2,AO$1,$B64)</f>
        <v>-6312.73</v>
      </c>
      <c r="AP64" s="235">
        <f ca="1">_xll.DBRW(Server&amp;Cube1,$N$15,$N$16,$N$17,$N$18,$N$14,$N$13,AP$2,AP$1,$B64)</f>
        <v>-6503.1500000000005</v>
      </c>
      <c r="AQ64" s="400"/>
      <c r="AR64" s="235">
        <f ca="1">_xll.DBRW(Server&amp;Cube1,$N$15,$N$16,$N$17,$N$18,$N$14,$N$13,AR$2,AR$1,$B64)</f>
        <v>0</v>
      </c>
      <c r="AS64" s="235">
        <f ca="1">_xll.DBRW(Server&amp;Cube1,$N$15,$N$16,$N$17,$N$18,$N$14,$N$13,AS$2,AS$1,$B64)</f>
        <v>-8340.33</v>
      </c>
      <c r="AT64" s="235">
        <f ca="1">_xll.DBRW(Server&amp;Cube1,$N$15,$N$16,$N$17,$N$18,$N$14,$N$13,AT$2,AT$1,$B64)</f>
        <v>-36739.859999999993</v>
      </c>
      <c r="AU64" s="400"/>
      <c r="AV64" s="235">
        <f ca="1">_xll.DBRW(Server&amp;Cube1,$N$15,$N$16,$N$17,$N$18,$N$14,$N$13,AV$2,AV$1,$B64)</f>
        <v>0</v>
      </c>
      <c r="AW64" s="235">
        <f ca="1">_xll.DBRW(Server&amp;Cube1,$N$15,$N$16,$N$17,$N$18,$N$14,$N$13,AW$2,AW$1,$B64)</f>
        <v>-6312.7300000000005</v>
      </c>
      <c r="AX64" s="235">
        <f ca="1">_xll.DBRW(Server&amp;Cube1,$N$15,$N$16,$N$17,$N$18,$N$14,$N$13,AX$2,AX$1,$B64)</f>
        <v>-16796.140000000014</v>
      </c>
      <c r="AY64" s="400"/>
      <c r="AZ64" s="235">
        <f ca="1">_xll.DBRW(Server&amp;Cube1,$N$15,$N$16,$N$17,$N$18,$N$14,$N$13,AZ$2,AZ$1,$B64)</f>
        <v>0</v>
      </c>
      <c r="BA64" s="235">
        <f ca="1">_xll.DBRW(Server&amp;Cube1,$N$15,$N$16,$N$17,$N$18,$N$14,$N$13,BA$2,BA$1,$B64)</f>
        <v>-6312.73</v>
      </c>
      <c r="BB64" s="235">
        <f ca="1">_xll.DBRW(Server&amp;Cube1,$N$15,$N$16,$N$17,$N$18,$N$14,$N$13,BB$2,BB$1,$B64)</f>
        <v>-10362.659999999987</v>
      </c>
      <c r="BC64" s="400"/>
      <c r="BD64" s="235">
        <f ca="1">_xll.DBRW(Server&amp;Cube1,$N$15,$N$16,$N$17,$N$18,$N$14,$N$13,BD$2,BD$1,$B64)</f>
        <v>0</v>
      </c>
      <c r="BE64" s="235">
        <f ca="1">_xll.DBRW(Server&amp;Cube1,$N$15,$N$16,$N$17,$N$18,$N$14,$N$13,BE$2,BE$1,$B64)</f>
        <v>-6312.7300000000005</v>
      </c>
      <c r="BF64" s="235">
        <f ca="1">_xll.DBRW(Server&amp;Cube1,$N$15,$N$16,$N$17,$N$18,$N$14,$N$13,BF$2,BF$1,$B64)</f>
        <v>-60157.390000000014</v>
      </c>
      <c r="BG64" s="400"/>
      <c r="BH64" s="235">
        <f ca="1">_xll.DBRW(Server&amp;Cube1,$N$15,$N$16,$N$17,$N$18,$N$14,$N$13,BH$2,BH$1,$B64)</f>
        <v>0</v>
      </c>
      <c r="BI64" s="235">
        <f ca="1">_xll.DBRW(Server&amp;Cube1,$N$15,$N$16,$N$17,$N$18,$N$14,$N$13,BI$2,BI$1,$B64)</f>
        <v>-6312.73</v>
      </c>
      <c r="BJ64" s="235">
        <f ca="1">_xll.DBRW(Server&amp;Cube1,$N$15,$N$16,$N$17,$N$18,$N$14,$N$13,BJ$2,BJ$1,$B64)</f>
        <v>-19806.610000000015</v>
      </c>
      <c r="BK64" s="400"/>
      <c r="BL64" s="235">
        <f ca="1">_xll.DBRW(Server&amp;Cube1,$N$15,$N$16,$N$17,$N$18,$N$14,$N$13,BL$2,BL$1,$B64)</f>
        <v>0</v>
      </c>
      <c r="BM64" s="235">
        <f ca="1">_xll.DBRW(Server&amp;Cube1,$N$15,$N$16,$N$17,$N$18,$N$14,$N$13,BM$2,BM$1,$B64)</f>
        <v>-6312.73</v>
      </c>
      <c r="BN64" s="235">
        <f ca="1">_xll.DBRW(Server&amp;Cube1,$N$15,$N$16,$N$17,$N$18,$N$14,$N$13,BN$2,BN$1,$B64)</f>
        <v>-22895.549999999977</v>
      </c>
      <c r="BO64" s="400"/>
      <c r="BP64" s="235">
        <f ca="1">_xll.DBRW(Server&amp;Cube1,$N$15,$N$16,$N$17,$N$18,$N$14,$N$13,BP$2,BP$1,$B64)</f>
        <v>0</v>
      </c>
      <c r="BQ64" s="235">
        <f ca="1">_xll.DBRW(Server&amp;Cube1,$N$15,$N$16,$N$17,$N$18,$N$14,$N$13,BQ$2,BQ$1,$B64)</f>
        <v>-6913.7300000000014</v>
      </c>
      <c r="BR64" s="235">
        <f ca="1">_xll.DBRW(Server&amp;Cube1,$N$15,$N$16,$N$17,$N$18,$N$14,$N$13,BR$2,BR$1,$B64)</f>
        <v>-21176.940000000013</v>
      </c>
      <c r="BS64" s="400"/>
      <c r="BT64" s="235">
        <f ca="1">_xll.DBRW(Server&amp;Cube1,$N$15,$N$16,$N$17,$N$18,$N$14,$N$13,BT$2,BT$1,$B64)</f>
        <v>0</v>
      </c>
      <c r="BU64" s="235">
        <f ca="1">_xll.DBRW(Server&amp;Cube1,$N$15,$N$16,$N$17,$N$18,$N$14,$N$13,BU$2,BU$1,$B64)</f>
        <v>-7033.73</v>
      </c>
      <c r="BV64" s="235">
        <f ca="1">_xll.DBRW(Server&amp;Cube1,$N$15,$N$16,$N$17,$N$18,$N$14,$N$13,BV$2,BV$1,$B64)</f>
        <v>-12331.049999999988</v>
      </c>
      <c r="BW64" s="55"/>
      <c r="BX64" s="28"/>
    </row>
    <row r="65" spans="1:78" ht="19.5" hidden="1" customHeight="1" outlineLevel="1" x14ac:dyDescent="0.2">
      <c r="A65" s="142"/>
      <c r="B65" s="360" t="s">
        <v>52</v>
      </c>
      <c r="H65" s="360"/>
      <c r="I65" s="69"/>
      <c r="J65" s="54"/>
      <c r="K65" s="9"/>
      <c r="L65" s="555" t="str">
        <f ca="1">LEFT(_xll.DBRA(Server&amp;$B$32,$B65,$N$19),FIND("(",_xll.DBRA(Server&amp;$B$32,$B65,$N$19),1)-1)</f>
        <v xml:space="preserve">Interim staff </v>
      </c>
      <c r="M65" s="555"/>
      <c r="N65" s="555"/>
      <c r="O65" s="555"/>
      <c r="P65" s="234"/>
      <c r="Q65" s="235">
        <f ca="1">_xll.DBRW(Server&amp;Cube1,$N$15,$N$16,$N$17,$N$18,$N$14,$N$13,$N$11,$Q$1,$B65)</f>
        <v>-11612763</v>
      </c>
      <c r="R65" s="235">
        <f ca="1">_xll.DBRW(Server&amp;Cube1,$N$15,$N$16,$N$17,$N$18,$N$14,$N$13,$R$2,$R$1,$B65)</f>
        <v>-222963.30181026814</v>
      </c>
      <c r="S65" s="236">
        <f t="shared" ca="1" si="16"/>
        <v>-11389799.698189732</v>
      </c>
      <c r="T65" s="238">
        <f t="shared" ca="1" si="17"/>
        <v>-51.083741610006946</v>
      </c>
      <c r="U65" s="223"/>
      <c r="V65" s="235">
        <f ca="1">_xll.DBRW(Server&amp;Cube1,$N$15,$N$16,$N$17,$N$18,$N$14,$N$13,$V$2,$V$1,$B65)</f>
        <v>-17334234.319999997</v>
      </c>
      <c r="W65" s="236">
        <f t="shared" ca="1" si="18"/>
        <v>5721471.3199999966</v>
      </c>
      <c r="X65" s="238">
        <f t="shared" ca="1" si="19"/>
        <v>0.33006772692570813</v>
      </c>
      <c r="Y65" s="55"/>
      <c r="Z65" s="55"/>
      <c r="AA65" s="55"/>
      <c r="AB65" s="235">
        <f ca="1">_xll.DBRW(Server&amp;Cube1,$N$15,$N$16,$N$17,$N$18,$N$14,$N$13,AB$2,AB$1,$B65)</f>
        <v>0</v>
      </c>
      <c r="AC65" s="235">
        <f ca="1">_xll.DBRW(Server&amp;Cube1,$N$15,$N$16,$N$17,$N$18,$N$14,$N$13,AC$2,AC$1,$B65)</f>
        <v>-113158.79419578015</v>
      </c>
      <c r="AD65" s="235">
        <f ca="1">_xll.DBRW(Server&amp;Cube1,$N$15,$N$16,$N$17,$N$18,$N$14,$N$13,AD$2,AD$1,$B65)</f>
        <v>-133631.6</v>
      </c>
      <c r="AE65" s="400"/>
      <c r="AF65" s="235">
        <f ca="1">_xll.DBRW(Server&amp;Cube1,$N$15,$N$16,$N$17,$N$18,$N$14,$N$13,AF$2,AF$1,$B65)</f>
        <v>-11612763</v>
      </c>
      <c r="AG65" s="235">
        <f ca="1">_xll.DBRW(Server&amp;Cube1,$N$15,$N$16,$N$17,$N$18,$N$14,$N$13,AG$2,AG$1,$B65)</f>
        <v>-109804.50761448799</v>
      </c>
      <c r="AH65" s="235">
        <f ca="1">_xll.DBRW(Server&amp;Cube1,$N$15,$N$16,$N$17,$N$18,$N$14,$N$13,AH$2,AH$1,$B65)</f>
        <v>-17200602.719999999</v>
      </c>
      <c r="AI65" s="400"/>
      <c r="AJ65" s="235">
        <f ca="1">_xll.DBRW(Server&amp;Cube1,$N$15,$N$16,$N$17,$N$18,$N$14,$N$13,AJ$2,AJ$1,$B65)</f>
        <v>0</v>
      </c>
      <c r="AK65" s="235">
        <f ca="1">_xll.DBRW(Server&amp;Cube1,$N$15,$N$16,$N$17,$N$18,$N$14,$N$13,AK$2,AK$1,$B65)</f>
        <v>-92403.841756804773</v>
      </c>
      <c r="AL65" s="235">
        <f ca="1">_xll.DBRW(Server&amp;Cube1,$N$15,$N$16,$N$17,$N$18,$N$14,$N$13,AL$2,AL$1,$B65)</f>
        <v>-5583993.0600000005</v>
      </c>
      <c r="AM65" s="400"/>
      <c r="AN65" s="235">
        <f ca="1">_xll.DBRW(Server&amp;Cube1,$N$15,$N$16,$N$17,$N$18,$N$14,$N$13,AN$2,AN$1,$B65)</f>
        <v>0</v>
      </c>
      <c r="AO65" s="235">
        <f ca="1">_xll.DBRW(Server&amp;Cube1,$N$15,$N$16,$N$17,$N$18,$N$14,$N$13,AO$2,AO$1,$B65)</f>
        <v>-88503.287227821274</v>
      </c>
      <c r="AP65" s="235">
        <f ca="1">_xll.DBRW(Server&amp;Cube1,$N$15,$N$16,$N$17,$N$18,$N$14,$N$13,AP$2,AP$1,$B65)</f>
        <v>-1043481.0499999998</v>
      </c>
      <c r="AQ65" s="400"/>
      <c r="AR65" s="235">
        <f ca="1">_xll.DBRW(Server&amp;Cube1,$N$15,$N$16,$N$17,$N$18,$N$14,$N$13,AR$2,AR$1,$B65)</f>
        <v>0</v>
      </c>
      <c r="AS65" s="235">
        <f ca="1">_xll.DBRW(Server&amp;Cube1,$N$15,$N$16,$N$17,$N$18,$N$14,$N$13,AS$2,AS$1,$B65)</f>
        <v>-89160.376970138081</v>
      </c>
      <c r="AT65" s="235">
        <f ca="1">_xll.DBRW(Server&amp;Cube1,$N$15,$N$16,$N$17,$N$18,$N$14,$N$13,AT$2,AT$1,$B65)</f>
        <v>-1025139.6500000003</v>
      </c>
      <c r="AU65" s="400"/>
      <c r="AV65" s="235">
        <f ca="1">_xll.DBRW(Server&amp;Cube1,$N$15,$N$16,$N$17,$N$18,$N$14,$N$13,AV$2,AV$1,$B65)</f>
        <v>0</v>
      </c>
      <c r="AW65" s="235">
        <f ca="1">_xll.DBRW(Server&amp;Cube1,$N$15,$N$16,$N$17,$N$18,$N$14,$N$13,AW$2,AW$1,$B65)</f>
        <v>-93900.084596804751</v>
      </c>
      <c r="AX65" s="235">
        <f ca="1">_xll.DBRW(Server&amp;Cube1,$N$15,$N$16,$N$17,$N$18,$N$14,$N$13,AX$2,AX$1,$B65)</f>
        <v>-686308.25000000012</v>
      </c>
      <c r="AY65" s="400"/>
      <c r="AZ65" s="235">
        <f ca="1">_xll.DBRW(Server&amp;Cube1,$N$15,$N$16,$N$17,$N$18,$N$14,$N$13,AZ$2,AZ$1,$B65)</f>
        <v>0</v>
      </c>
      <c r="BA65" s="235">
        <f ca="1">_xll.DBRW(Server&amp;Cube1,$N$15,$N$16,$N$17,$N$18,$N$14,$N$13,BA$2,BA$1,$B65)</f>
        <v>-130936.78723318782</v>
      </c>
      <c r="BB65" s="235">
        <f ca="1">_xll.DBRW(Server&amp;Cube1,$N$15,$N$16,$N$17,$N$18,$N$14,$N$13,BB$2,BB$1,$B65)</f>
        <v>24260504.300000001</v>
      </c>
      <c r="BC65" s="400"/>
      <c r="BD65" s="235">
        <f ca="1">_xll.DBRW(Server&amp;Cube1,$N$15,$N$16,$N$17,$N$18,$N$14,$N$13,BD$2,BD$1,$B65)</f>
        <v>0</v>
      </c>
      <c r="BE65" s="235">
        <f ca="1">_xll.DBRW(Server&amp;Cube1,$N$15,$N$16,$N$17,$N$18,$N$14,$N$13,BE$2,BE$1,$B65)</f>
        <v>-118160.04723318802</v>
      </c>
      <c r="BF65" s="235">
        <f ca="1">_xll.DBRW(Server&amp;Cube1,$N$15,$N$16,$N$17,$N$18,$N$14,$N$13,BF$2,BF$1,$B65)</f>
        <v>-459202.56999999995</v>
      </c>
      <c r="BG65" s="400"/>
      <c r="BH65" s="235">
        <f ca="1">_xll.DBRW(Server&amp;Cube1,$N$15,$N$16,$N$17,$N$18,$N$14,$N$13,BH$2,BH$1,$B65)</f>
        <v>0</v>
      </c>
      <c r="BI65" s="235">
        <f ca="1">_xll.DBRW(Server&amp;Cube1,$N$15,$N$16,$N$17,$N$18,$N$14,$N$13,BI$2,BI$1,$B65)</f>
        <v>-90037.951053470912</v>
      </c>
      <c r="BJ65" s="235">
        <f ca="1">_xll.DBRW(Server&amp;Cube1,$N$15,$N$16,$N$17,$N$18,$N$14,$N$13,BJ$2,BJ$1,$B65)</f>
        <v>-24614576.899999999</v>
      </c>
      <c r="BK65" s="400"/>
      <c r="BL65" s="235">
        <f ca="1">_xll.DBRW(Server&amp;Cube1,$N$15,$N$16,$N$17,$N$18,$N$14,$N$13,BL$2,BL$1,$B65)</f>
        <v>0</v>
      </c>
      <c r="BM65" s="235">
        <f ca="1">_xll.DBRW(Server&amp;Cube1,$N$15,$N$16,$N$17,$N$18,$N$14,$N$13,BM$2,BM$1,$B65)</f>
        <v>-84918.346970138096</v>
      </c>
      <c r="BN65" s="235">
        <f ca="1">_xll.DBRW(Server&amp;Cube1,$N$15,$N$16,$N$17,$N$18,$N$14,$N$13,BN$2,BN$1,$B65)</f>
        <v>-171310.36999999994</v>
      </c>
      <c r="BO65" s="400"/>
      <c r="BP65" s="235">
        <f ca="1">_xll.DBRW(Server&amp;Cube1,$N$15,$N$16,$N$17,$N$18,$N$14,$N$13,BP$2,BP$1,$B65)</f>
        <v>0</v>
      </c>
      <c r="BQ65" s="235">
        <f ca="1">_xll.DBRW(Server&amp;Cube1,$N$15,$N$16,$N$17,$N$18,$N$14,$N$13,BQ$2,BQ$1,$B65)</f>
        <v>-87370.491053472215</v>
      </c>
      <c r="BR65" s="235">
        <f ca="1">_xll.DBRW(Server&amp;Cube1,$N$15,$N$16,$N$17,$N$18,$N$14,$N$13,BR$2,BR$1,$B65)</f>
        <v>-615331.95000000007</v>
      </c>
      <c r="BS65" s="400"/>
      <c r="BT65" s="235">
        <f ca="1">_xll.DBRW(Server&amp;Cube1,$N$15,$N$16,$N$17,$N$18,$N$14,$N$13,BT$2,BT$1,$B65)</f>
        <v>0</v>
      </c>
      <c r="BU65" s="235">
        <f ca="1">_xll.DBRW(Server&amp;Cube1,$N$15,$N$16,$N$17,$N$18,$N$14,$N$13,BU$2,BU$1,$B65)</f>
        <v>-87590.291298837081</v>
      </c>
      <c r="BV65" s="235">
        <f ca="1">_xll.DBRW(Server&amp;Cube1,$N$15,$N$16,$N$17,$N$18,$N$14,$N$13,BV$2,BV$1,$B65)</f>
        <v>-33895813.88000001</v>
      </c>
      <c r="BW65" s="55"/>
      <c r="BX65" s="28"/>
    </row>
    <row r="66" spans="1:78" ht="19.5" hidden="1" customHeight="1" outlineLevel="1" x14ac:dyDescent="0.2">
      <c r="A66" s="142"/>
      <c r="B66" s="360" t="s">
        <v>55</v>
      </c>
      <c r="H66" s="360"/>
      <c r="I66" s="69"/>
      <c r="J66" s="54"/>
      <c r="K66" s="9"/>
      <c r="L66" s="555" t="str">
        <f ca="1">_xll.DBRA(Server&amp;$B$32,$B66,$N$19)</f>
        <v>Major maintenance</v>
      </c>
      <c r="M66" s="555"/>
      <c r="N66" s="555"/>
      <c r="O66" s="555"/>
      <c r="P66" s="234"/>
      <c r="Q66" s="235">
        <f ca="1">_xll.DBRW(Server&amp;Cube1,$N$15,$N$16,$N$17,$N$18,$N$14,$N$13,$N$11,$Q$1,$B66)</f>
        <v>-114525.06</v>
      </c>
      <c r="R66" s="235">
        <f ca="1">_xll.DBRW(Server&amp;Cube1,$N$15,$N$16,$N$17,$N$18,$N$14,$N$13,$R$2,$R$1,$B66)</f>
        <v>-129318.72666666664</v>
      </c>
      <c r="S66" s="236">
        <f t="shared" ca="1" si="16"/>
        <v>14793.666666666642</v>
      </c>
      <c r="T66" s="238">
        <f t="shared" ca="1" si="17"/>
        <v>0.11439694039672196</v>
      </c>
      <c r="U66" s="223"/>
      <c r="V66" s="235">
        <f ca="1">_xll.DBRW(Server&amp;Cube1,$N$15,$N$16,$N$17,$N$18,$N$14,$N$13,$V$2,$V$1,$B66)</f>
        <v>-125185.94</v>
      </c>
      <c r="W66" s="236">
        <f t="shared" ca="1" si="18"/>
        <v>10660.880000000005</v>
      </c>
      <c r="X66" s="238">
        <f t="shared" ca="1" si="19"/>
        <v>8.5160362257934108E-2</v>
      </c>
      <c r="Y66" s="55"/>
      <c r="Z66" s="55"/>
      <c r="AA66" s="55"/>
      <c r="AB66" s="235">
        <f ca="1">_xll.DBRW(Server&amp;Cube1,$N$15,$N$16,$N$17,$N$18,$N$14,$N$13,AB$2,AB$1,$B66)</f>
        <v>-8787.83</v>
      </c>
      <c r="AC66" s="235">
        <f ca="1">_xll.DBRW(Server&amp;Cube1,$N$15,$N$16,$N$17,$N$18,$N$14,$N$13,AC$2,AC$1,$B66)</f>
        <v>-64975.83833333337</v>
      </c>
      <c r="AD66" s="235">
        <f ca="1">_xll.DBRW(Server&amp;Cube1,$N$15,$N$16,$N$17,$N$18,$N$14,$N$13,AD$2,AD$1,$B66)</f>
        <v>-32579.919999999998</v>
      </c>
      <c r="AE66" s="400"/>
      <c r="AF66" s="235">
        <f ca="1">_xll.DBRW(Server&amp;Cube1,$N$15,$N$16,$N$17,$N$18,$N$14,$N$13,AF$2,AF$1,$B66)</f>
        <v>-105737.23000000001</v>
      </c>
      <c r="AG66" s="235">
        <f ca="1">_xll.DBRW(Server&amp;Cube1,$N$15,$N$16,$N$17,$N$18,$N$14,$N$13,AG$2,AG$1,$B66)</f>
        <v>-64342.888333333271</v>
      </c>
      <c r="AH66" s="235">
        <f ca="1">_xll.DBRW(Server&amp;Cube1,$N$15,$N$16,$N$17,$N$18,$N$14,$N$13,AH$2,AH$1,$B66)</f>
        <v>-92606.01999999999</v>
      </c>
      <c r="AI66" s="400"/>
      <c r="AJ66" s="235">
        <f ca="1">_xll.DBRW(Server&amp;Cube1,$N$15,$N$16,$N$17,$N$18,$N$14,$N$13,AJ$2,AJ$1,$B66)</f>
        <v>0</v>
      </c>
      <c r="AK66" s="235">
        <f ca="1">_xll.DBRW(Server&amp;Cube1,$N$15,$N$16,$N$17,$N$18,$N$14,$N$13,AK$2,AK$1,$B66)</f>
        <v>-78245.508333333375</v>
      </c>
      <c r="AL66" s="235">
        <f ca="1">_xll.DBRW(Server&amp;Cube1,$N$15,$N$16,$N$17,$N$18,$N$14,$N$13,AL$2,AL$1,$B66)</f>
        <v>-114980.26</v>
      </c>
      <c r="AM66" s="400"/>
      <c r="AN66" s="235">
        <f ca="1">_xll.DBRW(Server&amp;Cube1,$N$15,$N$16,$N$17,$N$18,$N$14,$N$13,AN$2,AN$1,$B66)</f>
        <v>0</v>
      </c>
      <c r="AO66" s="235">
        <f ca="1">_xll.DBRW(Server&amp;Cube1,$N$15,$N$16,$N$17,$N$18,$N$14,$N$13,AO$2,AO$1,$B66)</f>
        <v>-96053.048333333383</v>
      </c>
      <c r="AP66" s="235">
        <f ca="1">_xll.DBRW(Server&amp;Cube1,$N$15,$N$16,$N$17,$N$18,$N$14,$N$13,AP$2,AP$1,$B66)</f>
        <v>39307.849999999991</v>
      </c>
      <c r="AQ66" s="400"/>
      <c r="AR66" s="235">
        <f ca="1">_xll.DBRW(Server&amp;Cube1,$N$15,$N$16,$N$17,$N$18,$N$14,$N$13,AR$2,AR$1,$B66)</f>
        <v>0</v>
      </c>
      <c r="AS66" s="235">
        <f ca="1">_xll.DBRW(Server&amp;Cube1,$N$15,$N$16,$N$17,$N$18,$N$14,$N$13,AS$2,AS$1,$B66)</f>
        <v>-74858.068333333315</v>
      </c>
      <c r="AT66" s="235">
        <f ca="1">_xll.DBRW(Server&amp;Cube1,$N$15,$N$16,$N$17,$N$18,$N$14,$N$13,AT$2,AT$1,$B66)</f>
        <v>-227366.77999999997</v>
      </c>
      <c r="AU66" s="400"/>
      <c r="AV66" s="235">
        <f ca="1">_xll.DBRW(Server&amp;Cube1,$N$15,$N$16,$N$17,$N$18,$N$14,$N$13,AV$2,AV$1,$B66)</f>
        <v>0</v>
      </c>
      <c r="AW66" s="235">
        <f ca="1">_xll.DBRW(Server&amp;Cube1,$N$15,$N$16,$N$17,$N$18,$N$14,$N$13,AW$2,AW$1,$B66)</f>
        <v>-88038.658333333296</v>
      </c>
      <c r="AX66" s="235">
        <f ca="1">_xll.DBRW(Server&amp;Cube1,$N$15,$N$16,$N$17,$N$18,$N$14,$N$13,AX$2,AX$1,$B66)</f>
        <v>-105515.07999999999</v>
      </c>
      <c r="AY66" s="400"/>
      <c r="AZ66" s="235">
        <f ca="1">_xll.DBRW(Server&amp;Cube1,$N$15,$N$16,$N$17,$N$18,$N$14,$N$13,AZ$2,AZ$1,$B66)</f>
        <v>0</v>
      </c>
      <c r="BA66" s="235">
        <f ca="1">_xll.DBRW(Server&amp;Cube1,$N$15,$N$16,$N$17,$N$18,$N$14,$N$13,BA$2,BA$1,$B66)</f>
        <v>-82045.758333333404</v>
      </c>
      <c r="BB66" s="235">
        <f ca="1">_xll.DBRW(Server&amp;Cube1,$N$15,$N$16,$N$17,$N$18,$N$14,$N$13,BB$2,BB$1,$B66)</f>
        <v>97707.68</v>
      </c>
      <c r="BC66" s="400"/>
      <c r="BD66" s="235">
        <f ca="1">_xll.DBRW(Server&amp;Cube1,$N$15,$N$16,$N$17,$N$18,$N$14,$N$13,BD$2,BD$1,$B66)</f>
        <v>0</v>
      </c>
      <c r="BE66" s="235">
        <f ca="1">_xll.DBRW(Server&amp;Cube1,$N$15,$N$16,$N$17,$N$18,$N$14,$N$13,BE$2,BE$1,$B66)</f>
        <v>-161901.3183333333</v>
      </c>
      <c r="BF66" s="235">
        <f ca="1">_xll.DBRW(Server&amp;Cube1,$N$15,$N$16,$N$17,$N$18,$N$14,$N$13,BF$2,BF$1,$B66)</f>
        <v>-109031.82999999999</v>
      </c>
      <c r="BG66" s="400"/>
      <c r="BH66" s="235">
        <f ca="1">_xll.DBRW(Server&amp;Cube1,$N$15,$N$16,$N$17,$N$18,$N$14,$N$13,BH$2,BH$1,$B66)</f>
        <v>0</v>
      </c>
      <c r="BI66" s="235">
        <f ca="1">_xll.DBRW(Server&amp;Cube1,$N$15,$N$16,$N$17,$N$18,$N$14,$N$13,BI$2,BI$1,$B66)</f>
        <v>-85128.8183333333</v>
      </c>
      <c r="BJ66" s="235">
        <f ca="1">_xll.DBRW(Server&amp;Cube1,$N$15,$N$16,$N$17,$N$18,$N$14,$N$13,BJ$2,BJ$1,$B66)</f>
        <v>-24527.330000000016</v>
      </c>
      <c r="BK66" s="400"/>
      <c r="BL66" s="235">
        <f ca="1">_xll.DBRW(Server&amp;Cube1,$N$15,$N$16,$N$17,$N$18,$N$14,$N$13,BL$2,BL$1,$B66)</f>
        <v>0</v>
      </c>
      <c r="BM66" s="235">
        <f ca="1">_xll.DBRW(Server&amp;Cube1,$N$15,$N$16,$N$17,$N$18,$N$14,$N$13,BM$2,BM$1,$B66)</f>
        <v>-99347.168333333713</v>
      </c>
      <c r="BN66" s="235">
        <f ca="1">_xll.DBRW(Server&amp;Cube1,$N$15,$N$16,$N$17,$N$18,$N$14,$N$13,BN$2,BN$1,$B66)</f>
        <v>89202.150000000023</v>
      </c>
      <c r="BO66" s="400"/>
      <c r="BP66" s="235">
        <f ca="1">_xll.DBRW(Server&amp;Cube1,$N$15,$N$16,$N$17,$N$18,$N$14,$N$13,BP$2,BP$1,$B66)</f>
        <v>0</v>
      </c>
      <c r="BQ66" s="235">
        <f ca="1">_xll.DBRW(Server&amp;Cube1,$N$15,$N$16,$N$17,$N$18,$N$14,$N$13,BQ$2,BQ$1,$B66)</f>
        <v>-71781.738333332702</v>
      </c>
      <c r="BR66" s="235">
        <f ca="1">_xll.DBRW(Server&amp;Cube1,$N$15,$N$16,$N$17,$N$18,$N$14,$N$13,BR$2,BR$1,$B66)</f>
        <v>-165486.35</v>
      </c>
      <c r="BS66" s="400"/>
      <c r="BT66" s="235">
        <f ca="1">_xll.DBRW(Server&amp;Cube1,$N$15,$N$16,$N$17,$N$18,$N$14,$N$13,BT$2,BT$1,$B66)</f>
        <v>0</v>
      </c>
      <c r="BU66" s="235">
        <f ca="1">_xll.DBRW(Server&amp;Cube1,$N$15,$N$16,$N$17,$N$18,$N$14,$N$13,BU$2,BU$1,$B66)</f>
        <v>-411295.92833333358</v>
      </c>
      <c r="BV66" s="235">
        <f ca="1">_xll.DBRW(Server&amp;Cube1,$N$15,$N$16,$N$17,$N$18,$N$14,$N$13,BV$2,BV$1,$B66)</f>
        <v>-58451.869999999988</v>
      </c>
      <c r="BW66" s="55"/>
      <c r="BX66" s="28"/>
    </row>
    <row r="67" spans="1:78" ht="19.5" hidden="1" customHeight="1" outlineLevel="1" x14ac:dyDescent="0.2">
      <c r="A67" s="142"/>
      <c r="B67" s="360" t="s">
        <v>56</v>
      </c>
      <c r="H67" s="360"/>
      <c r="I67" s="69"/>
      <c r="J67" s="54"/>
      <c r="K67" s="9"/>
      <c r="L67" s="555" t="str">
        <f ca="1">_xll.DBRA(Server&amp;$B$32,$B67,$N$19)</f>
        <v>Spare parts for maintenance of rolling stock</v>
      </c>
      <c r="M67" s="555"/>
      <c r="N67" s="555"/>
      <c r="O67" s="555"/>
      <c r="P67" s="234"/>
      <c r="Q67" s="235">
        <f ca="1">_xll.DBRW(Server&amp;Cube1,$N$15,$N$16,$N$17,$N$18,$N$14,$N$13,$N$11,$Q$1,$B67)</f>
        <v>-744153219.88999999</v>
      </c>
      <c r="R67" s="235">
        <f ca="1">_xll.DBRW(Server&amp;Cube1,$N$15,$N$16,$N$17,$N$18,$N$14,$N$13,$R$2,$R$1,$B67)</f>
        <v>-739678582.70448971</v>
      </c>
      <c r="S67" s="236">
        <f t="shared" ca="1" si="16"/>
        <v>-4474637.1855102777</v>
      </c>
      <c r="T67" s="238">
        <f t="shared" ca="1" si="17"/>
        <v>-6.049434565415757E-3</v>
      </c>
      <c r="U67" s="223"/>
      <c r="V67" s="235">
        <f ca="1">_xll.DBRW(Server&amp;Cube1,$N$15,$N$16,$N$17,$N$18,$N$14,$N$13,$V$2,$V$1,$B67)</f>
        <v>-700242540.54267311</v>
      </c>
      <c r="W67" s="236">
        <f t="shared" ca="1" si="18"/>
        <v>-43910679.347326875</v>
      </c>
      <c r="X67" s="238">
        <f t="shared" ca="1" si="19"/>
        <v>-6.2707814514235349E-2</v>
      </c>
      <c r="Y67" s="55"/>
      <c r="Z67" s="55"/>
      <c r="AA67" s="55"/>
      <c r="AB67" s="235">
        <f ca="1">_xll.DBRW(Server&amp;Cube1,$N$15,$N$16,$N$17,$N$18,$N$14,$N$13,AB$2,AB$1,$B67)</f>
        <v>-368208250.90999997</v>
      </c>
      <c r="AC67" s="235">
        <f ca="1">_xll.DBRW(Server&amp;Cube1,$N$15,$N$16,$N$17,$N$18,$N$14,$N$13,AC$2,AC$1,$B67)</f>
        <v>-359210888.16856021</v>
      </c>
      <c r="AD67" s="235">
        <f ca="1">_xll.DBRW(Server&amp;Cube1,$N$15,$N$16,$N$17,$N$18,$N$14,$N$13,AD$2,AD$1,$B67)</f>
        <v>-14990685.436326997</v>
      </c>
      <c r="AE67" s="400"/>
      <c r="AF67" s="235">
        <f ca="1">_xll.DBRW(Server&amp;Cube1,$N$15,$N$16,$N$17,$N$18,$N$14,$N$13,AF$2,AF$1,$B67)</f>
        <v>-375944968.9800002</v>
      </c>
      <c r="AG67" s="235">
        <f ca="1">_xll.DBRW(Server&amp;Cube1,$N$15,$N$16,$N$17,$N$18,$N$14,$N$13,AG$2,AG$1,$B67)</f>
        <v>-380467694.5359295</v>
      </c>
      <c r="AH67" s="235">
        <f ca="1">_xll.DBRW(Server&amp;Cube1,$N$15,$N$16,$N$17,$N$18,$N$14,$N$13,AH$2,AH$1,$B67)</f>
        <v>-685251855.10634613</v>
      </c>
      <c r="AI67" s="400"/>
      <c r="AJ67" s="235">
        <f ca="1">_xll.DBRW(Server&amp;Cube1,$N$15,$N$16,$N$17,$N$18,$N$14,$N$13,AJ$2,AJ$1,$B67)</f>
        <v>0</v>
      </c>
      <c r="AK67" s="235">
        <f ca="1">_xll.DBRW(Server&amp;Cube1,$N$15,$N$16,$N$17,$N$18,$N$14,$N$13,AK$2,AK$1,$B67)</f>
        <v>-362866332.13201475</v>
      </c>
      <c r="AL67" s="235">
        <f ca="1">_xll.DBRW(Server&amp;Cube1,$N$15,$N$16,$N$17,$N$18,$N$14,$N$13,AL$2,AL$1,$B67)</f>
        <v>-339265949.52632689</v>
      </c>
      <c r="AM67" s="400"/>
      <c r="AN67" s="235">
        <f ca="1">_xll.DBRW(Server&amp;Cube1,$N$15,$N$16,$N$17,$N$18,$N$14,$N$13,AN$2,AN$1,$B67)</f>
        <v>0</v>
      </c>
      <c r="AO67" s="235">
        <f ca="1">_xll.DBRW(Server&amp;Cube1,$N$15,$N$16,$N$17,$N$18,$N$14,$N$13,AO$2,AO$1,$B67)</f>
        <v>-380761292.25908929</v>
      </c>
      <c r="AP67" s="235">
        <f ca="1">_xll.DBRW(Server&amp;Cube1,$N$15,$N$16,$N$17,$N$18,$N$14,$N$13,AP$2,AP$1,$B67)</f>
        <v>-351417905.20999998</v>
      </c>
      <c r="AQ67" s="400"/>
      <c r="AR67" s="235">
        <f ca="1">_xll.DBRW(Server&amp;Cube1,$N$15,$N$16,$N$17,$N$18,$N$14,$N$13,AR$2,AR$1,$B67)</f>
        <v>0</v>
      </c>
      <c r="AS67" s="235">
        <f ca="1">_xll.DBRW(Server&amp;Cube1,$N$15,$N$16,$N$17,$N$18,$N$14,$N$13,AS$2,AS$1,$B67)</f>
        <v>-374234913.80804402</v>
      </c>
      <c r="AT67" s="235">
        <f ca="1">_xll.DBRW(Server&amp;Cube1,$N$15,$N$16,$N$17,$N$18,$N$14,$N$13,AT$2,AT$1,$B67)</f>
        <v>-395665734.55999994</v>
      </c>
      <c r="AU67" s="400"/>
      <c r="AV67" s="235">
        <f ca="1">_xll.DBRW(Server&amp;Cube1,$N$15,$N$16,$N$17,$N$18,$N$14,$N$13,AV$2,AV$1,$B67)</f>
        <v>0</v>
      </c>
      <c r="AW67" s="235">
        <f ca="1">_xll.DBRW(Server&amp;Cube1,$N$15,$N$16,$N$17,$N$18,$N$14,$N$13,AW$2,AW$1,$B67)</f>
        <v>-381477182.53722537</v>
      </c>
      <c r="AX67" s="235">
        <f ca="1">_xll.DBRW(Server&amp;Cube1,$N$15,$N$16,$N$17,$N$18,$N$14,$N$13,AX$2,AX$1,$B67)</f>
        <v>-370472780.86000013</v>
      </c>
      <c r="AY67" s="400"/>
      <c r="AZ67" s="235">
        <f ca="1">_xll.DBRW(Server&amp;Cube1,$N$15,$N$16,$N$17,$N$18,$N$14,$N$13,AZ$2,AZ$1,$B67)</f>
        <v>0</v>
      </c>
      <c r="BA67" s="235">
        <f ca="1">_xll.DBRW(Server&amp;Cube1,$N$15,$N$16,$N$17,$N$18,$N$14,$N$13,BA$2,BA$1,$B67)</f>
        <v>-383813837.76777339</v>
      </c>
      <c r="BB67" s="235">
        <f ca="1">_xll.DBRW(Server&amp;Cube1,$N$15,$N$16,$N$17,$N$18,$N$14,$N$13,BB$2,BB$1,$B67)</f>
        <v>2017209392.6736996</v>
      </c>
      <c r="BC67" s="400"/>
      <c r="BD67" s="235">
        <f ca="1">_xll.DBRW(Server&amp;Cube1,$N$15,$N$16,$N$17,$N$18,$N$14,$N$13,BD$2,BD$1,$B67)</f>
        <v>0</v>
      </c>
      <c r="BE67" s="235">
        <f ca="1">_xll.DBRW(Server&amp;Cube1,$N$15,$N$16,$N$17,$N$18,$N$14,$N$13,BE$2,BE$1,$B67)</f>
        <v>-388117096.97951621</v>
      </c>
      <c r="BF67" s="235">
        <f ca="1">_xll.DBRW(Server&amp;Cube1,$N$15,$N$16,$N$17,$N$18,$N$14,$N$13,BF$2,BF$1,$B67)</f>
        <v>-18296381.550000012</v>
      </c>
      <c r="BG67" s="400"/>
      <c r="BH67" s="235">
        <f ca="1">_xll.DBRW(Server&amp;Cube1,$N$15,$N$16,$N$17,$N$18,$N$14,$N$13,BH$2,BH$1,$B67)</f>
        <v>0</v>
      </c>
      <c r="BI67" s="235">
        <f ca="1">_xll.DBRW(Server&amp;Cube1,$N$15,$N$16,$N$17,$N$18,$N$14,$N$13,BI$2,BI$1,$B67)</f>
        <v>-392933529.90148407</v>
      </c>
      <c r="BJ67" s="235">
        <f ca="1">_xll.DBRW(Server&amp;Cube1,$N$15,$N$16,$N$17,$N$18,$N$14,$N$13,BJ$2,BJ$1,$B67)</f>
        <v>-3043800314.5100007</v>
      </c>
      <c r="BK67" s="400"/>
      <c r="BL67" s="235">
        <f ca="1">_xll.DBRW(Server&amp;Cube1,$N$15,$N$16,$N$17,$N$18,$N$14,$N$13,BL$2,BL$1,$B67)</f>
        <v>0</v>
      </c>
      <c r="BM67" s="235">
        <f ca="1">_xll.DBRW(Server&amp;Cube1,$N$15,$N$16,$N$17,$N$18,$N$14,$N$13,BM$2,BM$1,$B67)</f>
        <v>-384247117.25023472</v>
      </c>
      <c r="BN67" s="235">
        <f ca="1">_xll.DBRW(Server&amp;Cube1,$N$15,$N$16,$N$17,$N$18,$N$14,$N$13,BN$2,BN$1,$B67)</f>
        <v>-377986693.34000009</v>
      </c>
      <c r="BO67" s="400"/>
      <c r="BP67" s="235">
        <f ca="1">_xll.DBRW(Server&amp;Cube1,$N$15,$N$16,$N$17,$N$18,$N$14,$N$13,BP$2,BP$1,$B67)</f>
        <v>0</v>
      </c>
      <c r="BQ67" s="235">
        <f ca="1">_xll.DBRW(Server&amp;Cube1,$N$15,$N$16,$N$17,$N$18,$N$14,$N$13,BQ$2,BQ$1,$B67)</f>
        <v>-382049294.25502336</v>
      </c>
      <c r="BR67" s="235">
        <f ca="1">_xll.DBRW(Server&amp;Cube1,$N$15,$N$16,$N$17,$N$18,$N$14,$N$13,BR$2,BR$1,$B67)</f>
        <v>-337041334.50000018</v>
      </c>
      <c r="BS67" s="400"/>
      <c r="BT67" s="235">
        <f ca="1">_xll.DBRW(Server&amp;Cube1,$N$15,$N$16,$N$17,$N$18,$N$14,$N$13,BT$2,BT$1,$B67)</f>
        <v>0</v>
      </c>
      <c r="BU67" s="235">
        <f ca="1">_xll.DBRW(Server&amp;Cube1,$N$15,$N$16,$N$17,$N$18,$N$14,$N$13,BU$2,BU$1,$B67)</f>
        <v>-346991920.19082481</v>
      </c>
      <c r="BV67" s="235">
        <f ca="1">_xll.DBRW(Server&amp;Cube1,$N$15,$N$16,$N$17,$N$18,$N$14,$N$13,BV$2,BV$1,$B67)</f>
        <v>-4168275539.4899998</v>
      </c>
      <c r="BW67" s="55"/>
      <c r="BX67" s="28"/>
    </row>
    <row r="68" spans="1:78" ht="19.5" hidden="1" customHeight="1" outlineLevel="1" x14ac:dyDescent="0.2">
      <c r="A68" s="142"/>
      <c r="B68" s="360" t="s">
        <v>57</v>
      </c>
      <c r="H68" s="360"/>
      <c r="I68" s="69"/>
      <c r="J68" s="54"/>
      <c r="K68" s="9"/>
      <c r="L68" s="555" t="str">
        <f ca="1">_xll.DBRA(Server&amp;$B$32,$B68,$N$19)</f>
        <v>Tyres</v>
      </c>
      <c r="M68" s="555"/>
      <c r="N68" s="555"/>
      <c r="O68" s="555"/>
      <c r="P68" s="234"/>
      <c r="Q68" s="235">
        <f ca="1">_xll.DBRW(Server&amp;Cube1,$N$15,$N$16,$N$17,$N$18,$N$14,$N$13,$N$11,$Q$1,$B68)</f>
        <v>-61363902.430000022</v>
      </c>
      <c r="R68" s="235">
        <f ca="1">_xll.DBRW(Server&amp;Cube1,$N$15,$N$16,$N$17,$N$18,$N$14,$N$13,$R$2,$R$1,$B68)</f>
        <v>-7058398.6204418018</v>
      </c>
      <c r="S68" s="236">
        <f t="shared" ca="1" si="16"/>
        <v>-54305503.80955822</v>
      </c>
      <c r="T68" s="238">
        <f t="shared" ca="1" si="17"/>
        <v>-7.6937428345693393</v>
      </c>
      <c r="U68" s="223"/>
      <c r="V68" s="235">
        <f ca="1">_xll.DBRW(Server&amp;Cube1,$N$15,$N$16,$N$17,$N$18,$N$14,$N$13,$V$2,$V$1,$B68)</f>
        <v>-59729100.000001408</v>
      </c>
      <c r="W68" s="236">
        <f t="shared" ca="1" si="18"/>
        <v>-1634802.4299986139</v>
      </c>
      <c r="X68" s="238">
        <f t="shared" ca="1" si="19"/>
        <v>-2.7370283998897946E-2</v>
      </c>
      <c r="Y68" s="55"/>
      <c r="Z68" s="55"/>
      <c r="AA68" s="55"/>
      <c r="AB68" s="235">
        <f ca="1">_xll.DBRW(Server&amp;Cube1,$N$15,$N$16,$N$17,$N$18,$N$14,$N$13,AB$2,AB$1,$B68)</f>
        <v>-33635805.349999987</v>
      </c>
      <c r="AC68" s="235">
        <f ca="1">_xll.DBRW(Server&amp;Cube1,$N$15,$N$16,$N$17,$N$18,$N$14,$N$13,AC$2,AC$1,$B68)</f>
        <v>-3684624.3583708615</v>
      </c>
      <c r="AD68" s="235">
        <f ca="1">_xll.DBRW(Server&amp;Cube1,$N$15,$N$16,$N$17,$N$18,$N$14,$N$13,AD$2,AD$1,$B68)</f>
        <v>-2598658.0199994994</v>
      </c>
      <c r="AE68" s="400"/>
      <c r="AF68" s="235">
        <f ca="1">_xll.DBRW(Server&amp;Cube1,$N$15,$N$16,$N$17,$N$18,$N$14,$N$13,AF$2,AF$1,$B68)</f>
        <v>-27728097.079999998</v>
      </c>
      <c r="AG68" s="235">
        <f ca="1">_xll.DBRW(Server&amp;Cube1,$N$15,$N$16,$N$17,$N$18,$N$14,$N$13,AG$2,AG$1,$B68)</f>
        <v>-3373774.2620709413</v>
      </c>
      <c r="AH68" s="235">
        <f ca="1">_xll.DBRW(Server&amp;Cube1,$N$15,$N$16,$N$17,$N$18,$N$14,$N$13,AH$2,AH$1,$B68)</f>
        <v>-57130441.980001912</v>
      </c>
      <c r="AI68" s="400"/>
      <c r="AJ68" s="235">
        <f ca="1">_xll.DBRW(Server&amp;Cube1,$N$15,$N$16,$N$17,$N$18,$N$14,$N$13,AJ$2,AJ$1,$B68)</f>
        <v>0</v>
      </c>
      <c r="AK68" s="235">
        <f ca="1">_xll.DBRW(Server&amp;Cube1,$N$15,$N$16,$N$17,$N$18,$N$14,$N$13,AK$2,AK$1,$B68)</f>
        <v>-4043390.168895069</v>
      </c>
      <c r="AL68" s="235">
        <f ca="1">_xll.DBRW(Server&amp;Cube1,$N$15,$N$16,$N$17,$N$18,$N$14,$N$13,AL$2,AL$1,$B68)</f>
        <v>-26766130.099998601</v>
      </c>
      <c r="AM68" s="400"/>
      <c r="AN68" s="235">
        <f ca="1">_xll.DBRW(Server&amp;Cube1,$N$15,$N$16,$N$17,$N$18,$N$14,$N$13,AN$2,AN$1,$B68)</f>
        <v>0</v>
      </c>
      <c r="AO68" s="235">
        <f ca="1">_xll.DBRW(Server&amp;Cube1,$N$15,$N$16,$N$17,$N$18,$N$14,$N$13,AO$2,AO$1,$B68)</f>
        <v>-3707869.8001385396</v>
      </c>
      <c r="AP68" s="235">
        <f ca="1">_xll.DBRW(Server&amp;Cube1,$N$15,$N$16,$N$17,$N$18,$N$14,$N$13,AP$2,AP$1,$B68)</f>
        <v>-24250200.700000003</v>
      </c>
      <c r="AQ68" s="400"/>
      <c r="AR68" s="235">
        <f ca="1">_xll.DBRW(Server&amp;Cube1,$N$15,$N$16,$N$17,$N$18,$N$14,$N$13,AR$2,AR$1,$B68)</f>
        <v>0</v>
      </c>
      <c r="AS68" s="235">
        <f ca="1">_xll.DBRW(Server&amp;Cube1,$N$15,$N$16,$N$17,$N$18,$N$14,$N$13,AS$2,AS$1,$B68)</f>
        <v>-3940761.1976543758</v>
      </c>
      <c r="AT68" s="235">
        <f ca="1">_xll.DBRW(Server&amp;Cube1,$N$15,$N$16,$N$17,$N$18,$N$14,$N$13,AT$2,AT$1,$B68)</f>
        <v>-39328324.780000016</v>
      </c>
      <c r="AU68" s="400"/>
      <c r="AV68" s="235">
        <f ca="1">_xll.DBRW(Server&amp;Cube1,$N$15,$N$16,$N$17,$N$18,$N$14,$N$13,AV$2,AV$1,$B68)</f>
        <v>0</v>
      </c>
      <c r="AW68" s="235">
        <f ca="1">_xll.DBRW(Server&amp;Cube1,$N$15,$N$16,$N$17,$N$18,$N$14,$N$13,AW$2,AW$1,$B68)</f>
        <v>-3763267.8678903449</v>
      </c>
      <c r="AX68" s="235">
        <f ca="1">_xll.DBRW(Server&amp;Cube1,$N$15,$N$16,$N$17,$N$18,$N$14,$N$13,AX$2,AX$1,$B68)</f>
        <v>-45219532.260000005</v>
      </c>
      <c r="AY68" s="400"/>
      <c r="AZ68" s="235">
        <f ca="1">_xll.DBRW(Server&amp;Cube1,$N$15,$N$16,$N$17,$N$18,$N$14,$N$13,AZ$2,AZ$1,$B68)</f>
        <v>0</v>
      </c>
      <c r="BA68" s="235">
        <f ca="1">_xll.DBRW(Server&amp;Cube1,$N$15,$N$16,$N$17,$N$18,$N$14,$N$13,BA$2,BA$1,$B68)</f>
        <v>-3635787.0134677817</v>
      </c>
      <c r="BB68" s="235">
        <f ca="1">_xll.DBRW(Server&amp;Cube1,$N$15,$N$16,$N$17,$N$18,$N$14,$N$13,BB$2,BB$1,$B68)</f>
        <v>169651578.46333796</v>
      </c>
      <c r="BC68" s="400"/>
      <c r="BD68" s="235">
        <f ca="1">_xll.DBRW(Server&amp;Cube1,$N$15,$N$16,$N$17,$N$18,$N$14,$N$13,BD$2,BD$1,$B68)</f>
        <v>0</v>
      </c>
      <c r="BE68" s="235">
        <f ca="1">_xll.DBRW(Server&amp;Cube1,$N$15,$N$16,$N$17,$N$18,$N$14,$N$13,BE$2,BE$1,$B68)</f>
        <v>-3051804.1804544725</v>
      </c>
      <c r="BF68" s="235">
        <f ca="1">_xll.DBRW(Server&amp;Cube1,$N$15,$N$16,$N$17,$N$18,$N$14,$N$13,BF$2,BF$1,$B68)</f>
        <v>-5384596.0999999996</v>
      </c>
      <c r="BG68" s="400"/>
      <c r="BH68" s="235">
        <f ca="1">_xll.DBRW(Server&amp;Cube1,$N$15,$N$16,$N$17,$N$18,$N$14,$N$13,BH$2,BH$1,$B68)</f>
        <v>0</v>
      </c>
      <c r="BI68" s="235">
        <f ca="1">_xll.DBRW(Server&amp;Cube1,$N$15,$N$16,$N$17,$N$18,$N$14,$N$13,BI$2,BI$1,$B68)</f>
        <v>-5598513.0258962382</v>
      </c>
      <c r="BJ68" s="235">
        <f ca="1">_xll.DBRW(Server&amp;Cube1,$N$15,$N$16,$N$17,$N$18,$N$14,$N$13,BJ$2,BJ$1,$B68)</f>
        <v>-270435651.64999974</v>
      </c>
      <c r="BK68" s="400"/>
      <c r="BL68" s="235">
        <f ca="1">_xll.DBRW(Server&amp;Cube1,$N$15,$N$16,$N$17,$N$18,$N$14,$N$13,BL$2,BL$1,$B68)</f>
        <v>0</v>
      </c>
      <c r="BM68" s="235">
        <f ca="1">_xll.DBRW(Server&amp;Cube1,$N$15,$N$16,$N$17,$N$18,$N$14,$N$13,BM$2,BM$1,$B68)</f>
        <v>-6233785.7741931397</v>
      </c>
      <c r="BN68" s="235">
        <f ca="1">_xll.DBRW(Server&amp;Cube1,$N$15,$N$16,$N$17,$N$18,$N$14,$N$13,BN$2,BN$1,$B68)</f>
        <v>-47622495.550000012</v>
      </c>
      <c r="BO68" s="400"/>
      <c r="BP68" s="235">
        <f ca="1">_xll.DBRW(Server&amp;Cube1,$N$15,$N$16,$N$17,$N$18,$N$14,$N$13,BP$2,BP$1,$B68)</f>
        <v>0</v>
      </c>
      <c r="BQ68" s="235">
        <f ca="1">_xll.DBRW(Server&amp;Cube1,$N$15,$N$16,$N$17,$N$18,$N$14,$N$13,BQ$2,BQ$1,$B68)</f>
        <v>-4486357.1586505575</v>
      </c>
      <c r="BR68" s="235">
        <f ca="1">_xll.DBRW(Server&amp;Cube1,$N$15,$N$16,$N$17,$N$18,$N$14,$N$13,BR$2,BR$1,$B68)</f>
        <v>-33668658.5</v>
      </c>
      <c r="BS68" s="400"/>
      <c r="BT68" s="235">
        <f ca="1">_xll.DBRW(Server&amp;Cube1,$N$15,$N$16,$N$17,$N$18,$N$14,$N$13,BT$2,BT$1,$B68)</f>
        <v>0</v>
      </c>
      <c r="BU68" s="235">
        <f ca="1">_xll.DBRW(Server&amp;Cube1,$N$15,$N$16,$N$17,$N$18,$N$14,$N$13,BU$2,BU$1,$B68)</f>
        <v>-3848610.2154114111</v>
      </c>
      <c r="BV68" s="235">
        <f ca="1">_xll.DBRW(Server&amp;Cube1,$N$15,$N$16,$N$17,$N$18,$N$14,$N$13,BV$2,BV$1,$B68)</f>
        <v>-365939090.73000014</v>
      </c>
      <c r="BW68" s="55"/>
      <c r="BX68" s="28"/>
    </row>
    <row r="69" spans="1:78" ht="19.5" hidden="1" customHeight="1" outlineLevel="1" x14ac:dyDescent="0.2">
      <c r="A69" s="142"/>
      <c r="B69" s="360" t="s">
        <v>58</v>
      </c>
      <c r="H69" s="360"/>
      <c r="I69" s="69"/>
      <c r="J69" s="54"/>
      <c r="K69" s="9"/>
      <c r="L69" s="555" t="str">
        <f ca="1">_xll.DBRA(Server&amp;$B$32,$B69,$N$19)</f>
        <v>Lubricants</v>
      </c>
      <c r="M69" s="555"/>
      <c r="N69" s="555"/>
      <c r="O69" s="555"/>
      <c r="P69" s="234"/>
      <c r="Q69" s="235">
        <f ca="1">_xll.DBRW(Server&amp;Cube1,$N$15,$N$16,$N$17,$N$18,$N$14,$N$13,$N$11,$Q$1,$B69)</f>
        <v>-116538590.85999998</v>
      </c>
      <c r="R69" s="235">
        <f ca="1">_xll.DBRW(Server&amp;Cube1,$N$15,$N$16,$N$17,$N$18,$N$14,$N$13,$R$2,$R$1,$B69)</f>
        <v>-1978184.1009194225</v>
      </c>
      <c r="S69" s="236">
        <f t="shared" ca="1" si="16"/>
        <v>-114560406.75908056</v>
      </c>
      <c r="T69" s="238">
        <f t="shared" ca="1" si="17"/>
        <v>-57.911903500708078</v>
      </c>
      <c r="U69" s="223"/>
      <c r="V69" s="235">
        <f ca="1">_xll.DBRW(Server&amp;Cube1,$N$15,$N$16,$N$17,$N$18,$N$14,$N$13,$V$2,$V$1,$B69)</f>
        <v>-60236195.518329613</v>
      </c>
      <c r="W69" s="236">
        <f t="shared" ca="1" si="18"/>
        <v>-56302395.341670372</v>
      </c>
      <c r="X69" s="238">
        <f t="shared" ca="1" si="19"/>
        <v>-0.93469374779052572</v>
      </c>
      <c r="Y69" s="55"/>
      <c r="Z69" s="55"/>
      <c r="AA69" s="55"/>
      <c r="AB69" s="235">
        <f ca="1">_xll.DBRW(Server&amp;Cube1,$N$15,$N$16,$N$17,$N$18,$N$14,$N$13,AB$2,AB$1,$B69)</f>
        <v>-64390268.140000001</v>
      </c>
      <c r="AC69" s="235">
        <f ca="1">_xll.DBRW(Server&amp;Cube1,$N$15,$N$16,$N$17,$N$18,$N$14,$N$13,AC$2,AC$1,$B69)</f>
        <v>-990607.46971584333</v>
      </c>
      <c r="AD69" s="235">
        <f ca="1">_xll.DBRW(Server&amp;Cube1,$N$15,$N$16,$N$17,$N$18,$N$14,$N$13,AD$2,AD$1,$B69)</f>
        <v>-720181.15916680032</v>
      </c>
      <c r="AE69" s="400"/>
      <c r="AF69" s="235">
        <f ca="1">_xll.DBRW(Server&amp;Cube1,$N$15,$N$16,$N$17,$N$18,$N$14,$N$13,AF$2,AF$1,$B69)</f>
        <v>-52148322.719999984</v>
      </c>
      <c r="AG69" s="235">
        <f ca="1">_xll.DBRW(Server&amp;Cube1,$N$15,$N$16,$N$17,$N$18,$N$14,$N$13,AG$2,AG$1,$B69)</f>
        <v>-987576.6312035796</v>
      </c>
      <c r="AH69" s="235">
        <f ca="1">_xll.DBRW(Server&amp;Cube1,$N$15,$N$16,$N$17,$N$18,$N$14,$N$13,AH$2,AH$1,$B69)</f>
        <v>-59516014.35916283</v>
      </c>
      <c r="AI69" s="400"/>
      <c r="AJ69" s="235">
        <f ca="1">_xll.DBRW(Server&amp;Cube1,$N$15,$N$16,$N$17,$N$18,$N$14,$N$13,AJ$2,AJ$1,$B69)</f>
        <v>0</v>
      </c>
      <c r="AK69" s="235">
        <f ca="1">_xll.DBRW(Server&amp;Cube1,$N$15,$N$16,$N$17,$N$18,$N$14,$N$13,AK$2,AK$1,$B69)</f>
        <v>-1037557.9010996905</v>
      </c>
      <c r="AL69" s="235">
        <f ca="1">_xll.DBRW(Server&amp;Cube1,$N$15,$N$16,$N$17,$N$18,$N$14,$N$13,AL$2,AL$1,$B69)</f>
        <v>-19379560.389170401</v>
      </c>
      <c r="AM69" s="400"/>
      <c r="AN69" s="235">
        <f ca="1">_xll.DBRW(Server&amp;Cube1,$N$15,$N$16,$N$17,$N$18,$N$14,$N$13,AN$2,AN$1,$B69)</f>
        <v>0</v>
      </c>
      <c r="AO69" s="235">
        <f ca="1">_xll.DBRW(Server&amp;Cube1,$N$15,$N$16,$N$17,$N$18,$N$14,$N$13,AO$2,AO$1,$B69)</f>
        <v>-975234.54110780323</v>
      </c>
      <c r="AP69" s="235">
        <f ca="1">_xll.DBRW(Server&amp;Cube1,$N$15,$N$16,$N$17,$N$18,$N$14,$N$13,AP$2,AP$1,$B69)</f>
        <v>-25067888.379999995</v>
      </c>
      <c r="AQ69" s="400"/>
      <c r="AR69" s="235">
        <f ca="1">_xll.DBRW(Server&amp;Cube1,$N$15,$N$16,$N$17,$N$18,$N$14,$N$13,AR$2,AR$1,$B69)</f>
        <v>0</v>
      </c>
      <c r="AS69" s="235">
        <f ca="1">_xll.DBRW(Server&amp;Cube1,$N$15,$N$16,$N$17,$N$18,$N$14,$N$13,AS$2,AS$1,$B69)</f>
        <v>-993647.94548423018</v>
      </c>
      <c r="AT69" s="235">
        <f ca="1">_xll.DBRW(Server&amp;Cube1,$N$15,$N$16,$N$17,$N$18,$N$14,$N$13,AT$2,AT$1,$B69)</f>
        <v>-38345585.469999976</v>
      </c>
      <c r="AU69" s="400"/>
      <c r="AV69" s="235">
        <f ca="1">_xll.DBRW(Server&amp;Cube1,$N$15,$N$16,$N$17,$N$18,$N$14,$N$13,AV$2,AV$1,$B69)</f>
        <v>0</v>
      </c>
      <c r="AW69" s="235">
        <f ca="1">_xll.DBRW(Server&amp;Cube1,$N$15,$N$16,$N$17,$N$18,$N$14,$N$13,AW$2,AW$1,$B69)</f>
        <v>-1014625.2233780624</v>
      </c>
      <c r="AX69" s="235">
        <f ca="1">_xll.DBRW(Server&amp;Cube1,$N$15,$N$16,$N$17,$N$18,$N$14,$N$13,AX$2,AX$1,$B69)</f>
        <v>-31405663.049999993</v>
      </c>
      <c r="AY69" s="400"/>
      <c r="AZ69" s="235">
        <f ca="1">_xll.DBRW(Server&amp;Cube1,$N$15,$N$16,$N$17,$N$18,$N$14,$N$13,AZ$2,AZ$1,$B69)</f>
        <v>0</v>
      </c>
      <c r="BA69" s="235">
        <f ca="1">_xll.DBRW(Server&amp;Cube1,$N$15,$N$16,$N$17,$N$18,$N$14,$N$13,BA$2,BA$1,$B69)</f>
        <v>-903080.97923941584</v>
      </c>
      <c r="BB69" s="235">
        <f ca="1">_xll.DBRW(Server&amp;Cube1,$N$15,$N$16,$N$17,$N$18,$N$14,$N$13,BB$2,BB$1,$B69)</f>
        <v>167501971.68083203</v>
      </c>
      <c r="BC69" s="400"/>
      <c r="BD69" s="235">
        <f ca="1">_xll.DBRW(Server&amp;Cube1,$N$15,$N$16,$N$17,$N$18,$N$14,$N$13,BD$2,BD$1,$B69)</f>
        <v>0</v>
      </c>
      <c r="BE69" s="235">
        <f ca="1">_xll.DBRW(Server&amp;Cube1,$N$15,$N$16,$N$17,$N$18,$N$14,$N$13,BE$2,BE$1,$B69)</f>
        <v>-897233.77063991642</v>
      </c>
      <c r="BF69" s="235">
        <f ca="1">_xll.DBRW(Server&amp;Cube1,$N$15,$N$16,$N$17,$N$18,$N$14,$N$13,BF$2,BF$1,$B69)</f>
        <v>-1332930.51</v>
      </c>
      <c r="BG69" s="400"/>
      <c r="BH69" s="235">
        <f ca="1">_xll.DBRW(Server&amp;Cube1,$N$15,$N$16,$N$17,$N$18,$N$14,$N$13,BH$2,BH$1,$B69)</f>
        <v>0</v>
      </c>
      <c r="BI69" s="235">
        <f ca="1">_xll.DBRW(Server&amp;Cube1,$N$15,$N$16,$N$17,$N$18,$N$14,$N$13,BI$2,BI$1,$B69)</f>
        <v>-984957.96128226025</v>
      </c>
      <c r="BJ69" s="235">
        <f ca="1">_xll.DBRW(Server&amp;Cube1,$N$15,$N$16,$N$17,$N$18,$N$14,$N$13,BJ$2,BJ$1,$B69)</f>
        <v>-331870917.63</v>
      </c>
      <c r="BK69" s="400"/>
      <c r="BL69" s="235">
        <f ca="1">_xll.DBRW(Server&amp;Cube1,$N$15,$N$16,$N$17,$N$18,$N$14,$N$13,BL$2,BL$1,$B69)</f>
        <v>0</v>
      </c>
      <c r="BM69" s="235">
        <f ca="1">_xll.DBRW(Server&amp;Cube1,$N$15,$N$16,$N$17,$N$18,$N$14,$N$13,BM$2,BM$1,$B69)</f>
        <v>-965266.69738096267</v>
      </c>
      <c r="BN69" s="235">
        <f ca="1">_xll.DBRW(Server&amp;Cube1,$N$15,$N$16,$N$17,$N$18,$N$14,$N$13,BN$2,BN$1,$B69)</f>
        <v>-52282513.920000009</v>
      </c>
      <c r="BO69" s="400"/>
      <c r="BP69" s="235">
        <f ca="1">_xll.DBRW(Server&amp;Cube1,$N$15,$N$16,$N$17,$N$18,$N$14,$N$13,BP$2,BP$1,$B69)</f>
        <v>0</v>
      </c>
      <c r="BQ69" s="235">
        <f ca="1">_xll.DBRW(Server&amp;Cube1,$N$15,$N$16,$N$17,$N$18,$N$14,$N$13,BQ$2,BQ$1,$B69)</f>
        <v>-944520.67885436525</v>
      </c>
      <c r="BR69" s="235">
        <f ca="1">_xll.DBRW(Server&amp;Cube1,$N$15,$N$16,$N$17,$N$18,$N$14,$N$13,BR$2,BR$1,$B69)</f>
        <v>-59340552.190000005</v>
      </c>
      <c r="BS69" s="400"/>
      <c r="BT69" s="235">
        <f ca="1">_xll.DBRW(Server&amp;Cube1,$N$15,$N$16,$N$17,$N$18,$N$14,$N$13,BT$2,BT$1,$B69)</f>
        <v>0</v>
      </c>
      <c r="BU69" s="235">
        <f ca="1">_xll.DBRW(Server&amp;Cube1,$N$15,$N$16,$N$17,$N$18,$N$14,$N$13,BU$2,BU$1,$B69)</f>
        <v>-934539.49592907215</v>
      </c>
      <c r="BV69" s="235">
        <f ca="1">_xll.DBRW(Server&amp;Cube1,$N$15,$N$16,$N$17,$N$18,$N$14,$N$13,BV$2,BV$1,$B69)</f>
        <v>-493117433.36000001</v>
      </c>
      <c r="BW69" s="55"/>
      <c r="BX69" s="28"/>
    </row>
    <row r="70" spans="1:78" ht="19.5" hidden="1" customHeight="1" outlineLevel="1" x14ac:dyDescent="0.2">
      <c r="A70" s="142"/>
      <c r="B70" s="360" t="s">
        <v>59</v>
      </c>
      <c r="H70" s="360"/>
      <c r="I70" s="69"/>
      <c r="J70" s="54"/>
      <c r="K70" s="9"/>
      <c r="L70" s="555" t="str">
        <f ca="1">LEFT(_xll.DBRA(Server&amp;$B$32,$B70,$N$19),FIND("(",_xll.DBRA(Server&amp;$B$32,$B70,$N$19),1)-1)</f>
        <v xml:space="preserve">Others </v>
      </c>
      <c r="M70" s="555"/>
      <c r="N70" s="555"/>
      <c r="O70" s="555"/>
      <c r="P70" s="234"/>
      <c r="Q70" s="235">
        <f ca="1">_xll.DBRW(Server&amp;Cube1,$N$15,$N$16,$N$17,$N$18,$N$14,$N$13,$N$11,$Q$1,$B70)</f>
        <v>-225306164.26999998</v>
      </c>
      <c r="R70" s="235">
        <f ca="1">_xll.DBRW(Server&amp;Cube1,$N$15,$N$16,$N$17,$N$18,$N$14,$N$13,$R$2,$R$1,$B70)</f>
        <v>-88806042.242456287</v>
      </c>
      <c r="S70" s="236">
        <f t="shared" ca="1" si="16"/>
        <v>-136500122.02754369</v>
      </c>
      <c r="T70" s="238">
        <f t="shared" ca="1" si="17"/>
        <v>-1.5370589498276941</v>
      </c>
      <c r="U70" s="223"/>
      <c r="V70" s="235">
        <f ca="1">_xll.DBRW(Server&amp;Cube1,$N$15,$N$16,$N$17,$N$18,$N$14,$N$13,$V$2,$V$1,$B70)</f>
        <v>-106744828.11666672</v>
      </c>
      <c r="W70" s="236">
        <f t="shared" ca="1" si="18"/>
        <v>-118561336.15333326</v>
      </c>
      <c r="X70" s="238">
        <f t="shared" ca="1" si="19"/>
        <v>-1.1106986469054192</v>
      </c>
      <c r="Y70" s="55"/>
      <c r="Z70" s="55"/>
      <c r="AA70" s="55"/>
      <c r="AB70" s="235">
        <f ca="1">_xll.DBRW(Server&amp;Cube1,$N$15,$N$16,$N$17,$N$18,$N$14,$N$13,AB$2,AB$1,$B70)</f>
        <v>-135754555.45000002</v>
      </c>
      <c r="AC70" s="235">
        <f ca="1">_xll.DBRW(Server&amp;Cube1,$N$15,$N$16,$N$17,$N$18,$N$14,$N$13,AC$2,AC$1,$B70)</f>
        <v>-41093668.953993201</v>
      </c>
      <c r="AD70" s="235">
        <f ca="1">_xll.DBRW(Server&amp;Cube1,$N$15,$N$16,$N$17,$N$18,$N$14,$N$13,AD$2,AD$1,$B70)</f>
        <v>-7911492.8483333699</v>
      </c>
      <c r="AE70" s="400"/>
      <c r="AF70" s="235">
        <f ca="1">_xll.DBRW(Server&amp;Cube1,$N$15,$N$16,$N$17,$N$18,$N$14,$N$13,AF$2,AF$1,$B70)</f>
        <v>-89551608.820000067</v>
      </c>
      <c r="AG70" s="235">
        <f ca="1">_xll.DBRW(Server&amp;Cube1,$N$15,$N$16,$N$17,$N$18,$N$14,$N$13,AG$2,AG$1,$B70)</f>
        <v>-47712373.288463056</v>
      </c>
      <c r="AH70" s="235">
        <f ca="1">_xll.DBRW(Server&amp;Cube1,$N$15,$N$16,$N$17,$N$18,$N$14,$N$13,AH$2,AH$1,$B70)</f>
        <v>-98833335.268333271</v>
      </c>
      <c r="AI70" s="400"/>
      <c r="AJ70" s="235">
        <f ca="1">_xll.DBRW(Server&amp;Cube1,$N$15,$N$16,$N$17,$N$18,$N$14,$N$13,AJ$2,AJ$1,$B70)</f>
        <v>0</v>
      </c>
      <c r="AK70" s="235">
        <f ca="1">_xll.DBRW(Server&amp;Cube1,$N$15,$N$16,$N$17,$N$18,$N$14,$N$13,AK$2,AK$1,$B70)</f>
        <v>-37907485.941795804</v>
      </c>
      <c r="AL70" s="235">
        <f ca="1">_xll.DBRW(Server&amp;Cube1,$N$15,$N$16,$N$17,$N$18,$N$14,$N$13,AL$2,AL$1,$B70)</f>
        <v>-70524202.608333319</v>
      </c>
      <c r="AM70" s="400"/>
      <c r="AN70" s="235">
        <f ca="1">_xll.DBRW(Server&amp;Cube1,$N$15,$N$16,$N$17,$N$18,$N$14,$N$13,AN$2,AN$1,$B70)</f>
        <v>0</v>
      </c>
      <c r="AO70" s="235">
        <f ca="1">_xll.DBRW(Server&amp;Cube1,$N$15,$N$16,$N$17,$N$18,$N$14,$N$13,AO$2,AO$1,$B70)</f>
        <v>-41189212.346661828</v>
      </c>
      <c r="AP70" s="235">
        <f ca="1">_xll.DBRW(Server&amp;Cube1,$N$15,$N$16,$N$17,$N$18,$N$14,$N$13,AP$2,AP$1,$B70)</f>
        <v>-62297208.719999984</v>
      </c>
      <c r="AQ70" s="400"/>
      <c r="AR70" s="235">
        <f ca="1">_xll.DBRW(Server&amp;Cube1,$N$15,$N$16,$N$17,$N$18,$N$14,$N$13,AR$2,AR$1,$B70)</f>
        <v>0</v>
      </c>
      <c r="AS70" s="235">
        <f ca="1">_xll.DBRW(Server&amp;Cube1,$N$15,$N$16,$N$17,$N$18,$N$14,$N$13,AS$2,AS$1,$B70)</f>
        <v>-47368021.93396841</v>
      </c>
      <c r="AT70" s="235">
        <f ca="1">_xll.DBRW(Server&amp;Cube1,$N$15,$N$16,$N$17,$N$18,$N$14,$N$13,AT$2,AT$1,$B70)</f>
        <v>-75151712.800000042</v>
      </c>
      <c r="AU70" s="400"/>
      <c r="AV70" s="235">
        <f ca="1">_xll.DBRW(Server&amp;Cube1,$N$15,$N$16,$N$17,$N$18,$N$14,$N$13,AV$2,AV$1,$B70)</f>
        <v>0</v>
      </c>
      <c r="AW70" s="235">
        <f ca="1">_xll.DBRW(Server&amp;Cube1,$N$15,$N$16,$N$17,$N$18,$N$14,$N$13,AW$2,AW$1,$B70)</f>
        <v>-52069884.69813586</v>
      </c>
      <c r="AX70" s="235">
        <f ca="1">_xll.DBRW(Server&amp;Cube1,$N$15,$N$16,$N$17,$N$18,$N$14,$N$13,AX$2,AX$1,$B70)</f>
        <v>-107073644.04999998</v>
      </c>
      <c r="AY70" s="400"/>
      <c r="AZ70" s="235">
        <f ca="1">_xll.DBRW(Server&amp;Cube1,$N$15,$N$16,$N$17,$N$18,$N$14,$N$13,AZ$2,AZ$1,$B70)</f>
        <v>0</v>
      </c>
      <c r="BA70" s="235">
        <f ca="1">_xll.DBRW(Server&amp;Cube1,$N$15,$N$16,$N$17,$N$18,$N$14,$N$13,BA$2,BA$1,$B70)</f>
        <v>-46111731.787470736</v>
      </c>
      <c r="BB70" s="235">
        <f ca="1">_xll.DBRW(Server&amp;Cube1,$N$15,$N$16,$N$17,$N$18,$N$14,$N$13,BB$2,BB$1,$B70)</f>
        <v>366113717.70999992</v>
      </c>
      <c r="BC70" s="400"/>
      <c r="BD70" s="235">
        <f ca="1">_xll.DBRW(Server&amp;Cube1,$N$15,$N$16,$N$17,$N$18,$N$14,$N$13,BD$2,BD$1,$B70)</f>
        <v>0</v>
      </c>
      <c r="BE70" s="235">
        <f ca="1">_xll.DBRW(Server&amp;Cube1,$N$15,$N$16,$N$17,$N$18,$N$14,$N$13,BE$2,BE$1,$B70)</f>
        <v>-48870452.699480191</v>
      </c>
      <c r="BF70" s="235">
        <f ca="1">_xll.DBRW(Server&amp;Cube1,$N$15,$N$16,$N$17,$N$18,$N$14,$N$13,BF$2,BF$1,$B70)</f>
        <v>-7918404.4400000023</v>
      </c>
      <c r="BG70" s="400"/>
      <c r="BH70" s="235">
        <f ca="1">_xll.DBRW(Server&amp;Cube1,$N$15,$N$16,$N$17,$N$18,$N$14,$N$13,BH$2,BH$1,$B70)</f>
        <v>0</v>
      </c>
      <c r="BI70" s="235">
        <f ca="1">_xll.DBRW(Server&amp;Cube1,$N$15,$N$16,$N$17,$N$18,$N$14,$N$13,BI$2,BI$1,$B70)</f>
        <v>-46453065.984079726</v>
      </c>
      <c r="BJ70" s="235">
        <f ca="1">_xll.DBRW(Server&amp;Cube1,$N$15,$N$16,$N$17,$N$18,$N$14,$N$13,BJ$2,BJ$1,$B70)</f>
        <v>-592426359.73000014</v>
      </c>
      <c r="BK70" s="400"/>
      <c r="BL70" s="235">
        <f ca="1">_xll.DBRW(Server&amp;Cube1,$N$15,$N$16,$N$17,$N$18,$N$14,$N$13,BL$2,BL$1,$B70)</f>
        <v>0</v>
      </c>
      <c r="BM70" s="235">
        <f ca="1">_xll.DBRW(Server&amp;Cube1,$N$15,$N$16,$N$17,$N$18,$N$14,$N$13,BM$2,BM$1,$B70)</f>
        <v>-52332887.636902802</v>
      </c>
      <c r="BN70" s="235">
        <f ca="1">_xll.DBRW(Server&amp;Cube1,$N$15,$N$16,$N$17,$N$18,$N$14,$N$13,BN$2,BN$1,$B70)</f>
        <v>-93482890.949999958</v>
      </c>
      <c r="BO70" s="400"/>
      <c r="BP70" s="235">
        <f ca="1">_xll.DBRW(Server&amp;Cube1,$N$15,$N$16,$N$17,$N$18,$N$14,$N$13,BP$2,BP$1,$B70)</f>
        <v>0</v>
      </c>
      <c r="BQ70" s="235">
        <f ca="1">_xll.DBRW(Server&amp;Cube1,$N$15,$N$16,$N$17,$N$18,$N$14,$N$13,BQ$2,BQ$1,$B70)</f>
        <v>-50397703.982999578</v>
      </c>
      <c r="BR70" s="235">
        <f ca="1">_xll.DBRW(Server&amp;Cube1,$N$15,$N$16,$N$17,$N$18,$N$14,$N$13,BR$2,BR$1,$B70)</f>
        <v>-94847748.980000019</v>
      </c>
      <c r="BS70" s="400"/>
      <c r="BT70" s="235">
        <f ca="1">_xll.DBRW(Server&amp;Cube1,$N$15,$N$16,$N$17,$N$18,$N$14,$N$13,BT$2,BT$1,$B70)</f>
        <v>0</v>
      </c>
      <c r="BU70" s="235">
        <f ca="1">_xll.DBRW(Server&amp;Cube1,$N$15,$N$16,$N$17,$N$18,$N$14,$N$13,BU$2,BU$1,$B70)</f>
        <v>-42905956.377797894</v>
      </c>
      <c r="BV70" s="235">
        <f ca="1">_xll.DBRW(Server&amp;Cube1,$N$15,$N$16,$N$17,$N$18,$N$14,$N$13,BV$2,BV$1,$B70)</f>
        <v>-897163530.03999996</v>
      </c>
      <c r="BW70" s="55"/>
      <c r="BX70" s="28"/>
    </row>
    <row r="71" spans="1:78" ht="19.5" hidden="1" customHeight="1" outlineLevel="1" x14ac:dyDescent="0.2">
      <c r="A71" s="142"/>
      <c r="B71" s="360" t="s">
        <v>54</v>
      </c>
      <c r="H71" s="360"/>
      <c r="I71" s="69"/>
      <c r="J71" s="54"/>
      <c r="K71" s="9"/>
      <c r="L71" s="555" t="str">
        <f ca="1">LEFT(_xll.DBRA(Server&amp;$B$32,$B71,$N$19),FIND("(",_xll.DBRA(Server&amp;$B$32,$B71,$N$19),1)-1)</f>
        <v xml:space="preserve">Subcontracting cleaning </v>
      </c>
      <c r="M71" s="555"/>
      <c r="N71" s="555"/>
      <c r="O71" s="555"/>
      <c r="P71" s="234"/>
      <c r="Q71" s="235">
        <f ca="1">_xll.DBRW(Server&amp;Cube1,$N$15,$N$16,$N$17,$N$18,$N$14,$N$13,$N$11,$Q$1,$B71)</f>
        <v>-3201118.4600000014</v>
      </c>
      <c r="R71" s="235">
        <f ca="1">_xll.DBRW(Server&amp;Cube1,$N$15,$N$16,$N$17,$N$18,$N$14,$N$13,$R$2,$R$1,$B71)</f>
        <v>-7809741.2556231702</v>
      </c>
      <c r="S71" s="236">
        <f t="shared" ref="S71:S76" ca="1" si="20">Q71-R71</f>
        <v>4608622.7956231683</v>
      </c>
      <c r="T71" s="238">
        <f t="shared" ref="T71:T76" ca="1" si="21">IF(R71&lt;&gt;0,IF(R71&gt;0,S71/R71,-S71/R71),0)</f>
        <v>0.59011209779899787</v>
      </c>
      <c r="U71" s="223"/>
      <c r="V71" s="235">
        <f ca="1">_xll.DBRW(Server&amp;Cube1,$N$15,$N$16,$N$17,$N$18,$N$14,$N$13,$V$2,$V$1,$B71)</f>
        <v>-6977357.1599940015</v>
      </c>
      <c r="W71" s="236">
        <f t="shared" ref="W71:W76" ca="1" si="22">Q71-V71</f>
        <v>3776238.6999940001</v>
      </c>
      <c r="X71" s="238">
        <f t="shared" ref="X71:X76" ca="1" si="23">IF(V71&lt;&gt;0,IF(V71&gt;0,W71/V71,-W71/V71),0)</f>
        <v>0.54121332954629009</v>
      </c>
      <c r="Y71" s="55"/>
      <c r="Z71" s="55"/>
      <c r="AA71" s="55"/>
      <c r="AB71" s="235">
        <f ca="1">_xll.DBRW(Server&amp;Cube1,$N$15,$N$16,$N$17,$N$18,$N$14,$N$13,AB$2,AB$1,$B71)</f>
        <v>-1306703.3500000003</v>
      </c>
      <c r="AC71" s="235">
        <f ca="1">_xll.DBRW(Server&amp;Cube1,$N$15,$N$16,$N$17,$N$18,$N$14,$N$13,AC$2,AC$1,$B71)</f>
        <v>-3946742.0344992923</v>
      </c>
      <c r="AD71" s="235">
        <f ca="1">_xll.DBRW(Server&amp;Cube1,$N$15,$N$16,$N$17,$N$18,$N$14,$N$13,AD$2,AD$1,$B71)</f>
        <v>-2772562.6750059696</v>
      </c>
      <c r="AE71" s="400"/>
      <c r="AF71" s="235">
        <f ca="1">_xll.DBRW(Server&amp;Cube1,$N$15,$N$16,$N$17,$N$18,$N$14,$N$13,AF$2,AF$1,$B71)</f>
        <v>-1894415.1099999999</v>
      </c>
      <c r="AG71" s="235">
        <f ca="1">_xll.DBRW(Server&amp;Cube1,$N$15,$N$16,$N$17,$N$18,$N$14,$N$13,AG$2,AG$1,$B71)</f>
        <v>-3862999.2211238793</v>
      </c>
      <c r="AH71" s="235">
        <f ca="1">_xll.DBRW(Server&amp;Cube1,$N$15,$N$16,$N$17,$N$18,$N$14,$N$13,AH$2,AH$1,$B71)</f>
        <v>-4204794.48498803</v>
      </c>
      <c r="AI71" s="400"/>
      <c r="AJ71" s="235">
        <f ca="1">_xll.DBRW(Server&amp;Cube1,$N$15,$N$16,$N$17,$N$18,$N$14,$N$13,AJ$2,AJ$1,$B71)</f>
        <v>0</v>
      </c>
      <c r="AK71" s="235">
        <f ca="1">_xll.DBRW(Server&amp;Cube1,$N$15,$N$16,$N$17,$N$18,$N$14,$N$13,AK$2,AK$1,$B71)</f>
        <v>-3952974.9815322072</v>
      </c>
      <c r="AL71" s="235">
        <f ca="1">_xll.DBRW(Server&amp;Cube1,$N$15,$N$16,$N$17,$N$18,$N$14,$N$13,AL$2,AL$1,$B71)</f>
        <v>-3126195.2450060006</v>
      </c>
      <c r="AM71" s="400"/>
      <c r="AN71" s="235">
        <f ca="1">_xll.DBRW(Server&amp;Cube1,$N$15,$N$16,$N$17,$N$18,$N$14,$N$13,AN$2,AN$1,$B71)</f>
        <v>0</v>
      </c>
      <c r="AO71" s="235">
        <f ca="1">_xll.DBRW(Server&amp;Cube1,$N$15,$N$16,$N$17,$N$18,$N$14,$N$13,AO$2,AO$1,$B71)</f>
        <v>-3963908.0367349284</v>
      </c>
      <c r="AP71" s="235">
        <f ca="1">_xll.DBRW(Server&amp;Cube1,$N$15,$N$16,$N$17,$N$18,$N$14,$N$13,AP$2,AP$1,$B71)</f>
        <v>-634835.28</v>
      </c>
      <c r="AQ71" s="400"/>
      <c r="AR71" s="235">
        <f ca="1">_xll.DBRW(Server&amp;Cube1,$N$15,$N$16,$N$17,$N$18,$N$14,$N$13,AR$2,AR$1,$B71)</f>
        <v>0</v>
      </c>
      <c r="AS71" s="235">
        <f ca="1">_xll.DBRW(Server&amp;Cube1,$N$15,$N$16,$N$17,$N$18,$N$14,$N$13,AS$2,AS$1,$B71)</f>
        <v>-3981942.4746406474</v>
      </c>
      <c r="AT71" s="235">
        <f ca="1">_xll.DBRW(Server&amp;Cube1,$N$15,$N$16,$N$17,$N$18,$N$14,$N$13,AT$2,AT$1,$B71)</f>
        <v>-11123876.640000004</v>
      </c>
      <c r="AU71" s="400"/>
      <c r="AV71" s="235">
        <f ca="1">_xll.DBRW(Server&amp;Cube1,$N$15,$N$16,$N$17,$N$18,$N$14,$N$13,AV$2,AV$1,$B71)</f>
        <v>0</v>
      </c>
      <c r="AW71" s="235">
        <f ca="1">_xll.DBRW(Server&amp;Cube1,$N$15,$N$16,$N$17,$N$18,$N$14,$N$13,AW$2,AW$1,$B71)</f>
        <v>-3852962.1816786039</v>
      </c>
      <c r="AX71" s="235">
        <f ca="1">_xll.DBRW(Server&amp;Cube1,$N$15,$N$16,$N$17,$N$18,$N$14,$N$13,AX$2,AX$1,$B71)</f>
        <v>-3552002.9599999995</v>
      </c>
      <c r="AY71" s="400"/>
      <c r="AZ71" s="235">
        <f ca="1">_xll.DBRW(Server&amp;Cube1,$N$15,$N$16,$N$17,$N$18,$N$14,$N$13,AZ$2,AZ$1,$B71)</f>
        <v>0</v>
      </c>
      <c r="BA71" s="235">
        <f ca="1">_xll.DBRW(Server&amp;Cube1,$N$15,$N$16,$N$17,$N$18,$N$14,$N$13,BA$2,BA$1,$B71)</f>
        <v>-3885719.0831868607</v>
      </c>
      <c r="BB71" s="235">
        <f ca="1">_xll.DBRW(Server&amp;Cube1,$N$15,$N$16,$N$17,$N$18,$N$14,$N$13,BB$2,BB$1,$B71)</f>
        <v>-3130910.0649967003</v>
      </c>
      <c r="BC71" s="400"/>
      <c r="BD71" s="235">
        <f ca="1">_xll.DBRW(Server&amp;Cube1,$N$15,$N$16,$N$17,$N$18,$N$14,$N$13,BD$2,BD$1,$B71)</f>
        <v>0</v>
      </c>
      <c r="BE71" s="235">
        <f ca="1">_xll.DBRW(Server&amp;Cube1,$N$15,$N$16,$N$17,$N$18,$N$14,$N$13,BE$2,BE$1,$B71)</f>
        <v>-3900457.8467550254</v>
      </c>
      <c r="BF71" s="235">
        <f ca="1">_xll.DBRW(Server&amp;Cube1,$N$15,$N$16,$N$17,$N$18,$N$14,$N$13,BF$2,BF$1,$B71)</f>
        <v>-5171817.919999999</v>
      </c>
      <c r="BG71" s="400"/>
      <c r="BH71" s="235">
        <f ca="1">_xll.DBRW(Server&amp;Cube1,$N$15,$N$16,$N$17,$N$18,$N$14,$N$13,BH$2,BH$1,$B71)</f>
        <v>0</v>
      </c>
      <c r="BI71" s="235">
        <f ca="1">_xll.DBRW(Server&amp;Cube1,$N$15,$N$16,$N$17,$N$18,$N$14,$N$13,BI$2,BI$1,$B71)</f>
        <v>-3975829.3662333656</v>
      </c>
      <c r="BJ71" s="235">
        <f ca="1">_xll.DBRW(Server&amp;Cube1,$N$15,$N$16,$N$17,$N$18,$N$14,$N$13,BJ$2,BJ$1,$B71)</f>
        <v>-3605441.3800000008</v>
      </c>
      <c r="BK71" s="400"/>
      <c r="BL71" s="235">
        <f ca="1">_xll.DBRW(Server&amp;Cube1,$N$15,$N$16,$N$17,$N$18,$N$14,$N$13,BL$2,BL$1,$B71)</f>
        <v>0</v>
      </c>
      <c r="BM71" s="235">
        <f ca="1">_xll.DBRW(Server&amp;Cube1,$N$15,$N$16,$N$17,$N$18,$N$14,$N$13,BM$2,BM$1,$B71)</f>
        <v>-3961041.1005082079</v>
      </c>
      <c r="BN71" s="235">
        <f ca="1">_xll.DBRW(Server&amp;Cube1,$N$15,$N$16,$N$17,$N$18,$N$14,$N$13,BN$2,BN$1,$B71)</f>
        <v>-6477703.0499999989</v>
      </c>
      <c r="BO71" s="400"/>
      <c r="BP71" s="235">
        <f ca="1">_xll.DBRW(Server&amp;Cube1,$N$15,$N$16,$N$17,$N$18,$N$14,$N$13,BP$2,BP$1,$B71)</f>
        <v>0</v>
      </c>
      <c r="BQ71" s="235">
        <f ca="1">_xll.DBRW(Server&amp;Cube1,$N$15,$N$16,$N$17,$N$18,$N$14,$N$13,BQ$2,BQ$1,$B71)</f>
        <v>-3858209.097107931</v>
      </c>
      <c r="BR71" s="235">
        <f ca="1">_xll.DBRW(Server&amp;Cube1,$N$15,$N$16,$N$17,$N$18,$N$14,$N$13,BR$2,BR$1,$B71)</f>
        <v>-5116621.3500000006</v>
      </c>
      <c r="BS71" s="400"/>
      <c r="BT71" s="235">
        <f ca="1">_xll.DBRW(Server&amp;Cube1,$N$15,$N$16,$N$17,$N$18,$N$14,$N$13,BT$2,BT$1,$B71)</f>
        <v>0</v>
      </c>
      <c r="BU71" s="235">
        <f ca="1">_xll.DBRW(Server&amp;Cube1,$N$15,$N$16,$N$17,$N$18,$N$14,$N$13,BU$2,BU$1,$B71)</f>
        <v>-3896026.6166307521</v>
      </c>
      <c r="BV71" s="235">
        <f ca="1">_xll.DBRW(Server&amp;Cube1,$N$15,$N$16,$N$17,$N$18,$N$14,$N$13,BV$2,BV$1,$B71)</f>
        <v>-4242933.540000001</v>
      </c>
      <c r="BW71" s="55"/>
      <c r="BX71" s="28"/>
    </row>
    <row r="72" spans="1:78" ht="19.5" hidden="1" customHeight="1" outlineLevel="1" x14ac:dyDescent="0.2">
      <c r="A72" s="142"/>
      <c r="B72" s="360" t="s">
        <v>53</v>
      </c>
      <c r="H72" s="360"/>
      <c r="I72" s="69"/>
      <c r="J72" s="54"/>
      <c r="K72" s="9"/>
      <c r="L72" s="555" t="str">
        <f ca="1">LEFT(_xll.DBRA(Server&amp;$B$32,$B72,$N$19),FIND("(",_xll.DBRA(Server&amp;$B$32,$B72,$N$19),1)-1)</f>
        <v xml:space="preserve">Subcontracting maintenance </v>
      </c>
      <c r="M72" s="555"/>
      <c r="N72" s="555"/>
      <c r="O72" s="555"/>
      <c r="P72" s="234"/>
      <c r="Q72" s="235">
        <f ca="1">_xll.DBRW(Server&amp;Cube1,$N$15,$N$16,$N$17,$N$18,$N$14,$N$13,$N$11,$Q$1,$B72)</f>
        <v>-15343615.9</v>
      </c>
      <c r="R72" s="235">
        <f ca="1">_xll.DBRW(Server&amp;Cube1,$N$15,$N$16,$N$17,$N$18,$N$14,$N$13,$R$2,$R$1,$B72)</f>
        <v>-34497795.421548262</v>
      </c>
      <c r="S72" s="236">
        <f t="shared" ca="1" si="20"/>
        <v>19154179.521548264</v>
      </c>
      <c r="T72" s="238">
        <f t="shared" ca="1" si="21"/>
        <v>0.55522908891691214</v>
      </c>
      <c r="U72" s="223"/>
      <c r="V72" s="235">
        <f ca="1">_xll.DBRW(Server&amp;Cube1,$N$15,$N$16,$N$17,$N$18,$N$14,$N$13,$V$2,$V$1,$B72)</f>
        <v>-27215034.465590328</v>
      </c>
      <c r="W72" s="236">
        <f t="shared" ca="1" si="22"/>
        <v>11871418.565590328</v>
      </c>
      <c r="X72" s="238">
        <f t="shared" ca="1" si="23"/>
        <v>0.43620810330408016</v>
      </c>
      <c r="Y72" s="55"/>
      <c r="Z72" s="55"/>
      <c r="AA72" s="55"/>
      <c r="AB72" s="235">
        <f ca="1">_xll.DBRW(Server&amp;Cube1,$N$15,$N$16,$N$17,$N$18,$N$14,$N$13,AB$2,AB$1,$B72)</f>
        <v>-5292636.3</v>
      </c>
      <c r="AC72" s="235">
        <f ca="1">_xll.DBRW(Server&amp;Cube1,$N$15,$N$16,$N$17,$N$18,$N$14,$N$13,AC$2,AC$1,$B72)</f>
        <v>-17002465.646996897</v>
      </c>
      <c r="AD72" s="235">
        <f ca="1">_xll.DBRW(Server&amp;Cube1,$N$15,$N$16,$N$17,$N$18,$N$14,$N$13,AD$2,AD$1,$B72)</f>
        <v>-10736020.07120127</v>
      </c>
      <c r="AE72" s="400"/>
      <c r="AF72" s="235">
        <f ca="1">_xll.DBRW(Server&amp;Cube1,$N$15,$N$16,$N$17,$N$18,$N$14,$N$13,AF$2,AF$1,$B72)</f>
        <v>-10050979.600000001</v>
      </c>
      <c r="AG72" s="235">
        <f ca="1">_xll.DBRW(Server&amp;Cube1,$N$15,$N$16,$N$17,$N$18,$N$14,$N$13,AG$2,AG$1,$B72)</f>
        <v>-17495329.774551362</v>
      </c>
      <c r="AH72" s="235">
        <f ca="1">_xll.DBRW(Server&amp;Cube1,$N$15,$N$16,$N$17,$N$18,$N$14,$N$13,AH$2,AH$1,$B72)</f>
        <v>-16479014.394389059</v>
      </c>
      <c r="AI72" s="400"/>
      <c r="AJ72" s="235">
        <f ca="1">_xll.DBRW(Server&amp;Cube1,$N$15,$N$16,$N$17,$N$18,$N$14,$N$13,AJ$2,AJ$1,$B72)</f>
        <v>0</v>
      </c>
      <c r="AK72" s="235">
        <f ca="1">_xll.DBRW(Server&amp;Cube1,$N$15,$N$16,$N$17,$N$18,$N$14,$N$13,AK$2,AK$1,$B72)</f>
        <v>-18942137.094227757</v>
      </c>
      <c r="AL72" s="235">
        <f ca="1">_xll.DBRW(Server&amp;Cube1,$N$15,$N$16,$N$17,$N$18,$N$14,$N$13,AL$2,AL$1,$B72)</f>
        <v>-13201071.952959668</v>
      </c>
      <c r="AM72" s="400"/>
      <c r="AN72" s="235">
        <f ca="1">_xll.DBRW(Server&amp;Cube1,$N$15,$N$16,$N$17,$N$18,$N$14,$N$13,AN$2,AN$1,$B72)</f>
        <v>0</v>
      </c>
      <c r="AO72" s="235">
        <f ca="1">_xll.DBRW(Server&amp;Cube1,$N$15,$N$16,$N$17,$N$18,$N$14,$N$13,AO$2,AO$1,$B72)</f>
        <v>-17303156.471341122</v>
      </c>
      <c r="AP72" s="235">
        <f ca="1">_xll.DBRW(Server&amp;Cube1,$N$15,$N$16,$N$17,$N$18,$N$14,$N$13,AP$2,AP$1,$B72)</f>
        <v>-5605882.9199999999</v>
      </c>
      <c r="AQ72" s="400"/>
      <c r="AR72" s="235">
        <f ca="1">_xll.DBRW(Server&amp;Cube1,$N$15,$N$16,$N$17,$N$18,$N$14,$N$13,AR$2,AR$1,$B72)</f>
        <v>0</v>
      </c>
      <c r="AS72" s="235">
        <f ca="1">_xll.DBRW(Server&amp;Cube1,$N$15,$N$16,$N$17,$N$18,$N$14,$N$13,AS$2,AS$1,$B72)</f>
        <v>-17920145.047776505</v>
      </c>
      <c r="AT72" s="235">
        <f ca="1">_xll.DBRW(Server&amp;Cube1,$N$15,$N$16,$N$17,$N$18,$N$14,$N$13,AT$2,AT$1,$B72)</f>
        <v>-39671786.779999994</v>
      </c>
      <c r="AU72" s="400"/>
      <c r="AV72" s="235">
        <f ca="1">_xll.DBRW(Server&amp;Cube1,$N$15,$N$16,$N$17,$N$18,$N$14,$N$13,AV$2,AV$1,$B72)</f>
        <v>0</v>
      </c>
      <c r="AW72" s="235">
        <f ca="1">_xll.DBRW(Server&amp;Cube1,$N$15,$N$16,$N$17,$N$18,$N$14,$N$13,AW$2,AW$1,$B72)</f>
        <v>-16678120.288134821</v>
      </c>
      <c r="AX72" s="235">
        <f ca="1">_xll.DBRW(Server&amp;Cube1,$N$15,$N$16,$N$17,$N$18,$N$14,$N$13,AX$2,AX$1,$B72)</f>
        <v>-14724584.240000006</v>
      </c>
      <c r="AY72" s="400"/>
      <c r="AZ72" s="235">
        <f ca="1">_xll.DBRW(Server&amp;Cube1,$N$15,$N$16,$N$17,$N$18,$N$14,$N$13,AZ$2,AZ$1,$B72)</f>
        <v>0</v>
      </c>
      <c r="BA72" s="235">
        <f ca="1">_xll.DBRW(Server&amp;Cube1,$N$15,$N$16,$N$17,$N$18,$N$14,$N$13,BA$2,BA$1,$B72)</f>
        <v>-15887446.867903268</v>
      </c>
      <c r="BB72" s="235">
        <f ca="1">_xll.DBRW(Server&amp;Cube1,$N$15,$N$16,$N$17,$N$18,$N$14,$N$13,BB$2,BB$1,$B72)</f>
        <v>-10886972.2182767</v>
      </c>
      <c r="BC72" s="400"/>
      <c r="BD72" s="235">
        <f ca="1">_xll.DBRW(Server&amp;Cube1,$N$15,$N$16,$N$17,$N$18,$N$14,$N$13,BD$2,BD$1,$B72)</f>
        <v>0</v>
      </c>
      <c r="BE72" s="235">
        <f ca="1">_xll.DBRW(Server&amp;Cube1,$N$15,$N$16,$N$17,$N$18,$N$14,$N$13,BE$2,BE$1,$B72)</f>
        <v>-15917206.781923527</v>
      </c>
      <c r="BF72" s="235">
        <f ca="1">_xll.DBRW(Server&amp;Cube1,$N$15,$N$16,$N$17,$N$18,$N$14,$N$13,BF$2,BF$1,$B72)</f>
        <v>-18549607.120000001</v>
      </c>
      <c r="BG72" s="400"/>
      <c r="BH72" s="235">
        <f ca="1">_xll.DBRW(Server&amp;Cube1,$N$15,$N$16,$N$17,$N$18,$N$14,$N$13,BH$2,BH$1,$B72)</f>
        <v>0</v>
      </c>
      <c r="BI72" s="235">
        <f ca="1">_xll.DBRW(Server&amp;Cube1,$N$15,$N$16,$N$17,$N$18,$N$14,$N$13,BI$2,BI$1,$B72)</f>
        <v>-15648836.136597894</v>
      </c>
      <c r="BJ72" s="235">
        <f ca="1">_xll.DBRW(Server&amp;Cube1,$N$15,$N$16,$N$17,$N$18,$N$14,$N$13,BJ$2,BJ$1,$B72)</f>
        <v>-12543324.949999997</v>
      </c>
      <c r="BK72" s="400"/>
      <c r="BL72" s="235">
        <f ca="1">_xll.DBRW(Server&amp;Cube1,$N$15,$N$16,$N$17,$N$18,$N$14,$N$13,BL$2,BL$1,$B72)</f>
        <v>0</v>
      </c>
      <c r="BM72" s="235">
        <f ca="1">_xll.DBRW(Server&amp;Cube1,$N$15,$N$16,$N$17,$N$18,$N$14,$N$13,BM$2,BM$1,$B72)</f>
        <v>-15378906.972638397</v>
      </c>
      <c r="BN72" s="235">
        <f ca="1">_xll.DBRW(Server&amp;Cube1,$N$15,$N$16,$N$17,$N$18,$N$14,$N$13,BN$2,BN$1,$B72)</f>
        <v>-34566555.280000001</v>
      </c>
      <c r="BO72" s="400"/>
      <c r="BP72" s="235">
        <f ca="1">_xll.DBRW(Server&amp;Cube1,$N$15,$N$16,$N$17,$N$18,$N$14,$N$13,BP$2,BP$1,$B72)</f>
        <v>0</v>
      </c>
      <c r="BQ72" s="235">
        <f ca="1">_xll.DBRW(Server&amp;Cube1,$N$15,$N$16,$N$17,$N$18,$N$14,$N$13,BQ$2,BQ$1,$B72)</f>
        <v>-14707425.578283094</v>
      </c>
      <c r="BR72" s="235">
        <f ca="1">_xll.DBRW(Server&amp;Cube1,$N$15,$N$16,$N$17,$N$18,$N$14,$N$13,BR$2,BR$1,$B72)</f>
        <v>-23338878.039999999</v>
      </c>
      <c r="BS72" s="400"/>
      <c r="BT72" s="235">
        <f ca="1">_xll.DBRW(Server&amp;Cube1,$N$15,$N$16,$N$17,$N$18,$N$14,$N$13,BT$2,BT$1,$B72)</f>
        <v>0</v>
      </c>
      <c r="BU72" s="235">
        <f ca="1">_xll.DBRW(Server&amp;Cube1,$N$15,$N$16,$N$17,$N$18,$N$14,$N$13,BU$2,BU$1,$B72)</f>
        <v>-15847939.119875608</v>
      </c>
      <c r="BV72" s="235">
        <f ca="1">_xll.DBRW(Server&amp;Cube1,$N$15,$N$16,$N$17,$N$18,$N$14,$N$13,BV$2,BV$1,$B72)</f>
        <v>-24346710.570000004</v>
      </c>
      <c r="BW72" s="55"/>
      <c r="BX72" s="28"/>
    </row>
    <row r="73" spans="1:78" ht="19.5" hidden="1" customHeight="1" outlineLevel="1" x14ac:dyDescent="0.2">
      <c r="A73" s="142"/>
      <c r="B73" s="360" t="s">
        <v>60</v>
      </c>
      <c r="H73" s="360"/>
      <c r="I73" s="69"/>
      <c r="J73" s="54"/>
      <c r="K73" s="9"/>
      <c r="L73" s="555" t="str">
        <f ca="1">LEFT(_xll.DBRA(Server&amp;$B$32,$B73,$N$19),FIND("(",_xll.DBRA(Server&amp;$B$32,$B73,$N$19),1)-1)</f>
        <v xml:space="preserve">Reinvoicing - Others </v>
      </c>
      <c r="M73" s="555"/>
      <c r="N73" s="555"/>
      <c r="O73" s="555"/>
      <c r="P73" s="234"/>
      <c r="Q73" s="235">
        <f ca="1">_xll.DBRW(Server&amp;Cube1,$N$15,$N$16,$N$17,$N$18,$N$14,$N$13,$N$11,$Q$1,$B73)</f>
        <v>2091924.6500000004</v>
      </c>
      <c r="R73" s="235">
        <f ca="1">_xll.DBRW(Server&amp;Cube1,$N$15,$N$16,$N$17,$N$18,$N$14,$N$13,$R$2,$R$1,$B73)</f>
        <v>1810444.2313602329</v>
      </c>
      <c r="S73" s="236">
        <f t="shared" ca="1" si="20"/>
        <v>281480.41863976745</v>
      </c>
      <c r="T73" s="238">
        <f t="shared" ca="1" si="21"/>
        <v>0.15547588473812532</v>
      </c>
      <c r="U73" s="223"/>
      <c r="V73" s="235">
        <f ca="1">_xll.DBRW(Server&amp;Cube1,$N$15,$N$16,$N$17,$N$18,$N$14,$N$13,$V$2,$V$1,$B73)</f>
        <v>2067042.8099999998</v>
      </c>
      <c r="W73" s="236">
        <f t="shared" ca="1" si="22"/>
        <v>24881.840000000549</v>
      </c>
      <c r="X73" s="238">
        <f t="shared" ca="1" si="23"/>
        <v>1.203740913329248E-2</v>
      </c>
      <c r="Y73" s="55"/>
      <c r="Z73" s="55"/>
      <c r="AA73" s="55"/>
      <c r="AB73" s="235">
        <f ca="1">_xll.DBRW(Server&amp;Cube1,$N$15,$N$16,$N$17,$N$18,$N$14,$N$13,AB$2,AB$1,$B73)</f>
        <v>749916.55</v>
      </c>
      <c r="AC73" s="235">
        <f ca="1">_xll.DBRW(Server&amp;Cube1,$N$15,$N$16,$N$17,$N$18,$N$14,$N$13,AC$2,AC$1,$B73)</f>
        <v>922705.38930531766</v>
      </c>
      <c r="AD73" s="235">
        <f ca="1">_xll.DBRW(Server&amp;Cube1,$N$15,$N$16,$N$17,$N$18,$N$14,$N$13,AD$2,AD$1,$B73)</f>
        <v>698423.60000000009</v>
      </c>
      <c r="AE73" s="400"/>
      <c r="AF73" s="235">
        <f ca="1">_xll.DBRW(Server&amp;Cube1,$N$15,$N$16,$N$17,$N$18,$N$14,$N$13,AF$2,AF$1,$B73)</f>
        <v>1342008.1000000001</v>
      </c>
      <c r="AG73" s="235">
        <f ca="1">_xll.DBRW(Server&amp;Cube1,$N$15,$N$16,$N$17,$N$18,$N$14,$N$13,AG$2,AG$1,$B73)</f>
        <v>887738.84205491538</v>
      </c>
      <c r="AH73" s="235">
        <f ca="1">_xll.DBRW(Server&amp;Cube1,$N$15,$N$16,$N$17,$N$18,$N$14,$N$13,AH$2,AH$1,$B73)</f>
        <v>1368619.21</v>
      </c>
      <c r="AI73" s="400"/>
      <c r="AJ73" s="235">
        <f ca="1">_xll.DBRW(Server&amp;Cube1,$N$15,$N$16,$N$17,$N$18,$N$14,$N$13,AJ$2,AJ$1,$B73)</f>
        <v>0</v>
      </c>
      <c r="AK73" s="235">
        <f ca="1">_xll.DBRW(Server&amp;Cube1,$N$15,$N$16,$N$17,$N$18,$N$14,$N$13,AK$2,AK$1,$B73)</f>
        <v>974318.30436803936</v>
      </c>
      <c r="AL73" s="235">
        <f ca="1">_xll.DBRW(Server&amp;Cube1,$N$15,$N$16,$N$17,$N$18,$N$14,$N$13,AL$2,AL$1,$B73)</f>
        <v>1229698.2699999998</v>
      </c>
      <c r="AM73" s="400"/>
      <c r="AN73" s="235">
        <f ca="1">_xll.DBRW(Server&amp;Cube1,$N$15,$N$16,$N$17,$N$18,$N$14,$N$13,AN$2,AN$1,$B73)</f>
        <v>0</v>
      </c>
      <c r="AO73" s="235">
        <f ca="1">_xll.DBRW(Server&amp;Cube1,$N$15,$N$16,$N$17,$N$18,$N$14,$N$13,AO$2,AO$1,$B73)</f>
        <v>919221.81972818286</v>
      </c>
      <c r="AP73" s="235">
        <f ca="1">_xll.DBRW(Server&amp;Cube1,$N$15,$N$16,$N$17,$N$18,$N$14,$N$13,AP$2,AP$1,$B73)</f>
        <v>827560.50000000035</v>
      </c>
      <c r="AQ73" s="400"/>
      <c r="AR73" s="235">
        <f ca="1">_xll.DBRW(Server&amp;Cube1,$N$15,$N$16,$N$17,$N$18,$N$14,$N$13,AR$2,AR$1,$B73)</f>
        <v>0</v>
      </c>
      <c r="AS73" s="235">
        <f ca="1">_xll.DBRW(Server&amp;Cube1,$N$15,$N$16,$N$17,$N$18,$N$14,$N$13,AS$2,AS$1,$B73)</f>
        <v>936062.49542471254</v>
      </c>
      <c r="AT73" s="235">
        <f ca="1">_xll.DBRW(Server&amp;Cube1,$N$15,$N$16,$N$17,$N$18,$N$14,$N$13,AT$2,AT$1,$B73)</f>
        <v>1380378.77</v>
      </c>
      <c r="AU73" s="400"/>
      <c r="AV73" s="235">
        <f ca="1">_xll.DBRW(Server&amp;Cube1,$N$15,$N$16,$N$17,$N$18,$N$14,$N$13,AV$2,AV$1,$B73)</f>
        <v>0</v>
      </c>
      <c r="AW73" s="235">
        <f ca="1">_xll.DBRW(Server&amp;Cube1,$N$15,$N$16,$N$17,$N$18,$N$14,$N$13,AW$2,AW$1,$B73)</f>
        <v>967329.79313708632</v>
      </c>
      <c r="AX73" s="235">
        <f ca="1">_xll.DBRW(Server&amp;Cube1,$N$15,$N$16,$N$17,$N$18,$N$14,$N$13,AX$2,AX$1,$B73)</f>
        <v>1217799.03</v>
      </c>
      <c r="AY73" s="400"/>
      <c r="AZ73" s="235">
        <f ca="1">_xll.DBRW(Server&amp;Cube1,$N$15,$N$16,$N$17,$N$18,$N$14,$N$13,AZ$2,AZ$1,$B73)</f>
        <v>0</v>
      </c>
      <c r="BA73" s="235">
        <f ca="1">_xll.DBRW(Server&amp;Cube1,$N$15,$N$16,$N$17,$N$18,$N$14,$N$13,BA$2,BA$1,$B73)</f>
        <v>932220.05185783096</v>
      </c>
      <c r="BB73" s="235">
        <f ca="1">_xll.DBRW(Server&amp;Cube1,$N$15,$N$16,$N$17,$N$18,$N$14,$N$13,BB$2,BB$1,$B73)</f>
        <v>44881.610000000102</v>
      </c>
      <c r="BC73" s="400"/>
      <c r="BD73" s="235">
        <f ca="1">_xll.DBRW(Server&amp;Cube1,$N$15,$N$16,$N$17,$N$18,$N$14,$N$13,BD$2,BD$1,$B73)</f>
        <v>0</v>
      </c>
      <c r="BE73" s="235">
        <f ca="1">_xll.DBRW(Server&amp;Cube1,$N$15,$N$16,$N$17,$N$18,$N$14,$N$13,BE$2,BE$1,$B73)</f>
        <v>850392.6379321214</v>
      </c>
      <c r="BF73" s="235">
        <f ca="1">_xll.DBRW(Server&amp;Cube1,$N$15,$N$16,$N$17,$N$18,$N$14,$N$13,BF$2,BF$1,$B73)</f>
        <v>3395105.4699999997</v>
      </c>
      <c r="BG73" s="400"/>
      <c r="BH73" s="235">
        <f ca="1">_xll.DBRW(Server&amp;Cube1,$N$15,$N$16,$N$17,$N$18,$N$14,$N$13,BH$2,BH$1,$B73)</f>
        <v>0</v>
      </c>
      <c r="BI73" s="235">
        <f ca="1">_xll.DBRW(Server&amp;Cube1,$N$15,$N$16,$N$17,$N$18,$N$14,$N$13,BI$2,BI$1,$B73)</f>
        <v>1001433.0467628012</v>
      </c>
      <c r="BJ73" s="235">
        <f ca="1">_xll.DBRW(Server&amp;Cube1,$N$15,$N$16,$N$17,$N$18,$N$14,$N$13,BJ$2,BJ$1,$B73)</f>
        <v>1200789.5700000003</v>
      </c>
      <c r="BK73" s="400"/>
      <c r="BL73" s="235">
        <f ca="1">_xll.DBRW(Server&amp;Cube1,$N$15,$N$16,$N$17,$N$18,$N$14,$N$13,BL$2,BL$1,$B73)</f>
        <v>0</v>
      </c>
      <c r="BM73" s="235">
        <f ca="1">_xll.DBRW(Server&amp;Cube1,$N$15,$N$16,$N$17,$N$18,$N$14,$N$13,BM$2,BM$1,$B73)</f>
        <v>928385.66753826186</v>
      </c>
      <c r="BN73" s="235">
        <f ca="1">_xll.DBRW(Server&amp;Cube1,$N$15,$N$16,$N$17,$N$18,$N$14,$N$13,BN$2,BN$1,$B73)</f>
        <v>868759.02</v>
      </c>
      <c r="BO73" s="400"/>
      <c r="BP73" s="235">
        <f ca="1">_xll.DBRW(Server&amp;Cube1,$N$15,$N$16,$N$17,$N$18,$N$14,$N$13,BP$2,BP$1,$B73)</f>
        <v>0</v>
      </c>
      <c r="BQ73" s="235">
        <f ca="1">_xll.DBRW(Server&amp;Cube1,$N$15,$N$16,$N$17,$N$18,$N$14,$N$13,BQ$2,BQ$1,$B73)</f>
        <v>952749.72556522395</v>
      </c>
      <c r="BR73" s="235">
        <f ca="1">_xll.DBRW(Server&amp;Cube1,$N$15,$N$16,$N$17,$N$18,$N$14,$N$13,BR$2,BR$1,$B73)</f>
        <v>1725051.9399999997</v>
      </c>
      <c r="BS73" s="400"/>
      <c r="BT73" s="235">
        <f ca="1">_xll.DBRW(Server&amp;Cube1,$N$15,$N$16,$N$17,$N$18,$N$14,$N$13,BT$2,BT$1,$B73)</f>
        <v>0</v>
      </c>
      <c r="BU73" s="235">
        <f ca="1">_xll.DBRW(Server&amp;Cube1,$N$15,$N$16,$N$17,$N$18,$N$14,$N$13,BU$2,BU$1,$B73)</f>
        <v>1013678.5475815698</v>
      </c>
      <c r="BV73" s="235">
        <f ca="1">_xll.DBRW(Server&amp;Cube1,$N$15,$N$16,$N$17,$N$18,$N$14,$N$13,BV$2,BV$1,$B73)</f>
        <v>1358376.0700000003</v>
      </c>
      <c r="BW73" s="55"/>
      <c r="BX73" s="28"/>
    </row>
    <row r="74" spans="1:78" ht="19.5" hidden="1" customHeight="1" outlineLevel="1" x14ac:dyDescent="0.2">
      <c r="A74" s="142"/>
      <c r="B74" s="360" t="s">
        <v>334</v>
      </c>
      <c r="H74" s="360"/>
      <c r="I74" s="69"/>
      <c r="J74" s="54"/>
      <c r="K74" s="9"/>
      <c r="L74" s="555" t="str">
        <f ca="1">_xll.DBRA(Server&amp;$B$32,$B74,$N$19)</f>
        <v>Sales of spare parts</v>
      </c>
      <c r="M74" s="555"/>
      <c r="N74" s="555"/>
      <c r="O74" s="555"/>
      <c r="P74" s="234"/>
      <c r="Q74" s="235">
        <f ca="1">_xll.DBRW(Server&amp;Cube1,$N$15,$N$16,$N$17,$N$18,$N$14,$N$13,$N$11,$Q$1,$B74)</f>
        <v>166838.20000000001</v>
      </c>
      <c r="R74" s="235">
        <f ca="1">_xll.DBRW(Server&amp;Cube1,$N$15,$N$16,$N$17,$N$18,$N$14,$N$13,$R$2,$R$1,$B74)</f>
        <v>148213</v>
      </c>
      <c r="S74" s="236">
        <f t="shared" ca="1" si="20"/>
        <v>18625.200000000012</v>
      </c>
      <c r="T74" s="238">
        <f t="shared" ca="1" si="21"/>
        <v>0.12566509010680582</v>
      </c>
      <c r="U74" s="223"/>
      <c r="V74" s="235">
        <f ca="1">_xll.DBRW(Server&amp;Cube1,$N$15,$N$16,$N$17,$N$18,$N$14,$N$13,$V$2,$V$1,$B74)</f>
        <v>184722.15</v>
      </c>
      <c r="W74" s="236">
        <f t="shared" ca="1" si="22"/>
        <v>-17883.949999999983</v>
      </c>
      <c r="X74" s="238">
        <f t="shared" ca="1" si="23"/>
        <v>-9.6815406273692589E-2</v>
      </c>
      <c r="Y74" s="55"/>
      <c r="Z74" s="55"/>
      <c r="AA74" s="55"/>
      <c r="AB74" s="235">
        <f ca="1">_xll.DBRW(Server&amp;Cube1,$N$15,$N$16,$N$17,$N$18,$N$14,$N$13,AB$2,AB$1,$B74)</f>
        <v>45845.04</v>
      </c>
      <c r="AC74" s="235">
        <f ca="1">_xll.DBRW(Server&amp;Cube1,$N$15,$N$16,$N$17,$N$18,$N$14,$N$13,AC$2,AC$1,$B74)</f>
        <v>79713</v>
      </c>
      <c r="AD74" s="235">
        <f ca="1">_xll.DBRW(Server&amp;Cube1,$N$15,$N$16,$N$17,$N$18,$N$14,$N$13,AD$2,AD$1,$B74)</f>
        <v>2535.5700000000002</v>
      </c>
      <c r="AE74" s="400"/>
      <c r="AF74" s="235">
        <f ca="1">_xll.DBRW(Server&amp;Cube1,$N$15,$N$16,$N$17,$N$18,$N$14,$N$13,AF$2,AF$1,$B74)</f>
        <v>120993.16</v>
      </c>
      <c r="AG74" s="235">
        <f ca="1">_xll.DBRW(Server&amp;Cube1,$N$15,$N$16,$N$17,$N$18,$N$14,$N$13,AG$2,AG$1,$B74)</f>
        <v>68500</v>
      </c>
      <c r="AH74" s="235">
        <f ca="1">_xll.DBRW(Server&amp;Cube1,$N$15,$N$16,$N$17,$N$18,$N$14,$N$13,AH$2,AH$1,$B74)</f>
        <v>182186.58000000002</v>
      </c>
      <c r="AI74" s="400"/>
      <c r="AJ74" s="235">
        <f ca="1">_xll.DBRW(Server&amp;Cube1,$N$15,$N$16,$N$17,$N$18,$N$14,$N$13,AJ$2,AJ$1,$B74)</f>
        <v>0</v>
      </c>
      <c r="AK74" s="235">
        <f ca="1">_xll.DBRW(Server&amp;Cube1,$N$15,$N$16,$N$17,$N$18,$N$14,$N$13,AK$2,AK$1,$B74)</f>
        <v>74841</v>
      </c>
      <c r="AL74" s="235">
        <f ca="1">_xll.DBRW(Server&amp;Cube1,$N$15,$N$16,$N$17,$N$18,$N$14,$N$13,AL$2,AL$1,$B74)</f>
        <v>76574.12999999999</v>
      </c>
      <c r="AM74" s="400"/>
      <c r="AN74" s="235">
        <f ca="1">_xll.DBRW(Server&amp;Cube1,$N$15,$N$16,$N$17,$N$18,$N$14,$N$13,AN$2,AN$1,$B74)</f>
        <v>0</v>
      </c>
      <c r="AO74" s="235">
        <f ca="1">_xll.DBRW(Server&amp;Cube1,$N$15,$N$16,$N$17,$N$18,$N$14,$N$13,AO$2,AO$1,$B74)</f>
        <v>66550</v>
      </c>
      <c r="AP74" s="235">
        <f ca="1">_xll.DBRW(Server&amp;Cube1,$N$15,$N$16,$N$17,$N$18,$N$14,$N$13,AP$2,AP$1,$B74)</f>
        <v>19145.010000000017</v>
      </c>
      <c r="AQ74" s="400"/>
      <c r="AR74" s="235">
        <f ca="1">_xll.DBRW(Server&amp;Cube1,$N$15,$N$16,$N$17,$N$18,$N$14,$N$13,AR$2,AR$1,$B74)</f>
        <v>0</v>
      </c>
      <c r="AS74" s="235">
        <f ca="1">_xll.DBRW(Server&amp;Cube1,$N$15,$N$16,$N$17,$N$18,$N$14,$N$13,AS$2,AS$1,$B74)</f>
        <v>81800</v>
      </c>
      <c r="AT74" s="235">
        <f ca="1">_xll.DBRW(Server&amp;Cube1,$N$15,$N$16,$N$17,$N$18,$N$14,$N$13,AT$2,AT$1,$B74)</f>
        <v>154308.13</v>
      </c>
      <c r="AU74" s="400"/>
      <c r="AV74" s="235">
        <f ca="1">_xll.DBRW(Server&amp;Cube1,$N$15,$N$16,$N$17,$N$18,$N$14,$N$13,AV$2,AV$1,$B74)</f>
        <v>0</v>
      </c>
      <c r="AW74" s="235">
        <f ca="1">_xll.DBRW(Server&amp;Cube1,$N$15,$N$16,$N$17,$N$18,$N$14,$N$13,AW$2,AW$1,$B74)</f>
        <v>69750</v>
      </c>
      <c r="AX74" s="235">
        <f ca="1">_xll.DBRW(Server&amp;Cube1,$N$15,$N$16,$N$17,$N$18,$N$14,$N$13,AX$2,AX$1,$B74)</f>
        <v>477928.76</v>
      </c>
      <c r="AY74" s="400"/>
      <c r="AZ74" s="235">
        <f ca="1">_xll.DBRW(Server&amp;Cube1,$N$15,$N$16,$N$17,$N$18,$N$14,$N$13,AZ$2,AZ$1,$B74)</f>
        <v>0</v>
      </c>
      <c r="BA74" s="235">
        <f ca="1">_xll.DBRW(Server&amp;Cube1,$N$15,$N$16,$N$17,$N$18,$N$14,$N$13,BA$2,BA$1,$B74)</f>
        <v>70250</v>
      </c>
      <c r="BB74" s="235">
        <f ca="1">_xll.DBRW(Server&amp;Cube1,$N$15,$N$16,$N$17,$N$18,$N$14,$N$13,BB$2,BB$1,$B74)</f>
        <v>-70759.570000000007</v>
      </c>
      <c r="BC74" s="400"/>
      <c r="BD74" s="235">
        <f ca="1">_xll.DBRW(Server&amp;Cube1,$N$15,$N$16,$N$17,$N$18,$N$14,$N$13,BD$2,BD$1,$B74)</f>
        <v>0</v>
      </c>
      <c r="BE74" s="235">
        <f ca="1">_xll.DBRW(Server&amp;Cube1,$N$15,$N$16,$N$17,$N$18,$N$14,$N$13,BE$2,BE$1,$B74)</f>
        <v>65700</v>
      </c>
      <c r="BF74" s="235">
        <f ca="1">_xll.DBRW(Server&amp;Cube1,$N$15,$N$16,$N$17,$N$18,$N$14,$N$13,BF$2,BF$1,$B74)</f>
        <v>220424.1100000001</v>
      </c>
      <c r="BG74" s="400"/>
      <c r="BH74" s="235">
        <f ca="1">_xll.DBRW(Server&amp;Cube1,$N$15,$N$16,$N$17,$N$18,$N$14,$N$13,BH$2,BH$1,$B74)</f>
        <v>0</v>
      </c>
      <c r="BI74" s="235">
        <f ca="1">_xll.DBRW(Server&amp;Cube1,$N$15,$N$16,$N$17,$N$18,$N$14,$N$13,BI$2,BI$1,$B74)</f>
        <v>82250</v>
      </c>
      <c r="BJ74" s="235">
        <f ca="1">_xll.DBRW(Server&amp;Cube1,$N$15,$N$16,$N$17,$N$18,$N$14,$N$13,BJ$2,BJ$1,$B74)</f>
        <v>-25139.900000000023</v>
      </c>
      <c r="BK74" s="400"/>
      <c r="BL74" s="235">
        <f ca="1">_xll.DBRW(Server&amp;Cube1,$N$15,$N$16,$N$17,$N$18,$N$14,$N$13,BL$2,BL$1,$B74)</f>
        <v>0</v>
      </c>
      <c r="BM74" s="235">
        <f ca="1">_xll.DBRW(Server&amp;Cube1,$N$15,$N$16,$N$17,$N$18,$N$14,$N$13,BM$2,BM$1,$B74)</f>
        <v>71250</v>
      </c>
      <c r="BN74" s="235">
        <f ca="1">_xll.DBRW(Server&amp;Cube1,$N$15,$N$16,$N$17,$N$18,$N$14,$N$13,BN$2,BN$1,$B74)</f>
        <v>99346.959999999948</v>
      </c>
      <c r="BO74" s="400"/>
      <c r="BP74" s="235">
        <f ca="1">_xll.DBRW(Server&amp;Cube1,$N$15,$N$16,$N$17,$N$18,$N$14,$N$13,BP$2,BP$1,$B74)</f>
        <v>0</v>
      </c>
      <c r="BQ74" s="235">
        <f ca="1">_xll.DBRW(Server&amp;Cube1,$N$15,$N$16,$N$17,$N$18,$N$14,$N$13,BQ$2,BQ$1,$B74)</f>
        <v>70550</v>
      </c>
      <c r="BR74" s="235">
        <f ca="1">_xll.DBRW(Server&amp;Cube1,$N$15,$N$16,$N$17,$N$18,$N$14,$N$13,BR$2,BR$1,$B74)</f>
        <v>294327.15000000002</v>
      </c>
      <c r="BS74" s="400"/>
      <c r="BT74" s="235">
        <f ca="1">_xll.DBRW(Server&amp;Cube1,$N$15,$N$16,$N$17,$N$18,$N$14,$N$13,BT$2,BT$1,$B74)</f>
        <v>0</v>
      </c>
      <c r="BU74" s="235">
        <f ca="1">_xll.DBRW(Server&amp;Cube1,$N$15,$N$16,$N$17,$N$18,$N$14,$N$13,BU$2,BU$1,$B74)</f>
        <v>68850</v>
      </c>
      <c r="BV74" s="235">
        <f ca="1">_xll.DBRW(Server&amp;Cube1,$N$15,$N$16,$N$17,$N$18,$N$14,$N$13,BV$2,BV$1,$B74)</f>
        <v>57868.839999999967</v>
      </c>
      <c r="BW74" s="55"/>
      <c r="BX74" s="28"/>
    </row>
    <row r="75" spans="1:78" ht="19.5" hidden="1" customHeight="1" outlineLevel="1" x14ac:dyDescent="0.2">
      <c r="A75" s="142"/>
      <c r="B75" s="360" t="s">
        <v>335</v>
      </c>
      <c r="H75" s="360"/>
      <c r="I75" s="69"/>
      <c r="J75" s="54"/>
      <c r="K75" s="9"/>
      <c r="L75" s="555" t="str">
        <f ca="1">_xll.DBRA(Server&amp;$B$32,$B75,$N$19)</f>
        <v>Workshop services</v>
      </c>
      <c r="M75" s="555"/>
      <c r="N75" s="555"/>
      <c r="O75" s="555"/>
      <c r="P75" s="234"/>
      <c r="Q75" s="235">
        <f ca="1">_xll.DBRW(Server&amp;Cube1,$N$15,$N$16,$N$17,$N$18,$N$14,$N$13,$N$11,$Q$1,$B75)</f>
        <v>288934.17</v>
      </c>
      <c r="R75" s="235">
        <f ca="1">_xll.DBRW(Server&amp;Cube1,$N$15,$N$16,$N$17,$N$18,$N$14,$N$13,$R$2,$R$1,$B75)</f>
        <v>2453159.66</v>
      </c>
      <c r="S75" s="236">
        <f t="shared" ca="1" si="20"/>
        <v>-2164225.4900000002</v>
      </c>
      <c r="T75" s="238">
        <f t="shared" ca="1" si="21"/>
        <v>-0.88221958207155582</v>
      </c>
      <c r="U75" s="223"/>
      <c r="V75" s="235">
        <f ca="1">_xll.DBRW(Server&amp;Cube1,$N$15,$N$16,$N$17,$N$18,$N$14,$N$13,$V$2,$V$1,$B75)</f>
        <v>399367.17</v>
      </c>
      <c r="W75" s="236">
        <f t="shared" ca="1" si="22"/>
        <v>-110433</v>
      </c>
      <c r="X75" s="238">
        <f t="shared" ca="1" si="23"/>
        <v>-0.27651997533998601</v>
      </c>
      <c r="Y75" s="55"/>
      <c r="Z75" s="55"/>
      <c r="AA75" s="55"/>
      <c r="AB75" s="235">
        <f ca="1">_xll.DBRW(Server&amp;Cube1,$N$15,$N$16,$N$17,$N$18,$N$14,$N$13,AB$2,AB$1,$B75)</f>
        <v>55002.369999999995</v>
      </c>
      <c r="AC75" s="235">
        <f ca="1">_xll.DBRW(Server&amp;Cube1,$N$15,$N$16,$N$17,$N$18,$N$14,$N$13,AC$2,AC$1,$B75)</f>
        <v>1232592.33</v>
      </c>
      <c r="AD75" s="235">
        <f ca="1">_xll.DBRW(Server&amp;Cube1,$N$15,$N$16,$N$17,$N$18,$N$14,$N$13,AD$2,AD$1,$B75)</f>
        <v>30288.070000000014</v>
      </c>
      <c r="AE75" s="400"/>
      <c r="AF75" s="235">
        <f ca="1">_xll.DBRW(Server&amp;Cube1,$N$15,$N$16,$N$17,$N$18,$N$14,$N$13,AF$2,AF$1,$B75)</f>
        <v>233931.80000000002</v>
      </c>
      <c r="AG75" s="235">
        <f ca="1">_xll.DBRW(Server&amp;Cube1,$N$15,$N$16,$N$17,$N$18,$N$14,$N$13,AG$2,AG$1,$B75)</f>
        <v>1220567.33</v>
      </c>
      <c r="AH75" s="235">
        <f ca="1">_xll.DBRW(Server&amp;Cube1,$N$15,$N$16,$N$17,$N$18,$N$14,$N$13,AH$2,AH$1,$B75)</f>
        <v>369079.1</v>
      </c>
      <c r="AI75" s="400"/>
      <c r="AJ75" s="235">
        <f ca="1">_xll.DBRW(Server&amp;Cube1,$N$15,$N$16,$N$17,$N$18,$N$14,$N$13,AJ$2,AJ$1,$B75)</f>
        <v>0</v>
      </c>
      <c r="AK75" s="235">
        <f ca="1">_xll.DBRW(Server&amp;Cube1,$N$15,$N$16,$N$17,$N$18,$N$14,$N$13,AK$2,AK$1,$B75)</f>
        <v>1225767.33</v>
      </c>
      <c r="AL75" s="235">
        <f ca="1">_xll.DBRW(Server&amp;Cube1,$N$15,$N$16,$N$17,$N$18,$N$14,$N$13,AL$2,AL$1,$B75)</f>
        <v>149581.25999999998</v>
      </c>
      <c r="AM75" s="400"/>
      <c r="AN75" s="235">
        <f ca="1">_xll.DBRW(Server&amp;Cube1,$N$15,$N$16,$N$17,$N$18,$N$14,$N$13,AN$2,AN$1,$B75)</f>
        <v>0</v>
      </c>
      <c r="AO75" s="235">
        <f ca="1">_xll.DBRW(Server&amp;Cube1,$N$15,$N$16,$N$17,$N$18,$N$14,$N$13,AO$2,AO$1,$B75)</f>
        <v>1162657.33</v>
      </c>
      <c r="AP75" s="235">
        <f ca="1">_xll.DBRW(Server&amp;Cube1,$N$15,$N$16,$N$17,$N$18,$N$14,$N$13,AP$2,AP$1,$B75)</f>
        <v>101068.31999999998</v>
      </c>
      <c r="AQ75" s="400"/>
      <c r="AR75" s="235">
        <f ca="1">_xll.DBRW(Server&amp;Cube1,$N$15,$N$16,$N$17,$N$18,$N$14,$N$13,AR$2,AR$1,$B75)</f>
        <v>0</v>
      </c>
      <c r="AS75" s="235">
        <f ca="1">_xll.DBRW(Server&amp;Cube1,$N$15,$N$16,$N$17,$N$18,$N$14,$N$13,AS$2,AS$1,$B75)</f>
        <v>1181897.33</v>
      </c>
      <c r="AT75" s="235">
        <f ca="1">_xll.DBRW(Server&amp;Cube1,$N$15,$N$16,$N$17,$N$18,$N$14,$N$13,AT$2,AT$1,$B75)</f>
        <v>476673.76</v>
      </c>
      <c r="AU75" s="400"/>
      <c r="AV75" s="235">
        <f ca="1">_xll.DBRW(Server&amp;Cube1,$N$15,$N$16,$N$17,$N$18,$N$14,$N$13,AV$2,AV$1,$B75)</f>
        <v>0</v>
      </c>
      <c r="AW75" s="235">
        <f ca="1">_xll.DBRW(Server&amp;Cube1,$N$15,$N$16,$N$17,$N$18,$N$14,$N$13,AW$2,AW$1,$B75)</f>
        <v>1154597.33</v>
      </c>
      <c r="AX75" s="235">
        <f ca="1">_xll.DBRW(Server&amp;Cube1,$N$15,$N$16,$N$17,$N$18,$N$14,$N$13,AX$2,AX$1,$B75)</f>
        <v>242166.26999999996</v>
      </c>
      <c r="AY75" s="400"/>
      <c r="AZ75" s="235">
        <f ca="1">_xll.DBRW(Server&amp;Cube1,$N$15,$N$16,$N$17,$N$18,$N$14,$N$13,AZ$2,AZ$1,$B75)</f>
        <v>0</v>
      </c>
      <c r="BA75" s="235">
        <f ca="1">_xll.DBRW(Server&amp;Cube1,$N$15,$N$16,$N$17,$N$18,$N$14,$N$13,BA$2,BA$1,$B75)</f>
        <v>1154075.33</v>
      </c>
      <c r="BB75" s="235">
        <f ca="1">_xll.DBRW(Server&amp;Cube1,$N$15,$N$16,$N$17,$N$18,$N$14,$N$13,BB$2,BB$1,$B75)</f>
        <v>-19110.739999999998</v>
      </c>
      <c r="BC75" s="400"/>
      <c r="BD75" s="235">
        <f ca="1">_xll.DBRW(Server&amp;Cube1,$N$15,$N$16,$N$17,$N$18,$N$14,$N$13,BD$2,BD$1,$B75)</f>
        <v>0</v>
      </c>
      <c r="BE75" s="235">
        <f ca="1">_xll.DBRW(Server&amp;Cube1,$N$15,$N$16,$N$17,$N$18,$N$14,$N$13,BE$2,BE$1,$B75)</f>
        <v>1146925.33</v>
      </c>
      <c r="BF75" s="235">
        <f ca="1">_xll.DBRW(Server&amp;Cube1,$N$15,$N$16,$N$17,$N$18,$N$14,$N$13,BF$2,BF$1,$B75)</f>
        <v>380698.56000000006</v>
      </c>
      <c r="BG75" s="400"/>
      <c r="BH75" s="235">
        <f ca="1">_xll.DBRW(Server&amp;Cube1,$N$15,$N$16,$N$17,$N$18,$N$14,$N$13,BH$2,BH$1,$B75)</f>
        <v>0</v>
      </c>
      <c r="BI75" s="235">
        <f ca="1">_xll.DBRW(Server&amp;Cube1,$N$15,$N$16,$N$17,$N$18,$N$14,$N$13,BI$2,BI$1,$B75)</f>
        <v>1169445.33</v>
      </c>
      <c r="BJ75" s="235">
        <f ca="1">_xll.DBRW(Server&amp;Cube1,$N$15,$N$16,$N$17,$N$18,$N$14,$N$13,BJ$2,BJ$1,$B75)</f>
        <v>1313609.48</v>
      </c>
      <c r="BK75" s="400"/>
      <c r="BL75" s="235">
        <f ca="1">_xll.DBRW(Server&amp;Cube1,$N$15,$N$16,$N$17,$N$18,$N$14,$N$13,BL$2,BL$1,$B75)</f>
        <v>0</v>
      </c>
      <c r="BM75" s="235">
        <f ca="1">_xll.DBRW(Server&amp;Cube1,$N$15,$N$16,$N$17,$N$18,$N$14,$N$13,BM$2,BM$1,$B75)</f>
        <v>1155925.33</v>
      </c>
      <c r="BN75" s="235">
        <f ca="1">_xll.DBRW(Server&amp;Cube1,$N$15,$N$16,$N$17,$N$18,$N$14,$N$13,BN$2,BN$1,$B75)</f>
        <v>1230178.6100000003</v>
      </c>
      <c r="BO75" s="400"/>
      <c r="BP75" s="235">
        <f ca="1">_xll.DBRW(Server&amp;Cube1,$N$15,$N$16,$N$17,$N$18,$N$14,$N$13,BP$2,BP$1,$B75)</f>
        <v>0</v>
      </c>
      <c r="BQ75" s="235">
        <f ca="1">_xll.DBRW(Server&amp;Cube1,$N$15,$N$16,$N$17,$N$18,$N$14,$N$13,BQ$2,BQ$1,$B75)</f>
        <v>1155925.33</v>
      </c>
      <c r="BR75" s="235">
        <f ca="1">_xll.DBRW(Server&amp;Cube1,$N$15,$N$16,$N$17,$N$18,$N$14,$N$13,BR$2,BR$1,$B75)</f>
        <v>2680045.3300000005</v>
      </c>
      <c r="BS75" s="400"/>
      <c r="BT75" s="235">
        <f ca="1">_xll.DBRW(Server&amp;Cube1,$N$15,$N$16,$N$17,$N$18,$N$14,$N$13,BT$2,BT$1,$B75)</f>
        <v>0</v>
      </c>
      <c r="BU75" s="235">
        <f ca="1">_xll.DBRW(Server&amp;Cube1,$N$15,$N$16,$N$17,$N$18,$N$14,$N$13,BU$2,BU$1,$B75)</f>
        <v>1153325.3700000001</v>
      </c>
      <c r="BV75" s="235">
        <f ca="1">_xll.DBRW(Server&amp;Cube1,$N$15,$N$16,$N$17,$N$18,$N$14,$N$13,BV$2,BV$1,$B75)</f>
        <v>2214260.16</v>
      </c>
      <c r="BW75" s="55"/>
      <c r="BX75" s="28"/>
    </row>
    <row r="76" spans="1:78" ht="19.5" hidden="1" customHeight="1" outlineLevel="1" x14ac:dyDescent="0.2">
      <c r="A76" s="142"/>
      <c r="B76" s="360" t="s">
        <v>348</v>
      </c>
      <c r="H76" s="360"/>
      <c r="I76" s="69"/>
      <c r="J76" s="54"/>
      <c r="K76" s="9"/>
      <c r="L76" s="555" t="str">
        <f ca="1">LEFT(_xll.DBRA(Server&amp;$B$32,$B76,$N$19),FIND("(",_xll.DBRA(Server&amp;$B$32,$B76,$N$19),1)-1)</f>
        <v xml:space="preserve">Amortization </v>
      </c>
      <c r="M76" s="555"/>
      <c r="N76" s="555"/>
      <c r="O76" s="555"/>
      <c r="P76" s="234"/>
      <c r="Q76" s="235">
        <f ca="1">_xll.DBRW(Server&amp;Cube1,$N$15,$N$16,$N$17,$N$18,$N$14,$N$13,$N$11,$Q$1,$B76)</f>
        <v>-244456.82</v>
      </c>
      <c r="R76" s="235">
        <f ca="1">_xll.DBRW(Server&amp;Cube1,$N$15,$N$16,$N$17,$N$18,$N$14,$N$13,$R$2,$R$1,$B76)</f>
        <v>-274145.66000000003</v>
      </c>
      <c r="S76" s="236">
        <f t="shared" ca="1" si="20"/>
        <v>29688.840000000026</v>
      </c>
      <c r="T76" s="238">
        <f t="shared" ca="1" si="21"/>
        <v>0.10829585994540283</v>
      </c>
      <c r="U76" s="223"/>
      <c r="V76" s="235">
        <f ca="1">_xll.DBRW(Server&amp;Cube1,$N$15,$N$16,$N$17,$N$18,$N$14,$N$13,$V$2,$V$1,$B76)</f>
        <v>-230228.36</v>
      </c>
      <c r="W76" s="236">
        <f t="shared" ca="1" si="22"/>
        <v>-14228.460000000021</v>
      </c>
      <c r="X76" s="238">
        <f t="shared" ca="1" si="23"/>
        <v>-6.1801508728116822E-2</v>
      </c>
      <c r="Y76" s="55"/>
      <c r="Z76" s="55"/>
      <c r="AA76" s="55"/>
      <c r="AB76" s="239">
        <f ca="1">_xll.DBRW(Server&amp;Cube1,$N$15,$N$16,$N$17,$N$18,$N$14,$N$13,AB$2,AB$1,$B76)</f>
        <v>0</v>
      </c>
      <c r="AC76" s="239">
        <f ca="1">_xll.DBRW(Server&amp;Cube1,$N$15,$N$16,$N$17,$N$18,$N$14,$N$13,AC$2,AC$1,$B76)</f>
        <v>-137283.82</v>
      </c>
      <c r="AD76" s="239">
        <f ca="1">_xll.DBRW(Server&amp;Cube1,$N$15,$N$16,$N$17,$N$18,$N$14,$N$13,AD$2,AD$1,$B76)</f>
        <v>-107676.06999999999</v>
      </c>
      <c r="AE76" s="400"/>
      <c r="AF76" s="239">
        <f ca="1">_xll.DBRW(Server&amp;Cube1,$N$15,$N$16,$N$17,$N$18,$N$14,$N$13,AF$2,AF$1,$B76)</f>
        <v>-244456.82</v>
      </c>
      <c r="AG76" s="239">
        <f ca="1">_xll.DBRW(Server&amp;Cube1,$N$15,$N$16,$N$17,$N$18,$N$14,$N$13,AG$2,AG$1,$B76)</f>
        <v>-136861.84</v>
      </c>
      <c r="AH76" s="239">
        <f ca="1">_xll.DBRW(Server&amp;Cube1,$N$15,$N$16,$N$17,$N$18,$N$14,$N$13,AH$2,AH$1,$B76)</f>
        <v>-122552.29</v>
      </c>
      <c r="AI76" s="400"/>
      <c r="AJ76" s="239">
        <f ca="1">_xll.DBRW(Server&amp;Cube1,$N$15,$N$16,$N$17,$N$18,$N$14,$N$13,AJ$2,AJ$1,$B76)</f>
        <v>0</v>
      </c>
      <c r="AK76" s="239">
        <f ca="1">_xll.DBRW(Server&amp;Cube1,$N$15,$N$16,$N$17,$N$18,$N$14,$N$13,AK$2,AK$1,$B76)</f>
        <v>-135587.76</v>
      </c>
      <c r="AL76" s="239">
        <f ca="1">_xll.DBRW(Server&amp;Cube1,$N$15,$N$16,$N$17,$N$18,$N$14,$N$13,AL$2,AL$1,$B76)</f>
        <v>-113611.47999999998</v>
      </c>
      <c r="AM76" s="400"/>
      <c r="AN76" s="239">
        <f ca="1">_xll.DBRW(Server&amp;Cube1,$N$15,$N$16,$N$17,$N$18,$N$14,$N$13,AN$2,AN$1,$B76)</f>
        <v>0</v>
      </c>
      <c r="AO76" s="239">
        <f ca="1">_xll.DBRW(Server&amp;Cube1,$N$15,$N$16,$N$17,$N$18,$N$14,$N$13,AO$2,AO$1,$B76)</f>
        <v>-134642.28</v>
      </c>
      <c r="AP76" s="239">
        <f ca="1">_xll.DBRW(Server&amp;Cube1,$N$15,$N$16,$N$17,$N$18,$N$14,$N$13,AP$2,AP$1,$B76)</f>
        <v>-138989.18</v>
      </c>
      <c r="AQ76" s="400"/>
      <c r="AR76" s="239">
        <f ca="1">_xll.DBRW(Server&amp;Cube1,$N$15,$N$16,$N$17,$N$18,$N$14,$N$13,AR$2,AR$1,$B76)</f>
        <v>0</v>
      </c>
      <c r="AS76" s="239">
        <f ca="1">_xll.DBRW(Server&amp;Cube1,$N$15,$N$16,$N$17,$N$18,$N$14,$N$13,AS$2,AS$1,$B76)</f>
        <v>-134543.53</v>
      </c>
      <c r="AT76" s="239">
        <f ca="1">_xll.DBRW(Server&amp;Cube1,$N$15,$N$16,$N$17,$N$18,$N$14,$N$13,AT$2,AT$1,$B76)</f>
        <v>-124033.91000000003</v>
      </c>
      <c r="AU76" s="400"/>
      <c r="AV76" s="239">
        <f ca="1">_xll.DBRW(Server&amp;Cube1,$N$15,$N$16,$N$17,$N$18,$N$14,$N$13,AV$2,AV$1,$B76)</f>
        <v>0</v>
      </c>
      <c r="AW76" s="239">
        <f ca="1">_xll.DBRW(Server&amp;Cube1,$N$15,$N$16,$N$17,$N$18,$N$14,$N$13,AW$2,AW$1,$B76)</f>
        <v>-134608.62</v>
      </c>
      <c r="AX76" s="239">
        <f ca="1">_xll.DBRW(Server&amp;Cube1,$N$15,$N$16,$N$17,$N$18,$N$14,$N$13,AX$2,AX$1,$B76)</f>
        <v>-119147.18000000002</v>
      </c>
      <c r="AY76" s="400"/>
      <c r="AZ76" s="239">
        <f ca="1">_xll.DBRW(Server&amp;Cube1,$N$15,$N$16,$N$17,$N$18,$N$14,$N$13,AZ$2,AZ$1,$B76)</f>
        <v>0</v>
      </c>
      <c r="BA76" s="239">
        <f ca="1">_xll.DBRW(Server&amp;Cube1,$N$15,$N$16,$N$17,$N$18,$N$14,$N$13,BA$2,BA$1,$B76)</f>
        <v>-134597.53999999992</v>
      </c>
      <c r="BB76" s="239">
        <f ca="1">_xll.DBRW(Server&amp;Cube1,$N$15,$N$16,$N$17,$N$18,$N$14,$N$13,BB$2,BB$1,$B76)</f>
        <v>-131421.44999999992</v>
      </c>
      <c r="BC76" s="400"/>
      <c r="BD76" s="239">
        <f ca="1">_xll.DBRW(Server&amp;Cube1,$N$15,$N$16,$N$17,$N$18,$N$14,$N$13,BD$2,BD$1,$B76)</f>
        <v>0</v>
      </c>
      <c r="BE76" s="239">
        <f ca="1">_xll.DBRW(Server&amp;Cube1,$N$15,$N$16,$N$17,$N$18,$N$14,$N$13,BE$2,BE$1,$B76)</f>
        <v>-134066.8000000001</v>
      </c>
      <c r="BF76" s="239">
        <f ca="1">_xll.DBRW(Server&amp;Cube1,$N$15,$N$16,$N$17,$N$18,$N$14,$N$13,BF$2,BF$1,$B76)</f>
        <v>-116770.93999999997</v>
      </c>
      <c r="BG76" s="400"/>
      <c r="BH76" s="239">
        <f ca="1">_xll.DBRW(Server&amp;Cube1,$N$15,$N$16,$N$17,$N$18,$N$14,$N$13,BH$2,BH$1,$B76)</f>
        <v>0</v>
      </c>
      <c r="BI76" s="239">
        <f ca="1">_xll.DBRW(Server&amp;Cube1,$N$15,$N$16,$N$17,$N$18,$N$14,$N$13,BI$2,BI$1,$B76)</f>
        <v>-133969.50999999989</v>
      </c>
      <c r="BJ76" s="239">
        <f ca="1">_xll.DBRW(Server&amp;Cube1,$N$15,$N$16,$N$17,$N$18,$N$14,$N$13,BJ$2,BJ$1,$B76)</f>
        <v>-121392.62</v>
      </c>
      <c r="BK76" s="400"/>
      <c r="BL76" s="239">
        <f ca="1">_xll.DBRW(Server&amp;Cube1,$N$15,$N$16,$N$17,$N$18,$N$14,$N$13,BL$2,BL$1,$B76)</f>
        <v>0</v>
      </c>
      <c r="BM76" s="239">
        <f ca="1">_xll.DBRW(Server&amp;Cube1,$N$15,$N$16,$N$17,$N$18,$N$14,$N$13,BM$2,BM$1,$B76)</f>
        <v>-133992.59000000011</v>
      </c>
      <c r="BN76" s="239">
        <f ca="1">_xll.DBRW(Server&amp;Cube1,$N$15,$N$16,$N$17,$N$18,$N$14,$N$13,BN$2,BN$1,$B76)</f>
        <v>-121267.70000000008</v>
      </c>
      <c r="BO76" s="400"/>
      <c r="BP76" s="239">
        <f ca="1">_xll.DBRW(Server&amp;Cube1,$N$15,$N$16,$N$17,$N$18,$N$14,$N$13,BP$2,BP$1,$B76)</f>
        <v>0</v>
      </c>
      <c r="BQ76" s="239">
        <f ca="1">_xll.DBRW(Server&amp;Cube1,$N$15,$N$16,$N$17,$N$18,$N$14,$N$13,BQ$2,BQ$1,$B76)</f>
        <v>-133294.84</v>
      </c>
      <c r="BR76" s="239">
        <f ca="1">_xll.DBRW(Server&amp;Cube1,$N$15,$N$16,$N$17,$N$18,$N$14,$N$13,BR$2,BR$1,$B76)</f>
        <v>-123049.48</v>
      </c>
      <c r="BS76" s="400"/>
      <c r="BT76" s="239">
        <f ca="1">_xll.DBRW(Server&amp;Cube1,$N$15,$N$16,$N$17,$N$18,$N$14,$N$13,BT$2,BT$1,$B76)</f>
        <v>0</v>
      </c>
      <c r="BU76" s="239">
        <f ca="1">_xll.DBRW(Server&amp;Cube1,$N$15,$N$16,$N$17,$N$18,$N$14,$N$13,BU$2,BU$1,$B76)</f>
        <v>-133045.89000000001</v>
      </c>
      <c r="BV76" s="239">
        <f ca="1">_xll.DBRW(Server&amp;Cube1,$N$15,$N$16,$N$17,$N$18,$N$14,$N$13,BV$2,BV$1,$B76)</f>
        <v>-122610.07999999997</v>
      </c>
      <c r="BW76" s="55"/>
      <c r="BX76" s="28"/>
    </row>
    <row r="77" spans="1:78" ht="19.5" hidden="1" customHeight="1" outlineLevel="1" x14ac:dyDescent="0.2">
      <c r="A77" s="142"/>
      <c r="B77" s="360" t="s">
        <v>338</v>
      </c>
      <c r="H77" s="360"/>
      <c r="I77" s="69"/>
      <c r="J77" s="54"/>
      <c r="K77" s="9"/>
      <c r="L77" s="555" t="str">
        <f ca="1">LEFT(_xll.DBRA(Server&amp;$B$32,$B77,$N$19),FIND("(",_xll.DBRA(Server&amp;$B$32,$B77,$N$19),1)-1)</f>
        <v xml:space="preserve">Impairment - working capital </v>
      </c>
      <c r="M77" s="555"/>
      <c r="N77" s="555"/>
      <c r="O77" s="555"/>
      <c r="P77" s="234"/>
      <c r="Q77" s="235">
        <f ca="1">_xll.DBRW(Server&amp;Cube1,$N$15,$N$16,$N$17,$N$18,$N$14,$N$13,$N$11,$Q$1,$B77)</f>
        <v>20471.22</v>
      </c>
      <c r="R77" s="235">
        <f ca="1">_xll.DBRW(Server&amp;Cube1,$N$15,$N$16,$N$17,$N$18,$N$14,$N$13,$R$2,$R$1,$B77)</f>
        <v>0</v>
      </c>
      <c r="S77" s="236">
        <f t="shared" ref="S77" ca="1" si="24">Q77-R77</f>
        <v>20471.22</v>
      </c>
      <c r="T77" s="238">
        <f t="shared" ref="T77" ca="1" si="25">IF(R77&lt;&gt;0,IF(R77&gt;0,S77/R77,-S77/R77),0)</f>
        <v>0</v>
      </c>
      <c r="U77" s="223"/>
      <c r="V77" s="235">
        <f ca="1">_xll.DBRW(Server&amp;Cube1,$N$15,$N$16,$N$17,$N$18,$N$14,$N$13,$V$2,$V$1,$B77)</f>
        <v>10000</v>
      </c>
      <c r="W77" s="236">
        <f t="shared" ref="W77" ca="1" si="26">Q77-V77</f>
        <v>10471.220000000001</v>
      </c>
      <c r="X77" s="238">
        <f t="shared" ref="X77" ca="1" si="27">IF(V77&lt;&gt;0,IF(V77&gt;0,W77/V77,-W77/V77),0)</f>
        <v>1.0471220000000001</v>
      </c>
      <c r="Y77" s="55"/>
      <c r="Z77" s="55"/>
      <c r="AA77" s="55"/>
      <c r="AB77" s="235">
        <f ca="1">_xll.DBRW(Server&amp;Cube1,$N$15,$N$16,$N$17,$N$18,$N$14,$N$13,AB$2,AB$1,$B77)</f>
        <v>0</v>
      </c>
      <c r="AC77" s="235">
        <f ca="1">_xll.DBRW(Server&amp;Cube1,$N$15,$N$16,$N$17,$N$18,$N$14,$N$13,AC$2,AC$1,$B77)</f>
        <v>0</v>
      </c>
      <c r="AD77" s="235">
        <f ca="1">_xll.DBRW(Server&amp;Cube1,$N$15,$N$16,$N$17,$N$18,$N$14,$N$13,AD$2,AD$1,$B77)</f>
        <v>10000</v>
      </c>
      <c r="AE77" s="400"/>
      <c r="AF77" s="235">
        <f ca="1">_xll.DBRW(Server&amp;Cube1,$N$15,$N$16,$N$17,$N$18,$N$14,$N$13,AF$2,AF$1,$B77)</f>
        <v>20471.22</v>
      </c>
      <c r="AG77" s="235">
        <f ca="1">_xll.DBRW(Server&amp;Cube1,$N$15,$N$16,$N$17,$N$18,$N$14,$N$13,AG$2,AG$1,$B77)</f>
        <v>0</v>
      </c>
      <c r="AH77" s="235">
        <f ca="1">_xll.DBRW(Server&amp;Cube1,$N$15,$N$16,$N$17,$N$18,$N$14,$N$13,AH$2,AH$1,$B77)</f>
        <v>0</v>
      </c>
      <c r="AI77" s="400"/>
      <c r="AJ77" s="235">
        <f ca="1">_xll.DBRW(Server&amp;Cube1,$N$15,$N$16,$N$17,$N$18,$N$14,$N$13,AJ$2,AJ$1,$B77)</f>
        <v>0</v>
      </c>
      <c r="AK77" s="235">
        <f ca="1">_xll.DBRW(Server&amp;Cube1,$N$15,$N$16,$N$17,$N$18,$N$14,$N$13,AK$2,AK$1,$B77)</f>
        <v>0</v>
      </c>
      <c r="AL77" s="235">
        <f ca="1">_xll.DBRW(Server&amp;Cube1,$N$15,$N$16,$N$17,$N$18,$N$14,$N$13,AL$2,AL$1,$B77)</f>
        <v>-1719.07</v>
      </c>
      <c r="AM77" s="400"/>
      <c r="AN77" s="235">
        <f ca="1">_xll.DBRW(Server&amp;Cube1,$N$15,$N$16,$N$17,$N$18,$N$14,$N$13,AN$2,AN$1,$B77)</f>
        <v>0</v>
      </c>
      <c r="AO77" s="235">
        <f ca="1">_xll.DBRW(Server&amp;Cube1,$N$15,$N$16,$N$17,$N$18,$N$14,$N$13,AO$2,AO$1,$B77)</f>
        <v>0</v>
      </c>
      <c r="AP77" s="235">
        <f ca="1">_xll.DBRW(Server&amp;Cube1,$N$15,$N$16,$N$17,$N$18,$N$14,$N$13,AP$2,AP$1,$B77)</f>
        <v>0</v>
      </c>
      <c r="AQ77" s="400"/>
      <c r="AR77" s="235">
        <f ca="1">_xll.DBRW(Server&amp;Cube1,$N$15,$N$16,$N$17,$N$18,$N$14,$N$13,AR$2,AR$1,$B77)</f>
        <v>0</v>
      </c>
      <c r="AS77" s="235">
        <f ca="1">_xll.DBRW(Server&amp;Cube1,$N$15,$N$16,$N$17,$N$18,$N$14,$N$13,AS$2,AS$1,$B77)</f>
        <v>0</v>
      </c>
      <c r="AT77" s="235">
        <f ca="1">_xll.DBRW(Server&amp;Cube1,$N$15,$N$16,$N$17,$N$18,$N$14,$N$13,AT$2,AT$1,$B77)</f>
        <v>0</v>
      </c>
      <c r="AU77" s="400"/>
      <c r="AV77" s="235">
        <f ca="1">_xll.DBRW(Server&amp;Cube1,$N$15,$N$16,$N$17,$N$18,$N$14,$N$13,AV$2,AV$1,$B77)</f>
        <v>0</v>
      </c>
      <c r="AW77" s="235">
        <f ca="1">_xll.DBRW(Server&amp;Cube1,$N$15,$N$16,$N$17,$N$18,$N$14,$N$13,AW$2,AW$1,$B77)</f>
        <v>0</v>
      </c>
      <c r="AX77" s="235">
        <f ca="1">_xll.DBRW(Server&amp;Cube1,$N$15,$N$16,$N$17,$N$18,$N$14,$N$13,AX$2,AX$1,$B77)</f>
        <v>0</v>
      </c>
      <c r="AY77" s="400"/>
      <c r="AZ77" s="235">
        <f ca="1">_xll.DBRW(Server&amp;Cube1,$N$15,$N$16,$N$17,$N$18,$N$14,$N$13,AZ$2,AZ$1,$B77)</f>
        <v>0</v>
      </c>
      <c r="BA77" s="235">
        <f ca="1">_xll.DBRW(Server&amp;Cube1,$N$15,$N$16,$N$17,$N$18,$N$14,$N$13,BA$2,BA$1,$B77)</f>
        <v>0</v>
      </c>
      <c r="BB77" s="235">
        <f ca="1">_xll.DBRW(Server&amp;Cube1,$N$15,$N$16,$N$17,$N$18,$N$14,$N$13,BB$2,BB$1,$B77)</f>
        <v>0</v>
      </c>
      <c r="BC77" s="400"/>
      <c r="BD77" s="235">
        <f ca="1">_xll.DBRW(Server&amp;Cube1,$N$15,$N$16,$N$17,$N$18,$N$14,$N$13,BD$2,BD$1,$B77)</f>
        <v>0</v>
      </c>
      <c r="BE77" s="235">
        <f ca="1">_xll.DBRW(Server&amp;Cube1,$N$15,$N$16,$N$17,$N$18,$N$14,$N$13,BE$2,BE$1,$B77)</f>
        <v>0</v>
      </c>
      <c r="BF77" s="235">
        <f ca="1">_xll.DBRW(Server&amp;Cube1,$N$15,$N$16,$N$17,$N$18,$N$14,$N$13,BF$2,BF$1,$B77)</f>
        <v>0</v>
      </c>
      <c r="BG77" s="400"/>
      <c r="BH77" s="235">
        <f ca="1">_xll.DBRW(Server&amp;Cube1,$N$15,$N$16,$N$17,$N$18,$N$14,$N$13,BH$2,BH$1,$B77)</f>
        <v>0</v>
      </c>
      <c r="BI77" s="235">
        <f ca="1">_xll.DBRW(Server&amp;Cube1,$N$15,$N$16,$N$17,$N$18,$N$14,$N$13,BI$2,BI$1,$B77)</f>
        <v>0</v>
      </c>
      <c r="BJ77" s="235">
        <f ca="1">_xll.DBRW(Server&amp;Cube1,$N$15,$N$16,$N$17,$N$18,$N$14,$N$13,BJ$2,BJ$1,$B77)</f>
        <v>0</v>
      </c>
      <c r="BK77" s="400"/>
      <c r="BL77" s="235">
        <f ca="1">_xll.DBRW(Server&amp;Cube1,$N$15,$N$16,$N$17,$N$18,$N$14,$N$13,BL$2,BL$1,$B77)</f>
        <v>0</v>
      </c>
      <c r="BM77" s="235">
        <f ca="1">_xll.DBRW(Server&amp;Cube1,$N$15,$N$16,$N$17,$N$18,$N$14,$N$13,BM$2,BM$1,$B77)</f>
        <v>0</v>
      </c>
      <c r="BN77" s="235">
        <f ca="1">_xll.DBRW(Server&amp;Cube1,$N$15,$N$16,$N$17,$N$18,$N$14,$N$13,BN$2,BN$1,$B77)</f>
        <v>11986.85</v>
      </c>
      <c r="BO77" s="400"/>
      <c r="BP77" s="235">
        <f ca="1">_xll.DBRW(Server&amp;Cube1,$N$15,$N$16,$N$17,$N$18,$N$14,$N$13,BP$2,BP$1,$B77)</f>
        <v>0</v>
      </c>
      <c r="BQ77" s="235">
        <f ca="1">_xll.DBRW(Server&amp;Cube1,$N$15,$N$16,$N$17,$N$18,$N$14,$N$13,BQ$2,BQ$1,$B77)</f>
        <v>0</v>
      </c>
      <c r="BR77" s="235">
        <f ca="1">_xll.DBRW(Server&amp;Cube1,$N$15,$N$16,$N$17,$N$18,$N$14,$N$13,BR$2,BR$1,$B77)</f>
        <v>0</v>
      </c>
      <c r="BS77" s="400"/>
      <c r="BT77" s="235">
        <f ca="1">_xll.DBRW(Server&amp;Cube1,$N$15,$N$16,$N$17,$N$18,$N$14,$N$13,BT$2,BT$1,$B77)</f>
        <v>0</v>
      </c>
      <c r="BU77" s="235">
        <f ca="1">_xll.DBRW(Server&amp;Cube1,$N$15,$N$16,$N$17,$N$18,$N$14,$N$13,BU$2,BU$1,$B77)</f>
        <v>0</v>
      </c>
      <c r="BV77" s="235">
        <f ca="1">_xll.DBRW(Server&amp;Cube1,$N$15,$N$16,$N$17,$N$18,$N$14,$N$13,BV$2,BV$1,$B77)</f>
        <v>-22837.73000000001</v>
      </c>
      <c r="BW77" s="55"/>
      <c r="BX77" s="28"/>
    </row>
    <row r="78" spans="1:78" ht="19.5" hidden="1" customHeight="1" outlineLevel="1" x14ac:dyDescent="0.2">
      <c r="A78" s="142"/>
      <c r="B78" s="360" t="s">
        <v>61</v>
      </c>
      <c r="H78" s="360"/>
      <c r="I78" s="69"/>
      <c r="J78" s="54"/>
      <c r="K78" s="9"/>
      <c r="L78" s="555" t="str">
        <f ca="1">LEFT(_xll.DBRA(Server&amp;$B$32,$B78,$N$19),FIND("(",_xll.DBRA(Server&amp;$B$32,$B78,$N$19),1)-1)</f>
        <v xml:space="preserve">Impairment </v>
      </c>
      <c r="M78" s="555"/>
      <c r="N78" s="555"/>
      <c r="O78" s="555"/>
      <c r="P78" s="234"/>
      <c r="Q78" s="235">
        <f ca="1">_xll.DBRW(Server&amp;Cube1,$N$15,$N$16,$N$17,$N$18,$N$14,$N$13,$N$11,$Q$1,$B78)</f>
        <v>-43702894.609999999</v>
      </c>
      <c r="R78" s="235">
        <f ca="1">_xll.DBRW(Server&amp;Cube1,$N$15,$N$16,$N$17,$N$18,$N$14,$N$13,$R$2,$R$1,$B78)</f>
        <v>-33394951.300000001</v>
      </c>
      <c r="S78" s="236">
        <f t="shared" ref="S78" ca="1" si="28">Q78-R78</f>
        <v>-10307943.309999999</v>
      </c>
      <c r="T78" s="238">
        <f t="shared" ref="T78" ca="1" si="29">IF(R78&lt;&gt;0,IF(R78&gt;0,S78/R78,-S78/R78),0)</f>
        <v>-0.30866771499079859</v>
      </c>
      <c r="U78" s="223"/>
      <c r="V78" s="235">
        <f ca="1">_xll.DBRW(Server&amp;Cube1,$N$15,$N$16,$N$17,$N$18,$N$14,$N$13,$V$2,$V$1,$B78)</f>
        <v>-36518293.370000005</v>
      </c>
      <c r="W78" s="236">
        <f t="shared" ref="W78" ca="1" si="30">Q78-V78</f>
        <v>-7184601.2399999946</v>
      </c>
      <c r="X78" s="238">
        <f t="shared" ref="X78" ca="1" si="31">IF(V78&lt;&gt;0,IF(V78&gt;0,W78/V78,-W78/V78),0)</f>
        <v>-0.19673978647376186</v>
      </c>
      <c r="Y78" s="55"/>
      <c r="Z78" s="55"/>
      <c r="AA78" s="55"/>
      <c r="AB78" s="235">
        <f ca="1">_xll.DBRW(Server&amp;Cube1,$N$15,$N$16,$N$17,$N$18,$N$14,$N$13,AB$2,AB$1,$B78)</f>
        <v>-21853227.949999999</v>
      </c>
      <c r="AC78" s="235">
        <f ca="1">_xll.DBRW(Server&amp;Cube1,$N$15,$N$16,$N$17,$N$18,$N$14,$N$13,AC$2,AC$1,$B78)</f>
        <v>-16698290.32</v>
      </c>
      <c r="AD78" s="235">
        <f ca="1">_xll.DBRW(Server&amp;Cube1,$N$15,$N$16,$N$17,$N$18,$N$14,$N$13,AD$2,AD$1,$B78)</f>
        <v>-134313.94</v>
      </c>
      <c r="AE78" s="400"/>
      <c r="AF78" s="235">
        <f ca="1">_xll.DBRW(Server&amp;Cube1,$N$15,$N$16,$N$17,$N$18,$N$14,$N$13,AF$2,AF$1,$B78)</f>
        <v>-21849666.66</v>
      </c>
      <c r="AG78" s="235">
        <f ca="1">_xll.DBRW(Server&amp;Cube1,$N$15,$N$16,$N$17,$N$18,$N$14,$N$13,AG$2,AG$1,$B78)</f>
        <v>-16696660.98</v>
      </c>
      <c r="AH78" s="235">
        <f ca="1">_xll.DBRW(Server&amp;Cube1,$N$15,$N$16,$N$17,$N$18,$N$14,$N$13,AH$2,AH$1,$B78)</f>
        <v>-36383979.430000007</v>
      </c>
      <c r="AI78" s="400"/>
      <c r="AJ78" s="235">
        <f ca="1">_xll.DBRW(Server&amp;Cube1,$N$15,$N$16,$N$17,$N$18,$N$14,$N$13,AJ$2,AJ$1,$B78)</f>
        <v>0</v>
      </c>
      <c r="AK78" s="235">
        <f ca="1">_xll.DBRW(Server&amp;Cube1,$N$15,$N$16,$N$17,$N$18,$N$14,$N$13,AK$2,AK$1,$B78)</f>
        <v>-16697747.209999999</v>
      </c>
      <c r="AL78" s="235">
        <f ca="1">_xll.DBRW(Server&amp;Cube1,$N$15,$N$16,$N$17,$N$18,$N$14,$N$13,AL$2,AL$1,$B78)</f>
        <v>-18358801.880000003</v>
      </c>
      <c r="AM78" s="400"/>
      <c r="AN78" s="235">
        <f ca="1">_xll.DBRW(Server&amp;Cube1,$N$15,$N$16,$N$17,$N$18,$N$14,$N$13,AN$2,AN$1,$B78)</f>
        <v>0</v>
      </c>
      <c r="AO78" s="235">
        <f ca="1">_xll.DBRW(Server&amp;Cube1,$N$15,$N$16,$N$17,$N$18,$N$14,$N$13,AO$2,AO$1,$B78)</f>
        <v>-16697726.449999999</v>
      </c>
      <c r="AP78" s="235">
        <f ca="1">_xll.DBRW(Server&amp;Cube1,$N$15,$N$16,$N$17,$N$18,$N$14,$N$13,AP$2,AP$1,$B78)</f>
        <v>-18307649.889999989</v>
      </c>
      <c r="AQ78" s="400"/>
      <c r="AR78" s="235">
        <f ca="1">_xll.DBRW(Server&amp;Cube1,$N$15,$N$16,$N$17,$N$18,$N$14,$N$13,AR$2,AR$1,$B78)</f>
        <v>0</v>
      </c>
      <c r="AS78" s="235">
        <f ca="1">_xll.DBRW(Server&amp;Cube1,$N$15,$N$16,$N$17,$N$18,$N$14,$N$13,AS$2,AS$1,$B78)</f>
        <v>-16697198.92</v>
      </c>
      <c r="AT78" s="235">
        <f ca="1">_xll.DBRW(Server&amp;Cube1,$N$15,$N$16,$N$17,$N$18,$N$14,$N$13,AT$2,AT$1,$B78)</f>
        <v>-26938290.459999997</v>
      </c>
      <c r="AU78" s="400"/>
      <c r="AV78" s="235">
        <f ca="1">_xll.DBRW(Server&amp;Cube1,$N$15,$N$16,$N$17,$N$18,$N$14,$N$13,AV$2,AV$1,$B78)</f>
        <v>0</v>
      </c>
      <c r="AW78" s="235">
        <f ca="1">_xll.DBRW(Server&amp;Cube1,$N$15,$N$16,$N$17,$N$18,$N$14,$N$13,AW$2,AW$1,$B78)</f>
        <v>-16697742.02</v>
      </c>
      <c r="AX78" s="235">
        <f ca="1">_xll.DBRW(Server&amp;Cube1,$N$15,$N$16,$N$17,$N$18,$N$14,$N$13,AX$2,AX$1,$B78)</f>
        <v>-22112415.859999999</v>
      </c>
      <c r="AY78" s="400"/>
      <c r="AZ78" s="235">
        <f ca="1">_xll.DBRW(Server&amp;Cube1,$N$15,$N$16,$N$17,$N$18,$N$14,$N$13,AZ$2,AZ$1,$B78)</f>
        <v>0</v>
      </c>
      <c r="BA78" s="235">
        <f ca="1">_xll.DBRW(Server&amp;Cube1,$N$15,$N$16,$N$17,$N$18,$N$14,$N$13,BA$2,BA$1,$B78)</f>
        <v>-16697272.690000001</v>
      </c>
      <c r="BB78" s="235">
        <f ca="1">_xll.DBRW(Server&amp;Cube1,$N$15,$N$16,$N$17,$N$18,$N$14,$N$13,BB$2,BB$1,$B78)</f>
        <v>122007935.87</v>
      </c>
      <c r="BC78" s="400"/>
      <c r="BD78" s="235">
        <f ca="1">_xll.DBRW(Server&amp;Cube1,$N$15,$N$16,$N$17,$N$18,$N$14,$N$13,BD$2,BD$1,$B78)</f>
        <v>0</v>
      </c>
      <c r="BE78" s="235">
        <f ca="1">_xll.DBRW(Server&amp;Cube1,$N$15,$N$16,$N$17,$N$18,$N$14,$N$13,BE$2,BE$1,$B78)</f>
        <v>-16697436.020000001</v>
      </c>
      <c r="BF78" s="235">
        <f ca="1">_xll.DBRW(Server&amp;Cube1,$N$15,$N$16,$N$17,$N$18,$N$14,$N$13,BF$2,BF$1,$B78)</f>
        <v>-87290.050000000017</v>
      </c>
      <c r="BG78" s="400"/>
      <c r="BH78" s="235">
        <f ca="1">_xll.DBRW(Server&amp;Cube1,$N$15,$N$16,$N$17,$N$18,$N$14,$N$13,BH$2,BH$1,$B78)</f>
        <v>0</v>
      </c>
      <c r="BI78" s="235">
        <f ca="1">_xll.DBRW(Server&amp;Cube1,$N$15,$N$16,$N$17,$N$18,$N$14,$N$13,BI$2,BI$1,$B78)</f>
        <v>-16697991.430000002</v>
      </c>
      <c r="BJ78" s="235">
        <f ca="1">_xll.DBRW(Server&amp;Cube1,$N$15,$N$16,$N$17,$N$18,$N$14,$N$13,BJ$2,BJ$1,$B78)</f>
        <v>-189307929.24000001</v>
      </c>
      <c r="BK78" s="400"/>
      <c r="BL78" s="235">
        <f ca="1">_xll.DBRW(Server&amp;Cube1,$N$15,$N$16,$N$17,$N$18,$N$14,$N$13,BL$2,BL$1,$B78)</f>
        <v>0</v>
      </c>
      <c r="BM78" s="235">
        <f ca="1">_xll.DBRW(Server&amp;Cube1,$N$15,$N$16,$N$17,$N$18,$N$14,$N$13,BM$2,BM$1,$B78)</f>
        <v>-16697991.430000002</v>
      </c>
      <c r="BN78" s="235">
        <f ca="1">_xll.DBRW(Server&amp;Cube1,$N$15,$N$16,$N$17,$N$18,$N$14,$N$13,BN$2,BN$1,$B78)</f>
        <v>-22473541.41</v>
      </c>
      <c r="BO78" s="400"/>
      <c r="BP78" s="235">
        <f ca="1">_xll.DBRW(Server&amp;Cube1,$N$15,$N$16,$N$17,$N$18,$N$14,$N$13,BP$2,BP$1,$B78)</f>
        <v>0</v>
      </c>
      <c r="BQ78" s="235">
        <f ca="1">_xll.DBRW(Server&amp;Cube1,$N$15,$N$16,$N$17,$N$18,$N$14,$N$13,BQ$2,BQ$1,$B78)</f>
        <v>-16697436.020000001</v>
      </c>
      <c r="BR78" s="235">
        <f ca="1">_xll.DBRW(Server&amp;Cube1,$N$15,$N$16,$N$17,$N$18,$N$14,$N$13,BR$2,BR$1,$B78)</f>
        <v>-22778102.09</v>
      </c>
      <c r="BS78" s="400"/>
      <c r="BT78" s="235">
        <f ca="1">_xll.DBRW(Server&amp;Cube1,$N$15,$N$16,$N$17,$N$18,$N$14,$N$13,BT$2,BT$1,$B78)</f>
        <v>0</v>
      </c>
      <c r="BU78" s="235">
        <f ca="1">_xll.DBRW(Server&amp;Cube1,$N$15,$N$16,$N$17,$N$18,$N$14,$N$13,BU$2,BU$1,$B78)</f>
        <v>-16697272.15</v>
      </c>
      <c r="BV78" s="235">
        <f ca="1">_xll.DBRW(Server&amp;Cube1,$N$15,$N$16,$N$17,$N$18,$N$14,$N$13,BV$2,BV$1,$B78)</f>
        <v>-256419655.21000001</v>
      </c>
      <c r="BW78" s="55"/>
      <c r="BX78" s="28"/>
    </row>
    <row r="79" spans="1:78" s="34" customFormat="1" ht="3" customHeight="1" x14ac:dyDescent="0.2">
      <c r="A79" s="57"/>
      <c r="B79" s="360"/>
      <c r="C79" s="9"/>
      <c r="D79" s="1"/>
      <c r="E79" s="1"/>
      <c r="H79" s="360"/>
      <c r="I79" s="69"/>
      <c r="J79" s="54"/>
      <c r="K79" s="69"/>
      <c r="L79" s="69"/>
      <c r="M79" s="55"/>
      <c r="N79" s="55"/>
      <c r="O79" s="55"/>
      <c r="P79" s="55"/>
      <c r="Q79" s="70"/>
      <c r="R79" s="70"/>
      <c r="S79" s="70"/>
      <c r="T79" s="71"/>
      <c r="U79" s="70"/>
      <c r="V79" s="70"/>
      <c r="W79" s="70"/>
      <c r="X79" s="71"/>
      <c r="Y79" s="55"/>
      <c r="Z79" s="55"/>
      <c r="AA79" s="55"/>
      <c r="AB79" s="70"/>
      <c r="AC79" s="70"/>
      <c r="AD79" s="70"/>
      <c r="AE79" s="400"/>
      <c r="AF79" s="70"/>
      <c r="AG79" s="70"/>
      <c r="AH79" s="70"/>
      <c r="AI79" s="400"/>
      <c r="AJ79" s="70"/>
      <c r="AK79" s="70"/>
      <c r="AL79" s="70"/>
      <c r="AM79" s="400"/>
      <c r="AN79" s="70"/>
      <c r="AO79" s="70"/>
      <c r="AP79" s="70"/>
      <c r="AQ79" s="400"/>
      <c r="AR79" s="70"/>
      <c r="AS79" s="70"/>
      <c r="AT79" s="70"/>
      <c r="AU79" s="400"/>
      <c r="AV79" s="70"/>
      <c r="AW79" s="70"/>
      <c r="AX79" s="70"/>
      <c r="AY79" s="400"/>
      <c r="AZ79" s="70"/>
      <c r="BA79" s="70"/>
      <c r="BB79" s="70"/>
      <c r="BC79" s="400"/>
      <c r="BD79" s="70"/>
      <c r="BE79" s="70"/>
      <c r="BF79" s="70"/>
      <c r="BG79" s="400"/>
      <c r="BH79" s="70"/>
      <c r="BI79" s="70"/>
      <c r="BJ79" s="70"/>
      <c r="BK79" s="400"/>
      <c r="BL79" s="70"/>
      <c r="BM79" s="70"/>
      <c r="BN79" s="70"/>
      <c r="BO79" s="400"/>
      <c r="BP79" s="70"/>
      <c r="BQ79" s="70"/>
      <c r="BR79" s="70"/>
      <c r="BS79" s="400"/>
      <c r="BT79" s="70"/>
      <c r="BU79" s="70"/>
      <c r="BV79" s="70"/>
      <c r="BW79" s="55"/>
      <c r="BX79" s="28"/>
    </row>
    <row r="80" spans="1:78" ht="3.75" hidden="1" customHeight="1" x14ac:dyDescent="0.25">
      <c r="A80" s="57"/>
      <c r="B80" s="377"/>
      <c r="H80" s="377"/>
      <c r="I80" s="95"/>
      <c r="J80" s="58"/>
      <c r="K80" s="59"/>
      <c r="L80" s="60"/>
      <c r="M80" s="61"/>
      <c r="N80" s="61"/>
      <c r="O80" s="61"/>
      <c r="P80" s="62"/>
      <c r="Q80" s="63"/>
      <c r="R80" s="63"/>
      <c r="S80" s="64"/>
      <c r="T80" s="65"/>
      <c r="U80" s="66"/>
      <c r="V80" s="63"/>
      <c r="W80" s="64"/>
      <c r="X80" s="65"/>
      <c r="Y80" s="55"/>
      <c r="Z80" s="55"/>
      <c r="AA80" s="55"/>
      <c r="AB80" s="63"/>
      <c r="AC80" s="63"/>
      <c r="AD80" s="63"/>
      <c r="AE80" s="400"/>
      <c r="AF80" s="63"/>
      <c r="AG80" s="63"/>
      <c r="AH80" s="63"/>
      <c r="AI80" s="400"/>
      <c r="AJ80" s="63"/>
      <c r="AK80" s="63"/>
      <c r="AL80" s="63"/>
      <c r="AM80" s="400"/>
      <c r="AN80" s="63"/>
      <c r="AO80" s="63"/>
      <c r="AP80" s="63"/>
      <c r="AQ80" s="400"/>
      <c r="AR80" s="63"/>
      <c r="AS80" s="63"/>
      <c r="AT80" s="63"/>
      <c r="AU80" s="400"/>
      <c r="AV80" s="63"/>
      <c r="AW80" s="63"/>
      <c r="AX80" s="63"/>
      <c r="AY80" s="400"/>
      <c r="AZ80" s="63"/>
      <c r="BA80" s="63"/>
      <c r="BB80" s="63"/>
      <c r="BC80" s="400"/>
      <c r="BD80" s="63"/>
      <c r="BE80" s="63"/>
      <c r="BF80" s="63"/>
      <c r="BG80" s="400"/>
      <c r="BH80" s="63"/>
      <c r="BI80" s="63"/>
      <c r="BJ80" s="63"/>
      <c r="BK80" s="400"/>
      <c r="BL80" s="63"/>
      <c r="BM80" s="63"/>
      <c r="BN80" s="63"/>
      <c r="BO80" s="400"/>
      <c r="BP80" s="63"/>
      <c r="BQ80" s="63"/>
      <c r="BR80" s="63"/>
      <c r="BS80" s="400"/>
      <c r="BT80" s="63"/>
      <c r="BU80" s="63"/>
      <c r="BV80" s="63"/>
      <c r="BW80" s="55"/>
      <c r="BX80" s="28"/>
      <c r="BZ80" s="367"/>
    </row>
    <row r="81" spans="1:76" s="34" customFormat="1" ht="23.25" customHeight="1" collapsed="1" x14ac:dyDescent="0.25">
      <c r="A81" s="57"/>
      <c r="B81" s="360" t="s">
        <v>344</v>
      </c>
      <c r="C81" s="9"/>
      <c r="D81" s="1"/>
      <c r="E81" s="1"/>
      <c r="H81" s="360"/>
      <c r="I81" s="95"/>
      <c r="J81" s="58"/>
      <c r="K81" s="556" t="str">
        <f ca="1">"E - "&amp;_xll.DBRA(Server&amp;$B$32,$B81,$N$19)</f>
        <v>E - Energy for traction PMM</v>
      </c>
      <c r="L81" s="556"/>
      <c r="M81" s="556"/>
      <c r="N81" s="556"/>
      <c r="O81" s="556"/>
      <c r="P81" s="240"/>
      <c r="Q81" s="241">
        <f ca="1">_xll.DBRW(Server&amp;Cube1,$N$15,$N$16,$N$17,$N$18,$N$14,$N$13,$N$11,$Q$1,$B81)</f>
        <v>-2196322661.2199988</v>
      </c>
      <c r="R81" s="241">
        <f ca="1">_xll.DBRW(Server&amp;Cube1,$N$15,$N$16,$N$17,$N$18,$N$14,$N$13,$R$2,$R$1,$B81)</f>
        <v>-1926728888.8122673</v>
      </c>
      <c r="S81" s="242">
        <f ca="1">Q81-R81</f>
        <v>-269593772.40773153</v>
      </c>
      <c r="T81" s="243">
        <f ca="1">IF(R81&lt;&gt;0,IF(R81&gt;0,S81/R81,-S81/R81),0)</f>
        <v>-0.13992304468633504</v>
      </c>
      <c r="U81" s="216"/>
      <c r="V81" s="241">
        <f ca="1">_xll.DBRW(Server&amp;Cube1,$N$15,$N$16,$N$17,$N$18,$N$14,$N$13,$V$2,$V$1,$B81)</f>
        <v>-1893785375.9247482</v>
      </c>
      <c r="W81" s="242">
        <f ca="1">Q81-V81</f>
        <v>-302537285.29525065</v>
      </c>
      <c r="X81" s="243">
        <f ca="1">IF(V81&lt;&gt;0,IF(V81&gt;0,W81/V81,-W81/V81),0)</f>
        <v>-0.15975267796516787</v>
      </c>
      <c r="Y81" s="72"/>
      <c r="Z81" s="72"/>
      <c r="AA81" s="72"/>
      <c r="AB81" s="241">
        <f ca="1">_xll.DBRW(Server&amp;Cube1,$N$15,$N$16,$N$17,$N$18,$N$14,$N$13,AB$2,AB$1,$B81)</f>
        <v>-1171562880.9900002</v>
      </c>
      <c r="AC81" s="241">
        <f ca="1">_xll.DBRW(Server&amp;Cube1,$N$15,$N$16,$N$17,$N$18,$N$14,$N$13,AC$2,AC$1,$B81)</f>
        <v>-915551667.41577661</v>
      </c>
      <c r="AD81" s="241">
        <f ca="1">_xll.DBRW(Server&amp;Cube1,$N$15,$N$16,$N$17,$N$18,$N$14,$N$13,AD$2,AD$1,$B81)</f>
        <v>-55192784.068656437</v>
      </c>
      <c r="AE81" s="400"/>
      <c r="AF81" s="241">
        <f ca="1">_xll.DBRW(Server&amp;Cube1,$N$15,$N$16,$N$17,$N$18,$N$14,$N$13,AF$2,AF$1,$B81)</f>
        <v>-1024759780.2299995</v>
      </c>
      <c r="AG81" s="241">
        <f ca="1">_xll.DBRW(Server&amp;Cube1,$N$15,$N$16,$N$17,$N$18,$N$14,$N$13,AG$2,AG$1,$B81)</f>
        <v>-1011177221.3964913</v>
      </c>
      <c r="AH81" s="241">
        <f ca="1">_xll.DBRW(Server&amp;Cube1,$N$15,$N$16,$N$17,$N$18,$N$14,$N$13,AH$2,AH$1,$B81)</f>
        <v>-1838592591.8560915</v>
      </c>
      <c r="AI81" s="400"/>
      <c r="AJ81" s="241">
        <f ca="1">_xll.DBRW(Server&amp;Cube1,$N$15,$N$16,$N$17,$N$18,$N$14,$N$13,AJ$2,AJ$1,$B81)</f>
        <v>0</v>
      </c>
      <c r="AK81" s="241">
        <f ca="1">_xll.DBRW(Server&amp;Cube1,$N$15,$N$16,$N$17,$N$18,$N$14,$N$13,AK$2,AK$1,$B81)</f>
        <v>-1298913120.0352774</v>
      </c>
      <c r="AL81" s="241">
        <f ca="1">_xll.DBRW(Server&amp;Cube1,$N$15,$N$16,$N$17,$N$18,$N$14,$N$13,AL$2,AL$1,$B81)</f>
        <v>-1094133753.6888466</v>
      </c>
      <c r="AM81" s="400"/>
      <c r="AN81" s="241">
        <f ca="1">_xll.DBRW(Server&amp;Cube1,$N$15,$N$16,$N$17,$N$18,$N$14,$N$13,AN$2,AN$1,$B81)</f>
        <v>0</v>
      </c>
      <c r="AO81" s="241">
        <f ca="1">_xll.DBRW(Server&amp;Cube1,$N$15,$N$16,$N$17,$N$18,$N$14,$N$13,AO$2,AO$1,$B81)</f>
        <v>-1223291017.0396783</v>
      </c>
      <c r="AP81" s="241">
        <f ca="1">_xll.DBRW(Server&amp;Cube1,$N$15,$N$16,$N$17,$N$18,$N$14,$N$13,AP$2,AP$1,$B81)</f>
        <v>-1126736613.5099993</v>
      </c>
      <c r="AQ81" s="400"/>
      <c r="AR81" s="241">
        <f ca="1">_xll.DBRW(Server&amp;Cube1,$N$15,$N$16,$N$17,$N$18,$N$14,$N$13,AR$2,AR$1,$B81)</f>
        <v>0</v>
      </c>
      <c r="AS81" s="241">
        <f ca="1">_xll.DBRW(Server&amp;Cube1,$N$15,$N$16,$N$17,$N$18,$N$14,$N$13,AS$2,AS$1,$B81)</f>
        <v>-1244166577.2327838</v>
      </c>
      <c r="AT81" s="241">
        <f ca="1">_xll.DBRW(Server&amp;Cube1,$N$15,$N$16,$N$17,$N$18,$N$14,$N$13,AT$2,AT$1,$B81)</f>
        <v>-1353607622.6599994</v>
      </c>
      <c r="AU81" s="400"/>
      <c r="AV81" s="241">
        <f ca="1">_xll.DBRW(Server&amp;Cube1,$N$15,$N$16,$N$17,$N$18,$N$14,$N$13,AV$2,AV$1,$B81)</f>
        <v>0</v>
      </c>
      <c r="AW81" s="241">
        <f ca="1">_xll.DBRW(Server&amp;Cube1,$N$15,$N$16,$N$17,$N$18,$N$14,$N$13,AW$2,AW$1,$B81)</f>
        <v>-1229428400.5564594</v>
      </c>
      <c r="AX81" s="241">
        <f ca="1">_xll.DBRW(Server&amp;Cube1,$N$15,$N$16,$N$17,$N$18,$N$14,$N$13,AX$2,AX$1,$B81)</f>
        <v>-1185644651.1099992</v>
      </c>
      <c r="AY81" s="400"/>
      <c r="AZ81" s="241">
        <f ca="1">_xll.DBRW(Server&amp;Cube1,$N$15,$N$16,$N$17,$N$18,$N$14,$N$13,AZ$2,AZ$1,$B81)</f>
        <v>0</v>
      </c>
      <c r="BA81" s="241">
        <f ca="1">_xll.DBRW(Server&amp;Cube1,$N$15,$N$16,$N$17,$N$18,$N$14,$N$13,BA$2,BA$1,$B81)</f>
        <v>-1275724078.6882133</v>
      </c>
      <c r="BB81" s="241">
        <f ca="1">_xll.DBRW(Server&amp;Cube1,$N$15,$N$16,$N$17,$N$18,$N$14,$N$13,BB$2,BB$1,$B81)</f>
        <v>6126801854.6785822</v>
      </c>
      <c r="BC81" s="400"/>
      <c r="BD81" s="241">
        <f ca="1">_xll.DBRW(Server&amp;Cube1,$N$15,$N$16,$N$17,$N$18,$N$14,$N$13,BD$2,BD$1,$B81)</f>
        <v>0</v>
      </c>
      <c r="BE81" s="241">
        <f ca="1">_xll.DBRW(Server&amp;Cube1,$N$15,$N$16,$N$17,$N$18,$N$14,$N$13,BE$2,BE$1,$B81)</f>
        <v>-1265674941.0458403</v>
      </c>
      <c r="BF81" s="241">
        <f ca="1">_xll.DBRW(Server&amp;Cube1,$N$15,$N$16,$N$17,$N$18,$N$14,$N$13,BF$2,BF$1,$B81)</f>
        <v>-85580688.760000005</v>
      </c>
      <c r="BG81" s="400"/>
      <c r="BH81" s="241">
        <f ca="1">_xll.DBRW(Server&amp;Cube1,$N$15,$N$16,$N$17,$N$18,$N$14,$N$13,BH$2,BH$1,$B81)</f>
        <v>0</v>
      </c>
      <c r="BI81" s="241">
        <f ca="1">_xll.DBRW(Server&amp;Cube1,$N$15,$N$16,$N$17,$N$18,$N$14,$N$13,BI$2,BI$1,$B81)</f>
        <v>-1244994403.4905114</v>
      </c>
      <c r="BJ81" s="241">
        <f ca="1">_xll.DBRW(Server&amp;Cube1,$N$15,$N$16,$N$17,$N$18,$N$14,$N$13,BJ$2,BJ$1,$B81)</f>
        <v>-9595675432.9000015</v>
      </c>
      <c r="BK81" s="400"/>
      <c r="BL81" s="241">
        <f ca="1">_xll.DBRW(Server&amp;Cube1,$N$15,$N$16,$N$17,$N$18,$N$14,$N$13,BL$2,BL$1,$B81)</f>
        <v>0</v>
      </c>
      <c r="BM81" s="241">
        <f ca="1">_xll.DBRW(Server&amp;Cube1,$N$15,$N$16,$N$17,$N$18,$N$14,$N$13,BM$2,BM$1,$B81)</f>
        <v>-1279126943.0979693</v>
      </c>
      <c r="BN81" s="241">
        <f ca="1">_xll.DBRW(Server&amp;Cube1,$N$15,$N$16,$N$17,$N$18,$N$14,$N$13,BN$2,BN$1,$B81)</f>
        <v>-1168589555.4100001</v>
      </c>
      <c r="BO81" s="400"/>
      <c r="BP81" s="241">
        <f ca="1">_xll.DBRW(Server&amp;Cube1,$N$15,$N$16,$N$17,$N$18,$N$14,$N$13,BP$2,BP$1,$B81)</f>
        <v>0</v>
      </c>
      <c r="BQ81" s="241">
        <f ca="1">_xll.DBRW(Server&amp;Cube1,$N$15,$N$16,$N$17,$N$18,$N$14,$N$13,BQ$2,BQ$1,$B81)</f>
        <v>-1291091420.6794121</v>
      </c>
      <c r="BR81" s="241">
        <f ca="1">_xll.DBRW(Server&amp;Cube1,$N$15,$N$16,$N$17,$N$18,$N$14,$N$13,BR$2,BR$1,$B81)</f>
        <v>-1105105350.6199996</v>
      </c>
      <c r="BS81" s="400"/>
      <c r="BT81" s="241">
        <f ca="1">_xll.DBRW(Server&amp;Cube1,$N$15,$N$16,$N$17,$N$18,$N$14,$N$13,BT$2,BT$1,$B81)</f>
        <v>0</v>
      </c>
      <c r="BU81" s="241">
        <f ca="1">_xll.DBRW(Server&amp;Cube1,$N$15,$N$16,$N$17,$N$18,$N$14,$N$13,BU$2,BU$1,$B81)</f>
        <v>-1316183897.0077708</v>
      </c>
      <c r="BV81" s="241">
        <f ca="1">_xll.DBRW(Server&amp;Cube1,$N$15,$N$16,$N$17,$N$18,$N$14,$N$13,BV$2,BV$1,$B81)</f>
        <v>-12849231803.269999</v>
      </c>
      <c r="BW81" s="72"/>
      <c r="BX81" s="28"/>
    </row>
    <row r="82" spans="1:76" ht="19.5" hidden="1" customHeight="1" outlineLevel="1" x14ac:dyDescent="0.2">
      <c r="A82" s="57"/>
      <c r="B82" s="360" t="s">
        <v>62</v>
      </c>
      <c r="H82" s="360"/>
      <c r="I82" s="360"/>
      <c r="J82" s="54"/>
      <c r="K82" s="9"/>
      <c r="L82" s="557" t="str">
        <f ca="1">_xll.DBRA(Server&amp;$B$32,$B82,$N$19)</f>
        <v>Fuel</v>
      </c>
      <c r="M82" s="557"/>
      <c r="N82" s="557"/>
      <c r="O82" s="557"/>
      <c r="P82" s="234"/>
      <c r="Q82" s="235">
        <f ca="1">_xll.DBRW(Server&amp;Cube1,$N$15,$N$16,$N$17,$N$18,$N$14,$N$13,$N$11,$Q$1,$B82)</f>
        <v>-2198435289.4799976</v>
      </c>
      <c r="R82" s="235">
        <f ca="1">_xll.DBRW(Server&amp;Cube1,$N$15,$N$16,$N$17,$N$18,$N$14,$N$13,$R$2,$R$1,$B82)</f>
        <v>-1878824072.2624204</v>
      </c>
      <c r="S82" s="236">
        <f t="shared" ref="S82:S95" ca="1" si="32">Q82-R82</f>
        <v>-319611217.21757722</v>
      </c>
      <c r="T82" s="238">
        <f t="shared" ref="T82:T95" ca="1" si="33">IF(R82&lt;&gt;0,IF(R82&gt;0,S82/R82,-S82/R82),0)</f>
        <v>-0.17011237078345048</v>
      </c>
      <c r="U82" s="223"/>
      <c r="V82" s="235">
        <f ca="1">_xll.DBRW(Server&amp;Cube1,$N$15,$N$16,$N$17,$N$18,$N$14,$N$13,$V$2,$V$1,$B82)</f>
        <v>-1849147475.0983903</v>
      </c>
      <c r="W82" s="236">
        <f t="shared" ref="W82:W95" ca="1" si="34">Q82-V82</f>
        <v>-349287814.38160729</v>
      </c>
      <c r="X82" s="238">
        <f t="shared" ref="X82:X95" ca="1" si="35">IF(V82&lt;&gt;0,IF(V82&gt;0,W82/V82,-W82/V82),0)</f>
        <v>-0.18889126967172926</v>
      </c>
      <c r="Y82" s="55"/>
      <c r="Z82" s="55"/>
      <c r="AA82" s="55"/>
      <c r="AB82" s="235">
        <f ca="1">_xll.DBRW(Server&amp;Cube1,$N$15,$N$16,$N$17,$N$18,$N$14,$N$13,AB$2,AB$1,$B82)</f>
        <v>-1169606041.6099997</v>
      </c>
      <c r="AC82" s="235">
        <f ca="1">_xll.DBRW(Server&amp;Cube1,$N$15,$N$16,$N$17,$N$18,$N$14,$N$13,AC$2,AC$1,$B82)</f>
        <v>-890844252.19334757</v>
      </c>
      <c r="AD82" s="235">
        <f ca="1">_xll.DBRW(Server&amp;Cube1,$N$15,$N$16,$N$17,$N$18,$N$14,$N$13,AD$2,AD$1,$B82)</f>
        <v>-30599897.595753629</v>
      </c>
      <c r="AE82" s="400"/>
      <c r="AF82" s="235">
        <f ca="1">_xll.DBRW(Server&amp;Cube1,$N$15,$N$16,$N$17,$N$18,$N$14,$N$13,AF$2,AF$1,$B82)</f>
        <v>-1028829247.87</v>
      </c>
      <c r="AG82" s="235">
        <f ca="1">_xll.DBRW(Server&amp;Cube1,$N$15,$N$16,$N$17,$N$18,$N$14,$N$13,AG$2,AG$1,$B82)</f>
        <v>-987979820.06907308</v>
      </c>
      <c r="AH82" s="235">
        <f ca="1">_xll.DBRW(Server&amp;Cube1,$N$15,$N$16,$N$17,$N$18,$N$14,$N$13,AH$2,AH$1,$B82)</f>
        <v>-1818547577.5026352</v>
      </c>
      <c r="AI82" s="400"/>
      <c r="AJ82" s="235">
        <f ca="1">_xll.DBRW(Server&amp;Cube1,$N$15,$N$16,$N$17,$N$18,$N$14,$N$13,AJ$2,AJ$1,$B82)</f>
        <v>0</v>
      </c>
      <c r="AK82" s="235">
        <f ca="1">_xll.DBRW(Server&amp;Cube1,$N$15,$N$16,$N$17,$N$18,$N$14,$N$13,AK$2,AK$1,$B82)</f>
        <v>-1274741255.3119254</v>
      </c>
      <c r="AL82" s="235">
        <f ca="1">_xll.DBRW(Server&amp;Cube1,$N$15,$N$16,$N$17,$N$18,$N$14,$N$13,AL$2,AL$1,$B82)</f>
        <v>-1071678255.1502999</v>
      </c>
      <c r="AM82" s="400"/>
      <c r="AN82" s="235">
        <f ca="1">_xll.DBRW(Server&amp;Cube1,$N$15,$N$16,$N$17,$N$18,$N$14,$N$13,AN$2,AN$1,$B82)</f>
        <v>0</v>
      </c>
      <c r="AO82" s="235">
        <f ca="1">_xll.DBRW(Server&amp;Cube1,$N$15,$N$16,$N$17,$N$18,$N$14,$N$13,AO$2,AO$1,$B82)</f>
        <v>-1200444947.7199049</v>
      </c>
      <c r="AP82" s="235">
        <f ca="1">_xll.DBRW(Server&amp;Cube1,$N$15,$N$16,$N$17,$N$18,$N$14,$N$13,AP$2,AP$1,$B82)</f>
        <v>-1123511093.2099998</v>
      </c>
      <c r="AQ82" s="400"/>
      <c r="AR82" s="235">
        <f ca="1">_xll.DBRW(Server&amp;Cube1,$N$15,$N$16,$N$17,$N$18,$N$14,$N$13,AR$2,AR$1,$B82)</f>
        <v>0</v>
      </c>
      <c r="AS82" s="235">
        <f ca="1">_xll.DBRW(Server&amp;Cube1,$N$15,$N$16,$N$17,$N$18,$N$14,$N$13,AS$2,AS$1,$B82)</f>
        <v>-1221520083.3124683</v>
      </c>
      <c r="AT82" s="235">
        <f ca="1">_xll.DBRW(Server&amp;Cube1,$N$15,$N$16,$N$17,$N$18,$N$14,$N$13,AT$2,AT$1,$B82)</f>
        <v>-1244651861.5700002</v>
      </c>
      <c r="AU82" s="400"/>
      <c r="AV82" s="235">
        <f ca="1">_xll.DBRW(Server&amp;Cube1,$N$15,$N$16,$N$17,$N$18,$N$14,$N$13,AV$2,AV$1,$B82)</f>
        <v>0</v>
      </c>
      <c r="AW82" s="235">
        <f ca="1">_xll.DBRW(Server&amp;Cube1,$N$15,$N$16,$N$17,$N$18,$N$14,$N$13,AW$2,AW$1,$B82)</f>
        <v>-1211058650.019186</v>
      </c>
      <c r="AX82" s="235">
        <f ca="1">_xll.DBRW(Server&amp;Cube1,$N$15,$N$16,$N$17,$N$18,$N$14,$N$13,AX$2,AX$1,$B82)</f>
        <v>-1166617161.3799992</v>
      </c>
      <c r="AY82" s="400"/>
      <c r="AZ82" s="235">
        <f ca="1">_xll.DBRW(Server&amp;Cube1,$N$15,$N$16,$N$17,$N$18,$N$14,$N$13,AZ$2,AZ$1,$B82)</f>
        <v>0</v>
      </c>
      <c r="BA82" s="235">
        <f ca="1">_xll.DBRW(Server&amp;Cube1,$N$15,$N$16,$N$17,$N$18,$N$14,$N$13,BA$2,BA$1,$B82)</f>
        <v>-1259725571.2562785</v>
      </c>
      <c r="BB82" s="235">
        <f ca="1">_xll.DBRW(Server&amp;Cube1,$N$15,$N$16,$N$17,$N$18,$N$14,$N$13,BB$2,BB$1,$B82)</f>
        <v>6154454671.1297998</v>
      </c>
      <c r="BC82" s="400"/>
      <c r="BD82" s="235">
        <f ca="1">_xll.DBRW(Server&amp;Cube1,$N$15,$N$16,$N$17,$N$18,$N$14,$N$13,BD$2,BD$1,$B82)</f>
        <v>0</v>
      </c>
      <c r="BE82" s="235">
        <f ca="1">_xll.DBRW(Server&amp;Cube1,$N$15,$N$16,$N$17,$N$18,$N$14,$N$13,BE$2,BE$1,$B82)</f>
        <v>-1248179209.5674555</v>
      </c>
      <c r="BF82" s="235">
        <f ca="1">_xll.DBRW(Server&amp;Cube1,$N$15,$N$16,$N$17,$N$18,$N$14,$N$13,BF$2,BF$1,$B82)</f>
        <v>-73893356.070000008</v>
      </c>
      <c r="BG82" s="400"/>
      <c r="BH82" s="235">
        <f ca="1">_xll.DBRW(Server&amp;Cube1,$N$15,$N$16,$N$17,$N$18,$N$14,$N$13,BH$2,BH$1,$B82)</f>
        <v>0</v>
      </c>
      <c r="BI82" s="235">
        <f ca="1">_xll.DBRW(Server&amp;Cube1,$N$15,$N$16,$N$17,$N$18,$N$14,$N$13,BI$2,BI$1,$B82)</f>
        <v>-1227762138.1883252</v>
      </c>
      <c r="BJ82" s="235">
        <f ca="1">_xll.DBRW(Server&amp;Cube1,$N$15,$N$16,$N$17,$N$18,$N$14,$N$13,BJ$2,BJ$1,$B82)</f>
        <v>-9574451564.2899971</v>
      </c>
      <c r="BK82" s="400"/>
      <c r="BL82" s="235">
        <f ca="1">_xll.DBRW(Server&amp;Cube1,$N$15,$N$16,$N$17,$N$18,$N$14,$N$13,BL$2,BL$1,$B82)</f>
        <v>0</v>
      </c>
      <c r="BM82" s="235">
        <f ca="1">_xll.DBRW(Server&amp;Cube1,$N$15,$N$16,$N$17,$N$18,$N$14,$N$13,BM$2,BM$1,$B82)</f>
        <v>-1260522064.3668492</v>
      </c>
      <c r="BN82" s="235">
        <f ca="1">_xll.DBRW(Server&amp;Cube1,$N$15,$N$16,$N$17,$N$18,$N$14,$N$13,BN$2,BN$1,$B82)</f>
        <v>-1140828719.0900002</v>
      </c>
      <c r="BO82" s="400"/>
      <c r="BP82" s="235">
        <f ca="1">_xll.DBRW(Server&amp;Cube1,$N$15,$N$16,$N$17,$N$18,$N$14,$N$13,BP$2,BP$1,$B82)</f>
        <v>0</v>
      </c>
      <c r="BQ82" s="235">
        <f ca="1">_xll.DBRW(Server&amp;Cube1,$N$15,$N$16,$N$17,$N$18,$N$14,$N$13,BQ$2,BQ$1,$B82)</f>
        <v>-1273557883.648432</v>
      </c>
      <c r="BR82" s="235">
        <f ca="1">_xll.DBRW(Server&amp;Cube1,$N$15,$N$16,$N$17,$N$18,$N$14,$N$13,BR$2,BR$1,$B82)</f>
        <v>-1086192795.24</v>
      </c>
      <c r="BS82" s="400"/>
      <c r="BT82" s="235">
        <f ca="1">_xll.DBRW(Server&amp;Cube1,$N$15,$N$16,$N$17,$N$18,$N$14,$N$13,BT$2,BT$1,$B82)</f>
        <v>0</v>
      </c>
      <c r="BU82" s="235">
        <f ca="1">_xll.DBRW(Server&amp;Cube1,$N$15,$N$16,$N$17,$N$18,$N$14,$N$13,BU$2,BU$1,$B82)</f>
        <v>-1298016719.7801158</v>
      </c>
      <c r="BV82" s="235">
        <f ca="1">_xll.DBRW(Server&amp;Cube1,$N$15,$N$16,$N$17,$N$18,$N$14,$N$13,BV$2,BV$1,$B82)</f>
        <v>-12825750326.290009</v>
      </c>
      <c r="BW82" s="55"/>
      <c r="BX82" s="28"/>
    </row>
    <row r="83" spans="1:76" ht="19.5" hidden="1" customHeight="1" outlineLevel="1" x14ac:dyDescent="0.2">
      <c r="A83" s="57"/>
      <c r="B83" s="360" t="s">
        <v>63</v>
      </c>
      <c r="H83" s="360"/>
      <c r="I83" s="360"/>
      <c r="J83" s="54"/>
      <c r="K83" s="9"/>
      <c r="L83" s="555" t="str">
        <f ca="1">_xll.DBRA(Server&amp;$B$32,$B83,$N$19)</f>
        <v>Bio fuel</v>
      </c>
      <c r="M83" s="555"/>
      <c r="N83" s="555"/>
      <c r="O83" s="555"/>
      <c r="P83" s="234"/>
      <c r="Q83" s="235">
        <f ca="1">_xll.DBRW(Server&amp;Cube1,$N$15,$N$16,$N$17,$N$18,$N$14,$N$13,$N$11,$Q$1,$B83)</f>
        <v>-929683.09</v>
      </c>
      <c r="R83" s="235">
        <f ca="1">_xll.DBRW(Server&amp;Cube1,$N$15,$N$16,$N$17,$N$18,$N$14,$N$13,$R$2,$R$1,$B83)</f>
        <v>-24691620.401896995</v>
      </c>
      <c r="S83" s="236">
        <f t="shared" ca="1" si="32"/>
        <v>23761937.311896995</v>
      </c>
      <c r="T83" s="238">
        <f t="shared" ca="1" si="33"/>
        <v>0.96234823495307842</v>
      </c>
      <c r="U83" s="223"/>
      <c r="V83" s="235">
        <f ca="1">_xll.DBRW(Server&amp;Cube1,$N$15,$N$16,$N$17,$N$18,$N$14,$N$13,$V$2,$V$1,$B83)</f>
        <v>-21455278.150000002</v>
      </c>
      <c r="W83" s="236">
        <f t="shared" ca="1" si="34"/>
        <v>20525595.060000002</v>
      </c>
      <c r="X83" s="238">
        <f t="shared" ca="1" si="35"/>
        <v>0.95666879340830169</v>
      </c>
      <c r="Y83" s="55"/>
      <c r="Z83" s="55"/>
      <c r="AA83" s="55"/>
      <c r="AB83" s="235">
        <f ca="1">_xll.DBRW(Server&amp;Cube1,$N$15,$N$16,$N$17,$N$18,$N$14,$N$13,AB$2,AB$1,$B83)</f>
        <v>-162441.32</v>
      </c>
      <c r="AC83" s="235">
        <f ca="1">_xll.DBRW(Server&amp;Cube1,$N$15,$N$16,$N$17,$N$18,$N$14,$N$13,AC$2,AC$1,$B83)</f>
        <v>-12836605.170354553</v>
      </c>
      <c r="AD83" s="235">
        <f ca="1">_xll.DBRW(Server&amp;Cube1,$N$15,$N$16,$N$17,$N$18,$N$14,$N$13,AD$2,AD$1,$B83)</f>
        <v>-10578759.92</v>
      </c>
      <c r="AE83" s="400"/>
      <c r="AF83" s="235">
        <f ca="1">_xll.DBRW(Server&amp;Cube1,$N$15,$N$16,$N$17,$N$18,$N$14,$N$13,AF$2,AF$1,$B83)</f>
        <v>-767241.77</v>
      </c>
      <c r="AG83" s="235">
        <f ca="1">_xll.DBRW(Server&amp;Cube1,$N$15,$N$16,$N$17,$N$18,$N$14,$N$13,AG$2,AG$1,$B83)</f>
        <v>-11855015.231542442</v>
      </c>
      <c r="AH83" s="235">
        <f ca="1">_xll.DBRW(Server&amp;Cube1,$N$15,$N$16,$N$17,$N$18,$N$14,$N$13,AH$2,AH$1,$B83)</f>
        <v>-10876518.229999999</v>
      </c>
      <c r="AI83" s="400"/>
      <c r="AJ83" s="235">
        <f ca="1">_xll.DBRW(Server&amp;Cube1,$N$15,$N$16,$N$17,$N$18,$N$14,$N$13,AJ$2,AJ$1,$B83)</f>
        <v>0</v>
      </c>
      <c r="AK83" s="235">
        <f ca="1">_xll.DBRW(Server&amp;Cube1,$N$15,$N$16,$N$17,$N$18,$N$14,$N$13,AK$2,AK$1,$B83)</f>
        <v>-12731816.817670418</v>
      </c>
      <c r="AL83" s="235">
        <f ca="1">_xll.DBRW(Server&amp;Cube1,$N$15,$N$16,$N$17,$N$18,$N$14,$N$13,AL$2,AL$1,$B83)</f>
        <v>-10683220.660000004</v>
      </c>
      <c r="AM83" s="400"/>
      <c r="AN83" s="235">
        <f ca="1">_xll.DBRW(Server&amp;Cube1,$N$15,$N$16,$N$17,$N$18,$N$14,$N$13,AN$2,AN$1,$B83)</f>
        <v>0</v>
      </c>
      <c r="AO83" s="235">
        <f ca="1">_xll.DBRW(Server&amp;Cube1,$N$15,$N$16,$N$17,$N$18,$N$14,$N$13,AO$2,AO$1,$B83)</f>
        <v>-11907852.800194345</v>
      </c>
      <c r="AP83" s="235">
        <f ca="1">_xll.DBRW(Server&amp;Cube1,$N$15,$N$16,$N$17,$N$18,$N$14,$N$13,AP$2,AP$1,$B83)</f>
        <v>-154928.5</v>
      </c>
      <c r="AQ83" s="400"/>
      <c r="AR83" s="235">
        <f ca="1">_xll.DBRW(Server&amp;Cube1,$N$15,$N$16,$N$17,$N$18,$N$14,$N$13,AR$2,AR$1,$B83)</f>
        <v>0</v>
      </c>
      <c r="AS83" s="235">
        <f ca="1">_xll.DBRW(Server&amp;Cube1,$N$15,$N$16,$N$17,$N$18,$N$14,$N$13,AS$2,AS$1,$B83)</f>
        <v>-11951645.640048591</v>
      </c>
      <c r="AT83" s="235">
        <f ca="1">_xll.DBRW(Server&amp;Cube1,$N$15,$N$16,$N$17,$N$18,$N$14,$N$13,AT$2,AT$1,$B83)</f>
        <v>-50758216.780000001</v>
      </c>
      <c r="AU83" s="400"/>
      <c r="AV83" s="235">
        <f ca="1">_xll.DBRW(Server&amp;Cube1,$N$15,$N$16,$N$17,$N$18,$N$14,$N$13,AV$2,AV$1,$B83)</f>
        <v>0</v>
      </c>
      <c r="AW83" s="235">
        <f ca="1">_xll.DBRW(Server&amp;Cube1,$N$15,$N$16,$N$17,$N$18,$N$14,$N$13,AW$2,AW$1,$B83)</f>
        <v>-10617432.066728966</v>
      </c>
      <c r="AX83" s="235">
        <f ca="1">_xll.DBRW(Server&amp;Cube1,$N$15,$N$16,$N$17,$N$18,$N$14,$N$13,AX$2,AX$1,$B83)</f>
        <v>-9298524.9100000001</v>
      </c>
      <c r="AY83" s="400"/>
      <c r="AZ83" s="235">
        <f ca="1">_xll.DBRW(Server&amp;Cube1,$N$15,$N$16,$N$17,$N$18,$N$14,$N$13,AZ$2,AZ$1,$B83)</f>
        <v>0</v>
      </c>
      <c r="BA83" s="235">
        <f ca="1">_xll.DBRW(Server&amp;Cube1,$N$15,$N$16,$N$17,$N$18,$N$14,$N$13,BA$2,BA$1,$B83)</f>
        <v>-9759878.073466301</v>
      </c>
      <c r="BB83" s="235">
        <f ca="1">_xll.DBRW(Server&amp;Cube1,$N$15,$N$16,$N$17,$N$18,$N$14,$N$13,BB$2,BB$1,$B83)</f>
        <v>-9133338.6300000008</v>
      </c>
      <c r="BC83" s="400"/>
      <c r="BD83" s="235">
        <f ca="1">_xll.DBRW(Server&amp;Cube1,$N$15,$N$16,$N$17,$N$18,$N$14,$N$13,BD$2,BD$1,$B83)</f>
        <v>0</v>
      </c>
      <c r="BE83" s="235">
        <f ca="1">_xll.DBRW(Server&amp;Cube1,$N$15,$N$16,$N$17,$N$18,$N$14,$N$13,BE$2,BE$1,$B83)</f>
        <v>-10273935.606251083</v>
      </c>
      <c r="BF83" s="235">
        <f ca="1">_xll.DBRW(Server&amp;Cube1,$N$15,$N$16,$N$17,$N$18,$N$14,$N$13,BF$2,BF$1,$B83)</f>
        <v>-10162704.829999998</v>
      </c>
      <c r="BG83" s="400"/>
      <c r="BH83" s="235">
        <f ca="1">_xll.DBRW(Server&amp;Cube1,$N$15,$N$16,$N$17,$N$18,$N$14,$N$13,BH$2,BH$1,$B83)</f>
        <v>0</v>
      </c>
      <c r="BI83" s="235">
        <f ca="1">_xll.DBRW(Server&amp;Cube1,$N$15,$N$16,$N$17,$N$18,$N$14,$N$13,BI$2,BI$1,$B83)</f>
        <v>-10871094.673726428</v>
      </c>
      <c r="BJ83" s="235">
        <f ca="1">_xll.DBRW(Server&amp;Cube1,$N$15,$N$16,$N$17,$N$18,$N$14,$N$13,BJ$2,BJ$1,$B83)</f>
        <v>-11376015.689999999</v>
      </c>
      <c r="BK83" s="400"/>
      <c r="BL83" s="235">
        <f ca="1">_xll.DBRW(Server&amp;Cube1,$N$15,$N$16,$N$17,$N$18,$N$14,$N$13,BL$2,BL$1,$B83)</f>
        <v>0</v>
      </c>
      <c r="BM83" s="235">
        <f ca="1">_xll.DBRW(Server&amp;Cube1,$N$15,$N$16,$N$17,$N$18,$N$14,$N$13,BM$2,BM$1,$B83)</f>
        <v>-11321070.485394469</v>
      </c>
      <c r="BN83" s="235">
        <f ca="1">_xll.DBRW(Server&amp;Cube1,$N$15,$N$16,$N$17,$N$18,$N$14,$N$13,BN$2,BN$1,$B83)</f>
        <v>-14396553.6</v>
      </c>
      <c r="BO83" s="400"/>
      <c r="BP83" s="235">
        <f ca="1">_xll.DBRW(Server&amp;Cube1,$N$15,$N$16,$N$17,$N$18,$N$14,$N$13,BP$2,BP$1,$B83)</f>
        <v>0</v>
      </c>
      <c r="BQ83" s="235">
        <f ca="1">_xll.DBRW(Server&amp;Cube1,$N$15,$N$16,$N$17,$N$18,$N$14,$N$13,BQ$2,BQ$1,$B83)</f>
        <v>-10803788.454930715</v>
      </c>
      <c r="BR83" s="235">
        <f ca="1">_xll.DBRW(Server&amp;Cube1,$N$15,$N$16,$N$17,$N$18,$N$14,$N$13,BR$2,BR$1,$B83)</f>
        <v>-13431008</v>
      </c>
      <c r="BS83" s="400"/>
      <c r="BT83" s="235">
        <f ca="1">_xll.DBRW(Server&amp;Cube1,$N$15,$N$16,$N$17,$N$18,$N$14,$N$13,BT$2,BT$1,$B83)</f>
        <v>0</v>
      </c>
      <c r="BU83" s="235">
        <f ca="1">_xll.DBRW(Server&amp;Cube1,$N$15,$N$16,$N$17,$N$18,$N$14,$N$13,BU$2,BU$1,$B83)</f>
        <v>-10801481.04173184</v>
      </c>
      <c r="BV83" s="235">
        <f ca="1">_xll.DBRW(Server&amp;Cube1,$N$15,$N$16,$N$17,$N$18,$N$14,$N$13,BV$2,BV$1,$B83)</f>
        <v>-13273488.599999998</v>
      </c>
      <c r="BW83" s="55"/>
      <c r="BX83" s="28"/>
    </row>
    <row r="84" spans="1:76" ht="19.5" hidden="1" customHeight="1" outlineLevel="1" x14ac:dyDescent="0.2">
      <c r="A84" s="57"/>
      <c r="B84" s="360" t="s">
        <v>64</v>
      </c>
      <c r="H84" s="360"/>
      <c r="I84" s="360"/>
      <c r="J84" s="54"/>
      <c r="K84" s="9"/>
      <c r="L84" s="555" t="str">
        <f ca="1">_xll.DBRA(Server&amp;$B$32,$B84,$N$19)</f>
        <v>Gas</v>
      </c>
      <c r="M84" s="555"/>
      <c r="N84" s="555"/>
      <c r="O84" s="555"/>
      <c r="P84" s="234"/>
      <c r="Q84" s="235">
        <f ca="1">_xll.DBRW(Server&amp;Cube1,$N$15,$N$16,$N$17,$N$18,$N$14,$N$13,$N$11,$Q$1,$B84)</f>
        <v>-3038396.7499999995</v>
      </c>
      <c r="R84" s="235">
        <f ca="1">_xll.DBRW(Server&amp;Cube1,$N$15,$N$16,$N$17,$N$18,$N$14,$N$13,$R$2,$R$1,$B84)</f>
        <v>-27334152.284289669</v>
      </c>
      <c r="S84" s="236">
        <f t="shared" ca="1" si="32"/>
        <v>24295755.534289669</v>
      </c>
      <c r="T84" s="238">
        <f t="shared" ca="1" si="33"/>
        <v>0.88884247375228387</v>
      </c>
      <c r="U84" s="223"/>
      <c r="V84" s="235">
        <f ca="1">_xll.DBRW(Server&amp;Cube1,$N$15,$N$16,$N$17,$N$18,$N$14,$N$13,$V$2,$V$1,$B84)</f>
        <v>-29068609.769999992</v>
      </c>
      <c r="W84" s="236">
        <f t="shared" ca="1" si="34"/>
        <v>26030213.019999992</v>
      </c>
      <c r="X84" s="238">
        <f t="shared" ca="1" si="35"/>
        <v>0.89547498920516833</v>
      </c>
      <c r="Y84" s="55"/>
      <c r="Z84" s="55"/>
      <c r="AA84" s="55"/>
      <c r="AB84" s="235">
        <f ca="1">_xll.DBRW(Server&amp;Cube1,$N$15,$N$16,$N$17,$N$18,$N$14,$N$13,AB$2,AB$1,$B84)</f>
        <v>-1014114.4899999999</v>
      </c>
      <c r="AC84" s="235">
        <f ca="1">_xll.DBRW(Server&amp;Cube1,$N$15,$N$16,$N$17,$N$18,$N$14,$N$13,AC$2,AC$1,$B84)</f>
        <v>-14144881.217254862</v>
      </c>
      <c r="AD84" s="235">
        <f ca="1">_xll.DBRW(Server&amp;Cube1,$N$15,$N$16,$N$17,$N$18,$N$14,$N$13,AD$2,AD$1,$B84)</f>
        <v>-14807093.240000002</v>
      </c>
      <c r="AE84" s="400"/>
      <c r="AF84" s="235">
        <f ca="1">_xll.DBRW(Server&amp;Cube1,$N$15,$N$16,$N$17,$N$18,$N$14,$N$13,AF$2,AF$1,$B84)</f>
        <v>-2024282.2600000002</v>
      </c>
      <c r="AG84" s="235">
        <f ca="1">_xll.DBRW(Server&amp;Cube1,$N$15,$N$16,$N$17,$N$18,$N$14,$N$13,AG$2,AG$1,$B84)</f>
        <v>-13189271.067034809</v>
      </c>
      <c r="AH84" s="235">
        <f ca="1">_xll.DBRW(Server&amp;Cube1,$N$15,$N$16,$N$17,$N$18,$N$14,$N$13,AH$2,AH$1,$B84)</f>
        <v>-14261516.530000001</v>
      </c>
      <c r="AI84" s="400"/>
      <c r="AJ84" s="235">
        <f ca="1">_xll.DBRW(Server&amp;Cube1,$N$15,$N$16,$N$17,$N$18,$N$14,$N$13,AJ$2,AJ$1,$B84)</f>
        <v>0</v>
      </c>
      <c r="AK84" s="235">
        <f ca="1">_xll.DBRW(Server&amp;Cube1,$N$15,$N$16,$N$17,$N$18,$N$14,$N$13,AK$2,AK$1,$B84)</f>
        <v>-14083076.301690562</v>
      </c>
      <c r="AL84" s="235">
        <f ca="1">_xll.DBRW(Server&amp;Cube1,$N$15,$N$16,$N$17,$N$18,$N$14,$N$13,AL$2,AL$1,$B84)</f>
        <v>-15189084.280000001</v>
      </c>
      <c r="AM84" s="400"/>
      <c r="AN84" s="235">
        <f ca="1">_xll.DBRW(Server&amp;Cube1,$N$15,$N$16,$N$17,$N$18,$N$14,$N$13,AN$2,AN$1,$B84)</f>
        <v>0</v>
      </c>
      <c r="AO84" s="235">
        <f ca="1">_xll.DBRW(Server&amp;Cube1,$N$15,$N$16,$N$17,$N$18,$N$14,$N$13,AO$2,AO$1,$B84)</f>
        <v>-12937520.745720066</v>
      </c>
      <c r="AP84" s="235">
        <f ca="1">_xll.DBRW(Server&amp;Cube1,$N$15,$N$16,$N$17,$N$18,$N$14,$N$13,AP$2,AP$1,$B84)</f>
        <v>-1025630.6299999997</v>
      </c>
      <c r="AQ84" s="400"/>
      <c r="AR84" s="235">
        <f ca="1">_xll.DBRW(Server&amp;Cube1,$N$15,$N$16,$N$17,$N$18,$N$14,$N$13,AR$2,AR$1,$B84)</f>
        <v>0</v>
      </c>
      <c r="AS84" s="235">
        <f ca="1">_xll.DBRW(Server&amp;Cube1,$N$15,$N$16,$N$17,$N$18,$N$14,$N$13,AS$2,AS$1,$B84)</f>
        <v>-12957015.520593917</v>
      </c>
      <c r="AT84" s="235">
        <f ca="1">_xll.DBRW(Server&amp;Cube1,$N$15,$N$16,$N$17,$N$18,$N$14,$N$13,AT$2,AT$1,$B84)</f>
        <v>-66246630.609999999</v>
      </c>
      <c r="AU84" s="400"/>
      <c r="AV84" s="235">
        <f ca="1">_xll.DBRW(Server&amp;Cube1,$N$15,$N$16,$N$17,$N$18,$N$14,$N$13,AV$2,AV$1,$B84)</f>
        <v>0</v>
      </c>
      <c r="AW84" s="235">
        <f ca="1">_xll.DBRW(Server&amp;Cube1,$N$15,$N$16,$N$17,$N$18,$N$14,$N$13,AW$2,AW$1,$B84)</f>
        <v>-10296324.210908633</v>
      </c>
      <c r="AX84" s="235">
        <f ca="1">_xll.DBRW(Server&amp;Cube1,$N$15,$N$16,$N$17,$N$18,$N$14,$N$13,AX$2,AX$1,$B84)</f>
        <v>-12984783.560000001</v>
      </c>
      <c r="AY84" s="400"/>
      <c r="AZ84" s="235">
        <f ca="1">_xll.DBRW(Server&amp;Cube1,$N$15,$N$16,$N$17,$N$18,$N$14,$N$13,AZ$2,AZ$1,$B84)</f>
        <v>0</v>
      </c>
      <c r="BA84" s="235">
        <f ca="1">_xll.DBRW(Server&amp;Cube1,$N$15,$N$16,$N$17,$N$18,$N$14,$N$13,BA$2,BA$1,$B84)</f>
        <v>-7434071.8634513682</v>
      </c>
      <c r="BB84" s="235">
        <f ca="1">_xll.DBRW(Server&amp;Cube1,$N$15,$N$16,$N$17,$N$18,$N$14,$N$13,BB$2,BB$1,$B84)</f>
        <v>-11580567.060000002</v>
      </c>
      <c r="BC84" s="400"/>
      <c r="BD84" s="235">
        <f ca="1">_xll.DBRW(Server&amp;Cube1,$N$15,$N$16,$N$17,$N$18,$N$14,$N$13,BD$2,BD$1,$B84)</f>
        <v>0</v>
      </c>
      <c r="BE84" s="235">
        <f ca="1">_xll.DBRW(Server&amp;Cube1,$N$15,$N$16,$N$17,$N$18,$N$14,$N$13,BE$2,BE$1,$B84)</f>
        <v>-8001891.6261087805</v>
      </c>
      <c r="BF84" s="235">
        <f ca="1">_xll.DBRW(Server&amp;Cube1,$N$15,$N$16,$N$17,$N$18,$N$14,$N$13,BF$2,BF$1,$B84)</f>
        <v>-13980581.189999999</v>
      </c>
      <c r="BG84" s="400"/>
      <c r="BH84" s="235">
        <f ca="1">_xll.DBRW(Server&amp;Cube1,$N$15,$N$16,$N$17,$N$18,$N$14,$N$13,BH$2,BH$1,$B84)</f>
        <v>0</v>
      </c>
      <c r="BI84" s="235">
        <f ca="1">_xll.DBRW(Server&amp;Cube1,$N$15,$N$16,$N$17,$N$18,$N$14,$N$13,BI$2,BI$1,$B84)</f>
        <v>-8844317.6879428495</v>
      </c>
      <c r="BJ84" s="235">
        <f ca="1">_xll.DBRW(Server&amp;Cube1,$N$15,$N$16,$N$17,$N$18,$N$14,$N$13,BJ$2,BJ$1,$B84)</f>
        <v>-14011218.879999999</v>
      </c>
      <c r="BK84" s="400"/>
      <c r="BL84" s="235">
        <f ca="1">_xll.DBRW(Server&amp;Cube1,$N$15,$N$16,$N$17,$N$18,$N$14,$N$13,BL$2,BL$1,$B84)</f>
        <v>0</v>
      </c>
      <c r="BM84" s="235">
        <f ca="1">_xll.DBRW(Server&amp;Cube1,$N$15,$N$16,$N$17,$N$18,$N$14,$N$13,BM$2,BM$1,$B84)</f>
        <v>-9146198.6738031004</v>
      </c>
      <c r="BN84" s="235">
        <f ca="1">_xll.DBRW(Server&amp;Cube1,$N$15,$N$16,$N$17,$N$18,$N$14,$N$13,BN$2,BN$1,$B84)</f>
        <v>-13796374.689999996</v>
      </c>
      <c r="BO84" s="400"/>
      <c r="BP84" s="235">
        <f ca="1">_xll.DBRW(Server&amp;Cube1,$N$15,$N$16,$N$17,$N$18,$N$14,$N$13,BP$2,BP$1,$B84)</f>
        <v>0</v>
      </c>
      <c r="BQ84" s="235">
        <f ca="1">_xll.DBRW(Server&amp;Cube1,$N$15,$N$16,$N$17,$N$18,$N$14,$N$13,BQ$2,BQ$1,$B84)</f>
        <v>-8749302.2927204985</v>
      </c>
      <c r="BR84" s="235">
        <f ca="1">_xll.DBRW(Server&amp;Cube1,$N$15,$N$16,$N$17,$N$18,$N$14,$N$13,BR$2,BR$1,$B84)</f>
        <v>-12195263.74</v>
      </c>
      <c r="BS84" s="400"/>
      <c r="BT84" s="235">
        <f ca="1">_xll.DBRW(Server&amp;Cube1,$N$15,$N$16,$N$17,$N$18,$N$14,$N$13,BT$2,BT$1,$B84)</f>
        <v>0</v>
      </c>
      <c r="BU84" s="235">
        <f ca="1">_xll.DBRW(Server&amp;Cube1,$N$15,$N$16,$N$17,$N$18,$N$14,$N$13,BU$2,BU$1,$B84)</f>
        <v>-8760190.8106508087</v>
      </c>
      <c r="BV84" s="235">
        <f ca="1">_xll.DBRW(Server&amp;Cube1,$N$15,$N$16,$N$17,$N$18,$N$14,$N$13,BV$2,BV$1,$B84)</f>
        <v>-13642424.479999997</v>
      </c>
      <c r="BW84" s="55"/>
      <c r="BX84" s="28"/>
    </row>
    <row r="85" spans="1:76" ht="19.5" hidden="1" customHeight="1" outlineLevel="1" x14ac:dyDescent="0.2">
      <c r="A85" s="57"/>
      <c r="B85" s="360" t="s">
        <v>65</v>
      </c>
      <c r="H85" s="360"/>
      <c r="I85" s="360"/>
      <c r="J85" s="54"/>
      <c r="K85" s="9"/>
      <c r="L85" s="555" t="str">
        <f ca="1">_xll.DBRA(Server&amp;$B$32,$B85,$N$19)</f>
        <v>Electricity</v>
      </c>
      <c r="M85" s="555"/>
      <c r="N85" s="555"/>
      <c r="O85" s="555"/>
      <c r="P85" s="234"/>
      <c r="Q85" s="235">
        <f ca="1">_xll.DBRW(Server&amp;Cube1,$N$15,$N$16,$N$17,$N$18,$N$14,$N$13,$N$11,$Q$1,$B85)</f>
        <v>-910948.10999999987</v>
      </c>
      <c r="R85" s="235">
        <f ca="1">_xll.DBRW(Server&amp;Cube1,$N$15,$N$16,$N$17,$N$18,$N$14,$N$13,$R$2,$R$1,$B85)</f>
        <v>-1549878.823103253</v>
      </c>
      <c r="S85" s="236">
        <f t="shared" ca="1" si="32"/>
        <v>638930.71310325316</v>
      </c>
      <c r="T85" s="238">
        <f t="shared" ca="1" si="33"/>
        <v>0.41224559209341977</v>
      </c>
      <c r="U85" s="223"/>
      <c r="V85" s="235">
        <f ca="1">_xll.DBRW(Server&amp;Cube1,$N$15,$N$16,$N$17,$N$18,$N$14,$N$13,$V$2,$V$1,$B85)</f>
        <v>-1563975.58</v>
      </c>
      <c r="W85" s="236">
        <f t="shared" ca="1" si="34"/>
        <v>653027.4700000002</v>
      </c>
      <c r="X85" s="238">
        <f t="shared" ca="1" si="35"/>
        <v>0.41754326496581246</v>
      </c>
      <c r="Y85" s="55"/>
      <c r="Z85" s="55"/>
      <c r="AA85" s="55"/>
      <c r="AB85" s="235">
        <f ca="1">_xll.DBRW(Server&amp;Cube1,$N$15,$N$16,$N$17,$N$18,$N$14,$N$13,AB$2,AB$1,$B85)</f>
        <v>-505975.59</v>
      </c>
      <c r="AC85" s="235">
        <f ca="1">_xll.DBRW(Server&amp;Cube1,$N$15,$N$16,$N$17,$N$18,$N$14,$N$13,AC$2,AC$1,$B85)</f>
        <v>-819169.73820512567</v>
      </c>
      <c r="AD85" s="235">
        <f ca="1">_xll.DBRW(Server&amp;Cube1,$N$15,$N$16,$N$17,$N$18,$N$14,$N$13,AD$2,AD$1,$B85)</f>
        <v>-494760.54</v>
      </c>
      <c r="AE85" s="400"/>
      <c r="AF85" s="235">
        <f ca="1">_xll.DBRW(Server&amp;Cube1,$N$15,$N$16,$N$17,$N$18,$N$14,$N$13,AF$2,AF$1,$B85)</f>
        <v>-404972.52</v>
      </c>
      <c r="AG85" s="235">
        <f ca="1">_xll.DBRW(Server&amp;Cube1,$N$15,$N$16,$N$17,$N$18,$N$14,$N$13,AG$2,AG$1,$B85)</f>
        <v>-730709.08489812713</v>
      </c>
      <c r="AH85" s="235">
        <f ca="1">_xll.DBRW(Server&amp;Cube1,$N$15,$N$16,$N$17,$N$18,$N$14,$N$13,AH$2,AH$1,$B85)</f>
        <v>-1069215.04</v>
      </c>
      <c r="AI85" s="400"/>
      <c r="AJ85" s="235">
        <f ca="1">_xll.DBRW(Server&amp;Cube1,$N$15,$N$16,$N$17,$N$18,$N$14,$N$13,AJ$2,AJ$1,$B85)</f>
        <v>0</v>
      </c>
      <c r="AK85" s="235">
        <f ca="1">_xll.DBRW(Server&amp;Cube1,$N$15,$N$16,$N$17,$N$18,$N$14,$N$13,AK$2,AK$1,$B85)</f>
        <v>-748426.02470044396</v>
      </c>
      <c r="AL85" s="235">
        <f ca="1">_xll.DBRW(Server&amp;Cube1,$N$15,$N$16,$N$17,$N$18,$N$14,$N$13,AL$2,AL$1,$B85)</f>
        <v>-630952.89000000013</v>
      </c>
      <c r="AM85" s="400"/>
      <c r="AN85" s="235">
        <f ca="1">_xll.DBRW(Server&amp;Cube1,$N$15,$N$16,$N$17,$N$18,$N$14,$N$13,AN$2,AN$1,$B85)</f>
        <v>0</v>
      </c>
      <c r="AO85" s="235">
        <f ca="1">_xll.DBRW(Server&amp;Cube1,$N$15,$N$16,$N$17,$N$18,$N$14,$N$13,AO$2,AO$1,$B85)</f>
        <v>-691223.71227808483</v>
      </c>
      <c r="AP85" s="235">
        <f ca="1">_xll.DBRW(Server&amp;Cube1,$N$15,$N$16,$N$17,$N$18,$N$14,$N$13,AP$2,AP$1,$B85)</f>
        <v>-355480.14999999997</v>
      </c>
      <c r="AQ85" s="400"/>
      <c r="AR85" s="235">
        <f ca="1">_xll.DBRW(Server&amp;Cube1,$N$15,$N$16,$N$17,$N$18,$N$14,$N$13,AR$2,AR$1,$B85)</f>
        <v>0</v>
      </c>
      <c r="AS85" s="235">
        <f ca="1">_xll.DBRW(Server&amp;Cube1,$N$15,$N$16,$N$17,$N$18,$N$14,$N$13,AS$2,AS$1,$B85)</f>
        <v>-681004.54218525591</v>
      </c>
      <c r="AT85" s="235">
        <f ca="1">_xll.DBRW(Server&amp;Cube1,$N$15,$N$16,$N$17,$N$18,$N$14,$N$13,AT$2,AT$1,$B85)</f>
        <v>-1082494.1099999999</v>
      </c>
      <c r="AU85" s="400"/>
      <c r="AV85" s="235">
        <f ca="1">_xll.DBRW(Server&amp;Cube1,$N$15,$N$16,$N$17,$N$18,$N$14,$N$13,AV$2,AV$1,$B85)</f>
        <v>0</v>
      </c>
      <c r="AW85" s="235">
        <f ca="1">_xll.DBRW(Server&amp;Cube1,$N$15,$N$16,$N$17,$N$18,$N$14,$N$13,AW$2,AW$1,$B85)</f>
        <v>-674327.65262051998</v>
      </c>
      <c r="AX85" s="235">
        <f ca="1">_xll.DBRW(Server&amp;Cube1,$N$15,$N$16,$N$17,$N$18,$N$14,$N$13,AX$2,AX$1,$B85)</f>
        <v>-642057.99000000011</v>
      </c>
      <c r="AY85" s="400"/>
      <c r="AZ85" s="235">
        <f ca="1">_xll.DBRW(Server&amp;Cube1,$N$15,$N$16,$N$17,$N$18,$N$14,$N$13,AZ$2,AZ$1,$B85)</f>
        <v>0</v>
      </c>
      <c r="BA85" s="235">
        <f ca="1">_xll.DBRW(Server&amp;Cube1,$N$15,$N$16,$N$17,$N$18,$N$14,$N$13,BA$2,BA$1,$B85)</f>
        <v>-649321.35955761489</v>
      </c>
      <c r="BB85" s="235">
        <f ca="1">_xll.DBRW(Server&amp;Cube1,$N$15,$N$16,$N$17,$N$18,$N$14,$N$13,BB$2,BB$1,$B85)</f>
        <v>-297435.65999999986</v>
      </c>
      <c r="BC85" s="400"/>
      <c r="BD85" s="235">
        <f ca="1">_xll.DBRW(Server&amp;Cube1,$N$15,$N$16,$N$17,$N$18,$N$14,$N$13,BD$2,BD$1,$B85)</f>
        <v>0</v>
      </c>
      <c r="BE85" s="235">
        <f ca="1">_xll.DBRW(Server&amp;Cube1,$N$15,$N$16,$N$17,$N$18,$N$14,$N$13,BE$2,BE$1,$B85)</f>
        <v>-680252.76919618715</v>
      </c>
      <c r="BF85" s="235">
        <f ca="1">_xll.DBRW(Server&amp;Cube1,$N$15,$N$16,$N$17,$N$18,$N$14,$N$13,BF$2,BF$1,$B85)</f>
        <v>-685238.27</v>
      </c>
      <c r="BG85" s="400"/>
      <c r="BH85" s="235">
        <f ca="1">_xll.DBRW(Server&amp;Cube1,$N$15,$N$16,$N$17,$N$18,$N$14,$N$13,BH$2,BH$1,$B85)</f>
        <v>0</v>
      </c>
      <c r="BI85" s="235">
        <f ca="1">_xll.DBRW(Server&amp;Cube1,$N$15,$N$16,$N$17,$N$18,$N$14,$N$13,BI$2,BI$1,$B85)</f>
        <v>-768802.81839801697</v>
      </c>
      <c r="BJ85" s="235">
        <f ca="1">_xll.DBRW(Server&amp;Cube1,$N$15,$N$16,$N$17,$N$18,$N$14,$N$13,BJ$2,BJ$1,$B85)</f>
        <v>679259.71999999986</v>
      </c>
      <c r="BK85" s="400"/>
      <c r="BL85" s="235">
        <f ca="1">_xll.DBRW(Server&amp;Cube1,$N$15,$N$16,$N$17,$N$18,$N$14,$N$13,BL$2,BL$1,$B85)</f>
        <v>0</v>
      </c>
      <c r="BM85" s="235">
        <f ca="1">_xll.DBRW(Server&amp;Cube1,$N$15,$N$16,$N$17,$N$18,$N$14,$N$13,BM$2,BM$1,$B85)</f>
        <v>-794998.15083778789</v>
      </c>
      <c r="BN85" s="235">
        <f ca="1">_xll.DBRW(Server&amp;Cube1,$N$15,$N$16,$N$17,$N$18,$N$14,$N$13,BN$2,BN$1,$B85)</f>
        <v>-381475.61999999994</v>
      </c>
      <c r="BO85" s="400"/>
      <c r="BP85" s="235">
        <f ca="1">_xll.DBRW(Server&amp;Cube1,$N$15,$N$16,$N$17,$N$18,$N$14,$N$13,BP$2,BP$1,$B85)</f>
        <v>0</v>
      </c>
      <c r="BQ85" s="235">
        <f ca="1">_xll.DBRW(Server&amp;Cube1,$N$15,$N$16,$N$17,$N$18,$N$14,$N$13,BQ$2,BQ$1,$B85)</f>
        <v>-814572.21277945722</v>
      </c>
      <c r="BR85" s="235">
        <f ca="1">_xll.DBRW(Server&amp;Cube1,$N$15,$N$16,$N$17,$N$18,$N$14,$N$13,BR$2,BR$1,$B85)</f>
        <v>-486789.69000000006</v>
      </c>
      <c r="BS85" s="400"/>
      <c r="BT85" s="235">
        <f ca="1">_xll.DBRW(Server&amp;Cube1,$N$15,$N$16,$N$17,$N$18,$N$14,$N$13,BT$2,BT$1,$B85)</f>
        <v>0</v>
      </c>
      <c r="BU85" s="235">
        <f ca="1">_xll.DBRW(Server&amp;Cube1,$N$15,$N$16,$N$17,$N$18,$N$14,$N$13,BU$2,BU$1,$B85)</f>
        <v>-1119778.2841100437</v>
      </c>
      <c r="BV85" s="235">
        <f ca="1">_xll.DBRW(Server&amp;Cube1,$N$15,$N$16,$N$17,$N$18,$N$14,$N$13,BV$2,BV$1,$B85)</f>
        <v>-579800.86999999976</v>
      </c>
      <c r="BW85" s="55"/>
      <c r="BX85" s="28"/>
    </row>
    <row r="86" spans="1:76" ht="19.5" hidden="1" customHeight="1" outlineLevel="1" x14ac:dyDescent="0.2">
      <c r="A86" s="57"/>
      <c r="B86" s="360" t="s">
        <v>66</v>
      </c>
      <c r="H86" s="360"/>
      <c r="I86" s="360"/>
      <c r="J86" s="54"/>
      <c r="K86" s="9"/>
      <c r="L86" s="555" t="str">
        <f ca="1">LEFT(_xll.DBRA(Server&amp;$B$32,$B86,$N$19),FIND("(",_xll.DBRA(Server&amp;$B$32,$B86,$N$19),1)-1)</f>
        <v xml:space="preserve">Others </v>
      </c>
      <c r="M86" s="555"/>
      <c r="N86" s="555"/>
      <c r="O86" s="555"/>
      <c r="P86" s="234"/>
      <c r="Q86" s="235">
        <f ca="1">_xll.DBRW(Server&amp;Cube1,$N$15,$N$16,$N$17,$N$18,$N$14,$N$13,$N$11,$Q$1,$B86)</f>
        <v>-4359382.87</v>
      </c>
      <c r="R86" s="235">
        <f ca="1">_xll.DBRW(Server&amp;Cube1,$N$15,$N$16,$N$17,$N$18,$N$14,$N$13,$R$2,$R$1,$B86)</f>
        <v>-4269911.2211092003</v>
      </c>
      <c r="S86" s="236">
        <f t="shared" ca="1" si="32"/>
        <v>-89471.648890799843</v>
      </c>
      <c r="T86" s="238">
        <f t="shared" ca="1" si="33"/>
        <v>-2.0953983410352425E-2</v>
      </c>
      <c r="U86" s="223"/>
      <c r="V86" s="235">
        <f ca="1">_xll.DBRW(Server&amp;Cube1,$N$15,$N$16,$N$17,$N$18,$N$14,$N$13,$V$2,$V$1,$B86)</f>
        <v>-4065668.18</v>
      </c>
      <c r="W86" s="236">
        <f t="shared" ca="1" si="34"/>
        <v>-293714.68999999994</v>
      </c>
      <c r="X86" s="238">
        <f t="shared" ca="1" si="35"/>
        <v>-7.2242661475634726E-2</v>
      </c>
      <c r="Y86" s="55"/>
      <c r="Z86" s="55"/>
      <c r="AA86" s="55"/>
      <c r="AB86" s="235">
        <f ca="1">_xll.DBRW(Server&amp;Cube1,$N$15,$N$16,$N$17,$N$18,$N$14,$N$13,AB$2,AB$1,$B86)</f>
        <v>-1282004.68</v>
      </c>
      <c r="AC86" s="235">
        <f ca="1">_xll.DBRW(Server&amp;Cube1,$N$15,$N$16,$N$17,$N$18,$N$14,$N$13,AC$2,AC$1,$B86)</f>
        <v>-2244114.578956903</v>
      </c>
      <c r="AD86" s="235">
        <f ca="1">_xll.DBRW(Server&amp;Cube1,$N$15,$N$16,$N$17,$N$18,$N$14,$N$13,AD$2,AD$1,$B86)</f>
        <v>-960502.11999999988</v>
      </c>
      <c r="AE86" s="400"/>
      <c r="AF86" s="235">
        <f ca="1">_xll.DBRW(Server&amp;Cube1,$N$15,$N$16,$N$17,$N$18,$N$14,$N$13,AF$2,AF$1,$B86)</f>
        <v>-3077378.19</v>
      </c>
      <c r="AG86" s="235">
        <f ca="1">_xll.DBRW(Server&amp;Cube1,$N$15,$N$16,$N$17,$N$18,$N$14,$N$13,AG$2,AG$1,$B86)</f>
        <v>-2025796.6421522973</v>
      </c>
      <c r="AH86" s="235">
        <f ca="1">_xll.DBRW(Server&amp;Cube1,$N$15,$N$16,$N$17,$N$18,$N$14,$N$13,AH$2,AH$1,$B86)</f>
        <v>-3105166.0599999996</v>
      </c>
      <c r="AI86" s="400"/>
      <c r="AJ86" s="235">
        <f ca="1">_xll.DBRW(Server&amp;Cube1,$N$15,$N$16,$N$17,$N$18,$N$14,$N$13,AJ$2,AJ$1,$B86)</f>
        <v>0</v>
      </c>
      <c r="AK86" s="235">
        <f ca="1">_xll.DBRW(Server&amp;Cube1,$N$15,$N$16,$N$17,$N$18,$N$14,$N$13,AK$2,AK$1,$B86)</f>
        <v>-2158273.8772675898</v>
      </c>
      <c r="AL86" s="235">
        <f ca="1">_xll.DBRW(Server&amp;Cube1,$N$15,$N$16,$N$17,$N$18,$N$14,$N$13,AL$2,AL$1,$B86)</f>
        <v>-2131158.6400000006</v>
      </c>
      <c r="AM86" s="400"/>
      <c r="AN86" s="235">
        <f ca="1">_xll.DBRW(Server&amp;Cube1,$N$15,$N$16,$N$17,$N$18,$N$14,$N$13,AN$2,AN$1,$B86)</f>
        <v>0</v>
      </c>
      <c r="AO86" s="235">
        <f ca="1">_xll.DBRW(Server&amp;Cube1,$N$15,$N$16,$N$17,$N$18,$N$14,$N$13,AO$2,AO$1,$B86)</f>
        <v>-1974060.6045086882</v>
      </c>
      <c r="AP86" s="235">
        <f ca="1">_xll.DBRW(Server&amp;Cube1,$N$15,$N$16,$N$17,$N$18,$N$14,$N$13,AP$2,AP$1,$B86)</f>
        <v>-1670200.2199999993</v>
      </c>
      <c r="AQ86" s="400"/>
      <c r="AR86" s="235">
        <f ca="1">_xll.DBRW(Server&amp;Cube1,$N$15,$N$16,$N$17,$N$18,$N$14,$N$13,AR$2,AR$1,$B86)</f>
        <v>0</v>
      </c>
      <c r="AS86" s="235">
        <f ca="1">_xll.DBRW(Server&amp;Cube1,$N$15,$N$16,$N$17,$N$18,$N$14,$N$13,AS$2,AS$1,$B86)</f>
        <v>-2141820.6462417427</v>
      </c>
      <c r="AT86" s="235">
        <f ca="1">_xll.DBRW(Server&amp;Cube1,$N$15,$N$16,$N$17,$N$18,$N$14,$N$13,AT$2,AT$1,$B86)</f>
        <v>-2914883.4899999998</v>
      </c>
      <c r="AU86" s="400"/>
      <c r="AV86" s="235">
        <f ca="1">_xll.DBRW(Server&amp;Cube1,$N$15,$N$16,$N$17,$N$18,$N$14,$N$13,AV$2,AV$1,$B86)</f>
        <v>0</v>
      </c>
      <c r="AW86" s="235">
        <f ca="1">_xll.DBRW(Server&amp;Cube1,$N$15,$N$16,$N$17,$N$18,$N$14,$N$13,AW$2,AW$1,$B86)</f>
        <v>-2129399.7210873724</v>
      </c>
      <c r="AX86" s="235">
        <f ca="1">_xll.DBRW(Server&amp;Cube1,$N$15,$N$16,$N$17,$N$18,$N$14,$N$13,AX$2,AX$1,$B86)</f>
        <v>-2093485.0600000005</v>
      </c>
      <c r="AY86" s="400"/>
      <c r="AZ86" s="235">
        <f ca="1">_xll.DBRW(Server&amp;Cube1,$N$15,$N$16,$N$17,$N$18,$N$14,$N$13,AZ$2,AZ$1,$B86)</f>
        <v>0</v>
      </c>
      <c r="BA86" s="235">
        <f ca="1">_xll.DBRW(Server&amp;Cube1,$N$15,$N$16,$N$17,$N$18,$N$14,$N$13,BA$2,BA$1,$B86)</f>
        <v>-2228926.7905652416</v>
      </c>
      <c r="BB86" s="235">
        <f ca="1">_xll.DBRW(Server&amp;Cube1,$N$15,$N$16,$N$17,$N$18,$N$14,$N$13,BB$2,BB$1,$B86)</f>
        <v>-753441.65999999957</v>
      </c>
      <c r="BC86" s="400"/>
      <c r="BD86" s="235">
        <f ca="1">_xll.DBRW(Server&amp;Cube1,$N$15,$N$16,$N$17,$N$18,$N$14,$N$13,BD$2,BD$1,$B86)</f>
        <v>0</v>
      </c>
      <c r="BE86" s="235">
        <f ca="1">_xll.DBRW(Server&amp;Cube1,$N$15,$N$16,$N$17,$N$18,$N$14,$N$13,BE$2,BE$1,$B86)</f>
        <v>-2063984.1417059812</v>
      </c>
      <c r="BF86" s="235">
        <f ca="1">_xll.DBRW(Server&amp;Cube1,$N$15,$N$16,$N$17,$N$18,$N$14,$N$13,BF$2,BF$1,$B86)</f>
        <v>-4230090.7</v>
      </c>
      <c r="BG86" s="400"/>
      <c r="BH86" s="235">
        <f ca="1">_xll.DBRW(Server&amp;Cube1,$N$15,$N$16,$N$17,$N$18,$N$14,$N$13,BH$2,BH$1,$B86)</f>
        <v>0</v>
      </c>
      <c r="BI86" s="235">
        <f ca="1">_xll.DBRW(Server&amp;Cube1,$N$15,$N$16,$N$17,$N$18,$N$14,$N$13,BI$2,BI$1,$B86)</f>
        <v>-2128373.1382769607</v>
      </c>
      <c r="BJ86" s="235">
        <f ca="1">_xll.DBRW(Server&amp;Cube1,$N$15,$N$16,$N$17,$N$18,$N$14,$N$13,BJ$2,BJ$1,$B86)</f>
        <v>-2444387.0599999996</v>
      </c>
      <c r="BK86" s="400"/>
      <c r="BL86" s="235">
        <f ca="1">_xll.DBRW(Server&amp;Cube1,$N$15,$N$16,$N$17,$N$18,$N$14,$N$13,BL$2,BL$1,$B86)</f>
        <v>0</v>
      </c>
      <c r="BM86" s="235">
        <f ca="1">_xll.DBRW(Server&amp;Cube1,$N$15,$N$16,$N$17,$N$18,$N$14,$N$13,BM$2,BM$1,$B86)</f>
        <v>-2254923.9085113234</v>
      </c>
      <c r="BN86" s="235">
        <f ca="1">_xll.DBRW(Server&amp;Cube1,$N$15,$N$16,$N$17,$N$18,$N$14,$N$13,BN$2,BN$1,$B86)</f>
        <v>-1674885.9900000014</v>
      </c>
      <c r="BO86" s="400"/>
      <c r="BP86" s="235">
        <f ca="1">_xll.DBRW(Server&amp;Cube1,$N$15,$N$16,$N$17,$N$18,$N$14,$N$13,BP$2,BP$1,$B86)</f>
        <v>0</v>
      </c>
      <c r="BQ86" s="235">
        <f ca="1">_xll.DBRW(Server&amp;Cube1,$N$15,$N$16,$N$17,$N$18,$N$14,$N$13,BQ$2,BQ$1,$B86)</f>
        <v>-2174694.5648934678</v>
      </c>
      <c r="BR86" s="235">
        <f ca="1">_xll.DBRW(Server&amp;Cube1,$N$15,$N$16,$N$17,$N$18,$N$14,$N$13,BR$2,BR$1,$B86)</f>
        <v>-2808313.8899999987</v>
      </c>
      <c r="BS86" s="400"/>
      <c r="BT86" s="235">
        <f ca="1">_xll.DBRW(Server&amp;Cube1,$N$15,$N$16,$N$17,$N$18,$N$14,$N$13,BT$2,BT$1,$B86)</f>
        <v>0</v>
      </c>
      <c r="BU86" s="235">
        <f ca="1">_xll.DBRW(Server&amp;Cube1,$N$15,$N$16,$N$17,$N$18,$N$14,$N$13,BU$2,BU$1,$B86)</f>
        <v>-2305939.4174626241</v>
      </c>
      <c r="BV86" s="235">
        <f ca="1">_xll.DBRW(Server&amp;Cube1,$N$15,$N$16,$N$17,$N$18,$N$14,$N$13,BV$2,BV$1,$B86)</f>
        <v>-2189942.589999998</v>
      </c>
      <c r="BW86" s="55"/>
      <c r="BX86" s="28"/>
    </row>
    <row r="87" spans="1:76" ht="19.5" hidden="1" customHeight="1" outlineLevel="1" x14ac:dyDescent="0.2">
      <c r="A87" s="57"/>
      <c r="B87" s="360" t="s">
        <v>339</v>
      </c>
      <c r="H87" s="360"/>
      <c r="I87" s="360"/>
      <c r="J87" s="54"/>
      <c r="K87" s="9"/>
      <c r="L87" s="555" t="str">
        <f ca="1">_xll.DBRA(Server&amp;$B$32,$B87,$N$19)</f>
        <v>Fuel Hedging Result</v>
      </c>
      <c r="M87" s="555"/>
      <c r="N87" s="555"/>
      <c r="O87" s="555"/>
      <c r="P87" s="234"/>
      <c r="Q87" s="235">
        <f ca="1">_xll.DBRW(Server&amp;Cube1,$N$15,$N$16,$N$17,$N$18,$N$14,$N$13,$N$11,$Q$1,$B87)</f>
        <v>-7214.75</v>
      </c>
      <c r="R87" s="235">
        <f ca="1">_xll.DBRW(Server&amp;Cube1,$N$15,$N$16,$N$17,$N$18,$N$14,$N$13,$R$2,$R$1,$B87)</f>
        <v>8414.8458333300005</v>
      </c>
      <c r="S87" s="236">
        <f t="shared" ref="S87:S89" ca="1" si="36">Q87-R87</f>
        <v>-15629.59583333</v>
      </c>
      <c r="T87" s="238">
        <f t="shared" ref="T87:T89" ca="1" si="37">IF(R87&lt;&gt;0,IF(R87&gt;0,S87/R87,-S87/R87),0)</f>
        <v>-1.8573835032631743</v>
      </c>
      <c r="U87" s="223"/>
      <c r="V87" s="235">
        <f ca="1">_xll.DBRW(Server&amp;Cube1,$N$15,$N$16,$N$17,$N$18,$N$14,$N$13,$V$2,$V$1,$B87)</f>
        <v>4124.12</v>
      </c>
      <c r="W87" s="236">
        <f t="shared" ref="W87:W89" ca="1" si="38">Q87-V87</f>
        <v>-11338.869999999999</v>
      </c>
      <c r="X87" s="238">
        <f t="shared" ref="X87:X89" ca="1" si="39">IF(V87&lt;&gt;0,IF(V87&gt;0,W87/V87,-W87/V87),0)</f>
        <v>-2.7494035091122466</v>
      </c>
      <c r="Y87" s="55"/>
      <c r="Z87" s="55"/>
      <c r="AA87" s="55"/>
      <c r="AB87" s="235">
        <f ca="1">_xll.DBRW(Server&amp;Cube1,$N$15,$N$16,$N$17,$N$18,$N$14,$N$13,AB$2,AB$1,$B87)</f>
        <v>800.50000000000011</v>
      </c>
      <c r="AC87" s="235">
        <f ca="1">_xll.DBRW(Server&amp;Cube1,$N$15,$N$16,$N$17,$N$18,$N$14,$N$13,AC$2,AC$1,$B87)</f>
        <v>4344.1229166699995</v>
      </c>
      <c r="AD87" s="235">
        <f ca="1">_xll.DBRW(Server&amp;Cube1,$N$15,$N$16,$N$17,$N$18,$N$14,$N$13,AD$2,AD$1,$B87)</f>
        <v>26351.250000000004</v>
      </c>
      <c r="AE87" s="400"/>
      <c r="AF87" s="235">
        <f ca="1">_xll.DBRW(Server&amp;Cube1,$N$15,$N$16,$N$17,$N$18,$N$14,$N$13,AF$2,AF$1,$B87)</f>
        <v>-8015.25</v>
      </c>
      <c r="AG87" s="235">
        <f ca="1">_xll.DBRW(Server&amp;Cube1,$N$15,$N$16,$N$17,$N$18,$N$14,$N$13,AG$2,AG$1,$B87)</f>
        <v>4070.72291666</v>
      </c>
      <c r="AH87" s="235">
        <f ca="1">_xll.DBRW(Server&amp;Cube1,$N$15,$N$16,$N$17,$N$18,$N$14,$N$13,AH$2,AH$1,$B87)</f>
        <v>-22227.130000000005</v>
      </c>
      <c r="AI87" s="400"/>
      <c r="AJ87" s="235">
        <f ca="1">_xll.DBRW(Server&amp;Cube1,$N$15,$N$16,$N$17,$N$18,$N$14,$N$13,AJ$2,AJ$1,$B87)</f>
        <v>0</v>
      </c>
      <c r="AK87" s="235">
        <f ca="1">_xll.DBRW(Server&amp;Cube1,$N$15,$N$16,$N$17,$N$18,$N$14,$N$13,AK$2,AK$1,$B87)</f>
        <v>4493.2129166699997</v>
      </c>
      <c r="AL87" s="235">
        <f ca="1">_xll.DBRW(Server&amp;Cube1,$N$15,$N$16,$N$17,$N$18,$N$14,$N$13,AL$2,AL$1,$B87)</f>
        <v>42422.909999999989</v>
      </c>
      <c r="AM87" s="400"/>
      <c r="AN87" s="235">
        <f ca="1">_xll.DBRW(Server&amp;Cube1,$N$15,$N$16,$N$17,$N$18,$N$14,$N$13,AN$2,AN$1,$B87)</f>
        <v>0</v>
      </c>
      <c r="AO87" s="235">
        <f ca="1">_xll.DBRW(Server&amp;Cube1,$N$15,$N$16,$N$17,$N$18,$N$14,$N$13,AO$2,AO$1,$B87)</f>
        <v>3812.7929166670006</v>
      </c>
      <c r="AP87" s="235">
        <f ca="1">_xll.DBRW(Server&amp;Cube1,$N$15,$N$16,$N$17,$N$18,$N$14,$N$13,AP$2,AP$1,$B87)</f>
        <v>50148.759999999995</v>
      </c>
      <c r="AQ87" s="400"/>
      <c r="AR87" s="235">
        <f ca="1">_xll.DBRW(Server&amp;Cube1,$N$15,$N$16,$N$17,$N$18,$N$14,$N$13,AR$2,AR$1,$B87)</f>
        <v>0</v>
      </c>
      <c r="AS87" s="235">
        <f ca="1">_xll.DBRW(Server&amp;Cube1,$N$15,$N$16,$N$17,$N$18,$N$14,$N$13,AS$2,AS$1,$B87)</f>
        <v>4776.0229166660001</v>
      </c>
      <c r="AT87" s="235">
        <f ca="1">_xll.DBRW(Server&amp;Cube1,$N$15,$N$16,$N$17,$N$18,$N$14,$N$13,AT$2,AT$1,$B87)</f>
        <v>78496.200000000012</v>
      </c>
      <c r="AU87" s="400"/>
      <c r="AV87" s="235">
        <f ca="1">_xll.DBRW(Server&amp;Cube1,$N$15,$N$16,$N$17,$N$18,$N$14,$N$13,AV$2,AV$1,$B87)</f>
        <v>0</v>
      </c>
      <c r="AW87" s="235">
        <f ca="1">_xll.DBRW(Server&amp;Cube1,$N$15,$N$16,$N$17,$N$18,$N$14,$N$13,AW$2,AW$1,$B87)</f>
        <v>4083.6929166669993</v>
      </c>
      <c r="AX87" s="235">
        <f ca="1">_xll.DBRW(Server&amp;Cube1,$N$15,$N$16,$N$17,$N$18,$N$14,$N$13,AX$2,AX$1,$B87)</f>
        <v>9145.2200000000066</v>
      </c>
      <c r="AY87" s="400"/>
      <c r="AZ87" s="235">
        <f ca="1">_xll.DBRW(Server&amp;Cube1,$N$15,$N$16,$N$17,$N$18,$N$14,$N$13,AZ$2,AZ$1,$B87)</f>
        <v>0</v>
      </c>
      <c r="BA87" s="235">
        <f ca="1">_xll.DBRW(Server&amp;Cube1,$N$15,$N$16,$N$17,$N$18,$N$14,$N$13,BA$2,BA$1,$B87)</f>
        <v>2728.2029166670009</v>
      </c>
      <c r="BB87" s="235">
        <f ca="1">_xll.DBRW(Server&amp;Cube1,$N$15,$N$16,$N$17,$N$18,$N$14,$N$13,BB$2,BB$1,$B87)</f>
        <v>-752.26999999999953</v>
      </c>
      <c r="BC87" s="400"/>
      <c r="BD87" s="235">
        <f ca="1">_xll.DBRW(Server&amp;Cube1,$N$15,$N$16,$N$17,$N$18,$N$14,$N$13,BD$2,BD$1,$B87)</f>
        <v>0</v>
      </c>
      <c r="BE87" s="235">
        <f ca="1">_xll.DBRW(Server&amp;Cube1,$N$15,$N$16,$N$17,$N$18,$N$14,$N$13,BE$2,BE$1,$B87)</f>
        <v>2423.552916659999</v>
      </c>
      <c r="BF87" s="235">
        <f ca="1">_xll.DBRW(Server&amp;Cube1,$N$15,$N$16,$N$17,$N$18,$N$14,$N$13,BF$2,BF$1,$B87)</f>
        <v>193644.41999999998</v>
      </c>
      <c r="BG87" s="400"/>
      <c r="BH87" s="235">
        <f ca="1">_xll.DBRW(Server&amp;Cube1,$N$15,$N$16,$N$17,$N$18,$N$14,$N$13,BH$2,BH$1,$B87)</f>
        <v>0</v>
      </c>
      <c r="BI87" s="235">
        <f ca="1">_xll.DBRW(Server&amp;Cube1,$N$15,$N$16,$N$17,$N$18,$N$14,$N$13,BI$2,BI$1,$B87)</f>
        <v>2829.7529166729992</v>
      </c>
      <c r="BJ87" s="235">
        <f ca="1">_xll.DBRW(Server&amp;Cube1,$N$15,$N$16,$N$17,$N$18,$N$14,$N$13,BJ$2,BJ$1,$B87)</f>
        <v>34921.94</v>
      </c>
      <c r="BK87" s="400"/>
      <c r="BL87" s="235">
        <f ca="1">_xll.DBRW(Server&amp;Cube1,$N$15,$N$16,$N$17,$N$18,$N$14,$N$13,BL$2,BL$1,$B87)</f>
        <v>0</v>
      </c>
      <c r="BM87" s="235">
        <f ca="1">_xll.DBRW(Server&amp;Cube1,$N$15,$N$16,$N$17,$N$18,$N$14,$N$13,BM$2,BM$1,$B87)</f>
        <v>2528.1029167030006</v>
      </c>
      <c r="BN87" s="235">
        <f ca="1">_xll.DBRW(Server&amp;Cube1,$N$15,$N$16,$N$17,$N$18,$N$14,$N$13,BN$2,BN$1,$B87)</f>
        <v>33300.710000000006</v>
      </c>
      <c r="BO87" s="400"/>
      <c r="BP87" s="235">
        <f ca="1">_xll.DBRW(Server&amp;Cube1,$N$15,$N$16,$N$17,$N$18,$N$14,$N$13,BP$2,BP$1,$B87)</f>
        <v>0</v>
      </c>
      <c r="BQ87" s="235">
        <f ca="1">_xll.DBRW(Server&amp;Cube1,$N$15,$N$16,$N$17,$N$18,$N$14,$N$13,BQ$2,BQ$1,$B87)</f>
        <v>2164.0529165910007</v>
      </c>
      <c r="BR87" s="235">
        <f ca="1">_xll.DBRW(Server&amp;Cube1,$N$15,$N$16,$N$17,$N$18,$N$14,$N$13,BR$2,BR$1,$B87)</f>
        <v>19709.78999999999</v>
      </c>
      <c r="BS87" s="400"/>
      <c r="BT87" s="235">
        <f ca="1">_xll.DBRW(Server&amp;Cube1,$N$15,$N$16,$N$17,$N$18,$N$14,$N$13,BT$2,BT$1,$B87)</f>
        <v>0</v>
      </c>
      <c r="BU87" s="235">
        <f ca="1">_xll.DBRW(Server&amp;Cube1,$N$15,$N$16,$N$17,$N$18,$N$14,$N$13,BU$2,BU$1,$B87)</f>
        <v>1921.3729167059992</v>
      </c>
      <c r="BV87" s="235">
        <f ca="1">_xll.DBRW(Server&amp;Cube1,$N$15,$N$16,$N$17,$N$18,$N$14,$N$13,BV$2,BV$1,$B87)</f>
        <v>33575.869999999995</v>
      </c>
      <c r="BW87" s="55"/>
      <c r="BX87" s="28"/>
    </row>
    <row r="88" spans="1:76" ht="19.5" hidden="1" customHeight="1" outlineLevel="1" x14ac:dyDescent="0.2">
      <c r="A88" s="57"/>
      <c r="B88" s="360" t="s">
        <v>349</v>
      </c>
      <c r="H88" s="360"/>
      <c r="I88" s="360"/>
      <c r="J88" s="54"/>
      <c r="K88" s="9"/>
      <c r="L88" s="555" t="str">
        <f ca="1">_xll.DBRA(Server&amp;$B$32,$B88,$N$19)</f>
        <v>Energy indexation</v>
      </c>
      <c r="M88" s="555"/>
      <c r="N88" s="555"/>
      <c r="O88" s="555"/>
      <c r="P88" s="234"/>
      <c r="Q88" s="235">
        <f ca="1">_xll.DBRW(Server&amp;Cube1,$N$15,$N$16,$N$17,$N$18,$N$14,$N$13,$N$11,$Q$1,$B88)</f>
        <v>135929.5</v>
      </c>
      <c r="R88" s="235">
        <f ca="1">_xll.DBRW(Server&amp;Cube1,$N$15,$N$16,$N$17,$N$18,$N$14,$N$13,$R$2,$R$1,$B88)</f>
        <v>12654343.129999999</v>
      </c>
      <c r="S88" s="236">
        <f t="shared" ref="S88" ca="1" si="40">Q88-R88</f>
        <v>-12518413.629999999</v>
      </c>
      <c r="T88" s="238">
        <f t="shared" ref="T88" ca="1" si="41">IF(R88&lt;&gt;0,IF(R88&gt;0,S88/R88,-S88/R88),0)</f>
        <v>-0.98925827294205826</v>
      </c>
      <c r="U88" s="223"/>
      <c r="V88" s="235">
        <f ca="1">_xll.DBRW(Server&amp;Cube1,$N$15,$N$16,$N$17,$N$18,$N$14,$N$13,$V$2,$V$1,$B88)</f>
        <v>9204130.3899999987</v>
      </c>
      <c r="W88" s="236">
        <f t="shared" ref="W88" ca="1" si="42">Q88-V88</f>
        <v>-9068200.8899999987</v>
      </c>
      <c r="X88" s="238">
        <f t="shared" ref="X88" ca="1" si="43">IF(V88&lt;&gt;0,IF(V88&gt;0,W88/V88,-W88/V88),0)</f>
        <v>-0.98523168466325906</v>
      </c>
      <c r="Y88" s="55"/>
      <c r="Z88" s="55"/>
      <c r="AA88" s="55"/>
      <c r="AB88" s="235">
        <f ca="1">_xll.DBRW(Server&amp;Cube1,$N$15,$N$16,$N$17,$N$18,$N$14,$N$13,AB$2,AB$1,$B88)</f>
        <v>103683.19999999998</v>
      </c>
      <c r="AC88" s="235">
        <f ca="1">_xll.DBRW(Server&amp;Cube1,$N$15,$N$16,$N$17,$N$18,$N$14,$N$13,AC$2,AC$1,$B88)</f>
        <v>6464635.1500000004</v>
      </c>
      <c r="AD88" s="235">
        <f ca="1">_xll.DBRW(Server&amp;Cube1,$N$15,$N$16,$N$17,$N$18,$N$14,$N$13,AD$2,AD$1,$B88)</f>
        <v>4939909.6400000006</v>
      </c>
      <c r="AE88" s="400"/>
      <c r="AF88" s="235">
        <f ca="1">_xll.DBRW(Server&amp;Cube1,$N$15,$N$16,$N$17,$N$18,$N$14,$N$13,AF$2,AF$1,$B88)</f>
        <v>32246.30000000001</v>
      </c>
      <c r="AG88" s="235">
        <f ca="1">_xll.DBRW(Server&amp;Cube1,$N$15,$N$16,$N$17,$N$18,$N$14,$N$13,AG$2,AG$1,$B88)</f>
        <v>6189707.9800000004</v>
      </c>
      <c r="AH88" s="235">
        <f ca="1">_xll.DBRW(Server&amp;Cube1,$N$15,$N$16,$N$17,$N$18,$N$14,$N$13,AH$2,AH$1,$B88)</f>
        <v>4264220.7499999991</v>
      </c>
      <c r="AI88" s="400"/>
      <c r="AJ88" s="235">
        <f ca="1">_xll.DBRW(Server&amp;Cube1,$N$15,$N$16,$N$17,$N$18,$N$14,$N$13,AJ$2,AJ$1,$B88)</f>
        <v>0</v>
      </c>
      <c r="AK88" s="235">
        <f ca="1">_xll.DBRW(Server&amp;Cube1,$N$15,$N$16,$N$17,$N$18,$N$14,$N$13,AK$2,AK$1,$B88)</f>
        <v>6277168.0300000003</v>
      </c>
      <c r="AL88" s="235">
        <f ca="1">_xll.DBRW(Server&amp;Cube1,$N$15,$N$16,$N$17,$N$18,$N$14,$N$13,AL$2,AL$1,$B88)</f>
        <v>6292637.3600000003</v>
      </c>
      <c r="AM88" s="400"/>
      <c r="AN88" s="235">
        <f ca="1">_xll.DBRW(Server&amp;Cube1,$N$15,$N$16,$N$17,$N$18,$N$14,$N$13,AN$2,AN$1,$B88)</f>
        <v>0</v>
      </c>
      <c r="AO88" s="235">
        <f ca="1">_xll.DBRW(Server&amp;Cube1,$N$15,$N$16,$N$17,$N$18,$N$14,$N$13,AO$2,AO$1,$B88)</f>
        <v>6004113.8899999987</v>
      </c>
      <c r="AP88" s="235">
        <f ca="1">_xll.DBRW(Server&amp;Cube1,$N$15,$N$16,$N$17,$N$18,$N$14,$N$13,AP$2,AP$1,$B88)</f>
        <v>94991.51999999999</v>
      </c>
      <c r="AQ88" s="400"/>
      <c r="AR88" s="235">
        <f ca="1">_xll.DBRW(Server&amp;Cube1,$N$15,$N$16,$N$17,$N$18,$N$14,$N$13,AR$2,AR$1,$B88)</f>
        <v>0</v>
      </c>
      <c r="AS88" s="235">
        <f ca="1">_xll.DBRW(Server&amp;Cube1,$N$15,$N$16,$N$17,$N$18,$N$14,$N$13,AS$2,AS$1,$B88)</f>
        <v>6002325.1100000003</v>
      </c>
      <c r="AT88" s="235">
        <f ca="1">_xll.DBRW(Server&amp;Cube1,$N$15,$N$16,$N$17,$N$18,$N$14,$N$13,AT$2,AT$1,$B88)</f>
        <v>25549236.77</v>
      </c>
      <c r="AU88" s="400"/>
      <c r="AV88" s="235">
        <f ca="1">_xll.DBRW(Server&amp;Cube1,$N$15,$N$16,$N$17,$N$18,$N$14,$N$13,AV$2,AV$1,$B88)</f>
        <v>0</v>
      </c>
      <c r="AW88" s="235">
        <f ca="1">_xll.DBRW(Server&amp;Cube1,$N$15,$N$16,$N$17,$N$18,$N$14,$N$13,AW$2,AW$1,$B88)</f>
        <v>5282744.17</v>
      </c>
      <c r="AX88" s="235">
        <f ca="1">_xll.DBRW(Server&amp;Cube1,$N$15,$N$16,$N$17,$N$18,$N$14,$N$13,AX$2,AX$1,$B88)</f>
        <v>4847352.8499999996</v>
      </c>
      <c r="AY88" s="400"/>
      <c r="AZ88" s="235">
        <f ca="1">_xll.DBRW(Server&amp;Cube1,$N$15,$N$16,$N$17,$N$18,$N$14,$N$13,AZ$2,AZ$1,$B88)</f>
        <v>0</v>
      </c>
      <c r="BA88" s="235">
        <f ca="1">_xll.DBRW(Server&amp;Cube1,$N$15,$N$16,$N$17,$N$18,$N$14,$N$13,BA$2,BA$1,$B88)</f>
        <v>4453703.5099999988</v>
      </c>
      <c r="BB88" s="235">
        <f ca="1">_xll.DBRW(Server&amp;Cube1,$N$15,$N$16,$N$17,$N$18,$N$14,$N$13,BB$2,BB$1,$B88)</f>
        <v>4993589.42</v>
      </c>
      <c r="BC88" s="400"/>
      <c r="BD88" s="235">
        <f ca="1">_xll.DBRW(Server&amp;Cube1,$N$15,$N$16,$N$17,$N$18,$N$14,$N$13,BD$2,BD$1,$B88)</f>
        <v>0</v>
      </c>
      <c r="BE88" s="235">
        <f ca="1">_xll.DBRW(Server&amp;Cube1,$N$15,$N$16,$N$17,$N$18,$N$14,$N$13,BE$2,BE$1,$B88)</f>
        <v>4755323.2700000014</v>
      </c>
      <c r="BF88" s="235">
        <f ca="1">_xll.DBRW(Server&amp;Cube1,$N$15,$N$16,$N$17,$N$18,$N$14,$N$13,BF$2,BF$1,$B88)</f>
        <v>4411019.07</v>
      </c>
      <c r="BG88" s="400"/>
      <c r="BH88" s="235">
        <f ca="1">_xll.DBRW(Server&amp;Cube1,$N$15,$N$16,$N$17,$N$18,$N$14,$N$13,BH$2,BH$1,$B88)</f>
        <v>0</v>
      </c>
      <c r="BI88" s="235">
        <f ca="1">_xll.DBRW(Server&amp;Cube1,$N$15,$N$16,$N$17,$N$18,$N$14,$N$13,BI$2,BI$1,$B88)</f>
        <v>5101683.669999999</v>
      </c>
      <c r="BJ88" s="235">
        <f ca="1">_xll.DBRW(Server&amp;Cube1,$N$15,$N$16,$N$17,$N$18,$N$14,$N$13,BJ$2,BJ$1,$B88)</f>
        <v>5164435.580000001</v>
      </c>
      <c r="BK88" s="400"/>
      <c r="BL88" s="235">
        <f ca="1">_xll.DBRW(Server&amp;Cube1,$N$15,$N$16,$N$17,$N$18,$N$14,$N$13,BL$2,BL$1,$B88)</f>
        <v>0</v>
      </c>
      <c r="BM88" s="235">
        <f ca="1">_xll.DBRW(Server&amp;Cube1,$N$15,$N$16,$N$17,$N$18,$N$14,$N$13,BM$2,BM$1,$B88)</f>
        <v>5325266.3600000003</v>
      </c>
      <c r="BN88" s="235">
        <f ca="1">_xll.DBRW(Server&amp;Cube1,$N$15,$N$16,$N$17,$N$18,$N$14,$N$13,BN$2,BN$1,$B88)</f>
        <v>5970975.299999998</v>
      </c>
      <c r="BO88" s="400"/>
      <c r="BP88" s="235">
        <f ca="1">_xll.DBRW(Server&amp;Cube1,$N$15,$N$16,$N$17,$N$18,$N$14,$N$13,BP$2,BP$1,$B88)</f>
        <v>0</v>
      </c>
      <c r="BQ88" s="235">
        <f ca="1">_xll.DBRW(Server&amp;Cube1,$N$15,$N$16,$N$17,$N$18,$N$14,$N$13,BQ$2,BQ$1,$B88)</f>
        <v>5215922.0900000017</v>
      </c>
      <c r="BR88" s="235">
        <f ca="1">_xll.DBRW(Server&amp;Cube1,$N$15,$N$16,$N$17,$N$18,$N$14,$N$13,BR$2,BR$1,$B88)</f>
        <v>5797691.1899999995</v>
      </c>
      <c r="BS88" s="400"/>
      <c r="BT88" s="235">
        <f ca="1">_xll.DBRW(Server&amp;Cube1,$N$15,$N$16,$N$17,$N$18,$N$14,$N$13,BT$2,BT$1,$B88)</f>
        <v>0</v>
      </c>
      <c r="BU88" s="235">
        <f ca="1">_xll.DBRW(Server&amp;Cube1,$N$15,$N$16,$N$17,$N$18,$N$14,$N$13,BU$2,BU$1,$B88)</f>
        <v>5024710.0600000005</v>
      </c>
      <c r="BV88" s="235">
        <f ca="1">_xll.DBRW(Server&amp;Cube1,$N$15,$N$16,$N$17,$N$18,$N$14,$N$13,BV$2,BV$1,$B88)</f>
        <v>5633667.9399999995</v>
      </c>
      <c r="BW88" s="55"/>
      <c r="BX88" s="28"/>
    </row>
    <row r="89" spans="1:76" ht="19.5" hidden="1" customHeight="1" outlineLevel="1" x14ac:dyDescent="0.2">
      <c r="A89" s="57"/>
      <c r="B89" s="360" t="s">
        <v>340</v>
      </c>
      <c r="H89" s="360"/>
      <c r="I89" s="360"/>
      <c r="J89" s="54"/>
      <c r="K89" s="9"/>
      <c r="L89" s="555" t="str">
        <f ca="1">_xll.DBRA(Server&amp;$B$32,$B89,$N$19)</f>
        <v>Fuel Tax reimbursement</v>
      </c>
      <c r="M89" s="555"/>
      <c r="N89" s="555"/>
      <c r="O89" s="555"/>
      <c r="P89" s="234"/>
      <c r="Q89" s="235">
        <f ca="1">_xll.DBRW(Server&amp;Cube1,$N$15,$N$16,$N$17,$N$18,$N$14,$N$13,$N$11,$Q$1,$B89)</f>
        <v>7687611.9900000002</v>
      </c>
      <c r="R89" s="235">
        <f ca="1">_xll.DBRW(Server&amp;Cube1,$N$15,$N$16,$N$17,$N$18,$N$14,$N$13,$R$2,$R$1,$B89)</f>
        <v>7578475.6312728003</v>
      </c>
      <c r="S89" s="236">
        <f t="shared" ca="1" si="36"/>
        <v>109136.35872719996</v>
      </c>
      <c r="T89" s="238">
        <f t="shared" ca="1" si="37"/>
        <v>1.4400832573353617E-2</v>
      </c>
      <c r="U89" s="223"/>
      <c r="V89" s="235">
        <f ca="1">_xll.DBRW(Server&amp;Cube1,$N$15,$N$16,$N$17,$N$18,$N$14,$N$13,$V$2,$V$1,$B89)</f>
        <v>7678048.4603088992</v>
      </c>
      <c r="W89" s="236">
        <f t="shared" ca="1" si="38"/>
        <v>9563.5296911010519</v>
      </c>
      <c r="X89" s="238">
        <f t="shared" ca="1" si="39"/>
        <v>1.2455677690156564E-3</v>
      </c>
      <c r="Y89" s="55"/>
      <c r="Z89" s="55"/>
      <c r="AA89" s="55"/>
      <c r="AB89" s="235">
        <f ca="1">_xll.DBRW(Server&amp;Cube1,$N$15,$N$16,$N$17,$N$18,$N$14,$N$13,AB$2,AB$1,$B89)</f>
        <v>-204626.21999999997</v>
      </c>
      <c r="AC89" s="235">
        <f ca="1">_xll.DBRW(Server&amp;Cube1,$N$15,$N$16,$N$17,$N$18,$N$14,$N$13,AC$2,AC$1,$B89)</f>
        <v>4137857.6753491564</v>
      </c>
      <c r="AD89" s="235">
        <f ca="1">_xll.DBRW(Server&amp;Cube1,$N$15,$N$16,$N$17,$N$18,$N$14,$N$13,AD$2,AD$1,$B89)</f>
        <v>927542.61043020012</v>
      </c>
      <c r="AE89" s="400"/>
      <c r="AF89" s="235">
        <f ca="1">_xll.DBRW(Server&amp;Cube1,$N$15,$N$16,$N$17,$N$18,$N$14,$N$13,AF$2,AF$1,$B89)</f>
        <v>7892238.21</v>
      </c>
      <c r="AG89" s="235">
        <f ca="1">_xll.DBRW(Server&amp;Cube1,$N$15,$N$16,$N$17,$N$18,$N$14,$N$13,AG$2,AG$1,$B89)</f>
        <v>3440617.9559236439</v>
      </c>
      <c r="AH89" s="235">
        <f ca="1">_xll.DBRW(Server&amp;Cube1,$N$15,$N$16,$N$17,$N$18,$N$14,$N$13,AH$2,AH$1,$B89)</f>
        <v>6750505.8498786995</v>
      </c>
      <c r="AI89" s="400"/>
      <c r="AJ89" s="235">
        <f ca="1">_xll.DBRW(Server&amp;Cube1,$N$15,$N$16,$N$17,$N$18,$N$14,$N$13,AJ$2,AJ$1,$B89)</f>
        <v>0</v>
      </c>
      <c r="AK89" s="235">
        <f ca="1">_xll.DBRW(Server&amp;Cube1,$N$15,$N$16,$N$17,$N$18,$N$14,$N$13,AK$2,AK$1,$B89)</f>
        <v>4261833.2530634357</v>
      </c>
      <c r="AL89" s="235">
        <f ca="1">_xll.DBRW(Server&amp;Cube1,$N$15,$N$16,$N$17,$N$18,$N$14,$N$13,AL$2,AL$1,$B89)</f>
        <v>4135244.2647861</v>
      </c>
      <c r="AM89" s="400"/>
      <c r="AN89" s="235">
        <f ca="1">_xll.DBRW(Server&amp;Cube1,$N$15,$N$16,$N$17,$N$18,$N$14,$N$13,AN$2,AN$1,$B89)</f>
        <v>0</v>
      </c>
      <c r="AO89" s="235">
        <f ca="1">_xll.DBRW(Server&amp;Cube1,$N$15,$N$16,$N$17,$N$18,$N$14,$N$13,AO$2,AO$1,$B89)</f>
        <v>3574216.6666383683</v>
      </c>
      <c r="AP89" s="235">
        <f ca="1">_xll.DBRW(Server&amp;Cube1,$N$15,$N$16,$N$17,$N$18,$N$14,$N$13,AP$2,AP$1,$B89)</f>
        <v>-1129171.3099999998</v>
      </c>
      <c r="AQ89" s="400"/>
      <c r="AR89" s="235">
        <f ca="1">_xll.DBRW(Server&amp;Cube1,$N$15,$N$16,$N$17,$N$18,$N$14,$N$13,AR$2,AR$1,$B89)</f>
        <v>0</v>
      </c>
      <c r="AS89" s="235">
        <f ca="1">_xll.DBRW(Server&amp;Cube1,$N$15,$N$16,$N$17,$N$18,$N$14,$N$13,AS$2,AS$1,$B89)</f>
        <v>3758013.3172040121</v>
      </c>
      <c r="AT89" s="235">
        <f ca="1">_xll.DBRW(Server&amp;Cube1,$N$15,$N$16,$N$17,$N$18,$N$14,$N$13,AT$2,AT$1,$B89)</f>
        <v>9052430.5100000016</v>
      </c>
      <c r="AU89" s="400"/>
      <c r="AV89" s="235">
        <f ca="1">_xll.DBRW(Server&amp;Cube1,$N$15,$N$16,$N$17,$N$18,$N$14,$N$13,AV$2,AV$1,$B89)</f>
        <v>0</v>
      </c>
      <c r="AW89" s="235">
        <f ca="1">_xll.DBRW(Server&amp;Cube1,$N$15,$N$16,$N$17,$N$18,$N$14,$N$13,AW$2,AW$1,$B89)</f>
        <v>4112939.3607735089</v>
      </c>
      <c r="AX89" s="235">
        <f ca="1">_xll.DBRW(Server&amp;Cube1,$N$15,$N$16,$N$17,$N$18,$N$14,$N$13,AX$2,AX$1,$B89)</f>
        <v>4036402.3400000003</v>
      </c>
      <c r="AY89" s="400"/>
      <c r="AZ89" s="235">
        <f ca="1">_xll.DBRW(Server&amp;Cube1,$N$15,$N$16,$N$17,$N$18,$N$14,$N$13,AZ$2,AZ$1,$B89)</f>
        <v>0</v>
      </c>
      <c r="BA89" s="235">
        <f ca="1">_xll.DBRW(Server&amp;Cube1,$N$15,$N$16,$N$17,$N$18,$N$14,$N$13,BA$2,BA$1,$B89)</f>
        <v>2862657.1631533643</v>
      </c>
      <c r="BB89" s="235">
        <f ca="1">_xll.DBRW(Server&amp;Cube1,$N$15,$N$16,$N$17,$N$18,$N$14,$N$13,BB$2,BB$1,$B89)</f>
        <v>-6085736.3278899984</v>
      </c>
      <c r="BC89" s="400"/>
      <c r="BD89" s="235">
        <f ca="1">_xll.DBRW(Server&amp;Cube1,$N$15,$N$16,$N$17,$N$18,$N$14,$N$13,BD$2,BD$1,$B89)</f>
        <v>0</v>
      </c>
      <c r="BE89" s="235">
        <f ca="1">_xll.DBRW(Server&amp;Cube1,$N$15,$N$16,$N$17,$N$18,$N$14,$N$13,BE$2,BE$1,$B89)</f>
        <v>2486866.1928880103</v>
      </c>
      <c r="BF89" s="235">
        <f ca="1">_xll.DBRW(Server&amp;Cube1,$N$15,$N$16,$N$17,$N$18,$N$14,$N$13,BF$2,BF$1,$B89)</f>
        <v>11599497.140000001</v>
      </c>
      <c r="BG89" s="400"/>
      <c r="BH89" s="235">
        <f ca="1">_xll.DBRW(Server&amp;Cube1,$N$15,$N$16,$N$17,$N$18,$N$14,$N$13,BH$2,BH$1,$B89)</f>
        <v>0</v>
      </c>
      <c r="BI89" s="235">
        <f ca="1">_xll.DBRW(Server&amp;Cube1,$N$15,$N$16,$N$17,$N$18,$N$14,$N$13,BI$2,BI$1,$B89)</f>
        <v>4130628.4817919829</v>
      </c>
      <c r="BJ89" s="235">
        <f ca="1">_xll.DBRW(Server&amp;Cube1,$N$15,$N$16,$N$17,$N$18,$N$14,$N$13,BJ$2,BJ$1,$B89)</f>
        <v>4074773.08</v>
      </c>
      <c r="BK89" s="400"/>
      <c r="BL89" s="235">
        <f ca="1">_xll.DBRW(Server&amp;Cube1,$N$15,$N$16,$N$17,$N$18,$N$14,$N$13,BL$2,BL$1,$B89)</f>
        <v>0</v>
      </c>
      <c r="BM89" s="235">
        <f ca="1">_xll.DBRW(Server&amp;Cube1,$N$15,$N$16,$N$17,$N$18,$N$14,$N$13,BM$2,BM$1,$B89)</f>
        <v>3683936.2521583326</v>
      </c>
      <c r="BN89" s="235">
        <f ca="1">_xll.DBRW(Server&amp;Cube1,$N$15,$N$16,$N$17,$N$18,$N$14,$N$13,BN$2,BN$1,$B89)</f>
        <v>340978.74999999971</v>
      </c>
      <c r="BO89" s="400"/>
      <c r="BP89" s="235">
        <f ca="1">_xll.DBRW(Server&amp;Cube1,$N$15,$N$16,$N$17,$N$18,$N$14,$N$13,BP$2,BP$1,$B89)</f>
        <v>0</v>
      </c>
      <c r="BQ89" s="235">
        <f ca="1">_xll.DBRW(Server&amp;Cube1,$N$15,$N$16,$N$17,$N$18,$N$14,$N$13,BQ$2,BQ$1,$B89)</f>
        <v>3837921.3585374174</v>
      </c>
      <c r="BR89" s="235">
        <f ca="1">_xll.DBRW(Server&amp;Cube1,$N$15,$N$16,$N$17,$N$18,$N$14,$N$13,BR$2,BR$1,$B89)</f>
        <v>7372240.1800000016</v>
      </c>
      <c r="BS89" s="400"/>
      <c r="BT89" s="235">
        <f ca="1">_xll.DBRW(Server&amp;Cube1,$N$15,$N$16,$N$17,$N$18,$N$14,$N$13,BT$2,BT$1,$B89)</f>
        <v>0</v>
      </c>
      <c r="BU89" s="235">
        <f ca="1">_xll.DBRW(Server&amp;Cube1,$N$15,$N$16,$N$17,$N$18,$N$14,$N$13,BU$2,BU$1,$B89)</f>
        <v>3680270.0892859944</v>
      </c>
      <c r="BV89" s="235">
        <f ca="1">_xll.DBRW(Server&amp;Cube1,$N$15,$N$16,$N$17,$N$18,$N$14,$N$13,BV$2,BV$1,$B89)</f>
        <v>3730308.87</v>
      </c>
      <c r="BW89" s="55"/>
      <c r="BX89" s="28"/>
    </row>
    <row r="90" spans="1:76" ht="19.5" hidden="1" customHeight="1" outlineLevel="1" x14ac:dyDescent="0.2">
      <c r="A90" s="57"/>
      <c r="B90" s="360" t="s">
        <v>333</v>
      </c>
      <c r="H90" s="360"/>
      <c r="I90" s="360"/>
      <c r="J90" s="54"/>
      <c r="K90" s="9"/>
      <c r="L90" s="555" t="str">
        <f ca="1">_xll.DBRA(Server&amp;$B$32,$B90,$N$19)</f>
        <v>Sales of fuel</v>
      </c>
      <c r="M90" s="555"/>
      <c r="N90" s="555"/>
      <c r="O90" s="555"/>
      <c r="P90" s="234"/>
      <c r="Q90" s="235">
        <f ca="1">_xll.DBRW(Server&amp;Cube1,$N$15,$N$16,$N$17,$N$18,$N$14,$N$13,$N$11,$Q$1,$B90)</f>
        <v>451461.49000000005</v>
      </c>
      <c r="R90" s="235">
        <f ca="1">_xll.DBRW(Server&amp;Cube1,$N$15,$N$16,$N$17,$N$18,$N$14,$N$13,$R$2,$R$1,$B90)</f>
        <v>307693.05</v>
      </c>
      <c r="S90" s="236">
        <f t="shared" ref="S90" ca="1" si="44">Q90-R90</f>
        <v>143768.44000000006</v>
      </c>
      <c r="T90" s="238">
        <f t="shared" ref="T90" ca="1" si="45">IF(R90&lt;&gt;0,IF(R90&gt;0,S90/R90,-S90/R90),0)</f>
        <v>0.46724630276829476</v>
      </c>
      <c r="U90" s="223"/>
      <c r="V90" s="235">
        <f ca="1">_xll.DBRW(Server&amp;Cube1,$N$15,$N$16,$N$17,$N$18,$N$14,$N$13,$V$2,$V$1,$B90)</f>
        <v>444399.51</v>
      </c>
      <c r="W90" s="236">
        <f t="shared" ref="W90" ca="1" si="46">Q90-V90</f>
        <v>7061.9800000000396</v>
      </c>
      <c r="X90" s="238">
        <f t="shared" ref="X90" ca="1" si="47">IF(V90&lt;&gt;0,IF(V90&gt;0,W90/V90,-W90/V90),0)</f>
        <v>1.5891061626058137E-2</v>
      </c>
      <c r="Y90" s="55"/>
      <c r="Z90" s="55"/>
      <c r="AA90" s="55"/>
      <c r="AB90" s="235">
        <f ca="1">_xll.DBRW(Server&amp;Cube1,$N$15,$N$16,$N$17,$N$18,$N$14,$N$13,AB$2,AB$1,$B90)</f>
        <v>79532.53</v>
      </c>
      <c r="AC90" s="235">
        <f ca="1">_xll.DBRW(Server&amp;Cube1,$N$15,$N$16,$N$17,$N$18,$N$14,$N$13,AC$2,AC$1,$B90)</f>
        <v>129420.6909090909</v>
      </c>
      <c r="AD90" s="235">
        <f ca="1">_xll.DBRW(Server&amp;Cube1,$N$15,$N$16,$N$17,$N$18,$N$14,$N$13,AD$2,AD$1,$B90)</f>
        <v>56719.89</v>
      </c>
      <c r="AE90" s="400"/>
      <c r="AF90" s="235">
        <f ca="1">_xll.DBRW(Server&amp;Cube1,$N$15,$N$16,$N$17,$N$18,$N$14,$N$13,AF$2,AF$1,$B90)</f>
        <v>371928.96</v>
      </c>
      <c r="AG90" s="235">
        <f ca="1">_xll.DBRW(Server&amp;Cube1,$N$15,$N$16,$N$17,$N$18,$N$14,$N$13,AG$2,AG$1,$B90)</f>
        <v>178272.3590909091</v>
      </c>
      <c r="AH90" s="235">
        <f ca="1">_xll.DBRW(Server&amp;Cube1,$N$15,$N$16,$N$17,$N$18,$N$14,$N$13,AH$2,AH$1,$B90)</f>
        <v>387679.62</v>
      </c>
      <c r="AI90" s="400"/>
      <c r="AJ90" s="235">
        <f ca="1">_xll.DBRW(Server&amp;Cube1,$N$15,$N$16,$N$17,$N$18,$N$14,$N$13,AJ$2,AJ$1,$B90)</f>
        <v>0</v>
      </c>
      <c r="AK90" s="235">
        <f ca="1">_xll.DBRW(Server&amp;Cube1,$N$15,$N$16,$N$17,$N$18,$N$14,$N$13,AK$2,AK$1,$B90)</f>
        <v>157996.877272727</v>
      </c>
      <c r="AL90" s="235">
        <f ca="1">_xll.DBRW(Server&amp;Cube1,$N$15,$N$16,$N$17,$N$18,$N$14,$N$13,AL$2,AL$1,$B90)</f>
        <v>241265.38</v>
      </c>
      <c r="AM90" s="400"/>
      <c r="AN90" s="235">
        <f ca="1">_xll.DBRW(Server&amp;Cube1,$N$15,$N$16,$N$17,$N$18,$N$14,$N$13,AN$2,AN$1,$B90)</f>
        <v>0</v>
      </c>
      <c r="AO90" s="235">
        <f ca="1">_xll.DBRW(Server&amp;Cube1,$N$15,$N$16,$N$17,$N$18,$N$14,$N$13,AO$2,AO$1,$B90)</f>
        <v>74553.729090909008</v>
      </c>
      <c r="AP90" s="235">
        <f ca="1">_xll.DBRW(Server&amp;Cube1,$N$15,$N$16,$N$17,$N$18,$N$14,$N$13,AP$2,AP$1,$B90)</f>
        <v>18506.899999999921</v>
      </c>
      <c r="AQ90" s="400"/>
      <c r="AR90" s="235">
        <f ca="1">_xll.DBRW(Server&amp;Cube1,$N$15,$N$16,$N$17,$N$18,$N$14,$N$13,AR$2,AR$1,$B90)</f>
        <v>0</v>
      </c>
      <c r="AS90" s="235">
        <f ca="1">_xll.DBRW(Server&amp;Cube1,$N$15,$N$16,$N$17,$N$18,$N$14,$N$13,AS$2,AS$1,$B90)</f>
        <v>241166.72909090901</v>
      </c>
      <c r="AT90" s="235">
        <f ca="1">_xll.DBRW(Server&amp;Cube1,$N$15,$N$16,$N$17,$N$18,$N$14,$N$13,AT$2,AT$1,$B90)</f>
        <v>450382</v>
      </c>
      <c r="AU90" s="400"/>
      <c r="AV90" s="235">
        <f ca="1">_xll.DBRW(Server&amp;Cube1,$N$15,$N$16,$N$17,$N$18,$N$14,$N$13,AV$2,AV$1,$B90)</f>
        <v>0</v>
      </c>
      <c r="AW90" s="235">
        <f ca="1">_xll.DBRW(Server&amp;Cube1,$N$15,$N$16,$N$17,$N$18,$N$14,$N$13,AW$2,AW$1,$B90)</f>
        <v>151905.90909090999</v>
      </c>
      <c r="AX90" s="235">
        <f ca="1">_xll.DBRW(Server&amp;Cube1,$N$15,$N$16,$N$17,$N$18,$N$14,$N$13,AX$2,AX$1,$B90)</f>
        <v>195627.01000000007</v>
      </c>
      <c r="AY90" s="400"/>
      <c r="AZ90" s="235">
        <f ca="1">_xll.DBRW(Server&amp;Cube1,$N$15,$N$16,$N$17,$N$18,$N$14,$N$13,AZ$2,AZ$1,$B90)</f>
        <v>0</v>
      </c>
      <c r="BA90" s="235">
        <f ca="1">_xll.DBRW(Server&amp;Cube1,$N$15,$N$16,$N$17,$N$18,$N$14,$N$13,BA$2,BA$1,$B90)</f>
        <v>130787.727272727</v>
      </c>
      <c r="BB90" s="235">
        <f ca="1">_xll.DBRW(Server&amp;Cube1,$N$15,$N$16,$N$17,$N$18,$N$14,$N$13,BB$2,BB$1,$B90)</f>
        <v>-44770.750000000073</v>
      </c>
      <c r="BC90" s="400"/>
      <c r="BD90" s="235">
        <f ca="1">_xll.DBRW(Server&amp;Cube1,$N$15,$N$16,$N$17,$N$18,$N$14,$N$13,BD$2,BD$1,$B90)</f>
        <v>0</v>
      </c>
      <c r="BE90" s="235">
        <f ca="1">_xll.DBRW(Server&amp;Cube1,$N$15,$N$16,$N$17,$N$18,$N$14,$N$13,BE$2,BE$1,$B90)</f>
        <v>130370.45454545403</v>
      </c>
      <c r="BF90" s="235">
        <f ca="1">_xll.DBRW(Server&amp;Cube1,$N$15,$N$16,$N$17,$N$18,$N$14,$N$13,BF$2,BF$1,$B90)</f>
        <v>546325.62999999989</v>
      </c>
      <c r="BG90" s="400"/>
      <c r="BH90" s="235">
        <f ca="1">_xll.DBRW(Server&amp;Cube1,$N$15,$N$16,$N$17,$N$18,$N$14,$N$13,BH$2,BH$1,$B90)</f>
        <v>0</v>
      </c>
      <c r="BI90" s="235">
        <f ca="1">_xll.DBRW(Server&amp;Cube1,$N$15,$N$16,$N$17,$N$18,$N$14,$N$13,BI$2,BI$1,$B90)</f>
        <v>158174.090909091</v>
      </c>
      <c r="BJ90" s="235">
        <f ca="1">_xll.DBRW(Server&amp;Cube1,$N$15,$N$16,$N$17,$N$18,$N$14,$N$13,BJ$2,BJ$1,$B90)</f>
        <v>249459.14</v>
      </c>
      <c r="BK90" s="400"/>
      <c r="BL90" s="235">
        <f ca="1">_xll.DBRW(Server&amp;Cube1,$N$15,$N$16,$N$17,$N$18,$N$14,$N$13,BL$2,BL$1,$B90)</f>
        <v>0</v>
      </c>
      <c r="BM90" s="235">
        <f ca="1">_xll.DBRW(Server&amp;Cube1,$N$15,$N$16,$N$17,$N$18,$N$14,$N$13,BM$2,BM$1,$B90)</f>
        <v>156572.272727273</v>
      </c>
      <c r="BN90" s="235">
        <f ca="1">_xll.DBRW(Server&amp;Cube1,$N$15,$N$16,$N$17,$N$18,$N$14,$N$13,BN$2,BN$1,$B90)</f>
        <v>862074.65000000014</v>
      </c>
      <c r="BO90" s="400"/>
      <c r="BP90" s="235">
        <f ca="1">_xll.DBRW(Server&amp;Cube1,$N$15,$N$16,$N$17,$N$18,$N$14,$N$13,BP$2,BP$1,$B90)</f>
        <v>0</v>
      </c>
      <c r="BQ90" s="235">
        <f ca="1">_xll.DBRW(Server&amp;Cube1,$N$15,$N$16,$N$17,$N$18,$N$14,$N$13,BQ$2,BQ$1,$B90)</f>
        <v>152135.909090909</v>
      </c>
      <c r="BR90" s="235">
        <f ca="1">_xll.DBRW(Server&amp;Cube1,$N$15,$N$16,$N$17,$N$18,$N$14,$N$13,BR$2,BR$1,$B90)</f>
        <v>773858.20000000007</v>
      </c>
      <c r="BS90" s="400"/>
      <c r="BT90" s="235">
        <f ca="1">_xll.DBRW(Server&amp;Cube1,$N$15,$N$16,$N$17,$N$18,$N$14,$N$13,BT$2,BT$1,$B90)</f>
        <v>0</v>
      </c>
      <c r="BU90" s="235">
        <f ca="1">_xll.DBRW(Server&amp;Cube1,$N$15,$N$16,$N$17,$N$18,$N$14,$N$13,BU$2,BU$1,$B90)</f>
        <v>152135.909090909</v>
      </c>
      <c r="BV90" s="235">
        <f ca="1">_xll.DBRW(Server&amp;Cube1,$N$15,$N$16,$N$17,$N$18,$N$14,$N$13,BV$2,BV$1,$B90)</f>
        <v>545897.19999999995</v>
      </c>
      <c r="BW90" s="55"/>
      <c r="BX90" s="28"/>
    </row>
    <row r="91" spans="1:76" ht="19.5" hidden="1" customHeight="1" outlineLevel="1" x14ac:dyDescent="0.2">
      <c r="A91" s="57"/>
      <c r="B91" s="360" t="s">
        <v>67</v>
      </c>
      <c r="H91" s="360"/>
      <c r="I91" s="360"/>
      <c r="J91" s="54"/>
      <c r="K91" s="9"/>
      <c r="L91" s="555" t="str">
        <f ca="1">_xll.DBRA(Server&amp;$B$32,$B91,$N$19)</f>
        <v>Reinvoicing - Fuel</v>
      </c>
      <c r="M91" s="555"/>
      <c r="N91" s="555"/>
      <c r="O91" s="555"/>
      <c r="P91" s="234"/>
      <c r="Q91" s="235">
        <f ca="1">_xll.DBRW(Server&amp;Cube1,$N$15,$N$16,$N$17,$N$18,$N$14,$N$13,$N$11,$Q$1,$B91)</f>
        <v>3184409.64</v>
      </c>
      <c r="R91" s="235">
        <f ca="1">_xll.DBRW(Server&amp;Cube1,$N$15,$N$16,$N$17,$N$18,$N$14,$N$13,$R$2,$R$1,$B91)</f>
        <v>2046162.6534460539</v>
      </c>
      <c r="S91" s="236">
        <f t="shared" ca="1" si="32"/>
        <v>1138246.9865539463</v>
      </c>
      <c r="T91" s="238">
        <f t="shared" ca="1" si="33"/>
        <v>0.5562837268273676</v>
      </c>
      <c r="U91" s="223"/>
      <c r="V91" s="235">
        <f ca="1">_xll.DBRW(Server&amp;Cube1,$N$15,$N$16,$N$17,$N$18,$N$14,$N$13,$V$2,$V$1,$B91)</f>
        <v>3355148.8833329994</v>
      </c>
      <c r="W91" s="236">
        <f t="shared" ca="1" si="34"/>
        <v>-170739.24333299929</v>
      </c>
      <c r="X91" s="238">
        <f t="shared" ca="1" si="35"/>
        <v>-5.0888723353279992E-2</v>
      </c>
      <c r="Y91" s="55"/>
      <c r="Z91" s="55"/>
      <c r="AA91" s="55"/>
      <c r="AB91" s="235">
        <f ca="1">_xll.DBRW(Server&amp;Cube1,$N$15,$N$16,$N$17,$N$18,$N$14,$N$13,AB$2,AB$1,$B91)</f>
        <v>1130574.06</v>
      </c>
      <c r="AC91" s="235">
        <f ca="1">_xll.DBRW(Server&amp;Cube1,$N$15,$N$16,$N$17,$N$18,$N$14,$N$13,AC$2,AC$1,$B91)</f>
        <v>1065732.9931676735</v>
      </c>
      <c r="AD91" s="235">
        <f ca="1">_xll.DBRW(Server&amp;Cube1,$N$15,$N$16,$N$17,$N$18,$N$14,$N$13,AD$2,AD$1,$B91)</f>
        <v>1235709.456667</v>
      </c>
      <c r="AE91" s="400"/>
      <c r="AF91" s="235">
        <f ca="1">_xll.DBRW(Server&amp;Cube1,$N$15,$N$16,$N$17,$N$18,$N$14,$N$13,AF$2,AF$1,$B91)</f>
        <v>2053835.58</v>
      </c>
      <c r="AG91" s="235">
        <f ca="1">_xll.DBRW(Server&amp;Cube1,$N$15,$N$16,$N$17,$N$18,$N$14,$N$13,AG$2,AG$1,$B91)</f>
        <v>980429.66027838062</v>
      </c>
      <c r="AH91" s="235">
        <f ca="1">_xll.DBRW(Server&amp;Cube1,$N$15,$N$16,$N$17,$N$18,$N$14,$N$13,AH$2,AH$1,$B91)</f>
        <v>2119439.4266659999</v>
      </c>
      <c r="AI91" s="400"/>
      <c r="AJ91" s="235">
        <f ca="1">_xll.DBRW(Server&amp;Cube1,$N$15,$N$16,$N$17,$N$18,$N$14,$N$13,AJ$2,AJ$1,$B91)</f>
        <v>0</v>
      </c>
      <c r="AK91" s="235">
        <f ca="1">_xll.DBRW(Server&amp;Cube1,$N$15,$N$16,$N$17,$N$18,$N$14,$N$13,AK$2,AK$1,$B91)</f>
        <v>1125404.9547243326</v>
      </c>
      <c r="AL91" s="235">
        <f ca="1">_xll.DBRW(Server&amp;Cube1,$N$15,$N$16,$N$17,$N$18,$N$14,$N$13,AL$2,AL$1,$B91)</f>
        <v>1741158.4566670002</v>
      </c>
      <c r="AM91" s="400"/>
      <c r="AN91" s="235">
        <f ca="1">_xll.DBRW(Server&amp;Cube1,$N$15,$N$16,$N$17,$N$18,$N$14,$N$13,AN$2,AN$1,$B91)</f>
        <v>0</v>
      </c>
      <c r="AO91" s="235">
        <f ca="1">_xll.DBRW(Server&amp;Cube1,$N$15,$N$16,$N$17,$N$18,$N$14,$N$13,AO$2,AO$1,$B91)</f>
        <v>1012005.3542811425</v>
      </c>
      <c r="AP91" s="235">
        <f ca="1">_xll.DBRW(Server&amp;Cube1,$N$15,$N$16,$N$17,$N$18,$N$14,$N$13,AP$2,AP$1,$B91)</f>
        <v>1058767.71</v>
      </c>
      <c r="AQ91" s="400"/>
      <c r="AR91" s="235">
        <f ca="1">_xll.DBRW(Server&amp;Cube1,$N$15,$N$16,$N$17,$N$18,$N$14,$N$13,AR$2,AR$1,$B91)</f>
        <v>0</v>
      </c>
      <c r="AS91" s="235">
        <f ca="1">_xll.DBRW(Server&amp;Cube1,$N$15,$N$16,$N$17,$N$18,$N$14,$N$13,AS$2,AS$1,$B91)</f>
        <v>1081036.3595432658</v>
      </c>
      <c r="AT91" s="235">
        <f ca="1">_xll.DBRW(Server&amp;Cube1,$N$15,$N$16,$N$17,$N$18,$N$14,$N$13,AT$2,AT$1,$B91)</f>
        <v>2413518.4500000002</v>
      </c>
      <c r="AU91" s="400"/>
      <c r="AV91" s="235">
        <f ca="1">_xll.DBRW(Server&amp;Cube1,$N$15,$N$16,$N$17,$N$18,$N$14,$N$13,AV$2,AV$1,$B91)</f>
        <v>0</v>
      </c>
      <c r="AW91" s="235">
        <f ca="1">_xll.DBRW(Server&amp;Cube1,$N$15,$N$16,$N$17,$N$18,$N$14,$N$13,AW$2,AW$1,$B91)</f>
        <v>1078804.1512913522</v>
      </c>
      <c r="AX91" s="235">
        <f ca="1">_xll.DBRW(Server&amp;Cube1,$N$15,$N$16,$N$17,$N$18,$N$14,$N$13,AX$2,AX$1,$B91)</f>
        <v>1733458.7500000002</v>
      </c>
      <c r="AY91" s="400"/>
      <c r="AZ91" s="235">
        <f ca="1">_xll.DBRW(Server&amp;Cube1,$N$15,$N$16,$N$17,$N$18,$N$14,$N$13,AZ$2,AZ$1,$B91)</f>
        <v>0</v>
      </c>
      <c r="BA91" s="235">
        <f ca="1">_xll.DBRW(Server&amp;Cube1,$N$15,$N$16,$N$17,$N$18,$N$14,$N$13,BA$2,BA$1,$B91)</f>
        <v>1077517.561762847</v>
      </c>
      <c r="BB91" s="235">
        <f ca="1">_xll.DBRW(Server&amp;Cube1,$N$15,$N$16,$N$17,$N$18,$N$14,$N$13,BB$2,BB$1,$B91)</f>
        <v>273206.2666700001</v>
      </c>
      <c r="BC91" s="400"/>
      <c r="BD91" s="235">
        <f ca="1">_xll.DBRW(Server&amp;Cube1,$N$15,$N$16,$N$17,$N$18,$N$14,$N$13,BD$2,BD$1,$B91)</f>
        <v>0</v>
      </c>
      <c r="BE91" s="235">
        <f ca="1">_xll.DBRW(Server&amp;Cube1,$N$15,$N$16,$N$17,$N$18,$N$14,$N$13,BE$2,BE$1,$B91)</f>
        <v>904672.46452734107</v>
      </c>
      <c r="BF91" s="235">
        <f ca="1">_xll.DBRW(Server&amp;Cube1,$N$15,$N$16,$N$17,$N$18,$N$14,$N$13,BF$2,BF$1,$B91)</f>
        <v>4967510.959999999</v>
      </c>
      <c r="BG91" s="400"/>
      <c r="BH91" s="235">
        <f ca="1">_xll.DBRW(Server&amp;Cube1,$N$15,$N$16,$N$17,$N$18,$N$14,$N$13,BH$2,BH$1,$B91)</f>
        <v>0</v>
      </c>
      <c r="BI91" s="235">
        <f ca="1">_xll.DBRW(Server&amp;Cube1,$N$15,$N$16,$N$17,$N$18,$N$14,$N$13,BI$2,BI$1,$B91)</f>
        <v>1088690.6905411887</v>
      </c>
      <c r="BJ91" s="235">
        <f ca="1">_xll.DBRW(Server&amp;Cube1,$N$15,$N$16,$N$17,$N$18,$N$14,$N$13,BJ$2,BJ$1,$B91)</f>
        <v>1551567.7799999993</v>
      </c>
      <c r="BK91" s="400"/>
      <c r="BL91" s="235">
        <f ca="1">_xll.DBRW(Server&amp;Cube1,$N$15,$N$16,$N$17,$N$18,$N$14,$N$13,BL$2,BL$1,$B91)</f>
        <v>0</v>
      </c>
      <c r="BM91" s="235">
        <f ca="1">_xll.DBRW(Server&amp;Cube1,$N$15,$N$16,$N$17,$N$18,$N$14,$N$13,BM$2,BM$1,$B91)</f>
        <v>1069275.8596245993</v>
      </c>
      <c r="BN91" s="235">
        <f ca="1">_xll.DBRW(Server&amp;Cube1,$N$15,$N$16,$N$17,$N$18,$N$14,$N$13,BN$2,BN$1,$B91)</f>
        <v>1250597.8300000005</v>
      </c>
      <c r="BO91" s="400"/>
      <c r="BP91" s="235">
        <f ca="1">_xll.DBRW(Server&amp;Cube1,$N$15,$N$16,$N$17,$N$18,$N$14,$N$13,BP$2,BP$1,$B91)</f>
        <v>0</v>
      </c>
      <c r="BQ91" s="235">
        <f ca="1">_xll.DBRW(Server&amp;Cube1,$N$15,$N$16,$N$17,$N$18,$N$14,$N$13,BQ$2,BQ$1,$B91)</f>
        <v>1016599.173799606</v>
      </c>
      <c r="BR91" s="235">
        <f ca="1">_xll.DBRW(Server&amp;Cube1,$N$15,$N$16,$N$17,$N$18,$N$14,$N$13,BR$2,BR$1,$B91)</f>
        <v>1809757.1199999994</v>
      </c>
      <c r="BS91" s="400"/>
      <c r="BT91" s="235">
        <f ca="1">_xll.DBRW(Server&amp;Cube1,$N$15,$N$16,$N$17,$N$18,$N$14,$N$13,BT$2,BT$1,$B91)</f>
        <v>0</v>
      </c>
      <c r="BU91" s="235">
        <f ca="1">_xll.DBRW(Server&amp;Cube1,$N$15,$N$16,$N$17,$N$18,$N$14,$N$13,BU$2,BU$1,$B91)</f>
        <v>985884.95500829094</v>
      </c>
      <c r="BV91" s="235">
        <f ca="1">_xll.DBRW(Server&amp;Cube1,$N$15,$N$16,$N$17,$N$18,$N$14,$N$13,BV$2,BV$1,$B91)</f>
        <v>1875766.9900000002</v>
      </c>
      <c r="BW91" s="55"/>
      <c r="BX91" s="28"/>
    </row>
    <row r="92" spans="1:76" ht="19.5" hidden="1" customHeight="1" outlineLevel="1" x14ac:dyDescent="0.2">
      <c r="A92" s="57"/>
      <c r="B92" s="360" t="s">
        <v>68</v>
      </c>
      <c r="H92" s="360"/>
      <c r="I92" s="360"/>
      <c r="J92" s="54"/>
      <c r="K92" s="9"/>
      <c r="L92" s="555" t="str">
        <f ca="1">_xll.DBRA(Server&amp;$B$32,$B92,$N$19)</f>
        <v>Reinvoicing - Bio fuel</v>
      </c>
      <c r="M92" s="555"/>
      <c r="N92" s="555"/>
      <c r="O92" s="555"/>
      <c r="P92" s="234"/>
      <c r="Q92" s="235">
        <f ca="1">_xll.DBRW(Server&amp;Cube1,$N$15,$N$16,$N$17,$N$18,$N$14,$N$13,$N$11,$Q$1,$B92)</f>
        <v>32798.960000000006</v>
      </c>
      <c r="R92" s="235">
        <f ca="1">_xll.DBRW(Server&amp;Cube1,$N$15,$N$16,$N$17,$N$18,$N$14,$N$13,$R$2,$R$1,$B92)</f>
        <v>0</v>
      </c>
      <c r="S92" s="236">
        <f t="shared" ca="1" si="32"/>
        <v>32798.960000000006</v>
      </c>
      <c r="T92" s="238">
        <f t="shared" ca="1" si="33"/>
        <v>0</v>
      </c>
      <c r="U92" s="223"/>
      <c r="V92" s="235">
        <f ca="1">_xll.DBRW(Server&amp;Cube1,$N$15,$N$16,$N$17,$N$18,$N$14,$N$13,$V$2,$V$1,$B92)</f>
        <v>31953.05</v>
      </c>
      <c r="W92" s="236">
        <f t="shared" ca="1" si="34"/>
        <v>845.91000000000713</v>
      </c>
      <c r="X92" s="238">
        <f t="shared" ca="1" si="35"/>
        <v>2.6473529131022144E-2</v>
      </c>
      <c r="Y92" s="55"/>
      <c r="Z92" s="55"/>
      <c r="AA92" s="55"/>
      <c r="AB92" s="235">
        <f ca="1">_xll.DBRW(Server&amp;Cube1,$N$15,$N$16,$N$17,$N$18,$N$14,$N$13,AB$2,AB$1,$B92)</f>
        <v>663.49</v>
      </c>
      <c r="AC92" s="235">
        <f ca="1">_xll.DBRW(Server&amp;Cube1,$N$15,$N$16,$N$17,$N$18,$N$14,$N$13,AC$2,AC$1,$B92)</f>
        <v>0</v>
      </c>
      <c r="AD92" s="235">
        <f ca="1">_xll.DBRW(Server&amp;Cube1,$N$15,$N$16,$N$17,$N$18,$N$14,$N$13,AD$2,AD$1,$B92)</f>
        <v>938.88</v>
      </c>
      <c r="AE92" s="400"/>
      <c r="AF92" s="235">
        <f ca="1">_xll.DBRW(Server&amp;Cube1,$N$15,$N$16,$N$17,$N$18,$N$14,$N$13,AF$2,AF$1,$B92)</f>
        <v>32135.47</v>
      </c>
      <c r="AG92" s="235">
        <f ca="1">_xll.DBRW(Server&amp;Cube1,$N$15,$N$16,$N$17,$N$18,$N$14,$N$13,AG$2,AG$1,$B92)</f>
        <v>0</v>
      </c>
      <c r="AH92" s="235">
        <f ca="1">_xll.DBRW(Server&amp;Cube1,$N$15,$N$16,$N$17,$N$18,$N$14,$N$13,AH$2,AH$1,$B92)</f>
        <v>31014.17</v>
      </c>
      <c r="AI92" s="400"/>
      <c r="AJ92" s="235">
        <f ca="1">_xll.DBRW(Server&amp;Cube1,$N$15,$N$16,$N$17,$N$18,$N$14,$N$13,AJ$2,AJ$1,$B92)</f>
        <v>0</v>
      </c>
      <c r="AK92" s="235">
        <f ca="1">_xll.DBRW(Server&amp;Cube1,$N$15,$N$16,$N$17,$N$18,$N$14,$N$13,AK$2,AK$1,$B92)</f>
        <v>0</v>
      </c>
      <c r="AL92" s="235">
        <f ca="1">_xll.DBRW(Server&amp;Cube1,$N$15,$N$16,$N$17,$N$18,$N$14,$N$13,AL$2,AL$1,$B92)</f>
        <v>18080.89</v>
      </c>
      <c r="AM92" s="400"/>
      <c r="AN92" s="235">
        <f ca="1">_xll.DBRW(Server&amp;Cube1,$N$15,$N$16,$N$17,$N$18,$N$14,$N$13,AN$2,AN$1,$B92)</f>
        <v>0</v>
      </c>
      <c r="AO92" s="235">
        <f ca="1">_xll.DBRW(Server&amp;Cube1,$N$15,$N$16,$N$17,$N$18,$N$14,$N$13,AO$2,AO$1,$B92)</f>
        <v>0</v>
      </c>
      <c r="AP92" s="235">
        <f ca="1">_xll.DBRW(Server&amp;Cube1,$N$15,$N$16,$N$17,$N$18,$N$14,$N$13,AP$2,AP$1,$B92)</f>
        <v>-18744.629999999997</v>
      </c>
      <c r="AQ92" s="400"/>
      <c r="AR92" s="235">
        <f ca="1">_xll.DBRW(Server&amp;Cube1,$N$15,$N$16,$N$17,$N$18,$N$14,$N$13,AR$2,AR$1,$B92)</f>
        <v>0</v>
      </c>
      <c r="AS92" s="235">
        <f ca="1">_xll.DBRW(Server&amp;Cube1,$N$15,$N$16,$N$17,$N$18,$N$14,$N$13,AS$2,AS$1,$B92)</f>
        <v>0</v>
      </c>
      <c r="AT92" s="235">
        <f ca="1">_xll.DBRW(Server&amp;Cube1,$N$15,$N$16,$N$17,$N$18,$N$14,$N$13,AT$2,AT$1,$B92)</f>
        <v>50732.85</v>
      </c>
      <c r="AU92" s="400"/>
      <c r="AV92" s="235">
        <f ca="1">_xll.DBRW(Server&amp;Cube1,$N$15,$N$16,$N$17,$N$18,$N$14,$N$13,AV$2,AV$1,$B92)</f>
        <v>0</v>
      </c>
      <c r="AW92" s="235">
        <f ca="1">_xll.DBRW(Server&amp;Cube1,$N$15,$N$16,$N$17,$N$18,$N$14,$N$13,AW$2,AW$1,$B92)</f>
        <v>0</v>
      </c>
      <c r="AX92" s="235">
        <f ca="1">_xll.DBRW(Server&amp;Cube1,$N$15,$N$16,$N$17,$N$18,$N$14,$N$13,AX$2,AX$1,$B92)</f>
        <v>15815.30000000001</v>
      </c>
      <c r="AY92" s="400"/>
      <c r="AZ92" s="235">
        <f ca="1">_xll.DBRW(Server&amp;Cube1,$N$15,$N$16,$N$17,$N$18,$N$14,$N$13,AZ$2,AZ$1,$B92)</f>
        <v>0</v>
      </c>
      <c r="BA92" s="235">
        <f ca="1">_xll.DBRW(Server&amp;Cube1,$N$15,$N$16,$N$17,$N$18,$N$14,$N$13,BA$2,BA$1,$B92)</f>
        <v>0</v>
      </c>
      <c r="BB92" s="235">
        <f ca="1">_xll.DBRW(Server&amp;Cube1,$N$15,$N$16,$N$17,$N$18,$N$14,$N$13,BB$2,BB$1,$B92)</f>
        <v>-30913.820000000011</v>
      </c>
      <c r="BC92" s="400"/>
      <c r="BD92" s="235">
        <f ca="1">_xll.DBRW(Server&amp;Cube1,$N$15,$N$16,$N$17,$N$18,$N$14,$N$13,BD$2,BD$1,$B92)</f>
        <v>0</v>
      </c>
      <c r="BE92" s="235">
        <f ca="1">_xll.DBRW(Server&amp;Cube1,$N$15,$N$16,$N$17,$N$18,$N$14,$N$13,BE$2,BE$1,$B92)</f>
        <v>0</v>
      </c>
      <c r="BF92" s="235">
        <f ca="1">_xll.DBRW(Server&amp;Cube1,$N$15,$N$16,$N$17,$N$18,$N$14,$N$13,BF$2,BF$1,$B92)</f>
        <v>63524.380000000012</v>
      </c>
      <c r="BG92" s="400"/>
      <c r="BH92" s="235">
        <f ca="1">_xll.DBRW(Server&amp;Cube1,$N$15,$N$16,$N$17,$N$18,$N$14,$N$13,BH$2,BH$1,$B92)</f>
        <v>0</v>
      </c>
      <c r="BI92" s="235">
        <f ca="1">_xll.DBRW(Server&amp;Cube1,$N$15,$N$16,$N$17,$N$18,$N$14,$N$13,BI$2,BI$1,$B92)</f>
        <v>0</v>
      </c>
      <c r="BJ92" s="235">
        <f ca="1">_xll.DBRW(Server&amp;Cube1,$N$15,$N$16,$N$17,$N$18,$N$14,$N$13,BJ$2,BJ$1,$B92)</f>
        <v>16754.849999999999</v>
      </c>
      <c r="BK92" s="400"/>
      <c r="BL92" s="235">
        <f ca="1">_xll.DBRW(Server&amp;Cube1,$N$15,$N$16,$N$17,$N$18,$N$14,$N$13,BL$2,BL$1,$B92)</f>
        <v>0</v>
      </c>
      <c r="BM92" s="235">
        <f ca="1">_xll.DBRW(Server&amp;Cube1,$N$15,$N$16,$N$17,$N$18,$N$14,$N$13,BM$2,BM$1,$B92)</f>
        <v>0</v>
      </c>
      <c r="BN92" s="235">
        <f ca="1">_xll.DBRW(Server&amp;Cube1,$N$15,$N$16,$N$17,$N$18,$N$14,$N$13,BN$2,BN$1,$B92)</f>
        <v>490.80999999999989</v>
      </c>
      <c r="BO92" s="400"/>
      <c r="BP92" s="235">
        <f ca="1">_xll.DBRW(Server&amp;Cube1,$N$15,$N$16,$N$17,$N$18,$N$14,$N$13,BP$2,BP$1,$B92)</f>
        <v>0</v>
      </c>
      <c r="BQ92" s="235">
        <f ca="1">_xll.DBRW(Server&amp;Cube1,$N$15,$N$16,$N$17,$N$18,$N$14,$N$13,BQ$2,BQ$1,$B92)</f>
        <v>0</v>
      </c>
      <c r="BR92" s="235">
        <f ca="1">_xll.DBRW(Server&amp;Cube1,$N$15,$N$16,$N$17,$N$18,$N$14,$N$13,BR$2,BR$1,$B92)</f>
        <v>31929.51</v>
      </c>
      <c r="BS92" s="400"/>
      <c r="BT92" s="235">
        <f ca="1">_xll.DBRW(Server&amp;Cube1,$N$15,$N$16,$N$17,$N$18,$N$14,$N$13,BT$2,BT$1,$B92)</f>
        <v>0</v>
      </c>
      <c r="BU92" s="235">
        <f ca="1">_xll.DBRW(Server&amp;Cube1,$N$15,$N$16,$N$17,$N$18,$N$14,$N$13,BU$2,BU$1,$B92)</f>
        <v>0</v>
      </c>
      <c r="BV92" s="235">
        <f ca="1">_xll.DBRW(Server&amp;Cube1,$N$15,$N$16,$N$17,$N$18,$N$14,$N$13,BV$2,BV$1,$B92)</f>
        <v>17478.030000000002</v>
      </c>
      <c r="BW92" s="55"/>
      <c r="BX92" s="28"/>
    </row>
    <row r="93" spans="1:76" ht="19.5" hidden="1" customHeight="1" outlineLevel="1" x14ac:dyDescent="0.2">
      <c r="A93" s="57"/>
      <c r="B93" s="360" t="s">
        <v>69</v>
      </c>
      <c r="H93" s="360"/>
      <c r="I93" s="360"/>
      <c r="J93" s="54"/>
      <c r="K93" s="9"/>
      <c r="L93" s="555" t="str">
        <f ca="1">_xll.DBRA(Server&amp;$B$32,$B93,$N$19)</f>
        <v>Reinvoicing - Gas</v>
      </c>
      <c r="M93" s="555"/>
      <c r="N93" s="555"/>
      <c r="O93" s="555"/>
      <c r="P93" s="234"/>
      <c r="Q93" s="235">
        <f ca="1">_xll.DBRW(Server&amp;Cube1,$N$15,$N$16,$N$17,$N$18,$N$14,$N$13,$N$11,$Q$1,$B93)</f>
        <v>0</v>
      </c>
      <c r="R93" s="235">
        <f ca="1">_xll.DBRW(Server&amp;Cube1,$N$15,$N$16,$N$17,$N$18,$N$14,$N$13,$R$2,$R$1,$B93)</f>
        <v>0</v>
      </c>
      <c r="S93" s="236">
        <f t="shared" ca="1" si="32"/>
        <v>0</v>
      </c>
      <c r="T93" s="238">
        <f t="shared" ca="1" si="33"/>
        <v>0</v>
      </c>
      <c r="U93" s="223"/>
      <c r="V93" s="235">
        <f ca="1">_xll.DBRW(Server&amp;Cube1,$N$15,$N$16,$N$17,$N$18,$N$14,$N$13,$V$2,$V$1,$B93)</f>
        <v>0</v>
      </c>
      <c r="W93" s="236">
        <f t="shared" ca="1" si="34"/>
        <v>0</v>
      </c>
      <c r="X93" s="238">
        <f t="shared" ca="1" si="35"/>
        <v>0</v>
      </c>
      <c r="Y93" s="55"/>
      <c r="Z93" s="55"/>
      <c r="AA93" s="55"/>
      <c r="AB93" s="235">
        <f ca="1">_xll.DBRW(Server&amp;Cube1,$N$15,$N$16,$N$17,$N$18,$N$14,$N$13,AB$2,AB$1,$B93)</f>
        <v>0</v>
      </c>
      <c r="AC93" s="235">
        <f ca="1">_xll.DBRW(Server&amp;Cube1,$N$15,$N$16,$N$17,$N$18,$N$14,$N$13,AC$2,AC$1,$B93)</f>
        <v>0</v>
      </c>
      <c r="AD93" s="235">
        <f ca="1">_xll.DBRW(Server&amp;Cube1,$N$15,$N$16,$N$17,$N$18,$N$14,$N$13,AD$2,AD$1,$B93)</f>
        <v>0</v>
      </c>
      <c r="AE93" s="400"/>
      <c r="AF93" s="235">
        <f ca="1">_xll.DBRW(Server&amp;Cube1,$N$15,$N$16,$N$17,$N$18,$N$14,$N$13,AF$2,AF$1,$B93)</f>
        <v>0</v>
      </c>
      <c r="AG93" s="235">
        <f ca="1">_xll.DBRW(Server&amp;Cube1,$N$15,$N$16,$N$17,$N$18,$N$14,$N$13,AG$2,AG$1,$B93)</f>
        <v>0</v>
      </c>
      <c r="AH93" s="235">
        <f ca="1">_xll.DBRW(Server&amp;Cube1,$N$15,$N$16,$N$17,$N$18,$N$14,$N$13,AH$2,AH$1,$B93)</f>
        <v>0</v>
      </c>
      <c r="AI93" s="400"/>
      <c r="AJ93" s="235">
        <f ca="1">_xll.DBRW(Server&amp;Cube1,$N$15,$N$16,$N$17,$N$18,$N$14,$N$13,AJ$2,AJ$1,$B93)</f>
        <v>0</v>
      </c>
      <c r="AK93" s="235">
        <f ca="1">_xll.DBRW(Server&amp;Cube1,$N$15,$N$16,$N$17,$N$18,$N$14,$N$13,AK$2,AK$1,$B93)</f>
        <v>0</v>
      </c>
      <c r="AL93" s="235">
        <f ca="1">_xll.DBRW(Server&amp;Cube1,$N$15,$N$16,$N$17,$N$18,$N$14,$N$13,AL$2,AL$1,$B93)</f>
        <v>0</v>
      </c>
      <c r="AM93" s="400"/>
      <c r="AN93" s="235">
        <f ca="1">_xll.DBRW(Server&amp;Cube1,$N$15,$N$16,$N$17,$N$18,$N$14,$N$13,AN$2,AN$1,$B93)</f>
        <v>0</v>
      </c>
      <c r="AO93" s="235">
        <f ca="1">_xll.DBRW(Server&amp;Cube1,$N$15,$N$16,$N$17,$N$18,$N$14,$N$13,AO$2,AO$1,$B93)</f>
        <v>0</v>
      </c>
      <c r="AP93" s="235">
        <f ca="1">_xll.DBRW(Server&amp;Cube1,$N$15,$N$16,$N$17,$N$18,$N$14,$N$13,AP$2,AP$1,$B93)</f>
        <v>0</v>
      </c>
      <c r="AQ93" s="400"/>
      <c r="AR93" s="235">
        <f ca="1">_xll.DBRW(Server&amp;Cube1,$N$15,$N$16,$N$17,$N$18,$N$14,$N$13,AR$2,AR$1,$B93)</f>
        <v>0</v>
      </c>
      <c r="AS93" s="235">
        <f ca="1">_xll.DBRW(Server&amp;Cube1,$N$15,$N$16,$N$17,$N$18,$N$14,$N$13,AS$2,AS$1,$B93)</f>
        <v>0</v>
      </c>
      <c r="AT93" s="235">
        <f ca="1">_xll.DBRW(Server&amp;Cube1,$N$15,$N$16,$N$17,$N$18,$N$14,$N$13,AT$2,AT$1,$B93)</f>
        <v>0</v>
      </c>
      <c r="AU93" s="400"/>
      <c r="AV93" s="235">
        <f ca="1">_xll.DBRW(Server&amp;Cube1,$N$15,$N$16,$N$17,$N$18,$N$14,$N$13,AV$2,AV$1,$B93)</f>
        <v>0</v>
      </c>
      <c r="AW93" s="235">
        <f ca="1">_xll.DBRW(Server&amp;Cube1,$N$15,$N$16,$N$17,$N$18,$N$14,$N$13,AW$2,AW$1,$B93)</f>
        <v>0</v>
      </c>
      <c r="AX93" s="235">
        <f ca="1">_xll.DBRW(Server&amp;Cube1,$N$15,$N$16,$N$17,$N$18,$N$14,$N$13,AX$2,AX$1,$B93)</f>
        <v>0</v>
      </c>
      <c r="AY93" s="400"/>
      <c r="AZ93" s="235">
        <f ca="1">_xll.DBRW(Server&amp;Cube1,$N$15,$N$16,$N$17,$N$18,$N$14,$N$13,AZ$2,AZ$1,$B93)</f>
        <v>0</v>
      </c>
      <c r="BA93" s="235">
        <f ca="1">_xll.DBRW(Server&amp;Cube1,$N$15,$N$16,$N$17,$N$18,$N$14,$N$13,BA$2,BA$1,$B93)</f>
        <v>0</v>
      </c>
      <c r="BB93" s="235">
        <f ca="1">_xll.DBRW(Server&amp;Cube1,$N$15,$N$16,$N$17,$N$18,$N$14,$N$13,BB$2,BB$1,$B93)</f>
        <v>0</v>
      </c>
      <c r="BC93" s="400"/>
      <c r="BD93" s="235">
        <f ca="1">_xll.DBRW(Server&amp;Cube1,$N$15,$N$16,$N$17,$N$18,$N$14,$N$13,BD$2,BD$1,$B93)</f>
        <v>0</v>
      </c>
      <c r="BE93" s="235">
        <f ca="1">_xll.DBRW(Server&amp;Cube1,$N$15,$N$16,$N$17,$N$18,$N$14,$N$13,BE$2,BE$1,$B93)</f>
        <v>0</v>
      </c>
      <c r="BF93" s="235">
        <f ca="1">_xll.DBRW(Server&amp;Cube1,$N$15,$N$16,$N$17,$N$18,$N$14,$N$13,BF$2,BF$1,$B93)</f>
        <v>0</v>
      </c>
      <c r="BG93" s="400"/>
      <c r="BH93" s="235">
        <f ca="1">_xll.DBRW(Server&amp;Cube1,$N$15,$N$16,$N$17,$N$18,$N$14,$N$13,BH$2,BH$1,$B93)</f>
        <v>0</v>
      </c>
      <c r="BI93" s="235">
        <f ca="1">_xll.DBRW(Server&amp;Cube1,$N$15,$N$16,$N$17,$N$18,$N$14,$N$13,BI$2,BI$1,$B93)</f>
        <v>0</v>
      </c>
      <c r="BJ93" s="235">
        <f ca="1">_xll.DBRW(Server&amp;Cube1,$N$15,$N$16,$N$17,$N$18,$N$14,$N$13,BJ$2,BJ$1,$B93)</f>
        <v>0</v>
      </c>
      <c r="BK93" s="400"/>
      <c r="BL93" s="235">
        <f ca="1">_xll.DBRW(Server&amp;Cube1,$N$15,$N$16,$N$17,$N$18,$N$14,$N$13,BL$2,BL$1,$B93)</f>
        <v>0</v>
      </c>
      <c r="BM93" s="235">
        <f ca="1">_xll.DBRW(Server&amp;Cube1,$N$15,$N$16,$N$17,$N$18,$N$14,$N$13,BM$2,BM$1,$B93)</f>
        <v>0</v>
      </c>
      <c r="BN93" s="235">
        <f ca="1">_xll.DBRW(Server&amp;Cube1,$N$15,$N$16,$N$17,$N$18,$N$14,$N$13,BN$2,BN$1,$B93)</f>
        <v>0</v>
      </c>
      <c r="BO93" s="400"/>
      <c r="BP93" s="235">
        <f ca="1">_xll.DBRW(Server&amp;Cube1,$N$15,$N$16,$N$17,$N$18,$N$14,$N$13,BP$2,BP$1,$B93)</f>
        <v>0</v>
      </c>
      <c r="BQ93" s="235">
        <f ca="1">_xll.DBRW(Server&amp;Cube1,$N$15,$N$16,$N$17,$N$18,$N$14,$N$13,BQ$2,BQ$1,$B93)</f>
        <v>0</v>
      </c>
      <c r="BR93" s="235">
        <f ca="1">_xll.DBRW(Server&amp;Cube1,$N$15,$N$16,$N$17,$N$18,$N$14,$N$13,BR$2,BR$1,$B93)</f>
        <v>0</v>
      </c>
      <c r="BS93" s="400"/>
      <c r="BT93" s="235">
        <f ca="1">_xll.DBRW(Server&amp;Cube1,$N$15,$N$16,$N$17,$N$18,$N$14,$N$13,BT$2,BT$1,$B93)</f>
        <v>0</v>
      </c>
      <c r="BU93" s="235">
        <f ca="1">_xll.DBRW(Server&amp;Cube1,$N$15,$N$16,$N$17,$N$18,$N$14,$N$13,BU$2,BU$1,$B93)</f>
        <v>0</v>
      </c>
      <c r="BV93" s="235">
        <f ca="1">_xll.DBRW(Server&amp;Cube1,$N$15,$N$16,$N$17,$N$18,$N$14,$N$13,BV$2,BV$1,$B93)</f>
        <v>0</v>
      </c>
      <c r="BW93" s="55"/>
      <c r="BX93" s="28"/>
    </row>
    <row r="94" spans="1:76" ht="19.5" hidden="1" customHeight="1" outlineLevel="1" x14ac:dyDescent="0.2">
      <c r="A94" s="57"/>
      <c r="B94" s="360" t="s">
        <v>70</v>
      </c>
      <c r="H94" s="360"/>
      <c r="I94" s="360"/>
      <c r="J94" s="54"/>
      <c r="K94" s="9"/>
      <c r="L94" s="555" t="str">
        <f ca="1">_xll.DBRA(Server&amp;$B$32,$B94,$N$19)</f>
        <v>Reinvoicing - Electricity</v>
      </c>
      <c r="M94" s="555"/>
      <c r="N94" s="555"/>
      <c r="O94" s="555"/>
      <c r="P94" s="234"/>
      <c r="Q94" s="235">
        <f ca="1">_xll.DBRW(Server&amp;Cube1,$N$15,$N$16,$N$17,$N$18,$N$14,$N$13,$N$11,$Q$1,$B94)</f>
        <v>0</v>
      </c>
      <c r="R94" s="235">
        <f ca="1">_xll.DBRW(Server&amp;Cube1,$N$15,$N$16,$N$17,$N$18,$N$14,$N$13,$R$2,$R$1,$B94)</f>
        <v>0</v>
      </c>
      <c r="S94" s="236">
        <f t="shared" ca="1" si="32"/>
        <v>0</v>
      </c>
      <c r="T94" s="238">
        <f t="shared" ca="1" si="33"/>
        <v>0</v>
      </c>
      <c r="U94" s="223"/>
      <c r="V94" s="235">
        <f ca="1">_xll.DBRW(Server&amp;Cube1,$N$15,$N$16,$N$17,$N$18,$N$14,$N$13,$V$2,$V$1,$B94)</f>
        <v>0</v>
      </c>
      <c r="W94" s="236">
        <f t="shared" ca="1" si="34"/>
        <v>0</v>
      </c>
      <c r="X94" s="238">
        <f t="shared" ca="1" si="35"/>
        <v>0</v>
      </c>
      <c r="Y94" s="55"/>
      <c r="Z94" s="55"/>
      <c r="AA94" s="55"/>
      <c r="AB94" s="235">
        <f ca="1">_xll.DBRW(Server&amp;Cube1,$N$15,$N$16,$N$17,$N$18,$N$14,$N$13,AB$2,AB$1,$B94)</f>
        <v>0</v>
      </c>
      <c r="AC94" s="235">
        <f ca="1">_xll.DBRW(Server&amp;Cube1,$N$15,$N$16,$N$17,$N$18,$N$14,$N$13,AC$2,AC$1,$B94)</f>
        <v>0</v>
      </c>
      <c r="AD94" s="235">
        <f ca="1">_xll.DBRW(Server&amp;Cube1,$N$15,$N$16,$N$17,$N$18,$N$14,$N$13,AD$2,AD$1,$B94)</f>
        <v>0</v>
      </c>
      <c r="AE94" s="400"/>
      <c r="AF94" s="235">
        <f ca="1">_xll.DBRW(Server&amp;Cube1,$N$15,$N$16,$N$17,$N$18,$N$14,$N$13,AF$2,AF$1,$B94)</f>
        <v>0</v>
      </c>
      <c r="AG94" s="235">
        <f ca="1">_xll.DBRW(Server&amp;Cube1,$N$15,$N$16,$N$17,$N$18,$N$14,$N$13,AG$2,AG$1,$B94)</f>
        <v>0</v>
      </c>
      <c r="AH94" s="235">
        <f ca="1">_xll.DBRW(Server&amp;Cube1,$N$15,$N$16,$N$17,$N$18,$N$14,$N$13,AH$2,AH$1,$B94)</f>
        <v>0</v>
      </c>
      <c r="AI94" s="400"/>
      <c r="AJ94" s="235">
        <f ca="1">_xll.DBRW(Server&amp;Cube1,$N$15,$N$16,$N$17,$N$18,$N$14,$N$13,AJ$2,AJ$1,$B94)</f>
        <v>0</v>
      </c>
      <c r="AK94" s="235">
        <f ca="1">_xll.DBRW(Server&amp;Cube1,$N$15,$N$16,$N$17,$N$18,$N$14,$N$13,AK$2,AK$1,$B94)</f>
        <v>0</v>
      </c>
      <c r="AL94" s="235">
        <f ca="1">_xll.DBRW(Server&amp;Cube1,$N$15,$N$16,$N$17,$N$18,$N$14,$N$13,AL$2,AL$1,$B94)</f>
        <v>0</v>
      </c>
      <c r="AM94" s="400"/>
      <c r="AN94" s="235">
        <f ca="1">_xll.DBRW(Server&amp;Cube1,$N$15,$N$16,$N$17,$N$18,$N$14,$N$13,AN$2,AN$1,$B94)</f>
        <v>0</v>
      </c>
      <c r="AO94" s="235">
        <f ca="1">_xll.DBRW(Server&amp;Cube1,$N$15,$N$16,$N$17,$N$18,$N$14,$N$13,AO$2,AO$1,$B94)</f>
        <v>0</v>
      </c>
      <c r="AP94" s="235">
        <f ca="1">_xll.DBRW(Server&amp;Cube1,$N$15,$N$16,$N$17,$N$18,$N$14,$N$13,AP$2,AP$1,$B94)</f>
        <v>0</v>
      </c>
      <c r="AQ94" s="400"/>
      <c r="AR94" s="235">
        <f ca="1">_xll.DBRW(Server&amp;Cube1,$N$15,$N$16,$N$17,$N$18,$N$14,$N$13,AR$2,AR$1,$B94)</f>
        <v>0</v>
      </c>
      <c r="AS94" s="235">
        <f ca="1">_xll.DBRW(Server&amp;Cube1,$N$15,$N$16,$N$17,$N$18,$N$14,$N$13,AS$2,AS$1,$B94)</f>
        <v>0</v>
      </c>
      <c r="AT94" s="235">
        <f ca="1">_xll.DBRW(Server&amp;Cube1,$N$15,$N$16,$N$17,$N$18,$N$14,$N$13,AT$2,AT$1,$B94)</f>
        <v>0</v>
      </c>
      <c r="AU94" s="400"/>
      <c r="AV94" s="235">
        <f ca="1">_xll.DBRW(Server&amp;Cube1,$N$15,$N$16,$N$17,$N$18,$N$14,$N$13,AV$2,AV$1,$B94)</f>
        <v>0</v>
      </c>
      <c r="AW94" s="235">
        <f ca="1">_xll.DBRW(Server&amp;Cube1,$N$15,$N$16,$N$17,$N$18,$N$14,$N$13,AW$2,AW$1,$B94)</f>
        <v>0</v>
      </c>
      <c r="AX94" s="235">
        <f ca="1">_xll.DBRW(Server&amp;Cube1,$N$15,$N$16,$N$17,$N$18,$N$14,$N$13,AX$2,AX$1,$B94)</f>
        <v>0</v>
      </c>
      <c r="AY94" s="400"/>
      <c r="AZ94" s="235">
        <f ca="1">_xll.DBRW(Server&amp;Cube1,$N$15,$N$16,$N$17,$N$18,$N$14,$N$13,AZ$2,AZ$1,$B94)</f>
        <v>0</v>
      </c>
      <c r="BA94" s="235">
        <f ca="1">_xll.DBRW(Server&amp;Cube1,$N$15,$N$16,$N$17,$N$18,$N$14,$N$13,BA$2,BA$1,$B94)</f>
        <v>0</v>
      </c>
      <c r="BB94" s="235">
        <f ca="1">_xll.DBRW(Server&amp;Cube1,$N$15,$N$16,$N$17,$N$18,$N$14,$N$13,BB$2,BB$1,$B94)</f>
        <v>0</v>
      </c>
      <c r="BC94" s="400"/>
      <c r="BD94" s="235">
        <f ca="1">_xll.DBRW(Server&amp;Cube1,$N$15,$N$16,$N$17,$N$18,$N$14,$N$13,BD$2,BD$1,$B94)</f>
        <v>0</v>
      </c>
      <c r="BE94" s="235">
        <f ca="1">_xll.DBRW(Server&amp;Cube1,$N$15,$N$16,$N$17,$N$18,$N$14,$N$13,BE$2,BE$1,$B94)</f>
        <v>0</v>
      </c>
      <c r="BF94" s="235">
        <f ca="1">_xll.DBRW(Server&amp;Cube1,$N$15,$N$16,$N$17,$N$18,$N$14,$N$13,BF$2,BF$1,$B94)</f>
        <v>0</v>
      </c>
      <c r="BG94" s="400"/>
      <c r="BH94" s="235">
        <f ca="1">_xll.DBRW(Server&amp;Cube1,$N$15,$N$16,$N$17,$N$18,$N$14,$N$13,BH$2,BH$1,$B94)</f>
        <v>0</v>
      </c>
      <c r="BI94" s="235">
        <f ca="1">_xll.DBRW(Server&amp;Cube1,$N$15,$N$16,$N$17,$N$18,$N$14,$N$13,BI$2,BI$1,$B94)</f>
        <v>0</v>
      </c>
      <c r="BJ94" s="235">
        <f ca="1">_xll.DBRW(Server&amp;Cube1,$N$15,$N$16,$N$17,$N$18,$N$14,$N$13,BJ$2,BJ$1,$B94)</f>
        <v>0</v>
      </c>
      <c r="BK94" s="400"/>
      <c r="BL94" s="235">
        <f ca="1">_xll.DBRW(Server&amp;Cube1,$N$15,$N$16,$N$17,$N$18,$N$14,$N$13,BL$2,BL$1,$B94)</f>
        <v>0</v>
      </c>
      <c r="BM94" s="235">
        <f ca="1">_xll.DBRW(Server&amp;Cube1,$N$15,$N$16,$N$17,$N$18,$N$14,$N$13,BM$2,BM$1,$B94)</f>
        <v>0</v>
      </c>
      <c r="BN94" s="235">
        <f ca="1">_xll.DBRW(Server&amp;Cube1,$N$15,$N$16,$N$17,$N$18,$N$14,$N$13,BN$2,BN$1,$B94)</f>
        <v>0</v>
      </c>
      <c r="BO94" s="400"/>
      <c r="BP94" s="235">
        <f ca="1">_xll.DBRW(Server&amp;Cube1,$N$15,$N$16,$N$17,$N$18,$N$14,$N$13,BP$2,BP$1,$B94)</f>
        <v>0</v>
      </c>
      <c r="BQ94" s="235">
        <f ca="1">_xll.DBRW(Server&amp;Cube1,$N$15,$N$16,$N$17,$N$18,$N$14,$N$13,BQ$2,BQ$1,$B94)</f>
        <v>0</v>
      </c>
      <c r="BR94" s="235">
        <f ca="1">_xll.DBRW(Server&amp;Cube1,$N$15,$N$16,$N$17,$N$18,$N$14,$N$13,BR$2,BR$1,$B94)</f>
        <v>0</v>
      </c>
      <c r="BS94" s="400"/>
      <c r="BT94" s="235">
        <f ca="1">_xll.DBRW(Server&amp;Cube1,$N$15,$N$16,$N$17,$N$18,$N$14,$N$13,BT$2,BT$1,$B94)</f>
        <v>0</v>
      </c>
      <c r="BU94" s="235">
        <f ca="1">_xll.DBRW(Server&amp;Cube1,$N$15,$N$16,$N$17,$N$18,$N$14,$N$13,BU$2,BU$1,$B94)</f>
        <v>0</v>
      </c>
      <c r="BV94" s="235">
        <f ca="1">_xll.DBRW(Server&amp;Cube1,$N$15,$N$16,$N$17,$N$18,$N$14,$N$13,BV$2,BV$1,$B94)</f>
        <v>0</v>
      </c>
      <c r="BW94" s="55"/>
      <c r="BX94" s="28"/>
    </row>
    <row r="95" spans="1:76" ht="19.5" hidden="1" customHeight="1" outlineLevel="1" x14ac:dyDescent="0.2">
      <c r="A95" s="57"/>
      <c r="B95" s="360" t="s">
        <v>71</v>
      </c>
      <c r="H95" s="360"/>
      <c r="I95" s="360"/>
      <c r="J95" s="54"/>
      <c r="K95" s="9"/>
      <c r="L95" s="555" t="str">
        <f ca="1">LEFT(_xll.DBRA(Server&amp;$B$32,$B95,$N$19),FIND("(",_xll.DBRA(Server&amp;$B$32,$B95,$N$19),1)-1)</f>
        <v xml:space="preserve">Reinvoicing - Others </v>
      </c>
      <c r="M95" s="555"/>
      <c r="N95" s="555"/>
      <c r="O95" s="555"/>
      <c r="P95" s="234"/>
      <c r="Q95" s="235">
        <f ca="1">_xll.DBRW(Server&amp;Cube1,$N$15,$N$16,$N$17,$N$18,$N$14,$N$13,$N$11,$Q$1,$B95)</f>
        <v>1971.75</v>
      </c>
      <c r="R95" s="235">
        <f ca="1">_xll.DBRW(Server&amp;Cube1,$N$15,$N$16,$N$17,$N$18,$N$14,$N$13,$R$2,$R$1,$B95)</f>
        <v>0</v>
      </c>
      <c r="S95" s="236">
        <f t="shared" ca="1" si="32"/>
        <v>1971.75</v>
      </c>
      <c r="T95" s="238">
        <f t="shared" ca="1" si="33"/>
        <v>0</v>
      </c>
      <c r="U95" s="223"/>
      <c r="V95" s="235">
        <f ca="1">_xll.DBRW(Server&amp;Cube1,$N$15,$N$16,$N$17,$N$18,$N$14,$N$13,$V$2,$V$1,$B95)</f>
        <v>1956.83</v>
      </c>
      <c r="W95" s="236">
        <f t="shared" ca="1" si="34"/>
        <v>14.920000000000073</v>
      </c>
      <c r="X95" s="238">
        <f t="shared" ca="1" si="35"/>
        <v>7.6245764833940983E-3</v>
      </c>
      <c r="Y95" s="55"/>
      <c r="Z95" s="55"/>
      <c r="AA95" s="55"/>
      <c r="AB95" s="239">
        <f ca="1">_xll.DBRW(Server&amp;Cube1,$N$15,$N$16,$N$17,$N$18,$N$14,$N$13,AB$2,AB$1,$B95)</f>
        <v>752.34000000000015</v>
      </c>
      <c r="AC95" s="239">
        <f ca="1">_xll.DBRW(Server&amp;Cube1,$N$15,$N$16,$N$17,$N$18,$N$14,$N$13,AC$2,AC$1,$B95)</f>
        <v>0</v>
      </c>
      <c r="AD95" s="239">
        <f ca="1">_xll.DBRW(Server&amp;Cube1,$N$15,$N$16,$N$17,$N$18,$N$14,$N$13,AD$2,AD$1,$B95)</f>
        <v>967.26</v>
      </c>
      <c r="AE95" s="400"/>
      <c r="AF95" s="239">
        <f ca="1">_xll.DBRW(Server&amp;Cube1,$N$15,$N$16,$N$17,$N$18,$N$14,$N$13,AF$2,AF$1,$B95)</f>
        <v>1219.4100000000001</v>
      </c>
      <c r="AG95" s="239">
        <f ca="1">_xll.DBRW(Server&amp;Cube1,$N$15,$N$16,$N$17,$N$18,$N$14,$N$13,AG$2,AG$1,$B95)</f>
        <v>0</v>
      </c>
      <c r="AH95" s="239">
        <f ca="1">_xll.DBRW(Server&amp;Cube1,$N$15,$N$16,$N$17,$N$18,$N$14,$N$13,AH$2,AH$1,$B95)</f>
        <v>989.56999999999994</v>
      </c>
      <c r="AI95" s="400"/>
      <c r="AJ95" s="239">
        <f ca="1">_xll.DBRW(Server&amp;Cube1,$N$15,$N$16,$N$17,$N$18,$N$14,$N$13,AJ$2,AJ$1,$B95)</f>
        <v>0</v>
      </c>
      <c r="AK95" s="239">
        <f ca="1">_xll.DBRW(Server&amp;Cube1,$N$15,$N$16,$N$17,$N$18,$N$14,$N$13,AK$2,AK$1,$B95)</f>
        <v>0</v>
      </c>
      <c r="AL95" s="239">
        <f ca="1">_xll.DBRW(Server&amp;Cube1,$N$15,$N$16,$N$17,$N$18,$N$14,$N$13,AL$2,AL$1,$B95)</f>
        <v>746.0300000000002</v>
      </c>
      <c r="AM95" s="400"/>
      <c r="AN95" s="239">
        <f ca="1">_xll.DBRW(Server&amp;Cube1,$N$15,$N$16,$N$17,$N$18,$N$14,$N$13,AN$2,AN$1,$B95)</f>
        <v>0</v>
      </c>
      <c r="AO95" s="239">
        <f ca="1">_xll.DBRW(Server&amp;Cube1,$N$15,$N$16,$N$17,$N$18,$N$14,$N$13,AO$2,AO$1,$B95)</f>
        <v>0</v>
      </c>
      <c r="AP95" s="239">
        <f ca="1">_xll.DBRW(Server&amp;Cube1,$N$15,$N$16,$N$17,$N$18,$N$14,$N$13,AP$2,AP$1,$B95)</f>
        <v>1211.77</v>
      </c>
      <c r="AQ95" s="400"/>
      <c r="AR95" s="239">
        <f ca="1">_xll.DBRW(Server&amp;Cube1,$N$15,$N$16,$N$17,$N$18,$N$14,$N$13,AR$2,AR$1,$B95)</f>
        <v>0</v>
      </c>
      <c r="AS95" s="239">
        <f ca="1">_xll.DBRW(Server&amp;Cube1,$N$15,$N$16,$N$17,$N$18,$N$14,$N$13,AS$2,AS$1,$B95)</f>
        <v>0</v>
      </c>
      <c r="AT95" s="239">
        <f ca="1">_xll.DBRW(Server&amp;Cube1,$N$15,$N$16,$N$17,$N$18,$N$14,$N$13,AT$2,AT$1,$B95)</f>
        <v>903.88999999999987</v>
      </c>
      <c r="AU95" s="400"/>
      <c r="AV95" s="239">
        <f ca="1">_xll.DBRW(Server&amp;Cube1,$N$15,$N$16,$N$17,$N$18,$N$14,$N$13,AV$2,AV$1,$B95)</f>
        <v>0</v>
      </c>
      <c r="AW95" s="239">
        <f ca="1">_xll.DBRW(Server&amp;Cube1,$N$15,$N$16,$N$17,$N$18,$N$14,$N$13,AW$2,AW$1,$B95)</f>
        <v>0</v>
      </c>
      <c r="AX95" s="239">
        <f ca="1">_xll.DBRW(Server&amp;Cube1,$N$15,$N$16,$N$17,$N$18,$N$14,$N$13,AX$2,AX$1,$B95)</f>
        <v>913.17000000000019</v>
      </c>
      <c r="AY95" s="400"/>
      <c r="AZ95" s="239">
        <f ca="1">_xll.DBRW(Server&amp;Cube1,$N$15,$N$16,$N$17,$N$18,$N$14,$N$13,AZ$2,AZ$1,$B95)</f>
        <v>0</v>
      </c>
      <c r="BA95" s="239">
        <f ca="1">_xll.DBRW(Server&amp;Cube1,$N$15,$N$16,$N$17,$N$18,$N$14,$N$13,BA$2,BA$1,$B95)</f>
        <v>0</v>
      </c>
      <c r="BB95" s="239">
        <f ca="1">_xll.DBRW(Server&amp;Cube1,$N$15,$N$16,$N$17,$N$18,$N$14,$N$13,BB$2,BB$1,$B95)</f>
        <v>933.45999999999981</v>
      </c>
      <c r="BC95" s="400"/>
      <c r="BD95" s="239">
        <f ca="1">_xll.DBRW(Server&amp;Cube1,$N$15,$N$16,$N$17,$N$18,$N$14,$N$13,BD$2,BD$1,$B95)</f>
        <v>0</v>
      </c>
      <c r="BE95" s="239">
        <f ca="1">_xll.DBRW(Server&amp;Cube1,$N$15,$N$16,$N$17,$N$18,$N$14,$N$13,BE$2,BE$1,$B95)</f>
        <v>0</v>
      </c>
      <c r="BF95" s="239">
        <f ca="1">_xll.DBRW(Server&amp;Cube1,$N$15,$N$16,$N$17,$N$18,$N$14,$N$13,BF$2,BF$1,$B95)</f>
        <v>779.7700000000001</v>
      </c>
      <c r="BG95" s="400"/>
      <c r="BH95" s="239">
        <f ca="1">_xll.DBRW(Server&amp;Cube1,$N$15,$N$16,$N$17,$N$18,$N$14,$N$13,BH$2,BH$1,$B95)</f>
        <v>0</v>
      </c>
      <c r="BI95" s="239">
        <f ca="1">_xll.DBRW(Server&amp;Cube1,$N$15,$N$16,$N$17,$N$18,$N$14,$N$13,BI$2,BI$1,$B95)</f>
        <v>0</v>
      </c>
      <c r="BJ95" s="239">
        <f ca="1">_xll.DBRW(Server&amp;Cube1,$N$15,$N$16,$N$17,$N$18,$N$14,$N$13,BJ$2,BJ$1,$B95)</f>
        <v>1016.5099999999998</v>
      </c>
      <c r="BK95" s="400"/>
      <c r="BL95" s="239">
        <f ca="1">_xll.DBRW(Server&amp;Cube1,$N$15,$N$16,$N$17,$N$18,$N$14,$N$13,BL$2,BL$1,$B95)</f>
        <v>0</v>
      </c>
      <c r="BM95" s="239">
        <f ca="1">_xll.DBRW(Server&amp;Cube1,$N$15,$N$16,$N$17,$N$18,$N$14,$N$13,BM$2,BM$1,$B95)</f>
        <v>0</v>
      </c>
      <c r="BN95" s="239">
        <f ca="1">_xll.DBRW(Server&amp;Cube1,$N$15,$N$16,$N$17,$N$18,$N$14,$N$13,BN$2,BN$1,$B95)</f>
        <v>1010.8300000000006</v>
      </c>
      <c r="BO95" s="400"/>
      <c r="BP95" s="239">
        <f ca="1">_xll.DBRW(Server&amp;Cube1,$N$15,$N$16,$N$17,$N$18,$N$14,$N$13,BP$2,BP$1,$B95)</f>
        <v>0</v>
      </c>
      <c r="BQ95" s="239">
        <f ca="1">_xll.DBRW(Server&amp;Cube1,$N$15,$N$16,$N$17,$N$18,$N$14,$N$13,BQ$2,BQ$1,$B95)</f>
        <v>0</v>
      </c>
      <c r="BR95" s="239">
        <f ca="1">_xll.DBRW(Server&amp;Cube1,$N$15,$N$16,$N$17,$N$18,$N$14,$N$13,BR$2,BR$1,$B95)</f>
        <v>1325.1399999999999</v>
      </c>
      <c r="BS95" s="400"/>
      <c r="BT95" s="239">
        <f ca="1">_xll.DBRW(Server&amp;Cube1,$N$15,$N$16,$N$17,$N$18,$N$14,$N$13,BT$2,BT$1,$B95)</f>
        <v>0</v>
      </c>
      <c r="BU95" s="239">
        <f ca="1">_xll.DBRW(Server&amp;Cube1,$N$15,$N$16,$N$17,$N$18,$N$14,$N$13,BU$2,BU$1,$B95)</f>
        <v>0</v>
      </c>
      <c r="BV95" s="239">
        <f ca="1">_xll.DBRW(Server&amp;Cube1,$N$15,$N$16,$N$17,$N$18,$N$14,$N$13,BV$2,BV$1,$B95)</f>
        <v>1152.6000000000001</v>
      </c>
      <c r="BW95" s="55"/>
      <c r="BX95" s="28"/>
    </row>
    <row r="96" spans="1:76" s="34" customFormat="1" ht="3" customHeight="1" x14ac:dyDescent="0.2">
      <c r="A96" s="57"/>
      <c r="B96" s="360"/>
      <c r="C96" s="9"/>
      <c r="D96" s="1"/>
      <c r="E96" s="1"/>
      <c r="H96" s="360"/>
      <c r="I96" s="69"/>
      <c r="J96" s="54"/>
      <c r="K96" s="69"/>
      <c r="L96" s="69"/>
      <c r="M96" s="55"/>
      <c r="N96" s="55"/>
      <c r="O96" s="55"/>
      <c r="P96" s="55"/>
      <c r="Q96" s="70"/>
      <c r="R96" s="70"/>
      <c r="S96" s="70"/>
      <c r="T96" s="71"/>
      <c r="U96" s="70"/>
      <c r="V96" s="70"/>
      <c r="W96" s="70"/>
      <c r="X96" s="71"/>
      <c r="Y96" s="55"/>
      <c r="Z96" s="55"/>
      <c r="AA96" s="55"/>
      <c r="AB96" s="70"/>
      <c r="AC96" s="70"/>
      <c r="AD96" s="70"/>
      <c r="AE96" s="400"/>
      <c r="AF96" s="70"/>
      <c r="AG96" s="70"/>
      <c r="AH96" s="70"/>
      <c r="AI96" s="400"/>
      <c r="AJ96" s="70"/>
      <c r="AK96" s="70"/>
      <c r="AL96" s="70"/>
      <c r="AM96" s="400"/>
      <c r="AN96" s="70"/>
      <c r="AO96" s="70"/>
      <c r="AP96" s="70"/>
      <c r="AQ96" s="400"/>
      <c r="AR96" s="70"/>
      <c r="AS96" s="70"/>
      <c r="AT96" s="70"/>
      <c r="AU96" s="400"/>
      <c r="AV96" s="70"/>
      <c r="AW96" s="70"/>
      <c r="AX96" s="70"/>
      <c r="AY96" s="400"/>
      <c r="AZ96" s="70"/>
      <c r="BA96" s="70"/>
      <c r="BB96" s="70"/>
      <c r="BC96" s="400"/>
      <c r="BD96" s="70"/>
      <c r="BE96" s="70"/>
      <c r="BF96" s="70"/>
      <c r="BG96" s="400"/>
      <c r="BH96" s="70"/>
      <c r="BI96" s="70"/>
      <c r="BJ96" s="70"/>
      <c r="BK96" s="400"/>
      <c r="BL96" s="70"/>
      <c r="BM96" s="70"/>
      <c r="BN96" s="70"/>
      <c r="BO96" s="400"/>
      <c r="BP96" s="70"/>
      <c r="BQ96" s="70"/>
      <c r="BR96" s="70"/>
      <c r="BS96" s="400"/>
      <c r="BT96" s="70"/>
      <c r="BU96" s="70"/>
      <c r="BV96" s="70"/>
      <c r="BW96" s="55"/>
      <c r="BX96" s="28"/>
    </row>
    <row r="97" spans="1:78" ht="3.75" hidden="1" customHeight="1" x14ac:dyDescent="0.25">
      <c r="A97" s="57"/>
      <c r="B97" s="377"/>
      <c r="H97" s="377"/>
      <c r="I97" s="95"/>
      <c r="J97" s="58"/>
      <c r="K97" s="59"/>
      <c r="L97" s="60"/>
      <c r="M97" s="61"/>
      <c r="N97" s="61"/>
      <c r="O97" s="61"/>
      <c r="P97" s="62"/>
      <c r="Q97" s="63"/>
      <c r="R97" s="63"/>
      <c r="S97" s="64"/>
      <c r="T97" s="65"/>
      <c r="U97" s="66"/>
      <c r="V97" s="63"/>
      <c r="W97" s="64"/>
      <c r="X97" s="65"/>
      <c r="Y97" s="55"/>
      <c r="Z97" s="55"/>
      <c r="AA97" s="55"/>
      <c r="AB97" s="63"/>
      <c r="AC97" s="63"/>
      <c r="AD97" s="63"/>
      <c r="AE97" s="400"/>
      <c r="AF97" s="63"/>
      <c r="AG97" s="63"/>
      <c r="AH97" s="63"/>
      <c r="AI97" s="400"/>
      <c r="AJ97" s="63"/>
      <c r="AK97" s="63"/>
      <c r="AL97" s="63"/>
      <c r="AM97" s="400"/>
      <c r="AN97" s="63"/>
      <c r="AO97" s="63"/>
      <c r="AP97" s="63"/>
      <c r="AQ97" s="400"/>
      <c r="AR97" s="63"/>
      <c r="AS97" s="63"/>
      <c r="AT97" s="63"/>
      <c r="AU97" s="400"/>
      <c r="AV97" s="63"/>
      <c r="AW97" s="63"/>
      <c r="AX97" s="63"/>
      <c r="AY97" s="400"/>
      <c r="AZ97" s="63"/>
      <c r="BA97" s="63"/>
      <c r="BB97" s="63"/>
      <c r="BC97" s="400"/>
      <c r="BD97" s="63"/>
      <c r="BE97" s="63"/>
      <c r="BF97" s="63"/>
      <c r="BG97" s="400"/>
      <c r="BH97" s="63"/>
      <c r="BI97" s="63"/>
      <c r="BJ97" s="63"/>
      <c r="BK97" s="400"/>
      <c r="BL97" s="63"/>
      <c r="BM97" s="63"/>
      <c r="BN97" s="63"/>
      <c r="BO97" s="400"/>
      <c r="BP97" s="63"/>
      <c r="BQ97" s="63"/>
      <c r="BR97" s="63"/>
      <c r="BS97" s="400"/>
      <c r="BT97" s="63"/>
      <c r="BU97" s="63"/>
      <c r="BV97" s="63"/>
      <c r="BW97" s="55"/>
      <c r="BX97" s="28"/>
      <c r="BZ97" s="367"/>
    </row>
    <row r="98" spans="1:78" s="34" customFormat="1" ht="23.25" customHeight="1" collapsed="1" x14ac:dyDescent="0.25">
      <c r="A98" s="136" t="s">
        <v>346</v>
      </c>
      <c r="B98" s="360" t="str">
        <f ca="1">_xll.DBRA(Server&amp;$B$32,$A98,$N$19)</f>
        <v>Fleet (RESOP) PMM</v>
      </c>
      <c r="C98" s="9"/>
      <c r="D98" s="1"/>
      <c r="E98" s="1"/>
      <c r="H98" s="360"/>
      <c r="I98" s="95"/>
      <c r="J98" s="58"/>
      <c r="K98" s="556" t="str">
        <f ca="1">"F - "&amp;LEFT(B98,FIND("(",B98,1)-1)</f>
        <v xml:space="preserve">F - Fleet </v>
      </c>
      <c r="L98" s="556"/>
      <c r="M98" s="556"/>
      <c r="N98" s="556"/>
      <c r="O98" s="556"/>
      <c r="P98" s="240"/>
      <c r="Q98" s="241">
        <f ca="1">_xll.DBRW(Server&amp;Cube1,$N$15,$N$16,$N$17,$N$18,$N$14,$N$13,$N$11,$Q$1,$A98)</f>
        <v>-1348183654.95</v>
      </c>
      <c r="R98" s="241">
        <f ca="1">_xll.DBRW(Server&amp;Cube1,$N$15,$N$16,$N$17,$N$18,$N$14,$N$13,$R$2,$R$1,$A98)</f>
        <v>-1784165940.9746308</v>
      </c>
      <c r="S98" s="242">
        <f ca="1">Q98-R98</f>
        <v>435982286.02463078</v>
      </c>
      <c r="T98" s="243">
        <f ca="1">IF(R98&lt;&gt;0,IF(R98&gt;0,S98/R98,-S98/R98),0)</f>
        <v>0.24436195984464767</v>
      </c>
      <c r="U98" s="216"/>
      <c r="V98" s="241">
        <f ca="1">_xll.DBRW(Server&amp;Cube1,$N$15,$N$16,$N$17,$N$18,$N$14,$N$13,$V$2,$V$1,$A98)</f>
        <v>-1596468639.2633765</v>
      </c>
      <c r="W98" s="242">
        <f ca="1">Q98-V98</f>
        <v>248284984.31337643</v>
      </c>
      <c r="X98" s="243">
        <f ca="1">IF(V98&lt;&gt;0,IF(V98&gt;0,W98/V98,-W98/V98),0)</f>
        <v>0.15552136647540857</v>
      </c>
      <c r="Y98" s="55"/>
      <c r="Z98" s="55"/>
      <c r="AA98" s="55"/>
      <c r="AB98" s="241">
        <f ca="1">_xll.DBRW(Server&amp;Cube1,$N$15,$N$16,$N$17,$N$18,$N$14,$N$13,AB$2,AB$1,$B98)</f>
        <v>-639842103.38999987</v>
      </c>
      <c r="AC98" s="241">
        <f ca="1">_xll.DBRW(Server&amp;Cube1,$N$15,$N$16,$N$17,$N$18,$N$14,$N$13,AC$2,AC$1,$B98)</f>
        <v>-892768934.28031862</v>
      </c>
      <c r="AD98" s="241">
        <f ca="1">_xll.DBRW(Server&amp;Cube1,$N$15,$N$16,$N$17,$N$18,$N$14,$N$13,AD$2,AD$1,$B98)</f>
        <v>-41234677.28662701</v>
      </c>
      <c r="AE98" s="400"/>
      <c r="AF98" s="241">
        <f ca="1">_xll.DBRW(Server&amp;Cube1,$N$15,$N$16,$N$17,$N$18,$N$14,$N$13,AF$2,AF$1,$B98)</f>
        <v>-708341551.56000006</v>
      </c>
      <c r="AG98" s="241">
        <f ca="1">_xll.DBRW(Server&amp;Cube1,$N$15,$N$16,$N$17,$N$18,$N$14,$N$13,AG$2,AG$1,$B98)</f>
        <v>-891397006.69431174</v>
      </c>
      <c r="AH98" s="241">
        <f ca="1">_xll.DBRW(Server&amp;Cube1,$N$15,$N$16,$N$17,$N$18,$N$14,$N$13,AH$2,AH$1,$B98)</f>
        <v>-1555233961.9767482</v>
      </c>
      <c r="AI98" s="400"/>
      <c r="AJ98" s="241">
        <f ca="1">_xll.DBRW(Server&amp;Cube1,$N$15,$N$16,$N$17,$N$18,$N$14,$N$13,AJ$2,AJ$1,$B98)</f>
        <v>0</v>
      </c>
      <c r="AK98" s="241">
        <f ca="1">_xll.DBRW(Server&amp;Cube1,$N$15,$N$16,$N$17,$N$18,$N$14,$N$13,AK$2,AK$1,$B98)</f>
        <v>-893220816.10169911</v>
      </c>
      <c r="AL98" s="241">
        <f ca="1">_xll.DBRW(Server&amp;Cube1,$N$15,$N$16,$N$17,$N$18,$N$14,$N$13,AL$2,AL$1,$B98)</f>
        <v>-815530642.59662437</v>
      </c>
      <c r="AM98" s="400"/>
      <c r="AN98" s="241">
        <f ca="1">_xll.DBRW(Server&amp;Cube1,$N$15,$N$16,$N$17,$N$18,$N$14,$N$13,AN$2,AN$1,$B98)</f>
        <v>0</v>
      </c>
      <c r="AO98" s="241">
        <f ca="1">_xll.DBRW(Server&amp;Cube1,$N$15,$N$16,$N$17,$N$18,$N$14,$N$13,AO$2,AO$1,$B98)</f>
        <v>-892262047.29847836</v>
      </c>
      <c r="AP98" s="241">
        <f ca="1">_xll.DBRW(Server&amp;Cube1,$N$15,$N$16,$N$17,$N$18,$N$14,$N$13,AP$2,AP$1,$B98)</f>
        <v>-948917580.21000016</v>
      </c>
      <c r="AQ98" s="400"/>
      <c r="AR98" s="241">
        <f ca="1">_xll.DBRW(Server&amp;Cube1,$N$15,$N$16,$N$17,$N$18,$N$14,$N$13,AR$2,AR$1,$B98)</f>
        <v>0</v>
      </c>
      <c r="AS98" s="241">
        <f ca="1">_xll.DBRW(Server&amp;Cube1,$N$15,$N$16,$N$17,$N$18,$N$14,$N$13,AS$2,AS$1,$B98)</f>
        <v>-892908673.13586807</v>
      </c>
      <c r="AT98" s="241">
        <f ca="1">_xll.DBRW(Server&amp;Cube1,$N$15,$N$16,$N$17,$N$18,$N$14,$N$13,AT$2,AT$1,$B98)</f>
        <v>-946049349.99000013</v>
      </c>
      <c r="AU98" s="400"/>
      <c r="AV98" s="241">
        <f ca="1">_xll.DBRW(Server&amp;Cube1,$N$15,$N$16,$N$17,$N$18,$N$14,$N$13,AV$2,AV$1,$B98)</f>
        <v>0</v>
      </c>
      <c r="AW98" s="241">
        <f ca="1">_xll.DBRW(Server&amp;Cube1,$N$15,$N$16,$N$17,$N$18,$N$14,$N$13,AW$2,AW$1,$B98)</f>
        <v>-890635136.42253017</v>
      </c>
      <c r="AX98" s="241">
        <f ca="1">_xll.DBRW(Server&amp;Cube1,$N$15,$N$16,$N$17,$N$18,$N$14,$N$13,AX$2,AX$1,$B98)</f>
        <v>-324231764.45999992</v>
      </c>
      <c r="AY98" s="400"/>
      <c r="AZ98" s="241">
        <f ca="1">_xll.DBRW(Server&amp;Cube1,$N$15,$N$16,$N$17,$N$18,$N$14,$N$13,AZ$2,AZ$1,$B98)</f>
        <v>0</v>
      </c>
      <c r="BA98" s="241">
        <f ca="1">_xll.DBRW(Server&amp;Cube1,$N$15,$N$16,$N$17,$N$18,$N$14,$N$13,BA$2,BA$1,$B98)</f>
        <v>-886949650.24410224</v>
      </c>
      <c r="BB98" s="241">
        <f ca="1">_xll.DBRW(Server&amp;Cube1,$N$15,$N$16,$N$17,$N$18,$N$14,$N$13,BB$2,BB$1,$B98)</f>
        <v>4248972066.5841641</v>
      </c>
      <c r="BC98" s="400"/>
      <c r="BD98" s="241">
        <f ca="1">_xll.DBRW(Server&amp;Cube1,$N$15,$N$16,$N$17,$N$18,$N$14,$N$13,BD$2,BD$1,$B98)</f>
        <v>0</v>
      </c>
      <c r="BE98" s="241">
        <f ca="1">_xll.DBRW(Server&amp;Cube1,$N$15,$N$16,$N$17,$N$18,$N$14,$N$13,BE$2,BE$1,$B98)</f>
        <v>-886593418.73542631</v>
      </c>
      <c r="BF98" s="241">
        <f ca="1">_xll.DBRW(Server&amp;Cube1,$N$15,$N$16,$N$17,$N$18,$N$14,$N$13,BF$2,BF$1,$B98)</f>
        <v>-55358235.910000101</v>
      </c>
      <c r="BG98" s="400"/>
      <c r="BH98" s="241">
        <f ca="1">_xll.DBRW(Server&amp;Cube1,$N$15,$N$16,$N$17,$N$18,$N$14,$N$13,BH$2,BH$1,$B98)</f>
        <v>0</v>
      </c>
      <c r="BI98" s="241">
        <f ca="1">_xll.DBRW(Server&amp;Cube1,$N$15,$N$16,$N$17,$N$18,$N$14,$N$13,BI$2,BI$1,$B98)</f>
        <v>-886269639.89927709</v>
      </c>
      <c r="BJ98" s="241">
        <f ca="1">_xll.DBRW(Server&amp;Cube1,$N$15,$N$16,$N$17,$N$18,$N$14,$N$13,BJ$2,BJ$1,$B98)</f>
        <v>-6877285321.0500011</v>
      </c>
      <c r="BK98" s="400"/>
      <c r="BL98" s="241">
        <f ca="1">_xll.DBRW(Server&amp;Cube1,$N$15,$N$16,$N$17,$N$18,$N$14,$N$13,BL$2,BL$1,$B98)</f>
        <v>0</v>
      </c>
      <c r="BM98" s="241">
        <f ca="1">_xll.DBRW(Server&amp;Cube1,$N$15,$N$16,$N$17,$N$18,$N$14,$N$13,BM$2,BM$1,$B98)</f>
        <v>-886596087.10068214</v>
      </c>
      <c r="BN98" s="241">
        <f ca="1">_xll.DBRW(Server&amp;Cube1,$N$15,$N$16,$N$17,$N$18,$N$14,$N$13,BN$2,BN$1,$B98)</f>
        <v>-1143939303.6799996</v>
      </c>
      <c r="BO98" s="400"/>
      <c r="BP98" s="241">
        <f ca="1">_xll.DBRW(Server&amp;Cube1,$N$15,$N$16,$N$17,$N$18,$N$14,$N$13,BP$2,BP$1,$B98)</f>
        <v>0</v>
      </c>
      <c r="BQ98" s="241">
        <f ca="1">_xll.DBRW(Server&amp;Cube1,$N$15,$N$16,$N$17,$N$18,$N$14,$N$13,BQ$2,BQ$1,$B98)</f>
        <v>-887253473.75791335</v>
      </c>
      <c r="BR98" s="241">
        <f ca="1">_xll.DBRW(Server&amp;Cube1,$N$15,$N$16,$N$17,$N$18,$N$14,$N$13,BR$2,BR$1,$B98)</f>
        <v>-935852553.59000003</v>
      </c>
      <c r="BS98" s="400"/>
      <c r="BT98" s="241">
        <f ca="1">_xll.DBRW(Server&amp;Cube1,$N$15,$N$16,$N$17,$N$18,$N$14,$N$13,BT$2,BT$1,$B98)</f>
        <v>0</v>
      </c>
      <c r="BU98" s="241">
        <f ca="1">_xll.DBRW(Server&amp;Cube1,$N$15,$N$16,$N$17,$N$18,$N$14,$N$13,BU$2,BU$1,$B98)</f>
        <v>-891933132.79354727</v>
      </c>
      <c r="BV98" s="241">
        <f ca="1">_xll.DBRW(Server&amp;Cube1,$N$15,$N$16,$N$17,$N$18,$N$14,$N$13,BV$2,BV$1,$B98)</f>
        <v>-9301238710.6100025</v>
      </c>
      <c r="BW98" s="55"/>
      <c r="BX98" s="28"/>
    </row>
    <row r="99" spans="1:78" ht="19.5" hidden="1" customHeight="1" outlineLevel="1" x14ac:dyDescent="0.2">
      <c r="A99" s="57"/>
      <c r="B99" s="360" t="s">
        <v>341</v>
      </c>
      <c r="H99" s="360"/>
      <c r="I99" s="69"/>
      <c r="J99" s="54"/>
      <c r="K99" s="9"/>
      <c r="L99" s="555" t="str">
        <f ca="1">LEFT(_xll.DBRA(Server&amp;$B$32,$B99,$N$19),FIND("(",_xll.DBRA(Server&amp;$B$32,$B99,$N$19),1)-1)</f>
        <v xml:space="preserve">COS - Lease expenses </v>
      </c>
      <c r="M99" s="555"/>
      <c r="N99" s="555"/>
      <c r="O99" s="555"/>
      <c r="P99" s="234"/>
      <c r="Q99" s="235">
        <f ca="1">_xll.DBRW(Server&amp;Cube1,$N$15,$N$16,$N$17,$N$18,$N$14,$N$13,$N$11,$Q$1,$B99)</f>
        <v>-25452335.890000001</v>
      </c>
      <c r="R99" s="235">
        <f ca="1">_xll.DBRW(Server&amp;Cube1,$N$15,$N$16,$N$17,$N$18,$N$14,$N$13,$R$2,$R$1,$B99)</f>
        <v>-46307525.531296767</v>
      </c>
      <c r="S99" s="236">
        <f ca="1">Q99-R99</f>
        <v>20855189.641296767</v>
      </c>
      <c r="T99" s="238">
        <f ca="1">IF(R99&lt;&gt;0,IF(R99&gt;0,S99/R99,-S99/R99),0)</f>
        <v>0.45036286007555865</v>
      </c>
      <c r="U99" s="223"/>
      <c r="V99" s="235">
        <f ca="1">_xll.DBRW(Server&amp;Cube1,$N$15,$N$16,$N$17,$N$18,$N$14,$N$13,$V$2,$V$1,$B99)</f>
        <v>-41166348.903409287</v>
      </c>
      <c r="W99" s="236">
        <f ca="1">Q99-V99</f>
        <v>15714013.013409287</v>
      </c>
      <c r="X99" s="238">
        <f ca="1">IF(V99&lt;&gt;0,IF(V99&gt;0,W99/V99,-W99/V99),0)</f>
        <v>0.38171986178030703</v>
      </c>
      <c r="Y99" s="55"/>
      <c r="Z99" s="55"/>
      <c r="AA99" s="55"/>
      <c r="AB99" s="235">
        <f ca="1">_xll.DBRW(Server&amp;Cube1,$N$15,$N$16,$N$17,$N$18,$N$14,$N$13,AB$2,AB$1,$B99)</f>
        <v>-11958330.57</v>
      </c>
      <c r="AC99" s="235">
        <f ca="1">_xll.DBRW(Server&amp;Cube1,$N$15,$N$16,$N$17,$N$18,$N$14,$N$13,AC$2,AC$1,$B99)</f>
        <v>-23093690.035542767</v>
      </c>
      <c r="AD99" s="235">
        <f ca="1">_xll.DBRW(Server&amp;Cube1,$N$15,$N$16,$N$17,$N$18,$N$14,$N$13,AD$2,AD$1,$B99)</f>
        <v>-19366158.121625699</v>
      </c>
      <c r="AE99" s="400"/>
      <c r="AF99" s="235">
        <f ca="1">_xll.DBRW(Server&amp;Cube1,$N$15,$N$16,$N$17,$N$18,$N$14,$N$13,AF$2,AF$1,$B99)</f>
        <v>-13494005.319999997</v>
      </c>
      <c r="AG99" s="235">
        <f ca="1">_xll.DBRW(Server&amp;Cube1,$N$15,$N$16,$N$17,$N$18,$N$14,$N$13,AG$2,AG$1,$B99)</f>
        <v>-23213835.495753996</v>
      </c>
      <c r="AH99" s="235">
        <f ca="1">_xll.DBRW(Server&amp;Cube1,$N$15,$N$16,$N$17,$N$18,$N$14,$N$13,AH$2,AH$1,$B99)</f>
        <v>-21800190.781783607</v>
      </c>
      <c r="AI99" s="400"/>
      <c r="AJ99" s="235">
        <f ca="1">_xll.DBRW(Server&amp;Cube1,$N$15,$N$16,$N$17,$N$18,$N$14,$N$13,AJ$2,AJ$1,$B99)</f>
        <v>0</v>
      </c>
      <c r="AK99" s="235">
        <f ca="1">_xll.DBRW(Server&amp;Cube1,$N$15,$N$16,$N$17,$N$18,$N$14,$N$13,AK$2,AK$1,$B99)</f>
        <v>-23484283.2617223</v>
      </c>
      <c r="AL99" s="235">
        <f ca="1">_xll.DBRW(Server&amp;Cube1,$N$15,$N$16,$N$17,$N$18,$N$14,$N$13,AL$2,AL$1,$B99)</f>
        <v>-18343948.731589701</v>
      </c>
      <c r="AM99" s="400"/>
      <c r="AN99" s="235">
        <f ca="1">_xll.DBRW(Server&amp;Cube1,$N$15,$N$16,$N$17,$N$18,$N$14,$N$13,AN$2,AN$1,$B99)</f>
        <v>0</v>
      </c>
      <c r="AO99" s="235">
        <f ca="1">_xll.DBRW(Server&amp;Cube1,$N$15,$N$16,$N$17,$N$18,$N$14,$N$13,AO$2,AO$1,$B99)</f>
        <v>-23117698.569799334</v>
      </c>
      <c r="AP99" s="235">
        <f ca="1">_xll.DBRW(Server&amp;Cube1,$N$15,$N$16,$N$17,$N$18,$N$14,$N$13,AP$2,AP$1,$B99)</f>
        <v>-12915687.09</v>
      </c>
      <c r="AQ99" s="400"/>
      <c r="AR99" s="235">
        <f ca="1">_xll.DBRW(Server&amp;Cube1,$N$15,$N$16,$N$17,$N$18,$N$14,$N$13,AR$2,AR$1,$B99)</f>
        <v>0</v>
      </c>
      <c r="AS99" s="235">
        <f ca="1">_xll.DBRW(Server&amp;Cube1,$N$15,$N$16,$N$17,$N$18,$N$14,$N$13,AS$2,AS$1,$B99)</f>
        <v>-23293435.555902719</v>
      </c>
      <c r="AT99" s="235">
        <f ca="1">_xll.DBRW(Server&amp;Cube1,$N$15,$N$16,$N$17,$N$18,$N$14,$N$13,AT$2,AT$1,$B99)</f>
        <v>-45079230.040000007</v>
      </c>
      <c r="AU99" s="400"/>
      <c r="AV99" s="235">
        <f ca="1">_xll.DBRW(Server&amp;Cube1,$N$15,$N$16,$N$17,$N$18,$N$14,$N$13,AV$2,AV$1,$B99)</f>
        <v>0</v>
      </c>
      <c r="AW99" s="235">
        <f ca="1">_xll.DBRW(Server&amp;Cube1,$N$15,$N$16,$N$17,$N$18,$N$14,$N$13,AW$2,AW$1,$B99)</f>
        <v>-23467796.34603237</v>
      </c>
      <c r="AX99" s="235">
        <f ca="1">_xll.DBRW(Server&amp;Cube1,$N$15,$N$16,$N$17,$N$18,$N$14,$N$13,AX$2,AX$1,$B99)</f>
        <v>-20212607.489999998</v>
      </c>
      <c r="AY99" s="400"/>
      <c r="AZ99" s="235">
        <f ca="1">_xll.DBRW(Server&amp;Cube1,$N$15,$N$16,$N$17,$N$18,$N$14,$N$13,AZ$2,AZ$1,$B99)</f>
        <v>0</v>
      </c>
      <c r="BA99" s="235">
        <f ca="1">_xll.DBRW(Server&amp;Cube1,$N$15,$N$16,$N$17,$N$18,$N$14,$N$13,BA$2,BA$1,$B99)</f>
        <v>-21344236.652578548</v>
      </c>
      <c r="BB99" s="235">
        <f ca="1">_xll.DBRW(Server&amp;Cube1,$N$15,$N$16,$N$17,$N$18,$N$14,$N$13,BB$2,BB$1,$B99)</f>
        <v>-19340416.834931992</v>
      </c>
      <c r="BC99" s="400"/>
      <c r="BD99" s="235">
        <f ca="1">_xll.DBRW(Server&amp;Cube1,$N$15,$N$16,$N$17,$N$18,$N$14,$N$13,BD$2,BD$1,$B99)</f>
        <v>0</v>
      </c>
      <c r="BE99" s="235">
        <f ca="1">_xll.DBRW(Server&amp;Cube1,$N$15,$N$16,$N$17,$N$18,$N$14,$N$13,BE$2,BE$1,$B99)</f>
        <v>-21381166.441328928</v>
      </c>
      <c r="BF99" s="235">
        <f ca="1">_xll.DBRW(Server&amp;Cube1,$N$15,$N$16,$N$17,$N$18,$N$14,$N$13,BF$2,BF$1,$B99)</f>
        <v>-22992293.65000001</v>
      </c>
      <c r="BG99" s="400"/>
      <c r="BH99" s="235">
        <f ca="1">_xll.DBRW(Server&amp;Cube1,$N$15,$N$16,$N$17,$N$18,$N$14,$N$13,BH$2,BH$1,$B99)</f>
        <v>0</v>
      </c>
      <c r="BI99" s="235">
        <f ca="1">_xll.DBRW(Server&amp;Cube1,$N$15,$N$16,$N$17,$N$18,$N$14,$N$13,BI$2,BI$1,$B99)</f>
        <v>-21521289.829543486</v>
      </c>
      <c r="BJ99" s="235">
        <f ca="1">_xll.DBRW(Server&amp;Cube1,$N$15,$N$16,$N$17,$N$18,$N$14,$N$13,BJ$2,BJ$1,$B99)</f>
        <v>-19551229.010000002</v>
      </c>
      <c r="BK99" s="400"/>
      <c r="BL99" s="235">
        <f ca="1">_xll.DBRW(Server&amp;Cube1,$N$15,$N$16,$N$17,$N$18,$N$14,$N$13,BL$2,BL$1,$B99)</f>
        <v>0</v>
      </c>
      <c r="BM99" s="235">
        <f ca="1">_xll.DBRW(Server&amp;Cube1,$N$15,$N$16,$N$17,$N$18,$N$14,$N$13,BM$2,BM$1,$B99)</f>
        <v>-21428553.393329557</v>
      </c>
      <c r="BN99" s="235">
        <f ca="1">_xll.DBRW(Server&amp;Cube1,$N$15,$N$16,$N$17,$N$18,$N$14,$N$13,BN$2,BN$1,$B99)</f>
        <v>-42156593.689999998</v>
      </c>
      <c r="BO99" s="400"/>
      <c r="BP99" s="235">
        <f ca="1">_xll.DBRW(Server&amp;Cube1,$N$15,$N$16,$N$17,$N$18,$N$14,$N$13,BP$2,BP$1,$B99)</f>
        <v>0</v>
      </c>
      <c r="BQ99" s="235">
        <f ca="1">_xll.DBRW(Server&amp;Cube1,$N$15,$N$16,$N$17,$N$18,$N$14,$N$13,BQ$2,BQ$1,$B99)</f>
        <v>-21346151.490820806</v>
      </c>
      <c r="BR99" s="235">
        <f ca="1">_xll.DBRW(Server&amp;Cube1,$N$15,$N$16,$N$17,$N$18,$N$14,$N$13,BR$2,BR$1,$B99)</f>
        <v>-28368316.030000005</v>
      </c>
      <c r="BS99" s="400"/>
      <c r="BT99" s="235">
        <f ca="1">_xll.DBRW(Server&amp;Cube1,$N$15,$N$16,$N$17,$N$18,$N$14,$N$13,BT$2,BT$1,$B99)</f>
        <v>0</v>
      </c>
      <c r="BU99" s="235">
        <f ca="1">_xll.DBRW(Server&amp;Cube1,$N$15,$N$16,$N$17,$N$18,$N$14,$N$13,BU$2,BU$1,$B99)</f>
        <v>-22021147.367094573</v>
      </c>
      <c r="BV99" s="235">
        <f ca="1">_xll.DBRW(Server&amp;Cube1,$N$15,$N$16,$N$17,$N$18,$N$14,$N$13,BV$2,BV$1,$B99)</f>
        <v>-20347600.150000002</v>
      </c>
      <c r="BW99" s="55"/>
      <c r="BX99" s="28"/>
    </row>
    <row r="100" spans="1:78" ht="19.5" hidden="1" customHeight="1" outlineLevel="1" x14ac:dyDescent="0.2">
      <c r="A100" s="57"/>
      <c r="B100" s="360" t="s">
        <v>74</v>
      </c>
      <c r="H100" s="360"/>
      <c r="I100" s="69"/>
      <c r="J100" s="54"/>
      <c r="K100" s="9"/>
      <c r="L100" s="555" t="str">
        <f ca="1">LEFT(_xll.DBRA(Server&amp;$B$32,$B100,$N$19),FIND("(",_xll.DBRA(Server&amp;$B$32,$B100,$N$19),1)-1)</f>
        <v xml:space="preserve">Amortization </v>
      </c>
      <c r="M100" s="555"/>
      <c r="N100" s="555"/>
      <c r="O100" s="555"/>
      <c r="P100" s="234"/>
      <c r="Q100" s="235">
        <f ca="1">_xll.DBRW(Server&amp;Cube1,$N$15,$N$16,$N$17,$N$18,$N$14,$N$13,$N$11,$Q$1,$B100)</f>
        <v>-1222557943.6600006</v>
      </c>
      <c r="R100" s="235">
        <f ca="1">_xll.DBRW(Server&amp;Cube1,$N$15,$N$16,$N$17,$N$18,$N$14,$N$13,$R$2,$R$1,$B100)</f>
        <v>-1705980065.4102266</v>
      </c>
      <c r="S100" s="236">
        <f ca="1">Q100-R100</f>
        <v>483422121.75022602</v>
      </c>
      <c r="T100" s="238">
        <f ca="1">IF(R100&lt;&gt;0,IF(R100&gt;0,S100/R100,-S100/R100),0)</f>
        <v>0.28336915040914062</v>
      </c>
      <c r="U100" s="223"/>
      <c r="V100" s="235">
        <f ca="1">_xll.DBRW(Server&amp;Cube1,$N$15,$N$16,$N$17,$N$18,$N$14,$N$13,$V$2,$V$1,$B100)</f>
        <v>-1496416138.0466328</v>
      </c>
      <c r="W100" s="236">
        <f ca="1">Q100-V100</f>
        <v>273858194.3866322</v>
      </c>
      <c r="X100" s="238">
        <f ca="1">IF(V100&lt;&gt;0,IF(V100&gt;0,W100/V100,-W100/V100),0)</f>
        <v>0.1830093831680516</v>
      </c>
      <c r="Y100" s="55"/>
      <c r="Z100" s="55"/>
      <c r="AA100" s="55"/>
      <c r="AB100" s="235">
        <f ca="1">_xll.DBRW(Server&amp;Cube1,$N$15,$N$16,$N$17,$N$18,$N$14,$N$13,AB$2,AB$1,$B100)</f>
        <v>-561131466.62000012</v>
      </c>
      <c r="AC100" s="235">
        <f ca="1">_xll.DBRW(Server&amp;Cube1,$N$15,$N$16,$N$17,$N$18,$N$14,$N$13,AC$2,AC$1,$B100)</f>
        <v>-853818937.10227084</v>
      </c>
      <c r="AD100" s="235">
        <f ca="1">_xll.DBRW(Server&amp;Cube1,$N$15,$N$16,$N$17,$N$18,$N$14,$N$13,AD$2,AD$1,$B100)</f>
        <v>-21548115.598334305</v>
      </c>
      <c r="AE100" s="400"/>
      <c r="AF100" s="235">
        <f ca="1">_xll.DBRW(Server&amp;Cube1,$N$15,$N$16,$N$17,$N$18,$N$14,$N$13,AF$2,AF$1,$B100)</f>
        <v>-661426477.0399996</v>
      </c>
      <c r="AG100" s="235">
        <f ca="1">_xll.DBRW(Server&amp;Cube1,$N$15,$N$16,$N$17,$N$18,$N$14,$N$13,AG$2,AG$1,$B100)</f>
        <v>-852161128.30795634</v>
      </c>
      <c r="AH100" s="235">
        <f ca="1">_xll.DBRW(Server&amp;Cube1,$N$15,$N$16,$N$17,$N$18,$N$14,$N$13,AH$2,AH$1,$B100)</f>
        <v>-1474868022.4482982</v>
      </c>
      <c r="AI100" s="400"/>
      <c r="AJ100" s="235">
        <f ca="1">_xll.DBRW(Server&amp;Cube1,$N$15,$N$16,$N$17,$N$18,$N$14,$N$13,AJ$2,AJ$1,$B100)</f>
        <v>0</v>
      </c>
      <c r="AK100" s="235">
        <f ca="1">_xll.DBRW(Server&amp;Cube1,$N$15,$N$16,$N$17,$N$18,$N$14,$N$13,AK$2,AK$1,$B100)</f>
        <v>-853872534.04190075</v>
      </c>
      <c r="AL100" s="235">
        <f ca="1">_xll.DBRW(Server&amp;Cube1,$N$15,$N$16,$N$17,$N$18,$N$14,$N$13,AL$2,AL$1,$B100)</f>
        <v>-751632310.43836737</v>
      </c>
      <c r="AM100" s="400"/>
      <c r="AN100" s="235">
        <f ca="1">_xll.DBRW(Server&amp;Cube1,$N$15,$N$16,$N$17,$N$18,$N$14,$N$13,AN$2,AN$1,$B100)</f>
        <v>0</v>
      </c>
      <c r="AO100" s="235">
        <f ca="1">_xll.DBRW(Server&amp;Cube1,$N$15,$N$16,$N$17,$N$18,$N$14,$N$13,AO$2,AO$1,$B100)</f>
        <v>-853077107.54932082</v>
      </c>
      <c r="AP100" s="235">
        <f ca="1">_xll.DBRW(Server&amp;Cube1,$N$15,$N$16,$N$17,$N$18,$N$14,$N$13,AP$2,AP$1,$B100)</f>
        <v>-979913151.50999975</v>
      </c>
      <c r="AQ100" s="400"/>
      <c r="AR100" s="235">
        <f ca="1">_xll.DBRW(Server&amp;Cube1,$N$15,$N$16,$N$17,$N$18,$N$14,$N$13,AR$2,AR$1,$B100)</f>
        <v>0</v>
      </c>
      <c r="AS100" s="235">
        <f ca="1">_xll.DBRW(Server&amp;Cube1,$N$15,$N$16,$N$17,$N$18,$N$14,$N$13,AS$2,AS$1,$B100)</f>
        <v>-853642017.33191514</v>
      </c>
      <c r="AT100" s="235">
        <f ca="1">_xll.DBRW(Server&amp;Cube1,$N$15,$N$16,$N$17,$N$18,$N$14,$N$13,AT$2,AT$1,$B100)</f>
        <v>-755664797.41999996</v>
      </c>
      <c r="AU100" s="400"/>
      <c r="AV100" s="235">
        <f ca="1">_xll.DBRW(Server&amp;Cube1,$N$15,$N$16,$N$17,$N$18,$N$14,$N$13,AV$2,AV$1,$B100)</f>
        <v>0</v>
      </c>
      <c r="AW100" s="235">
        <f ca="1">_xll.DBRW(Server&amp;Cube1,$N$15,$N$16,$N$17,$N$18,$N$14,$N$13,AW$2,AW$1,$B100)</f>
        <v>-851122169.30747306</v>
      </c>
      <c r="AX100" s="235">
        <f ca="1">_xll.DBRW(Server&amp;Cube1,$N$15,$N$16,$N$17,$N$18,$N$14,$N$13,AX$2,AX$1,$B100)</f>
        <v>-294689472.08999991</v>
      </c>
      <c r="AY100" s="400"/>
      <c r="AZ100" s="235">
        <f ca="1">_xll.DBRW(Server&amp;Cube1,$N$15,$N$16,$N$17,$N$18,$N$14,$N$13,AZ$2,AZ$1,$B100)</f>
        <v>0</v>
      </c>
      <c r="BA100" s="235">
        <f ca="1">_xll.DBRW(Server&amp;Cube1,$N$15,$N$16,$N$17,$N$18,$N$14,$N$13,BA$2,BA$1,$B100)</f>
        <v>-849302516.63534176</v>
      </c>
      <c r="BB100" s="235">
        <f ca="1">_xll.DBRW(Server&amp;Cube1,$N$15,$N$16,$N$17,$N$18,$N$14,$N$13,BB$2,BB$1,$B100)</f>
        <v>4058883659.6424298</v>
      </c>
      <c r="BC100" s="400"/>
      <c r="BD100" s="235">
        <f ca="1">_xll.DBRW(Server&amp;Cube1,$N$15,$N$16,$N$17,$N$18,$N$14,$N$13,BD$2,BD$1,$B100)</f>
        <v>0</v>
      </c>
      <c r="BE100" s="235">
        <f ca="1">_xll.DBRW(Server&amp;Cube1,$N$15,$N$16,$N$17,$N$18,$N$14,$N$13,BE$2,BE$1,$B100)</f>
        <v>-849043787.73916864</v>
      </c>
      <c r="BF100" s="235">
        <f ca="1">_xll.DBRW(Server&amp;Cube1,$N$15,$N$16,$N$17,$N$18,$N$14,$N$13,BF$2,BF$1,$B100)</f>
        <v>-29839188.71000009</v>
      </c>
      <c r="BG100" s="400"/>
      <c r="BH100" s="235">
        <f ca="1">_xll.DBRW(Server&amp;Cube1,$N$15,$N$16,$N$17,$N$18,$N$14,$N$13,BH$2,BH$1,$B100)</f>
        <v>0</v>
      </c>
      <c r="BI100" s="235">
        <f ca="1">_xll.DBRW(Server&amp;Cube1,$N$15,$N$16,$N$17,$N$18,$N$14,$N$13,BI$2,BI$1,$B100)</f>
        <v>-848673966.82862425</v>
      </c>
      <c r="BJ100" s="235">
        <f ca="1">_xll.DBRW(Server&amp;Cube1,$N$15,$N$16,$N$17,$N$18,$N$14,$N$13,BJ$2,BJ$1,$B100)</f>
        <v>-6624188351.6499996</v>
      </c>
      <c r="BK100" s="400"/>
      <c r="BL100" s="235">
        <f ca="1">_xll.DBRW(Server&amp;Cube1,$N$15,$N$16,$N$17,$N$18,$N$14,$N$13,BL$2,BL$1,$B100)</f>
        <v>0</v>
      </c>
      <c r="BM100" s="235">
        <f ca="1">_xll.DBRW(Server&amp;Cube1,$N$15,$N$16,$N$17,$N$18,$N$14,$N$13,BM$2,BM$1,$B100)</f>
        <v>-849021223.65874207</v>
      </c>
      <c r="BN100" s="235">
        <f ca="1">_xll.DBRW(Server&amp;Cube1,$N$15,$N$16,$N$17,$N$18,$N$14,$N$13,BN$2,BN$1,$B100)</f>
        <v>-878492826.53999984</v>
      </c>
      <c r="BO100" s="400"/>
      <c r="BP100" s="235">
        <f ca="1">_xll.DBRW(Server&amp;Cube1,$N$15,$N$16,$N$17,$N$18,$N$14,$N$13,BP$2,BP$1,$B100)</f>
        <v>0</v>
      </c>
      <c r="BQ100" s="235">
        <f ca="1">_xll.DBRW(Server&amp;Cube1,$N$15,$N$16,$N$17,$N$18,$N$14,$N$13,BQ$2,BQ$1,$B100)</f>
        <v>-849650478.98624301</v>
      </c>
      <c r="BR100" s="235">
        <f ca="1">_xll.DBRW(Server&amp;Cube1,$N$15,$N$16,$N$17,$N$18,$N$14,$N$13,BR$2,BR$1,$B100)</f>
        <v>-872743933.32000017</v>
      </c>
      <c r="BS100" s="400"/>
      <c r="BT100" s="235">
        <f ca="1">_xll.DBRW(Server&amp;Cube1,$N$15,$N$16,$N$17,$N$18,$N$14,$N$13,BT$2,BT$1,$B100)</f>
        <v>0</v>
      </c>
      <c r="BU100" s="235">
        <f ca="1">_xll.DBRW(Server&amp;Cube1,$N$15,$N$16,$N$17,$N$18,$N$14,$N$13,BU$2,BU$1,$B100)</f>
        <v>-854448355.81774175</v>
      </c>
      <c r="BV100" s="235">
        <f ca="1">_xll.DBRW(Server&amp;Cube1,$N$15,$N$16,$N$17,$N$18,$N$14,$N$13,BV$2,BV$1,$B100)</f>
        <v>-9008932406.239996</v>
      </c>
      <c r="BW100" s="55"/>
      <c r="BX100" s="28"/>
    </row>
    <row r="101" spans="1:78" ht="19.5" hidden="1" customHeight="1" outlineLevel="1" x14ac:dyDescent="0.2">
      <c r="A101" s="57"/>
      <c r="B101" s="360" t="s">
        <v>336</v>
      </c>
      <c r="H101" s="360"/>
      <c r="I101" s="69"/>
      <c r="J101" s="54"/>
      <c r="K101" s="9"/>
      <c r="L101" s="555" t="str">
        <f ca="1">_xll.DBRA(Server&amp;$B$32,$B101,$N$19)</f>
        <v>Lease revenue (or reinvoicing) of passenger rolling stock</v>
      </c>
      <c r="M101" s="555"/>
      <c r="N101" s="555"/>
      <c r="O101" s="555"/>
      <c r="P101" s="234"/>
      <c r="Q101" s="235">
        <f ca="1">_xll.DBRW(Server&amp;Cube1,$N$15,$N$16,$N$17,$N$18,$N$14,$N$13,$N$11,$Q$1,$B101)</f>
        <v>1267940.32</v>
      </c>
      <c r="R101" s="235">
        <f ca="1">_xll.DBRW(Server&amp;Cube1,$N$15,$N$16,$N$17,$N$18,$N$14,$N$13,$R$2,$R$1,$B101)</f>
        <v>7554320.6002666643</v>
      </c>
      <c r="S101" s="236">
        <f ca="1">Q101-R101</f>
        <v>-6286380.280266664</v>
      </c>
      <c r="T101" s="238">
        <f ca="1">IF(R101&lt;&gt;0,IF(R101&gt;0,S101/R101,-S101/R101),0)</f>
        <v>-0.83215693546879088</v>
      </c>
      <c r="U101" s="223"/>
      <c r="V101" s="235">
        <f ca="1">_xll.DBRW(Server&amp;Cube1,$N$15,$N$16,$N$17,$N$18,$N$14,$N$13,$V$2,$V$1,$B101)</f>
        <v>2597039.8666659994</v>
      </c>
      <c r="W101" s="236">
        <f ca="1">Q101-V101</f>
        <v>-1329099.5466659993</v>
      </c>
      <c r="X101" s="238">
        <f ca="1">IF(V101&lt;&gt;0,IF(V101&gt;0,W101/V101,-W101/V101),0)</f>
        <v>-0.5117747954990991</v>
      </c>
      <c r="Y101" s="55"/>
      <c r="Z101" s="55"/>
      <c r="AA101" s="55"/>
      <c r="AB101" s="235">
        <f ca="1">_xll.DBRW(Server&amp;Cube1,$N$15,$N$16,$N$17,$N$18,$N$14,$N$13,AB$2,AB$1,$B101)</f>
        <v>621182.16999999993</v>
      </c>
      <c r="AC101" s="235">
        <f ca="1">_xll.DBRW(Server&amp;Cube1,$N$15,$N$16,$N$17,$N$18,$N$14,$N$13,AC$2,AC$1,$B101)</f>
        <v>3769778.430133332</v>
      </c>
      <c r="AD101" s="235">
        <f ca="1">_xll.DBRW(Server&amp;Cube1,$N$15,$N$16,$N$17,$N$18,$N$14,$N$13,AD$2,AD$1,$B101)</f>
        <v>1014203.5933330001</v>
      </c>
      <c r="AE101" s="400"/>
      <c r="AF101" s="235">
        <f ca="1">_xll.DBRW(Server&amp;Cube1,$N$15,$N$16,$N$17,$N$18,$N$14,$N$13,AF$2,AF$1,$B101)</f>
        <v>646758.15000000014</v>
      </c>
      <c r="AG101" s="235">
        <f ca="1">_xll.DBRW(Server&amp;Cube1,$N$15,$N$16,$N$17,$N$18,$N$14,$N$13,AG$2,AG$1,$B101)</f>
        <v>3784542.1701333323</v>
      </c>
      <c r="AH101" s="235">
        <f ca="1">_xll.DBRW(Server&amp;Cube1,$N$15,$N$16,$N$17,$N$18,$N$14,$N$13,AH$2,AH$1,$B101)</f>
        <v>1582836.2733330005</v>
      </c>
      <c r="AI101" s="400"/>
      <c r="AJ101" s="235">
        <f ca="1">_xll.DBRW(Server&amp;Cube1,$N$15,$N$16,$N$17,$N$18,$N$14,$N$13,AJ$2,AJ$1,$B101)</f>
        <v>0</v>
      </c>
      <c r="AK101" s="235">
        <f ca="1">_xll.DBRW(Server&amp;Cube1,$N$15,$N$16,$N$17,$N$18,$N$14,$N$13,AK$2,AK$1,$B101)</f>
        <v>3811750.9501333325</v>
      </c>
      <c r="AL101" s="235">
        <f ca="1">_xll.DBRW(Server&amp;Cube1,$N$15,$N$16,$N$17,$N$18,$N$14,$N$13,AL$2,AL$1,$B101)</f>
        <v>1543150.6933330002</v>
      </c>
      <c r="AM101" s="400"/>
      <c r="AN101" s="235">
        <f ca="1">_xll.DBRW(Server&amp;Cube1,$N$15,$N$16,$N$17,$N$18,$N$14,$N$13,AN$2,AN$1,$B101)</f>
        <v>0</v>
      </c>
      <c r="AO101" s="235">
        <f ca="1">_xll.DBRW(Server&amp;Cube1,$N$15,$N$16,$N$17,$N$18,$N$14,$N$13,AO$2,AO$1,$B101)</f>
        <v>3735126.8201333312</v>
      </c>
      <c r="AP101" s="235">
        <f ca="1">_xll.DBRW(Server&amp;Cube1,$N$15,$N$16,$N$17,$N$18,$N$14,$N$13,AP$2,AP$1,$B101)</f>
        <v>761827.76</v>
      </c>
      <c r="AQ101" s="400"/>
      <c r="AR101" s="235">
        <f ca="1">_xll.DBRW(Server&amp;Cube1,$N$15,$N$16,$N$17,$N$18,$N$14,$N$13,AR$2,AR$1,$B101)</f>
        <v>0</v>
      </c>
      <c r="AS101" s="235">
        <f ca="1">_xll.DBRW(Server&amp;Cube1,$N$15,$N$16,$N$17,$N$18,$N$14,$N$13,AS$2,AS$1,$B101)</f>
        <v>3759710.2701333319</v>
      </c>
      <c r="AT101" s="235">
        <f ca="1">_xll.DBRW(Server&amp;Cube1,$N$15,$N$16,$N$17,$N$18,$N$14,$N$13,AT$2,AT$1,$B101)</f>
        <v>3305358.2499999995</v>
      </c>
      <c r="AU101" s="400"/>
      <c r="AV101" s="235">
        <f ca="1">_xll.DBRW(Server&amp;Cube1,$N$15,$N$16,$N$17,$N$18,$N$14,$N$13,AV$2,AV$1,$B101)</f>
        <v>0</v>
      </c>
      <c r="AW101" s="235">
        <f ca="1">_xll.DBRW(Server&amp;Cube1,$N$15,$N$16,$N$17,$N$18,$N$14,$N$13,AW$2,AW$1,$B101)</f>
        <v>3771561.5701333326</v>
      </c>
      <c r="AX101" s="235">
        <f ca="1">_xll.DBRW(Server&amp;Cube1,$N$15,$N$16,$N$17,$N$18,$N$14,$N$13,AX$2,AX$1,$B101)</f>
        <v>1754479.36</v>
      </c>
      <c r="AY101" s="400"/>
      <c r="AZ101" s="235">
        <f ca="1">_xll.DBRW(Server&amp;Cube1,$N$15,$N$16,$N$17,$N$18,$N$14,$N$13,AZ$2,AZ$1,$B101)</f>
        <v>0</v>
      </c>
      <c r="BA101" s="235">
        <f ca="1">_xll.DBRW(Server&amp;Cube1,$N$15,$N$16,$N$17,$N$18,$N$14,$N$13,BA$2,BA$1,$B101)</f>
        <v>3664983.4033333333</v>
      </c>
      <c r="BB101" s="235">
        <f ca="1">_xll.DBRW(Server&amp;Cube1,$N$15,$N$16,$N$17,$N$18,$N$14,$N$13,BB$2,BB$1,$B101)</f>
        <v>911929.17999999924</v>
      </c>
      <c r="BC101" s="400"/>
      <c r="BD101" s="235">
        <f ca="1">_xll.DBRW(Server&amp;Cube1,$N$15,$N$16,$N$17,$N$18,$N$14,$N$13,BD$2,BD$1,$B101)</f>
        <v>0</v>
      </c>
      <c r="BE101" s="235">
        <f ca="1">_xll.DBRW(Server&amp;Cube1,$N$15,$N$16,$N$17,$N$18,$N$14,$N$13,BE$2,BE$1,$B101)</f>
        <v>3679472.6333333291</v>
      </c>
      <c r="BF101" s="235">
        <f ca="1">_xll.DBRW(Server&amp;Cube1,$N$15,$N$16,$N$17,$N$18,$N$14,$N$13,BF$2,BF$1,$B101)</f>
        <v>1570593.0800000005</v>
      </c>
      <c r="BG101" s="400"/>
      <c r="BH101" s="235">
        <f ca="1">_xll.DBRW(Server&amp;Cube1,$N$15,$N$16,$N$17,$N$18,$N$14,$N$13,BH$2,BH$1,$B101)</f>
        <v>0</v>
      </c>
      <c r="BI101" s="235">
        <f ca="1">_xll.DBRW(Server&amp;Cube1,$N$15,$N$16,$N$17,$N$18,$N$14,$N$13,BI$2,BI$1,$B101)</f>
        <v>3733610.5901333354</v>
      </c>
      <c r="BJ101" s="235">
        <f ca="1">_xll.DBRW(Server&amp;Cube1,$N$15,$N$16,$N$17,$N$18,$N$14,$N$13,BJ$2,BJ$1,$B101)</f>
        <v>902915.09999999951</v>
      </c>
      <c r="BK101" s="400"/>
      <c r="BL101" s="235">
        <f ca="1">_xll.DBRW(Server&amp;Cube1,$N$15,$N$16,$N$17,$N$18,$N$14,$N$13,BL$2,BL$1,$B101)</f>
        <v>0</v>
      </c>
      <c r="BM101" s="235">
        <f ca="1">_xll.DBRW(Server&amp;Cube1,$N$15,$N$16,$N$17,$N$18,$N$14,$N$13,BM$2,BM$1,$B101)</f>
        <v>3681268.9401333262</v>
      </c>
      <c r="BN101" s="235">
        <f ca="1">_xll.DBRW(Server&amp;Cube1,$N$15,$N$16,$N$17,$N$18,$N$14,$N$13,BN$2,BN$1,$B101)</f>
        <v>786287.39000000106</v>
      </c>
      <c r="BO101" s="400"/>
      <c r="BP101" s="235">
        <f ca="1">_xll.DBRW(Server&amp;Cube1,$N$15,$N$16,$N$17,$N$18,$N$14,$N$13,BP$2,BP$1,$B101)</f>
        <v>0</v>
      </c>
      <c r="BQ101" s="235">
        <f ca="1">_xll.DBRW(Server&amp;Cube1,$N$15,$N$16,$N$17,$N$18,$N$14,$N$13,BQ$2,BQ$1,$B101)</f>
        <v>3737616.4901333409</v>
      </c>
      <c r="BR101" s="235">
        <f ca="1">_xll.DBRW(Server&amp;Cube1,$N$15,$N$16,$N$17,$N$18,$N$14,$N$13,BR$2,BR$1,$B101)</f>
        <v>1354289.17</v>
      </c>
      <c r="BS101" s="400"/>
      <c r="BT101" s="235">
        <f ca="1">_xll.DBRW(Server&amp;Cube1,$N$15,$N$16,$N$17,$N$18,$N$14,$N$13,BT$2,BT$1,$B101)</f>
        <v>0</v>
      </c>
      <c r="BU101" s="235">
        <f ca="1">_xll.DBRW(Server&amp;Cube1,$N$15,$N$16,$N$17,$N$18,$N$14,$N$13,BU$2,BU$1,$B101)</f>
        <v>3900215.5901333294</v>
      </c>
      <c r="BV101" s="235">
        <f ca="1">_xll.DBRW(Server&amp;Cube1,$N$15,$N$16,$N$17,$N$18,$N$14,$N$13,BV$2,BV$1,$B101)</f>
        <v>1652304.4899999988</v>
      </c>
      <c r="BW101" s="55"/>
      <c r="BX101" s="28"/>
    </row>
    <row r="102" spans="1:78" ht="19.5" hidden="1" customHeight="1" outlineLevel="1" x14ac:dyDescent="0.2">
      <c r="A102" s="57"/>
      <c r="B102" s="360" t="s">
        <v>72</v>
      </c>
      <c r="H102" s="360"/>
      <c r="I102" s="69"/>
      <c r="J102" s="54"/>
      <c r="K102" s="9"/>
      <c r="L102" s="555" t="str">
        <f ca="1">LEFT(_xll.DBRA(Server&amp;$B$32,$B102,$N$19),FIND("(",_xll.DBRA(Server&amp;$B$32,$B102,$N$19),1)-1)</f>
        <v xml:space="preserve">Reinvoicing - Others </v>
      </c>
      <c r="M102" s="555"/>
      <c r="N102" s="555"/>
      <c r="O102" s="555"/>
      <c r="P102" s="234"/>
      <c r="Q102" s="235">
        <f ca="1">_xll.DBRW(Server&amp;Cube1,$N$15,$N$16,$N$17,$N$18,$N$14,$N$13,$N$11,$Q$1,$B102)</f>
        <v>93278.320000000022</v>
      </c>
      <c r="R102" s="235">
        <f ca="1">_xll.DBRW(Server&amp;Cube1,$N$15,$N$16,$N$17,$N$18,$N$14,$N$13,$R$2,$R$1,$B102)</f>
        <v>31809.96</v>
      </c>
      <c r="S102" s="236">
        <f t="shared" ref="S102:S109" ca="1" si="48">Q102-R102</f>
        <v>61468.360000000022</v>
      </c>
      <c r="T102" s="238">
        <f t="shared" ref="T102:T109" ca="1" si="49">IF(R102&lt;&gt;0,IF(R102&gt;0,S102/R102,-S102/R102),0)</f>
        <v>1.932362065214795</v>
      </c>
      <c r="U102" s="223"/>
      <c r="V102" s="235">
        <f ca="1">_xll.DBRW(Server&amp;Cube1,$N$15,$N$16,$N$17,$N$18,$N$14,$N$13,$V$2,$V$1,$B102)</f>
        <v>31226.65</v>
      </c>
      <c r="W102" s="236">
        <f t="shared" ref="W102:W109" ca="1" si="50">Q102-V102</f>
        <v>62051.67000000002</v>
      </c>
      <c r="X102" s="238">
        <f t="shared" ref="X102:X109" ca="1" si="51">IF(V102&lt;&gt;0,IF(V102&gt;0,W102/V102,-W102/V102),0)</f>
        <v>1.9871382296852214</v>
      </c>
      <c r="Y102" s="55"/>
      <c r="Z102" s="55"/>
      <c r="AA102" s="55"/>
      <c r="AB102" s="235">
        <f ca="1">_xll.DBRW(Server&amp;Cube1,$N$15,$N$16,$N$17,$N$18,$N$14,$N$13,AB$2,AB$1,$B102)</f>
        <v>12214.48</v>
      </c>
      <c r="AC102" s="235">
        <f ca="1">_xll.DBRW(Server&amp;Cube1,$N$15,$N$16,$N$17,$N$18,$N$14,$N$13,AC$2,AC$1,$B102)</f>
        <v>15904.98</v>
      </c>
      <c r="AD102" s="235">
        <f ca="1">_xll.DBRW(Server&amp;Cube1,$N$15,$N$16,$N$17,$N$18,$N$14,$N$13,AD$2,AD$1,$B102)</f>
        <v>8379.3100000000013</v>
      </c>
      <c r="AE102" s="400"/>
      <c r="AF102" s="235">
        <f ca="1">_xll.DBRW(Server&amp;Cube1,$N$15,$N$16,$N$17,$N$18,$N$14,$N$13,AF$2,AF$1,$B102)</f>
        <v>81063.840000000011</v>
      </c>
      <c r="AG102" s="235">
        <f ca="1">_xll.DBRW(Server&amp;Cube1,$N$15,$N$16,$N$17,$N$18,$N$14,$N$13,AG$2,AG$1,$B102)</f>
        <v>15904.98</v>
      </c>
      <c r="AH102" s="235">
        <f ca="1">_xll.DBRW(Server&amp;Cube1,$N$15,$N$16,$N$17,$N$18,$N$14,$N$13,AH$2,AH$1,$B102)</f>
        <v>22847.340000000004</v>
      </c>
      <c r="AI102" s="400"/>
      <c r="AJ102" s="235">
        <f ca="1">_xll.DBRW(Server&amp;Cube1,$N$15,$N$16,$N$17,$N$18,$N$14,$N$13,AJ$2,AJ$1,$B102)</f>
        <v>0</v>
      </c>
      <c r="AK102" s="235">
        <f ca="1">_xll.DBRW(Server&amp;Cube1,$N$15,$N$16,$N$17,$N$18,$N$14,$N$13,AK$2,AK$1,$B102)</f>
        <v>15904.98</v>
      </c>
      <c r="AL102" s="235">
        <f ca="1">_xll.DBRW(Server&amp;Cube1,$N$15,$N$16,$N$17,$N$18,$N$14,$N$13,AL$2,AL$1,$B102)</f>
        <v>24273.480000000003</v>
      </c>
      <c r="AM102" s="400"/>
      <c r="AN102" s="235">
        <f ca="1">_xll.DBRW(Server&amp;Cube1,$N$15,$N$16,$N$17,$N$18,$N$14,$N$13,AN$2,AN$1,$B102)</f>
        <v>0</v>
      </c>
      <c r="AO102" s="235">
        <f ca="1">_xll.DBRW(Server&amp;Cube1,$N$15,$N$16,$N$17,$N$18,$N$14,$N$13,AO$2,AO$1,$B102)</f>
        <v>15904.980000000001</v>
      </c>
      <c r="AP102" s="235">
        <f ca="1">_xll.DBRW(Server&amp;Cube1,$N$15,$N$16,$N$17,$N$18,$N$14,$N$13,AP$2,AP$1,$B102)</f>
        <v>22692.769999999997</v>
      </c>
      <c r="AQ102" s="400"/>
      <c r="AR102" s="235">
        <f ca="1">_xll.DBRW(Server&amp;Cube1,$N$15,$N$16,$N$17,$N$18,$N$14,$N$13,AR$2,AR$1,$B102)</f>
        <v>0</v>
      </c>
      <c r="AS102" s="235">
        <f ca="1">_xll.DBRW(Server&amp;Cube1,$N$15,$N$16,$N$17,$N$18,$N$14,$N$13,AS$2,AS$1,$B102)</f>
        <v>15904.979999999998</v>
      </c>
      <c r="AT102" s="235">
        <f ca="1">_xll.DBRW(Server&amp;Cube1,$N$15,$N$16,$N$17,$N$18,$N$14,$N$13,AT$2,AT$1,$B102)</f>
        <v>22774.239999999998</v>
      </c>
      <c r="AU102" s="400"/>
      <c r="AV102" s="235">
        <f ca="1">_xll.DBRW(Server&amp;Cube1,$N$15,$N$16,$N$17,$N$18,$N$14,$N$13,AV$2,AV$1,$B102)</f>
        <v>0</v>
      </c>
      <c r="AW102" s="235">
        <f ca="1">_xll.DBRW(Server&amp;Cube1,$N$15,$N$16,$N$17,$N$18,$N$14,$N$13,AW$2,AW$1,$B102)</f>
        <v>15904.98</v>
      </c>
      <c r="AX102" s="235">
        <f ca="1">_xll.DBRW(Server&amp;Cube1,$N$15,$N$16,$N$17,$N$18,$N$14,$N$13,AX$2,AX$1,$B102)</f>
        <v>28790.520000000008</v>
      </c>
      <c r="AY102" s="400"/>
      <c r="AZ102" s="235">
        <f ca="1">_xll.DBRW(Server&amp;Cube1,$N$15,$N$16,$N$17,$N$18,$N$14,$N$13,AZ$2,AZ$1,$B102)</f>
        <v>0</v>
      </c>
      <c r="BA102" s="235">
        <f ca="1">_xll.DBRW(Server&amp;Cube1,$N$15,$N$16,$N$17,$N$18,$N$14,$N$13,BA$2,BA$1,$B102)</f>
        <v>15904.98</v>
      </c>
      <c r="BB102" s="235">
        <f ca="1">_xll.DBRW(Server&amp;Cube1,$N$15,$N$16,$N$17,$N$18,$N$14,$N$13,BB$2,BB$1,$B102)</f>
        <v>0</v>
      </c>
      <c r="BC102" s="400"/>
      <c r="BD102" s="235">
        <f ca="1">_xll.DBRW(Server&amp;Cube1,$N$15,$N$16,$N$17,$N$18,$N$14,$N$13,BD$2,BD$1,$B102)</f>
        <v>0</v>
      </c>
      <c r="BE102" s="235">
        <f ca="1">_xll.DBRW(Server&amp;Cube1,$N$15,$N$16,$N$17,$N$18,$N$14,$N$13,BE$2,BE$1,$B102)</f>
        <v>15904.980000000003</v>
      </c>
      <c r="BF102" s="235">
        <f ca="1">_xll.DBRW(Server&amp;Cube1,$N$15,$N$16,$N$17,$N$18,$N$14,$N$13,BF$2,BF$1,$B102)</f>
        <v>192392.98</v>
      </c>
      <c r="BG102" s="400"/>
      <c r="BH102" s="235">
        <f ca="1">_xll.DBRW(Server&amp;Cube1,$N$15,$N$16,$N$17,$N$18,$N$14,$N$13,BH$2,BH$1,$B102)</f>
        <v>0</v>
      </c>
      <c r="BI102" s="235">
        <f ca="1">_xll.DBRW(Server&amp;Cube1,$N$15,$N$16,$N$17,$N$18,$N$14,$N$13,BI$2,BI$1,$B102)</f>
        <v>15904.979999999996</v>
      </c>
      <c r="BJ102" s="235">
        <f ca="1">_xll.DBRW(Server&amp;Cube1,$N$15,$N$16,$N$17,$N$18,$N$14,$N$13,BJ$2,BJ$1,$B102)</f>
        <v>29290.149999999994</v>
      </c>
      <c r="BK102" s="400"/>
      <c r="BL102" s="235">
        <f ca="1">_xll.DBRW(Server&amp;Cube1,$N$15,$N$16,$N$17,$N$18,$N$14,$N$13,BL$2,BL$1,$B102)</f>
        <v>0</v>
      </c>
      <c r="BM102" s="235">
        <f ca="1">_xll.DBRW(Server&amp;Cube1,$N$15,$N$16,$N$17,$N$18,$N$14,$N$13,BM$2,BM$1,$B102)</f>
        <v>15904.980000000001</v>
      </c>
      <c r="BN102" s="235">
        <f ca="1">_xll.DBRW(Server&amp;Cube1,$N$15,$N$16,$N$17,$N$18,$N$14,$N$13,BN$2,BN$1,$B102)</f>
        <v>-12374.889999999992</v>
      </c>
      <c r="BO102" s="400"/>
      <c r="BP102" s="235">
        <f ca="1">_xll.DBRW(Server&amp;Cube1,$N$15,$N$16,$N$17,$N$18,$N$14,$N$13,BP$2,BP$1,$B102)</f>
        <v>0</v>
      </c>
      <c r="BQ102" s="235">
        <f ca="1">_xll.DBRW(Server&amp;Cube1,$N$15,$N$16,$N$17,$N$18,$N$14,$N$13,BQ$2,BQ$1,$B102)</f>
        <v>15904.980000000003</v>
      </c>
      <c r="BR102" s="235">
        <f ca="1">_xll.DBRW(Server&amp;Cube1,$N$15,$N$16,$N$17,$N$18,$N$14,$N$13,BR$2,BR$1,$B102)</f>
        <v>486665.64000000007</v>
      </c>
      <c r="BS102" s="400"/>
      <c r="BT102" s="235">
        <f ca="1">_xll.DBRW(Server&amp;Cube1,$N$15,$N$16,$N$17,$N$18,$N$14,$N$13,BT$2,BT$1,$B102)</f>
        <v>0</v>
      </c>
      <c r="BU102" s="235">
        <f ca="1">_xll.DBRW(Server&amp;Cube1,$N$15,$N$16,$N$17,$N$18,$N$14,$N$13,BU$2,BU$1,$B102)</f>
        <v>15904.979999999996</v>
      </c>
      <c r="BV102" s="235">
        <f ca="1">_xll.DBRW(Server&amp;Cube1,$N$15,$N$16,$N$17,$N$18,$N$14,$N$13,BV$2,BV$1,$B102)</f>
        <v>41615.580000000009</v>
      </c>
      <c r="BW102" s="55"/>
      <c r="BX102" s="28"/>
    </row>
    <row r="103" spans="1:78" ht="19.5" hidden="1" customHeight="1" outlineLevel="1" x14ac:dyDescent="0.2">
      <c r="A103" s="57"/>
      <c r="B103" s="360" t="s">
        <v>73</v>
      </c>
      <c r="H103" s="360"/>
      <c r="I103" s="69"/>
      <c r="J103" s="54"/>
      <c r="K103" s="9"/>
      <c r="L103" s="555" t="str">
        <f ca="1">LEFT(_xll.DBRA(Server&amp;$B$32,$B103,$N$19),FIND("(",_xll.DBRA(Server&amp;$B$32,$B103,$N$19),1)-1)</f>
        <v xml:space="preserve">Impairment </v>
      </c>
      <c r="M103" s="555"/>
      <c r="N103" s="555"/>
      <c r="O103" s="555"/>
      <c r="P103" s="234"/>
      <c r="Q103" s="235">
        <f ca="1">_xll.DBRW(Server&amp;Cube1,$N$15,$N$16,$N$17,$N$18,$N$14,$N$13,$N$11,$Q$1,$B103)</f>
        <v>21888.70999999997</v>
      </c>
      <c r="R103" s="235">
        <f ca="1">_xll.DBRW(Server&amp;Cube1,$N$15,$N$16,$N$17,$N$18,$N$14,$N$13,$R$2,$R$1,$B103)</f>
        <v>-160982.79</v>
      </c>
      <c r="S103" s="236">
        <f t="shared" ca="1" si="48"/>
        <v>182871.49999999997</v>
      </c>
      <c r="T103" s="238">
        <f t="shared" ca="1" si="49"/>
        <v>1.135969254850161</v>
      </c>
      <c r="U103" s="223"/>
      <c r="V103" s="235">
        <f ca="1">_xll.DBRW(Server&amp;Cube1,$N$15,$N$16,$N$17,$N$18,$N$14,$N$13,$V$2,$V$1,$B103)</f>
        <v>-592573.9800000001</v>
      </c>
      <c r="W103" s="236">
        <f t="shared" ca="1" si="50"/>
        <v>614462.69000000006</v>
      </c>
      <c r="X103" s="238">
        <f t="shared" ca="1" si="51"/>
        <v>1.0369383583126617</v>
      </c>
      <c r="Y103" s="55"/>
      <c r="Z103" s="55"/>
      <c r="AA103" s="55"/>
      <c r="AB103" s="235">
        <f ca="1">_xll.DBRW(Server&amp;Cube1,$N$15,$N$16,$N$17,$N$18,$N$14,$N$13,AB$2,AB$1,$B103)</f>
        <v>-9170.91</v>
      </c>
      <c r="AC103" s="235">
        <f ca="1">_xll.DBRW(Server&amp;Cube1,$N$15,$N$16,$N$17,$N$18,$N$14,$N$13,AC$2,AC$1,$B103)</f>
        <v>31951.780000000006</v>
      </c>
      <c r="AD103" s="235">
        <f ca="1">_xll.DBRW(Server&amp;Cube1,$N$15,$N$16,$N$17,$N$18,$N$14,$N$13,AD$2,AD$1,$B103)</f>
        <v>31631.810000000005</v>
      </c>
      <c r="AE103" s="400"/>
      <c r="AF103" s="235">
        <f ca="1">_xll.DBRW(Server&amp;Cube1,$N$15,$N$16,$N$17,$N$18,$N$14,$N$13,AF$2,AF$1,$B103)</f>
        <v>31059.619999999974</v>
      </c>
      <c r="AG103" s="235">
        <f ca="1">_xll.DBRW(Server&amp;Cube1,$N$15,$N$16,$N$17,$N$18,$N$14,$N$13,AG$2,AG$1,$B103)</f>
        <v>-192934.57</v>
      </c>
      <c r="AH103" s="235">
        <f ca="1">_xll.DBRW(Server&amp;Cube1,$N$15,$N$16,$N$17,$N$18,$N$14,$N$13,AH$2,AH$1,$B103)</f>
        <v>-624205.79</v>
      </c>
      <c r="AI103" s="400"/>
      <c r="AJ103" s="235">
        <f ca="1">_xll.DBRW(Server&amp;Cube1,$N$15,$N$16,$N$17,$N$18,$N$14,$N$13,AJ$2,AJ$1,$B103)</f>
        <v>0</v>
      </c>
      <c r="AK103" s="235">
        <f ca="1">_xll.DBRW(Server&amp;Cube1,$N$15,$N$16,$N$17,$N$18,$N$14,$N$13,AK$2,AK$1,$B103)</f>
        <v>-2562.5200000000386</v>
      </c>
      <c r="AL103" s="235">
        <f ca="1">_xll.DBRW(Server&amp;Cube1,$N$15,$N$16,$N$17,$N$18,$N$14,$N$13,AL$2,AL$1,$B103)</f>
        <v>-69838.030000000013</v>
      </c>
      <c r="AM103" s="400"/>
      <c r="AN103" s="235">
        <f ca="1">_xll.DBRW(Server&amp;Cube1,$N$15,$N$16,$N$17,$N$18,$N$14,$N$13,AN$2,AN$1,$B103)</f>
        <v>0</v>
      </c>
      <c r="AO103" s="235">
        <f ca="1">_xll.DBRW(Server&amp;Cube1,$N$15,$N$16,$N$17,$N$18,$N$14,$N$13,AO$2,AO$1,$B103)</f>
        <v>-136813.03000000003</v>
      </c>
      <c r="AP103" s="235">
        <f ca="1">_xll.DBRW(Server&amp;Cube1,$N$15,$N$16,$N$17,$N$18,$N$14,$N$13,AP$2,AP$1,$B103)</f>
        <v>-154217.78</v>
      </c>
      <c r="AQ103" s="400"/>
      <c r="AR103" s="235">
        <f ca="1">_xll.DBRW(Server&amp;Cube1,$N$15,$N$16,$N$17,$N$18,$N$14,$N$13,AR$2,AR$1,$B103)</f>
        <v>0</v>
      </c>
      <c r="AS103" s="235">
        <f ca="1">_xll.DBRW(Server&amp;Cube1,$N$15,$N$16,$N$17,$N$18,$N$14,$N$13,AS$2,AS$1,$B103)</f>
        <v>-34069.279999999948</v>
      </c>
      <c r="AT103" s="235">
        <f ca="1">_xll.DBRW(Server&amp;Cube1,$N$15,$N$16,$N$17,$N$18,$N$14,$N$13,AT$2,AT$1,$B103)</f>
        <v>-431498.51999999996</v>
      </c>
      <c r="AU103" s="400"/>
      <c r="AV103" s="235">
        <f ca="1">_xll.DBRW(Server&amp;Cube1,$N$15,$N$16,$N$17,$N$18,$N$14,$N$13,AV$2,AV$1,$B103)</f>
        <v>0</v>
      </c>
      <c r="AW103" s="235">
        <f ca="1">_xll.DBRW(Server&amp;Cube1,$N$15,$N$16,$N$17,$N$18,$N$14,$N$13,AW$2,AW$1,$B103)</f>
        <v>-151581.87000000005</v>
      </c>
      <c r="AX103" s="235">
        <f ca="1">_xll.DBRW(Server&amp;Cube1,$N$15,$N$16,$N$17,$N$18,$N$14,$N$13,AX$2,AX$1,$B103)</f>
        <v>-355739.61</v>
      </c>
      <c r="AY103" s="400"/>
      <c r="AZ103" s="235">
        <f ca="1">_xll.DBRW(Server&amp;Cube1,$N$15,$N$16,$N$17,$N$18,$N$14,$N$13,AZ$2,AZ$1,$B103)</f>
        <v>0</v>
      </c>
      <c r="BA103" s="235">
        <f ca="1">_xll.DBRW(Server&amp;Cube1,$N$15,$N$16,$N$17,$N$18,$N$14,$N$13,BA$2,BA$1,$B103)</f>
        <v>-354501.77999999991</v>
      </c>
      <c r="BB103" s="235">
        <f ca="1">_xll.DBRW(Server&amp;Cube1,$N$15,$N$16,$N$17,$N$18,$N$14,$N$13,BB$2,BB$1,$B103)</f>
        <v>59921.270000000091</v>
      </c>
      <c r="BC103" s="400"/>
      <c r="BD103" s="235">
        <f ca="1">_xll.DBRW(Server&amp;Cube1,$N$15,$N$16,$N$17,$N$18,$N$14,$N$13,BD$2,BD$1,$B103)</f>
        <v>0</v>
      </c>
      <c r="BE103" s="235">
        <f ca="1">_xll.DBRW(Server&amp;Cube1,$N$15,$N$16,$N$17,$N$18,$N$14,$N$13,BE$2,BE$1,$B103)</f>
        <v>-387174.81</v>
      </c>
      <c r="BF103" s="235">
        <f ca="1">_xll.DBRW(Server&amp;Cube1,$N$15,$N$16,$N$17,$N$18,$N$14,$N$13,BF$2,BF$1,$B103)</f>
        <v>-637624.24</v>
      </c>
      <c r="BG103" s="400"/>
      <c r="BH103" s="235">
        <f ca="1">_xll.DBRW(Server&amp;Cube1,$N$15,$N$16,$N$17,$N$18,$N$14,$N$13,BH$2,BH$1,$B103)</f>
        <v>0</v>
      </c>
      <c r="BI103" s="235">
        <f ca="1">_xll.DBRW(Server&amp;Cube1,$N$15,$N$16,$N$17,$N$18,$N$14,$N$13,BI$2,BI$1,$B103)</f>
        <v>-489009.37000000005</v>
      </c>
      <c r="BJ103" s="235">
        <f ca="1">_xll.DBRW(Server&amp;Cube1,$N$15,$N$16,$N$17,$N$18,$N$14,$N$13,BJ$2,BJ$1,$B103)</f>
        <v>-686546.2699999999</v>
      </c>
      <c r="BK103" s="400"/>
      <c r="BL103" s="235">
        <f ca="1">_xll.DBRW(Server&amp;Cube1,$N$15,$N$16,$N$17,$N$18,$N$14,$N$13,BL$2,BL$1,$B103)</f>
        <v>0</v>
      </c>
      <c r="BM103" s="235">
        <f ca="1">_xll.DBRW(Server&amp;Cube1,$N$15,$N$16,$N$17,$N$18,$N$14,$N$13,BM$2,BM$1,$B103)</f>
        <v>-281481.31000000006</v>
      </c>
      <c r="BN103" s="235">
        <f ca="1">_xll.DBRW(Server&amp;Cube1,$N$15,$N$16,$N$17,$N$18,$N$14,$N$13,BN$2,BN$1,$B103)</f>
        <v>-259115.65999999997</v>
      </c>
      <c r="BO103" s="400"/>
      <c r="BP103" s="235">
        <f ca="1">_xll.DBRW(Server&amp;Cube1,$N$15,$N$16,$N$17,$N$18,$N$14,$N$13,BP$2,BP$1,$B103)</f>
        <v>0</v>
      </c>
      <c r="BQ103" s="235">
        <f ca="1">_xll.DBRW(Server&amp;Cube1,$N$15,$N$16,$N$17,$N$18,$N$14,$N$13,BQ$2,BQ$1,$B103)</f>
        <v>-380501.63000000012</v>
      </c>
      <c r="BR103" s="235">
        <f ca="1">_xll.DBRW(Server&amp;Cube1,$N$15,$N$16,$N$17,$N$18,$N$14,$N$13,BR$2,BR$1,$B103)</f>
        <v>-537575.03</v>
      </c>
      <c r="BS103" s="400"/>
      <c r="BT103" s="235">
        <f ca="1">_xll.DBRW(Server&amp;Cube1,$N$15,$N$16,$N$17,$N$18,$N$14,$N$13,BT$2,BT$1,$B103)</f>
        <v>0</v>
      </c>
      <c r="BU103" s="235">
        <f ca="1">_xll.DBRW(Server&amp;Cube1,$N$15,$N$16,$N$17,$N$18,$N$14,$N$13,BU$2,BU$1,$B103)</f>
        <v>-359437.95000000019</v>
      </c>
      <c r="BV103" s="235">
        <f ca="1">_xll.DBRW(Server&amp;Cube1,$N$15,$N$16,$N$17,$N$18,$N$14,$N$13,BV$2,BV$1,$B103)</f>
        <v>-898955.41</v>
      </c>
      <c r="BW103" s="55"/>
      <c r="BX103" s="28"/>
    </row>
    <row r="104" spans="1:78" ht="19.5" hidden="1" customHeight="1" outlineLevel="1" x14ac:dyDescent="0.2">
      <c r="A104" s="57"/>
      <c r="B104" s="360" t="s">
        <v>342</v>
      </c>
      <c r="H104" s="360"/>
      <c r="I104" s="69"/>
      <c r="J104" s="54"/>
      <c r="K104" s="9"/>
      <c r="L104" s="555" t="str">
        <f ca="1">LEFT(_xll.DBRA(Server&amp;$B$32,$B104,$N$19),FIND("(",_xll.DBRA(Server&amp;$B$32,$B104,$N$19),1)-1)</f>
        <v xml:space="preserve">Impact of change in revaluation rate on provisions for losses on LT contracts - others </v>
      </c>
      <c r="M104" s="555"/>
      <c r="N104" s="555"/>
      <c r="O104" s="555"/>
      <c r="P104" s="234"/>
      <c r="Q104" s="235">
        <f ca="1">_xll.DBRW(Server&amp;Cube1,$N$15,$N$16,$N$17,$N$18,$N$14,$N$13,$N$11,$Q$1,$B104)</f>
        <v>0</v>
      </c>
      <c r="R104" s="235">
        <f ca="1">_xll.DBRW(Server&amp;Cube1,$N$15,$N$16,$N$17,$N$18,$N$14,$N$13,$R$2,$R$1,$B104)</f>
        <v>0</v>
      </c>
      <c r="S104" s="236">
        <f t="shared" ref="S104" ca="1" si="52">Q104-R104</f>
        <v>0</v>
      </c>
      <c r="T104" s="238">
        <f t="shared" ref="T104" ca="1" si="53">IF(R104&lt;&gt;0,IF(R104&gt;0,S104/R104,-S104/R104),0)</f>
        <v>0</v>
      </c>
      <c r="U104" s="223"/>
      <c r="V104" s="235">
        <f ca="1">_xll.DBRW(Server&amp;Cube1,$N$15,$N$16,$N$17,$N$18,$N$14,$N$13,$V$2,$V$1,$B104)</f>
        <v>0</v>
      </c>
      <c r="W104" s="236">
        <f t="shared" ref="W104" ca="1" si="54">Q104-V104</f>
        <v>0</v>
      </c>
      <c r="X104" s="238">
        <f t="shared" ref="X104" ca="1" si="55">IF(V104&lt;&gt;0,IF(V104&gt;0,W104/V104,-W104/V104),0)</f>
        <v>0</v>
      </c>
      <c r="Y104" s="55"/>
      <c r="Z104" s="55"/>
      <c r="AA104" s="55"/>
      <c r="AB104" s="235">
        <f ca="1">_xll.DBRW(Server&amp;Cube1,$N$15,$N$16,$N$17,$N$18,$N$14,$N$13,AB$2,AB$1,$B104)</f>
        <v>0</v>
      </c>
      <c r="AC104" s="235">
        <f ca="1">_xll.DBRW(Server&amp;Cube1,$N$15,$N$16,$N$17,$N$18,$N$14,$N$13,AC$2,AC$1,$B104)</f>
        <v>0</v>
      </c>
      <c r="AD104" s="235">
        <f ca="1">_xll.DBRW(Server&amp;Cube1,$N$15,$N$16,$N$17,$N$18,$N$14,$N$13,AD$2,AD$1,$B104)</f>
        <v>0</v>
      </c>
      <c r="AE104" s="400"/>
      <c r="AF104" s="235">
        <f ca="1">_xll.DBRW(Server&amp;Cube1,$N$15,$N$16,$N$17,$N$18,$N$14,$N$13,AF$2,AF$1,$B104)</f>
        <v>0</v>
      </c>
      <c r="AG104" s="235">
        <f ca="1">_xll.DBRW(Server&amp;Cube1,$N$15,$N$16,$N$17,$N$18,$N$14,$N$13,AG$2,AG$1,$B104)</f>
        <v>0</v>
      </c>
      <c r="AH104" s="235">
        <f ca="1">_xll.DBRW(Server&amp;Cube1,$N$15,$N$16,$N$17,$N$18,$N$14,$N$13,AH$2,AH$1,$B104)</f>
        <v>0</v>
      </c>
      <c r="AI104" s="400"/>
      <c r="AJ104" s="235">
        <f ca="1">_xll.DBRW(Server&amp;Cube1,$N$15,$N$16,$N$17,$N$18,$N$14,$N$13,AJ$2,AJ$1,$B104)</f>
        <v>0</v>
      </c>
      <c r="AK104" s="235">
        <f ca="1">_xll.DBRW(Server&amp;Cube1,$N$15,$N$16,$N$17,$N$18,$N$14,$N$13,AK$2,AK$1,$B104)</f>
        <v>0</v>
      </c>
      <c r="AL104" s="235">
        <f ca="1">_xll.DBRW(Server&amp;Cube1,$N$15,$N$16,$N$17,$N$18,$N$14,$N$13,AL$2,AL$1,$B104)</f>
        <v>0</v>
      </c>
      <c r="AM104" s="400"/>
      <c r="AN104" s="235">
        <f ca="1">_xll.DBRW(Server&amp;Cube1,$N$15,$N$16,$N$17,$N$18,$N$14,$N$13,AN$2,AN$1,$B104)</f>
        <v>0</v>
      </c>
      <c r="AO104" s="235">
        <f ca="1">_xll.DBRW(Server&amp;Cube1,$N$15,$N$16,$N$17,$N$18,$N$14,$N$13,AO$2,AO$1,$B104)</f>
        <v>0</v>
      </c>
      <c r="AP104" s="235">
        <f ca="1">_xll.DBRW(Server&amp;Cube1,$N$15,$N$16,$N$17,$N$18,$N$14,$N$13,AP$2,AP$1,$B104)</f>
        <v>0</v>
      </c>
      <c r="AQ104" s="400"/>
      <c r="AR104" s="235">
        <f ca="1">_xll.DBRW(Server&amp;Cube1,$N$15,$N$16,$N$17,$N$18,$N$14,$N$13,AR$2,AR$1,$B104)</f>
        <v>0</v>
      </c>
      <c r="AS104" s="235">
        <f ca="1">_xll.DBRW(Server&amp;Cube1,$N$15,$N$16,$N$17,$N$18,$N$14,$N$13,AS$2,AS$1,$B104)</f>
        <v>0</v>
      </c>
      <c r="AT104" s="235">
        <f ca="1">_xll.DBRW(Server&amp;Cube1,$N$15,$N$16,$N$17,$N$18,$N$14,$N$13,AT$2,AT$1,$B104)</f>
        <v>0</v>
      </c>
      <c r="AU104" s="400"/>
      <c r="AV104" s="235">
        <f ca="1">_xll.DBRW(Server&amp;Cube1,$N$15,$N$16,$N$17,$N$18,$N$14,$N$13,AV$2,AV$1,$B104)</f>
        <v>0</v>
      </c>
      <c r="AW104" s="235">
        <f ca="1">_xll.DBRW(Server&amp;Cube1,$N$15,$N$16,$N$17,$N$18,$N$14,$N$13,AW$2,AW$1,$B104)</f>
        <v>0</v>
      </c>
      <c r="AX104" s="235">
        <f ca="1">_xll.DBRW(Server&amp;Cube1,$N$15,$N$16,$N$17,$N$18,$N$14,$N$13,AX$2,AX$1,$B104)</f>
        <v>0</v>
      </c>
      <c r="AY104" s="400"/>
      <c r="AZ104" s="235">
        <f ca="1">_xll.DBRW(Server&amp;Cube1,$N$15,$N$16,$N$17,$N$18,$N$14,$N$13,AZ$2,AZ$1,$B104)</f>
        <v>0</v>
      </c>
      <c r="BA104" s="235">
        <f ca="1">_xll.DBRW(Server&amp;Cube1,$N$15,$N$16,$N$17,$N$18,$N$14,$N$13,BA$2,BA$1,$B104)</f>
        <v>0</v>
      </c>
      <c r="BB104" s="235">
        <f ca="1">_xll.DBRW(Server&amp;Cube1,$N$15,$N$16,$N$17,$N$18,$N$14,$N$13,BB$2,BB$1,$B104)</f>
        <v>0</v>
      </c>
      <c r="BC104" s="400"/>
      <c r="BD104" s="235">
        <f ca="1">_xll.DBRW(Server&amp;Cube1,$N$15,$N$16,$N$17,$N$18,$N$14,$N$13,BD$2,BD$1,$B104)</f>
        <v>0</v>
      </c>
      <c r="BE104" s="235">
        <f ca="1">_xll.DBRW(Server&amp;Cube1,$N$15,$N$16,$N$17,$N$18,$N$14,$N$13,BE$2,BE$1,$B104)</f>
        <v>0</v>
      </c>
      <c r="BF104" s="235">
        <f ca="1">_xll.DBRW(Server&amp;Cube1,$N$15,$N$16,$N$17,$N$18,$N$14,$N$13,BF$2,BF$1,$B104)</f>
        <v>0</v>
      </c>
      <c r="BG104" s="400"/>
      <c r="BH104" s="235">
        <f ca="1">_xll.DBRW(Server&amp;Cube1,$N$15,$N$16,$N$17,$N$18,$N$14,$N$13,BH$2,BH$1,$B104)</f>
        <v>0</v>
      </c>
      <c r="BI104" s="235">
        <f ca="1">_xll.DBRW(Server&amp;Cube1,$N$15,$N$16,$N$17,$N$18,$N$14,$N$13,BI$2,BI$1,$B104)</f>
        <v>0</v>
      </c>
      <c r="BJ104" s="235">
        <f ca="1">_xll.DBRW(Server&amp;Cube1,$N$15,$N$16,$N$17,$N$18,$N$14,$N$13,BJ$2,BJ$1,$B104)</f>
        <v>0</v>
      </c>
      <c r="BK104" s="400"/>
      <c r="BL104" s="235">
        <f ca="1">_xll.DBRW(Server&amp;Cube1,$N$15,$N$16,$N$17,$N$18,$N$14,$N$13,BL$2,BL$1,$B104)</f>
        <v>0</v>
      </c>
      <c r="BM104" s="235">
        <f ca="1">_xll.DBRW(Server&amp;Cube1,$N$15,$N$16,$N$17,$N$18,$N$14,$N$13,BM$2,BM$1,$B104)</f>
        <v>0</v>
      </c>
      <c r="BN104" s="235">
        <f ca="1">_xll.DBRW(Server&amp;Cube1,$N$15,$N$16,$N$17,$N$18,$N$14,$N$13,BN$2,BN$1,$B104)</f>
        <v>0</v>
      </c>
      <c r="BO104" s="400"/>
      <c r="BP104" s="235">
        <f ca="1">_xll.DBRW(Server&amp;Cube1,$N$15,$N$16,$N$17,$N$18,$N$14,$N$13,BP$2,BP$1,$B104)</f>
        <v>0</v>
      </c>
      <c r="BQ104" s="235">
        <f ca="1">_xll.DBRW(Server&amp;Cube1,$N$15,$N$16,$N$17,$N$18,$N$14,$N$13,BQ$2,BQ$1,$B104)</f>
        <v>0</v>
      </c>
      <c r="BR104" s="235">
        <f ca="1">_xll.DBRW(Server&amp;Cube1,$N$15,$N$16,$N$17,$N$18,$N$14,$N$13,BR$2,BR$1,$B104)</f>
        <v>0</v>
      </c>
      <c r="BS104" s="400"/>
      <c r="BT104" s="235">
        <f ca="1">_xll.DBRW(Server&amp;Cube1,$N$15,$N$16,$N$17,$N$18,$N$14,$N$13,BT$2,BT$1,$B104)</f>
        <v>0</v>
      </c>
      <c r="BU104" s="235">
        <f ca="1">_xll.DBRW(Server&amp;Cube1,$N$15,$N$16,$N$17,$N$18,$N$14,$N$13,BU$2,BU$1,$B104)</f>
        <v>0</v>
      </c>
      <c r="BV104" s="235">
        <f ca="1">_xll.DBRW(Server&amp;Cube1,$N$15,$N$16,$N$17,$N$18,$N$14,$N$13,BV$2,BV$1,$B104)</f>
        <v>0</v>
      </c>
      <c r="BW104" s="55"/>
      <c r="BX104" s="28"/>
    </row>
    <row r="105" spans="1:78" ht="19.5" hidden="1" customHeight="1" outlineLevel="1" x14ac:dyDescent="0.2">
      <c r="A105" s="57"/>
      <c r="B105" s="360" t="s">
        <v>75</v>
      </c>
      <c r="H105" s="360"/>
      <c r="I105" s="69"/>
      <c r="J105" s="54"/>
      <c r="K105" s="9"/>
      <c r="L105" s="555" t="str">
        <f ca="1">LEFT(_xll.DBRA(Server&amp;$B$32,$B105,$N$19),FIND("(",_xll.DBRA(Server&amp;$B$32,$B105,$N$19),1)-1)</f>
        <v xml:space="preserve">Gains/losses on disposal of tangible &amp; intangible fixed assets </v>
      </c>
      <c r="M105" s="555"/>
      <c r="N105" s="555"/>
      <c r="O105" s="555"/>
      <c r="P105" s="234"/>
      <c r="Q105" s="235">
        <f ca="1">_xll.DBRW(Server&amp;Cube1,$N$15,$N$16,$N$17,$N$18,$N$14,$N$13,$N$11,$Q$1,$B105)</f>
        <v>585802.96</v>
      </c>
      <c r="R105" s="235">
        <f ca="1">_xll.DBRW(Server&amp;Cube1,$N$15,$N$16,$N$17,$N$18,$N$14,$N$13,$R$2,$R$1,$B105)</f>
        <v>179541.28666666665</v>
      </c>
      <c r="S105" s="236">
        <f t="shared" ref="S105:S108" ca="1" si="56">Q105-R105</f>
        <v>406261.67333333334</v>
      </c>
      <c r="T105" s="238">
        <f t="shared" ref="T105:T108" ca="1" si="57">IF(R105&lt;&gt;0,IF(R105&gt;0,S105/R105,-S105/R105),0)</f>
        <v>2.2627757708319867</v>
      </c>
      <c r="U105" s="223"/>
      <c r="V105" s="235">
        <f ca="1">_xll.DBRW(Server&amp;Cube1,$N$15,$N$16,$N$17,$N$18,$N$14,$N$13,$V$2,$V$1,$B105)</f>
        <v>769765.19</v>
      </c>
      <c r="W105" s="236">
        <f t="shared" ref="W105:W108" ca="1" si="58">Q105-V105</f>
        <v>-183962.22999999998</v>
      </c>
      <c r="X105" s="238">
        <f t="shared" ref="X105:X108" ca="1" si="59">IF(V105&lt;&gt;0,IF(V105&gt;0,W105/V105,-W105/V105),0)</f>
        <v>-0.23898486498200833</v>
      </c>
      <c r="Y105" s="55"/>
      <c r="Z105" s="55"/>
      <c r="AA105" s="55"/>
      <c r="AB105" s="235">
        <f ca="1">_xll.DBRW(Server&amp;Cube1,$N$15,$N$16,$N$17,$N$18,$N$14,$N$13,AB$2,AB$1,$B105)</f>
        <v>-16777.01999999999</v>
      </c>
      <c r="AC105" s="235">
        <f ca="1">_xll.DBRW(Server&amp;Cube1,$N$15,$N$16,$N$17,$N$18,$N$14,$N$13,AC$2,AC$1,$B105)</f>
        <v>149470.45333333334</v>
      </c>
      <c r="AD105" s="235">
        <f ca="1">_xll.DBRW(Server&amp;Cube1,$N$15,$N$16,$N$17,$N$18,$N$14,$N$13,AD$2,AD$1,$B105)</f>
        <v>463937.89</v>
      </c>
      <c r="AE105" s="400"/>
      <c r="AF105" s="235">
        <f ca="1">_xll.DBRW(Server&amp;Cube1,$N$15,$N$16,$N$17,$N$18,$N$14,$N$13,AF$2,AF$1,$B105)</f>
        <v>602579.98</v>
      </c>
      <c r="AG105" s="235">
        <f ca="1">_xll.DBRW(Server&amp;Cube1,$N$15,$N$16,$N$17,$N$18,$N$14,$N$13,AG$2,AG$1,$B105)</f>
        <v>30070.833333333336</v>
      </c>
      <c r="AH105" s="235">
        <f ca="1">_xll.DBRW(Server&amp;Cube1,$N$15,$N$16,$N$17,$N$18,$N$14,$N$13,AH$2,AH$1,$B105)</f>
        <v>305827.3</v>
      </c>
      <c r="AI105" s="400"/>
      <c r="AJ105" s="235">
        <f ca="1">_xll.DBRW(Server&amp;Cube1,$N$15,$N$16,$N$17,$N$18,$N$14,$N$13,AJ$2,AJ$1,$B105)</f>
        <v>0</v>
      </c>
      <c r="AK105" s="235">
        <f ca="1">_xll.DBRW(Server&amp;Cube1,$N$15,$N$16,$N$17,$N$18,$N$14,$N$13,AK$2,AK$1,$B105)</f>
        <v>67123.153333333335</v>
      </c>
      <c r="AL105" s="235">
        <f ca="1">_xll.DBRW(Server&amp;Cube1,$N$15,$N$16,$N$17,$N$18,$N$14,$N$13,AL$2,AL$1,$B105)</f>
        <v>8037.4800000000105</v>
      </c>
      <c r="AM105" s="400"/>
      <c r="AN105" s="235">
        <f ca="1">_xll.DBRW(Server&amp;Cube1,$N$15,$N$16,$N$17,$N$18,$N$14,$N$13,AN$2,AN$1,$B105)</f>
        <v>0</v>
      </c>
      <c r="AO105" s="235">
        <f ca="1">_xll.DBRW(Server&amp;Cube1,$N$15,$N$16,$N$17,$N$18,$N$14,$N$13,AO$2,AO$1,$B105)</f>
        <v>49070.833333333336</v>
      </c>
      <c r="AP105" s="235">
        <f ca="1">_xll.DBRW(Server&amp;Cube1,$N$15,$N$16,$N$17,$N$18,$N$14,$N$13,AP$2,AP$1,$B105)</f>
        <v>-1315017.3099999998</v>
      </c>
      <c r="AQ105" s="400"/>
      <c r="AR105" s="235">
        <f ca="1">_xll.DBRW(Server&amp;Cube1,$N$15,$N$16,$N$17,$N$18,$N$14,$N$13,AR$2,AR$1,$B105)</f>
        <v>0</v>
      </c>
      <c r="AS105" s="235">
        <f ca="1">_xll.DBRW(Server&amp;Cube1,$N$15,$N$16,$N$17,$N$18,$N$14,$N$13,AS$2,AS$1,$B105)</f>
        <v>68070.833333333343</v>
      </c>
      <c r="AT105" s="235">
        <f ca="1">_xll.DBRW(Server&amp;Cube1,$N$15,$N$16,$N$17,$N$18,$N$14,$N$13,AT$2,AT$1,$B105)</f>
        <v>660580.15000000014</v>
      </c>
      <c r="AU105" s="400"/>
      <c r="AV105" s="235">
        <f ca="1">_xll.DBRW(Server&amp;Cube1,$N$15,$N$16,$N$17,$N$18,$N$14,$N$13,AV$2,AV$1,$B105)</f>
        <v>0</v>
      </c>
      <c r="AW105" s="235">
        <f ca="1">_xll.DBRW(Server&amp;Cube1,$N$15,$N$16,$N$17,$N$18,$N$14,$N$13,AW$2,AW$1,$B105)</f>
        <v>73210.84611942395</v>
      </c>
      <c r="AX105" s="235">
        <f ca="1">_xll.DBRW(Server&amp;Cube1,$N$15,$N$16,$N$17,$N$18,$N$14,$N$13,AX$2,AX$1,$B105)</f>
        <v>-10186.209999999963</v>
      </c>
      <c r="AY105" s="400"/>
      <c r="AZ105" s="235">
        <f ca="1">_xll.DBRW(Server&amp;Cube1,$N$15,$N$16,$N$17,$N$18,$N$14,$N$13,AZ$2,AZ$1,$B105)</f>
        <v>0</v>
      </c>
      <c r="BA105" s="235">
        <f ca="1">_xll.DBRW(Server&amp;Cube1,$N$15,$N$16,$N$17,$N$18,$N$14,$N$13,BA$2,BA$1,$B105)</f>
        <v>89704.53333333334</v>
      </c>
      <c r="BB105" s="235">
        <f ca="1">_xll.DBRW(Server&amp;Cube1,$N$15,$N$16,$N$17,$N$18,$N$14,$N$13,BB$2,BB$1,$B105)</f>
        <v>76192.020000000019</v>
      </c>
      <c r="BC105" s="400"/>
      <c r="BD105" s="235">
        <f ca="1">_xll.DBRW(Server&amp;Cube1,$N$15,$N$16,$N$17,$N$18,$N$14,$N$13,BD$2,BD$1,$B105)</f>
        <v>0</v>
      </c>
      <c r="BE105" s="235">
        <f ca="1">_xll.DBRW(Server&amp;Cube1,$N$15,$N$16,$N$17,$N$18,$N$14,$N$13,BE$2,BE$1,$B105)</f>
        <v>221070.83333333334</v>
      </c>
      <c r="BF105" s="235">
        <f ca="1">_xll.DBRW(Server&amp;Cube1,$N$15,$N$16,$N$17,$N$18,$N$14,$N$13,BF$2,BF$1,$B105)</f>
        <v>241109.08999999997</v>
      </c>
      <c r="BG105" s="400"/>
      <c r="BH105" s="235">
        <f ca="1">_xll.DBRW(Server&amp;Cube1,$N$15,$N$16,$N$17,$N$18,$N$14,$N$13,BH$2,BH$1,$B105)</f>
        <v>0</v>
      </c>
      <c r="BI105" s="235">
        <f ca="1">_xll.DBRW(Server&amp;Cube1,$N$15,$N$16,$N$17,$N$18,$N$14,$N$13,BI$2,BI$1,$B105)</f>
        <v>395070.83333333331</v>
      </c>
      <c r="BJ105" s="235">
        <f ca="1">_xll.DBRW(Server&amp;Cube1,$N$15,$N$16,$N$17,$N$18,$N$14,$N$13,BJ$2,BJ$1,$B105)</f>
        <v>166805.07</v>
      </c>
      <c r="BK105" s="400"/>
      <c r="BL105" s="235">
        <f ca="1">_xll.DBRW(Server&amp;Cube1,$N$15,$N$16,$N$17,$N$18,$N$14,$N$13,BL$2,BL$1,$B105)</f>
        <v>0</v>
      </c>
      <c r="BM105" s="235">
        <f ca="1">_xll.DBRW(Server&amp;Cube1,$N$15,$N$16,$N$17,$N$18,$N$14,$N$13,BM$2,BM$1,$B105)</f>
        <v>149524.4133333333</v>
      </c>
      <c r="BN105" s="235">
        <f ca="1">_xll.DBRW(Server&amp;Cube1,$N$15,$N$16,$N$17,$N$18,$N$14,$N$13,BN$2,BN$1,$B105)</f>
        <v>271216.62</v>
      </c>
      <c r="BO105" s="400"/>
      <c r="BP105" s="235">
        <f ca="1">_xll.DBRW(Server&amp;Cube1,$N$15,$N$16,$N$17,$N$18,$N$14,$N$13,BP$2,BP$1,$B105)</f>
        <v>0</v>
      </c>
      <c r="BQ105" s="235">
        <f ca="1">_xll.DBRW(Server&amp;Cube1,$N$15,$N$16,$N$17,$N$18,$N$14,$N$13,BQ$2,BQ$1,$B105)</f>
        <v>51213.833333333336</v>
      </c>
      <c r="BR105" s="235">
        <f ca="1">_xll.DBRW(Server&amp;Cube1,$N$15,$N$16,$N$17,$N$18,$N$14,$N$13,BR$2,BR$1,$B105)</f>
        <v>682531.46999999986</v>
      </c>
      <c r="BS105" s="400"/>
      <c r="BT105" s="235">
        <f ca="1">_xll.DBRW(Server&amp;Cube1,$N$15,$N$16,$N$17,$N$18,$N$14,$N$13,BT$2,BT$1,$B105)</f>
        <v>0</v>
      </c>
      <c r="BU105" s="235">
        <f ca="1">_xll.DBRW(Server&amp;Cube1,$N$15,$N$16,$N$17,$N$18,$N$14,$N$13,BU$2,BU$1,$B105)</f>
        <v>667990.19333333336</v>
      </c>
      <c r="BV105" s="235">
        <f ca="1">_xll.DBRW(Server&amp;Cube1,$N$15,$N$16,$N$17,$N$18,$N$14,$N$13,BV$2,BV$1,$B105)</f>
        <v>989706.74</v>
      </c>
      <c r="BW105" s="55"/>
      <c r="BX105" s="28"/>
    </row>
    <row r="106" spans="1:78" ht="19.5" hidden="1" customHeight="1" outlineLevel="1" x14ac:dyDescent="0.2">
      <c r="A106" s="57"/>
      <c r="B106" s="360" t="s">
        <v>431</v>
      </c>
      <c r="H106" s="360"/>
      <c r="I106" s="69"/>
      <c r="J106" s="54"/>
      <c r="K106" s="9"/>
      <c r="L106" s="555" t="str">
        <f ca="1">LEFT(_xll.DBRA(Server&amp;$B$32,$B106,$N$19),FIND("(",_xll.DBRA(Server&amp;$B$32,$B106,$N$19),1)-1)</f>
        <v xml:space="preserve">Financial lease </v>
      </c>
      <c r="M106" s="555"/>
      <c r="N106" s="555"/>
      <c r="O106" s="555"/>
      <c r="P106" s="234"/>
      <c r="Q106" s="235">
        <f ca="1">_xll.DBRW(Server&amp;Cube1,$N$15,$N$16,$N$17,$N$18,$N$14,$N$13,$N$11,$Q$1,$B106)</f>
        <v>0</v>
      </c>
      <c r="R106" s="235">
        <f ca="1">_xll.DBRW(Server&amp;Cube1,$N$15,$N$16,$N$17,$N$18,$N$14,$N$13,$R$2,$R$1,$B106)</f>
        <v>0</v>
      </c>
      <c r="S106" s="236">
        <f t="shared" ca="1" si="56"/>
        <v>0</v>
      </c>
      <c r="T106" s="238">
        <f t="shared" ca="1" si="57"/>
        <v>0</v>
      </c>
      <c r="U106" s="223"/>
      <c r="V106" s="235">
        <f ca="1">_xll.DBRW(Server&amp;Cube1,$N$15,$N$16,$N$17,$N$18,$N$14,$N$13,$V$2,$V$1,$B106)</f>
        <v>0</v>
      </c>
      <c r="W106" s="236">
        <f t="shared" ca="1" si="58"/>
        <v>0</v>
      </c>
      <c r="X106" s="238">
        <f t="shared" ca="1" si="59"/>
        <v>0</v>
      </c>
      <c r="Y106" s="55"/>
      <c r="Z106" s="55"/>
      <c r="AA106" s="55"/>
      <c r="AB106" s="235">
        <f ca="1">_xll.DBRW(Server&amp;Cube1,$N$15,$N$16,$N$17,$N$18,$N$14,$N$13,AB$2,AB$1,$B106)</f>
        <v>0</v>
      </c>
      <c r="AC106" s="235">
        <f ca="1">_xll.DBRW(Server&amp;Cube1,$N$15,$N$16,$N$17,$N$18,$N$14,$N$13,AC$2,AC$1,$B106)</f>
        <v>0</v>
      </c>
      <c r="AD106" s="235">
        <f ca="1">_xll.DBRW(Server&amp;Cube1,$N$15,$N$16,$N$17,$N$18,$N$14,$N$13,AD$2,AD$1,$B106)</f>
        <v>0</v>
      </c>
      <c r="AE106" s="400"/>
      <c r="AF106" s="235">
        <f ca="1">_xll.DBRW(Server&amp;Cube1,$N$15,$N$16,$N$17,$N$18,$N$14,$N$13,AF$2,AF$1,$B106)</f>
        <v>0</v>
      </c>
      <c r="AG106" s="235">
        <f ca="1">_xll.DBRW(Server&amp;Cube1,$N$15,$N$16,$N$17,$N$18,$N$14,$N$13,AG$2,AG$1,$B106)</f>
        <v>0</v>
      </c>
      <c r="AH106" s="235">
        <f ca="1">_xll.DBRW(Server&amp;Cube1,$N$15,$N$16,$N$17,$N$18,$N$14,$N$13,AH$2,AH$1,$B106)</f>
        <v>0</v>
      </c>
      <c r="AI106" s="400"/>
      <c r="AJ106" s="235">
        <f ca="1">_xll.DBRW(Server&amp;Cube1,$N$15,$N$16,$N$17,$N$18,$N$14,$N$13,AJ$2,AJ$1,$B106)</f>
        <v>0</v>
      </c>
      <c r="AK106" s="235">
        <f ca="1">_xll.DBRW(Server&amp;Cube1,$N$15,$N$16,$N$17,$N$18,$N$14,$N$13,AK$2,AK$1,$B106)</f>
        <v>0</v>
      </c>
      <c r="AL106" s="235">
        <f ca="1">_xll.DBRW(Server&amp;Cube1,$N$15,$N$16,$N$17,$N$18,$N$14,$N$13,AL$2,AL$1,$B106)</f>
        <v>0</v>
      </c>
      <c r="AM106" s="400"/>
      <c r="AN106" s="235">
        <f ca="1">_xll.DBRW(Server&amp;Cube1,$N$15,$N$16,$N$17,$N$18,$N$14,$N$13,AN$2,AN$1,$B106)</f>
        <v>0</v>
      </c>
      <c r="AO106" s="235">
        <f ca="1">_xll.DBRW(Server&amp;Cube1,$N$15,$N$16,$N$17,$N$18,$N$14,$N$13,AO$2,AO$1,$B106)</f>
        <v>0</v>
      </c>
      <c r="AP106" s="235">
        <f ca="1">_xll.DBRW(Server&amp;Cube1,$N$15,$N$16,$N$17,$N$18,$N$14,$N$13,AP$2,AP$1,$B106)</f>
        <v>0</v>
      </c>
      <c r="AQ106" s="400"/>
      <c r="AR106" s="235">
        <f ca="1">_xll.DBRW(Server&amp;Cube1,$N$15,$N$16,$N$17,$N$18,$N$14,$N$13,AR$2,AR$1,$B106)</f>
        <v>0</v>
      </c>
      <c r="AS106" s="235">
        <f ca="1">_xll.DBRW(Server&amp;Cube1,$N$15,$N$16,$N$17,$N$18,$N$14,$N$13,AS$2,AS$1,$B106)</f>
        <v>0</v>
      </c>
      <c r="AT106" s="235">
        <f ca="1">_xll.DBRW(Server&amp;Cube1,$N$15,$N$16,$N$17,$N$18,$N$14,$N$13,AT$2,AT$1,$B106)</f>
        <v>0</v>
      </c>
      <c r="AU106" s="400"/>
      <c r="AV106" s="235">
        <f ca="1">_xll.DBRW(Server&amp;Cube1,$N$15,$N$16,$N$17,$N$18,$N$14,$N$13,AV$2,AV$1,$B106)</f>
        <v>0</v>
      </c>
      <c r="AW106" s="235">
        <f ca="1">_xll.DBRW(Server&amp;Cube1,$N$15,$N$16,$N$17,$N$18,$N$14,$N$13,AW$2,AW$1,$B106)</f>
        <v>0</v>
      </c>
      <c r="AX106" s="235">
        <f ca="1">_xll.DBRW(Server&amp;Cube1,$N$15,$N$16,$N$17,$N$18,$N$14,$N$13,AX$2,AX$1,$B106)</f>
        <v>0</v>
      </c>
      <c r="AY106" s="400"/>
      <c r="AZ106" s="235">
        <f ca="1">_xll.DBRW(Server&amp;Cube1,$N$15,$N$16,$N$17,$N$18,$N$14,$N$13,AZ$2,AZ$1,$B106)</f>
        <v>0</v>
      </c>
      <c r="BA106" s="235">
        <f ca="1">_xll.DBRW(Server&amp;Cube1,$N$15,$N$16,$N$17,$N$18,$N$14,$N$13,BA$2,BA$1,$B106)</f>
        <v>0</v>
      </c>
      <c r="BB106" s="235">
        <f ca="1">_xll.DBRW(Server&amp;Cube1,$N$15,$N$16,$N$17,$N$18,$N$14,$N$13,BB$2,BB$1,$B106)</f>
        <v>0</v>
      </c>
      <c r="BC106" s="400"/>
      <c r="BD106" s="235">
        <f ca="1">_xll.DBRW(Server&amp;Cube1,$N$15,$N$16,$N$17,$N$18,$N$14,$N$13,BD$2,BD$1,$B106)</f>
        <v>0</v>
      </c>
      <c r="BE106" s="235">
        <f ca="1">_xll.DBRW(Server&amp;Cube1,$N$15,$N$16,$N$17,$N$18,$N$14,$N$13,BE$2,BE$1,$B106)</f>
        <v>0</v>
      </c>
      <c r="BF106" s="235">
        <f ca="1">_xll.DBRW(Server&amp;Cube1,$N$15,$N$16,$N$17,$N$18,$N$14,$N$13,BF$2,BF$1,$B106)</f>
        <v>0</v>
      </c>
      <c r="BG106" s="400"/>
      <c r="BH106" s="235">
        <f ca="1">_xll.DBRW(Server&amp;Cube1,$N$15,$N$16,$N$17,$N$18,$N$14,$N$13,BH$2,BH$1,$B106)</f>
        <v>0</v>
      </c>
      <c r="BI106" s="235">
        <f ca="1">_xll.DBRW(Server&amp;Cube1,$N$15,$N$16,$N$17,$N$18,$N$14,$N$13,BI$2,BI$1,$B106)</f>
        <v>0</v>
      </c>
      <c r="BJ106" s="235">
        <f ca="1">_xll.DBRW(Server&amp;Cube1,$N$15,$N$16,$N$17,$N$18,$N$14,$N$13,BJ$2,BJ$1,$B106)</f>
        <v>0</v>
      </c>
      <c r="BK106" s="400"/>
      <c r="BL106" s="235">
        <f ca="1">_xll.DBRW(Server&amp;Cube1,$N$15,$N$16,$N$17,$N$18,$N$14,$N$13,BL$2,BL$1,$B106)</f>
        <v>0</v>
      </c>
      <c r="BM106" s="235">
        <f ca="1">_xll.DBRW(Server&amp;Cube1,$N$15,$N$16,$N$17,$N$18,$N$14,$N$13,BM$2,BM$1,$B106)</f>
        <v>0</v>
      </c>
      <c r="BN106" s="235">
        <f ca="1">_xll.DBRW(Server&amp;Cube1,$N$15,$N$16,$N$17,$N$18,$N$14,$N$13,BN$2,BN$1,$B106)</f>
        <v>0</v>
      </c>
      <c r="BO106" s="400"/>
      <c r="BP106" s="235">
        <f ca="1">_xll.DBRW(Server&amp;Cube1,$N$15,$N$16,$N$17,$N$18,$N$14,$N$13,BP$2,BP$1,$B106)</f>
        <v>0</v>
      </c>
      <c r="BQ106" s="235">
        <f ca="1">_xll.DBRW(Server&amp;Cube1,$N$15,$N$16,$N$17,$N$18,$N$14,$N$13,BQ$2,BQ$1,$B106)</f>
        <v>0</v>
      </c>
      <c r="BR106" s="235">
        <f ca="1">_xll.DBRW(Server&amp;Cube1,$N$15,$N$16,$N$17,$N$18,$N$14,$N$13,BR$2,BR$1,$B106)</f>
        <v>0</v>
      </c>
      <c r="BS106" s="400"/>
      <c r="BT106" s="235">
        <f ca="1">_xll.DBRW(Server&amp;Cube1,$N$15,$N$16,$N$17,$N$18,$N$14,$N$13,BT$2,BT$1,$B106)</f>
        <v>0</v>
      </c>
      <c r="BU106" s="235">
        <f ca="1">_xll.DBRW(Server&amp;Cube1,$N$15,$N$16,$N$17,$N$18,$N$14,$N$13,BU$2,BU$1,$B106)</f>
        <v>0</v>
      </c>
      <c r="BV106" s="235">
        <f ca="1">_xll.DBRW(Server&amp;Cube1,$N$15,$N$16,$N$17,$N$18,$N$14,$N$13,BV$2,BV$1,$B106)</f>
        <v>0</v>
      </c>
      <c r="BW106" s="55"/>
      <c r="BX106" s="28"/>
    </row>
    <row r="107" spans="1:78" ht="19.5" hidden="1" customHeight="1" outlineLevel="1" x14ac:dyDescent="0.2">
      <c r="A107" s="57"/>
      <c r="B107" s="360" t="s">
        <v>432</v>
      </c>
      <c r="H107" s="360"/>
      <c r="I107" s="69"/>
      <c r="J107" s="54"/>
      <c r="K107" s="9"/>
      <c r="L107" s="555" t="str">
        <f ca="1">LEFT(_xll.DBRA(Server&amp;$B$32,$B107,$N$19),FIND("(",_xll.DBRA(Server&amp;$B$32,$B107,$N$19),1)-1)</f>
        <v xml:space="preserve">Fleet vehicle taxes </v>
      </c>
      <c r="M107" s="555"/>
      <c r="N107" s="555"/>
      <c r="O107" s="555"/>
      <c r="P107" s="234"/>
      <c r="Q107" s="235">
        <f ca="1">_xll.DBRW(Server&amp;Cube1,$N$15,$N$16,$N$17,$N$18,$N$14,$N$13,$N$11,$Q$1,$B107)</f>
        <v>-6824362.0599999987</v>
      </c>
      <c r="R107" s="235">
        <f ca="1">_xll.DBRW(Server&amp;Cube1,$N$15,$N$16,$N$17,$N$18,$N$14,$N$13,$R$2,$R$1,$B107)</f>
        <v>-22817795.636709955</v>
      </c>
      <c r="S107" s="236">
        <f t="shared" ca="1" si="56"/>
        <v>15993433.576709956</v>
      </c>
      <c r="T107" s="238">
        <f t="shared" ca="1" si="57"/>
        <v>0.70091931014489584</v>
      </c>
      <c r="U107" s="223"/>
      <c r="V107" s="235">
        <f ca="1">_xll.DBRW(Server&amp;Cube1,$N$15,$N$16,$N$17,$N$18,$N$14,$N$13,$V$2,$V$1,$B107)</f>
        <v>-8892070.6200000271</v>
      </c>
      <c r="W107" s="236">
        <f t="shared" ca="1" si="58"/>
        <v>2067708.5600000285</v>
      </c>
      <c r="X107" s="238">
        <f t="shared" ca="1" si="59"/>
        <v>0.23253397868313624</v>
      </c>
      <c r="Y107" s="55"/>
      <c r="Z107" s="55"/>
      <c r="AA107" s="55"/>
      <c r="AB107" s="235">
        <f ca="1">_xll.DBRW(Server&amp;Cube1,$N$15,$N$16,$N$17,$N$18,$N$14,$N$13,AB$2,AB$1,$B107)</f>
        <v>-4986374.92</v>
      </c>
      <c r="AC107" s="235">
        <f ca="1">_xll.DBRW(Server&amp;Cube1,$N$15,$N$16,$N$17,$N$18,$N$14,$N$13,AC$2,AC$1,$B107)</f>
        <v>-11490791.059298968</v>
      </c>
      <c r="AD107" s="235">
        <f ca="1">_xll.DBRW(Server&amp;Cube1,$N$15,$N$16,$N$17,$N$18,$N$14,$N$13,AD$2,AD$1,$B107)</f>
        <v>-1761078.3800000001</v>
      </c>
      <c r="AE107" s="400"/>
      <c r="AF107" s="235">
        <f ca="1">_xll.DBRW(Server&amp;Cube1,$N$15,$N$16,$N$17,$N$18,$N$14,$N$13,AF$2,AF$1,$B107)</f>
        <v>-1837987.14</v>
      </c>
      <c r="AG107" s="235">
        <f ca="1">_xll.DBRW(Server&amp;Cube1,$N$15,$N$16,$N$17,$N$18,$N$14,$N$13,AG$2,AG$1,$B107)</f>
        <v>-11327004.577410989</v>
      </c>
      <c r="AH107" s="235">
        <f ca="1">_xll.DBRW(Server&amp;Cube1,$N$15,$N$16,$N$17,$N$18,$N$14,$N$13,AH$2,AH$1,$B107)</f>
        <v>-7130992.24000003</v>
      </c>
      <c r="AI107" s="400"/>
      <c r="AJ107" s="235">
        <f ca="1">_xll.DBRW(Server&amp;Cube1,$N$15,$N$16,$N$17,$N$18,$N$14,$N$13,AJ$2,AJ$1,$B107)</f>
        <v>0</v>
      </c>
      <c r="AK107" s="235">
        <f ca="1">_xll.DBRW(Server&amp;Cube1,$N$15,$N$16,$N$17,$N$18,$N$14,$N$13,AK$2,AK$1,$B107)</f>
        <v>-11422593.634872744</v>
      </c>
      <c r="AL107" s="235">
        <f ca="1">_xll.DBRW(Server&amp;Cube1,$N$15,$N$16,$N$17,$N$18,$N$14,$N$13,AL$2,AL$1,$B107)</f>
        <v>-19110484.529999971</v>
      </c>
      <c r="AM107" s="400"/>
      <c r="AN107" s="235">
        <f ca="1">_xll.DBRW(Server&amp;Cube1,$N$15,$N$16,$N$17,$N$18,$N$14,$N$13,AN$2,AN$1,$B107)</f>
        <v>0</v>
      </c>
      <c r="AO107" s="235">
        <f ca="1">_xll.DBRW(Server&amp;Cube1,$N$15,$N$16,$N$17,$N$18,$N$14,$N$13,AO$2,AO$1,$B107)</f>
        <v>-11397909.056154866</v>
      </c>
      <c r="AP107" s="235">
        <f ca="1">_xll.DBRW(Server&amp;Cube1,$N$15,$N$16,$N$17,$N$18,$N$14,$N$13,AP$2,AP$1,$B107)</f>
        <v>-3809993.8499999996</v>
      </c>
      <c r="AQ107" s="400"/>
      <c r="AR107" s="235">
        <f ca="1">_xll.DBRW(Server&amp;Cube1,$N$15,$N$16,$N$17,$N$18,$N$14,$N$13,AR$2,AR$1,$B107)</f>
        <v>0</v>
      </c>
      <c r="AS107" s="235">
        <f ca="1">_xll.DBRW(Server&amp;Cube1,$N$15,$N$16,$N$17,$N$18,$N$14,$N$13,AS$2,AS$1,$B107)</f>
        <v>-11450215.324836744</v>
      </c>
      <c r="AT107" s="235">
        <f ca="1">_xll.DBRW(Server&amp;Cube1,$N$15,$N$16,$N$17,$N$18,$N$14,$N$13,AT$2,AT$1,$B107)</f>
        <v>-141001713.01999998</v>
      </c>
      <c r="AU107" s="400"/>
      <c r="AV107" s="235">
        <f ca="1">_xll.DBRW(Server&amp;Cube1,$N$15,$N$16,$N$17,$N$18,$N$14,$N$13,AV$2,AV$1,$B107)</f>
        <v>0</v>
      </c>
      <c r="AW107" s="235">
        <f ca="1">_xll.DBRW(Server&amp;Cube1,$N$15,$N$16,$N$17,$N$18,$N$14,$N$13,AW$2,AW$1,$B107)</f>
        <v>-11420644.56862762</v>
      </c>
      <c r="AX107" s="235">
        <f ca="1">_xll.DBRW(Server&amp;Cube1,$N$15,$N$16,$N$17,$N$18,$N$14,$N$13,AX$2,AX$1,$B107)</f>
        <v>-1914160.5699999998</v>
      </c>
      <c r="AY107" s="400"/>
      <c r="AZ107" s="235">
        <f ca="1">_xll.DBRW(Server&amp;Cube1,$N$15,$N$16,$N$17,$N$18,$N$14,$N$13,AZ$2,AZ$1,$B107)</f>
        <v>0</v>
      </c>
      <c r="BA107" s="235">
        <f ca="1">_xll.DBRW(Server&amp;Cube1,$N$15,$N$16,$N$17,$N$18,$N$14,$N$13,BA$2,BA$1,$B107)</f>
        <v>-11386366.366198283</v>
      </c>
      <c r="BB107" s="235">
        <f ca="1">_xll.DBRW(Server&amp;Cube1,$N$15,$N$16,$N$17,$N$18,$N$14,$N$13,BB$2,BB$1,$B107)</f>
        <v>160170921.12666634</v>
      </c>
      <c r="BC107" s="400"/>
      <c r="BD107" s="235">
        <f ca="1">_xll.DBRW(Server&amp;Cube1,$N$15,$N$16,$N$17,$N$18,$N$14,$N$13,BD$2,BD$1,$B107)</f>
        <v>0</v>
      </c>
      <c r="BE107" s="235">
        <f ca="1">_xll.DBRW(Server&amp;Cube1,$N$15,$N$16,$N$17,$N$18,$N$14,$N$13,BE$2,BE$1,$B107)</f>
        <v>-11365116.4649454</v>
      </c>
      <c r="BF107" s="235">
        <f ca="1">_xll.DBRW(Server&amp;Cube1,$N$15,$N$16,$N$17,$N$18,$N$14,$N$13,BF$2,BF$1,$B107)</f>
        <v>-3798085.5300000007</v>
      </c>
      <c r="BG107" s="400"/>
      <c r="BH107" s="235">
        <f ca="1">_xll.DBRW(Server&amp;Cube1,$N$15,$N$16,$N$17,$N$18,$N$14,$N$13,BH$2,BH$1,$B107)</f>
        <v>0</v>
      </c>
      <c r="BI107" s="235">
        <f ca="1">_xll.DBRW(Server&amp;Cube1,$N$15,$N$16,$N$17,$N$18,$N$14,$N$13,BI$2,BI$1,$B107)</f>
        <v>-11397338.547825875</v>
      </c>
      <c r="BJ107" s="235">
        <f ca="1">_xll.DBRW(Server&amp;Cube1,$N$15,$N$16,$N$17,$N$18,$N$14,$N$13,BJ$2,BJ$1,$B107)</f>
        <v>-163661787.64999998</v>
      </c>
      <c r="BK107" s="400"/>
      <c r="BL107" s="235">
        <f ca="1">_xll.DBRW(Server&amp;Cube1,$N$15,$N$16,$N$17,$N$18,$N$14,$N$13,BL$2,BL$1,$B107)</f>
        <v>0</v>
      </c>
      <c r="BM107" s="235">
        <f ca="1">_xll.DBRW(Server&amp;Cube1,$N$15,$N$16,$N$17,$N$18,$N$14,$N$13,BM$2,BM$1,$B107)</f>
        <v>-11374905.345397109</v>
      </c>
      <c r="BN107" s="235">
        <f ca="1">_xll.DBRW(Server&amp;Cube1,$N$15,$N$16,$N$17,$N$18,$N$14,$N$13,BN$2,BN$1,$B107)</f>
        <v>-4380342.8499999996</v>
      </c>
      <c r="BO107" s="400"/>
      <c r="BP107" s="235">
        <f ca="1">_xll.DBRW(Server&amp;Cube1,$N$15,$N$16,$N$17,$N$18,$N$14,$N$13,BP$2,BP$1,$B107)</f>
        <v>0</v>
      </c>
      <c r="BQ107" s="235">
        <f ca="1">_xll.DBRW(Server&amp;Cube1,$N$15,$N$16,$N$17,$N$18,$N$14,$N$13,BQ$2,BQ$1,$B107)</f>
        <v>-11348455.227725876</v>
      </c>
      <c r="BR107" s="235">
        <f ca="1">_xll.DBRW(Server&amp;Cube1,$N$15,$N$16,$N$17,$N$18,$N$14,$N$13,BR$2,BR$1,$B107)</f>
        <v>-2946783.21</v>
      </c>
      <c r="BS107" s="400"/>
      <c r="BT107" s="235">
        <f ca="1">_xll.DBRW(Server&amp;Cube1,$N$15,$N$16,$N$17,$N$18,$N$14,$N$13,BT$2,BT$1,$B107)</f>
        <v>0</v>
      </c>
      <c r="BU107" s="235">
        <f ca="1">_xll.DBRW(Server&amp;Cube1,$N$15,$N$16,$N$17,$N$18,$N$14,$N$13,BU$2,BU$1,$B107)</f>
        <v>-11355680.695497107</v>
      </c>
      <c r="BV107" s="235">
        <f ca="1">_xll.DBRW(Server&amp;Cube1,$N$15,$N$16,$N$17,$N$18,$N$14,$N$13,BV$2,BV$1,$B107)</f>
        <v>-65142142.850000001</v>
      </c>
      <c r="BW107" s="55"/>
      <c r="BX107" s="28"/>
    </row>
    <row r="108" spans="1:78" ht="19.5" hidden="1" customHeight="1" outlineLevel="1" x14ac:dyDescent="0.2">
      <c r="A108" s="57"/>
      <c r="B108" s="360" t="s">
        <v>433</v>
      </c>
      <c r="H108" s="360"/>
      <c r="I108" s="69"/>
      <c r="J108" s="54"/>
      <c r="K108" s="9"/>
      <c r="L108" s="555" t="str">
        <f ca="1">LEFT(_xll.DBRA(Server&amp;$B$32,$B108,$N$19),FIND("(",_xll.DBRA(Server&amp;$B$32,$B108,$N$19),1)-1)</f>
        <v xml:space="preserve">Others </v>
      </c>
      <c r="M108" s="555"/>
      <c r="N108" s="555"/>
      <c r="O108" s="555"/>
      <c r="P108" s="234"/>
      <c r="Q108" s="235">
        <f ca="1">_xll.DBRW(Server&amp;Cube1,$N$15,$N$16,$N$17,$N$18,$N$14,$N$13,$N$11,$Q$1,$B108)</f>
        <v>-95317923.650000006</v>
      </c>
      <c r="R108" s="235">
        <f ca="1">_xll.DBRW(Server&amp;Cube1,$N$15,$N$16,$N$17,$N$18,$N$14,$N$13,$R$2,$R$1,$B108)</f>
        <v>-16658401.453330001</v>
      </c>
      <c r="S108" s="236">
        <f t="shared" ca="1" si="56"/>
        <v>-78659522.196670011</v>
      </c>
      <c r="T108" s="238">
        <f t="shared" ca="1" si="57"/>
        <v>-4.7219129888928233</v>
      </c>
      <c r="U108" s="223"/>
      <c r="V108" s="235">
        <f ca="1">_xll.DBRW(Server&amp;Cube1,$N$15,$N$16,$N$17,$N$18,$N$14,$N$13,$V$2,$V$1,$B108)</f>
        <v>-52799539.420000002</v>
      </c>
      <c r="W108" s="236">
        <f t="shared" ca="1" si="58"/>
        <v>-42518384.230000004</v>
      </c>
      <c r="X108" s="238">
        <f t="shared" ca="1" si="59"/>
        <v>-0.80527945313656302</v>
      </c>
      <c r="Y108" s="55"/>
      <c r="Z108" s="55"/>
      <c r="AA108" s="55"/>
      <c r="AB108" s="235">
        <f ca="1">_xll.DBRW(Server&amp;Cube1,$N$15,$N$16,$N$17,$N$18,$N$14,$N$13,AB$2,AB$1,$B108)</f>
        <v>-62373380</v>
      </c>
      <c r="AC108" s="235">
        <f ca="1">_xll.DBRW(Server&amp;Cube1,$N$15,$N$16,$N$17,$N$18,$N$14,$N$13,AC$2,AC$1,$B108)</f>
        <v>-8329200.7266729996</v>
      </c>
      <c r="AD108" s="235">
        <f ca="1">_xll.DBRW(Server&amp;Cube1,$N$15,$N$16,$N$17,$N$18,$N$14,$N$13,AD$2,AD$1,$B108)</f>
        <v>-77477.790000000008</v>
      </c>
      <c r="AE108" s="400"/>
      <c r="AF108" s="235">
        <f ca="1">_xll.DBRW(Server&amp;Cube1,$N$15,$N$16,$N$17,$N$18,$N$14,$N$13,AF$2,AF$1,$B108)</f>
        <v>-32944543.649999999</v>
      </c>
      <c r="AG108" s="235">
        <f ca="1">_xll.DBRW(Server&amp;Cube1,$N$15,$N$16,$N$17,$N$18,$N$14,$N$13,AG$2,AG$1,$B108)</f>
        <v>-8329200.7266570004</v>
      </c>
      <c r="AH108" s="235">
        <f ca="1">_xll.DBRW(Server&amp;Cube1,$N$15,$N$16,$N$17,$N$18,$N$14,$N$13,AH$2,AH$1,$B108)</f>
        <v>-52722061.630000003</v>
      </c>
      <c r="AI108" s="400"/>
      <c r="AJ108" s="235">
        <f ca="1">_xll.DBRW(Server&amp;Cube1,$N$15,$N$16,$N$17,$N$18,$N$14,$N$13,AJ$2,AJ$1,$B108)</f>
        <v>0</v>
      </c>
      <c r="AK108" s="235">
        <f ca="1">_xll.DBRW(Server&amp;Cube1,$N$15,$N$16,$N$17,$N$18,$N$14,$N$13,AK$2,AK$1,$B108)</f>
        <v>-8330200.7266699998</v>
      </c>
      <c r="AL108" s="235">
        <f ca="1">_xll.DBRW(Server&amp;Cube1,$N$15,$N$16,$N$17,$N$18,$N$14,$N$13,AL$2,AL$1,$B108)</f>
        <v>-27949522.52</v>
      </c>
      <c r="AM108" s="400"/>
      <c r="AN108" s="235">
        <f ca="1">_xll.DBRW(Server&amp;Cube1,$N$15,$N$16,$N$17,$N$18,$N$14,$N$13,AN$2,AN$1,$B108)</f>
        <v>0</v>
      </c>
      <c r="AO108" s="235">
        <f ca="1">_xll.DBRW(Server&amp;Cube1,$N$15,$N$16,$N$17,$N$18,$N$14,$N$13,AO$2,AO$1,$B108)</f>
        <v>-8329200.7266699998</v>
      </c>
      <c r="AP108" s="235">
        <f ca="1">_xll.DBRW(Server&amp;Cube1,$N$15,$N$16,$N$17,$N$18,$N$14,$N$13,AP$2,AP$1,$B108)</f>
        <v>48405966.799999997</v>
      </c>
      <c r="AQ108" s="400"/>
      <c r="AR108" s="235">
        <f ca="1">_xll.DBRW(Server&amp;Cube1,$N$15,$N$16,$N$17,$N$18,$N$14,$N$13,AR$2,AR$1,$B108)</f>
        <v>0</v>
      </c>
      <c r="AS108" s="235">
        <f ca="1">_xll.DBRW(Server&amp;Cube1,$N$15,$N$16,$N$17,$N$18,$N$14,$N$13,AS$2,AS$1,$B108)</f>
        <v>-8329200.7266800003</v>
      </c>
      <c r="AT108" s="235">
        <f ca="1">_xll.DBRW(Server&amp;Cube1,$N$15,$N$16,$N$17,$N$18,$N$14,$N$13,AT$2,AT$1,$B108)</f>
        <v>-7860823.6299999999</v>
      </c>
      <c r="AU108" s="400"/>
      <c r="AV108" s="235">
        <f ca="1">_xll.DBRW(Server&amp;Cube1,$N$15,$N$16,$N$17,$N$18,$N$14,$N$13,AV$2,AV$1,$B108)</f>
        <v>0</v>
      </c>
      <c r="AW108" s="235">
        <f ca="1">_xll.DBRW(Server&amp;Cube1,$N$15,$N$16,$N$17,$N$18,$N$14,$N$13,AW$2,AW$1,$B108)</f>
        <v>-8330200.7266499996</v>
      </c>
      <c r="AX108" s="235">
        <f ca="1">_xll.DBRW(Server&amp;Cube1,$N$15,$N$16,$N$17,$N$18,$N$14,$N$13,AX$2,AX$1,$B108)</f>
        <v>-8832868.370000001</v>
      </c>
      <c r="AY108" s="400"/>
      <c r="AZ108" s="235">
        <f ca="1">_xll.DBRW(Server&amp;Cube1,$N$15,$N$16,$N$17,$N$18,$N$14,$N$13,AZ$2,AZ$1,$B108)</f>
        <v>0</v>
      </c>
      <c r="BA108" s="235">
        <f ca="1">_xll.DBRW(Server&amp;Cube1,$N$15,$N$16,$N$17,$N$18,$N$14,$N$13,BA$2,BA$1,$B108)</f>
        <v>-8329200.7266499996</v>
      </c>
      <c r="BB108" s="235">
        <f ca="1">_xll.DBRW(Server&amp;Cube1,$N$15,$N$16,$N$17,$N$18,$N$14,$N$13,BB$2,BB$1,$B108)</f>
        <v>48209860.180000007</v>
      </c>
      <c r="BC108" s="400"/>
      <c r="BD108" s="235">
        <f ca="1">_xll.DBRW(Server&amp;Cube1,$N$15,$N$16,$N$17,$N$18,$N$14,$N$13,BD$2,BD$1,$B108)</f>
        <v>0</v>
      </c>
      <c r="BE108" s="235">
        <f ca="1">_xll.DBRW(Server&amp;Cube1,$N$15,$N$16,$N$17,$N$18,$N$14,$N$13,BE$2,BE$1,$B108)</f>
        <v>-8329200.7266499996</v>
      </c>
      <c r="BF108" s="235">
        <f ca="1">_xll.DBRW(Server&amp;Cube1,$N$15,$N$16,$N$17,$N$18,$N$14,$N$13,BF$2,BF$1,$B108)</f>
        <v>-95138.930000000008</v>
      </c>
      <c r="BG108" s="400"/>
      <c r="BH108" s="235">
        <f ca="1">_xll.DBRW(Server&amp;Cube1,$N$15,$N$16,$N$17,$N$18,$N$14,$N$13,BH$2,BH$1,$B108)</f>
        <v>0</v>
      </c>
      <c r="BI108" s="235">
        <f ca="1">_xll.DBRW(Server&amp;Cube1,$N$15,$N$16,$N$17,$N$18,$N$14,$N$13,BI$2,BI$1,$B108)</f>
        <v>-8329200.7267500004</v>
      </c>
      <c r="BJ108" s="235">
        <f ca="1">_xll.DBRW(Server&amp;Cube1,$N$15,$N$16,$N$17,$N$18,$N$14,$N$13,BJ$2,BJ$1,$B108)</f>
        <v>-70296416.790000007</v>
      </c>
      <c r="BK108" s="400"/>
      <c r="BL108" s="235">
        <f ca="1">_xll.DBRW(Server&amp;Cube1,$N$15,$N$16,$N$17,$N$18,$N$14,$N$13,BL$2,BL$1,$B108)</f>
        <v>0</v>
      </c>
      <c r="BM108" s="235">
        <f ca="1">_xll.DBRW(Server&amp;Cube1,$N$15,$N$16,$N$17,$N$18,$N$14,$N$13,BM$2,BM$1,$B108)</f>
        <v>-8333200.7266800003</v>
      </c>
      <c r="BN108" s="235">
        <f ca="1">_xll.DBRW(Server&amp;Cube1,$N$15,$N$16,$N$17,$N$18,$N$14,$N$13,BN$2,BN$1,$B108)</f>
        <v>-219695554.06</v>
      </c>
      <c r="BO108" s="400"/>
      <c r="BP108" s="235">
        <f ca="1">_xll.DBRW(Server&amp;Cube1,$N$15,$N$16,$N$17,$N$18,$N$14,$N$13,BP$2,BP$1,$B108)</f>
        <v>0</v>
      </c>
      <c r="BQ108" s="235">
        <f ca="1">_xll.DBRW(Server&amp;Cube1,$N$15,$N$16,$N$17,$N$18,$N$14,$N$13,BQ$2,BQ$1,$B108)</f>
        <v>-8329200.7265900001</v>
      </c>
      <c r="BR108" s="235">
        <f ca="1">_xll.DBRW(Server&amp;Cube1,$N$15,$N$16,$N$17,$N$18,$N$14,$N$13,BR$2,BR$1,$B108)</f>
        <v>-33779432.280000001</v>
      </c>
      <c r="BS108" s="400"/>
      <c r="BT108" s="235">
        <f ca="1">_xll.DBRW(Server&amp;Cube1,$N$15,$N$16,$N$17,$N$18,$N$14,$N$13,BT$2,BT$1,$B108)</f>
        <v>0</v>
      </c>
      <c r="BU108" s="235">
        <f ca="1">_xll.DBRW(Server&amp;Cube1,$N$15,$N$16,$N$17,$N$18,$N$14,$N$13,BU$2,BU$1,$B108)</f>
        <v>-8329200.7266800003</v>
      </c>
      <c r="BV108" s="235">
        <f ca="1">_xll.DBRW(Server&amp;Cube1,$N$15,$N$16,$N$17,$N$18,$N$14,$N$13,BV$2,BV$1,$B108)</f>
        <v>-208601232.77000001</v>
      </c>
      <c r="BW108" s="55"/>
      <c r="BX108" s="28"/>
    </row>
    <row r="109" spans="1:78" ht="19.5" hidden="1" customHeight="1" outlineLevel="1" x14ac:dyDescent="0.2">
      <c r="A109" s="57"/>
      <c r="B109" s="360" t="s">
        <v>434</v>
      </c>
      <c r="H109" s="360"/>
      <c r="I109" s="69"/>
      <c r="J109" s="54"/>
      <c r="K109" s="9"/>
      <c r="L109" s="555" t="str">
        <f ca="1">LEFT(_xll.DBRA(Server&amp;$B$32,$B109,$N$19),FIND("(",_xll.DBRA(Server&amp;$B$32,$B109,$N$19),1)-1)</f>
        <v xml:space="preserve">Operating lease </v>
      </c>
      <c r="M109" s="555"/>
      <c r="N109" s="555"/>
      <c r="O109" s="555"/>
      <c r="P109" s="234"/>
      <c r="Q109" s="235">
        <f ca="1">_xll.DBRW(Server&amp;Cube1,$N$15,$N$16,$N$17,$N$18,$N$14,$N$13,$N$11,$Q$1,$B109)</f>
        <v>0</v>
      </c>
      <c r="R109" s="235">
        <f ca="1">_xll.DBRW(Server&amp;Cube1,$N$15,$N$16,$N$17,$N$18,$N$14,$N$13,$R$2,$R$1,$B109)</f>
        <v>-6842</v>
      </c>
      <c r="S109" s="236">
        <f t="shared" ca="1" si="48"/>
        <v>6842</v>
      </c>
      <c r="T109" s="238">
        <f t="shared" ca="1" si="49"/>
        <v>1</v>
      </c>
      <c r="U109" s="223"/>
      <c r="V109" s="235">
        <f ca="1">_xll.DBRW(Server&amp;Cube1,$N$15,$N$16,$N$17,$N$18,$N$14,$N$13,$V$2,$V$1,$B109)</f>
        <v>0</v>
      </c>
      <c r="W109" s="236">
        <f t="shared" ca="1" si="50"/>
        <v>0</v>
      </c>
      <c r="X109" s="238">
        <f t="shared" ca="1" si="51"/>
        <v>0</v>
      </c>
      <c r="Y109" s="55"/>
      <c r="Z109" s="55"/>
      <c r="AA109" s="55"/>
      <c r="AB109" s="239">
        <f ca="1">_xll.DBRW(Server&amp;Cube1,$N$15,$N$16,$N$17,$N$18,$N$14,$N$13,AB$2,AB$1,$B109)</f>
        <v>0</v>
      </c>
      <c r="AC109" s="239">
        <f ca="1">_xll.DBRW(Server&amp;Cube1,$N$15,$N$16,$N$17,$N$18,$N$14,$N$13,AC$2,AC$1,$B109)</f>
        <v>-3421</v>
      </c>
      <c r="AD109" s="239">
        <f ca="1">_xll.DBRW(Server&amp;Cube1,$N$15,$N$16,$N$17,$N$18,$N$14,$N$13,AD$2,AD$1,$B109)</f>
        <v>0</v>
      </c>
      <c r="AE109" s="400"/>
      <c r="AF109" s="239">
        <f ca="1">_xll.DBRW(Server&amp;Cube1,$N$15,$N$16,$N$17,$N$18,$N$14,$N$13,AF$2,AF$1,$B109)</f>
        <v>0</v>
      </c>
      <c r="AG109" s="239">
        <f ca="1">_xll.DBRW(Server&amp;Cube1,$N$15,$N$16,$N$17,$N$18,$N$14,$N$13,AG$2,AG$1,$B109)</f>
        <v>-3421</v>
      </c>
      <c r="AH109" s="239">
        <f ca="1">_xll.DBRW(Server&amp;Cube1,$N$15,$N$16,$N$17,$N$18,$N$14,$N$13,AH$2,AH$1,$B109)</f>
        <v>0</v>
      </c>
      <c r="AI109" s="400"/>
      <c r="AJ109" s="239">
        <f ca="1">_xll.DBRW(Server&amp;Cube1,$N$15,$N$16,$N$17,$N$18,$N$14,$N$13,AJ$2,AJ$1,$B109)</f>
        <v>0</v>
      </c>
      <c r="AK109" s="239">
        <f ca="1">_xll.DBRW(Server&amp;Cube1,$N$15,$N$16,$N$17,$N$18,$N$14,$N$13,AK$2,AK$1,$B109)</f>
        <v>-3421</v>
      </c>
      <c r="AL109" s="239">
        <f ca="1">_xll.DBRW(Server&amp;Cube1,$N$15,$N$16,$N$17,$N$18,$N$14,$N$13,AL$2,AL$1,$B109)</f>
        <v>0</v>
      </c>
      <c r="AM109" s="400"/>
      <c r="AN109" s="239">
        <f ca="1">_xll.DBRW(Server&amp;Cube1,$N$15,$N$16,$N$17,$N$18,$N$14,$N$13,AN$2,AN$1,$B109)</f>
        <v>0</v>
      </c>
      <c r="AO109" s="239">
        <f ca="1">_xll.DBRW(Server&amp;Cube1,$N$15,$N$16,$N$17,$N$18,$N$14,$N$13,AO$2,AO$1,$B109)</f>
        <v>-3421</v>
      </c>
      <c r="AP109" s="239">
        <f ca="1">_xll.DBRW(Server&amp;Cube1,$N$15,$N$16,$N$17,$N$18,$N$14,$N$13,AP$2,AP$1,$B109)</f>
        <v>0</v>
      </c>
      <c r="AQ109" s="400"/>
      <c r="AR109" s="239">
        <f ca="1">_xll.DBRW(Server&amp;Cube1,$N$15,$N$16,$N$17,$N$18,$N$14,$N$13,AR$2,AR$1,$B109)</f>
        <v>0</v>
      </c>
      <c r="AS109" s="239">
        <f ca="1">_xll.DBRW(Server&amp;Cube1,$N$15,$N$16,$N$17,$N$18,$N$14,$N$13,AS$2,AS$1,$B109)</f>
        <v>-3421</v>
      </c>
      <c r="AT109" s="239">
        <f ca="1">_xll.DBRW(Server&amp;Cube1,$N$15,$N$16,$N$17,$N$18,$N$14,$N$13,AT$2,AT$1,$B109)</f>
        <v>0</v>
      </c>
      <c r="AU109" s="400"/>
      <c r="AV109" s="239">
        <f ca="1">_xll.DBRW(Server&amp;Cube1,$N$15,$N$16,$N$17,$N$18,$N$14,$N$13,AV$2,AV$1,$B109)</f>
        <v>0</v>
      </c>
      <c r="AW109" s="239">
        <f ca="1">_xll.DBRW(Server&amp;Cube1,$N$15,$N$16,$N$17,$N$18,$N$14,$N$13,AW$2,AW$1,$B109)</f>
        <v>-3421</v>
      </c>
      <c r="AX109" s="239">
        <f ca="1">_xll.DBRW(Server&amp;Cube1,$N$15,$N$16,$N$17,$N$18,$N$14,$N$13,AX$2,AX$1,$B109)</f>
        <v>0</v>
      </c>
      <c r="AY109" s="400"/>
      <c r="AZ109" s="239">
        <f ca="1">_xll.DBRW(Server&amp;Cube1,$N$15,$N$16,$N$17,$N$18,$N$14,$N$13,AZ$2,AZ$1,$B109)</f>
        <v>0</v>
      </c>
      <c r="BA109" s="239">
        <f ca="1">_xll.DBRW(Server&amp;Cube1,$N$15,$N$16,$N$17,$N$18,$N$14,$N$13,BA$2,BA$1,$B109)</f>
        <v>-3421</v>
      </c>
      <c r="BB109" s="239">
        <f ca="1">_xll.DBRW(Server&amp;Cube1,$N$15,$N$16,$N$17,$N$18,$N$14,$N$13,BB$2,BB$1,$B109)</f>
        <v>0</v>
      </c>
      <c r="BC109" s="400"/>
      <c r="BD109" s="239">
        <f ca="1">_xll.DBRW(Server&amp;Cube1,$N$15,$N$16,$N$17,$N$18,$N$14,$N$13,BD$2,BD$1,$B109)</f>
        <v>0</v>
      </c>
      <c r="BE109" s="239">
        <f ca="1">_xll.DBRW(Server&amp;Cube1,$N$15,$N$16,$N$17,$N$18,$N$14,$N$13,BE$2,BE$1,$B109)</f>
        <v>-3421</v>
      </c>
      <c r="BF109" s="239">
        <f ca="1">_xll.DBRW(Server&amp;Cube1,$N$15,$N$16,$N$17,$N$18,$N$14,$N$13,BF$2,BF$1,$B109)</f>
        <v>0</v>
      </c>
      <c r="BG109" s="400"/>
      <c r="BH109" s="239">
        <f ca="1">_xll.DBRW(Server&amp;Cube1,$N$15,$N$16,$N$17,$N$18,$N$14,$N$13,BH$2,BH$1,$B109)</f>
        <v>0</v>
      </c>
      <c r="BI109" s="239">
        <f ca="1">_xll.DBRW(Server&amp;Cube1,$N$15,$N$16,$N$17,$N$18,$N$14,$N$13,BI$2,BI$1,$B109)</f>
        <v>-3421</v>
      </c>
      <c r="BJ109" s="239">
        <f ca="1">_xll.DBRW(Server&amp;Cube1,$N$15,$N$16,$N$17,$N$18,$N$14,$N$13,BJ$2,BJ$1,$B109)</f>
        <v>0</v>
      </c>
      <c r="BK109" s="400"/>
      <c r="BL109" s="239">
        <f ca="1">_xll.DBRW(Server&amp;Cube1,$N$15,$N$16,$N$17,$N$18,$N$14,$N$13,BL$2,BL$1,$B109)</f>
        <v>0</v>
      </c>
      <c r="BM109" s="239">
        <f ca="1">_xll.DBRW(Server&amp;Cube1,$N$15,$N$16,$N$17,$N$18,$N$14,$N$13,BM$2,BM$1,$B109)</f>
        <v>-3421</v>
      </c>
      <c r="BN109" s="239">
        <f ca="1">_xll.DBRW(Server&amp;Cube1,$N$15,$N$16,$N$17,$N$18,$N$14,$N$13,BN$2,BN$1,$B109)</f>
        <v>0</v>
      </c>
      <c r="BO109" s="400"/>
      <c r="BP109" s="239">
        <f ca="1">_xll.DBRW(Server&amp;Cube1,$N$15,$N$16,$N$17,$N$18,$N$14,$N$13,BP$2,BP$1,$B109)</f>
        <v>0</v>
      </c>
      <c r="BQ109" s="239">
        <f ca="1">_xll.DBRW(Server&amp;Cube1,$N$15,$N$16,$N$17,$N$18,$N$14,$N$13,BQ$2,BQ$1,$B109)</f>
        <v>-3421</v>
      </c>
      <c r="BR109" s="239">
        <f ca="1">_xll.DBRW(Server&amp;Cube1,$N$15,$N$16,$N$17,$N$18,$N$14,$N$13,BR$2,BR$1,$B109)</f>
        <v>0</v>
      </c>
      <c r="BS109" s="400"/>
      <c r="BT109" s="239">
        <f ca="1">_xll.DBRW(Server&amp;Cube1,$N$15,$N$16,$N$17,$N$18,$N$14,$N$13,BT$2,BT$1,$B109)</f>
        <v>0</v>
      </c>
      <c r="BU109" s="239">
        <f ca="1">_xll.DBRW(Server&amp;Cube1,$N$15,$N$16,$N$17,$N$18,$N$14,$N$13,BU$2,BU$1,$B109)</f>
        <v>-3421</v>
      </c>
      <c r="BV109" s="239">
        <f ca="1">_xll.DBRW(Server&amp;Cube1,$N$15,$N$16,$N$17,$N$18,$N$14,$N$13,BV$2,BV$1,$B109)</f>
        <v>0</v>
      </c>
      <c r="BW109" s="55"/>
      <c r="BX109" s="28"/>
    </row>
    <row r="110" spans="1:78" s="34" customFormat="1" ht="3" customHeight="1" x14ac:dyDescent="0.2">
      <c r="A110" s="57"/>
      <c r="B110" s="360"/>
      <c r="C110" s="9"/>
      <c r="D110" s="1"/>
      <c r="E110" s="1"/>
      <c r="H110" s="360"/>
      <c r="I110" s="69"/>
      <c r="J110" s="54"/>
      <c r="K110" s="69"/>
      <c r="L110" s="69"/>
      <c r="M110" s="55"/>
      <c r="N110" s="55"/>
      <c r="O110" s="55"/>
      <c r="P110" s="55"/>
      <c r="Q110" s="70"/>
      <c r="R110" s="70"/>
      <c r="S110" s="70"/>
      <c r="T110" s="71"/>
      <c r="U110" s="70"/>
      <c r="V110" s="70"/>
      <c r="W110" s="70"/>
      <c r="X110" s="71"/>
      <c r="Y110" s="55"/>
      <c r="Z110" s="55"/>
      <c r="AA110" s="55"/>
      <c r="AB110" s="70"/>
      <c r="AC110" s="70"/>
      <c r="AD110" s="70"/>
      <c r="AE110" s="400"/>
      <c r="AF110" s="70"/>
      <c r="AG110" s="70"/>
      <c r="AH110" s="70"/>
      <c r="AI110" s="400"/>
      <c r="AJ110" s="70"/>
      <c r="AK110" s="70"/>
      <c r="AL110" s="70"/>
      <c r="AM110" s="400"/>
      <c r="AN110" s="70"/>
      <c r="AO110" s="70"/>
      <c r="AP110" s="70"/>
      <c r="AQ110" s="400"/>
      <c r="AR110" s="70"/>
      <c r="AS110" s="70"/>
      <c r="AT110" s="70"/>
      <c r="AU110" s="400"/>
      <c r="AV110" s="70"/>
      <c r="AW110" s="70"/>
      <c r="AX110" s="70"/>
      <c r="AY110" s="400"/>
      <c r="AZ110" s="70"/>
      <c r="BA110" s="70"/>
      <c r="BB110" s="70"/>
      <c r="BC110" s="400"/>
      <c r="BD110" s="70"/>
      <c r="BE110" s="70"/>
      <c r="BF110" s="70"/>
      <c r="BG110" s="400"/>
      <c r="BH110" s="70"/>
      <c r="BI110" s="70"/>
      <c r="BJ110" s="70"/>
      <c r="BK110" s="400"/>
      <c r="BL110" s="70"/>
      <c r="BM110" s="70"/>
      <c r="BN110" s="70"/>
      <c r="BO110" s="400"/>
      <c r="BP110" s="70"/>
      <c r="BQ110" s="70"/>
      <c r="BR110" s="70"/>
      <c r="BS110" s="400"/>
      <c r="BT110" s="70"/>
      <c r="BU110" s="70"/>
      <c r="BV110" s="70"/>
      <c r="BW110" s="55"/>
      <c r="BX110" s="28"/>
    </row>
    <row r="111" spans="1:78" s="34" customFormat="1" ht="23.25" customHeight="1" collapsed="1" x14ac:dyDescent="0.25">
      <c r="A111" s="57"/>
      <c r="B111" s="360" t="s">
        <v>82</v>
      </c>
      <c r="C111" s="9"/>
      <c r="D111" s="1"/>
      <c r="E111" s="1"/>
      <c r="H111" s="360"/>
      <c r="I111" s="95"/>
      <c r="J111" s="58"/>
      <c r="K111" s="556" t="str">
        <f ca="1">"O - "&amp;_xll.DBRA(Server&amp;$B$32,$B111,$N$19)</f>
        <v>O - Other Operating cost</v>
      </c>
      <c r="L111" s="556"/>
      <c r="M111" s="556"/>
      <c r="N111" s="556"/>
      <c r="O111" s="556"/>
      <c r="P111" s="240"/>
      <c r="Q111" s="241">
        <f ca="1">_xll.DBRW(Server&amp;Cube1,$N$15,$N$16,$N$17,$N$18,$N$14,$N$13,$N$11,$Q$1,$B111)</f>
        <v>-2987218842.960001</v>
      </c>
      <c r="R111" s="241">
        <f ca="1">_xll.DBRW(Server&amp;Cube1,$N$15,$N$16,$N$17,$N$18,$N$14,$N$13,$R$2,$R$1,$B111)</f>
        <v>-3203273768.7171903</v>
      </c>
      <c r="S111" s="242">
        <f ca="1">Q111-R111</f>
        <v>216054925.75718927</v>
      </c>
      <c r="T111" s="243">
        <f ca="1">IF(R111&lt;&gt;0,IF(R111&gt;0,S111/R111,-S111/R111),0)</f>
        <v>6.7448161273993279E-2</v>
      </c>
      <c r="U111" s="216"/>
      <c r="V111" s="241">
        <f ca="1">_xll.DBRW(Server&amp;Cube1,$N$15,$N$16,$N$17,$N$18,$N$14,$N$13,$V$2,$V$1,$B111)</f>
        <v>-2353707621.9927645</v>
      </c>
      <c r="W111" s="242">
        <f ca="1">Q111-V111</f>
        <v>-633511220.96723652</v>
      </c>
      <c r="X111" s="243">
        <f ca="1">IF(V111&lt;&gt;0,IF(V111&gt;0,W111/V111,-W111/V111),0)</f>
        <v>-0.26915459466918612</v>
      </c>
      <c r="Y111" s="72"/>
      <c r="Z111" s="72"/>
      <c r="AA111" s="72"/>
      <c r="AB111" s="241">
        <f ca="1">_xll.DBRW(Server&amp;Cube1,$N$15,$N$16,$N$17,$N$18,$N$14,$N$13,AB$2,AB$1,$B111)</f>
        <v>-1643211403.6399996</v>
      </c>
      <c r="AC111" s="241">
        <f ca="1">_xll.DBRW(Server&amp;Cube1,$N$15,$N$16,$N$17,$N$18,$N$14,$N$13,AC$2,AC$1,$B111)</f>
        <v>-1724873115.0574856</v>
      </c>
      <c r="AD111" s="241">
        <f ca="1">_xll.DBRW(Server&amp;Cube1,$N$15,$N$16,$N$17,$N$18,$N$14,$N$13,AD$2,AD$1,$B111)</f>
        <v>-91026913.723996565</v>
      </c>
      <c r="AE111" s="400"/>
      <c r="AF111" s="241">
        <f ca="1">_xll.DBRW(Server&amp;Cube1,$N$15,$N$16,$N$17,$N$18,$N$14,$N$13,AF$2,AF$1,$B111)</f>
        <v>-1344007439.3200004</v>
      </c>
      <c r="AG111" s="241">
        <f ca="1">_xll.DBRW(Server&amp;Cube1,$N$15,$N$16,$N$17,$N$18,$N$14,$N$13,AG$2,AG$1,$B111)</f>
        <v>-1478400653.6597064</v>
      </c>
      <c r="AH111" s="241">
        <f ca="1">_xll.DBRW(Server&amp;Cube1,$N$15,$N$16,$N$17,$N$18,$N$14,$N$13,AH$2,AH$1,$B111)</f>
        <v>-2262680708.2687664</v>
      </c>
      <c r="AI111" s="400"/>
      <c r="AJ111" s="241">
        <f ca="1">_xll.DBRW(Server&amp;Cube1,$N$15,$N$16,$N$17,$N$18,$N$14,$N$13,AJ$2,AJ$1,$B111)</f>
        <v>0</v>
      </c>
      <c r="AK111" s="241">
        <f ca="1">_xll.DBRW(Server&amp;Cube1,$N$15,$N$16,$N$17,$N$18,$N$14,$N$13,AK$2,AK$1,$B111)</f>
        <v>-1528527969.8835058</v>
      </c>
      <c r="AL111" s="241">
        <f ca="1">_xll.DBRW(Server&amp;Cube1,$N$15,$N$16,$N$17,$N$18,$N$14,$N$13,AL$2,AL$1,$B111)</f>
        <v>-1279054602.4672868</v>
      </c>
      <c r="AM111" s="400"/>
      <c r="AN111" s="241">
        <f ca="1">_xll.DBRW(Server&amp;Cube1,$N$15,$N$16,$N$17,$N$18,$N$14,$N$13,AN$2,AN$1,$B111)</f>
        <v>0</v>
      </c>
      <c r="AO111" s="241">
        <f ca="1">_xll.DBRW(Server&amp;Cube1,$N$15,$N$16,$N$17,$N$18,$N$14,$N$13,AO$2,AO$1,$B111)</f>
        <v>-1515643255.0670891</v>
      </c>
      <c r="AP111" s="241">
        <f ca="1">_xll.DBRW(Server&amp;Cube1,$N$15,$N$16,$N$17,$N$18,$N$14,$N$13,AP$2,AP$1,$B111)</f>
        <v>-1096500932.1900005</v>
      </c>
      <c r="AQ111" s="400"/>
      <c r="AR111" s="241">
        <f ca="1">_xll.DBRW(Server&amp;Cube1,$N$15,$N$16,$N$17,$N$18,$N$14,$N$13,AR$2,AR$1,$B111)</f>
        <v>0</v>
      </c>
      <c r="AS111" s="241">
        <f ca="1">_xll.DBRW(Server&amp;Cube1,$N$15,$N$16,$N$17,$N$18,$N$14,$N$13,AS$2,AS$1,$B111)</f>
        <v>-1501992980.1543884</v>
      </c>
      <c r="AT111" s="241">
        <f ca="1">_xll.DBRW(Server&amp;Cube1,$N$15,$N$16,$N$17,$N$18,$N$14,$N$13,AT$2,AT$1,$B111)</f>
        <v>-1423243339.0799987</v>
      </c>
      <c r="AU111" s="400"/>
      <c r="AV111" s="241">
        <f ca="1">_xll.DBRW(Server&amp;Cube1,$N$15,$N$16,$N$17,$N$18,$N$14,$N$13,AV$2,AV$1,$B111)</f>
        <v>0</v>
      </c>
      <c r="AW111" s="241">
        <f ca="1">_xll.DBRW(Server&amp;Cube1,$N$15,$N$16,$N$17,$N$18,$N$14,$N$13,AW$2,AW$1,$B111)</f>
        <v>-1497844224.0698972</v>
      </c>
      <c r="AX111" s="241">
        <f ca="1">_xll.DBRW(Server&amp;Cube1,$N$15,$N$16,$N$17,$N$18,$N$14,$N$13,AX$2,AX$1,$B111)</f>
        <v>-1339880010.5800002</v>
      </c>
      <c r="AY111" s="400"/>
      <c r="AZ111" s="241">
        <f ca="1">_xll.DBRW(Server&amp;Cube1,$N$15,$N$16,$N$17,$N$18,$N$14,$N$13,AZ$2,AZ$1,$B111)</f>
        <v>0</v>
      </c>
      <c r="BA111" s="241">
        <f ca="1">_xll.DBRW(Server&amp;Cube1,$N$15,$N$16,$N$17,$N$18,$N$14,$N$13,BA$2,BA$1,$B111)</f>
        <v>-1504274261.8782563</v>
      </c>
      <c r="BB111" s="241">
        <f ca="1">_xll.DBRW(Server&amp;Cube1,$N$15,$N$16,$N$17,$N$18,$N$14,$N$13,BB$2,BB$1,$B111)</f>
        <v>6602666973.1528168</v>
      </c>
      <c r="BC111" s="400"/>
      <c r="BD111" s="241">
        <f ca="1">_xll.DBRW(Server&amp;Cube1,$N$15,$N$16,$N$17,$N$18,$N$14,$N$13,BD$2,BD$1,$B111)</f>
        <v>0</v>
      </c>
      <c r="BE111" s="241">
        <f ca="1">_xll.DBRW(Server&amp;Cube1,$N$15,$N$16,$N$17,$N$18,$N$14,$N$13,BE$2,BE$1,$B111)</f>
        <v>-1479648527.1536984</v>
      </c>
      <c r="BF111" s="241">
        <f ca="1">_xll.DBRW(Server&amp;Cube1,$N$15,$N$16,$N$17,$N$18,$N$14,$N$13,BF$2,BF$1,$B111)</f>
        <v>-154791519.00999999</v>
      </c>
      <c r="BG111" s="400"/>
      <c r="BH111" s="241">
        <f ca="1">_xll.DBRW(Server&amp;Cube1,$N$15,$N$16,$N$17,$N$18,$N$14,$N$13,BH$2,BH$1,$B111)</f>
        <v>0</v>
      </c>
      <c r="BI111" s="241">
        <f ca="1">_xll.DBRW(Server&amp;Cube1,$N$15,$N$16,$N$17,$N$18,$N$14,$N$13,BI$2,BI$1,$B111)</f>
        <v>-1562417683.8837597</v>
      </c>
      <c r="BJ111" s="241">
        <f ca="1">_xll.DBRW(Server&amp;Cube1,$N$15,$N$16,$N$17,$N$18,$N$14,$N$13,BJ$2,BJ$1,$B111)</f>
        <v>-10127771033.450001</v>
      </c>
      <c r="BK111" s="400"/>
      <c r="BL111" s="241">
        <f ca="1">_xll.DBRW(Server&amp;Cube1,$N$15,$N$16,$N$17,$N$18,$N$14,$N$13,BL$2,BL$1,$B111)</f>
        <v>0</v>
      </c>
      <c r="BM111" s="241">
        <f ca="1">_xll.DBRW(Server&amp;Cube1,$N$15,$N$16,$N$17,$N$18,$N$14,$N$13,BM$2,BM$1,$B111)</f>
        <v>-1497622766.4827673</v>
      </c>
      <c r="BN111" s="241">
        <f ca="1">_xll.DBRW(Server&amp;Cube1,$N$15,$N$16,$N$17,$N$18,$N$14,$N$13,BN$2,BN$1,$B111)</f>
        <v>-1712075081.1300004</v>
      </c>
      <c r="BO111" s="400"/>
      <c r="BP111" s="241">
        <f ca="1">_xll.DBRW(Server&amp;Cube1,$N$15,$N$16,$N$17,$N$18,$N$14,$N$13,BP$2,BP$1,$B111)</f>
        <v>0</v>
      </c>
      <c r="BQ111" s="241">
        <f ca="1">_xll.DBRW(Server&amp;Cube1,$N$15,$N$16,$N$17,$N$18,$N$14,$N$13,BQ$2,BQ$1,$B111)</f>
        <v>-1496484897.4191663</v>
      </c>
      <c r="BR111" s="241">
        <f ca="1">_xll.DBRW(Server&amp;Cube1,$N$15,$N$16,$N$17,$N$18,$N$14,$N$13,BR$2,BR$1,$B111)</f>
        <v>-1305911996.3000009</v>
      </c>
      <c r="BS111" s="400"/>
      <c r="BT111" s="241">
        <f ca="1">_xll.DBRW(Server&amp;Cube1,$N$15,$N$16,$N$17,$N$18,$N$14,$N$13,BT$2,BT$1,$B111)</f>
        <v>0</v>
      </c>
      <c r="BU111" s="241">
        <f ca="1">_xll.DBRW(Server&amp;Cube1,$N$15,$N$16,$N$17,$N$18,$N$14,$N$13,BU$2,BU$1,$B111)</f>
        <v>-1588620123.6289151</v>
      </c>
      <c r="BV111" s="241">
        <f ca="1">_xll.DBRW(Server&amp;Cube1,$N$15,$N$16,$N$17,$N$18,$N$14,$N$13,BV$2,BV$1,$B111)</f>
        <v>-13565956158.349991</v>
      </c>
      <c r="BW111" s="72"/>
      <c r="BX111" s="28"/>
    </row>
    <row r="112" spans="1:78" ht="19.5" hidden="1" customHeight="1" outlineLevel="1" x14ac:dyDescent="0.2">
      <c r="A112" s="57"/>
      <c r="B112" s="360" t="s">
        <v>76</v>
      </c>
      <c r="H112" s="360"/>
      <c r="I112" s="69"/>
      <c r="J112" s="54"/>
      <c r="K112" s="9"/>
      <c r="L112" s="557" t="str">
        <f ca="1">LEFT(_xll.DBRA(Server&amp;$B$32,$B112,$N$19),FIND("(",_xll.DBRA(Server&amp;$B$32,$B112,$N$19),1)-1)</f>
        <v xml:space="preserve">Maintenance &amp; cleaning of infrastructures </v>
      </c>
      <c r="M112" s="557"/>
      <c r="N112" s="557"/>
      <c r="O112" s="557"/>
      <c r="P112" s="234"/>
      <c r="Q112" s="235">
        <f ca="1">_xll.DBRW(Server&amp;Cube1,$N$15,$N$16,$N$17,$N$18,$N$14,$N$13,$N$11,$Q$1,$B112)</f>
        <v>-33786625.24000001</v>
      </c>
      <c r="R112" s="235">
        <f ca="1">_xll.DBRW(Server&amp;Cube1,$N$15,$N$16,$N$17,$N$18,$N$14,$N$13,$R$2,$R$1,$B112)</f>
        <v>-45824372.721066087</v>
      </c>
      <c r="S112" s="236">
        <f t="shared" ref="S112:S117" ca="1" si="60">Q112-R112</f>
        <v>12037747.481066078</v>
      </c>
      <c r="T112" s="238">
        <f t="shared" ref="T112:T117" ca="1" si="61">IF(R112&lt;&gt;0,IF(R112&gt;0,S112/R112,-S112/R112),0)</f>
        <v>0.262693120849468</v>
      </c>
      <c r="U112" s="223"/>
      <c r="V112" s="235">
        <f ca="1">_xll.DBRW(Server&amp;Cube1,$N$15,$N$16,$N$17,$N$18,$N$14,$N$13,$V$2,$V$1,$B112)</f>
        <v>-36939968.973328203</v>
      </c>
      <c r="W112" s="236">
        <f t="shared" ref="W112:W117" ca="1" si="62">Q112-V112</f>
        <v>3153343.7333281934</v>
      </c>
      <c r="X112" s="238">
        <f t="shared" ref="X112:X117" ca="1" si="63">IF(V112&lt;&gt;0,IF(V112&gt;0,W112/V112,-W112/V112),0)</f>
        <v>8.5364006006745832E-2</v>
      </c>
      <c r="Y112" s="55"/>
      <c r="Z112" s="55"/>
      <c r="AA112" s="55"/>
      <c r="AB112" s="235">
        <f ca="1">_xll.DBRW(Server&amp;Cube1,$N$15,$N$16,$N$17,$N$18,$N$14,$N$13,AB$2,AB$1,$B112)</f>
        <v>-18490926.309999999</v>
      </c>
      <c r="AC112" s="235">
        <f ca="1">_xll.DBRW(Server&amp;Cube1,$N$15,$N$16,$N$17,$N$18,$N$14,$N$13,AC$2,AC$1,$B112)</f>
        <v>-24881813.355124172</v>
      </c>
      <c r="AD112" s="235">
        <f ca="1">_xll.DBRW(Server&amp;Cube1,$N$15,$N$16,$N$17,$N$18,$N$14,$N$13,AD$2,AD$1,$B112)</f>
        <v>-7872619.086668659</v>
      </c>
      <c r="AE112" s="400"/>
      <c r="AF112" s="235">
        <f ca="1">_xll.DBRW(Server&amp;Cube1,$N$15,$N$16,$N$17,$N$18,$N$14,$N$13,AF$2,AF$1,$B112)</f>
        <v>-15295698.930000002</v>
      </c>
      <c r="AG112" s="235">
        <f ca="1">_xll.DBRW(Server&amp;Cube1,$N$15,$N$16,$N$17,$N$18,$N$14,$N$13,AG$2,AG$1,$B112)</f>
        <v>-20942559.365941923</v>
      </c>
      <c r="AH112" s="235">
        <f ca="1">_xll.DBRW(Server&amp;Cube1,$N$15,$N$16,$N$17,$N$18,$N$14,$N$13,AH$2,AH$1,$B112)</f>
        <v>-29067349.886659537</v>
      </c>
      <c r="AI112" s="400"/>
      <c r="AJ112" s="235">
        <f ca="1">_xll.DBRW(Server&amp;Cube1,$N$15,$N$16,$N$17,$N$18,$N$14,$N$13,AJ$2,AJ$1,$B112)</f>
        <v>0</v>
      </c>
      <c r="AK112" s="235">
        <f ca="1">_xll.DBRW(Server&amp;Cube1,$N$15,$N$16,$N$17,$N$18,$N$14,$N$13,AK$2,AK$1,$B112)</f>
        <v>-22222577.605297185</v>
      </c>
      <c r="AL112" s="235">
        <f ca="1">_xll.DBRW(Server&amp;Cube1,$N$15,$N$16,$N$17,$N$18,$N$14,$N$13,AL$2,AL$1,$B112)</f>
        <v>-20434757.936671808</v>
      </c>
      <c r="AM112" s="400"/>
      <c r="AN112" s="235">
        <f ca="1">_xll.DBRW(Server&amp;Cube1,$N$15,$N$16,$N$17,$N$18,$N$14,$N$13,AN$2,AN$1,$B112)</f>
        <v>0</v>
      </c>
      <c r="AO112" s="235">
        <f ca="1">_xll.DBRW(Server&amp;Cube1,$N$15,$N$16,$N$17,$N$18,$N$14,$N$13,AO$2,AO$1,$B112)</f>
        <v>-21606088.551794335</v>
      </c>
      <c r="AP112" s="235">
        <f ca="1">_xll.DBRW(Server&amp;Cube1,$N$15,$N$16,$N$17,$N$18,$N$14,$N$13,AP$2,AP$1,$B112)</f>
        <v>-14314945.940000001</v>
      </c>
      <c r="AQ112" s="400"/>
      <c r="AR112" s="235">
        <f ca="1">_xll.DBRW(Server&amp;Cube1,$N$15,$N$16,$N$17,$N$18,$N$14,$N$13,AR$2,AR$1,$B112)</f>
        <v>0</v>
      </c>
      <c r="AS112" s="235">
        <f ca="1">_xll.DBRW(Server&amp;Cube1,$N$15,$N$16,$N$17,$N$18,$N$14,$N$13,AS$2,AS$1,$B112)</f>
        <v>-20577910.141492892</v>
      </c>
      <c r="AT112" s="235">
        <f ca="1">_xll.DBRW(Server&amp;Cube1,$N$15,$N$16,$N$17,$N$18,$N$14,$N$13,AT$2,AT$1,$B112)</f>
        <v>-51869747.470000006</v>
      </c>
      <c r="AU112" s="400"/>
      <c r="AV112" s="235">
        <f ca="1">_xll.DBRW(Server&amp;Cube1,$N$15,$N$16,$N$17,$N$18,$N$14,$N$13,AV$2,AV$1,$B112)</f>
        <v>0</v>
      </c>
      <c r="AW112" s="235">
        <f ca="1">_xll.DBRW(Server&amp;Cube1,$N$15,$N$16,$N$17,$N$18,$N$14,$N$13,AW$2,AW$1,$B112)</f>
        <v>-21938475.148395665</v>
      </c>
      <c r="AX112" s="235">
        <f ca="1">_xll.DBRW(Server&amp;Cube1,$N$15,$N$16,$N$17,$N$18,$N$14,$N$13,AX$2,AX$1,$B112)</f>
        <v>5976109.700000002</v>
      </c>
      <c r="AY112" s="400"/>
      <c r="AZ112" s="235">
        <f ca="1">_xll.DBRW(Server&amp;Cube1,$N$15,$N$16,$N$17,$N$18,$N$14,$N$13,AZ$2,AZ$1,$B112)</f>
        <v>0</v>
      </c>
      <c r="BA112" s="235">
        <f ca="1">_xll.DBRW(Server&amp;Cube1,$N$15,$N$16,$N$17,$N$18,$N$14,$N$13,BA$2,BA$1,$B112)</f>
        <v>-20119910.803734206</v>
      </c>
      <c r="BB112" s="235">
        <f ca="1">_xll.DBRW(Server&amp;Cube1,$N$15,$N$16,$N$17,$N$18,$N$14,$N$13,BB$2,BB$1,$B112)</f>
        <v>53593293.073307201</v>
      </c>
      <c r="BC112" s="400"/>
      <c r="BD112" s="235">
        <f ca="1">_xll.DBRW(Server&amp;Cube1,$N$15,$N$16,$N$17,$N$18,$N$14,$N$13,BD$2,BD$1,$B112)</f>
        <v>0</v>
      </c>
      <c r="BE112" s="235">
        <f ca="1">_xll.DBRW(Server&amp;Cube1,$N$15,$N$16,$N$17,$N$18,$N$14,$N$13,BE$2,BE$1,$B112)</f>
        <v>-21240766.831713054</v>
      </c>
      <c r="BF112" s="235">
        <f ca="1">_xll.DBRW(Server&amp;Cube1,$N$15,$N$16,$N$17,$N$18,$N$14,$N$13,BF$2,BF$1,$B112)</f>
        <v>-7667217.3500000006</v>
      </c>
      <c r="BG112" s="400"/>
      <c r="BH112" s="235">
        <f ca="1">_xll.DBRW(Server&amp;Cube1,$N$15,$N$16,$N$17,$N$18,$N$14,$N$13,BH$2,BH$1,$B112)</f>
        <v>0</v>
      </c>
      <c r="BI112" s="235">
        <f ca="1">_xll.DBRW(Server&amp;Cube1,$N$15,$N$16,$N$17,$N$18,$N$14,$N$13,BI$2,BI$1,$B112)</f>
        <v>-22090488.464587372</v>
      </c>
      <c r="BJ112" s="235">
        <f ca="1">_xll.DBRW(Server&amp;Cube1,$N$15,$N$16,$N$17,$N$18,$N$14,$N$13,BJ$2,BJ$1,$B112)</f>
        <v>-99932658.150000006</v>
      </c>
      <c r="BK112" s="400"/>
      <c r="BL112" s="235">
        <f ca="1">_xll.DBRW(Server&amp;Cube1,$N$15,$N$16,$N$17,$N$18,$N$14,$N$13,BL$2,BL$1,$B112)</f>
        <v>0</v>
      </c>
      <c r="BM112" s="235">
        <f ca="1">_xll.DBRW(Server&amp;Cube1,$N$15,$N$16,$N$17,$N$18,$N$14,$N$13,BM$2,BM$1,$B112)</f>
        <v>-22143330.313961551</v>
      </c>
      <c r="BN112" s="235">
        <f ca="1">_xll.DBRW(Server&amp;Cube1,$N$15,$N$16,$N$17,$N$18,$N$14,$N$13,BN$2,BN$1,$B112)</f>
        <v>-37797109.030000009</v>
      </c>
      <c r="BO112" s="400"/>
      <c r="BP112" s="235">
        <f ca="1">_xll.DBRW(Server&amp;Cube1,$N$15,$N$16,$N$17,$N$18,$N$14,$N$13,BP$2,BP$1,$B112)</f>
        <v>0</v>
      </c>
      <c r="BQ112" s="235">
        <f ca="1">_xll.DBRW(Server&amp;Cube1,$N$15,$N$16,$N$17,$N$18,$N$14,$N$13,BQ$2,BQ$1,$B112)</f>
        <v>-22228678.38998187</v>
      </c>
      <c r="BR112" s="235">
        <f ca="1">_xll.DBRW(Server&amp;Cube1,$N$15,$N$16,$N$17,$N$18,$N$14,$N$13,BR$2,BR$1,$B112)</f>
        <v>-18329094.609999999</v>
      </c>
      <c r="BS112" s="400"/>
      <c r="BT112" s="235">
        <f ca="1">_xll.DBRW(Server&amp;Cube1,$N$15,$N$16,$N$17,$N$18,$N$14,$N$13,BT$2,BT$1,$B112)</f>
        <v>0</v>
      </c>
      <c r="BU112" s="235">
        <f ca="1">_xll.DBRW(Server&amp;Cube1,$N$15,$N$16,$N$17,$N$18,$N$14,$N$13,BU$2,BU$1,$B112)</f>
        <v>-22632340.387286477</v>
      </c>
      <c r="BV112" s="235">
        <f ca="1">_xll.DBRW(Server&amp;Cube1,$N$15,$N$16,$N$17,$N$18,$N$14,$N$13,BV$2,BV$1,$B112)</f>
        <v>-134535745.94999996</v>
      </c>
      <c r="BW112" s="55"/>
      <c r="BX112" s="28"/>
    </row>
    <row r="113" spans="1:78" ht="19.5" hidden="1" customHeight="1" outlineLevel="1" x14ac:dyDescent="0.2">
      <c r="A113" s="57"/>
      <c r="B113" s="360" t="s">
        <v>77</v>
      </c>
      <c r="H113" s="360"/>
      <c r="I113" s="69"/>
      <c r="J113" s="54"/>
      <c r="K113" s="9"/>
      <c r="L113" s="555" t="str">
        <f ca="1">LEFT(_xll.DBRA(Server&amp;$B$32,$B113,$N$19),FIND("(",_xll.DBRA(Server&amp;$B$32,$B113,$N$19),1)-1)</f>
        <v xml:space="preserve">Cost of damages </v>
      </c>
      <c r="M113" s="555"/>
      <c r="N113" s="555"/>
      <c r="O113" s="555"/>
      <c r="P113" s="234"/>
      <c r="Q113" s="235">
        <f ca="1">_xll.DBRW(Server&amp;Cube1,$N$15,$N$16,$N$17,$N$18,$N$14,$N$13,$N$11,$Q$1,$B113)</f>
        <v>-494713304.26000017</v>
      </c>
      <c r="R113" s="235">
        <f ca="1">_xll.DBRW(Server&amp;Cube1,$N$15,$N$16,$N$17,$N$18,$N$14,$N$13,$R$2,$R$1,$B113)</f>
        <v>-251384066.26900929</v>
      </c>
      <c r="S113" s="236">
        <f t="shared" ca="1" si="60"/>
        <v>-243329237.99099088</v>
      </c>
      <c r="T113" s="238">
        <f t="shared" ca="1" si="61"/>
        <v>-0.96795807945361645</v>
      </c>
      <c r="U113" s="223"/>
      <c r="V113" s="235">
        <f ca="1">_xll.DBRW(Server&amp;Cube1,$N$15,$N$16,$N$17,$N$18,$N$14,$N$13,$V$2,$V$1,$B113)</f>
        <v>-275527846.92971283</v>
      </c>
      <c r="W113" s="236">
        <f t="shared" ca="1" si="62"/>
        <v>-219185457.33028734</v>
      </c>
      <c r="X113" s="238">
        <f t="shared" ca="1" si="63"/>
        <v>-0.79551108816308347</v>
      </c>
      <c r="Y113" s="55"/>
      <c r="Z113" s="55"/>
      <c r="AA113" s="55"/>
      <c r="AB113" s="235">
        <f ca="1">_xll.DBRW(Server&amp;Cube1,$N$15,$N$16,$N$17,$N$18,$N$14,$N$13,AB$2,AB$1,$B113)</f>
        <v>-213037882.33999997</v>
      </c>
      <c r="AC113" s="235">
        <f ca="1">_xll.DBRW(Server&amp;Cube1,$N$15,$N$16,$N$17,$N$18,$N$14,$N$13,AC$2,AC$1,$B113)</f>
        <v>-125498134.31756566</v>
      </c>
      <c r="AD113" s="235">
        <f ca="1">_xll.DBRW(Server&amp;Cube1,$N$15,$N$16,$N$17,$N$18,$N$14,$N$13,AD$2,AD$1,$B113)</f>
        <v>-2437932.1398366517</v>
      </c>
      <c r="AE113" s="400"/>
      <c r="AF113" s="235">
        <f ca="1">_xll.DBRW(Server&amp;Cube1,$N$15,$N$16,$N$17,$N$18,$N$14,$N$13,AF$2,AF$1,$B113)</f>
        <v>-281675421.91999984</v>
      </c>
      <c r="AG113" s="235">
        <f ca="1">_xll.DBRW(Server&amp;Cube1,$N$15,$N$16,$N$17,$N$18,$N$14,$N$13,AG$2,AG$1,$B113)</f>
        <v>-125885931.95144363</v>
      </c>
      <c r="AH113" s="235">
        <f ca="1">_xll.DBRW(Server&amp;Cube1,$N$15,$N$16,$N$17,$N$18,$N$14,$N$13,AH$2,AH$1,$B113)</f>
        <v>-273089914.78987616</v>
      </c>
      <c r="AI113" s="400"/>
      <c r="AJ113" s="235">
        <f ca="1">_xll.DBRW(Server&amp;Cube1,$N$15,$N$16,$N$17,$N$18,$N$14,$N$13,AJ$2,AJ$1,$B113)</f>
        <v>0</v>
      </c>
      <c r="AK113" s="235">
        <f ca="1">_xll.DBRW(Server&amp;Cube1,$N$15,$N$16,$N$17,$N$18,$N$14,$N$13,AK$2,AK$1,$B113)</f>
        <v>-126918698.72065811</v>
      </c>
      <c r="AL113" s="235">
        <f ca="1">_xll.DBRW(Server&amp;Cube1,$N$15,$N$16,$N$17,$N$18,$N$14,$N$13,AL$2,AL$1,$B113)</f>
        <v>-145098203.78983715</v>
      </c>
      <c r="AM113" s="400"/>
      <c r="AN113" s="235">
        <f ca="1">_xll.DBRW(Server&amp;Cube1,$N$15,$N$16,$N$17,$N$18,$N$14,$N$13,AN$2,AN$1,$B113)</f>
        <v>0</v>
      </c>
      <c r="AO113" s="235">
        <f ca="1">_xll.DBRW(Server&amp;Cube1,$N$15,$N$16,$N$17,$N$18,$N$14,$N$13,AO$2,AO$1,$B113)</f>
        <v>-126007757.23377754</v>
      </c>
      <c r="AP113" s="235">
        <f ca="1">_xll.DBRW(Server&amp;Cube1,$N$15,$N$16,$N$17,$N$18,$N$14,$N$13,AP$2,AP$1,$B113)</f>
        <v>-123783813.52</v>
      </c>
      <c r="AQ113" s="400"/>
      <c r="AR113" s="235">
        <f ca="1">_xll.DBRW(Server&amp;Cube1,$N$15,$N$16,$N$17,$N$18,$N$14,$N$13,AR$2,AR$1,$B113)</f>
        <v>0</v>
      </c>
      <c r="AS113" s="235">
        <f ca="1">_xll.DBRW(Server&amp;Cube1,$N$15,$N$16,$N$17,$N$18,$N$14,$N$13,AS$2,AS$1,$B113)</f>
        <v>-126167829.42132325</v>
      </c>
      <c r="AT113" s="235">
        <f ca="1">_xll.DBRW(Server&amp;Cube1,$N$15,$N$16,$N$17,$N$18,$N$14,$N$13,AT$2,AT$1,$B113)</f>
        <v>-180387427.21999994</v>
      </c>
      <c r="AU113" s="400"/>
      <c r="AV113" s="235">
        <f ca="1">_xll.DBRW(Server&amp;Cube1,$N$15,$N$16,$N$17,$N$18,$N$14,$N$13,AV$2,AV$1,$B113)</f>
        <v>0</v>
      </c>
      <c r="AW113" s="235">
        <f ca="1">_xll.DBRW(Server&amp;Cube1,$N$15,$N$16,$N$17,$N$18,$N$14,$N$13,AW$2,AW$1,$B113)</f>
        <v>-126825684.82879174</v>
      </c>
      <c r="AX113" s="235">
        <f ca="1">_xll.DBRW(Server&amp;Cube1,$N$15,$N$16,$N$17,$N$18,$N$14,$N$13,AX$2,AX$1,$B113)</f>
        <v>-272549574.47000003</v>
      </c>
      <c r="AY113" s="400"/>
      <c r="AZ113" s="235">
        <f ca="1">_xll.DBRW(Server&amp;Cube1,$N$15,$N$16,$N$17,$N$18,$N$14,$N$13,AZ$2,AZ$1,$B113)</f>
        <v>0</v>
      </c>
      <c r="BA113" s="235">
        <f ca="1">_xll.DBRW(Server&amp;Cube1,$N$15,$N$16,$N$17,$N$18,$N$14,$N$13,BA$2,BA$1,$B113)</f>
        <v>-125555406.61101498</v>
      </c>
      <c r="BB113" s="235">
        <f ca="1">_xll.DBRW(Server&amp;Cube1,$N$15,$N$16,$N$17,$N$18,$N$14,$N$13,BB$2,BB$1,$B113)</f>
        <v>912573763.81445098</v>
      </c>
      <c r="BC113" s="400"/>
      <c r="BD113" s="235">
        <f ca="1">_xll.DBRW(Server&amp;Cube1,$N$15,$N$16,$N$17,$N$18,$N$14,$N$13,BD$2,BD$1,$B113)</f>
        <v>0</v>
      </c>
      <c r="BE113" s="235">
        <f ca="1">_xll.DBRW(Server&amp;Cube1,$N$15,$N$16,$N$17,$N$18,$N$14,$N$13,BE$2,BE$1,$B113)</f>
        <v>-125392658.66562551</v>
      </c>
      <c r="BF113" s="235">
        <f ca="1">_xll.DBRW(Server&amp;Cube1,$N$15,$N$16,$N$17,$N$18,$N$14,$N$13,BF$2,BF$1,$B113)</f>
        <v>-19524594.379999999</v>
      </c>
      <c r="BG113" s="400"/>
      <c r="BH113" s="235">
        <f ca="1">_xll.DBRW(Server&amp;Cube1,$N$15,$N$16,$N$17,$N$18,$N$14,$N$13,BH$2,BH$1,$B113)</f>
        <v>0</v>
      </c>
      <c r="BI113" s="235">
        <f ca="1">_xll.DBRW(Server&amp;Cube1,$N$15,$N$16,$N$17,$N$18,$N$14,$N$13,BI$2,BI$1,$B113)</f>
        <v>-125441765.41361795</v>
      </c>
      <c r="BJ113" s="235">
        <f ca="1">_xll.DBRW(Server&amp;Cube1,$N$15,$N$16,$N$17,$N$18,$N$14,$N$13,BJ$2,BJ$1,$B113)</f>
        <v>-1284064424.6800001</v>
      </c>
      <c r="BK113" s="400"/>
      <c r="BL113" s="235">
        <f ca="1">_xll.DBRW(Server&amp;Cube1,$N$15,$N$16,$N$17,$N$18,$N$14,$N$13,BL$2,BL$1,$B113)</f>
        <v>0</v>
      </c>
      <c r="BM113" s="235">
        <f ca="1">_xll.DBRW(Server&amp;Cube1,$N$15,$N$16,$N$17,$N$18,$N$14,$N$13,BM$2,BM$1,$B113)</f>
        <v>-125529975.67487331</v>
      </c>
      <c r="BN113" s="235">
        <f ca="1">_xll.DBRW(Server&amp;Cube1,$N$15,$N$16,$N$17,$N$18,$N$14,$N$13,BN$2,BN$1,$B113)</f>
        <v>-211229076.16000003</v>
      </c>
      <c r="BO113" s="400"/>
      <c r="BP113" s="235">
        <f ca="1">_xll.DBRW(Server&amp;Cube1,$N$15,$N$16,$N$17,$N$18,$N$14,$N$13,BP$2,BP$1,$B113)</f>
        <v>0</v>
      </c>
      <c r="BQ113" s="235">
        <f ca="1">_xll.DBRW(Server&amp;Cube1,$N$15,$N$16,$N$17,$N$18,$N$14,$N$13,BQ$2,BQ$1,$B113)</f>
        <v>-125618641.19179082</v>
      </c>
      <c r="BR113" s="235">
        <f ca="1">_xll.DBRW(Server&amp;Cube1,$N$15,$N$16,$N$17,$N$18,$N$14,$N$13,BR$2,BR$1,$B113)</f>
        <v>-212211888.56</v>
      </c>
      <c r="BS113" s="400"/>
      <c r="BT113" s="235">
        <f ca="1">_xll.DBRW(Server&amp;Cube1,$N$15,$N$16,$N$17,$N$18,$N$14,$N$13,BT$2,BT$1,$B113)</f>
        <v>0</v>
      </c>
      <c r="BU113" s="235">
        <f ca="1">_xll.DBRW(Server&amp;Cube1,$N$15,$N$16,$N$17,$N$18,$N$14,$N$13,BU$2,BU$1,$B113)</f>
        <v>-124970836.21485461</v>
      </c>
      <c r="BV113" s="235">
        <f ca="1">_xll.DBRW(Server&amp;Cube1,$N$15,$N$16,$N$17,$N$18,$N$14,$N$13,BV$2,BV$1,$B113)</f>
        <v>-1805976095.6299992</v>
      </c>
      <c r="BW113" s="55"/>
      <c r="BX113" s="28"/>
    </row>
    <row r="114" spans="1:78" ht="19.5" hidden="1" customHeight="1" outlineLevel="1" x14ac:dyDescent="0.2">
      <c r="A114" s="57"/>
      <c r="B114" s="360" t="s">
        <v>78</v>
      </c>
      <c r="H114" s="360"/>
      <c r="I114" s="69"/>
      <c r="J114" s="54"/>
      <c r="K114" s="9"/>
      <c r="L114" s="555" t="str">
        <f ca="1">LEFT(_xll.DBRA(Server&amp;$B$32,$B114,$N$19),FIND("(",_xll.DBRA(Server&amp;$B$32,$B114,$N$19),1)-1)</f>
        <v xml:space="preserve">Customer services </v>
      </c>
      <c r="M114" s="555"/>
      <c r="N114" s="555"/>
      <c r="O114" s="555"/>
      <c r="P114" s="234"/>
      <c r="Q114" s="235">
        <f ca="1">_xll.DBRW(Server&amp;Cube1,$N$15,$N$16,$N$17,$N$18,$N$14,$N$13,$N$11,$Q$1,$B114)</f>
        <v>-268842185.98000002</v>
      </c>
      <c r="R114" s="235">
        <f ca="1">_xll.DBRW(Server&amp;Cube1,$N$15,$N$16,$N$17,$N$18,$N$14,$N$13,$R$2,$R$1,$B114)</f>
        <v>-264095114.90747494</v>
      </c>
      <c r="S114" s="236">
        <f t="shared" ca="1" si="60"/>
        <v>-4747071.072525084</v>
      </c>
      <c r="T114" s="238">
        <f t="shared" ca="1" si="61"/>
        <v>-1.7974853772619794E-2</v>
      </c>
      <c r="U114" s="223"/>
      <c r="V114" s="235">
        <f ca="1">_xll.DBRW(Server&amp;Cube1,$N$15,$N$16,$N$17,$N$18,$N$14,$N$13,$V$2,$V$1,$B114)</f>
        <v>-155527455.24663714</v>
      </c>
      <c r="W114" s="236">
        <f t="shared" ca="1" si="62"/>
        <v>-113314730.73336288</v>
      </c>
      <c r="X114" s="238">
        <f t="shared" ca="1" si="63"/>
        <v>-0.72858345527268575</v>
      </c>
      <c r="Y114" s="55"/>
      <c r="Z114" s="55"/>
      <c r="AA114" s="55"/>
      <c r="AB114" s="235">
        <f ca="1">_xll.DBRW(Server&amp;Cube1,$N$15,$N$16,$N$17,$N$18,$N$14,$N$13,AB$2,AB$1,$B114)</f>
        <v>-146229810.09</v>
      </c>
      <c r="AC114" s="235">
        <f ca="1">_xll.DBRW(Server&amp;Cube1,$N$15,$N$16,$N$17,$N$18,$N$14,$N$13,AC$2,AC$1,$B114)</f>
        <v>-151478566.02602196</v>
      </c>
      <c r="AD114" s="235">
        <f ca="1">_xll.DBRW(Server&amp;Cube1,$N$15,$N$16,$N$17,$N$18,$N$14,$N$13,AD$2,AD$1,$B114)</f>
        <v>-7048733.811665765</v>
      </c>
      <c r="AE114" s="400"/>
      <c r="AF114" s="235">
        <f ca="1">_xll.DBRW(Server&amp;Cube1,$N$15,$N$16,$N$17,$N$18,$N$14,$N$13,AF$2,AF$1,$B114)</f>
        <v>-122612375.89000002</v>
      </c>
      <c r="AG114" s="235">
        <f ca="1">_xll.DBRW(Server&amp;Cube1,$N$15,$N$16,$N$17,$N$18,$N$14,$N$13,AG$2,AG$1,$B114)</f>
        <v>-112616548.88145298</v>
      </c>
      <c r="AH114" s="235">
        <f ca="1">_xll.DBRW(Server&amp;Cube1,$N$15,$N$16,$N$17,$N$18,$N$14,$N$13,AH$2,AH$1,$B114)</f>
        <v>-148478721.43497139</v>
      </c>
      <c r="AI114" s="400"/>
      <c r="AJ114" s="235">
        <f ca="1">_xll.DBRW(Server&amp;Cube1,$N$15,$N$16,$N$17,$N$18,$N$14,$N$13,AJ$2,AJ$1,$B114)</f>
        <v>0</v>
      </c>
      <c r="AK114" s="235">
        <f ca="1">_xll.DBRW(Server&amp;Cube1,$N$15,$N$16,$N$17,$N$18,$N$14,$N$13,AK$2,AK$1,$B114)</f>
        <v>-113484696.75982282</v>
      </c>
      <c r="AL114" s="235">
        <f ca="1">_xll.DBRW(Server&amp;Cube1,$N$15,$N$16,$N$17,$N$18,$N$14,$N$13,AL$2,AL$1,$B114)</f>
        <v>-92875894.773362786</v>
      </c>
      <c r="AM114" s="400"/>
      <c r="AN114" s="235">
        <f ca="1">_xll.DBRW(Server&amp;Cube1,$N$15,$N$16,$N$17,$N$18,$N$14,$N$13,AN$2,AN$1,$B114)</f>
        <v>0</v>
      </c>
      <c r="AO114" s="235">
        <f ca="1">_xll.DBRW(Server&amp;Cube1,$N$15,$N$16,$N$17,$N$18,$N$14,$N$13,AO$2,AO$1,$B114)</f>
        <v>-113589017.51079313</v>
      </c>
      <c r="AP114" s="235">
        <f ca="1">_xll.DBRW(Server&amp;Cube1,$N$15,$N$16,$N$17,$N$18,$N$14,$N$13,AP$2,AP$1,$B114)</f>
        <v>-88634661.530000016</v>
      </c>
      <c r="AQ114" s="400"/>
      <c r="AR114" s="235">
        <f ca="1">_xll.DBRW(Server&amp;Cube1,$N$15,$N$16,$N$17,$N$18,$N$14,$N$13,AR$2,AR$1,$B114)</f>
        <v>0</v>
      </c>
      <c r="AS114" s="235">
        <f ca="1">_xll.DBRW(Server&amp;Cube1,$N$15,$N$16,$N$17,$N$18,$N$14,$N$13,AS$2,AS$1,$B114)</f>
        <v>-112773368.75134818</v>
      </c>
      <c r="AT114" s="235">
        <f ca="1">_xll.DBRW(Server&amp;Cube1,$N$15,$N$16,$N$17,$N$18,$N$14,$N$13,AT$2,AT$1,$B114)</f>
        <v>-112398157.65000004</v>
      </c>
      <c r="AU114" s="400"/>
      <c r="AV114" s="235">
        <f ca="1">_xll.DBRW(Server&amp;Cube1,$N$15,$N$16,$N$17,$N$18,$N$14,$N$13,AV$2,AV$1,$B114)</f>
        <v>0</v>
      </c>
      <c r="AW114" s="235">
        <f ca="1">_xll.DBRW(Server&amp;Cube1,$N$15,$N$16,$N$17,$N$18,$N$14,$N$13,AW$2,AW$1,$B114)</f>
        <v>-112274194.70182741</v>
      </c>
      <c r="AX114" s="235">
        <f ca="1">_xll.DBRW(Server&amp;Cube1,$N$15,$N$16,$N$17,$N$18,$N$14,$N$13,AX$2,AX$1,$B114)</f>
        <v>-89608468.549999982</v>
      </c>
      <c r="AY114" s="400"/>
      <c r="AZ114" s="235">
        <f ca="1">_xll.DBRW(Server&amp;Cube1,$N$15,$N$16,$N$17,$N$18,$N$14,$N$13,AZ$2,AZ$1,$B114)</f>
        <v>0</v>
      </c>
      <c r="BA114" s="235">
        <f ca="1">_xll.DBRW(Server&amp;Cube1,$N$15,$N$16,$N$17,$N$18,$N$14,$N$13,BA$2,BA$1,$B114)</f>
        <v>-115305047.44468756</v>
      </c>
      <c r="BB114" s="235">
        <f ca="1">_xll.DBRW(Server&amp;Cube1,$N$15,$N$16,$N$17,$N$18,$N$14,$N$13,BB$2,BB$1,$B114)</f>
        <v>479308259.68917656</v>
      </c>
      <c r="BC114" s="400"/>
      <c r="BD114" s="235">
        <f ca="1">_xll.DBRW(Server&amp;Cube1,$N$15,$N$16,$N$17,$N$18,$N$14,$N$13,BD$2,BD$1,$B114)</f>
        <v>0</v>
      </c>
      <c r="BE114" s="235">
        <f ca="1">_xll.DBRW(Server&amp;Cube1,$N$15,$N$16,$N$17,$N$18,$N$14,$N$13,BE$2,BE$1,$B114)</f>
        <v>-111694470.87908804</v>
      </c>
      <c r="BF114" s="235">
        <f ca="1">_xll.DBRW(Server&amp;Cube1,$N$15,$N$16,$N$17,$N$18,$N$14,$N$13,BF$2,BF$1,$B114)</f>
        <v>-16230556.120000003</v>
      </c>
      <c r="BG114" s="400"/>
      <c r="BH114" s="235">
        <f ca="1">_xll.DBRW(Server&amp;Cube1,$N$15,$N$16,$N$17,$N$18,$N$14,$N$13,BH$2,BH$1,$B114)</f>
        <v>0</v>
      </c>
      <c r="BI114" s="235">
        <f ca="1">_xll.DBRW(Server&amp;Cube1,$N$15,$N$16,$N$17,$N$18,$N$14,$N$13,BI$2,BI$1,$B114)</f>
        <v>-120964194.91798563</v>
      </c>
      <c r="BJ114" s="235">
        <f ca="1">_xll.DBRW(Server&amp;Cube1,$N$15,$N$16,$N$17,$N$18,$N$14,$N$13,BJ$2,BJ$1,$B114)</f>
        <v>-795156888.83000004</v>
      </c>
      <c r="BK114" s="400"/>
      <c r="BL114" s="235">
        <f ca="1">_xll.DBRW(Server&amp;Cube1,$N$15,$N$16,$N$17,$N$18,$N$14,$N$13,BL$2,BL$1,$B114)</f>
        <v>0</v>
      </c>
      <c r="BM114" s="235">
        <f ca="1">_xll.DBRW(Server&amp;Cube1,$N$15,$N$16,$N$17,$N$18,$N$14,$N$13,BM$2,BM$1,$B114)</f>
        <v>-112056264.39922334</v>
      </c>
      <c r="BN114" s="235">
        <f ca="1">_xll.DBRW(Server&amp;Cube1,$N$15,$N$16,$N$17,$N$18,$N$14,$N$13,BN$2,BN$1,$B114)</f>
        <v>-149210451.99999997</v>
      </c>
      <c r="BO114" s="400"/>
      <c r="BP114" s="235">
        <f ca="1">_xll.DBRW(Server&amp;Cube1,$N$15,$N$16,$N$17,$N$18,$N$14,$N$13,BP$2,BP$1,$B114)</f>
        <v>0</v>
      </c>
      <c r="BQ114" s="235">
        <f ca="1">_xll.DBRW(Server&amp;Cube1,$N$15,$N$16,$N$17,$N$18,$N$14,$N$13,BQ$2,BQ$1,$B114)</f>
        <v>-112004407.82842076</v>
      </c>
      <c r="BR114" s="235">
        <f ca="1">_xll.DBRW(Server&amp;Cube1,$N$15,$N$16,$N$17,$N$18,$N$14,$N$13,BR$2,BR$1,$B114)</f>
        <v>-110114360.97000003</v>
      </c>
      <c r="BS114" s="400"/>
      <c r="BT114" s="235">
        <f ca="1">_xll.DBRW(Server&amp;Cube1,$N$15,$N$16,$N$17,$N$18,$N$14,$N$13,BT$2,BT$1,$B114)</f>
        <v>0</v>
      </c>
      <c r="BU114" s="235">
        <f ca="1">_xll.DBRW(Server&amp;Cube1,$N$15,$N$16,$N$17,$N$18,$N$14,$N$13,BU$2,BU$1,$B114)</f>
        <v>-121735709.19271819</v>
      </c>
      <c r="BV114" s="235">
        <f ca="1">_xll.DBRW(Server&amp;Cube1,$N$15,$N$16,$N$17,$N$18,$N$14,$N$13,BV$2,BV$1,$B114)</f>
        <v>-1147778151.7</v>
      </c>
      <c r="BW114" s="55"/>
      <c r="BX114" s="28"/>
    </row>
    <row r="115" spans="1:78" ht="19.5" hidden="1" customHeight="1" outlineLevel="1" x14ac:dyDescent="0.2">
      <c r="A115" s="57"/>
      <c r="B115" s="360" t="s">
        <v>79</v>
      </c>
      <c r="H115" s="360"/>
      <c r="I115" s="69"/>
      <c r="J115" s="54"/>
      <c r="K115" s="9"/>
      <c r="L115" s="555" t="str">
        <f ca="1">LEFT(_xll.DBRA(Server&amp;$B$32,$B115,$N$19),FIND("(",_xll.DBRA(Server&amp;$B$32,$B115,$N$19),1)-1)</f>
        <v xml:space="preserve">Direct support to operations </v>
      </c>
      <c r="M115" s="555"/>
      <c r="N115" s="555"/>
      <c r="O115" s="555"/>
      <c r="P115" s="234"/>
      <c r="Q115" s="235">
        <f ca="1">_xll.DBRW(Server&amp;Cube1,$N$15,$N$16,$N$17,$N$18,$N$14,$N$13,$N$11,$Q$1,$B115)</f>
        <v>-1968007602.3900001</v>
      </c>
      <c r="R115" s="235">
        <f ca="1">_xll.DBRW(Server&amp;Cube1,$N$15,$N$16,$N$17,$N$18,$N$14,$N$13,$R$2,$R$1,$B115)</f>
        <v>-2257401553.2676649</v>
      </c>
      <c r="S115" s="236">
        <f t="shared" ca="1" si="60"/>
        <v>289393950.8776648</v>
      </c>
      <c r="T115" s="238">
        <f t="shared" ca="1" si="61"/>
        <v>0.12819781684776343</v>
      </c>
      <c r="U115" s="223"/>
      <c r="V115" s="235">
        <f ca="1">_xll.DBRW(Server&amp;Cube1,$N$15,$N$16,$N$17,$N$18,$N$14,$N$13,$V$2,$V$1,$B115)</f>
        <v>-1569239064.5433342</v>
      </c>
      <c r="W115" s="236">
        <f t="shared" ca="1" si="62"/>
        <v>-398768537.84666586</v>
      </c>
      <c r="X115" s="238">
        <f t="shared" ca="1" si="63"/>
        <v>-0.2541158621759852</v>
      </c>
      <c r="Y115" s="55"/>
      <c r="Z115" s="55"/>
      <c r="AA115" s="55"/>
      <c r="AB115" s="235">
        <f ca="1">_xll.DBRW(Server&amp;Cube1,$N$15,$N$16,$N$17,$N$18,$N$14,$N$13,AB$2,AB$1,$B115)</f>
        <v>-1154367100.9299994</v>
      </c>
      <c r="AC115" s="235">
        <f ca="1">_xll.DBRW(Server&amp;Cube1,$N$15,$N$16,$N$17,$N$18,$N$14,$N$13,AC$2,AC$1,$B115)</f>
        <v>-1229731813.4967046</v>
      </c>
      <c r="AD115" s="235">
        <f ca="1">_xll.DBRW(Server&amp;Cube1,$N$15,$N$16,$N$17,$N$18,$N$14,$N$13,AD$2,AD$1,$B115)</f>
        <v>-52915192.36666666</v>
      </c>
      <c r="AE115" s="400"/>
      <c r="AF115" s="235">
        <f ca="1">_xll.DBRW(Server&amp;Cube1,$N$15,$N$16,$N$17,$N$18,$N$14,$N$13,AF$2,AF$1,$B115)</f>
        <v>-813640501.45999968</v>
      </c>
      <c r="AG115" s="235">
        <f ca="1">_xll.DBRW(Server&amp;Cube1,$N$15,$N$16,$N$17,$N$18,$N$14,$N$13,AG$2,AG$1,$B115)</f>
        <v>-1027669739.77096</v>
      </c>
      <c r="AH115" s="235">
        <f ca="1">_xll.DBRW(Server&amp;Cube1,$N$15,$N$16,$N$17,$N$18,$N$14,$N$13,AH$2,AH$1,$B115)</f>
        <v>-1516323872.1766665</v>
      </c>
      <c r="AI115" s="400"/>
      <c r="AJ115" s="235">
        <f ca="1">_xll.DBRW(Server&amp;Cube1,$N$15,$N$16,$N$17,$N$18,$N$14,$N$13,AJ$2,AJ$1,$B115)</f>
        <v>0</v>
      </c>
      <c r="AK115" s="235">
        <f ca="1">_xll.DBRW(Server&amp;Cube1,$N$15,$N$16,$N$17,$N$18,$N$14,$N$13,AK$2,AK$1,$B115)</f>
        <v>-1070523976.6655689</v>
      </c>
      <c r="AL115" s="235">
        <f ca="1">_xll.DBRW(Server&amp;Cube1,$N$15,$N$16,$N$17,$N$18,$N$14,$N$13,AL$2,AL$1,$B115)</f>
        <v>-861800830.52666652</v>
      </c>
      <c r="AM115" s="400"/>
      <c r="AN115" s="235">
        <f ca="1">_xll.DBRW(Server&amp;Cube1,$N$15,$N$16,$N$17,$N$18,$N$14,$N$13,AN$2,AN$1,$B115)</f>
        <v>0</v>
      </c>
      <c r="AO115" s="235">
        <f ca="1">_xll.DBRW(Server&amp;Cube1,$N$15,$N$16,$N$17,$N$18,$N$14,$N$13,AO$2,AO$1,$B115)</f>
        <v>-1060164042.0993438</v>
      </c>
      <c r="AP115" s="235">
        <f ca="1">_xll.DBRW(Server&amp;Cube1,$N$15,$N$16,$N$17,$N$18,$N$14,$N$13,AP$2,AP$1,$B115)</f>
        <v>-728903975.94999969</v>
      </c>
      <c r="AQ115" s="400"/>
      <c r="AR115" s="235">
        <f ca="1">_xll.DBRW(Server&amp;Cube1,$N$15,$N$16,$N$17,$N$18,$N$14,$N$13,AR$2,AR$1,$B115)</f>
        <v>0</v>
      </c>
      <c r="AS115" s="235">
        <f ca="1">_xll.DBRW(Server&amp;Cube1,$N$15,$N$16,$N$17,$N$18,$N$14,$N$13,AS$2,AS$1,$B115)</f>
        <v>-1044057148.2099138</v>
      </c>
      <c r="AT115" s="235">
        <f ca="1">_xll.DBRW(Server&amp;Cube1,$N$15,$N$16,$N$17,$N$18,$N$14,$N$13,AT$2,AT$1,$B115)</f>
        <v>-963942871.70000017</v>
      </c>
      <c r="AU115" s="400"/>
      <c r="AV115" s="235">
        <f ca="1">_xll.DBRW(Server&amp;Cube1,$N$15,$N$16,$N$17,$N$18,$N$14,$N$13,AV$2,AV$1,$B115)</f>
        <v>0</v>
      </c>
      <c r="AW115" s="235">
        <f ca="1">_xll.DBRW(Server&amp;Cube1,$N$15,$N$16,$N$17,$N$18,$N$14,$N$13,AW$2,AW$1,$B115)</f>
        <v>-1045998272.4794557</v>
      </c>
      <c r="AX115" s="235">
        <f ca="1">_xll.DBRW(Server&amp;Cube1,$N$15,$N$16,$N$17,$N$18,$N$14,$N$13,AX$2,AX$1,$B115)</f>
        <v>-795913673.20999992</v>
      </c>
      <c r="AY115" s="400"/>
      <c r="AZ115" s="235">
        <f ca="1">_xll.DBRW(Server&amp;Cube1,$N$15,$N$16,$N$17,$N$18,$N$14,$N$13,AZ$2,AZ$1,$B115)</f>
        <v>0</v>
      </c>
      <c r="BA115" s="235">
        <f ca="1">_xll.DBRW(Server&amp;Cube1,$N$15,$N$16,$N$17,$N$18,$N$14,$N$13,BA$2,BA$1,$B115)</f>
        <v>-1069611309.7680169</v>
      </c>
      <c r="BB115" s="235">
        <f ca="1">_xll.DBRW(Server&amp;Cube1,$N$15,$N$16,$N$17,$N$18,$N$14,$N$13,BB$2,BB$1,$B115)</f>
        <v>4447404853.1266689</v>
      </c>
      <c r="BC115" s="400"/>
      <c r="BD115" s="235">
        <f ca="1">_xll.DBRW(Server&amp;Cube1,$N$15,$N$16,$N$17,$N$18,$N$14,$N$13,BD$2,BD$1,$B115)</f>
        <v>0</v>
      </c>
      <c r="BE115" s="235">
        <f ca="1">_xll.DBRW(Server&amp;Cube1,$N$15,$N$16,$N$17,$N$18,$N$14,$N$13,BE$2,BE$1,$B115)</f>
        <v>-1040574143.5429883</v>
      </c>
      <c r="BF115" s="235">
        <f ca="1">_xll.DBRW(Server&amp;Cube1,$N$15,$N$16,$N$17,$N$18,$N$14,$N$13,BF$2,BF$1,$B115)</f>
        <v>-79811172.959999993</v>
      </c>
      <c r="BG115" s="400"/>
      <c r="BH115" s="235">
        <f ca="1">_xll.DBRW(Server&amp;Cube1,$N$15,$N$16,$N$17,$N$18,$N$14,$N$13,BH$2,BH$1,$B115)</f>
        <v>0</v>
      </c>
      <c r="BI115" s="235">
        <f ca="1">_xll.DBRW(Server&amp;Cube1,$N$15,$N$16,$N$17,$N$18,$N$14,$N$13,BI$2,BI$1,$B115)</f>
        <v>-1108849088.900466</v>
      </c>
      <c r="BJ115" s="235">
        <f ca="1">_xll.DBRW(Server&amp;Cube1,$N$15,$N$16,$N$17,$N$18,$N$14,$N$13,BJ$2,BJ$1,$B115)</f>
        <v>-6854356843.4600019</v>
      </c>
      <c r="BK115" s="400"/>
      <c r="BL115" s="235">
        <f ca="1">_xll.DBRW(Server&amp;Cube1,$N$15,$N$16,$N$17,$N$18,$N$14,$N$13,BL$2,BL$1,$B115)</f>
        <v>0</v>
      </c>
      <c r="BM115" s="235">
        <f ca="1">_xll.DBRW(Server&amp;Cube1,$N$15,$N$16,$N$17,$N$18,$N$14,$N$13,BM$2,BM$1,$B115)</f>
        <v>-1049239588.8135042</v>
      </c>
      <c r="BN115" s="235">
        <f ca="1">_xll.DBRW(Server&amp;Cube1,$N$15,$N$16,$N$17,$N$18,$N$14,$N$13,BN$2,BN$1,$B115)</f>
        <v>-1036427204.3499999</v>
      </c>
      <c r="BO115" s="400"/>
      <c r="BP115" s="235">
        <f ca="1">_xll.DBRW(Server&amp;Cube1,$N$15,$N$16,$N$17,$N$18,$N$14,$N$13,BP$2,BP$1,$B115)</f>
        <v>0</v>
      </c>
      <c r="BQ115" s="235">
        <f ca="1">_xll.DBRW(Server&amp;Cube1,$N$15,$N$16,$N$17,$N$18,$N$14,$N$13,BQ$2,BQ$1,$B115)</f>
        <v>-1050247723.1672959</v>
      </c>
      <c r="BR115" s="235">
        <f ca="1">_xll.DBRW(Server&amp;Cube1,$N$15,$N$16,$N$17,$N$18,$N$14,$N$13,BR$2,BR$1,$B115)</f>
        <v>-824113200.69000006</v>
      </c>
      <c r="BS115" s="400"/>
      <c r="BT115" s="235">
        <f ca="1">_xll.DBRW(Server&amp;Cube1,$N$15,$N$16,$N$17,$N$18,$N$14,$N$13,BT$2,BT$1,$B115)</f>
        <v>0</v>
      </c>
      <c r="BU115" s="235">
        <f ca="1">_xll.DBRW(Server&amp;Cube1,$N$15,$N$16,$N$17,$N$18,$N$14,$N$13,BU$2,BU$1,$B115)</f>
        <v>-1136161044.7124894</v>
      </c>
      <c r="BV115" s="235">
        <f ca="1">_xll.DBRW(Server&amp;Cube1,$N$15,$N$16,$N$17,$N$18,$N$14,$N$13,BV$2,BV$1,$B115)</f>
        <v>-9080848922.1299973</v>
      </c>
      <c r="BW115" s="55"/>
      <c r="BX115" s="28"/>
    </row>
    <row r="116" spans="1:78" ht="19.5" hidden="1" customHeight="1" outlineLevel="1" x14ac:dyDescent="0.2">
      <c r="A116" s="57"/>
      <c r="B116" s="360" t="s">
        <v>347</v>
      </c>
      <c r="H116" s="360"/>
      <c r="I116" s="69"/>
      <c r="J116" s="54"/>
      <c r="K116" s="9"/>
      <c r="L116" s="555" t="str">
        <f ca="1">LEFT(_xll.DBRA(Server&amp;$B$32,$B116,$N$19),FIND("(",_xll.DBRA(Server&amp;$B$32,$B116,$N$19),1)-1)</f>
        <v xml:space="preserve">Infrastructure </v>
      </c>
      <c r="M116" s="555"/>
      <c r="N116" s="555"/>
      <c r="O116" s="555"/>
      <c r="P116" s="234"/>
      <c r="Q116" s="235">
        <f ca="1">_xll.DBRW(Server&amp;Cube1,$N$15,$N$16,$N$17,$N$18,$N$14,$N$13,$N$11,$Q$1,$B116)</f>
        <v>-209811424.07000002</v>
      </c>
      <c r="R116" s="235">
        <f ca="1">_xll.DBRW(Server&amp;Cube1,$N$15,$N$16,$N$17,$N$18,$N$14,$N$13,$R$2,$R$1,$B116)</f>
        <v>-237232444.17617121</v>
      </c>
      <c r="S116" s="236">
        <f t="shared" ca="1" si="60"/>
        <v>27421020.106171191</v>
      </c>
      <c r="T116" s="238">
        <f t="shared" ca="1" si="61"/>
        <v>0.11558714155391016</v>
      </c>
      <c r="U116" s="223"/>
      <c r="V116" s="235">
        <f ca="1">_xll.DBRW(Server&amp;Cube1,$N$15,$N$16,$N$17,$N$18,$N$14,$N$13,$V$2,$V$1,$B116)</f>
        <v>-297475533.77975118</v>
      </c>
      <c r="W116" s="236">
        <f t="shared" ca="1" si="62"/>
        <v>87664109.709751159</v>
      </c>
      <c r="X116" s="238">
        <f t="shared" ca="1" si="63"/>
        <v>0.29469351175164898</v>
      </c>
      <c r="Y116" s="55"/>
      <c r="Z116" s="55"/>
      <c r="AA116" s="55"/>
      <c r="AB116" s="235">
        <f ca="1">_xll.DBRW(Server&amp;Cube1,$N$15,$N$16,$N$17,$N$18,$N$14,$N$13,AB$2,AB$1,$B116)</f>
        <v>-104362633.72000004</v>
      </c>
      <c r="AC116" s="235">
        <f ca="1">_xll.DBRW(Server&amp;Cube1,$N$15,$N$16,$N$17,$N$18,$N$14,$N$13,AC$2,AC$1,$B116)</f>
        <v>-118832045.57423595</v>
      </c>
      <c r="AD116" s="235">
        <f ca="1">_xll.DBRW(Server&amp;Cube1,$N$15,$N$16,$N$17,$N$18,$N$14,$N$13,AD$2,AD$1,$B116)</f>
        <v>-13824587.949158816</v>
      </c>
      <c r="AE116" s="400"/>
      <c r="AF116" s="235">
        <f ca="1">_xll.DBRW(Server&amp;Cube1,$N$15,$N$16,$N$17,$N$18,$N$14,$N$13,AF$2,AF$1,$B116)</f>
        <v>-105448790.34999999</v>
      </c>
      <c r="AG116" s="235">
        <f ca="1">_xll.DBRW(Server&amp;Cube1,$N$15,$N$16,$N$17,$N$18,$N$14,$N$13,AG$2,AG$1,$B116)</f>
        <v>-118400398.60193533</v>
      </c>
      <c r="AH116" s="235">
        <f ca="1">_xll.DBRW(Server&amp;Cube1,$N$15,$N$16,$N$17,$N$18,$N$14,$N$13,AH$2,AH$1,$B116)</f>
        <v>-283650945.83059263</v>
      </c>
      <c r="AI116" s="400"/>
      <c r="AJ116" s="235">
        <f ca="1">_xll.DBRW(Server&amp;Cube1,$N$15,$N$16,$N$17,$N$18,$N$14,$N$13,AJ$2,AJ$1,$B116)</f>
        <v>0</v>
      </c>
      <c r="AK116" s="235">
        <f ca="1">_xll.DBRW(Server&amp;Cube1,$N$15,$N$16,$N$17,$N$18,$N$14,$N$13,AK$2,AK$1,$B116)</f>
        <v>-118162310.88990363</v>
      </c>
      <c r="AL116" s="235">
        <f ca="1">_xll.DBRW(Server&amp;Cube1,$N$15,$N$16,$N$17,$N$18,$N$14,$N$13,AL$2,AL$1,$B116)</f>
        <v>-149039561.07074863</v>
      </c>
      <c r="AM116" s="400"/>
      <c r="AN116" s="235">
        <f ca="1">_xll.DBRW(Server&amp;Cube1,$N$15,$N$16,$N$17,$N$18,$N$14,$N$13,AN$2,AN$1,$B116)</f>
        <v>0</v>
      </c>
      <c r="AO116" s="235">
        <f ca="1">_xll.DBRW(Server&amp;Cube1,$N$15,$N$16,$N$17,$N$18,$N$14,$N$13,AO$2,AO$1,$B116)</f>
        <v>-116903654.67630991</v>
      </c>
      <c r="AP116" s="235">
        <f ca="1">_xll.DBRW(Server&amp;Cube1,$N$15,$N$16,$N$17,$N$18,$N$14,$N$13,AP$2,AP$1,$B116)</f>
        <v>-135977794.37000003</v>
      </c>
      <c r="AQ116" s="400"/>
      <c r="AR116" s="235">
        <f ca="1">_xll.DBRW(Server&amp;Cube1,$N$15,$N$16,$N$17,$N$18,$N$14,$N$13,AR$2,AR$1,$B116)</f>
        <v>0</v>
      </c>
      <c r="AS116" s="235">
        <f ca="1">_xll.DBRW(Server&amp;Cube1,$N$15,$N$16,$N$17,$N$18,$N$14,$N$13,AS$2,AS$1,$B116)</f>
        <v>-117154170.92577675</v>
      </c>
      <c r="AT116" s="235">
        <f ca="1">_xll.DBRW(Server&amp;Cube1,$N$15,$N$16,$N$17,$N$18,$N$14,$N$13,AT$2,AT$1,$B116)</f>
        <v>-96020399.080000013</v>
      </c>
      <c r="AU116" s="400"/>
      <c r="AV116" s="235">
        <f ca="1">_xll.DBRW(Server&amp;Cube1,$N$15,$N$16,$N$17,$N$18,$N$14,$N$13,AV$2,AV$1,$B116)</f>
        <v>0</v>
      </c>
      <c r="AW116" s="235">
        <f ca="1">_xll.DBRW(Server&amp;Cube1,$N$15,$N$16,$N$17,$N$18,$N$14,$N$13,AW$2,AW$1,$B116)</f>
        <v>-116496663.90136193</v>
      </c>
      <c r="AX116" s="235">
        <f ca="1">_xll.DBRW(Server&amp;Cube1,$N$15,$N$16,$N$17,$N$18,$N$14,$N$13,AX$2,AX$1,$B116)</f>
        <v>-177531263.25000003</v>
      </c>
      <c r="AY116" s="400"/>
      <c r="AZ116" s="235">
        <f ca="1">_xll.DBRW(Server&amp;Cube1,$N$15,$N$16,$N$17,$N$18,$N$14,$N$13,AZ$2,AZ$1,$B116)</f>
        <v>0</v>
      </c>
      <c r="BA116" s="235">
        <f ca="1">_xll.DBRW(Server&amp;Cube1,$N$15,$N$16,$N$17,$N$18,$N$14,$N$13,BA$2,BA$1,$B116)</f>
        <v>-115197815.05323653</v>
      </c>
      <c r="BB116" s="235">
        <f ca="1">_xll.DBRW(Server&amp;Cube1,$N$15,$N$16,$N$17,$N$18,$N$14,$N$13,BB$2,BB$1,$B116)</f>
        <v>719193780.82921672</v>
      </c>
      <c r="BC116" s="400"/>
      <c r="BD116" s="235">
        <f ca="1">_xll.DBRW(Server&amp;Cube1,$N$15,$N$16,$N$17,$N$18,$N$14,$N$13,BD$2,BD$1,$B116)</f>
        <v>0</v>
      </c>
      <c r="BE116" s="235">
        <f ca="1">_xll.DBRW(Server&amp;Cube1,$N$15,$N$16,$N$17,$N$18,$N$14,$N$13,BE$2,BE$1,$B116)</f>
        <v>-115409669.27060328</v>
      </c>
      <c r="BF116" s="235">
        <f ca="1">_xll.DBRW(Server&amp;Cube1,$N$15,$N$16,$N$17,$N$18,$N$14,$N$13,BF$2,BF$1,$B116)</f>
        <v>-19300060.369999997</v>
      </c>
      <c r="BG116" s="400"/>
      <c r="BH116" s="235">
        <f ca="1">_xll.DBRW(Server&amp;Cube1,$N$15,$N$16,$N$17,$N$18,$N$14,$N$13,BH$2,BH$1,$B116)</f>
        <v>0</v>
      </c>
      <c r="BI116" s="235">
        <f ca="1">_xll.DBRW(Server&amp;Cube1,$N$15,$N$16,$N$17,$N$18,$N$14,$N$13,BI$2,BI$1,$B116)</f>
        <v>-116226387.44528843</v>
      </c>
      <c r="BJ116" s="235">
        <f ca="1">_xll.DBRW(Server&amp;Cube1,$N$15,$N$16,$N$17,$N$18,$N$14,$N$13,BJ$2,BJ$1,$B116)</f>
        <v>-1089918407.2899992</v>
      </c>
      <c r="BK116" s="400"/>
      <c r="BL116" s="235">
        <f ca="1">_xll.DBRW(Server&amp;Cube1,$N$15,$N$16,$N$17,$N$18,$N$14,$N$13,BL$2,BL$1,$B116)</f>
        <v>0</v>
      </c>
      <c r="BM116" s="235">
        <f ca="1">_xll.DBRW(Server&amp;Cube1,$N$15,$N$16,$N$17,$N$18,$N$14,$N$13,BM$2,BM$1,$B116)</f>
        <v>-116712002.33848418</v>
      </c>
      <c r="BN116" s="235">
        <f ca="1">_xll.DBRW(Server&amp;Cube1,$N$15,$N$16,$N$17,$N$18,$N$14,$N$13,BN$2,BN$1,$B116)</f>
        <v>-139066805.36000004</v>
      </c>
      <c r="BO116" s="400"/>
      <c r="BP116" s="235">
        <f ca="1">_xll.DBRW(Server&amp;Cube1,$N$15,$N$16,$N$17,$N$18,$N$14,$N$13,BP$2,BP$1,$B116)</f>
        <v>0</v>
      </c>
      <c r="BQ116" s="235">
        <f ca="1">_xll.DBRW(Server&amp;Cube1,$N$15,$N$16,$N$17,$N$18,$N$14,$N$13,BQ$2,BQ$1,$B116)</f>
        <v>-116713752.6515625</v>
      </c>
      <c r="BR116" s="235">
        <f ca="1">_xll.DBRW(Server&amp;Cube1,$N$15,$N$16,$N$17,$N$18,$N$14,$N$13,BR$2,BR$1,$B116)</f>
        <v>-87253351.550000012</v>
      </c>
      <c r="BS116" s="400"/>
      <c r="BT116" s="235">
        <f ca="1">_xll.DBRW(Server&amp;Cube1,$N$15,$N$16,$N$17,$N$18,$N$14,$N$13,BT$2,BT$1,$B116)</f>
        <v>0</v>
      </c>
      <c r="BU116" s="235">
        <f ca="1">_xll.DBRW(Server&amp;Cube1,$N$15,$N$16,$N$17,$N$18,$N$14,$N$13,BU$2,BU$1,$B116)</f>
        <v>-118083753.82790586</v>
      </c>
      <c r="BV116" s="235">
        <f ca="1">_xll.DBRW(Server&amp;Cube1,$N$15,$N$16,$N$17,$N$18,$N$14,$N$13,BV$2,BV$1,$B116)</f>
        <v>-1372134534.5700002</v>
      </c>
      <c r="BW116" s="55"/>
      <c r="BX116" s="28"/>
    </row>
    <row r="117" spans="1:78" ht="19.5" hidden="1" customHeight="1" outlineLevel="1" x14ac:dyDescent="0.2">
      <c r="A117" s="57"/>
      <c r="B117" s="360" t="s">
        <v>80</v>
      </c>
      <c r="H117" s="360"/>
      <c r="I117" s="69"/>
      <c r="J117" s="54"/>
      <c r="K117" s="9"/>
      <c r="L117" s="555" t="str">
        <f ca="1">LEFT(_xll.DBRA(Server&amp;$B$32,$B117,$N$19),FIND("(",_xll.DBRA(Server&amp;$B$32,$B117,$N$19),1)-1)</f>
        <v xml:space="preserve">Additional transport costs </v>
      </c>
      <c r="M117" s="555"/>
      <c r="N117" s="555"/>
      <c r="O117" s="555"/>
      <c r="P117" s="234"/>
      <c r="Q117" s="235">
        <f ca="1">_xll.DBRW(Server&amp;Cube1,$N$15,$N$16,$N$17,$N$18,$N$14,$N$13,$N$11,$Q$1,$B117)</f>
        <v>-12057701.019999998</v>
      </c>
      <c r="R117" s="235">
        <f ca="1">_xll.DBRW(Server&amp;Cube1,$N$15,$N$16,$N$17,$N$18,$N$14,$N$13,$R$2,$R$1,$B117)</f>
        <v>-147336217.37580428</v>
      </c>
      <c r="S117" s="236">
        <f t="shared" ca="1" si="60"/>
        <v>135278516.35580426</v>
      </c>
      <c r="T117" s="238">
        <f t="shared" ca="1" si="61"/>
        <v>0.91816200229136502</v>
      </c>
      <c r="U117" s="223"/>
      <c r="V117" s="235">
        <f ca="1">_xll.DBRW(Server&amp;Cube1,$N$15,$N$16,$N$17,$N$18,$N$14,$N$13,$V$2,$V$1,$B117)</f>
        <v>-18997752.520000033</v>
      </c>
      <c r="W117" s="236">
        <f t="shared" ca="1" si="62"/>
        <v>6940051.5000000354</v>
      </c>
      <c r="X117" s="238">
        <f t="shared" ca="1" si="63"/>
        <v>0.36530908025535347</v>
      </c>
      <c r="Y117" s="55"/>
      <c r="Z117" s="55"/>
      <c r="AA117" s="55"/>
      <c r="AB117" s="239">
        <f ca="1">_xll.DBRW(Server&amp;Cube1,$N$15,$N$16,$N$17,$N$18,$N$14,$N$13,AB$2,AB$1,$B117)</f>
        <v>-6723050.2499999991</v>
      </c>
      <c r="AC117" s="239">
        <f ca="1">_xll.DBRW(Server&amp;Cube1,$N$15,$N$16,$N$17,$N$18,$N$14,$N$13,AC$2,AC$1,$B117)</f>
        <v>-74450742.287831724</v>
      </c>
      <c r="AD117" s="239">
        <f ca="1">_xll.DBRW(Server&amp;Cube1,$N$15,$N$16,$N$17,$N$18,$N$14,$N$13,AD$2,AD$1,$B117)</f>
        <v>-6927848.3700000001</v>
      </c>
      <c r="AE117" s="400"/>
      <c r="AF117" s="239">
        <f ca="1">_xll.DBRW(Server&amp;Cube1,$N$15,$N$16,$N$17,$N$18,$N$14,$N$13,AF$2,AF$1,$B117)</f>
        <v>-5334650.7700000005</v>
      </c>
      <c r="AG117" s="239">
        <f ca="1">_xll.DBRW(Server&amp;Cube1,$N$15,$N$16,$N$17,$N$18,$N$14,$N$13,AG$2,AG$1,$B117)</f>
        <v>-72885475.087972566</v>
      </c>
      <c r="AH117" s="239">
        <f ca="1">_xll.DBRW(Server&amp;Cube1,$N$15,$N$16,$N$17,$N$18,$N$14,$N$13,AH$2,AH$1,$B117)</f>
        <v>-12069904.15000003</v>
      </c>
      <c r="AI117" s="400"/>
      <c r="AJ117" s="239">
        <f ca="1">_xll.DBRW(Server&amp;Cube1,$N$15,$N$16,$N$17,$N$18,$N$14,$N$13,AJ$2,AJ$1,$B117)</f>
        <v>0</v>
      </c>
      <c r="AK117" s="239">
        <f ca="1">_xll.DBRW(Server&amp;Cube1,$N$15,$N$16,$N$17,$N$18,$N$14,$N$13,AK$2,AK$1,$B117)</f>
        <v>-77215709.242255151</v>
      </c>
      <c r="AL117" s="239">
        <f ca="1">_xll.DBRW(Server&amp;Cube1,$N$15,$N$16,$N$17,$N$18,$N$14,$N$13,AL$2,AL$1,$B117)</f>
        <v>-9805354.3699999731</v>
      </c>
      <c r="AM117" s="400"/>
      <c r="AN117" s="239">
        <f ca="1">_xll.DBRW(Server&amp;Cube1,$N$15,$N$16,$N$17,$N$18,$N$14,$N$13,AN$2,AN$1,$B117)</f>
        <v>0</v>
      </c>
      <c r="AO117" s="239">
        <f ca="1">_xll.DBRW(Server&amp;Cube1,$N$15,$N$16,$N$17,$N$18,$N$14,$N$13,AO$2,AO$1,$B117)</f>
        <v>-77372694.995070264</v>
      </c>
      <c r="AP117" s="239">
        <f ca="1">_xll.DBRW(Server&amp;Cube1,$N$15,$N$16,$N$17,$N$18,$N$14,$N$13,AP$2,AP$1,$B117)</f>
        <v>-4885740.8800000018</v>
      </c>
      <c r="AQ117" s="400"/>
      <c r="AR117" s="239">
        <f ca="1">_xll.DBRW(Server&amp;Cube1,$N$15,$N$16,$N$17,$N$18,$N$14,$N$13,AR$2,AR$1,$B117)</f>
        <v>0</v>
      </c>
      <c r="AS117" s="239">
        <f ca="1">_xll.DBRW(Server&amp;Cube1,$N$15,$N$16,$N$17,$N$18,$N$14,$N$13,AS$2,AS$1,$B117)</f>
        <v>-81262552.704534099</v>
      </c>
      <c r="AT117" s="239">
        <f ca="1">_xll.DBRW(Server&amp;Cube1,$N$15,$N$16,$N$17,$N$18,$N$14,$N$13,AT$2,AT$1,$B117)</f>
        <v>-18624735.959999993</v>
      </c>
      <c r="AU117" s="400"/>
      <c r="AV117" s="239">
        <f ca="1">_xll.DBRW(Server&amp;Cube1,$N$15,$N$16,$N$17,$N$18,$N$14,$N$13,AV$2,AV$1,$B117)</f>
        <v>0</v>
      </c>
      <c r="AW117" s="239">
        <f ca="1">_xll.DBRW(Server&amp;Cube1,$N$15,$N$16,$N$17,$N$18,$N$14,$N$13,AW$2,AW$1,$B117)</f>
        <v>-74310933.010064974</v>
      </c>
      <c r="AX117" s="239">
        <f ca="1">_xll.DBRW(Server&amp;Cube1,$N$15,$N$16,$N$17,$N$18,$N$14,$N$13,AX$2,AX$1,$B117)</f>
        <v>-10253140.800000003</v>
      </c>
      <c r="AY117" s="400"/>
      <c r="AZ117" s="239">
        <f ca="1">_xll.DBRW(Server&amp;Cube1,$N$15,$N$16,$N$17,$N$18,$N$14,$N$13,AZ$2,AZ$1,$B117)</f>
        <v>0</v>
      </c>
      <c r="BA117" s="239">
        <f ca="1">_xll.DBRW(Server&amp;Cube1,$N$15,$N$16,$N$17,$N$18,$N$14,$N$13,BA$2,BA$1,$B117)</f>
        <v>-58484772.197566487</v>
      </c>
      <c r="BB117" s="239">
        <f ca="1">_xll.DBRW(Server&amp;Cube1,$N$15,$N$16,$N$17,$N$18,$N$14,$N$13,BB$2,BB$1,$B117)</f>
        <v>-9406977.3800003007</v>
      </c>
      <c r="BC117" s="400"/>
      <c r="BD117" s="239">
        <f ca="1">_xll.DBRW(Server&amp;Cube1,$N$15,$N$16,$N$17,$N$18,$N$14,$N$13,BD$2,BD$1,$B117)</f>
        <v>0</v>
      </c>
      <c r="BE117" s="239">
        <f ca="1">_xll.DBRW(Server&amp;Cube1,$N$15,$N$16,$N$17,$N$18,$N$14,$N$13,BE$2,BE$1,$B117)</f>
        <v>-65336817.963680707</v>
      </c>
      <c r="BF117" s="239">
        <f ca="1">_xll.DBRW(Server&amp;Cube1,$N$15,$N$16,$N$17,$N$18,$N$14,$N$13,BF$2,BF$1,$B117)</f>
        <v>-12257917.829999998</v>
      </c>
      <c r="BG117" s="400"/>
      <c r="BH117" s="239">
        <f ca="1">_xll.DBRW(Server&amp;Cube1,$N$15,$N$16,$N$17,$N$18,$N$14,$N$13,BH$2,BH$1,$B117)</f>
        <v>0</v>
      </c>
      <c r="BI117" s="239">
        <f ca="1">_xll.DBRW(Server&amp;Cube1,$N$15,$N$16,$N$17,$N$18,$N$14,$N$13,BI$2,BI$1,$B117)</f>
        <v>-68845758.741813898</v>
      </c>
      <c r="BJ117" s="239">
        <f ca="1">_xll.DBRW(Server&amp;Cube1,$N$15,$N$16,$N$17,$N$18,$N$14,$N$13,BJ$2,BJ$1,$B117)</f>
        <v>-4341811.04</v>
      </c>
      <c r="BK117" s="400"/>
      <c r="BL117" s="239">
        <f ca="1">_xll.DBRW(Server&amp;Cube1,$N$15,$N$16,$N$17,$N$18,$N$14,$N$13,BL$2,BL$1,$B117)</f>
        <v>0</v>
      </c>
      <c r="BM117" s="239">
        <f ca="1">_xll.DBRW(Server&amp;Cube1,$N$15,$N$16,$N$17,$N$18,$N$14,$N$13,BM$2,BM$1,$B117)</f>
        <v>-71941604.94272083</v>
      </c>
      <c r="BN117" s="239">
        <f ca="1">_xll.DBRW(Server&amp;Cube1,$N$15,$N$16,$N$17,$N$18,$N$14,$N$13,BN$2,BN$1,$B117)</f>
        <v>-138344434.23000002</v>
      </c>
      <c r="BO117" s="400"/>
      <c r="BP117" s="239">
        <f ca="1">_xll.DBRW(Server&amp;Cube1,$N$15,$N$16,$N$17,$N$18,$N$14,$N$13,BP$2,BP$1,$B117)</f>
        <v>0</v>
      </c>
      <c r="BQ117" s="239">
        <f ca="1">_xll.DBRW(Server&amp;Cube1,$N$15,$N$16,$N$17,$N$18,$N$14,$N$13,BQ$2,BQ$1,$B117)</f>
        <v>-69671694.190115422</v>
      </c>
      <c r="BR117" s="239">
        <f ca="1">_xll.DBRW(Server&amp;Cube1,$N$15,$N$16,$N$17,$N$18,$N$14,$N$13,BR$2,BR$1,$B117)</f>
        <v>-53890099.920000002</v>
      </c>
      <c r="BS117" s="400"/>
      <c r="BT117" s="239">
        <f ca="1">_xll.DBRW(Server&amp;Cube1,$N$15,$N$16,$N$17,$N$18,$N$14,$N$13,BT$2,BT$1,$B117)</f>
        <v>0</v>
      </c>
      <c r="BU117" s="239">
        <f ca="1">_xll.DBRW(Server&amp;Cube1,$N$15,$N$16,$N$17,$N$18,$N$14,$N$13,BU$2,BU$1,$B117)</f>
        <v>-65036439.293661162</v>
      </c>
      <c r="BV117" s="239">
        <f ca="1">_xll.DBRW(Server&amp;Cube1,$N$15,$N$16,$N$17,$N$18,$N$14,$N$13,BV$2,BV$1,$B117)</f>
        <v>-24682708.370000012</v>
      </c>
      <c r="BW117" s="55"/>
      <c r="BX117" s="28"/>
    </row>
    <row r="118" spans="1:78" ht="3.75" hidden="1" customHeight="1" x14ac:dyDescent="0.25">
      <c r="A118" s="57"/>
      <c r="B118" s="360"/>
      <c r="H118" s="360"/>
      <c r="I118" s="95"/>
      <c r="J118" s="58"/>
      <c r="K118" s="59"/>
      <c r="L118" s="60"/>
      <c r="M118" s="61"/>
      <c r="N118" s="61"/>
      <c r="O118" s="61"/>
      <c r="P118" s="62"/>
      <c r="Q118" s="63"/>
      <c r="R118" s="63"/>
      <c r="S118" s="64"/>
      <c r="T118" s="65"/>
      <c r="U118" s="66"/>
      <c r="V118" s="63"/>
      <c r="W118" s="64"/>
      <c r="X118" s="65"/>
      <c r="Y118" s="55"/>
      <c r="Z118" s="55"/>
      <c r="AA118" s="55"/>
      <c r="AB118" s="63"/>
      <c r="AC118" s="63"/>
      <c r="AD118" s="63"/>
      <c r="AE118" s="400"/>
      <c r="AF118" s="63"/>
      <c r="AG118" s="63"/>
      <c r="AH118" s="63"/>
      <c r="AI118" s="400"/>
      <c r="AJ118" s="63"/>
      <c r="AK118" s="63"/>
      <c r="AL118" s="63"/>
      <c r="AM118" s="400"/>
      <c r="AN118" s="63"/>
      <c r="AO118" s="63"/>
      <c r="AP118" s="63"/>
      <c r="AQ118" s="400"/>
      <c r="AR118" s="63"/>
      <c r="AS118" s="63"/>
      <c r="AT118" s="63"/>
      <c r="AU118" s="400"/>
      <c r="AV118" s="63"/>
      <c r="AW118" s="63"/>
      <c r="AX118" s="63"/>
      <c r="AY118" s="400"/>
      <c r="AZ118" s="63"/>
      <c r="BA118" s="63"/>
      <c r="BB118" s="63"/>
      <c r="BC118" s="400"/>
      <c r="BD118" s="63"/>
      <c r="BE118" s="63"/>
      <c r="BF118" s="63"/>
      <c r="BG118" s="400"/>
      <c r="BH118" s="63"/>
      <c r="BI118" s="63"/>
      <c r="BJ118" s="63"/>
      <c r="BK118" s="400"/>
      <c r="BL118" s="63"/>
      <c r="BM118" s="63"/>
      <c r="BN118" s="63"/>
      <c r="BO118" s="400"/>
      <c r="BP118" s="63"/>
      <c r="BQ118" s="63"/>
      <c r="BR118" s="63"/>
      <c r="BS118" s="400"/>
      <c r="BT118" s="63"/>
      <c r="BU118" s="63"/>
      <c r="BV118" s="63"/>
      <c r="BW118" s="55"/>
      <c r="BX118" s="28"/>
      <c r="BZ118" s="367"/>
    </row>
    <row r="119" spans="1:78" ht="6" customHeight="1" x14ac:dyDescent="0.2">
      <c r="A119" s="57"/>
      <c r="B119" s="69"/>
      <c r="H119" s="69"/>
      <c r="I119" s="69"/>
      <c r="J119" s="54"/>
      <c r="K119" s="69"/>
      <c r="L119" s="69"/>
      <c r="M119" s="55"/>
      <c r="N119" s="55"/>
      <c r="O119" s="55"/>
      <c r="P119" s="55"/>
      <c r="Q119" s="70"/>
      <c r="R119" s="70"/>
      <c r="S119" s="70"/>
      <c r="T119" s="71"/>
      <c r="U119" s="70"/>
      <c r="V119" s="70"/>
      <c r="W119" s="70"/>
      <c r="X119" s="71"/>
      <c r="Y119" s="55"/>
      <c r="Z119" s="55"/>
      <c r="AA119" s="55"/>
      <c r="AB119" s="55"/>
      <c r="AC119" s="55"/>
      <c r="AD119" s="55"/>
      <c r="AE119" s="400"/>
      <c r="AF119" s="55"/>
      <c r="AG119" s="55"/>
      <c r="AH119" s="55"/>
      <c r="AI119" s="400"/>
      <c r="AJ119" s="55"/>
      <c r="AK119" s="55"/>
      <c r="AL119" s="55"/>
      <c r="AM119" s="400"/>
      <c r="AN119" s="55"/>
      <c r="AO119" s="55"/>
      <c r="AP119" s="55"/>
      <c r="AQ119" s="400"/>
      <c r="AR119" s="55"/>
      <c r="AS119" s="55"/>
      <c r="AT119" s="55"/>
      <c r="AU119" s="400"/>
      <c r="AV119" s="55"/>
      <c r="AW119" s="55"/>
      <c r="AX119" s="55"/>
      <c r="AY119" s="400"/>
      <c r="AZ119" s="55"/>
      <c r="BA119" s="55"/>
      <c r="BB119" s="55"/>
      <c r="BC119" s="400"/>
      <c r="BD119" s="55"/>
      <c r="BE119" s="55"/>
      <c r="BF119" s="55"/>
      <c r="BG119" s="400"/>
      <c r="BH119" s="55"/>
      <c r="BI119" s="55"/>
      <c r="BJ119" s="55"/>
      <c r="BK119" s="400"/>
      <c r="BL119" s="55"/>
      <c r="BM119" s="55"/>
      <c r="BN119" s="55"/>
      <c r="BO119" s="400"/>
      <c r="BP119" s="55"/>
      <c r="BQ119" s="55"/>
      <c r="BR119" s="55"/>
      <c r="BS119" s="400"/>
      <c r="BT119" s="55"/>
      <c r="BU119" s="55"/>
      <c r="BV119" s="55"/>
      <c r="BW119" s="55"/>
      <c r="BX119" s="28"/>
    </row>
    <row r="120" spans="1:78" s="385" customFormat="1" ht="22.5" customHeight="1" x14ac:dyDescent="0.25">
      <c r="A120" s="383" t="s">
        <v>152</v>
      </c>
      <c r="B120" s="384" t="s">
        <v>152</v>
      </c>
      <c r="D120" s="386"/>
      <c r="E120" s="386"/>
      <c r="H120" s="384"/>
      <c r="I120" s="359"/>
      <c r="J120" s="227"/>
      <c r="K120" s="540" t="str">
        <f ca="1">_xll.DBRA(Server&amp;$B$32,$B120,$N$19)</f>
        <v>COST OF SALES (COS) net of subcontracted transport</v>
      </c>
      <c r="L120" s="541"/>
      <c r="M120" s="541"/>
      <c r="N120" s="541"/>
      <c r="O120" s="542"/>
      <c r="P120" s="228"/>
      <c r="Q120" s="229">
        <f ca="1">_xll.DBRW(Server&amp;Cube1,$N$15,$N$16,$N$17,$N$18,$N$14,$N$13,$N$11,$Q$1,$A120)</f>
        <v>-13122041601.900005</v>
      </c>
      <c r="R120" s="230">
        <f ca="1">_xll.DBRW(Server&amp;Cube1,$N$15,$N$16,$N$17,$N$18,$N$14,$N$13,$R$2,$R$1,$A120)</f>
        <v>-13246300789.778074</v>
      </c>
      <c r="S120" s="231">
        <f ca="1">Q120-R120</f>
        <v>124259187.87806892</v>
      </c>
      <c r="T120" s="313">
        <f ca="1">IF(R120&lt;&gt;0,IF(R120&gt;0,S120/R120,-S120/R120),0)</f>
        <v>9.3806708642730999E-3</v>
      </c>
      <c r="U120" s="387"/>
      <c r="V120" s="229">
        <f ca="1">_xll.DBRW(Server&amp;Cube1,$N$15,$N$16,$N$17,$N$18,$N$14,$N$13,$V$2,$V$1,$A120)</f>
        <v>-11129480130.386503</v>
      </c>
      <c r="W120" s="231">
        <f ca="1">Q120-V120</f>
        <v>-1992561471.5135021</v>
      </c>
      <c r="X120" s="313">
        <f ca="1">IF(V120&lt;&gt;0,IF(V120&gt;0,W120/V120,-W120/V120),0)</f>
        <v>-0.17903455041653457</v>
      </c>
      <c r="Y120" s="244"/>
      <c r="Z120" s="244"/>
      <c r="AA120" s="244"/>
      <c r="AB120" s="229">
        <f ca="1">_xll.DBRW(Server&amp;Cube1,$N$15,$N$16,$N$17,$N$18,$N$14,$N$13,$N$11,$Q$1,$A120)</f>
        <v>-13122041601.900005</v>
      </c>
      <c r="AC120" s="230">
        <f ca="1">_xll.DBRW(Server&amp;Cube1,$N$15,$N$16,$N$17,$N$18,$N$14,$N$13,$R$2,$R$1,$A120)</f>
        <v>-13246300789.778074</v>
      </c>
      <c r="AD120" s="230">
        <f ca="1">_xll.DBRW(Server&amp;Cube1,$N$15,$N$16,$N$17,$N$18,$N$14,$N$13,AD$2,AD$1,$B120)</f>
        <v>-505718150.27366328</v>
      </c>
      <c r="AE120" s="400"/>
      <c r="AF120" s="229">
        <f ca="1">_xll.DBRW(Server&amp;Cube1,$N$15,$N$16,$N$17,$N$18,$N$14,$N$13,AF$2,AF$1,$B120)</f>
        <v>-6175418748.3599987</v>
      </c>
      <c r="AG120" s="230">
        <f ca="1">_xll.DBRW(Server&amp;Cube1,$N$15,$N$16,$N$17,$N$18,$N$14,$N$13,AG$2,AG$1,$B120)</f>
        <v>-6520353028.2357597</v>
      </c>
      <c r="AH120" s="230">
        <f ca="1">_xll.DBRW(Server&amp;Cube1,$N$15,$N$16,$N$17,$N$18,$N$14,$N$13,AH$2,AH$1,$B120)</f>
        <v>-10623761980.112827</v>
      </c>
      <c r="AI120" s="400"/>
      <c r="AJ120" s="229">
        <f ca="1">_xll.DBRW(Server&amp;Cube1,$N$15,$N$16,$N$17,$N$18,$N$14,$N$13,AJ$2,AJ$1,$B120)</f>
        <v>0</v>
      </c>
      <c r="AK120" s="230">
        <f ca="1">_xll.DBRW(Server&amp;Cube1,$N$15,$N$16,$N$17,$N$18,$N$14,$N$13,AK$2,AK$1,$B120)</f>
        <v>-6924788602.8181229</v>
      </c>
      <c r="AL120" s="230">
        <f ca="1">_xll.DBRW(Server&amp;Cube1,$N$15,$N$16,$N$17,$N$18,$N$14,$N$13,AL$2,AL$1,$B120)</f>
        <v>-5979186649.7656231</v>
      </c>
      <c r="AM120" s="400"/>
      <c r="AN120" s="229">
        <f ca="1">_xll.DBRW(Server&amp;Cube1,$N$15,$N$16,$N$17,$N$18,$N$14,$N$13,AN$2,AN$1,$B120)</f>
        <v>0</v>
      </c>
      <c r="AO120" s="230">
        <f ca="1">_xll.DBRW(Server&amp;Cube1,$N$15,$N$16,$N$17,$N$18,$N$14,$N$13,AO$2,AO$1,$B120)</f>
        <v>-6802734450.2331028</v>
      </c>
      <c r="AP120" s="230">
        <f ca="1">_xll.DBRW(Server&amp;Cube1,$N$15,$N$16,$N$17,$N$18,$N$14,$N$13,AP$2,AP$1,$B120)</f>
        <v>-6019984474.3999987</v>
      </c>
      <c r="AQ120" s="400"/>
      <c r="AR120" s="229">
        <f ca="1">_xll.DBRW(Server&amp;Cube1,$N$15,$N$16,$N$17,$N$18,$N$14,$N$13,AR$2,AR$1,$B120)</f>
        <v>0</v>
      </c>
      <c r="AS120" s="230">
        <f ca="1">_xll.DBRW(Server&amp;Cube1,$N$15,$N$16,$N$17,$N$18,$N$14,$N$13,AS$2,AS$1,$B120)</f>
        <v>-6798461269.6803741</v>
      </c>
      <c r="AT120" s="230">
        <f ca="1">_xll.DBRW(Server&amp;Cube1,$N$15,$N$16,$N$17,$N$18,$N$14,$N$13,AT$2,AT$1,$B120)</f>
        <v>-7285585813.6099977</v>
      </c>
      <c r="AU120" s="400"/>
      <c r="AV120" s="229">
        <f ca="1">_xll.DBRW(Server&amp;Cube1,$N$15,$N$16,$N$17,$N$18,$N$14,$N$13,AV$2,AV$1,$B120)</f>
        <v>0</v>
      </c>
      <c r="AW120" s="230">
        <f ca="1">_xll.DBRW(Server&amp;Cube1,$N$15,$N$16,$N$17,$N$18,$N$14,$N$13,AW$2,AW$1,$B120)</f>
        <v>-6797751222.3347893</v>
      </c>
      <c r="AX120" s="230">
        <f ca="1">_xll.DBRW(Server&amp;Cube1,$N$15,$N$16,$N$17,$N$18,$N$14,$N$13,AX$2,AX$1,$B120)</f>
        <v>-5900334836.0299969</v>
      </c>
      <c r="AY120" s="400"/>
      <c r="AZ120" s="229">
        <f ca="1">_xll.DBRW(Server&amp;Cube1,$N$15,$N$16,$N$17,$N$18,$N$14,$N$13,AZ$2,AZ$1,$B120)</f>
        <v>0</v>
      </c>
      <c r="BA120" s="230">
        <f ca="1">_xll.DBRW(Server&amp;Cube1,$N$15,$N$16,$N$17,$N$18,$N$14,$N$13,BA$2,BA$1,$B120)</f>
        <v>-6818403130.0715322</v>
      </c>
      <c r="BB120" s="230">
        <f ca="1">_xll.DBRW(Server&amp;Cube1,$N$15,$N$16,$N$17,$N$18,$N$14,$N$13,BB$2,BB$1,$B120)</f>
        <v>31870435342.190308</v>
      </c>
      <c r="BC120" s="400"/>
      <c r="BD120" s="229">
        <f ca="1">_xll.DBRW(Server&amp;Cube1,$N$15,$N$16,$N$17,$N$18,$N$14,$N$13,BD$2,BD$1,$B120)</f>
        <v>0</v>
      </c>
      <c r="BE120" s="230">
        <f ca="1">_xll.DBRW(Server&amp;Cube1,$N$15,$N$16,$N$17,$N$18,$N$14,$N$13,BE$2,BE$1,$B120)</f>
        <v>-6748202276.4398975</v>
      </c>
      <c r="BF120" s="230">
        <f ca="1">_xll.DBRW(Server&amp;Cube1,$N$15,$N$16,$N$17,$N$18,$N$14,$N$13,BF$2,BF$1,$B120)</f>
        <v>-668987590.43000007</v>
      </c>
      <c r="BG120" s="400"/>
      <c r="BH120" s="229">
        <f ca="1">_xll.DBRW(Server&amp;Cube1,$N$15,$N$16,$N$17,$N$18,$N$14,$N$13,BH$2,BH$1,$B120)</f>
        <v>0</v>
      </c>
      <c r="BI120" s="230">
        <f ca="1">_xll.DBRW(Server&amp;Cube1,$N$15,$N$16,$N$17,$N$18,$N$14,$N$13,BI$2,BI$1,$B120)</f>
        <v>-6986868043.600873</v>
      </c>
      <c r="BJ120" s="230">
        <f ca="1">_xll.DBRW(Server&amp;Cube1,$N$15,$N$16,$N$17,$N$18,$N$14,$N$13,BJ$2,BJ$1,$B120)</f>
        <v>-50594993384.629967</v>
      </c>
      <c r="BK120" s="400"/>
      <c r="BL120" s="229">
        <f ca="1">_xll.DBRW(Server&amp;Cube1,$N$15,$N$16,$N$17,$N$18,$N$14,$N$13,BL$2,BL$1,$B120)</f>
        <v>0</v>
      </c>
      <c r="BM120" s="230">
        <f ca="1">_xll.DBRW(Server&amp;Cube1,$N$15,$N$16,$N$17,$N$18,$N$14,$N$13,BM$2,BM$1,$B120)</f>
        <v>-7012855675.5359421</v>
      </c>
      <c r="BN120" s="230">
        <f ca="1">_xll.DBRW(Server&amp;Cube1,$N$15,$N$16,$N$17,$N$18,$N$14,$N$13,BN$2,BN$1,$B120)</f>
        <v>-8132832223.2499981</v>
      </c>
      <c r="BO120" s="400"/>
      <c r="BP120" s="229">
        <f ca="1">_xll.DBRW(Server&amp;Cube1,$N$15,$N$16,$N$17,$N$18,$N$14,$N$13,BP$2,BP$1,$B120)</f>
        <v>0</v>
      </c>
      <c r="BQ120" s="230">
        <f ca="1">_xll.DBRW(Server&amp;Cube1,$N$15,$N$16,$N$17,$N$18,$N$14,$N$13,BQ$2,BQ$1,$B120)</f>
        <v>-6840364950.1803265</v>
      </c>
      <c r="BR120" s="230">
        <f ca="1">_xll.DBRW(Server&amp;Cube1,$N$15,$N$16,$N$17,$N$18,$N$14,$N$13,BR$2,BR$1,$B120)</f>
        <v>-6436635742.0999947</v>
      </c>
      <c r="BS120" s="400"/>
      <c r="BT120" s="229">
        <f ca="1">_xll.DBRW(Server&amp;Cube1,$N$15,$N$16,$N$17,$N$18,$N$14,$N$13,BT$2,BT$1,$B120)</f>
        <v>0</v>
      </c>
      <c r="BU120" s="230">
        <f ca="1">_xll.DBRW(Server&amp;Cube1,$N$15,$N$16,$N$17,$N$18,$N$14,$N$13,BU$2,BU$1,$B120)</f>
        <v>-7893725374.882782</v>
      </c>
      <c r="BV120" s="230">
        <f ca="1">_xll.DBRW(Server&amp;Cube1,$N$15,$N$16,$N$17,$N$18,$N$14,$N$13,BV$2,BV$1,$B120)</f>
        <v>-68791216448.450012</v>
      </c>
      <c r="BW120" s="244"/>
      <c r="BX120" s="388"/>
      <c r="BY120" s="389"/>
      <c r="BZ120" s="389"/>
    </row>
    <row r="121" spans="1:78" ht="8.25" customHeight="1" x14ac:dyDescent="0.2">
      <c r="A121" s="57"/>
      <c r="B121" s="360"/>
      <c r="H121" s="360"/>
      <c r="I121" s="69"/>
      <c r="J121" s="54"/>
      <c r="K121" s="69"/>
      <c r="L121" s="69"/>
      <c r="M121" s="55"/>
      <c r="N121" s="55"/>
      <c r="O121" s="55"/>
      <c r="P121" s="55"/>
      <c r="Q121" s="70"/>
      <c r="R121" s="70"/>
      <c r="S121" s="70"/>
      <c r="T121" s="71"/>
      <c r="U121" s="70"/>
      <c r="V121" s="70"/>
      <c r="W121" s="70"/>
      <c r="X121" s="209"/>
      <c r="Y121" s="210"/>
      <c r="Z121" s="55"/>
      <c r="AA121" s="55"/>
      <c r="AB121" s="55"/>
      <c r="AC121" s="55"/>
      <c r="AD121" s="55"/>
      <c r="AE121" s="400"/>
      <c r="AF121" s="55"/>
      <c r="AG121" s="55"/>
      <c r="AH121" s="55"/>
      <c r="AI121" s="400"/>
      <c r="AJ121" s="55"/>
      <c r="AK121" s="55"/>
      <c r="AL121" s="55"/>
      <c r="AM121" s="400"/>
      <c r="AN121" s="55"/>
      <c r="AO121" s="55"/>
      <c r="AP121" s="55"/>
      <c r="AQ121" s="400"/>
      <c r="AR121" s="55"/>
      <c r="AS121" s="55"/>
      <c r="AT121" s="55"/>
      <c r="AU121" s="400"/>
      <c r="AV121" s="55"/>
      <c r="AW121" s="55"/>
      <c r="AX121" s="55"/>
      <c r="AY121" s="400"/>
      <c r="AZ121" s="55"/>
      <c r="BA121" s="55"/>
      <c r="BB121" s="55"/>
      <c r="BC121" s="400"/>
      <c r="BD121" s="55"/>
      <c r="BE121" s="55"/>
      <c r="BF121" s="55"/>
      <c r="BG121" s="400"/>
      <c r="BH121" s="55"/>
      <c r="BI121" s="55"/>
      <c r="BJ121" s="55"/>
      <c r="BK121" s="400"/>
      <c r="BL121" s="55"/>
      <c r="BM121" s="55"/>
      <c r="BN121" s="55"/>
      <c r="BO121" s="400"/>
      <c r="BP121" s="55"/>
      <c r="BQ121" s="55"/>
      <c r="BR121" s="55"/>
      <c r="BS121" s="400"/>
      <c r="BT121" s="55"/>
      <c r="BU121" s="55"/>
      <c r="BV121" s="55"/>
      <c r="BW121" s="55"/>
      <c r="BX121" s="28"/>
    </row>
    <row r="122" spans="1:78" ht="8.25" customHeight="1" x14ac:dyDescent="0.25">
      <c r="A122" s="57"/>
      <c r="B122" s="360"/>
      <c r="H122" s="360"/>
      <c r="I122" s="69"/>
      <c r="J122" s="54"/>
      <c r="K122" s="69"/>
      <c r="L122" s="69"/>
      <c r="M122" s="55"/>
      <c r="N122" s="55"/>
      <c r="O122" s="55"/>
      <c r="P122" s="55"/>
      <c r="Q122" s="70"/>
      <c r="R122" s="70"/>
      <c r="S122" s="70"/>
      <c r="T122" s="71"/>
      <c r="U122" s="70"/>
      <c r="V122" s="70"/>
      <c r="W122" s="70"/>
      <c r="X122" s="71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  <c r="BN122" s="55"/>
      <c r="BO122" s="55"/>
      <c r="BP122" s="55"/>
      <c r="BQ122" s="55"/>
      <c r="BR122" s="55"/>
      <c r="BS122" s="55"/>
      <c r="BT122" s="55"/>
      <c r="BU122" s="55"/>
      <c r="BV122" s="55"/>
      <c r="BW122" s="55"/>
      <c r="BX122" s="28"/>
    </row>
    <row r="123" spans="1:78" ht="8.25" customHeight="1" x14ac:dyDescent="0.25">
      <c r="A123" s="57"/>
      <c r="B123" s="360"/>
      <c r="H123" s="360"/>
      <c r="I123" s="69"/>
      <c r="J123" s="54"/>
      <c r="K123" s="73"/>
      <c r="L123" s="74"/>
      <c r="M123" s="75"/>
      <c r="N123" s="75"/>
      <c r="O123" s="75"/>
      <c r="P123" s="75"/>
      <c r="Q123" s="76"/>
      <c r="R123" s="76"/>
      <c r="S123" s="76"/>
      <c r="T123" s="77"/>
      <c r="U123" s="76"/>
      <c r="V123" s="76"/>
      <c r="W123" s="76"/>
      <c r="X123" s="77"/>
      <c r="Y123" s="78"/>
      <c r="Z123" s="396"/>
      <c r="AA123" s="73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/>
      <c r="BQ123" s="76"/>
      <c r="BR123" s="76"/>
      <c r="BS123" s="76"/>
      <c r="BT123" s="76"/>
      <c r="BU123" s="76"/>
      <c r="BV123" s="76"/>
      <c r="BW123" s="78"/>
      <c r="BX123" s="79"/>
      <c r="BY123" s="55"/>
      <c r="BZ123" s="55"/>
    </row>
    <row r="124" spans="1:78" s="53" customFormat="1" ht="22.5" customHeight="1" x14ac:dyDescent="0.25">
      <c r="A124" s="136" t="s">
        <v>141</v>
      </c>
      <c r="B124" s="360" t="str">
        <f ca="1">_xll.DBRA(Server&amp;$B$32,$A124,$N$19)</f>
        <v>GROSS MARGIN (by destination)</v>
      </c>
      <c r="D124" s="52"/>
      <c r="E124" s="52"/>
      <c r="H124" s="360"/>
      <c r="I124" s="361"/>
      <c r="J124" s="67"/>
      <c r="K124" s="80"/>
      <c r="L124" s="543" t="str">
        <f ca="1">LEFT(B124,FIND("(",B124,1)-1)</f>
        <v xml:space="preserve">GROSS MARGIN </v>
      </c>
      <c r="M124" s="544"/>
      <c r="N124" s="544"/>
      <c r="O124" s="545"/>
      <c r="P124" s="315"/>
      <c r="Q124" s="229">
        <f ca="1">_xll.DBRW(Server&amp;Cube1,$N$15,$N$16,$N$17,$N$18,$N$14,$N$13,$N$11,$Q$1,$A124)</f>
        <v>2478501656.3499999</v>
      </c>
      <c r="R124" s="230">
        <f ca="1">_xll.DBRW(Server&amp;Cube1,$N$15,$N$16,$N$17,$N$18,$N$14,$N$13,$R$2,$R$1,$A124)</f>
        <v>148131474.12851077</v>
      </c>
      <c r="S124" s="231">
        <f ca="1">Q124-R124</f>
        <v>2330370182.221489</v>
      </c>
      <c r="T124" s="313">
        <f ca="1">IF(R124&lt;&gt;0,IF(R124&gt;0,S124/R124,-S124/R124),0)</f>
        <v>15.731769334853086</v>
      </c>
      <c r="U124" s="314"/>
      <c r="V124" s="229">
        <f ca="1">_xll.DBRW(Server&amp;Cube1,$N$15,$N$16,$N$17,$N$18,$N$14,$N$13,$V$2,$V$1,$A124)</f>
        <v>222562676.90886968</v>
      </c>
      <c r="W124" s="231">
        <f ca="1">Q124-V124</f>
        <v>2255938979.4411302</v>
      </c>
      <c r="X124" s="316">
        <f ca="1">IF(V124&lt;&gt;0,IF(V124&gt;0,W124/V124,-W124/V124),0)</f>
        <v>10.136196287596078</v>
      </c>
      <c r="Y124" s="81"/>
      <c r="Z124" s="397"/>
      <c r="AA124" s="80"/>
      <c r="AB124" s="229">
        <f ca="1">_xll.DBRW(Server&amp;Cube1,$N$15,$N$16,$N$17,$N$18,$N$14,$N$13,AB$2,AB$1,$B124)</f>
        <v>3022869809.8799977</v>
      </c>
      <c r="AC124" s="230">
        <f ca="1">_xll.DBRW(Server&amp;Cube1,$N$15,$N$16,$N$17,$N$18,$N$14,$N$13,AC$2,AC$1,$B124)</f>
        <v>427549130.65380406</v>
      </c>
      <c r="AD124" s="230">
        <f ca="1">_xll.DBRW(Server&amp;Cube1,$N$15,$N$16,$N$17,$N$18,$N$14,$N$13,AD$2,AD$1,$B124)</f>
        <v>99627381.946781322</v>
      </c>
      <c r="AE124" s="310"/>
      <c r="AF124" s="229">
        <f ca="1">_xll.DBRW(Server&amp;Cube1,$N$15,$N$16,$N$17,$N$18,$N$14,$N$13,AF$2,AF$1,$B124)</f>
        <v>-544368153.52999997</v>
      </c>
      <c r="AG124" s="230">
        <f ca="1">_xll.DBRW(Server&amp;Cube1,$N$15,$N$16,$N$17,$N$18,$N$14,$N$13,AG$2,AG$1,$B124)</f>
        <v>-279417656.52529353</v>
      </c>
      <c r="AH124" s="230">
        <f ca="1">_xll.DBRW(Server&amp;Cube1,$N$15,$N$16,$N$17,$N$18,$N$14,$N$13,AH$2,AH$1,$B124)</f>
        <v>122935294.96208838</v>
      </c>
      <c r="AI124" s="310"/>
      <c r="AJ124" s="229">
        <f ca="1">_xll.DBRW(Server&amp;Cube1,$N$15,$N$16,$N$17,$N$18,$N$14,$N$13,AJ$2,AJ$1,$B124)</f>
        <v>0</v>
      </c>
      <c r="AK124" s="230">
        <f ca="1">_xll.DBRW(Server&amp;Cube1,$N$15,$N$16,$N$17,$N$18,$N$14,$N$13,AK$2,AK$1,$B124)</f>
        <v>1691762191.3112817</v>
      </c>
      <c r="AL124" s="230">
        <f ca="1">_xll.DBRW(Server&amp;Cube1,$N$15,$N$16,$N$17,$N$18,$N$14,$N$13,AL$2,AL$1,$B124)</f>
        <v>872196234.44206214</v>
      </c>
      <c r="AM124" s="310"/>
      <c r="AN124" s="229">
        <f ca="1">_xll.DBRW(Server&amp;Cube1,$N$15,$N$16,$N$17,$N$18,$N$14,$N$13,AN$2,AN$1,$B124)</f>
        <v>0</v>
      </c>
      <c r="AO124" s="230">
        <f ca="1">_xll.DBRW(Server&amp;Cube1,$N$15,$N$16,$N$17,$N$18,$N$14,$N$13,AO$2,AO$1,$B124)</f>
        <v>1511544123.7126853</v>
      </c>
      <c r="AP124" s="230">
        <f ca="1">_xll.DBRW(Server&amp;Cube1,$N$15,$N$16,$N$17,$N$18,$N$14,$N$13,AP$2,AP$1,$B124)</f>
        <v>792689135.93999946</v>
      </c>
      <c r="AQ124" s="310"/>
      <c r="AR124" s="229">
        <f ca="1">_xll.DBRW(Server&amp;Cube1,$N$15,$N$16,$N$17,$N$18,$N$14,$N$13,AR$2,AR$1,$B124)</f>
        <v>0</v>
      </c>
      <c r="AS124" s="230">
        <f ca="1">_xll.DBRW(Server&amp;Cube1,$N$15,$N$16,$N$17,$N$18,$N$14,$N$13,AS$2,AS$1,$B124)</f>
        <v>1355888999.874269</v>
      </c>
      <c r="AT124" s="230">
        <f ca="1">_xll.DBRW(Server&amp;Cube1,$N$15,$N$16,$N$17,$N$18,$N$14,$N$13,AT$2,AT$1,$B124)</f>
        <v>1214453259.1600003</v>
      </c>
      <c r="AU124" s="310"/>
      <c r="AV124" s="229">
        <f ca="1">_xll.DBRW(Server&amp;Cube1,$N$15,$N$16,$N$17,$N$18,$N$14,$N$13,AV$2,AV$1,$B124)</f>
        <v>0</v>
      </c>
      <c r="AW124" s="230">
        <f ca="1">_xll.DBRW(Server&amp;Cube1,$N$15,$N$16,$N$17,$N$18,$N$14,$N$13,AW$2,AW$1,$B124)</f>
        <v>1329143208.9134717</v>
      </c>
      <c r="AX124" s="230">
        <f ca="1">_xll.DBRW(Server&amp;Cube1,$N$15,$N$16,$N$17,$N$18,$N$14,$N$13,AX$2,AX$1,$B124)</f>
        <v>2135205731.9299986</v>
      </c>
      <c r="AY124" s="310"/>
      <c r="AZ124" s="229">
        <f ca="1">_xll.DBRW(Server&amp;Cube1,$N$15,$N$16,$N$17,$N$18,$N$14,$N$13,AZ$2,AZ$1,$B124)</f>
        <v>0</v>
      </c>
      <c r="BA124" s="230">
        <f ca="1">_xll.DBRW(Server&amp;Cube1,$N$15,$N$16,$N$17,$N$18,$N$14,$N$13,BA$2,BA$1,$B124)</f>
        <v>1153394200.7908752</v>
      </c>
      <c r="BB124" s="230">
        <f ca="1">_xll.DBRW(Server&amp;Cube1,$N$15,$N$16,$N$17,$N$18,$N$14,$N$13,BB$2,BB$1,$B124)</f>
        <v>-4654590219.6628408</v>
      </c>
      <c r="BC124" s="310"/>
      <c r="BD124" s="229">
        <f ca="1">_xll.DBRW(Server&amp;Cube1,$N$15,$N$16,$N$17,$N$18,$N$14,$N$13,BD$2,BD$1,$B124)</f>
        <v>0</v>
      </c>
      <c r="BE124" s="230">
        <f ca="1">_xll.DBRW(Server&amp;Cube1,$N$15,$N$16,$N$17,$N$18,$N$14,$N$13,BE$2,BE$1,$B124)</f>
        <v>1544027111.7393298</v>
      </c>
      <c r="BF124" s="230">
        <f ca="1">_xll.DBRW(Server&amp;Cube1,$N$15,$N$16,$N$17,$N$18,$N$14,$N$13,BF$2,BF$1,$B124)</f>
        <v>107873983.18999991</v>
      </c>
      <c r="BG124" s="310"/>
      <c r="BH124" s="229">
        <f ca="1">_xll.DBRW(Server&amp;Cube1,$N$15,$N$16,$N$17,$N$18,$N$14,$N$13,BH$2,BH$1,$B124)</f>
        <v>0</v>
      </c>
      <c r="BI124" s="230">
        <f ca="1">_xll.DBRW(Server&amp;Cube1,$N$15,$N$16,$N$17,$N$18,$N$14,$N$13,BI$2,BI$1,$B124)</f>
        <v>1026481840.6240757</v>
      </c>
      <c r="BJ124" s="230">
        <f ca="1">_xll.DBRW(Server&amp;Cube1,$N$15,$N$16,$N$17,$N$18,$N$14,$N$13,BJ$2,BJ$1,$B124)</f>
        <v>7252685732.5900021</v>
      </c>
      <c r="BK124" s="310"/>
      <c r="BL124" s="229">
        <f ca="1">_xll.DBRW(Server&amp;Cube1,$N$15,$N$16,$N$17,$N$18,$N$14,$N$13,BL$2,BL$1,$B124)</f>
        <v>0</v>
      </c>
      <c r="BM124" s="230">
        <f ca="1">_xll.DBRW(Server&amp;Cube1,$N$15,$N$16,$N$17,$N$18,$N$14,$N$13,BM$2,BM$1,$B124)</f>
        <v>1402425979.9879582</v>
      </c>
      <c r="BN124" s="230">
        <f ca="1">_xll.DBRW(Server&amp;Cube1,$N$15,$N$16,$N$17,$N$18,$N$14,$N$13,BN$2,BN$1,$B124)</f>
        <v>-708087152.27999961</v>
      </c>
      <c r="BO124" s="310"/>
      <c r="BP124" s="229">
        <f ca="1">_xll.DBRW(Server&amp;Cube1,$N$15,$N$16,$N$17,$N$18,$N$14,$N$13,BP$2,BP$1,$B124)</f>
        <v>0</v>
      </c>
      <c r="BQ124" s="230">
        <f ca="1">_xll.DBRW(Server&amp;Cube1,$N$15,$N$16,$N$17,$N$18,$N$14,$N$13,BQ$2,BQ$1,$B124)</f>
        <v>1451221755.5130858</v>
      </c>
      <c r="BR124" s="230">
        <f ca="1">_xll.DBRW(Server&amp;Cube1,$N$15,$N$16,$N$17,$N$18,$N$14,$N$13,BR$2,BR$1,$B124)</f>
        <v>352702798.20000011</v>
      </c>
      <c r="BS124" s="310"/>
      <c r="BT124" s="229">
        <f ca="1">_xll.DBRW(Server&amp;Cube1,$N$15,$N$16,$N$17,$N$18,$N$14,$N$13,BT$2,BT$1,$B124)</f>
        <v>0</v>
      </c>
      <c r="BU124" s="230">
        <f ca="1">_xll.DBRW(Server&amp;Cube1,$N$15,$N$16,$N$17,$N$18,$N$14,$N$13,BU$2,BU$1,$B124)</f>
        <v>205986001.35604879</v>
      </c>
      <c r="BV124" s="230">
        <f ca="1">_xll.DBRW(Server&amp;Cube1,$N$15,$N$16,$N$17,$N$18,$N$14,$N$13,BV$2,BV$1,$B124)</f>
        <v>10644113595.389997</v>
      </c>
      <c r="BW124" s="81"/>
      <c r="BX124" s="82"/>
      <c r="BY124" s="369"/>
      <c r="BZ124" s="369"/>
    </row>
    <row r="125" spans="1:78" s="91" customFormat="1" ht="22.5" customHeight="1" collapsed="1" x14ac:dyDescent="0.2">
      <c r="A125" s="85"/>
      <c r="B125" s="379" t="s">
        <v>147</v>
      </c>
      <c r="C125" s="83"/>
      <c r="D125" s="84"/>
      <c r="E125" s="84"/>
      <c r="H125" s="379"/>
      <c r="I125" s="362"/>
      <c r="J125" s="86"/>
      <c r="K125" s="87"/>
      <c r="L125" s="88"/>
      <c r="M125" s="88"/>
      <c r="N125" s="88"/>
      <c r="O125" s="291" t="str">
        <f ca="1">_xll.DBRA(Server&amp;Context!$B$32,Context!$B$62,$N$19)</f>
        <v>Gross Margin (in percentage of ROA net of sub. transport)</v>
      </c>
      <c r="P125" s="292"/>
      <c r="Q125" s="310">
        <f ca="1">IF(ISERROR(Q124/Q36),"-",Q124/Q36)</f>
        <v>0.15891023967065429</v>
      </c>
      <c r="R125" s="310">
        <f ca="1">IF(ISERROR(R124/R36),"-",R124/R36)</f>
        <v>1.1062023134802923E-2</v>
      </c>
      <c r="S125" s="547">
        <f ca="1">IF(ISERROR((Q125-R125)*100),"-",(Q125-R125)*100)</f>
        <v>14.784821653585137</v>
      </c>
      <c r="T125" s="547"/>
      <c r="U125" s="293"/>
      <c r="V125" s="310">
        <f ca="1">IF(ISERROR(V124/V36),"-",V124/V36)</f>
        <v>1.9612726132751133E-2</v>
      </c>
      <c r="W125" s="551">
        <f ca="1">IF(ISERROR((Q125-V125)*100),"-",(Q125-V125)*100)</f>
        <v>13.929751353790316</v>
      </c>
      <c r="X125" s="551"/>
      <c r="Y125" s="89"/>
      <c r="Z125" s="88"/>
      <c r="AA125" s="87"/>
      <c r="AB125" s="310">
        <f ca="1">IF(ISERROR(AB124/AB36),"-",AB124/AB36)</f>
        <v>0.30321208500170355</v>
      </c>
      <c r="AC125" s="310">
        <f ca="1">IF(ISERROR(AC124/AC36),"-",AC124/AC36)</f>
        <v>5.9783382403588645E-2</v>
      </c>
      <c r="AD125" s="310">
        <f ca="1">IF(ISERROR(AD124/AD36),"-",AD124/AD36)</f>
        <v>0.16464066368578381</v>
      </c>
      <c r="AE125" s="310"/>
      <c r="AF125" s="310">
        <f ca="1">IF(ISERROR(AF124/AF36),"-",AF124/AF36)</f>
        <v>-9.673570348785597E-2</v>
      </c>
      <c r="AG125" s="310">
        <f ca="1">IF(ISERROR(AG124/AG36),"-",AG124/AG36)</f>
        <v>-4.4783102327887722E-2</v>
      </c>
      <c r="AH125" s="310">
        <f ca="1">IF(ISERROR(AH124/AH36),"-",AH124/AH36)</f>
        <v>1.1443558727959137E-2</v>
      </c>
      <c r="AI125" s="310"/>
      <c r="AJ125" s="310" t="str">
        <f ca="1">IF(ISERROR(AJ124/AJ36),"-",AJ124/AJ36)</f>
        <v>-</v>
      </c>
      <c r="AK125" s="310">
        <f ca="1">IF(ISERROR(AK124/AK36),"-",AK124/AK36)</f>
        <v>0.19637694695213753</v>
      </c>
      <c r="AL125" s="310">
        <f ca="1">IF(ISERROR(AL124/AL36),"-",AL124/AL36)</f>
        <v>0.12734018092830107</v>
      </c>
      <c r="AM125" s="310"/>
      <c r="AN125" s="310" t="str">
        <f ca="1">IF(ISERROR(AN124/AN36),"-",AN124/AN36)</f>
        <v>-</v>
      </c>
      <c r="AO125" s="310">
        <f ca="1">IF(ISERROR(AO124/AO36),"-",AO124/AO36)</f>
        <v>0.18183648973782179</v>
      </c>
      <c r="AP125" s="310">
        <f ca="1">IF(ISERROR(AP124/AP36),"-",AP124/AP36)</f>
        <v>0.11636337005548342</v>
      </c>
      <c r="AQ125" s="310"/>
      <c r="AR125" s="310" t="str">
        <f ca="1">IF(ISERROR(AR124/AR36),"-",AR124/AR36)</f>
        <v>-</v>
      </c>
      <c r="AS125" s="310">
        <f ca="1">IF(ISERROR(AS124/AS36),"-",AS124/AS36)</f>
        <v>0.16631128673143755</v>
      </c>
      <c r="AT125" s="310">
        <f ca="1">IF(ISERROR(AT124/AT36),"-",AT124/AT36)</f>
        <v>0.14296253733614539</v>
      </c>
      <c r="AU125" s="310"/>
      <c r="AV125" s="310" t="str">
        <f ca="1">IF(ISERROR(AV124/AV36),"-",AV124/AV36)</f>
        <v>-</v>
      </c>
      <c r="AW125" s="310">
        <f ca="1">IF(ISERROR(AW124/AW36),"-",AW124/AW36)</f>
        <v>0.16358074142546444</v>
      </c>
      <c r="AX125" s="310">
        <f ca="1">IF(ISERROR(AX124/AX36),"-",AX124/AX36)</f>
        <v>0.26578153396243642</v>
      </c>
      <c r="AY125" s="310"/>
      <c r="AZ125" s="310" t="str">
        <f ca="1">IF(ISERROR(AZ124/AZ36),"-",AZ124/AZ36)</f>
        <v>-</v>
      </c>
      <c r="BA125" s="310">
        <f ca="1">IF(ISERROR(BA124/BA36),"-",BA124/BA36)</f>
        <v>0.14471740453773632</v>
      </c>
      <c r="BB125" s="310">
        <f ca="1">IF(ISERROR(BB124/BB36),"-",BB124/BB36)</f>
        <v>0.12743981416531749</v>
      </c>
      <c r="BC125" s="310"/>
      <c r="BD125" s="310" t="str">
        <f ca="1">IF(ISERROR(BD124/BD36),"-",BD124/BD36)</f>
        <v>-</v>
      </c>
      <c r="BE125" s="310">
        <f ca="1">IF(ISERROR(BE124/BE36),"-",BE124/BE36)</f>
        <v>0.18624128595924169</v>
      </c>
      <c r="BF125" s="310">
        <f ca="1">IF(ISERROR(BF124/BF36),"-",BF124/BF36)</f>
        <v>0.13996233256942359</v>
      </c>
      <c r="BG125" s="310"/>
      <c r="BH125" s="310" t="str">
        <f ca="1">IF(ISERROR(BH124/BH36),"-",BH124/BH36)</f>
        <v>-</v>
      </c>
      <c r="BI125" s="310">
        <f ca="1">IF(ISERROR(BI124/BI36),"-",BI124/BI36)</f>
        <v>0.12812270147021085</v>
      </c>
      <c r="BJ125" s="310">
        <f ca="1">IF(ISERROR(BJ124/BJ36),"-",BJ124/BJ36)</f>
        <v>0.12538008555062161</v>
      </c>
      <c r="BK125" s="310"/>
      <c r="BL125" s="310" t="str">
        <f ca="1">IF(ISERROR(BL124/BL36),"-",BL124/BL36)</f>
        <v>-</v>
      </c>
      <c r="BM125" s="310">
        <f ca="1">IF(ISERROR(BM124/BM36),"-",BM124/BM36)</f>
        <v>0.16668939776905717</v>
      </c>
      <c r="BN125" s="310">
        <f ca="1">IF(ISERROR(BN124/BN36),"-",BN124/BN36)</f>
        <v>-9.537404521789776E-2</v>
      </c>
      <c r="BO125" s="310"/>
      <c r="BP125" s="310" t="str">
        <f ca="1">IF(ISERROR(BP124/BP36),"-",BP124/BP36)</f>
        <v>-</v>
      </c>
      <c r="BQ125" s="310">
        <f ca="1">IF(ISERROR(BQ124/BQ36),"-",BQ124/BQ36)</f>
        <v>0.17506026160096788</v>
      </c>
      <c r="BR125" s="310">
        <f ca="1">IF(ISERROR(BR124/BR36),"-",BR124/BR36)</f>
        <v>5.197748710103537E-2</v>
      </c>
      <c r="BS125" s="310"/>
      <c r="BT125" s="310" t="str">
        <f ca="1">IF(ISERROR(BT124/BT36),"-",BT124/BT36)</f>
        <v>-</v>
      </c>
      <c r="BU125" s="310">
        <f ca="1">IF(ISERROR(BU124/BU36),"-",BU124/BU36)</f>
        <v>2.5437626429257669E-2</v>
      </c>
      <c r="BV125" s="310">
        <f ca="1">IF(ISERROR(BV124/BV36),"-",BV124/BV36)</f>
        <v>0.13400070786964241</v>
      </c>
      <c r="BW125" s="89"/>
      <c r="BX125" s="90"/>
    </row>
    <row r="126" spans="1:78" s="34" customFormat="1" ht="16.5" customHeight="1" collapsed="1" x14ac:dyDescent="0.25">
      <c r="A126" s="57"/>
      <c r="B126" s="377"/>
      <c r="C126" s="9"/>
      <c r="D126" s="1"/>
      <c r="E126" s="1"/>
      <c r="H126" s="377"/>
      <c r="I126" s="95"/>
      <c r="J126" s="58"/>
      <c r="K126" s="92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4"/>
      <c r="Z126" s="105"/>
      <c r="AA126" s="92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3"/>
      <c r="AW126" s="93"/>
      <c r="AX126" s="93"/>
      <c r="AY126" s="93"/>
      <c r="AZ126" s="93"/>
      <c r="BA126" s="93"/>
      <c r="BB126" s="93"/>
      <c r="BC126" s="93"/>
      <c r="BD126" s="93"/>
      <c r="BE126" s="93"/>
      <c r="BF126" s="93"/>
      <c r="BG126" s="93"/>
      <c r="BH126" s="93"/>
      <c r="BI126" s="93"/>
      <c r="BJ126" s="93"/>
      <c r="BK126" s="93"/>
      <c r="BL126" s="93"/>
      <c r="BM126" s="93"/>
      <c r="BN126" s="93"/>
      <c r="BO126" s="93"/>
      <c r="BP126" s="93"/>
      <c r="BQ126" s="93"/>
      <c r="BR126" s="93"/>
      <c r="BS126" s="93"/>
      <c r="BT126" s="93"/>
      <c r="BU126" s="93"/>
      <c r="BV126" s="93"/>
      <c r="BW126" s="94"/>
      <c r="BX126" s="28"/>
    </row>
    <row r="127" spans="1:78" s="34" customFormat="1" ht="12.75" hidden="1" outlineLevel="1" x14ac:dyDescent="0.25">
      <c r="A127" s="57"/>
      <c r="C127" s="9"/>
      <c r="D127" s="1"/>
      <c r="E127" s="1"/>
      <c r="H127" s="377"/>
      <c r="I127" s="95"/>
      <c r="J127" s="58"/>
      <c r="K127" s="105"/>
      <c r="L127" s="105"/>
      <c r="M127" s="105"/>
      <c r="N127" s="105"/>
      <c r="O127" s="105"/>
      <c r="P127" s="105"/>
      <c r="Q127" s="105"/>
      <c r="R127" s="105"/>
      <c r="S127" s="105"/>
      <c r="T127" s="105"/>
      <c r="U127" s="105"/>
      <c r="V127" s="105"/>
      <c r="W127" s="105"/>
      <c r="X127" s="105"/>
      <c r="Y127" s="105"/>
      <c r="Z127" s="105"/>
      <c r="AA127" s="105"/>
      <c r="AB127" s="105"/>
      <c r="AC127" s="105"/>
      <c r="AD127" s="105"/>
      <c r="AE127" s="105"/>
      <c r="AF127" s="105"/>
      <c r="AG127" s="105"/>
      <c r="AH127" s="105"/>
      <c r="AI127" s="105"/>
      <c r="AJ127" s="105"/>
      <c r="AK127" s="105"/>
      <c r="AL127" s="105"/>
      <c r="AM127" s="105"/>
      <c r="AN127" s="105"/>
      <c r="AO127" s="105"/>
      <c r="AP127" s="105"/>
      <c r="AQ127" s="105"/>
      <c r="AR127" s="105"/>
      <c r="AS127" s="105"/>
      <c r="AT127" s="105"/>
      <c r="AU127" s="105"/>
      <c r="AV127" s="105"/>
      <c r="AW127" s="105"/>
      <c r="AX127" s="105"/>
      <c r="AY127" s="105"/>
      <c r="AZ127" s="105"/>
      <c r="BA127" s="105"/>
      <c r="BB127" s="105"/>
      <c r="BC127" s="105"/>
      <c r="BD127" s="105"/>
      <c r="BE127" s="105"/>
      <c r="BF127" s="105"/>
      <c r="BG127" s="105"/>
      <c r="BH127" s="105"/>
      <c r="BI127" s="105"/>
      <c r="BJ127" s="105"/>
      <c r="BK127" s="105"/>
      <c r="BL127" s="105"/>
      <c r="BM127" s="105"/>
      <c r="BN127" s="105"/>
      <c r="BO127" s="105"/>
      <c r="BP127" s="105"/>
      <c r="BQ127" s="105"/>
      <c r="BR127" s="105"/>
      <c r="BS127" s="105"/>
      <c r="BT127" s="105"/>
      <c r="BU127" s="105"/>
      <c r="BV127" s="105"/>
      <c r="BW127" s="105"/>
      <c r="BX127" s="28"/>
    </row>
    <row r="128" spans="1:78" s="34" customFormat="1" ht="12.75" hidden="1" outlineLevel="1" x14ac:dyDescent="0.25">
      <c r="A128" s="57"/>
      <c r="C128" s="9"/>
      <c r="D128" s="1"/>
      <c r="E128" s="1"/>
      <c r="H128" s="377"/>
      <c r="I128" s="95"/>
      <c r="J128" s="58"/>
      <c r="K128" s="105"/>
      <c r="L128" s="105"/>
      <c r="M128" s="105"/>
      <c r="N128" s="105"/>
      <c r="O128" s="105"/>
      <c r="P128" s="105"/>
      <c r="Q128" s="105"/>
      <c r="R128" s="105"/>
      <c r="S128" s="105"/>
      <c r="T128" s="105"/>
      <c r="U128" s="105"/>
      <c r="V128" s="105"/>
      <c r="W128" s="105"/>
      <c r="X128" s="105"/>
      <c r="Y128" s="105"/>
      <c r="Z128" s="105"/>
      <c r="AA128" s="105"/>
      <c r="AB128" s="105"/>
      <c r="AC128" s="105"/>
      <c r="AD128" s="105"/>
      <c r="AE128" s="105"/>
      <c r="AF128" s="105"/>
      <c r="AG128" s="105"/>
      <c r="AH128" s="105"/>
      <c r="AI128" s="105"/>
      <c r="AJ128" s="105"/>
      <c r="AK128" s="105"/>
      <c r="AL128" s="105"/>
      <c r="AM128" s="105"/>
      <c r="AN128" s="105"/>
      <c r="AO128" s="105"/>
      <c r="AP128" s="105"/>
      <c r="AQ128" s="105"/>
      <c r="AR128" s="105"/>
      <c r="AS128" s="105"/>
      <c r="AT128" s="105"/>
      <c r="AU128" s="105"/>
      <c r="AV128" s="105"/>
      <c r="AW128" s="105"/>
      <c r="AX128" s="105"/>
      <c r="AY128" s="105"/>
      <c r="AZ128" s="105"/>
      <c r="BA128" s="105"/>
      <c r="BB128" s="105"/>
      <c r="BC128" s="105"/>
      <c r="BD128" s="105"/>
      <c r="BE128" s="105"/>
      <c r="BF128" s="105"/>
      <c r="BG128" s="105"/>
      <c r="BH128" s="105"/>
      <c r="BI128" s="105"/>
      <c r="BJ128" s="105"/>
      <c r="BK128" s="105"/>
      <c r="BL128" s="105"/>
      <c r="BM128" s="105"/>
      <c r="BN128" s="105"/>
      <c r="BO128" s="105"/>
      <c r="BP128" s="105"/>
      <c r="BQ128" s="105"/>
      <c r="BR128" s="105"/>
      <c r="BS128" s="105"/>
      <c r="BT128" s="105"/>
      <c r="BU128" s="105"/>
      <c r="BV128" s="105"/>
      <c r="BW128" s="105"/>
      <c r="BX128" s="28"/>
    </row>
    <row r="129" spans="1:76" s="34" customFormat="1" ht="21" hidden="1" customHeight="1" outlineLevel="1" collapsed="1" x14ac:dyDescent="0.25">
      <c r="A129" s="379" t="s">
        <v>350</v>
      </c>
      <c r="B129" s="360" t="str">
        <f ca="1">_xll.DBRA(Server&amp;$B$32,$A129,$N$19)</f>
        <v>SELLING EXPENSES (by destination)</v>
      </c>
      <c r="C129" s="9"/>
      <c r="D129" s="1"/>
      <c r="E129" s="1"/>
      <c r="H129" s="377"/>
      <c r="I129" s="95"/>
      <c r="J129" s="58"/>
      <c r="K129" s="105"/>
      <c r="L129" s="546" t="str">
        <f ca="1">LEFT(B129,FIND("(",B129,1)-1)</f>
        <v xml:space="preserve">SELLING EXPENSES </v>
      </c>
      <c r="M129" s="546"/>
      <c r="N129" s="546"/>
      <c r="O129" s="546"/>
      <c r="P129" s="546"/>
      <c r="Q129" s="241">
        <f ca="1">_xll.DBRW(Server&amp;Cube1,$N$15,$N$16,$N$17,$N$18,$N$14,$N$13,$N$11,$Q$1,$A129)</f>
        <v>-2336096.1799999997</v>
      </c>
      <c r="R129" s="241">
        <f ca="1">_xll.DBRW(Server&amp;Cube1,$N$15,$N$16,$N$17,$N$18,$N$14,$N$13,$R$2,$R$1,$A129)</f>
        <v>-2376941.6662454931</v>
      </c>
      <c r="S129" s="242">
        <f ca="1">Q129-R129</f>
        <v>40845.486245493405</v>
      </c>
      <c r="T129" s="243">
        <f ca="1">IF(R129&lt;&gt;0,IF(R129&gt;0,S129/R129,-S129/R129),0)</f>
        <v>1.7184050759651598E-2</v>
      </c>
      <c r="U129" s="216"/>
      <c r="V129" s="241">
        <f ca="1">_xll.DBRW(Server&amp;Cube1,$N$15,$N$16,$N$17,$N$18,$N$14,$N$13,$V$2,$V$1,$B129)</f>
        <v>-2249768.4999999995</v>
      </c>
      <c r="W129" s="242">
        <f ca="1">Q129-V129</f>
        <v>-86327.680000000168</v>
      </c>
      <c r="X129" s="243">
        <f ca="1">IF(V129&lt;&gt;0,IF(V129&gt;0,W129/V129,-W129/V129),0)</f>
        <v>-3.8371805810242333E-2</v>
      </c>
      <c r="Y129" s="105"/>
      <c r="Z129" s="105"/>
      <c r="AA129" s="105"/>
      <c r="AB129" s="105"/>
      <c r="AC129" s="105"/>
      <c r="AD129" s="105"/>
      <c r="AE129" s="105"/>
      <c r="AF129" s="105"/>
      <c r="AG129" s="105"/>
      <c r="AH129" s="105"/>
      <c r="AI129" s="105"/>
      <c r="AJ129" s="105"/>
      <c r="AK129" s="105"/>
      <c r="AL129" s="105"/>
      <c r="AM129" s="105"/>
      <c r="AN129" s="105"/>
      <c r="AO129" s="105"/>
      <c r="AP129" s="105"/>
      <c r="AQ129" s="105"/>
      <c r="AR129" s="105"/>
      <c r="AS129" s="105"/>
      <c r="AT129" s="105"/>
      <c r="AU129" s="105"/>
      <c r="AV129" s="105"/>
      <c r="AW129" s="105"/>
      <c r="AX129" s="105"/>
      <c r="AY129" s="105"/>
      <c r="AZ129" s="105"/>
      <c r="BA129" s="105"/>
      <c r="BB129" s="105"/>
      <c r="BC129" s="105"/>
      <c r="BD129" s="105"/>
      <c r="BE129" s="105"/>
      <c r="BF129" s="105"/>
      <c r="BG129" s="105"/>
      <c r="BH129" s="105"/>
      <c r="BI129" s="105"/>
      <c r="BJ129" s="105"/>
      <c r="BK129" s="105"/>
      <c r="BL129" s="105"/>
      <c r="BM129" s="105"/>
      <c r="BN129" s="105"/>
      <c r="BO129" s="105"/>
      <c r="BP129" s="105"/>
      <c r="BQ129" s="105"/>
      <c r="BR129" s="105"/>
      <c r="BS129" s="105"/>
      <c r="BT129" s="105"/>
      <c r="BU129" s="105"/>
      <c r="BV129" s="105"/>
      <c r="BW129" s="105"/>
      <c r="BX129" s="28"/>
    </row>
    <row r="130" spans="1:76" s="517" customFormat="1" ht="21" hidden="1" customHeight="1" outlineLevel="2" x14ac:dyDescent="0.25">
      <c r="A130" s="516" t="s">
        <v>358</v>
      </c>
      <c r="B130" s="69" t="str">
        <f ca="1">_xll.DBRA(Server&amp;$B$32,$A130,$N$19)</f>
        <v>Business development expenses (RESOP)</v>
      </c>
      <c r="C130" s="366"/>
      <c r="D130" s="1"/>
      <c r="E130" s="1"/>
      <c r="H130" s="518"/>
      <c r="I130" s="95"/>
      <c r="J130" s="58"/>
      <c r="K130" s="105"/>
      <c r="L130" s="537" t="str">
        <f ca="1">B130</f>
        <v>Business development expenses (RESOP)</v>
      </c>
      <c r="M130" s="537"/>
      <c r="N130" s="537"/>
      <c r="O130" s="537"/>
      <c r="P130" s="521"/>
      <c r="Q130" s="522">
        <f ca="1">_xll.DBRW(Server&amp;Cube1,$N$15,$N$16,$N$17,$N$18,$N$14,$N$13,$N$11,$Q$1,$A130)</f>
        <v>-2336096.1799999997</v>
      </c>
      <c r="R130" s="522">
        <f ca="1">_xll.DBRW(Server&amp;Cube1,$N$15,$N$16,$N$17,$N$18,$N$14,$N$13,$R$2,$R$1,$A130)</f>
        <v>-2376941.6662454931</v>
      </c>
      <c r="S130" s="523">
        <f t="shared" ref="S130:S159" ca="1" si="64">Q130-R130</f>
        <v>40845.486245493405</v>
      </c>
      <c r="T130" s="524">
        <f t="shared" ref="T130:T159" ca="1" si="65">IF(R130&lt;&gt;0,IF(R130&gt;0,S130/R130,-S130/R130),0)</f>
        <v>1.7184050759651598E-2</v>
      </c>
      <c r="U130" s="525"/>
      <c r="V130" s="522">
        <f ca="1">_xll.DBRW(Server&amp;Cube1,$N$15,$N$16,$N$17,$N$18,$N$14,$N$13,$V$2,$V$1,$B130)</f>
        <v>-2249768.4999999995</v>
      </c>
      <c r="W130" s="523">
        <f t="shared" ref="W130:W159" ca="1" si="66">Q130-V130</f>
        <v>-86327.680000000168</v>
      </c>
      <c r="X130" s="524">
        <f t="shared" ref="X130:X159" ca="1" si="67">IF(V130&lt;&gt;0,IF(V130&gt;0,W130/V130,-W130/V130),0)</f>
        <v>-3.8371805810242333E-2</v>
      </c>
      <c r="Y130" s="105"/>
      <c r="Z130" s="105"/>
      <c r="AA130" s="105"/>
      <c r="AB130" s="105"/>
      <c r="AC130" s="105"/>
      <c r="AD130" s="105"/>
      <c r="AE130" s="105"/>
      <c r="AF130" s="105"/>
      <c r="AG130" s="105"/>
      <c r="AH130" s="105"/>
      <c r="AI130" s="105"/>
      <c r="AJ130" s="105"/>
      <c r="AK130" s="105"/>
      <c r="AL130" s="105"/>
      <c r="AM130" s="105"/>
      <c r="AN130" s="105"/>
      <c r="AO130" s="105"/>
      <c r="AP130" s="105"/>
      <c r="AQ130" s="105"/>
      <c r="AR130" s="105"/>
      <c r="AS130" s="105"/>
      <c r="AT130" s="105"/>
      <c r="AU130" s="105"/>
      <c r="AV130" s="105"/>
      <c r="AW130" s="105"/>
      <c r="AX130" s="105"/>
      <c r="AY130" s="105"/>
      <c r="AZ130" s="105"/>
      <c r="BA130" s="105"/>
      <c r="BB130" s="105"/>
      <c r="BC130" s="105"/>
      <c r="BD130" s="105"/>
      <c r="BE130" s="105"/>
      <c r="BF130" s="105"/>
      <c r="BG130" s="105"/>
      <c r="BH130" s="105"/>
      <c r="BI130" s="105"/>
      <c r="BJ130" s="105"/>
      <c r="BK130" s="105"/>
      <c r="BL130" s="105"/>
      <c r="BM130" s="105"/>
      <c r="BN130" s="105"/>
      <c r="BO130" s="105"/>
      <c r="BP130" s="105"/>
      <c r="BQ130" s="105"/>
      <c r="BR130" s="105"/>
      <c r="BS130" s="105"/>
      <c r="BT130" s="105"/>
      <c r="BU130" s="105"/>
      <c r="BV130" s="105"/>
      <c r="BW130" s="105"/>
      <c r="BX130" s="526"/>
    </row>
    <row r="131" spans="1:76" s="517" customFormat="1" ht="21" hidden="1" customHeight="1" outlineLevel="2" collapsed="1" x14ac:dyDescent="0.25">
      <c r="A131" s="516" t="s">
        <v>359</v>
      </c>
      <c r="B131" s="69" t="str">
        <f ca="1">_xll.DBRA(Server&amp;$B$32,$A131,$N$19)</f>
        <v>Business development expenses (CAFOP)</v>
      </c>
      <c r="C131" s="366"/>
      <c r="D131" s="1"/>
      <c r="E131" s="1"/>
      <c r="H131" s="518"/>
      <c r="I131" s="95"/>
      <c r="J131" s="58"/>
      <c r="K131" s="105"/>
      <c r="L131" s="535" t="str">
        <f t="shared" ref="L131:L159" ca="1" si="68">B131</f>
        <v>Business development expenses (CAFOP)</v>
      </c>
      <c r="M131" s="535"/>
      <c r="N131" s="535"/>
      <c r="O131" s="535"/>
      <c r="P131" s="521"/>
      <c r="Q131" s="522">
        <f ca="1">_xll.DBRW(Server&amp;Cube1,$N$15,$N$16,$N$17,$N$18,$N$14,$N$13,$N$11,$Q$1,$A131)</f>
        <v>-2254260.5099999998</v>
      </c>
      <c r="R131" s="522">
        <f ca="1">_xll.DBRW(Server&amp;Cube1,$N$15,$N$16,$N$17,$N$18,$N$14,$N$13,$R$2,$R$1,$A131)</f>
        <v>-2295989.6662454931</v>
      </c>
      <c r="S131" s="523">
        <f t="shared" ca="1" si="64"/>
        <v>41729.15624549333</v>
      </c>
      <c r="T131" s="524">
        <f t="shared" ca="1" si="65"/>
        <v>1.8174801419612113E-2</v>
      </c>
      <c r="U131" s="525"/>
      <c r="V131" s="522">
        <f ca="1">_xll.DBRW(Server&amp;Cube1,$N$15,$N$16,$N$17,$N$18,$N$14,$N$13,$V$2,$V$1,$B131)</f>
        <v>-2168816.4999999995</v>
      </c>
      <c r="W131" s="523">
        <f t="shared" ca="1" si="66"/>
        <v>-85444.010000000242</v>
      </c>
      <c r="X131" s="524">
        <f t="shared" ca="1" si="67"/>
        <v>-3.9396606398005671E-2</v>
      </c>
      <c r="Y131" s="105"/>
      <c r="Z131" s="105"/>
      <c r="AA131" s="105"/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5"/>
      <c r="AQ131" s="105"/>
      <c r="AR131" s="105"/>
      <c r="AS131" s="105"/>
      <c r="AT131" s="105"/>
      <c r="AU131" s="105"/>
      <c r="AV131" s="105"/>
      <c r="AW131" s="105"/>
      <c r="AX131" s="105"/>
      <c r="AY131" s="105"/>
      <c r="AZ131" s="105"/>
      <c r="BA131" s="105"/>
      <c r="BB131" s="105"/>
      <c r="BC131" s="105"/>
      <c r="BD131" s="105"/>
      <c r="BE131" s="105"/>
      <c r="BF131" s="105"/>
      <c r="BG131" s="105"/>
      <c r="BH131" s="105"/>
      <c r="BI131" s="105"/>
      <c r="BJ131" s="105"/>
      <c r="BK131" s="105"/>
      <c r="BL131" s="105"/>
      <c r="BM131" s="105"/>
      <c r="BN131" s="105"/>
      <c r="BO131" s="105"/>
      <c r="BP131" s="105"/>
      <c r="BQ131" s="105"/>
      <c r="BR131" s="105"/>
      <c r="BS131" s="105"/>
      <c r="BT131" s="105"/>
      <c r="BU131" s="105"/>
      <c r="BV131" s="105"/>
      <c r="BW131" s="105"/>
      <c r="BX131" s="526"/>
    </row>
    <row r="132" spans="1:76" s="34" customFormat="1" ht="21" hidden="1" customHeight="1" outlineLevel="3" x14ac:dyDescent="0.25">
      <c r="A132" s="379" t="s">
        <v>360</v>
      </c>
      <c r="B132" s="360" t="str">
        <f ca="1">_xll.DBRA(Server&amp;$B$32,$A132,$N$19)</f>
        <v>Staff costs (BD)</v>
      </c>
      <c r="C132" s="9"/>
      <c r="D132" s="1"/>
      <c r="E132" s="1"/>
      <c r="H132" s="377"/>
      <c r="I132" s="95"/>
      <c r="J132" s="58"/>
      <c r="K132" s="105"/>
      <c r="L132" s="515" t="str">
        <f t="shared" ca="1" si="68"/>
        <v>Staff costs (BD)</v>
      </c>
      <c r="M132" s="513"/>
      <c r="N132" s="513"/>
      <c r="O132" s="513"/>
      <c r="P132" s="234"/>
      <c r="Q132" s="235">
        <f ca="1">_xll.DBRW(Server&amp;Cube1,$N$15,$N$16,$N$17,$N$18,$N$14,$N$13,$N$11,$Q$1,$A132)</f>
        <v>-1658329.2300000002</v>
      </c>
      <c r="R132" s="235">
        <f ca="1">_xll.DBRW(Server&amp;Cube1,$N$15,$N$16,$N$17,$N$18,$N$14,$N$13,$R$2,$R$1,$A132)</f>
        <v>-1644835.1934825273</v>
      </c>
      <c r="S132" s="236">
        <f t="shared" ca="1" si="64"/>
        <v>-13494.036517472938</v>
      </c>
      <c r="T132" s="238">
        <f t="shared" ca="1" si="65"/>
        <v>-8.2038836297651744E-3</v>
      </c>
      <c r="U132" s="223"/>
      <c r="V132" s="235">
        <f ca="1">_xll.DBRW(Server&amp;Cube1,$N$15,$N$16,$N$17,$N$18,$N$14,$N$13,$V$2,$V$1,$B132)</f>
        <v>-1580156.7699999998</v>
      </c>
      <c r="W132" s="236">
        <f t="shared" ca="1" si="66"/>
        <v>-78172.460000000428</v>
      </c>
      <c r="X132" s="238">
        <f t="shared" ca="1" si="67"/>
        <v>-4.9471331885633373E-2</v>
      </c>
      <c r="Y132" s="105"/>
      <c r="Z132" s="105"/>
      <c r="AA132" s="105"/>
      <c r="AB132" s="105"/>
      <c r="AC132" s="105"/>
      <c r="AD132" s="105"/>
      <c r="AE132" s="105"/>
      <c r="AF132" s="105"/>
      <c r="AG132" s="105"/>
      <c r="AH132" s="105"/>
      <c r="AI132" s="105"/>
      <c r="AJ132" s="105"/>
      <c r="AK132" s="105"/>
      <c r="AL132" s="105"/>
      <c r="AM132" s="105"/>
      <c r="AN132" s="105"/>
      <c r="AO132" s="105"/>
      <c r="AP132" s="105"/>
      <c r="AQ132" s="105"/>
      <c r="AR132" s="105"/>
      <c r="AS132" s="105"/>
      <c r="AT132" s="105"/>
      <c r="AU132" s="105"/>
      <c r="AV132" s="105"/>
      <c r="AW132" s="105"/>
      <c r="AX132" s="105"/>
      <c r="AY132" s="105"/>
      <c r="AZ132" s="105"/>
      <c r="BA132" s="105"/>
      <c r="BB132" s="105"/>
      <c r="BC132" s="105"/>
      <c r="BD132" s="105"/>
      <c r="BE132" s="105"/>
      <c r="BF132" s="105"/>
      <c r="BG132" s="105"/>
      <c r="BH132" s="105"/>
      <c r="BI132" s="105"/>
      <c r="BJ132" s="105"/>
      <c r="BK132" s="105"/>
      <c r="BL132" s="105"/>
      <c r="BM132" s="105"/>
      <c r="BN132" s="105"/>
      <c r="BO132" s="105"/>
      <c r="BP132" s="105"/>
      <c r="BQ132" s="105"/>
      <c r="BR132" s="105"/>
      <c r="BS132" s="105"/>
      <c r="BT132" s="105"/>
      <c r="BU132" s="105"/>
      <c r="BV132" s="105"/>
      <c r="BW132" s="105"/>
      <c r="BX132" s="28"/>
    </row>
    <row r="133" spans="1:76" s="34" customFormat="1" ht="21" hidden="1" customHeight="1" outlineLevel="3" x14ac:dyDescent="0.25">
      <c r="A133" s="379" t="s">
        <v>361</v>
      </c>
      <c r="B133" s="360" t="str">
        <f ca="1">_xll.DBRA(Server&amp;$B$32,$A133,$N$19)</f>
        <v>Health insurance costs (BD)</v>
      </c>
      <c r="C133" s="9"/>
      <c r="D133" s="1"/>
      <c r="E133" s="1"/>
      <c r="H133" s="377"/>
      <c r="I133" s="95"/>
      <c r="J133" s="58"/>
      <c r="K133" s="105"/>
      <c r="L133" s="515" t="str">
        <f t="shared" ca="1" si="68"/>
        <v>Health insurance costs (BD)</v>
      </c>
      <c r="M133" s="513"/>
      <c r="N133" s="513"/>
      <c r="O133" s="513"/>
      <c r="P133" s="234"/>
      <c r="Q133" s="235">
        <f ca="1">_xll.DBRW(Server&amp;Cube1,$N$15,$N$16,$N$17,$N$18,$N$14,$N$13,$N$11,$Q$1,$A133)</f>
        <v>0</v>
      </c>
      <c r="R133" s="235">
        <f ca="1">_xll.DBRW(Server&amp;Cube1,$N$15,$N$16,$N$17,$N$18,$N$14,$N$13,$R$2,$R$1,$A133)</f>
        <v>0</v>
      </c>
      <c r="S133" s="236">
        <f t="shared" ca="1" si="64"/>
        <v>0</v>
      </c>
      <c r="T133" s="238">
        <f t="shared" ca="1" si="65"/>
        <v>0</v>
      </c>
      <c r="U133" s="223"/>
      <c r="V133" s="235">
        <f ca="1">_xll.DBRW(Server&amp;Cube1,$N$15,$N$16,$N$17,$N$18,$N$14,$N$13,$V$2,$V$1,$B133)</f>
        <v>0</v>
      </c>
      <c r="W133" s="236">
        <f t="shared" ca="1" si="66"/>
        <v>0</v>
      </c>
      <c r="X133" s="238">
        <f t="shared" ca="1" si="67"/>
        <v>0</v>
      </c>
      <c r="Y133" s="105"/>
      <c r="Z133" s="105"/>
      <c r="AA133" s="105"/>
      <c r="AB133" s="105"/>
      <c r="AC133" s="105"/>
      <c r="AD133" s="105"/>
      <c r="AE133" s="105"/>
      <c r="AF133" s="105"/>
      <c r="AG133" s="105"/>
      <c r="AH133" s="105"/>
      <c r="AI133" s="105"/>
      <c r="AJ133" s="105"/>
      <c r="AK133" s="105"/>
      <c r="AL133" s="105"/>
      <c r="AM133" s="105"/>
      <c r="AN133" s="105"/>
      <c r="AO133" s="105"/>
      <c r="AP133" s="105"/>
      <c r="AQ133" s="105"/>
      <c r="AR133" s="105"/>
      <c r="AS133" s="105"/>
      <c r="AT133" s="105"/>
      <c r="AU133" s="105"/>
      <c r="AV133" s="105"/>
      <c r="AW133" s="105"/>
      <c r="AX133" s="105"/>
      <c r="AY133" s="105"/>
      <c r="AZ133" s="105"/>
      <c r="BA133" s="105"/>
      <c r="BB133" s="105"/>
      <c r="BC133" s="105"/>
      <c r="BD133" s="105"/>
      <c r="BE133" s="105"/>
      <c r="BF133" s="105"/>
      <c r="BG133" s="105"/>
      <c r="BH133" s="105"/>
      <c r="BI133" s="105"/>
      <c r="BJ133" s="105"/>
      <c r="BK133" s="105"/>
      <c r="BL133" s="105"/>
      <c r="BM133" s="105"/>
      <c r="BN133" s="105"/>
      <c r="BO133" s="105"/>
      <c r="BP133" s="105"/>
      <c r="BQ133" s="105"/>
      <c r="BR133" s="105"/>
      <c r="BS133" s="105"/>
      <c r="BT133" s="105"/>
      <c r="BU133" s="105"/>
      <c r="BV133" s="105"/>
      <c r="BW133" s="105"/>
      <c r="BX133" s="28"/>
    </row>
    <row r="134" spans="1:76" s="34" customFormat="1" ht="21" hidden="1" customHeight="1" outlineLevel="3" x14ac:dyDescent="0.25">
      <c r="A134" s="379" t="s">
        <v>362</v>
      </c>
      <c r="B134" s="360" t="str">
        <f ca="1">_xll.DBRA(Server&amp;$B$32,$A134,$N$19)</f>
        <v>Selling expenses - Lease expenses (BD)</v>
      </c>
      <c r="C134" s="9"/>
      <c r="D134" s="1"/>
      <c r="E134" s="1"/>
      <c r="H134" s="377"/>
      <c r="I134" s="95"/>
      <c r="J134" s="58"/>
      <c r="K134" s="105"/>
      <c r="L134" s="515" t="str">
        <f t="shared" ca="1" si="68"/>
        <v>Selling expenses - Lease expenses (BD)</v>
      </c>
      <c r="M134" s="513"/>
      <c r="N134" s="513"/>
      <c r="O134" s="513"/>
      <c r="P134" s="234"/>
      <c r="Q134" s="235">
        <f ca="1">_xll.DBRW(Server&amp;Cube1,$N$15,$N$16,$N$17,$N$18,$N$14,$N$13,$N$11,$Q$1,$A134)</f>
        <v>0</v>
      </c>
      <c r="R134" s="235">
        <f ca="1">_xll.DBRW(Server&amp;Cube1,$N$15,$N$16,$N$17,$N$18,$N$14,$N$13,$R$2,$R$1,$A134)</f>
        <v>0</v>
      </c>
      <c r="S134" s="236">
        <f t="shared" ca="1" si="64"/>
        <v>0</v>
      </c>
      <c r="T134" s="238">
        <f t="shared" ca="1" si="65"/>
        <v>0</v>
      </c>
      <c r="U134" s="223"/>
      <c r="V134" s="235">
        <f ca="1">_xll.DBRW(Server&amp;Cube1,$N$15,$N$16,$N$17,$N$18,$N$14,$N$13,$V$2,$V$1,$B134)</f>
        <v>0</v>
      </c>
      <c r="W134" s="236">
        <f t="shared" ca="1" si="66"/>
        <v>0</v>
      </c>
      <c r="X134" s="238">
        <f t="shared" ca="1" si="67"/>
        <v>0</v>
      </c>
      <c r="Y134" s="105"/>
      <c r="Z134" s="105"/>
      <c r="AA134" s="105"/>
      <c r="AB134" s="105"/>
      <c r="AC134" s="105"/>
      <c r="AD134" s="105"/>
      <c r="AE134" s="105"/>
      <c r="AF134" s="105"/>
      <c r="AG134" s="105"/>
      <c r="AH134" s="105"/>
      <c r="AI134" s="105"/>
      <c r="AJ134" s="105"/>
      <c r="AK134" s="105"/>
      <c r="AL134" s="105"/>
      <c r="AM134" s="105"/>
      <c r="AN134" s="105"/>
      <c r="AO134" s="105"/>
      <c r="AP134" s="105"/>
      <c r="AQ134" s="105"/>
      <c r="AR134" s="105"/>
      <c r="AS134" s="105"/>
      <c r="AT134" s="105"/>
      <c r="AU134" s="105"/>
      <c r="AV134" s="105"/>
      <c r="AW134" s="105"/>
      <c r="AX134" s="105"/>
      <c r="AY134" s="105"/>
      <c r="AZ134" s="105"/>
      <c r="BA134" s="105"/>
      <c r="BB134" s="105"/>
      <c r="BC134" s="105"/>
      <c r="BD134" s="105"/>
      <c r="BE134" s="105"/>
      <c r="BF134" s="105"/>
      <c r="BG134" s="105"/>
      <c r="BH134" s="105"/>
      <c r="BI134" s="105"/>
      <c r="BJ134" s="105"/>
      <c r="BK134" s="105"/>
      <c r="BL134" s="105"/>
      <c r="BM134" s="105"/>
      <c r="BN134" s="105"/>
      <c r="BO134" s="105"/>
      <c r="BP134" s="105"/>
      <c r="BQ134" s="105"/>
      <c r="BR134" s="105"/>
      <c r="BS134" s="105"/>
      <c r="BT134" s="105"/>
      <c r="BU134" s="105"/>
      <c r="BV134" s="105"/>
      <c r="BW134" s="105"/>
      <c r="BX134" s="28"/>
    </row>
    <row r="135" spans="1:76" s="34" customFormat="1" ht="21" hidden="1" customHeight="1" outlineLevel="3" x14ac:dyDescent="0.25">
      <c r="A135" s="379" t="s">
        <v>363</v>
      </c>
      <c r="B135" s="360" t="str">
        <f ca="1">_xll.DBRA(Server&amp;$B$32,$A135,$N$19)</f>
        <v>Reinvoicing (BD)</v>
      </c>
      <c r="C135" s="9"/>
      <c r="D135" s="1"/>
      <c r="E135" s="1"/>
      <c r="H135" s="377"/>
      <c r="I135" s="95"/>
      <c r="J135" s="58"/>
      <c r="K135" s="105"/>
      <c r="L135" s="515" t="str">
        <f t="shared" ca="1" si="68"/>
        <v>Reinvoicing (BD)</v>
      </c>
      <c r="M135" s="513"/>
      <c r="N135" s="513"/>
      <c r="O135" s="513"/>
      <c r="P135" s="234"/>
      <c r="Q135" s="235">
        <f ca="1">_xll.DBRW(Server&amp;Cube1,$N$15,$N$16,$N$17,$N$18,$N$14,$N$13,$N$11,$Q$1,$A135)</f>
        <v>74907.38</v>
      </c>
      <c r="R135" s="235">
        <f ca="1">_xll.DBRW(Server&amp;Cube1,$N$15,$N$16,$N$17,$N$18,$N$14,$N$13,$R$2,$R$1,$A135)</f>
        <v>86126.403285999928</v>
      </c>
      <c r="S135" s="236">
        <f t="shared" ca="1" si="64"/>
        <v>-11219.023285999923</v>
      </c>
      <c r="T135" s="238">
        <f t="shared" ca="1" si="65"/>
        <v>-0.13026229887651194</v>
      </c>
      <c r="U135" s="223"/>
      <c r="V135" s="235">
        <f ca="1">_xll.DBRW(Server&amp;Cube1,$N$15,$N$16,$N$17,$N$18,$N$14,$N$13,$V$2,$V$1,$B135)</f>
        <v>75054.290000000008</v>
      </c>
      <c r="W135" s="236">
        <f t="shared" ca="1" si="66"/>
        <v>-146.91000000000349</v>
      </c>
      <c r="X135" s="238">
        <f t="shared" ca="1" si="67"/>
        <v>-1.9573831156087609E-3</v>
      </c>
      <c r="Y135" s="105"/>
      <c r="Z135" s="105"/>
      <c r="AA135" s="105"/>
      <c r="AB135" s="105"/>
      <c r="AC135" s="105"/>
      <c r="AD135" s="105"/>
      <c r="AE135" s="105"/>
      <c r="AF135" s="105"/>
      <c r="AG135" s="105"/>
      <c r="AH135" s="105"/>
      <c r="AI135" s="105"/>
      <c r="AJ135" s="105"/>
      <c r="AK135" s="105"/>
      <c r="AL135" s="105"/>
      <c r="AM135" s="105"/>
      <c r="AN135" s="105"/>
      <c r="AO135" s="105"/>
      <c r="AP135" s="105"/>
      <c r="AQ135" s="105"/>
      <c r="AR135" s="105"/>
      <c r="AS135" s="105"/>
      <c r="AT135" s="105"/>
      <c r="AU135" s="105"/>
      <c r="AV135" s="105"/>
      <c r="AW135" s="105"/>
      <c r="AX135" s="105"/>
      <c r="AY135" s="105"/>
      <c r="AZ135" s="105"/>
      <c r="BA135" s="105"/>
      <c r="BB135" s="105"/>
      <c r="BC135" s="105"/>
      <c r="BD135" s="105"/>
      <c r="BE135" s="105"/>
      <c r="BF135" s="105"/>
      <c r="BG135" s="105"/>
      <c r="BH135" s="105"/>
      <c r="BI135" s="105"/>
      <c r="BJ135" s="105"/>
      <c r="BK135" s="105"/>
      <c r="BL135" s="105"/>
      <c r="BM135" s="105"/>
      <c r="BN135" s="105"/>
      <c r="BO135" s="105"/>
      <c r="BP135" s="105"/>
      <c r="BQ135" s="105"/>
      <c r="BR135" s="105"/>
      <c r="BS135" s="105"/>
      <c r="BT135" s="105"/>
      <c r="BU135" s="105"/>
      <c r="BV135" s="105"/>
      <c r="BW135" s="105"/>
      <c r="BX135" s="28"/>
    </row>
    <row r="136" spans="1:76" s="34" customFormat="1" ht="21" hidden="1" customHeight="1" outlineLevel="3" x14ac:dyDescent="0.25">
      <c r="A136" s="379" t="s">
        <v>364</v>
      </c>
      <c r="B136" s="360" t="str">
        <f ca="1">_xll.DBRA(Server&amp;$B$32,$A136,$N$19)</f>
        <v>Restructuring costs (BD)</v>
      </c>
      <c r="C136" s="9"/>
      <c r="D136" s="1"/>
      <c r="E136" s="1"/>
      <c r="H136" s="377"/>
      <c r="I136" s="95"/>
      <c r="J136" s="58"/>
      <c r="K136" s="105"/>
      <c r="L136" s="515" t="str">
        <f t="shared" ca="1" si="68"/>
        <v>Restructuring costs (BD)</v>
      </c>
      <c r="M136" s="513"/>
      <c r="N136" s="513"/>
      <c r="O136" s="513"/>
      <c r="P136" s="234"/>
      <c r="Q136" s="235">
        <f ca="1">_xll.DBRW(Server&amp;Cube1,$N$15,$N$16,$N$17,$N$18,$N$14,$N$13,$N$11,$Q$1,$A136)</f>
        <v>0</v>
      </c>
      <c r="R136" s="235">
        <f ca="1">_xll.DBRW(Server&amp;Cube1,$N$15,$N$16,$N$17,$N$18,$N$14,$N$13,$R$2,$R$1,$A136)</f>
        <v>0</v>
      </c>
      <c r="S136" s="236">
        <f t="shared" ca="1" si="64"/>
        <v>0</v>
      </c>
      <c r="T136" s="238">
        <f t="shared" ca="1" si="65"/>
        <v>0</v>
      </c>
      <c r="U136" s="223"/>
      <c r="V136" s="235">
        <f ca="1">_xll.DBRW(Server&amp;Cube1,$N$15,$N$16,$N$17,$N$18,$N$14,$N$13,$V$2,$V$1,$B136)</f>
        <v>0</v>
      </c>
      <c r="W136" s="236">
        <f t="shared" ca="1" si="66"/>
        <v>0</v>
      </c>
      <c r="X136" s="238">
        <f t="shared" ca="1" si="67"/>
        <v>0</v>
      </c>
      <c r="Y136" s="105"/>
      <c r="Z136" s="105"/>
      <c r="AA136" s="105"/>
      <c r="AB136" s="105"/>
      <c r="AC136" s="105"/>
      <c r="AD136" s="105"/>
      <c r="AE136" s="105"/>
      <c r="AF136" s="105"/>
      <c r="AG136" s="105"/>
      <c r="AH136" s="105"/>
      <c r="AI136" s="105"/>
      <c r="AJ136" s="105"/>
      <c r="AK136" s="105"/>
      <c r="AL136" s="105"/>
      <c r="AM136" s="105"/>
      <c r="AN136" s="105"/>
      <c r="AO136" s="105"/>
      <c r="AP136" s="105"/>
      <c r="AQ136" s="105"/>
      <c r="AR136" s="105"/>
      <c r="AS136" s="105"/>
      <c r="AT136" s="105"/>
      <c r="AU136" s="105"/>
      <c r="AV136" s="105"/>
      <c r="AW136" s="105"/>
      <c r="AX136" s="105"/>
      <c r="AY136" s="105"/>
      <c r="AZ136" s="105"/>
      <c r="BA136" s="105"/>
      <c r="BB136" s="105"/>
      <c r="BC136" s="105"/>
      <c r="BD136" s="105"/>
      <c r="BE136" s="105"/>
      <c r="BF136" s="105"/>
      <c r="BG136" s="105"/>
      <c r="BH136" s="105"/>
      <c r="BI136" s="105"/>
      <c r="BJ136" s="105"/>
      <c r="BK136" s="105"/>
      <c r="BL136" s="105"/>
      <c r="BM136" s="105"/>
      <c r="BN136" s="105"/>
      <c r="BO136" s="105"/>
      <c r="BP136" s="105"/>
      <c r="BQ136" s="105"/>
      <c r="BR136" s="105"/>
      <c r="BS136" s="105"/>
      <c r="BT136" s="105"/>
      <c r="BU136" s="105"/>
      <c r="BV136" s="105"/>
      <c r="BW136" s="105"/>
      <c r="BX136" s="28"/>
    </row>
    <row r="137" spans="1:76" s="517" customFormat="1" ht="21" hidden="1" customHeight="1" outlineLevel="3" collapsed="1" x14ac:dyDescent="0.25">
      <c r="A137" s="516" t="s">
        <v>365</v>
      </c>
      <c r="B137" s="69" t="str">
        <f ca="1">_xll.DBRA(Server&amp;$B$32,$A137,$N$19)</f>
        <v>Others expenses (BD)</v>
      </c>
      <c r="C137" s="366"/>
      <c r="D137" s="1"/>
      <c r="E137" s="1"/>
      <c r="H137" s="518"/>
      <c r="I137" s="95"/>
      <c r="J137" s="58"/>
      <c r="K137" s="105"/>
      <c r="L137" s="532" t="str">
        <f t="shared" ca="1" si="68"/>
        <v>Others expenses (BD)</v>
      </c>
      <c r="M137" s="531"/>
      <c r="N137" s="531"/>
      <c r="O137" s="531"/>
      <c r="P137" s="521"/>
      <c r="Q137" s="522">
        <f ca="1">_xll.DBRW(Server&amp;Cube1,$N$15,$N$16,$N$17,$N$18,$N$14,$N$13,$N$11,$Q$1,$A137)</f>
        <v>-670838.66</v>
      </c>
      <c r="R137" s="522">
        <f ca="1">_xll.DBRW(Server&amp;Cube1,$N$15,$N$16,$N$17,$N$18,$N$14,$N$13,$R$2,$R$1,$A137)</f>
        <v>-737280.87604896654</v>
      </c>
      <c r="S137" s="523">
        <f t="shared" ca="1" si="64"/>
        <v>66442.216048966511</v>
      </c>
      <c r="T137" s="524">
        <f t="shared" ca="1" si="65"/>
        <v>9.0117915990206354E-2</v>
      </c>
      <c r="U137" s="525"/>
      <c r="V137" s="522">
        <f ca="1">_xll.DBRW(Server&amp;Cube1,$N$15,$N$16,$N$17,$N$18,$N$14,$N$13,$V$2,$V$1,$B137)</f>
        <v>-663714.02</v>
      </c>
      <c r="W137" s="523">
        <f t="shared" ca="1" si="66"/>
        <v>-7124.640000000014</v>
      </c>
      <c r="X137" s="524">
        <f t="shared" ca="1" si="67"/>
        <v>-1.0734502790825502E-2</v>
      </c>
      <c r="Y137" s="105"/>
      <c r="Z137" s="105"/>
      <c r="AA137" s="105"/>
      <c r="AB137" s="105"/>
      <c r="AC137" s="105"/>
      <c r="AD137" s="105"/>
      <c r="AE137" s="105"/>
      <c r="AF137" s="105"/>
      <c r="AG137" s="105"/>
      <c r="AH137" s="105"/>
      <c r="AI137" s="105"/>
      <c r="AJ137" s="105"/>
      <c r="AK137" s="105"/>
      <c r="AL137" s="105"/>
      <c r="AM137" s="105"/>
      <c r="AN137" s="105"/>
      <c r="AO137" s="105"/>
      <c r="AP137" s="105"/>
      <c r="AQ137" s="105"/>
      <c r="AR137" s="105"/>
      <c r="AS137" s="105"/>
      <c r="AT137" s="105"/>
      <c r="AU137" s="105"/>
      <c r="AV137" s="105"/>
      <c r="AW137" s="105"/>
      <c r="AX137" s="105"/>
      <c r="AY137" s="105"/>
      <c r="AZ137" s="105"/>
      <c r="BA137" s="105"/>
      <c r="BB137" s="105"/>
      <c r="BC137" s="105"/>
      <c r="BD137" s="105"/>
      <c r="BE137" s="105"/>
      <c r="BF137" s="105"/>
      <c r="BG137" s="105"/>
      <c r="BH137" s="105"/>
      <c r="BI137" s="105"/>
      <c r="BJ137" s="105"/>
      <c r="BK137" s="105"/>
      <c r="BL137" s="105"/>
      <c r="BM137" s="105"/>
      <c r="BN137" s="105"/>
      <c r="BO137" s="105"/>
      <c r="BP137" s="105"/>
      <c r="BQ137" s="105"/>
      <c r="BR137" s="105"/>
      <c r="BS137" s="105"/>
      <c r="BT137" s="105"/>
      <c r="BU137" s="105"/>
      <c r="BV137" s="105"/>
      <c r="BW137" s="105"/>
      <c r="BX137" s="526"/>
    </row>
    <row r="138" spans="1:76" s="34" customFormat="1" ht="21" hidden="1" customHeight="1" outlineLevel="4" x14ac:dyDescent="0.25">
      <c r="A138" s="379" t="s">
        <v>384</v>
      </c>
      <c r="B138" s="360" t="str">
        <f ca="1">_xll.DBRA(Server&amp;$B$32,$A138,$N$19)</f>
        <v>Interim staff (BD)</v>
      </c>
      <c r="C138" s="9"/>
      <c r="D138" s="1"/>
      <c r="E138" s="1"/>
      <c r="H138" s="377"/>
      <c r="I138" s="95"/>
      <c r="J138" s="58"/>
      <c r="K138" s="105"/>
      <c r="L138" s="533" t="str">
        <f t="shared" ref="L138:L141" ca="1" si="69">B138</f>
        <v>Interim staff (BD)</v>
      </c>
      <c r="M138" s="514"/>
      <c r="N138" s="513"/>
      <c r="O138" s="513"/>
      <c r="P138" s="234"/>
      <c r="Q138" s="235">
        <f ca="1">_xll.DBRW(Server&amp;Cube1,$N$15,$N$16,$N$17,$N$18,$N$14,$N$13,$N$11,$Q$1,$A138)</f>
        <v>0</v>
      </c>
      <c r="R138" s="235">
        <f ca="1">_xll.DBRW(Server&amp;Cube1,$N$15,$N$16,$N$17,$N$18,$N$14,$N$13,$R$2,$R$1,$A138)</f>
        <v>-64399.43</v>
      </c>
      <c r="S138" s="236">
        <f t="shared" ref="S138:S141" ca="1" si="70">Q138-R138</f>
        <v>64399.43</v>
      </c>
      <c r="T138" s="238">
        <f t="shared" ref="T138:T141" ca="1" si="71">IF(R138&lt;&gt;0,IF(R138&gt;0,S138/R138,-S138/R138),0)</f>
        <v>1</v>
      </c>
      <c r="U138" s="223"/>
      <c r="V138" s="235">
        <f ca="1">_xll.DBRW(Server&amp;Cube1,$N$15,$N$16,$N$17,$N$18,$N$14,$N$13,$V$2,$V$1,$B138)</f>
        <v>-63023.439999999995</v>
      </c>
      <c r="W138" s="236">
        <f t="shared" ref="W138:W141" ca="1" si="72">Q138-V138</f>
        <v>63023.439999999995</v>
      </c>
      <c r="X138" s="238">
        <f t="shared" ref="X138:X141" ca="1" si="73">IF(V138&lt;&gt;0,IF(V138&gt;0,W138/V138,-W138/V138),0)</f>
        <v>1</v>
      </c>
      <c r="Y138" s="105"/>
      <c r="Z138" s="105"/>
      <c r="AA138" s="105"/>
      <c r="AB138" s="105"/>
      <c r="AC138" s="105"/>
      <c r="AD138" s="105"/>
      <c r="AE138" s="105"/>
      <c r="AF138" s="105"/>
      <c r="AG138" s="105"/>
      <c r="AH138" s="105"/>
      <c r="AI138" s="105"/>
      <c r="AJ138" s="105"/>
      <c r="AK138" s="105"/>
      <c r="AL138" s="105"/>
      <c r="AM138" s="105"/>
      <c r="AN138" s="105"/>
      <c r="AO138" s="105"/>
      <c r="AP138" s="105"/>
      <c r="AQ138" s="105"/>
      <c r="AR138" s="105"/>
      <c r="AS138" s="105"/>
      <c r="AT138" s="105"/>
      <c r="AU138" s="105"/>
      <c r="AV138" s="105"/>
      <c r="AW138" s="105"/>
      <c r="AX138" s="105"/>
      <c r="AY138" s="105"/>
      <c r="AZ138" s="105"/>
      <c r="BA138" s="105"/>
      <c r="BB138" s="105"/>
      <c r="BC138" s="105"/>
      <c r="BD138" s="105"/>
      <c r="BE138" s="105"/>
      <c r="BF138" s="105"/>
      <c r="BG138" s="105"/>
      <c r="BH138" s="105"/>
      <c r="BI138" s="105"/>
      <c r="BJ138" s="105"/>
      <c r="BK138" s="105"/>
      <c r="BL138" s="105"/>
      <c r="BM138" s="105"/>
      <c r="BN138" s="105"/>
      <c r="BO138" s="105"/>
      <c r="BP138" s="105"/>
      <c r="BQ138" s="105"/>
      <c r="BR138" s="105"/>
      <c r="BS138" s="105"/>
      <c r="BT138" s="105"/>
      <c r="BU138" s="105"/>
      <c r="BV138" s="105"/>
      <c r="BW138" s="105"/>
      <c r="BX138" s="28"/>
    </row>
    <row r="139" spans="1:76" s="34" customFormat="1" ht="21" hidden="1" customHeight="1" outlineLevel="4" x14ac:dyDescent="0.25">
      <c r="A139" s="379" t="s">
        <v>385</v>
      </c>
      <c r="B139" s="360" t="str">
        <f ca="1">_xll.DBRA(Server&amp;$B$32,$A139,$N$19)</f>
        <v>Travelling (BD)</v>
      </c>
      <c r="C139" s="9"/>
      <c r="D139" s="1"/>
      <c r="E139" s="1"/>
      <c r="H139" s="377"/>
      <c r="I139" s="95"/>
      <c r="J139" s="58"/>
      <c r="K139" s="105"/>
      <c r="L139" s="533" t="str">
        <f t="shared" ca="1" si="69"/>
        <v>Travelling (BD)</v>
      </c>
      <c r="M139" s="514"/>
      <c r="N139" s="513"/>
      <c r="O139" s="513"/>
      <c r="P139" s="234"/>
      <c r="Q139" s="235">
        <f ca="1">_xll.DBRW(Server&amp;Cube1,$N$15,$N$16,$N$17,$N$18,$N$14,$N$13,$N$11,$Q$1,$A139)</f>
        <v>0</v>
      </c>
      <c r="R139" s="235">
        <f ca="1">_xll.DBRW(Server&amp;Cube1,$N$15,$N$16,$N$17,$N$18,$N$14,$N$13,$R$2,$R$1,$A139)</f>
        <v>0</v>
      </c>
      <c r="S139" s="236">
        <f t="shared" ca="1" si="70"/>
        <v>0</v>
      </c>
      <c r="T139" s="238">
        <f t="shared" ca="1" si="71"/>
        <v>0</v>
      </c>
      <c r="U139" s="223"/>
      <c r="V139" s="235">
        <f ca="1">_xll.DBRW(Server&amp;Cube1,$N$15,$N$16,$N$17,$N$18,$N$14,$N$13,$V$2,$V$1,$B139)</f>
        <v>0</v>
      </c>
      <c r="W139" s="236">
        <f t="shared" ca="1" si="72"/>
        <v>0</v>
      </c>
      <c r="X139" s="238">
        <f t="shared" ca="1" si="73"/>
        <v>0</v>
      </c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105"/>
      <c r="AY139" s="105"/>
      <c r="AZ139" s="105"/>
      <c r="BA139" s="105"/>
      <c r="BB139" s="105"/>
      <c r="BC139" s="105"/>
      <c r="BD139" s="105"/>
      <c r="BE139" s="105"/>
      <c r="BF139" s="105"/>
      <c r="BG139" s="105"/>
      <c r="BH139" s="105"/>
      <c r="BI139" s="105"/>
      <c r="BJ139" s="105"/>
      <c r="BK139" s="105"/>
      <c r="BL139" s="105"/>
      <c r="BM139" s="105"/>
      <c r="BN139" s="105"/>
      <c r="BO139" s="105"/>
      <c r="BP139" s="105"/>
      <c r="BQ139" s="105"/>
      <c r="BR139" s="105"/>
      <c r="BS139" s="105"/>
      <c r="BT139" s="105"/>
      <c r="BU139" s="105"/>
      <c r="BV139" s="105"/>
      <c r="BW139" s="105"/>
      <c r="BX139" s="28"/>
    </row>
    <row r="140" spans="1:76" s="34" customFormat="1" ht="21" hidden="1" customHeight="1" outlineLevel="4" x14ac:dyDescent="0.25">
      <c r="A140" s="379" t="s">
        <v>386</v>
      </c>
      <c r="B140" s="360" t="str">
        <f ca="1">_xll.DBRA(Server&amp;$B$32,$A140,$N$19)</f>
        <v>Consulting (BD)</v>
      </c>
      <c r="C140" s="9"/>
      <c r="D140" s="1"/>
      <c r="E140" s="1"/>
      <c r="H140" s="377"/>
      <c r="I140" s="95"/>
      <c r="J140" s="58"/>
      <c r="K140" s="105"/>
      <c r="L140" s="533" t="str">
        <f t="shared" ca="1" si="69"/>
        <v>Consulting (BD)</v>
      </c>
      <c r="M140" s="514"/>
      <c r="N140" s="513"/>
      <c r="O140" s="513"/>
      <c r="P140" s="234"/>
      <c r="Q140" s="235">
        <f ca="1">_xll.DBRW(Server&amp;Cube1,$N$15,$N$16,$N$17,$N$18,$N$14,$N$13,$N$11,$Q$1,$A140)</f>
        <v>-1100</v>
      </c>
      <c r="R140" s="235">
        <f ca="1">_xll.DBRW(Server&amp;Cube1,$N$15,$N$16,$N$17,$N$18,$N$14,$N$13,$R$2,$R$1,$A140)</f>
        <v>0</v>
      </c>
      <c r="S140" s="236">
        <f t="shared" ca="1" si="70"/>
        <v>-1100</v>
      </c>
      <c r="T140" s="238">
        <f t="shared" ca="1" si="71"/>
        <v>0</v>
      </c>
      <c r="U140" s="223"/>
      <c r="V140" s="235">
        <f ca="1">_xll.DBRW(Server&amp;Cube1,$N$15,$N$16,$N$17,$N$18,$N$14,$N$13,$V$2,$V$1,$B140)</f>
        <v>-888</v>
      </c>
      <c r="W140" s="236">
        <f t="shared" ca="1" si="72"/>
        <v>-212</v>
      </c>
      <c r="X140" s="238">
        <f t="shared" ca="1" si="73"/>
        <v>-0.23873873873873874</v>
      </c>
      <c r="Y140" s="105"/>
      <c r="Z140" s="105"/>
      <c r="AA140" s="105"/>
      <c r="AB140" s="105"/>
      <c r="AC140" s="105"/>
      <c r="AD140" s="105"/>
      <c r="AE140" s="105"/>
      <c r="AF140" s="105"/>
      <c r="AG140" s="105"/>
      <c r="AH140" s="105"/>
      <c r="AI140" s="105"/>
      <c r="AJ140" s="105"/>
      <c r="AK140" s="105"/>
      <c r="AL140" s="105"/>
      <c r="AM140" s="105"/>
      <c r="AN140" s="105"/>
      <c r="AO140" s="105"/>
      <c r="AP140" s="105"/>
      <c r="AQ140" s="105"/>
      <c r="AR140" s="105"/>
      <c r="AS140" s="105"/>
      <c r="AT140" s="105"/>
      <c r="AU140" s="105"/>
      <c r="AV140" s="105"/>
      <c r="AW140" s="105"/>
      <c r="AX140" s="105"/>
      <c r="AY140" s="105"/>
      <c r="AZ140" s="105"/>
      <c r="BA140" s="105"/>
      <c r="BB140" s="105"/>
      <c r="BC140" s="105"/>
      <c r="BD140" s="105"/>
      <c r="BE140" s="105"/>
      <c r="BF140" s="105"/>
      <c r="BG140" s="105"/>
      <c r="BH140" s="105"/>
      <c r="BI140" s="105"/>
      <c r="BJ140" s="105"/>
      <c r="BK140" s="105"/>
      <c r="BL140" s="105"/>
      <c r="BM140" s="105"/>
      <c r="BN140" s="105"/>
      <c r="BO140" s="105"/>
      <c r="BP140" s="105"/>
      <c r="BQ140" s="105"/>
      <c r="BR140" s="105"/>
      <c r="BS140" s="105"/>
      <c r="BT140" s="105"/>
      <c r="BU140" s="105"/>
      <c r="BV140" s="105"/>
      <c r="BW140" s="105"/>
      <c r="BX140" s="28"/>
    </row>
    <row r="141" spans="1:76" s="34" customFormat="1" ht="21" hidden="1" customHeight="1" outlineLevel="4" x14ac:dyDescent="0.25">
      <c r="A141" s="379" t="s">
        <v>387</v>
      </c>
      <c r="B141" s="360" t="str">
        <f ca="1">_xll.DBRA(Server&amp;$B$32,$A141,$N$19)</f>
        <v>Others (BD)</v>
      </c>
      <c r="C141" s="9"/>
      <c r="D141" s="1"/>
      <c r="E141" s="1"/>
      <c r="H141" s="377"/>
      <c r="I141" s="95"/>
      <c r="J141" s="58"/>
      <c r="K141" s="105"/>
      <c r="L141" s="533" t="str">
        <f t="shared" ca="1" si="69"/>
        <v>Others (BD)</v>
      </c>
      <c r="M141" s="514"/>
      <c r="N141" s="513"/>
      <c r="O141" s="513"/>
      <c r="P141" s="234"/>
      <c r="Q141" s="235">
        <f ca="1">_xll.DBRW(Server&amp;Cube1,$N$15,$N$16,$N$17,$N$18,$N$14,$N$13,$N$11,$Q$1,$A141)</f>
        <v>-669738.66</v>
      </c>
      <c r="R141" s="235">
        <f ca="1">_xll.DBRW(Server&amp;Cube1,$N$15,$N$16,$N$17,$N$18,$N$14,$N$13,$R$2,$R$1,$A141)</f>
        <v>-672881.44604896649</v>
      </c>
      <c r="S141" s="236">
        <f t="shared" ca="1" si="70"/>
        <v>3142.7860489664599</v>
      </c>
      <c r="T141" s="238">
        <f t="shared" ca="1" si="71"/>
        <v>4.6706385908250395E-3</v>
      </c>
      <c r="U141" s="223"/>
      <c r="V141" s="235">
        <f ca="1">_xll.DBRW(Server&amp;Cube1,$N$15,$N$16,$N$17,$N$18,$N$14,$N$13,$V$2,$V$1,$B141)</f>
        <v>-599802.57999999984</v>
      </c>
      <c r="W141" s="236">
        <f t="shared" ca="1" si="72"/>
        <v>-69936.080000000191</v>
      </c>
      <c r="X141" s="238">
        <f t="shared" ca="1" si="73"/>
        <v>-0.11659849812583369</v>
      </c>
      <c r="Y141" s="105"/>
      <c r="Z141" s="105"/>
      <c r="AA141" s="105"/>
      <c r="AB141" s="105"/>
      <c r="AC141" s="105"/>
      <c r="AD141" s="105"/>
      <c r="AE141" s="105"/>
      <c r="AF141" s="105"/>
      <c r="AG141" s="105"/>
      <c r="AH141" s="105"/>
      <c r="AI141" s="105"/>
      <c r="AJ141" s="105"/>
      <c r="AK141" s="105"/>
      <c r="AL141" s="105"/>
      <c r="AM141" s="105"/>
      <c r="AN141" s="105"/>
      <c r="AO141" s="105"/>
      <c r="AP141" s="105"/>
      <c r="AQ141" s="105"/>
      <c r="AR141" s="105"/>
      <c r="AS141" s="105"/>
      <c r="AT141" s="105"/>
      <c r="AU141" s="105"/>
      <c r="AV141" s="105"/>
      <c r="AW141" s="105"/>
      <c r="AX141" s="105"/>
      <c r="AY141" s="105"/>
      <c r="AZ141" s="105"/>
      <c r="BA141" s="105"/>
      <c r="BB141" s="105"/>
      <c r="BC141" s="105"/>
      <c r="BD141" s="105"/>
      <c r="BE141" s="105"/>
      <c r="BF141" s="105"/>
      <c r="BG141" s="105"/>
      <c r="BH141" s="105"/>
      <c r="BI141" s="105"/>
      <c r="BJ141" s="105"/>
      <c r="BK141" s="105"/>
      <c r="BL141" s="105"/>
      <c r="BM141" s="105"/>
      <c r="BN141" s="105"/>
      <c r="BO141" s="105"/>
      <c r="BP141" s="105"/>
      <c r="BQ141" s="105"/>
      <c r="BR141" s="105"/>
      <c r="BS141" s="105"/>
      <c r="BT141" s="105"/>
      <c r="BU141" s="105"/>
      <c r="BV141" s="105"/>
      <c r="BW141" s="105"/>
      <c r="BX141" s="28"/>
    </row>
    <row r="142" spans="1:76" s="517" customFormat="1" ht="21" hidden="1" customHeight="1" outlineLevel="2" collapsed="1" x14ac:dyDescent="0.25">
      <c r="A142" s="516" t="s">
        <v>366</v>
      </c>
      <c r="B142" s="69" t="str">
        <f ca="1">_xll.DBRA(Server&amp;$B$32,$A142,$N$19)</f>
        <v>Business development expenses (Non cash)</v>
      </c>
      <c r="C142" s="366"/>
      <c r="D142" s="1"/>
      <c r="E142" s="1"/>
      <c r="H142" s="518"/>
      <c r="I142" s="95"/>
      <c r="J142" s="58"/>
      <c r="K142" s="105"/>
      <c r="L142" s="519" t="str">
        <f t="shared" ca="1" si="68"/>
        <v>Business development expenses (Non cash)</v>
      </c>
      <c r="M142" s="531"/>
      <c r="N142" s="531"/>
      <c r="O142" s="531"/>
      <c r="P142" s="521"/>
      <c r="Q142" s="522">
        <f ca="1">_xll.DBRW(Server&amp;Cube1,$N$15,$N$16,$N$17,$N$18,$N$14,$N$13,$N$11,$Q$1,$A142)</f>
        <v>-81835.67</v>
      </c>
      <c r="R142" s="522">
        <f ca="1">_xll.DBRW(Server&amp;Cube1,$N$15,$N$16,$N$17,$N$18,$N$14,$N$13,$R$2,$R$1,$A142)</f>
        <v>-80952</v>
      </c>
      <c r="S142" s="523">
        <f t="shared" ca="1" si="64"/>
        <v>-883.66999999999825</v>
      </c>
      <c r="T142" s="524">
        <f t="shared" ca="1" si="65"/>
        <v>-1.0915974898705385E-2</v>
      </c>
      <c r="U142" s="525"/>
      <c r="V142" s="522">
        <f ca="1">_xll.DBRW(Server&amp;Cube1,$N$15,$N$16,$N$17,$N$18,$N$14,$N$13,$V$2,$V$1,$B142)</f>
        <v>-80952</v>
      </c>
      <c r="W142" s="523">
        <f t="shared" ca="1" si="66"/>
        <v>-883.66999999999825</v>
      </c>
      <c r="X142" s="524">
        <f t="shared" ca="1" si="67"/>
        <v>-1.0915974898705385E-2</v>
      </c>
      <c r="Y142" s="105"/>
      <c r="Z142" s="105"/>
      <c r="AA142" s="105"/>
      <c r="AB142" s="105"/>
      <c r="AC142" s="105"/>
      <c r="AD142" s="105"/>
      <c r="AE142" s="105"/>
      <c r="AF142" s="105"/>
      <c r="AG142" s="105"/>
      <c r="AH142" s="105"/>
      <c r="AI142" s="105"/>
      <c r="AJ142" s="105"/>
      <c r="AK142" s="105"/>
      <c r="AL142" s="105"/>
      <c r="AM142" s="105"/>
      <c r="AN142" s="105"/>
      <c r="AO142" s="105"/>
      <c r="AP142" s="105"/>
      <c r="AQ142" s="105"/>
      <c r="AR142" s="105"/>
      <c r="AS142" s="105"/>
      <c r="AT142" s="105"/>
      <c r="AU142" s="105"/>
      <c r="AV142" s="105"/>
      <c r="AW142" s="105"/>
      <c r="AX142" s="105"/>
      <c r="AY142" s="105"/>
      <c r="AZ142" s="105"/>
      <c r="BA142" s="105"/>
      <c r="BB142" s="105"/>
      <c r="BC142" s="105"/>
      <c r="BD142" s="105"/>
      <c r="BE142" s="105"/>
      <c r="BF142" s="105"/>
      <c r="BG142" s="105"/>
      <c r="BH142" s="105"/>
      <c r="BI142" s="105"/>
      <c r="BJ142" s="105"/>
      <c r="BK142" s="105"/>
      <c r="BL142" s="105"/>
      <c r="BM142" s="105"/>
      <c r="BN142" s="105"/>
      <c r="BO142" s="105"/>
      <c r="BP142" s="105"/>
      <c r="BQ142" s="105"/>
      <c r="BR142" s="105"/>
      <c r="BS142" s="105"/>
      <c r="BT142" s="105"/>
      <c r="BU142" s="105"/>
      <c r="BV142" s="105"/>
      <c r="BW142" s="105"/>
      <c r="BX142" s="526"/>
    </row>
    <row r="143" spans="1:76" s="34" customFormat="1" ht="21" hidden="1" customHeight="1" outlineLevel="3" x14ac:dyDescent="0.25">
      <c r="A143" s="379" t="s">
        <v>367</v>
      </c>
      <c r="B143" s="360" t="str">
        <f ca="1">_xll.DBRA(Server&amp;$B$32,$A143,$N$19)</f>
        <v>Staff costs - Stock Options (BD)</v>
      </c>
      <c r="C143" s="9"/>
      <c r="D143" s="1"/>
      <c r="E143" s="1"/>
      <c r="H143" s="377"/>
      <c r="I143" s="95"/>
      <c r="J143" s="58"/>
      <c r="K143" s="105"/>
      <c r="L143" s="515" t="str">
        <f t="shared" ca="1" si="68"/>
        <v>Staff costs - Stock Options (BD)</v>
      </c>
      <c r="M143" s="513"/>
      <c r="N143" s="513"/>
      <c r="O143" s="513"/>
      <c r="P143" s="234"/>
      <c r="Q143" s="235">
        <f ca="1">_xll.DBRW(Server&amp;Cube1,$N$15,$N$16,$N$17,$N$18,$N$14,$N$13,$N$11,$Q$1,$A143)</f>
        <v>0</v>
      </c>
      <c r="R143" s="235">
        <f ca="1">_xll.DBRW(Server&amp;Cube1,$N$15,$N$16,$N$17,$N$18,$N$14,$N$13,$R$2,$R$1,$A143)</f>
        <v>0</v>
      </c>
      <c r="S143" s="236">
        <f t="shared" ca="1" si="64"/>
        <v>0</v>
      </c>
      <c r="T143" s="238">
        <f t="shared" ca="1" si="65"/>
        <v>0</v>
      </c>
      <c r="U143" s="223"/>
      <c r="V143" s="235">
        <f ca="1">_xll.DBRW(Server&amp;Cube1,$N$15,$N$16,$N$17,$N$18,$N$14,$N$13,$V$2,$V$1,$B143)</f>
        <v>0</v>
      </c>
      <c r="W143" s="236">
        <f t="shared" ca="1" si="66"/>
        <v>0</v>
      </c>
      <c r="X143" s="238">
        <f t="shared" ca="1" si="67"/>
        <v>0</v>
      </c>
      <c r="Y143" s="105"/>
      <c r="Z143" s="105"/>
      <c r="AA143" s="105"/>
      <c r="AB143" s="105"/>
      <c r="AC143" s="105"/>
      <c r="AD143" s="105"/>
      <c r="AE143" s="105"/>
      <c r="AF143" s="105"/>
      <c r="AG143" s="105"/>
      <c r="AH143" s="105"/>
      <c r="AI143" s="105"/>
      <c r="AJ143" s="105"/>
      <c r="AK143" s="105"/>
      <c r="AL143" s="105"/>
      <c r="AM143" s="105"/>
      <c r="AN143" s="105"/>
      <c r="AO143" s="105"/>
      <c r="AP143" s="105"/>
      <c r="AQ143" s="105"/>
      <c r="AR143" s="105"/>
      <c r="AS143" s="105"/>
      <c r="AT143" s="105"/>
      <c r="AU143" s="105"/>
      <c r="AV143" s="105"/>
      <c r="AW143" s="105"/>
      <c r="AX143" s="105"/>
      <c r="AY143" s="105"/>
      <c r="AZ143" s="105"/>
      <c r="BA143" s="105"/>
      <c r="BB143" s="105"/>
      <c r="BC143" s="105"/>
      <c r="BD143" s="105"/>
      <c r="BE143" s="105"/>
      <c r="BF143" s="105"/>
      <c r="BG143" s="105"/>
      <c r="BH143" s="105"/>
      <c r="BI143" s="105"/>
      <c r="BJ143" s="105"/>
      <c r="BK143" s="105"/>
      <c r="BL143" s="105"/>
      <c r="BM143" s="105"/>
      <c r="BN143" s="105"/>
      <c r="BO143" s="105"/>
      <c r="BP143" s="105"/>
      <c r="BQ143" s="105"/>
      <c r="BR143" s="105"/>
      <c r="BS143" s="105"/>
      <c r="BT143" s="105"/>
      <c r="BU143" s="105"/>
      <c r="BV143" s="105"/>
      <c r="BW143" s="105"/>
      <c r="BX143" s="28"/>
    </row>
    <row r="144" spans="1:76" s="34" customFormat="1" ht="21" hidden="1" customHeight="1" outlineLevel="3" x14ac:dyDescent="0.25">
      <c r="A144" s="379" t="s">
        <v>368</v>
      </c>
      <c r="B144" s="360" t="str">
        <f ca="1">_xll.DBRA(Server&amp;$B$32,$A144,$N$19)</f>
        <v>Amortization (BD)</v>
      </c>
      <c r="C144" s="9"/>
      <c r="D144" s="1"/>
      <c r="E144" s="1"/>
      <c r="H144" s="377"/>
      <c r="I144" s="95"/>
      <c r="J144" s="58"/>
      <c r="K144" s="105"/>
      <c r="L144" s="515" t="str">
        <f t="shared" ca="1" si="68"/>
        <v>Amortization (BD)</v>
      </c>
      <c r="M144" s="513"/>
      <c r="N144" s="513"/>
      <c r="O144" s="513"/>
      <c r="P144" s="234"/>
      <c r="Q144" s="235">
        <f ca="1">_xll.DBRW(Server&amp;Cube1,$N$15,$N$16,$N$17,$N$18,$N$14,$N$13,$N$11,$Q$1,$A144)</f>
        <v>-80952</v>
      </c>
      <c r="R144" s="235">
        <f ca="1">_xll.DBRW(Server&amp;Cube1,$N$15,$N$16,$N$17,$N$18,$N$14,$N$13,$R$2,$R$1,$A144)</f>
        <v>-80952</v>
      </c>
      <c r="S144" s="236">
        <f t="shared" ca="1" si="64"/>
        <v>0</v>
      </c>
      <c r="T144" s="238">
        <f t="shared" ca="1" si="65"/>
        <v>0</v>
      </c>
      <c r="U144" s="223"/>
      <c r="V144" s="235">
        <f ca="1">_xll.DBRW(Server&amp;Cube1,$N$15,$N$16,$N$17,$N$18,$N$14,$N$13,$V$2,$V$1,$B144)</f>
        <v>-80952</v>
      </c>
      <c r="W144" s="236">
        <f t="shared" ca="1" si="66"/>
        <v>0</v>
      </c>
      <c r="X144" s="238">
        <f t="shared" ca="1" si="67"/>
        <v>0</v>
      </c>
      <c r="Y144" s="105"/>
      <c r="Z144" s="105"/>
      <c r="AA144" s="105"/>
      <c r="AB144" s="105"/>
      <c r="AC144" s="105"/>
      <c r="AD144" s="105"/>
      <c r="AE144" s="105"/>
      <c r="AF144" s="105"/>
      <c r="AG144" s="105"/>
      <c r="AH144" s="105"/>
      <c r="AI144" s="105"/>
      <c r="AJ144" s="105"/>
      <c r="AK144" s="105"/>
      <c r="AL144" s="105"/>
      <c r="AM144" s="105"/>
      <c r="AN144" s="105"/>
      <c r="AO144" s="105"/>
      <c r="AP144" s="105"/>
      <c r="AQ144" s="105"/>
      <c r="AR144" s="105"/>
      <c r="AS144" s="105"/>
      <c r="AT144" s="105"/>
      <c r="AU144" s="105"/>
      <c r="AV144" s="105"/>
      <c r="AW144" s="105"/>
      <c r="AX144" s="105"/>
      <c r="AY144" s="105"/>
      <c r="AZ144" s="105"/>
      <c r="BA144" s="105"/>
      <c r="BB144" s="105"/>
      <c r="BC144" s="105"/>
      <c r="BD144" s="105"/>
      <c r="BE144" s="105"/>
      <c r="BF144" s="105"/>
      <c r="BG144" s="105"/>
      <c r="BH144" s="105"/>
      <c r="BI144" s="105"/>
      <c r="BJ144" s="105"/>
      <c r="BK144" s="105"/>
      <c r="BL144" s="105"/>
      <c r="BM144" s="105"/>
      <c r="BN144" s="105"/>
      <c r="BO144" s="105"/>
      <c r="BP144" s="105"/>
      <c r="BQ144" s="105"/>
      <c r="BR144" s="105"/>
      <c r="BS144" s="105"/>
      <c r="BT144" s="105"/>
      <c r="BU144" s="105"/>
      <c r="BV144" s="105"/>
      <c r="BW144" s="105"/>
      <c r="BX144" s="28"/>
    </row>
    <row r="145" spans="1:76" s="34" customFormat="1" ht="21" hidden="1" customHeight="1" outlineLevel="3" x14ac:dyDescent="0.25">
      <c r="A145" s="379" t="s">
        <v>369</v>
      </c>
      <c r="B145" s="360" t="str">
        <f ca="1">_xll.DBRA(Server&amp;$B$32,$A145,$N$19)</f>
        <v>Gains/losses on disposal of tangible &amp; intangible fixed assets (BD)</v>
      </c>
      <c r="C145" s="9"/>
      <c r="D145" s="1"/>
      <c r="E145" s="1"/>
      <c r="H145" s="377"/>
      <c r="I145" s="95"/>
      <c r="J145" s="58"/>
      <c r="K145" s="105"/>
      <c r="L145" s="515" t="str">
        <f t="shared" ca="1" si="68"/>
        <v>Gains/losses on disposal of tangible &amp; intangible fixed assets (BD)</v>
      </c>
      <c r="M145" s="513"/>
      <c r="N145" s="513"/>
      <c r="O145" s="513"/>
      <c r="P145" s="234"/>
      <c r="Q145" s="235">
        <f ca="1">_xll.DBRW(Server&amp;Cube1,$N$15,$N$16,$N$17,$N$18,$N$14,$N$13,$N$11,$Q$1,$A145)</f>
        <v>0</v>
      </c>
      <c r="R145" s="235">
        <f ca="1">_xll.DBRW(Server&amp;Cube1,$N$15,$N$16,$N$17,$N$18,$N$14,$N$13,$R$2,$R$1,$A145)</f>
        <v>0</v>
      </c>
      <c r="S145" s="236">
        <f t="shared" ca="1" si="64"/>
        <v>0</v>
      </c>
      <c r="T145" s="238">
        <f t="shared" ca="1" si="65"/>
        <v>0</v>
      </c>
      <c r="U145" s="223"/>
      <c r="V145" s="235">
        <f ca="1">_xll.DBRW(Server&amp;Cube1,$N$15,$N$16,$N$17,$N$18,$N$14,$N$13,$V$2,$V$1,$B145)</f>
        <v>0</v>
      </c>
      <c r="W145" s="236">
        <f t="shared" ca="1" si="66"/>
        <v>0</v>
      </c>
      <c r="X145" s="238">
        <f t="shared" ca="1" si="67"/>
        <v>0</v>
      </c>
      <c r="Y145" s="105"/>
      <c r="Z145" s="105"/>
      <c r="AA145" s="105"/>
      <c r="AB145" s="105"/>
      <c r="AC145" s="105"/>
      <c r="AD145" s="105"/>
      <c r="AE145" s="105"/>
      <c r="AF145" s="105"/>
      <c r="AG145" s="105"/>
      <c r="AH145" s="105"/>
      <c r="AI145" s="105"/>
      <c r="AJ145" s="105"/>
      <c r="AK145" s="105"/>
      <c r="AL145" s="105"/>
      <c r="AM145" s="105"/>
      <c r="AN145" s="105"/>
      <c r="AO145" s="105"/>
      <c r="AP145" s="105"/>
      <c r="AQ145" s="105"/>
      <c r="AR145" s="105"/>
      <c r="AS145" s="105"/>
      <c r="AT145" s="105"/>
      <c r="AU145" s="105"/>
      <c r="AV145" s="105"/>
      <c r="AW145" s="105"/>
      <c r="AX145" s="105"/>
      <c r="AY145" s="105"/>
      <c r="AZ145" s="105"/>
      <c r="BA145" s="105"/>
      <c r="BB145" s="105"/>
      <c r="BC145" s="105"/>
      <c r="BD145" s="105"/>
      <c r="BE145" s="105"/>
      <c r="BF145" s="105"/>
      <c r="BG145" s="105"/>
      <c r="BH145" s="105"/>
      <c r="BI145" s="105"/>
      <c r="BJ145" s="105"/>
      <c r="BK145" s="105"/>
      <c r="BL145" s="105"/>
      <c r="BM145" s="105"/>
      <c r="BN145" s="105"/>
      <c r="BO145" s="105"/>
      <c r="BP145" s="105"/>
      <c r="BQ145" s="105"/>
      <c r="BR145" s="105"/>
      <c r="BS145" s="105"/>
      <c r="BT145" s="105"/>
      <c r="BU145" s="105"/>
      <c r="BV145" s="105"/>
      <c r="BW145" s="105"/>
      <c r="BX145" s="28"/>
    </row>
    <row r="146" spans="1:76" s="34" customFormat="1" ht="21" hidden="1" customHeight="1" outlineLevel="3" x14ac:dyDescent="0.25">
      <c r="A146" s="379" t="s">
        <v>370</v>
      </c>
      <c r="B146" s="360" t="str">
        <f ca="1">_xll.DBRA(Server&amp;$B$32,$A146,$N$19)</f>
        <v>Net provisions for restructuring costs (BD)</v>
      </c>
      <c r="C146" s="9"/>
      <c r="D146" s="1"/>
      <c r="E146" s="1"/>
      <c r="H146" s="377"/>
      <c r="I146" s="95"/>
      <c r="J146" s="58"/>
      <c r="K146" s="105"/>
      <c r="L146" s="515" t="str">
        <f t="shared" ca="1" si="68"/>
        <v>Net provisions for restructuring costs (BD)</v>
      </c>
      <c r="M146" s="513"/>
      <c r="N146" s="513"/>
      <c r="O146" s="513"/>
      <c r="P146" s="234"/>
      <c r="Q146" s="235">
        <f ca="1">_xll.DBRW(Server&amp;Cube1,$N$15,$N$16,$N$17,$N$18,$N$14,$N$13,$N$11,$Q$1,$A146)</f>
        <v>0</v>
      </c>
      <c r="R146" s="235">
        <f ca="1">_xll.DBRW(Server&amp;Cube1,$N$15,$N$16,$N$17,$N$18,$N$14,$N$13,$R$2,$R$1,$A146)</f>
        <v>0</v>
      </c>
      <c r="S146" s="236">
        <f t="shared" ca="1" si="64"/>
        <v>0</v>
      </c>
      <c r="T146" s="238">
        <f t="shared" ca="1" si="65"/>
        <v>0</v>
      </c>
      <c r="U146" s="223"/>
      <c r="V146" s="235">
        <f ca="1">_xll.DBRW(Server&amp;Cube1,$N$15,$N$16,$N$17,$N$18,$N$14,$N$13,$V$2,$V$1,$B146)</f>
        <v>0</v>
      </c>
      <c r="W146" s="236">
        <f t="shared" ca="1" si="66"/>
        <v>0</v>
      </c>
      <c r="X146" s="238">
        <f t="shared" ca="1" si="67"/>
        <v>0</v>
      </c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C146" s="105"/>
      <c r="BD146" s="105"/>
      <c r="BE146" s="105"/>
      <c r="BF146" s="105"/>
      <c r="BG146" s="105"/>
      <c r="BH146" s="105"/>
      <c r="BI146" s="105"/>
      <c r="BJ146" s="105"/>
      <c r="BK146" s="105"/>
      <c r="BL146" s="105"/>
      <c r="BM146" s="105"/>
      <c r="BN146" s="105"/>
      <c r="BO146" s="105"/>
      <c r="BP146" s="105"/>
      <c r="BQ146" s="105"/>
      <c r="BR146" s="105"/>
      <c r="BS146" s="105"/>
      <c r="BT146" s="105"/>
      <c r="BU146" s="105"/>
      <c r="BV146" s="105"/>
      <c r="BW146" s="105"/>
      <c r="BX146" s="28"/>
    </row>
    <row r="147" spans="1:76" s="34" customFormat="1" ht="21" hidden="1" customHeight="1" outlineLevel="3" x14ac:dyDescent="0.25">
      <c r="A147" s="379" t="s">
        <v>371</v>
      </c>
      <c r="B147" s="360" t="str">
        <f ca="1">_xll.DBRA(Server&amp;$B$32,$A147,$N$19)</f>
        <v>Impairment (BD)</v>
      </c>
      <c r="C147" s="9"/>
      <c r="D147" s="1"/>
      <c r="E147" s="1"/>
      <c r="H147" s="377"/>
      <c r="I147" s="95"/>
      <c r="J147" s="58"/>
      <c r="K147" s="105"/>
      <c r="L147" s="515" t="str">
        <f t="shared" ca="1" si="68"/>
        <v>Impairment (BD)</v>
      </c>
      <c r="M147" s="513"/>
      <c r="N147" s="513"/>
      <c r="O147" s="513"/>
      <c r="P147" s="234"/>
      <c r="Q147" s="235">
        <f ca="1">_xll.DBRW(Server&amp;Cube1,$N$15,$N$16,$N$17,$N$18,$N$14,$N$13,$N$11,$Q$1,$A147)</f>
        <v>-883.67</v>
      </c>
      <c r="R147" s="235">
        <f ca="1">_xll.DBRW(Server&amp;Cube1,$N$15,$N$16,$N$17,$N$18,$N$14,$N$13,$R$2,$R$1,$A147)</f>
        <v>0</v>
      </c>
      <c r="S147" s="236">
        <f t="shared" ca="1" si="64"/>
        <v>-883.67</v>
      </c>
      <c r="T147" s="238">
        <f t="shared" ca="1" si="65"/>
        <v>0</v>
      </c>
      <c r="U147" s="223"/>
      <c r="V147" s="235">
        <f ca="1">_xll.DBRW(Server&amp;Cube1,$N$15,$N$16,$N$17,$N$18,$N$14,$N$13,$V$2,$V$1,$B147)</f>
        <v>0</v>
      </c>
      <c r="W147" s="236">
        <f t="shared" ca="1" si="66"/>
        <v>-883.67</v>
      </c>
      <c r="X147" s="238">
        <f t="shared" ca="1" si="67"/>
        <v>0</v>
      </c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C147" s="105"/>
      <c r="BD147" s="105"/>
      <c r="BE147" s="105"/>
      <c r="BF147" s="105"/>
      <c r="BG147" s="105"/>
      <c r="BH147" s="105"/>
      <c r="BI147" s="105"/>
      <c r="BJ147" s="105"/>
      <c r="BK147" s="105"/>
      <c r="BL147" s="105"/>
      <c r="BM147" s="105"/>
      <c r="BN147" s="105"/>
      <c r="BO147" s="105"/>
      <c r="BP147" s="105"/>
      <c r="BQ147" s="105"/>
      <c r="BR147" s="105"/>
      <c r="BS147" s="105"/>
      <c r="BT147" s="105"/>
      <c r="BU147" s="105"/>
      <c r="BV147" s="105"/>
      <c r="BW147" s="105"/>
      <c r="BX147" s="28"/>
    </row>
    <row r="148" spans="1:76" s="517" customFormat="1" ht="21" hidden="1" customHeight="1" outlineLevel="2" collapsed="1" x14ac:dyDescent="0.25">
      <c r="A148" s="516" t="s">
        <v>372</v>
      </c>
      <c r="B148" s="69" t="str">
        <f ca="1">_xll.DBRA(Server&amp;$B$32,$A148,$N$19)</f>
        <v>Business development expenses - Vector Reconciliation</v>
      </c>
      <c r="C148" s="366"/>
      <c r="D148" s="1"/>
      <c r="E148" s="1"/>
      <c r="H148" s="518"/>
      <c r="I148" s="95"/>
      <c r="J148" s="58"/>
      <c r="K148" s="105"/>
      <c r="L148" s="531" t="str">
        <f t="shared" ca="1" si="68"/>
        <v>Business development expenses - Vector Reconciliation</v>
      </c>
      <c r="M148" s="531"/>
      <c r="N148" s="531"/>
      <c r="O148" s="531"/>
      <c r="P148" s="521"/>
      <c r="Q148" s="522">
        <f ca="1">_xll.DBRW(Server&amp;Cube1,$N$15,$N$16,$N$17,$N$18,$N$14,$N$13,$N$11,$Q$1,$A148)</f>
        <v>0</v>
      </c>
      <c r="R148" s="522">
        <f ca="1">_xll.DBRW(Server&amp;Cube1,$N$15,$N$16,$N$17,$N$18,$N$14,$N$13,$R$2,$R$1,$A148)</f>
        <v>0</v>
      </c>
      <c r="S148" s="523">
        <f t="shared" ca="1" si="64"/>
        <v>0</v>
      </c>
      <c r="T148" s="524">
        <f t="shared" ca="1" si="65"/>
        <v>0</v>
      </c>
      <c r="U148" s="525"/>
      <c r="V148" s="522">
        <f ca="1">_xll.DBRW(Server&amp;Cube1,$N$15,$N$16,$N$17,$N$18,$N$14,$N$13,$V$2,$V$1,$B148)</f>
        <v>0</v>
      </c>
      <c r="W148" s="523">
        <f t="shared" ca="1" si="66"/>
        <v>0</v>
      </c>
      <c r="X148" s="524">
        <f t="shared" ca="1" si="67"/>
        <v>0</v>
      </c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C148" s="105"/>
      <c r="BD148" s="105"/>
      <c r="BE148" s="105"/>
      <c r="BF148" s="105"/>
      <c r="BG148" s="105"/>
      <c r="BH148" s="105"/>
      <c r="BI148" s="105"/>
      <c r="BJ148" s="105"/>
      <c r="BK148" s="105"/>
      <c r="BL148" s="105"/>
      <c r="BM148" s="105"/>
      <c r="BN148" s="105"/>
      <c r="BO148" s="105"/>
      <c r="BP148" s="105"/>
      <c r="BQ148" s="105"/>
      <c r="BR148" s="105"/>
      <c r="BS148" s="105"/>
      <c r="BT148" s="105"/>
      <c r="BU148" s="105"/>
      <c r="BV148" s="105"/>
      <c r="BW148" s="105"/>
      <c r="BX148" s="526"/>
    </row>
    <row r="149" spans="1:76" s="34" customFormat="1" ht="21" hidden="1" customHeight="1" outlineLevel="3" x14ac:dyDescent="0.25">
      <c r="A149" s="379" t="s">
        <v>373</v>
      </c>
      <c r="B149" s="360" t="str">
        <f ca="1">_xll.DBRA(Server&amp;$B$32,$A149,$N$19)</f>
        <v>Vector Reconciliation (TPL12) - Staff costs - Cash</v>
      </c>
      <c r="C149" s="9"/>
      <c r="D149" s="1"/>
      <c r="E149" s="1"/>
      <c r="H149" s="377"/>
      <c r="I149" s="95"/>
      <c r="J149" s="58"/>
      <c r="K149" s="105"/>
      <c r="L149" s="514" t="str">
        <f t="shared" ca="1" si="68"/>
        <v>Vector Reconciliation (TPL12) - Staff costs - Cash</v>
      </c>
      <c r="M149" s="514"/>
      <c r="N149" s="514"/>
      <c r="O149" s="514"/>
      <c r="P149" s="234"/>
      <c r="Q149" s="235">
        <f ca="1">_xll.DBRW(Server&amp;Cube1,$N$15,$N$16,$N$17,$N$18,$N$14,$N$13,$N$11,$Q$1,$A149)</f>
        <v>0</v>
      </c>
      <c r="R149" s="235">
        <f ca="1">_xll.DBRW(Server&amp;Cube1,$N$15,$N$16,$N$17,$N$18,$N$14,$N$13,$R$2,$R$1,$A149)</f>
        <v>0</v>
      </c>
      <c r="S149" s="236">
        <f t="shared" ca="1" si="64"/>
        <v>0</v>
      </c>
      <c r="T149" s="238">
        <f t="shared" ca="1" si="65"/>
        <v>0</v>
      </c>
      <c r="U149" s="223"/>
      <c r="V149" s="235">
        <f ca="1">_xll.DBRW(Server&amp;Cube1,$N$15,$N$16,$N$17,$N$18,$N$14,$N$13,$V$2,$V$1,$B149)</f>
        <v>0</v>
      </c>
      <c r="W149" s="236">
        <f t="shared" ca="1" si="66"/>
        <v>0</v>
      </c>
      <c r="X149" s="238">
        <f t="shared" ca="1" si="67"/>
        <v>0</v>
      </c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C149" s="105"/>
      <c r="BD149" s="105"/>
      <c r="BE149" s="105"/>
      <c r="BF149" s="105"/>
      <c r="BG149" s="105"/>
      <c r="BH149" s="105"/>
      <c r="BI149" s="105"/>
      <c r="BJ149" s="105"/>
      <c r="BK149" s="105"/>
      <c r="BL149" s="105"/>
      <c r="BM149" s="105"/>
      <c r="BN149" s="105"/>
      <c r="BO149" s="105"/>
      <c r="BP149" s="105"/>
      <c r="BQ149" s="105"/>
      <c r="BR149" s="105"/>
      <c r="BS149" s="105"/>
      <c r="BT149" s="105"/>
      <c r="BU149" s="105"/>
      <c r="BV149" s="105"/>
      <c r="BW149" s="105"/>
      <c r="BX149" s="28"/>
    </row>
    <row r="150" spans="1:76" s="34" customFormat="1" ht="21" hidden="1" customHeight="1" outlineLevel="3" x14ac:dyDescent="0.25">
      <c r="A150" s="379" t="s">
        <v>374</v>
      </c>
      <c r="B150" s="360" t="str">
        <f ca="1">_xll.DBRA(Server&amp;$B$32,$A150,$N$19)</f>
        <v>Vector Reconciliation (TPL12) - Staff costs - Stock Options</v>
      </c>
      <c r="C150" s="9"/>
      <c r="D150" s="1"/>
      <c r="E150" s="1"/>
      <c r="H150" s="377"/>
      <c r="I150" s="95"/>
      <c r="J150" s="58"/>
      <c r="K150" s="105"/>
      <c r="L150" s="514" t="str">
        <f t="shared" ca="1" si="68"/>
        <v>Vector Reconciliation (TPL12) - Staff costs - Stock Options</v>
      </c>
      <c r="M150" s="514"/>
      <c r="N150" s="514"/>
      <c r="O150" s="514"/>
      <c r="P150" s="234"/>
      <c r="Q150" s="235">
        <f ca="1">_xll.DBRW(Server&amp;Cube1,$N$15,$N$16,$N$17,$N$18,$N$14,$N$13,$N$11,$Q$1,$A150)</f>
        <v>0</v>
      </c>
      <c r="R150" s="235">
        <f ca="1">_xll.DBRW(Server&amp;Cube1,$N$15,$N$16,$N$17,$N$18,$N$14,$N$13,$R$2,$R$1,$A150)</f>
        <v>0</v>
      </c>
      <c r="S150" s="236">
        <f t="shared" ca="1" si="64"/>
        <v>0</v>
      </c>
      <c r="T150" s="238">
        <f t="shared" ca="1" si="65"/>
        <v>0</v>
      </c>
      <c r="U150" s="223"/>
      <c r="V150" s="235">
        <f ca="1">_xll.DBRW(Server&amp;Cube1,$N$15,$N$16,$N$17,$N$18,$N$14,$N$13,$V$2,$V$1,$B150)</f>
        <v>0</v>
      </c>
      <c r="W150" s="236">
        <f t="shared" ca="1" si="66"/>
        <v>0</v>
      </c>
      <c r="X150" s="238">
        <f t="shared" ca="1" si="67"/>
        <v>0</v>
      </c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105"/>
      <c r="BG150" s="105"/>
      <c r="BH150" s="105"/>
      <c r="BI150" s="105"/>
      <c r="BJ150" s="105"/>
      <c r="BK150" s="105"/>
      <c r="BL150" s="105"/>
      <c r="BM150" s="105"/>
      <c r="BN150" s="105"/>
      <c r="BO150" s="105"/>
      <c r="BP150" s="105"/>
      <c r="BQ150" s="105"/>
      <c r="BR150" s="105"/>
      <c r="BS150" s="105"/>
      <c r="BT150" s="105"/>
      <c r="BU150" s="105"/>
      <c r="BV150" s="105"/>
      <c r="BW150" s="105"/>
      <c r="BX150" s="28"/>
    </row>
    <row r="151" spans="1:76" s="34" customFormat="1" ht="21" hidden="1" customHeight="1" outlineLevel="3" x14ac:dyDescent="0.25">
      <c r="A151" s="379" t="s">
        <v>375</v>
      </c>
      <c r="B151" s="360" t="str">
        <f ca="1">_xll.DBRA(Server&amp;$B$32,$A151,$N$19)</f>
        <v>Vector Reconciliation (TPL12) - Other expenses</v>
      </c>
      <c r="C151" s="9"/>
      <c r="D151" s="1"/>
      <c r="E151" s="1"/>
      <c r="H151" s="377"/>
      <c r="I151" s="95"/>
      <c r="J151" s="58"/>
      <c r="K151" s="105"/>
      <c r="L151" s="514" t="str">
        <f t="shared" ca="1" si="68"/>
        <v>Vector Reconciliation (TPL12) - Other expenses</v>
      </c>
      <c r="M151" s="514"/>
      <c r="N151" s="514"/>
      <c r="O151" s="514"/>
      <c r="P151" s="234"/>
      <c r="Q151" s="235">
        <f ca="1">_xll.DBRW(Server&amp;Cube1,$N$15,$N$16,$N$17,$N$18,$N$14,$N$13,$N$11,$Q$1,$A151)</f>
        <v>0</v>
      </c>
      <c r="R151" s="235">
        <f ca="1">_xll.DBRW(Server&amp;Cube1,$N$15,$N$16,$N$17,$N$18,$N$14,$N$13,$R$2,$R$1,$A151)</f>
        <v>0</v>
      </c>
      <c r="S151" s="236">
        <f t="shared" ca="1" si="64"/>
        <v>0</v>
      </c>
      <c r="T151" s="238">
        <f t="shared" ca="1" si="65"/>
        <v>0</v>
      </c>
      <c r="U151" s="223"/>
      <c r="V151" s="235">
        <f ca="1">_xll.DBRW(Server&amp;Cube1,$N$15,$N$16,$N$17,$N$18,$N$14,$N$13,$V$2,$V$1,$B151)</f>
        <v>0</v>
      </c>
      <c r="W151" s="236">
        <f t="shared" ca="1" si="66"/>
        <v>0</v>
      </c>
      <c r="X151" s="238">
        <f t="shared" ca="1" si="67"/>
        <v>0</v>
      </c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C151" s="105"/>
      <c r="BD151" s="105"/>
      <c r="BE151" s="105"/>
      <c r="BF151" s="105"/>
      <c r="BG151" s="105"/>
      <c r="BH151" s="105"/>
      <c r="BI151" s="105"/>
      <c r="BJ151" s="105"/>
      <c r="BK151" s="105"/>
      <c r="BL151" s="105"/>
      <c r="BM151" s="105"/>
      <c r="BN151" s="105"/>
      <c r="BO151" s="105"/>
      <c r="BP151" s="105"/>
      <c r="BQ151" s="105"/>
      <c r="BR151" s="105"/>
      <c r="BS151" s="105"/>
      <c r="BT151" s="105"/>
      <c r="BU151" s="105"/>
      <c r="BV151" s="105"/>
      <c r="BW151" s="105"/>
      <c r="BX151" s="28"/>
    </row>
    <row r="152" spans="1:76" s="34" customFormat="1" ht="21" hidden="1" customHeight="1" outlineLevel="3" x14ac:dyDescent="0.25">
      <c r="A152" s="379" t="s">
        <v>376</v>
      </c>
      <c r="B152" s="360" t="str">
        <f ca="1">_xll.DBRA(Server&amp;$B$32,$A152,$N$19)</f>
        <v>Vector Reconciliation (TPL12) - Selling expenses - Lease expenses</v>
      </c>
      <c r="C152" s="9"/>
      <c r="D152" s="1"/>
      <c r="E152" s="1"/>
      <c r="H152" s="377"/>
      <c r="I152" s="95"/>
      <c r="J152" s="58"/>
      <c r="K152" s="105"/>
      <c r="L152" s="514" t="str">
        <f t="shared" ca="1" si="68"/>
        <v>Vector Reconciliation (TPL12) - Selling expenses - Lease expenses</v>
      </c>
      <c r="M152" s="514"/>
      <c r="N152" s="514"/>
      <c r="O152" s="514"/>
      <c r="P152" s="234"/>
      <c r="Q152" s="235">
        <f ca="1">_xll.DBRW(Server&amp;Cube1,$N$15,$N$16,$N$17,$N$18,$N$14,$N$13,$N$11,$Q$1,$A152)</f>
        <v>0</v>
      </c>
      <c r="R152" s="235">
        <f ca="1">_xll.DBRW(Server&amp;Cube1,$N$15,$N$16,$N$17,$N$18,$N$14,$N$13,$R$2,$R$1,$A152)</f>
        <v>0</v>
      </c>
      <c r="S152" s="236">
        <f t="shared" ca="1" si="64"/>
        <v>0</v>
      </c>
      <c r="T152" s="238">
        <f t="shared" ca="1" si="65"/>
        <v>0</v>
      </c>
      <c r="U152" s="223"/>
      <c r="V152" s="235">
        <f ca="1">_xll.DBRW(Server&amp;Cube1,$N$15,$N$16,$N$17,$N$18,$N$14,$N$13,$V$2,$V$1,$B152)</f>
        <v>0</v>
      </c>
      <c r="W152" s="236">
        <f t="shared" ca="1" si="66"/>
        <v>0</v>
      </c>
      <c r="X152" s="238">
        <f t="shared" ca="1" si="67"/>
        <v>0</v>
      </c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C152" s="105"/>
      <c r="BD152" s="105"/>
      <c r="BE152" s="105"/>
      <c r="BF152" s="105"/>
      <c r="BG152" s="105"/>
      <c r="BH152" s="105"/>
      <c r="BI152" s="105"/>
      <c r="BJ152" s="105"/>
      <c r="BK152" s="105"/>
      <c r="BL152" s="105"/>
      <c r="BM152" s="105"/>
      <c r="BN152" s="105"/>
      <c r="BO152" s="105"/>
      <c r="BP152" s="105"/>
      <c r="BQ152" s="105"/>
      <c r="BR152" s="105"/>
      <c r="BS152" s="105"/>
      <c r="BT152" s="105"/>
      <c r="BU152" s="105"/>
      <c r="BV152" s="105"/>
      <c r="BW152" s="105"/>
      <c r="BX152" s="28"/>
    </row>
    <row r="153" spans="1:76" s="34" customFormat="1" ht="21" hidden="1" customHeight="1" outlineLevel="3" x14ac:dyDescent="0.25">
      <c r="A153" s="379" t="s">
        <v>377</v>
      </c>
      <c r="B153" s="360" t="str">
        <f ca="1">_xll.DBRA(Server&amp;$B$32,$A153,$N$19)</f>
        <v>Vector Reconciliation (TPL12) - Amortization</v>
      </c>
      <c r="C153" s="9"/>
      <c r="D153" s="1"/>
      <c r="E153" s="1"/>
      <c r="H153" s="377"/>
      <c r="I153" s="95"/>
      <c r="J153" s="58"/>
      <c r="K153" s="105"/>
      <c r="L153" s="514" t="str">
        <f t="shared" ca="1" si="68"/>
        <v>Vector Reconciliation (TPL12) - Amortization</v>
      </c>
      <c r="M153" s="514"/>
      <c r="N153" s="514"/>
      <c r="O153" s="514"/>
      <c r="P153" s="234"/>
      <c r="Q153" s="235">
        <f ca="1">_xll.DBRW(Server&amp;Cube1,$N$15,$N$16,$N$17,$N$18,$N$14,$N$13,$N$11,$Q$1,$A153)</f>
        <v>0</v>
      </c>
      <c r="R153" s="235">
        <f ca="1">_xll.DBRW(Server&amp;Cube1,$N$15,$N$16,$N$17,$N$18,$N$14,$N$13,$R$2,$R$1,$A153)</f>
        <v>0</v>
      </c>
      <c r="S153" s="236">
        <f t="shared" ca="1" si="64"/>
        <v>0</v>
      </c>
      <c r="T153" s="238">
        <f t="shared" ca="1" si="65"/>
        <v>0</v>
      </c>
      <c r="U153" s="223"/>
      <c r="V153" s="235">
        <f ca="1">_xll.DBRW(Server&amp;Cube1,$N$15,$N$16,$N$17,$N$18,$N$14,$N$13,$V$2,$V$1,$B153)</f>
        <v>0</v>
      </c>
      <c r="W153" s="236">
        <f t="shared" ca="1" si="66"/>
        <v>0</v>
      </c>
      <c r="X153" s="238">
        <f t="shared" ca="1" si="67"/>
        <v>0</v>
      </c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C153" s="105"/>
      <c r="BD153" s="105"/>
      <c r="BE153" s="105"/>
      <c r="BF153" s="105"/>
      <c r="BG153" s="105"/>
      <c r="BH153" s="105"/>
      <c r="BI153" s="105"/>
      <c r="BJ153" s="105"/>
      <c r="BK153" s="105"/>
      <c r="BL153" s="105"/>
      <c r="BM153" s="105"/>
      <c r="BN153" s="105"/>
      <c r="BO153" s="105"/>
      <c r="BP153" s="105"/>
      <c r="BQ153" s="105"/>
      <c r="BR153" s="105"/>
      <c r="BS153" s="105"/>
      <c r="BT153" s="105"/>
      <c r="BU153" s="105"/>
      <c r="BV153" s="105"/>
      <c r="BW153" s="105"/>
      <c r="BX153" s="28"/>
    </row>
    <row r="154" spans="1:76" s="34" customFormat="1" ht="21" hidden="1" customHeight="1" outlineLevel="3" x14ac:dyDescent="0.25">
      <c r="A154" s="379" t="s">
        <v>378</v>
      </c>
      <c r="B154" s="360" t="str">
        <f ca="1">_xll.DBRA(Server&amp;$B$32,$A154,$N$19)</f>
        <v>Vector Reconciliation (TPL12) - Impairment - working capital</v>
      </c>
      <c r="C154" s="9"/>
      <c r="D154" s="1"/>
      <c r="E154" s="1"/>
      <c r="H154" s="377"/>
      <c r="I154" s="95"/>
      <c r="J154" s="58"/>
      <c r="K154" s="105"/>
      <c r="L154" s="514" t="str">
        <f t="shared" ca="1" si="68"/>
        <v>Vector Reconciliation (TPL12) - Impairment - working capital</v>
      </c>
      <c r="M154" s="514"/>
      <c r="N154" s="514"/>
      <c r="O154" s="514"/>
      <c r="P154" s="234"/>
      <c r="Q154" s="235">
        <f ca="1">_xll.DBRW(Server&amp;Cube1,$N$15,$N$16,$N$17,$N$18,$N$14,$N$13,$N$11,$Q$1,$A154)</f>
        <v>0</v>
      </c>
      <c r="R154" s="235">
        <f ca="1">_xll.DBRW(Server&amp;Cube1,$N$15,$N$16,$N$17,$N$18,$N$14,$N$13,$R$2,$R$1,$A154)</f>
        <v>0</v>
      </c>
      <c r="S154" s="236">
        <f t="shared" ca="1" si="64"/>
        <v>0</v>
      </c>
      <c r="T154" s="238">
        <f t="shared" ca="1" si="65"/>
        <v>0</v>
      </c>
      <c r="U154" s="223"/>
      <c r="V154" s="235">
        <f ca="1">_xll.DBRW(Server&amp;Cube1,$N$15,$N$16,$N$17,$N$18,$N$14,$N$13,$V$2,$V$1,$B154)</f>
        <v>0</v>
      </c>
      <c r="W154" s="236">
        <f t="shared" ca="1" si="66"/>
        <v>0</v>
      </c>
      <c r="X154" s="238">
        <f t="shared" ca="1" si="67"/>
        <v>0</v>
      </c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C154" s="105"/>
      <c r="BD154" s="105"/>
      <c r="BE154" s="105"/>
      <c r="BF154" s="105"/>
      <c r="BG154" s="105"/>
      <c r="BH154" s="105"/>
      <c r="BI154" s="105"/>
      <c r="BJ154" s="105"/>
      <c r="BK154" s="105"/>
      <c r="BL154" s="105"/>
      <c r="BM154" s="105"/>
      <c r="BN154" s="105"/>
      <c r="BO154" s="105"/>
      <c r="BP154" s="105"/>
      <c r="BQ154" s="105"/>
      <c r="BR154" s="105"/>
      <c r="BS154" s="105"/>
      <c r="BT154" s="105"/>
      <c r="BU154" s="105"/>
      <c r="BV154" s="105"/>
      <c r="BW154" s="105"/>
      <c r="BX154" s="28"/>
    </row>
    <row r="155" spans="1:76" s="34" customFormat="1" ht="21" hidden="1" customHeight="1" outlineLevel="3" x14ac:dyDescent="0.25">
      <c r="A155" s="379" t="s">
        <v>379</v>
      </c>
      <c r="B155" s="360" t="str">
        <f ca="1">_xll.DBRA(Server&amp;$B$32,$A155,$N$19)</f>
        <v>Vector Reconciliation (TPL12) - Impairment (other than working capital) and provisions</v>
      </c>
      <c r="C155" s="9"/>
      <c r="D155" s="1"/>
      <c r="E155" s="1"/>
      <c r="H155" s="377"/>
      <c r="I155" s="95"/>
      <c r="J155" s="58"/>
      <c r="K155" s="105"/>
      <c r="L155" s="514" t="str">
        <f t="shared" ca="1" si="68"/>
        <v>Vector Reconciliation (TPL12) - Impairment (other than working capital) and provisions</v>
      </c>
      <c r="M155" s="514"/>
      <c r="N155" s="514"/>
      <c r="O155" s="514"/>
      <c r="P155" s="234"/>
      <c r="Q155" s="235">
        <f ca="1">_xll.DBRW(Server&amp;Cube1,$N$15,$N$16,$N$17,$N$18,$N$14,$N$13,$N$11,$Q$1,$A155)</f>
        <v>0</v>
      </c>
      <c r="R155" s="235">
        <f ca="1">_xll.DBRW(Server&amp;Cube1,$N$15,$N$16,$N$17,$N$18,$N$14,$N$13,$R$2,$R$1,$A155)</f>
        <v>0</v>
      </c>
      <c r="S155" s="236">
        <f t="shared" ca="1" si="64"/>
        <v>0</v>
      </c>
      <c r="T155" s="238">
        <f t="shared" ca="1" si="65"/>
        <v>0</v>
      </c>
      <c r="U155" s="223"/>
      <c r="V155" s="235">
        <f ca="1">_xll.DBRW(Server&amp;Cube1,$N$15,$N$16,$N$17,$N$18,$N$14,$N$13,$V$2,$V$1,$B155)</f>
        <v>0</v>
      </c>
      <c r="W155" s="236">
        <f t="shared" ca="1" si="66"/>
        <v>0</v>
      </c>
      <c r="X155" s="238">
        <f t="shared" ca="1" si="67"/>
        <v>0</v>
      </c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C155" s="105"/>
      <c r="BD155" s="105"/>
      <c r="BE155" s="105"/>
      <c r="BF155" s="105"/>
      <c r="BG155" s="105"/>
      <c r="BH155" s="105"/>
      <c r="BI155" s="105"/>
      <c r="BJ155" s="105"/>
      <c r="BK155" s="105"/>
      <c r="BL155" s="105"/>
      <c r="BM155" s="105"/>
      <c r="BN155" s="105"/>
      <c r="BO155" s="105"/>
      <c r="BP155" s="105"/>
      <c r="BQ155" s="105"/>
      <c r="BR155" s="105"/>
      <c r="BS155" s="105"/>
      <c r="BT155" s="105"/>
      <c r="BU155" s="105"/>
      <c r="BV155" s="105"/>
      <c r="BW155" s="105"/>
      <c r="BX155" s="28"/>
    </row>
    <row r="156" spans="1:76" s="34" customFormat="1" ht="21" hidden="1" customHeight="1" outlineLevel="3" x14ac:dyDescent="0.25">
      <c r="A156" s="379" t="s">
        <v>380</v>
      </c>
      <c r="B156" s="360" t="str">
        <f ca="1">_xll.DBRA(Server&amp;$B$32,$A156,$N$19)</f>
        <v>Vector Reconciliation (TPL12) - Reinvoicing</v>
      </c>
      <c r="C156" s="9"/>
      <c r="D156" s="1"/>
      <c r="E156" s="1"/>
      <c r="H156" s="377"/>
      <c r="I156" s="95"/>
      <c r="J156" s="58"/>
      <c r="K156" s="105"/>
      <c r="L156" s="514" t="str">
        <f t="shared" ca="1" si="68"/>
        <v>Vector Reconciliation (TPL12) - Reinvoicing</v>
      </c>
      <c r="M156" s="514"/>
      <c r="N156" s="514"/>
      <c r="O156" s="514"/>
      <c r="P156" s="234"/>
      <c r="Q156" s="235">
        <f ca="1">_xll.DBRW(Server&amp;Cube1,$N$15,$N$16,$N$17,$N$18,$N$14,$N$13,$N$11,$Q$1,$A156)</f>
        <v>0</v>
      </c>
      <c r="R156" s="235">
        <f ca="1">_xll.DBRW(Server&amp;Cube1,$N$15,$N$16,$N$17,$N$18,$N$14,$N$13,$R$2,$R$1,$A156)</f>
        <v>0</v>
      </c>
      <c r="S156" s="236">
        <f t="shared" ca="1" si="64"/>
        <v>0</v>
      </c>
      <c r="T156" s="238">
        <f t="shared" ca="1" si="65"/>
        <v>0</v>
      </c>
      <c r="U156" s="223"/>
      <c r="V156" s="235">
        <f ca="1">_xll.DBRW(Server&amp;Cube1,$N$15,$N$16,$N$17,$N$18,$N$14,$N$13,$V$2,$V$1,$B156)</f>
        <v>0</v>
      </c>
      <c r="W156" s="236">
        <f t="shared" ca="1" si="66"/>
        <v>0</v>
      </c>
      <c r="X156" s="238">
        <f t="shared" ca="1" si="67"/>
        <v>0</v>
      </c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C156" s="105"/>
      <c r="BD156" s="105"/>
      <c r="BE156" s="105"/>
      <c r="BF156" s="105"/>
      <c r="BG156" s="105"/>
      <c r="BH156" s="105"/>
      <c r="BI156" s="105"/>
      <c r="BJ156" s="105"/>
      <c r="BK156" s="105"/>
      <c r="BL156" s="105"/>
      <c r="BM156" s="105"/>
      <c r="BN156" s="105"/>
      <c r="BO156" s="105"/>
      <c r="BP156" s="105"/>
      <c r="BQ156" s="105"/>
      <c r="BR156" s="105"/>
      <c r="BS156" s="105"/>
      <c r="BT156" s="105"/>
      <c r="BU156" s="105"/>
      <c r="BV156" s="105"/>
      <c r="BW156" s="105"/>
      <c r="BX156" s="28"/>
    </row>
    <row r="157" spans="1:76" s="34" customFormat="1" ht="21" hidden="1" customHeight="1" outlineLevel="3" x14ac:dyDescent="0.25">
      <c r="A157" s="379" t="s">
        <v>381</v>
      </c>
      <c r="B157" s="360" t="str">
        <f ca="1">_xll.DBRA(Server&amp;$B$32,$A157,$N$19)</f>
        <v>Vector Reconciliation (TPL12) - Gains/losses on disposal of tangible &amp; intangible fixed assets</v>
      </c>
      <c r="C157" s="9"/>
      <c r="D157" s="1"/>
      <c r="E157" s="1"/>
      <c r="H157" s="377"/>
      <c r="I157" s="95"/>
      <c r="J157" s="58"/>
      <c r="K157" s="105"/>
      <c r="L157" s="514" t="str">
        <f t="shared" ca="1" si="68"/>
        <v>Vector Reconciliation (TPL12) - Gains/losses on disposal of tangible &amp; intangible fixed assets</v>
      </c>
      <c r="M157" s="514"/>
      <c r="N157" s="514"/>
      <c r="O157" s="514"/>
      <c r="P157" s="234"/>
      <c r="Q157" s="235">
        <f ca="1">_xll.DBRW(Server&amp;Cube1,$N$15,$N$16,$N$17,$N$18,$N$14,$N$13,$N$11,$Q$1,$A157)</f>
        <v>0</v>
      </c>
      <c r="R157" s="235">
        <f ca="1">_xll.DBRW(Server&amp;Cube1,$N$15,$N$16,$N$17,$N$18,$N$14,$N$13,$R$2,$R$1,$A157)</f>
        <v>0</v>
      </c>
      <c r="S157" s="236">
        <f t="shared" ca="1" si="64"/>
        <v>0</v>
      </c>
      <c r="T157" s="238">
        <f t="shared" ca="1" si="65"/>
        <v>0</v>
      </c>
      <c r="U157" s="223"/>
      <c r="V157" s="235">
        <f ca="1">_xll.DBRW(Server&amp;Cube1,$N$15,$N$16,$N$17,$N$18,$N$14,$N$13,$V$2,$V$1,$B157)</f>
        <v>0</v>
      </c>
      <c r="W157" s="236">
        <f t="shared" ca="1" si="66"/>
        <v>0</v>
      </c>
      <c r="X157" s="238">
        <f t="shared" ca="1" si="67"/>
        <v>0</v>
      </c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C157" s="105"/>
      <c r="BD157" s="105"/>
      <c r="BE157" s="105"/>
      <c r="BF157" s="105"/>
      <c r="BG157" s="105"/>
      <c r="BH157" s="105"/>
      <c r="BI157" s="105"/>
      <c r="BJ157" s="105"/>
      <c r="BK157" s="105"/>
      <c r="BL157" s="105"/>
      <c r="BM157" s="105"/>
      <c r="BN157" s="105"/>
      <c r="BO157" s="105"/>
      <c r="BP157" s="105"/>
      <c r="BQ157" s="105"/>
      <c r="BR157" s="105"/>
      <c r="BS157" s="105"/>
      <c r="BT157" s="105"/>
      <c r="BU157" s="105"/>
      <c r="BV157" s="105"/>
      <c r="BW157" s="105"/>
      <c r="BX157" s="28"/>
    </row>
    <row r="158" spans="1:76" s="34" customFormat="1" ht="21" hidden="1" customHeight="1" outlineLevel="3" x14ac:dyDescent="0.25">
      <c r="A158" s="379" t="s">
        <v>382</v>
      </c>
      <c r="B158" s="360" t="str">
        <f ca="1">_xll.DBRA(Server&amp;$B$32,$A158,$N$19)</f>
        <v>Vector Reconciliation (TPL12) - Restructuring costs</v>
      </c>
      <c r="C158" s="9"/>
      <c r="D158" s="1"/>
      <c r="E158" s="1"/>
      <c r="H158" s="377"/>
      <c r="I158" s="95"/>
      <c r="J158" s="58"/>
      <c r="K158" s="105"/>
      <c r="L158" s="536" t="str">
        <f t="shared" ca="1" si="68"/>
        <v>Vector Reconciliation (TPL12) - Restructuring costs</v>
      </c>
      <c r="M158" s="536"/>
      <c r="N158" s="536"/>
      <c r="O158" s="536"/>
      <c r="P158" s="234"/>
      <c r="Q158" s="235">
        <f ca="1">_xll.DBRW(Server&amp;Cube1,$N$15,$N$16,$N$17,$N$18,$N$14,$N$13,$N$11,$Q$1,$A158)</f>
        <v>0</v>
      </c>
      <c r="R158" s="235">
        <f ca="1">_xll.DBRW(Server&amp;Cube1,$N$15,$N$16,$N$17,$N$18,$N$14,$N$13,$R$2,$R$1,$A158)</f>
        <v>0</v>
      </c>
      <c r="S158" s="236">
        <f t="shared" ca="1" si="64"/>
        <v>0</v>
      </c>
      <c r="T158" s="238">
        <f t="shared" ca="1" si="65"/>
        <v>0</v>
      </c>
      <c r="U158" s="223"/>
      <c r="V158" s="235">
        <f ca="1">_xll.DBRW(Server&amp;Cube1,$N$15,$N$16,$N$17,$N$18,$N$14,$N$13,$V$2,$V$1,$B158)</f>
        <v>0</v>
      </c>
      <c r="W158" s="236">
        <f t="shared" ca="1" si="66"/>
        <v>0</v>
      </c>
      <c r="X158" s="238">
        <f t="shared" ca="1" si="67"/>
        <v>0</v>
      </c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  <c r="BU158" s="105"/>
      <c r="BV158" s="105"/>
      <c r="BW158" s="105"/>
      <c r="BX158" s="28"/>
    </row>
    <row r="159" spans="1:76" s="34" customFormat="1" ht="21" hidden="1" customHeight="1" outlineLevel="3" x14ac:dyDescent="0.25">
      <c r="A159" s="379" t="s">
        <v>383</v>
      </c>
      <c r="B159" s="360" t="str">
        <f ca="1">_xll.DBRA(Server&amp;$B$32,$A159,$N$19)</f>
        <v>Vector Reconciliation (TPL12) - Net provisions for restructuring costs</v>
      </c>
      <c r="C159" s="9"/>
      <c r="D159" s="1"/>
      <c r="E159" s="1"/>
      <c r="H159" s="377"/>
      <c r="I159" s="95"/>
      <c r="J159" s="58"/>
      <c r="K159" s="105"/>
      <c r="L159" s="536" t="str">
        <f t="shared" ca="1" si="68"/>
        <v>Vector Reconciliation (TPL12) - Net provisions for restructuring costs</v>
      </c>
      <c r="M159" s="536"/>
      <c r="N159" s="536"/>
      <c r="O159" s="536"/>
      <c r="P159" s="234"/>
      <c r="Q159" s="235">
        <f ca="1">_xll.DBRW(Server&amp;Cube1,$N$15,$N$16,$N$17,$N$18,$N$14,$N$13,$N$11,$Q$1,$A159)</f>
        <v>0</v>
      </c>
      <c r="R159" s="235">
        <f ca="1">_xll.DBRW(Server&amp;Cube1,$N$15,$N$16,$N$17,$N$18,$N$14,$N$13,$R$2,$R$1,$A159)</f>
        <v>0</v>
      </c>
      <c r="S159" s="236">
        <f t="shared" ca="1" si="64"/>
        <v>0</v>
      </c>
      <c r="T159" s="238">
        <f t="shared" ca="1" si="65"/>
        <v>0</v>
      </c>
      <c r="U159" s="223"/>
      <c r="V159" s="235">
        <f ca="1">_xll.DBRW(Server&amp;Cube1,$N$15,$N$16,$N$17,$N$18,$N$14,$N$13,$V$2,$V$1,$B159)</f>
        <v>0</v>
      </c>
      <c r="W159" s="236">
        <f t="shared" ca="1" si="66"/>
        <v>0</v>
      </c>
      <c r="X159" s="238">
        <f t="shared" ca="1" si="67"/>
        <v>0</v>
      </c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  <c r="BU159" s="105"/>
      <c r="BV159" s="105"/>
      <c r="BW159" s="105"/>
      <c r="BX159" s="28"/>
    </row>
    <row r="160" spans="1:76" s="34" customFormat="1" ht="12.75" hidden="1" outlineLevel="1" x14ac:dyDescent="0.25">
      <c r="C160" s="9"/>
      <c r="D160" s="1"/>
      <c r="E160" s="1"/>
      <c r="H160" s="377"/>
      <c r="I160" s="95"/>
      <c r="J160" s="58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  <c r="BU160" s="105"/>
      <c r="BV160" s="105"/>
      <c r="BW160" s="105"/>
      <c r="BX160" s="28"/>
    </row>
    <row r="161" spans="1:76" s="34" customFormat="1" ht="21" hidden="1" customHeight="1" outlineLevel="1" collapsed="1" x14ac:dyDescent="0.25">
      <c r="A161" s="379" t="s">
        <v>351</v>
      </c>
      <c r="B161" s="360" t="str">
        <f ca="1">_xll.DBRA(Server&amp;$B$32,$A161,$N$19)</f>
        <v>GENERAL AND ADMINISTRATIVE COSTS (by destination)</v>
      </c>
      <c r="C161" s="9"/>
      <c r="D161" s="1"/>
      <c r="E161" s="1"/>
      <c r="H161" s="377"/>
      <c r="I161" s="95"/>
      <c r="J161" s="58"/>
      <c r="K161" s="105"/>
      <c r="L161" s="546" t="str">
        <f ca="1">LEFT(B161,FIND("(",B161,1)-1)</f>
        <v xml:space="preserve">GENERAL AND ADMINISTRATIVE COSTS </v>
      </c>
      <c r="M161" s="546"/>
      <c r="N161" s="546"/>
      <c r="O161" s="546"/>
      <c r="P161" s="546"/>
      <c r="Q161" s="241">
        <f ca="1">_xll.DBRW(Server&amp;Cube1,$N$15,$N$16,$N$17,$N$18,$N$14,$N$13,$N$11,$Q$1,$A161)</f>
        <v>-1225394474.4799998</v>
      </c>
      <c r="R161" s="241">
        <f ca="1">_xll.DBRW(Server&amp;Cube1,$N$15,$N$16,$N$17,$N$18,$N$14,$N$13,$R$2,$R$1,$A161)</f>
        <v>-1029616119.5626167</v>
      </c>
      <c r="S161" s="242">
        <f ca="1">Q161-R161</f>
        <v>-195778354.91738307</v>
      </c>
      <c r="T161" s="243">
        <f ca="1">IF(R161&lt;&gt;0,IF(R161&gt;0,S161/R161,-S161/R161),0)</f>
        <v>-0.1901469403961451</v>
      </c>
      <c r="U161" s="216"/>
      <c r="V161" s="241">
        <f ca="1">_xll.DBRW(Server&amp;Cube1,$N$15,$N$16,$N$17,$N$18,$N$14,$N$13,$V$2,$V$1,$B161)</f>
        <v>-891345635.93564355</v>
      </c>
      <c r="W161" s="242">
        <f ca="1">Q161-V161</f>
        <v>-334048838.54435623</v>
      </c>
      <c r="X161" s="243">
        <f ca="1">IF(V161&lt;&gt;0,IF(V161&gt;0,W161/V161,-W161/V161),0)</f>
        <v>-0.3747691412587732</v>
      </c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5"/>
      <c r="AS161" s="105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BU161" s="105"/>
      <c r="BV161" s="105"/>
      <c r="BW161" s="105"/>
      <c r="BX161" s="28"/>
    </row>
    <row r="162" spans="1:76" s="517" customFormat="1" ht="21" hidden="1" customHeight="1" outlineLevel="3" x14ac:dyDescent="0.25">
      <c r="A162" s="516" t="s">
        <v>388</v>
      </c>
      <c r="B162" s="69" t="str">
        <f ca="1">_xll.DBRA(Server&amp;$B$32,$A162,$N$19)</f>
        <v>G&amp;A Overhead costs - Vector Reconciliation</v>
      </c>
      <c r="C162" s="366"/>
      <c r="D162" s="1"/>
      <c r="E162" s="1"/>
      <c r="H162" s="518"/>
      <c r="I162" s="95"/>
      <c r="J162" s="58"/>
      <c r="K162" s="105"/>
      <c r="L162" s="537" t="str">
        <f ca="1">B162</f>
        <v>G&amp;A Overhead costs - Vector Reconciliation</v>
      </c>
      <c r="M162" s="537"/>
      <c r="N162" s="537"/>
      <c r="O162" s="537"/>
      <c r="P162" s="521"/>
      <c r="Q162" s="522">
        <f ca="1">_xll.DBRW(Server&amp;Cube1,$N$15,$N$16,$N$17,$N$18,$N$14,$N$13,$N$11,$Q$1,$A162)</f>
        <v>0</v>
      </c>
      <c r="R162" s="522">
        <f ca="1">_xll.DBRW(Server&amp;Cube1,$N$15,$N$16,$N$17,$N$18,$N$14,$N$13,$R$2,$R$1,$A162)</f>
        <v>0</v>
      </c>
      <c r="S162" s="523">
        <f t="shared" ref="S162" ca="1" si="74">Q162-R162</f>
        <v>0</v>
      </c>
      <c r="T162" s="524">
        <f t="shared" ref="T162" ca="1" si="75">IF(R162&lt;&gt;0,IF(R162&gt;0,S162/R162,-S162/R162),0)</f>
        <v>0</v>
      </c>
      <c r="U162" s="525"/>
      <c r="V162" s="522">
        <f ca="1">_xll.DBRW(Server&amp;Cube1,$N$15,$N$16,$N$17,$N$18,$N$14,$N$13,$V$2,$V$1,$B162)</f>
        <v>0</v>
      </c>
      <c r="W162" s="523">
        <f t="shared" ref="W162" ca="1" si="76">Q162-V162</f>
        <v>0</v>
      </c>
      <c r="X162" s="524">
        <f t="shared" ref="X162" ca="1" si="77">IF(V162&lt;&gt;0,IF(V162&gt;0,W162/V162,-W162/V162),0)</f>
        <v>0</v>
      </c>
      <c r="Y162" s="105"/>
      <c r="Z162" s="105"/>
      <c r="AA162" s="105"/>
      <c r="AB162" s="105"/>
      <c r="AC162" s="105"/>
      <c r="AD162" s="105"/>
      <c r="AE162" s="105"/>
      <c r="AF162" s="105"/>
      <c r="AG162" s="105"/>
      <c r="AH162" s="105"/>
      <c r="AI162" s="105"/>
      <c r="AJ162" s="105"/>
      <c r="AK162" s="105"/>
      <c r="AL162" s="105"/>
      <c r="AM162" s="105"/>
      <c r="AN162" s="105"/>
      <c r="AO162" s="105"/>
      <c r="AP162" s="105"/>
      <c r="AQ162" s="105"/>
      <c r="AR162" s="105"/>
      <c r="AS162" s="105"/>
      <c r="AT162" s="105"/>
      <c r="AU162" s="105"/>
      <c r="AV162" s="105"/>
      <c r="AW162" s="105"/>
      <c r="AX162" s="105"/>
      <c r="AY162" s="105"/>
      <c r="AZ162" s="105"/>
      <c r="BA162" s="105"/>
      <c r="BB162" s="105"/>
      <c r="BC162" s="105"/>
      <c r="BD162" s="105"/>
      <c r="BE162" s="105"/>
      <c r="BF162" s="105"/>
      <c r="BG162" s="105"/>
      <c r="BH162" s="105"/>
      <c r="BI162" s="105"/>
      <c r="BJ162" s="105"/>
      <c r="BK162" s="105"/>
      <c r="BL162" s="105"/>
      <c r="BM162" s="105"/>
      <c r="BN162" s="105"/>
      <c r="BO162" s="105"/>
      <c r="BP162" s="105"/>
      <c r="BQ162" s="105"/>
      <c r="BR162" s="105"/>
      <c r="BS162" s="105"/>
      <c r="BT162" s="105"/>
      <c r="BU162" s="105"/>
      <c r="BV162" s="105"/>
      <c r="BW162" s="105"/>
      <c r="BX162" s="526"/>
    </row>
    <row r="163" spans="1:76" s="517" customFormat="1" ht="21" hidden="1" customHeight="1" outlineLevel="3" collapsed="1" x14ac:dyDescent="0.25">
      <c r="A163" s="516" t="s">
        <v>389</v>
      </c>
      <c r="B163" s="69" t="str">
        <f ca="1">_xll.DBRA(Server&amp;$B$32,$A163,$N$19)</f>
        <v>G&amp;A (management fees + overhead costs)</v>
      </c>
      <c r="C163" s="366"/>
      <c r="D163" s="1"/>
      <c r="E163" s="1"/>
      <c r="H163" s="518"/>
      <c r="I163" s="95"/>
      <c r="J163" s="58"/>
      <c r="K163" s="105"/>
      <c r="L163" s="537" t="str">
        <f ca="1">B163</f>
        <v>G&amp;A (management fees + overhead costs)</v>
      </c>
      <c r="M163" s="537"/>
      <c r="N163" s="537"/>
      <c r="O163" s="537"/>
      <c r="P163" s="521"/>
      <c r="Q163" s="522">
        <f ca="1">_xll.DBRW(Server&amp;Cube1,$N$15,$N$16,$N$17,$N$18,$N$14,$N$13,$N$11,$Q$1,$A163)</f>
        <v>-1225394474.4799998</v>
      </c>
      <c r="R163" s="522">
        <f ca="1">_xll.DBRW(Server&amp;Cube1,$N$15,$N$16,$N$17,$N$18,$N$14,$N$13,$R$2,$R$1,$A163)</f>
        <v>-1029616119.5626167</v>
      </c>
      <c r="S163" s="523">
        <f t="shared" ref="S163:S164" ca="1" si="78">Q163-R163</f>
        <v>-195778354.91738307</v>
      </c>
      <c r="T163" s="524">
        <f t="shared" ref="T163:T164" ca="1" si="79">IF(R163&lt;&gt;0,IF(R163&gt;0,S163/R163,-S163/R163),0)</f>
        <v>-0.1901469403961451</v>
      </c>
      <c r="U163" s="525"/>
      <c r="V163" s="522">
        <f ca="1">_xll.DBRW(Server&amp;Cube1,$N$15,$N$16,$N$17,$N$18,$N$14,$N$13,$V$2,$V$1,$B163)</f>
        <v>-891345635.93564355</v>
      </c>
      <c r="W163" s="523">
        <f t="shared" ref="W163:W164" ca="1" si="80">Q163-V163</f>
        <v>-334048838.54435623</v>
      </c>
      <c r="X163" s="524">
        <f t="shared" ref="X163:X164" ca="1" si="81">IF(V163&lt;&gt;0,IF(V163&gt;0,W163/V163,-W163/V163),0)</f>
        <v>-0.3747691412587732</v>
      </c>
      <c r="Y163" s="105"/>
      <c r="Z163" s="105"/>
      <c r="AA163" s="105"/>
      <c r="AB163" s="105"/>
      <c r="AC163" s="105"/>
      <c r="AD163" s="105"/>
      <c r="AE163" s="105"/>
      <c r="AF163" s="105"/>
      <c r="AG163" s="105"/>
      <c r="AH163" s="105"/>
      <c r="AI163" s="105"/>
      <c r="AJ163" s="105"/>
      <c r="AK163" s="105"/>
      <c r="AL163" s="105"/>
      <c r="AM163" s="105"/>
      <c r="AN163" s="105"/>
      <c r="AO163" s="105"/>
      <c r="AP163" s="105"/>
      <c r="AQ163" s="105"/>
      <c r="AR163" s="105"/>
      <c r="AS163" s="105"/>
      <c r="AT163" s="105"/>
      <c r="AU163" s="105"/>
      <c r="AV163" s="105"/>
      <c r="AW163" s="105"/>
      <c r="AX163" s="105"/>
      <c r="AY163" s="105"/>
      <c r="AZ163" s="105"/>
      <c r="BA163" s="105"/>
      <c r="BB163" s="105"/>
      <c r="BC163" s="105"/>
      <c r="BD163" s="105"/>
      <c r="BE163" s="105"/>
      <c r="BF163" s="105"/>
      <c r="BG163" s="105"/>
      <c r="BH163" s="105"/>
      <c r="BI163" s="105"/>
      <c r="BJ163" s="105"/>
      <c r="BK163" s="105"/>
      <c r="BL163" s="105"/>
      <c r="BM163" s="105"/>
      <c r="BN163" s="105"/>
      <c r="BO163" s="105"/>
      <c r="BP163" s="105"/>
      <c r="BQ163" s="105"/>
      <c r="BR163" s="105"/>
      <c r="BS163" s="105"/>
      <c r="BT163" s="105"/>
      <c r="BU163" s="105"/>
      <c r="BV163" s="105"/>
      <c r="BW163" s="105"/>
      <c r="BX163" s="526"/>
    </row>
    <row r="164" spans="1:76" s="517" customFormat="1" ht="21" hidden="1" customHeight="1" outlineLevel="4" x14ac:dyDescent="0.25">
      <c r="A164" s="516" t="s">
        <v>390</v>
      </c>
      <c r="B164" s="69" t="str">
        <f ca="1">_xll.DBRA(Server&amp;$B$32,$A164,$N$19)</f>
        <v>Communication</v>
      </c>
      <c r="C164" s="366"/>
      <c r="D164" s="1"/>
      <c r="E164" s="1"/>
      <c r="H164" s="518"/>
      <c r="I164" s="95"/>
      <c r="J164" s="58"/>
      <c r="K164" s="105"/>
      <c r="L164" s="514" t="str">
        <f t="shared" ref="L164" ca="1" si="82">B164</f>
        <v>Communication</v>
      </c>
      <c r="M164" s="498"/>
      <c r="N164" s="498"/>
      <c r="O164" s="498"/>
      <c r="P164" s="234"/>
      <c r="Q164" s="235">
        <f ca="1">_xll.DBRW(Server&amp;Cube1,$N$15,$N$16,$N$17,$N$18,$N$14,$N$13,$N$11,$Q$1,$A164)</f>
        <v>-743425.2</v>
      </c>
      <c r="R164" s="235">
        <f ca="1">_xll.DBRW(Server&amp;Cube1,$N$15,$N$16,$N$17,$N$18,$N$14,$N$13,$R$2,$R$1,$A164)</f>
        <v>-555940.37544500001</v>
      </c>
      <c r="S164" s="236">
        <f t="shared" ca="1" si="78"/>
        <v>-187484.82455499994</v>
      </c>
      <c r="T164" s="238">
        <f t="shared" ca="1" si="79"/>
        <v>-0.33723908684439141</v>
      </c>
      <c r="U164" s="223"/>
      <c r="V164" s="235">
        <f ca="1">_xll.DBRW(Server&amp;Cube1,$N$15,$N$16,$N$17,$N$18,$N$14,$N$13,$V$2,$V$1,$B164)</f>
        <v>-797368.73</v>
      </c>
      <c r="W164" s="236">
        <f t="shared" ca="1" si="80"/>
        <v>53943.530000000028</v>
      </c>
      <c r="X164" s="238">
        <f t="shared" ca="1" si="81"/>
        <v>6.7651925602851298E-2</v>
      </c>
      <c r="Y164" s="105"/>
      <c r="Z164" s="105"/>
      <c r="AA164" s="105"/>
      <c r="AB164" s="105"/>
      <c r="AC164" s="105"/>
      <c r="AD164" s="105"/>
      <c r="AE164" s="105"/>
      <c r="AF164" s="105"/>
      <c r="AG164" s="105"/>
      <c r="AH164" s="105"/>
      <c r="AI164" s="105"/>
      <c r="AJ164" s="105"/>
      <c r="AK164" s="105"/>
      <c r="AL164" s="105"/>
      <c r="AM164" s="105"/>
      <c r="AN164" s="105"/>
      <c r="AO164" s="105"/>
      <c r="AP164" s="105"/>
      <c r="AQ164" s="105"/>
      <c r="AR164" s="105"/>
      <c r="AS164" s="105"/>
      <c r="AT164" s="105"/>
      <c r="AU164" s="105"/>
      <c r="AV164" s="105"/>
      <c r="AW164" s="105"/>
      <c r="AX164" s="105"/>
      <c r="AY164" s="105"/>
      <c r="AZ164" s="105"/>
      <c r="BA164" s="105"/>
      <c r="BB164" s="105"/>
      <c r="BC164" s="105"/>
      <c r="BD164" s="105"/>
      <c r="BE164" s="105"/>
      <c r="BF164" s="105"/>
      <c r="BG164" s="105"/>
      <c r="BH164" s="105"/>
      <c r="BI164" s="105"/>
      <c r="BJ164" s="105"/>
      <c r="BK164" s="105"/>
      <c r="BL164" s="105"/>
      <c r="BM164" s="105"/>
      <c r="BN164" s="105"/>
      <c r="BO164" s="105"/>
      <c r="BP164" s="105"/>
      <c r="BQ164" s="105"/>
      <c r="BR164" s="105"/>
      <c r="BS164" s="105"/>
      <c r="BT164" s="105"/>
      <c r="BU164" s="105"/>
      <c r="BV164" s="105"/>
      <c r="BW164" s="105"/>
      <c r="BX164" s="526"/>
    </row>
    <row r="165" spans="1:76" s="517" customFormat="1" ht="21" hidden="1" customHeight="1" outlineLevel="4" x14ac:dyDescent="0.25">
      <c r="A165" s="516" t="s">
        <v>391</v>
      </c>
      <c r="B165" s="69" t="str">
        <f ca="1">_xll.DBRA(Server&amp;$B$32,$A165,$N$19)</f>
        <v>Finance</v>
      </c>
      <c r="C165" s="366"/>
      <c r="D165" s="1"/>
      <c r="E165" s="1"/>
      <c r="H165" s="518"/>
      <c r="I165" s="95"/>
      <c r="J165" s="58"/>
      <c r="K165" s="105"/>
      <c r="L165" s="514" t="str">
        <f t="shared" ref="L165:L169" ca="1" si="83">B165</f>
        <v>Finance</v>
      </c>
      <c r="M165" s="498"/>
      <c r="N165" s="498"/>
      <c r="O165" s="498"/>
      <c r="P165" s="234"/>
      <c r="Q165" s="235">
        <f ca="1">_xll.DBRW(Server&amp;Cube1,$N$15,$N$16,$N$17,$N$18,$N$14,$N$13,$N$11,$Q$1,$A165)</f>
        <v>-36350055.650000013</v>
      </c>
      <c r="R165" s="235">
        <f ca="1">_xll.DBRW(Server&amp;Cube1,$N$15,$N$16,$N$17,$N$18,$N$14,$N$13,$R$2,$R$1,$A165)</f>
        <v>-48486902.031283244</v>
      </c>
      <c r="S165" s="236">
        <f t="shared" ref="S165:S169" ca="1" si="84">Q165-R165</f>
        <v>12136846.381283231</v>
      </c>
      <c r="T165" s="238">
        <f t="shared" ref="T165:T169" ca="1" si="85">IF(R165&lt;&gt;0,IF(R165&gt;0,S165/R165,-S165/R165),0)</f>
        <v>0.25031185480674067</v>
      </c>
      <c r="U165" s="223"/>
      <c r="V165" s="235">
        <f ca="1">_xll.DBRW(Server&amp;Cube1,$N$15,$N$16,$N$17,$N$18,$N$14,$N$13,$V$2,$V$1,$B165)</f>
        <v>-32379588.859999999</v>
      </c>
      <c r="W165" s="236">
        <f t="shared" ref="W165:W169" ca="1" si="86">Q165-V165</f>
        <v>-3970466.790000014</v>
      </c>
      <c r="X165" s="238">
        <f t="shared" ref="X165:X169" ca="1" si="87">IF(V165&lt;&gt;0,IF(V165&gt;0,W165/V165,-W165/V165),0)</f>
        <v>-0.12262252022924587</v>
      </c>
      <c r="Y165" s="105"/>
      <c r="Z165" s="105"/>
      <c r="AA165" s="105"/>
      <c r="AB165" s="105"/>
      <c r="AC165" s="105"/>
      <c r="AD165" s="105"/>
      <c r="AE165" s="105"/>
      <c r="AF165" s="105"/>
      <c r="AG165" s="105"/>
      <c r="AH165" s="105"/>
      <c r="AI165" s="105"/>
      <c r="AJ165" s="105"/>
      <c r="AK165" s="105"/>
      <c r="AL165" s="105"/>
      <c r="AM165" s="105"/>
      <c r="AN165" s="105"/>
      <c r="AO165" s="105"/>
      <c r="AP165" s="105"/>
      <c r="AQ165" s="105"/>
      <c r="AR165" s="105"/>
      <c r="AS165" s="105"/>
      <c r="AT165" s="105"/>
      <c r="AU165" s="105"/>
      <c r="AV165" s="105"/>
      <c r="AW165" s="105"/>
      <c r="AX165" s="105"/>
      <c r="AY165" s="105"/>
      <c r="AZ165" s="105"/>
      <c r="BA165" s="105"/>
      <c r="BB165" s="105"/>
      <c r="BC165" s="105"/>
      <c r="BD165" s="105"/>
      <c r="BE165" s="105"/>
      <c r="BF165" s="105"/>
      <c r="BG165" s="105"/>
      <c r="BH165" s="105"/>
      <c r="BI165" s="105"/>
      <c r="BJ165" s="105"/>
      <c r="BK165" s="105"/>
      <c r="BL165" s="105"/>
      <c r="BM165" s="105"/>
      <c r="BN165" s="105"/>
      <c r="BO165" s="105"/>
      <c r="BP165" s="105"/>
      <c r="BQ165" s="105"/>
      <c r="BR165" s="105"/>
      <c r="BS165" s="105"/>
      <c r="BT165" s="105"/>
      <c r="BU165" s="105"/>
      <c r="BV165" s="105"/>
      <c r="BW165" s="105"/>
      <c r="BX165" s="526"/>
    </row>
    <row r="166" spans="1:76" s="517" customFormat="1" ht="21" hidden="1" customHeight="1" outlineLevel="4" x14ac:dyDescent="0.25">
      <c r="A166" s="516" t="s">
        <v>392</v>
      </c>
      <c r="B166" s="69" t="str">
        <f ca="1">_xll.DBRA(Server&amp;$B$32,$A166,$N$19)</f>
        <v>General Management (RESOP)</v>
      </c>
      <c r="C166" s="366"/>
      <c r="D166" s="1"/>
      <c r="E166" s="1"/>
      <c r="H166" s="518"/>
      <c r="I166" s="95"/>
      <c r="J166" s="58"/>
      <c r="K166" s="105"/>
      <c r="L166" s="514" t="str">
        <f t="shared" ca="1" si="83"/>
        <v>General Management (RESOP)</v>
      </c>
      <c r="M166" s="498"/>
      <c r="N166" s="498"/>
      <c r="O166" s="498"/>
      <c r="P166" s="234"/>
      <c r="Q166" s="235">
        <f ca="1">_xll.DBRW(Server&amp;Cube1,$N$15,$N$16,$N$17,$N$18,$N$14,$N$13,$N$11,$Q$1,$A166)</f>
        <v>-258276185.84999999</v>
      </c>
      <c r="R166" s="235">
        <f ca="1">_xll.DBRW(Server&amp;Cube1,$N$15,$N$16,$N$17,$N$18,$N$14,$N$13,$R$2,$R$1,$A166)</f>
        <v>-239697978.46468511</v>
      </c>
      <c r="S166" s="236">
        <f t="shared" ca="1" si="84"/>
        <v>-18578207.385314882</v>
      </c>
      <c r="T166" s="238">
        <f t="shared" ca="1" si="85"/>
        <v>-7.7506733700100958E-2</v>
      </c>
      <c r="U166" s="223"/>
      <c r="V166" s="235">
        <f ca="1">_xll.DBRW(Server&amp;Cube1,$N$15,$N$16,$N$17,$N$18,$N$14,$N$13,$V$2,$V$1,$B166)</f>
        <v>-205507268.45004418</v>
      </c>
      <c r="W166" s="236">
        <f t="shared" ca="1" si="86"/>
        <v>-52768917.399955809</v>
      </c>
      <c r="X166" s="238">
        <f t="shared" ca="1" si="87"/>
        <v>-0.25677397105194438</v>
      </c>
      <c r="Y166" s="105"/>
      <c r="Z166" s="105"/>
      <c r="AA166" s="105"/>
      <c r="AB166" s="105"/>
      <c r="AC166" s="105"/>
      <c r="AD166" s="105"/>
      <c r="AE166" s="105"/>
      <c r="AF166" s="105"/>
      <c r="AG166" s="105"/>
      <c r="AH166" s="105"/>
      <c r="AI166" s="105"/>
      <c r="AJ166" s="105"/>
      <c r="AK166" s="105"/>
      <c r="AL166" s="105"/>
      <c r="AM166" s="105"/>
      <c r="AN166" s="105"/>
      <c r="AO166" s="105"/>
      <c r="AP166" s="105"/>
      <c r="AQ166" s="105"/>
      <c r="AR166" s="105"/>
      <c r="AS166" s="105"/>
      <c r="AT166" s="105"/>
      <c r="AU166" s="105"/>
      <c r="AV166" s="105"/>
      <c r="AW166" s="105"/>
      <c r="AX166" s="105"/>
      <c r="AY166" s="105"/>
      <c r="AZ166" s="105"/>
      <c r="BA166" s="105"/>
      <c r="BB166" s="105"/>
      <c r="BC166" s="105"/>
      <c r="BD166" s="105"/>
      <c r="BE166" s="105"/>
      <c r="BF166" s="105"/>
      <c r="BG166" s="105"/>
      <c r="BH166" s="105"/>
      <c r="BI166" s="105"/>
      <c r="BJ166" s="105"/>
      <c r="BK166" s="105"/>
      <c r="BL166" s="105"/>
      <c r="BM166" s="105"/>
      <c r="BN166" s="105"/>
      <c r="BO166" s="105"/>
      <c r="BP166" s="105"/>
      <c r="BQ166" s="105"/>
      <c r="BR166" s="105"/>
      <c r="BS166" s="105"/>
      <c r="BT166" s="105"/>
      <c r="BU166" s="105"/>
      <c r="BV166" s="105"/>
      <c r="BW166" s="105"/>
      <c r="BX166" s="526"/>
    </row>
    <row r="167" spans="1:76" s="517" customFormat="1" ht="21" hidden="1" customHeight="1" outlineLevel="4" x14ac:dyDescent="0.25">
      <c r="A167" s="516" t="s">
        <v>393</v>
      </c>
      <c r="B167" s="69" t="str">
        <f ca="1">_xll.DBRA(Server&amp;$B$32,$A167,$N$19)</f>
        <v>General Services</v>
      </c>
      <c r="C167" s="366"/>
      <c r="D167" s="1"/>
      <c r="E167" s="1"/>
      <c r="H167" s="518"/>
      <c r="I167" s="95"/>
      <c r="J167" s="58"/>
      <c r="K167" s="105"/>
      <c r="L167" s="514" t="str">
        <f t="shared" ca="1" si="83"/>
        <v>General Services</v>
      </c>
      <c r="M167" s="498"/>
      <c r="N167" s="498"/>
      <c r="O167" s="498"/>
      <c r="P167" s="234"/>
      <c r="Q167" s="235">
        <f ca="1">_xll.DBRW(Server&amp;Cube1,$N$15,$N$16,$N$17,$N$18,$N$14,$N$13,$N$11,$Q$1,$A167)</f>
        <v>-337498259.83999997</v>
      </c>
      <c r="R167" s="235">
        <f ca="1">_xll.DBRW(Server&amp;Cube1,$N$15,$N$16,$N$17,$N$18,$N$14,$N$13,$R$2,$R$1,$A167)</f>
        <v>-180767641.37333333</v>
      </c>
      <c r="S167" s="236">
        <f t="shared" ca="1" si="84"/>
        <v>-156730618.46666664</v>
      </c>
      <c r="T167" s="238">
        <f t="shared" ca="1" si="85"/>
        <v>-0.86702806584158587</v>
      </c>
      <c r="U167" s="223"/>
      <c r="V167" s="235">
        <f ca="1">_xll.DBRW(Server&amp;Cube1,$N$15,$N$16,$N$17,$N$18,$N$14,$N$13,$V$2,$V$1,$B167)</f>
        <v>-193817396.88</v>
      </c>
      <c r="W167" s="236">
        <f t="shared" ca="1" si="86"/>
        <v>-143680862.95999998</v>
      </c>
      <c r="X167" s="238">
        <f t="shared" ca="1" si="87"/>
        <v>-0.74132077549756004</v>
      </c>
      <c r="Y167" s="105"/>
      <c r="Z167" s="105"/>
      <c r="AA167" s="105"/>
      <c r="AB167" s="105"/>
      <c r="AC167" s="105"/>
      <c r="AD167" s="105"/>
      <c r="AE167" s="105"/>
      <c r="AF167" s="105"/>
      <c r="AG167" s="105"/>
      <c r="AH167" s="105"/>
      <c r="AI167" s="105"/>
      <c r="AJ167" s="105"/>
      <c r="AK167" s="105"/>
      <c r="AL167" s="105"/>
      <c r="AM167" s="105"/>
      <c r="AN167" s="105"/>
      <c r="AO167" s="105"/>
      <c r="AP167" s="105"/>
      <c r="AQ167" s="105"/>
      <c r="AR167" s="105"/>
      <c r="AS167" s="105"/>
      <c r="AT167" s="105"/>
      <c r="AU167" s="105"/>
      <c r="AV167" s="105"/>
      <c r="AW167" s="105"/>
      <c r="AX167" s="105"/>
      <c r="AY167" s="105"/>
      <c r="AZ167" s="105"/>
      <c r="BA167" s="105"/>
      <c r="BB167" s="105"/>
      <c r="BC167" s="105"/>
      <c r="BD167" s="105"/>
      <c r="BE167" s="105"/>
      <c r="BF167" s="105"/>
      <c r="BG167" s="105"/>
      <c r="BH167" s="105"/>
      <c r="BI167" s="105"/>
      <c r="BJ167" s="105"/>
      <c r="BK167" s="105"/>
      <c r="BL167" s="105"/>
      <c r="BM167" s="105"/>
      <c r="BN167" s="105"/>
      <c r="BO167" s="105"/>
      <c r="BP167" s="105"/>
      <c r="BQ167" s="105"/>
      <c r="BR167" s="105"/>
      <c r="BS167" s="105"/>
      <c r="BT167" s="105"/>
      <c r="BU167" s="105"/>
      <c r="BV167" s="105"/>
      <c r="BW167" s="105"/>
      <c r="BX167" s="526"/>
    </row>
    <row r="168" spans="1:76" s="517" customFormat="1" ht="21" hidden="1" customHeight="1" outlineLevel="4" x14ac:dyDescent="0.25">
      <c r="A168" s="516" t="s">
        <v>394</v>
      </c>
      <c r="B168" s="69" t="str">
        <f ca="1">_xll.DBRA(Server&amp;$B$32,$A168,$N$19)</f>
        <v>HR department</v>
      </c>
      <c r="C168" s="366"/>
      <c r="D168" s="1"/>
      <c r="E168" s="1"/>
      <c r="H168" s="518"/>
      <c r="I168" s="95"/>
      <c r="J168" s="58"/>
      <c r="K168" s="105"/>
      <c r="L168" s="514" t="str">
        <f t="shared" ca="1" si="83"/>
        <v>HR department</v>
      </c>
      <c r="M168" s="498"/>
      <c r="N168" s="498"/>
      <c r="O168" s="498"/>
      <c r="P168" s="234"/>
      <c r="Q168" s="235">
        <f ca="1">_xll.DBRW(Server&amp;Cube1,$N$15,$N$16,$N$17,$N$18,$N$14,$N$13,$N$11,$Q$1,$A168)</f>
        <v>-175379198.31999999</v>
      </c>
      <c r="R168" s="235">
        <f ca="1">_xll.DBRW(Server&amp;Cube1,$N$15,$N$16,$N$17,$N$18,$N$14,$N$13,$R$2,$R$1,$A168)</f>
        <v>-148968600.0234496</v>
      </c>
      <c r="S168" s="236">
        <f t="shared" ca="1" si="84"/>
        <v>-26410598.296550393</v>
      </c>
      <c r="T168" s="238">
        <f t="shared" ca="1" si="85"/>
        <v>-0.17728969925469543</v>
      </c>
      <c r="U168" s="223"/>
      <c r="V168" s="235">
        <f ca="1">_xll.DBRW(Server&amp;Cube1,$N$15,$N$16,$N$17,$N$18,$N$14,$N$13,$V$2,$V$1,$B168)</f>
        <v>-90985921.590000004</v>
      </c>
      <c r="W168" s="236">
        <f t="shared" ca="1" si="86"/>
        <v>-84393276.729999989</v>
      </c>
      <c r="X168" s="238">
        <f t="shared" ca="1" si="87"/>
        <v>-0.92754214339106511</v>
      </c>
      <c r="Y168" s="105"/>
      <c r="Z168" s="105"/>
      <c r="AA168" s="105"/>
      <c r="AB168" s="105"/>
      <c r="AC168" s="105"/>
      <c r="AD168" s="105"/>
      <c r="AE168" s="105"/>
      <c r="AF168" s="105"/>
      <c r="AG168" s="105"/>
      <c r="AH168" s="105"/>
      <c r="AI168" s="105"/>
      <c r="AJ168" s="105"/>
      <c r="AK168" s="105"/>
      <c r="AL168" s="105"/>
      <c r="AM168" s="105"/>
      <c r="AN168" s="105"/>
      <c r="AO168" s="105"/>
      <c r="AP168" s="105"/>
      <c r="AQ168" s="105"/>
      <c r="AR168" s="105"/>
      <c r="AS168" s="105"/>
      <c r="AT168" s="105"/>
      <c r="AU168" s="105"/>
      <c r="AV168" s="105"/>
      <c r="AW168" s="105"/>
      <c r="AX168" s="105"/>
      <c r="AY168" s="105"/>
      <c r="AZ168" s="105"/>
      <c r="BA168" s="105"/>
      <c r="BB168" s="105"/>
      <c r="BC168" s="105"/>
      <c r="BD168" s="105"/>
      <c r="BE168" s="105"/>
      <c r="BF168" s="105"/>
      <c r="BG168" s="105"/>
      <c r="BH168" s="105"/>
      <c r="BI168" s="105"/>
      <c r="BJ168" s="105"/>
      <c r="BK168" s="105"/>
      <c r="BL168" s="105"/>
      <c r="BM168" s="105"/>
      <c r="BN168" s="105"/>
      <c r="BO168" s="105"/>
      <c r="BP168" s="105"/>
      <c r="BQ168" s="105"/>
      <c r="BR168" s="105"/>
      <c r="BS168" s="105"/>
      <c r="BT168" s="105"/>
      <c r="BU168" s="105"/>
      <c r="BV168" s="105"/>
      <c r="BW168" s="105"/>
      <c r="BX168" s="526"/>
    </row>
    <row r="169" spans="1:76" s="517" customFormat="1" ht="21" hidden="1" customHeight="1" outlineLevel="4" x14ac:dyDescent="0.25">
      <c r="A169" s="516" t="s">
        <v>395</v>
      </c>
      <c r="B169" s="69" t="str">
        <f ca="1">_xll.DBRA(Server&amp;$B$32,$A169,$N$19)</f>
        <v>Internal audit</v>
      </c>
      <c r="C169" s="366"/>
      <c r="D169" s="1"/>
      <c r="E169" s="1"/>
      <c r="H169" s="518"/>
      <c r="I169" s="95"/>
      <c r="J169" s="58"/>
      <c r="K169" s="105"/>
      <c r="L169" s="514" t="str">
        <f t="shared" ca="1" si="83"/>
        <v>Internal audit</v>
      </c>
      <c r="M169" s="498"/>
      <c r="N169" s="498"/>
      <c r="O169" s="498"/>
      <c r="P169" s="234"/>
      <c r="Q169" s="235">
        <f ca="1">_xll.DBRW(Server&amp;Cube1,$N$15,$N$16,$N$17,$N$18,$N$14,$N$13,$N$11,$Q$1,$A169)</f>
        <v>0</v>
      </c>
      <c r="R169" s="235">
        <f ca="1">_xll.DBRW(Server&amp;Cube1,$N$15,$N$16,$N$17,$N$18,$N$14,$N$13,$R$2,$R$1,$A169)</f>
        <v>0</v>
      </c>
      <c r="S169" s="236">
        <f t="shared" ca="1" si="84"/>
        <v>0</v>
      </c>
      <c r="T169" s="238">
        <f t="shared" ca="1" si="85"/>
        <v>0</v>
      </c>
      <c r="U169" s="223"/>
      <c r="V169" s="235">
        <f ca="1">_xll.DBRW(Server&amp;Cube1,$N$15,$N$16,$N$17,$N$18,$N$14,$N$13,$V$2,$V$1,$B169)</f>
        <v>0</v>
      </c>
      <c r="W169" s="236">
        <f t="shared" ca="1" si="86"/>
        <v>0</v>
      </c>
      <c r="X169" s="238">
        <f t="shared" ca="1" si="87"/>
        <v>0</v>
      </c>
      <c r="Y169" s="105"/>
      <c r="Z169" s="105"/>
      <c r="AA169" s="105"/>
      <c r="AB169" s="105"/>
      <c r="AC169" s="105"/>
      <c r="AD169" s="105"/>
      <c r="AE169" s="105"/>
      <c r="AF169" s="105"/>
      <c r="AG169" s="105"/>
      <c r="AH169" s="105"/>
      <c r="AI169" s="105"/>
      <c r="AJ169" s="105"/>
      <c r="AK169" s="105"/>
      <c r="AL169" s="105"/>
      <c r="AM169" s="105"/>
      <c r="AN169" s="105"/>
      <c r="AO169" s="105"/>
      <c r="AP169" s="105"/>
      <c r="AQ169" s="105"/>
      <c r="AR169" s="105"/>
      <c r="AS169" s="105"/>
      <c r="AT169" s="105"/>
      <c r="AU169" s="105"/>
      <c r="AV169" s="105"/>
      <c r="AW169" s="105"/>
      <c r="AX169" s="105"/>
      <c r="AY169" s="105"/>
      <c r="AZ169" s="105"/>
      <c r="BA169" s="105"/>
      <c r="BB169" s="105"/>
      <c r="BC169" s="105"/>
      <c r="BD169" s="105"/>
      <c r="BE169" s="105"/>
      <c r="BF169" s="105"/>
      <c r="BG169" s="105"/>
      <c r="BH169" s="105"/>
      <c r="BI169" s="105"/>
      <c r="BJ169" s="105"/>
      <c r="BK169" s="105"/>
      <c r="BL169" s="105"/>
      <c r="BM169" s="105"/>
      <c r="BN169" s="105"/>
      <c r="BO169" s="105"/>
      <c r="BP169" s="105"/>
      <c r="BQ169" s="105"/>
      <c r="BR169" s="105"/>
      <c r="BS169" s="105"/>
      <c r="BT169" s="105"/>
      <c r="BU169" s="105"/>
      <c r="BV169" s="105"/>
      <c r="BW169" s="105"/>
      <c r="BX169" s="526"/>
    </row>
    <row r="170" spans="1:76" s="517" customFormat="1" ht="21" hidden="1" customHeight="1" outlineLevel="4" x14ac:dyDescent="0.25">
      <c r="A170" s="516" t="s">
        <v>396</v>
      </c>
      <c r="B170" s="69" t="str">
        <f ca="1">_xll.DBRA(Server&amp;$B$32,$A170,$N$19)</f>
        <v>IT</v>
      </c>
      <c r="C170" s="366"/>
      <c r="D170" s="1"/>
      <c r="E170" s="1"/>
      <c r="H170" s="518"/>
      <c r="I170" s="95"/>
      <c r="J170" s="58"/>
      <c r="K170" s="105"/>
      <c r="L170" s="514" t="str">
        <f t="shared" ref="L170:L178" ca="1" si="88">B170</f>
        <v>IT</v>
      </c>
      <c r="M170" s="498"/>
      <c r="N170" s="498"/>
      <c r="O170" s="498"/>
      <c r="P170" s="234"/>
      <c r="Q170" s="235">
        <f ca="1">_xll.DBRW(Server&amp;Cube1,$N$15,$N$16,$N$17,$N$18,$N$14,$N$13,$N$11,$Q$1,$A170)</f>
        <v>-1128597.1499999997</v>
      </c>
      <c r="R170" s="235">
        <f ca="1">_xll.DBRW(Server&amp;Cube1,$N$15,$N$16,$N$17,$N$18,$N$14,$N$13,$R$2,$R$1,$A170)</f>
        <v>-12276105.931660332</v>
      </c>
      <c r="S170" s="236">
        <f t="shared" ref="S170:S178" ca="1" si="89">Q170-R170</f>
        <v>11147508.781660331</v>
      </c>
      <c r="T170" s="238">
        <f t="shared" ref="T170:T178" ca="1" si="90">IF(R170&lt;&gt;0,IF(R170&gt;0,S170/R170,-S170/R170),0)</f>
        <v>0.90806554160718633</v>
      </c>
      <c r="U170" s="223"/>
      <c r="V170" s="235">
        <f ca="1">_xll.DBRW(Server&amp;Cube1,$N$15,$N$16,$N$17,$N$18,$N$14,$N$13,$V$2,$V$1,$B170)</f>
        <v>-1810652.81</v>
      </c>
      <c r="W170" s="236">
        <f t="shared" ref="W170:W178" ca="1" si="91">Q170-V170</f>
        <v>682055.66000000038</v>
      </c>
      <c r="X170" s="238">
        <f t="shared" ref="X170:X178" ca="1" si="92">IF(V170&lt;&gt;0,IF(V170&gt;0,W170/V170,-W170/V170),0)</f>
        <v>0.37669047110141474</v>
      </c>
      <c r="Y170" s="105"/>
      <c r="Z170" s="105"/>
      <c r="AA170" s="105"/>
      <c r="AB170" s="105"/>
      <c r="AC170" s="105"/>
      <c r="AD170" s="105"/>
      <c r="AE170" s="105"/>
      <c r="AF170" s="105"/>
      <c r="AG170" s="105"/>
      <c r="AH170" s="105"/>
      <c r="AI170" s="105"/>
      <c r="AJ170" s="105"/>
      <c r="AK170" s="105"/>
      <c r="AL170" s="105"/>
      <c r="AM170" s="105"/>
      <c r="AN170" s="105"/>
      <c r="AO170" s="105"/>
      <c r="AP170" s="105"/>
      <c r="AQ170" s="105"/>
      <c r="AR170" s="105"/>
      <c r="AS170" s="105"/>
      <c r="AT170" s="105"/>
      <c r="AU170" s="105"/>
      <c r="AV170" s="105"/>
      <c r="AW170" s="105"/>
      <c r="AX170" s="105"/>
      <c r="AY170" s="105"/>
      <c r="AZ170" s="105"/>
      <c r="BA170" s="105"/>
      <c r="BB170" s="105"/>
      <c r="BC170" s="105"/>
      <c r="BD170" s="105"/>
      <c r="BE170" s="105"/>
      <c r="BF170" s="105"/>
      <c r="BG170" s="105"/>
      <c r="BH170" s="105"/>
      <c r="BI170" s="105"/>
      <c r="BJ170" s="105"/>
      <c r="BK170" s="105"/>
      <c r="BL170" s="105"/>
      <c r="BM170" s="105"/>
      <c r="BN170" s="105"/>
      <c r="BO170" s="105"/>
      <c r="BP170" s="105"/>
      <c r="BQ170" s="105"/>
      <c r="BR170" s="105"/>
      <c r="BS170" s="105"/>
      <c r="BT170" s="105"/>
      <c r="BU170" s="105"/>
      <c r="BV170" s="105"/>
      <c r="BW170" s="105"/>
      <c r="BX170" s="526"/>
    </row>
    <row r="171" spans="1:76" s="517" customFormat="1" ht="21" hidden="1" customHeight="1" outlineLevel="4" x14ac:dyDescent="0.25">
      <c r="A171" s="516" t="s">
        <v>397</v>
      </c>
      <c r="B171" s="69" t="str">
        <f ca="1">_xll.DBRA(Server&amp;$B$32,$A171,$N$19)</f>
        <v>Legal</v>
      </c>
      <c r="C171" s="366"/>
      <c r="D171" s="1"/>
      <c r="E171" s="1"/>
      <c r="H171" s="518"/>
      <c r="I171" s="95"/>
      <c r="J171" s="58"/>
      <c r="K171" s="105"/>
      <c r="L171" s="514" t="str">
        <f t="shared" ca="1" si="88"/>
        <v>Legal</v>
      </c>
      <c r="M171" s="498"/>
      <c r="N171" s="498"/>
      <c r="O171" s="498"/>
      <c r="P171" s="234"/>
      <c r="Q171" s="235">
        <f ca="1">_xll.DBRW(Server&amp;Cube1,$N$15,$N$16,$N$17,$N$18,$N$14,$N$13,$N$11,$Q$1,$A171)</f>
        <v>-153925668.79999998</v>
      </c>
      <c r="R171" s="235">
        <f ca="1">_xll.DBRW(Server&amp;Cube1,$N$15,$N$16,$N$17,$N$18,$N$14,$N$13,$R$2,$R$1,$A171)</f>
        <v>-121691756.78666669</v>
      </c>
      <c r="S171" s="236">
        <f t="shared" ca="1" si="89"/>
        <v>-32233912.013333291</v>
      </c>
      <c r="T171" s="238">
        <f t="shared" ca="1" si="90"/>
        <v>-0.26488163918811169</v>
      </c>
      <c r="U171" s="223"/>
      <c r="V171" s="235">
        <f ca="1">_xll.DBRW(Server&amp;Cube1,$N$15,$N$16,$N$17,$N$18,$N$14,$N$13,$V$2,$V$1,$B171)</f>
        <v>-111447495.86999999</v>
      </c>
      <c r="W171" s="236">
        <f t="shared" ca="1" si="91"/>
        <v>-42478172.929999992</v>
      </c>
      <c r="X171" s="238">
        <f t="shared" ca="1" si="92"/>
        <v>-0.38114964000222534</v>
      </c>
      <c r="Y171" s="105"/>
      <c r="Z171" s="105"/>
      <c r="AA171" s="105"/>
      <c r="AB171" s="105"/>
      <c r="AC171" s="105"/>
      <c r="AD171" s="105"/>
      <c r="AE171" s="105"/>
      <c r="AF171" s="105"/>
      <c r="AG171" s="105"/>
      <c r="AH171" s="105"/>
      <c r="AI171" s="105"/>
      <c r="AJ171" s="105"/>
      <c r="AK171" s="105"/>
      <c r="AL171" s="105"/>
      <c r="AM171" s="105"/>
      <c r="AN171" s="105"/>
      <c r="AO171" s="105"/>
      <c r="AP171" s="105"/>
      <c r="AQ171" s="105"/>
      <c r="AR171" s="105"/>
      <c r="AS171" s="105"/>
      <c r="AT171" s="105"/>
      <c r="AU171" s="105"/>
      <c r="AV171" s="105"/>
      <c r="AW171" s="105"/>
      <c r="AX171" s="105"/>
      <c r="AY171" s="105"/>
      <c r="AZ171" s="105"/>
      <c r="BA171" s="105"/>
      <c r="BB171" s="105"/>
      <c r="BC171" s="105"/>
      <c r="BD171" s="105"/>
      <c r="BE171" s="105"/>
      <c r="BF171" s="105"/>
      <c r="BG171" s="105"/>
      <c r="BH171" s="105"/>
      <c r="BI171" s="105"/>
      <c r="BJ171" s="105"/>
      <c r="BK171" s="105"/>
      <c r="BL171" s="105"/>
      <c r="BM171" s="105"/>
      <c r="BN171" s="105"/>
      <c r="BO171" s="105"/>
      <c r="BP171" s="105"/>
      <c r="BQ171" s="105"/>
      <c r="BR171" s="105"/>
      <c r="BS171" s="105"/>
      <c r="BT171" s="105"/>
      <c r="BU171" s="105"/>
      <c r="BV171" s="105"/>
      <c r="BW171" s="105"/>
      <c r="BX171" s="526"/>
    </row>
    <row r="172" spans="1:76" s="517" customFormat="1" ht="21" hidden="1" customHeight="1" outlineLevel="4" x14ac:dyDescent="0.25">
      <c r="A172" s="516" t="s">
        <v>398</v>
      </c>
      <c r="B172" s="69" t="str">
        <f ca="1">_xll.DBRA(Server&amp;$B$32,$A172,$N$19)</f>
        <v>Management fees</v>
      </c>
      <c r="C172" s="366"/>
      <c r="D172" s="1"/>
      <c r="E172" s="1"/>
      <c r="H172" s="518"/>
      <c r="I172" s="95"/>
      <c r="J172" s="58"/>
      <c r="K172" s="105"/>
      <c r="L172" s="514" t="str">
        <f t="shared" ca="1" si="88"/>
        <v>Management fees</v>
      </c>
      <c r="M172" s="498"/>
      <c r="N172" s="498"/>
      <c r="O172" s="498"/>
      <c r="P172" s="234"/>
      <c r="Q172" s="235">
        <f ca="1">_xll.DBRW(Server&amp;Cube1,$N$15,$N$16,$N$17,$N$18,$N$14,$N$13,$N$11,$Q$1,$A172)</f>
        <v>-261230982.08999997</v>
      </c>
      <c r="R172" s="235">
        <f ca="1">_xll.DBRW(Server&amp;Cube1,$N$15,$N$16,$N$17,$N$18,$N$14,$N$13,$R$2,$R$1,$A172)</f>
        <v>-276092577.92645746</v>
      </c>
      <c r="S172" s="236">
        <f t="shared" ca="1" si="89"/>
        <v>14861595.836457491</v>
      </c>
      <c r="T172" s="238">
        <f t="shared" ca="1" si="90"/>
        <v>5.3828306244495139E-2</v>
      </c>
      <c r="U172" s="223"/>
      <c r="V172" s="235">
        <f ca="1">_xll.DBRW(Server&amp;Cube1,$N$15,$N$16,$N$17,$N$18,$N$14,$N$13,$V$2,$V$1,$B172)</f>
        <v>-253545284.05559927</v>
      </c>
      <c r="W172" s="236">
        <f t="shared" ca="1" si="91"/>
        <v>-7685698.0344007015</v>
      </c>
      <c r="X172" s="238">
        <f t="shared" ca="1" si="92"/>
        <v>-3.0312920482935605E-2</v>
      </c>
      <c r="Y172" s="105"/>
      <c r="Z172" s="105"/>
      <c r="AA172" s="105"/>
      <c r="AB172" s="105"/>
      <c r="AC172" s="105"/>
      <c r="AD172" s="105"/>
      <c r="AE172" s="105"/>
      <c r="AF172" s="105"/>
      <c r="AG172" s="105"/>
      <c r="AH172" s="105"/>
      <c r="AI172" s="105"/>
      <c r="AJ172" s="105"/>
      <c r="AK172" s="105"/>
      <c r="AL172" s="105"/>
      <c r="AM172" s="105"/>
      <c r="AN172" s="105"/>
      <c r="AO172" s="105"/>
      <c r="AP172" s="105"/>
      <c r="AQ172" s="105"/>
      <c r="AR172" s="105"/>
      <c r="AS172" s="105"/>
      <c r="AT172" s="105"/>
      <c r="AU172" s="105"/>
      <c r="AV172" s="105"/>
      <c r="AW172" s="105"/>
      <c r="AX172" s="105"/>
      <c r="AY172" s="105"/>
      <c r="AZ172" s="105"/>
      <c r="BA172" s="105"/>
      <c r="BB172" s="105"/>
      <c r="BC172" s="105"/>
      <c r="BD172" s="105"/>
      <c r="BE172" s="105"/>
      <c r="BF172" s="105"/>
      <c r="BG172" s="105"/>
      <c r="BH172" s="105"/>
      <c r="BI172" s="105"/>
      <c r="BJ172" s="105"/>
      <c r="BK172" s="105"/>
      <c r="BL172" s="105"/>
      <c r="BM172" s="105"/>
      <c r="BN172" s="105"/>
      <c r="BO172" s="105"/>
      <c r="BP172" s="105"/>
      <c r="BQ172" s="105"/>
      <c r="BR172" s="105"/>
      <c r="BS172" s="105"/>
      <c r="BT172" s="105"/>
      <c r="BU172" s="105"/>
      <c r="BV172" s="105"/>
      <c r="BW172" s="105"/>
      <c r="BX172" s="526"/>
    </row>
    <row r="173" spans="1:76" s="517" customFormat="1" ht="21" hidden="1" customHeight="1" outlineLevel="4" x14ac:dyDescent="0.25">
      <c r="A173" s="516" t="s">
        <v>399</v>
      </c>
      <c r="B173" s="69" t="str">
        <f ca="1">_xll.DBRA(Server&amp;$B$32,$A173,$N$19)</f>
        <v>Purchasing</v>
      </c>
      <c r="C173" s="366"/>
      <c r="D173" s="1"/>
      <c r="E173" s="1"/>
      <c r="H173" s="518"/>
      <c r="I173" s="95"/>
      <c r="J173" s="58"/>
      <c r="K173" s="105"/>
      <c r="L173" s="514" t="str">
        <f t="shared" ca="1" si="88"/>
        <v>Purchasing</v>
      </c>
      <c r="M173" s="498"/>
      <c r="N173" s="498"/>
      <c r="O173" s="498"/>
      <c r="P173" s="234"/>
      <c r="Q173" s="235">
        <f ca="1">_xll.DBRW(Server&amp;Cube1,$N$15,$N$16,$N$17,$N$18,$N$14,$N$13,$N$11,$Q$1,$A173)</f>
        <v>-79484.600000000006</v>
      </c>
      <c r="R173" s="235">
        <f ca="1">_xll.DBRW(Server&amp;Cube1,$N$15,$N$16,$N$17,$N$18,$N$14,$N$13,$R$2,$R$1,$A173)</f>
        <v>-281427.42999999993</v>
      </c>
      <c r="S173" s="236">
        <f t="shared" ca="1" si="89"/>
        <v>201942.82999999993</v>
      </c>
      <c r="T173" s="238">
        <f t="shared" ca="1" si="90"/>
        <v>0.71756626566216364</v>
      </c>
      <c r="U173" s="223"/>
      <c r="V173" s="235">
        <f ca="1">_xll.DBRW(Server&amp;Cube1,$N$15,$N$16,$N$17,$N$18,$N$14,$N$13,$V$2,$V$1,$B173)</f>
        <v>-317766.17</v>
      </c>
      <c r="W173" s="236">
        <f t="shared" ca="1" si="91"/>
        <v>238281.56999999998</v>
      </c>
      <c r="X173" s="238">
        <f t="shared" ca="1" si="92"/>
        <v>0.74986449942106803</v>
      </c>
      <c r="Y173" s="105"/>
      <c r="Z173" s="105"/>
      <c r="AA173" s="105"/>
      <c r="AB173" s="105"/>
      <c r="AC173" s="105"/>
      <c r="AD173" s="105"/>
      <c r="AE173" s="105"/>
      <c r="AF173" s="105"/>
      <c r="AG173" s="105"/>
      <c r="AH173" s="105"/>
      <c r="AI173" s="105"/>
      <c r="AJ173" s="105"/>
      <c r="AK173" s="105"/>
      <c r="AL173" s="105"/>
      <c r="AM173" s="105"/>
      <c r="AN173" s="105"/>
      <c r="AO173" s="105"/>
      <c r="AP173" s="105"/>
      <c r="AQ173" s="105"/>
      <c r="AR173" s="105"/>
      <c r="AS173" s="105"/>
      <c r="AT173" s="105"/>
      <c r="AU173" s="105"/>
      <c r="AV173" s="105"/>
      <c r="AW173" s="105"/>
      <c r="AX173" s="105"/>
      <c r="AY173" s="105"/>
      <c r="AZ173" s="105"/>
      <c r="BA173" s="105"/>
      <c r="BB173" s="105"/>
      <c r="BC173" s="105"/>
      <c r="BD173" s="105"/>
      <c r="BE173" s="105"/>
      <c r="BF173" s="105"/>
      <c r="BG173" s="105"/>
      <c r="BH173" s="105"/>
      <c r="BI173" s="105"/>
      <c r="BJ173" s="105"/>
      <c r="BK173" s="105"/>
      <c r="BL173" s="105"/>
      <c r="BM173" s="105"/>
      <c r="BN173" s="105"/>
      <c r="BO173" s="105"/>
      <c r="BP173" s="105"/>
      <c r="BQ173" s="105"/>
      <c r="BR173" s="105"/>
      <c r="BS173" s="105"/>
      <c r="BT173" s="105"/>
      <c r="BU173" s="105"/>
      <c r="BV173" s="105"/>
      <c r="BW173" s="105"/>
      <c r="BX173" s="526"/>
    </row>
    <row r="174" spans="1:76" s="517" customFormat="1" ht="21" hidden="1" customHeight="1" outlineLevel="4" x14ac:dyDescent="0.25">
      <c r="A174" s="516" t="s">
        <v>400</v>
      </c>
      <c r="B174" s="69" t="str">
        <f ca="1">_xll.DBRA(Server&amp;$B$32,$A174,$N$19)</f>
        <v>R &amp; D</v>
      </c>
      <c r="C174" s="366"/>
      <c r="D174" s="1"/>
      <c r="E174" s="1"/>
      <c r="H174" s="518"/>
      <c r="I174" s="95"/>
      <c r="J174" s="58"/>
      <c r="K174" s="105"/>
      <c r="L174" s="514" t="str">
        <f t="shared" ca="1" si="88"/>
        <v>R &amp; D</v>
      </c>
      <c r="M174" s="498"/>
      <c r="N174" s="498"/>
      <c r="O174" s="498"/>
      <c r="P174" s="234"/>
      <c r="Q174" s="235">
        <f ca="1">_xll.DBRW(Server&amp;Cube1,$N$15,$N$16,$N$17,$N$18,$N$14,$N$13,$N$11,$Q$1,$A174)</f>
        <v>-212653.05</v>
      </c>
      <c r="R174" s="235">
        <f ca="1">_xll.DBRW(Server&amp;Cube1,$N$15,$N$16,$N$17,$N$18,$N$14,$N$13,$R$2,$R$1,$A174)</f>
        <v>-375561.094339</v>
      </c>
      <c r="S174" s="236">
        <f t="shared" ca="1" si="89"/>
        <v>162908.04433900001</v>
      </c>
      <c r="T174" s="238">
        <f t="shared" ca="1" si="90"/>
        <v>0.43377241890756441</v>
      </c>
      <c r="U174" s="223"/>
      <c r="V174" s="235">
        <f ca="1">_xll.DBRW(Server&amp;Cube1,$N$15,$N$16,$N$17,$N$18,$N$14,$N$13,$V$2,$V$1,$B174)</f>
        <v>-236457.09000000003</v>
      </c>
      <c r="W174" s="236">
        <f t="shared" ca="1" si="91"/>
        <v>23804.040000000037</v>
      </c>
      <c r="X174" s="238">
        <f t="shared" ca="1" si="92"/>
        <v>0.10066959717723006</v>
      </c>
      <c r="Y174" s="105"/>
      <c r="Z174" s="105"/>
      <c r="AA174" s="105"/>
      <c r="AB174" s="105"/>
      <c r="AC174" s="105"/>
      <c r="AD174" s="105"/>
      <c r="AE174" s="105"/>
      <c r="AF174" s="105"/>
      <c r="AG174" s="105"/>
      <c r="AH174" s="105"/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05"/>
      <c r="AS174" s="105"/>
      <c r="AT174" s="105"/>
      <c r="AU174" s="105"/>
      <c r="AV174" s="105"/>
      <c r="AW174" s="105"/>
      <c r="AX174" s="105"/>
      <c r="AY174" s="105"/>
      <c r="AZ174" s="105"/>
      <c r="BA174" s="105"/>
      <c r="BB174" s="105"/>
      <c r="BC174" s="105"/>
      <c r="BD174" s="105"/>
      <c r="BE174" s="105"/>
      <c r="BF174" s="105"/>
      <c r="BG174" s="105"/>
      <c r="BH174" s="105"/>
      <c r="BI174" s="105"/>
      <c r="BJ174" s="105"/>
      <c r="BK174" s="105"/>
      <c r="BL174" s="105"/>
      <c r="BM174" s="105"/>
      <c r="BN174" s="105"/>
      <c r="BO174" s="105"/>
      <c r="BP174" s="105"/>
      <c r="BQ174" s="105"/>
      <c r="BR174" s="105"/>
      <c r="BS174" s="105"/>
      <c r="BT174" s="105"/>
      <c r="BU174" s="105"/>
      <c r="BV174" s="105"/>
      <c r="BW174" s="105"/>
      <c r="BX174" s="526"/>
    </row>
    <row r="175" spans="1:76" s="517" customFormat="1" ht="21" hidden="1" customHeight="1" outlineLevel="4" x14ac:dyDescent="0.25">
      <c r="A175" s="516" t="s">
        <v>401</v>
      </c>
      <c r="B175" s="69" t="str">
        <f ca="1">_xll.DBRA(Server&amp;$B$32,$A175,$N$19)</f>
        <v>Risk management</v>
      </c>
      <c r="C175" s="366"/>
      <c r="D175" s="1"/>
      <c r="E175" s="1"/>
      <c r="H175" s="518"/>
      <c r="I175" s="95"/>
      <c r="J175" s="58"/>
      <c r="K175" s="105"/>
      <c r="L175" s="514" t="str">
        <f t="shared" ca="1" si="88"/>
        <v>Risk management</v>
      </c>
      <c r="M175" s="498"/>
      <c r="N175" s="498"/>
      <c r="O175" s="498"/>
      <c r="P175" s="234"/>
      <c r="Q175" s="235">
        <f ca="1">_xll.DBRW(Server&amp;Cube1,$N$15,$N$16,$N$17,$N$18,$N$14,$N$13,$N$11,$Q$1,$A175)</f>
        <v>-12320.8</v>
      </c>
      <c r="R175" s="235">
        <f ca="1">_xll.DBRW(Server&amp;Cube1,$N$15,$N$16,$N$17,$N$18,$N$14,$N$13,$R$2,$R$1,$A175)</f>
        <v>-20876.849999999999</v>
      </c>
      <c r="S175" s="236">
        <f t="shared" ca="1" si="89"/>
        <v>8556.0499999999993</v>
      </c>
      <c r="T175" s="238">
        <f t="shared" ca="1" si="90"/>
        <v>0.40983433803471309</v>
      </c>
      <c r="U175" s="223"/>
      <c r="V175" s="235">
        <f ca="1">_xll.DBRW(Server&amp;Cube1,$N$15,$N$16,$N$17,$N$18,$N$14,$N$13,$V$2,$V$1,$B175)</f>
        <v>-52997.829999999987</v>
      </c>
      <c r="W175" s="236">
        <f t="shared" ca="1" si="91"/>
        <v>40677.029999999984</v>
      </c>
      <c r="X175" s="238">
        <f t="shared" ca="1" si="92"/>
        <v>0.76752255705563788</v>
      </c>
      <c r="Y175" s="105"/>
      <c r="Z175" s="105"/>
      <c r="AA175" s="105"/>
      <c r="AB175" s="105"/>
      <c r="AC175" s="105"/>
      <c r="AD175" s="105"/>
      <c r="AE175" s="105"/>
      <c r="AF175" s="105"/>
      <c r="AG175" s="105"/>
      <c r="AH175" s="105"/>
      <c r="AI175" s="105"/>
      <c r="AJ175" s="105"/>
      <c r="AK175" s="105"/>
      <c r="AL175" s="105"/>
      <c r="AM175" s="105"/>
      <c r="AN175" s="105"/>
      <c r="AO175" s="105"/>
      <c r="AP175" s="105"/>
      <c r="AQ175" s="105"/>
      <c r="AR175" s="105"/>
      <c r="AS175" s="105"/>
      <c r="AT175" s="105"/>
      <c r="AU175" s="105"/>
      <c r="AV175" s="105"/>
      <c r="AW175" s="105"/>
      <c r="AX175" s="105"/>
      <c r="AY175" s="105"/>
      <c r="AZ175" s="105"/>
      <c r="BA175" s="105"/>
      <c r="BB175" s="105"/>
      <c r="BC175" s="105"/>
      <c r="BD175" s="105"/>
      <c r="BE175" s="105"/>
      <c r="BF175" s="105"/>
      <c r="BG175" s="105"/>
      <c r="BH175" s="105"/>
      <c r="BI175" s="105"/>
      <c r="BJ175" s="105"/>
      <c r="BK175" s="105"/>
      <c r="BL175" s="105"/>
      <c r="BM175" s="105"/>
      <c r="BN175" s="105"/>
      <c r="BO175" s="105"/>
      <c r="BP175" s="105"/>
      <c r="BQ175" s="105"/>
      <c r="BR175" s="105"/>
      <c r="BS175" s="105"/>
      <c r="BT175" s="105"/>
      <c r="BU175" s="105"/>
      <c r="BV175" s="105"/>
      <c r="BW175" s="105"/>
      <c r="BX175" s="526"/>
    </row>
    <row r="176" spans="1:76" s="517" customFormat="1" ht="21" hidden="1" customHeight="1" outlineLevel="4" x14ac:dyDescent="0.25">
      <c r="A176" s="516" t="s">
        <v>402</v>
      </c>
      <c r="B176" s="69" t="str">
        <f ca="1">_xll.DBRA(Server&amp;$B$32,$A176,$N$19)</f>
        <v>QHSE</v>
      </c>
      <c r="C176" s="366"/>
      <c r="D176" s="1"/>
      <c r="E176" s="1"/>
      <c r="H176" s="518"/>
      <c r="I176" s="95"/>
      <c r="J176" s="58"/>
      <c r="K176" s="105"/>
      <c r="L176" s="514" t="str">
        <f t="shared" ca="1" si="88"/>
        <v>QHSE</v>
      </c>
      <c r="M176" s="498"/>
      <c r="N176" s="498"/>
      <c r="O176" s="498"/>
      <c r="P176" s="234"/>
      <c r="Q176" s="235">
        <f ca="1">_xll.DBRW(Server&amp;Cube1,$N$15,$N$16,$N$17,$N$18,$N$14,$N$13,$N$11,$Q$1,$A176)</f>
        <v>-535939.98</v>
      </c>
      <c r="R176" s="235">
        <f ca="1">_xll.DBRW(Server&amp;Cube1,$N$15,$N$16,$N$17,$N$18,$N$14,$N$13,$R$2,$R$1,$A176)</f>
        <v>-382409.29</v>
      </c>
      <c r="S176" s="236">
        <f t="shared" ca="1" si="89"/>
        <v>-153530.69</v>
      </c>
      <c r="T176" s="238">
        <f t="shared" ca="1" si="90"/>
        <v>-0.40148263657506861</v>
      </c>
      <c r="U176" s="223"/>
      <c r="V176" s="235">
        <f ca="1">_xll.DBRW(Server&amp;Cube1,$N$15,$N$16,$N$17,$N$18,$N$14,$N$13,$V$2,$V$1,$B176)</f>
        <v>-419302.23999999993</v>
      </c>
      <c r="W176" s="236">
        <f t="shared" ca="1" si="91"/>
        <v>-116637.74000000005</v>
      </c>
      <c r="X176" s="238">
        <f t="shared" ca="1" si="92"/>
        <v>-0.27817103958233103</v>
      </c>
      <c r="Y176" s="105"/>
      <c r="Z176" s="105"/>
      <c r="AA176" s="105"/>
      <c r="AB176" s="105"/>
      <c r="AC176" s="105"/>
      <c r="AD176" s="105"/>
      <c r="AE176" s="105"/>
      <c r="AF176" s="105"/>
      <c r="AG176" s="105"/>
      <c r="AH176" s="105"/>
      <c r="AI176" s="105"/>
      <c r="AJ176" s="105"/>
      <c r="AK176" s="105"/>
      <c r="AL176" s="105"/>
      <c r="AM176" s="105"/>
      <c r="AN176" s="105"/>
      <c r="AO176" s="105"/>
      <c r="AP176" s="105"/>
      <c r="AQ176" s="105"/>
      <c r="AR176" s="105"/>
      <c r="AS176" s="105"/>
      <c r="AT176" s="105"/>
      <c r="AU176" s="105"/>
      <c r="AV176" s="105"/>
      <c r="AW176" s="105"/>
      <c r="AX176" s="105"/>
      <c r="AY176" s="105"/>
      <c r="AZ176" s="105"/>
      <c r="BA176" s="105"/>
      <c r="BB176" s="105"/>
      <c r="BC176" s="105"/>
      <c r="BD176" s="105"/>
      <c r="BE176" s="105"/>
      <c r="BF176" s="105"/>
      <c r="BG176" s="105"/>
      <c r="BH176" s="105"/>
      <c r="BI176" s="105"/>
      <c r="BJ176" s="105"/>
      <c r="BK176" s="105"/>
      <c r="BL176" s="105"/>
      <c r="BM176" s="105"/>
      <c r="BN176" s="105"/>
      <c r="BO176" s="105"/>
      <c r="BP176" s="105"/>
      <c r="BQ176" s="105"/>
      <c r="BR176" s="105"/>
      <c r="BS176" s="105"/>
      <c r="BT176" s="105"/>
      <c r="BU176" s="105"/>
      <c r="BV176" s="105"/>
      <c r="BW176" s="105"/>
      <c r="BX176" s="526"/>
    </row>
    <row r="177" spans="1:76" s="517" customFormat="1" ht="21" hidden="1" customHeight="1" outlineLevel="4" x14ac:dyDescent="0.25">
      <c r="A177" s="516" t="s">
        <v>403</v>
      </c>
      <c r="B177" s="69" t="str">
        <f ca="1">_xll.DBRA(Server&amp;$B$32,$A177,$N$19)</f>
        <v>Technical department</v>
      </c>
      <c r="C177" s="366"/>
      <c r="D177" s="1"/>
      <c r="E177" s="1"/>
      <c r="H177" s="518"/>
      <c r="I177" s="95"/>
      <c r="J177" s="58"/>
      <c r="K177" s="105"/>
      <c r="L177" s="514" t="str">
        <f t="shared" ca="1" si="88"/>
        <v>Technical department</v>
      </c>
      <c r="M177" s="498"/>
      <c r="N177" s="498"/>
      <c r="O177" s="498"/>
      <c r="P177" s="234"/>
      <c r="Q177" s="235">
        <f ca="1">_xll.DBRW(Server&amp;Cube1,$N$15,$N$16,$N$17,$N$18,$N$14,$N$13,$N$11,$Q$1,$A177)</f>
        <v>-20956.21</v>
      </c>
      <c r="R177" s="235">
        <f ca="1">_xll.DBRW(Server&amp;Cube1,$N$15,$N$16,$N$17,$N$18,$N$14,$N$13,$R$2,$R$1,$A177)</f>
        <v>-18141.985296666702</v>
      </c>
      <c r="S177" s="236">
        <f t="shared" ca="1" si="89"/>
        <v>-2814.2247033332969</v>
      </c>
      <c r="T177" s="238">
        <f t="shared" ca="1" si="90"/>
        <v>-0.15512220174990249</v>
      </c>
      <c r="U177" s="223"/>
      <c r="V177" s="235">
        <f ca="1">_xll.DBRW(Server&amp;Cube1,$N$15,$N$16,$N$17,$N$18,$N$14,$N$13,$V$2,$V$1,$B177)</f>
        <v>-27542.050000000003</v>
      </c>
      <c r="W177" s="236">
        <f t="shared" ca="1" si="91"/>
        <v>6585.8400000000038</v>
      </c>
      <c r="X177" s="238">
        <f t="shared" ca="1" si="92"/>
        <v>0.23911945552346334</v>
      </c>
      <c r="Y177" s="105"/>
      <c r="Z177" s="105"/>
      <c r="AA177" s="105"/>
      <c r="AB177" s="105"/>
      <c r="AC177" s="105"/>
      <c r="AD177" s="105"/>
      <c r="AE177" s="105"/>
      <c r="AF177" s="105"/>
      <c r="AG177" s="105"/>
      <c r="AH177" s="105"/>
      <c r="AI177" s="105"/>
      <c r="AJ177" s="105"/>
      <c r="AK177" s="105"/>
      <c r="AL177" s="105"/>
      <c r="AM177" s="105"/>
      <c r="AN177" s="105"/>
      <c r="AO177" s="105"/>
      <c r="AP177" s="105"/>
      <c r="AQ177" s="105"/>
      <c r="AR177" s="105"/>
      <c r="AS177" s="105"/>
      <c r="AT177" s="105"/>
      <c r="AU177" s="105"/>
      <c r="AV177" s="105"/>
      <c r="AW177" s="105"/>
      <c r="AX177" s="105"/>
      <c r="AY177" s="105"/>
      <c r="AZ177" s="105"/>
      <c r="BA177" s="105"/>
      <c r="BB177" s="105"/>
      <c r="BC177" s="105"/>
      <c r="BD177" s="105"/>
      <c r="BE177" s="105"/>
      <c r="BF177" s="105"/>
      <c r="BG177" s="105"/>
      <c r="BH177" s="105"/>
      <c r="BI177" s="105"/>
      <c r="BJ177" s="105"/>
      <c r="BK177" s="105"/>
      <c r="BL177" s="105"/>
      <c r="BM177" s="105"/>
      <c r="BN177" s="105"/>
      <c r="BO177" s="105"/>
      <c r="BP177" s="105"/>
      <c r="BQ177" s="105"/>
      <c r="BR177" s="105"/>
      <c r="BS177" s="105"/>
      <c r="BT177" s="105"/>
      <c r="BU177" s="105"/>
      <c r="BV177" s="105"/>
      <c r="BW177" s="105"/>
      <c r="BX177" s="526"/>
    </row>
    <row r="178" spans="1:76" s="517" customFormat="1" ht="21" hidden="1" customHeight="1" outlineLevel="4" x14ac:dyDescent="0.25">
      <c r="A178" s="516" t="s">
        <v>404</v>
      </c>
      <c r="B178" s="69" t="str">
        <f ca="1">_xll.DBRA(Server&amp;$B$32,$A178,$N$19)</f>
        <v>Tax Management</v>
      </c>
      <c r="C178" s="366"/>
      <c r="D178" s="1"/>
      <c r="E178" s="1"/>
      <c r="H178" s="518"/>
      <c r="I178" s="95"/>
      <c r="J178" s="58"/>
      <c r="K178" s="105"/>
      <c r="L178" s="514" t="str">
        <f t="shared" ca="1" si="88"/>
        <v>Tax Management</v>
      </c>
      <c r="M178" s="498"/>
      <c r="N178" s="498"/>
      <c r="O178" s="498"/>
      <c r="P178" s="234"/>
      <c r="Q178" s="235">
        <f ca="1">_xll.DBRW(Server&amp;Cube1,$N$15,$N$16,$N$17,$N$18,$N$14,$N$13,$N$11,$Q$1,$A178)</f>
        <v>-746.94</v>
      </c>
      <c r="R178" s="235">
        <f ca="1">_xll.DBRW(Server&amp;Cube1,$N$15,$N$16,$N$17,$N$18,$N$14,$N$13,$R$2,$R$1,$A178)</f>
        <v>-200</v>
      </c>
      <c r="S178" s="236">
        <f t="shared" ca="1" si="89"/>
        <v>-546.94000000000005</v>
      </c>
      <c r="T178" s="238">
        <f t="shared" ca="1" si="90"/>
        <v>-2.7347000000000001</v>
      </c>
      <c r="U178" s="223"/>
      <c r="V178" s="235">
        <f ca="1">_xll.DBRW(Server&amp;Cube1,$N$15,$N$16,$N$17,$N$18,$N$14,$N$13,$V$2,$V$1,$B178)</f>
        <v>-593.30999999999995</v>
      </c>
      <c r="W178" s="236">
        <f t="shared" ca="1" si="91"/>
        <v>-153.63000000000011</v>
      </c>
      <c r="X178" s="238">
        <f t="shared" ca="1" si="92"/>
        <v>-0.25893714921373334</v>
      </c>
      <c r="Y178" s="105"/>
      <c r="Z178" s="105"/>
      <c r="AA178" s="105"/>
      <c r="AB178" s="105"/>
      <c r="AC178" s="105"/>
      <c r="AD178" s="105"/>
      <c r="AE178" s="105"/>
      <c r="AF178" s="105"/>
      <c r="AG178" s="105"/>
      <c r="AH178" s="105"/>
      <c r="AI178" s="105"/>
      <c r="AJ178" s="105"/>
      <c r="AK178" s="105"/>
      <c r="AL178" s="105"/>
      <c r="AM178" s="105"/>
      <c r="AN178" s="105"/>
      <c r="AO178" s="105"/>
      <c r="AP178" s="105"/>
      <c r="AQ178" s="105"/>
      <c r="AR178" s="105"/>
      <c r="AS178" s="105"/>
      <c r="AT178" s="105"/>
      <c r="AU178" s="105"/>
      <c r="AV178" s="105"/>
      <c r="AW178" s="105"/>
      <c r="AX178" s="105"/>
      <c r="AY178" s="105"/>
      <c r="AZ178" s="105"/>
      <c r="BA178" s="105"/>
      <c r="BB178" s="105"/>
      <c r="BC178" s="105"/>
      <c r="BD178" s="105"/>
      <c r="BE178" s="105"/>
      <c r="BF178" s="105"/>
      <c r="BG178" s="105"/>
      <c r="BH178" s="105"/>
      <c r="BI178" s="105"/>
      <c r="BJ178" s="105"/>
      <c r="BK178" s="105"/>
      <c r="BL178" s="105"/>
      <c r="BM178" s="105"/>
      <c r="BN178" s="105"/>
      <c r="BO178" s="105"/>
      <c r="BP178" s="105"/>
      <c r="BQ178" s="105"/>
      <c r="BR178" s="105"/>
      <c r="BS178" s="105"/>
      <c r="BT178" s="105"/>
      <c r="BU178" s="105"/>
      <c r="BV178" s="105"/>
      <c r="BW178" s="105"/>
      <c r="BX178" s="526"/>
    </row>
    <row r="179" spans="1:76" s="34" customFormat="1" ht="12.75" hidden="1" outlineLevel="1" x14ac:dyDescent="0.25">
      <c r="C179" s="9"/>
      <c r="D179" s="1"/>
      <c r="E179" s="1"/>
      <c r="H179" s="377"/>
      <c r="I179" s="95"/>
      <c r="J179" s="58"/>
      <c r="K179" s="105"/>
      <c r="L179" s="105"/>
      <c r="M179" s="105"/>
      <c r="N179" s="105"/>
      <c r="O179" s="105"/>
      <c r="P179" s="105"/>
      <c r="Q179" s="105"/>
      <c r="R179" s="105"/>
      <c r="S179" s="105"/>
      <c r="T179" s="105"/>
      <c r="U179" s="105"/>
      <c r="V179" s="105"/>
      <c r="W179" s="105"/>
      <c r="X179" s="105"/>
      <c r="Y179" s="105"/>
      <c r="Z179" s="105"/>
      <c r="AA179" s="105"/>
      <c r="AB179" s="105"/>
      <c r="AC179" s="105"/>
      <c r="AD179" s="105"/>
      <c r="AE179" s="105"/>
      <c r="AF179" s="105"/>
      <c r="AG179" s="105"/>
      <c r="AH179" s="105"/>
      <c r="AI179" s="105"/>
      <c r="AJ179" s="105"/>
      <c r="AK179" s="105"/>
      <c r="AL179" s="105"/>
      <c r="AM179" s="105"/>
      <c r="AN179" s="105"/>
      <c r="AO179" s="105"/>
      <c r="AP179" s="105"/>
      <c r="AQ179" s="105"/>
      <c r="AR179" s="105"/>
      <c r="AS179" s="105"/>
      <c r="AT179" s="105"/>
      <c r="AU179" s="105"/>
      <c r="AV179" s="105"/>
      <c r="AW179" s="105"/>
      <c r="AX179" s="105"/>
      <c r="AY179" s="105"/>
      <c r="AZ179" s="105"/>
      <c r="BA179" s="105"/>
      <c r="BB179" s="105"/>
      <c r="BC179" s="105"/>
      <c r="BD179" s="105"/>
      <c r="BE179" s="105"/>
      <c r="BF179" s="105"/>
      <c r="BG179" s="105"/>
      <c r="BH179" s="105"/>
      <c r="BI179" s="105"/>
      <c r="BJ179" s="105"/>
      <c r="BK179" s="105"/>
      <c r="BL179" s="105"/>
      <c r="BM179" s="105"/>
      <c r="BN179" s="105"/>
      <c r="BO179" s="105"/>
      <c r="BP179" s="105"/>
      <c r="BQ179" s="105"/>
      <c r="BR179" s="105"/>
      <c r="BS179" s="105"/>
      <c r="BT179" s="105"/>
      <c r="BU179" s="105"/>
      <c r="BV179" s="105"/>
      <c r="BW179" s="105"/>
      <c r="BX179" s="28"/>
    </row>
    <row r="180" spans="1:76" s="34" customFormat="1" ht="21" hidden="1" customHeight="1" outlineLevel="1" collapsed="1" x14ac:dyDescent="0.25">
      <c r="A180" s="379" t="s">
        <v>352</v>
      </c>
      <c r="B180" s="360" t="str">
        <f ca="1">_xll.DBRA(Server&amp;$B$32,$A180,$N$19)</f>
        <v>OTHER OPERATING REVENUE AND EXPENSE (by destination)</v>
      </c>
      <c r="C180" s="9"/>
      <c r="D180" s="1"/>
      <c r="E180" s="1"/>
      <c r="H180" s="377"/>
      <c r="I180" s="95"/>
      <c r="J180" s="58"/>
      <c r="K180" s="105"/>
      <c r="L180" s="546" t="str">
        <f ca="1">LEFT(B180,FIND("(",B180,1)-1)</f>
        <v xml:space="preserve">OTHER OPERATING REVENUE AND EXPENSE </v>
      </c>
      <c r="M180" s="546"/>
      <c r="N180" s="546"/>
      <c r="O180" s="546"/>
      <c r="P180" s="546"/>
      <c r="Q180" s="241">
        <f ca="1">_xll.DBRW(Server&amp;Cube1,$N$15,$N$16,$N$17,$N$18,$N$14,$N$13,$N$11,$Q$1,$A180)</f>
        <v>0</v>
      </c>
      <c r="R180" s="241">
        <f ca="1">_xll.DBRW(Server&amp;Cube1,$N$15,$N$16,$N$17,$N$18,$N$14,$N$13,$R$2,$R$1,$A180)</f>
        <v>0</v>
      </c>
      <c r="S180" s="242">
        <f ca="1">Q180-R180</f>
        <v>0</v>
      </c>
      <c r="T180" s="243">
        <f ca="1">IF(R180&lt;&gt;0,IF(R180&gt;0,S180/R180,-S180/R180),0)</f>
        <v>0</v>
      </c>
      <c r="U180" s="216"/>
      <c r="V180" s="241">
        <f ca="1">_xll.DBRW(Server&amp;Cube1,$N$15,$N$16,$N$17,$N$18,$N$14,$N$13,$V$2,$V$1,$B180)</f>
        <v>-51346.86</v>
      </c>
      <c r="W180" s="242">
        <f ca="1">Q180-V180</f>
        <v>51346.86</v>
      </c>
      <c r="X180" s="243">
        <f ca="1">IF(V180&lt;&gt;0,IF(V180&gt;0,W180/V180,-W180/V180),0)</f>
        <v>1</v>
      </c>
      <c r="Y180" s="105"/>
      <c r="Z180" s="105"/>
      <c r="AA180" s="105"/>
      <c r="AB180" s="105"/>
      <c r="AC180" s="105"/>
      <c r="AD180" s="105"/>
      <c r="AE180" s="105"/>
      <c r="AF180" s="105"/>
      <c r="AG180" s="105"/>
      <c r="AH180" s="105"/>
      <c r="AI180" s="105"/>
      <c r="AJ180" s="105"/>
      <c r="AK180" s="105"/>
      <c r="AL180" s="105"/>
      <c r="AM180" s="105"/>
      <c r="AN180" s="105"/>
      <c r="AO180" s="105"/>
      <c r="AP180" s="105"/>
      <c r="AQ180" s="105"/>
      <c r="AR180" s="105"/>
      <c r="AS180" s="105"/>
      <c r="AT180" s="105"/>
      <c r="AU180" s="105"/>
      <c r="AV180" s="105"/>
      <c r="AW180" s="105"/>
      <c r="AX180" s="105"/>
      <c r="AY180" s="105"/>
      <c r="AZ180" s="105"/>
      <c r="BA180" s="105"/>
      <c r="BB180" s="105"/>
      <c r="BC180" s="105"/>
      <c r="BD180" s="105"/>
      <c r="BE180" s="105"/>
      <c r="BF180" s="105"/>
      <c r="BG180" s="105"/>
      <c r="BH180" s="105"/>
      <c r="BI180" s="105"/>
      <c r="BJ180" s="105"/>
      <c r="BK180" s="105"/>
      <c r="BL180" s="105"/>
      <c r="BM180" s="105"/>
      <c r="BN180" s="105"/>
      <c r="BO180" s="105"/>
      <c r="BP180" s="105"/>
      <c r="BQ180" s="105"/>
      <c r="BR180" s="105"/>
      <c r="BS180" s="105"/>
      <c r="BT180" s="105"/>
      <c r="BU180" s="105"/>
      <c r="BV180" s="105"/>
      <c r="BW180" s="105"/>
      <c r="BX180" s="28"/>
    </row>
    <row r="181" spans="1:76" s="517" customFormat="1" ht="21" hidden="1" customHeight="1" outlineLevel="4" collapsed="1" x14ac:dyDescent="0.25">
      <c r="A181" s="516" t="s">
        <v>405</v>
      </c>
      <c r="B181" s="69" t="str">
        <f ca="1">_xll.DBRA(Server&amp;$B$32,$A181,$N$19)</f>
        <v>Other operating rev. &amp; exp.</v>
      </c>
      <c r="C181" s="366"/>
      <c r="D181" s="1"/>
      <c r="E181" s="1"/>
      <c r="H181" s="518"/>
      <c r="I181" s="95"/>
      <c r="J181" s="58"/>
      <c r="K181" s="105"/>
      <c r="L181" s="531" t="str">
        <f t="shared" ref="L181:L194" ca="1" si="93">B181</f>
        <v>Other operating rev. &amp; exp.</v>
      </c>
      <c r="M181" s="520"/>
      <c r="N181" s="520"/>
      <c r="O181" s="520"/>
      <c r="P181" s="521"/>
      <c r="Q181" s="522">
        <f ca="1">_xll.DBRW(Server&amp;Cube1,$N$15,$N$16,$N$17,$N$18,$N$14,$N$13,$N$11,$Q$1,$A181)</f>
        <v>0</v>
      </c>
      <c r="R181" s="522">
        <f ca="1">_xll.DBRW(Server&amp;Cube1,$N$15,$N$16,$N$17,$N$18,$N$14,$N$13,$R$2,$R$1,$A181)</f>
        <v>0</v>
      </c>
      <c r="S181" s="523">
        <f t="shared" ref="S181:S194" ca="1" si="94">Q181-R181</f>
        <v>0</v>
      </c>
      <c r="T181" s="524">
        <f t="shared" ref="T181:T194" ca="1" si="95">IF(R181&lt;&gt;0,IF(R181&gt;0,S181/R181,-S181/R181),0)</f>
        <v>0</v>
      </c>
      <c r="U181" s="525"/>
      <c r="V181" s="522">
        <f ca="1">_xll.DBRW(Server&amp;Cube1,$N$15,$N$16,$N$17,$N$18,$N$14,$N$13,$V$2,$V$1,$B181)</f>
        <v>-51346.86</v>
      </c>
      <c r="W181" s="523">
        <f t="shared" ref="W181:W194" ca="1" si="96">Q181-V181</f>
        <v>51346.86</v>
      </c>
      <c r="X181" s="524">
        <f t="shared" ref="X181:X194" ca="1" si="97">IF(V181&lt;&gt;0,IF(V181&gt;0,W181/V181,-W181/V181),0)</f>
        <v>1</v>
      </c>
      <c r="Y181" s="105"/>
      <c r="Z181" s="105"/>
      <c r="AA181" s="105"/>
      <c r="AB181" s="105"/>
      <c r="AC181" s="105"/>
      <c r="AD181" s="105"/>
      <c r="AE181" s="105"/>
      <c r="AF181" s="105"/>
      <c r="AG181" s="105"/>
      <c r="AH181" s="105"/>
      <c r="AI181" s="105"/>
      <c r="AJ181" s="105"/>
      <c r="AK181" s="105"/>
      <c r="AL181" s="105"/>
      <c r="AM181" s="105"/>
      <c r="AN181" s="105"/>
      <c r="AO181" s="105"/>
      <c r="AP181" s="105"/>
      <c r="AQ181" s="105"/>
      <c r="AR181" s="105"/>
      <c r="AS181" s="105"/>
      <c r="AT181" s="105"/>
      <c r="AU181" s="105"/>
      <c r="AV181" s="105"/>
      <c r="AW181" s="105"/>
      <c r="AX181" s="105"/>
      <c r="AY181" s="105"/>
      <c r="AZ181" s="105"/>
      <c r="BA181" s="105"/>
      <c r="BB181" s="105"/>
      <c r="BC181" s="105"/>
      <c r="BD181" s="105"/>
      <c r="BE181" s="105"/>
      <c r="BF181" s="105"/>
      <c r="BG181" s="105"/>
      <c r="BH181" s="105"/>
      <c r="BI181" s="105"/>
      <c r="BJ181" s="105"/>
      <c r="BK181" s="105"/>
      <c r="BL181" s="105"/>
      <c r="BM181" s="105"/>
      <c r="BN181" s="105"/>
      <c r="BO181" s="105"/>
      <c r="BP181" s="105"/>
      <c r="BQ181" s="105"/>
      <c r="BR181" s="105"/>
      <c r="BS181" s="105"/>
      <c r="BT181" s="105"/>
      <c r="BU181" s="105"/>
      <c r="BV181" s="105"/>
      <c r="BW181" s="105"/>
      <c r="BX181" s="526"/>
    </row>
    <row r="182" spans="1:76" s="34" customFormat="1" ht="21" hidden="1" customHeight="1" outlineLevel="5" x14ac:dyDescent="0.25">
      <c r="A182" s="379" t="s">
        <v>406</v>
      </c>
      <c r="B182" s="360" t="str">
        <f ca="1">_xll.DBRA(Server&amp;$B$32,$A182,$N$19)</f>
        <v>Interco link ac - Revenue from Ordinary Activities</v>
      </c>
      <c r="C182" s="9"/>
      <c r="D182" s="527"/>
      <c r="E182" s="527"/>
      <c r="H182" s="377"/>
      <c r="I182" s="528"/>
      <c r="J182" s="529"/>
      <c r="K182" s="530"/>
      <c r="L182" s="514" t="str">
        <f t="shared" ca="1" si="93"/>
        <v>Interco link ac - Revenue from Ordinary Activities</v>
      </c>
      <c r="M182" s="498"/>
      <c r="N182" s="498"/>
      <c r="O182" s="498"/>
      <c r="P182" s="234"/>
      <c r="Q182" s="235">
        <f ca="1">_xll.DBRW(Server&amp;Cube1,$N$15,$N$16,$N$17,$N$18,$N$14,$N$13,$N$11,$Q$1,$A182)</f>
        <v>0</v>
      </c>
      <c r="R182" s="235">
        <f ca="1">_xll.DBRW(Server&amp;Cube1,$N$15,$N$16,$N$17,$N$18,$N$14,$N$13,$R$2,$R$1,$A182)</f>
        <v>0</v>
      </c>
      <c r="S182" s="236">
        <f t="shared" ca="1" si="94"/>
        <v>0</v>
      </c>
      <c r="T182" s="238">
        <f t="shared" ca="1" si="95"/>
        <v>0</v>
      </c>
      <c r="U182" s="223"/>
      <c r="V182" s="235">
        <f ca="1">_xll.DBRW(Server&amp;Cube1,$N$15,$N$16,$N$17,$N$18,$N$14,$N$13,$V$2,$V$1,$B182)</f>
        <v>0</v>
      </c>
      <c r="W182" s="236">
        <f t="shared" ca="1" si="96"/>
        <v>0</v>
      </c>
      <c r="X182" s="238">
        <f t="shared" ca="1" si="97"/>
        <v>0</v>
      </c>
      <c r="Y182" s="530"/>
      <c r="Z182" s="530"/>
      <c r="AA182" s="530"/>
      <c r="AB182" s="530"/>
      <c r="AC182" s="530"/>
      <c r="AD182" s="530"/>
      <c r="AE182" s="530"/>
      <c r="AF182" s="530"/>
      <c r="AG182" s="530"/>
      <c r="AH182" s="530"/>
      <c r="AI182" s="530"/>
      <c r="AJ182" s="530"/>
      <c r="AK182" s="530"/>
      <c r="AL182" s="530"/>
      <c r="AM182" s="530"/>
      <c r="AN182" s="530"/>
      <c r="AO182" s="530"/>
      <c r="AP182" s="530"/>
      <c r="AQ182" s="530"/>
      <c r="AR182" s="530"/>
      <c r="AS182" s="530"/>
      <c r="AT182" s="530"/>
      <c r="AU182" s="530"/>
      <c r="AV182" s="530"/>
      <c r="AW182" s="530"/>
      <c r="AX182" s="530"/>
      <c r="AY182" s="530"/>
      <c r="AZ182" s="530"/>
      <c r="BA182" s="530"/>
      <c r="BB182" s="530"/>
      <c r="BC182" s="530"/>
      <c r="BD182" s="530"/>
      <c r="BE182" s="530"/>
      <c r="BF182" s="530"/>
      <c r="BG182" s="530"/>
      <c r="BH182" s="530"/>
      <c r="BI182" s="530"/>
      <c r="BJ182" s="530"/>
      <c r="BK182" s="530"/>
      <c r="BL182" s="530"/>
      <c r="BM182" s="530"/>
      <c r="BN182" s="530"/>
      <c r="BO182" s="530"/>
      <c r="BP182" s="530"/>
      <c r="BQ182" s="530"/>
      <c r="BR182" s="530"/>
      <c r="BS182" s="530"/>
      <c r="BT182" s="530"/>
      <c r="BU182" s="530"/>
      <c r="BV182" s="530"/>
      <c r="BW182" s="530"/>
      <c r="BX182" s="28"/>
    </row>
    <row r="183" spans="1:76" s="34" customFormat="1" ht="21" hidden="1" customHeight="1" outlineLevel="5" x14ac:dyDescent="0.25">
      <c r="A183" s="379" t="s">
        <v>407</v>
      </c>
      <c r="B183" s="360" t="str">
        <f ca="1">_xll.DBRA(Server&amp;$B$32,$A183,$N$19)</f>
        <v>Interco link a/c - Cost of sales, operating profit</v>
      </c>
      <c r="C183" s="9"/>
      <c r="D183" s="527"/>
      <c r="E183" s="527"/>
      <c r="H183" s="377"/>
      <c r="I183" s="528"/>
      <c r="J183" s="529"/>
      <c r="K183" s="530"/>
      <c r="L183" s="514" t="str">
        <f t="shared" ca="1" si="93"/>
        <v>Interco link a/c - Cost of sales, operating profit</v>
      </c>
      <c r="M183" s="498"/>
      <c r="N183" s="498"/>
      <c r="O183" s="498"/>
      <c r="P183" s="234"/>
      <c r="Q183" s="235">
        <f ca="1">_xll.DBRW(Server&amp;Cube1,$N$15,$N$16,$N$17,$N$18,$N$14,$N$13,$N$11,$Q$1,$A183)</f>
        <v>0</v>
      </c>
      <c r="R183" s="235">
        <f ca="1">_xll.DBRW(Server&amp;Cube1,$N$15,$N$16,$N$17,$N$18,$N$14,$N$13,$R$2,$R$1,$A183)</f>
        <v>0</v>
      </c>
      <c r="S183" s="236">
        <f t="shared" ca="1" si="94"/>
        <v>0</v>
      </c>
      <c r="T183" s="238">
        <f t="shared" ca="1" si="95"/>
        <v>0</v>
      </c>
      <c r="U183" s="223"/>
      <c r="V183" s="235">
        <f ca="1">_xll.DBRW(Server&amp;Cube1,$N$15,$N$16,$N$17,$N$18,$N$14,$N$13,$V$2,$V$1,$B183)</f>
        <v>0</v>
      </c>
      <c r="W183" s="236">
        <f t="shared" ca="1" si="96"/>
        <v>0</v>
      </c>
      <c r="X183" s="238">
        <f t="shared" ca="1" si="97"/>
        <v>0</v>
      </c>
      <c r="Y183" s="530"/>
      <c r="Z183" s="530"/>
      <c r="AA183" s="530"/>
      <c r="AB183" s="530"/>
      <c r="AC183" s="530"/>
      <c r="AD183" s="530"/>
      <c r="AE183" s="530"/>
      <c r="AF183" s="530"/>
      <c r="AG183" s="530"/>
      <c r="AH183" s="530"/>
      <c r="AI183" s="530"/>
      <c r="AJ183" s="530"/>
      <c r="AK183" s="530"/>
      <c r="AL183" s="530"/>
      <c r="AM183" s="530"/>
      <c r="AN183" s="530"/>
      <c r="AO183" s="530"/>
      <c r="AP183" s="530"/>
      <c r="AQ183" s="530"/>
      <c r="AR183" s="530"/>
      <c r="AS183" s="530"/>
      <c r="AT183" s="530"/>
      <c r="AU183" s="530"/>
      <c r="AV183" s="530"/>
      <c r="AW183" s="530"/>
      <c r="AX183" s="530"/>
      <c r="AY183" s="530"/>
      <c r="AZ183" s="530"/>
      <c r="BA183" s="530"/>
      <c r="BB183" s="530"/>
      <c r="BC183" s="530"/>
      <c r="BD183" s="530"/>
      <c r="BE183" s="530"/>
      <c r="BF183" s="530"/>
      <c r="BG183" s="530"/>
      <c r="BH183" s="530"/>
      <c r="BI183" s="530"/>
      <c r="BJ183" s="530"/>
      <c r="BK183" s="530"/>
      <c r="BL183" s="530"/>
      <c r="BM183" s="530"/>
      <c r="BN183" s="530"/>
      <c r="BO183" s="530"/>
      <c r="BP183" s="530"/>
      <c r="BQ183" s="530"/>
      <c r="BR183" s="530"/>
      <c r="BS183" s="530"/>
      <c r="BT183" s="530"/>
      <c r="BU183" s="530"/>
      <c r="BV183" s="530"/>
      <c r="BW183" s="530"/>
      <c r="BX183" s="28"/>
    </row>
    <row r="184" spans="1:76" s="34" customFormat="1" ht="21" hidden="1" customHeight="1" outlineLevel="5" x14ac:dyDescent="0.25">
      <c r="A184" s="379" t="s">
        <v>408</v>
      </c>
      <c r="B184" s="360" t="str">
        <f ca="1">_xll.DBRA(Server&amp;$B$32,$A184,$N$19)</f>
        <v>Interco link a/c - Selling costs, operating profit</v>
      </c>
      <c r="C184" s="9"/>
      <c r="D184" s="527"/>
      <c r="E184" s="527"/>
      <c r="H184" s="377"/>
      <c r="I184" s="528"/>
      <c r="J184" s="529"/>
      <c r="K184" s="530"/>
      <c r="L184" s="514" t="str">
        <f t="shared" ca="1" si="93"/>
        <v>Interco link a/c - Selling costs, operating profit</v>
      </c>
      <c r="M184" s="498"/>
      <c r="N184" s="498"/>
      <c r="O184" s="498"/>
      <c r="P184" s="234"/>
      <c r="Q184" s="235">
        <f ca="1">_xll.DBRW(Server&amp;Cube1,$N$15,$N$16,$N$17,$N$18,$N$14,$N$13,$N$11,$Q$1,$A184)</f>
        <v>0</v>
      </c>
      <c r="R184" s="235">
        <f ca="1">_xll.DBRW(Server&amp;Cube1,$N$15,$N$16,$N$17,$N$18,$N$14,$N$13,$R$2,$R$1,$A184)</f>
        <v>0</v>
      </c>
      <c r="S184" s="236">
        <f t="shared" ca="1" si="94"/>
        <v>0</v>
      </c>
      <c r="T184" s="238">
        <f t="shared" ca="1" si="95"/>
        <v>0</v>
      </c>
      <c r="U184" s="223"/>
      <c r="V184" s="235">
        <f ca="1">_xll.DBRW(Server&amp;Cube1,$N$15,$N$16,$N$17,$N$18,$N$14,$N$13,$V$2,$V$1,$B184)</f>
        <v>0</v>
      </c>
      <c r="W184" s="236">
        <f t="shared" ca="1" si="96"/>
        <v>0</v>
      </c>
      <c r="X184" s="238">
        <f t="shared" ca="1" si="97"/>
        <v>0</v>
      </c>
      <c r="Y184" s="530"/>
      <c r="Z184" s="530"/>
      <c r="AA184" s="530"/>
      <c r="AB184" s="530"/>
      <c r="AC184" s="530"/>
      <c r="AD184" s="530"/>
      <c r="AE184" s="530"/>
      <c r="AF184" s="530"/>
      <c r="AG184" s="530"/>
      <c r="AH184" s="530"/>
      <c r="AI184" s="530"/>
      <c r="AJ184" s="530"/>
      <c r="AK184" s="530"/>
      <c r="AL184" s="530"/>
      <c r="AM184" s="530"/>
      <c r="AN184" s="530"/>
      <c r="AO184" s="530"/>
      <c r="AP184" s="530"/>
      <c r="AQ184" s="530"/>
      <c r="AR184" s="530"/>
      <c r="AS184" s="530"/>
      <c r="AT184" s="530"/>
      <c r="AU184" s="530"/>
      <c r="AV184" s="530"/>
      <c r="AW184" s="530"/>
      <c r="AX184" s="530"/>
      <c r="AY184" s="530"/>
      <c r="AZ184" s="530"/>
      <c r="BA184" s="530"/>
      <c r="BB184" s="530"/>
      <c r="BC184" s="530"/>
      <c r="BD184" s="530"/>
      <c r="BE184" s="530"/>
      <c r="BF184" s="530"/>
      <c r="BG184" s="530"/>
      <c r="BH184" s="530"/>
      <c r="BI184" s="530"/>
      <c r="BJ184" s="530"/>
      <c r="BK184" s="530"/>
      <c r="BL184" s="530"/>
      <c r="BM184" s="530"/>
      <c r="BN184" s="530"/>
      <c r="BO184" s="530"/>
      <c r="BP184" s="530"/>
      <c r="BQ184" s="530"/>
      <c r="BR184" s="530"/>
      <c r="BS184" s="530"/>
      <c r="BT184" s="530"/>
      <c r="BU184" s="530"/>
      <c r="BV184" s="530"/>
      <c r="BW184" s="530"/>
      <c r="BX184" s="28"/>
    </row>
    <row r="185" spans="1:76" s="34" customFormat="1" ht="21" hidden="1" customHeight="1" outlineLevel="5" x14ac:dyDescent="0.25">
      <c r="A185" s="379" t="s">
        <v>409</v>
      </c>
      <c r="B185" s="360" t="str">
        <f ca="1">_xll.DBRA(Server&amp;$B$32,$A185,$N$19)</f>
        <v>Interco link a/c - General &amp; Administration , operating profit</v>
      </c>
      <c r="C185" s="9"/>
      <c r="D185" s="527"/>
      <c r="E185" s="527"/>
      <c r="H185" s="377"/>
      <c r="I185" s="528"/>
      <c r="J185" s="529"/>
      <c r="K185" s="530"/>
      <c r="L185" s="514" t="str">
        <f t="shared" ca="1" si="93"/>
        <v>Interco link a/c - General &amp; Administration , operating profit</v>
      </c>
      <c r="M185" s="498"/>
      <c r="N185" s="498"/>
      <c r="O185" s="498"/>
      <c r="P185" s="234"/>
      <c r="Q185" s="235">
        <f ca="1">_xll.DBRW(Server&amp;Cube1,$N$15,$N$16,$N$17,$N$18,$N$14,$N$13,$N$11,$Q$1,$A185)</f>
        <v>0</v>
      </c>
      <c r="R185" s="235">
        <f ca="1">_xll.DBRW(Server&amp;Cube1,$N$15,$N$16,$N$17,$N$18,$N$14,$N$13,$R$2,$R$1,$A185)</f>
        <v>0</v>
      </c>
      <c r="S185" s="236">
        <f t="shared" ca="1" si="94"/>
        <v>0</v>
      </c>
      <c r="T185" s="238">
        <f t="shared" ca="1" si="95"/>
        <v>0</v>
      </c>
      <c r="U185" s="223"/>
      <c r="V185" s="235">
        <f ca="1">_xll.DBRW(Server&amp;Cube1,$N$15,$N$16,$N$17,$N$18,$N$14,$N$13,$V$2,$V$1,$B185)</f>
        <v>0</v>
      </c>
      <c r="W185" s="236">
        <f t="shared" ca="1" si="96"/>
        <v>0</v>
      </c>
      <c r="X185" s="238">
        <f t="shared" ca="1" si="97"/>
        <v>0</v>
      </c>
      <c r="Y185" s="530"/>
      <c r="Z185" s="530"/>
      <c r="AA185" s="530"/>
      <c r="AB185" s="530"/>
      <c r="AC185" s="530"/>
      <c r="AD185" s="530"/>
      <c r="AE185" s="530"/>
      <c r="AF185" s="530"/>
      <c r="AG185" s="530"/>
      <c r="AH185" s="530"/>
      <c r="AI185" s="530"/>
      <c r="AJ185" s="530"/>
      <c r="AK185" s="530"/>
      <c r="AL185" s="530"/>
      <c r="AM185" s="530"/>
      <c r="AN185" s="530"/>
      <c r="AO185" s="530"/>
      <c r="AP185" s="530"/>
      <c r="AQ185" s="530"/>
      <c r="AR185" s="530"/>
      <c r="AS185" s="530"/>
      <c r="AT185" s="530"/>
      <c r="AU185" s="530"/>
      <c r="AV185" s="530"/>
      <c r="AW185" s="530"/>
      <c r="AX185" s="530"/>
      <c r="AY185" s="530"/>
      <c r="AZ185" s="530"/>
      <c r="BA185" s="530"/>
      <c r="BB185" s="530"/>
      <c r="BC185" s="530"/>
      <c r="BD185" s="530"/>
      <c r="BE185" s="530"/>
      <c r="BF185" s="530"/>
      <c r="BG185" s="530"/>
      <c r="BH185" s="530"/>
      <c r="BI185" s="530"/>
      <c r="BJ185" s="530"/>
      <c r="BK185" s="530"/>
      <c r="BL185" s="530"/>
      <c r="BM185" s="530"/>
      <c r="BN185" s="530"/>
      <c r="BO185" s="530"/>
      <c r="BP185" s="530"/>
      <c r="BQ185" s="530"/>
      <c r="BR185" s="530"/>
      <c r="BS185" s="530"/>
      <c r="BT185" s="530"/>
      <c r="BU185" s="530"/>
      <c r="BV185" s="530"/>
      <c r="BW185" s="530"/>
      <c r="BX185" s="28"/>
    </row>
    <row r="186" spans="1:76" s="34" customFormat="1" ht="21" hidden="1" customHeight="1" outlineLevel="5" x14ac:dyDescent="0.25">
      <c r="A186" s="379" t="s">
        <v>410</v>
      </c>
      <c r="B186" s="360" t="str">
        <f ca="1">_xll.DBRA(Server&amp;$B$32,$A186,$N$19)</f>
        <v>Other - Gains/losses on disposal of investments and shares in Associates</v>
      </c>
      <c r="C186" s="9"/>
      <c r="D186" s="527"/>
      <c r="E186" s="527"/>
      <c r="H186" s="377"/>
      <c r="I186" s="528"/>
      <c r="J186" s="529"/>
      <c r="K186" s="530"/>
      <c r="L186" s="514" t="str">
        <f t="shared" ca="1" si="93"/>
        <v>Other - Gains/losses on disposal of investments and shares in Associates</v>
      </c>
      <c r="M186" s="498"/>
      <c r="N186" s="498"/>
      <c r="O186" s="498"/>
      <c r="P186" s="234"/>
      <c r="Q186" s="235">
        <f ca="1">_xll.DBRW(Server&amp;Cube1,$N$15,$N$16,$N$17,$N$18,$N$14,$N$13,$N$11,$Q$1,$A186)</f>
        <v>0</v>
      </c>
      <c r="R186" s="235">
        <f ca="1">_xll.DBRW(Server&amp;Cube1,$N$15,$N$16,$N$17,$N$18,$N$14,$N$13,$R$2,$R$1,$A186)</f>
        <v>0</v>
      </c>
      <c r="S186" s="236">
        <f t="shared" ca="1" si="94"/>
        <v>0</v>
      </c>
      <c r="T186" s="238">
        <f t="shared" ca="1" si="95"/>
        <v>0</v>
      </c>
      <c r="U186" s="223"/>
      <c r="V186" s="235">
        <f ca="1">_xll.DBRW(Server&amp;Cube1,$N$15,$N$16,$N$17,$N$18,$N$14,$N$13,$V$2,$V$1,$B186)</f>
        <v>0</v>
      </c>
      <c r="W186" s="236">
        <f t="shared" ca="1" si="96"/>
        <v>0</v>
      </c>
      <c r="X186" s="238">
        <f t="shared" ca="1" si="97"/>
        <v>0</v>
      </c>
      <c r="Y186" s="530"/>
      <c r="Z186" s="530"/>
      <c r="AA186" s="530"/>
      <c r="AB186" s="530"/>
      <c r="AC186" s="530"/>
      <c r="AD186" s="530"/>
      <c r="AE186" s="530"/>
      <c r="AF186" s="530"/>
      <c r="AG186" s="530"/>
      <c r="AH186" s="530"/>
      <c r="AI186" s="530"/>
      <c r="AJ186" s="530"/>
      <c r="AK186" s="530"/>
      <c r="AL186" s="530"/>
      <c r="AM186" s="530"/>
      <c r="AN186" s="530"/>
      <c r="AO186" s="530"/>
      <c r="AP186" s="530"/>
      <c r="AQ186" s="530"/>
      <c r="AR186" s="530"/>
      <c r="AS186" s="530"/>
      <c r="AT186" s="530"/>
      <c r="AU186" s="530"/>
      <c r="AV186" s="530"/>
      <c r="AW186" s="530"/>
      <c r="AX186" s="530"/>
      <c r="AY186" s="530"/>
      <c r="AZ186" s="530"/>
      <c r="BA186" s="530"/>
      <c r="BB186" s="530"/>
      <c r="BC186" s="530"/>
      <c r="BD186" s="530"/>
      <c r="BE186" s="530"/>
      <c r="BF186" s="530"/>
      <c r="BG186" s="530"/>
      <c r="BH186" s="530"/>
      <c r="BI186" s="530"/>
      <c r="BJ186" s="530"/>
      <c r="BK186" s="530"/>
      <c r="BL186" s="530"/>
      <c r="BM186" s="530"/>
      <c r="BN186" s="530"/>
      <c r="BO186" s="530"/>
      <c r="BP186" s="530"/>
      <c r="BQ186" s="530"/>
      <c r="BR186" s="530"/>
      <c r="BS186" s="530"/>
      <c r="BT186" s="530"/>
      <c r="BU186" s="530"/>
      <c r="BV186" s="530"/>
      <c r="BW186" s="530"/>
      <c r="BX186" s="28"/>
    </row>
    <row r="187" spans="1:76" s="34" customFormat="1" ht="21" hidden="1" customHeight="1" outlineLevel="5" x14ac:dyDescent="0.25">
      <c r="A187" s="379" t="s">
        <v>411</v>
      </c>
      <c r="B187" s="360" t="str">
        <f ca="1">_xll.DBRA(Server&amp;$B$32,$A187,$N$19)</f>
        <v>Other - Reversal of impairment on shares sold</v>
      </c>
      <c r="C187" s="9"/>
      <c r="D187" s="527"/>
      <c r="E187" s="527"/>
      <c r="H187" s="377"/>
      <c r="I187" s="528"/>
      <c r="J187" s="529"/>
      <c r="K187" s="530"/>
      <c r="L187" s="514" t="str">
        <f t="shared" ca="1" si="93"/>
        <v>Other - Reversal of impairment on shares sold</v>
      </c>
      <c r="M187" s="498"/>
      <c r="N187" s="498"/>
      <c r="O187" s="498"/>
      <c r="P187" s="234"/>
      <c r="Q187" s="235">
        <f ca="1">_xll.DBRW(Server&amp;Cube1,$N$15,$N$16,$N$17,$N$18,$N$14,$N$13,$N$11,$Q$1,$A187)</f>
        <v>0</v>
      </c>
      <c r="R187" s="235">
        <f ca="1">_xll.DBRW(Server&amp;Cube1,$N$15,$N$16,$N$17,$N$18,$N$14,$N$13,$R$2,$R$1,$A187)</f>
        <v>0</v>
      </c>
      <c r="S187" s="236">
        <f t="shared" ca="1" si="94"/>
        <v>0</v>
      </c>
      <c r="T187" s="238">
        <f t="shared" ca="1" si="95"/>
        <v>0</v>
      </c>
      <c r="U187" s="223"/>
      <c r="V187" s="235">
        <f ca="1">_xll.DBRW(Server&amp;Cube1,$N$15,$N$16,$N$17,$N$18,$N$14,$N$13,$V$2,$V$1,$B187)</f>
        <v>0</v>
      </c>
      <c r="W187" s="236">
        <f t="shared" ca="1" si="96"/>
        <v>0</v>
      </c>
      <c r="X187" s="238">
        <f t="shared" ca="1" si="97"/>
        <v>0</v>
      </c>
      <c r="Y187" s="530"/>
      <c r="Z187" s="530"/>
      <c r="AA187" s="530"/>
      <c r="AB187" s="530"/>
      <c r="AC187" s="530"/>
      <c r="AD187" s="530"/>
      <c r="AE187" s="530"/>
      <c r="AF187" s="530"/>
      <c r="AG187" s="530"/>
      <c r="AH187" s="530"/>
      <c r="AI187" s="530"/>
      <c r="AJ187" s="530"/>
      <c r="AK187" s="530"/>
      <c r="AL187" s="530"/>
      <c r="AM187" s="530"/>
      <c r="AN187" s="530"/>
      <c r="AO187" s="530"/>
      <c r="AP187" s="530"/>
      <c r="AQ187" s="530"/>
      <c r="AR187" s="530"/>
      <c r="AS187" s="530"/>
      <c r="AT187" s="530"/>
      <c r="AU187" s="530"/>
      <c r="AV187" s="530"/>
      <c r="AW187" s="530"/>
      <c r="AX187" s="530"/>
      <c r="AY187" s="530"/>
      <c r="AZ187" s="530"/>
      <c r="BA187" s="530"/>
      <c r="BB187" s="530"/>
      <c r="BC187" s="530"/>
      <c r="BD187" s="530"/>
      <c r="BE187" s="530"/>
      <c r="BF187" s="530"/>
      <c r="BG187" s="530"/>
      <c r="BH187" s="530"/>
      <c r="BI187" s="530"/>
      <c r="BJ187" s="530"/>
      <c r="BK187" s="530"/>
      <c r="BL187" s="530"/>
      <c r="BM187" s="530"/>
      <c r="BN187" s="530"/>
      <c r="BO187" s="530"/>
      <c r="BP187" s="530"/>
      <c r="BQ187" s="530"/>
      <c r="BR187" s="530"/>
      <c r="BS187" s="530"/>
      <c r="BT187" s="530"/>
      <c r="BU187" s="530"/>
      <c r="BV187" s="530"/>
      <c r="BW187" s="530"/>
      <c r="BX187" s="28"/>
    </row>
    <row r="188" spans="1:76" s="34" customFormat="1" ht="21" hidden="1" customHeight="1" outlineLevel="5" x14ac:dyDescent="0.25">
      <c r="A188" s="379" t="s">
        <v>412</v>
      </c>
      <c r="B188" s="360" t="str">
        <f ca="1">_xll.DBRA(Server&amp;$B$32,$A188,$N$19)</f>
        <v>Other - Gains/losses on disposal - investments fair value</v>
      </c>
      <c r="C188" s="9"/>
      <c r="D188" s="527"/>
      <c r="E188" s="527"/>
      <c r="H188" s="377"/>
      <c r="I188" s="528"/>
      <c r="J188" s="529"/>
      <c r="K188" s="530"/>
      <c r="L188" s="514" t="str">
        <f t="shared" ca="1" si="93"/>
        <v>Other - Gains/losses on disposal - investments fair value</v>
      </c>
      <c r="M188" s="498"/>
      <c r="N188" s="498"/>
      <c r="O188" s="498"/>
      <c r="P188" s="234"/>
      <c r="Q188" s="235">
        <f ca="1">_xll.DBRW(Server&amp;Cube1,$N$15,$N$16,$N$17,$N$18,$N$14,$N$13,$N$11,$Q$1,$A188)</f>
        <v>0</v>
      </c>
      <c r="R188" s="235">
        <f ca="1">_xll.DBRW(Server&amp;Cube1,$N$15,$N$16,$N$17,$N$18,$N$14,$N$13,$R$2,$R$1,$A188)</f>
        <v>0</v>
      </c>
      <c r="S188" s="236">
        <f t="shared" ca="1" si="94"/>
        <v>0</v>
      </c>
      <c r="T188" s="238">
        <f t="shared" ca="1" si="95"/>
        <v>0</v>
      </c>
      <c r="U188" s="223"/>
      <c r="V188" s="235">
        <f ca="1">_xll.DBRW(Server&amp;Cube1,$N$15,$N$16,$N$17,$N$18,$N$14,$N$13,$V$2,$V$1,$B188)</f>
        <v>0</v>
      </c>
      <c r="W188" s="236">
        <f t="shared" ca="1" si="96"/>
        <v>0</v>
      </c>
      <c r="X188" s="238">
        <f t="shared" ca="1" si="97"/>
        <v>0</v>
      </c>
      <c r="Y188" s="530"/>
      <c r="Z188" s="530"/>
      <c r="AA188" s="530"/>
      <c r="AB188" s="530"/>
      <c r="AC188" s="530"/>
      <c r="AD188" s="530"/>
      <c r="AE188" s="530"/>
      <c r="AF188" s="530"/>
      <c r="AG188" s="530"/>
      <c r="AH188" s="530"/>
      <c r="AI188" s="530"/>
      <c r="AJ188" s="530"/>
      <c r="AK188" s="530"/>
      <c r="AL188" s="530"/>
      <c r="AM188" s="530"/>
      <c r="AN188" s="530"/>
      <c r="AO188" s="530"/>
      <c r="AP188" s="530"/>
      <c r="AQ188" s="530"/>
      <c r="AR188" s="530"/>
      <c r="AS188" s="530"/>
      <c r="AT188" s="530"/>
      <c r="AU188" s="530"/>
      <c r="AV188" s="530"/>
      <c r="AW188" s="530"/>
      <c r="AX188" s="530"/>
      <c r="AY188" s="530"/>
      <c r="AZ188" s="530"/>
      <c r="BA188" s="530"/>
      <c r="BB188" s="530"/>
      <c r="BC188" s="530"/>
      <c r="BD188" s="530"/>
      <c r="BE188" s="530"/>
      <c r="BF188" s="530"/>
      <c r="BG188" s="530"/>
      <c r="BH188" s="530"/>
      <c r="BI188" s="530"/>
      <c r="BJ188" s="530"/>
      <c r="BK188" s="530"/>
      <c r="BL188" s="530"/>
      <c r="BM188" s="530"/>
      <c r="BN188" s="530"/>
      <c r="BO188" s="530"/>
      <c r="BP188" s="530"/>
      <c r="BQ188" s="530"/>
      <c r="BR188" s="530"/>
      <c r="BS188" s="530"/>
      <c r="BT188" s="530"/>
      <c r="BU188" s="530"/>
      <c r="BV188" s="530"/>
      <c r="BW188" s="530"/>
      <c r="BX188" s="28"/>
    </row>
    <row r="189" spans="1:76" s="34" customFormat="1" ht="21" hidden="1" customHeight="1" outlineLevel="5" x14ac:dyDescent="0.25">
      <c r="A189" s="379" t="s">
        <v>413</v>
      </c>
      <c r="B189" s="360" t="str">
        <f ca="1">_xll.DBRA(Server&amp;$B$32,$A189,$N$19)</f>
        <v>Other - Gains/losses on consolidation</v>
      </c>
      <c r="C189" s="9"/>
      <c r="D189" s="527"/>
      <c r="E189" s="527"/>
      <c r="H189" s="377"/>
      <c r="I189" s="528"/>
      <c r="J189" s="529"/>
      <c r="K189" s="530"/>
      <c r="L189" s="514" t="str">
        <f t="shared" ca="1" si="93"/>
        <v>Other - Gains/losses on consolidation</v>
      </c>
      <c r="M189" s="498"/>
      <c r="N189" s="498"/>
      <c r="O189" s="498"/>
      <c r="P189" s="234"/>
      <c r="Q189" s="235">
        <f ca="1">_xll.DBRW(Server&amp;Cube1,$N$15,$N$16,$N$17,$N$18,$N$14,$N$13,$N$11,$Q$1,$A189)</f>
        <v>0</v>
      </c>
      <c r="R189" s="235">
        <f ca="1">_xll.DBRW(Server&amp;Cube1,$N$15,$N$16,$N$17,$N$18,$N$14,$N$13,$R$2,$R$1,$A189)</f>
        <v>0</v>
      </c>
      <c r="S189" s="236">
        <f t="shared" ca="1" si="94"/>
        <v>0</v>
      </c>
      <c r="T189" s="238">
        <f t="shared" ca="1" si="95"/>
        <v>0</v>
      </c>
      <c r="U189" s="223"/>
      <c r="V189" s="235">
        <f ca="1">_xll.DBRW(Server&amp;Cube1,$N$15,$N$16,$N$17,$N$18,$N$14,$N$13,$V$2,$V$1,$B189)</f>
        <v>-51346.86</v>
      </c>
      <c r="W189" s="236">
        <f t="shared" ca="1" si="96"/>
        <v>51346.86</v>
      </c>
      <c r="X189" s="238">
        <f t="shared" ca="1" si="97"/>
        <v>1</v>
      </c>
      <c r="Y189" s="530"/>
      <c r="Z189" s="530"/>
      <c r="AA189" s="530"/>
      <c r="AB189" s="530"/>
      <c r="AC189" s="530"/>
      <c r="AD189" s="530"/>
      <c r="AE189" s="530"/>
      <c r="AF189" s="530"/>
      <c r="AG189" s="530"/>
      <c r="AH189" s="530"/>
      <c r="AI189" s="530"/>
      <c r="AJ189" s="530"/>
      <c r="AK189" s="530"/>
      <c r="AL189" s="530"/>
      <c r="AM189" s="530"/>
      <c r="AN189" s="530"/>
      <c r="AO189" s="530"/>
      <c r="AP189" s="530"/>
      <c r="AQ189" s="530"/>
      <c r="AR189" s="530"/>
      <c r="AS189" s="530"/>
      <c r="AT189" s="530"/>
      <c r="AU189" s="530"/>
      <c r="AV189" s="530"/>
      <c r="AW189" s="530"/>
      <c r="AX189" s="530"/>
      <c r="AY189" s="530"/>
      <c r="AZ189" s="530"/>
      <c r="BA189" s="530"/>
      <c r="BB189" s="530"/>
      <c r="BC189" s="530"/>
      <c r="BD189" s="530"/>
      <c r="BE189" s="530"/>
      <c r="BF189" s="530"/>
      <c r="BG189" s="530"/>
      <c r="BH189" s="530"/>
      <c r="BI189" s="530"/>
      <c r="BJ189" s="530"/>
      <c r="BK189" s="530"/>
      <c r="BL189" s="530"/>
      <c r="BM189" s="530"/>
      <c r="BN189" s="530"/>
      <c r="BO189" s="530"/>
      <c r="BP189" s="530"/>
      <c r="BQ189" s="530"/>
      <c r="BR189" s="530"/>
      <c r="BS189" s="530"/>
      <c r="BT189" s="530"/>
      <c r="BU189" s="530"/>
      <c r="BV189" s="530"/>
      <c r="BW189" s="530"/>
      <c r="BX189" s="28"/>
    </row>
    <row r="190" spans="1:76" s="34" customFormat="1" ht="21" hidden="1" customHeight="1" outlineLevel="5" x14ac:dyDescent="0.25">
      <c r="A190" s="379" t="s">
        <v>414</v>
      </c>
      <c r="B190" s="360" t="str">
        <f ca="1">_xll.DBRA(Server&amp;$B$32,$A190,$N$19)</f>
        <v>Other - Gains/losses on consolidation (without loss of control)</v>
      </c>
      <c r="C190" s="9"/>
      <c r="D190" s="527"/>
      <c r="E190" s="527"/>
      <c r="H190" s="377"/>
      <c r="I190" s="528"/>
      <c r="J190" s="529"/>
      <c r="K190" s="530"/>
      <c r="L190" s="514" t="str">
        <f t="shared" ca="1" si="93"/>
        <v>Other - Gains/losses on consolidation (without loss of control)</v>
      </c>
      <c r="M190" s="498"/>
      <c r="N190" s="498"/>
      <c r="O190" s="498"/>
      <c r="P190" s="234"/>
      <c r="Q190" s="235">
        <f ca="1">_xll.DBRW(Server&amp;Cube1,$N$15,$N$16,$N$17,$N$18,$N$14,$N$13,$N$11,$Q$1,$A190)</f>
        <v>0</v>
      </c>
      <c r="R190" s="235">
        <f ca="1">_xll.DBRW(Server&amp;Cube1,$N$15,$N$16,$N$17,$N$18,$N$14,$N$13,$R$2,$R$1,$A190)</f>
        <v>0</v>
      </c>
      <c r="S190" s="236">
        <f t="shared" ca="1" si="94"/>
        <v>0</v>
      </c>
      <c r="T190" s="238">
        <f t="shared" ca="1" si="95"/>
        <v>0</v>
      </c>
      <c r="U190" s="223"/>
      <c r="V190" s="235">
        <f ca="1">_xll.DBRW(Server&amp;Cube1,$N$15,$N$16,$N$17,$N$18,$N$14,$N$13,$V$2,$V$1,$B190)</f>
        <v>0</v>
      </c>
      <c r="W190" s="236">
        <f t="shared" ca="1" si="96"/>
        <v>0</v>
      </c>
      <c r="X190" s="238">
        <f t="shared" ca="1" si="97"/>
        <v>0</v>
      </c>
      <c r="Y190" s="530"/>
      <c r="Z190" s="530"/>
      <c r="AA190" s="530"/>
      <c r="AB190" s="530"/>
      <c r="AC190" s="530"/>
      <c r="AD190" s="530"/>
      <c r="AE190" s="530"/>
      <c r="AF190" s="530"/>
      <c r="AG190" s="530"/>
      <c r="AH190" s="530"/>
      <c r="AI190" s="530"/>
      <c r="AJ190" s="530"/>
      <c r="AK190" s="530"/>
      <c r="AL190" s="530"/>
      <c r="AM190" s="530"/>
      <c r="AN190" s="530"/>
      <c r="AO190" s="530"/>
      <c r="AP190" s="530"/>
      <c r="AQ190" s="530"/>
      <c r="AR190" s="530"/>
      <c r="AS190" s="530"/>
      <c r="AT190" s="530"/>
      <c r="AU190" s="530"/>
      <c r="AV190" s="530"/>
      <c r="AW190" s="530"/>
      <c r="AX190" s="530"/>
      <c r="AY190" s="530"/>
      <c r="AZ190" s="530"/>
      <c r="BA190" s="530"/>
      <c r="BB190" s="530"/>
      <c r="BC190" s="530"/>
      <c r="BD190" s="530"/>
      <c r="BE190" s="530"/>
      <c r="BF190" s="530"/>
      <c r="BG190" s="530"/>
      <c r="BH190" s="530"/>
      <c r="BI190" s="530"/>
      <c r="BJ190" s="530"/>
      <c r="BK190" s="530"/>
      <c r="BL190" s="530"/>
      <c r="BM190" s="530"/>
      <c r="BN190" s="530"/>
      <c r="BO190" s="530"/>
      <c r="BP190" s="530"/>
      <c r="BQ190" s="530"/>
      <c r="BR190" s="530"/>
      <c r="BS190" s="530"/>
      <c r="BT190" s="530"/>
      <c r="BU190" s="530"/>
      <c r="BV190" s="530"/>
      <c r="BW190" s="530"/>
      <c r="BX190" s="28"/>
    </row>
    <row r="191" spans="1:76" s="34" customFormat="1" ht="21" hidden="1" customHeight="1" outlineLevel="5" x14ac:dyDescent="0.25">
      <c r="A191" s="379" t="s">
        <v>415</v>
      </c>
      <c r="B191" s="360" t="str">
        <f ca="1">_xll.DBRA(Server&amp;$B$32,$A191,$N$19)</f>
        <v>Other - Impact of change in accounting policies and other non cash operations</v>
      </c>
      <c r="C191" s="9"/>
      <c r="D191" s="527"/>
      <c r="E191" s="527"/>
      <c r="H191" s="377"/>
      <c r="I191" s="528"/>
      <c r="J191" s="529"/>
      <c r="K191" s="530"/>
      <c r="L191" s="514" t="str">
        <f t="shared" ca="1" si="93"/>
        <v>Other - Impact of change in accounting policies and other non cash operations</v>
      </c>
      <c r="M191" s="498"/>
      <c r="N191" s="498"/>
      <c r="O191" s="498"/>
      <c r="P191" s="234"/>
      <c r="Q191" s="235">
        <f ca="1">_xll.DBRW(Server&amp;Cube1,$N$15,$N$16,$N$17,$N$18,$N$14,$N$13,$N$11,$Q$1,$A191)</f>
        <v>0</v>
      </c>
      <c r="R191" s="235">
        <f ca="1">_xll.DBRW(Server&amp;Cube1,$N$15,$N$16,$N$17,$N$18,$N$14,$N$13,$R$2,$R$1,$A191)</f>
        <v>0</v>
      </c>
      <c r="S191" s="236">
        <f t="shared" ca="1" si="94"/>
        <v>0</v>
      </c>
      <c r="T191" s="238">
        <f t="shared" ca="1" si="95"/>
        <v>0</v>
      </c>
      <c r="U191" s="223"/>
      <c r="V191" s="235">
        <f ca="1">_xll.DBRW(Server&amp;Cube1,$N$15,$N$16,$N$17,$N$18,$N$14,$N$13,$V$2,$V$1,$B191)</f>
        <v>0</v>
      </c>
      <c r="W191" s="236">
        <f t="shared" ca="1" si="96"/>
        <v>0</v>
      </c>
      <c r="X191" s="238">
        <f t="shared" ca="1" si="97"/>
        <v>0</v>
      </c>
      <c r="Y191" s="530"/>
      <c r="Z191" s="530"/>
      <c r="AA191" s="530"/>
      <c r="AB191" s="530"/>
      <c r="AC191" s="530"/>
      <c r="AD191" s="530"/>
      <c r="AE191" s="530"/>
      <c r="AF191" s="530"/>
      <c r="AG191" s="530"/>
      <c r="AH191" s="530"/>
      <c r="AI191" s="530"/>
      <c r="AJ191" s="530"/>
      <c r="AK191" s="530"/>
      <c r="AL191" s="530"/>
      <c r="AM191" s="530"/>
      <c r="AN191" s="530"/>
      <c r="AO191" s="530"/>
      <c r="AP191" s="530"/>
      <c r="AQ191" s="530"/>
      <c r="AR191" s="530"/>
      <c r="AS191" s="530"/>
      <c r="AT191" s="530"/>
      <c r="AU191" s="530"/>
      <c r="AV191" s="530"/>
      <c r="AW191" s="530"/>
      <c r="AX191" s="530"/>
      <c r="AY191" s="530"/>
      <c r="AZ191" s="530"/>
      <c r="BA191" s="530"/>
      <c r="BB191" s="530"/>
      <c r="BC191" s="530"/>
      <c r="BD191" s="530"/>
      <c r="BE191" s="530"/>
      <c r="BF191" s="530"/>
      <c r="BG191" s="530"/>
      <c r="BH191" s="530"/>
      <c r="BI191" s="530"/>
      <c r="BJ191" s="530"/>
      <c r="BK191" s="530"/>
      <c r="BL191" s="530"/>
      <c r="BM191" s="530"/>
      <c r="BN191" s="530"/>
      <c r="BO191" s="530"/>
      <c r="BP191" s="530"/>
      <c r="BQ191" s="530"/>
      <c r="BR191" s="530"/>
      <c r="BS191" s="530"/>
      <c r="BT191" s="530"/>
      <c r="BU191" s="530"/>
      <c r="BV191" s="530"/>
      <c r="BW191" s="530"/>
      <c r="BX191" s="28"/>
    </row>
    <row r="192" spans="1:76" s="34" customFormat="1" ht="21" hidden="1" customHeight="1" outlineLevel="5" x14ac:dyDescent="0.25">
      <c r="A192" s="379" t="s">
        <v>416</v>
      </c>
      <c r="B192" s="360" t="str">
        <f ca="1">_xll.DBRA(Server&amp;$B$32,$A192,$N$19)</f>
        <v>Other - Impact of sales of businesses and mergers (F88)</v>
      </c>
      <c r="C192" s="9"/>
      <c r="D192" s="527"/>
      <c r="E192" s="527"/>
      <c r="H192" s="377"/>
      <c r="I192" s="528"/>
      <c r="J192" s="529"/>
      <c r="K192" s="530"/>
      <c r="L192" s="514" t="str">
        <f t="shared" ca="1" si="93"/>
        <v>Other - Impact of sales of businesses and mergers (F88)</v>
      </c>
      <c r="M192" s="498"/>
      <c r="N192" s="498"/>
      <c r="O192" s="498"/>
      <c r="P192" s="234"/>
      <c r="Q192" s="235">
        <f ca="1">_xll.DBRW(Server&amp;Cube1,$N$15,$N$16,$N$17,$N$18,$N$14,$N$13,$N$11,$Q$1,$A192)</f>
        <v>0</v>
      </c>
      <c r="R192" s="235">
        <f ca="1">_xll.DBRW(Server&amp;Cube1,$N$15,$N$16,$N$17,$N$18,$N$14,$N$13,$R$2,$R$1,$A192)</f>
        <v>0</v>
      </c>
      <c r="S192" s="236">
        <f t="shared" ca="1" si="94"/>
        <v>0</v>
      </c>
      <c r="T192" s="238">
        <f t="shared" ca="1" si="95"/>
        <v>0</v>
      </c>
      <c r="U192" s="223"/>
      <c r="V192" s="235">
        <f ca="1">_xll.DBRW(Server&amp;Cube1,$N$15,$N$16,$N$17,$N$18,$N$14,$N$13,$V$2,$V$1,$B192)</f>
        <v>0</v>
      </c>
      <c r="W192" s="236">
        <f t="shared" ca="1" si="96"/>
        <v>0</v>
      </c>
      <c r="X192" s="238">
        <f t="shared" ca="1" si="97"/>
        <v>0</v>
      </c>
      <c r="Y192" s="530"/>
      <c r="Z192" s="530"/>
      <c r="AA192" s="530"/>
      <c r="AB192" s="530"/>
      <c r="AC192" s="530"/>
      <c r="AD192" s="530"/>
      <c r="AE192" s="530"/>
      <c r="AF192" s="530"/>
      <c r="AG192" s="530"/>
      <c r="AH192" s="530"/>
      <c r="AI192" s="530"/>
      <c r="AJ192" s="530"/>
      <c r="AK192" s="530"/>
      <c r="AL192" s="530"/>
      <c r="AM192" s="530"/>
      <c r="AN192" s="530"/>
      <c r="AO192" s="530"/>
      <c r="AP192" s="530"/>
      <c r="AQ192" s="530"/>
      <c r="AR192" s="530"/>
      <c r="AS192" s="530"/>
      <c r="AT192" s="530"/>
      <c r="AU192" s="530"/>
      <c r="AV192" s="530"/>
      <c r="AW192" s="530"/>
      <c r="AX192" s="530"/>
      <c r="AY192" s="530"/>
      <c r="AZ192" s="530"/>
      <c r="BA192" s="530"/>
      <c r="BB192" s="530"/>
      <c r="BC192" s="530"/>
      <c r="BD192" s="530"/>
      <c r="BE192" s="530"/>
      <c r="BF192" s="530"/>
      <c r="BG192" s="530"/>
      <c r="BH192" s="530"/>
      <c r="BI192" s="530"/>
      <c r="BJ192" s="530"/>
      <c r="BK192" s="530"/>
      <c r="BL192" s="530"/>
      <c r="BM192" s="530"/>
      <c r="BN192" s="530"/>
      <c r="BO192" s="530"/>
      <c r="BP192" s="530"/>
      <c r="BQ192" s="530"/>
      <c r="BR192" s="530"/>
      <c r="BS192" s="530"/>
      <c r="BT192" s="530"/>
      <c r="BU192" s="530"/>
      <c r="BV192" s="530"/>
      <c r="BW192" s="530"/>
      <c r="BX192" s="28"/>
    </row>
    <row r="193" spans="1:76" s="34" customFormat="1" ht="21" hidden="1" customHeight="1" outlineLevel="5" x14ac:dyDescent="0.25">
      <c r="A193" s="379" t="s">
        <v>417</v>
      </c>
      <c r="B193" s="360" t="str">
        <f ca="1">_xll.DBRA(Server&amp;$B$32,$A193,$N$19)</f>
        <v>Interco link a/c - Operating Leases , operating profit</v>
      </c>
      <c r="C193" s="9"/>
      <c r="D193" s="527"/>
      <c r="E193" s="527"/>
      <c r="H193" s="377"/>
      <c r="I193" s="528"/>
      <c r="J193" s="529"/>
      <c r="K193" s="530"/>
      <c r="L193" s="514" t="str">
        <f t="shared" ca="1" si="93"/>
        <v>Interco link a/c - Operating Leases , operating profit</v>
      </c>
      <c r="M193" s="498"/>
      <c r="N193" s="498"/>
      <c r="O193" s="498"/>
      <c r="P193" s="234"/>
      <c r="Q193" s="235">
        <f ca="1">_xll.DBRW(Server&amp;Cube1,$N$15,$N$16,$N$17,$N$18,$N$14,$N$13,$N$11,$Q$1,$A193)</f>
        <v>0</v>
      </c>
      <c r="R193" s="235">
        <f ca="1">_xll.DBRW(Server&amp;Cube1,$N$15,$N$16,$N$17,$N$18,$N$14,$N$13,$R$2,$R$1,$A193)</f>
        <v>0</v>
      </c>
      <c r="S193" s="236">
        <f t="shared" ca="1" si="94"/>
        <v>0</v>
      </c>
      <c r="T193" s="238">
        <f t="shared" ca="1" si="95"/>
        <v>0</v>
      </c>
      <c r="U193" s="223"/>
      <c r="V193" s="235">
        <f ca="1">_xll.DBRW(Server&amp;Cube1,$N$15,$N$16,$N$17,$N$18,$N$14,$N$13,$V$2,$V$1,$B193)</f>
        <v>0</v>
      </c>
      <c r="W193" s="236">
        <f t="shared" ca="1" si="96"/>
        <v>0</v>
      </c>
      <c r="X193" s="238">
        <f t="shared" ca="1" si="97"/>
        <v>0</v>
      </c>
      <c r="Y193" s="530"/>
      <c r="Z193" s="530"/>
      <c r="AA193" s="530"/>
      <c r="AB193" s="530"/>
      <c r="AC193" s="530"/>
      <c r="AD193" s="530"/>
      <c r="AE193" s="530"/>
      <c r="AF193" s="530"/>
      <c r="AG193" s="530"/>
      <c r="AH193" s="530"/>
      <c r="AI193" s="530"/>
      <c r="AJ193" s="530"/>
      <c r="AK193" s="530"/>
      <c r="AL193" s="530"/>
      <c r="AM193" s="530"/>
      <c r="AN193" s="530"/>
      <c r="AO193" s="530"/>
      <c r="AP193" s="530"/>
      <c r="AQ193" s="530"/>
      <c r="AR193" s="530"/>
      <c r="AS193" s="530"/>
      <c r="AT193" s="530"/>
      <c r="AU193" s="530"/>
      <c r="AV193" s="530"/>
      <c r="AW193" s="530"/>
      <c r="AX193" s="530"/>
      <c r="AY193" s="530"/>
      <c r="AZ193" s="530"/>
      <c r="BA193" s="530"/>
      <c r="BB193" s="530"/>
      <c r="BC193" s="530"/>
      <c r="BD193" s="530"/>
      <c r="BE193" s="530"/>
      <c r="BF193" s="530"/>
      <c r="BG193" s="530"/>
      <c r="BH193" s="530"/>
      <c r="BI193" s="530"/>
      <c r="BJ193" s="530"/>
      <c r="BK193" s="530"/>
      <c r="BL193" s="530"/>
      <c r="BM193" s="530"/>
      <c r="BN193" s="530"/>
      <c r="BO193" s="530"/>
      <c r="BP193" s="530"/>
      <c r="BQ193" s="530"/>
      <c r="BR193" s="530"/>
      <c r="BS193" s="530"/>
      <c r="BT193" s="530"/>
      <c r="BU193" s="530"/>
      <c r="BV193" s="530"/>
      <c r="BW193" s="530"/>
      <c r="BX193" s="28"/>
    </row>
    <row r="194" spans="1:76" s="517" customFormat="1" ht="21" hidden="1" customHeight="1" outlineLevel="4" x14ac:dyDescent="0.25">
      <c r="A194" s="516" t="s">
        <v>418</v>
      </c>
      <c r="B194" s="69" t="str">
        <f ca="1">_xll.DBRA(Server&amp;$B$32,$A194,$N$19)</f>
        <v>Other operating rev. &amp; exp. - Vector Reconciliation</v>
      </c>
      <c r="C194" s="366"/>
      <c r="D194" s="1"/>
      <c r="E194" s="1"/>
      <c r="H194" s="518"/>
      <c r="I194" s="95"/>
      <c r="J194" s="58"/>
      <c r="K194" s="105"/>
      <c r="L194" s="531" t="str">
        <f t="shared" ca="1" si="93"/>
        <v>Other operating rev. &amp; exp. - Vector Reconciliation</v>
      </c>
      <c r="M194" s="520"/>
      <c r="N194" s="520"/>
      <c r="O194" s="520"/>
      <c r="P194" s="521"/>
      <c r="Q194" s="522">
        <f ca="1">_xll.DBRW(Server&amp;Cube1,$N$15,$N$16,$N$17,$N$18,$N$14,$N$13,$N$11,$Q$1,$A194)</f>
        <v>0</v>
      </c>
      <c r="R194" s="522">
        <f ca="1">_xll.DBRW(Server&amp;Cube1,$N$15,$N$16,$N$17,$N$18,$N$14,$N$13,$R$2,$R$1,$A194)</f>
        <v>0</v>
      </c>
      <c r="S194" s="523">
        <f t="shared" ca="1" si="94"/>
        <v>0</v>
      </c>
      <c r="T194" s="524">
        <f t="shared" ca="1" si="95"/>
        <v>0</v>
      </c>
      <c r="U194" s="525"/>
      <c r="V194" s="522">
        <f ca="1">_xll.DBRW(Server&amp;Cube1,$N$15,$N$16,$N$17,$N$18,$N$14,$N$13,$V$2,$V$1,$B194)</f>
        <v>0</v>
      </c>
      <c r="W194" s="523">
        <f t="shared" ca="1" si="96"/>
        <v>0</v>
      </c>
      <c r="X194" s="524">
        <f t="shared" ca="1" si="97"/>
        <v>0</v>
      </c>
      <c r="Y194" s="105"/>
      <c r="Z194" s="105"/>
      <c r="AA194" s="105"/>
      <c r="AB194" s="105"/>
      <c r="AC194" s="105"/>
      <c r="AD194" s="105"/>
      <c r="AE194" s="105"/>
      <c r="AF194" s="105"/>
      <c r="AG194" s="105"/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05"/>
      <c r="AU194" s="105"/>
      <c r="AV194" s="105"/>
      <c r="AW194" s="105"/>
      <c r="AX194" s="105"/>
      <c r="AY194" s="105"/>
      <c r="AZ194" s="105"/>
      <c r="BA194" s="105"/>
      <c r="BB194" s="105"/>
      <c r="BC194" s="105"/>
      <c r="BD194" s="105"/>
      <c r="BE194" s="105"/>
      <c r="BF194" s="105"/>
      <c r="BG194" s="105"/>
      <c r="BH194" s="105"/>
      <c r="BI194" s="105"/>
      <c r="BJ194" s="105"/>
      <c r="BK194" s="105"/>
      <c r="BL194" s="105"/>
      <c r="BM194" s="105"/>
      <c r="BN194" s="105"/>
      <c r="BO194" s="105"/>
      <c r="BP194" s="105"/>
      <c r="BQ194" s="105"/>
      <c r="BR194" s="105"/>
      <c r="BS194" s="105"/>
      <c r="BT194" s="105"/>
      <c r="BU194" s="105"/>
      <c r="BV194" s="105"/>
      <c r="BW194" s="105"/>
      <c r="BX194" s="526"/>
    </row>
    <row r="195" spans="1:76" s="34" customFormat="1" ht="12.75" hidden="1" outlineLevel="1" x14ac:dyDescent="0.25">
      <c r="C195" s="9"/>
      <c r="D195" s="1"/>
      <c r="E195" s="1"/>
      <c r="H195" s="377"/>
      <c r="I195" s="95"/>
      <c r="J195" s="58"/>
      <c r="K195" s="105"/>
      <c r="L195" s="105"/>
      <c r="M195" s="105"/>
      <c r="N195" s="105"/>
      <c r="O195" s="105"/>
      <c r="P195" s="105"/>
      <c r="Q195" s="105"/>
      <c r="R195" s="105"/>
      <c r="S195" s="105"/>
      <c r="T195" s="105"/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05"/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05"/>
      <c r="AU195" s="105"/>
      <c r="AV195" s="105"/>
      <c r="AW195" s="105"/>
      <c r="AX195" s="105"/>
      <c r="AY195" s="105"/>
      <c r="AZ195" s="105"/>
      <c r="BA195" s="105"/>
      <c r="BB195" s="105"/>
      <c r="BC195" s="105"/>
      <c r="BD195" s="105"/>
      <c r="BE195" s="105"/>
      <c r="BF195" s="105"/>
      <c r="BG195" s="105"/>
      <c r="BH195" s="105"/>
      <c r="BI195" s="105"/>
      <c r="BJ195" s="105"/>
      <c r="BK195" s="105"/>
      <c r="BL195" s="105"/>
      <c r="BM195" s="105"/>
      <c r="BN195" s="105"/>
      <c r="BO195" s="105"/>
      <c r="BP195" s="105"/>
      <c r="BQ195" s="105"/>
      <c r="BR195" s="105"/>
      <c r="BS195" s="105"/>
      <c r="BT195" s="105"/>
      <c r="BU195" s="105"/>
      <c r="BV195" s="105"/>
      <c r="BW195" s="105"/>
      <c r="BX195" s="28"/>
    </row>
    <row r="196" spans="1:76" s="34" customFormat="1" ht="21" hidden="1" customHeight="1" outlineLevel="1" collapsed="1" x14ac:dyDescent="0.25">
      <c r="A196" s="379" t="s">
        <v>353</v>
      </c>
      <c r="B196" s="360" t="str">
        <f ca="1">_xll.DBRA(Server&amp;$B$32,$A196,$N$19)</f>
        <v>PROFIT OR LOSS OF JOINT VENTURES (from 2013)  (by destination)</v>
      </c>
      <c r="C196" s="9"/>
      <c r="D196" s="1"/>
      <c r="E196" s="1"/>
      <c r="H196" s="377"/>
      <c r="I196" s="95"/>
      <c r="J196" s="58"/>
      <c r="K196" s="105"/>
      <c r="L196" s="546" t="str">
        <f ca="1">LEFT(B196,FIND("(",B196,1)-1)</f>
        <v xml:space="preserve">PROFIT OR LOSS OF JOINT VENTURES </v>
      </c>
      <c r="M196" s="546"/>
      <c r="N196" s="546"/>
      <c r="O196" s="546"/>
      <c r="P196" s="546"/>
      <c r="Q196" s="241">
        <f ca="1">_xll.DBRW(Server&amp;Cube1,$N$15,$N$16,$N$17,$N$18,$N$14,$N$13,$N$11,$Q$1,$A196)</f>
        <v>0</v>
      </c>
      <c r="R196" s="241">
        <f ca="1">_xll.DBRW(Server&amp;Cube1,$N$15,$N$16,$N$17,$N$18,$N$14,$N$13,$R$2,$R$1,$A196)</f>
        <v>0</v>
      </c>
      <c r="S196" s="242">
        <f ca="1">Q196-R196</f>
        <v>0</v>
      </c>
      <c r="T196" s="243">
        <f ca="1">IF(R196&lt;&gt;0,IF(R196&gt;0,S196/R196,-S196/R196),0)</f>
        <v>0</v>
      </c>
      <c r="U196" s="216"/>
      <c r="V196" s="241">
        <f ca="1">_xll.DBRW(Server&amp;Cube1,$N$15,$N$16,$N$17,$N$18,$N$14,$N$13,$V$2,$V$1,$B196)</f>
        <v>0</v>
      </c>
      <c r="W196" s="242">
        <f ca="1">Q196-V196</f>
        <v>0</v>
      </c>
      <c r="X196" s="243">
        <f ca="1">IF(V196&lt;&gt;0,IF(V196&gt;0,W196/V196,-W196/V196),0)</f>
        <v>0</v>
      </c>
      <c r="Y196" s="105"/>
      <c r="Z196" s="105"/>
      <c r="AA196" s="105"/>
      <c r="AB196" s="105"/>
      <c r="AC196" s="105"/>
      <c r="AD196" s="105"/>
      <c r="AE196" s="105"/>
      <c r="AF196" s="105"/>
      <c r="AG196" s="105"/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05"/>
      <c r="AU196" s="105"/>
      <c r="AV196" s="105"/>
      <c r="AW196" s="105"/>
      <c r="AX196" s="105"/>
      <c r="AY196" s="105"/>
      <c r="AZ196" s="105"/>
      <c r="BA196" s="105"/>
      <c r="BB196" s="105"/>
      <c r="BC196" s="105"/>
      <c r="BD196" s="105"/>
      <c r="BE196" s="105"/>
      <c r="BF196" s="105"/>
      <c r="BG196" s="105"/>
      <c r="BH196" s="105"/>
      <c r="BI196" s="105"/>
      <c r="BJ196" s="105"/>
      <c r="BK196" s="105"/>
      <c r="BL196" s="105"/>
      <c r="BM196" s="105"/>
      <c r="BN196" s="105"/>
      <c r="BO196" s="105"/>
      <c r="BP196" s="105"/>
      <c r="BQ196" s="105"/>
      <c r="BR196" s="105"/>
      <c r="BS196" s="105"/>
      <c r="BT196" s="105"/>
      <c r="BU196" s="105"/>
      <c r="BV196" s="105"/>
      <c r="BW196" s="105"/>
      <c r="BX196" s="28"/>
    </row>
    <row r="197" spans="1:76" s="517" customFormat="1" ht="21" hidden="1" customHeight="1" outlineLevel="4" collapsed="1" x14ac:dyDescent="0.25">
      <c r="A197" s="516" t="s">
        <v>419</v>
      </c>
      <c r="B197" s="69" t="str">
        <f ca="1">_xll.DBRA(Server&amp;$B$32,$A197,$N$19)</f>
        <v>Profit or loss of joint ventures (from 2013)</v>
      </c>
      <c r="C197" s="366"/>
      <c r="D197" s="1"/>
      <c r="E197" s="1"/>
      <c r="H197" s="518"/>
      <c r="I197" s="95"/>
      <c r="J197" s="58"/>
      <c r="K197" s="105"/>
      <c r="L197" s="531" t="str">
        <f t="shared" ref="L197:L200" ca="1" si="98">B197</f>
        <v>Profit or loss of joint ventures (from 2013)</v>
      </c>
      <c r="M197" s="520"/>
      <c r="N197" s="520"/>
      <c r="O197" s="520"/>
      <c r="P197" s="521"/>
      <c r="Q197" s="522">
        <f ca="1">_xll.DBRW(Server&amp;Cube1,$N$15,$N$16,$N$17,$N$18,$N$14,$N$13,$N$11,$Q$1,$A197)</f>
        <v>0</v>
      </c>
      <c r="R197" s="522">
        <f ca="1">_xll.DBRW(Server&amp;Cube1,$N$15,$N$16,$N$17,$N$18,$N$14,$N$13,$R$2,$R$1,$A197)</f>
        <v>0</v>
      </c>
      <c r="S197" s="523">
        <f t="shared" ref="S197:S200" ca="1" si="99">Q197-R197</f>
        <v>0</v>
      </c>
      <c r="T197" s="524">
        <f t="shared" ref="T197:T200" ca="1" si="100">IF(R197&lt;&gt;0,IF(R197&gt;0,S197/R197,-S197/R197),0)</f>
        <v>0</v>
      </c>
      <c r="U197" s="525"/>
      <c r="V197" s="522">
        <f ca="1">_xll.DBRW(Server&amp;Cube1,$N$15,$N$16,$N$17,$N$18,$N$14,$N$13,$V$2,$V$1,$B197)</f>
        <v>0</v>
      </c>
      <c r="W197" s="523">
        <f t="shared" ref="W197:W200" ca="1" si="101">Q197-V197</f>
        <v>0</v>
      </c>
      <c r="X197" s="524">
        <f t="shared" ref="X197:X200" ca="1" si="102">IF(V197&lt;&gt;0,IF(V197&gt;0,W197/V197,-W197/V197),0)</f>
        <v>0</v>
      </c>
      <c r="Y197" s="105"/>
      <c r="Z197" s="105"/>
      <c r="AA197" s="105"/>
      <c r="AB197" s="105"/>
      <c r="AC197" s="105"/>
      <c r="AD197" s="105"/>
      <c r="AE197" s="105"/>
      <c r="AF197" s="105"/>
      <c r="AG197" s="105"/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05"/>
      <c r="AU197" s="105"/>
      <c r="AV197" s="105"/>
      <c r="AW197" s="105"/>
      <c r="AX197" s="105"/>
      <c r="AY197" s="105"/>
      <c r="AZ197" s="105"/>
      <c r="BA197" s="105"/>
      <c r="BB197" s="105"/>
      <c r="BC197" s="105"/>
      <c r="BD197" s="105"/>
      <c r="BE197" s="105"/>
      <c r="BF197" s="105"/>
      <c r="BG197" s="105"/>
      <c r="BH197" s="105"/>
      <c r="BI197" s="105"/>
      <c r="BJ197" s="105"/>
      <c r="BK197" s="105"/>
      <c r="BL197" s="105"/>
      <c r="BM197" s="105"/>
      <c r="BN197" s="105"/>
      <c r="BO197" s="105"/>
      <c r="BP197" s="105"/>
      <c r="BQ197" s="105"/>
      <c r="BR197" s="105"/>
      <c r="BS197" s="105"/>
      <c r="BT197" s="105"/>
      <c r="BU197" s="105"/>
      <c r="BV197" s="105"/>
      <c r="BW197" s="105"/>
      <c r="BX197" s="526"/>
    </row>
    <row r="198" spans="1:76" s="34" customFormat="1" ht="21" hidden="1" customHeight="1" outlineLevel="5" x14ac:dyDescent="0.25">
      <c r="A198" s="379" t="s">
        <v>420</v>
      </c>
      <c r="B198" s="360" t="str">
        <f ca="1">_xll.DBRA(Server&amp;$B$32,$A198,$N$19)</f>
        <v>P&amp;L JV - Share in profit or loss of joint ventures (from 2013)</v>
      </c>
      <c r="C198" s="9"/>
      <c r="D198" s="527"/>
      <c r="E198" s="527"/>
      <c r="H198" s="377"/>
      <c r="I198" s="528"/>
      <c r="J198" s="529"/>
      <c r="K198" s="530"/>
      <c r="L198" s="514" t="str">
        <f t="shared" ca="1" si="98"/>
        <v>P&amp;L JV - Share in profit or loss of joint ventures (from 2013)</v>
      </c>
      <c r="M198" s="498"/>
      <c r="N198" s="498"/>
      <c r="O198" s="498"/>
      <c r="P198" s="234"/>
      <c r="Q198" s="235">
        <f ca="1">_xll.DBRW(Server&amp;Cube1,$N$15,$N$16,$N$17,$N$18,$N$14,$N$13,$N$11,$Q$1,$A198)</f>
        <v>0</v>
      </c>
      <c r="R198" s="235">
        <f ca="1">_xll.DBRW(Server&amp;Cube1,$N$15,$N$16,$N$17,$N$18,$N$14,$N$13,$R$2,$R$1,$A198)</f>
        <v>0</v>
      </c>
      <c r="S198" s="236">
        <f t="shared" ca="1" si="99"/>
        <v>0</v>
      </c>
      <c r="T198" s="238">
        <f t="shared" ca="1" si="100"/>
        <v>0</v>
      </c>
      <c r="U198" s="223"/>
      <c r="V198" s="235">
        <f ca="1">_xll.DBRW(Server&amp;Cube1,$N$15,$N$16,$N$17,$N$18,$N$14,$N$13,$V$2,$V$1,$B198)</f>
        <v>0</v>
      </c>
      <c r="W198" s="236">
        <f t="shared" ca="1" si="101"/>
        <v>0</v>
      </c>
      <c r="X198" s="238">
        <f t="shared" ca="1" si="102"/>
        <v>0</v>
      </c>
      <c r="Y198" s="530"/>
      <c r="Z198" s="530"/>
      <c r="AA198" s="530"/>
      <c r="AB198" s="530"/>
      <c r="AC198" s="530"/>
      <c r="AD198" s="530"/>
      <c r="AE198" s="530"/>
      <c r="AF198" s="530"/>
      <c r="AG198" s="530"/>
      <c r="AH198" s="530"/>
      <c r="AI198" s="530"/>
      <c r="AJ198" s="530"/>
      <c r="AK198" s="530"/>
      <c r="AL198" s="530"/>
      <c r="AM198" s="530"/>
      <c r="AN198" s="530"/>
      <c r="AO198" s="530"/>
      <c r="AP198" s="530"/>
      <c r="AQ198" s="530"/>
      <c r="AR198" s="530"/>
      <c r="AS198" s="530"/>
      <c r="AT198" s="530"/>
      <c r="AU198" s="530"/>
      <c r="AV198" s="530"/>
      <c r="AW198" s="530"/>
      <c r="AX198" s="530"/>
      <c r="AY198" s="530"/>
      <c r="AZ198" s="530"/>
      <c r="BA198" s="530"/>
      <c r="BB198" s="530"/>
      <c r="BC198" s="530"/>
      <c r="BD198" s="530"/>
      <c r="BE198" s="530"/>
      <c r="BF198" s="530"/>
      <c r="BG198" s="530"/>
      <c r="BH198" s="530"/>
      <c r="BI198" s="530"/>
      <c r="BJ198" s="530"/>
      <c r="BK198" s="530"/>
      <c r="BL198" s="530"/>
      <c r="BM198" s="530"/>
      <c r="BN198" s="530"/>
      <c r="BO198" s="530"/>
      <c r="BP198" s="530"/>
      <c r="BQ198" s="530"/>
      <c r="BR198" s="530"/>
      <c r="BS198" s="530"/>
      <c r="BT198" s="530"/>
      <c r="BU198" s="530"/>
      <c r="BV198" s="530"/>
      <c r="BW198" s="530"/>
      <c r="BX198" s="28"/>
    </row>
    <row r="199" spans="1:76" s="34" customFormat="1" ht="21" hidden="1" customHeight="1" outlineLevel="5" x14ac:dyDescent="0.25">
      <c r="A199" s="379" t="s">
        <v>421</v>
      </c>
      <c r="B199" s="360" t="str">
        <f ca="1">_xll.DBRA(Server&amp;$B$32,$A199,$N$19)</f>
        <v>P&amp;L JV - Impairment - Goodwill (joint ventures)  (from 2013)</v>
      </c>
      <c r="C199" s="9"/>
      <c r="D199" s="527"/>
      <c r="E199" s="527"/>
      <c r="H199" s="377"/>
      <c r="I199" s="528"/>
      <c r="J199" s="529"/>
      <c r="K199" s="530"/>
      <c r="L199" s="514" t="str">
        <f t="shared" ca="1" si="98"/>
        <v>P&amp;L JV - Impairment - Goodwill (joint ventures)  (from 2013)</v>
      </c>
      <c r="M199" s="498"/>
      <c r="N199" s="498"/>
      <c r="O199" s="498"/>
      <c r="P199" s="234"/>
      <c r="Q199" s="235">
        <f ca="1">_xll.DBRW(Server&amp;Cube1,$N$15,$N$16,$N$17,$N$18,$N$14,$N$13,$N$11,$Q$1,$A199)</f>
        <v>0</v>
      </c>
      <c r="R199" s="235">
        <f ca="1">_xll.DBRW(Server&amp;Cube1,$N$15,$N$16,$N$17,$N$18,$N$14,$N$13,$R$2,$R$1,$A199)</f>
        <v>0</v>
      </c>
      <c r="S199" s="236">
        <f t="shared" ca="1" si="99"/>
        <v>0</v>
      </c>
      <c r="T199" s="238">
        <f t="shared" ca="1" si="100"/>
        <v>0</v>
      </c>
      <c r="U199" s="223"/>
      <c r="V199" s="235">
        <f ca="1">_xll.DBRW(Server&amp;Cube1,$N$15,$N$16,$N$17,$N$18,$N$14,$N$13,$V$2,$V$1,$B199)</f>
        <v>0</v>
      </c>
      <c r="W199" s="236">
        <f t="shared" ca="1" si="101"/>
        <v>0</v>
      </c>
      <c r="X199" s="238">
        <f t="shared" ca="1" si="102"/>
        <v>0</v>
      </c>
      <c r="Y199" s="530"/>
      <c r="Z199" s="530"/>
      <c r="AA199" s="530"/>
      <c r="AB199" s="530"/>
      <c r="AC199" s="530"/>
      <c r="AD199" s="530"/>
      <c r="AE199" s="530"/>
      <c r="AF199" s="530"/>
      <c r="AG199" s="530"/>
      <c r="AH199" s="530"/>
      <c r="AI199" s="530"/>
      <c r="AJ199" s="530"/>
      <c r="AK199" s="530"/>
      <c r="AL199" s="530"/>
      <c r="AM199" s="530"/>
      <c r="AN199" s="530"/>
      <c r="AO199" s="530"/>
      <c r="AP199" s="530"/>
      <c r="AQ199" s="530"/>
      <c r="AR199" s="530"/>
      <c r="AS199" s="530"/>
      <c r="AT199" s="530"/>
      <c r="AU199" s="530"/>
      <c r="AV199" s="530"/>
      <c r="AW199" s="530"/>
      <c r="AX199" s="530"/>
      <c r="AY199" s="530"/>
      <c r="AZ199" s="530"/>
      <c r="BA199" s="530"/>
      <c r="BB199" s="530"/>
      <c r="BC199" s="530"/>
      <c r="BD199" s="530"/>
      <c r="BE199" s="530"/>
      <c r="BF199" s="530"/>
      <c r="BG199" s="530"/>
      <c r="BH199" s="530"/>
      <c r="BI199" s="530"/>
      <c r="BJ199" s="530"/>
      <c r="BK199" s="530"/>
      <c r="BL199" s="530"/>
      <c r="BM199" s="530"/>
      <c r="BN199" s="530"/>
      <c r="BO199" s="530"/>
      <c r="BP199" s="530"/>
      <c r="BQ199" s="530"/>
      <c r="BR199" s="530"/>
      <c r="BS199" s="530"/>
      <c r="BT199" s="530"/>
      <c r="BU199" s="530"/>
      <c r="BV199" s="530"/>
      <c r="BW199" s="530"/>
      <c r="BX199" s="28"/>
    </row>
    <row r="200" spans="1:76" s="517" customFormat="1" ht="21" hidden="1" customHeight="1" outlineLevel="4" x14ac:dyDescent="0.25">
      <c r="A200" s="516" t="s">
        <v>422</v>
      </c>
      <c r="B200" s="69" t="str">
        <f ca="1">_xll.DBRA(Server&amp;$B$32,$A200,$N$19)</f>
        <v>Profit or loss of joint ventures (from 2013) - Vector Reconciliation</v>
      </c>
      <c r="C200" s="366"/>
      <c r="D200" s="1"/>
      <c r="E200" s="1"/>
      <c r="H200" s="518"/>
      <c r="I200" s="95"/>
      <c r="J200" s="58"/>
      <c r="K200" s="105"/>
      <c r="L200" s="531" t="str">
        <f t="shared" ca="1" si="98"/>
        <v>Profit or loss of joint ventures (from 2013) - Vector Reconciliation</v>
      </c>
      <c r="M200" s="520"/>
      <c r="N200" s="520"/>
      <c r="O200" s="520"/>
      <c r="P200" s="521"/>
      <c r="Q200" s="522">
        <f ca="1">_xll.DBRW(Server&amp;Cube1,$N$15,$N$16,$N$17,$N$18,$N$14,$N$13,$N$11,$Q$1,$A200)</f>
        <v>0</v>
      </c>
      <c r="R200" s="522">
        <f ca="1">_xll.DBRW(Server&amp;Cube1,$N$15,$N$16,$N$17,$N$18,$N$14,$N$13,$R$2,$R$1,$A200)</f>
        <v>0</v>
      </c>
      <c r="S200" s="523">
        <f t="shared" ca="1" si="99"/>
        <v>0</v>
      </c>
      <c r="T200" s="524">
        <f t="shared" ca="1" si="100"/>
        <v>0</v>
      </c>
      <c r="U200" s="525"/>
      <c r="V200" s="522">
        <f ca="1">_xll.DBRW(Server&amp;Cube1,$N$15,$N$16,$N$17,$N$18,$N$14,$N$13,$V$2,$V$1,$B200)</f>
        <v>0</v>
      </c>
      <c r="W200" s="523">
        <f t="shared" ca="1" si="101"/>
        <v>0</v>
      </c>
      <c r="X200" s="524">
        <f t="shared" ca="1" si="102"/>
        <v>0</v>
      </c>
      <c r="Y200" s="105"/>
      <c r="Z200" s="105"/>
      <c r="AA200" s="105"/>
      <c r="AB200" s="105"/>
      <c r="AC200" s="105"/>
      <c r="AD200" s="105"/>
      <c r="AE200" s="105"/>
      <c r="AF200" s="105"/>
      <c r="AG200" s="105"/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05"/>
      <c r="AU200" s="105"/>
      <c r="AV200" s="105"/>
      <c r="AW200" s="105"/>
      <c r="AX200" s="105"/>
      <c r="AY200" s="105"/>
      <c r="AZ200" s="105"/>
      <c r="BA200" s="105"/>
      <c r="BB200" s="105"/>
      <c r="BC200" s="105"/>
      <c r="BD200" s="105"/>
      <c r="BE200" s="105"/>
      <c r="BF200" s="105"/>
      <c r="BG200" s="105"/>
      <c r="BH200" s="105"/>
      <c r="BI200" s="105"/>
      <c r="BJ200" s="105"/>
      <c r="BK200" s="105"/>
      <c r="BL200" s="105"/>
      <c r="BM200" s="105"/>
      <c r="BN200" s="105"/>
      <c r="BO200" s="105"/>
      <c r="BP200" s="105"/>
      <c r="BQ200" s="105"/>
      <c r="BR200" s="105"/>
      <c r="BS200" s="105"/>
      <c r="BT200" s="105"/>
      <c r="BU200" s="105"/>
      <c r="BV200" s="105"/>
      <c r="BW200" s="105"/>
      <c r="BX200" s="526"/>
    </row>
    <row r="201" spans="1:76" s="34" customFormat="1" ht="12.75" hidden="1" outlineLevel="1" x14ac:dyDescent="0.25">
      <c r="C201" s="9"/>
      <c r="D201" s="1"/>
      <c r="E201" s="1"/>
      <c r="H201" s="377"/>
      <c r="I201" s="95"/>
      <c r="J201" s="58"/>
      <c r="K201" s="105"/>
      <c r="L201" s="105"/>
      <c r="M201" s="105"/>
      <c r="N201" s="105"/>
      <c r="O201" s="105"/>
      <c r="P201" s="105"/>
      <c r="Q201" s="105"/>
      <c r="R201" s="105"/>
      <c r="S201" s="105"/>
      <c r="T201" s="105"/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05"/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05"/>
      <c r="AU201" s="105"/>
      <c r="AV201" s="105"/>
      <c r="AW201" s="105"/>
      <c r="AX201" s="105"/>
      <c r="AY201" s="105"/>
      <c r="AZ201" s="105"/>
      <c r="BA201" s="105"/>
      <c r="BB201" s="105"/>
      <c r="BC201" s="105"/>
      <c r="BD201" s="105"/>
      <c r="BE201" s="105"/>
      <c r="BF201" s="105"/>
      <c r="BG201" s="105"/>
      <c r="BH201" s="105"/>
      <c r="BI201" s="105"/>
      <c r="BJ201" s="105"/>
      <c r="BK201" s="105"/>
      <c r="BL201" s="105"/>
      <c r="BM201" s="105"/>
      <c r="BN201" s="105"/>
      <c r="BO201" s="105"/>
      <c r="BP201" s="105"/>
      <c r="BQ201" s="105"/>
      <c r="BR201" s="105"/>
      <c r="BS201" s="105"/>
      <c r="BT201" s="105"/>
      <c r="BU201" s="105"/>
      <c r="BV201" s="105"/>
      <c r="BW201" s="105"/>
      <c r="BX201" s="28"/>
    </row>
    <row r="202" spans="1:76" s="34" customFormat="1" ht="21" hidden="1" customHeight="1" outlineLevel="1" collapsed="1" x14ac:dyDescent="0.25">
      <c r="A202" s="379" t="s">
        <v>354</v>
      </c>
      <c r="B202" s="360" t="str">
        <f ca="1">_xll.DBRA(Server&amp;$B$32,$A202,$N$19)</f>
        <v>PROFIT OR LOSS OF ASSOCIATES (from 2013) (by destination)</v>
      </c>
      <c r="C202" s="9"/>
      <c r="D202" s="1"/>
      <c r="E202" s="1"/>
      <c r="H202" s="377"/>
      <c r="I202" s="95"/>
      <c r="J202" s="58"/>
      <c r="K202" s="105"/>
      <c r="L202" s="546" t="str">
        <f ca="1">LEFT(B202,FIND("(",B202,1)-1)</f>
        <v xml:space="preserve">PROFIT OR LOSS OF ASSOCIATES </v>
      </c>
      <c r="M202" s="546"/>
      <c r="N202" s="546"/>
      <c r="O202" s="546"/>
      <c r="P202" s="546"/>
      <c r="Q202" s="241">
        <f ca="1">_xll.DBRW(Server&amp;Cube1,$N$15,$N$16,$N$17,$N$18,$N$14,$N$13,$N$11,$Q$1,$A202)</f>
        <v>0</v>
      </c>
      <c r="R202" s="241">
        <f ca="1">_xll.DBRW(Server&amp;Cube1,$N$15,$N$16,$N$17,$N$18,$N$14,$N$13,$R$2,$R$1,$A202)</f>
        <v>0</v>
      </c>
      <c r="S202" s="242">
        <f ca="1">Q202-R202</f>
        <v>0</v>
      </c>
      <c r="T202" s="243">
        <f ca="1">IF(R202&lt;&gt;0,IF(R202&gt;0,S202/R202,-S202/R202),0)</f>
        <v>0</v>
      </c>
      <c r="U202" s="216"/>
      <c r="V202" s="241">
        <f ca="1">_xll.DBRW(Server&amp;Cube1,$N$15,$N$16,$N$17,$N$18,$N$14,$N$13,$V$2,$V$1,$B202)</f>
        <v>0</v>
      </c>
      <c r="W202" s="242">
        <f ca="1">Q202-V202</f>
        <v>0</v>
      </c>
      <c r="X202" s="243">
        <f ca="1">IF(V202&lt;&gt;0,IF(V202&gt;0,W202/V202,-W202/V202),0)</f>
        <v>0</v>
      </c>
      <c r="Y202" s="105"/>
      <c r="Z202" s="105"/>
      <c r="AA202" s="105"/>
      <c r="AB202" s="105"/>
      <c r="AC202" s="105"/>
      <c r="AD202" s="105"/>
      <c r="AE202" s="105"/>
      <c r="AF202" s="105"/>
      <c r="AG202" s="105"/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05"/>
      <c r="AU202" s="105"/>
      <c r="AV202" s="105"/>
      <c r="AW202" s="105"/>
      <c r="AX202" s="105"/>
      <c r="AY202" s="105"/>
      <c r="AZ202" s="105"/>
      <c r="BA202" s="105"/>
      <c r="BB202" s="105"/>
      <c r="BC202" s="105"/>
      <c r="BD202" s="105"/>
      <c r="BE202" s="105"/>
      <c r="BF202" s="105"/>
      <c r="BG202" s="105"/>
      <c r="BH202" s="105"/>
      <c r="BI202" s="105"/>
      <c r="BJ202" s="105"/>
      <c r="BK202" s="105"/>
      <c r="BL202" s="105"/>
      <c r="BM202" s="105"/>
      <c r="BN202" s="105"/>
      <c r="BO202" s="105"/>
      <c r="BP202" s="105"/>
      <c r="BQ202" s="105"/>
      <c r="BR202" s="105"/>
      <c r="BS202" s="105"/>
      <c r="BT202" s="105"/>
      <c r="BU202" s="105"/>
      <c r="BV202" s="105"/>
      <c r="BW202" s="105"/>
      <c r="BX202" s="28"/>
    </row>
    <row r="203" spans="1:76" s="517" customFormat="1" ht="21" hidden="1" customHeight="1" outlineLevel="4" collapsed="1" x14ac:dyDescent="0.25">
      <c r="A203" s="516" t="s">
        <v>423</v>
      </c>
      <c r="B203" s="69" t="str">
        <f ca="1">_xll.DBRA(Server&amp;$B$32,$A203,$N$19)</f>
        <v>Profit or loss of associates (from 2013)</v>
      </c>
      <c r="C203" s="366"/>
      <c r="D203" s="1"/>
      <c r="E203" s="1"/>
      <c r="H203" s="518"/>
      <c r="I203" s="95"/>
      <c r="J203" s="58"/>
      <c r="K203" s="105"/>
      <c r="L203" s="531" t="str">
        <f t="shared" ref="L203:L206" ca="1" si="103">B203</f>
        <v>Profit or loss of associates (from 2013)</v>
      </c>
      <c r="M203" s="520"/>
      <c r="N203" s="520"/>
      <c r="O203" s="520"/>
      <c r="P203" s="521"/>
      <c r="Q203" s="522">
        <f ca="1">_xll.DBRW(Server&amp;Cube1,$N$15,$N$16,$N$17,$N$18,$N$14,$N$13,$N$11,$Q$1,$A203)</f>
        <v>0</v>
      </c>
      <c r="R203" s="522">
        <f ca="1">_xll.DBRW(Server&amp;Cube1,$N$15,$N$16,$N$17,$N$18,$N$14,$N$13,$R$2,$R$1,$A203)</f>
        <v>0</v>
      </c>
      <c r="S203" s="523">
        <f t="shared" ref="S203:S206" ca="1" si="104">Q203-R203</f>
        <v>0</v>
      </c>
      <c r="T203" s="524">
        <f t="shared" ref="T203:T206" ca="1" si="105">IF(R203&lt;&gt;0,IF(R203&gt;0,S203/R203,-S203/R203),0)</f>
        <v>0</v>
      </c>
      <c r="U203" s="525"/>
      <c r="V203" s="522">
        <f ca="1">_xll.DBRW(Server&amp;Cube1,$N$15,$N$16,$N$17,$N$18,$N$14,$N$13,$V$2,$V$1,$B203)</f>
        <v>0</v>
      </c>
      <c r="W203" s="523">
        <f t="shared" ref="W203:W206" ca="1" si="106">Q203-V203</f>
        <v>0</v>
      </c>
      <c r="X203" s="524">
        <f t="shared" ref="X203:X206" ca="1" si="107">IF(V203&lt;&gt;0,IF(V203&gt;0,W203/V203,-W203/V203),0)</f>
        <v>0</v>
      </c>
      <c r="Y203" s="105"/>
      <c r="Z203" s="105"/>
      <c r="AA203" s="105"/>
      <c r="AB203" s="105"/>
      <c r="AC203" s="105"/>
      <c r="AD203" s="105"/>
      <c r="AE203" s="105"/>
      <c r="AF203" s="105"/>
      <c r="AG203" s="105"/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05"/>
      <c r="AU203" s="105"/>
      <c r="AV203" s="105"/>
      <c r="AW203" s="105"/>
      <c r="AX203" s="105"/>
      <c r="AY203" s="105"/>
      <c r="AZ203" s="105"/>
      <c r="BA203" s="105"/>
      <c r="BB203" s="105"/>
      <c r="BC203" s="105"/>
      <c r="BD203" s="105"/>
      <c r="BE203" s="105"/>
      <c r="BF203" s="105"/>
      <c r="BG203" s="105"/>
      <c r="BH203" s="105"/>
      <c r="BI203" s="105"/>
      <c r="BJ203" s="105"/>
      <c r="BK203" s="105"/>
      <c r="BL203" s="105"/>
      <c r="BM203" s="105"/>
      <c r="BN203" s="105"/>
      <c r="BO203" s="105"/>
      <c r="BP203" s="105"/>
      <c r="BQ203" s="105"/>
      <c r="BR203" s="105"/>
      <c r="BS203" s="105"/>
      <c r="BT203" s="105"/>
      <c r="BU203" s="105"/>
      <c r="BV203" s="105"/>
      <c r="BW203" s="105"/>
      <c r="BX203" s="526"/>
    </row>
    <row r="204" spans="1:76" s="34" customFormat="1" ht="21" hidden="1" customHeight="1" outlineLevel="5" x14ac:dyDescent="0.25">
      <c r="A204" s="379" t="s">
        <v>424</v>
      </c>
      <c r="B204" s="360" t="str">
        <f ca="1">_xll.DBRA(Server&amp;$B$32,$A204,$N$19)</f>
        <v>P&amp;L AS - Share in profit or loss of associates (from 2013)</v>
      </c>
      <c r="C204" s="9"/>
      <c r="D204" s="527"/>
      <c r="E204" s="527"/>
      <c r="H204" s="377"/>
      <c r="I204" s="528"/>
      <c r="J204" s="529"/>
      <c r="K204" s="530"/>
      <c r="L204" s="514" t="str">
        <f t="shared" ca="1" si="103"/>
        <v>P&amp;L AS - Share in profit or loss of associates (from 2013)</v>
      </c>
      <c r="M204" s="498"/>
      <c r="N204" s="498"/>
      <c r="O204" s="498"/>
      <c r="P204" s="234"/>
      <c r="Q204" s="235">
        <f ca="1">_xll.DBRW(Server&amp;Cube1,$N$15,$N$16,$N$17,$N$18,$N$14,$N$13,$N$11,$Q$1,$A204)</f>
        <v>0</v>
      </c>
      <c r="R204" s="235">
        <f ca="1">_xll.DBRW(Server&amp;Cube1,$N$15,$N$16,$N$17,$N$18,$N$14,$N$13,$R$2,$R$1,$A204)</f>
        <v>0</v>
      </c>
      <c r="S204" s="236">
        <f t="shared" ca="1" si="104"/>
        <v>0</v>
      </c>
      <c r="T204" s="238">
        <f t="shared" ca="1" si="105"/>
        <v>0</v>
      </c>
      <c r="U204" s="223"/>
      <c r="V204" s="235">
        <f ca="1">_xll.DBRW(Server&amp;Cube1,$N$15,$N$16,$N$17,$N$18,$N$14,$N$13,$V$2,$V$1,$B204)</f>
        <v>0</v>
      </c>
      <c r="W204" s="236">
        <f t="shared" ca="1" si="106"/>
        <v>0</v>
      </c>
      <c r="X204" s="238">
        <f t="shared" ca="1" si="107"/>
        <v>0</v>
      </c>
      <c r="Y204" s="530"/>
      <c r="Z204" s="530"/>
      <c r="AA204" s="530"/>
      <c r="AB204" s="530"/>
      <c r="AC204" s="530"/>
      <c r="AD204" s="530"/>
      <c r="AE204" s="530"/>
      <c r="AF204" s="530"/>
      <c r="AG204" s="530"/>
      <c r="AH204" s="530"/>
      <c r="AI204" s="530"/>
      <c r="AJ204" s="530"/>
      <c r="AK204" s="530"/>
      <c r="AL204" s="530"/>
      <c r="AM204" s="530"/>
      <c r="AN204" s="530"/>
      <c r="AO204" s="530"/>
      <c r="AP204" s="530"/>
      <c r="AQ204" s="530"/>
      <c r="AR204" s="530"/>
      <c r="AS204" s="530"/>
      <c r="AT204" s="530"/>
      <c r="AU204" s="530"/>
      <c r="AV204" s="530"/>
      <c r="AW204" s="530"/>
      <c r="AX204" s="530"/>
      <c r="AY204" s="530"/>
      <c r="AZ204" s="530"/>
      <c r="BA204" s="530"/>
      <c r="BB204" s="530"/>
      <c r="BC204" s="530"/>
      <c r="BD204" s="530"/>
      <c r="BE204" s="530"/>
      <c r="BF204" s="530"/>
      <c r="BG204" s="530"/>
      <c r="BH204" s="530"/>
      <c r="BI204" s="530"/>
      <c r="BJ204" s="530"/>
      <c r="BK204" s="530"/>
      <c r="BL204" s="530"/>
      <c r="BM204" s="530"/>
      <c r="BN204" s="530"/>
      <c r="BO204" s="530"/>
      <c r="BP204" s="530"/>
      <c r="BQ204" s="530"/>
      <c r="BR204" s="530"/>
      <c r="BS204" s="530"/>
      <c r="BT204" s="530"/>
      <c r="BU204" s="530"/>
      <c r="BV204" s="530"/>
      <c r="BW204" s="530"/>
      <c r="BX204" s="28"/>
    </row>
    <row r="205" spans="1:76" s="34" customFormat="1" ht="21" hidden="1" customHeight="1" outlineLevel="5" x14ac:dyDescent="0.25">
      <c r="A205" s="379" t="s">
        <v>425</v>
      </c>
      <c r="B205" s="360" t="str">
        <f ca="1">_xll.DBRA(Server&amp;$B$32,$A205,$N$19)</f>
        <v>P&amp;L AS - Impairment - Goodwill (Associates) (from 2013)</v>
      </c>
      <c r="C205" s="9"/>
      <c r="D205" s="527"/>
      <c r="E205" s="527"/>
      <c r="H205" s="377"/>
      <c r="I205" s="528"/>
      <c r="J205" s="529"/>
      <c r="K205" s="530"/>
      <c r="L205" s="514" t="str">
        <f t="shared" ca="1" si="103"/>
        <v>P&amp;L AS - Impairment - Goodwill (Associates) (from 2013)</v>
      </c>
      <c r="M205" s="498"/>
      <c r="N205" s="498"/>
      <c r="O205" s="498"/>
      <c r="P205" s="234"/>
      <c r="Q205" s="235">
        <f ca="1">_xll.DBRW(Server&amp;Cube1,$N$15,$N$16,$N$17,$N$18,$N$14,$N$13,$N$11,$Q$1,$A205)</f>
        <v>0</v>
      </c>
      <c r="R205" s="235">
        <f ca="1">_xll.DBRW(Server&amp;Cube1,$N$15,$N$16,$N$17,$N$18,$N$14,$N$13,$R$2,$R$1,$A205)</f>
        <v>0</v>
      </c>
      <c r="S205" s="236">
        <f t="shared" ca="1" si="104"/>
        <v>0</v>
      </c>
      <c r="T205" s="238">
        <f t="shared" ca="1" si="105"/>
        <v>0</v>
      </c>
      <c r="U205" s="223"/>
      <c r="V205" s="235">
        <f ca="1">_xll.DBRW(Server&amp;Cube1,$N$15,$N$16,$N$17,$N$18,$N$14,$N$13,$V$2,$V$1,$B205)</f>
        <v>0</v>
      </c>
      <c r="W205" s="236">
        <f t="shared" ca="1" si="106"/>
        <v>0</v>
      </c>
      <c r="X205" s="238">
        <f t="shared" ca="1" si="107"/>
        <v>0</v>
      </c>
      <c r="Y205" s="530"/>
      <c r="Z205" s="530"/>
      <c r="AA205" s="530"/>
      <c r="AB205" s="530"/>
      <c r="AC205" s="530"/>
      <c r="AD205" s="530"/>
      <c r="AE205" s="530"/>
      <c r="AF205" s="530"/>
      <c r="AG205" s="530"/>
      <c r="AH205" s="530"/>
      <c r="AI205" s="530"/>
      <c r="AJ205" s="530"/>
      <c r="AK205" s="530"/>
      <c r="AL205" s="530"/>
      <c r="AM205" s="530"/>
      <c r="AN205" s="530"/>
      <c r="AO205" s="530"/>
      <c r="AP205" s="530"/>
      <c r="AQ205" s="530"/>
      <c r="AR205" s="530"/>
      <c r="AS205" s="530"/>
      <c r="AT205" s="530"/>
      <c r="AU205" s="530"/>
      <c r="AV205" s="530"/>
      <c r="AW205" s="530"/>
      <c r="AX205" s="530"/>
      <c r="AY205" s="530"/>
      <c r="AZ205" s="530"/>
      <c r="BA205" s="530"/>
      <c r="BB205" s="530"/>
      <c r="BC205" s="530"/>
      <c r="BD205" s="530"/>
      <c r="BE205" s="530"/>
      <c r="BF205" s="530"/>
      <c r="BG205" s="530"/>
      <c r="BH205" s="530"/>
      <c r="BI205" s="530"/>
      <c r="BJ205" s="530"/>
      <c r="BK205" s="530"/>
      <c r="BL205" s="530"/>
      <c r="BM205" s="530"/>
      <c r="BN205" s="530"/>
      <c r="BO205" s="530"/>
      <c r="BP205" s="530"/>
      <c r="BQ205" s="530"/>
      <c r="BR205" s="530"/>
      <c r="BS205" s="530"/>
      <c r="BT205" s="530"/>
      <c r="BU205" s="530"/>
      <c r="BV205" s="530"/>
      <c r="BW205" s="530"/>
      <c r="BX205" s="28"/>
    </row>
    <row r="206" spans="1:76" s="517" customFormat="1" ht="21" hidden="1" customHeight="1" outlineLevel="4" x14ac:dyDescent="0.25">
      <c r="A206" s="516" t="s">
        <v>426</v>
      </c>
      <c r="B206" s="69" t="str">
        <f ca="1">_xll.DBRA(Server&amp;$B$32,$A206,$N$19)</f>
        <v>Profit or loss of associates (from 2013) - Vector Reconciliation</v>
      </c>
      <c r="C206" s="366"/>
      <c r="D206" s="1"/>
      <c r="E206" s="1"/>
      <c r="H206" s="518"/>
      <c r="I206" s="95"/>
      <c r="J206" s="58"/>
      <c r="K206" s="105"/>
      <c r="L206" s="531" t="str">
        <f t="shared" ca="1" si="103"/>
        <v>Profit or loss of associates (from 2013) - Vector Reconciliation</v>
      </c>
      <c r="M206" s="520"/>
      <c r="N206" s="520"/>
      <c r="O206" s="520"/>
      <c r="P206" s="521"/>
      <c r="Q206" s="522">
        <f ca="1">_xll.DBRW(Server&amp;Cube1,$N$15,$N$16,$N$17,$N$18,$N$14,$N$13,$N$11,$Q$1,$A206)</f>
        <v>0</v>
      </c>
      <c r="R206" s="522">
        <f ca="1">_xll.DBRW(Server&amp;Cube1,$N$15,$N$16,$N$17,$N$18,$N$14,$N$13,$R$2,$R$1,$A206)</f>
        <v>0</v>
      </c>
      <c r="S206" s="523">
        <f t="shared" ca="1" si="104"/>
        <v>0</v>
      </c>
      <c r="T206" s="524">
        <f t="shared" ca="1" si="105"/>
        <v>0</v>
      </c>
      <c r="U206" s="525"/>
      <c r="V206" s="522">
        <f ca="1">_xll.DBRW(Server&amp;Cube1,$N$15,$N$16,$N$17,$N$18,$N$14,$N$13,$V$2,$V$1,$B206)</f>
        <v>0</v>
      </c>
      <c r="W206" s="523">
        <f t="shared" ca="1" si="106"/>
        <v>0</v>
      </c>
      <c r="X206" s="524">
        <f t="shared" ca="1" si="107"/>
        <v>0</v>
      </c>
      <c r="Y206" s="105"/>
      <c r="Z206" s="105"/>
      <c r="AA206" s="105"/>
      <c r="AB206" s="105"/>
      <c r="AC206" s="105"/>
      <c r="AD206" s="105"/>
      <c r="AE206" s="105"/>
      <c r="AF206" s="105"/>
      <c r="AG206" s="105"/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05"/>
      <c r="AU206" s="105"/>
      <c r="AV206" s="105"/>
      <c r="AW206" s="105"/>
      <c r="AX206" s="105"/>
      <c r="AY206" s="105"/>
      <c r="AZ206" s="105"/>
      <c r="BA206" s="105"/>
      <c r="BB206" s="105"/>
      <c r="BC206" s="105"/>
      <c r="BD206" s="105"/>
      <c r="BE206" s="105"/>
      <c r="BF206" s="105"/>
      <c r="BG206" s="105"/>
      <c r="BH206" s="105"/>
      <c r="BI206" s="105"/>
      <c r="BJ206" s="105"/>
      <c r="BK206" s="105"/>
      <c r="BL206" s="105"/>
      <c r="BM206" s="105"/>
      <c r="BN206" s="105"/>
      <c r="BO206" s="105"/>
      <c r="BP206" s="105"/>
      <c r="BQ206" s="105"/>
      <c r="BR206" s="105"/>
      <c r="BS206" s="105"/>
      <c r="BT206" s="105"/>
      <c r="BU206" s="105"/>
      <c r="BV206" s="105"/>
      <c r="BW206" s="105"/>
      <c r="BX206" s="526"/>
    </row>
    <row r="207" spans="1:76" s="34" customFormat="1" ht="12.75" hidden="1" outlineLevel="1" x14ac:dyDescent="0.25">
      <c r="A207" s="57"/>
      <c r="B207" s="377"/>
      <c r="C207" s="9"/>
      <c r="D207" s="1"/>
      <c r="E207" s="1"/>
      <c r="H207" s="377"/>
      <c r="I207" s="95"/>
      <c r="J207" s="58"/>
      <c r="K207" s="105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05"/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05"/>
      <c r="AU207" s="105"/>
      <c r="AV207" s="105"/>
      <c r="AW207" s="105"/>
      <c r="AX207" s="105"/>
      <c r="AY207" s="105"/>
      <c r="AZ207" s="105"/>
      <c r="BA207" s="105"/>
      <c r="BB207" s="105"/>
      <c r="BC207" s="105"/>
      <c r="BD207" s="105"/>
      <c r="BE207" s="105"/>
      <c r="BF207" s="105"/>
      <c r="BG207" s="105"/>
      <c r="BH207" s="105"/>
      <c r="BI207" s="105"/>
      <c r="BJ207" s="105"/>
      <c r="BK207" s="105"/>
      <c r="BL207" s="105"/>
      <c r="BM207" s="105"/>
      <c r="BN207" s="105"/>
      <c r="BO207" s="105"/>
      <c r="BP207" s="105"/>
      <c r="BQ207" s="105"/>
      <c r="BR207" s="105"/>
      <c r="BS207" s="105"/>
      <c r="BT207" s="105"/>
      <c r="BU207" s="105"/>
      <c r="BV207" s="105"/>
      <c r="BW207" s="105"/>
      <c r="BX207" s="28"/>
    </row>
    <row r="208" spans="1:76" s="34" customFormat="1" ht="12.75" x14ac:dyDescent="0.25">
      <c r="A208" s="57"/>
      <c r="B208" s="377"/>
      <c r="C208" s="9"/>
      <c r="D208" s="1"/>
      <c r="E208" s="1"/>
      <c r="H208" s="377"/>
      <c r="I208" s="95"/>
      <c r="J208" s="58"/>
      <c r="K208" s="96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9"/>
      <c r="Z208" s="105"/>
      <c r="AA208" s="105"/>
      <c r="AB208" s="105"/>
      <c r="AC208" s="105"/>
      <c r="AD208" s="105"/>
      <c r="AE208" s="105"/>
      <c r="AF208" s="105"/>
      <c r="AG208" s="105"/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05"/>
      <c r="AU208" s="105"/>
      <c r="AV208" s="105"/>
      <c r="AW208" s="105"/>
      <c r="AX208" s="105"/>
      <c r="AY208" s="105"/>
      <c r="AZ208" s="105"/>
      <c r="BA208" s="105"/>
      <c r="BB208" s="105"/>
      <c r="BC208" s="105"/>
      <c r="BD208" s="105"/>
      <c r="BE208" s="105"/>
      <c r="BF208" s="105"/>
      <c r="BG208" s="105"/>
      <c r="BH208" s="105"/>
      <c r="BI208" s="105"/>
      <c r="BJ208" s="105"/>
      <c r="BK208" s="105"/>
      <c r="BL208" s="105"/>
      <c r="BM208" s="105"/>
      <c r="BN208" s="105"/>
      <c r="BO208" s="105"/>
      <c r="BP208" s="105"/>
      <c r="BQ208" s="105"/>
      <c r="BR208" s="105"/>
      <c r="BS208" s="105"/>
      <c r="BT208" s="105"/>
      <c r="BU208" s="105"/>
      <c r="BV208" s="105"/>
      <c r="BW208" s="105"/>
      <c r="BX208" s="28"/>
    </row>
    <row r="209" spans="1:76" s="34" customFormat="1" ht="26.25" customHeight="1" x14ac:dyDescent="0.25">
      <c r="A209" s="57" t="s">
        <v>355</v>
      </c>
      <c r="B209" s="360" t="str">
        <f ca="1">_xll.DBRA(Server&amp;$B$32,$A209,$N$19)</f>
        <v>OPERATING PROFIT (by destination)</v>
      </c>
      <c r="C209" s="9"/>
      <c r="D209" s="1"/>
      <c r="E209" s="1"/>
      <c r="H209" s="377"/>
      <c r="I209" s="95"/>
      <c r="J209" s="58"/>
      <c r="K209" s="104"/>
      <c r="L209" s="548" t="str">
        <f ca="1">LEFT(B209,FIND("(",B209,1)-1)&amp;" - EBIT "</f>
        <v xml:space="preserve">OPERATING PROFIT  - EBIT </v>
      </c>
      <c r="M209" s="549"/>
      <c r="N209" s="549"/>
      <c r="O209" s="550"/>
      <c r="P209" s="105"/>
      <c r="Q209" s="229">
        <f ca="1">_xll.DBRW(Server&amp;Cube1,$N$15,$N$16,$N$17,$N$18,$N$14,$N$13,$N$11,$Q$1,$A209)</f>
        <v>1250771085.6900012</v>
      </c>
      <c r="R209" s="230">
        <f ca="1">_xll.DBRW(Server&amp;Cube1,$N$15,$N$16,$N$17,$N$18,$N$14,$N$13,$R$2,$R$1,$A209)</f>
        <v>-883861587.10035098</v>
      </c>
      <c r="S209" s="231">
        <f ca="1">Q209-R209</f>
        <v>2134632672.7903523</v>
      </c>
      <c r="T209" s="313">
        <f ca="1">IF(R209&lt;&gt;0,IF(R209&gt;0,S209/R209,-S209/R209),0)</f>
        <v>2.4151209917305669</v>
      </c>
      <c r="U209" s="314"/>
      <c r="V209" s="229">
        <f ca="1">_xll.DBRW(Server&amp;Cube1,$N$15,$N$16,$N$17,$N$18,$N$14,$N$13,$V$2,$V$1,$A209)</f>
        <v>-671084074.38677382</v>
      </c>
      <c r="W209" s="231">
        <f ca="1">Q209-V209</f>
        <v>1921855160.0767751</v>
      </c>
      <c r="X209" s="316">
        <f ca="1">IF(V209&lt;&gt;0,IF(V209&gt;0,W209/V209,-W209/V209),0)</f>
        <v>2.8638068364726674</v>
      </c>
      <c r="Y209" s="106"/>
      <c r="Z209" s="105"/>
      <c r="AA209" s="105"/>
      <c r="AB209" s="105"/>
      <c r="AC209" s="105"/>
      <c r="AD209" s="105"/>
      <c r="AE209" s="105"/>
      <c r="AF209" s="105"/>
      <c r="AG209" s="105"/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05"/>
      <c r="AU209" s="105"/>
      <c r="AV209" s="105"/>
      <c r="AW209" s="105"/>
      <c r="AX209" s="105"/>
      <c r="AY209" s="105"/>
      <c r="AZ209" s="105"/>
      <c r="BA209" s="105"/>
      <c r="BB209" s="105"/>
      <c r="BC209" s="105"/>
      <c r="BD209" s="105"/>
      <c r="BE209" s="105"/>
      <c r="BF209" s="105"/>
      <c r="BG209" s="105"/>
      <c r="BH209" s="105"/>
      <c r="BI209" s="105"/>
      <c r="BJ209" s="105"/>
      <c r="BK209" s="105"/>
      <c r="BL209" s="105"/>
      <c r="BM209" s="105"/>
      <c r="BN209" s="105"/>
      <c r="BO209" s="105"/>
      <c r="BP209" s="105"/>
      <c r="BQ209" s="105"/>
      <c r="BR209" s="105"/>
      <c r="BS209" s="105"/>
      <c r="BT209" s="105"/>
      <c r="BU209" s="105"/>
      <c r="BV209" s="105"/>
      <c r="BW209" s="105"/>
      <c r="BX209" s="28"/>
    </row>
    <row r="210" spans="1:76" s="34" customFormat="1" ht="26.25" customHeight="1" x14ac:dyDescent="0.25">
      <c r="A210" s="57"/>
      <c r="B210" s="360"/>
      <c r="C210" s="9"/>
      <c r="D210" s="1"/>
      <c r="E210" s="1"/>
      <c r="H210" s="377"/>
      <c r="I210" s="95"/>
      <c r="J210" s="58"/>
      <c r="K210" s="104"/>
      <c r="M210" s="105"/>
      <c r="N210" s="105"/>
      <c r="O210" s="291" t="str">
        <f>IF(V_LANG="English","Operating Profit (in percentage of ROA net of sub. Transport)","Résultat opérationnel (en pourcentage de PAO net de ST transport")</f>
        <v>Operating Profit (in percentage of ROA net of sub. Transport)</v>
      </c>
      <c r="P210" s="292"/>
      <c r="Q210" s="310">
        <f ca="1">IF(ISERROR(Q209/Q$36),"-",Q209/Q$36)</f>
        <v>8.0193746286548684E-2</v>
      </c>
      <c r="R210" s="310">
        <f ca="1">IF(ISERROR(R209/R$36),"-",R209/R$36)</f>
        <v>-6.6004185687003031E-2</v>
      </c>
      <c r="S210" s="547">
        <f ca="1">IF(ISERROR((Q210-R210)*100),"-",(Q210-R210)*100)</f>
        <v>14.619793197355172</v>
      </c>
      <c r="T210" s="547"/>
      <c r="U210" s="293"/>
      <c r="V210" s="310">
        <f ca="1">IF(ISERROR(V209/V$36),"-",V209/V$36)</f>
        <v>-5.9137445441437599E-2</v>
      </c>
      <c r="W210" s="551">
        <f ca="1">IF(ISERROR((Q210-V210)*100),"-",(Q210-V210)*100)</f>
        <v>13.933119172798628</v>
      </c>
      <c r="X210" s="551"/>
      <c r="Y210" s="106"/>
      <c r="Z210" s="105"/>
      <c r="AA210" s="105"/>
      <c r="AB210" s="105"/>
      <c r="AC210" s="105"/>
      <c r="AD210" s="105"/>
      <c r="AE210" s="105"/>
      <c r="AF210" s="105"/>
      <c r="AG210" s="105"/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05"/>
      <c r="AU210" s="105"/>
      <c r="AV210" s="105"/>
      <c r="AW210" s="105"/>
      <c r="AX210" s="105"/>
      <c r="AY210" s="105"/>
      <c r="AZ210" s="105"/>
      <c r="BA210" s="105"/>
      <c r="BB210" s="105"/>
      <c r="BC210" s="105"/>
      <c r="BD210" s="105"/>
      <c r="BE210" s="105"/>
      <c r="BF210" s="105"/>
      <c r="BG210" s="105"/>
      <c r="BH210" s="105"/>
      <c r="BI210" s="105"/>
      <c r="BJ210" s="105"/>
      <c r="BK210" s="105"/>
      <c r="BL210" s="105"/>
      <c r="BM210" s="105"/>
      <c r="BN210" s="105"/>
      <c r="BO210" s="105"/>
      <c r="BP210" s="105"/>
      <c r="BQ210" s="105"/>
      <c r="BR210" s="105"/>
      <c r="BS210" s="105"/>
      <c r="BT210" s="105"/>
      <c r="BU210" s="105"/>
      <c r="BV210" s="105"/>
      <c r="BW210" s="105"/>
      <c r="BX210" s="28"/>
    </row>
    <row r="211" spans="1:76" s="34" customFormat="1" ht="12.75" x14ac:dyDescent="0.25">
      <c r="A211" s="57"/>
      <c r="B211" s="377"/>
      <c r="C211" s="9"/>
      <c r="D211" s="1"/>
      <c r="E211" s="1"/>
      <c r="H211" s="377"/>
      <c r="I211" s="95"/>
      <c r="J211" s="58"/>
      <c r="K211" s="92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4"/>
      <c r="Z211" s="105"/>
      <c r="AA211" s="105"/>
      <c r="AB211" s="105"/>
      <c r="AC211" s="105"/>
      <c r="AD211" s="105"/>
      <c r="AE211" s="105"/>
      <c r="AF211" s="105"/>
      <c r="AG211" s="105"/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05"/>
      <c r="AU211" s="105"/>
      <c r="AV211" s="105"/>
      <c r="AW211" s="105"/>
      <c r="AX211" s="105"/>
      <c r="AY211" s="105"/>
      <c r="AZ211" s="105"/>
      <c r="BA211" s="105"/>
      <c r="BB211" s="105"/>
      <c r="BC211" s="105"/>
      <c r="BD211" s="105"/>
      <c r="BE211" s="105"/>
      <c r="BF211" s="105"/>
      <c r="BG211" s="105"/>
      <c r="BH211" s="105"/>
      <c r="BI211" s="105"/>
      <c r="BJ211" s="105"/>
      <c r="BK211" s="105"/>
      <c r="BL211" s="105"/>
      <c r="BM211" s="105"/>
      <c r="BN211" s="105"/>
      <c r="BO211" s="105"/>
      <c r="BP211" s="105"/>
      <c r="BQ211" s="105"/>
      <c r="BR211" s="105"/>
      <c r="BS211" s="105"/>
      <c r="BT211" s="105"/>
      <c r="BU211" s="105"/>
      <c r="BV211" s="105"/>
      <c r="BW211" s="105"/>
      <c r="BX211" s="28"/>
    </row>
    <row r="212" spans="1:76" s="34" customFormat="1" ht="12.75" x14ac:dyDescent="0.25">
      <c r="A212" s="57"/>
      <c r="B212" s="377"/>
      <c r="C212" s="9"/>
      <c r="D212" s="1"/>
      <c r="E212" s="1"/>
      <c r="H212" s="377"/>
      <c r="I212" s="95"/>
      <c r="J212" s="58"/>
      <c r="K212" s="105"/>
      <c r="L212" s="105"/>
      <c r="M212" s="105"/>
      <c r="N212" s="105"/>
      <c r="O212" s="105"/>
      <c r="P212" s="105"/>
      <c r="Q212" s="105"/>
      <c r="R212" s="105"/>
      <c r="S212" s="105"/>
      <c r="T212" s="105"/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05"/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05"/>
      <c r="AU212" s="105"/>
      <c r="AV212" s="105"/>
      <c r="AW212" s="105"/>
      <c r="AX212" s="105"/>
      <c r="AY212" s="105"/>
      <c r="AZ212" s="105"/>
      <c r="BA212" s="105"/>
      <c r="BB212" s="105"/>
      <c r="BC212" s="105"/>
      <c r="BD212" s="105"/>
      <c r="BE212" s="105"/>
      <c r="BF212" s="105"/>
      <c r="BG212" s="105"/>
      <c r="BH212" s="105"/>
      <c r="BI212" s="105"/>
      <c r="BJ212" s="105"/>
      <c r="BK212" s="105"/>
      <c r="BL212" s="105"/>
      <c r="BM212" s="105"/>
      <c r="BN212" s="105"/>
      <c r="BO212" s="105"/>
      <c r="BP212" s="105"/>
      <c r="BQ212" s="105"/>
      <c r="BR212" s="105"/>
      <c r="BS212" s="105"/>
      <c r="BT212" s="105"/>
      <c r="BU212" s="105"/>
      <c r="BV212" s="105"/>
      <c r="BW212" s="105"/>
      <c r="BX212" s="28"/>
    </row>
    <row r="213" spans="1:76" s="34" customFormat="1" ht="21" x14ac:dyDescent="0.35">
      <c r="A213" s="57"/>
      <c r="B213" s="377"/>
      <c r="C213" s="9"/>
      <c r="D213" s="1"/>
      <c r="E213" s="1"/>
      <c r="H213" s="377"/>
      <c r="I213" s="95"/>
      <c r="J213" s="58"/>
      <c r="K213" s="552" t="s">
        <v>356</v>
      </c>
      <c r="L213" s="552"/>
      <c r="M213" s="552"/>
      <c r="N213" s="552"/>
      <c r="O213" s="552"/>
      <c r="R213" s="479"/>
      <c r="S213" s="480"/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05"/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05"/>
      <c r="AU213" s="105"/>
      <c r="AV213" s="105"/>
      <c r="AW213" s="105"/>
      <c r="AX213" s="105"/>
      <c r="AY213" s="105"/>
      <c r="AZ213" s="105"/>
      <c r="BA213" s="105"/>
      <c r="BB213" s="105"/>
      <c r="BC213" s="105"/>
      <c r="BD213" s="105"/>
      <c r="BE213" s="105"/>
      <c r="BF213" s="105"/>
      <c r="BG213" s="105"/>
      <c r="BH213" s="105"/>
      <c r="BI213" s="105"/>
      <c r="BJ213" s="105"/>
      <c r="BK213" s="105"/>
      <c r="BL213" s="105"/>
      <c r="BM213" s="105"/>
      <c r="BN213" s="105"/>
      <c r="BO213" s="105"/>
      <c r="BP213" s="105"/>
      <c r="BQ213" s="105"/>
      <c r="BR213" s="105"/>
      <c r="BS213" s="105"/>
      <c r="BT213" s="105"/>
      <c r="BU213" s="105"/>
      <c r="BV213" s="105"/>
      <c r="BW213" s="105"/>
      <c r="BX213" s="28"/>
    </row>
    <row r="214" spans="1:76" s="34" customFormat="1" ht="19.5" thickBot="1" x14ac:dyDescent="0.3">
      <c r="A214" s="57"/>
      <c r="B214" s="377"/>
      <c r="C214" s="9"/>
      <c r="D214" s="1"/>
      <c r="E214" s="1"/>
      <c r="H214" s="377"/>
      <c r="I214" s="95"/>
      <c r="J214" s="58"/>
      <c r="K214" s="95"/>
      <c r="L214" s="95"/>
      <c r="M214" s="95"/>
      <c r="N214" s="95"/>
      <c r="O214" s="95"/>
      <c r="P214" s="95"/>
      <c r="Q214" s="95"/>
      <c r="R214" s="478" t="str">
        <f ca="1">R32</f>
        <v>Budget V current N</v>
      </c>
      <c r="S214" s="95"/>
      <c r="T214" s="95"/>
      <c r="U214" s="105"/>
      <c r="V214" s="478" t="str">
        <f ca="1">V32</f>
        <v>Actual N-1</v>
      </c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05"/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05"/>
      <c r="AU214" s="105"/>
      <c r="AV214" s="105"/>
      <c r="AW214" s="105"/>
      <c r="AX214" s="105"/>
      <c r="AY214" s="105"/>
      <c r="AZ214" s="105"/>
      <c r="BA214" s="105"/>
      <c r="BB214" s="105"/>
      <c r="BC214" s="105"/>
      <c r="BD214" s="105"/>
      <c r="BE214" s="105"/>
      <c r="BF214" s="105"/>
      <c r="BG214" s="105"/>
      <c r="BH214" s="105"/>
      <c r="BI214" s="105"/>
      <c r="BJ214" s="105"/>
      <c r="BK214" s="105"/>
      <c r="BL214" s="105"/>
      <c r="BM214" s="105"/>
      <c r="BN214" s="105"/>
      <c r="BO214" s="105"/>
      <c r="BP214" s="105"/>
      <c r="BQ214" s="105"/>
      <c r="BR214" s="105"/>
      <c r="BS214" s="105"/>
      <c r="BT214" s="105"/>
      <c r="BU214" s="105"/>
      <c r="BV214" s="105"/>
      <c r="BW214" s="105"/>
      <c r="BX214" s="28"/>
    </row>
    <row r="215" spans="1:76" s="34" customFormat="1" ht="21.75" customHeight="1" thickBot="1" x14ac:dyDescent="0.3">
      <c r="A215" s="57"/>
      <c r="B215" s="377"/>
      <c r="C215" s="9"/>
      <c r="D215" s="1"/>
      <c r="E215" s="1"/>
      <c r="H215" s="377"/>
      <c r="I215" s="95"/>
      <c r="J215" s="58"/>
      <c r="K215" s="558" t="str">
        <f>IF(V_LANG="French","Marge brute", "Gross Margin")</f>
        <v>Gross Margin</v>
      </c>
      <c r="L215" s="559"/>
      <c r="M215" s="559"/>
      <c r="N215" s="559"/>
      <c r="O215" s="559"/>
      <c r="P215" s="559"/>
      <c r="Q215" s="559"/>
      <c r="R215" s="507">
        <f ca="1">R124/1000</f>
        <v>148131.47412851077</v>
      </c>
      <c r="S215" s="95"/>
      <c r="U215" s="105"/>
      <c r="V215" s="510">
        <f ca="1">V124/1000</f>
        <v>222562.67690886967</v>
      </c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05"/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05"/>
      <c r="AU215" s="105"/>
      <c r="AV215" s="105"/>
      <c r="AW215" s="105"/>
      <c r="AX215" s="105"/>
      <c r="AY215" s="105"/>
      <c r="AZ215" s="105"/>
      <c r="BA215" s="105"/>
      <c r="BB215" s="105"/>
      <c r="BC215" s="105"/>
      <c r="BD215" s="105"/>
      <c r="BE215" s="105"/>
      <c r="BF215" s="105"/>
      <c r="BG215" s="105"/>
      <c r="BH215" s="105"/>
      <c r="BI215" s="105"/>
      <c r="BJ215" s="105"/>
      <c r="BK215" s="105"/>
      <c r="BL215" s="105"/>
      <c r="BM215" s="105"/>
      <c r="BN215" s="105"/>
      <c r="BO215" s="105"/>
      <c r="BP215" s="105"/>
      <c r="BQ215" s="105"/>
      <c r="BR215" s="105"/>
      <c r="BS215" s="105"/>
      <c r="BT215" s="105"/>
      <c r="BU215" s="105"/>
      <c r="BV215" s="105"/>
      <c r="BW215" s="105"/>
      <c r="BX215" s="28"/>
    </row>
    <row r="216" spans="1:76" s="34" customFormat="1" ht="18.75" customHeight="1" x14ac:dyDescent="0.25">
      <c r="A216" s="57"/>
      <c r="C216" s="9"/>
      <c r="D216" s="1"/>
      <c r="E216" s="1"/>
      <c r="H216" s="377"/>
      <c r="I216" s="95"/>
      <c r="J216" s="58"/>
      <c r="K216" s="482"/>
      <c r="L216" s="483"/>
      <c r="M216" s="553" t="str">
        <f>IF(V_LANG="French","Variances de performance impactant le taux de marge","Cost variance (impacts on gross margin)")</f>
        <v>Cost variance (impacts on gross margin)</v>
      </c>
      <c r="N216" s="508" t="str">
        <f>IF(V_LANG="FR","∑  Effets de performance", "∑  Performance effects")</f>
        <v>∑  Performance effects</v>
      </c>
      <c r="O216" s="509"/>
      <c r="P216" s="505"/>
      <c r="Q216" s="505"/>
      <c r="R216" s="506">
        <f ca="1">SUM(R217:R241)</f>
        <v>0</v>
      </c>
      <c r="S216" s="95"/>
      <c r="U216" s="105"/>
      <c r="V216" s="511">
        <f ca="1">SUM(V217:V241)</f>
        <v>0</v>
      </c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05"/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05"/>
      <c r="AU216" s="105"/>
      <c r="AV216" s="105"/>
      <c r="AW216" s="105"/>
      <c r="AX216" s="105"/>
      <c r="AY216" s="105"/>
      <c r="AZ216" s="105"/>
      <c r="BA216" s="105"/>
      <c r="BB216" s="105"/>
      <c r="BC216" s="105"/>
      <c r="BD216" s="105"/>
      <c r="BE216" s="105"/>
      <c r="BF216" s="105"/>
      <c r="BG216" s="105"/>
      <c r="BH216" s="105"/>
      <c r="BI216" s="105"/>
      <c r="BJ216" s="105"/>
      <c r="BK216" s="105"/>
      <c r="BL216" s="105"/>
      <c r="BM216" s="105"/>
      <c r="BN216" s="105"/>
      <c r="BO216" s="105"/>
      <c r="BP216" s="105"/>
      <c r="BQ216" s="105"/>
      <c r="BR216" s="105"/>
      <c r="BS216" s="105"/>
      <c r="BT216" s="105"/>
      <c r="BU216" s="105"/>
      <c r="BV216" s="105"/>
      <c r="BW216" s="105"/>
      <c r="BX216" s="28"/>
    </row>
    <row r="217" spans="1:76" s="34" customFormat="1" ht="18.75" customHeight="1" x14ac:dyDescent="0.25">
      <c r="A217" s="57"/>
      <c r="B217" s="136" t="s">
        <v>15</v>
      </c>
      <c r="C217" s="9"/>
      <c r="D217" s="1"/>
      <c r="E217" s="1"/>
      <c r="H217" s="377"/>
      <c r="I217" s="95"/>
      <c r="J217" s="58"/>
      <c r="K217" s="482"/>
      <c r="L217" s="483"/>
      <c r="M217" s="553"/>
      <c r="N217" s="484" t="str">
        <f ca="1">"D - "&amp;_xll.DBRA(Server&amp;$B$32,$B217,$N$19)</f>
        <v>D - Driving/operating (RESOP)</v>
      </c>
      <c r="R217" s="501"/>
      <c r="S217" s="95"/>
      <c r="T217" s="601">
        <f ca="1">R246-R215</f>
        <v>2330370.182221489</v>
      </c>
      <c r="U217" s="105"/>
      <c r="V217" s="485"/>
      <c r="W217" s="105"/>
      <c r="X217" s="602">
        <f ca="1">V246-V215</f>
        <v>2255938.9794411301</v>
      </c>
      <c r="Y217" s="105"/>
      <c r="Z217" s="105"/>
      <c r="AA217" s="105"/>
      <c r="AB217" s="105"/>
      <c r="AC217" s="105"/>
      <c r="AD217" s="105"/>
      <c r="AE217" s="105"/>
      <c r="AF217" s="105"/>
      <c r="AG217" s="105"/>
      <c r="AH217" s="105"/>
      <c r="AI217" s="105"/>
      <c r="AJ217" s="105"/>
      <c r="AK217" s="105"/>
      <c r="AL217" s="105"/>
      <c r="AM217" s="105"/>
      <c r="AN217" s="105"/>
      <c r="AO217" s="105"/>
      <c r="AP217" s="105"/>
      <c r="AQ217" s="105"/>
      <c r="AR217" s="105"/>
      <c r="AS217" s="105"/>
      <c r="AT217" s="105"/>
      <c r="AU217" s="105"/>
      <c r="AV217" s="105"/>
      <c r="AW217" s="105"/>
      <c r="AX217" s="105"/>
      <c r="AY217" s="105"/>
      <c r="AZ217" s="105"/>
      <c r="BA217" s="105"/>
      <c r="BB217" s="105"/>
      <c r="BC217" s="105"/>
      <c r="BD217" s="105"/>
      <c r="BE217" s="105"/>
      <c r="BF217" s="105"/>
      <c r="BG217" s="105"/>
      <c r="BH217" s="105"/>
      <c r="BI217" s="105"/>
      <c r="BJ217" s="105"/>
      <c r="BK217" s="105"/>
      <c r="BL217" s="105"/>
      <c r="BM217" s="105"/>
      <c r="BN217" s="105"/>
      <c r="BO217" s="105"/>
      <c r="BP217" s="105"/>
      <c r="BQ217" s="105"/>
      <c r="BR217" s="105"/>
      <c r="BS217" s="105"/>
      <c r="BT217" s="105"/>
      <c r="BU217" s="105"/>
      <c r="BV217" s="105"/>
      <c r="BW217" s="105"/>
      <c r="BX217" s="28"/>
    </row>
    <row r="218" spans="1:76" s="34" customFormat="1" ht="18.75" customHeight="1" x14ac:dyDescent="0.25">
      <c r="A218" s="57"/>
      <c r="B218" s="360" t="s">
        <v>90</v>
      </c>
      <c r="C218" s="9"/>
      <c r="D218" s="1"/>
      <c r="E218" s="1"/>
      <c r="H218" s="377"/>
      <c r="I218" s="95"/>
      <c r="J218" s="58"/>
      <c r="K218" s="482"/>
      <c r="L218" s="483"/>
      <c r="M218" s="553"/>
      <c r="N218" s="486" t="str">
        <f ca="1">_xll.DBRA(Server&amp;$B$32,$B218,$N$19)</f>
        <v>D1 - Driving cost variance - Cost effect</v>
      </c>
      <c r="R218" s="502">
        <f ca="1">S322/1000</f>
        <v>0</v>
      </c>
      <c r="S218" s="95"/>
      <c r="T218" s="601"/>
      <c r="U218" s="105"/>
      <c r="V218" s="487">
        <f ca="1">W322/1000</f>
        <v>0</v>
      </c>
      <c r="W218" s="105"/>
      <c r="X218" s="602"/>
      <c r="Y218" s="105"/>
      <c r="Z218" s="105"/>
      <c r="AA218" s="105"/>
      <c r="AB218" s="105"/>
      <c r="AC218" s="105"/>
      <c r="AD218" s="105"/>
      <c r="AE218" s="105"/>
      <c r="AF218" s="105"/>
      <c r="AG218" s="105"/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05"/>
      <c r="AU218" s="105"/>
      <c r="AV218" s="105"/>
      <c r="AW218" s="105"/>
      <c r="AX218" s="105"/>
      <c r="AY218" s="105"/>
      <c r="AZ218" s="105"/>
      <c r="BA218" s="105"/>
      <c r="BB218" s="105"/>
      <c r="BC218" s="105"/>
      <c r="BD218" s="105"/>
      <c r="BE218" s="105"/>
      <c r="BF218" s="105"/>
      <c r="BG218" s="105"/>
      <c r="BH218" s="105"/>
      <c r="BI218" s="105"/>
      <c r="BJ218" s="105"/>
      <c r="BK218" s="105"/>
      <c r="BL218" s="105"/>
      <c r="BM218" s="105"/>
      <c r="BN218" s="105"/>
      <c r="BO218" s="105"/>
      <c r="BP218" s="105"/>
      <c r="BQ218" s="105"/>
      <c r="BR218" s="105"/>
      <c r="BS218" s="105"/>
      <c r="BT218" s="105"/>
      <c r="BU218" s="105"/>
      <c r="BV218" s="105"/>
      <c r="BW218" s="105"/>
      <c r="BX218" s="28"/>
    </row>
    <row r="219" spans="1:76" s="34" customFormat="1" ht="18.75" customHeight="1" x14ac:dyDescent="0.25">
      <c r="A219" s="57"/>
      <c r="B219" s="360" t="s">
        <v>91</v>
      </c>
      <c r="C219" s="9"/>
      <c r="D219" s="1"/>
      <c r="E219" s="1"/>
      <c r="H219" s="377"/>
      <c r="I219" s="95"/>
      <c r="J219" s="58"/>
      <c r="K219" s="482"/>
      <c r="L219" s="483"/>
      <c r="M219" s="553"/>
      <c r="N219" s="486" t="str">
        <f ca="1">_xll.DBRA(Server&amp;$B$32,$B219,$N$19)</f>
        <v>D2 - Driving cost variance - Efficiency effect</v>
      </c>
      <c r="R219" s="502">
        <f ca="1">S323/1000</f>
        <v>0</v>
      </c>
      <c r="S219" s="95"/>
      <c r="T219" s="601"/>
      <c r="U219" s="105"/>
      <c r="V219" s="487">
        <f ca="1">W323/1000</f>
        <v>0</v>
      </c>
      <c r="W219" s="105"/>
      <c r="X219" s="602"/>
      <c r="Y219" s="105"/>
      <c r="Z219" s="105"/>
      <c r="AA219" s="105"/>
      <c r="AB219" s="105"/>
      <c r="AC219" s="105"/>
      <c r="AD219" s="105"/>
      <c r="AE219" s="105"/>
      <c r="AF219" s="105"/>
      <c r="AG219" s="105"/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05"/>
      <c r="AU219" s="105"/>
      <c r="AV219" s="105"/>
      <c r="AW219" s="105"/>
      <c r="AX219" s="105"/>
      <c r="AY219" s="105"/>
      <c r="AZ219" s="105"/>
      <c r="BA219" s="105"/>
      <c r="BB219" s="105"/>
      <c r="BC219" s="105"/>
      <c r="BD219" s="105"/>
      <c r="BE219" s="105"/>
      <c r="BF219" s="105"/>
      <c r="BG219" s="105"/>
      <c r="BH219" s="105"/>
      <c r="BI219" s="105"/>
      <c r="BJ219" s="105"/>
      <c r="BK219" s="105"/>
      <c r="BL219" s="105"/>
      <c r="BM219" s="105"/>
      <c r="BN219" s="105"/>
      <c r="BO219" s="105"/>
      <c r="BP219" s="105"/>
      <c r="BQ219" s="105"/>
      <c r="BR219" s="105"/>
      <c r="BS219" s="105"/>
      <c r="BT219" s="105"/>
      <c r="BU219" s="105"/>
      <c r="BV219" s="105"/>
      <c r="BW219" s="105"/>
      <c r="BX219" s="28"/>
    </row>
    <row r="220" spans="1:76" s="34" customFormat="1" ht="18.75" hidden="1" customHeight="1" x14ac:dyDescent="0.25">
      <c r="A220" s="57"/>
      <c r="B220" s="360" t="s">
        <v>92</v>
      </c>
      <c r="C220" s="9"/>
      <c r="D220" s="1"/>
      <c r="E220" s="1"/>
      <c r="H220" s="377"/>
      <c r="I220" s="95"/>
      <c r="J220" s="58"/>
      <c r="K220" s="482"/>
      <c r="L220" s="483"/>
      <c r="M220" s="553"/>
      <c r="N220" s="486" t="str">
        <f ca="1">_xll.DBRA(Server&amp;$B$32,$B220,$N$19)</f>
        <v>D3 - Driving cost variance - Price effect</v>
      </c>
      <c r="R220" s="502">
        <f ca="1">S324/1000</f>
        <v>0</v>
      </c>
      <c r="S220" s="95"/>
      <c r="T220" s="601"/>
      <c r="U220" s="105"/>
      <c r="V220" s="487">
        <f ca="1">W324/1000</f>
        <v>0</v>
      </c>
      <c r="W220" s="105"/>
      <c r="X220" s="602"/>
      <c r="Y220" s="105"/>
      <c r="Z220" s="105"/>
      <c r="AA220" s="105"/>
      <c r="AB220" s="105"/>
      <c r="AC220" s="105"/>
      <c r="AD220" s="105"/>
      <c r="AE220" s="105"/>
      <c r="AF220" s="105"/>
      <c r="AG220" s="105"/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05"/>
      <c r="AU220" s="105"/>
      <c r="AV220" s="105"/>
      <c r="AW220" s="105"/>
      <c r="AX220" s="105"/>
      <c r="AY220" s="105"/>
      <c r="AZ220" s="105"/>
      <c r="BA220" s="105"/>
      <c r="BB220" s="105"/>
      <c r="BC220" s="105"/>
      <c r="BD220" s="105"/>
      <c r="BE220" s="105"/>
      <c r="BF220" s="105"/>
      <c r="BG220" s="105"/>
      <c r="BH220" s="105"/>
      <c r="BI220" s="105"/>
      <c r="BJ220" s="105"/>
      <c r="BK220" s="105"/>
      <c r="BL220" s="105"/>
      <c r="BM220" s="105"/>
      <c r="BN220" s="105"/>
      <c r="BO220" s="105"/>
      <c r="BP220" s="105"/>
      <c r="BQ220" s="105"/>
      <c r="BR220" s="105"/>
      <c r="BS220" s="105"/>
      <c r="BT220" s="105"/>
      <c r="BU220" s="105"/>
      <c r="BV220" s="105"/>
      <c r="BW220" s="105"/>
      <c r="BX220" s="28"/>
    </row>
    <row r="221" spans="1:76" s="34" customFormat="1" ht="18.75" hidden="1" customHeight="1" x14ac:dyDescent="0.25">
      <c r="A221" s="57"/>
      <c r="B221" s="360" t="s">
        <v>93</v>
      </c>
      <c r="C221" s="9"/>
      <c r="D221" s="1"/>
      <c r="E221" s="1"/>
      <c r="H221" s="377"/>
      <c r="I221" s="95"/>
      <c r="J221" s="58"/>
      <c r="K221" s="482"/>
      <c r="L221" s="483"/>
      <c r="M221" s="553"/>
      <c r="N221" s="486" t="str">
        <f ca="1">_xll.DBRA(Server&amp;$B$32,$B221,$N$19)</f>
        <v>D - Compound</v>
      </c>
      <c r="R221" s="502">
        <f ca="1">S325/1000</f>
        <v>0</v>
      </c>
      <c r="S221" s="95"/>
      <c r="T221" s="601"/>
      <c r="U221" s="105"/>
      <c r="V221" s="487">
        <f ca="1">W325/1000</f>
        <v>0</v>
      </c>
      <c r="W221" s="105"/>
      <c r="X221" s="602"/>
      <c r="Y221" s="105"/>
      <c r="Z221" s="105"/>
      <c r="AA221" s="105"/>
      <c r="AB221" s="105"/>
      <c r="AC221" s="105"/>
      <c r="AD221" s="105"/>
      <c r="AE221" s="105"/>
      <c r="AF221" s="105"/>
      <c r="AG221" s="105"/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05"/>
      <c r="AU221" s="105"/>
      <c r="AV221" s="105"/>
      <c r="AW221" s="105"/>
      <c r="AX221" s="105"/>
      <c r="AY221" s="105"/>
      <c r="AZ221" s="105"/>
      <c r="BA221" s="105"/>
      <c r="BB221" s="105"/>
      <c r="BC221" s="105"/>
      <c r="BD221" s="105"/>
      <c r="BE221" s="105"/>
      <c r="BF221" s="105"/>
      <c r="BG221" s="105"/>
      <c r="BH221" s="105"/>
      <c r="BI221" s="105"/>
      <c r="BJ221" s="105"/>
      <c r="BK221" s="105"/>
      <c r="BL221" s="105"/>
      <c r="BM221" s="105"/>
      <c r="BN221" s="105"/>
      <c r="BO221" s="105"/>
      <c r="BP221" s="105"/>
      <c r="BQ221" s="105"/>
      <c r="BR221" s="105"/>
      <c r="BS221" s="105"/>
      <c r="BT221" s="105"/>
      <c r="BU221" s="105"/>
      <c r="BV221" s="105"/>
      <c r="BW221" s="105"/>
      <c r="BX221" s="28"/>
    </row>
    <row r="222" spans="1:76" s="34" customFormat="1" ht="18.75" customHeight="1" x14ac:dyDescent="0.25">
      <c r="A222" s="57"/>
      <c r="B222" s="136" t="s">
        <v>345</v>
      </c>
      <c r="C222" s="9"/>
      <c r="D222" s="1"/>
      <c r="E222" s="1"/>
      <c r="H222" s="377"/>
      <c r="I222" s="95"/>
      <c r="J222" s="58"/>
      <c r="K222" s="482"/>
      <c r="L222" s="483"/>
      <c r="M222" s="553"/>
      <c r="N222" s="484" t="str">
        <f ca="1">"M - " &amp;_xll.DBRA(Server&amp;$B$32,$B222,$N$19)</f>
        <v>M - Maintenance &amp; cleaning of fleet PMM</v>
      </c>
      <c r="R222" s="501"/>
      <c r="S222" s="95"/>
      <c r="T222" s="601"/>
      <c r="U222" s="105"/>
      <c r="V222" s="485"/>
      <c r="W222" s="105"/>
      <c r="X222" s="602"/>
      <c r="Y222" s="105"/>
      <c r="Z222" s="105"/>
      <c r="AA222" s="105"/>
      <c r="AB222" s="105"/>
      <c r="AC222" s="105"/>
      <c r="AD222" s="105"/>
      <c r="AE222" s="105"/>
      <c r="AF222" s="105"/>
      <c r="AG222" s="105"/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05"/>
      <c r="AU222" s="105"/>
      <c r="AV222" s="105"/>
      <c r="AW222" s="105"/>
      <c r="AX222" s="105"/>
      <c r="AY222" s="105"/>
      <c r="AZ222" s="105"/>
      <c r="BA222" s="105"/>
      <c r="BB222" s="105"/>
      <c r="BC222" s="105"/>
      <c r="BD222" s="105"/>
      <c r="BE222" s="105"/>
      <c r="BF222" s="105"/>
      <c r="BG222" s="105"/>
      <c r="BH222" s="105"/>
      <c r="BI222" s="105"/>
      <c r="BJ222" s="105"/>
      <c r="BK222" s="105"/>
      <c r="BL222" s="105"/>
      <c r="BM222" s="105"/>
      <c r="BN222" s="105"/>
      <c r="BO222" s="105"/>
      <c r="BP222" s="105"/>
      <c r="BQ222" s="105"/>
      <c r="BR222" s="105"/>
      <c r="BS222" s="105"/>
      <c r="BT222" s="105"/>
      <c r="BU222" s="105"/>
      <c r="BV222" s="105"/>
      <c r="BW222" s="105"/>
      <c r="BX222" s="28"/>
    </row>
    <row r="223" spans="1:76" s="34" customFormat="1" ht="18.75" customHeight="1" x14ac:dyDescent="0.25">
      <c r="A223" s="57"/>
      <c r="B223" s="360" t="s">
        <v>87</v>
      </c>
      <c r="C223" s="9"/>
      <c r="D223" s="1"/>
      <c r="E223" s="1"/>
      <c r="H223" s="377"/>
      <c r="I223" s="95"/>
      <c r="J223" s="58"/>
      <c r="K223" s="482"/>
      <c r="L223" s="483"/>
      <c r="M223" s="553"/>
      <c r="N223" s="486" t="str">
        <f ca="1">_xll.DBRA(Server&amp;$B$32,$B223,$N$19)</f>
        <v>M1 - Maintenance cost variance - Cost effect</v>
      </c>
      <c r="R223" s="502">
        <f ca="1">S385/1000</f>
        <v>0</v>
      </c>
      <c r="S223" s="95"/>
      <c r="T223" s="601"/>
      <c r="U223" s="105"/>
      <c r="V223" s="487">
        <f ca="1">W385/1000</f>
        <v>0</v>
      </c>
      <c r="W223" s="105"/>
      <c r="X223" s="602"/>
      <c r="Y223" s="105"/>
      <c r="Z223" s="105"/>
      <c r="AA223" s="105"/>
      <c r="AB223" s="105"/>
      <c r="AC223" s="105"/>
      <c r="AD223" s="105"/>
      <c r="AE223" s="105"/>
      <c r="AF223" s="105"/>
      <c r="AG223" s="105"/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05"/>
      <c r="AU223" s="105"/>
      <c r="AV223" s="105"/>
      <c r="AW223" s="105"/>
      <c r="AX223" s="105"/>
      <c r="AY223" s="105"/>
      <c r="AZ223" s="105"/>
      <c r="BA223" s="105"/>
      <c r="BB223" s="105"/>
      <c r="BC223" s="105"/>
      <c r="BD223" s="105"/>
      <c r="BE223" s="105"/>
      <c r="BF223" s="105"/>
      <c r="BG223" s="105"/>
      <c r="BH223" s="105"/>
      <c r="BI223" s="105"/>
      <c r="BJ223" s="105"/>
      <c r="BK223" s="105"/>
      <c r="BL223" s="105"/>
      <c r="BM223" s="105"/>
      <c r="BN223" s="105"/>
      <c r="BO223" s="105"/>
      <c r="BP223" s="105"/>
      <c r="BQ223" s="105"/>
      <c r="BR223" s="105"/>
      <c r="BS223" s="105"/>
      <c r="BT223" s="105"/>
      <c r="BU223" s="105"/>
      <c r="BV223" s="105"/>
      <c r="BW223" s="105"/>
      <c r="BX223" s="28"/>
    </row>
    <row r="224" spans="1:76" s="34" customFormat="1" ht="18.75" customHeight="1" x14ac:dyDescent="0.25">
      <c r="A224" s="57"/>
      <c r="B224" s="360" t="s">
        <v>88</v>
      </c>
      <c r="C224" s="9"/>
      <c r="D224" s="1"/>
      <c r="E224" s="1"/>
      <c r="H224" s="377"/>
      <c r="I224" s="95"/>
      <c r="J224" s="58"/>
      <c r="K224" s="482"/>
      <c r="L224" s="483"/>
      <c r="M224" s="553"/>
      <c r="N224" s="486" t="str">
        <f ca="1">_xll.DBRA(Server&amp;$B$32,$B224,$N$19)</f>
        <v>M2 - Maintenance cost variance - Efficiency effect</v>
      </c>
      <c r="R224" s="502">
        <f ca="1">S386/1000</f>
        <v>0</v>
      </c>
      <c r="S224" s="95"/>
      <c r="T224" s="601"/>
      <c r="U224" s="105"/>
      <c r="V224" s="487">
        <f ca="1">W386/1000</f>
        <v>0</v>
      </c>
      <c r="W224" s="105"/>
      <c r="X224" s="602"/>
      <c r="Y224" s="105"/>
      <c r="Z224" s="105"/>
      <c r="AA224" s="105"/>
      <c r="AB224" s="105"/>
      <c r="AC224" s="105"/>
      <c r="AD224" s="105"/>
      <c r="AE224" s="105"/>
      <c r="AF224" s="105"/>
      <c r="AG224" s="105"/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05"/>
      <c r="AU224" s="105"/>
      <c r="AV224" s="105"/>
      <c r="AW224" s="105"/>
      <c r="AX224" s="105"/>
      <c r="AY224" s="105"/>
      <c r="AZ224" s="105"/>
      <c r="BA224" s="105"/>
      <c r="BB224" s="105"/>
      <c r="BC224" s="105"/>
      <c r="BD224" s="105"/>
      <c r="BE224" s="105"/>
      <c r="BF224" s="105"/>
      <c r="BG224" s="105"/>
      <c r="BH224" s="105"/>
      <c r="BI224" s="105"/>
      <c r="BJ224" s="105"/>
      <c r="BK224" s="105"/>
      <c r="BL224" s="105"/>
      <c r="BM224" s="105"/>
      <c r="BN224" s="105"/>
      <c r="BO224" s="105"/>
      <c r="BP224" s="105"/>
      <c r="BQ224" s="105"/>
      <c r="BR224" s="105"/>
      <c r="BS224" s="105"/>
      <c r="BT224" s="105"/>
      <c r="BU224" s="105"/>
      <c r="BV224" s="105"/>
      <c r="BW224" s="105"/>
      <c r="BX224" s="28"/>
    </row>
    <row r="225" spans="1:76" s="34" customFormat="1" ht="18.75" hidden="1" customHeight="1" x14ac:dyDescent="0.25">
      <c r="A225" s="57"/>
      <c r="B225" s="360" t="s">
        <v>89</v>
      </c>
      <c r="C225" s="9"/>
      <c r="D225" s="1"/>
      <c r="E225" s="1"/>
      <c r="H225" s="377"/>
      <c r="I225" s="95"/>
      <c r="J225" s="58"/>
      <c r="K225" s="482"/>
      <c r="L225" s="483"/>
      <c r="M225" s="553"/>
      <c r="N225" s="486" t="str">
        <f ca="1">_xll.DBRA(Server&amp;$B$32,$B225,$N$19)</f>
        <v>M3 - Maintenance cost variance - Price effect</v>
      </c>
      <c r="R225" s="502">
        <f ca="1">S387/1000</f>
        <v>0</v>
      </c>
      <c r="S225" s="95"/>
      <c r="T225" s="601"/>
      <c r="U225" s="105"/>
      <c r="V225" s="487">
        <f ca="1">W387/1000</f>
        <v>0</v>
      </c>
      <c r="W225" s="105"/>
      <c r="X225" s="602"/>
      <c r="Y225" s="105"/>
      <c r="Z225" s="105"/>
      <c r="AA225" s="105"/>
      <c r="AB225" s="105"/>
      <c r="AC225" s="105"/>
      <c r="AD225" s="105"/>
      <c r="AE225" s="105"/>
      <c r="AF225" s="105"/>
      <c r="AG225" s="105"/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05"/>
      <c r="AU225" s="105"/>
      <c r="AV225" s="105"/>
      <c r="AW225" s="105"/>
      <c r="AX225" s="105"/>
      <c r="AY225" s="105"/>
      <c r="AZ225" s="105"/>
      <c r="BA225" s="105"/>
      <c r="BB225" s="105"/>
      <c r="BC225" s="105"/>
      <c r="BD225" s="105"/>
      <c r="BE225" s="105"/>
      <c r="BF225" s="105"/>
      <c r="BG225" s="105"/>
      <c r="BH225" s="105"/>
      <c r="BI225" s="105"/>
      <c r="BJ225" s="105"/>
      <c r="BK225" s="105"/>
      <c r="BL225" s="105"/>
      <c r="BM225" s="105"/>
      <c r="BN225" s="105"/>
      <c r="BO225" s="105"/>
      <c r="BP225" s="105"/>
      <c r="BQ225" s="105"/>
      <c r="BR225" s="105"/>
      <c r="BS225" s="105"/>
      <c r="BT225" s="105"/>
      <c r="BU225" s="105"/>
      <c r="BV225" s="105"/>
      <c r="BW225" s="105"/>
      <c r="BX225" s="28"/>
    </row>
    <row r="226" spans="1:76" s="34" customFormat="1" ht="18.75" hidden="1" customHeight="1" x14ac:dyDescent="0.25">
      <c r="A226" s="57"/>
      <c r="B226" s="360" t="s">
        <v>102</v>
      </c>
      <c r="C226" s="9"/>
      <c r="D226" s="1"/>
      <c r="E226" s="1"/>
      <c r="H226" s="377"/>
      <c r="I226" s="95"/>
      <c r="J226" s="58"/>
      <c r="K226" s="482"/>
      <c r="L226" s="483"/>
      <c r="M226" s="553"/>
      <c r="N226" s="486" t="str">
        <f ca="1">_xll.DBRA(Server&amp;$B$32,$B226,$N$19)</f>
        <v>M - Compound</v>
      </c>
      <c r="R226" s="502">
        <f ca="1">S388/1000</f>
        <v>0</v>
      </c>
      <c r="S226" s="95"/>
      <c r="T226" s="601"/>
      <c r="U226" s="105"/>
      <c r="V226" s="487">
        <f ca="1">W388/1000</f>
        <v>0</v>
      </c>
      <c r="W226" s="105"/>
      <c r="X226" s="602"/>
      <c r="Y226" s="105"/>
      <c r="Z226" s="105"/>
      <c r="AA226" s="105"/>
      <c r="AB226" s="105"/>
      <c r="AC226" s="105"/>
      <c r="AD226" s="105"/>
      <c r="AE226" s="105"/>
      <c r="AF226" s="105"/>
      <c r="AG226" s="105"/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05"/>
      <c r="AU226" s="105"/>
      <c r="AV226" s="105"/>
      <c r="AW226" s="105"/>
      <c r="AX226" s="105"/>
      <c r="AY226" s="105"/>
      <c r="AZ226" s="105"/>
      <c r="BA226" s="105"/>
      <c r="BB226" s="105"/>
      <c r="BC226" s="105"/>
      <c r="BD226" s="105"/>
      <c r="BE226" s="105"/>
      <c r="BF226" s="105"/>
      <c r="BG226" s="105"/>
      <c r="BH226" s="105"/>
      <c r="BI226" s="105"/>
      <c r="BJ226" s="105"/>
      <c r="BK226" s="105"/>
      <c r="BL226" s="105"/>
      <c r="BM226" s="105"/>
      <c r="BN226" s="105"/>
      <c r="BO226" s="105"/>
      <c r="BP226" s="105"/>
      <c r="BQ226" s="105"/>
      <c r="BR226" s="105"/>
      <c r="BS226" s="105"/>
      <c r="BT226" s="105"/>
      <c r="BU226" s="105"/>
      <c r="BV226" s="105"/>
      <c r="BW226" s="105"/>
      <c r="BX226" s="28"/>
    </row>
    <row r="227" spans="1:76" s="34" customFormat="1" ht="18.75" customHeight="1" x14ac:dyDescent="0.25">
      <c r="A227" s="57"/>
      <c r="B227" s="360" t="s">
        <v>344</v>
      </c>
      <c r="C227" s="9"/>
      <c r="D227" s="1"/>
      <c r="E227" s="1"/>
      <c r="H227" s="377"/>
      <c r="I227" s="95"/>
      <c r="J227" s="58"/>
      <c r="K227" s="482"/>
      <c r="L227" s="483"/>
      <c r="M227" s="553"/>
      <c r="N227" s="484" t="str">
        <f ca="1">"E - "&amp;_xll.DBRA(Server&amp;$B$32,$B227,$N$19)</f>
        <v>E - Energy for traction PMM</v>
      </c>
      <c r="R227" s="501"/>
      <c r="S227" s="95"/>
      <c r="T227" s="601"/>
      <c r="U227" s="105"/>
      <c r="V227" s="485"/>
      <c r="W227" s="105"/>
      <c r="X227" s="602"/>
      <c r="Y227" s="105"/>
      <c r="Z227" s="105"/>
      <c r="AA227" s="105"/>
      <c r="AB227" s="105"/>
      <c r="AC227" s="105"/>
      <c r="AD227" s="105"/>
      <c r="AE227" s="105"/>
      <c r="AF227" s="105"/>
      <c r="AG227" s="105"/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05"/>
      <c r="AU227" s="105"/>
      <c r="AV227" s="105"/>
      <c r="AW227" s="105"/>
      <c r="AX227" s="105"/>
      <c r="AY227" s="105"/>
      <c r="AZ227" s="105"/>
      <c r="BA227" s="105"/>
      <c r="BB227" s="105"/>
      <c r="BC227" s="105"/>
      <c r="BD227" s="105"/>
      <c r="BE227" s="105"/>
      <c r="BF227" s="105"/>
      <c r="BG227" s="105"/>
      <c r="BH227" s="105"/>
      <c r="BI227" s="105"/>
      <c r="BJ227" s="105"/>
      <c r="BK227" s="105"/>
      <c r="BL227" s="105"/>
      <c r="BM227" s="105"/>
      <c r="BN227" s="105"/>
      <c r="BO227" s="105"/>
      <c r="BP227" s="105"/>
      <c r="BQ227" s="105"/>
      <c r="BR227" s="105"/>
      <c r="BS227" s="105"/>
      <c r="BT227" s="105"/>
      <c r="BU227" s="105"/>
      <c r="BV227" s="105"/>
      <c r="BW227" s="105"/>
      <c r="BX227" s="28"/>
    </row>
    <row r="228" spans="1:76" s="34" customFormat="1" ht="18.75" customHeight="1" x14ac:dyDescent="0.25">
      <c r="A228" s="57"/>
      <c r="B228" s="360" t="s">
        <v>113</v>
      </c>
      <c r="C228" s="9"/>
      <c r="D228" s="1"/>
      <c r="E228" s="1"/>
      <c r="H228" s="377"/>
      <c r="I228" s="95"/>
      <c r="J228" s="58"/>
      <c r="K228" s="482"/>
      <c r="L228" s="483"/>
      <c r="M228" s="553"/>
      <c r="N228" s="486" t="str">
        <f ca="1">_xll.DBRA(Server&amp;$B$32,$B228,$N$19)</f>
        <v>E1 - Energy cost variance - Cost effect</v>
      </c>
      <c r="R228" s="502">
        <f ca="1">S448/1000</f>
        <v>0</v>
      </c>
      <c r="S228" s="95"/>
      <c r="T228" s="601"/>
      <c r="U228" s="105"/>
      <c r="V228" s="487">
        <f ca="1">W448/1000</f>
        <v>0</v>
      </c>
      <c r="W228" s="105"/>
      <c r="X228" s="602"/>
      <c r="Y228" s="105"/>
      <c r="Z228" s="105"/>
      <c r="AA228" s="105"/>
      <c r="AB228" s="105"/>
      <c r="AC228" s="105"/>
      <c r="AD228" s="105"/>
      <c r="AE228" s="105"/>
      <c r="AF228" s="105"/>
      <c r="AG228" s="105"/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05"/>
      <c r="AU228" s="105"/>
      <c r="AV228" s="105"/>
      <c r="AW228" s="105"/>
      <c r="AX228" s="105"/>
      <c r="AY228" s="105"/>
      <c r="AZ228" s="105"/>
      <c r="BA228" s="105"/>
      <c r="BB228" s="105"/>
      <c r="BC228" s="105"/>
      <c r="BD228" s="105"/>
      <c r="BE228" s="105"/>
      <c r="BF228" s="105"/>
      <c r="BG228" s="105"/>
      <c r="BH228" s="105"/>
      <c r="BI228" s="105"/>
      <c r="BJ228" s="105"/>
      <c r="BK228" s="105"/>
      <c r="BL228" s="105"/>
      <c r="BM228" s="105"/>
      <c r="BN228" s="105"/>
      <c r="BO228" s="105"/>
      <c r="BP228" s="105"/>
      <c r="BQ228" s="105"/>
      <c r="BR228" s="105"/>
      <c r="BS228" s="105"/>
      <c r="BT228" s="105"/>
      <c r="BU228" s="105"/>
      <c r="BV228" s="105"/>
      <c r="BW228" s="105"/>
      <c r="BX228" s="28"/>
    </row>
    <row r="229" spans="1:76" s="34" customFormat="1" ht="18.75" customHeight="1" x14ac:dyDescent="0.25">
      <c r="A229" s="57"/>
      <c r="B229" s="360" t="s">
        <v>114</v>
      </c>
      <c r="C229" s="9"/>
      <c r="D229" s="1"/>
      <c r="E229" s="1"/>
      <c r="H229" s="377"/>
      <c r="I229" s="95"/>
      <c r="J229" s="58"/>
      <c r="K229" s="482"/>
      <c r="L229" s="483"/>
      <c r="M229" s="553"/>
      <c r="N229" s="486" t="str">
        <f ca="1">_xll.DBRA(Server&amp;$B$32,$B229,$N$19)</f>
        <v>E2 - Energy cost variance - Efficiency effect</v>
      </c>
      <c r="R229" s="502">
        <f ca="1">S449/1000</f>
        <v>0</v>
      </c>
      <c r="S229" s="95"/>
      <c r="T229" s="601"/>
      <c r="U229" s="105"/>
      <c r="V229" s="487">
        <f ca="1">W449/1000</f>
        <v>0</v>
      </c>
      <c r="W229" s="105"/>
      <c r="X229" s="602"/>
      <c r="Y229" s="105"/>
      <c r="Z229" s="105"/>
      <c r="AA229" s="105"/>
      <c r="AB229" s="105"/>
      <c r="AC229" s="105"/>
      <c r="AD229" s="105"/>
      <c r="AE229" s="105"/>
      <c r="AF229" s="105"/>
      <c r="AG229" s="105"/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05"/>
      <c r="AU229" s="105"/>
      <c r="AV229" s="105"/>
      <c r="AW229" s="105"/>
      <c r="AX229" s="105"/>
      <c r="AY229" s="105"/>
      <c r="AZ229" s="105"/>
      <c r="BA229" s="105"/>
      <c r="BB229" s="105"/>
      <c r="BC229" s="105"/>
      <c r="BD229" s="105"/>
      <c r="BE229" s="105"/>
      <c r="BF229" s="105"/>
      <c r="BG229" s="105"/>
      <c r="BH229" s="105"/>
      <c r="BI229" s="105"/>
      <c r="BJ229" s="105"/>
      <c r="BK229" s="105"/>
      <c r="BL229" s="105"/>
      <c r="BM229" s="105"/>
      <c r="BN229" s="105"/>
      <c r="BO229" s="105"/>
      <c r="BP229" s="105"/>
      <c r="BQ229" s="105"/>
      <c r="BR229" s="105"/>
      <c r="BS229" s="105"/>
      <c r="BT229" s="105"/>
      <c r="BU229" s="105"/>
      <c r="BV229" s="105"/>
      <c r="BW229" s="105"/>
      <c r="BX229" s="28"/>
    </row>
    <row r="230" spans="1:76" s="34" customFormat="1" ht="18.75" hidden="1" customHeight="1" x14ac:dyDescent="0.25">
      <c r="A230" s="57"/>
      <c r="B230" s="360" t="s">
        <v>115</v>
      </c>
      <c r="C230" s="9"/>
      <c r="D230" s="1"/>
      <c r="E230" s="1"/>
      <c r="H230" s="377"/>
      <c r="I230" s="95"/>
      <c r="J230" s="58"/>
      <c r="K230" s="482"/>
      <c r="L230" s="483"/>
      <c r="M230" s="553"/>
      <c r="N230" s="486" t="str">
        <f ca="1">_xll.DBRA(Server&amp;$B$32,$B230,$N$19)</f>
        <v>E3 - Energy cost variance - Price effect</v>
      </c>
      <c r="R230" s="502">
        <f ca="1">S450/1000</f>
        <v>0</v>
      </c>
      <c r="S230" s="95"/>
      <c r="T230" s="601"/>
      <c r="U230" s="105"/>
      <c r="V230" s="487">
        <f ca="1">W450/1000</f>
        <v>0</v>
      </c>
      <c r="W230" s="105"/>
      <c r="X230" s="602"/>
      <c r="Y230" s="105"/>
      <c r="Z230" s="105"/>
      <c r="AA230" s="105"/>
      <c r="AB230" s="105"/>
      <c r="AC230" s="105"/>
      <c r="AD230" s="105"/>
      <c r="AE230" s="105"/>
      <c r="AF230" s="105"/>
      <c r="AG230" s="105"/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05"/>
      <c r="AU230" s="105"/>
      <c r="AV230" s="105"/>
      <c r="AW230" s="105"/>
      <c r="AX230" s="105"/>
      <c r="AY230" s="105"/>
      <c r="AZ230" s="105"/>
      <c r="BA230" s="105"/>
      <c r="BB230" s="105"/>
      <c r="BC230" s="105"/>
      <c r="BD230" s="105"/>
      <c r="BE230" s="105"/>
      <c r="BF230" s="105"/>
      <c r="BG230" s="105"/>
      <c r="BH230" s="105"/>
      <c r="BI230" s="105"/>
      <c r="BJ230" s="105"/>
      <c r="BK230" s="105"/>
      <c r="BL230" s="105"/>
      <c r="BM230" s="105"/>
      <c r="BN230" s="105"/>
      <c r="BO230" s="105"/>
      <c r="BP230" s="105"/>
      <c r="BQ230" s="105"/>
      <c r="BR230" s="105"/>
      <c r="BS230" s="105"/>
      <c r="BT230" s="105"/>
      <c r="BU230" s="105"/>
      <c r="BV230" s="105"/>
      <c r="BW230" s="105"/>
      <c r="BX230" s="28"/>
    </row>
    <row r="231" spans="1:76" s="34" customFormat="1" ht="18.75" hidden="1" customHeight="1" x14ac:dyDescent="0.25">
      <c r="A231" s="57"/>
      <c r="B231" s="360" t="s">
        <v>116</v>
      </c>
      <c r="C231" s="9"/>
      <c r="D231" s="1"/>
      <c r="E231" s="1"/>
      <c r="H231" s="377"/>
      <c r="I231" s="95"/>
      <c r="J231" s="58"/>
      <c r="K231" s="482"/>
      <c r="L231" s="483"/>
      <c r="M231" s="553"/>
      <c r="N231" s="486" t="str">
        <f ca="1">_xll.DBRA(Server&amp;$B$32,$B231,$N$19)</f>
        <v>E - Compound</v>
      </c>
      <c r="R231" s="502">
        <f ca="1">S451/1000</f>
        <v>0</v>
      </c>
      <c r="S231" s="95"/>
      <c r="T231" s="601"/>
      <c r="U231" s="105"/>
      <c r="V231" s="487">
        <f ca="1">W451/1000</f>
        <v>0</v>
      </c>
      <c r="W231" s="105"/>
      <c r="X231" s="602"/>
      <c r="Y231" s="105"/>
      <c r="Z231" s="105"/>
      <c r="AA231" s="105"/>
      <c r="AB231" s="105"/>
      <c r="AC231" s="105"/>
      <c r="AD231" s="105"/>
      <c r="AE231" s="105"/>
      <c r="AF231" s="105"/>
      <c r="AG231" s="105"/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05"/>
      <c r="AU231" s="105"/>
      <c r="AV231" s="105"/>
      <c r="AW231" s="105"/>
      <c r="AX231" s="105"/>
      <c r="AY231" s="105"/>
      <c r="AZ231" s="105"/>
      <c r="BA231" s="105"/>
      <c r="BB231" s="105"/>
      <c r="BC231" s="105"/>
      <c r="BD231" s="105"/>
      <c r="BE231" s="105"/>
      <c r="BF231" s="105"/>
      <c r="BG231" s="105"/>
      <c r="BH231" s="105"/>
      <c r="BI231" s="105"/>
      <c r="BJ231" s="105"/>
      <c r="BK231" s="105"/>
      <c r="BL231" s="105"/>
      <c r="BM231" s="105"/>
      <c r="BN231" s="105"/>
      <c r="BO231" s="105"/>
      <c r="BP231" s="105"/>
      <c r="BQ231" s="105"/>
      <c r="BR231" s="105"/>
      <c r="BS231" s="105"/>
      <c r="BT231" s="105"/>
      <c r="BU231" s="105"/>
      <c r="BV231" s="105"/>
      <c r="BW231" s="105"/>
      <c r="BX231" s="28"/>
    </row>
    <row r="232" spans="1:76" s="34" customFormat="1" ht="18.75" customHeight="1" x14ac:dyDescent="0.25">
      <c r="A232" s="57"/>
      <c r="B232" s="136" t="s">
        <v>346</v>
      </c>
      <c r="C232" s="9"/>
      <c r="D232" s="1"/>
      <c r="E232" s="1"/>
      <c r="H232" s="377"/>
      <c r="I232" s="95"/>
      <c r="J232" s="58"/>
      <c r="K232" s="482"/>
      <c r="L232" s="483"/>
      <c r="M232" s="553"/>
      <c r="N232" s="484" t="str">
        <f ca="1">"F - "&amp;_xll.DBRA(Server&amp;$B$32,$B232,$N$19)</f>
        <v>F - Fleet (RESOP) PMM</v>
      </c>
      <c r="R232" s="501"/>
      <c r="S232" s="95"/>
      <c r="T232" s="601"/>
      <c r="U232" s="105"/>
      <c r="V232" s="485"/>
      <c r="W232" s="105"/>
      <c r="X232" s="602"/>
      <c r="Y232" s="105"/>
      <c r="Z232" s="105"/>
      <c r="AA232" s="105"/>
      <c r="AB232" s="105"/>
      <c r="AC232" s="105"/>
      <c r="AD232" s="105"/>
      <c r="AE232" s="105"/>
      <c r="AF232" s="105"/>
      <c r="AG232" s="105"/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05"/>
      <c r="AU232" s="105"/>
      <c r="AV232" s="105"/>
      <c r="AW232" s="105"/>
      <c r="AX232" s="105"/>
      <c r="AY232" s="105"/>
      <c r="AZ232" s="105"/>
      <c r="BA232" s="105"/>
      <c r="BB232" s="105"/>
      <c r="BC232" s="105"/>
      <c r="BD232" s="105"/>
      <c r="BE232" s="105"/>
      <c r="BF232" s="105"/>
      <c r="BG232" s="105"/>
      <c r="BH232" s="105"/>
      <c r="BI232" s="105"/>
      <c r="BJ232" s="105"/>
      <c r="BK232" s="105"/>
      <c r="BL232" s="105"/>
      <c r="BM232" s="105"/>
      <c r="BN232" s="105"/>
      <c r="BO232" s="105"/>
      <c r="BP232" s="105"/>
      <c r="BQ232" s="105"/>
      <c r="BR232" s="105"/>
      <c r="BS232" s="105"/>
      <c r="BT232" s="105"/>
      <c r="BU232" s="105"/>
      <c r="BV232" s="105"/>
      <c r="BW232" s="105"/>
      <c r="BX232" s="28"/>
    </row>
    <row r="233" spans="1:76" s="34" customFormat="1" ht="18.75" customHeight="1" x14ac:dyDescent="0.25">
      <c r="A233" s="57"/>
      <c r="B233" s="360" t="s">
        <v>125</v>
      </c>
      <c r="C233" s="9"/>
      <c r="D233" s="1"/>
      <c r="E233" s="1"/>
      <c r="H233" s="377"/>
      <c r="I233" s="95"/>
      <c r="J233" s="58"/>
      <c r="K233" s="482"/>
      <c r="L233" s="483"/>
      <c r="M233" s="553"/>
      <c r="N233" s="486" t="str">
        <f ca="1">_xll.DBRA(Server&amp;$B$32,$B233,$N$19)</f>
        <v>F1 - Fleet cost variance - Cost effect</v>
      </c>
      <c r="R233" s="502">
        <f ca="1">S512/1000</f>
        <v>0</v>
      </c>
      <c r="S233" s="95"/>
      <c r="T233" s="601"/>
      <c r="U233" s="105"/>
      <c r="V233" s="487">
        <f ca="1">W512/1000</f>
        <v>0</v>
      </c>
      <c r="W233" s="105"/>
      <c r="X233" s="602"/>
      <c r="Y233" s="105"/>
      <c r="Z233" s="105"/>
      <c r="AA233" s="105"/>
      <c r="AB233" s="105"/>
      <c r="AC233" s="105"/>
      <c r="AD233" s="105"/>
      <c r="AE233" s="105"/>
      <c r="AF233" s="105"/>
      <c r="AG233" s="105"/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05"/>
      <c r="AU233" s="105"/>
      <c r="AV233" s="105"/>
      <c r="AW233" s="105"/>
      <c r="AX233" s="105"/>
      <c r="AY233" s="105"/>
      <c r="AZ233" s="105"/>
      <c r="BA233" s="105"/>
      <c r="BB233" s="105"/>
      <c r="BC233" s="105"/>
      <c r="BD233" s="105"/>
      <c r="BE233" s="105"/>
      <c r="BF233" s="105"/>
      <c r="BG233" s="105"/>
      <c r="BH233" s="105"/>
      <c r="BI233" s="105"/>
      <c r="BJ233" s="105"/>
      <c r="BK233" s="105"/>
      <c r="BL233" s="105"/>
      <c r="BM233" s="105"/>
      <c r="BN233" s="105"/>
      <c r="BO233" s="105"/>
      <c r="BP233" s="105"/>
      <c r="BQ233" s="105"/>
      <c r="BR233" s="105"/>
      <c r="BS233" s="105"/>
      <c r="BT233" s="105"/>
      <c r="BU233" s="105"/>
      <c r="BV233" s="105"/>
      <c r="BW233" s="105"/>
      <c r="BX233" s="28"/>
    </row>
    <row r="234" spans="1:76" s="34" customFormat="1" ht="18.75" customHeight="1" x14ac:dyDescent="0.25">
      <c r="A234" s="57"/>
      <c r="B234" s="360" t="s">
        <v>126</v>
      </c>
      <c r="C234" s="9"/>
      <c r="D234" s="1"/>
      <c r="E234" s="1"/>
      <c r="H234" s="377"/>
      <c r="I234" s="95"/>
      <c r="J234" s="58"/>
      <c r="K234" s="482"/>
      <c r="L234" s="483"/>
      <c r="M234" s="553"/>
      <c r="N234" s="486" t="str">
        <f ca="1">_xll.DBRA(Server&amp;$B$32,$B234,$N$19)</f>
        <v>F2 - Fleet cost variance - Efficiency effect</v>
      </c>
      <c r="R234" s="502">
        <f ca="1">S513/1000</f>
        <v>0</v>
      </c>
      <c r="S234" s="95"/>
      <c r="T234" s="601"/>
      <c r="U234" s="105"/>
      <c r="V234" s="487">
        <f ca="1">W513/1000</f>
        <v>0</v>
      </c>
      <c r="W234" s="105"/>
      <c r="X234" s="602"/>
      <c r="Y234" s="105"/>
      <c r="Z234" s="105"/>
      <c r="AA234" s="105"/>
      <c r="AB234" s="105"/>
      <c r="AC234" s="105"/>
      <c r="AD234" s="105"/>
      <c r="AE234" s="105"/>
      <c r="AF234" s="105"/>
      <c r="AG234" s="105"/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05"/>
      <c r="AU234" s="105"/>
      <c r="AV234" s="105"/>
      <c r="AW234" s="105"/>
      <c r="AX234" s="105"/>
      <c r="AY234" s="105"/>
      <c r="AZ234" s="105"/>
      <c r="BA234" s="105"/>
      <c r="BB234" s="105"/>
      <c r="BC234" s="105"/>
      <c r="BD234" s="105"/>
      <c r="BE234" s="105"/>
      <c r="BF234" s="105"/>
      <c r="BG234" s="105"/>
      <c r="BH234" s="105"/>
      <c r="BI234" s="105"/>
      <c r="BJ234" s="105"/>
      <c r="BK234" s="105"/>
      <c r="BL234" s="105"/>
      <c r="BM234" s="105"/>
      <c r="BN234" s="105"/>
      <c r="BO234" s="105"/>
      <c r="BP234" s="105"/>
      <c r="BQ234" s="105"/>
      <c r="BR234" s="105"/>
      <c r="BS234" s="105"/>
      <c r="BT234" s="105"/>
      <c r="BU234" s="105"/>
      <c r="BV234" s="105"/>
      <c r="BW234" s="105"/>
      <c r="BX234" s="28"/>
    </row>
    <row r="235" spans="1:76" s="34" customFormat="1" ht="18.75" hidden="1" customHeight="1" x14ac:dyDescent="0.25">
      <c r="A235" s="57"/>
      <c r="B235" s="360" t="s">
        <v>127</v>
      </c>
      <c r="C235" s="9"/>
      <c r="D235" s="1"/>
      <c r="E235" s="1"/>
      <c r="H235" s="377"/>
      <c r="I235" s="95"/>
      <c r="J235" s="58"/>
      <c r="K235" s="482"/>
      <c r="L235" s="483"/>
      <c r="M235" s="553"/>
      <c r="N235" s="486" t="str">
        <f ca="1">_xll.DBRA(Server&amp;$B$32,$B235,$N$19)</f>
        <v>F3 - Fleet cost variance - Price effect</v>
      </c>
      <c r="R235" s="502">
        <f ca="1">S514/1000</f>
        <v>0</v>
      </c>
      <c r="S235" s="95"/>
      <c r="T235" s="601"/>
      <c r="U235" s="105"/>
      <c r="V235" s="487">
        <f ca="1">W514/1000</f>
        <v>0</v>
      </c>
      <c r="W235" s="105"/>
      <c r="X235" s="602"/>
      <c r="Y235" s="105"/>
      <c r="Z235" s="105"/>
      <c r="AA235" s="105"/>
      <c r="AB235" s="105"/>
      <c r="AC235" s="105"/>
      <c r="AD235" s="105"/>
      <c r="AE235" s="105"/>
      <c r="AF235" s="105"/>
      <c r="AG235" s="105"/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05"/>
      <c r="AU235" s="105"/>
      <c r="AV235" s="105"/>
      <c r="AW235" s="105"/>
      <c r="AX235" s="105"/>
      <c r="AY235" s="105"/>
      <c r="AZ235" s="105"/>
      <c r="BA235" s="105"/>
      <c r="BB235" s="105"/>
      <c r="BC235" s="105"/>
      <c r="BD235" s="105"/>
      <c r="BE235" s="105"/>
      <c r="BF235" s="105"/>
      <c r="BG235" s="105"/>
      <c r="BH235" s="105"/>
      <c r="BI235" s="105"/>
      <c r="BJ235" s="105"/>
      <c r="BK235" s="105"/>
      <c r="BL235" s="105"/>
      <c r="BM235" s="105"/>
      <c r="BN235" s="105"/>
      <c r="BO235" s="105"/>
      <c r="BP235" s="105"/>
      <c r="BQ235" s="105"/>
      <c r="BR235" s="105"/>
      <c r="BS235" s="105"/>
      <c r="BT235" s="105"/>
      <c r="BU235" s="105"/>
      <c r="BV235" s="105"/>
      <c r="BW235" s="105"/>
      <c r="BX235" s="28"/>
    </row>
    <row r="236" spans="1:76" s="34" customFormat="1" ht="18.75" hidden="1" customHeight="1" x14ac:dyDescent="0.25">
      <c r="A236" s="57"/>
      <c r="B236" s="360" t="s">
        <v>128</v>
      </c>
      <c r="C236" s="9"/>
      <c r="D236" s="1"/>
      <c r="E236" s="1"/>
      <c r="H236" s="377"/>
      <c r="I236" s="95"/>
      <c r="J236" s="58"/>
      <c r="K236" s="482"/>
      <c r="L236" s="483"/>
      <c r="M236" s="553"/>
      <c r="N236" s="486" t="str">
        <f ca="1">_xll.DBRA(Server&amp;$B$32,$B236,$N$19)</f>
        <v>F - Compound</v>
      </c>
      <c r="R236" s="502">
        <f ca="1">S515/1000</f>
        <v>0</v>
      </c>
      <c r="S236" s="95"/>
      <c r="T236" s="601"/>
      <c r="U236" s="105"/>
      <c r="V236" s="487">
        <f ca="1">W515/1000</f>
        <v>0</v>
      </c>
      <c r="W236" s="105"/>
      <c r="X236" s="602"/>
      <c r="Y236" s="105"/>
      <c r="Z236" s="105"/>
      <c r="AA236" s="105"/>
      <c r="AB236" s="105"/>
      <c r="AC236" s="105"/>
      <c r="AD236" s="105"/>
      <c r="AE236" s="105"/>
      <c r="AF236" s="105"/>
      <c r="AG236" s="105"/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05"/>
      <c r="AU236" s="105"/>
      <c r="AV236" s="105"/>
      <c r="AW236" s="105"/>
      <c r="AX236" s="105"/>
      <c r="AY236" s="105"/>
      <c r="AZ236" s="105"/>
      <c r="BA236" s="105"/>
      <c r="BB236" s="105"/>
      <c r="BC236" s="105"/>
      <c r="BD236" s="105"/>
      <c r="BE236" s="105"/>
      <c r="BF236" s="105"/>
      <c r="BG236" s="105"/>
      <c r="BH236" s="105"/>
      <c r="BI236" s="105"/>
      <c r="BJ236" s="105"/>
      <c r="BK236" s="105"/>
      <c r="BL236" s="105"/>
      <c r="BM236" s="105"/>
      <c r="BN236" s="105"/>
      <c r="BO236" s="105"/>
      <c r="BP236" s="105"/>
      <c r="BQ236" s="105"/>
      <c r="BR236" s="105"/>
      <c r="BS236" s="105"/>
      <c r="BT236" s="105"/>
      <c r="BU236" s="105"/>
      <c r="BV236" s="105"/>
      <c r="BW236" s="105"/>
      <c r="BX236" s="28"/>
    </row>
    <row r="237" spans="1:76" s="34" customFormat="1" ht="18.75" customHeight="1" x14ac:dyDescent="0.25">
      <c r="A237" s="57"/>
      <c r="B237" s="360" t="s">
        <v>82</v>
      </c>
      <c r="C237" s="9"/>
      <c r="D237" s="1"/>
      <c r="E237" s="1"/>
      <c r="H237" s="377"/>
      <c r="I237" s="95"/>
      <c r="J237" s="58"/>
      <c r="K237" s="482"/>
      <c r="L237" s="483"/>
      <c r="M237" s="553"/>
      <c r="N237" s="484" t="str">
        <f ca="1">"O - "&amp;_xll.DBRA(Server&amp;$B$32,$B237,$N$19)</f>
        <v>O - Other Operating cost</v>
      </c>
      <c r="R237" s="501"/>
      <c r="S237" s="95"/>
      <c r="T237" s="601"/>
      <c r="U237" s="105"/>
      <c r="V237" s="485"/>
      <c r="W237" s="105"/>
      <c r="X237" s="602"/>
      <c r="Y237" s="105"/>
      <c r="Z237" s="105"/>
      <c r="AA237" s="105"/>
      <c r="AB237" s="105"/>
      <c r="AC237" s="105"/>
      <c r="AD237" s="105"/>
      <c r="AE237" s="105"/>
      <c r="AF237" s="105"/>
      <c r="AG237" s="105"/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05"/>
      <c r="AU237" s="105"/>
      <c r="AV237" s="105"/>
      <c r="AW237" s="105"/>
      <c r="AX237" s="105"/>
      <c r="AY237" s="105"/>
      <c r="AZ237" s="105"/>
      <c r="BA237" s="105"/>
      <c r="BB237" s="105"/>
      <c r="BC237" s="105"/>
      <c r="BD237" s="105"/>
      <c r="BE237" s="105"/>
      <c r="BF237" s="105"/>
      <c r="BG237" s="105"/>
      <c r="BH237" s="105"/>
      <c r="BI237" s="105"/>
      <c r="BJ237" s="105"/>
      <c r="BK237" s="105"/>
      <c r="BL237" s="105"/>
      <c r="BM237" s="105"/>
      <c r="BN237" s="105"/>
      <c r="BO237" s="105"/>
      <c r="BP237" s="105"/>
      <c r="BQ237" s="105"/>
      <c r="BR237" s="105"/>
      <c r="BS237" s="105"/>
      <c r="BT237" s="105"/>
      <c r="BU237" s="105"/>
      <c r="BV237" s="105"/>
      <c r="BW237" s="105"/>
      <c r="BX237" s="28"/>
    </row>
    <row r="238" spans="1:76" s="34" customFormat="1" ht="18.75" customHeight="1" x14ac:dyDescent="0.25">
      <c r="A238" s="57"/>
      <c r="B238" s="360" t="s">
        <v>135</v>
      </c>
      <c r="C238" s="9"/>
      <c r="D238" s="1"/>
      <c r="E238" s="1"/>
      <c r="H238" s="377"/>
      <c r="I238" s="95"/>
      <c r="J238" s="58"/>
      <c r="K238" s="482"/>
      <c r="L238" s="483"/>
      <c r="M238" s="553"/>
      <c r="N238" s="486" t="str">
        <f ca="1">_xll.DBRA(Server&amp;$B$32,$B238,$N$19)</f>
        <v>O1 - Other op. cost variance - Costs effect</v>
      </c>
      <c r="R238" s="502">
        <f ca="1">S575/1000</f>
        <v>0</v>
      </c>
      <c r="S238" s="95"/>
      <c r="T238" s="601"/>
      <c r="U238" s="105"/>
      <c r="V238" s="487">
        <f ca="1">W575/1000</f>
        <v>0</v>
      </c>
      <c r="W238" s="105"/>
      <c r="X238" s="602"/>
      <c r="Y238" s="105"/>
      <c r="Z238" s="105"/>
      <c r="AA238" s="105"/>
      <c r="AB238" s="105"/>
      <c r="AC238" s="105"/>
      <c r="AD238" s="105"/>
      <c r="AE238" s="105"/>
      <c r="AF238" s="105"/>
      <c r="AG238" s="105"/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05"/>
      <c r="AU238" s="105"/>
      <c r="AV238" s="105"/>
      <c r="AW238" s="105"/>
      <c r="AX238" s="105"/>
      <c r="AY238" s="105"/>
      <c r="AZ238" s="105"/>
      <c r="BA238" s="105"/>
      <c r="BB238" s="105"/>
      <c r="BC238" s="105"/>
      <c r="BD238" s="105"/>
      <c r="BE238" s="105"/>
      <c r="BF238" s="105"/>
      <c r="BG238" s="105"/>
      <c r="BH238" s="105"/>
      <c r="BI238" s="105"/>
      <c r="BJ238" s="105"/>
      <c r="BK238" s="105"/>
      <c r="BL238" s="105"/>
      <c r="BM238" s="105"/>
      <c r="BN238" s="105"/>
      <c r="BO238" s="105"/>
      <c r="BP238" s="105"/>
      <c r="BQ238" s="105"/>
      <c r="BR238" s="105"/>
      <c r="BS238" s="105"/>
      <c r="BT238" s="105"/>
      <c r="BU238" s="105"/>
      <c r="BV238" s="105"/>
      <c r="BW238" s="105"/>
      <c r="BX238" s="28"/>
    </row>
    <row r="239" spans="1:76" s="34" customFormat="1" ht="18.75" customHeight="1" x14ac:dyDescent="0.25">
      <c r="A239" s="57"/>
      <c r="B239" s="360" t="s">
        <v>136</v>
      </c>
      <c r="C239" s="9"/>
      <c r="D239" s="1"/>
      <c r="E239" s="1"/>
      <c r="H239" s="377"/>
      <c r="I239" s="95"/>
      <c r="J239" s="58"/>
      <c r="K239" s="482"/>
      <c r="L239" s="483"/>
      <c r="M239" s="553"/>
      <c r="N239" s="486" t="str">
        <f ca="1">_xll.DBRA(Server&amp;$B$32,$B239,$N$19)</f>
        <v>O2 - Other op. cost variance - Costs efficiency effect</v>
      </c>
      <c r="R239" s="502">
        <f t="shared" ref="R239:R241" ca="1" si="108">S576/1000</f>
        <v>0</v>
      </c>
      <c r="S239" s="95"/>
      <c r="T239" s="601"/>
      <c r="U239" s="105"/>
      <c r="V239" s="487">
        <f t="shared" ref="V239:V241" ca="1" si="109">W576/1000</f>
        <v>0</v>
      </c>
      <c r="W239" s="105"/>
      <c r="X239" s="602"/>
      <c r="Y239" s="105"/>
      <c r="Z239" s="105"/>
      <c r="AA239" s="105"/>
      <c r="AB239" s="105"/>
      <c r="AC239" s="105"/>
      <c r="AD239" s="105"/>
      <c r="AE239" s="105"/>
      <c r="AF239" s="105"/>
      <c r="AG239" s="105"/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05"/>
      <c r="AU239" s="105"/>
      <c r="AV239" s="105"/>
      <c r="AW239" s="105"/>
      <c r="AX239" s="105"/>
      <c r="AY239" s="105"/>
      <c r="AZ239" s="105"/>
      <c r="BA239" s="105"/>
      <c r="BB239" s="105"/>
      <c r="BC239" s="105"/>
      <c r="BD239" s="105"/>
      <c r="BE239" s="105"/>
      <c r="BF239" s="105"/>
      <c r="BG239" s="105"/>
      <c r="BH239" s="105"/>
      <c r="BI239" s="105"/>
      <c r="BJ239" s="105"/>
      <c r="BK239" s="105"/>
      <c r="BL239" s="105"/>
      <c r="BM239" s="105"/>
      <c r="BN239" s="105"/>
      <c r="BO239" s="105"/>
      <c r="BP239" s="105"/>
      <c r="BQ239" s="105"/>
      <c r="BR239" s="105"/>
      <c r="BS239" s="105"/>
      <c r="BT239" s="105"/>
      <c r="BU239" s="105"/>
      <c r="BV239" s="105"/>
      <c r="BW239" s="105"/>
      <c r="BX239" s="28"/>
    </row>
    <row r="240" spans="1:76" s="34" customFormat="1" ht="18.75" hidden="1" customHeight="1" x14ac:dyDescent="0.25">
      <c r="A240" s="57"/>
      <c r="B240" s="360" t="s">
        <v>137</v>
      </c>
      <c r="C240" s="9"/>
      <c r="D240" s="1"/>
      <c r="E240" s="1"/>
      <c r="H240" s="377"/>
      <c r="I240" s="95"/>
      <c r="J240" s="58"/>
      <c r="K240" s="482"/>
      <c r="L240" s="483"/>
      <c r="M240" s="553"/>
      <c r="N240" s="486" t="str">
        <f ca="1">_xll.DBRA(Server&amp;$B$32,$B240,$N$19)</f>
        <v>O3 - Other op. cost variance - Price effect</v>
      </c>
      <c r="R240" s="502">
        <f t="shared" ca="1" si="108"/>
        <v>0</v>
      </c>
      <c r="S240" s="95"/>
      <c r="T240" s="601"/>
      <c r="U240" s="105"/>
      <c r="V240" s="487">
        <f t="shared" ca="1" si="109"/>
        <v>0</v>
      </c>
      <c r="W240" s="105"/>
      <c r="X240" s="602"/>
      <c r="Y240" s="105"/>
      <c r="Z240" s="105"/>
      <c r="AA240" s="105"/>
      <c r="AB240" s="105"/>
      <c r="AC240" s="105"/>
      <c r="AD240" s="105"/>
      <c r="AE240" s="105"/>
      <c r="AF240" s="105"/>
      <c r="AG240" s="105"/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05"/>
      <c r="AU240" s="105"/>
      <c r="AV240" s="105"/>
      <c r="AW240" s="105"/>
      <c r="AX240" s="105"/>
      <c r="AY240" s="105"/>
      <c r="AZ240" s="105"/>
      <c r="BA240" s="105"/>
      <c r="BB240" s="105"/>
      <c r="BC240" s="105"/>
      <c r="BD240" s="105"/>
      <c r="BE240" s="105"/>
      <c r="BF240" s="105"/>
      <c r="BG240" s="105"/>
      <c r="BH240" s="105"/>
      <c r="BI240" s="105"/>
      <c r="BJ240" s="105"/>
      <c r="BK240" s="105"/>
      <c r="BL240" s="105"/>
      <c r="BM240" s="105"/>
      <c r="BN240" s="105"/>
      <c r="BO240" s="105"/>
      <c r="BP240" s="105"/>
      <c r="BQ240" s="105"/>
      <c r="BR240" s="105"/>
      <c r="BS240" s="105"/>
      <c r="BT240" s="105"/>
      <c r="BU240" s="105"/>
      <c r="BV240" s="105"/>
      <c r="BW240" s="105"/>
      <c r="BX240" s="28"/>
    </row>
    <row r="241" spans="1:76" s="34" customFormat="1" ht="18.75" hidden="1" customHeight="1" x14ac:dyDescent="0.25">
      <c r="A241" s="57"/>
      <c r="B241" s="360" t="s">
        <v>138</v>
      </c>
      <c r="C241" s="9"/>
      <c r="D241" s="1"/>
      <c r="E241" s="1"/>
      <c r="H241" s="377"/>
      <c r="I241" s="95"/>
      <c r="J241" s="58"/>
      <c r="K241" s="482"/>
      <c r="L241" s="483"/>
      <c r="M241" s="553"/>
      <c r="N241" s="486" t="str">
        <f ca="1">_xll.DBRA(Server&amp;$B$32,$B241,$N$19)</f>
        <v>O - Compound</v>
      </c>
      <c r="R241" s="502">
        <f t="shared" ca="1" si="108"/>
        <v>0</v>
      </c>
      <c r="S241" s="95"/>
      <c r="T241" s="601"/>
      <c r="U241" s="105"/>
      <c r="V241" s="487">
        <f t="shared" ca="1" si="109"/>
        <v>0</v>
      </c>
      <c r="W241" s="105"/>
      <c r="X241" s="602"/>
      <c r="Y241" s="105"/>
      <c r="Z241" s="105"/>
      <c r="AA241" s="105"/>
      <c r="AB241" s="105"/>
      <c r="AC241" s="105"/>
      <c r="AD241" s="105"/>
      <c r="AE241" s="105"/>
      <c r="AF241" s="105"/>
      <c r="AG241" s="105"/>
      <c r="AH241" s="105"/>
      <c r="AI241" s="105"/>
      <c r="AJ241" s="105"/>
      <c r="AK241" s="105"/>
      <c r="AL241" s="105"/>
      <c r="AM241" s="105"/>
      <c r="AN241" s="105"/>
      <c r="AO241" s="105"/>
      <c r="AP241" s="105"/>
      <c r="AQ241" s="105"/>
      <c r="AR241" s="105"/>
      <c r="AS241" s="105"/>
      <c r="AT241" s="105"/>
      <c r="AU241" s="105"/>
      <c r="AV241" s="105"/>
      <c r="AW241" s="105"/>
      <c r="AX241" s="105"/>
      <c r="AY241" s="105"/>
      <c r="AZ241" s="105"/>
      <c r="BA241" s="105"/>
      <c r="BB241" s="105"/>
      <c r="BC241" s="105"/>
      <c r="BD241" s="105"/>
      <c r="BE241" s="105"/>
      <c r="BF241" s="105"/>
      <c r="BG241" s="105"/>
      <c r="BH241" s="105"/>
      <c r="BI241" s="105"/>
      <c r="BJ241" s="105"/>
      <c r="BK241" s="105"/>
      <c r="BL241" s="105"/>
      <c r="BM241" s="105"/>
      <c r="BN241" s="105"/>
      <c r="BO241" s="105"/>
      <c r="BP241" s="105"/>
      <c r="BQ241" s="105"/>
      <c r="BR241" s="105"/>
      <c r="BS241" s="105"/>
      <c r="BT241" s="105"/>
      <c r="BU241" s="105"/>
      <c r="BV241" s="105"/>
      <c r="BW241" s="105"/>
      <c r="BX241" s="28"/>
    </row>
    <row r="242" spans="1:76" s="34" customFormat="1" ht="18.75" customHeight="1" x14ac:dyDescent="0.25">
      <c r="A242" s="57"/>
      <c r="B242" s="377"/>
      <c r="C242" s="9"/>
      <c r="D242" s="1"/>
      <c r="E242" s="1"/>
      <c r="H242" s="377"/>
      <c r="I242" s="95"/>
      <c r="J242" s="58"/>
      <c r="K242" s="482"/>
      <c r="L242" s="483"/>
      <c r="M242" s="553"/>
      <c r="N242" s="484" t="s">
        <v>357</v>
      </c>
      <c r="R242" s="501">
        <f ca="1">R220+R225+R230+R235+R240</f>
        <v>0</v>
      </c>
      <c r="S242" s="95"/>
      <c r="T242" s="601"/>
      <c r="U242" s="105"/>
      <c r="V242" s="485">
        <f ca="1">V220+V225+V230+V235+V240</f>
        <v>0</v>
      </c>
      <c r="W242" s="105"/>
      <c r="X242" s="602"/>
      <c r="Y242" s="105"/>
      <c r="Z242" s="105"/>
      <c r="AA242" s="105"/>
      <c r="AB242" s="105"/>
      <c r="AC242" s="105"/>
      <c r="AD242" s="105"/>
      <c r="AE242" s="105"/>
      <c r="AF242" s="105"/>
      <c r="AG242" s="105"/>
      <c r="AH242" s="105"/>
      <c r="AI242" s="105"/>
      <c r="AJ242" s="105"/>
      <c r="AK242" s="105"/>
      <c r="AL242" s="105"/>
      <c r="AM242" s="105"/>
      <c r="AN242" s="105"/>
      <c r="AO242" s="105"/>
      <c r="AP242" s="105"/>
      <c r="AQ242" s="105"/>
      <c r="AR242" s="105"/>
      <c r="AS242" s="105"/>
      <c r="AT242" s="105"/>
      <c r="AU242" s="105"/>
      <c r="AV242" s="105"/>
      <c r="AW242" s="105"/>
      <c r="AX242" s="105"/>
      <c r="AY242" s="105"/>
      <c r="AZ242" s="105"/>
      <c r="BA242" s="105"/>
      <c r="BB242" s="105"/>
      <c r="BC242" s="105"/>
      <c r="BD242" s="105"/>
      <c r="BE242" s="105"/>
      <c r="BF242" s="105"/>
      <c r="BG242" s="105"/>
      <c r="BH242" s="105"/>
      <c r="BI242" s="105"/>
      <c r="BJ242" s="105"/>
      <c r="BK242" s="105"/>
      <c r="BL242" s="105"/>
      <c r="BM242" s="105"/>
      <c r="BN242" s="105"/>
      <c r="BO242" s="105"/>
      <c r="BP242" s="105"/>
      <c r="BQ242" s="105"/>
      <c r="BR242" s="105"/>
      <c r="BS242" s="105"/>
      <c r="BT242" s="105"/>
      <c r="BU242" s="105"/>
      <c r="BV242" s="105"/>
      <c r="BW242" s="105"/>
      <c r="BX242" s="28"/>
    </row>
    <row r="243" spans="1:76" s="34" customFormat="1" ht="18.75" customHeight="1" x14ac:dyDescent="0.25">
      <c r="A243" s="57"/>
      <c r="B243" s="360" t="s">
        <v>138</v>
      </c>
      <c r="C243" s="9"/>
      <c r="D243" s="1"/>
      <c r="E243" s="1"/>
      <c r="H243" s="377"/>
      <c r="I243" s="95"/>
      <c r="J243" s="58"/>
      <c r="K243" s="482"/>
      <c r="L243" s="483"/>
      <c r="M243" s="554"/>
      <c r="N243" s="488" t="str">
        <f ca="1">"∑ "&amp;MID(_xll.DBRA(Server&amp;$B$32,$B243,$N$19),3,100)</f>
        <v>∑ - Compound</v>
      </c>
      <c r="O243" s="500"/>
      <c r="P243" s="500"/>
      <c r="Q243" s="500"/>
      <c r="R243" s="503">
        <f ca="1">R241+R236+R231+R226+R221</f>
        <v>0</v>
      </c>
      <c r="S243" s="95"/>
      <c r="U243" s="105"/>
      <c r="V243" s="489">
        <f ca="1">V241+V236+V231+V226+V221</f>
        <v>0</v>
      </c>
      <c r="W243" s="105"/>
      <c r="X243" s="512"/>
      <c r="Y243" s="105"/>
      <c r="Z243" s="105"/>
      <c r="AA243" s="105"/>
      <c r="AB243" s="105"/>
      <c r="AC243" s="105"/>
      <c r="AD243" s="105"/>
      <c r="AE243" s="105"/>
      <c r="AF243" s="105"/>
      <c r="AG243" s="105"/>
      <c r="AH243" s="105"/>
      <c r="AI243" s="105"/>
      <c r="AJ243" s="105"/>
      <c r="AK243" s="105"/>
      <c r="AL243" s="105"/>
      <c r="AM243" s="105"/>
      <c r="AN243" s="105"/>
      <c r="AO243" s="105"/>
      <c r="AP243" s="105"/>
      <c r="AQ243" s="105"/>
      <c r="AR243" s="105"/>
      <c r="AS243" s="105"/>
      <c r="AT243" s="105"/>
      <c r="AU243" s="105"/>
      <c r="AV243" s="105"/>
      <c r="AW243" s="105"/>
      <c r="AX243" s="105"/>
      <c r="AY243" s="105"/>
      <c r="AZ243" s="105"/>
      <c r="BA243" s="105"/>
      <c r="BB243" s="105"/>
      <c r="BC243" s="105"/>
      <c r="BD243" s="105"/>
      <c r="BE243" s="105"/>
      <c r="BF243" s="105"/>
      <c r="BG243" s="105"/>
      <c r="BH243" s="105"/>
      <c r="BI243" s="105"/>
      <c r="BJ243" s="105"/>
      <c r="BK243" s="105"/>
      <c r="BL243" s="105"/>
      <c r="BM243" s="105"/>
      <c r="BN243" s="105"/>
      <c r="BO243" s="105"/>
      <c r="BP243" s="105"/>
      <c r="BQ243" s="105"/>
      <c r="BR243" s="105"/>
      <c r="BS243" s="105"/>
      <c r="BT243" s="105"/>
      <c r="BU243" s="105"/>
      <c r="BV243" s="105"/>
      <c r="BW243" s="105"/>
      <c r="BX243" s="28"/>
    </row>
    <row r="244" spans="1:76" s="34" customFormat="1" ht="18.75" customHeight="1" x14ac:dyDescent="0.25">
      <c r="A244" s="57"/>
      <c r="B244" s="377"/>
      <c r="C244" s="9"/>
      <c r="D244" s="1"/>
      <c r="E244" s="1"/>
      <c r="H244" s="377"/>
      <c r="I244" s="95"/>
      <c r="J244" s="58"/>
      <c r="K244" s="482"/>
      <c r="L244" s="483"/>
      <c r="M244" s="538" t="str">
        <f>IF(V_LANG="French","Autres variances sans impact sur le taux de marge","Other Cost variance (with no impacts on gross margin)")</f>
        <v>Other Cost variance (with no impacts on gross margin)</v>
      </c>
      <c r="N244" s="490" t="str">
        <f>IF(V_LANG="French","∆ Revenu","∆ Revenue")</f>
        <v>∆ Revenue</v>
      </c>
      <c r="R244" s="502">
        <f ca="1">S36/1000</f>
        <v>2205872.6574266357</v>
      </c>
      <c r="S244" s="95"/>
      <c r="U244" s="105"/>
      <c r="V244" s="487">
        <f ca="1">W36/1000</f>
        <v>4248995.1054230081</v>
      </c>
      <c r="W244" s="105"/>
      <c r="X244" s="512"/>
      <c r="Y244" s="105"/>
      <c r="Z244" s="105"/>
      <c r="AA244" s="105"/>
      <c r="AB244" s="105"/>
      <c r="AC244" s="105"/>
      <c r="AD244" s="105"/>
      <c r="AE244" s="105"/>
      <c r="AF244" s="105"/>
      <c r="AG244" s="105"/>
      <c r="AH244" s="105"/>
      <c r="AI244" s="105"/>
      <c r="AJ244" s="105"/>
      <c r="AK244" s="105"/>
      <c r="AL244" s="105"/>
      <c r="AM244" s="105"/>
      <c r="AN244" s="105"/>
      <c r="AO244" s="105"/>
      <c r="AP244" s="105"/>
      <c r="AQ244" s="105"/>
      <c r="AR244" s="105"/>
      <c r="AS244" s="105"/>
      <c r="AT244" s="105"/>
      <c r="AU244" s="105"/>
      <c r="AV244" s="105"/>
      <c r="AW244" s="105"/>
      <c r="AX244" s="105"/>
      <c r="AY244" s="105"/>
      <c r="AZ244" s="105"/>
      <c r="BA244" s="105"/>
      <c r="BB244" s="105"/>
      <c r="BC244" s="105"/>
      <c r="BD244" s="105"/>
      <c r="BE244" s="105"/>
      <c r="BF244" s="105"/>
      <c r="BG244" s="105"/>
      <c r="BH244" s="105"/>
      <c r="BI244" s="105"/>
      <c r="BJ244" s="105"/>
      <c r="BK244" s="105"/>
      <c r="BL244" s="105"/>
      <c r="BM244" s="105"/>
      <c r="BN244" s="105"/>
      <c r="BO244" s="105"/>
      <c r="BP244" s="105"/>
      <c r="BQ244" s="105"/>
      <c r="BR244" s="105"/>
      <c r="BS244" s="105"/>
      <c r="BT244" s="105"/>
      <c r="BU244" s="105"/>
      <c r="BV244" s="105"/>
      <c r="BW244" s="105"/>
      <c r="BX244" s="28"/>
    </row>
    <row r="245" spans="1:76" s="34" customFormat="1" ht="18.75" customHeight="1" thickBot="1" x14ac:dyDescent="0.3">
      <c r="A245" s="57"/>
      <c r="B245" s="377"/>
      <c r="C245" s="9"/>
      <c r="D245" s="1"/>
      <c r="E245" s="1"/>
      <c r="H245" s="377"/>
      <c r="I245" s="95"/>
      <c r="J245" s="58"/>
      <c r="K245" s="491"/>
      <c r="L245" s="492"/>
      <c r="M245" s="539"/>
      <c r="N245" s="490" t="str">
        <f>IF(V_LANG="French","∆ Charges au prorata","∆ Costs")</f>
        <v>∆ Costs</v>
      </c>
      <c r="R245" s="504">
        <f ca="1">(S328+S391+S454+S518+S581)/1000</f>
        <v>-2182037.7899285383</v>
      </c>
      <c r="S245" s="95"/>
      <c r="U245" s="105"/>
      <c r="V245" s="493">
        <f ca="1">(W328+W391+W454+W518+W581)/1000</f>
        <v>-4167222.9579911293</v>
      </c>
      <c r="W245" s="105"/>
      <c r="X245" s="512"/>
      <c r="Y245" s="105"/>
      <c r="Z245" s="105"/>
      <c r="AA245" s="105"/>
      <c r="AB245" s="105"/>
      <c r="AC245" s="105"/>
      <c r="AD245" s="105"/>
      <c r="AE245" s="105"/>
      <c r="AF245" s="105"/>
      <c r="AG245" s="105"/>
      <c r="AH245" s="105"/>
      <c r="AI245" s="105"/>
      <c r="AJ245" s="105"/>
      <c r="AK245" s="105"/>
      <c r="AL245" s="105"/>
      <c r="AM245" s="105"/>
      <c r="AN245" s="105"/>
      <c r="AO245" s="105"/>
      <c r="AP245" s="105"/>
      <c r="AQ245" s="105"/>
      <c r="AR245" s="105"/>
      <c r="AS245" s="105"/>
      <c r="AT245" s="105"/>
      <c r="AU245" s="105"/>
      <c r="AV245" s="105"/>
      <c r="AW245" s="105"/>
      <c r="AX245" s="105"/>
      <c r="AY245" s="105"/>
      <c r="AZ245" s="105"/>
      <c r="BA245" s="105"/>
      <c r="BB245" s="105"/>
      <c r="BC245" s="105"/>
      <c r="BD245" s="105"/>
      <c r="BE245" s="105"/>
      <c r="BF245" s="105"/>
      <c r="BG245" s="105"/>
      <c r="BH245" s="105"/>
      <c r="BI245" s="105"/>
      <c r="BJ245" s="105"/>
      <c r="BK245" s="105"/>
      <c r="BL245" s="105"/>
      <c r="BM245" s="105"/>
      <c r="BN245" s="105"/>
      <c r="BO245" s="105"/>
      <c r="BP245" s="105"/>
      <c r="BQ245" s="105"/>
      <c r="BR245" s="105"/>
      <c r="BS245" s="105"/>
      <c r="BT245" s="105"/>
      <c r="BU245" s="105"/>
      <c r="BV245" s="105"/>
      <c r="BW245" s="105"/>
      <c r="BX245" s="28"/>
    </row>
    <row r="246" spans="1:76" s="34" customFormat="1" ht="21" customHeight="1" x14ac:dyDescent="0.25">
      <c r="A246" s="57"/>
      <c r="B246" s="377"/>
      <c r="C246" s="9"/>
      <c r="D246" s="1"/>
      <c r="E246" s="1"/>
      <c r="H246" s="377"/>
      <c r="I246" s="95"/>
      <c r="J246" s="58"/>
      <c r="K246" s="604" t="str">
        <f>IF(V_LANG="French","Marge brute", "Gross Margin")</f>
        <v>Gross Margin</v>
      </c>
      <c r="L246" s="604"/>
      <c r="M246" s="604"/>
      <c r="N246" s="604"/>
      <c r="O246" s="604"/>
      <c r="P246" s="604"/>
      <c r="Q246" s="604"/>
      <c r="R246" s="494">
        <f ca="1">Q124/1000</f>
        <v>2478501.6563499998</v>
      </c>
      <c r="S246" s="95"/>
      <c r="U246" s="105"/>
      <c r="V246" s="481">
        <f ca="1">Q124/1000</f>
        <v>2478501.6563499998</v>
      </c>
      <c r="W246" s="105"/>
      <c r="X246" s="512"/>
      <c r="Y246" s="105"/>
      <c r="Z246" s="105"/>
      <c r="AA246" s="105"/>
      <c r="AB246" s="105"/>
      <c r="AC246" s="105"/>
      <c r="AD246" s="105"/>
      <c r="AE246" s="105"/>
      <c r="AF246" s="105"/>
      <c r="AG246" s="105"/>
      <c r="AH246" s="105"/>
      <c r="AI246" s="105"/>
      <c r="AJ246" s="105"/>
      <c r="AK246" s="105"/>
      <c r="AL246" s="105"/>
      <c r="AM246" s="105"/>
      <c r="AN246" s="105"/>
      <c r="AO246" s="105"/>
      <c r="AP246" s="105"/>
      <c r="AQ246" s="105"/>
      <c r="AR246" s="105"/>
      <c r="AS246" s="105"/>
      <c r="AT246" s="105"/>
      <c r="AU246" s="105"/>
      <c r="AV246" s="105"/>
      <c r="AW246" s="105"/>
      <c r="AX246" s="105"/>
      <c r="AY246" s="105"/>
      <c r="AZ246" s="105"/>
      <c r="BA246" s="105"/>
      <c r="BB246" s="105"/>
      <c r="BC246" s="105"/>
      <c r="BD246" s="105"/>
      <c r="BE246" s="105"/>
      <c r="BF246" s="105"/>
      <c r="BG246" s="105"/>
      <c r="BH246" s="105"/>
      <c r="BI246" s="105"/>
      <c r="BJ246" s="105"/>
      <c r="BK246" s="105"/>
      <c r="BL246" s="105"/>
      <c r="BM246" s="105"/>
      <c r="BN246" s="105"/>
      <c r="BO246" s="105"/>
      <c r="BP246" s="105"/>
      <c r="BQ246" s="105"/>
      <c r="BR246" s="105"/>
      <c r="BS246" s="105"/>
      <c r="BT246" s="105"/>
      <c r="BU246" s="105"/>
      <c r="BV246" s="105"/>
      <c r="BW246" s="105"/>
      <c r="BX246" s="28"/>
    </row>
    <row r="247" spans="1:76" s="34" customFormat="1" ht="21" x14ac:dyDescent="0.25">
      <c r="A247" s="57"/>
      <c r="B247" s="377"/>
      <c r="C247" s="9"/>
      <c r="D247" s="1"/>
      <c r="E247" s="1"/>
      <c r="H247" s="377"/>
      <c r="I247" s="95"/>
      <c r="J247" s="58"/>
      <c r="K247" s="495"/>
      <c r="L247" s="495"/>
      <c r="M247" s="495"/>
      <c r="N247" s="495"/>
      <c r="O247" s="495"/>
      <c r="P247" s="496"/>
      <c r="Q247" s="497"/>
      <c r="R247" s="478" t="str">
        <f ca="1">$Q$32</f>
        <v>Actual</v>
      </c>
      <c r="S247" s="95"/>
      <c r="T247" s="496"/>
      <c r="U247" s="95"/>
      <c r="V247" s="478" t="str">
        <f ca="1">$Q$32</f>
        <v>Actual</v>
      </c>
      <c r="W247" s="105"/>
      <c r="X247" s="512"/>
      <c r="Y247" s="105"/>
      <c r="Z247" s="105"/>
      <c r="AA247" s="105"/>
      <c r="AB247" s="105"/>
      <c r="AC247" s="105"/>
      <c r="AD247" s="105"/>
      <c r="AE247" s="105"/>
      <c r="AF247" s="105"/>
      <c r="AG247" s="105"/>
      <c r="AH247" s="105"/>
      <c r="AI247" s="105"/>
      <c r="AJ247" s="105"/>
      <c r="AK247" s="105"/>
      <c r="AL247" s="105"/>
      <c r="AM247" s="105"/>
      <c r="AN247" s="105"/>
      <c r="AO247" s="105"/>
      <c r="AP247" s="105"/>
      <c r="AQ247" s="105"/>
      <c r="AR247" s="105"/>
      <c r="AS247" s="105"/>
      <c r="AT247" s="105"/>
      <c r="AU247" s="105"/>
      <c r="AV247" s="105"/>
      <c r="AW247" s="105"/>
      <c r="AX247" s="105"/>
      <c r="AY247" s="105"/>
      <c r="AZ247" s="105"/>
      <c r="BA247" s="105"/>
      <c r="BB247" s="105"/>
      <c r="BC247" s="105"/>
      <c r="BD247" s="105"/>
      <c r="BE247" s="105"/>
      <c r="BF247" s="105"/>
      <c r="BG247" s="105"/>
      <c r="BH247" s="105"/>
      <c r="BI247" s="105"/>
      <c r="BJ247" s="105"/>
      <c r="BK247" s="105"/>
      <c r="BL247" s="105"/>
      <c r="BM247" s="105"/>
      <c r="BN247" s="105"/>
      <c r="BO247" s="105"/>
      <c r="BP247" s="105"/>
      <c r="BQ247" s="105"/>
      <c r="BR247" s="105"/>
      <c r="BS247" s="105"/>
      <c r="BT247" s="105"/>
      <c r="BU247" s="105"/>
      <c r="BV247" s="105"/>
      <c r="BW247" s="105"/>
      <c r="BX247" s="28"/>
    </row>
    <row r="248" spans="1:76" s="34" customFormat="1" ht="21" x14ac:dyDescent="0.25">
      <c r="A248" s="57"/>
      <c r="B248" s="377"/>
      <c r="C248" s="9"/>
      <c r="D248" s="1"/>
      <c r="E248" s="1"/>
      <c r="H248" s="377"/>
      <c r="I248" s="95"/>
      <c r="J248" s="58"/>
      <c r="K248" s="495"/>
      <c r="L248" s="495"/>
      <c r="M248" s="495"/>
      <c r="N248" s="495"/>
      <c r="O248" s="95"/>
      <c r="R248" s="499"/>
      <c r="S248" s="95"/>
      <c r="U248" s="95"/>
      <c r="V248" s="95"/>
      <c r="W248" s="105"/>
      <c r="X248" s="512"/>
      <c r="Y248" s="105"/>
      <c r="Z248" s="105"/>
      <c r="AA248" s="105"/>
      <c r="AB248" s="105"/>
      <c r="AC248" s="105"/>
      <c r="AD248" s="105"/>
      <c r="AE248" s="105"/>
      <c r="AF248" s="105"/>
      <c r="AG248" s="105"/>
      <c r="AH248" s="105"/>
      <c r="AI248" s="105"/>
      <c r="AJ248" s="105"/>
      <c r="AK248" s="105"/>
      <c r="AL248" s="105"/>
      <c r="AM248" s="105"/>
      <c r="AN248" s="105"/>
      <c r="AO248" s="105"/>
      <c r="AP248" s="105"/>
      <c r="AQ248" s="105"/>
      <c r="AR248" s="105"/>
      <c r="AS248" s="105"/>
      <c r="AT248" s="105"/>
      <c r="AU248" s="105"/>
      <c r="AV248" s="105"/>
      <c r="AW248" s="105"/>
      <c r="AX248" s="105"/>
      <c r="AY248" s="105"/>
      <c r="AZ248" s="105"/>
      <c r="BA248" s="105"/>
      <c r="BB248" s="105"/>
      <c r="BC248" s="105"/>
      <c r="BD248" s="105"/>
      <c r="BE248" s="105"/>
      <c r="BF248" s="105"/>
      <c r="BG248" s="105"/>
      <c r="BH248" s="105"/>
      <c r="BI248" s="105"/>
      <c r="BJ248" s="105"/>
      <c r="BK248" s="105"/>
      <c r="BL248" s="105"/>
      <c r="BM248" s="105"/>
      <c r="BN248" s="105"/>
      <c r="BO248" s="105"/>
      <c r="BP248" s="105"/>
      <c r="BQ248" s="105"/>
      <c r="BR248" s="105"/>
      <c r="BS248" s="105"/>
      <c r="BT248" s="105"/>
      <c r="BU248" s="105"/>
      <c r="BV248" s="105"/>
      <c r="BW248" s="105"/>
      <c r="BX248" s="28"/>
    </row>
    <row r="249" spans="1:76" s="34" customFormat="1" ht="21" x14ac:dyDescent="0.25">
      <c r="A249" s="57"/>
      <c r="B249" s="377"/>
      <c r="C249" s="9"/>
      <c r="D249" s="1"/>
      <c r="E249" s="1"/>
      <c r="H249" s="377"/>
      <c r="I249" s="95"/>
      <c r="J249" s="58"/>
      <c r="K249" s="495"/>
      <c r="L249" s="495"/>
      <c r="M249" s="495"/>
      <c r="N249" s="495"/>
      <c r="O249" s="495"/>
      <c r="P249" s="496"/>
      <c r="Q249" s="497"/>
      <c r="R249" s="95"/>
      <c r="S249" s="95"/>
      <c r="T249" s="496"/>
      <c r="U249" s="95"/>
      <c r="V249" s="95"/>
      <c r="W249" s="105"/>
      <c r="X249" s="512"/>
      <c r="Y249" s="105"/>
      <c r="Z249" s="105"/>
      <c r="AA249" s="105"/>
      <c r="AB249" s="105"/>
      <c r="AC249" s="105"/>
      <c r="AD249" s="105"/>
      <c r="AE249" s="105"/>
      <c r="AF249" s="105"/>
      <c r="AG249" s="105"/>
      <c r="AH249" s="105"/>
      <c r="AI249" s="105"/>
      <c r="AJ249" s="105"/>
      <c r="AK249" s="105"/>
      <c r="AL249" s="105"/>
      <c r="AM249" s="105"/>
      <c r="AN249" s="105"/>
      <c r="AO249" s="105"/>
      <c r="AP249" s="105"/>
      <c r="AQ249" s="105"/>
      <c r="AR249" s="105"/>
      <c r="AS249" s="105"/>
      <c r="AT249" s="105"/>
      <c r="AU249" s="105"/>
      <c r="AV249" s="105"/>
      <c r="AW249" s="105"/>
      <c r="AX249" s="105"/>
      <c r="AY249" s="105"/>
      <c r="AZ249" s="105"/>
      <c r="BA249" s="105"/>
      <c r="BB249" s="105"/>
      <c r="BC249" s="105"/>
      <c r="BD249" s="105"/>
      <c r="BE249" s="105"/>
      <c r="BF249" s="105"/>
      <c r="BG249" s="105"/>
      <c r="BH249" s="105"/>
      <c r="BI249" s="105"/>
      <c r="BJ249" s="105"/>
      <c r="BK249" s="105"/>
      <c r="BL249" s="105"/>
      <c r="BM249" s="105"/>
      <c r="BN249" s="105"/>
      <c r="BO249" s="105"/>
      <c r="BP249" s="105"/>
      <c r="BQ249" s="105"/>
      <c r="BR249" s="105"/>
      <c r="BS249" s="105"/>
      <c r="BT249" s="105"/>
      <c r="BU249" s="105"/>
      <c r="BV249" s="105"/>
      <c r="BW249" s="105"/>
      <c r="BX249" s="28"/>
    </row>
    <row r="250" spans="1:76" s="34" customFormat="1" ht="15" collapsed="1" x14ac:dyDescent="0.25">
      <c r="A250"/>
      <c r="B250" t="str">
        <f ca="1">$N$12&amp;" N"</f>
        <v>Actual N</v>
      </c>
      <c r="C250" t="str">
        <f ca="1">$N$20&amp;" "&amp;$N$21</f>
        <v>Budget V current N</v>
      </c>
      <c r="D250" t="str">
        <f ca="1">$O$20&amp;" "&amp;$O$21</f>
        <v>Actual N-1</v>
      </c>
      <c r="E250" s="1"/>
      <c r="H250" s="377"/>
      <c r="I250" s="95"/>
      <c r="J250" s="58"/>
      <c r="K250" s="95"/>
      <c r="L250" s="95"/>
      <c r="M250" s="95"/>
      <c r="N250" s="95"/>
      <c r="O250" s="95"/>
      <c r="P250" s="394"/>
      <c r="Q250" s="95"/>
      <c r="R250" s="95"/>
      <c r="S250" s="95"/>
      <c r="T250" s="95"/>
      <c r="U250" s="95"/>
      <c r="V250" s="95"/>
      <c r="W250" s="105"/>
      <c r="X250" s="512"/>
      <c r="Y250" s="105"/>
      <c r="Z250" s="105"/>
      <c r="AA250" s="105"/>
      <c r="AB250" s="105"/>
      <c r="AC250" s="105"/>
      <c r="AD250" s="105"/>
      <c r="AE250" s="105"/>
      <c r="AF250" s="105"/>
      <c r="AG250" s="105"/>
      <c r="AH250" s="105"/>
      <c r="AI250" s="105"/>
      <c r="AJ250" s="105"/>
      <c r="AK250" s="105"/>
      <c r="AL250" s="105"/>
      <c r="AM250" s="105"/>
      <c r="AN250" s="105"/>
      <c r="AO250" s="105"/>
      <c r="AP250" s="105"/>
      <c r="AQ250" s="105"/>
      <c r="AR250" s="105"/>
      <c r="AS250" s="105"/>
      <c r="AT250" s="105"/>
      <c r="AU250" s="105"/>
      <c r="AV250" s="105"/>
      <c r="AW250" s="105"/>
      <c r="AX250" s="105"/>
      <c r="AY250" s="105"/>
      <c r="AZ250" s="105"/>
      <c r="BA250" s="105"/>
      <c r="BB250" s="105"/>
      <c r="BC250" s="105"/>
      <c r="BD250" s="105"/>
      <c r="BE250" s="105"/>
      <c r="BF250" s="105"/>
      <c r="BG250" s="105"/>
      <c r="BH250" s="105"/>
      <c r="BI250" s="105"/>
      <c r="BJ250" s="105"/>
      <c r="BK250" s="105"/>
      <c r="BL250" s="105"/>
      <c r="BM250" s="105"/>
      <c r="BN250" s="105"/>
      <c r="BO250" s="105"/>
      <c r="BP250" s="105"/>
      <c r="BQ250" s="105"/>
      <c r="BR250" s="105"/>
      <c r="BS250" s="105"/>
      <c r="BT250" s="105"/>
      <c r="BU250" s="105"/>
      <c r="BV250" s="105"/>
      <c r="BW250" s="105"/>
      <c r="BX250" s="28"/>
    </row>
    <row r="251" spans="1:76" s="34" customFormat="1" ht="15.75" hidden="1" customHeight="1" outlineLevel="1" x14ac:dyDescent="0.25">
      <c r="A251" s="390" t="s">
        <v>262</v>
      </c>
      <c r="B251" s="391">
        <f ca="1">ROUND(Q36,6)</f>
        <v>15596865636.139999</v>
      </c>
      <c r="C251" s="391">
        <f ca="1">ROUND(R36,6)</f>
        <v>13390992978.7134</v>
      </c>
      <c r="D251" s="391">
        <f ca="1">ROUND(V36,6)</f>
        <v>11347870530.716999</v>
      </c>
      <c r="E251" s="1"/>
      <c r="H251" s="377"/>
      <c r="I251" s="95"/>
      <c r="J251" s="58"/>
      <c r="K251" s="95"/>
      <c r="L251" s="95"/>
      <c r="M251" s="95"/>
      <c r="N251" s="95"/>
      <c r="O251" s="95"/>
      <c r="P251" s="478"/>
      <c r="Q251" s="95"/>
      <c r="R251" s="95"/>
      <c r="S251" s="95"/>
      <c r="T251" s="478"/>
      <c r="U251" s="105"/>
      <c r="V251" s="105"/>
      <c r="W251" s="105"/>
      <c r="X251" s="512"/>
      <c r="Y251" s="105"/>
      <c r="Z251" s="105"/>
      <c r="AA251" s="105"/>
      <c r="AB251" s="105"/>
      <c r="AC251" s="105"/>
      <c r="AD251" s="105"/>
      <c r="AE251" s="105"/>
      <c r="AF251" s="105"/>
      <c r="AG251" s="105"/>
      <c r="AH251" s="105"/>
      <c r="AI251" s="105"/>
      <c r="AJ251" s="105"/>
      <c r="AK251" s="105"/>
      <c r="AL251" s="105"/>
      <c r="AM251" s="105"/>
      <c r="AN251" s="105"/>
      <c r="AO251" s="105"/>
      <c r="AP251" s="105"/>
      <c r="AQ251" s="105"/>
      <c r="AR251" s="105"/>
      <c r="AS251" s="105"/>
      <c r="AT251" s="105"/>
      <c r="AU251" s="105"/>
      <c r="AV251" s="105"/>
      <c r="AW251" s="105"/>
      <c r="AX251" s="105"/>
      <c r="AY251" s="105"/>
      <c r="AZ251" s="105"/>
      <c r="BA251" s="105"/>
      <c r="BB251" s="105"/>
      <c r="BC251" s="105"/>
      <c r="BD251" s="105"/>
      <c r="BE251" s="105"/>
      <c r="BF251" s="105"/>
      <c r="BG251" s="105"/>
      <c r="BH251" s="105"/>
      <c r="BI251" s="105"/>
      <c r="BJ251" s="105"/>
      <c r="BK251" s="105"/>
      <c r="BL251" s="105"/>
      <c r="BM251" s="105"/>
      <c r="BN251" s="105"/>
      <c r="BO251" s="105"/>
      <c r="BP251" s="105"/>
      <c r="BQ251" s="105"/>
      <c r="BR251" s="105"/>
      <c r="BS251" s="105"/>
      <c r="BT251" s="105"/>
      <c r="BU251" s="105"/>
      <c r="BV251" s="105"/>
      <c r="BW251" s="105"/>
      <c r="BX251" s="28"/>
    </row>
    <row r="252" spans="1:76" s="34" customFormat="1" ht="15.75" hidden="1" customHeight="1" outlineLevel="1" x14ac:dyDescent="0.25">
      <c r="A252" s="390" t="str">
        <f ca="1">L124</f>
        <v xml:space="preserve">GROSS MARGIN </v>
      </c>
      <c r="B252" s="430">
        <f ca="1">IF(ROUND(B$251,6)&lt;&gt;0,ROUND(Q124/B$251,6),0)</f>
        <v>0.15891</v>
      </c>
      <c r="C252" s="430">
        <f ca="1">IF(ROUND(C$251,6)&lt;&gt;0,ROUND(R124/C$251,6),0)</f>
        <v>1.1062000000000001E-2</v>
      </c>
      <c r="D252" s="430">
        <f ca="1">IF(ROUND(D$251,6)&lt;&gt;0,ROUND(V124/D$251,6),0)</f>
        <v>1.9612999999999998E-2</v>
      </c>
      <c r="E252" s="1"/>
      <c r="H252" s="377"/>
      <c r="I252" s="95"/>
      <c r="J252" s="58"/>
      <c r="K252" s="105"/>
      <c r="L252" s="105"/>
      <c r="M252" s="105"/>
      <c r="N252" s="105"/>
      <c r="O252" s="105"/>
      <c r="P252" s="105"/>
      <c r="Q252" s="105"/>
      <c r="R252" s="105"/>
      <c r="S252" s="105"/>
      <c r="T252" s="105"/>
      <c r="U252" s="105"/>
      <c r="V252" s="105"/>
      <c r="W252" s="105"/>
      <c r="X252" s="105"/>
      <c r="Y252" s="105"/>
      <c r="Z252" s="105"/>
      <c r="AA252" s="105"/>
      <c r="AB252" s="105"/>
      <c r="AC252" s="105"/>
      <c r="AD252" s="105"/>
      <c r="AE252" s="105"/>
      <c r="AF252" s="105"/>
      <c r="AG252" s="105"/>
      <c r="AH252" s="105"/>
      <c r="AI252" s="105"/>
      <c r="AJ252" s="105"/>
      <c r="AK252" s="105"/>
      <c r="AL252" s="105"/>
      <c r="AM252" s="105"/>
      <c r="AN252" s="105"/>
      <c r="AO252" s="105"/>
      <c r="AP252" s="105"/>
      <c r="AQ252" s="105"/>
      <c r="AR252" s="105"/>
      <c r="AS252" s="105"/>
      <c r="AT252" s="105"/>
      <c r="AU252" s="105"/>
      <c r="AV252" s="105"/>
      <c r="AW252" s="105"/>
      <c r="AX252" s="105"/>
      <c r="AY252" s="105"/>
      <c r="AZ252" s="105"/>
      <c r="BA252" s="105"/>
      <c r="BB252" s="105"/>
      <c r="BC252" s="105"/>
      <c r="BD252" s="105"/>
      <c r="BE252" s="105"/>
      <c r="BF252" s="105"/>
      <c r="BG252" s="105"/>
      <c r="BH252" s="105"/>
      <c r="BI252" s="105"/>
      <c r="BJ252" s="105"/>
      <c r="BK252" s="105"/>
      <c r="BL252" s="105"/>
      <c r="BM252" s="105"/>
      <c r="BN252" s="105"/>
      <c r="BO252" s="105"/>
      <c r="BP252" s="105"/>
      <c r="BQ252" s="105"/>
      <c r="BR252" s="105"/>
      <c r="BS252" s="105"/>
      <c r="BT252" s="105"/>
      <c r="BU252" s="105"/>
      <c r="BV252" s="105"/>
      <c r="BW252" s="105"/>
      <c r="BX252" s="28"/>
    </row>
    <row r="253" spans="1:76" s="34" customFormat="1" ht="15.75" hidden="1" customHeight="1" outlineLevel="1" x14ac:dyDescent="0.25">
      <c r="A253" s="390" t="str">
        <f ca="1">K111</f>
        <v>O - Other Operating cost</v>
      </c>
      <c r="B253" s="430">
        <f ca="1">IF(ROUND(B$251,6)&lt;&gt;0,ROUND(ABS(Q111)/B$251,6),0)</f>
        <v>0.191527</v>
      </c>
      <c r="C253" s="430">
        <f ca="1">IF(ROUND(C$251,6)&lt;&gt;0,ROUND(ABS(R111)/C$251,6),0)</f>
        <v>0.23921100000000001</v>
      </c>
      <c r="D253" s="430">
        <f ca="1">IF(ROUND(D$251,6)&lt;&gt;0,ROUND(ABS(V111)/D$251,6),0)</f>
        <v>0.20741399999999999</v>
      </c>
      <c r="E253" s="1"/>
      <c r="H253" s="377"/>
      <c r="I253" s="95"/>
      <c r="J253" s="58"/>
      <c r="K253" s="105"/>
      <c r="L253" s="105"/>
      <c r="M253" s="105"/>
      <c r="N253" s="105"/>
      <c r="O253" s="105"/>
      <c r="P253" s="105"/>
      <c r="Q253" s="105"/>
      <c r="R253" s="105"/>
      <c r="S253" s="105"/>
      <c r="T253" s="105"/>
      <c r="U253" s="105"/>
      <c r="V253" s="105"/>
      <c r="W253" s="105"/>
      <c r="X253" s="105"/>
      <c r="Y253" s="105"/>
      <c r="Z253" s="105"/>
      <c r="AA253" s="105"/>
      <c r="AB253" s="105"/>
      <c r="AC253" s="105"/>
      <c r="AD253" s="105"/>
      <c r="AE253" s="105"/>
      <c r="AF253" s="105"/>
      <c r="AG253" s="105"/>
      <c r="AH253" s="105"/>
      <c r="AI253" s="105"/>
      <c r="AJ253" s="105"/>
      <c r="AK253" s="105"/>
      <c r="AL253" s="105"/>
      <c r="AM253" s="105"/>
      <c r="AN253" s="105"/>
      <c r="AO253" s="105"/>
      <c r="AP253" s="105"/>
      <c r="AQ253" s="105"/>
      <c r="AR253" s="105"/>
      <c r="AS253" s="105"/>
      <c r="AT253" s="105"/>
      <c r="AU253" s="105"/>
      <c r="AV253" s="105"/>
      <c r="AW253" s="105"/>
      <c r="AX253" s="105"/>
      <c r="AY253" s="105"/>
      <c r="AZ253" s="105"/>
      <c r="BA253" s="105"/>
      <c r="BB253" s="105"/>
      <c r="BC253" s="105"/>
      <c r="BD253" s="105"/>
      <c r="BE253" s="105"/>
      <c r="BF253" s="105"/>
      <c r="BG253" s="105"/>
      <c r="BH253" s="105"/>
      <c r="BI253" s="105"/>
      <c r="BJ253" s="105"/>
      <c r="BK253" s="105"/>
      <c r="BL253" s="105"/>
      <c r="BM253" s="105"/>
      <c r="BN253" s="105"/>
      <c r="BO253" s="105"/>
      <c r="BP253" s="105"/>
      <c r="BQ253" s="105"/>
      <c r="BR253" s="105"/>
      <c r="BS253" s="105"/>
      <c r="BT253" s="105"/>
      <c r="BU253" s="105"/>
      <c r="BV253" s="105"/>
      <c r="BW253" s="105"/>
      <c r="BX253" s="28"/>
    </row>
    <row r="254" spans="1:76" s="34" customFormat="1" ht="15.75" hidden="1" customHeight="1" outlineLevel="1" x14ac:dyDescent="0.25">
      <c r="A254" s="390" t="str">
        <f ca="1">K98</f>
        <v xml:space="preserve">F - Fleet </v>
      </c>
      <c r="B254" s="430">
        <f ca="1">IF(ROUND(B$251&lt;&gt;0,6),ROUND(ABS(Q98)/B$251,6),0)</f>
        <v>8.6439000000000002E-2</v>
      </c>
      <c r="C254" s="430">
        <f ca="1">IF(ROUND(C$251&lt;&gt;0,6),ROUND(ABS(R98)/C$251,6),0)</f>
        <v>0.13323599999999999</v>
      </c>
      <c r="D254" s="430">
        <f ca="1">IF(ROUND(D$251&lt;&gt;0,6),ROUND(ABS(V98)/D$251,6),0)</f>
        <v>0.140684</v>
      </c>
      <c r="E254" s="1"/>
      <c r="H254" s="377"/>
      <c r="I254" s="95"/>
      <c r="J254" s="58"/>
      <c r="K254" s="105"/>
      <c r="L254" s="105"/>
      <c r="M254" s="105"/>
      <c r="N254" s="105"/>
      <c r="O254" s="105"/>
      <c r="P254" s="105"/>
      <c r="Q254" s="105"/>
      <c r="R254" s="105"/>
      <c r="S254" s="105"/>
      <c r="T254" s="105"/>
      <c r="U254" s="105"/>
      <c r="V254" s="105"/>
      <c r="W254" s="105"/>
      <c r="X254" s="105"/>
      <c r="Y254" s="105"/>
      <c r="Z254" s="105"/>
      <c r="AA254" s="105"/>
      <c r="AB254" s="105"/>
      <c r="AC254" s="105"/>
      <c r="AD254" s="105"/>
      <c r="AE254" s="105"/>
      <c r="AF254" s="105"/>
      <c r="AG254" s="105"/>
      <c r="AH254" s="105"/>
      <c r="AI254" s="105"/>
      <c r="AJ254" s="105"/>
      <c r="AK254" s="105"/>
      <c r="AL254" s="105"/>
      <c r="AM254" s="105"/>
      <c r="AN254" s="105"/>
      <c r="AO254" s="105"/>
      <c r="AP254" s="105"/>
      <c r="AQ254" s="105"/>
      <c r="AR254" s="105"/>
      <c r="AS254" s="105"/>
      <c r="AT254" s="105"/>
      <c r="AU254" s="105"/>
      <c r="AV254" s="105"/>
      <c r="AW254" s="105"/>
      <c r="AX254" s="105"/>
      <c r="AY254" s="105"/>
      <c r="AZ254" s="105"/>
      <c r="BA254" s="105"/>
      <c r="BB254" s="105"/>
      <c r="BC254" s="105"/>
      <c r="BD254" s="105"/>
      <c r="BE254" s="105"/>
      <c r="BF254" s="105"/>
      <c r="BG254" s="105"/>
      <c r="BH254" s="105"/>
      <c r="BI254" s="105"/>
      <c r="BJ254" s="105"/>
      <c r="BK254" s="105"/>
      <c r="BL254" s="105"/>
      <c r="BM254" s="105"/>
      <c r="BN254" s="105"/>
      <c r="BO254" s="105"/>
      <c r="BP254" s="105"/>
      <c r="BQ254" s="105"/>
      <c r="BR254" s="105"/>
      <c r="BS254" s="105"/>
      <c r="BT254" s="105"/>
      <c r="BU254" s="105"/>
      <c r="BV254" s="105"/>
      <c r="BW254" s="105"/>
      <c r="BX254" s="28"/>
    </row>
    <row r="255" spans="1:76" s="34" customFormat="1" ht="15.75" hidden="1" customHeight="1" outlineLevel="1" x14ac:dyDescent="0.25">
      <c r="A255" s="390" t="str">
        <f ca="1">K81</f>
        <v>E - Energy for traction PMM</v>
      </c>
      <c r="B255" s="430">
        <f ca="1">IF(ROUND(B$251&lt;&gt;0,6),ROUND(ABS(Q81)/B$251,6),0)</f>
        <v>0.140818</v>
      </c>
      <c r="C255" s="430">
        <f ca="1">IF(ROUND(C$251&lt;&gt;0,6),ROUND(ABS(R81)/C$251,6),0)</f>
        <v>0.14388200000000001</v>
      </c>
      <c r="D255" s="430">
        <f ca="1">IF(ROUND(D$251&lt;&gt;0,6),ROUND(ABS(V81)/D$251,6),0)</f>
        <v>0.16688500000000001</v>
      </c>
      <c r="E255" s="1"/>
      <c r="H255" s="377"/>
      <c r="I255" s="95"/>
      <c r="J255" s="58"/>
      <c r="K255" s="105"/>
      <c r="L255" s="105"/>
      <c r="M255" s="105"/>
      <c r="N255" s="105"/>
      <c r="O255" s="105"/>
      <c r="P255" s="105"/>
      <c r="Q255" s="105"/>
      <c r="R255" s="105"/>
      <c r="S255" s="105"/>
      <c r="T255" s="105"/>
      <c r="U255" s="105"/>
      <c r="V255" s="105"/>
      <c r="W255" s="105"/>
      <c r="X255" s="105"/>
      <c r="Y255" s="105"/>
      <c r="Z255" s="105"/>
      <c r="AA255" s="105"/>
      <c r="AB255" s="105"/>
      <c r="AC255" s="105"/>
      <c r="AD255" s="105"/>
      <c r="AE255" s="105"/>
      <c r="AF255" s="105"/>
      <c r="AG255" s="105"/>
      <c r="AH255" s="105"/>
      <c r="AI255" s="105"/>
      <c r="AJ255" s="105"/>
      <c r="AK255" s="105"/>
      <c r="AL255" s="105"/>
      <c r="AM255" s="105"/>
      <c r="AN255" s="105"/>
      <c r="AO255" s="105"/>
      <c r="AP255" s="105"/>
      <c r="AQ255" s="105"/>
      <c r="AR255" s="105"/>
      <c r="AS255" s="105"/>
      <c r="AT255" s="105"/>
      <c r="AU255" s="105"/>
      <c r="AV255" s="105"/>
      <c r="AW255" s="105"/>
      <c r="AX255" s="105"/>
      <c r="AY255" s="105"/>
      <c r="AZ255" s="105"/>
      <c r="BA255" s="105"/>
      <c r="BB255" s="105"/>
      <c r="BC255" s="105"/>
      <c r="BD255" s="105"/>
      <c r="BE255" s="105"/>
      <c r="BF255" s="105"/>
      <c r="BG255" s="105"/>
      <c r="BH255" s="105"/>
      <c r="BI255" s="105"/>
      <c r="BJ255" s="105"/>
      <c r="BK255" s="105"/>
      <c r="BL255" s="105"/>
      <c r="BM255" s="105"/>
      <c r="BN255" s="105"/>
      <c r="BO255" s="105"/>
      <c r="BP255" s="105"/>
      <c r="BQ255" s="105"/>
      <c r="BR255" s="105"/>
      <c r="BS255" s="105"/>
      <c r="BT255" s="105"/>
      <c r="BU255" s="105"/>
      <c r="BV255" s="105"/>
      <c r="BW255" s="105"/>
      <c r="BX255" s="28"/>
    </row>
    <row r="256" spans="1:76" s="34" customFormat="1" ht="15.75" hidden="1" customHeight="1" outlineLevel="1" x14ac:dyDescent="0.25">
      <c r="A256" s="390" t="str">
        <f ca="1">K62</f>
        <v>M - Maintenance &amp; cleaning of fleet PMM</v>
      </c>
      <c r="B256" s="430">
        <f ca="1">IF(ROUND(B$251&lt;&gt;0,6),ROUND(ABS(Q62)/B$251,6),0)</f>
        <v>0.122863</v>
      </c>
      <c r="C256" s="430">
        <f ca="1">IF(ROUND(C$251&lt;&gt;0,6),ROUND(ABS(R62)/C$251,6),0)</f>
        <v>0.12717500000000001</v>
      </c>
      <c r="D256" s="430">
        <f ca="1">IF(ROUND(D$251&lt;&gt;0,6),ROUND(ABS(V62)/D$251,6),0)</f>
        <v>0.14461399999999999</v>
      </c>
      <c r="E256" s="1"/>
      <c r="H256" s="377"/>
      <c r="I256" s="95"/>
      <c r="J256" s="58"/>
      <c r="K256" s="105"/>
      <c r="L256" s="105"/>
      <c r="M256" s="105"/>
      <c r="N256" s="105"/>
      <c r="O256" s="105"/>
      <c r="P256" s="105"/>
      <c r="Q256" s="105"/>
      <c r="R256" s="105"/>
      <c r="S256" s="105"/>
      <c r="T256" s="105"/>
      <c r="U256" s="105"/>
      <c r="V256" s="105"/>
      <c r="W256" s="105"/>
      <c r="X256" s="105"/>
      <c r="Y256" s="105"/>
      <c r="Z256" s="105"/>
      <c r="AA256" s="105"/>
      <c r="AB256" s="105"/>
      <c r="AC256" s="105"/>
      <c r="AD256" s="105"/>
      <c r="AE256" s="105"/>
      <c r="AF256" s="105"/>
      <c r="AG256" s="105"/>
      <c r="AH256" s="105"/>
      <c r="AI256" s="105"/>
      <c r="AJ256" s="105"/>
      <c r="AK256" s="105"/>
      <c r="AL256" s="105"/>
      <c r="AM256" s="105"/>
      <c r="AN256" s="105"/>
      <c r="AO256" s="105"/>
      <c r="AP256" s="105"/>
      <c r="AQ256" s="105"/>
      <c r="AR256" s="105"/>
      <c r="AS256" s="105"/>
      <c r="AT256" s="105"/>
      <c r="AU256" s="105"/>
      <c r="AV256" s="105"/>
      <c r="AW256" s="105"/>
      <c r="AX256" s="105"/>
      <c r="AY256" s="105"/>
      <c r="AZ256" s="105"/>
      <c r="BA256" s="105"/>
      <c r="BB256" s="105"/>
      <c r="BC256" s="105"/>
      <c r="BD256" s="105"/>
      <c r="BE256" s="105"/>
      <c r="BF256" s="105"/>
      <c r="BG256" s="105"/>
      <c r="BH256" s="105"/>
      <c r="BI256" s="105"/>
      <c r="BJ256" s="105"/>
      <c r="BK256" s="105"/>
      <c r="BL256" s="105"/>
      <c r="BM256" s="105"/>
      <c r="BN256" s="105"/>
      <c r="BO256" s="105"/>
      <c r="BP256" s="105"/>
      <c r="BQ256" s="105"/>
      <c r="BR256" s="105"/>
      <c r="BS256" s="105"/>
      <c r="BT256" s="105"/>
      <c r="BU256" s="105"/>
      <c r="BV256" s="105"/>
      <c r="BW256" s="105"/>
      <c r="BX256" s="28"/>
    </row>
    <row r="257" spans="1:76" s="34" customFormat="1" ht="15.75" hidden="1" customHeight="1" outlineLevel="1" x14ac:dyDescent="0.25">
      <c r="A257" s="390" t="str">
        <f ca="1">K53</f>
        <v xml:space="preserve">D - Driving/operating </v>
      </c>
      <c r="B257" s="430">
        <f ca="1">IF(ROUND(B$251&lt;&gt;0,6),ROUND(ABS(Q53)/B$251,6),0)</f>
        <v>0.299678</v>
      </c>
      <c r="C257" s="430">
        <f ca="1">IF(ROUND(C$251&lt;&gt;0,6),ROUND(ABS(R53)/C$251,6),0)</f>
        <v>0.34569</v>
      </c>
      <c r="D257" s="430">
        <f ca="1">IF(ROUND(D$251&lt;&gt;0,6),ROUND(ABS(V53)/D$251,6),0)</f>
        <v>0.321158</v>
      </c>
      <c r="E257" s="1"/>
      <c r="H257" s="377"/>
      <c r="I257" s="95"/>
      <c r="J257" s="58"/>
      <c r="K257" s="105"/>
      <c r="L257" s="105"/>
      <c r="M257" s="105"/>
      <c r="N257" s="105"/>
      <c r="O257" s="105"/>
      <c r="P257" s="105"/>
      <c r="Q257" s="105"/>
      <c r="R257" s="105"/>
      <c r="S257" s="105"/>
      <c r="T257" s="105"/>
      <c r="U257" s="105"/>
      <c r="V257" s="105"/>
      <c r="W257" s="105"/>
      <c r="X257" s="105"/>
      <c r="Y257" s="105"/>
      <c r="Z257" s="105"/>
      <c r="AA257" s="105"/>
      <c r="AB257" s="105"/>
      <c r="AC257" s="105"/>
      <c r="AD257" s="105"/>
      <c r="AE257" s="105"/>
      <c r="AF257" s="105"/>
      <c r="AG257" s="105"/>
      <c r="AH257" s="105"/>
      <c r="AI257" s="105"/>
      <c r="AJ257" s="105"/>
      <c r="AK257" s="105"/>
      <c r="AL257" s="105"/>
      <c r="AM257" s="105"/>
      <c r="AN257" s="105"/>
      <c r="AO257" s="105"/>
      <c r="AP257" s="105"/>
      <c r="AQ257" s="105"/>
      <c r="AR257" s="105"/>
      <c r="AS257" s="105"/>
      <c r="AT257" s="105"/>
      <c r="AU257" s="105"/>
      <c r="AV257" s="105"/>
      <c r="AW257" s="105"/>
      <c r="AX257" s="105"/>
      <c r="AY257" s="105"/>
      <c r="AZ257" s="105"/>
      <c r="BA257" s="105"/>
      <c r="BB257" s="105"/>
      <c r="BC257" s="105"/>
      <c r="BD257" s="105"/>
      <c r="BE257" s="105"/>
      <c r="BF257" s="105"/>
      <c r="BG257" s="105"/>
      <c r="BH257" s="105"/>
      <c r="BI257" s="105"/>
      <c r="BJ257" s="105"/>
      <c r="BK257" s="105"/>
      <c r="BL257" s="105"/>
      <c r="BM257" s="105"/>
      <c r="BN257" s="105"/>
      <c r="BO257" s="105"/>
      <c r="BP257" s="105"/>
      <c r="BQ257" s="105"/>
      <c r="BR257" s="105"/>
      <c r="BS257" s="105"/>
      <c r="BT257" s="105"/>
      <c r="BU257" s="105"/>
      <c r="BV257" s="105"/>
      <c r="BW257" s="105"/>
      <c r="BX257" s="28"/>
    </row>
    <row r="258" spans="1:76" s="34" customFormat="1" ht="12.75" hidden="1" customHeight="1" outlineLevel="1" x14ac:dyDescent="0.25">
      <c r="E258" s="1"/>
      <c r="H258" s="377"/>
      <c r="I258" s="95"/>
      <c r="J258" s="58"/>
      <c r="K258" s="105"/>
      <c r="L258" s="105"/>
      <c r="M258" s="105"/>
      <c r="N258" s="105"/>
      <c r="O258" s="105"/>
      <c r="P258" s="105"/>
      <c r="Q258" s="105"/>
      <c r="R258" s="105"/>
      <c r="S258" s="105"/>
      <c r="T258" s="105"/>
      <c r="U258" s="105"/>
      <c r="V258" s="105"/>
      <c r="W258" s="105"/>
      <c r="X258" s="105"/>
      <c r="Y258" s="105"/>
      <c r="Z258" s="105"/>
      <c r="AA258" s="105"/>
      <c r="AB258" s="105"/>
      <c r="AC258" s="105"/>
      <c r="AD258" s="105"/>
      <c r="AE258" s="105"/>
      <c r="AF258" s="105"/>
      <c r="AG258" s="105"/>
      <c r="AH258" s="105"/>
      <c r="AI258" s="105"/>
      <c r="AJ258" s="105"/>
      <c r="AK258" s="105"/>
      <c r="AL258" s="105"/>
      <c r="AM258" s="105"/>
      <c r="AN258" s="105"/>
      <c r="AO258" s="105"/>
      <c r="AP258" s="105"/>
      <c r="AQ258" s="105"/>
      <c r="AR258" s="105"/>
      <c r="AS258" s="105"/>
      <c r="AT258" s="105"/>
      <c r="AU258" s="105"/>
      <c r="AV258" s="105"/>
      <c r="AW258" s="105"/>
      <c r="AX258" s="105"/>
      <c r="AY258" s="105"/>
      <c r="AZ258" s="105"/>
      <c r="BA258" s="105"/>
      <c r="BB258" s="105"/>
      <c r="BC258" s="105"/>
      <c r="BD258" s="105"/>
      <c r="BE258" s="105"/>
      <c r="BF258" s="105"/>
      <c r="BG258" s="105"/>
      <c r="BH258" s="105"/>
      <c r="BI258" s="105"/>
      <c r="BJ258" s="105"/>
      <c r="BK258" s="105"/>
      <c r="BL258" s="105"/>
      <c r="BM258" s="105"/>
      <c r="BN258" s="105"/>
      <c r="BO258" s="105"/>
      <c r="BP258" s="105"/>
      <c r="BQ258" s="105"/>
      <c r="BR258" s="105"/>
      <c r="BS258" s="105"/>
      <c r="BT258" s="105"/>
      <c r="BU258" s="105"/>
      <c r="BV258" s="105"/>
      <c r="BW258" s="105"/>
      <c r="BX258" s="28"/>
    </row>
    <row r="259" spans="1:76" s="34" customFormat="1" ht="15" hidden="1" customHeight="1" outlineLevel="1" x14ac:dyDescent="0.25">
      <c r="A259" s="394"/>
      <c r="B259" t="str">
        <f ca="1">$N$12&amp;" N"</f>
        <v>Actual N</v>
      </c>
      <c r="C259" t="str">
        <f ca="1">$N$20&amp;" "&amp;$N$21</f>
        <v>Budget V current N</v>
      </c>
      <c r="D259" t="str">
        <f ca="1">$O$20&amp;" "&amp;$O$21</f>
        <v>Actual N-1</v>
      </c>
      <c r="E259" s="1"/>
      <c r="H259" s="377"/>
      <c r="I259" s="95"/>
      <c r="J259" s="58"/>
      <c r="K259" s="105"/>
      <c r="L259" s="105"/>
      <c r="M259" s="105"/>
      <c r="N259" s="105"/>
      <c r="O259" s="105"/>
      <c r="P259" s="105"/>
      <c r="Q259" s="105"/>
      <c r="R259" s="105"/>
      <c r="S259" s="105"/>
      <c r="T259" s="105"/>
      <c r="U259" s="105"/>
      <c r="V259" s="105"/>
      <c r="W259" s="105"/>
      <c r="X259" s="105"/>
      <c r="Y259" s="105"/>
      <c r="Z259" s="105"/>
      <c r="AA259" s="105"/>
      <c r="AB259" s="105"/>
      <c r="AC259" s="105"/>
      <c r="AD259" s="105"/>
      <c r="AE259" s="105"/>
      <c r="AF259" s="105"/>
      <c r="AG259" s="105"/>
      <c r="AH259" s="105"/>
      <c r="AI259" s="105"/>
      <c r="AJ259" s="105"/>
      <c r="AK259" s="105"/>
      <c r="AL259" s="105"/>
      <c r="AM259" s="105"/>
      <c r="AN259" s="105"/>
      <c r="AO259" s="105"/>
      <c r="AP259" s="105"/>
      <c r="AQ259" s="105"/>
      <c r="AR259" s="105"/>
      <c r="AS259" s="105"/>
      <c r="AT259" s="105"/>
      <c r="AU259" s="105"/>
      <c r="AV259" s="105"/>
      <c r="AW259" s="105"/>
      <c r="AX259" s="105"/>
      <c r="AY259" s="105"/>
      <c r="AZ259" s="105"/>
      <c r="BA259" s="105"/>
      <c r="BB259" s="105"/>
      <c r="BC259" s="105"/>
      <c r="BD259" s="105"/>
      <c r="BE259" s="105"/>
      <c r="BF259" s="105"/>
      <c r="BG259" s="105"/>
      <c r="BH259" s="105"/>
      <c r="BI259" s="105"/>
      <c r="BJ259" s="105"/>
      <c r="BK259" s="105"/>
      <c r="BL259" s="105"/>
      <c r="BM259" s="105"/>
      <c r="BN259" s="105"/>
      <c r="BO259" s="105"/>
      <c r="BP259" s="105"/>
      <c r="BQ259" s="105"/>
      <c r="BR259" s="105"/>
      <c r="BS259" s="105"/>
      <c r="BT259" s="105"/>
      <c r="BU259" s="105"/>
      <c r="BV259" s="105"/>
      <c r="BW259" s="105"/>
      <c r="BX259" s="28"/>
    </row>
    <row r="260" spans="1:76" s="34" customFormat="1" ht="15" hidden="1" customHeight="1" outlineLevel="1" x14ac:dyDescent="0.25">
      <c r="A260" s="392" t="str">
        <f>IF($N$19="English","J","J")</f>
        <v>J</v>
      </c>
      <c r="B260" s="421">
        <f ca="1">IF(AB36&lt;&gt;0,IF(AB124/AB36&lt;&gt;0,AB124/AB36,NA()),NA())</f>
        <v>0.30321208500170355</v>
      </c>
      <c r="C260" s="421">
        <f ca="1">IF(AC36&lt;&gt;0,IF(AC124/AC36&lt;&gt;0,AC124/AC36,NA()),NA())</f>
        <v>5.9783382403588645E-2</v>
      </c>
      <c r="D260" s="421">
        <f ca="1">IF(AD36&lt;&gt;0,IF(AD124/AD36&lt;&gt;0,AD124/AD36,NA()),NA())</f>
        <v>0.16464066368578381</v>
      </c>
      <c r="E260" s="1" t="s">
        <v>279</v>
      </c>
      <c r="H260" s="377"/>
      <c r="I260" s="95"/>
      <c r="J260" s="58"/>
      <c r="K260" s="105"/>
      <c r="L260" s="105"/>
      <c r="M260" s="105"/>
      <c r="N260" s="105"/>
      <c r="O260" s="105"/>
      <c r="P260" s="105"/>
      <c r="Q260" s="105"/>
      <c r="R260" s="105"/>
      <c r="S260" s="105"/>
      <c r="T260" s="105"/>
      <c r="U260" s="105"/>
      <c r="V260" s="105"/>
      <c r="W260" s="105"/>
      <c r="X260" s="105"/>
      <c r="Y260" s="105"/>
      <c r="Z260" s="105"/>
      <c r="AA260" s="105"/>
      <c r="AB260" s="105"/>
      <c r="AC260" s="105"/>
      <c r="AD260" s="105"/>
      <c r="AE260" s="105"/>
      <c r="AF260" s="105"/>
      <c r="AG260" s="105"/>
      <c r="AH260" s="105"/>
      <c r="AI260" s="105"/>
      <c r="AJ260" s="105"/>
      <c r="AK260" s="105"/>
      <c r="AL260" s="105"/>
      <c r="AM260" s="105"/>
      <c r="AN260" s="105"/>
      <c r="AO260" s="105"/>
      <c r="AP260" s="105"/>
      <c r="AQ260" s="105"/>
      <c r="AR260" s="105"/>
      <c r="AS260" s="105"/>
      <c r="AT260" s="105"/>
      <c r="AU260" s="105"/>
      <c r="AV260" s="105"/>
      <c r="AW260" s="105"/>
      <c r="AX260" s="105"/>
      <c r="AY260" s="105"/>
      <c r="AZ260" s="105"/>
      <c r="BA260" s="105"/>
      <c r="BB260" s="105"/>
      <c r="BC260" s="105"/>
      <c r="BD260" s="105"/>
      <c r="BE260" s="105"/>
      <c r="BF260" s="105"/>
      <c r="BG260" s="105"/>
      <c r="BH260" s="105"/>
      <c r="BI260" s="105"/>
      <c r="BJ260" s="105"/>
      <c r="BK260" s="105"/>
      <c r="BL260" s="105"/>
      <c r="BM260" s="105"/>
      <c r="BN260" s="105"/>
      <c r="BO260" s="105"/>
      <c r="BP260" s="105"/>
      <c r="BQ260" s="105"/>
      <c r="BR260" s="105"/>
      <c r="BS260" s="105"/>
      <c r="BT260" s="105"/>
      <c r="BU260" s="105"/>
      <c r="BV260" s="105"/>
      <c r="BW260" s="105"/>
      <c r="BX260" s="28"/>
    </row>
    <row r="261" spans="1:76" s="34" customFormat="1" ht="15" hidden="1" customHeight="1" outlineLevel="1" x14ac:dyDescent="0.25">
      <c r="A261" s="392" t="s">
        <v>213</v>
      </c>
      <c r="B261" s="421">
        <f ca="1">IF(AF36&lt;&gt;0,IF(AF124/AF36&lt;&gt;0,AF124/AF36,NA()),NA())</f>
        <v>-9.673570348785597E-2</v>
      </c>
      <c r="C261" s="421">
        <f ca="1">IF(AG36&lt;&gt;0,IF(AG124/AG36&lt;&gt;0,AG124/AG36,NA()),NA())</f>
        <v>-4.4783102327887722E-2</v>
      </c>
      <c r="D261" s="421">
        <f ca="1">IF(AH36&lt;&gt;0,IF(AH124/AH36&lt;&gt;0,AH124/AH36,NA()),NA())</f>
        <v>1.1443558727959137E-2</v>
      </c>
      <c r="E261" s="1" t="s">
        <v>280</v>
      </c>
      <c r="H261" s="377"/>
      <c r="I261" s="95"/>
      <c r="J261" s="58"/>
      <c r="K261" s="105"/>
      <c r="L261" s="105"/>
      <c r="M261" s="105"/>
      <c r="N261" s="105"/>
      <c r="O261" s="105"/>
      <c r="P261" s="105"/>
      <c r="Q261" s="105"/>
      <c r="R261" s="105"/>
      <c r="S261" s="105"/>
      <c r="T261" s="105"/>
      <c r="U261" s="105"/>
      <c r="V261" s="105"/>
      <c r="W261" s="105"/>
      <c r="X261" s="105"/>
      <c r="Y261" s="105"/>
      <c r="Z261" s="105"/>
      <c r="AA261" s="105"/>
      <c r="AB261" s="105"/>
      <c r="AC261" s="105"/>
      <c r="AD261" s="105"/>
      <c r="AE261" s="105"/>
      <c r="AF261" s="105"/>
      <c r="AG261" s="105"/>
      <c r="AH261" s="105"/>
      <c r="AI261" s="105"/>
      <c r="AJ261" s="105"/>
      <c r="AK261" s="105"/>
      <c r="AL261" s="105"/>
      <c r="AM261" s="105"/>
      <c r="AN261" s="105"/>
      <c r="AO261" s="105"/>
      <c r="AP261" s="105"/>
      <c r="AQ261" s="105"/>
      <c r="AR261" s="105"/>
      <c r="AS261" s="105"/>
      <c r="AT261" s="105"/>
      <c r="AU261" s="105"/>
      <c r="AV261" s="105"/>
      <c r="AW261" s="105"/>
      <c r="AX261" s="105"/>
      <c r="AY261" s="105"/>
      <c r="AZ261" s="105"/>
      <c r="BA261" s="105"/>
      <c r="BB261" s="105"/>
      <c r="BC261" s="105"/>
      <c r="BD261" s="105"/>
      <c r="BE261" s="105"/>
      <c r="BF261" s="105"/>
      <c r="BG261" s="105"/>
      <c r="BH261" s="105"/>
      <c r="BI261" s="105"/>
      <c r="BJ261" s="105"/>
      <c r="BK261" s="105"/>
      <c r="BL261" s="105"/>
      <c r="BM261" s="105"/>
      <c r="BN261" s="105"/>
      <c r="BO261" s="105"/>
      <c r="BP261" s="105"/>
      <c r="BQ261" s="105"/>
      <c r="BR261" s="105"/>
      <c r="BS261" s="105"/>
      <c r="BT261" s="105"/>
      <c r="BU261" s="105"/>
      <c r="BV261" s="105"/>
      <c r="BW261" s="105"/>
      <c r="BX261" s="28"/>
    </row>
    <row r="262" spans="1:76" s="34" customFormat="1" ht="15" hidden="1" customHeight="1" outlineLevel="1" x14ac:dyDescent="0.25">
      <c r="A262" s="392" t="s">
        <v>215</v>
      </c>
      <c r="B262" s="421" t="e">
        <f ca="1">IF(AJ36&lt;&gt;0,IF(AJ124/AJ36&lt;&gt;0,AJ124/AJ36,NA()),NA())</f>
        <v>#N/A</v>
      </c>
      <c r="C262" s="421">
        <f ca="1">IF(AK36&lt;&gt;0,IF(AK124/AK36&lt;&gt;0,AK124/AK36,NA()),NA())</f>
        <v>0.19637694695213753</v>
      </c>
      <c r="D262" s="421">
        <f ca="1">IF(AL36&lt;&gt;0,IF(AL124/AL36&lt;&gt;0,AL124/AL36,NA()),NA())</f>
        <v>0.12734018092830107</v>
      </c>
      <c r="E262" s="1" t="s">
        <v>281</v>
      </c>
      <c r="H262" s="377"/>
      <c r="I262" s="95"/>
      <c r="J262" s="58"/>
      <c r="K262" s="105"/>
      <c r="L262" s="105"/>
      <c r="M262" s="105"/>
      <c r="N262" s="105"/>
      <c r="O262" s="105"/>
      <c r="P262" s="105"/>
      <c r="Q262" s="105"/>
      <c r="R262" s="105"/>
      <c r="S262" s="105"/>
      <c r="T262" s="105"/>
      <c r="U262" s="105"/>
      <c r="V262" s="105"/>
      <c r="W262" s="105"/>
      <c r="X262" s="105"/>
      <c r="Y262" s="105"/>
      <c r="Z262" s="105"/>
      <c r="AA262" s="105"/>
      <c r="AB262" s="105"/>
      <c r="AC262" s="105"/>
      <c r="AD262" s="105"/>
      <c r="AE262" s="105"/>
      <c r="AF262" s="105"/>
      <c r="AG262" s="105"/>
      <c r="AH262" s="105"/>
      <c r="AI262" s="105"/>
      <c r="AJ262" s="105"/>
      <c r="AK262" s="105"/>
      <c r="AL262" s="105"/>
      <c r="AM262" s="105"/>
      <c r="AN262" s="105"/>
      <c r="AO262" s="105"/>
      <c r="AP262" s="105"/>
      <c r="AQ262" s="105"/>
      <c r="AR262" s="105"/>
      <c r="AS262" s="105"/>
      <c r="AT262" s="105"/>
      <c r="AU262" s="105"/>
      <c r="AV262" s="105"/>
      <c r="AW262" s="105"/>
      <c r="AX262" s="105"/>
      <c r="AY262" s="105"/>
      <c r="AZ262" s="105"/>
      <c r="BA262" s="105"/>
      <c r="BB262" s="105"/>
      <c r="BC262" s="105"/>
      <c r="BD262" s="105"/>
      <c r="BE262" s="105"/>
      <c r="BF262" s="105"/>
      <c r="BG262" s="105"/>
      <c r="BH262" s="105"/>
      <c r="BI262" s="105"/>
      <c r="BJ262" s="105"/>
      <c r="BK262" s="105"/>
      <c r="BL262" s="105"/>
      <c r="BM262" s="105"/>
      <c r="BN262" s="105"/>
      <c r="BO262" s="105"/>
      <c r="BP262" s="105"/>
      <c r="BQ262" s="105"/>
      <c r="BR262" s="105"/>
      <c r="BS262" s="105"/>
      <c r="BT262" s="105"/>
      <c r="BU262" s="105"/>
      <c r="BV262" s="105"/>
      <c r="BW262" s="105"/>
      <c r="BX262" s="28"/>
    </row>
    <row r="263" spans="1:76" s="34" customFormat="1" ht="15" hidden="1" customHeight="1" outlineLevel="1" x14ac:dyDescent="0.25">
      <c r="A263" s="392" t="s">
        <v>42</v>
      </c>
      <c r="B263" s="421" t="e">
        <f ca="1">IF(AN36&lt;&gt;0,IF(AN124/AN36&lt;&gt;0,AN124/AN36,NA()),NA())</f>
        <v>#N/A</v>
      </c>
      <c r="C263" s="421">
        <f ca="1">IF(AO36&lt;&gt;0,IF(AO124/AO36&lt;&gt;0,AO124/AO36,NA()),NA())</f>
        <v>0.18183648973782179</v>
      </c>
      <c r="D263" s="421">
        <f ca="1">IF(AP36&lt;&gt;0,IF(AP124/AP36&lt;&gt;0,AP124/AP36,NA()),NA())</f>
        <v>0.11636337005548342</v>
      </c>
      <c r="E263" s="1" t="s">
        <v>282</v>
      </c>
      <c r="H263" s="377"/>
      <c r="I263" s="95"/>
      <c r="J263" s="58"/>
      <c r="K263" s="105"/>
      <c r="L263" s="105"/>
      <c r="M263" s="105"/>
      <c r="N263" s="105"/>
      <c r="O263" s="105"/>
      <c r="P263" s="105"/>
      <c r="Q263" s="105"/>
      <c r="R263" s="105"/>
      <c r="S263" s="105"/>
      <c r="T263" s="105"/>
      <c r="U263" s="105"/>
      <c r="V263" s="105"/>
      <c r="W263" s="105"/>
      <c r="X263" s="105"/>
      <c r="Y263" s="105"/>
      <c r="Z263" s="105"/>
      <c r="AA263" s="105"/>
      <c r="AB263" s="105"/>
      <c r="AC263" s="105"/>
      <c r="AD263" s="105"/>
      <c r="AE263" s="105"/>
      <c r="AF263" s="105"/>
      <c r="AG263" s="105"/>
      <c r="AH263" s="105"/>
      <c r="AI263" s="105"/>
      <c r="AJ263" s="105"/>
      <c r="AK263" s="105"/>
      <c r="AL263" s="105"/>
      <c r="AM263" s="105"/>
      <c r="AN263" s="105"/>
      <c r="AO263" s="105"/>
      <c r="AP263" s="105"/>
      <c r="AQ263" s="105"/>
      <c r="AR263" s="105"/>
      <c r="AS263" s="105"/>
      <c r="AT263" s="105"/>
      <c r="AU263" s="105"/>
      <c r="AV263" s="105"/>
      <c r="AW263" s="105"/>
      <c r="AX263" s="105"/>
      <c r="AY263" s="105"/>
      <c r="AZ263" s="105"/>
      <c r="BA263" s="105"/>
      <c r="BB263" s="105"/>
      <c r="BC263" s="105"/>
      <c r="BD263" s="105"/>
      <c r="BE263" s="105"/>
      <c r="BF263" s="105"/>
      <c r="BG263" s="105"/>
      <c r="BH263" s="105"/>
      <c r="BI263" s="105"/>
      <c r="BJ263" s="105"/>
      <c r="BK263" s="105"/>
      <c r="BL263" s="105"/>
      <c r="BM263" s="105"/>
      <c r="BN263" s="105"/>
      <c r="BO263" s="105"/>
      <c r="BP263" s="105"/>
      <c r="BQ263" s="105"/>
      <c r="BR263" s="105"/>
      <c r="BS263" s="105"/>
      <c r="BT263" s="105"/>
      <c r="BU263" s="105"/>
      <c r="BV263" s="105"/>
      <c r="BW263" s="105"/>
      <c r="BX263" s="28"/>
    </row>
    <row r="264" spans="1:76" s="34" customFormat="1" ht="15" hidden="1" customHeight="1" outlineLevel="1" x14ac:dyDescent="0.25">
      <c r="A264" s="392" t="s">
        <v>215</v>
      </c>
      <c r="B264" s="421" t="e">
        <f ca="1">IF(AR36&lt;&gt;0,IF(AR124/AR36&lt;&gt;0,AR124/AR36,NA()),NA())</f>
        <v>#N/A</v>
      </c>
      <c r="C264" s="421">
        <f ca="1">IF(AS36&lt;&gt;0,IF(AS124/AS36&lt;&gt;0,AS124/AS36,NA()),NA())</f>
        <v>0.16631128673143755</v>
      </c>
      <c r="D264" s="421">
        <f ca="1">IF(AT36&lt;&gt;0,IF(AT124/AT36&lt;&gt;0,AT124/AT36,NA()),NA())</f>
        <v>0.14296253733614539</v>
      </c>
      <c r="E264" s="1" t="s">
        <v>283</v>
      </c>
      <c r="H264" s="377"/>
      <c r="I264" s="95"/>
      <c r="J264" s="58"/>
      <c r="K264" s="105"/>
      <c r="L264" s="105"/>
      <c r="M264" s="105"/>
      <c r="N264" s="105"/>
      <c r="O264" s="105"/>
      <c r="P264" s="105"/>
      <c r="Q264" s="105"/>
      <c r="R264" s="105"/>
      <c r="S264" s="105"/>
      <c r="T264" s="105"/>
      <c r="U264" s="105"/>
      <c r="V264" s="105"/>
      <c r="W264" s="105"/>
      <c r="X264" s="105"/>
      <c r="Y264" s="105"/>
      <c r="Z264" s="105"/>
      <c r="AA264" s="105"/>
      <c r="AB264" s="105"/>
      <c r="AC264" s="105"/>
      <c r="AD264" s="105"/>
      <c r="AE264" s="105"/>
      <c r="AF264" s="105"/>
      <c r="AG264" s="105"/>
      <c r="AH264" s="105"/>
      <c r="AI264" s="105"/>
      <c r="AJ264" s="105"/>
      <c r="AK264" s="105"/>
      <c r="AL264" s="105"/>
      <c r="AM264" s="105"/>
      <c r="AN264" s="105"/>
      <c r="AO264" s="105"/>
      <c r="AP264" s="105"/>
      <c r="AQ264" s="105"/>
      <c r="AR264" s="105"/>
      <c r="AS264" s="105"/>
      <c r="AT264" s="105"/>
      <c r="AU264" s="105"/>
      <c r="AV264" s="105"/>
      <c r="AW264" s="105"/>
      <c r="AX264" s="105"/>
      <c r="AY264" s="105"/>
      <c r="AZ264" s="105"/>
      <c r="BA264" s="105"/>
      <c r="BB264" s="105"/>
      <c r="BC264" s="105"/>
      <c r="BD264" s="105"/>
      <c r="BE264" s="105"/>
      <c r="BF264" s="105"/>
      <c r="BG264" s="105"/>
      <c r="BH264" s="105"/>
      <c r="BI264" s="105"/>
      <c r="BJ264" s="105"/>
      <c r="BK264" s="105"/>
      <c r="BL264" s="105"/>
      <c r="BM264" s="105"/>
      <c r="BN264" s="105"/>
      <c r="BO264" s="105"/>
      <c r="BP264" s="105"/>
      <c r="BQ264" s="105"/>
      <c r="BR264" s="105"/>
      <c r="BS264" s="105"/>
      <c r="BT264" s="105"/>
      <c r="BU264" s="105"/>
      <c r="BV264" s="105"/>
      <c r="BW264" s="105"/>
      <c r="BX264" s="28"/>
    </row>
    <row r="265" spans="1:76" s="34" customFormat="1" ht="15" hidden="1" customHeight="1" outlineLevel="1" x14ac:dyDescent="0.25">
      <c r="A265" s="392" t="s">
        <v>263</v>
      </c>
      <c r="B265" s="421" t="e">
        <f ca="1">IF(AV36&lt;&gt;0,IF(AV124/AV36&lt;&gt;0,AV124/AV36,NA()),NA())</f>
        <v>#N/A</v>
      </c>
      <c r="C265" s="421">
        <f ca="1">IF(AW36&lt;&gt;0,IF(AW124/AW36&lt;&gt;0,AW124/AW36,NA()),NA())</f>
        <v>0.16358074142546444</v>
      </c>
      <c r="D265" s="421">
        <f ca="1">IF(AX36&lt;&gt;0,IF(AX124/AX36&lt;&gt;0,AX124/AX36,NA()),NA())</f>
        <v>0.26578153396243642</v>
      </c>
      <c r="E265" s="1" t="s">
        <v>284</v>
      </c>
      <c r="H265" s="377"/>
      <c r="I265" s="95"/>
      <c r="J265" s="58"/>
      <c r="K265" s="105"/>
      <c r="L265" s="105"/>
      <c r="M265" s="105"/>
      <c r="N265" s="105"/>
      <c r="O265" s="105"/>
      <c r="P265" s="105"/>
      <c r="Q265" s="105"/>
      <c r="R265" s="105"/>
      <c r="S265" s="105"/>
      <c r="T265" s="105"/>
      <c r="U265" s="105"/>
      <c r="V265" s="105"/>
      <c r="W265" s="105"/>
      <c r="X265" s="105"/>
      <c r="Y265" s="105"/>
      <c r="Z265" s="105"/>
      <c r="AA265" s="105"/>
      <c r="AB265" s="105"/>
      <c r="AC265" s="105"/>
      <c r="AD265" s="105"/>
      <c r="AE265" s="105"/>
      <c r="AF265" s="105"/>
      <c r="AG265" s="105"/>
      <c r="AH265" s="105"/>
      <c r="AI265" s="105"/>
      <c r="AJ265" s="105"/>
      <c r="AK265" s="105"/>
      <c r="AL265" s="105"/>
      <c r="AM265" s="105"/>
      <c r="AN265" s="105"/>
      <c r="AO265" s="105"/>
      <c r="AP265" s="105"/>
      <c r="AQ265" s="105"/>
      <c r="AR265" s="105"/>
      <c r="AS265" s="105"/>
      <c r="AT265" s="105"/>
      <c r="AU265" s="105"/>
      <c r="AV265" s="105"/>
      <c r="AW265" s="105"/>
      <c r="AX265" s="105"/>
      <c r="AY265" s="105"/>
      <c r="AZ265" s="105"/>
      <c r="BA265" s="105"/>
      <c r="BB265" s="105"/>
      <c r="BC265" s="105"/>
      <c r="BD265" s="105"/>
      <c r="BE265" s="105"/>
      <c r="BF265" s="105"/>
      <c r="BG265" s="105"/>
      <c r="BH265" s="105"/>
      <c r="BI265" s="105"/>
      <c r="BJ265" s="105"/>
      <c r="BK265" s="105"/>
      <c r="BL265" s="105"/>
      <c r="BM265" s="105"/>
      <c r="BN265" s="105"/>
      <c r="BO265" s="105"/>
      <c r="BP265" s="105"/>
      <c r="BQ265" s="105"/>
      <c r="BR265" s="105"/>
      <c r="BS265" s="105"/>
      <c r="BT265" s="105"/>
      <c r="BU265" s="105"/>
      <c r="BV265" s="105"/>
      <c r="BW265" s="105"/>
      <c r="BX265" s="28"/>
    </row>
    <row r="266" spans="1:76" s="34" customFormat="1" ht="15" hidden="1" customHeight="1" outlineLevel="1" x14ac:dyDescent="0.25">
      <c r="A266" s="392" t="s">
        <v>263</v>
      </c>
      <c r="B266" s="421" t="e">
        <f ca="1">IF(AZ36&lt;&gt;0,IF(AZ124/AZ36&lt;&gt;0,AZ124/AZ36,NA()),NA())</f>
        <v>#N/A</v>
      </c>
      <c r="C266" s="421">
        <f ca="1">IF(BA36&lt;&gt;0,IF(BA124/BA36&lt;&gt;0,BA124/BA36,NA()),NA())</f>
        <v>0.14471740453773632</v>
      </c>
      <c r="D266" s="421">
        <f ca="1">IF(BB36&lt;&gt;0,IF(BB124/BB36&lt;&gt;0,BB124/BB36,NA()),NA())</f>
        <v>0.12743981416531749</v>
      </c>
      <c r="E266" s="1" t="s">
        <v>285</v>
      </c>
      <c r="H266" s="377"/>
      <c r="I266" s="95"/>
      <c r="J266" s="58"/>
      <c r="K266" s="105"/>
      <c r="L266" s="105"/>
      <c r="M266" s="105"/>
      <c r="N266" s="105"/>
      <c r="O266" s="105"/>
      <c r="P266" s="105"/>
      <c r="Q266" s="105"/>
      <c r="R266" s="105"/>
      <c r="S266" s="105"/>
      <c r="T266" s="105"/>
      <c r="U266" s="105"/>
      <c r="V266" s="105"/>
      <c r="W266" s="105"/>
      <c r="X266" s="105"/>
      <c r="Y266" s="105"/>
      <c r="Z266" s="105"/>
      <c r="AA266" s="105"/>
      <c r="AB266" s="105"/>
      <c r="AC266" s="105"/>
      <c r="AD266" s="105"/>
      <c r="AE266" s="105"/>
      <c r="AF266" s="105"/>
      <c r="AG266" s="105"/>
      <c r="AH266" s="105"/>
      <c r="AI266" s="105"/>
      <c r="AJ266" s="105"/>
      <c r="AK266" s="105"/>
      <c r="AL266" s="105"/>
      <c r="AM266" s="105"/>
      <c r="AN266" s="105"/>
      <c r="AO266" s="105"/>
      <c r="AP266" s="105"/>
      <c r="AQ266" s="105"/>
      <c r="AR266" s="105"/>
      <c r="AS266" s="105"/>
      <c r="AT266" s="105"/>
      <c r="AU266" s="105"/>
      <c r="AV266" s="105"/>
      <c r="AW266" s="105"/>
      <c r="AX266" s="105"/>
      <c r="AY266" s="105"/>
      <c r="AZ266" s="105"/>
      <c r="BA266" s="105"/>
      <c r="BB266" s="105"/>
      <c r="BC266" s="105"/>
      <c r="BD266" s="105"/>
      <c r="BE266" s="105"/>
      <c r="BF266" s="105"/>
      <c r="BG266" s="105"/>
      <c r="BH266" s="105"/>
      <c r="BI266" s="105"/>
      <c r="BJ266" s="105"/>
      <c r="BK266" s="105"/>
      <c r="BL266" s="105"/>
      <c r="BM266" s="105"/>
      <c r="BN266" s="105"/>
      <c r="BO266" s="105"/>
      <c r="BP266" s="105"/>
      <c r="BQ266" s="105"/>
      <c r="BR266" s="105"/>
      <c r="BS266" s="105"/>
      <c r="BT266" s="105"/>
      <c r="BU266" s="105"/>
      <c r="BV266" s="105"/>
      <c r="BW266" s="105"/>
      <c r="BX266" s="28"/>
    </row>
    <row r="267" spans="1:76" s="34" customFormat="1" ht="15" hidden="1" customHeight="1" outlineLevel="1" x14ac:dyDescent="0.25">
      <c r="A267" s="392" t="s">
        <v>42</v>
      </c>
      <c r="B267" s="421" t="e">
        <f ca="1">IF(BD36&lt;&gt;0,IF(BD124/BD36&lt;&gt;0,BD124/BD36,NA()),NA())</f>
        <v>#N/A</v>
      </c>
      <c r="C267" s="421">
        <f ca="1">IF(BE36&lt;&gt;0,IF(BE124/BE36&lt;&gt;0,BE124/BE36,NA()),NA())</f>
        <v>0.18624128595924169</v>
      </c>
      <c r="D267" s="421">
        <f ca="1">IF(BF36&lt;&gt;0,IF(BF124/BF36&lt;&gt;0,BF124/BF36,NA()),NA())</f>
        <v>0.13996233256942359</v>
      </c>
      <c r="E267" s="1" t="s">
        <v>286</v>
      </c>
      <c r="H267" s="377"/>
      <c r="I267" s="95"/>
      <c r="J267" s="58"/>
      <c r="K267" s="105"/>
      <c r="L267" s="105"/>
      <c r="M267" s="105"/>
      <c r="N267" s="105"/>
      <c r="O267" s="105"/>
      <c r="P267" s="105"/>
      <c r="Q267" s="105"/>
      <c r="R267" s="105"/>
      <c r="S267" s="105"/>
      <c r="T267" s="105"/>
      <c r="U267" s="105"/>
      <c r="V267" s="105"/>
      <c r="W267" s="105"/>
      <c r="X267" s="105"/>
      <c r="Y267" s="105"/>
      <c r="Z267" s="105"/>
      <c r="AA267" s="105"/>
      <c r="AB267" s="105"/>
      <c r="AC267" s="105"/>
      <c r="AD267" s="105"/>
      <c r="AE267" s="105"/>
      <c r="AF267" s="105"/>
      <c r="AG267" s="105"/>
      <c r="AH267" s="105"/>
      <c r="AI267" s="105"/>
      <c r="AJ267" s="105"/>
      <c r="AK267" s="105"/>
      <c r="AL267" s="105"/>
      <c r="AM267" s="105"/>
      <c r="AN267" s="105"/>
      <c r="AO267" s="105"/>
      <c r="AP267" s="105"/>
      <c r="AQ267" s="105"/>
      <c r="AR267" s="105"/>
      <c r="AS267" s="105"/>
      <c r="AT267" s="105"/>
      <c r="AU267" s="105"/>
      <c r="AV267" s="105"/>
      <c r="AW267" s="105"/>
      <c r="AX267" s="105"/>
      <c r="AY267" s="105"/>
      <c r="AZ267" s="105"/>
      <c r="BA267" s="105"/>
      <c r="BB267" s="105"/>
      <c r="BC267" s="105"/>
      <c r="BD267" s="105"/>
      <c r="BE267" s="105"/>
      <c r="BF267" s="105"/>
      <c r="BG267" s="105"/>
      <c r="BH267" s="105"/>
      <c r="BI267" s="105"/>
      <c r="BJ267" s="105"/>
      <c r="BK267" s="105"/>
      <c r="BL267" s="105"/>
      <c r="BM267" s="105"/>
      <c r="BN267" s="105"/>
      <c r="BO267" s="105"/>
      <c r="BP267" s="105"/>
      <c r="BQ267" s="105"/>
      <c r="BR267" s="105"/>
      <c r="BS267" s="105"/>
      <c r="BT267" s="105"/>
      <c r="BU267" s="105"/>
      <c r="BV267" s="105"/>
      <c r="BW267" s="105"/>
      <c r="BX267" s="28"/>
    </row>
    <row r="268" spans="1:76" s="34" customFormat="1" ht="15" hidden="1" customHeight="1" outlineLevel="1" x14ac:dyDescent="0.25">
      <c r="A268" s="392" t="s">
        <v>264</v>
      </c>
      <c r="B268" s="421" t="e">
        <f ca="1">IF(BH36&lt;&gt;0,IF(BH124/BH36&lt;&gt;0,BH124/BH36,NA()),NA())</f>
        <v>#N/A</v>
      </c>
      <c r="C268" s="421">
        <f ca="1">IF(BI36&lt;&gt;0,IF(BI124/BI36&lt;&gt;0,BI124/BI36,NA()),NA())</f>
        <v>0.12812270147021085</v>
      </c>
      <c r="D268" s="421">
        <f ca="1">IF(BJ36&lt;&gt;0,IF(BJ124/BJ36&lt;&gt;0,BJ124/BJ36,NA()),NA())</f>
        <v>0.12538008555062161</v>
      </c>
      <c r="E268" s="1" t="s">
        <v>287</v>
      </c>
      <c r="H268" s="377"/>
      <c r="I268" s="95"/>
      <c r="J268" s="58"/>
      <c r="K268" s="105"/>
      <c r="L268" s="105"/>
      <c r="M268" s="105"/>
      <c r="N268" s="105"/>
      <c r="O268" s="105"/>
      <c r="P268" s="105"/>
      <c r="Q268" s="105"/>
      <c r="R268" s="105"/>
      <c r="S268" s="105"/>
      <c r="T268" s="105"/>
      <c r="U268" s="105"/>
      <c r="V268" s="105"/>
      <c r="W268" s="105"/>
      <c r="X268" s="105"/>
      <c r="Y268" s="105"/>
      <c r="Z268" s="105"/>
      <c r="AA268" s="105"/>
      <c r="AB268" s="105"/>
      <c r="AC268" s="105"/>
      <c r="AD268" s="105"/>
      <c r="AE268" s="105"/>
      <c r="AF268" s="105"/>
      <c r="AG268" s="105"/>
      <c r="AH268" s="105"/>
      <c r="AI268" s="105"/>
      <c r="AJ268" s="105"/>
      <c r="AK268" s="105"/>
      <c r="AL268" s="105"/>
      <c r="AM268" s="105"/>
      <c r="AN268" s="105"/>
      <c r="AO268" s="105"/>
      <c r="AP268" s="105"/>
      <c r="AQ268" s="105"/>
      <c r="AR268" s="105"/>
      <c r="AS268" s="105"/>
      <c r="AT268" s="105"/>
      <c r="AU268" s="105"/>
      <c r="AV268" s="105"/>
      <c r="AW268" s="105"/>
      <c r="AX268" s="105"/>
      <c r="AY268" s="105"/>
      <c r="AZ268" s="105"/>
      <c r="BA268" s="105"/>
      <c r="BB268" s="105"/>
      <c r="BC268" s="105"/>
      <c r="BD268" s="105"/>
      <c r="BE268" s="105"/>
      <c r="BF268" s="105"/>
      <c r="BG268" s="105"/>
      <c r="BH268" s="105"/>
      <c r="BI268" s="105"/>
      <c r="BJ268" s="105"/>
      <c r="BK268" s="105"/>
      <c r="BL268" s="105"/>
      <c r="BM268" s="105"/>
      <c r="BN268" s="105"/>
      <c r="BO268" s="105"/>
      <c r="BP268" s="105"/>
      <c r="BQ268" s="105"/>
      <c r="BR268" s="105"/>
      <c r="BS268" s="105"/>
      <c r="BT268" s="105"/>
      <c r="BU268" s="105"/>
      <c r="BV268" s="105"/>
      <c r="BW268" s="105"/>
      <c r="BX268" s="28"/>
    </row>
    <row r="269" spans="1:76" s="34" customFormat="1" ht="15" hidden="1" customHeight="1" outlineLevel="1" x14ac:dyDescent="0.25">
      <c r="A269" s="392" t="s">
        <v>212</v>
      </c>
      <c r="B269" s="421" t="e">
        <f ca="1">IF(BL36&lt;&gt;0,IF(BL124/BL36&lt;&gt;0,BL124/BL36,NA()),NA())</f>
        <v>#N/A</v>
      </c>
      <c r="C269" s="421">
        <f ca="1">IF(BM36&lt;&gt;0,IF(BM124/BM36&lt;&gt;0,BM124/BM36,NA()),NA())</f>
        <v>0.16668939776905717</v>
      </c>
      <c r="D269" s="421">
        <f ca="1">IF(BN36&lt;&gt;0,IF(BN124/BN36&lt;&gt;0,BN124/BN36,NA()),NA())</f>
        <v>-9.537404521789776E-2</v>
      </c>
      <c r="E269" s="1" t="s">
        <v>288</v>
      </c>
      <c r="H269" s="377"/>
      <c r="I269" s="95"/>
      <c r="J269" s="58"/>
      <c r="K269" s="105"/>
      <c r="L269" s="105"/>
      <c r="M269" s="105"/>
      <c r="N269" s="105"/>
      <c r="O269" s="105"/>
      <c r="P269" s="105"/>
      <c r="Q269" s="105"/>
      <c r="R269" s="105"/>
      <c r="S269" s="105"/>
      <c r="T269" s="105"/>
      <c r="U269" s="105"/>
      <c r="V269" s="105"/>
      <c r="W269" s="105"/>
      <c r="X269" s="105"/>
      <c r="Y269" s="105"/>
      <c r="Z269" s="105"/>
      <c r="AA269" s="105"/>
      <c r="AB269" s="105"/>
      <c r="AC269" s="105"/>
      <c r="AD269" s="105"/>
      <c r="AE269" s="105"/>
      <c r="AF269" s="105"/>
      <c r="AG269" s="105"/>
      <c r="AH269" s="105"/>
      <c r="AI269" s="105"/>
      <c r="AJ269" s="105"/>
      <c r="AK269" s="105"/>
      <c r="AL269" s="105"/>
      <c r="AM269" s="105"/>
      <c r="AN269" s="105"/>
      <c r="AO269" s="105"/>
      <c r="AP269" s="105"/>
      <c r="AQ269" s="105"/>
      <c r="AR269" s="105"/>
      <c r="AS269" s="105"/>
      <c r="AT269" s="105"/>
      <c r="AU269" s="105"/>
      <c r="AV269" s="105"/>
      <c r="AW269" s="105"/>
      <c r="AX269" s="105"/>
      <c r="AY269" s="105"/>
      <c r="AZ269" s="105"/>
      <c r="BA269" s="105"/>
      <c r="BB269" s="105"/>
      <c r="BC269" s="105"/>
      <c r="BD269" s="105"/>
      <c r="BE269" s="105"/>
      <c r="BF269" s="105"/>
      <c r="BG269" s="105"/>
      <c r="BH269" s="105"/>
      <c r="BI269" s="105"/>
      <c r="BJ269" s="105"/>
      <c r="BK269" s="105"/>
      <c r="BL269" s="105"/>
      <c r="BM269" s="105"/>
      <c r="BN269" s="105"/>
      <c r="BO269" s="105"/>
      <c r="BP269" s="105"/>
      <c r="BQ269" s="105"/>
      <c r="BR269" s="105"/>
      <c r="BS269" s="105"/>
      <c r="BT269" s="105"/>
      <c r="BU269" s="105"/>
      <c r="BV269" s="105"/>
      <c r="BW269" s="105"/>
      <c r="BX269" s="28"/>
    </row>
    <row r="270" spans="1:76" s="34" customFormat="1" ht="15" hidden="1" customHeight="1" outlineLevel="1" x14ac:dyDescent="0.25">
      <c r="A270" s="392" t="s">
        <v>257</v>
      </c>
      <c r="B270" s="421" t="e">
        <f ca="1">IF(BP36&lt;&gt;0,IF(BP124/BP36&lt;&gt;0,BP124/BP36,NA()),NA())</f>
        <v>#N/A</v>
      </c>
      <c r="C270" s="421">
        <f ca="1">IF(BQ36&lt;&gt;0,IF(BQ124/BQ36&lt;&gt;0,BQ124/BQ36,NA()),NA())</f>
        <v>0.17506026160096788</v>
      </c>
      <c r="D270" s="421">
        <f ca="1">IF(BR36&lt;&gt;0,IF(BR124/BR36&lt;&gt;0,BR124/BR36,NA()),NA())</f>
        <v>5.197748710103537E-2</v>
      </c>
      <c r="E270" s="1" t="s">
        <v>289</v>
      </c>
      <c r="H270" s="377"/>
      <c r="I270" s="95"/>
      <c r="J270" s="58"/>
      <c r="K270" s="105"/>
      <c r="L270" s="105"/>
      <c r="M270" s="105"/>
      <c r="N270" s="105"/>
      <c r="O270" s="105"/>
      <c r="P270" s="105"/>
      <c r="Q270" s="105"/>
      <c r="R270" s="105"/>
      <c r="S270" s="105"/>
      <c r="T270" s="105"/>
      <c r="U270" s="105"/>
      <c r="V270" s="105"/>
      <c r="W270" s="105"/>
      <c r="X270" s="105"/>
      <c r="Y270" s="105"/>
      <c r="Z270" s="105"/>
      <c r="AA270" s="105"/>
      <c r="AB270" s="105"/>
      <c r="AC270" s="105"/>
      <c r="AD270" s="105"/>
      <c r="AE270" s="105"/>
      <c r="AF270" s="105"/>
      <c r="AG270" s="105"/>
      <c r="AH270" s="105"/>
      <c r="AI270" s="105"/>
      <c r="AJ270" s="105"/>
      <c r="AK270" s="105"/>
      <c r="AL270" s="105"/>
      <c r="AM270" s="105"/>
      <c r="AN270" s="105"/>
      <c r="AO270" s="105"/>
      <c r="AP270" s="105"/>
      <c r="AQ270" s="105"/>
      <c r="AR270" s="105"/>
      <c r="AS270" s="105"/>
      <c r="AT270" s="105"/>
      <c r="AU270" s="105"/>
      <c r="AV270" s="105"/>
      <c r="AW270" s="105"/>
      <c r="AX270" s="105"/>
      <c r="AY270" s="105"/>
      <c r="AZ270" s="105"/>
      <c r="BA270" s="105"/>
      <c r="BB270" s="105"/>
      <c r="BC270" s="105"/>
      <c r="BD270" s="105"/>
      <c r="BE270" s="105"/>
      <c r="BF270" s="105"/>
      <c r="BG270" s="105"/>
      <c r="BH270" s="105"/>
      <c r="BI270" s="105"/>
      <c r="BJ270" s="105"/>
      <c r="BK270" s="105"/>
      <c r="BL270" s="105"/>
      <c r="BM270" s="105"/>
      <c r="BN270" s="105"/>
      <c r="BO270" s="105"/>
      <c r="BP270" s="105"/>
      <c r="BQ270" s="105"/>
      <c r="BR270" s="105"/>
      <c r="BS270" s="105"/>
      <c r="BT270" s="105"/>
      <c r="BU270" s="105"/>
      <c r="BV270" s="105"/>
      <c r="BW270" s="105"/>
      <c r="BX270" s="28"/>
    </row>
    <row r="271" spans="1:76" s="34" customFormat="1" ht="15" hidden="1" customHeight="1" outlineLevel="1" x14ac:dyDescent="0.25">
      <c r="A271" s="392" t="s">
        <v>216</v>
      </c>
      <c r="B271" s="421" t="e">
        <f ca="1">IF(BT36&lt;&gt;0,IF(BT124/BT36&lt;&gt;0,BT124/BT36,NA()),NA())</f>
        <v>#N/A</v>
      </c>
      <c r="C271" s="421">
        <f ca="1">IF(BU36&lt;&gt;0,IF(BU124/BU36&lt;&gt;0,BU124/BU36,NA()),NA())</f>
        <v>2.5437626429257669E-2</v>
      </c>
      <c r="D271" s="421">
        <f ca="1">IF(BV36&lt;&gt;0,IF(BV124/BV36&lt;&gt;0,BV124/BV36,NA()),NA())</f>
        <v>0.13400070786964241</v>
      </c>
      <c r="E271" s="1" t="s">
        <v>290</v>
      </c>
      <c r="H271" s="377"/>
      <c r="I271" s="95"/>
      <c r="J271" s="58"/>
      <c r="K271" s="105"/>
      <c r="L271" s="105"/>
      <c r="M271" s="105"/>
      <c r="N271" s="105"/>
      <c r="O271" s="105"/>
      <c r="P271" s="105"/>
      <c r="Q271" s="105"/>
      <c r="R271" s="105"/>
      <c r="S271" s="105"/>
      <c r="T271" s="105"/>
      <c r="U271" s="105"/>
      <c r="V271" s="105"/>
      <c r="W271" s="105"/>
      <c r="X271" s="105"/>
      <c r="Y271" s="105"/>
      <c r="Z271" s="105"/>
      <c r="AA271" s="105"/>
      <c r="AB271" s="105"/>
      <c r="AC271" s="105"/>
      <c r="AD271" s="105"/>
      <c r="AE271" s="105"/>
      <c r="AF271" s="105"/>
      <c r="AG271" s="105"/>
      <c r="AH271" s="105"/>
      <c r="AI271" s="105"/>
      <c r="AJ271" s="105"/>
      <c r="AK271" s="105"/>
      <c r="AL271" s="105"/>
      <c r="AM271" s="105"/>
      <c r="AN271" s="105"/>
      <c r="AO271" s="105"/>
      <c r="AP271" s="105"/>
      <c r="AQ271" s="105"/>
      <c r="AR271" s="105"/>
      <c r="AS271" s="105"/>
      <c r="AT271" s="105"/>
      <c r="AU271" s="105"/>
      <c r="AV271" s="105"/>
      <c r="AW271" s="105"/>
      <c r="AX271" s="105"/>
      <c r="AY271" s="105"/>
      <c r="AZ271" s="105"/>
      <c r="BA271" s="105"/>
      <c r="BB271" s="105"/>
      <c r="BC271" s="105"/>
      <c r="BD271" s="105"/>
      <c r="BE271" s="105"/>
      <c r="BF271" s="105"/>
      <c r="BG271" s="105"/>
      <c r="BH271" s="105"/>
      <c r="BI271" s="105"/>
      <c r="BJ271" s="105"/>
      <c r="BK271" s="105"/>
      <c r="BL271" s="105"/>
      <c r="BM271" s="105"/>
      <c r="BN271" s="105"/>
      <c r="BO271" s="105"/>
      <c r="BP271" s="105"/>
      <c r="BQ271" s="105"/>
      <c r="BR271" s="105"/>
      <c r="BS271" s="105"/>
      <c r="BT271" s="105"/>
      <c r="BU271" s="105"/>
      <c r="BV271" s="105"/>
      <c r="BW271" s="105"/>
      <c r="BX271" s="28"/>
    </row>
    <row r="272" spans="1:76" s="34" customFormat="1" ht="12.75" hidden="1" customHeight="1" outlineLevel="1" x14ac:dyDescent="0.25">
      <c r="A272" s="57"/>
      <c r="B272" s="377"/>
      <c r="C272" s="9"/>
      <c r="D272" s="1"/>
      <c r="E272" s="1"/>
      <c r="H272" s="377"/>
      <c r="I272" s="95"/>
      <c r="J272" s="58"/>
      <c r="K272" s="105"/>
      <c r="L272" s="105"/>
      <c r="M272" s="105"/>
      <c r="N272" s="105"/>
      <c r="O272" s="105"/>
      <c r="P272" s="105"/>
      <c r="Q272" s="105"/>
      <c r="R272" s="105"/>
      <c r="S272" s="105"/>
      <c r="T272" s="105"/>
      <c r="U272" s="105"/>
      <c r="V272" s="105"/>
      <c r="W272" s="105"/>
      <c r="X272" s="105"/>
      <c r="Y272" s="105"/>
      <c r="Z272" s="105"/>
      <c r="AA272" s="105"/>
      <c r="AB272" s="105"/>
      <c r="AC272" s="105"/>
      <c r="AD272" s="105"/>
      <c r="AE272" s="105"/>
      <c r="AF272" s="105"/>
      <c r="AG272" s="105"/>
      <c r="AH272" s="105"/>
      <c r="AI272" s="105"/>
      <c r="AJ272" s="105"/>
      <c r="AK272" s="105"/>
      <c r="AL272" s="105"/>
      <c r="AM272" s="105"/>
      <c r="AN272" s="105"/>
      <c r="AO272" s="105"/>
      <c r="AP272" s="105"/>
      <c r="AQ272" s="105"/>
      <c r="AR272" s="105"/>
      <c r="AS272" s="105"/>
      <c r="AT272" s="105"/>
      <c r="AU272" s="105"/>
      <c r="AV272" s="105"/>
      <c r="AW272" s="105"/>
      <c r="AX272" s="105"/>
      <c r="AY272" s="105"/>
      <c r="AZ272" s="105"/>
      <c r="BA272" s="105"/>
      <c r="BB272" s="105"/>
      <c r="BC272" s="105"/>
      <c r="BD272" s="105"/>
      <c r="BE272" s="105"/>
      <c r="BF272" s="105"/>
      <c r="BG272" s="105"/>
      <c r="BH272" s="105"/>
      <c r="BI272" s="105"/>
      <c r="BJ272" s="105"/>
      <c r="BK272" s="105"/>
      <c r="BL272" s="105"/>
      <c r="BM272" s="105"/>
      <c r="BN272" s="105"/>
      <c r="BO272" s="105"/>
      <c r="BP272" s="105"/>
      <c r="BQ272" s="105"/>
      <c r="BR272" s="105"/>
      <c r="BS272" s="105"/>
      <c r="BT272" s="105"/>
      <c r="BU272" s="105"/>
      <c r="BV272" s="105"/>
      <c r="BW272" s="105"/>
      <c r="BX272" s="28"/>
    </row>
    <row r="273" spans="1:76" s="34" customFormat="1" ht="15" hidden="1" customHeight="1" outlineLevel="1" x14ac:dyDescent="0.25">
      <c r="A273" s="394" t="s">
        <v>277</v>
      </c>
      <c r="B273" t="str">
        <f ca="1">$N$12&amp;" N"</f>
        <v>Actual N</v>
      </c>
      <c r="C273" t="str">
        <f ca="1">$N$20&amp;" "&amp;$N$21</f>
        <v>Budget V current N</v>
      </c>
      <c r="D273" t="str">
        <f ca="1">$O$20&amp;" "&amp;$O$21</f>
        <v>Actual N-1</v>
      </c>
      <c r="E273" s="1"/>
      <c r="H273" s="377"/>
      <c r="I273" s="95"/>
      <c r="J273" s="58"/>
      <c r="K273" s="105"/>
      <c r="L273" s="105"/>
      <c r="M273" s="105"/>
      <c r="N273" s="105"/>
      <c r="O273" s="105"/>
      <c r="P273" s="105"/>
      <c r="Q273" s="105"/>
      <c r="R273" s="105"/>
      <c r="S273" s="105"/>
      <c r="T273" s="105"/>
      <c r="U273" s="105"/>
      <c r="V273" s="105"/>
      <c r="W273" s="105"/>
      <c r="X273" s="105"/>
      <c r="Y273" s="105"/>
      <c r="Z273" s="105"/>
      <c r="AA273" s="105"/>
      <c r="AB273" s="105"/>
      <c r="AC273" s="105"/>
      <c r="AD273" s="105"/>
      <c r="AE273" s="105"/>
      <c r="AF273" s="105"/>
      <c r="AG273" s="105"/>
      <c r="AH273" s="105"/>
      <c r="AI273" s="105"/>
      <c r="AJ273" s="105"/>
      <c r="AK273" s="105"/>
      <c r="AL273" s="105"/>
      <c r="AM273" s="105"/>
      <c r="AN273" s="105"/>
      <c r="AO273" s="105"/>
      <c r="AP273" s="105"/>
      <c r="AQ273" s="105"/>
      <c r="AR273" s="105"/>
      <c r="AS273" s="105"/>
      <c r="AT273" s="105"/>
      <c r="AU273" s="105"/>
      <c r="AV273" s="105"/>
      <c r="AW273" s="105"/>
      <c r="AX273" s="105"/>
      <c r="AY273" s="105"/>
      <c r="AZ273" s="105"/>
      <c r="BA273" s="105"/>
      <c r="BB273" s="105"/>
      <c r="BC273" s="105"/>
      <c r="BD273" s="105"/>
      <c r="BE273" s="105"/>
      <c r="BF273" s="105"/>
      <c r="BG273" s="105"/>
      <c r="BH273" s="105"/>
      <c r="BI273" s="105"/>
      <c r="BJ273" s="105"/>
      <c r="BK273" s="105"/>
      <c r="BL273" s="105"/>
      <c r="BM273" s="105"/>
      <c r="BN273" s="105"/>
      <c r="BO273" s="105"/>
      <c r="BP273" s="105"/>
      <c r="BQ273" s="105"/>
      <c r="BR273" s="105"/>
      <c r="BS273" s="105"/>
      <c r="BT273" s="105"/>
      <c r="BU273" s="105"/>
      <c r="BV273" s="105"/>
      <c r="BW273" s="105"/>
      <c r="BX273" s="28"/>
    </row>
    <row r="274" spans="1:76" s="34" customFormat="1" ht="15" hidden="1" customHeight="1" outlineLevel="1" x14ac:dyDescent="0.25">
      <c r="A274" s="392" t="str">
        <f>IF($N$19="English","J","J")</f>
        <v>J</v>
      </c>
      <c r="B274" s="393" t="e">
        <f ca="1">IF(ROUND(AB$332,6),ROUND(AB$332,6),NA())</f>
        <v>#N/A</v>
      </c>
      <c r="C274" s="393" t="e">
        <f ca="1">IF(ROUND(AC$332,6),ROUND(AC$332,6),NA())</f>
        <v>#N/A</v>
      </c>
      <c r="D274" s="393" t="e">
        <f ca="1">IF(ROUND(AD$332,6),ROUND(AD$332,6),NA())</f>
        <v>#N/A</v>
      </c>
      <c r="E274" s="1" t="s">
        <v>279</v>
      </c>
      <c r="H274" s="377"/>
      <c r="I274" s="95"/>
      <c r="J274" s="58"/>
      <c r="K274" s="105"/>
      <c r="L274" s="105"/>
      <c r="M274" s="105"/>
      <c r="N274" s="105"/>
      <c r="O274" s="105"/>
      <c r="P274" s="105"/>
      <c r="Q274" s="105"/>
      <c r="R274" s="105"/>
      <c r="S274" s="105"/>
      <c r="T274" s="105"/>
      <c r="U274" s="105"/>
      <c r="V274" s="105"/>
      <c r="W274" s="105"/>
      <c r="X274" s="105"/>
      <c r="Y274" s="105"/>
      <c r="Z274" s="105"/>
      <c r="AA274" s="105"/>
      <c r="AB274" s="105"/>
      <c r="AC274" s="105"/>
      <c r="AD274" s="105"/>
      <c r="AE274" s="105"/>
      <c r="AF274" s="105"/>
      <c r="AG274" s="105"/>
      <c r="AH274" s="105"/>
      <c r="AI274" s="105"/>
      <c r="AJ274" s="105"/>
      <c r="AK274" s="105"/>
      <c r="AL274" s="105"/>
      <c r="AM274" s="105"/>
      <c r="AN274" s="105"/>
      <c r="AO274" s="105"/>
      <c r="AP274" s="105"/>
      <c r="AQ274" s="105"/>
      <c r="AR274" s="105"/>
      <c r="AS274" s="105"/>
      <c r="AT274" s="105"/>
      <c r="AU274" s="105"/>
      <c r="AV274" s="105"/>
      <c r="AW274" s="105"/>
      <c r="AX274" s="105"/>
      <c r="AY274" s="105"/>
      <c r="AZ274" s="105"/>
      <c r="BA274" s="105"/>
      <c r="BB274" s="105"/>
      <c r="BC274" s="105"/>
      <c r="BD274" s="105"/>
      <c r="BE274" s="105"/>
      <c r="BF274" s="105"/>
      <c r="BG274" s="105"/>
      <c r="BH274" s="105"/>
      <c r="BI274" s="105"/>
      <c r="BJ274" s="105"/>
      <c r="BK274" s="105"/>
      <c r="BL274" s="105"/>
      <c r="BM274" s="105"/>
      <c r="BN274" s="105"/>
      <c r="BO274" s="105"/>
      <c r="BP274" s="105"/>
      <c r="BQ274" s="105"/>
      <c r="BR274" s="105"/>
      <c r="BS274" s="105"/>
      <c r="BT274" s="105"/>
      <c r="BU274" s="105"/>
      <c r="BV274" s="105"/>
      <c r="BW274" s="105"/>
      <c r="BX274" s="28"/>
    </row>
    <row r="275" spans="1:76" s="34" customFormat="1" ht="15" hidden="1" customHeight="1" outlineLevel="1" x14ac:dyDescent="0.25">
      <c r="A275" s="392" t="s">
        <v>213</v>
      </c>
      <c r="B275" s="393" t="e">
        <f ca="1">IF(ROUND(AF$332,6),ROUND(AF$332,6),NA())</f>
        <v>#N/A</v>
      </c>
      <c r="C275" s="393" t="e">
        <f ca="1">IF(ROUND(AG$332,6),ROUND(AG$332,6),NA())</f>
        <v>#N/A</v>
      </c>
      <c r="D275" s="393" t="e">
        <f ca="1">IF(ROUND(AH$332,6),ROUND(AH$332,6),NA())</f>
        <v>#N/A</v>
      </c>
      <c r="E275" s="1" t="s">
        <v>280</v>
      </c>
      <c r="H275" s="377"/>
      <c r="I275" s="95"/>
      <c r="J275" s="58"/>
      <c r="K275" s="105"/>
      <c r="L275" s="105"/>
      <c r="M275" s="105"/>
      <c r="N275" s="105"/>
      <c r="O275" s="105"/>
      <c r="P275" s="105"/>
      <c r="Q275" s="105"/>
      <c r="R275" s="105"/>
      <c r="S275" s="105"/>
      <c r="T275" s="105"/>
      <c r="U275" s="105"/>
      <c r="V275" s="105"/>
      <c r="W275" s="105"/>
      <c r="X275" s="105"/>
      <c r="Y275" s="105"/>
      <c r="Z275" s="105"/>
      <c r="AA275" s="105"/>
      <c r="AB275" s="105"/>
      <c r="AC275" s="105"/>
      <c r="AD275" s="105"/>
      <c r="AE275" s="105"/>
      <c r="AF275" s="105"/>
      <c r="AG275" s="105"/>
      <c r="AH275" s="105"/>
      <c r="AI275" s="105"/>
      <c r="AJ275" s="105"/>
      <c r="AK275" s="105"/>
      <c r="AL275" s="105"/>
      <c r="AM275" s="105"/>
      <c r="AN275" s="105"/>
      <c r="AO275" s="105"/>
      <c r="AP275" s="105"/>
      <c r="AQ275" s="105"/>
      <c r="AR275" s="105"/>
      <c r="AS275" s="105"/>
      <c r="AT275" s="105"/>
      <c r="AU275" s="105"/>
      <c r="AV275" s="105"/>
      <c r="AW275" s="105"/>
      <c r="AX275" s="105"/>
      <c r="AY275" s="105"/>
      <c r="AZ275" s="105"/>
      <c r="BA275" s="105"/>
      <c r="BB275" s="105"/>
      <c r="BC275" s="105"/>
      <c r="BD275" s="105"/>
      <c r="BE275" s="105"/>
      <c r="BF275" s="105"/>
      <c r="BG275" s="105"/>
      <c r="BH275" s="105"/>
      <c r="BI275" s="105"/>
      <c r="BJ275" s="105"/>
      <c r="BK275" s="105"/>
      <c r="BL275" s="105"/>
      <c r="BM275" s="105"/>
      <c r="BN275" s="105"/>
      <c r="BO275" s="105"/>
      <c r="BP275" s="105"/>
      <c r="BQ275" s="105"/>
      <c r="BR275" s="105"/>
      <c r="BS275" s="105"/>
      <c r="BT275" s="105"/>
      <c r="BU275" s="105"/>
      <c r="BV275" s="105"/>
      <c r="BW275" s="105"/>
      <c r="BX275" s="28"/>
    </row>
    <row r="276" spans="1:76" s="34" customFormat="1" ht="15" hidden="1" customHeight="1" outlineLevel="1" x14ac:dyDescent="0.25">
      <c r="A276" s="392" t="s">
        <v>215</v>
      </c>
      <c r="B276" s="393" t="e">
        <f ca="1">IF(ROUND(AJ$332,6),ROUND(AJ$332,6),NA())</f>
        <v>#N/A</v>
      </c>
      <c r="C276" s="393" t="e">
        <f ca="1">IF(ROUND(AK$332,6),ROUND(AK$332,6),NA())</f>
        <v>#N/A</v>
      </c>
      <c r="D276" s="393" t="e">
        <f ca="1">IF(ROUND(AL$332,6),ROUND(AL$332,6),NA())</f>
        <v>#N/A</v>
      </c>
      <c r="E276" s="1" t="s">
        <v>281</v>
      </c>
      <c r="H276" s="377"/>
      <c r="I276" s="95"/>
      <c r="J276" s="58"/>
      <c r="K276" s="603" t="str">
        <f ca="1">O125</f>
        <v>Gross Margin (in percentage of ROA net of sub. transport)</v>
      </c>
      <c r="L276" s="603"/>
      <c r="M276" s="603"/>
      <c r="N276" s="603"/>
      <c r="O276" s="603"/>
      <c r="P276" s="603"/>
      <c r="Q276" s="603"/>
      <c r="R276" s="603"/>
      <c r="S276" s="603"/>
      <c r="T276" s="603"/>
      <c r="U276" s="105"/>
      <c r="V276" s="105"/>
      <c r="W276" s="105"/>
      <c r="X276" s="105"/>
      <c r="Y276" s="105"/>
      <c r="Z276" s="105"/>
      <c r="AA276" s="105"/>
      <c r="AB276" s="105"/>
      <c r="AC276" s="105"/>
      <c r="AD276" s="105"/>
      <c r="AE276" s="105"/>
      <c r="AF276" s="105"/>
      <c r="AG276" s="105"/>
      <c r="AH276" s="105"/>
      <c r="AI276" s="105"/>
      <c r="AJ276" s="105"/>
      <c r="AK276" s="105"/>
      <c r="AL276" s="105"/>
      <c r="AM276" s="105"/>
      <c r="AN276" s="105"/>
      <c r="AO276" s="105"/>
      <c r="AP276" s="105"/>
      <c r="AQ276" s="105"/>
      <c r="AR276" s="105"/>
      <c r="AS276" s="105"/>
      <c r="AT276" s="105"/>
      <c r="AU276" s="105"/>
      <c r="AV276" s="105"/>
      <c r="AW276" s="105"/>
      <c r="AX276" s="105"/>
      <c r="AY276" s="105"/>
      <c r="AZ276" s="105"/>
      <c r="BA276" s="105"/>
      <c r="BB276" s="105"/>
      <c r="BC276" s="105"/>
      <c r="BD276" s="105"/>
      <c r="BE276" s="105"/>
      <c r="BF276" s="105"/>
      <c r="BG276" s="105"/>
      <c r="BH276" s="105"/>
      <c r="BI276" s="105"/>
      <c r="BJ276" s="105"/>
      <c r="BK276" s="105"/>
      <c r="BL276" s="105"/>
      <c r="BM276" s="105"/>
      <c r="BN276" s="105"/>
      <c r="BO276" s="105"/>
      <c r="BP276" s="105"/>
      <c r="BQ276" s="105"/>
      <c r="BR276" s="105"/>
      <c r="BS276" s="105"/>
      <c r="BT276" s="105"/>
      <c r="BU276" s="105"/>
      <c r="BV276" s="105"/>
      <c r="BW276" s="105"/>
      <c r="BX276" s="28"/>
    </row>
    <row r="277" spans="1:76" s="34" customFormat="1" ht="15" hidden="1" customHeight="1" outlineLevel="1" x14ac:dyDescent="0.25">
      <c r="A277" s="392" t="s">
        <v>42</v>
      </c>
      <c r="B277" s="393" t="e">
        <f ca="1">IF(ROUND(AN$332,6),ROUND(AN$332,6),NA())</f>
        <v>#N/A</v>
      </c>
      <c r="C277" s="393" t="e">
        <f ca="1">IF(ROUND(AO$332,6),ROUND(AO$332,6),NA())</f>
        <v>#N/A</v>
      </c>
      <c r="D277" s="393" t="e">
        <f ca="1">IF(ROUND(AP$332,6),ROUND(AP$332,6),NA())</f>
        <v>#N/A</v>
      </c>
      <c r="E277" s="1" t="s">
        <v>282</v>
      </c>
      <c r="H277" s="377"/>
      <c r="I277" s="95"/>
      <c r="J277" s="58"/>
      <c r="K277" s="105"/>
      <c r="L277" s="105"/>
      <c r="M277" s="105"/>
      <c r="N277" s="105"/>
      <c r="O277" s="105"/>
      <c r="P277" s="105"/>
      <c r="Q277" s="105"/>
      <c r="R277" s="105"/>
      <c r="S277" s="105"/>
      <c r="T277" s="105"/>
      <c r="U277" s="105"/>
      <c r="V277" s="105"/>
      <c r="W277" s="105"/>
      <c r="X277" s="105"/>
      <c r="Y277" s="105"/>
      <c r="Z277" s="105"/>
      <c r="AA277" s="105"/>
      <c r="AB277" s="105"/>
      <c r="AC277" s="105"/>
      <c r="AD277" s="105"/>
      <c r="AE277" s="105"/>
      <c r="AF277" s="105"/>
      <c r="AG277" s="105"/>
      <c r="AH277" s="105"/>
      <c r="AI277" s="105"/>
      <c r="AJ277" s="105"/>
      <c r="AK277" s="105"/>
      <c r="AL277" s="105"/>
      <c r="AM277" s="105"/>
      <c r="AN277" s="105"/>
      <c r="AO277" s="105"/>
      <c r="AP277" s="105"/>
      <c r="AQ277" s="105"/>
      <c r="AR277" s="105"/>
      <c r="AS277" s="105"/>
      <c r="AT277" s="105"/>
      <c r="AU277" s="105"/>
      <c r="AV277" s="105"/>
      <c r="AW277" s="105"/>
      <c r="AX277" s="105"/>
      <c r="AY277" s="105"/>
      <c r="AZ277" s="105"/>
      <c r="BA277" s="105"/>
      <c r="BB277" s="105"/>
      <c r="BC277" s="105"/>
      <c r="BD277" s="105"/>
      <c r="BE277" s="105"/>
      <c r="BF277" s="105"/>
      <c r="BG277" s="105"/>
      <c r="BH277" s="105"/>
      <c r="BI277" s="105"/>
      <c r="BJ277" s="105"/>
      <c r="BK277" s="105"/>
      <c r="BL277" s="105"/>
      <c r="BM277" s="105"/>
      <c r="BN277" s="105"/>
      <c r="BO277" s="105"/>
      <c r="BP277" s="105"/>
      <c r="BQ277" s="105"/>
      <c r="BR277" s="105"/>
      <c r="BS277" s="105"/>
      <c r="BT277" s="105"/>
      <c r="BU277" s="105"/>
      <c r="BV277" s="105"/>
      <c r="BW277" s="105"/>
      <c r="BX277" s="28"/>
    </row>
    <row r="278" spans="1:76" s="34" customFormat="1" ht="15" hidden="1" customHeight="1" outlineLevel="1" x14ac:dyDescent="0.25">
      <c r="A278" s="392" t="s">
        <v>215</v>
      </c>
      <c r="B278" s="393" t="e">
        <f ca="1">IF(ROUND(AR$332,6),ROUND(AR$332,6),NA())</f>
        <v>#N/A</v>
      </c>
      <c r="C278" s="393" t="e">
        <f ca="1">IF(ROUND(AS$332,6),ROUND(AS$332,6),NA())</f>
        <v>#N/A</v>
      </c>
      <c r="D278" s="393" t="e">
        <f ca="1">IF(ROUND(AT$332,6),ROUND(AT$332,6),NA())</f>
        <v>#N/A</v>
      </c>
      <c r="E278" s="1" t="s">
        <v>283</v>
      </c>
      <c r="H278" s="377"/>
      <c r="I278" s="95"/>
      <c r="J278" s="58"/>
      <c r="K278" s="105"/>
      <c r="L278" s="105"/>
      <c r="M278" s="105"/>
      <c r="N278" s="105"/>
      <c r="O278" s="105"/>
      <c r="P278" s="105"/>
      <c r="Q278" s="105"/>
      <c r="R278" s="105"/>
      <c r="S278" s="105"/>
      <c r="T278" s="105"/>
      <c r="U278" s="105"/>
      <c r="V278" s="105"/>
      <c r="W278" s="105"/>
      <c r="X278" s="105"/>
      <c r="Y278" s="105"/>
      <c r="Z278" s="105"/>
      <c r="AA278" s="105"/>
      <c r="AB278" s="105"/>
      <c r="AC278" s="105"/>
      <c r="AD278" s="105"/>
      <c r="AE278" s="105"/>
      <c r="AF278" s="105"/>
      <c r="AG278" s="105"/>
      <c r="AH278" s="105"/>
      <c r="AI278" s="105"/>
      <c r="AJ278" s="105"/>
      <c r="AK278" s="105"/>
      <c r="AL278" s="105"/>
      <c r="AM278" s="105"/>
      <c r="AN278" s="105"/>
      <c r="AO278" s="105"/>
      <c r="AP278" s="105"/>
      <c r="AQ278" s="105"/>
      <c r="AR278" s="105"/>
      <c r="AS278" s="105"/>
      <c r="AT278" s="105"/>
      <c r="AU278" s="105"/>
      <c r="AV278" s="105"/>
      <c r="AW278" s="105"/>
      <c r="AX278" s="105"/>
      <c r="AY278" s="105"/>
      <c r="AZ278" s="105"/>
      <c r="BA278" s="105"/>
      <c r="BB278" s="105"/>
      <c r="BC278" s="105"/>
      <c r="BD278" s="105"/>
      <c r="BE278" s="105"/>
      <c r="BF278" s="105"/>
      <c r="BG278" s="105"/>
      <c r="BH278" s="105"/>
      <c r="BI278" s="105"/>
      <c r="BJ278" s="105"/>
      <c r="BK278" s="105"/>
      <c r="BL278" s="105"/>
      <c r="BM278" s="105"/>
      <c r="BN278" s="105"/>
      <c r="BO278" s="105"/>
      <c r="BP278" s="105"/>
      <c r="BQ278" s="105"/>
      <c r="BR278" s="105"/>
      <c r="BS278" s="105"/>
      <c r="BT278" s="105"/>
      <c r="BU278" s="105"/>
      <c r="BV278" s="105"/>
      <c r="BW278" s="105"/>
      <c r="BX278" s="28"/>
    </row>
    <row r="279" spans="1:76" s="34" customFormat="1" ht="15" hidden="1" customHeight="1" outlineLevel="1" x14ac:dyDescent="0.25">
      <c r="A279" s="392" t="s">
        <v>263</v>
      </c>
      <c r="B279" s="393" t="e">
        <f ca="1">IF(ROUND(AV$332,6),ROUND(AV$332,6),NA())</f>
        <v>#N/A</v>
      </c>
      <c r="C279" s="393" t="e">
        <f ca="1">IF(ROUND(AW$332,6),ROUND(AW$332,6),NA())</f>
        <v>#N/A</v>
      </c>
      <c r="D279" s="393" t="e">
        <f ca="1">IF(ROUND(AX$332,6),ROUND(AX$332,6),NA())</f>
        <v>#N/A</v>
      </c>
      <c r="E279" s="1" t="s">
        <v>284</v>
      </c>
      <c r="H279" s="377"/>
      <c r="I279" s="95"/>
      <c r="J279" s="58"/>
      <c r="K279" s="105"/>
      <c r="L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  <c r="Y279" s="105"/>
      <c r="Z279" s="105"/>
      <c r="AA279" s="105"/>
      <c r="AB279" s="105"/>
      <c r="AC279" s="105"/>
      <c r="AD279" s="105"/>
      <c r="AE279" s="105"/>
      <c r="AF279" s="105"/>
      <c r="AG279" s="105"/>
      <c r="AH279" s="105"/>
      <c r="AI279" s="105"/>
      <c r="AJ279" s="105"/>
      <c r="AK279" s="105"/>
      <c r="AL279" s="105"/>
      <c r="AM279" s="105"/>
      <c r="AN279" s="105"/>
      <c r="AO279" s="105"/>
      <c r="AP279" s="105"/>
      <c r="AQ279" s="105"/>
      <c r="AR279" s="105"/>
      <c r="AS279" s="105"/>
      <c r="AT279" s="105"/>
      <c r="AU279" s="105"/>
      <c r="AV279" s="105"/>
      <c r="AW279" s="105"/>
      <c r="AX279" s="105"/>
      <c r="AY279" s="105"/>
      <c r="AZ279" s="105"/>
      <c r="BA279" s="105"/>
      <c r="BB279" s="105"/>
      <c r="BC279" s="105"/>
      <c r="BD279" s="105"/>
      <c r="BE279" s="105"/>
      <c r="BF279" s="105"/>
      <c r="BG279" s="105"/>
      <c r="BH279" s="105"/>
      <c r="BI279" s="105"/>
      <c r="BJ279" s="105"/>
      <c r="BK279" s="105"/>
      <c r="BL279" s="105"/>
      <c r="BM279" s="105"/>
      <c r="BN279" s="105"/>
      <c r="BO279" s="105"/>
      <c r="BP279" s="105"/>
      <c r="BQ279" s="105"/>
      <c r="BR279" s="105"/>
      <c r="BS279" s="105"/>
      <c r="BT279" s="105"/>
      <c r="BU279" s="105"/>
      <c r="BV279" s="105"/>
      <c r="BW279" s="105"/>
      <c r="BX279" s="28"/>
    </row>
    <row r="280" spans="1:76" s="34" customFormat="1" ht="15" hidden="1" customHeight="1" outlineLevel="1" x14ac:dyDescent="0.25">
      <c r="A280" s="392" t="s">
        <v>263</v>
      </c>
      <c r="B280" s="393" t="e">
        <f ca="1">IF(ROUND(AZ$332,6),ROUND(AZ$332,6),NA())</f>
        <v>#N/A</v>
      </c>
      <c r="C280" s="393" t="e">
        <f ca="1">IF(ROUND(BA$332,6),ROUND(BA$332,6),NA())</f>
        <v>#N/A</v>
      </c>
      <c r="D280" s="393" t="e">
        <f ca="1">IF(ROUND(BB$332,6),ROUND(BB$332,6),NA())</f>
        <v>#N/A</v>
      </c>
      <c r="E280" s="1" t="s">
        <v>285</v>
      </c>
      <c r="H280" s="377"/>
      <c r="I280" s="95"/>
      <c r="J280" s="58"/>
      <c r="K280" s="105"/>
      <c r="L280" s="105"/>
      <c r="M280" s="105"/>
      <c r="N280" s="105"/>
      <c r="O280" s="105"/>
      <c r="P280" s="105"/>
      <c r="Q280" s="105"/>
      <c r="R280" s="105"/>
      <c r="S280" s="105"/>
      <c r="T280" s="105"/>
      <c r="U280" s="105"/>
      <c r="V280" s="105"/>
      <c r="W280" s="105"/>
      <c r="X280" s="105"/>
      <c r="Y280" s="105"/>
      <c r="Z280" s="105"/>
      <c r="AA280" s="105"/>
      <c r="AB280" s="105"/>
      <c r="AC280" s="105"/>
      <c r="AD280" s="105"/>
      <c r="AE280" s="105"/>
      <c r="AF280" s="105"/>
      <c r="AG280" s="105"/>
      <c r="AH280" s="105"/>
      <c r="AI280" s="105"/>
      <c r="AJ280" s="105"/>
      <c r="AK280" s="105"/>
      <c r="AL280" s="105"/>
      <c r="AM280" s="105"/>
      <c r="AN280" s="105"/>
      <c r="AO280" s="105"/>
      <c r="AP280" s="105"/>
      <c r="AQ280" s="105"/>
      <c r="AR280" s="105"/>
      <c r="AS280" s="105"/>
      <c r="AT280" s="105"/>
      <c r="AU280" s="105"/>
      <c r="AV280" s="105"/>
      <c r="AW280" s="105"/>
      <c r="AX280" s="105"/>
      <c r="AY280" s="105"/>
      <c r="AZ280" s="105"/>
      <c r="BA280" s="105"/>
      <c r="BB280" s="105"/>
      <c r="BC280" s="105"/>
      <c r="BD280" s="105"/>
      <c r="BE280" s="105"/>
      <c r="BF280" s="105"/>
      <c r="BG280" s="105"/>
      <c r="BH280" s="105"/>
      <c r="BI280" s="105"/>
      <c r="BJ280" s="105"/>
      <c r="BK280" s="105"/>
      <c r="BL280" s="105"/>
      <c r="BM280" s="105"/>
      <c r="BN280" s="105"/>
      <c r="BO280" s="105"/>
      <c r="BP280" s="105"/>
      <c r="BQ280" s="105"/>
      <c r="BR280" s="105"/>
      <c r="BS280" s="105"/>
      <c r="BT280" s="105"/>
      <c r="BU280" s="105"/>
      <c r="BV280" s="105"/>
      <c r="BW280" s="105"/>
      <c r="BX280" s="28"/>
    </row>
    <row r="281" spans="1:76" s="34" customFormat="1" ht="15" hidden="1" customHeight="1" outlineLevel="1" x14ac:dyDescent="0.25">
      <c r="A281" s="392" t="s">
        <v>42</v>
      </c>
      <c r="B281" s="393" t="e">
        <f ca="1">IF(ROUND(BD$332,6),ROUND(BD$332,6),NA())</f>
        <v>#N/A</v>
      </c>
      <c r="C281" s="393" t="e">
        <f ca="1">IF(ROUND(BE$332,6),ROUND(BE$332,6),NA())</f>
        <v>#N/A</v>
      </c>
      <c r="D281" s="393" t="e">
        <f ca="1">IF(ROUND(BF$332,6),ROUND(BF$332,6),NA())</f>
        <v>#N/A</v>
      </c>
      <c r="E281" s="1" t="s">
        <v>286</v>
      </c>
      <c r="H281" s="377"/>
      <c r="I281" s="95"/>
      <c r="J281" s="58"/>
      <c r="K281" s="105"/>
      <c r="L281" s="105"/>
      <c r="M281" s="105"/>
      <c r="N281" s="105"/>
      <c r="O281" s="105"/>
      <c r="P281" s="105"/>
      <c r="Q281" s="105"/>
      <c r="R281" s="105"/>
      <c r="S281" s="105"/>
      <c r="T281" s="105"/>
      <c r="U281" s="105"/>
      <c r="V281" s="105"/>
      <c r="W281" s="105"/>
      <c r="X281" s="105"/>
      <c r="Y281" s="105"/>
      <c r="Z281" s="105"/>
      <c r="AA281" s="105"/>
      <c r="AB281" s="105"/>
      <c r="AC281" s="105"/>
      <c r="AD281" s="105"/>
      <c r="AE281" s="105"/>
      <c r="AF281" s="105"/>
      <c r="AG281" s="105"/>
      <c r="AH281" s="105"/>
      <c r="AI281" s="105"/>
      <c r="AJ281" s="105"/>
      <c r="AK281" s="105"/>
      <c r="AL281" s="105"/>
      <c r="AM281" s="105"/>
      <c r="AN281" s="105"/>
      <c r="AO281" s="105"/>
      <c r="AP281" s="105"/>
      <c r="AQ281" s="105"/>
      <c r="AR281" s="105"/>
      <c r="AS281" s="105"/>
      <c r="AT281" s="105"/>
      <c r="AU281" s="105"/>
      <c r="AV281" s="105"/>
      <c r="AW281" s="105"/>
      <c r="AX281" s="105"/>
      <c r="AY281" s="105"/>
      <c r="AZ281" s="105"/>
      <c r="BA281" s="105"/>
      <c r="BB281" s="105"/>
      <c r="BC281" s="105"/>
      <c r="BD281" s="105"/>
      <c r="BE281" s="105"/>
      <c r="BF281" s="105"/>
      <c r="BG281" s="105"/>
      <c r="BH281" s="105"/>
      <c r="BI281" s="105"/>
      <c r="BJ281" s="105"/>
      <c r="BK281" s="105"/>
      <c r="BL281" s="105"/>
      <c r="BM281" s="105"/>
      <c r="BN281" s="105"/>
      <c r="BO281" s="105"/>
      <c r="BP281" s="105"/>
      <c r="BQ281" s="105"/>
      <c r="BR281" s="105"/>
      <c r="BS281" s="105"/>
      <c r="BT281" s="105"/>
      <c r="BU281" s="105"/>
      <c r="BV281" s="105"/>
      <c r="BW281" s="105"/>
      <c r="BX281" s="28"/>
    </row>
    <row r="282" spans="1:76" s="34" customFormat="1" ht="15" hidden="1" customHeight="1" outlineLevel="1" x14ac:dyDescent="0.25">
      <c r="A282" s="392" t="s">
        <v>264</v>
      </c>
      <c r="B282" s="393" t="e">
        <f ca="1">IF(ROUND(BH$332,6),ROUND(BH$332,6),NA())</f>
        <v>#N/A</v>
      </c>
      <c r="C282" s="393" t="e">
        <f ca="1">IF(ROUND(BI$332,6),ROUND(BI$332,6),NA())</f>
        <v>#N/A</v>
      </c>
      <c r="D282" s="393" t="e">
        <f ca="1">IF(ROUND(BJ$332,6),ROUND(BJ$332,6),NA())</f>
        <v>#N/A</v>
      </c>
      <c r="E282" s="1" t="s">
        <v>287</v>
      </c>
      <c r="H282" s="377"/>
      <c r="I282" s="95"/>
      <c r="J282" s="58"/>
      <c r="K282" s="105"/>
      <c r="L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  <c r="Y282" s="105"/>
      <c r="Z282" s="105"/>
      <c r="AA282" s="105"/>
      <c r="AB282" s="105"/>
      <c r="AC282" s="105"/>
      <c r="AD282" s="105"/>
      <c r="AE282" s="105"/>
      <c r="AF282" s="105"/>
      <c r="AG282" s="105"/>
      <c r="AH282" s="105"/>
      <c r="AI282" s="105"/>
      <c r="AJ282" s="105"/>
      <c r="AK282" s="105"/>
      <c r="AL282" s="105"/>
      <c r="AM282" s="105"/>
      <c r="AN282" s="105"/>
      <c r="AO282" s="105"/>
      <c r="AP282" s="105"/>
      <c r="AQ282" s="105"/>
      <c r="AR282" s="105"/>
      <c r="AS282" s="105"/>
      <c r="AT282" s="105"/>
      <c r="AU282" s="105"/>
      <c r="AV282" s="105"/>
      <c r="AW282" s="105"/>
      <c r="AX282" s="105"/>
      <c r="AY282" s="105"/>
      <c r="AZ282" s="105"/>
      <c r="BA282" s="105"/>
      <c r="BB282" s="105"/>
      <c r="BC282" s="105"/>
      <c r="BD282" s="105"/>
      <c r="BE282" s="105"/>
      <c r="BF282" s="105"/>
      <c r="BG282" s="105"/>
      <c r="BH282" s="105"/>
      <c r="BI282" s="105"/>
      <c r="BJ282" s="105"/>
      <c r="BK282" s="105"/>
      <c r="BL282" s="105"/>
      <c r="BM282" s="105"/>
      <c r="BN282" s="105"/>
      <c r="BO282" s="105"/>
      <c r="BP282" s="105"/>
      <c r="BQ282" s="105"/>
      <c r="BR282" s="105"/>
      <c r="BS282" s="105"/>
      <c r="BT282" s="105"/>
      <c r="BU282" s="105"/>
      <c r="BV282" s="105"/>
      <c r="BW282" s="105"/>
      <c r="BX282" s="28"/>
    </row>
    <row r="283" spans="1:76" s="34" customFormat="1" ht="15" hidden="1" customHeight="1" outlineLevel="1" x14ac:dyDescent="0.25">
      <c r="A283" s="392" t="s">
        <v>212</v>
      </c>
      <c r="B283" s="393" t="e">
        <f ca="1">IF(ROUND(BL$332,6),ROUND(BL$332,6),NA())</f>
        <v>#N/A</v>
      </c>
      <c r="C283" s="393" t="e">
        <f ca="1">IF(ROUND(BM$332,6),ROUND(BM$332,6),NA())</f>
        <v>#N/A</v>
      </c>
      <c r="D283" s="393" t="e">
        <f ca="1">IF(ROUND(BN$332,6),ROUND(BN$332,6),NA())</f>
        <v>#N/A</v>
      </c>
      <c r="E283" s="1" t="s">
        <v>288</v>
      </c>
      <c r="H283" s="377"/>
      <c r="I283" s="95"/>
      <c r="J283" s="58"/>
      <c r="K283" s="105"/>
      <c r="L283" s="105"/>
      <c r="M283" s="105"/>
      <c r="N283" s="105"/>
      <c r="O283" s="105"/>
      <c r="P283" s="105"/>
      <c r="Q283" s="105"/>
      <c r="R283" s="105"/>
      <c r="S283" s="105"/>
      <c r="T283" s="105"/>
      <c r="U283" s="105"/>
      <c r="V283" s="105"/>
      <c r="W283" s="105"/>
      <c r="X283" s="105"/>
      <c r="Y283" s="105"/>
      <c r="Z283" s="105"/>
      <c r="AA283" s="105"/>
      <c r="AB283" s="105"/>
      <c r="AC283" s="105"/>
      <c r="AD283" s="105"/>
      <c r="AE283" s="105"/>
      <c r="AF283" s="105"/>
      <c r="AG283" s="105"/>
      <c r="AH283" s="105"/>
      <c r="AI283" s="105"/>
      <c r="AJ283" s="105"/>
      <c r="AK283" s="105"/>
      <c r="AL283" s="105"/>
      <c r="AM283" s="105"/>
      <c r="AN283" s="105"/>
      <c r="AO283" s="105"/>
      <c r="AP283" s="105"/>
      <c r="AQ283" s="105"/>
      <c r="AR283" s="105"/>
      <c r="AS283" s="105"/>
      <c r="AT283" s="105"/>
      <c r="AU283" s="105"/>
      <c r="AV283" s="105"/>
      <c r="AW283" s="105"/>
      <c r="AX283" s="105"/>
      <c r="AY283" s="105"/>
      <c r="AZ283" s="105"/>
      <c r="BA283" s="105"/>
      <c r="BB283" s="105"/>
      <c r="BC283" s="105"/>
      <c r="BD283" s="105"/>
      <c r="BE283" s="105"/>
      <c r="BF283" s="105"/>
      <c r="BG283" s="105"/>
      <c r="BH283" s="105"/>
      <c r="BI283" s="105"/>
      <c r="BJ283" s="105"/>
      <c r="BK283" s="105"/>
      <c r="BL283" s="105"/>
      <c r="BM283" s="105"/>
      <c r="BN283" s="105"/>
      <c r="BO283" s="105"/>
      <c r="BP283" s="105"/>
      <c r="BQ283" s="105"/>
      <c r="BR283" s="105"/>
      <c r="BS283" s="105"/>
      <c r="BT283" s="105"/>
      <c r="BU283" s="105"/>
      <c r="BV283" s="105"/>
      <c r="BW283" s="105"/>
      <c r="BX283" s="28"/>
    </row>
    <row r="284" spans="1:76" s="34" customFormat="1" ht="15" hidden="1" customHeight="1" outlineLevel="1" x14ac:dyDescent="0.25">
      <c r="A284" s="392" t="s">
        <v>257</v>
      </c>
      <c r="B284" s="393" t="e">
        <f ca="1">IF(ROUND(BP$332,6),ROUND(BP$332,6),NA())</f>
        <v>#N/A</v>
      </c>
      <c r="C284" s="393" t="e">
        <f ca="1">IF(ROUND(BQ$332,6),ROUND(BQ$332,6),NA())</f>
        <v>#N/A</v>
      </c>
      <c r="D284" s="393" t="e">
        <f ca="1">IF(ROUND(BR$332,6),ROUND(BR$332,6),NA())</f>
        <v>#N/A</v>
      </c>
      <c r="E284" s="1" t="s">
        <v>289</v>
      </c>
      <c r="H284" s="377"/>
      <c r="I284" s="95"/>
      <c r="J284" s="58"/>
      <c r="K284" s="105"/>
      <c r="L284" s="105"/>
      <c r="M284" s="105"/>
      <c r="N284" s="105"/>
      <c r="O284" s="105"/>
      <c r="P284" s="105"/>
      <c r="Q284" s="105"/>
      <c r="R284" s="105"/>
      <c r="S284" s="105"/>
      <c r="T284" s="105"/>
      <c r="U284" s="105"/>
      <c r="V284" s="105"/>
      <c r="W284" s="105"/>
      <c r="X284" s="105"/>
      <c r="Y284" s="105"/>
      <c r="Z284" s="105"/>
      <c r="AA284" s="105"/>
      <c r="AB284" s="105"/>
      <c r="AC284" s="105"/>
      <c r="AD284" s="105"/>
      <c r="AE284" s="105"/>
      <c r="AF284" s="105"/>
      <c r="AG284" s="105"/>
      <c r="AH284" s="105"/>
      <c r="AI284" s="105"/>
      <c r="AJ284" s="105"/>
      <c r="AK284" s="105"/>
      <c r="AL284" s="105"/>
      <c r="AM284" s="105"/>
      <c r="AN284" s="105"/>
      <c r="AO284" s="105"/>
      <c r="AP284" s="105"/>
      <c r="AQ284" s="105"/>
      <c r="AR284" s="105"/>
      <c r="AS284" s="105"/>
      <c r="AT284" s="105"/>
      <c r="AU284" s="105"/>
      <c r="AV284" s="105"/>
      <c r="AW284" s="105"/>
      <c r="AX284" s="105"/>
      <c r="AY284" s="105"/>
      <c r="AZ284" s="105"/>
      <c r="BA284" s="105"/>
      <c r="BB284" s="105"/>
      <c r="BC284" s="105"/>
      <c r="BD284" s="105"/>
      <c r="BE284" s="105"/>
      <c r="BF284" s="105"/>
      <c r="BG284" s="105"/>
      <c r="BH284" s="105"/>
      <c r="BI284" s="105"/>
      <c r="BJ284" s="105"/>
      <c r="BK284" s="105"/>
      <c r="BL284" s="105"/>
      <c r="BM284" s="105"/>
      <c r="BN284" s="105"/>
      <c r="BO284" s="105"/>
      <c r="BP284" s="105"/>
      <c r="BQ284" s="105"/>
      <c r="BR284" s="105"/>
      <c r="BS284" s="105"/>
      <c r="BT284" s="105"/>
      <c r="BU284" s="105"/>
      <c r="BV284" s="105"/>
      <c r="BW284" s="105"/>
      <c r="BX284" s="28"/>
    </row>
    <row r="285" spans="1:76" s="34" customFormat="1" ht="15" hidden="1" customHeight="1" outlineLevel="1" x14ac:dyDescent="0.25">
      <c r="A285" s="392" t="s">
        <v>216</v>
      </c>
      <c r="B285" s="393" t="e">
        <f ca="1">IF(ROUND(BT$332,6),ROUND(BT$332,6),NA())</f>
        <v>#N/A</v>
      </c>
      <c r="C285" s="393" t="e">
        <f ca="1">IF(ROUND(BU$332,6),ROUND(BU$332,6),NA())</f>
        <v>#N/A</v>
      </c>
      <c r="D285" s="393" t="e">
        <f ca="1">IF(ROUND(BV$332,6),ROUND(BV$332,6),NA())</f>
        <v>#N/A</v>
      </c>
      <c r="E285" s="1" t="s">
        <v>290</v>
      </c>
      <c r="H285" s="377"/>
      <c r="I285" s="95"/>
      <c r="J285" s="58"/>
      <c r="K285" s="105"/>
      <c r="L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  <c r="Y285" s="105"/>
      <c r="Z285" s="105"/>
      <c r="AA285" s="105"/>
      <c r="AB285" s="105"/>
      <c r="AC285" s="105"/>
      <c r="AD285" s="105"/>
      <c r="AE285" s="105"/>
      <c r="AF285" s="105"/>
      <c r="AG285" s="105"/>
      <c r="AH285" s="105"/>
      <c r="AI285" s="105"/>
      <c r="AJ285" s="105"/>
      <c r="AK285" s="105"/>
      <c r="AL285" s="105"/>
      <c r="AM285" s="105"/>
      <c r="AN285" s="105"/>
      <c r="AO285" s="105"/>
      <c r="AP285" s="105"/>
      <c r="AQ285" s="105"/>
      <c r="AR285" s="105"/>
      <c r="AS285" s="105"/>
      <c r="AT285" s="105"/>
      <c r="AU285" s="105"/>
      <c r="AV285" s="105"/>
      <c r="AW285" s="105"/>
      <c r="AX285" s="105"/>
      <c r="AY285" s="105"/>
      <c r="AZ285" s="105"/>
      <c r="BA285" s="105"/>
      <c r="BB285" s="105"/>
      <c r="BC285" s="105"/>
      <c r="BD285" s="105"/>
      <c r="BE285" s="105"/>
      <c r="BF285" s="105"/>
      <c r="BG285" s="105"/>
      <c r="BH285" s="105"/>
      <c r="BI285" s="105"/>
      <c r="BJ285" s="105"/>
      <c r="BK285" s="105"/>
      <c r="BL285" s="105"/>
      <c r="BM285" s="105"/>
      <c r="BN285" s="105"/>
      <c r="BO285" s="105"/>
      <c r="BP285" s="105"/>
      <c r="BQ285" s="105"/>
      <c r="BR285" s="105"/>
      <c r="BS285" s="105"/>
      <c r="BT285" s="105"/>
      <c r="BU285" s="105"/>
      <c r="BV285" s="105"/>
      <c r="BW285" s="105"/>
      <c r="BX285" s="28"/>
    </row>
    <row r="286" spans="1:76" s="34" customFormat="1" ht="12.75" hidden="1" customHeight="1" outlineLevel="1" x14ac:dyDescent="0.25">
      <c r="A286" s="57"/>
      <c r="B286" s="377"/>
      <c r="C286" s="9"/>
      <c r="D286" s="1"/>
      <c r="E286" s="1"/>
      <c r="H286" s="377"/>
      <c r="I286" s="95"/>
      <c r="J286" s="58"/>
      <c r="K286" s="105"/>
      <c r="L286" s="105"/>
      <c r="M286" s="105"/>
      <c r="N286" s="105"/>
      <c r="O286" s="105"/>
      <c r="P286" s="105"/>
      <c r="Q286" s="105"/>
      <c r="R286" s="105"/>
      <c r="S286" s="105"/>
      <c r="T286" s="105"/>
      <c r="U286" s="105"/>
      <c r="V286" s="105"/>
      <c r="W286" s="105"/>
      <c r="X286" s="105"/>
      <c r="Y286" s="105"/>
      <c r="Z286" s="105"/>
      <c r="AA286" s="105"/>
      <c r="AB286" s="105"/>
      <c r="AC286" s="105"/>
      <c r="AD286" s="105"/>
      <c r="AE286" s="105"/>
      <c r="AF286" s="105"/>
      <c r="AG286" s="105"/>
      <c r="AH286" s="105"/>
      <c r="AI286" s="105"/>
      <c r="AJ286" s="105"/>
      <c r="AK286" s="105"/>
      <c r="AL286" s="105"/>
      <c r="AM286" s="105"/>
      <c r="AN286" s="105"/>
      <c r="AO286" s="105"/>
      <c r="AP286" s="105"/>
      <c r="AQ286" s="105"/>
      <c r="AR286" s="105"/>
      <c r="AS286" s="105"/>
      <c r="AT286" s="105"/>
      <c r="AU286" s="105"/>
      <c r="AV286" s="105"/>
      <c r="AW286" s="105"/>
      <c r="AX286" s="105"/>
      <c r="AY286" s="105"/>
      <c r="AZ286" s="105"/>
      <c r="BA286" s="105"/>
      <c r="BB286" s="105"/>
      <c r="BC286" s="105"/>
      <c r="BD286" s="105"/>
      <c r="BE286" s="105"/>
      <c r="BF286" s="105"/>
      <c r="BG286" s="105"/>
      <c r="BH286" s="105"/>
      <c r="BI286" s="105"/>
      <c r="BJ286" s="105"/>
      <c r="BK286" s="105"/>
      <c r="BL286" s="105"/>
      <c r="BM286" s="105"/>
      <c r="BN286" s="105"/>
      <c r="BO286" s="105"/>
      <c r="BP286" s="105"/>
      <c r="BQ286" s="105"/>
      <c r="BR286" s="105"/>
      <c r="BS286" s="105"/>
      <c r="BT286" s="105"/>
      <c r="BU286" s="105"/>
      <c r="BV286" s="105"/>
      <c r="BW286" s="105"/>
      <c r="BX286" s="28"/>
    </row>
    <row r="287" spans="1:76" s="34" customFormat="1" ht="15" hidden="1" customHeight="1" outlineLevel="1" x14ac:dyDescent="0.25">
      <c r="A287" s="57" t="s">
        <v>278</v>
      </c>
      <c r="B287" t="str">
        <f ca="1">$N$12&amp;" N"</f>
        <v>Actual N</v>
      </c>
      <c r="C287" t="str">
        <f ca="1">$N$20&amp;" "&amp;$N$21</f>
        <v>Budget V current N</v>
      </c>
      <c r="D287" t="str">
        <f ca="1">$O$20&amp;" "&amp;$O$21</f>
        <v>Actual N-1</v>
      </c>
      <c r="E287" s="1"/>
      <c r="H287" s="377"/>
      <c r="I287" s="95"/>
      <c r="J287" s="58"/>
      <c r="K287" s="105"/>
      <c r="L287" s="105"/>
      <c r="M287" s="105"/>
      <c r="N287" s="105"/>
      <c r="O287" s="105"/>
      <c r="P287" s="105"/>
      <c r="Q287" s="105"/>
      <c r="R287" s="105"/>
      <c r="S287" s="105"/>
      <c r="T287" s="105"/>
      <c r="U287" s="105"/>
      <c r="V287" s="105"/>
      <c r="W287" s="105"/>
      <c r="X287" s="105"/>
      <c r="Y287" s="105"/>
      <c r="Z287" s="105"/>
      <c r="AA287" s="105"/>
      <c r="AB287" s="105"/>
      <c r="AC287" s="105"/>
      <c r="AD287" s="105"/>
      <c r="AE287" s="105"/>
      <c r="AF287" s="105"/>
      <c r="AG287" s="105"/>
      <c r="AH287" s="105"/>
      <c r="AI287" s="105"/>
      <c r="AJ287" s="105"/>
      <c r="AK287" s="105"/>
      <c r="AL287" s="105"/>
      <c r="AM287" s="105"/>
      <c r="AN287" s="105"/>
      <c r="AO287" s="105"/>
      <c r="AP287" s="105"/>
      <c r="AQ287" s="105"/>
      <c r="AR287" s="105"/>
      <c r="AS287" s="105"/>
      <c r="AT287" s="105"/>
      <c r="AU287" s="105"/>
      <c r="AV287" s="105"/>
      <c r="AW287" s="105"/>
      <c r="AX287" s="105"/>
      <c r="AY287" s="105"/>
      <c r="AZ287" s="105"/>
      <c r="BA287" s="105"/>
      <c r="BB287" s="105"/>
      <c r="BC287" s="105"/>
      <c r="BD287" s="105"/>
      <c r="BE287" s="105"/>
      <c r="BF287" s="105"/>
      <c r="BG287" s="105"/>
      <c r="BH287" s="105"/>
      <c r="BI287" s="105"/>
      <c r="BJ287" s="105"/>
      <c r="BK287" s="105"/>
      <c r="BL287" s="105"/>
      <c r="BM287" s="105"/>
      <c r="BN287" s="105"/>
      <c r="BO287" s="105"/>
      <c r="BP287" s="105"/>
      <c r="BQ287" s="105"/>
      <c r="BR287" s="105"/>
      <c r="BS287" s="105"/>
      <c r="BT287" s="105"/>
      <c r="BU287" s="105"/>
      <c r="BV287" s="105"/>
      <c r="BW287" s="105"/>
      <c r="BX287" s="28"/>
    </row>
    <row r="288" spans="1:76" s="34" customFormat="1" ht="15" hidden="1" customHeight="1" outlineLevel="1" x14ac:dyDescent="0.25">
      <c r="A288" s="392" t="str">
        <f>IF($N$19="English","J","J")</f>
        <v>J</v>
      </c>
      <c r="B288" s="422" t="e">
        <f ca="1">IF(B274,IF(ROUND(AB$36/B274,6)&lt;&gt;0,ROUND(AB$36/B274,6),NA()),NA())</f>
        <v>#N/A</v>
      </c>
      <c r="C288" s="422" t="e">
        <f ca="1">IF(C274,IF(ROUND(AC$36/C274,6)&lt;&gt;0,ROUND(AC$36/C274,6),NA()),NA())</f>
        <v>#N/A</v>
      </c>
      <c r="D288" s="422" t="e">
        <f ca="1">IF(D274,IF(ROUND(AD$36/D274,6)&lt;&gt;0,ROUND(AD$36/D274,6),NA()),NA())</f>
        <v>#N/A</v>
      </c>
      <c r="E288" s="1"/>
      <c r="H288" s="377"/>
      <c r="I288" s="95"/>
      <c r="J288" s="58"/>
      <c r="K288" s="105"/>
      <c r="L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  <c r="Y288" s="105"/>
      <c r="Z288" s="105"/>
      <c r="AA288" s="105"/>
      <c r="AB288" s="105"/>
      <c r="AC288" s="105"/>
      <c r="AD288" s="105"/>
      <c r="AE288" s="105"/>
      <c r="AF288" s="105"/>
      <c r="AG288" s="105"/>
      <c r="AH288" s="105"/>
      <c r="AI288" s="105"/>
      <c r="AJ288" s="105"/>
      <c r="AK288" s="105"/>
      <c r="AL288" s="105"/>
      <c r="AM288" s="105"/>
      <c r="AN288" s="105"/>
      <c r="AO288" s="105"/>
      <c r="AP288" s="105"/>
      <c r="AQ288" s="105"/>
      <c r="AR288" s="105"/>
      <c r="AS288" s="105"/>
      <c r="AT288" s="105"/>
      <c r="AU288" s="105"/>
      <c r="AV288" s="105"/>
      <c r="AW288" s="105"/>
      <c r="AX288" s="105"/>
      <c r="AY288" s="105"/>
      <c r="AZ288" s="105"/>
      <c r="BA288" s="105"/>
      <c r="BB288" s="105"/>
      <c r="BC288" s="105"/>
      <c r="BD288" s="105"/>
      <c r="BE288" s="105"/>
      <c r="BF288" s="105"/>
      <c r="BG288" s="105"/>
      <c r="BH288" s="105"/>
      <c r="BI288" s="105"/>
      <c r="BJ288" s="105"/>
      <c r="BK288" s="105"/>
      <c r="BL288" s="105"/>
      <c r="BM288" s="105"/>
      <c r="BN288" s="105"/>
      <c r="BO288" s="105"/>
      <c r="BP288" s="105"/>
      <c r="BQ288" s="105"/>
      <c r="BR288" s="105"/>
      <c r="BS288" s="105"/>
      <c r="BT288" s="105"/>
      <c r="BU288" s="105"/>
      <c r="BV288" s="105"/>
      <c r="BW288" s="105"/>
      <c r="BX288" s="28"/>
    </row>
    <row r="289" spans="1:76" s="34" customFormat="1" ht="15" hidden="1" customHeight="1" outlineLevel="1" x14ac:dyDescent="0.25">
      <c r="A289" s="392" t="s">
        <v>213</v>
      </c>
      <c r="B289" s="422" t="e">
        <f ca="1">IF(B275,IF(ROUND(AF$36/B275,6)&lt;&gt;0,ROUND(AF$36/B275,6),NA()),NA())</f>
        <v>#N/A</v>
      </c>
      <c r="C289" s="422" t="e">
        <f ca="1">IF(C275,IF(ROUND(AG$36/C275,6)&lt;&gt;0,ROUND(AG$36/C275,6),NA()),NA())</f>
        <v>#N/A</v>
      </c>
      <c r="D289" s="422" t="e">
        <f ca="1">IF(D275,IF(ROUND(AH$36/D275,6)&lt;&gt;0,ROUND(AH$36/D275,6),NA()),NA())</f>
        <v>#N/A</v>
      </c>
      <c r="E289" s="1"/>
      <c r="H289" s="377"/>
      <c r="I289" s="95"/>
      <c r="J289" s="58"/>
      <c r="K289" s="105"/>
      <c r="L289" s="105"/>
      <c r="M289" s="105"/>
      <c r="N289" s="105"/>
      <c r="O289" s="105"/>
      <c r="P289" s="105"/>
      <c r="Q289" s="105"/>
      <c r="R289" s="105"/>
      <c r="S289" s="105"/>
      <c r="T289" s="105"/>
      <c r="U289" s="105"/>
      <c r="V289" s="105"/>
      <c r="W289" s="105"/>
      <c r="X289" s="105"/>
      <c r="Y289" s="105"/>
      <c r="Z289" s="105"/>
      <c r="AA289" s="105"/>
      <c r="AB289" s="105"/>
      <c r="AC289" s="105"/>
      <c r="AD289" s="105"/>
      <c r="AE289" s="105"/>
      <c r="AF289" s="105"/>
      <c r="AG289" s="105"/>
      <c r="AH289" s="105"/>
      <c r="AI289" s="105"/>
      <c r="AJ289" s="105"/>
      <c r="AK289" s="105"/>
      <c r="AL289" s="105"/>
      <c r="AM289" s="105"/>
      <c r="AN289" s="105"/>
      <c r="AO289" s="105"/>
      <c r="AP289" s="105"/>
      <c r="AQ289" s="105"/>
      <c r="AR289" s="105"/>
      <c r="AS289" s="105"/>
      <c r="AT289" s="105"/>
      <c r="AU289" s="105"/>
      <c r="AV289" s="105"/>
      <c r="AW289" s="105"/>
      <c r="AX289" s="105"/>
      <c r="AY289" s="105"/>
      <c r="AZ289" s="105"/>
      <c r="BA289" s="105"/>
      <c r="BB289" s="105"/>
      <c r="BC289" s="105"/>
      <c r="BD289" s="105"/>
      <c r="BE289" s="105"/>
      <c r="BF289" s="105"/>
      <c r="BG289" s="105"/>
      <c r="BH289" s="105"/>
      <c r="BI289" s="105"/>
      <c r="BJ289" s="105"/>
      <c r="BK289" s="105"/>
      <c r="BL289" s="105"/>
      <c r="BM289" s="105"/>
      <c r="BN289" s="105"/>
      <c r="BO289" s="105"/>
      <c r="BP289" s="105"/>
      <c r="BQ289" s="105"/>
      <c r="BR289" s="105"/>
      <c r="BS289" s="105"/>
      <c r="BT289" s="105"/>
      <c r="BU289" s="105"/>
      <c r="BV289" s="105"/>
      <c r="BW289" s="105"/>
      <c r="BX289" s="28"/>
    </row>
    <row r="290" spans="1:76" s="34" customFormat="1" ht="15" hidden="1" customHeight="1" outlineLevel="1" x14ac:dyDescent="0.25">
      <c r="A290" s="392" t="s">
        <v>215</v>
      </c>
      <c r="B290" s="422" t="e">
        <f ca="1">IF(B276,IF(ROUND(AJ$36/B276,6)&lt;&gt;0,ROUND(AJ$36/B276,6),NA()),NA())</f>
        <v>#N/A</v>
      </c>
      <c r="C290" s="422" t="e">
        <f ca="1">IF(C276,IF(ROUND(AK$36/C276,6)&lt;&gt;0,ROUND(AK$36/C276,6),NA()),NA())</f>
        <v>#N/A</v>
      </c>
      <c r="D290" s="422" t="e">
        <f ca="1">IF(D276,IF(ROUND(AL$36/D276,6)&lt;&gt;0,ROUND(AL$36/D276,6),NA()),NA())</f>
        <v>#N/A</v>
      </c>
      <c r="E290" s="1"/>
      <c r="H290" s="377"/>
      <c r="I290" s="95"/>
      <c r="J290" s="58"/>
      <c r="K290" s="105"/>
      <c r="L290" s="105"/>
      <c r="M290" s="105"/>
      <c r="N290" s="105"/>
      <c r="O290" s="105"/>
      <c r="P290" s="105"/>
      <c r="Q290" s="105"/>
      <c r="R290" s="105"/>
      <c r="S290" s="105"/>
      <c r="T290" s="105"/>
      <c r="U290" s="105"/>
      <c r="V290" s="105"/>
      <c r="W290" s="105"/>
      <c r="X290" s="105"/>
      <c r="Y290" s="105"/>
      <c r="Z290" s="105"/>
      <c r="AA290" s="105"/>
      <c r="AB290" s="105"/>
      <c r="AC290" s="105"/>
      <c r="AD290" s="105"/>
      <c r="AE290" s="105"/>
      <c r="AF290" s="105"/>
      <c r="AG290" s="105"/>
      <c r="AH290" s="105"/>
      <c r="AI290" s="105"/>
      <c r="AJ290" s="105"/>
      <c r="AK290" s="105"/>
      <c r="AL290" s="105"/>
      <c r="AM290" s="105"/>
      <c r="AN290" s="105"/>
      <c r="AO290" s="105"/>
      <c r="AP290" s="105"/>
      <c r="AQ290" s="105"/>
      <c r="AR290" s="105"/>
      <c r="AS290" s="105"/>
      <c r="AT290" s="105"/>
      <c r="AU290" s="105"/>
      <c r="AV290" s="105"/>
      <c r="AW290" s="105"/>
      <c r="AX290" s="105"/>
      <c r="AY290" s="105"/>
      <c r="AZ290" s="105"/>
      <c r="BA290" s="105"/>
      <c r="BB290" s="105"/>
      <c r="BC290" s="105"/>
      <c r="BD290" s="105"/>
      <c r="BE290" s="105"/>
      <c r="BF290" s="105"/>
      <c r="BG290" s="105"/>
      <c r="BH290" s="105"/>
      <c r="BI290" s="105"/>
      <c r="BJ290" s="105"/>
      <c r="BK290" s="105"/>
      <c r="BL290" s="105"/>
      <c r="BM290" s="105"/>
      <c r="BN290" s="105"/>
      <c r="BO290" s="105"/>
      <c r="BP290" s="105"/>
      <c r="BQ290" s="105"/>
      <c r="BR290" s="105"/>
      <c r="BS290" s="105"/>
      <c r="BT290" s="105"/>
      <c r="BU290" s="105"/>
      <c r="BV290" s="105"/>
      <c r="BW290" s="105"/>
      <c r="BX290" s="28"/>
    </row>
    <row r="291" spans="1:76" s="34" customFormat="1" ht="15" hidden="1" customHeight="1" outlineLevel="1" x14ac:dyDescent="0.25">
      <c r="A291" s="392" t="s">
        <v>42</v>
      </c>
      <c r="B291" s="422" t="e">
        <f ca="1">IF(B277,IF(ROUND(AN$36/B277,6)&lt;&gt;0,ROUND(AN$36/B277,6),NA()),NA())</f>
        <v>#N/A</v>
      </c>
      <c r="C291" s="422" t="e">
        <f ca="1">IF(C277,IF(ROUND(AO$36/C277,6)&lt;&gt;0,ROUND(AO$36/C277,6),NA()),NA())</f>
        <v>#N/A</v>
      </c>
      <c r="D291" s="422" t="e">
        <f ca="1">IF(D277,IF(ROUND(AP$36/D277,6)&lt;&gt;0,ROUND(AP$36/D277,6),NA()),NA())</f>
        <v>#N/A</v>
      </c>
      <c r="E291" s="1"/>
      <c r="H291" s="377"/>
      <c r="I291" s="95"/>
      <c r="J291" s="58"/>
      <c r="K291" s="105"/>
      <c r="L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  <c r="Y291" s="105"/>
      <c r="Z291" s="105"/>
      <c r="AA291" s="105"/>
      <c r="AB291" s="105"/>
      <c r="AC291" s="105"/>
      <c r="AD291" s="105"/>
      <c r="AE291" s="105"/>
      <c r="AF291" s="105"/>
      <c r="AG291" s="105"/>
      <c r="AH291" s="105"/>
      <c r="AI291" s="105"/>
      <c r="AJ291" s="105"/>
      <c r="AK291" s="105"/>
      <c r="AL291" s="105"/>
      <c r="AM291" s="105"/>
      <c r="AN291" s="105"/>
      <c r="AO291" s="105"/>
      <c r="AP291" s="105"/>
      <c r="AQ291" s="105"/>
      <c r="AR291" s="105"/>
      <c r="AS291" s="105"/>
      <c r="AT291" s="105"/>
      <c r="AU291" s="105"/>
      <c r="AV291" s="105"/>
      <c r="AW291" s="105"/>
      <c r="AX291" s="105"/>
      <c r="AY291" s="105"/>
      <c r="AZ291" s="105"/>
      <c r="BA291" s="105"/>
      <c r="BB291" s="105"/>
      <c r="BC291" s="105"/>
      <c r="BD291" s="105"/>
      <c r="BE291" s="105"/>
      <c r="BF291" s="105"/>
      <c r="BG291" s="105"/>
      <c r="BH291" s="105"/>
      <c r="BI291" s="105"/>
      <c r="BJ291" s="105"/>
      <c r="BK291" s="105"/>
      <c r="BL291" s="105"/>
      <c r="BM291" s="105"/>
      <c r="BN291" s="105"/>
      <c r="BO291" s="105"/>
      <c r="BP291" s="105"/>
      <c r="BQ291" s="105"/>
      <c r="BR291" s="105"/>
      <c r="BS291" s="105"/>
      <c r="BT291" s="105"/>
      <c r="BU291" s="105"/>
      <c r="BV291" s="105"/>
      <c r="BW291" s="105"/>
      <c r="BX291" s="28"/>
    </row>
    <row r="292" spans="1:76" s="34" customFormat="1" ht="15" hidden="1" customHeight="1" outlineLevel="1" x14ac:dyDescent="0.25">
      <c r="A292" s="392" t="s">
        <v>215</v>
      </c>
      <c r="B292" s="422" t="e">
        <f ca="1">IF(B278,IF(ROUND(AR$36/B278,6)&lt;&gt;0,ROUND(AR$36/B278,6),NA()),NA())</f>
        <v>#N/A</v>
      </c>
      <c r="C292" s="422" t="e">
        <f ca="1">IF(C278,IF(ROUND(AS$36/C278,6)&lt;&gt;0,ROUND(AS$36/C278,6),NA()),NA())</f>
        <v>#N/A</v>
      </c>
      <c r="D292" s="422" t="e">
        <f ca="1">IF(D278,IF(ROUND(AT$36/D278,6)&lt;&gt;0,ROUND(AT$36/D278,6),NA()),NA())</f>
        <v>#N/A</v>
      </c>
      <c r="E292" s="1"/>
      <c r="H292" s="377"/>
      <c r="I292" s="95"/>
      <c r="J292" s="58"/>
      <c r="K292" s="105"/>
      <c r="L292" s="105"/>
      <c r="M292" s="105"/>
      <c r="N292" s="105"/>
      <c r="O292" s="105"/>
      <c r="P292" s="105"/>
      <c r="Q292" s="105"/>
      <c r="R292" s="105"/>
      <c r="S292" s="105"/>
      <c r="T292" s="105"/>
      <c r="U292" s="105"/>
      <c r="V292" s="105"/>
      <c r="W292" s="105"/>
      <c r="X292" s="105"/>
      <c r="Y292" s="105"/>
      <c r="Z292" s="105"/>
      <c r="AA292" s="105"/>
      <c r="AB292" s="105"/>
      <c r="AC292" s="105"/>
      <c r="AD292" s="105"/>
      <c r="AE292" s="105"/>
      <c r="AF292" s="105"/>
      <c r="AG292" s="105"/>
      <c r="AH292" s="105"/>
      <c r="AI292" s="105"/>
      <c r="AJ292" s="105"/>
      <c r="AK292" s="105"/>
      <c r="AL292" s="105"/>
      <c r="AM292" s="105"/>
      <c r="AN292" s="105"/>
      <c r="AO292" s="105"/>
      <c r="AP292" s="105"/>
      <c r="AQ292" s="105"/>
      <c r="AR292" s="105"/>
      <c r="AS292" s="105"/>
      <c r="AT292" s="105"/>
      <c r="AU292" s="105"/>
      <c r="AV292" s="105"/>
      <c r="AW292" s="105"/>
      <c r="AX292" s="105"/>
      <c r="AY292" s="105"/>
      <c r="AZ292" s="105"/>
      <c r="BA292" s="105"/>
      <c r="BB292" s="105"/>
      <c r="BC292" s="105"/>
      <c r="BD292" s="105"/>
      <c r="BE292" s="105"/>
      <c r="BF292" s="105"/>
      <c r="BG292" s="105"/>
      <c r="BH292" s="105"/>
      <c r="BI292" s="105"/>
      <c r="BJ292" s="105"/>
      <c r="BK292" s="105"/>
      <c r="BL292" s="105"/>
      <c r="BM292" s="105"/>
      <c r="BN292" s="105"/>
      <c r="BO292" s="105"/>
      <c r="BP292" s="105"/>
      <c r="BQ292" s="105"/>
      <c r="BR292" s="105"/>
      <c r="BS292" s="105"/>
      <c r="BT292" s="105"/>
      <c r="BU292" s="105"/>
      <c r="BV292" s="105"/>
      <c r="BW292" s="105"/>
      <c r="BX292" s="28"/>
    </row>
    <row r="293" spans="1:76" s="34" customFormat="1" ht="15" hidden="1" customHeight="1" outlineLevel="1" x14ac:dyDescent="0.25">
      <c r="A293" s="392" t="s">
        <v>263</v>
      </c>
      <c r="B293" s="422" t="e">
        <f ca="1">IF(B279,IF(ROUND(AV$36/B279,6)&lt;&gt;0,ROUND(AV$36/B279,6),NA()),NA())</f>
        <v>#N/A</v>
      </c>
      <c r="C293" s="422" t="e">
        <f ca="1">IF(C279,IF(ROUND(AW$36/C279,6)&lt;&gt;0,ROUND(AW$36/C279,6),NA()),NA())</f>
        <v>#N/A</v>
      </c>
      <c r="D293" s="422" t="e">
        <f ca="1">IF(D279,IF(ROUND(AX$36/D279,6)&lt;&gt;0,ROUND(AX$36/D279,6),NA()),NA())</f>
        <v>#N/A</v>
      </c>
      <c r="E293" s="1"/>
      <c r="H293" s="377"/>
      <c r="I293" s="95"/>
      <c r="J293" s="58"/>
      <c r="K293" s="105"/>
      <c r="L293" s="105"/>
      <c r="M293" s="105"/>
      <c r="N293" s="105"/>
      <c r="O293" s="105"/>
      <c r="P293" s="105"/>
      <c r="Q293" s="105"/>
      <c r="R293" s="105"/>
      <c r="S293" s="105"/>
      <c r="T293" s="105"/>
      <c r="U293" s="105"/>
      <c r="V293" s="105"/>
      <c r="W293" s="105"/>
      <c r="X293" s="105"/>
      <c r="Y293" s="105"/>
      <c r="Z293" s="105"/>
      <c r="AA293" s="105"/>
      <c r="AB293" s="105"/>
      <c r="AC293" s="105"/>
      <c r="AD293" s="105"/>
      <c r="AE293" s="105"/>
      <c r="AF293" s="105"/>
      <c r="AG293" s="105"/>
      <c r="AH293" s="105"/>
      <c r="AI293" s="105"/>
      <c r="AJ293" s="105"/>
      <c r="AK293" s="105"/>
      <c r="AL293" s="105"/>
      <c r="AM293" s="105"/>
      <c r="AN293" s="105"/>
      <c r="AO293" s="105"/>
      <c r="AP293" s="105"/>
      <c r="AQ293" s="105"/>
      <c r="AR293" s="105"/>
      <c r="AS293" s="105"/>
      <c r="AT293" s="105"/>
      <c r="AU293" s="105"/>
      <c r="AV293" s="105"/>
      <c r="AW293" s="105"/>
      <c r="AX293" s="105"/>
      <c r="AY293" s="105"/>
      <c r="AZ293" s="105"/>
      <c r="BA293" s="105"/>
      <c r="BB293" s="105"/>
      <c r="BC293" s="105"/>
      <c r="BD293" s="105"/>
      <c r="BE293" s="105"/>
      <c r="BF293" s="105"/>
      <c r="BG293" s="105"/>
      <c r="BH293" s="105"/>
      <c r="BI293" s="105"/>
      <c r="BJ293" s="105"/>
      <c r="BK293" s="105"/>
      <c r="BL293" s="105"/>
      <c r="BM293" s="105"/>
      <c r="BN293" s="105"/>
      <c r="BO293" s="105"/>
      <c r="BP293" s="105"/>
      <c r="BQ293" s="105"/>
      <c r="BR293" s="105"/>
      <c r="BS293" s="105"/>
      <c r="BT293" s="105"/>
      <c r="BU293" s="105"/>
      <c r="BV293" s="105"/>
      <c r="BW293" s="105"/>
      <c r="BX293" s="28"/>
    </row>
    <row r="294" spans="1:76" s="34" customFormat="1" ht="15" hidden="1" customHeight="1" outlineLevel="1" x14ac:dyDescent="0.25">
      <c r="A294" s="392" t="s">
        <v>263</v>
      </c>
      <c r="B294" s="422" t="e">
        <f ca="1">IF(B280,IF(ROUND(AZ$36/B280,6)&lt;&gt;0,ROUND(AZ$36/B280,6),NA()),NA())</f>
        <v>#N/A</v>
      </c>
      <c r="C294" s="422" t="e">
        <f ca="1">IF(C280,IF(ROUND(BA$36/C280,6)&lt;&gt;0,ROUND(BA$36/C280,6),NA()),NA())</f>
        <v>#N/A</v>
      </c>
      <c r="D294" s="422" t="e">
        <f ca="1">IF(D280,IF(ROUND(BB$36/D280,6)&lt;&gt;0,ROUND(BB$36/D280,6),NA()),NA())</f>
        <v>#N/A</v>
      </c>
      <c r="E294" s="1"/>
      <c r="H294" s="377"/>
      <c r="I294" s="95"/>
      <c r="J294" s="58"/>
      <c r="K294" s="105"/>
      <c r="L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  <c r="Y294" s="105"/>
      <c r="Z294" s="105"/>
      <c r="AA294" s="105"/>
      <c r="AB294" s="105"/>
      <c r="AC294" s="105"/>
      <c r="AD294" s="105"/>
      <c r="AE294" s="105"/>
      <c r="AF294" s="105"/>
      <c r="AG294" s="105"/>
      <c r="AH294" s="105"/>
      <c r="AI294" s="105"/>
      <c r="AJ294" s="105"/>
      <c r="AK294" s="105"/>
      <c r="AL294" s="105"/>
      <c r="AM294" s="105"/>
      <c r="AN294" s="105"/>
      <c r="AO294" s="105"/>
      <c r="AP294" s="105"/>
      <c r="AQ294" s="105"/>
      <c r="AR294" s="105"/>
      <c r="AS294" s="105"/>
      <c r="AT294" s="105"/>
      <c r="AU294" s="105"/>
      <c r="AV294" s="105"/>
      <c r="AW294" s="105"/>
      <c r="AX294" s="105"/>
      <c r="AY294" s="105"/>
      <c r="AZ294" s="105"/>
      <c r="BA294" s="105"/>
      <c r="BB294" s="105"/>
      <c r="BC294" s="105"/>
      <c r="BD294" s="105"/>
      <c r="BE294" s="105"/>
      <c r="BF294" s="105"/>
      <c r="BG294" s="105"/>
      <c r="BH294" s="105"/>
      <c r="BI294" s="105"/>
      <c r="BJ294" s="105"/>
      <c r="BK294" s="105"/>
      <c r="BL294" s="105"/>
      <c r="BM294" s="105"/>
      <c r="BN294" s="105"/>
      <c r="BO294" s="105"/>
      <c r="BP294" s="105"/>
      <c r="BQ294" s="105"/>
      <c r="BR294" s="105"/>
      <c r="BS294" s="105"/>
      <c r="BT294" s="105"/>
      <c r="BU294" s="105"/>
      <c r="BV294" s="105"/>
      <c r="BW294" s="105"/>
      <c r="BX294" s="28"/>
    </row>
    <row r="295" spans="1:76" s="34" customFormat="1" ht="15" hidden="1" customHeight="1" outlineLevel="1" x14ac:dyDescent="0.25">
      <c r="A295" s="392" t="s">
        <v>42</v>
      </c>
      <c r="B295" s="422" t="e">
        <f ca="1">IF(B281,IF(ROUND(BD$36/B281,6)&lt;&gt;0,ROUND(BD$36/B281,6),NA()),NA())</f>
        <v>#N/A</v>
      </c>
      <c r="C295" s="422" t="e">
        <f ca="1">IF(C281,IF(ROUND(BE$36/C281,6)&lt;&gt;0,ROUND(BE$36/C281,6),NA()),NA())</f>
        <v>#N/A</v>
      </c>
      <c r="D295" s="422" t="e">
        <f ca="1">IF(D281,IF(ROUND(BF$36/D281,6)&lt;&gt;0,ROUND(BF$36/D281,6),NA()),NA())</f>
        <v>#N/A</v>
      </c>
      <c r="E295" s="1"/>
      <c r="H295" s="377"/>
      <c r="I295" s="95"/>
      <c r="J295" s="58"/>
      <c r="K295" s="603" t="str">
        <f ca="1">MID(IF(OR(O330="Not defined",O330="Non défini",O332="Not defined",O332="Non défini"),_xll.DBRA(Server&amp;$B$32,$B320,$N$19),_xll.DBRA(Server&amp;Context!$B$32,Context!$B$47,$N$19)&amp;" "&amp;O332),6,256)</f>
        <v>Revenue per Price Work Unit</v>
      </c>
      <c r="L295" s="603"/>
      <c r="M295" s="603"/>
      <c r="N295" s="603"/>
      <c r="O295" s="603"/>
      <c r="P295" s="603"/>
      <c r="Q295" s="603"/>
      <c r="R295" s="603"/>
      <c r="S295" s="603"/>
      <c r="T295" s="105"/>
      <c r="U295" s="105"/>
      <c r="V295" s="105"/>
      <c r="W295" s="105"/>
      <c r="X295" s="105"/>
      <c r="Y295" s="105"/>
      <c r="Z295" s="105"/>
      <c r="AA295" s="105"/>
      <c r="AB295" s="105"/>
      <c r="AC295" s="105"/>
      <c r="AD295" s="105"/>
      <c r="AE295" s="105"/>
      <c r="AF295" s="105"/>
      <c r="AG295" s="105"/>
      <c r="AH295" s="105"/>
      <c r="AI295" s="105"/>
      <c r="AJ295" s="105"/>
      <c r="AK295" s="105"/>
      <c r="AL295" s="105"/>
      <c r="AM295" s="105"/>
      <c r="AN295" s="105"/>
      <c r="AO295" s="105"/>
      <c r="AP295" s="105"/>
      <c r="AQ295" s="105"/>
      <c r="AR295" s="105"/>
      <c r="AS295" s="105"/>
      <c r="AT295" s="105"/>
      <c r="AU295" s="105"/>
      <c r="AV295" s="105"/>
      <c r="AW295" s="105"/>
      <c r="AX295" s="105"/>
      <c r="AY295" s="105"/>
      <c r="AZ295" s="105"/>
      <c r="BA295" s="105"/>
      <c r="BB295" s="105"/>
      <c r="BC295" s="105"/>
      <c r="BD295" s="105"/>
      <c r="BE295" s="105"/>
      <c r="BF295" s="105"/>
      <c r="BG295" s="105"/>
      <c r="BH295" s="105"/>
      <c r="BI295" s="105"/>
      <c r="BJ295" s="105"/>
      <c r="BK295" s="105"/>
      <c r="BL295" s="105"/>
      <c r="BM295" s="105"/>
      <c r="BN295" s="105"/>
      <c r="BO295" s="105"/>
      <c r="BP295" s="105"/>
      <c r="BQ295" s="105"/>
      <c r="BR295" s="105"/>
      <c r="BS295" s="105"/>
      <c r="BT295" s="105"/>
      <c r="BU295" s="105"/>
      <c r="BV295" s="105"/>
      <c r="BW295" s="105"/>
      <c r="BX295" s="28"/>
    </row>
    <row r="296" spans="1:76" s="34" customFormat="1" ht="15" hidden="1" customHeight="1" outlineLevel="1" x14ac:dyDescent="0.25">
      <c r="A296" s="392" t="s">
        <v>264</v>
      </c>
      <c r="B296" s="422" t="e">
        <f ca="1">IF(B282,IF(ROUND(BH$36/B282,6)&lt;&gt;0,ROUND(BH$36/B282,6),NA()),NA())</f>
        <v>#N/A</v>
      </c>
      <c r="C296" s="422" t="e">
        <f ca="1">IF(C282,IF(ROUND(BI$36/C282,6)&lt;&gt;0,ROUND(BI$36/C282,6),NA()),NA())</f>
        <v>#N/A</v>
      </c>
      <c r="D296" s="422" t="e">
        <f ca="1">IF(D282,IF(ROUND(BJ$36/D282,6)&lt;&gt;0,ROUND(BJ$36/D282,6),NA()),NA())</f>
        <v>#N/A</v>
      </c>
      <c r="E296" s="1"/>
      <c r="H296" s="377"/>
      <c r="I296" s="95"/>
      <c r="J296" s="58"/>
      <c r="K296" s="105"/>
      <c r="L296" s="105"/>
      <c r="M296" s="105"/>
      <c r="N296" s="105"/>
      <c r="O296" s="105"/>
      <c r="P296" s="105"/>
      <c r="Q296" s="105"/>
      <c r="R296" s="105"/>
      <c r="S296" s="105"/>
      <c r="T296" s="105"/>
      <c r="U296" s="105"/>
      <c r="V296" s="105"/>
      <c r="W296" s="105"/>
      <c r="X296" s="105"/>
      <c r="Y296" s="105"/>
      <c r="Z296" s="105"/>
      <c r="AA296" s="105"/>
      <c r="AB296" s="105"/>
      <c r="AC296" s="105"/>
      <c r="AD296" s="105"/>
      <c r="AE296" s="105"/>
      <c r="AF296" s="105"/>
      <c r="AG296" s="105"/>
      <c r="AH296" s="105"/>
      <c r="AI296" s="105"/>
      <c r="AJ296" s="105"/>
      <c r="AK296" s="105"/>
      <c r="AL296" s="105"/>
      <c r="AM296" s="105"/>
      <c r="AN296" s="105"/>
      <c r="AO296" s="105"/>
      <c r="AP296" s="105"/>
      <c r="AQ296" s="105"/>
      <c r="AR296" s="105"/>
      <c r="AS296" s="105"/>
      <c r="AT296" s="105"/>
      <c r="AU296" s="105"/>
      <c r="AV296" s="105"/>
      <c r="AW296" s="105"/>
      <c r="AX296" s="105"/>
      <c r="AY296" s="105"/>
      <c r="AZ296" s="105"/>
      <c r="BA296" s="105"/>
      <c r="BB296" s="105"/>
      <c r="BC296" s="105"/>
      <c r="BD296" s="105"/>
      <c r="BE296" s="105"/>
      <c r="BF296" s="105"/>
      <c r="BG296" s="105"/>
      <c r="BH296" s="105"/>
      <c r="BI296" s="105"/>
      <c r="BJ296" s="105"/>
      <c r="BK296" s="105"/>
      <c r="BL296" s="105"/>
      <c r="BM296" s="105"/>
      <c r="BN296" s="105"/>
      <c r="BO296" s="105"/>
      <c r="BP296" s="105"/>
      <c r="BQ296" s="105"/>
      <c r="BR296" s="105"/>
      <c r="BS296" s="105"/>
      <c r="BT296" s="105"/>
      <c r="BU296" s="105"/>
      <c r="BV296" s="105"/>
      <c r="BW296" s="105"/>
      <c r="BX296" s="28"/>
    </row>
    <row r="297" spans="1:76" s="34" customFormat="1" ht="15" hidden="1" customHeight="1" outlineLevel="1" x14ac:dyDescent="0.25">
      <c r="A297" s="392" t="s">
        <v>212</v>
      </c>
      <c r="B297" s="422" t="e">
        <f ca="1">IF(B283,IF(ROUND(BL$36/B283,6)&lt;&gt;0,ROUND(BL$36/B283,6),NA()),NA())</f>
        <v>#N/A</v>
      </c>
      <c r="C297" s="422" t="e">
        <f ca="1">IF(C283,IF(ROUND(BM$36/C283,6)&lt;&gt;0,ROUND(BM$36/C283,6),NA()),NA())</f>
        <v>#N/A</v>
      </c>
      <c r="D297" s="422" t="e">
        <f ca="1">IF(D283,IF(ROUND(BN$36/D283,6)&lt;&gt;0,ROUND(BN$36/D283,6),NA()),NA())</f>
        <v>#N/A</v>
      </c>
      <c r="E297" s="1"/>
      <c r="H297" s="377"/>
      <c r="I297" s="95"/>
      <c r="J297" s="58"/>
      <c r="K297" s="105"/>
      <c r="L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  <c r="Y297" s="105"/>
      <c r="Z297" s="105"/>
      <c r="AA297" s="105"/>
      <c r="AB297" s="105"/>
      <c r="AC297" s="105"/>
      <c r="AD297" s="105"/>
      <c r="AE297" s="105"/>
      <c r="AF297" s="105"/>
      <c r="AG297" s="105"/>
      <c r="AH297" s="105"/>
      <c r="AI297" s="105"/>
      <c r="AJ297" s="105"/>
      <c r="AK297" s="105"/>
      <c r="AL297" s="105"/>
      <c r="AM297" s="105"/>
      <c r="AN297" s="105"/>
      <c r="AO297" s="105"/>
      <c r="AP297" s="105"/>
      <c r="AQ297" s="105"/>
      <c r="AR297" s="105"/>
      <c r="AS297" s="105"/>
      <c r="AT297" s="105"/>
      <c r="AU297" s="105"/>
      <c r="AV297" s="105"/>
      <c r="AW297" s="105"/>
      <c r="AX297" s="105"/>
      <c r="AY297" s="105"/>
      <c r="AZ297" s="105"/>
      <c r="BA297" s="105"/>
      <c r="BB297" s="105"/>
      <c r="BC297" s="105"/>
      <c r="BD297" s="105"/>
      <c r="BE297" s="105"/>
      <c r="BF297" s="105"/>
      <c r="BG297" s="105"/>
      <c r="BH297" s="105"/>
      <c r="BI297" s="105"/>
      <c r="BJ297" s="105"/>
      <c r="BK297" s="105"/>
      <c r="BL297" s="105"/>
      <c r="BM297" s="105"/>
      <c r="BN297" s="105"/>
      <c r="BO297" s="105"/>
      <c r="BP297" s="105"/>
      <c r="BQ297" s="105"/>
      <c r="BR297" s="105"/>
      <c r="BS297" s="105"/>
      <c r="BT297" s="105"/>
      <c r="BU297" s="105"/>
      <c r="BV297" s="105"/>
      <c r="BW297" s="105"/>
      <c r="BX297" s="28"/>
    </row>
    <row r="298" spans="1:76" s="34" customFormat="1" ht="15" hidden="1" customHeight="1" outlineLevel="1" x14ac:dyDescent="0.25">
      <c r="A298" s="392" t="s">
        <v>257</v>
      </c>
      <c r="B298" s="422" t="e">
        <f ca="1">IF(B284,IF(ROUND(BP$36/B284,6)&lt;&gt;0,ROUND(BP$36/B284,6),NA()),NA())</f>
        <v>#N/A</v>
      </c>
      <c r="C298" s="422" t="e">
        <f ca="1">IF(C284,IF(ROUND(BQ$36/C284,6)&lt;&gt;0,ROUND(BQ$36/C284,6),NA()),NA())</f>
        <v>#N/A</v>
      </c>
      <c r="D298" s="422" t="e">
        <f ca="1">IF(D284,IF(ROUND(BR$36/D284,6)&lt;&gt;0,ROUND(BR$36/D284,6),NA()),NA())</f>
        <v>#N/A</v>
      </c>
      <c r="E298" s="1"/>
      <c r="H298" s="377"/>
      <c r="I298" s="95"/>
      <c r="J298" s="58"/>
      <c r="K298" s="105"/>
      <c r="L298" s="105"/>
      <c r="M298" s="105"/>
      <c r="N298" s="105"/>
      <c r="O298" s="105"/>
      <c r="P298" s="105"/>
      <c r="Q298" s="105"/>
      <c r="R298" s="105"/>
      <c r="S298" s="105"/>
      <c r="T298" s="105"/>
      <c r="U298" s="105"/>
      <c r="V298" s="105"/>
      <c r="W298" s="105"/>
      <c r="X298" s="105"/>
      <c r="Y298" s="105"/>
      <c r="Z298" s="105"/>
      <c r="AA298" s="105"/>
      <c r="AB298" s="105"/>
      <c r="AC298" s="105"/>
      <c r="AD298" s="105"/>
      <c r="AE298" s="105"/>
      <c r="AF298" s="105"/>
      <c r="AG298" s="105"/>
      <c r="AH298" s="105"/>
      <c r="AI298" s="105"/>
      <c r="AJ298" s="105"/>
      <c r="AK298" s="105"/>
      <c r="AL298" s="105"/>
      <c r="AM298" s="105"/>
      <c r="AN298" s="105"/>
      <c r="AO298" s="105"/>
      <c r="AP298" s="105"/>
      <c r="AQ298" s="105"/>
      <c r="AR298" s="105"/>
      <c r="AS298" s="105"/>
      <c r="AT298" s="105"/>
      <c r="AU298" s="105"/>
      <c r="AV298" s="105"/>
      <c r="AW298" s="105"/>
      <c r="AX298" s="105"/>
      <c r="AY298" s="105"/>
      <c r="AZ298" s="105"/>
      <c r="BA298" s="105"/>
      <c r="BB298" s="105"/>
      <c r="BC298" s="105"/>
      <c r="BD298" s="105"/>
      <c r="BE298" s="105"/>
      <c r="BF298" s="105"/>
      <c r="BG298" s="105"/>
      <c r="BH298" s="105"/>
      <c r="BI298" s="105"/>
      <c r="BJ298" s="105"/>
      <c r="BK298" s="105"/>
      <c r="BL298" s="105"/>
      <c r="BM298" s="105"/>
      <c r="BN298" s="105"/>
      <c r="BO298" s="105"/>
      <c r="BP298" s="105"/>
      <c r="BQ298" s="105"/>
      <c r="BR298" s="105"/>
      <c r="BS298" s="105"/>
      <c r="BT298" s="105"/>
      <c r="BU298" s="105"/>
      <c r="BV298" s="105"/>
      <c r="BW298" s="105"/>
      <c r="BX298" s="28"/>
    </row>
    <row r="299" spans="1:76" s="34" customFormat="1" ht="15" hidden="1" customHeight="1" outlineLevel="1" x14ac:dyDescent="0.25">
      <c r="A299" s="392" t="s">
        <v>216</v>
      </c>
      <c r="B299" s="422" t="e">
        <f ca="1">IF(B285,IF(ROUND(BT$36/B285,6)&lt;&gt;0,ROUND(BT$36/B285,6),NA()),NA())</f>
        <v>#N/A</v>
      </c>
      <c r="C299" s="422" t="e">
        <f ca="1">IF(C285,IF(ROUND(BU$36/C285,6)&lt;&gt;0,ROUND(BU$36/C285,6),NA()),NA())</f>
        <v>#N/A</v>
      </c>
      <c r="D299" s="422" t="e">
        <f ca="1">IF(D285,IF(ROUND(BV$36/D285,6)&lt;&gt;0,ROUND(BV$36/D285,6),NA()),NA())</f>
        <v>#N/A</v>
      </c>
      <c r="E299" s="1"/>
      <c r="H299" s="377"/>
      <c r="I299" s="95"/>
      <c r="J299" s="58"/>
      <c r="K299" s="105"/>
      <c r="L299" s="105"/>
      <c r="M299" s="105"/>
      <c r="N299" s="105"/>
      <c r="O299" s="105"/>
      <c r="P299" s="105"/>
      <c r="Q299" s="105"/>
      <c r="R299" s="105"/>
      <c r="S299" s="105"/>
      <c r="T299" s="105"/>
      <c r="U299" s="105"/>
      <c r="V299" s="105"/>
      <c r="W299" s="105"/>
      <c r="X299" s="105"/>
      <c r="Y299" s="105"/>
      <c r="Z299" s="105"/>
      <c r="AA299" s="105"/>
      <c r="AB299" s="105"/>
      <c r="AC299" s="105"/>
      <c r="AD299" s="105"/>
      <c r="AE299" s="105"/>
      <c r="AF299" s="105"/>
      <c r="AG299" s="105"/>
      <c r="AH299" s="105"/>
      <c r="AI299" s="105"/>
      <c r="AJ299" s="105"/>
      <c r="AK299" s="105"/>
      <c r="AL299" s="105"/>
      <c r="AM299" s="105"/>
      <c r="AN299" s="105"/>
      <c r="AO299" s="105"/>
      <c r="AP299" s="105"/>
      <c r="AQ299" s="105"/>
      <c r="AR299" s="105"/>
      <c r="AS299" s="105"/>
      <c r="AT299" s="105"/>
      <c r="AU299" s="105"/>
      <c r="AV299" s="105"/>
      <c r="AW299" s="105"/>
      <c r="AX299" s="105"/>
      <c r="AY299" s="105"/>
      <c r="AZ299" s="105"/>
      <c r="BA299" s="105"/>
      <c r="BB299" s="105"/>
      <c r="BC299" s="105"/>
      <c r="BD299" s="105"/>
      <c r="BE299" s="105"/>
      <c r="BF299" s="105"/>
      <c r="BG299" s="105"/>
      <c r="BH299" s="105"/>
      <c r="BI299" s="105"/>
      <c r="BJ299" s="105"/>
      <c r="BK299" s="105"/>
      <c r="BL299" s="105"/>
      <c r="BM299" s="105"/>
      <c r="BN299" s="105"/>
      <c r="BO299" s="105"/>
      <c r="BP299" s="105"/>
      <c r="BQ299" s="105"/>
      <c r="BR299" s="105"/>
      <c r="BS299" s="105"/>
      <c r="BT299" s="105"/>
      <c r="BU299" s="105"/>
      <c r="BV299" s="105"/>
      <c r="BW299" s="105"/>
      <c r="BX299" s="28"/>
    </row>
    <row r="300" spans="1:76" s="34" customFormat="1" ht="12.75" hidden="1" customHeight="1" outlineLevel="1" x14ac:dyDescent="0.25">
      <c r="A300" s="57"/>
      <c r="B300" s="377"/>
      <c r="C300" s="9"/>
      <c r="D300" s="1"/>
      <c r="E300" s="1"/>
      <c r="H300" s="377"/>
      <c r="I300" s="95"/>
      <c r="J300" s="58"/>
      <c r="K300" s="105"/>
      <c r="L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  <c r="AA300" s="105"/>
      <c r="AB300" s="105"/>
      <c r="AC300" s="105"/>
      <c r="AD300" s="105"/>
      <c r="AE300" s="105"/>
      <c r="AF300" s="105"/>
      <c r="AG300" s="105"/>
      <c r="AH300" s="105"/>
      <c r="AI300" s="105"/>
      <c r="AJ300" s="105"/>
      <c r="AK300" s="105"/>
      <c r="AL300" s="105"/>
      <c r="AM300" s="105"/>
      <c r="AN300" s="105"/>
      <c r="AO300" s="105"/>
      <c r="AP300" s="105"/>
      <c r="AQ300" s="105"/>
      <c r="AR300" s="105"/>
      <c r="AS300" s="105"/>
      <c r="AT300" s="105"/>
      <c r="AU300" s="105"/>
      <c r="AV300" s="105"/>
      <c r="AW300" s="105"/>
      <c r="AX300" s="105"/>
      <c r="AY300" s="105"/>
      <c r="AZ300" s="105"/>
      <c r="BA300" s="105"/>
      <c r="BB300" s="105"/>
      <c r="BC300" s="105"/>
      <c r="BD300" s="105"/>
      <c r="BE300" s="105"/>
      <c r="BF300" s="105"/>
      <c r="BG300" s="105"/>
      <c r="BH300" s="105"/>
      <c r="BI300" s="105"/>
      <c r="BJ300" s="105"/>
      <c r="BK300" s="105"/>
      <c r="BL300" s="105"/>
      <c r="BM300" s="105"/>
      <c r="BN300" s="105"/>
      <c r="BO300" s="105"/>
      <c r="BP300" s="105"/>
      <c r="BQ300" s="105"/>
      <c r="BR300" s="105"/>
      <c r="BS300" s="105"/>
      <c r="BT300" s="105"/>
      <c r="BU300" s="105"/>
      <c r="BV300" s="105"/>
      <c r="BW300" s="105"/>
      <c r="BX300" s="28"/>
    </row>
    <row r="301" spans="1:76" s="34" customFormat="1" ht="12.75" hidden="1" customHeight="1" outlineLevel="1" x14ac:dyDescent="0.25">
      <c r="A301" s="57"/>
      <c r="B301" s="377"/>
      <c r="C301" s="9"/>
      <c r="D301" s="1"/>
      <c r="E301" s="1"/>
      <c r="H301" s="377"/>
      <c r="I301" s="95"/>
      <c r="J301" s="58"/>
      <c r="K301" s="105"/>
      <c r="L301" s="105"/>
      <c r="M301" s="105"/>
      <c r="N301" s="105"/>
      <c r="O301" s="105"/>
      <c r="P301" s="105"/>
      <c r="Q301" s="105"/>
      <c r="R301" s="105"/>
      <c r="S301" s="105"/>
      <c r="T301" s="105"/>
      <c r="U301" s="105"/>
      <c r="V301" s="105"/>
      <c r="W301" s="105"/>
      <c r="X301" s="105"/>
      <c r="Y301" s="105"/>
      <c r="Z301" s="105"/>
      <c r="AA301" s="105"/>
      <c r="AB301" s="105"/>
      <c r="AC301" s="105"/>
      <c r="AD301" s="105"/>
      <c r="AE301" s="105"/>
      <c r="AF301" s="105"/>
      <c r="AG301" s="105"/>
      <c r="AH301" s="105"/>
      <c r="AI301" s="105"/>
      <c r="AJ301" s="105"/>
      <c r="AK301" s="105"/>
      <c r="AL301" s="105"/>
      <c r="AM301" s="105"/>
      <c r="AN301" s="105"/>
      <c r="AO301" s="105"/>
      <c r="AP301" s="105"/>
      <c r="AQ301" s="105"/>
      <c r="AR301" s="105"/>
      <c r="AS301" s="105"/>
      <c r="AT301" s="105"/>
      <c r="AU301" s="105"/>
      <c r="AV301" s="105"/>
      <c r="AW301" s="105"/>
      <c r="AX301" s="105"/>
      <c r="AY301" s="105"/>
      <c r="AZ301" s="105"/>
      <c r="BA301" s="105"/>
      <c r="BB301" s="105"/>
      <c r="BC301" s="105"/>
      <c r="BD301" s="105"/>
      <c r="BE301" s="105"/>
      <c r="BF301" s="105"/>
      <c r="BG301" s="105"/>
      <c r="BH301" s="105"/>
      <c r="BI301" s="105"/>
      <c r="BJ301" s="105"/>
      <c r="BK301" s="105"/>
      <c r="BL301" s="105"/>
      <c r="BM301" s="105"/>
      <c r="BN301" s="105"/>
      <c r="BO301" s="105"/>
      <c r="BP301" s="105"/>
      <c r="BQ301" s="105"/>
      <c r="BR301" s="105"/>
      <c r="BS301" s="105"/>
      <c r="BT301" s="105"/>
      <c r="BU301" s="105"/>
      <c r="BV301" s="105"/>
      <c r="BW301" s="105"/>
      <c r="BX301" s="28"/>
    </row>
    <row r="302" spans="1:76" s="34" customFormat="1" ht="12.75" hidden="1" customHeight="1" outlineLevel="1" x14ac:dyDescent="0.25">
      <c r="A302" s="57"/>
      <c r="B302" s="377"/>
      <c r="C302" s="9"/>
      <c r="D302" s="1"/>
      <c r="E302" s="1"/>
      <c r="H302" s="377"/>
      <c r="I302" s="95"/>
      <c r="J302" s="58"/>
      <c r="K302" s="105"/>
      <c r="L302" s="105"/>
      <c r="M302" s="105"/>
      <c r="N302" s="105"/>
      <c r="O302" s="105"/>
      <c r="P302" s="105"/>
      <c r="Q302" s="105"/>
      <c r="R302" s="105"/>
      <c r="S302" s="105"/>
      <c r="T302" s="105"/>
      <c r="U302" s="105"/>
      <c r="V302" s="105"/>
      <c r="W302" s="105"/>
      <c r="X302" s="105"/>
      <c r="Y302" s="105"/>
      <c r="Z302" s="105"/>
      <c r="AA302" s="105"/>
      <c r="AB302" s="105"/>
      <c r="AC302" s="105"/>
      <c r="AD302" s="105"/>
      <c r="AE302" s="105"/>
      <c r="AF302" s="105"/>
      <c r="AG302" s="105"/>
      <c r="AH302" s="105"/>
      <c r="AI302" s="105"/>
      <c r="AJ302" s="105"/>
      <c r="AK302" s="105"/>
      <c r="AL302" s="105"/>
      <c r="AM302" s="105"/>
      <c r="AN302" s="105"/>
      <c r="AO302" s="105"/>
      <c r="AP302" s="105"/>
      <c r="AQ302" s="105"/>
      <c r="AR302" s="105"/>
      <c r="AS302" s="105"/>
      <c r="AT302" s="105"/>
      <c r="AU302" s="105"/>
      <c r="AV302" s="105"/>
      <c r="AW302" s="105"/>
      <c r="AX302" s="105"/>
      <c r="AY302" s="105"/>
      <c r="AZ302" s="105"/>
      <c r="BA302" s="105"/>
      <c r="BB302" s="105"/>
      <c r="BC302" s="105"/>
      <c r="BD302" s="105"/>
      <c r="BE302" s="105"/>
      <c r="BF302" s="105"/>
      <c r="BG302" s="105"/>
      <c r="BH302" s="105"/>
      <c r="BI302" s="105"/>
      <c r="BJ302" s="105"/>
      <c r="BK302" s="105"/>
      <c r="BL302" s="105"/>
      <c r="BM302" s="105"/>
      <c r="BN302" s="105"/>
      <c r="BO302" s="105"/>
      <c r="BP302" s="105"/>
      <c r="BQ302" s="105"/>
      <c r="BR302" s="105"/>
      <c r="BS302" s="105"/>
      <c r="BT302" s="105"/>
      <c r="BU302" s="105"/>
      <c r="BV302" s="105"/>
      <c r="BW302" s="105"/>
      <c r="BX302" s="28"/>
    </row>
    <row r="303" spans="1:76" s="34" customFormat="1" ht="12.75" hidden="1" customHeight="1" outlineLevel="1" x14ac:dyDescent="0.25">
      <c r="A303" s="57"/>
      <c r="B303" s="377"/>
      <c r="C303" s="9"/>
      <c r="D303" s="1"/>
      <c r="E303" s="1"/>
      <c r="H303" s="377"/>
      <c r="I303" s="95"/>
      <c r="J303" s="58"/>
      <c r="K303" s="105"/>
      <c r="L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  <c r="Y303" s="105"/>
      <c r="Z303" s="105"/>
      <c r="AA303" s="105"/>
      <c r="AB303" s="105"/>
      <c r="AC303" s="105"/>
      <c r="AD303" s="105"/>
      <c r="AE303" s="105"/>
      <c r="AF303" s="105"/>
      <c r="AG303" s="105"/>
      <c r="AH303" s="105"/>
      <c r="AI303" s="105"/>
      <c r="AJ303" s="105"/>
      <c r="AK303" s="105"/>
      <c r="AL303" s="105"/>
      <c r="AM303" s="105"/>
      <c r="AN303" s="105"/>
      <c r="AO303" s="105"/>
      <c r="AP303" s="105"/>
      <c r="AQ303" s="105"/>
      <c r="AR303" s="105"/>
      <c r="AS303" s="105"/>
      <c r="AT303" s="105"/>
      <c r="AU303" s="105"/>
      <c r="AV303" s="105"/>
      <c r="AW303" s="105"/>
      <c r="AX303" s="105"/>
      <c r="AY303" s="105"/>
      <c r="AZ303" s="105"/>
      <c r="BA303" s="105"/>
      <c r="BB303" s="105"/>
      <c r="BC303" s="105"/>
      <c r="BD303" s="105"/>
      <c r="BE303" s="105"/>
      <c r="BF303" s="105"/>
      <c r="BG303" s="105"/>
      <c r="BH303" s="105"/>
      <c r="BI303" s="105"/>
      <c r="BJ303" s="105"/>
      <c r="BK303" s="105"/>
      <c r="BL303" s="105"/>
      <c r="BM303" s="105"/>
      <c r="BN303" s="105"/>
      <c r="BO303" s="105"/>
      <c r="BP303" s="105"/>
      <c r="BQ303" s="105"/>
      <c r="BR303" s="105"/>
      <c r="BS303" s="105"/>
      <c r="BT303" s="105"/>
      <c r="BU303" s="105"/>
      <c r="BV303" s="105"/>
      <c r="BW303" s="105"/>
      <c r="BX303" s="28"/>
    </row>
    <row r="304" spans="1:76" s="34" customFormat="1" ht="12.75" hidden="1" customHeight="1" outlineLevel="1" x14ac:dyDescent="0.25">
      <c r="A304" s="57"/>
      <c r="B304" s="377"/>
      <c r="C304" s="9"/>
      <c r="D304" s="1"/>
      <c r="E304" s="1"/>
      <c r="H304" s="377"/>
      <c r="I304" s="95"/>
      <c r="J304" s="58"/>
      <c r="K304" s="105"/>
      <c r="L304" s="105"/>
      <c r="M304" s="105"/>
      <c r="N304" s="105"/>
      <c r="O304" s="105"/>
      <c r="P304" s="105"/>
      <c r="Q304" s="105"/>
      <c r="R304" s="105"/>
      <c r="S304" s="105"/>
      <c r="T304" s="105"/>
      <c r="U304" s="105"/>
      <c r="V304" s="105"/>
      <c r="W304" s="105"/>
      <c r="X304" s="105"/>
      <c r="Y304" s="105"/>
      <c r="Z304" s="105"/>
      <c r="AA304" s="105"/>
      <c r="AB304" s="105"/>
      <c r="AC304" s="105"/>
      <c r="AD304" s="105"/>
      <c r="AE304" s="105"/>
      <c r="AF304" s="105"/>
      <c r="AG304" s="105"/>
      <c r="AH304" s="105"/>
      <c r="AI304" s="105"/>
      <c r="AJ304" s="105"/>
      <c r="AK304" s="105"/>
      <c r="AL304" s="105"/>
      <c r="AM304" s="105"/>
      <c r="AN304" s="105"/>
      <c r="AO304" s="105"/>
      <c r="AP304" s="105"/>
      <c r="AQ304" s="105"/>
      <c r="AR304" s="105"/>
      <c r="AS304" s="105"/>
      <c r="AT304" s="105"/>
      <c r="AU304" s="105"/>
      <c r="AV304" s="105"/>
      <c r="AW304" s="105"/>
      <c r="AX304" s="105"/>
      <c r="AY304" s="105"/>
      <c r="AZ304" s="105"/>
      <c r="BA304" s="105"/>
      <c r="BB304" s="105"/>
      <c r="BC304" s="105"/>
      <c r="BD304" s="105"/>
      <c r="BE304" s="105"/>
      <c r="BF304" s="105"/>
      <c r="BG304" s="105"/>
      <c r="BH304" s="105"/>
      <c r="BI304" s="105"/>
      <c r="BJ304" s="105"/>
      <c r="BK304" s="105"/>
      <c r="BL304" s="105"/>
      <c r="BM304" s="105"/>
      <c r="BN304" s="105"/>
      <c r="BO304" s="105"/>
      <c r="BP304" s="105"/>
      <c r="BQ304" s="105"/>
      <c r="BR304" s="105"/>
      <c r="BS304" s="105"/>
      <c r="BT304" s="105"/>
      <c r="BU304" s="105"/>
      <c r="BV304" s="105"/>
      <c r="BW304" s="105"/>
      <c r="BX304" s="28"/>
    </row>
    <row r="305" spans="1:79" s="34" customFormat="1" ht="12.75" hidden="1" customHeight="1" outlineLevel="1" x14ac:dyDescent="0.25">
      <c r="A305" s="57"/>
      <c r="B305" s="377"/>
      <c r="C305" s="9"/>
      <c r="D305" s="1"/>
      <c r="E305" s="1"/>
      <c r="H305" s="377"/>
      <c r="I305" s="95"/>
      <c r="J305" s="58"/>
      <c r="K305" s="105"/>
      <c r="L305" s="105"/>
      <c r="M305" s="105"/>
      <c r="N305" s="105"/>
      <c r="O305" s="105"/>
      <c r="P305" s="105"/>
      <c r="Q305" s="105"/>
      <c r="R305" s="105"/>
      <c r="S305" s="105"/>
      <c r="T305" s="105"/>
      <c r="U305" s="105"/>
      <c r="V305" s="105"/>
      <c r="W305" s="105"/>
      <c r="X305" s="105"/>
      <c r="Y305" s="105"/>
      <c r="Z305" s="105"/>
      <c r="AA305" s="105"/>
      <c r="AB305" s="105"/>
      <c r="AC305" s="105"/>
      <c r="AD305" s="105"/>
      <c r="AE305" s="105"/>
      <c r="AF305" s="105"/>
      <c r="AG305" s="105"/>
      <c r="AH305" s="105"/>
      <c r="AI305" s="105"/>
      <c r="AJ305" s="105"/>
      <c r="AK305" s="105"/>
      <c r="AL305" s="105"/>
      <c r="AM305" s="105"/>
      <c r="AN305" s="105"/>
      <c r="AO305" s="105"/>
      <c r="AP305" s="105"/>
      <c r="AQ305" s="105"/>
      <c r="AR305" s="105"/>
      <c r="AS305" s="105"/>
      <c r="AT305" s="105"/>
      <c r="AU305" s="105"/>
      <c r="AV305" s="105"/>
      <c r="AW305" s="105"/>
      <c r="AX305" s="105"/>
      <c r="AY305" s="105"/>
      <c r="AZ305" s="105"/>
      <c r="BA305" s="105"/>
      <c r="BB305" s="105"/>
      <c r="BC305" s="105"/>
      <c r="BD305" s="105"/>
      <c r="BE305" s="105"/>
      <c r="BF305" s="105"/>
      <c r="BG305" s="105"/>
      <c r="BH305" s="105"/>
      <c r="BI305" s="105"/>
      <c r="BJ305" s="105"/>
      <c r="BK305" s="105"/>
      <c r="BL305" s="105"/>
      <c r="BM305" s="105"/>
      <c r="BN305" s="105"/>
      <c r="BO305" s="105"/>
      <c r="BP305" s="105"/>
      <c r="BQ305" s="105"/>
      <c r="BR305" s="105"/>
      <c r="BS305" s="105"/>
      <c r="BT305" s="105"/>
      <c r="BU305" s="105"/>
      <c r="BV305" s="105"/>
      <c r="BW305" s="105"/>
      <c r="BX305" s="28"/>
    </row>
    <row r="306" spans="1:79" s="34" customFormat="1" ht="12.75" hidden="1" customHeight="1" outlineLevel="1" x14ac:dyDescent="0.25">
      <c r="A306" s="57"/>
      <c r="B306" s="377"/>
      <c r="C306" s="9"/>
      <c r="D306" s="1"/>
      <c r="E306" s="1"/>
      <c r="H306" s="377"/>
      <c r="I306" s="95"/>
      <c r="J306" s="58"/>
      <c r="K306" s="105"/>
      <c r="L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  <c r="Y306" s="105"/>
      <c r="Z306" s="105"/>
      <c r="AA306" s="105"/>
      <c r="AB306" s="105"/>
      <c r="AC306" s="105"/>
      <c r="AD306" s="105"/>
      <c r="AE306" s="105"/>
      <c r="AF306" s="105"/>
      <c r="AG306" s="105"/>
      <c r="AH306" s="105"/>
      <c r="AI306" s="105"/>
      <c r="AJ306" s="105"/>
      <c r="AK306" s="105"/>
      <c r="AL306" s="105"/>
      <c r="AM306" s="105"/>
      <c r="AN306" s="105"/>
      <c r="AO306" s="105"/>
      <c r="AP306" s="105"/>
      <c r="AQ306" s="105"/>
      <c r="AR306" s="105"/>
      <c r="AS306" s="105"/>
      <c r="AT306" s="105"/>
      <c r="AU306" s="105"/>
      <c r="AV306" s="105"/>
      <c r="AW306" s="105"/>
      <c r="AX306" s="105"/>
      <c r="AY306" s="105"/>
      <c r="AZ306" s="105"/>
      <c r="BA306" s="105"/>
      <c r="BB306" s="105"/>
      <c r="BC306" s="105"/>
      <c r="BD306" s="105"/>
      <c r="BE306" s="105"/>
      <c r="BF306" s="105"/>
      <c r="BG306" s="105"/>
      <c r="BH306" s="105"/>
      <c r="BI306" s="105"/>
      <c r="BJ306" s="105"/>
      <c r="BK306" s="105"/>
      <c r="BL306" s="105"/>
      <c r="BM306" s="105"/>
      <c r="BN306" s="105"/>
      <c r="BO306" s="105"/>
      <c r="BP306" s="105"/>
      <c r="BQ306" s="105"/>
      <c r="BR306" s="105"/>
      <c r="BS306" s="105"/>
      <c r="BT306" s="105"/>
      <c r="BU306" s="105"/>
      <c r="BV306" s="105"/>
      <c r="BW306" s="105"/>
      <c r="BX306" s="28"/>
    </row>
    <row r="307" spans="1:79" s="34" customFormat="1" ht="12.75" hidden="1" customHeight="1" outlineLevel="1" x14ac:dyDescent="0.25">
      <c r="A307" s="57"/>
      <c r="B307" s="377"/>
      <c r="C307" s="9"/>
      <c r="D307" s="1"/>
      <c r="E307" s="1"/>
      <c r="H307" s="377"/>
      <c r="I307" s="95"/>
      <c r="J307" s="58"/>
      <c r="K307" s="105"/>
      <c r="L307" s="105"/>
      <c r="M307" s="105"/>
      <c r="N307" s="105"/>
      <c r="O307" s="105"/>
      <c r="P307" s="105"/>
      <c r="Q307" s="105"/>
      <c r="R307" s="105"/>
      <c r="S307" s="105"/>
      <c r="T307" s="105"/>
      <c r="U307" s="105"/>
      <c r="V307" s="105"/>
      <c r="W307" s="105"/>
      <c r="X307" s="105"/>
      <c r="Y307" s="105"/>
      <c r="Z307" s="105"/>
      <c r="AA307" s="105"/>
      <c r="AB307" s="105"/>
      <c r="AC307" s="105"/>
      <c r="AD307" s="105"/>
      <c r="AE307" s="105"/>
      <c r="AF307" s="105"/>
      <c r="AG307" s="105"/>
      <c r="AH307" s="105"/>
      <c r="AI307" s="105"/>
      <c r="AJ307" s="105"/>
      <c r="AK307" s="105"/>
      <c r="AL307" s="105"/>
      <c r="AM307" s="105"/>
      <c r="AN307" s="105"/>
      <c r="AO307" s="105"/>
      <c r="AP307" s="105"/>
      <c r="AQ307" s="105"/>
      <c r="AR307" s="105"/>
      <c r="AS307" s="105"/>
      <c r="AT307" s="105"/>
      <c r="AU307" s="105"/>
      <c r="AV307" s="105"/>
      <c r="AW307" s="105"/>
      <c r="AX307" s="105"/>
      <c r="AY307" s="105"/>
      <c r="AZ307" s="105"/>
      <c r="BA307" s="105"/>
      <c r="BB307" s="105"/>
      <c r="BC307" s="105"/>
      <c r="BD307" s="105"/>
      <c r="BE307" s="105"/>
      <c r="BF307" s="105"/>
      <c r="BG307" s="105"/>
      <c r="BH307" s="105"/>
      <c r="BI307" s="105"/>
      <c r="BJ307" s="105"/>
      <c r="BK307" s="105"/>
      <c r="BL307" s="105"/>
      <c r="BM307" s="105"/>
      <c r="BN307" s="105"/>
      <c r="BO307" s="105"/>
      <c r="BP307" s="105"/>
      <c r="BQ307" s="105"/>
      <c r="BR307" s="105"/>
      <c r="BS307" s="105"/>
      <c r="BT307" s="105"/>
      <c r="BU307" s="105"/>
      <c r="BV307" s="105"/>
      <c r="BW307" s="105"/>
      <c r="BX307" s="28"/>
    </row>
    <row r="308" spans="1:79" s="34" customFormat="1" ht="12.75" hidden="1" customHeight="1" outlineLevel="1" x14ac:dyDescent="0.25">
      <c r="A308" s="57"/>
      <c r="B308" s="377"/>
      <c r="C308" s="9"/>
      <c r="D308" s="1"/>
      <c r="E308" s="1"/>
      <c r="H308" s="377"/>
      <c r="I308" s="95"/>
      <c r="J308" s="58"/>
      <c r="K308" s="105"/>
      <c r="L308" s="105"/>
      <c r="M308" s="105"/>
      <c r="N308" s="105"/>
      <c r="O308" s="105"/>
      <c r="P308" s="105"/>
      <c r="Q308" s="105"/>
      <c r="R308" s="105"/>
      <c r="S308" s="105"/>
      <c r="T308" s="105"/>
      <c r="U308" s="105"/>
      <c r="V308" s="105"/>
      <c r="W308" s="105"/>
      <c r="X308" s="105"/>
      <c r="Y308" s="105"/>
      <c r="Z308" s="105"/>
      <c r="AA308" s="105"/>
      <c r="AB308" s="105"/>
      <c r="AC308" s="105"/>
      <c r="AD308" s="105"/>
      <c r="AE308" s="105"/>
      <c r="AF308" s="105"/>
      <c r="AG308" s="105"/>
      <c r="AH308" s="105"/>
      <c r="AI308" s="105"/>
      <c r="AJ308" s="105"/>
      <c r="AK308" s="105"/>
      <c r="AL308" s="105"/>
      <c r="AM308" s="105"/>
      <c r="AN308" s="105"/>
      <c r="AO308" s="105"/>
      <c r="AP308" s="105"/>
      <c r="AQ308" s="105"/>
      <c r="AR308" s="105"/>
      <c r="AS308" s="105"/>
      <c r="AT308" s="105"/>
      <c r="AU308" s="105"/>
      <c r="AV308" s="105"/>
      <c r="AW308" s="105"/>
      <c r="AX308" s="105"/>
      <c r="AY308" s="105"/>
      <c r="AZ308" s="105"/>
      <c r="BA308" s="105"/>
      <c r="BB308" s="105"/>
      <c r="BC308" s="105"/>
      <c r="BD308" s="105"/>
      <c r="BE308" s="105"/>
      <c r="BF308" s="105"/>
      <c r="BG308" s="105"/>
      <c r="BH308" s="105"/>
      <c r="BI308" s="105"/>
      <c r="BJ308" s="105"/>
      <c r="BK308" s="105"/>
      <c r="BL308" s="105"/>
      <c r="BM308" s="105"/>
      <c r="BN308" s="105"/>
      <c r="BO308" s="105"/>
      <c r="BP308" s="105"/>
      <c r="BQ308" s="105"/>
      <c r="BR308" s="105"/>
      <c r="BS308" s="105"/>
      <c r="BT308" s="105"/>
      <c r="BU308" s="105"/>
      <c r="BV308" s="105"/>
      <c r="BW308" s="105"/>
      <c r="BX308" s="28"/>
    </row>
    <row r="309" spans="1:79" s="34" customFormat="1" ht="12.75" hidden="1" customHeight="1" outlineLevel="1" x14ac:dyDescent="0.25">
      <c r="A309" s="57"/>
      <c r="B309" s="377"/>
      <c r="C309" s="9"/>
      <c r="D309" s="1"/>
      <c r="E309" s="1"/>
      <c r="H309" s="377"/>
      <c r="I309" s="95"/>
      <c r="J309" s="58"/>
      <c r="K309" s="105"/>
      <c r="L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  <c r="Y309" s="105"/>
      <c r="Z309" s="105"/>
      <c r="AA309" s="105"/>
      <c r="AB309" s="105"/>
      <c r="AC309" s="105"/>
      <c r="AD309" s="105"/>
      <c r="AE309" s="105"/>
      <c r="AF309" s="105"/>
      <c r="AG309" s="105"/>
      <c r="AH309" s="105"/>
      <c r="AI309" s="105"/>
      <c r="AJ309" s="105"/>
      <c r="AK309" s="105"/>
      <c r="AL309" s="105"/>
      <c r="AM309" s="105"/>
      <c r="AN309" s="105"/>
      <c r="AO309" s="105"/>
      <c r="AP309" s="105"/>
      <c r="AQ309" s="105"/>
      <c r="AR309" s="105"/>
      <c r="AS309" s="105"/>
      <c r="AT309" s="105"/>
      <c r="AU309" s="105"/>
      <c r="AV309" s="105"/>
      <c r="AW309" s="105"/>
      <c r="AX309" s="105"/>
      <c r="AY309" s="105"/>
      <c r="AZ309" s="105"/>
      <c r="BA309" s="105"/>
      <c r="BB309" s="105"/>
      <c r="BC309" s="105"/>
      <c r="BD309" s="105"/>
      <c r="BE309" s="105"/>
      <c r="BF309" s="105"/>
      <c r="BG309" s="105"/>
      <c r="BH309" s="105"/>
      <c r="BI309" s="105"/>
      <c r="BJ309" s="105"/>
      <c r="BK309" s="105"/>
      <c r="BL309" s="105"/>
      <c r="BM309" s="105"/>
      <c r="BN309" s="105"/>
      <c r="BO309" s="105"/>
      <c r="BP309" s="105"/>
      <c r="BQ309" s="105"/>
      <c r="BR309" s="105"/>
      <c r="BS309" s="105"/>
      <c r="BT309" s="105"/>
      <c r="BU309" s="105"/>
      <c r="BV309" s="105"/>
      <c r="BW309" s="105"/>
      <c r="BX309" s="28"/>
    </row>
    <row r="310" spans="1:79" s="34" customFormat="1" ht="12.75" hidden="1" customHeight="1" outlineLevel="1" x14ac:dyDescent="0.25">
      <c r="A310" s="57"/>
      <c r="B310" s="377"/>
      <c r="C310" s="9"/>
      <c r="D310" s="1"/>
      <c r="E310" s="1"/>
      <c r="H310" s="377"/>
      <c r="I310" s="95"/>
      <c r="J310" s="58"/>
      <c r="K310" s="105"/>
      <c r="L310" s="105"/>
      <c r="M310" s="105"/>
      <c r="N310" s="105"/>
      <c r="O310" s="105"/>
      <c r="P310" s="105"/>
      <c r="Q310" s="105"/>
      <c r="R310" s="105"/>
      <c r="S310" s="105"/>
      <c r="T310" s="105"/>
      <c r="U310" s="105"/>
      <c r="V310" s="105"/>
      <c r="W310" s="105"/>
      <c r="X310" s="105"/>
      <c r="Y310" s="105"/>
      <c r="Z310" s="105"/>
      <c r="AA310" s="105"/>
      <c r="AB310" s="105"/>
      <c r="AC310" s="105"/>
      <c r="AD310" s="105"/>
      <c r="AE310" s="105"/>
      <c r="AF310" s="105"/>
      <c r="AG310" s="105"/>
      <c r="AH310" s="105"/>
      <c r="AI310" s="105"/>
      <c r="AJ310" s="105"/>
      <c r="AK310" s="105"/>
      <c r="AL310" s="105"/>
      <c r="AM310" s="105"/>
      <c r="AN310" s="105"/>
      <c r="AO310" s="105"/>
      <c r="AP310" s="105"/>
      <c r="AQ310" s="105"/>
      <c r="AR310" s="105"/>
      <c r="AS310" s="105"/>
      <c r="AT310" s="105"/>
      <c r="AU310" s="105"/>
      <c r="AV310" s="105"/>
      <c r="AW310" s="105"/>
      <c r="AX310" s="105"/>
      <c r="AY310" s="105"/>
      <c r="AZ310" s="105"/>
      <c r="BA310" s="105"/>
      <c r="BB310" s="105"/>
      <c r="BC310" s="105"/>
      <c r="BD310" s="105"/>
      <c r="BE310" s="105"/>
      <c r="BF310" s="105"/>
      <c r="BG310" s="105"/>
      <c r="BH310" s="105"/>
      <c r="BI310" s="105"/>
      <c r="BJ310" s="105"/>
      <c r="BK310" s="105"/>
      <c r="BL310" s="105"/>
      <c r="BM310" s="105"/>
      <c r="BN310" s="105"/>
      <c r="BO310" s="105"/>
      <c r="BP310" s="105"/>
      <c r="BQ310" s="105"/>
      <c r="BR310" s="105"/>
      <c r="BS310" s="105"/>
      <c r="BT310" s="105"/>
      <c r="BU310" s="105"/>
      <c r="BV310" s="105"/>
      <c r="BW310" s="105"/>
      <c r="BX310" s="28"/>
    </row>
    <row r="311" spans="1:79" s="34" customFormat="1" ht="12.75" hidden="1" customHeight="1" outlineLevel="1" x14ac:dyDescent="0.25">
      <c r="A311" s="57"/>
      <c r="B311" s="377"/>
      <c r="C311" s="9"/>
      <c r="D311" s="1"/>
      <c r="E311" s="1"/>
      <c r="H311" s="377"/>
      <c r="I311" s="95"/>
      <c r="J311" s="58"/>
      <c r="K311" s="105"/>
      <c r="L311" s="105"/>
      <c r="M311" s="105"/>
      <c r="N311" s="105"/>
      <c r="O311" s="105"/>
      <c r="P311" s="105"/>
      <c r="Q311" s="105"/>
      <c r="R311" s="105"/>
      <c r="S311" s="105"/>
      <c r="T311" s="105"/>
      <c r="U311" s="105"/>
      <c r="V311" s="105"/>
      <c r="W311" s="105"/>
      <c r="X311" s="105"/>
      <c r="Y311" s="105"/>
      <c r="Z311" s="105"/>
      <c r="AA311" s="105"/>
      <c r="AB311" s="105"/>
      <c r="AC311" s="105"/>
      <c r="AD311" s="105"/>
      <c r="AE311" s="105"/>
      <c r="AF311" s="105"/>
      <c r="AG311" s="105"/>
      <c r="AH311" s="105"/>
      <c r="AI311" s="105"/>
      <c r="AJ311" s="105"/>
      <c r="AK311" s="105"/>
      <c r="AL311" s="105"/>
      <c r="AM311" s="105"/>
      <c r="AN311" s="105"/>
      <c r="AO311" s="105"/>
      <c r="AP311" s="105"/>
      <c r="AQ311" s="105"/>
      <c r="AR311" s="105"/>
      <c r="AS311" s="105"/>
      <c r="AT311" s="105"/>
      <c r="AU311" s="105"/>
      <c r="AV311" s="105"/>
      <c r="AW311" s="105"/>
      <c r="AX311" s="105"/>
      <c r="AY311" s="105"/>
      <c r="AZ311" s="105"/>
      <c r="BA311" s="105"/>
      <c r="BB311" s="105"/>
      <c r="BC311" s="105"/>
      <c r="BD311" s="105"/>
      <c r="BE311" s="105"/>
      <c r="BF311" s="105"/>
      <c r="BG311" s="105"/>
      <c r="BH311" s="105"/>
      <c r="BI311" s="105"/>
      <c r="BJ311" s="105"/>
      <c r="BK311" s="105"/>
      <c r="BL311" s="105"/>
      <c r="BM311" s="105"/>
      <c r="BN311" s="105"/>
      <c r="BO311" s="105"/>
      <c r="BP311" s="105"/>
      <c r="BQ311" s="105"/>
      <c r="BR311" s="105"/>
      <c r="BS311" s="105"/>
      <c r="BT311" s="105"/>
      <c r="BU311" s="105"/>
      <c r="BV311" s="105"/>
      <c r="BW311" s="105"/>
      <c r="BX311" s="28"/>
    </row>
    <row r="312" spans="1:79" s="34" customFormat="1" ht="12.75" hidden="1" customHeight="1" outlineLevel="1" x14ac:dyDescent="0.25">
      <c r="A312" s="57"/>
      <c r="B312" s="377"/>
      <c r="C312" s="9"/>
      <c r="D312" s="1"/>
      <c r="E312" s="1"/>
      <c r="H312" s="377"/>
      <c r="I312" s="95"/>
      <c r="J312" s="58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  <c r="Y312" s="105"/>
      <c r="Z312" s="105"/>
      <c r="AA312" s="105"/>
      <c r="AB312" s="105"/>
      <c r="AC312" s="105"/>
      <c r="AD312" s="105"/>
      <c r="AE312" s="105"/>
      <c r="AF312" s="105"/>
      <c r="AG312" s="105"/>
      <c r="AH312" s="105"/>
      <c r="AI312" s="105"/>
      <c r="AJ312" s="105"/>
      <c r="AK312" s="105"/>
      <c r="AL312" s="105"/>
      <c r="AM312" s="105"/>
      <c r="AN312" s="105"/>
      <c r="AO312" s="105"/>
      <c r="AP312" s="105"/>
      <c r="AQ312" s="105"/>
      <c r="AR312" s="105"/>
      <c r="AS312" s="105"/>
      <c r="AT312" s="105"/>
      <c r="AU312" s="105"/>
      <c r="AV312" s="105"/>
      <c r="AW312" s="105"/>
      <c r="AX312" s="105"/>
      <c r="AY312" s="105"/>
      <c r="AZ312" s="105"/>
      <c r="BA312" s="105"/>
      <c r="BB312" s="105"/>
      <c r="BC312" s="105"/>
      <c r="BD312" s="105"/>
      <c r="BE312" s="105"/>
      <c r="BF312" s="105"/>
      <c r="BG312" s="105"/>
      <c r="BH312" s="105"/>
      <c r="BI312" s="105"/>
      <c r="BJ312" s="105"/>
      <c r="BK312" s="105"/>
      <c r="BL312" s="105"/>
      <c r="BM312" s="105"/>
      <c r="BN312" s="105"/>
      <c r="BO312" s="105"/>
      <c r="BP312" s="105"/>
      <c r="BQ312" s="105"/>
      <c r="BR312" s="105"/>
      <c r="BS312" s="105"/>
      <c r="BT312" s="105"/>
      <c r="BU312" s="105"/>
      <c r="BV312" s="105"/>
      <c r="BW312" s="105"/>
      <c r="BX312" s="28"/>
    </row>
    <row r="313" spans="1:79" s="34" customFormat="1" ht="12.75" hidden="1" customHeight="1" outlineLevel="1" x14ac:dyDescent="0.25">
      <c r="A313" s="57"/>
      <c r="B313" s="377"/>
      <c r="C313" s="9"/>
      <c r="D313" s="1"/>
      <c r="E313" s="1"/>
      <c r="H313" s="377"/>
      <c r="I313" s="95"/>
      <c r="J313" s="58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  <c r="Y313" s="105"/>
      <c r="Z313" s="105"/>
      <c r="AA313" s="105"/>
      <c r="AB313" s="105"/>
      <c r="AC313" s="105"/>
      <c r="AD313" s="105"/>
      <c r="AE313" s="105"/>
      <c r="AF313" s="105"/>
      <c r="AG313" s="105"/>
      <c r="AH313" s="105"/>
      <c r="AI313" s="105"/>
      <c r="AJ313" s="105"/>
      <c r="AK313" s="105"/>
      <c r="AL313" s="105"/>
      <c r="AM313" s="105"/>
      <c r="AN313" s="105"/>
      <c r="AO313" s="105"/>
      <c r="AP313" s="105"/>
      <c r="AQ313" s="105"/>
      <c r="AR313" s="105"/>
      <c r="AS313" s="105"/>
      <c r="AT313" s="105"/>
      <c r="AU313" s="105"/>
      <c r="AV313" s="105"/>
      <c r="AW313" s="105"/>
      <c r="AX313" s="105"/>
      <c r="AY313" s="105"/>
      <c r="AZ313" s="105"/>
      <c r="BA313" s="105"/>
      <c r="BB313" s="105"/>
      <c r="BC313" s="105"/>
      <c r="BD313" s="105"/>
      <c r="BE313" s="105"/>
      <c r="BF313" s="105"/>
      <c r="BG313" s="105"/>
      <c r="BH313" s="105"/>
      <c r="BI313" s="105"/>
      <c r="BJ313" s="105"/>
      <c r="BK313" s="105"/>
      <c r="BL313" s="105"/>
      <c r="BM313" s="105"/>
      <c r="BN313" s="105"/>
      <c r="BO313" s="105"/>
      <c r="BP313" s="105"/>
      <c r="BQ313" s="105"/>
      <c r="BR313" s="105"/>
      <c r="BS313" s="105"/>
      <c r="BT313" s="105"/>
      <c r="BU313" s="105"/>
      <c r="BV313" s="105"/>
      <c r="BW313" s="105"/>
      <c r="BX313" s="28"/>
    </row>
    <row r="314" spans="1:79" s="34" customFormat="1" ht="12.75" hidden="1" customHeight="1" outlineLevel="1" x14ac:dyDescent="0.25">
      <c r="A314" s="57"/>
      <c r="B314" s="377"/>
      <c r="C314" s="9"/>
      <c r="D314" s="1"/>
      <c r="E314" s="1"/>
      <c r="H314" s="377"/>
      <c r="I314" s="95"/>
      <c r="J314" s="58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  <c r="Y314" s="105"/>
      <c r="Z314" s="105"/>
      <c r="AA314" s="105"/>
      <c r="AB314" s="105"/>
      <c r="AC314" s="105"/>
      <c r="AD314" s="105"/>
      <c r="AE314" s="105"/>
      <c r="AF314" s="105"/>
      <c r="AG314" s="105"/>
      <c r="AH314" s="105"/>
      <c r="AI314" s="105"/>
      <c r="AJ314" s="105"/>
      <c r="AK314" s="105"/>
      <c r="AL314" s="105"/>
      <c r="AM314" s="105"/>
      <c r="AN314" s="105"/>
      <c r="AO314" s="105"/>
      <c r="AP314" s="105"/>
      <c r="AQ314" s="105"/>
      <c r="AR314" s="105"/>
      <c r="AS314" s="105"/>
      <c r="AT314" s="105"/>
      <c r="AU314" s="105"/>
      <c r="AV314" s="105"/>
      <c r="AW314" s="105"/>
      <c r="AX314" s="105"/>
      <c r="AY314" s="105"/>
      <c r="AZ314" s="105"/>
      <c r="BA314" s="105"/>
      <c r="BB314" s="105"/>
      <c r="BC314" s="105"/>
      <c r="BD314" s="105"/>
      <c r="BE314" s="105"/>
      <c r="BF314" s="105"/>
      <c r="BG314" s="105"/>
      <c r="BH314" s="105"/>
      <c r="BI314" s="105"/>
      <c r="BJ314" s="105"/>
      <c r="BK314" s="105"/>
      <c r="BL314" s="105"/>
      <c r="BM314" s="105"/>
      <c r="BN314" s="105"/>
      <c r="BO314" s="105"/>
      <c r="BP314" s="105"/>
      <c r="BQ314" s="105"/>
      <c r="BR314" s="105"/>
      <c r="BS314" s="105"/>
      <c r="BT314" s="105"/>
      <c r="BU314" s="105"/>
      <c r="BV314" s="105"/>
      <c r="BW314" s="105"/>
      <c r="BX314" s="28"/>
    </row>
    <row r="315" spans="1:79" s="34" customFormat="1" ht="12.75" collapsed="1" x14ac:dyDescent="0.25">
      <c r="A315" s="57"/>
      <c r="B315" s="377"/>
      <c r="C315" s="9"/>
      <c r="D315" s="1"/>
      <c r="E315" s="1"/>
      <c r="H315" s="377"/>
      <c r="I315" s="95"/>
      <c r="J315" s="58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  <c r="AC315" s="95"/>
      <c r="AD315" s="95"/>
      <c r="AE315" s="95"/>
      <c r="AF315" s="95"/>
      <c r="AG315" s="95"/>
      <c r="AH315" s="95"/>
      <c r="AI315" s="95"/>
      <c r="AJ315" s="95"/>
      <c r="AK315" s="95"/>
      <c r="AL315" s="95"/>
      <c r="AM315" s="95"/>
      <c r="AN315" s="95"/>
      <c r="AO315" s="95"/>
      <c r="AP315" s="95"/>
      <c r="AQ315" s="95"/>
      <c r="AR315" s="95"/>
      <c r="AS315" s="95"/>
      <c r="AT315" s="95"/>
      <c r="AU315" s="95"/>
      <c r="AV315" s="95"/>
      <c r="AW315" s="95"/>
      <c r="AX315" s="95"/>
      <c r="AY315" s="95"/>
      <c r="AZ315" s="95"/>
      <c r="BA315" s="95"/>
      <c r="BB315" s="95"/>
      <c r="BC315" s="95"/>
      <c r="BD315" s="95"/>
      <c r="BE315" s="95"/>
      <c r="BF315" s="95"/>
      <c r="BG315" s="95"/>
      <c r="BH315" s="95"/>
      <c r="BI315" s="95"/>
      <c r="BJ315" s="95"/>
      <c r="BK315" s="95"/>
      <c r="BL315" s="95"/>
      <c r="BM315" s="95"/>
      <c r="BN315" s="95"/>
      <c r="BO315" s="95"/>
      <c r="BP315" s="95"/>
      <c r="BQ315" s="95"/>
      <c r="BR315" s="95"/>
      <c r="BS315" s="95"/>
      <c r="BT315" s="95"/>
      <c r="BU315" s="95"/>
      <c r="BV315" s="95"/>
      <c r="BW315" s="95"/>
      <c r="BX315" s="28"/>
    </row>
    <row r="316" spans="1:79" s="34" customFormat="1" ht="7.5" customHeight="1" x14ac:dyDescent="0.25">
      <c r="A316" s="57"/>
      <c r="B316" s="377"/>
      <c r="C316" s="9"/>
      <c r="D316" s="1"/>
      <c r="E316" s="1"/>
      <c r="H316" s="377"/>
      <c r="I316" s="95"/>
      <c r="J316" s="58"/>
      <c r="K316" s="96"/>
      <c r="L316" s="97"/>
      <c r="M316" s="97"/>
      <c r="N316" s="97"/>
      <c r="O316" s="97"/>
      <c r="P316" s="97"/>
      <c r="Q316" s="97"/>
      <c r="R316" s="97"/>
      <c r="S316" s="98"/>
      <c r="T316" s="98"/>
      <c r="U316" s="97"/>
      <c r="V316" s="97"/>
      <c r="W316" s="98"/>
      <c r="X316" s="98"/>
      <c r="Y316" s="99"/>
      <c r="Z316" s="105"/>
      <c r="AA316" s="96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  <c r="AX316" s="97"/>
      <c r="AY316" s="97"/>
      <c r="AZ316" s="97"/>
      <c r="BA316" s="97"/>
      <c r="BB316" s="97"/>
      <c r="BC316" s="97"/>
      <c r="BD316" s="97"/>
      <c r="BE316" s="97"/>
      <c r="BF316" s="97"/>
      <c r="BG316" s="97"/>
      <c r="BH316" s="97"/>
      <c r="BI316" s="97"/>
      <c r="BJ316" s="97"/>
      <c r="BK316" s="97"/>
      <c r="BL316" s="97"/>
      <c r="BM316" s="97"/>
      <c r="BN316" s="97"/>
      <c r="BO316" s="97"/>
      <c r="BP316" s="97"/>
      <c r="BQ316" s="97"/>
      <c r="BR316" s="97"/>
      <c r="BS316" s="97"/>
      <c r="BT316" s="97"/>
      <c r="BU316" s="97"/>
      <c r="BV316" s="97"/>
      <c r="BW316" s="99"/>
      <c r="BX316" s="28"/>
    </row>
    <row r="317" spans="1:79" s="34" customFormat="1" ht="23.25" customHeight="1" x14ac:dyDescent="0.25">
      <c r="A317" s="57"/>
      <c r="B317" s="360" t="s">
        <v>96</v>
      </c>
      <c r="C317" s="9"/>
      <c r="D317" s="1"/>
      <c r="E317" s="1"/>
      <c r="H317" s="360"/>
      <c r="I317" s="95"/>
      <c r="J317" s="58"/>
      <c r="K317" s="100"/>
      <c r="L317" s="540" t="str">
        <f ca="1">_xll.DBRA(Server&amp;$B$32,$B317,$N$19)</f>
        <v>D - Driving Cost as % of Revenue</v>
      </c>
      <c r="M317" s="541" t="s">
        <v>16</v>
      </c>
      <c r="N317" s="541"/>
      <c r="O317" s="584"/>
      <c r="P317" s="212"/>
      <c r="Q317" s="311">
        <f ca="1">_xll.DBRW(Server&amp;Cube1,$N$15,$N$16,$N$17,$N$18,$N$14,$N$13,$N$11,$Q$1,$B317)</f>
        <v>0</v>
      </c>
      <c r="R317" s="312">
        <f ca="1">_xll.DBRW(Server&amp;Cube1,$N$15,$N$16,$N$17,$N$18,$N$14,$N$13,$R$2,$R$1,$B317)</f>
        <v>0</v>
      </c>
      <c r="S317" s="299" t="str">
        <f ca="1">IF(T317=0,"è",IF(T317&lt;0,"ì","î"))</f>
        <v>è</v>
      </c>
      <c r="T317" s="294">
        <f ca="1">-($Q317-R317)*100</f>
        <v>0</v>
      </c>
      <c r="U317" s="245"/>
      <c r="V317" s="311">
        <f ca="1">_xll.DBRW(Server&amp;Cube1,$N$15,$N$16,$N$17,$N$18,$N$14,$N$13,$V$2,$V$1,$B317)</f>
        <v>0</v>
      </c>
      <c r="W317" s="300" t="str">
        <f ca="1">IF(X317=0,"è",IF(X317&lt;0,"ì","î"))</f>
        <v>è</v>
      </c>
      <c r="X317" s="294">
        <f ca="1">-($Q317-V317)*100</f>
        <v>0</v>
      </c>
      <c r="Y317" s="101"/>
      <c r="Z317" s="398"/>
      <c r="AA317" s="100"/>
      <c r="AB317" s="311">
        <f ca="1">_xll.DBRW(Server&amp;Cube1,$N$15,$N$16,$N$17,$N$18,$N$14,$N$13,AB$2,AB$1,$B317)</f>
        <v>0</v>
      </c>
      <c r="AC317" s="311">
        <f ca="1">_xll.DBRW(Server&amp;Cube1,$N$15,$N$16,$N$17,$N$18,$N$14,$N$13,AC$2,AC$1,$B317)</f>
        <v>0</v>
      </c>
      <c r="AD317" s="402">
        <f ca="1">_xll.DBRW(Server&amp;Cube1,$N$15,$N$16,$N$17,$N$18,$N$14,$N$13,AD$2,AD$1,$B317)</f>
        <v>0</v>
      </c>
      <c r="AE317" s="105"/>
      <c r="AF317" s="311">
        <f ca="1">_xll.DBRW(Server&amp;Cube1,$N$15,$N$16,$N$17,$N$18,$N$14,$N$13,AF$2,AF$1,$B317)</f>
        <v>0</v>
      </c>
      <c r="AG317" s="311">
        <f ca="1">_xll.DBRW(Server&amp;Cube1,$N$15,$N$16,$N$17,$N$18,$N$14,$N$13,AG$2,AG$1,$B317)</f>
        <v>0</v>
      </c>
      <c r="AH317" s="402">
        <f ca="1">_xll.DBRW(Server&amp;Cube1,$N$15,$N$16,$N$17,$N$18,$N$14,$N$13,AH$2,AH$1,$B317)</f>
        <v>0</v>
      </c>
      <c r="AI317" s="105"/>
      <c r="AJ317" s="311">
        <f ca="1">_xll.DBRW(Server&amp;Cube1,$N$15,$N$16,$N$17,$N$18,$N$14,$N$13,AJ$2,AJ$1,$B317)</f>
        <v>0</v>
      </c>
      <c r="AK317" s="311">
        <f ca="1">_xll.DBRW(Server&amp;Cube1,$N$15,$N$16,$N$17,$N$18,$N$14,$N$13,AK$2,AK$1,$B317)</f>
        <v>0</v>
      </c>
      <c r="AL317" s="402">
        <f ca="1">_xll.DBRW(Server&amp;Cube1,$N$15,$N$16,$N$17,$N$18,$N$14,$N$13,AL$2,AL$1,$B317)</f>
        <v>0</v>
      </c>
      <c r="AM317" s="105"/>
      <c r="AN317" s="311">
        <f ca="1">_xll.DBRW(Server&amp;Cube1,$N$15,$N$16,$N$17,$N$18,$N$14,$N$13,AN$2,AN$1,$B317)</f>
        <v>0</v>
      </c>
      <c r="AO317" s="311">
        <f ca="1">_xll.DBRW(Server&amp;Cube1,$N$15,$N$16,$N$17,$N$18,$N$14,$N$13,AO$2,AO$1,$B317)</f>
        <v>0</v>
      </c>
      <c r="AP317" s="402">
        <f ca="1">_xll.DBRW(Server&amp;Cube1,$N$15,$N$16,$N$17,$N$18,$N$14,$N$13,AP$2,AP$1,$B317)</f>
        <v>0</v>
      </c>
      <c r="AQ317" s="105"/>
      <c r="AR317" s="311">
        <f ca="1">_xll.DBRW(Server&amp;Cube1,$N$15,$N$16,$N$17,$N$18,$N$14,$N$13,AR$2,AR$1,$B317)</f>
        <v>0</v>
      </c>
      <c r="AS317" s="311">
        <f ca="1">_xll.DBRW(Server&amp;Cube1,$N$15,$N$16,$N$17,$N$18,$N$14,$N$13,AS$2,AS$1,$B317)</f>
        <v>0</v>
      </c>
      <c r="AT317" s="402">
        <f ca="1">_xll.DBRW(Server&amp;Cube1,$N$15,$N$16,$N$17,$N$18,$N$14,$N$13,AT$2,AT$1,$B317)</f>
        <v>0</v>
      </c>
      <c r="AU317" s="105"/>
      <c r="AV317" s="311">
        <f ca="1">_xll.DBRW(Server&amp;Cube1,$N$15,$N$16,$N$17,$N$18,$N$14,$N$13,AV$2,AV$1,$B317)</f>
        <v>0</v>
      </c>
      <c r="AW317" s="311">
        <f ca="1">_xll.DBRW(Server&amp;Cube1,$N$15,$N$16,$N$17,$N$18,$N$14,$N$13,AW$2,AW$1,$B317)</f>
        <v>0</v>
      </c>
      <c r="AX317" s="402">
        <f ca="1">_xll.DBRW(Server&amp;Cube1,$N$15,$N$16,$N$17,$N$18,$N$14,$N$13,AX$2,AX$1,$B317)</f>
        <v>0</v>
      </c>
      <c r="AY317" s="105"/>
      <c r="AZ317" s="311">
        <f ca="1">_xll.DBRW(Server&amp;Cube1,$N$15,$N$16,$N$17,$N$18,$N$14,$N$13,AZ$2,AZ$1,$B317)</f>
        <v>0</v>
      </c>
      <c r="BA317" s="311">
        <f ca="1">_xll.DBRW(Server&amp;Cube1,$N$15,$N$16,$N$17,$N$18,$N$14,$N$13,BA$2,BA$1,$B317)</f>
        <v>0</v>
      </c>
      <c r="BB317" s="402">
        <f ca="1">_xll.DBRW(Server&amp;Cube1,$N$15,$N$16,$N$17,$N$18,$N$14,$N$13,BB$2,BB$1,$B317)</f>
        <v>0</v>
      </c>
      <c r="BC317" s="105"/>
      <c r="BD317" s="311">
        <f ca="1">_xll.DBRW(Server&amp;Cube1,$N$15,$N$16,$N$17,$N$18,$N$14,$N$13,BD$2,BD$1,$B317)</f>
        <v>0</v>
      </c>
      <c r="BE317" s="311">
        <f ca="1">_xll.DBRW(Server&amp;Cube1,$N$15,$N$16,$N$17,$N$18,$N$14,$N$13,BE$2,BE$1,$B317)</f>
        <v>0</v>
      </c>
      <c r="BF317" s="402">
        <f ca="1">_xll.DBRW(Server&amp;Cube1,$N$15,$N$16,$N$17,$N$18,$N$14,$N$13,BF$2,BF$1,$B317)</f>
        <v>0</v>
      </c>
      <c r="BG317" s="105"/>
      <c r="BH317" s="311">
        <f ca="1">_xll.DBRW(Server&amp;Cube1,$N$15,$N$16,$N$17,$N$18,$N$14,$N$13,BH$2,BH$1,$B317)</f>
        <v>0</v>
      </c>
      <c r="BI317" s="311">
        <f ca="1">_xll.DBRW(Server&amp;Cube1,$N$15,$N$16,$N$17,$N$18,$N$14,$N$13,BI$2,BI$1,$B317)</f>
        <v>0</v>
      </c>
      <c r="BJ317" s="402">
        <f ca="1">_xll.DBRW(Server&amp;Cube1,$N$15,$N$16,$N$17,$N$18,$N$14,$N$13,BJ$2,BJ$1,$B317)</f>
        <v>0</v>
      </c>
      <c r="BK317" s="105"/>
      <c r="BL317" s="311">
        <f ca="1">_xll.DBRW(Server&amp;Cube1,$N$15,$N$16,$N$17,$N$18,$N$14,$N$13,BL$2,BL$1,$B317)</f>
        <v>0</v>
      </c>
      <c r="BM317" s="311">
        <f ca="1">_xll.DBRW(Server&amp;Cube1,$N$15,$N$16,$N$17,$N$18,$N$14,$N$13,BM$2,BM$1,$B317)</f>
        <v>0</v>
      </c>
      <c r="BN317" s="402">
        <f ca="1">_xll.DBRW(Server&amp;Cube1,$N$15,$N$16,$N$17,$N$18,$N$14,$N$13,BN$2,BN$1,$B317)</f>
        <v>0</v>
      </c>
      <c r="BO317" s="105"/>
      <c r="BP317" s="311">
        <f ca="1">_xll.DBRW(Server&amp;Cube1,$N$15,$N$16,$N$17,$N$18,$N$14,$N$13,BP$2,BP$1,$B317)</f>
        <v>0</v>
      </c>
      <c r="BQ317" s="311">
        <f ca="1">_xll.DBRW(Server&amp;Cube1,$N$15,$N$16,$N$17,$N$18,$N$14,$N$13,BQ$2,BQ$1,$B317)</f>
        <v>0</v>
      </c>
      <c r="BR317" s="402">
        <f ca="1">_xll.DBRW(Server&amp;Cube1,$N$15,$N$16,$N$17,$N$18,$N$14,$N$13,BR$2,BR$1,$B317)</f>
        <v>0</v>
      </c>
      <c r="BS317" s="105"/>
      <c r="BT317" s="311">
        <f ca="1">_xll.DBRW(Server&amp;Cube1,$N$15,$N$16,$N$17,$N$18,$N$14,$N$13,BT$2,BT$1,$B317)</f>
        <v>0</v>
      </c>
      <c r="BU317" s="311">
        <f ca="1">_xll.DBRW(Server&amp;Cube1,$N$15,$N$16,$N$17,$N$18,$N$14,$N$13,BU$2,BU$1,$B317)</f>
        <v>0</v>
      </c>
      <c r="BV317" s="402">
        <f ca="1">_xll.DBRW(Server&amp;Cube1,$N$15,$N$16,$N$17,$N$18,$N$14,$N$13,BV$2,BV$1,$B317)</f>
        <v>0</v>
      </c>
      <c r="BW317" s="101"/>
      <c r="BX317" s="28"/>
      <c r="BZ317" s="367"/>
    </row>
    <row r="318" spans="1:79" s="34" customFormat="1" ht="27.75" customHeight="1" x14ac:dyDescent="0.25">
      <c r="A318" s="57"/>
      <c r="B318" s="360" t="s">
        <v>83</v>
      </c>
      <c r="C318" s="9"/>
      <c r="D318" s="1"/>
      <c r="E318" s="1"/>
      <c r="H318" s="360"/>
      <c r="I318" s="95"/>
      <c r="J318" s="58"/>
      <c r="K318" s="100"/>
      <c r="L318" s="585" t="str">
        <f ca="1">_xll.DBRA(Server&amp;Context!$B$32,Context!$B$45,$N$19)</f>
        <v>LEVEL 2</v>
      </c>
      <c r="M318" s="588" t="str">
        <f ca="1">IF(OR(O330="Not defined",O330="Non défini",O332="Not defined",O332="Non défini"),_xll.DBRA(Server&amp;$B$32,$B318,$N$19),_xll.DBRA(Server&amp;Context!$B$32,Context!$B$46,$N$19)&amp;" "&amp;O330)</f>
        <v>D1 - Driving Cost per Cost Work Unit</v>
      </c>
      <c r="N318" s="588"/>
      <c r="O318" s="589"/>
      <c r="P318" s="246"/>
      <c r="Q318" s="320">
        <f ca="1">_xll.DBRW(Server&amp;Cube1,$N$15,$N$16,$N$17,$N$18,$N$14,$N$13,$N$11,$Q$1,$B318)</f>
        <v>0</v>
      </c>
      <c r="R318" s="321">
        <f ca="1">_xll.DBRW(Server&amp;Cube1,$N$15,$N$16,$N$17,$N$18,$N$14,$N$13,$R$2,$R$1,$B318)</f>
        <v>0</v>
      </c>
      <c r="S318" s="431">
        <f ca="1">$Q318-R318</f>
        <v>0</v>
      </c>
      <c r="T318" s="323"/>
      <c r="U318" s="245"/>
      <c r="V318" s="331">
        <f ca="1">_xll.DBRW(Server&amp;Cube1,$N$15,$N$16,$N$17,$N$18,$N$14,$N$13,$V$2,$V$1,$B318)</f>
        <v>0</v>
      </c>
      <c r="W318" s="322">
        <f ca="1">$Q318-V318</f>
        <v>0</v>
      </c>
      <c r="X318" s="323"/>
      <c r="Y318" s="101"/>
      <c r="Z318" s="398"/>
      <c r="AA318" s="100"/>
      <c r="AB318" s="320">
        <f ca="1">_xll.DBRW(Server&amp;Cube1,$N$15,$N$16,$N$17,$N$18,$N$14,$N$13,AB$2,AB$1,$B318)</f>
        <v>0</v>
      </c>
      <c r="AC318" s="320">
        <f ca="1">_xll.DBRW(Server&amp;Cube1,$N$15,$N$16,$N$17,$N$18,$N$14,$N$13,AC$2,AC$1,$B318)</f>
        <v>0</v>
      </c>
      <c r="AD318" s="403">
        <f ca="1">_xll.DBRW(Server&amp;Cube1,$N$15,$N$16,$N$17,$N$18,$N$14,$N$13,AD$2,AD$1,$B318)</f>
        <v>0</v>
      </c>
      <c r="AE318" s="105"/>
      <c r="AF318" s="320">
        <f ca="1">_xll.DBRW(Server&amp;Cube1,$N$15,$N$16,$N$17,$N$18,$N$14,$N$13,AF$2,AF$1,$B318)</f>
        <v>0</v>
      </c>
      <c r="AG318" s="320">
        <f ca="1">_xll.DBRW(Server&amp;Cube1,$N$15,$N$16,$N$17,$N$18,$N$14,$N$13,AG$2,AG$1,$B318)</f>
        <v>0</v>
      </c>
      <c r="AH318" s="403">
        <f ca="1">_xll.DBRW(Server&amp;Cube1,$N$15,$N$16,$N$17,$N$18,$N$14,$N$13,AH$2,AH$1,$B318)</f>
        <v>0</v>
      </c>
      <c r="AI318" s="105"/>
      <c r="AJ318" s="320">
        <f ca="1">_xll.DBRW(Server&amp;Cube1,$N$15,$N$16,$N$17,$N$18,$N$14,$N$13,AJ$2,AJ$1,$B318)</f>
        <v>0</v>
      </c>
      <c r="AK318" s="320">
        <f ca="1">_xll.DBRW(Server&amp;Cube1,$N$15,$N$16,$N$17,$N$18,$N$14,$N$13,AK$2,AK$1,$B318)</f>
        <v>0</v>
      </c>
      <c r="AL318" s="403">
        <f ca="1">_xll.DBRW(Server&amp;Cube1,$N$15,$N$16,$N$17,$N$18,$N$14,$N$13,AL$2,AL$1,$B318)</f>
        <v>0</v>
      </c>
      <c r="AM318" s="105"/>
      <c r="AN318" s="320">
        <f ca="1">_xll.DBRW(Server&amp;Cube1,$N$15,$N$16,$N$17,$N$18,$N$14,$N$13,AN$2,AN$1,$B318)</f>
        <v>0</v>
      </c>
      <c r="AO318" s="320">
        <f ca="1">_xll.DBRW(Server&amp;Cube1,$N$15,$N$16,$N$17,$N$18,$N$14,$N$13,AO$2,AO$1,$B318)</f>
        <v>0</v>
      </c>
      <c r="AP318" s="403">
        <f ca="1">_xll.DBRW(Server&amp;Cube1,$N$15,$N$16,$N$17,$N$18,$N$14,$N$13,AP$2,AP$1,$B318)</f>
        <v>0</v>
      </c>
      <c r="AQ318" s="105"/>
      <c r="AR318" s="320">
        <f ca="1">_xll.DBRW(Server&amp;Cube1,$N$15,$N$16,$N$17,$N$18,$N$14,$N$13,AR$2,AR$1,$B318)</f>
        <v>0</v>
      </c>
      <c r="AS318" s="320">
        <f ca="1">_xll.DBRW(Server&amp;Cube1,$N$15,$N$16,$N$17,$N$18,$N$14,$N$13,AS$2,AS$1,$B318)</f>
        <v>0</v>
      </c>
      <c r="AT318" s="403">
        <f ca="1">_xll.DBRW(Server&amp;Cube1,$N$15,$N$16,$N$17,$N$18,$N$14,$N$13,AT$2,AT$1,$B318)</f>
        <v>0</v>
      </c>
      <c r="AU318" s="105"/>
      <c r="AV318" s="320">
        <f ca="1">_xll.DBRW(Server&amp;Cube1,$N$15,$N$16,$N$17,$N$18,$N$14,$N$13,AV$2,AV$1,$B318)</f>
        <v>0</v>
      </c>
      <c r="AW318" s="320">
        <f ca="1">_xll.DBRW(Server&amp;Cube1,$N$15,$N$16,$N$17,$N$18,$N$14,$N$13,AW$2,AW$1,$B318)</f>
        <v>0</v>
      </c>
      <c r="AX318" s="403">
        <f ca="1">_xll.DBRW(Server&amp;Cube1,$N$15,$N$16,$N$17,$N$18,$N$14,$N$13,AX$2,AX$1,$B318)</f>
        <v>0</v>
      </c>
      <c r="AY318" s="105"/>
      <c r="AZ318" s="320">
        <f ca="1">_xll.DBRW(Server&amp;Cube1,$N$15,$N$16,$N$17,$N$18,$N$14,$N$13,AZ$2,AZ$1,$B318)</f>
        <v>0</v>
      </c>
      <c r="BA318" s="320">
        <f ca="1">_xll.DBRW(Server&amp;Cube1,$N$15,$N$16,$N$17,$N$18,$N$14,$N$13,BA$2,BA$1,$B318)</f>
        <v>0</v>
      </c>
      <c r="BB318" s="403">
        <f ca="1">_xll.DBRW(Server&amp;Cube1,$N$15,$N$16,$N$17,$N$18,$N$14,$N$13,BB$2,BB$1,$B318)</f>
        <v>0</v>
      </c>
      <c r="BC318" s="105"/>
      <c r="BD318" s="320">
        <f ca="1">_xll.DBRW(Server&amp;Cube1,$N$15,$N$16,$N$17,$N$18,$N$14,$N$13,BD$2,BD$1,$B318)</f>
        <v>0</v>
      </c>
      <c r="BE318" s="320">
        <f ca="1">_xll.DBRW(Server&amp;Cube1,$N$15,$N$16,$N$17,$N$18,$N$14,$N$13,BE$2,BE$1,$B318)</f>
        <v>0</v>
      </c>
      <c r="BF318" s="403">
        <f ca="1">_xll.DBRW(Server&amp;Cube1,$N$15,$N$16,$N$17,$N$18,$N$14,$N$13,BF$2,BF$1,$B318)</f>
        <v>0</v>
      </c>
      <c r="BG318" s="105"/>
      <c r="BH318" s="320">
        <f ca="1">_xll.DBRW(Server&amp;Cube1,$N$15,$N$16,$N$17,$N$18,$N$14,$N$13,BH$2,BH$1,$B318)</f>
        <v>0</v>
      </c>
      <c r="BI318" s="320">
        <f ca="1">_xll.DBRW(Server&amp;Cube1,$N$15,$N$16,$N$17,$N$18,$N$14,$N$13,BI$2,BI$1,$B318)</f>
        <v>0</v>
      </c>
      <c r="BJ318" s="403">
        <f ca="1">_xll.DBRW(Server&amp;Cube1,$N$15,$N$16,$N$17,$N$18,$N$14,$N$13,BJ$2,BJ$1,$B318)</f>
        <v>0</v>
      </c>
      <c r="BK318" s="105"/>
      <c r="BL318" s="320">
        <f ca="1">_xll.DBRW(Server&amp;Cube1,$N$15,$N$16,$N$17,$N$18,$N$14,$N$13,BL$2,BL$1,$B318)</f>
        <v>0</v>
      </c>
      <c r="BM318" s="320">
        <f ca="1">_xll.DBRW(Server&amp;Cube1,$N$15,$N$16,$N$17,$N$18,$N$14,$N$13,BM$2,BM$1,$B318)</f>
        <v>0</v>
      </c>
      <c r="BN318" s="403">
        <f ca="1">_xll.DBRW(Server&amp;Cube1,$N$15,$N$16,$N$17,$N$18,$N$14,$N$13,BN$2,BN$1,$B318)</f>
        <v>0</v>
      </c>
      <c r="BO318" s="105"/>
      <c r="BP318" s="320">
        <f ca="1">_xll.DBRW(Server&amp;Cube1,$N$15,$N$16,$N$17,$N$18,$N$14,$N$13,BP$2,BP$1,$B318)</f>
        <v>0</v>
      </c>
      <c r="BQ318" s="320">
        <f ca="1">_xll.DBRW(Server&amp;Cube1,$N$15,$N$16,$N$17,$N$18,$N$14,$N$13,BQ$2,BQ$1,$B318)</f>
        <v>0</v>
      </c>
      <c r="BR318" s="403">
        <f ca="1">_xll.DBRW(Server&amp;Cube1,$N$15,$N$16,$N$17,$N$18,$N$14,$N$13,BR$2,BR$1,$B318)</f>
        <v>0</v>
      </c>
      <c r="BS318" s="105"/>
      <c r="BT318" s="320">
        <f ca="1">_xll.DBRW(Server&amp;Cube1,$N$15,$N$16,$N$17,$N$18,$N$14,$N$13,BT$2,BT$1,$B318)</f>
        <v>0</v>
      </c>
      <c r="BU318" s="320">
        <f ca="1">_xll.DBRW(Server&amp;Cube1,$N$15,$N$16,$N$17,$N$18,$N$14,$N$13,BU$2,BU$1,$B318)</f>
        <v>0</v>
      </c>
      <c r="BV318" s="403">
        <f ca="1">_xll.DBRW(Server&amp;Cube1,$N$15,$N$16,$N$17,$N$18,$N$14,$N$13,BV$2,BV$1,$B318)</f>
        <v>0</v>
      </c>
      <c r="BW318" s="101"/>
      <c r="BX318" s="28"/>
      <c r="BZ318" s="370"/>
    </row>
    <row r="319" spans="1:79" s="34" customFormat="1" ht="27.75" customHeight="1" x14ac:dyDescent="0.25">
      <c r="A319" s="57"/>
      <c r="B319" s="360" t="s">
        <v>84</v>
      </c>
      <c r="C319" s="9"/>
      <c r="D319" s="1"/>
      <c r="E319" s="1"/>
      <c r="H319" s="360"/>
      <c r="I319" s="95"/>
      <c r="J319" s="58"/>
      <c r="K319" s="100"/>
      <c r="L319" s="586"/>
      <c r="M319" s="590" t="str">
        <f ca="1">IF(OR(O330="Not defined",O330="Non défini",O332="Not defined",O332="Non défini"),_xll.DBRA(Server&amp;$B$32,$B319,$N$19),_xll.DBRA(Server&amp;$B$32,$B319,$N$19)&amp;" - ("&amp;O330&amp;" / "&amp;O332&amp;")")</f>
        <v>D2 - Driving efficiency</v>
      </c>
      <c r="N319" s="590"/>
      <c r="O319" s="590"/>
      <c r="P319" s="246"/>
      <c r="Q319" s="324">
        <f ca="1">_xll.DBRW(Server&amp;Cube1,$N$15,$N$16,$N$17,$N$18,$N$14,$N$13,$N$11,$Q$1,$B319)</f>
        <v>0</v>
      </c>
      <c r="R319" s="319">
        <f ca="1">_xll.DBRW(Server&amp;Cube1,$N$15,$N$16,$N$17,$N$18,$N$14,$N$13,$R$2,$R$1,$B319)</f>
        <v>0</v>
      </c>
      <c r="S319" s="325">
        <f ca="1">$Q319-R319</f>
        <v>0</v>
      </c>
      <c r="T319" s="326"/>
      <c r="U319" s="245"/>
      <c r="V319" s="332">
        <f ca="1">_xll.DBRW(Server&amp;Cube1,$N$15,$N$16,$N$17,$N$18,$N$14,$N$13,$V$2,$V$1,$B319)</f>
        <v>0</v>
      </c>
      <c r="W319" s="325">
        <f ca="1">$Q319-V319</f>
        <v>0</v>
      </c>
      <c r="X319" s="326"/>
      <c r="Y319" s="101"/>
      <c r="Z319" s="398"/>
      <c r="AA319" s="100"/>
      <c r="AB319" s="324">
        <f ca="1">_xll.DBRW(Server&amp;Cube1,$N$15,$N$16,$N$17,$N$18,$N$14,$N$13,AB$2,AB$1,$B319)</f>
        <v>0</v>
      </c>
      <c r="AC319" s="324">
        <f ca="1">_xll.DBRW(Server&amp;Cube1,$N$15,$N$16,$N$17,$N$18,$N$14,$N$13,AC$2,AC$1,$B319)</f>
        <v>0</v>
      </c>
      <c r="AD319" s="404">
        <f ca="1">_xll.DBRW(Server&amp;Cube1,$N$15,$N$16,$N$17,$N$18,$N$14,$N$13,AD$2,AD$1,$B319)</f>
        <v>0</v>
      </c>
      <c r="AE319" s="105"/>
      <c r="AF319" s="324">
        <f ca="1">_xll.DBRW(Server&amp;Cube1,$N$15,$N$16,$N$17,$N$18,$N$14,$N$13,AF$2,AF$1,$B319)</f>
        <v>0</v>
      </c>
      <c r="AG319" s="324">
        <f ca="1">_xll.DBRW(Server&amp;Cube1,$N$15,$N$16,$N$17,$N$18,$N$14,$N$13,AG$2,AG$1,$B319)</f>
        <v>0</v>
      </c>
      <c r="AH319" s="404">
        <f ca="1">_xll.DBRW(Server&amp;Cube1,$N$15,$N$16,$N$17,$N$18,$N$14,$N$13,AH$2,AH$1,$B319)</f>
        <v>0</v>
      </c>
      <c r="AI319" s="105"/>
      <c r="AJ319" s="324">
        <f ca="1">_xll.DBRW(Server&amp;Cube1,$N$15,$N$16,$N$17,$N$18,$N$14,$N$13,AJ$2,AJ$1,$B319)</f>
        <v>0</v>
      </c>
      <c r="AK319" s="324">
        <f ca="1">_xll.DBRW(Server&amp;Cube1,$N$15,$N$16,$N$17,$N$18,$N$14,$N$13,AK$2,AK$1,$B319)</f>
        <v>0</v>
      </c>
      <c r="AL319" s="404">
        <f ca="1">_xll.DBRW(Server&amp;Cube1,$N$15,$N$16,$N$17,$N$18,$N$14,$N$13,AL$2,AL$1,$B319)</f>
        <v>0</v>
      </c>
      <c r="AM319" s="105"/>
      <c r="AN319" s="324">
        <f ca="1">_xll.DBRW(Server&amp;Cube1,$N$15,$N$16,$N$17,$N$18,$N$14,$N$13,AN$2,AN$1,$B319)</f>
        <v>0</v>
      </c>
      <c r="AO319" s="324">
        <f ca="1">_xll.DBRW(Server&amp;Cube1,$N$15,$N$16,$N$17,$N$18,$N$14,$N$13,AO$2,AO$1,$B319)</f>
        <v>0</v>
      </c>
      <c r="AP319" s="404">
        <f ca="1">_xll.DBRW(Server&amp;Cube1,$N$15,$N$16,$N$17,$N$18,$N$14,$N$13,AP$2,AP$1,$B319)</f>
        <v>0</v>
      </c>
      <c r="AQ319" s="105"/>
      <c r="AR319" s="324">
        <f ca="1">_xll.DBRW(Server&amp;Cube1,$N$15,$N$16,$N$17,$N$18,$N$14,$N$13,AR$2,AR$1,$B319)</f>
        <v>0</v>
      </c>
      <c r="AS319" s="324">
        <f ca="1">_xll.DBRW(Server&amp;Cube1,$N$15,$N$16,$N$17,$N$18,$N$14,$N$13,AS$2,AS$1,$B319)</f>
        <v>0</v>
      </c>
      <c r="AT319" s="404">
        <f ca="1">_xll.DBRW(Server&amp;Cube1,$N$15,$N$16,$N$17,$N$18,$N$14,$N$13,AT$2,AT$1,$B319)</f>
        <v>0</v>
      </c>
      <c r="AU319" s="105"/>
      <c r="AV319" s="324">
        <f ca="1">_xll.DBRW(Server&amp;Cube1,$N$15,$N$16,$N$17,$N$18,$N$14,$N$13,AV$2,AV$1,$B319)</f>
        <v>0</v>
      </c>
      <c r="AW319" s="324">
        <f ca="1">_xll.DBRW(Server&amp;Cube1,$N$15,$N$16,$N$17,$N$18,$N$14,$N$13,AW$2,AW$1,$B319)</f>
        <v>0</v>
      </c>
      <c r="AX319" s="404">
        <f ca="1">_xll.DBRW(Server&amp;Cube1,$N$15,$N$16,$N$17,$N$18,$N$14,$N$13,AX$2,AX$1,$B319)</f>
        <v>0</v>
      </c>
      <c r="AY319" s="105"/>
      <c r="AZ319" s="324">
        <f ca="1">_xll.DBRW(Server&amp;Cube1,$N$15,$N$16,$N$17,$N$18,$N$14,$N$13,AZ$2,AZ$1,$B319)</f>
        <v>0</v>
      </c>
      <c r="BA319" s="324">
        <f ca="1">_xll.DBRW(Server&amp;Cube1,$N$15,$N$16,$N$17,$N$18,$N$14,$N$13,BA$2,BA$1,$B319)</f>
        <v>0</v>
      </c>
      <c r="BB319" s="404">
        <f ca="1">_xll.DBRW(Server&amp;Cube1,$N$15,$N$16,$N$17,$N$18,$N$14,$N$13,BB$2,BB$1,$B319)</f>
        <v>0</v>
      </c>
      <c r="BC319" s="105"/>
      <c r="BD319" s="324">
        <f ca="1">_xll.DBRW(Server&amp;Cube1,$N$15,$N$16,$N$17,$N$18,$N$14,$N$13,BD$2,BD$1,$B319)</f>
        <v>0</v>
      </c>
      <c r="BE319" s="324">
        <f ca="1">_xll.DBRW(Server&amp;Cube1,$N$15,$N$16,$N$17,$N$18,$N$14,$N$13,BE$2,BE$1,$B319)</f>
        <v>0</v>
      </c>
      <c r="BF319" s="404">
        <f ca="1">_xll.DBRW(Server&amp;Cube1,$N$15,$N$16,$N$17,$N$18,$N$14,$N$13,BF$2,BF$1,$B319)</f>
        <v>0</v>
      </c>
      <c r="BG319" s="105"/>
      <c r="BH319" s="324">
        <f ca="1">_xll.DBRW(Server&amp;Cube1,$N$15,$N$16,$N$17,$N$18,$N$14,$N$13,BH$2,BH$1,$B319)</f>
        <v>0</v>
      </c>
      <c r="BI319" s="324">
        <f ca="1">_xll.DBRW(Server&amp;Cube1,$N$15,$N$16,$N$17,$N$18,$N$14,$N$13,BI$2,BI$1,$B319)</f>
        <v>0</v>
      </c>
      <c r="BJ319" s="404">
        <f ca="1">_xll.DBRW(Server&amp;Cube1,$N$15,$N$16,$N$17,$N$18,$N$14,$N$13,BJ$2,BJ$1,$B319)</f>
        <v>0</v>
      </c>
      <c r="BK319" s="105"/>
      <c r="BL319" s="324">
        <f ca="1">_xll.DBRW(Server&amp;Cube1,$N$15,$N$16,$N$17,$N$18,$N$14,$N$13,BL$2,BL$1,$B319)</f>
        <v>0</v>
      </c>
      <c r="BM319" s="324">
        <f ca="1">_xll.DBRW(Server&amp;Cube1,$N$15,$N$16,$N$17,$N$18,$N$14,$N$13,BM$2,BM$1,$B319)</f>
        <v>0</v>
      </c>
      <c r="BN319" s="404">
        <f ca="1">_xll.DBRW(Server&amp;Cube1,$N$15,$N$16,$N$17,$N$18,$N$14,$N$13,BN$2,BN$1,$B319)</f>
        <v>0</v>
      </c>
      <c r="BO319" s="105"/>
      <c r="BP319" s="324">
        <f ca="1">_xll.DBRW(Server&amp;Cube1,$N$15,$N$16,$N$17,$N$18,$N$14,$N$13,BP$2,BP$1,$B319)</f>
        <v>0</v>
      </c>
      <c r="BQ319" s="324">
        <f ca="1">_xll.DBRW(Server&amp;Cube1,$N$15,$N$16,$N$17,$N$18,$N$14,$N$13,BQ$2,BQ$1,$B319)</f>
        <v>0</v>
      </c>
      <c r="BR319" s="404">
        <f ca="1">_xll.DBRW(Server&amp;Cube1,$N$15,$N$16,$N$17,$N$18,$N$14,$N$13,BR$2,BR$1,$B319)</f>
        <v>0</v>
      </c>
      <c r="BS319" s="105"/>
      <c r="BT319" s="324">
        <f ca="1">_xll.DBRW(Server&amp;Cube1,$N$15,$N$16,$N$17,$N$18,$N$14,$N$13,BT$2,BT$1,$B319)</f>
        <v>0</v>
      </c>
      <c r="BU319" s="324">
        <f ca="1">_xll.DBRW(Server&amp;Cube1,$N$15,$N$16,$N$17,$N$18,$N$14,$N$13,BU$2,BU$1,$B319)</f>
        <v>0</v>
      </c>
      <c r="BV319" s="404">
        <f ca="1">_xll.DBRW(Server&amp;Cube1,$N$15,$N$16,$N$17,$N$18,$N$14,$N$13,BV$2,BV$1,$B319)</f>
        <v>0</v>
      </c>
      <c r="BW319" s="101"/>
      <c r="BX319" s="28"/>
      <c r="BZ319" s="429"/>
      <c r="CA319" s="429"/>
    </row>
    <row r="320" spans="1:79" s="34" customFormat="1" ht="27.75" customHeight="1" collapsed="1" thickBot="1" x14ac:dyDescent="0.3">
      <c r="A320" s="57"/>
      <c r="B320" s="360" t="s">
        <v>85</v>
      </c>
      <c r="C320" s="9"/>
      <c r="D320" s="1"/>
      <c r="E320" s="1"/>
      <c r="H320" s="360"/>
      <c r="I320" s="95"/>
      <c r="J320" s="58"/>
      <c r="K320" s="100"/>
      <c r="L320" s="586"/>
      <c r="M320" s="591" t="str">
        <f ca="1">IF(OR(O330="Not defined",O330="Non défini",O332="Not defined",O332="Non défini"),_xll.DBRA(Server&amp;$B$32,$B320,$N$19),_xll.DBRA(Server&amp;Context!$B$32,Context!$B$47,$N$19)&amp;" "&amp;O332)</f>
        <v>D3 - Revenue per Price Work Unit</v>
      </c>
      <c r="N320" s="591"/>
      <c r="O320" s="591"/>
      <c r="P320" s="246"/>
      <c r="Q320" s="327">
        <f ca="1">_xll.DBRW(Server&amp;Cube1,$N$15,$N$16,$N$17,$N$18,$N$14,$N$13,$N$11,$Q$1,$B320)</f>
        <v>0</v>
      </c>
      <c r="R320" s="328">
        <f ca="1">_xll.DBRW(Server&amp;Cube1,$N$15,$N$16,$N$17,$N$18,$N$14,$N$13,$R$2,$R$1,$B320)</f>
        <v>0</v>
      </c>
      <c r="S320" s="329">
        <f ca="1">$Q320-R320</f>
        <v>0</v>
      </c>
      <c r="T320" s="330"/>
      <c r="U320" s="245"/>
      <c r="V320" s="333">
        <f ca="1">_xll.DBRW(Server&amp;Cube1,$N$15,$N$16,$N$17,$N$18,$N$14,$N$13,$V$2,$V$1,$B320)</f>
        <v>0</v>
      </c>
      <c r="W320" s="329">
        <f ca="1">$Q320-V320</f>
        <v>0</v>
      </c>
      <c r="X320" s="330"/>
      <c r="Y320" s="101"/>
      <c r="Z320" s="398"/>
      <c r="AA320" s="100"/>
      <c r="AB320" s="327">
        <f ca="1">_xll.DBRW(Server&amp;Cube1,$N$15,$N$16,$N$17,$N$18,$N$14,$N$13,AB$2,AB$1,$B320)</f>
        <v>0</v>
      </c>
      <c r="AC320" s="327">
        <f ca="1">_xll.DBRW(Server&amp;Cube1,$N$15,$N$16,$N$17,$N$18,$N$14,$N$13,AC$2,AC$1,$B320)</f>
        <v>0</v>
      </c>
      <c r="AD320" s="405">
        <f ca="1">_xll.DBRW(Server&amp;Cube1,$N$15,$N$16,$N$17,$N$18,$N$14,$N$13,AD$2,AD$1,$B320)</f>
        <v>0</v>
      </c>
      <c r="AE320" s="105"/>
      <c r="AF320" s="327">
        <f ca="1">_xll.DBRW(Server&amp;Cube1,$N$15,$N$16,$N$17,$N$18,$N$14,$N$13,AF$2,AF$1,$B320)</f>
        <v>0</v>
      </c>
      <c r="AG320" s="327">
        <f ca="1">_xll.DBRW(Server&amp;Cube1,$N$15,$N$16,$N$17,$N$18,$N$14,$N$13,AG$2,AG$1,$B320)</f>
        <v>0</v>
      </c>
      <c r="AH320" s="405">
        <f ca="1">_xll.DBRW(Server&amp;Cube1,$N$15,$N$16,$N$17,$N$18,$N$14,$N$13,AH$2,AH$1,$B320)</f>
        <v>0</v>
      </c>
      <c r="AI320" s="105"/>
      <c r="AJ320" s="327">
        <f ca="1">_xll.DBRW(Server&amp;Cube1,$N$15,$N$16,$N$17,$N$18,$N$14,$N$13,AJ$2,AJ$1,$B320)</f>
        <v>0</v>
      </c>
      <c r="AK320" s="327">
        <f ca="1">_xll.DBRW(Server&amp;Cube1,$N$15,$N$16,$N$17,$N$18,$N$14,$N$13,AK$2,AK$1,$B320)</f>
        <v>0</v>
      </c>
      <c r="AL320" s="405">
        <f ca="1">_xll.DBRW(Server&amp;Cube1,$N$15,$N$16,$N$17,$N$18,$N$14,$N$13,AL$2,AL$1,$B320)</f>
        <v>0</v>
      </c>
      <c r="AM320" s="105"/>
      <c r="AN320" s="327">
        <f ca="1">_xll.DBRW(Server&amp;Cube1,$N$15,$N$16,$N$17,$N$18,$N$14,$N$13,AN$2,AN$1,$B320)</f>
        <v>0</v>
      </c>
      <c r="AO320" s="327">
        <f ca="1">_xll.DBRW(Server&amp;Cube1,$N$15,$N$16,$N$17,$N$18,$N$14,$N$13,AO$2,AO$1,$B320)</f>
        <v>0</v>
      </c>
      <c r="AP320" s="405">
        <f ca="1">_xll.DBRW(Server&amp;Cube1,$N$15,$N$16,$N$17,$N$18,$N$14,$N$13,AP$2,AP$1,$B320)</f>
        <v>0</v>
      </c>
      <c r="AQ320" s="105"/>
      <c r="AR320" s="327">
        <f ca="1">_xll.DBRW(Server&amp;Cube1,$N$15,$N$16,$N$17,$N$18,$N$14,$N$13,AR$2,AR$1,$B320)</f>
        <v>0</v>
      </c>
      <c r="AS320" s="327">
        <f ca="1">_xll.DBRW(Server&amp;Cube1,$N$15,$N$16,$N$17,$N$18,$N$14,$N$13,AS$2,AS$1,$B320)</f>
        <v>0</v>
      </c>
      <c r="AT320" s="405">
        <f ca="1">_xll.DBRW(Server&amp;Cube1,$N$15,$N$16,$N$17,$N$18,$N$14,$N$13,AT$2,AT$1,$B320)</f>
        <v>0</v>
      </c>
      <c r="AU320" s="105"/>
      <c r="AV320" s="327">
        <f ca="1">_xll.DBRW(Server&amp;Cube1,$N$15,$N$16,$N$17,$N$18,$N$14,$N$13,AV$2,AV$1,$B320)</f>
        <v>0</v>
      </c>
      <c r="AW320" s="327">
        <f ca="1">_xll.DBRW(Server&amp;Cube1,$N$15,$N$16,$N$17,$N$18,$N$14,$N$13,AW$2,AW$1,$B320)</f>
        <v>0</v>
      </c>
      <c r="AX320" s="405">
        <f ca="1">_xll.DBRW(Server&amp;Cube1,$N$15,$N$16,$N$17,$N$18,$N$14,$N$13,AX$2,AX$1,$B320)</f>
        <v>0</v>
      </c>
      <c r="AY320" s="105"/>
      <c r="AZ320" s="327">
        <f ca="1">_xll.DBRW(Server&amp;Cube1,$N$15,$N$16,$N$17,$N$18,$N$14,$N$13,AZ$2,AZ$1,$B320)</f>
        <v>0</v>
      </c>
      <c r="BA320" s="327">
        <f ca="1">_xll.DBRW(Server&amp;Cube1,$N$15,$N$16,$N$17,$N$18,$N$14,$N$13,BA$2,BA$1,$B320)</f>
        <v>0</v>
      </c>
      <c r="BB320" s="405">
        <f ca="1">_xll.DBRW(Server&amp;Cube1,$N$15,$N$16,$N$17,$N$18,$N$14,$N$13,BB$2,BB$1,$B320)</f>
        <v>0</v>
      </c>
      <c r="BC320" s="105"/>
      <c r="BD320" s="327">
        <f ca="1">_xll.DBRW(Server&amp;Cube1,$N$15,$N$16,$N$17,$N$18,$N$14,$N$13,BD$2,BD$1,$B320)</f>
        <v>0</v>
      </c>
      <c r="BE320" s="327">
        <f ca="1">_xll.DBRW(Server&amp;Cube1,$N$15,$N$16,$N$17,$N$18,$N$14,$N$13,BE$2,BE$1,$B320)</f>
        <v>0</v>
      </c>
      <c r="BF320" s="405">
        <f ca="1">_xll.DBRW(Server&amp;Cube1,$N$15,$N$16,$N$17,$N$18,$N$14,$N$13,BF$2,BF$1,$B320)</f>
        <v>0</v>
      </c>
      <c r="BG320" s="105"/>
      <c r="BH320" s="327">
        <f ca="1">_xll.DBRW(Server&amp;Cube1,$N$15,$N$16,$N$17,$N$18,$N$14,$N$13,BH$2,BH$1,$B320)</f>
        <v>0</v>
      </c>
      <c r="BI320" s="327">
        <f ca="1">_xll.DBRW(Server&amp;Cube1,$N$15,$N$16,$N$17,$N$18,$N$14,$N$13,BI$2,BI$1,$B320)</f>
        <v>0</v>
      </c>
      <c r="BJ320" s="405">
        <f ca="1">_xll.DBRW(Server&amp;Cube1,$N$15,$N$16,$N$17,$N$18,$N$14,$N$13,BJ$2,BJ$1,$B320)</f>
        <v>0</v>
      </c>
      <c r="BK320" s="105"/>
      <c r="BL320" s="327">
        <f ca="1">_xll.DBRW(Server&amp;Cube1,$N$15,$N$16,$N$17,$N$18,$N$14,$N$13,BL$2,BL$1,$B320)</f>
        <v>0</v>
      </c>
      <c r="BM320" s="327">
        <f ca="1">_xll.DBRW(Server&amp;Cube1,$N$15,$N$16,$N$17,$N$18,$N$14,$N$13,BM$2,BM$1,$B320)</f>
        <v>0</v>
      </c>
      <c r="BN320" s="405">
        <f ca="1">_xll.DBRW(Server&amp;Cube1,$N$15,$N$16,$N$17,$N$18,$N$14,$N$13,BN$2,BN$1,$B320)</f>
        <v>0</v>
      </c>
      <c r="BO320" s="105"/>
      <c r="BP320" s="327">
        <f ca="1">_xll.DBRW(Server&amp;Cube1,$N$15,$N$16,$N$17,$N$18,$N$14,$N$13,BP$2,BP$1,$B320)</f>
        <v>0</v>
      </c>
      <c r="BQ320" s="327">
        <f ca="1">_xll.DBRW(Server&amp;Cube1,$N$15,$N$16,$N$17,$N$18,$N$14,$N$13,BQ$2,BQ$1,$B320)</f>
        <v>0</v>
      </c>
      <c r="BR320" s="405">
        <f ca="1">_xll.DBRW(Server&amp;Cube1,$N$15,$N$16,$N$17,$N$18,$N$14,$N$13,BR$2,BR$1,$B320)</f>
        <v>0</v>
      </c>
      <c r="BS320" s="105"/>
      <c r="BT320" s="327">
        <f ca="1">_xll.DBRW(Server&amp;Cube1,$N$15,$N$16,$N$17,$N$18,$N$14,$N$13,BT$2,BT$1,$B320)</f>
        <v>0</v>
      </c>
      <c r="BU320" s="327">
        <f ca="1">_xll.DBRW(Server&amp;Cube1,$N$15,$N$16,$N$17,$N$18,$N$14,$N$13,BU$2,BU$1,$B320)</f>
        <v>0</v>
      </c>
      <c r="BV320" s="405">
        <f ca="1">_xll.DBRW(Server&amp;Cube1,$N$15,$N$16,$N$17,$N$18,$N$14,$N$13,BV$2,BV$1,$B320)</f>
        <v>0</v>
      </c>
      <c r="BW320" s="101"/>
      <c r="BX320" s="28"/>
      <c r="BZ320" s="429"/>
    </row>
    <row r="321" spans="1:78" ht="3.75" hidden="1" customHeight="1" outlineLevel="1" thickTop="1" x14ac:dyDescent="0.25">
      <c r="A321" s="57"/>
      <c r="B321" s="360"/>
      <c r="H321" s="360"/>
      <c r="I321" s="95"/>
      <c r="J321" s="58"/>
      <c r="K321" s="100"/>
      <c r="L321" s="586"/>
      <c r="M321" s="301"/>
      <c r="N321" s="301"/>
      <c r="O321" s="301"/>
      <c r="P321" s="62"/>
      <c r="Q321" s="353"/>
      <c r="R321" s="354"/>
      <c r="S321" s="355"/>
      <c r="T321" s="356"/>
      <c r="U321" s="248"/>
      <c r="V321" s="353"/>
      <c r="W321" s="355"/>
      <c r="X321" s="356"/>
      <c r="Y321" s="101"/>
      <c r="Z321" s="398"/>
      <c r="AA321" s="100"/>
      <c r="AB321" s="353"/>
      <c r="AC321" s="353"/>
      <c r="AD321" s="406"/>
      <c r="AE321" s="105"/>
      <c r="AF321" s="353"/>
      <c r="AG321" s="353"/>
      <c r="AH321" s="406"/>
      <c r="AI321" s="105"/>
      <c r="AJ321" s="353"/>
      <c r="AK321" s="353"/>
      <c r="AL321" s="406"/>
      <c r="AM321" s="105"/>
      <c r="AN321" s="353"/>
      <c r="AO321" s="353"/>
      <c r="AP321" s="406"/>
      <c r="AQ321" s="105"/>
      <c r="AR321" s="353"/>
      <c r="AS321" s="353"/>
      <c r="AT321" s="406"/>
      <c r="AU321" s="105"/>
      <c r="AV321" s="353"/>
      <c r="AW321" s="353"/>
      <c r="AX321" s="406"/>
      <c r="AY321" s="105"/>
      <c r="AZ321" s="353"/>
      <c r="BA321" s="353"/>
      <c r="BB321" s="406"/>
      <c r="BC321" s="105"/>
      <c r="BD321" s="353"/>
      <c r="BE321" s="353"/>
      <c r="BF321" s="406"/>
      <c r="BG321" s="105"/>
      <c r="BH321" s="353"/>
      <c r="BI321" s="353"/>
      <c r="BJ321" s="406"/>
      <c r="BK321" s="105"/>
      <c r="BL321" s="353"/>
      <c r="BM321" s="353"/>
      <c r="BN321" s="406"/>
      <c r="BO321" s="105"/>
      <c r="BP321" s="353"/>
      <c r="BQ321" s="353"/>
      <c r="BR321" s="406"/>
      <c r="BS321" s="105"/>
      <c r="BT321" s="353"/>
      <c r="BU321" s="353"/>
      <c r="BV321" s="406"/>
      <c r="BW321" s="101"/>
      <c r="BX321" s="28"/>
      <c r="BZ321" s="367"/>
    </row>
    <row r="322" spans="1:78" s="34" customFormat="1" ht="21.75" hidden="1" customHeight="1" outlineLevel="1" x14ac:dyDescent="0.25">
      <c r="A322" s="57"/>
      <c r="B322" s="360" t="s">
        <v>90</v>
      </c>
      <c r="C322" s="9"/>
      <c r="D322" s="360" t="b">
        <f ca="1">AND($Q330&lt;&gt;0,$R330&lt;&gt;0)</f>
        <v>0</v>
      </c>
      <c r="E322" s="360"/>
      <c r="F322" s="360" t="b">
        <f ca="1">AND($Q330&lt;&gt;0,$V330&lt;&gt;0)</f>
        <v>0</v>
      </c>
      <c r="H322" s="360"/>
      <c r="I322" s="95"/>
      <c r="J322" s="58"/>
      <c r="K322" s="100"/>
      <c r="L322" s="586"/>
      <c r="M322" s="592" t="str">
        <f ca="1">_xll.DBRA(Server&amp;$B$32,$B322,$N$19)</f>
        <v>D1 - Driving cost variance - Cost effect</v>
      </c>
      <c r="N322" s="592"/>
      <c r="O322" s="593"/>
      <c r="P322" s="246"/>
      <c r="Q322" s="249"/>
      <c r="R322" s="250"/>
      <c r="S322" s="251">
        <f ca="1">IF(D322,-1*S318*$Q330,0)</f>
        <v>0</v>
      </c>
      <c r="T322" s="305">
        <f ca="1">IF(ISERROR(S322/#REF!*100),,S322/#REF!*100)</f>
        <v>0</v>
      </c>
      <c r="U322" s="245"/>
      <c r="V322" s="252"/>
      <c r="W322" s="251">
        <f ca="1">IF(F322,-1*W318*$Q330,0)</f>
        <v>0</v>
      </c>
      <c r="X322" s="309">
        <f ca="1">IF(ISERROR(W322/#REF!*100),,W322/#REF!*100)</f>
        <v>0</v>
      </c>
      <c r="Y322" s="101"/>
      <c r="Z322" s="398"/>
      <c r="AA322" s="100"/>
      <c r="AB322" s="342"/>
      <c r="AC322" s="342"/>
      <c r="AD322" s="407"/>
      <c r="AE322" s="105"/>
      <c r="AF322" s="342"/>
      <c r="AG322" s="342"/>
      <c r="AH322" s="407"/>
      <c r="AI322" s="105"/>
      <c r="AJ322" s="342"/>
      <c r="AK322" s="342"/>
      <c r="AL322" s="407"/>
      <c r="AM322" s="105"/>
      <c r="AN322" s="342"/>
      <c r="AO322" s="342"/>
      <c r="AP322" s="407"/>
      <c r="AQ322" s="105"/>
      <c r="AR322" s="342"/>
      <c r="AS322" s="342"/>
      <c r="AT322" s="407"/>
      <c r="AU322" s="105"/>
      <c r="AV322" s="342"/>
      <c r="AW322" s="342"/>
      <c r="AX322" s="407"/>
      <c r="AY322" s="105"/>
      <c r="AZ322" s="342"/>
      <c r="BA322" s="342"/>
      <c r="BB322" s="407"/>
      <c r="BC322" s="105"/>
      <c r="BD322" s="342"/>
      <c r="BE322" s="342"/>
      <c r="BF322" s="407"/>
      <c r="BG322" s="105"/>
      <c r="BH322" s="342"/>
      <c r="BI322" s="342"/>
      <c r="BJ322" s="407"/>
      <c r="BK322" s="105"/>
      <c r="BL322" s="342"/>
      <c r="BM322" s="342"/>
      <c r="BN322" s="407"/>
      <c r="BO322" s="105"/>
      <c r="BP322" s="342"/>
      <c r="BQ322" s="342"/>
      <c r="BR322" s="407"/>
      <c r="BS322" s="105"/>
      <c r="BT322" s="342"/>
      <c r="BU322" s="342"/>
      <c r="BV322" s="407"/>
      <c r="BW322" s="101"/>
      <c r="BX322" s="28"/>
    </row>
    <row r="323" spans="1:78" s="34" customFormat="1" ht="21.75" hidden="1" customHeight="1" outlineLevel="1" x14ac:dyDescent="0.25">
      <c r="A323" s="57"/>
      <c r="B323" s="360" t="s">
        <v>91</v>
      </c>
      <c r="C323" s="9"/>
      <c r="D323" s="360" t="b">
        <f ca="1">AND($Q332&lt;&gt;0,$R332&lt;&gt;0,$Q330&lt;&gt;0,$R330&lt;&gt;0)</f>
        <v>0</v>
      </c>
      <c r="E323" s="360"/>
      <c r="F323" s="360" t="b">
        <f ca="1">AND($Q332&lt;&gt;0,$V332&lt;&gt;0,$Q330&lt;&gt;0,$V330&lt;&gt;0)</f>
        <v>0</v>
      </c>
      <c r="H323" s="360"/>
      <c r="I323" s="95"/>
      <c r="J323" s="58"/>
      <c r="K323" s="100"/>
      <c r="L323" s="586"/>
      <c r="M323" s="573" t="str">
        <f ca="1">_xll.DBRA(Server&amp;$B$32,$B323,$N$19)</f>
        <v>D2 - Driving cost variance - Efficiency effect</v>
      </c>
      <c r="N323" s="573"/>
      <c r="O323" s="574"/>
      <c r="P323" s="246"/>
      <c r="Q323" s="249"/>
      <c r="R323" s="253"/>
      <c r="S323" s="251">
        <f ca="1">IF(D323,IF($Q319&lt;&gt;0,S319/$Q319*$Q$53,0),0)</f>
        <v>0</v>
      </c>
      <c r="T323" s="305">
        <f ca="1">IF(ISERROR(S323/$Q$36*100),,S323/$Q$36*100)</f>
        <v>0</v>
      </c>
      <c r="U323" s="245"/>
      <c r="V323" s="252"/>
      <c r="W323" s="251">
        <f ca="1">IF(F323,IF($Q319&lt;&gt;0,W319/$Q319*$Q$53,0),0)</f>
        <v>0</v>
      </c>
      <c r="X323" s="309">
        <f ca="1">IF(ISERROR(W323/$Q$36*100),,W323/$Q$36*100)</f>
        <v>0</v>
      </c>
      <c r="Y323" s="101"/>
      <c r="Z323" s="398"/>
      <c r="AA323" s="100"/>
      <c r="AB323" s="342"/>
      <c r="AC323" s="342"/>
      <c r="AD323" s="407"/>
      <c r="AE323" s="105"/>
      <c r="AF323" s="342"/>
      <c r="AG323" s="342"/>
      <c r="AH323" s="407"/>
      <c r="AI323" s="105"/>
      <c r="AJ323" s="342"/>
      <c r="AK323" s="342"/>
      <c r="AL323" s="407"/>
      <c r="AM323" s="105"/>
      <c r="AN323" s="342"/>
      <c r="AO323" s="342"/>
      <c r="AP323" s="407"/>
      <c r="AQ323" s="105"/>
      <c r="AR323" s="342"/>
      <c r="AS323" s="342"/>
      <c r="AT323" s="407"/>
      <c r="AU323" s="105"/>
      <c r="AV323" s="342"/>
      <c r="AW323" s="342"/>
      <c r="AX323" s="407"/>
      <c r="AY323" s="105"/>
      <c r="AZ323" s="342"/>
      <c r="BA323" s="342"/>
      <c r="BB323" s="407"/>
      <c r="BC323" s="105"/>
      <c r="BD323" s="342"/>
      <c r="BE323" s="342"/>
      <c r="BF323" s="407"/>
      <c r="BG323" s="105"/>
      <c r="BH323" s="342"/>
      <c r="BI323" s="342"/>
      <c r="BJ323" s="407"/>
      <c r="BK323" s="105"/>
      <c r="BL323" s="342"/>
      <c r="BM323" s="342"/>
      <c r="BN323" s="407"/>
      <c r="BO323" s="105"/>
      <c r="BP323" s="342"/>
      <c r="BQ323" s="342"/>
      <c r="BR323" s="407"/>
      <c r="BS323" s="105"/>
      <c r="BT323" s="342"/>
      <c r="BU323" s="342"/>
      <c r="BV323" s="407"/>
      <c r="BW323" s="101"/>
      <c r="BX323" s="28"/>
    </row>
    <row r="324" spans="1:78" s="34" customFormat="1" ht="21.75" hidden="1" customHeight="1" outlineLevel="1" x14ac:dyDescent="0.25">
      <c r="A324" s="57"/>
      <c r="B324" s="360" t="s">
        <v>92</v>
      </c>
      <c r="C324" s="9"/>
      <c r="D324" s="360" t="b">
        <f ca="1">AND($Q332&lt;&gt;0,$R332&lt;&gt;0)</f>
        <v>0</v>
      </c>
      <c r="E324" s="360"/>
      <c r="F324" s="360" t="b">
        <f ca="1">AND($Q332&lt;&gt;0,$V332&lt;&gt;0)</f>
        <v>0</v>
      </c>
      <c r="H324" s="360"/>
      <c r="I324" s="95"/>
      <c r="J324" s="58"/>
      <c r="K324" s="100"/>
      <c r="L324" s="586"/>
      <c r="M324" s="573" t="str">
        <f ca="1">_xll.DBRA(Server&amp;$B$32,$B324,$N$19)</f>
        <v>D3 - Driving cost variance - Price effect</v>
      </c>
      <c r="N324" s="573"/>
      <c r="O324" s="574"/>
      <c r="P324" s="246"/>
      <c r="Q324" s="249"/>
      <c r="R324" s="253"/>
      <c r="S324" s="251">
        <f ca="1">IF(D324,$Q317*S320*$Q332,0)</f>
        <v>0</v>
      </c>
      <c r="T324" s="305">
        <f ca="1">IF(ISERROR(S324/$Q$36*100),,S324/$Q$36*100)</f>
        <v>0</v>
      </c>
      <c r="U324" s="245"/>
      <c r="V324" s="252"/>
      <c r="W324" s="254">
        <f ca="1">IF(F324,$Q317*W320*$Q332,0)</f>
        <v>0</v>
      </c>
      <c r="X324" s="309">
        <f ca="1">IF(ISERROR(W324/$Q$36*100),,W324/$Q$36*100)</f>
        <v>0</v>
      </c>
      <c r="Y324" s="101"/>
      <c r="Z324" s="398"/>
      <c r="AA324" s="100"/>
      <c r="AB324" s="342"/>
      <c r="AC324" s="342"/>
      <c r="AD324" s="407"/>
      <c r="AE324" s="105"/>
      <c r="AF324" s="342"/>
      <c r="AG324" s="342"/>
      <c r="AH324" s="407"/>
      <c r="AI324" s="105"/>
      <c r="AJ324" s="342"/>
      <c r="AK324" s="342"/>
      <c r="AL324" s="407"/>
      <c r="AM324" s="105"/>
      <c r="AN324" s="342"/>
      <c r="AO324" s="342"/>
      <c r="AP324" s="407"/>
      <c r="AQ324" s="105"/>
      <c r="AR324" s="342"/>
      <c r="AS324" s="342"/>
      <c r="AT324" s="407"/>
      <c r="AU324" s="105"/>
      <c r="AV324" s="342"/>
      <c r="AW324" s="342"/>
      <c r="AX324" s="407"/>
      <c r="AY324" s="105"/>
      <c r="AZ324" s="342"/>
      <c r="BA324" s="342"/>
      <c r="BB324" s="407"/>
      <c r="BC324" s="105"/>
      <c r="BD324" s="342"/>
      <c r="BE324" s="342"/>
      <c r="BF324" s="407"/>
      <c r="BG324" s="105"/>
      <c r="BH324" s="342"/>
      <c r="BI324" s="342"/>
      <c r="BJ324" s="407"/>
      <c r="BK324" s="105"/>
      <c r="BL324" s="342"/>
      <c r="BM324" s="342"/>
      <c r="BN324" s="407"/>
      <c r="BO324" s="105"/>
      <c r="BP324" s="342"/>
      <c r="BQ324" s="342"/>
      <c r="BR324" s="407"/>
      <c r="BS324" s="105"/>
      <c r="BT324" s="342"/>
      <c r="BU324" s="342"/>
      <c r="BV324" s="407"/>
      <c r="BW324" s="101"/>
      <c r="BX324" s="28"/>
    </row>
    <row r="325" spans="1:78" s="34" customFormat="1" ht="21.75" hidden="1" customHeight="1" outlineLevel="1" x14ac:dyDescent="0.25">
      <c r="A325" s="57"/>
      <c r="B325" s="360" t="s">
        <v>93</v>
      </c>
      <c r="C325" s="9"/>
      <c r="D325" s="360" t="b">
        <f ca="1">AND($Q332&lt;&gt;0,$R332&lt;&gt;0,$Q330&lt;&gt;0,$R330&lt;&gt;0)</f>
        <v>0</v>
      </c>
      <c r="E325" s="360"/>
      <c r="F325" s="360" t="b">
        <f ca="1">AND($Q332&lt;&gt;0,$V332&lt;&gt;0,$Q330&lt;&gt;0,$V330&lt;&gt;0)</f>
        <v>0</v>
      </c>
      <c r="H325" s="360"/>
      <c r="I325" s="95"/>
      <c r="J325" s="58"/>
      <c r="K325" s="100"/>
      <c r="L325" s="586"/>
      <c r="M325" s="575" t="str">
        <f ca="1">_xll.DBRA(Server&amp;$B$32,$B325,$N$19)</f>
        <v>D - Compound</v>
      </c>
      <c r="N325" s="575"/>
      <c r="O325" s="576"/>
      <c r="P325" s="246"/>
      <c r="Q325" s="249"/>
      <c r="R325" s="253"/>
      <c r="S325" s="255">
        <f ca="1">IF(D325,$S53-S322-S323-S324-S328,0)</f>
        <v>0</v>
      </c>
      <c r="T325" s="306">
        <f ca="1">IF(ISERROR(S325/$Q$36*100),,S325/$Q$36*100)</f>
        <v>0</v>
      </c>
      <c r="U325" s="245"/>
      <c r="V325" s="252"/>
      <c r="W325" s="255">
        <f ca="1">IF(F325,$W53-W322-W323-W324-W328,0)</f>
        <v>0</v>
      </c>
      <c r="X325" s="306">
        <f ca="1">IF(ISERROR(W325/$Q$36*100),,W325/$Q$36*100)</f>
        <v>0</v>
      </c>
      <c r="Y325" s="101"/>
      <c r="Z325" s="398"/>
      <c r="AA325" s="100"/>
      <c r="AB325" s="342"/>
      <c r="AC325" s="342"/>
      <c r="AD325" s="407"/>
      <c r="AE325" s="105"/>
      <c r="AF325" s="342"/>
      <c r="AG325" s="342"/>
      <c r="AH325" s="407"/>
      <c r="AI325" s="105"/>
      <c r="AJ325" s="342"/>
      <c r="AK325" s="342"/>
      <c r="AL325" s="407"/>
      <c r="AM325" s="105"/>
      <c r="AN325" s="342"/>
      <c r="AO325" s="342"/>
      <c r="AP325" s="407"/>
      <c r="AQ325" s="105"/>
      <c r="AR325" s="342"/>
      <c r="AS325" s="342"/>
      <c r="AT325" s="407"/>
      <c r="AU325" s="105"/>
      <c r="AV325" s="342"/>
      <c r="AW325" s="342"/>
      <c r="AX325" s="407"/>
      <c r="AY325" s="105"/>
      <c r="AZ325" s="342"/>
      <c r="BA325" s="342"/>
      <c r="BB325" s="407"/>
      <c r="BC325" s="105"/>
      <c r="BD325" s="342"/>
      <c r="BE325" s="342"/>
      <c r="BF325" s="407"/>
      <c r="BG325" s="105"/>
      <c r="BH325" s="342"/>
      <c r="BI325" s="342"/>
      <c r="BJ325" s="407"/>
      <c r="BK325" s="105"/>
      <c r="BL325" s="342"/>
      <c r="BM325" s="342"/>
      <c r="BN325" s="407"/>
      <c r="BO325" s="105"/>
      <c r="BP325" s="342"/>
      <c r="BQ325" s="342"/>
      <c r="BR325" s="407"/>
      <c r="BS325" s="105"/>
      <c r="BT325" s="342"/>
      <c r="BU325" s="342"/>
      <c r="BV325" s="407"/>
      <c r="BW325" s="101"/>
      <c r="BX325" s="28"/>
    </row>
    <row r="326" spans="1:78" s="34" customFormat="1" ht="21.75" hidden="1" customHeight="1" outlineLevel="1" x14ac:dyDescent="0.25">
      <c r="A326" s="57"/>
      <c r="B326" s="380" t="s">
        <v>142</v>
      </c>
      <c r="C326" s="9"/>
      <c r="D326" s="360" t="b">
        <f ca="1">OR($Q332=0,$R332=0,$Q330=0,$R330=0)</f>
        <v>1</v>
      </c>
      <c r="E326" s="360"/>
      <c r="F326" s="360" t="b">
        <f ca="1">OR($Q332=0,$V332=0,$Q330=0,$V330=0)</f>
        <v>1</v>
      </c>
      <c r="H326" s="380"/>
      <c r="I326" s="95"/>
      <c r="J326" s="58"/>
      <c r="K326" s="100"/>
      <c r="L326" s="586"/>
      <c r="M326" s="577" t="str">
        <f ca="1">_xll.DBRA(Server&amp;$B$32,$B326,$N$19)</f>
        <v>D - Driving cost variance not addressed due to missing Work Unit(s)</v>
      </c>
      <c r="N326" s="577"/>
      <c r="O326" s="578"/>
      <c r="P326" s="256"/>
      <c r="Q326" s="257"/>
      <c r="R326" s="258"/>
      <c r="S326" s="259">
        <f ca="1">IF(D326,$S$53-S322-S323-S324-S328,0)</f>
        <v>717639038.67622352</v>
      </c>
      <c r="T326" s="307">
        <f ca="1">IF(ISERROR(S326/$Q$36*100),,S326/$Q$36*100)</f>
        <v>4.6011747194472123</v>
      </c>
      <c r="U326" s="260"/>
      <c r="V326" s="261"/>
      <c r="W326" s="255">
        <f ca="1">IF(F326,$W$53-W322-W323-W324-W328,0)</f>
        <v>335018944.81205416</v>
      </c>
      <c r="X326" s="307">
        <f ca="1">IF(ISERROR(W326/$Q$36*100),,W326/$Q$36*100)</f>
        <v>2.1479889141044524</v>
      </c>
      <c r="Y326" s="101"/>
      <c r="Z326" s="398"/>
      <c r="AA326" s="100"/>
      <c r="AB326" s="343"/>
      <c r="AC326" s="343"/>
      <c r="AD326" s="408"/>
      <c r="AE326" s="105"/>
      <c r="AF326" s="343"/>
      <c r="AG326" s="343"/>
      <c r="AH326" s="408"/>
      <c r="AI326" s="105"/>
      <c r="AJ326" s="343"/>
      <c r="AK326" s="343"/>
      <c r="AL326" s="408"/>
      <c r="AM326" s="105"/>
      <c r="AN326" s="343"/>
      <c r="AO326" s="343"/>
      <c r="AP326" s="408"/>
      <c r="AQ326" s="105"/>
      <c r="AR326" s="343"/>
      <c r="AS326" s="343"/>
      <c r="AT326" s="408"/>
      <c r="AU326" s="105"/>
      <c r="AV326" s="343"/>
      <c r="AW326" s="343"/>
      <c r="AX326" s="408"/>
      <c r="AY326" s="105"/>
      <c r="AZ326" s="343"/>
      <c r="BA326" s="343"/>
      <c r="BB326" s="408"/>
      <c r="BC326" s="105"/>
      <c r="BD326" s="343"/>
      <c r="BE326" s="343"/>
      <c r="BF326" s="408"/>
      <c r="BG326" s="105"/>
      <c r="BH326" s="343"/>
      <c r="BI326" s="343"/>
      <c r="BJ326" s="408"/>
      <c r="BK326" s="105"/>
      <c r="BL326" s="343"/>
      <c r="BM326" s="343"/>
      <c r="BN326" s="408"/>
      <c r="BO326" s="105"/>
      <c r="BP326" s="343"/>
      <c r="BQ326" s="343"/>
      <c r="BR326" s="408"/>
      <c r="BS326" s="105"/>
      <c r="BT326" s="343"/>
      <c r="BU326" s="343"/>
      <c r="BV326" s="408"/>
      <c r="BW326" s="101"/>
      <c r="BX326" s="28"/>
    </row>
    <row r="327" spans="1:78" s="34" customFormat="1" ht="22.5" customHeight="1" collapsed="1" thickTop="1" x14ac:dyDescent="0.25">
      <c r="A327" s="57"/>
      <c r="B327" s="360" t="s">
        <v>86</v>
      </c>
      <c r="C327" s="9"/>
      <c r="D327" s="1"/>
      <c r="E327" s="1"/>
      <c r="H327" s="360"/>
      <c r="I327" s="95"/>
      <c r="J327" s="58"/>
      <c r="K327" s="100"/>
      <c r="L327" s="586"/>
      <c r="M327" s="579" t="str">
        <f ca="1">_xll.DBRA(Server&amp;$B$32,$B327,$N$19)</f>
        <v>D - Part of Driving cost variance due to Level 2 ratios change</v>
      </c>
      <c r="N327" s="579"/>
      <c r="O327" s="580"/>
      <c r="P327" s="262"/>
      <c r="Q327" s="344"/>
      <c r="R327" s="345"/>
      <c r="S327" s="334">
        <f ca="1">SUM(S322:S326)</f>
        <v>717639038.67622352</v>
      </c>
      <c r="T327" s="335">
        <f ca="1">-($Q317-R317)*100</f>
        <v>0</v>
      </c>
      <c r="U327" s="266"/>
      <c r="V327" s="350"/>
      <c r="W327" s="334">
        <f ca="1">SUM(W322:W326)</f>
        <v>335018944.81205416</v>
      </c>
      <c r="X327" s="335">
        <f ca="1">-($Q317-V317)*100</f>
        <v>0</v>
      </c>
      <c r="Y327" s="101"/>
      <c r="Z327" s="398"/>
      <c r="AA327" s="100"/>
      <c r="AB327" s="344"/>
      <c r="AC327" s="344"/>
      <c r="AD327" s="409"/>
      <c r="AE327" s="105"/>
      <c r="AF327" s="344"/>
      <c r="AG327" s="344"/>
      <c r="AH327" s="409"/>
      <c r="AI327" s="105"/>
      <c r="AJ327" s="344"/>
      <c r="AK327" s="344"/>
      <c r="AL327" s="409"/>
      <c r="AM327" s="105"/>
      <c r="AN327" s="344"/>
      <c r="AO327" s="344"/>
      <c r="AP327" s="409"/>
      <c r="AQ327" s="105"/>
      <c r="AR327" s="344"/>
      <c r="AS327" s="344"/>
      <c r="AT327" s="409"/>
      <c r="AU327" s="105"/>
      <c r="AV327" s="344"/>
      <c r="AW327" s="344"/>
      <c r="AX327" s="409"/>
      <c r="AY327" s="105"/>
      <c r="AZ327" s="344"/>
      <c r="BA327" s="344"/>
      <c r="BB327" s="409"/>
      <c r="BC327" s="105"/>
      <c r="BD327" s="344"/>
      <c r="BE327" s="344"/>
      <c r="BF327" s="409"/>
      <c r="BG327" s="105"/>
      <c r="BH327" s="344"/>
      <c r="BI327" s="344"/>
      <c r="BJ327" s="409"/>
      <c r="BK327" s="105"/>
      <c r="BL327" s="344"/>
      <c r="BM327" s="344"/>
      <c r="BN327" s="409"/>
      <c r="BO327" s="105"/>
      <c r="BP327" s="344"/>
      <c r="BQ327" s="344"/>
      <c r="BR327" s="409"/>
      <c r="BS327" s="105"/>
      <c r="BT327" s="344"/>
      <c r="BU327" s="344"/>
      <c r="BV327" s="409"/>
      <c r="BW327" s="101"/>
      <c r="BX327" s="28"/>
    </row>
    <row r="328" spans="1:78" s="34" customFormat="1" ht="22.5" customHeight="1" x14ac:dyDescent="0.25">
      <c r="A328" s="57"/>
      <c r="B328" s="360" t="s">
        <v>94</v>
      </c>
      <c r="C328" s="9"/>
      <c r="D328" s="1"/>
      <c r="E328" s="1"/>
      <c r="H328" s="360"/>
      <c r="I328" s="95"/>
      <c r="J328" s="58"/>
      <c r="K328" s="100"/>
      <c r="L328" s="587"/>
      <c r="M328" s="581" t="str">
        <f ca="1">_xll.DBRA(Server&amp;$B$32,$B328,$N$19)</f>
        <v>D - Part of Driving cost variance due to ROA change</v>
      </c>
      <c r="N328" s="581"/>
      <c r="O328" s="582"/>
      <c r="P328" s="268"/>
      <c r="Q328" s="346"/>
      <c r="R328" s="347"/>
      <c r="S328" s="271">
        <f ca="1">(IF($R$36&lt;&gt;0,IF($R$36&gt;0,$S$36/$R$36,-$S$36/$R$36),0))*R53</f>
        <v>-762547947.06092906</v>
      </c>
      <c r="T328" s="336"/>
      <c r="U328" s="273"/>
      <c r="V328" s="351"/>
      <c r="W328" s="271">
        <f ca="1">(IF($V$36&lt;&gt;0,IF($V$36&gt;0,$W$36/$V$36,-$W$36/$V$36),0))*V53</f>
        <v>-1364599042.1097031</v>
      </c>
      <c r="X328" s="336"/>
      <c r="Y328" s="101"/>
      <c r="Z328" s="398"/>
      <c r="AA328" s="100"/>
      <c r="AB328" s="346"/>
      <c r="AC328" s="346"/>
      <c r="AD328" s="410"/>
      <c r="AE328" s="105"/>
      <c r="AF328" s="346"/>
      <c r="AG328" s="346"/>
      <c r="AH328" s="410"/>
      <c r="AI328" s="105"/>
      <c r="AJ328" s="346"/>
      <c r="AK328" s="346"/>
      <c r="AL328" s="410"/>
      <c r="AM328" s="105"/>
      <c r="AN328" s="346"/>
      <c r="AO328" s="346"/>
      <c r="AP328" s="410"/>
      <c r="AQ328" s="105"/>
      <c r="AR328" s="346"/>
      <c r="AS328" s="346"/>
      <c r="AT328" s="410"/>
      <c r="AU328" s="105"/>
      <c r="AV328" s="346"/>
      <c r="AW328" s="346"/>
      <c r="AX328" s="410"/>
      <c r="AY328" s="105"/>
      <c r="AZ328" s="346"/>
      <c r="BA328" s="346"/>
      <c r="BB328" s="410"/>
      <c r="BC328" s="105"/>
      <c r="BD328" s="346"/>
      <c r="BE328" s="346"/>
      <c r="BF328" s="410"/>
      <c r="BG328" s="105"/>
      <c r="BH328" s="346"/>
      <c r="BI328" s="346"/>
      <c r="BJ328" s="410"/>
      <c r="BK328" s="105"/>
      <c r="BL328" s="346"/>
      <c r="BM328" s="346"/>
      <c r="BN328" s="410"/>
      <c r="BO328" s="105"/>
      <c r="BP328" s="346"/>
      <c r="BQ328" s="346"/>
      <c r="BR328" s="410"/>
      <c r="BS328" s="105"/>
      <c r="BT328" s="346"/>
      <c r="BU328" s="346"/>
      <c r="BV328" s="410"/>
      <c r="BW328" s="101"/>
      <c r="BX328" s="28"/>
    </row>
    <row r="329" spans="1:78" s="34" customFormat="1" ht="39.75" customHeight="1" collapsed="1" x14ac:dyDescent="0.25">
      <c r="A329" s="57"/>
      <c r="B329" s="379" t="s">
        <v>147</v>
      </c>
      <c r="C329" s="9"/>
      <c r="D329" s="1"/>
      <c r="E329" s="1"/>
      <c r="H329" s="379"/>
      <c r="I329" s="95"/>
      <c r="J329" s="58"/>
      <c r="K329" s="100"/>
      <c r="L329" s="570" t="str">
        <f ca="1">_xll.DBRA(Server&amp;Context!$B$32,Context!$B$56,$N$19)</f>
        <v>Total Driving cost variance (impact on Gross Margin variance)</v>
      </c>
      <c r="M329" s="571"/>
      <c r="N329" s="571"/>
      <c r="O329" s="572"/>
      <c r="P329" s="212"/>
      <c r="Q329" s="348"/>
      <c r="R329" s="349"/>
      <c r="S329" s="277">
        <f ca="1">SUM(S327:S328)</f>
        <v>-44908908.384705544</v>
      </c>
      <c r="T329" s="337"/>
      <c r="U329" s="247"/>
      <c r="V329" s="352"/>
      <c r="W329" s="280">
        <f ca="1">SUM(W327:W328)</f>
        <v>-1029580097.2976489</v>
      </c>
      <c r="X329" s="337"/>
      <c r="Y329" s="101"/>
      <c r="Z329" s="398"/>
      <c r="AA329" s="100"/>
      <c r="AB329" s="348"/>
      <c r="AC329" s="348"/>
      <c r="AD329" s="411"/>
      <c r="AE329" s="105"/>
      <c r="AF329" s="348"/>
      <c r="AG329" s="348"/>
      <c r="AH329" s="411"/>
      <c r="AI329" s="105"/>
      <c r="AJ329" s="348"/>
      <c r="AK329" s="348"/>
      <c r="AL329" s="411"/>
      <c r="AM329" s="105"/>
      <c r="AN329" s="348"/>
      <c r="AO329" s="348"/>
      <c r="AP329" s="411"/>
      <c r="AQ329" s="105"/>
      <c r="AR329" s="348"/>
      <c r="AS329" s="348"/>
      <c r="AT329" s="411"/>
      <c r="AU329" s="105"/>
      <c r="AV329" s="348"/>
      <c r="AW329" s="348"/>
      <c r="AX329" s="411"/>
      <c r="AY329" s="105"/>
      <c r="AZ329" s="348"/>
      <c r="BA329" s="348"/>
      <c r="BB329" s="411"/>
      <c r="BC329" s="105"/>
      <c r="BD329" s="348"/>
      <c r="BE329" s="348"/>
      <c r="BF329" s="411"/>
      <c r="BG329" s="105"/>
      <c r="BH329" s="348"/>
      <c r="BI329" s="348"/>
      <c r="BJ329" s="411"/>
      <c r="BK329" s="105"/>
      <c r="BL329" s="348"/>
      <c r="BM329" s="348"/>
      <c r="BN329" s="411"/>
      <c r="BO329" s="105"/>
      <c r="BP329" s="348"/>
      <c r="BQ329" s="348"/>
      <c r="BR329" s="411"/>
      <c r="BS329" s="105"/>
      <c r="BT329" s="348"/>
      <c r="BU329" s="348"/>
      <c r="BV329" s="411"/>
      <c r="BW329" s="101"/>
      <c r="BX329" s="28"/>
    </row>
    <row r="330" spans="1:78" s="34" customFormat="1" ht="18.75" hidden="1" customHeight="1" outlineLevel="1" x14ac:dyDescent="0.25">
      <c r="A330" s="136" t="str">
        <f ca="1">_xll.DBR(Server&amp;Cube2,$N$15,$N$13,$B330,IF($N$19="French","STR_VAR3","STR_VAR2"))</f>
        <v/>
      </c>
      <c r="B330" s="360" t="s">
        <v>100</v>
      </c>
      <c r="C330" s="136" t="str">
        <f ca="1">_xll.DBR(Server&amp;Cube2,$N$15,$N$13,$B330,"STR_VAR1")</f>
        <v/>
      </c>
      <c r="D330" s="1"/>
      <c r="E330" s="1"/>
      <c r="H330" s="360"/>
      <c r="I330" s="1"/>
      <c r="J330" s="30"/>
      <c r="K330" s="100"/>
      <c r="L330" s="103"/>
      <c r="M330" s="302" t="str">
        <f ca="1">_xll.DBRA(Server&amp;$B$32,$B330,$N$19)&amp;"      ---&gt;"</f>
        <v>Driving - Cost Work Unit      ---&gt;</v>
      </c>
      <c r="N330" s="302"/>
      <c r="O330" s="423" t="str">
        <f ca="1">IF(A330="",_xll.DBRA(Server&amp;Context!$B$32,Context!$B$66,$N$19),_xll.DBRA(Server&amp;$B$32,$A330,$N$19))</f>
        <v>Not defined</v>
      </c>
      <c r="P330" s="212"/>
      <c r="Q330" s="281">
        <f ca="1">_xll.DBRW(Server&amp;Cube1,$N$15,$N$16,$N$17,$N$18,$N$14,$N$13,$N$11,$Q$1,$B330)</f>
        <v>0</v>
      </c>
      <c r="R330" s="282">
        <f ca="1">_xll.DBRW(Server&amp;Cube1,$N$15,$N$16,$N$17,$N$18,$N$14,$N$13,$R$2,$R$1,$B330)</f>
        <v>0</v>
      </c>
      <c r="S330" s="283">
        <f ca="1">$Q330-R330</f>
        <v>0</v>
      </c>
      <c r="T330" s="284">
        <f ca="1">IF(R330&lt;&gt;0,IF(R330&gt;0,S330/R330,-S330/R330),0)</f>
        <v>0</v>
      </c>
      <c r="U330" s="245"/>
      <c r="V330" s="281">
        <f ca="1">_xll.DBRW(Server&amp;Cube1,$N$15,$N$16,$N$17,$N$18,$N$14,$N$13,$V$2,$V$1,$B330)</f>
        <v>0</v>
      </c>
      <c r="W330" s="283">
        <f ca="1">$Q330-V330</f>
        <v>0</v>
      </c>
      <c r="X330" s="284">
        <f ca="1">IF(V330&lt;&gt;0,IF(V330&gt;0,W330/V330,-W330/V330),0)</f>
        <v>0</v>
      </c>
      <c r="Y330" s="214"/>
      <c r="Z330" s="396"/>
      <c r="AA330" s="100"/>
      <c r="AB330" s="281">
        <f ca="1">_xll.DBRW(Server&amp;Cube1,$N$15,$N$16,$N$17,$N$18,$N$14,$N$13,AB$2,AB$1,$B330)</f>
        <v>0</v>
      </c>
      <c r="AC330" s="281">
        <f ca="1">_xll.DBRW(Server&amp;Cube1,$N$15,$N$16,$N$17,$N$18,$N$14,$N$13,AC$2,AC$1,$B330)</f>
        <v>0</v>
      </c>
      <c r="AD330" s="412">
        <f ca="1">_xll.DBRW(Server&amp;Cube1,$N$15,$N$16,$N$17,$N$18,$N$14,$N$13,AD$2,AD$1,$B330)</f>
        <v>0</v>
      </c>
      <c r="AE330" s="105"/>
      <c r="AF330" s="281">
        <f ca="1">_xll.DBRW(Server&amp;Cube1,$N$15,$N$16,$N$17,$N$18,$N$14,$N$13,AF$2,AF$1,$B330)</f>
        <v>0</v>
      </c>
      <c r="AG330" s="281">
        <f ca="1">_xll.DBRW(Server&amp;Cube1,$N$15,$N$16,$N$17,$N$18,$N$14,$N$13,AG$2,AG$1,$B330)</f>
        <v>0</v>
      </c>
      <c r="AH330" s="412">
        <f ca="1">_xll.DBRW(Server&amp;Cube1,$N$15,$N$16,$N$17,$N$18,$N$14,$N$13,AH$2,AH$1,$B330)</f>
        <v>0</v>
      </c>
      <c r="AI330" s="105"/>
      <c r="AJ330" s="281">
        <f ca="1">_xll.DBRW(Server&amp;Cube1,$N$15,$N$16,$N$17,$N$18,$N$14,$N$13,AJ$2,AJ$1,$B330)</f>
        <v>0</v>
      </c>
      <c r="AK330" s="281">
        <f ca="1">_xll.DBRW(Server&amp;Cube1,$N$15,$N$16,$N$17,$N$18,$N$14,$N$13,AK$2,AK$1,$B330)</f>
        <v>0</v>
      </c>
      <c r="AL330" s="412">
        <f ca="1">_xll.DBRW(Server&amp;Cube1,$N$15,$N$16,$N$17,$N$18,$N$14,$N$13,AL$2,AL$1,$B330)</f>
        <v>0</v>
      </c>
      <c r="AM330" s="105"/>
      <c r="AN330" s="281">
        <f ca="1">_xll.DBRW(Server&amp;Cube1,$N$15,$N$16,$N$17,$N$18,$N$14,$N$13,AN$2,AN$1,$B330)</f>
        <v>0</v>
      </c>
      <c r="AO330" s="281">
        <f ca="1">_xll.DBRW(Server&amp;Cube1,$N$15,$N$16,$N$17,$N$18,$N$14,$N$13,AO$2,AO$1,$B330)</f>
        <v>0</v>
      </c>
      <c r="AP330" s="412">
        <f ca="1">_xll.DBRW(Server&amp;Cube1,$N$15,$N$16,$N$17,$N$18,$N$14,$N$13,AP$2,AP$1,$B330)</f>
        <v>0</v>
      </c>
      <c r="AQ330" s="105"/>
      <c r="AR330" s="281">
        <f ca="1">_xll.DBRW(Server&amp;Cube1,$N$15,$N$16,$N$17,$N$18,$N$14,$N$13,AR$2,AR$1,$B330)</f>
        <v>0</v>
      </c>
      <c r="AS330" s="281">
        <f ca="1">_xll.DBRW(Server&amp;Cube1,$N$15,$N$16,$N$17,$N$18,$N$14,$N$13,AS$2,AS$1,$B330)</f>
        <v>0</v>
      </c>
      <c r="AT330" s="412">
        <f ca="1">_xll.DBRW(Server&amp;Cube1,$N$15,$N$16,$N$17,$N$18,$N$14,$N$13,AT$2,AT$1,$B330)</f>
        <v>0</v>
      </c>
      <c r="AU330" s="105"/>
      <c r="AV330" s="281">
        <f ca="1">_xll.DBRW(Server&amp;Cube1,$N$15,$N$16,$N$17,$N$18,$N$14,$N$13,AV$2,AV$1,$B330)</f>
        <v>0</v>
      </c>
      <c r="AW330" s="281">
        <f ca="1">_xll.DBRW(Server&amp;Cube1,$N$15,$N$16,$N$17,$N$18,$N$14,$N$13,AW$2,AW$1,$B330)</f>
        <v>0</v>
      </c>
      <c r="AX330" s="412">
        <f ca="1">_xll.DBRW(Server&amp;Cube1,$N$15,$N$16,$N$17,$N$18,$N$14,$N$13,AX$2,AX$1,$B330)</f>
        <v>0</v>
      </c>
      <c r="AY330" s="105"/>
      <c r="AZ330" s="281">
        <f ca="1">_xll.DBRW(Server&amp;Cube1,$N$15,$N$16,$N$17,$N$18,$N$14,$N$13,AZ$2,AZ$1,$B330)</f>
        <v>0</v>
      </c>
      <c r="BA330" s="281">
        <f ca="1">_xll.DBRW(Server&amp;Cube1,$N$15,$N$16,$N$17,$N$18,$N$14,$N$13,BA$2,BA$1,$B330)</f>
        <v>0</v>
      </c>
      <c r="BB330" s="412">
        <f ca="1">_xll.DBRW(Server&amp;Cube1,$N$15,$N$16,$N$17,$N$18,$N$14,$N$13,BB$2,BB$1,$B330)</f>
        <v>0</v>
      </c>
      <c r="BC330" s="105"/>
      <c r="BD330" s="281">
        <f ca="1">_xll.DBRW(Server&amp;Cube1,$N$15,$N$16,$N$17,$N$18,$N$14,$N$13,BD$2,BD$1,$B330)</f>
        <v>0</v>
      </c>
      <c r="BE330" s="281">
        <f ca="1">_xll.DBRW(Server&amp;Cube1,$N$15,$N$16,$N$17,$N$18,$N$14,$N$13,BE$2,BE$1,$B330)</f>
        <v>0</v>
      </c>
      <c r="BF330" s="412">
        <f ca="1">_xll.DBRW(Server&amp;Cube1,$N$15,$N$16,$N$17,$N$18,$N$14,$N$13,BF$2,BF$1,$B330)</f>
        <v>0</v>
      </c>
      <c r="BG330" s="105"/>
      <c r="BH330" s="281">
        <f ca="1">_xll.DBRW(Server&amp;Cube1,$N$15,$N$16,$N$17,$N$18,$N$14,$N$13,BH$2,BH$1,$B330)</f>
        <v>0</v>
      </c>
      <c r="BI330" s="281">
        <f ca="1">_xll.DBRW(Server&amp;Cube1,$N$15,$N$16,$N$17,$N$18,$N$14,$N$13,BI$2,BI$1,$B330)</f>
        <v>0</v>
      </c>
      <c r="BJ330" s="412">
        <f ca="1">_xll.DBRW(Server&amp;Cube1,$N$15,$N$16,$N$17,$N$18,$N$14,$N$13,BJ$2,BJ$1,$B330)</f>
        <v>0</v>
      </c>
      <c r="BK330" s="105"/>
      <c r="BL330" s="281">
        <f ca="1">_xll.DBRW(Server&amp;Cube1,$N$15,$N$16,$N$17,$N$18,$N$14,$N$13,BL$2,BL$1,$B330)</f>
        <v>0</v>
      </c>
      <c r="BM330" s="281">
        <f ca="1">_xll.DBRW(Server&amp;Cube1,$N$15,$N$16,$N$17,$N$18,$N$14,$N$13,BM$2,BM$1,$B330)</f>
        <v>0</v>
      </c>
      <c r="BN330" s="412">
        <f ca="1">_xll.DBRW(Server&amp;Cube1,$N$15,$N$16,$N$17,$N$18,$N$14,$N$13,BN$2,BN$1,$B330)</f>
        <v>0</v>
      </c>
      <c r="BO330" s="105"/>
      <c r="BP330" s="281">
        <f ca="1">_xll.DBRW(Server&amp;Cube1,$N$15,$N$16,$N$17,$N$18,$N$14,$N$13,BP$2,BP$1,$B330)</f>
        <v>0</v>
      </c>
      <c r="BQ330" s="281">
        <f ca="1">_xll.DBRW(Server&amp;Cube1,$N$15,$N$16,$N$17,$N$18,$N$14,$N$13,BQ$2,BQ$1,$B330)</f>
        <v>0</v>
      </c>
      <c r="BR330" s="412">
        <f ca="1">_xll.DBRW(Server&amp;Cube1,$N$15,$N$16,$N$17,$N$18,$N$14,$N$13,BR$2,BR$1,$B330)</f>
        <v>0</v>
      </c>
      <c r="BS330" s="105"/>
      <c r="BT330" s="281">
        <f ca="1">_xll.DBRW(Server&amp;Cube1,$N$15,$N$16,$N$17,$N$18,$N$14,$N$13,BT$2,BT$1,$B330)</f>
        <v>0</v>
      </c>
      <c r="BU330" s="281">
        <f ca="1">_xll.DBRW(Server&amp;Cube1,$N$15,$N$16,$N$17,$N$18,$N$14,$N$13,BU$2,BU$1,$B330)</f>
        <v>0</v>
      </c>
      <c r="BV330" s="412">
        <f ca="1">_xll.DBRW(Server&amp;Cube1,$N$15,$N$16,$N$17,$N$18,$N$14,$N$13,BV$2,BV$1,$B330)</f>
        <v>0</v>
      </c>
      <c r="BW330" s="214"/>
      <c r="BX330" s="79"/>
      <c r="BY330" s="55"/>
      <c r="BZ330" s="370"/>
    </row>
    <row r="331" spans="1:78" s="34" customFormat="1" ht="9.75" hidden="1" customHeight="1" outlineLevel="1" x14ac:dyDescent="0.25">
      <c r="A331" s="136"/>
      <c r="B331" s="360"/>
      <c r="C331" s="136"/>
      <c r="D331" s="1"/>
      <c r="E331" s="1"/>
      <c r="H331" s="360"/>
      <c r="I331" s="1"/>
      <c r="J331" s="30"/>
      <c r="K331" s="100"/>
      <c r="L331" s="103"/>
      <c r="M331" s="303"/>
      <c r="N331" s="303"/>
      <c r="O331" s="471" t="str">
        <f ca="1">IF(COUNTIF($C330,"*Tot_km*"),$B$6,IF(COUNTIF($C330,"Tot_nb_vehicle"),$B$7,IF(COUNTIF($C330,"Rev_km"),$B$8,IF(COUNTIF($C330,"Tot_driv_hours"),$B$9,""))))</f>
        <v/>
      </c>
      <c r="P331" s="212"/>
      <c r="Q331" s="453"/>
      <c r="R331" s="454"/>
      <c r="S331" s="455"/>
      <c r="T331" s="456"/>
      <c r="U331" s="245"/>
      <c r="V331" s="453"/>
      <c r="W331" s="455"/>
      <c r="X331" s="456"/>
      <c r="Y331" s="214"/>
      <c r="Z331" s="396"/>
      <c r="AA331" s="100"/>
      <c r="AB331" s="453"/>
      <c r="AC331" s="453"/>
      <c r="AD331" s="457"/>
      <c r="AE331" s="105"/>
      <c r="AF331" s="453"/>
      <c r="AG331" s="453"/>
      <c r="AH331" s="457"/>
      <c r="AI331" s="105"/>
      <c r="AJ331" s="453"/>
      <c r="AK331" s="453"/>
      <c r="AL331" s="457"/>
      <c r="AM331" s="105"/>
      <c r="AN331" s="453"/>
      <c r="AO331" s="453"/>
      <c r="AP331" s="457"/>
      <c r="AQ331" s="105"/>
      <c r="AR331" s="453"/>
      <c r="AS331" s="453"/>
      <c r="AT331" s="457"/>
      <c r="AU331" s="105"/>
      <c r="AV331" s="453"/>
      <c r="AW331" s="453"/>
      <c r="AX331" s="457"/>
      <c r="AY331" s="105"/>
      <c r="AZ331" s="453"/>
      <c r="BA331" s="453"/>
      <c r="BB331" s="457"/>
      <c r="BC331" s="105"/>
      <c r="BD331" s="453"/>
      <c r="BE331" s="453"/>
      <c r="BF331" s="457"/>
      <c r="BG331" s="105"/>
      <c r="BH331" s="453"/>
      <c r="BI331" s="453"/>
      <c r="BJ331" s="457"/>
      <c r="BK331" s="105"/>
      <c r="BL331" s="453"/>
      <c r="BM331" s="453"/>
      <c r="BN331" s="457"/>
      <c r="BO331" s="105"/>
      <c r="BP331" s="453"/>
      <c r="BQ331" s="453"/>
      <c r="BR331" s="457"/>
      <c r="BS331" s="105"/>
      <c r="BT331" s="453"/>
      <c r="BU331" s="453"/>
      <c r="BV331" s="457"/>
      <c r="BW331" s="214"/>
      <c r="BX331" s="79"/>
      <c r="BY331" s="55"/>
      <c r="BZ331" s="370"/>
    </row>
    <row r="332" spans="1:78" s="34" customFormat="1" ht="18.75" hidden="1" customHeight="1" outlineLevel="1" x14ac:dyDescent="0.25">
      <c r="A332" s="136" t="str">
        <f ca="1">_xll.DBR(Server&amp;Cube2,$N$15,$N$13,$B332,IF($N$19="French","STR_VAR3","STR_VAR2"))</f>
        <v/>
      </c>
      <c r="B332" s="360" t="s">
        <v>101</v>
      </c>
      <c r="C332" s="136" t="str">
        <f ca="1">_xll.DBR(Server&amp;Cube2,$N$15,$N$13,$B332,"STR_VAR1")</f>
        <v/>
      </c>
      <c r="D332" s="1"/>
      <c r="E332" s="1"/>
      <c r="H332" s="360"/>
      <c r="I332" s="1"/>
      <c r="J332" s="30"/>
      <c r="K332" s="100"/>
      <c r="L332" s="103"/>
      <c r="M332" s="303" t="str">
        <f ca="1">_xll.DBRA(Server&amp;$B$32,$B332,$N$19)&amp;"     ---&gt;"</f>
        <v>Driving - Price Work Unit     ---&gt;</v>
      </c>
      <c r="N332" s="303"/>
      <c r="O332" s="424" t="str">
        <f ca="1">IF(A332="",_xll.DBRA(Server&amp;Context!$B$32,Context!$B$66,$N$19),_xll.DBRA(Server&amp;$B$32,$A332,$N$19))</f>
        <v>Not defined</v>
      </c>
      <c r="P332" s="212"/>
      <c r="Q332" s="285">
        <f ca="1">_xll.DBRW(Server&amp;Cube1,$N$15,$N$16,$N$17,$N$18,$N$14,$N$13,$N$11,$Q$1,$B332)</f>
        <v>0</v>
      </c>
      <c r="R332" s="286">
        <f ca="1">_xll.DBRW(Server&amp;Cube1,$N$15,$N$16,$N$17,$N$18,$N$14,$N$13,$R$2,$R$1,$B332)</f>
        <v>0</v>
      </c>
      <c r="S332" s="287">
        <f ca="1">$Q332-R332</f>
        <v>0</v>
      </c>
      <c r="T332" s="288">
        <f ca="1">IF(R332&lt;&gt;0,IF(R332&gt;0,S332/R332,-S332/R332),0)</f>
        <v>0</v>
      </c>
      <c r="U332" s="245"/>
      <c r="V332" s="285">
        <f ca="1">_xll.DBRW(Server&amp;Cube1,$N$15,$N$16,$N$17,$N$18,$N$14,$N$13,$V$2,$V$1,$B332)</f>
        <v>0</v>
      </c>
      <c r="W332" s="287">
        <f ca="1">$Q332-V332</f>
        <v>0</v>
      </c>
      <c r="X332" s="288">
        <f ca="1">IF(V332&lt;&gt;0,IF(V332&gt;0,W332/V332,-W332/V332),0)</f>
        <v>0</v>
      </c>
      <c r="Y332" s="214"/>
      <c r="Z332" s="396"/>
      <c r="AA332" s="100"/>
      <c r="AB332" s="285">
        <f ca="1">_xll.DBRW(Server&amp;Cube1,$N$15,$N$16,$N$17,$N$18,$N$14,$N$13,AB$2,AB$1,$B332)</f>
        <v>0</v>
      </c>
      <c r="AC332" s="285">
        <f ca="1">_xll.DBRW(Server&amp;Cube1,$N$15,$N$16,$N$17,$N$18,$N$14,$N$13,AC$2,AC$1,$B332)</f>
        <v>0</v>
      </c>
      <c r="AD332" s="413">
        <f ca="1">_xll.DBRW(Server&amp;Cube1,$N$15,$N$16,$N$17,$N$18,$N$14,$N$13,AD$2,AD$1,$B332)</f>
        <v>0</v>
      </c>
      <c r="AE332" s="105"/>
      <c r="AF332" s="285">
        <f ca="1">_xll.DBRW(Server&amp;Cube1,$N$15,$N$16,$N$17,$N$18,$N$14,$N$13,AF$2,AF$1,$B332)</f>
        <v>0</v>
      </c>
      <c r="AG332" s="285">
        <f ca="1">_xll.DBRW(Server&amp;Cube1,$N$15,$N$16,$N$17,$N$18,$N$14,$N$13,AG$2,AG$1,$B332)</f>
        <v>0</v>
      </c>
      <c r="AH332" s="413">
        <f ca="1">_xll.DBRW(Server&amp;Cube1,$N$15,$N$16,$N$17,$N$18,$N$14,$N$13,AH$2,AH$1,$B332)</f>
        <v>0</v>
      </c>
      <c r="AI332" s="105"/>
      <c r="AJ332" s="285">
        <f ca="1">_xll.DBRW(Server&amp;Cube1,$N$15,$N$16,$N$17,$N$18,$N$14,$N$13,AJ$2,AJ$1,$B332)</f>
        <v>0</v>
      </c>
      <c r="AK332" s="285">
        <f ca="1">_xll.DBRW(Server&amp;Cube1,$N$15,$N$16,$N$17,$N$18,$N$14,$N$13,AK$2,AK$1,$B332)</f>
        <v>0</v>
      </c>
      <c r="AL332" s="413">
        <f ca="1">_xll.DBRW(Server&amp;Cube1,$N$15,$N$16,$N$17,$N$18,$N$14,$N$13,AL$2,AL$1,$B332)</f>
        <v>0</v>
      </c>
      <c r="AM332" s="105"/>
      <c r="AN332" s="285">
        <f ca="1">_xll.DBRW(Server&amp;Cube1,$N$15,$N$16,$N$17,$N$18,$N$14,$N$13,AN$2,AN$1,$B332)</f>
        <v>0</v>
      </c>
      <c r="AO332" s="285">
        <f ca="1">_xll.DBRW(Server&amp;Cube1,$N$15,$N$16,$N$17,$N$18,$N$14,$N$13,AO$2,AO$1,$B332)</f>
        <v>0</v>
      </c>
      <c r="AP332" s="413">
        <f ca="1">_xll.DBRW(Server&amp;Cube1,$N$15,$N$16,$N$17,$N$18,$N$14,$N$13,AP$2,AP$1,$B332)</f>
        <v>0</v>
      </c>
      <c r="AQ332" s="105"/>
      <c r="AR332" s="285">
        <f ca="1">_xll.DBRW(Server&amp;Cube1,$N$15,$N$16,$N$17,$N$18,$N$14,$N$13,AR$2,AR$1,$B332)</f>
        <v>0</v>
      </c>
      <c r="AS332" s="285">
        <f ca="1">_xll.DBRW(Server&amp;Cube1,$N$15,$N$16,$N$17,$N$18,$N$14,$N$13,AS$2,AS$1,$B332)</f>
        <v>0</v>
      </c>
      <c r="AT332" s="413">
        <f ca="1">_xll.DBRW(Server&amp;Cube1,$N$15,$N$16,$N$17,$N$18,$N$14,$N$13,AT$2,AT$1,$B332)</f>
        <v>0</v>
      </c>
      <c r="AU332" s="105"/>
      <c r="AV332" s="285">
        <f ca="1">_xll.DBRW(Server&amp;Cube1,$N$15,$N$16,$N$17,$N$18,$N$14,$N$13,AV$2,AV$1,$B332)</f>
        <v>0</v>
      </c>
      <c r="AW332" s="285">
        <f ca="1">_xll.DBRW(Server&amp;Cube1,$N$15,$N$16,$N$17,$N$18,$N$14,$N$13,AW$2,AW$1,$B332)</f>
        <v>0</v>
      </c>
      <c r="AX332" s="413">
        <f ca="1">_xll.DBRW(Server&amp;Cube1,$N$15,$N$16,$N$17,$N$18,$N$14,$N$13,AX$2,AX$1,$B332)</f>
        <v>0</v>
      </c>
      <c r="AY332" s="105"/>
      <c r="AZ332" s="285">
        <f ca="1">_xll.DBRW(Server&amp;Cube1,$N$15,$N$16,$N$17,$N$18,$N$14,$N$13,AZ$2,AZ$1,$B332)</f>
        <v>0</v>
      </c>
      <c r="BA332" s="285">
        <f ca="1">_xll.DBRW(Server&amp;Cube1,$N$15,$N$16,$N$17,$N$18,$N$14,$N$13,BA$2,BA$1,$B332)</f>
        <v>0</v>
      </c>
      <c r="BB332" s="413">
        <f ca="1">_xll.DBRW(Server&amp;Cube1,$N$15,$N$16,$N$17,$N$18,$N$14,$N$13,BB$2,BB$1,$B332)</f>
        <v>0</v>
      </c>
      <c r="BC332" s="105"/>
      <c r="BD332" s="285">
        <f ca="1">_xll.DBRW(Server&amp;Cube1,$N$15,$N$16,$N$17,$N$18,$N$14,$N$13,BD$2,BD$1,$B332)</f>
        <v>0</v>
      </c>
      <c r="BE332" s="285">
        <f ca="1">_xll.DBRW(Server&amp;Cube1,$N$15,$N$16,$N$17,$N$18,$N$14,$N$13,BE$2,BE$1,$B332)</f>
        <v>0</v>
      </c>
      <c r="BF332" s="413">
        <f ca="1">_xll.DBRW(Server&amp;Cube1,$N$15,$N$16,$N$17,$N$18,$N$14,$N$13,BF$2,BF$1,$B332)</f>
        <v>0</v>
      </c>
      <c r="BG332" s="105"/>
      <c r="BH332" s="285">
        <f ca="1">_xll.DBRW(Server&amp;Cube1,$N$15,$N$16,$N$17,$N$18,$N$14,$N$13,BH$2,BH$1,$B332)</f>
        <v>0</v>
      </c>
      <c r="BI332" s="285">
        <f ca="1">_xll.DBRW(Server&amp;Cube1,$N$15,$N$16,$N$17,$N$18,$N$14,$N$13,BI$2,BI$1,$B332)</f>
        <v>0</v>
      </c>
      <c r="BJ332" s="413">
        <f ca="1">_xll.DBRW(Server&amp;Cube1,$N$15,$N$16,$N$17,$N$18,$N$14,$N$13,BJ$2,BJ$1,$B332)</f>
        <v>0</v>
      </c>
      <c r="BK332" s="105"/>
      <c r="BL332" s="285">
        <f ca="1">_xll.DBRW(Server&amp;Cube1,$N$15,$N$16,$N$17,$N$18,$N$14,$N$13,BL$2,BL$1,$B332)</f>
        <v>0</v>
      </c>
      <c r="BM332" s="285">
        <f ca="1">_xll.DBRW(Server&amp;Cube1,$N$15,$N$16,$N$17,$N$18,$N$14,$N$13,BM$2,BM$1,$B332)</f>
        <v>0</v>
      </c>
      <c r="BN332" s="413">
        <f ca="1">_xll.DBRW(Server&amp;Cube1,$N$15,$N$16,$N$17,$N$18,$N$14,$N$13,BN$2,BN$1,$B332)</f>
        <v>0</v>
      </c>
      <c r="BO332" s="105"/>
      <c r="BP332" s="285">
        <f ca="1">_xll.DBRW(Server&amp;Cube1,$N$15,$N$16,$N$17,$N$18,$N$14,$N$13,BP$2,BP$1,$B332)</f>
        <v>0</v>
      </c>
      <c r="BQ332" s="285">
        <f ca="1">_xll.DBRW(Server&amp;Cube1,$N$15,$N$16,$N$17,$N$18,$N$14,$N$13,BQ$2,BQ$1,$B332)</f>
        <v>0</v>
      </c>
      <c r="BR332" s="413">
        <f ca="1">_xll.DBRW(Server&amp;Cube1,$N$15,$N$16,$N$17,$N$18,$N$14,$N$13,BR$2,BR$1,$B332)</f>
        <v>0</v>
      </c>
      <c r="BS332" s="105"/>
      <c r="BT332" s="285">
        <f ca="1">_xll.DBRW(Server&amp;Cube1,$N$15,$N$16,$N$17,$N$18,$N$14,$N$13,BT$2,BT$1,$B332)</f>
        <v>0</v>
      </c>
      <c r="BU332" s="285">
        <f ca="1">_xll.DBRW(Server&amp;Cube1,$N$15,$N$16,$N$17,$N$18,$N$14,$N$13,BU$2,BU$1,$B332)</f>
        <v>0</v>
      </c>
      <c r="BV332" s="413">
        <f ca="1">_xll.DBRW(Server&amp;Cube1,$N$15,$N$16,$N$17,$N$18,$N$14,$N$13,BV$2,BV$1,$B332)</f>
        <v>0</v>
      </c>
      <c r="BW332" s="214"/>
      <c r="BX332" s="79"/>
      <c r="BY332" s="55"/>
    </row>
    <row r="333" spans="1:78" s="34" customFormat="1" ht="9" hidden="1" customHeight="1" outlineLevel="1" x14ac:dyDescent="0.25">
      <c r="A333" s="136"/>
      <c r="B333" s="360"/>
      <c r="C333" s="136"/>
      <c r="D333" s="1"/>
      <c r="E333" s="1"/>
      <c r="H333" s="360"/>
      <c r="I333" s="1"/>
      <c r="J333" s="30"/>
      <c r="K333" s="100"/>
      <c r="L333" s="103"/>
      <c r="M333" s="303"/>
      <c r="N333" s="303"/>
      <c r="O333" s="471" t="str">
        <f ca="1">IF(COUNTIF($C332,"*Tot_km*"),$B$6,IF(COUNTIF($C332,"Tot_nb_vehicle"),$B$7,IF(COUNTIF($C332,"Rev_km"),$B$8,IF(COUNTIF($C332,"Tot_driv_hours"),$B$9,""))))</f>
        <v/>
      </c>
      <c r="P333" s="458"/>
      <c r="Q333" s="459"/>
      <c r="R333" s="459"/>
      <c r="S333" s="455"/>
      <c r="T333" s="460"/>
      <c r="U333" s="461"/>
      <c r="V333" s="459"/>
      <c r="W333" s="455"/>
      <c r="X333" s="460"/>
      <c r="Y333" s="214"/>
      <c r="Z333" s="396"/>
      <c r="AA333" s="100"/>
      <c r="AB333" s="459"/>
      <c r="AC333" s="459"/>
      <c r="AD333" s="459"/>
      <c r="AE333" s="105"/>
      <c r="AF333" s="459"/>
      <c r="AG333" s="459"/>
      <c r="AH333" s="459"/>
      <c r="AI333" s="105"/>
      <c r="AJ333" s="459"/>
      <c r="AK333" s="459"/>
      <c r="AL333" s="459"/>
      <c r="AM333" s="105"/>
      <c r="AN333" s="459"/>
      <c r="AO333" s="459"/>
      <c r="AP333" s="459"/>
      <c r="AQ333" s="105"/>
      <c r="AR333" s="459"/>
      <c r="AS333" s="459"/>
      <c r="AT333" s="459"/>
      <c r="AU333" s="105"/>
      <c r="AV333" s="459"/>
      <c r="AW333" s="459"/>
      <c r="AX333" s="459"/>
      <c r="AY333" s="105"/>
      <c r="AZ333" s="459"/>
      <c r="BA333" s="459"/>
      <c r="BB333" s="459"/>
      <c r="BC333" s="105"/>
      <c r="BD333" s="459"/>
      <c r="BE333" s="459"/>
      <c r="BF333" s="459"/>
      <c r="BG333" s="105"/>
      <c r="BH333" s="459"/>
      <c r="BI333" s="459"/>
      <c r="BJ333" s="459"/>
      <c r="BK333" s="105"/>
      <c r="BL333" s="459"/>
      <c r="BM333" s="459"/>
      <c r="BN333" s="459"/>
      <c r="BO333" s="105"/>
      <c r="BP333" s="459"/>
      <c r="BQ333" s="459"/>
      <c r="BR333" s="459"/>
      <c r="BS333" s="105"/>
      <c r="BT333" s="459"/>
      <c r="BU333" s="459"/>
      <c r="BV333" s="459"/>
      <c r="BW333" s="214"/>
      <c r="BX333" s="79"/>
      <c r="BY333" s="55"/>
    </row>
    <row r="334" spans="1:78" s="34" customFormat="1" ht="23.25" customHeight="1" collapsed="1" x14ac:dyDescent="0.25">
      <c r="A334" s="57"/>
      <c r="B334" s="377"/>
      <c r="C334" s="9"/>
      <c r="D334" s="1"/>
      <c r="E334" s="1"/>
      <c r="H334" s="377"/>
      <c r="I334" s="95"/>
      <c r="J334" s="58"/>
      <c r="K334" s="155"/>
      <c r="L334" s="317"/>
      <c r="M334" s="452"/>
      <c r="N334" s="156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  <c r="Y334" s="106"/>
      <c r="Z334" s="105"/>
      <c r="AA334" s="155"/>
      <c r="AB334" s="105"/>
      <c r="AC334" s="105"/>
      <c r="AD334" s="105"/>
      <c r="AE334" s="105"/>
      <c r="AF334" s="105"/>
      <c r="AG334" s="105"/>
      <c r="AH334" s="105"/>
      <c r="AI334" s="105"/>
      <c r="AJ334" s="105"/>
      <c r="AK334" s="105"/>
      <c r="AL334" s="105"/>
      <c r="AM334" s="105"/>
      <c r="AN334" s="105"/>
      <c r="AO334" s="105"/>
      <c r="AP334" s="105"/>
      <c r="AQ334" s="105"/>
      <c r="AR334" s="105"/>
      <c r="AS334" s="105"/>
      <c r="AT334" s="105"/>
      <c r="AU334" s="105"/>
      <c r="AV334" s="105"/>
      <c r="AW334" s="105"/>
      <c r="AX334" s="105"/>
      <c r="AY334" s="105"/>
      <c r="AZ334" s="105"/>
      <c r="BA334" s="105"/>
      <c r="BB334" s="105"/>
      <c r="BC334" s="105"/>
      <c r="BD334" s="105"/>
      <c r="BE334" s="105"/>
      <c r="BF334" s="105"/>
      <c r="BG334" s="105"/>
      <c r="BH334" s="105"/>
      <c r="BI334" s="105"/>
      <c r="BJ334" s="105"/>
      <c r="BK334" s="105"/>
      <c r="BL334" s="105"/>
      <c r="BM334" s="105"/>
      <c r="BN334" s="105"/>
      <c r="BO334" s="105"/>
      <c r="BP334" s="105"/>
      <c r="BQ334" s="105"/>
      <c r="BR334" s="105"/>
      <c r="BS334" s="105"/>
      <c r="BT334" s="105"/>
      <c r="BU334" s="105"/>
      <c r="BV334" s="105"/>
      <c r="BW334" s="106"/>
      <c r="BX334" s="28"/>
    </row>
    <row r="335" spans="1:78" s="34" customFormat="1" ht="30" hidden="1" customHeight="1" outlineLevel="1" x14ac:dyDescent="0.25">
      <c r="A335" s="394" t="s">
        <v>295</v>
      </c>
      <c r="B335" t="str">
        <f ca="1">$N$12&amp;" N"</f>
        <v>Actual N</v>
      </c>
      <c r="C335" t="str">
        <f ca="1">$N$20&amp;" "&amp;$N$21</f>
        <v>Budget V current N</v>
      </c>
      <c r="D335" t="str">
        <f ca="1">$O$20&amp;" "&amp;$O$21</f>
        <v>Actual N-1</v>
      </c>
      <c r="E335" s="1"/>
      <c r="H335" s="377"/>
      <c r="I335" s="95"/>
      <c r="J335" s="58"/>
      <c r="K335" s="155"/>
      <c r="L335" s="317"/>
      <c r="M335" s="596" t="str">
        <f ca="1">M318</f>
        <v>D1 - Driving Cost per Cost Work Unit</v>
      </c>
      <c r="N335" s="596"/>
      <c r="O335" s="596"/>
      <c r="P335" s="596"/>
      <c r="Q335" s="596"/>
      <c r="R335" s="596"/>
      <c r="S335" s="596"/>
      <c r="T335" s="596"/>
      <c r="U335" s="105"/>
      <c r="V335" s="105"/>
      <c r="W335" s="105"/>
      <c r="X335" s="105"/>
      <c r="Y335" s="106"/>
      <c r="Z335" s="105"/>
      <c r="AA335" s="155"/>
      <c r="AB335" s="105"/>
      <c r="AC335" s="105"/>
      <c r="AD335" s="105"/>
      <c r="AE335" s="105"/>
      <c r="AF335" s="105"/>
      <c r="AG335" s="105"/>
      <c r="AH335" s="105"/>
      <c r="AI335" s="105"/>
      <c r="AJ335" s="105"/>
      <c r="AK335" s="105"/>
      <c r="AL335" s="105"/>
      <c r="AM335" s="105"/>
      <c r="AN335" s="105"/>
      <c r="AO335" s="105"/>
      <c r="AP335" s="105"/>
      <c r="AQ335" s="105"/>
      <c r="AR335" s="105"/>
      <c r="AS335" s="105"/>
      <c r="AT335" s="105"/>
      <c r="AU335" s="105"/>
      <c r="AV335" s="105"/>
      <c r="AW335" s="105"/>
      <c r="AX335" s="105"/>
      <c r="AY335" s="105"/>
      <c r="AZ335" s="105"/>
      <c r="BA335" s="105"/>
      <c r="BB335" s="105"/>
      <c r="BC335" s="105"/>
      <c r="BD335" s="105"/>
      <c r="BE335" s="105"/>
      <c r="BF335" s="105"/>
      <c r="BG335" s="105"/>
      <c r="BH335" s="105"/>
      <c r="BI335" s="105"/>
      <c r="BJ335" s="105"/>
      <c r="BK335" s="105"/>
      <c r="BL335" s="105"/>
      <c r="BM335" s="105"/>
      <c r="BN335" s="105"/>
      <c r="BO335" s="105"/>
      <c r="BP335" s="105"/>
      <c r="BQ335" s="105"/>
      <c r="BR335" s="105"/>
      <c r="BS335" s="105"/>
      <c r="BT335" s="105"/>
      <c r="BU335" s="105"/>
      <c r="BV335" s="105"/>
      <c r="BW335" s="106"/>
      <c r="BX335" s="28"/>
    </row>
    <row r="336" spans="1:78" s="34" customFormat="1" ht="15" hidden="1" customHeight="1" outlineLevel="1" x14ac:dyDescent="0.25">
      <c r="A336" s="392" t="str">
        <f>IF($N$19="English","J","J")</f>
        <v>J</v>
      </c>
      <c r="B336" s="393" t="e">
        <f ca="1">IF(ROUND(AB$318,6),ROUND(AB$318,6),NA())</f>
        <v>#N/A</v>
      </c>
      <c r="C336" s="393" t="e">
        <f ca="1">IF(ROUND(AC$318,6),ROUND(AC$318,6),NA())</f>
        <v>#N/A</v>
      </c>
      <c r="D336" s="393" t="e">
        <f ca="1">IF(ROUND(AD$318,6),ROUND(AD$318,6),NA())</f>
        <v>#N/A</v>
      </c>
      <c r="E336" s="1" t="s">
        <v>279</v>
      </c>
      <c r="H336" s="377"/>
      <c r="I336" s="95"/>
      <c r="J336" s="58"/>
      <c r="K336" s="155"/>
      <c r="L336" s="317"/>
      <c r="M336" s="156"/>
      <c r="N336" s="156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  <c r="Y336" s="106"/>
      <c r="Z336" s="105"/>
      <c r="AA336" s="155"/>
      <c r="AB336" s="105"/>
      <c r="AC336" s="105"/>
      <c r="AD336" s="105"/>
      <c r="AE336" s="105"/>
      <c r="AF336" s="105"/>
      <c r="AG336" s="105"/>
      <c r="AH336" s="105"/>
      <c r="AI336" s="105"/>
      <c r="AJ336" s="105"/>
      <c r="AK336" s="105"/>
      <c r="AL336" s="105"/>
      <c r="AM336" s="105"/>
      <c r="AN336" s="105"/>
      <c r="AO336" s="105"/>
      <c r="AP336" s="105"/>
      <c r="AQ336" s="105"/>
      <c r="AR336" s="105"/>
      <c r="AS336" s="105"/>
      <c r="AT336" s="105"/>
      <c r="AU336" s="105"/>
      <c r="AV336" s="105"/>
      <c r="AW336" s="105"/>
      <c r="AX336" s="105"/>
      <c r="AY336" s="105"/>
      <c r="AZ336" s="105"/>
      <c r="BA336" s="105"/>
      <c r="BB336" s="105"/>
      <c r="BC336" s="105"/>
      <c r="BD336" s="105"/>
      <c r="BE336" s="105"/>
      <c r="BF336" s="105"/>
      <c r="BG336" s="105"/>
      <c r="BH336" s="105"/>
      <c r="BI336" s="105"/>
      <c r="BJ336" s="105"/>
      <c r="BK336" s="105"/>
      <c r="BL336" s="105"/>
      <c r="BM336" s="105"/>
      <c r="BN336" s="105"/>
      <c r="BO336" s="105"/>
      <c r="BP336" s="105"/>
      <c r="BQ336" s="105"/>
      <c r="BR336" s="105"/>
      <c r="BS336" s="105"/>
      <c r="BT336" s="105"/>
      <c r="BU336" s="105"/>
      <c r="BV336" s="105"/>
      <c r="BW336" s="106"/>
      <c r="BX336" s="28"/>
    </row>
    <row r="337" spans="1:76" s="34" customFormat="1" ht="15" hidden="1" customHeight="1" outlineLevel="1" x14ac:dyDescent="0.25">
      <c r="A337" s="392" t="s">
        <v>213</v>
      </c>
      <c r="B337" s="393" t="e">
        <f ca="1">IF(ROUND(AF$318,6),ROUND(AF$318,6),NA())</f>
        <v>#N/A</v>
      </c>
      <c r="C337" s="393" t="e">
        <f ca="1">IF(ROUND(AG$318,6),ROUND(AG$318,6),NA())</f>
        <v>#N/A</v>
      </c>
      <c r="D337" s="393" t="e">
        <f ca="1">IF(ROUND(AH$318,6),ROUND(AH$318,6),NA())</f>
        <v>#N/A</v>
      </c>
      <c r="E337" s="1" t="s">
        <v>280</v>
      </c>
      <c r="H337" s="377"/>
      <c r="I337" s="95"/>
      <c r="J337" s="58"/>
      <c r="K337" s="155"/>
      <c r="L337" s="317"/>
      <c r="M337" s="156"/>
      <c r="N337" s="156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  <c r="Y337" s="106"/>
      <c r="Z337" s="105"/>
      <c r="AA337" s="155"/>
      <c r="AB337" s="105"/>
      <c r="AC337" s="105"/>
      <c r="AD337" s="105"/>
      <c r="AE337" s="105"/>
      <c r="AF337" s="105"/>
      <c r="AG337" s="105"/>
      <c r="AH337" s="105"/>
      <c r="AI337" s="105"/>
      <c r="AJ337" s="105"/>
      <c r="AK337" s="105"/>
      <c r="AL337" s="105"/>
      <c r="AM337" s="105"/>
      <c r="AN337" s="105"/>
      <c r="AO337" s="105"/>
      <c r="AP337" s="105"/>
      <c r="AQ337" s="105"/>
      <c r="AR337" s="105"/>
      <c r="AS337" s="105"/>
      <c r="AT337" s="105"/>
      <c r="AU337" s="105"/>
      <c r="AV337" s="105"/>
      <c r="AW337" s="105"/>
      <c r="AX337" s="105"/>
      <c r="AY337" s="105"/>
      <c r="AZ337" s="105"/>
      <c r="BA337" s="105"/>
      <c r="BB337" s="105"/>
      <c r="BC337" s="105"/>
      <c r="BD337" s="105"/>
      <c r="BE337" s="105"/>
      <c r="BF337" s="105"/>
      <c r="BG337" s="105"/>
      <c r="BH337" s="105"/>
      <c r="BI337" s="105"/>
      <c r="BJ337" s="105"/>
      <c r="BK337" s="105"/>
      <c r="BL337" s="105"/>
      <c r="BM337" s="105"/>
      <c r="BN337" s="105"/>
      <c r="BO337" s="105"/>
      <c r="BP337" s="105"/>
      <c r="BQ337" s="105"/>
      <c r="BR337" s="105"/>
      <c r="BS337" s="105"/>
      <c r="BT337" s="105"/>
      <c r="BU337" s="105"/>
      <c r="BV337" s="105"/>
      <c r="BW337" s="106"/>
      <c r="BX337" s="28"/>
    </row>
    <row r="338" spans="1:76" s="34" customFormat="1" ht="15" hidden="1" customHeight="1" outlineLevel="1" x14ac:dyDescent="0.25">
      <c r="A338" s="392" t="s">
        <v>215</v>
      </c>
      <c r="B338" s="393" t="e">
        <f ca="1">IF(ROUND(AJ$318,6),ROUND(AJ$318,6),NA())</f>
        <v>#N/A</v>
      </c>
      <c r="C338" s="393" t="e">
        <f ca="1">IF(ROUND(AK$318,6),ROUND(AK$318,6),NA())</f>
        <v>#N/A</v>
      </c>
      <c r="D338" s="393" t="e">
        <f ca="1">IF(ROUND(AL$318,6),ROUND(AL$318,6),NA())</f>
        <v>#N/A</v>
      </c>
      <c r="E338" s="1" t="s">
        <v>281</v>
      </c>
      <c r="H338" s="377"/>
      <c r="I338" s="95"/>
      <c r="J338" s="58"/>
      <c r="K338" s="155"/>
      <c r="L338" s="317"/>
      <c r="M338" s="156"/>
      <c r="N338" s="156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  <c r="Y338" s="106"/>
      <c r="Z338" s="105"/>
      <c r="AA338" s="155"/>
      <c r="AB338" s="105"/>
      <c r="AC338" s="105"/>
      <c r="AD338" s="105"/>
      <c r="AE338" s="105"/>
      <c r="AF338" s="105"/>
      <c r="AG338" s="105"/>
      <c r="AH338" s="105"/>
      <c r="AI338" s="105"/>
      <c r="AJ338" s="105"/>
      <c r="AK338" s="105"/>
      <c r="AL338" s="105"/>
      <c r="AM338" s="105"/>
      <c r="AN338" s="105"/>
      <c r="AO338" s="105"/>
      <c r="AP338" s="105"/>
      <c r="AQ338" s="105"/>
      <c r="AR338" s="105"/>
      <c r="AS338" s="105"/>
      <c r="AT338" s="105"/>
      <c r="AU338" s="105"/>
      <c r="AV338" s="105"/>
      <c r="AW338" s="105"/>
      <c r="AX338" s="105"/>
      <c r="AY338" s="105"/>
      <c r="AZ338" s="105"/>
      <c r="BA338" s="105"/>
      <c r="BB338" s="105"/>
      <c r="BC338" s="105"/>
      <c r="BD338" s="105"/>
      <c r="BE338" s="105"/>
      <c r="BF338" s="105"/>
      <c r="BG338" s="105"/>
      <c r="BH338" s="105"/>
      <c r="BI338" s="105"/>
      <c r="BJ338" s="105"/>
      <c r="BK338" s="105"/>
      <c r="BL338" s="105"/>
      <c r="BM338" s="105"/>
      <c r="BN338" s="105"/>
      <c r="BO338" s="105"/>
      <c r="BP338" s="105"/>
      <c r="BQ338" s="105"/>
      <c r="BR338" s="105"/>
      <c r="BS338" s="105"/>
      <c r="BT338" s="105"/>
      <c r="BU338" s="105"/>
      <c r="BV338" s="105"/>
      <c r="BW338" s="106"/>
      <c r="BX338" s="28"/>
    </row>
    <row r="339" spans="1:76" s="34" customFormat="1" ht="15" hidden="1" customHeight="1" outlineLevel="1" x14ac:dyDescent="0.25">
      <c r="A339" s="392" t="s">
        <v>42</v>
      </c>
      <c r="B339" s="393" t="e">
        <f ca="1">IF(ROUND(AN$318,6),ROUND(AN$318,6),NA())</f>
        <v>#N/A</v>
      </c>
      <c r="C339" s="393" t="e">
        <f ca="1">IF(ROUND(AO$318,6),ROUND(AO$318,6),NA())</f>
        <v>#N/A</v>
      </c>
      <c r="D339" s="393" t="e">
        <f ca="1">IF(ROUND(AP$318,6),ROUND(AP$318,6),NA())</f>
        <v>#N/A</v>
      </c>
      <c r="E339" s="1" t="s">
        <v>282</v>
      </c>
      <c r="H339" s="377"/>
      <c r="I339" s="95"/>
      <c r="J339" s="58"/>
      <c r="K339" s="155"/>
      <c r="L339" s="317"/>
      <c r="M339" s="156"/>
      <c r="N339" s="156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  <c r="Y339" s="106"/>
      <c r="Z339" s="105"/>
      <c r="AA339" s="155"/>
      <c r="AB339" s="105"/>
      <c r="AC339" s="105"/>
      <c r="AD339" s="105"/>
      <c r="AE339" s="105"/>
      <c r="AF339" s="105"/>
      <c r="AG339" s="105"/>
      <c r="AH339" s="105"/>
      <c r="AI339" s="105"/>
      <c r="AJ339" s="105"/>
      <c r="AK339" s="105"/>
      <c r="AL339" s="105"/>
      <c r="AM339" s="105"/>
      <c r="AN339" s="105"/>
      <c r="AO339" s="105"/>
      <c r="AP339" s="105"/>
      <c r="AQ339" s="105"/>
      <c r="AR339" s="105"/>
      <c r="AS339" s="105"/>
      <c r="AT339" s="105"/>
      <c r="AU339" s="105"/>
      <c r="AV339" s="105"/>
      <c r="AW339" s="105"/>
      <c r="AX339" s="105"/>
      <c r="AY339" s="105"/>
      <c r="AZ339" s="105"/>
      <c r="BA339" s="105"/>
      <c r="BB339" s="105"/>
      <c r="BC339" s="105"/>
      <c r="BD339" s="105"/>
      <c r="BE339" s="105"/>
      <c r="BF339" s="105"/>
      <c r="BG339" s="105"/>
      <c r="BH339" s="105"/>
      <c r="BI339" s="105"/>
      <c r="BJ339" s="105"/>
      <c r="BK339" s="105"/>
      <c r="BL339" s="105"/>
      <c r="BM339" s="105"/>
      <c r="BN339" s="105"/>
      <c r="BO339" s="105"/>
      <c r="BP339" s="105"/>
      <c r="BQ339" s="105"/>
      <c r="BR339" s="105"/>
      <c r="BS339" s="105"/>
      <c r="BT339" s="105"/>
      <c r="BU339" s="105"/>
      <c r="BV339" s="105"/>
      <c r="BW339" s="106"/>
      <c r="BX339" s="28"/>
    </row>
    <row r="340" spans="1:76" s="34" customFormat="1" ht="15" hidden="1" customHeight="1" outlineLevel="1" x14ac:dyDescent="0.25">
      <c r="A340" s="392" t="s">
        <v>215</v>
      </c>
      <c r="B340" s="393" t="e">
        <f ca="1">IF(ROUND(AR$318,6),ROUND(AR$318,6),NA())</f>
        <v>#N/A</v>
      </c>
      <c r="C340" s="393" t="e">
        <f ca="1">IF(ROUND(AS$318,6),ROUND(AS$318,6),NA())</f>
        <v>#N/A</v>
      </c>
      <c r="D340" s="393" t="e">
        <f ca="1">IF(ROUND(AT$318,6),ROUND(AT$318,6),NA())</f>
        <v>#N/A</v>
      </c>
      <c r="E340" s="1" t="s">
        <v>283</v>
      </c>
      <c r="H340" s="377"/>
      <c r="I340" s="95"/>
      <c r="J340" s="58"/>
      <c r="K340" s="155"/>
      <c r="L340" s="317"/>
      <c r="M340" s="156"/>
      <c r="N340" s="156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  <c r="Y340" s="106"/>
      <c r="Z340" s="105"/>
      <c r="AA340" s="155"/>
      <c r="AB340" s="105"/>
      <c r="AC340" s="105"/>
      <c r="AD340" s="105"/>
      <c r="AE340" s="105"/>
      <c r="AF340" s="105"/>
      <c r="AG340" s="105"/>
      <c r="AH340" s="105"/>
      <c r="AI340" s="105"/>
      <c r="AJ340" s="105"/>
      <c r="AK340" s="105"/>
      <c r="AL340" s="105"/>
      <c r="AM340" s="105"/>
      <c r="AN340" s="105"/>
      <c r="AO340" s="105"/>
      <c r="AP340" s="105"/>
      <c r="AQ340" s="105"/>
      <c r="AR340" s="105"/>
      <c r="AS340" s="105"/>
      <c r="AT340" s="105"/>
      <c r="AU340" s="105"/>
      <c r="AV340" s="105"/>
      <c r="AW340" s="105"/>
      <c r="AX340" s="105"/>
      <c r="AY340" s="105"/>
      <c r="AZ340" s="105"/>
      <c r="BA340" s="105"/>
      <c r="BB340" s="105"/>
      <c r="BC340" s="105"/>
      <c r="BD340" s="105"/>
      <c r="BE340" s="105"/>
      <c r="BF340" s="105"/>
      <c r="BG340" s="105"/>
      <c r="BH340" s="105"/>
      <c r="BI340" s="105"/>
      <c r="BJ340" s="105"/>
      <c r="BK340" s="105"/>
      <c r="BL340" s="105"/>
      <c r="BM340" s="105"/>
      <c r="BN340" s="105"/>
      <c r="BO340" s="105"/>
      <c r="BP340" s="105"/>
      <c r="BQ340" s="105"/>
      <c r="BR340" s="105"/>
      <c r="BS340" s="105"/>
      <c r="BT340" s="105"/>
      <c r="BU340" s="105"/>
      <c r="BV340" s="105"/>
      <c r="BW340" s="106"/>
      <c r="BX340" s="28"/>
    </row>
    <row r="341" spans="1:76" s="34" customFormat="1" ht="15" hidden="1" customHeight="1" outlineLevel="1" x14ac:dyDescent="0.25">
      <c r="A341" s="392" t="s">
        <v>263</v>
      </c>
      <c r="B341" s="393" t="e">
        <f ca="1">IF(ROUND(AV$318,6),ROUND(AV$318,6),NA())</f>
        <v>#N/A</v>
      </c>
      <c r="C341" s="393" t="e">
        <f ca="1">IF(ROUND(AW$318,6),ROUND(AW$318,6),NA())</f>
        <v>#N/A</v>
      </c>
      <c r="D341" s="393" t="e">
        <f ca="1">IF(ROUND(AX$318,6),ROUND(AX$318,6),NA())</f>
        <v>#N/A</v>
      </c>
      <c r="E341" s="1" t="s">
        <v>284</v>
      </c>
      <c r="H341" s="377"/>
      <c r="I341" s="95"/>
      <c r="J341" s="58"/>
      <c r="K341" s="155"/>
      <c r="L341" s="317"/>
      <c r="M341" s="156"/>
      <c r="N341" s="156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  <c r="Y341" s="106"/>
      <c r="Z341" s="105"/>
      <c r="AA341" s="155"/>
      <c r="AB341" s="105"/>
      <c r="AC341" s="105"/>
      <c r="AD341" s="105"/>
      <c r="AE341" s="105"/>
      <c r="AF341" s="105"/>
      <c r="AG341" s="105"/>
      <c r="AH341" s="105"/>
      <c r="AI341" s="105"/>
      <c r="AJ341" s="105"/>
      <c r="AK341" s="105"/>
      <c r="AL341" s="105"/>
      <c r="AM341" s="105"/>
      <c r="AN341" s="105"/>
      <c r="AO341" s="105"/>
      <c r="AP341" s="105"/>
      <c r="AQ341" s="105"/>
      <c r="AR341" s="105"/>
      <c r="AS341" s="105"/>
      <c r="AT341" s="105"/>
      <c r="AU341" s="105"/>
      <c r="AV341" s="105"/>
      <c r="AW341" s="105"/>
      <c r="AX341" s="105"/>
      <c r="AY341" s="105"/>
      <c r="AZ341" s="105"/>
      <c r="BA341" s="105"/>
      <c r="BB341" s="105"/>
      <c r="BC341" s="105"/>
      <c r="BD341" s="105"/>
      <c r="BE341" s="105"/>
      <c r="BF341" s="105"/>
      <c r="BG341" s="105"/>
      <c r="BH341" s="105"/>
      <c r="BI341" s="105"/>
      <c r="BJ341" s="105"/>
      <c r="BK341" s="105"/>
      <c r="BL341" s="105"/>
      <c r="BM341" s="105"/>
      <c r="BN341" s="105"/>
      <c r="BO341" s="105"/>
      <c r="BP341" s="105"/>
      <c r="BQ341" s="105"/>
      <c r="BR341" s="105"/>
      <c r="BS341" s="105"/>
      <c r="BT341" s="105"/>
      <c r="BU341" s="105"/>
      <c r="BV341" s="105"/>
      <c r="BW341" s="106"/>
      <c r="BX341" s="28"/>
    </row>
    <row r="342" spans="1:76" s="34" customFormat="1" ht="15" hidden="1" customHeight="1" outlineLevel="1" x14ac:dyDescent="0.25">
      <c r="A342" s="392" t="s">
        <v>263</v>
      </c>
      <c r="B342" s="393" t="e">
        <f ca="1">IF(ROUND(AZ$318,6),ROUND(AZ$318,6),NA())</f>
        <v>#N/A</v>
      </c>
      <c r="C342" s="393" t="e">
        <f ca="1">IF(ROUND(BA$318,6),ROUND(BA$318,6),NA())</f>
        <v>#N/A</v>
      </c>
      <c r="D342" s="393" t="e">
        <f ca="1">IF(ROUND(BB$318,6),ROUND(BB$318,6),NA())</f>
        <v>#N/A</v>
      </c>
      <c r="E342" s="1" t="s">
        <v>285</v>
      </c>
      <c r="H342" s="377"/>
      <c r="I342" s="95"/>
      <c r="J342" s="58"/>
      <c r="K342" s="155"/>
      <c r="L342" s="317"/>
      <c r="M342" s="156"/>
      <c r="N342" s="156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  <c r="Y342" s="106"/>
      <c r="Z342" s="105"/>
      <c r="AA342" s="155"/>
      <c r="AB342" s="105"/>
      <c r="AC342" s="105"/>
      <c r="AD342" s="105"/>
      <c r="AE342" s="105"/>
      <c r="AF342" s="105"/>
      <c r="AG342" s="105"/>
      <c r="AH342" s="105"/>
      <c r="AI342" s="105"/>
      <c r="AJ342" s="105"/>
      <c r="AK342" s="105"/>
      <c r="AL342" s="105"/>
      <c r="AM342" s="105"/>
      <c r="AN342" s="105"/>
      <c r="AO342" s="105"/>
      <c r="AP342" s="105"/>
      <c r="AQ342" s="105"/>
      <c r="AR342" s="105"/>
      <c r="AS342" s="105"/>
      <c r="AT342" s="105"/>
      <c r="AU342" s="105"/>
      <c r="AV342" s="105"/>
      <c r="AW342" s="105"/>
      <c r="AX342" s="105"/>
      <c r="AY342" s="105"/>
      <c r="AZ342" s="105"/>
      <c r="BA342" s="105"/>
      <c r="BB342" s="105"/>
      <c r="BC342" s="105"/>
      <c r="BD342" s="105"/>
      <c r="BE342" s="105"/>
      <c r="BF342" s="105"/>
      <c r="BG342" s="105"/>
      <c r="BH342" s="105"/>
      <c r="BI342" s="105"/>
      <c r="BJ342" s="105"/>
      <c r="BK342" s="105"/>
      <c r="BL342" s="105"/>
      <c r="BM342" s="105"/>
      <c r="BN342" s="105"/>
      <c r="BO342" s="105"/>
      <c r="BP342" s="105"/>
      <c r="BQ342" s="105"/>
      <c r="BR342" s="105"/>
      <c r="BS342" s="105"/>
      <c r="BT342" s="105"/>
      <c r="BU342" s="105"/>
      <c r="BV342" s="105"/>
      <c r="BW342" s="106"/>
      <c r="BX342" s="28"/>
    </row>
    <row r="343" spans="1:76" s="34" customFormat="1" ht="15" hidden="1" customHeight="1" outlineLevel="1" x14ac:dyDescent="0.25">
      <c r="A343" s="392" t="s">
        <v>42</v>
      </c>
      <c r="B343" s="393" t="e">
        <f ca="1">IF(ROUND(BD$318,6),ROUND(BD$318,6),NA())</f>
        <v>#N/A</v>
      </c>
      <c r="C343" s="393" t="e">
        <f ca="1">IF(ROUND(BE$318,6),ROUND(BE$318,6),NA())</f>
        <v>#N/A</v>
      </c>
      <c r="D343" s="393" t="e">
        <f ca="1">IF(ROUND(BF$318,6),ROUND(BF$318,6),NA())</f>
        <v>#N/A</v>
      </c>
      <c r="E343" s="1" t="s">
        <v>286</v>
      </c>
      <c r="H343" s="377"/>
      <c r="I343" s="95"/>
      <c r="J343" s="58"/>
      <c r="K343" s="155"/>
      <c r="L343" s="317"/>
      <c r="M343" s="156"/>
      <c r="N343" s="156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  <c r="Y343" s="106"/>
      <c r="Z343" s="105"/>
      <c r="AA343" s="155"/>
      <c r="AB343" s="105"/>
      <c r="AC343" s="105"/>
      <c r="AD343" s="105"/>
      <c r="AE343" s="105"/>
      <c r="AF343" s="105"/>
      <c r="AG343" s="105"/>
      <c r="AH343" s="105"/>
      <c r="AI343" s="105"/>
      <c r="AJ343" s="105"/>
      <c r="AK343" s="105"/>
      <c r="AL343" s="105"/>
      <c r="AM343" s="105"/>
      <c r="AN343" s="105"/>
      <c r="AO343" s="105"/>
      <c r="AP343" s="105"/>
      <c r="AQ343" s="105"/>
      <c r="AR343" s="105"/>
      <c r="AS343" s="105"/>
      <c r="AT343" s="105"/>
      <c r="AU343" s="105"/>
      <c r="AV343" s="105"/>
      <c r="AW343" s="105"/>
      <c r="AX343" s="105"/>
      <c r="AY343" s="105"/>
      <c r="AZ343" s="105"/>
      <c r="BA343" s="105"/>
      <c r="BB343" s="105"/>
      <c r="BC343" s="105"/>
      <c r="BD343" s="105"/>
      <c r="BE343" s="105"/>
      <c r="BF343" s="105"/>
      <c r="BG343" s="105"/>
      <c r="BH343" s="105"/>
      <c r="BI343" s="105"/>
      <c r="BJ343" s="105"/>
      <c r="BK343" s="105"/>
      <c r="BL343" s="105"/>
      <c r="BM343" s="105"/>
      <c r="BN343" s="105"/>
      <c r="BO343" s="105"/>
      <c r="BP343" s="105"/>
      <c r="BQ343" s="105"/>
      <c r="BR343" s="105"/>
      <c r="BS343" s="105"/>
      <c r="BT343" s="105"/>
      <c r="BU343" s="105"/>
      <c r="BV343" s="105"/>
      <c r="BW343" s="106"/>
      <c r="BX343" s="28"/>
    </row>
    <row r="344" spans="1:76" s="34" customFormat="1" ht="15" hidden="1" customHeight="1" outlineLevel="1" x14ac:dyDescent="0.25">
      <c r="A344" s="392" t="s">
        <v>264</v>
      </c>
      <c r="B344" s="393" t="e">
        <f ca="1">IF(ROUND(BH$318,6),ROUND(BH$318,6),NA())</f>
        <v>#N/A</v>
      </c>
      <c r="C344" s="393" t="e">
        <f ca="1">IF(ROUND(BI$318,6),ROUND(BI$318,6),NA())</f>
        <v>#N/A</v>
      </c>
      <c r="D344" s="393" t="e">
        <f ca="1">IF(ROUND(BJ$318,6),ROUND(BJ$318,6),NA())</f>
        <v>#N/A</v>
      </c>
      <c r="E344" s="1" t="s">
        <v>287</v>
      </c>
      <c r="H344" s="377"/>
      <c r="I344" s="95"/>
      <c r="J344" s="58"/>
      <c r="K344" s="155"/>
      <c r="L344" s="317"/>
      <c r="M344" s="156"/>
      <c r="N344" s="156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  <c r="Y344" s="106"/>
      <c r="Z344" s="105"/>
      <c r="AA344" s="155"/>
      <c r="AB344" s="105"/>
      <c r="AC344" s="105"/>
      <c r="AD344" s="105"/>
      <c r="AE344" s="105"/>
      <c r="AF344" s="105"/>
      <c r="AG344" s="105"/>
      <c r="AH344" s="105"/>
      <c r="AI344" s="105"/>
      <c r="AJ344" s="105"/>
      <c r="AK344" s="105"/>
      <c r="AL344" s="105"/>
      <c r="AM344" s="105"/>
      <c r="AN344" s="105"/>
      <c r="AO344" s="105"/>
      <c r="AP344" s="105"/>
      <c r="AQ344" s="105"/>
      <c r="AR344" s="105"/>
      <c r="AS344" s="105"/>
      <c r="AT344" s="105"/>
      <c r="AU344" s="105"/>
      <c r="AV344" s="105"/>
      <c r="AW344" s="105"/>
      <c r="AX344" s="105"/>
      <c r="AY344" s="105"/>
      <c r="AZ344" s="105"/>
      <c r="BA344" s="105"/>
      <c r="BB344" s="105"/>
      <c r="BC344" s="105"/>
      <c r="BD344" s="105"/>
      <c r="BE344" s="105"/>
      <c r="BF344" s="105"/>
      <c r="BG344" s="105"/>
      <c r="BH344" s="105"/>
      <c r="BI344" s="105"/>
      <c r="BJ344" s="105"/>
      <c r="BK344" s="105"/>
      <c r="BL344" s="105"/>
      <c r="BM344" s="105"/>
      <c r="BN344" s="105"/>
      <c r="BO344" s="105"/>
      <c r="BP344" s="105"/>
      <c r="BQ344" s="105"/>
      <c r="BR344" s="105"/>
      <c r="BS344" s="105"/>
      <c r="BT344" s="105"/>
      <c r="BU344" s="105"/>
      <c r="BV344" s="105"/>
      <c r="BW344" s="106"/>
      <c r="BX344" s="28"/>
    </row>
    <row r="345" spans="1:76" s="34" customFormat="1" ht="15" hidden="1" customHeight="1" outlineLevel="1" x14ac:dyDescent="0.25">
      <c r="A345" s="392" t="s">
        <v>212</v>
      </c>
      <c r="B345" s="393" t="e">
        <f ca="1">IF(ROUND(BL$318,6),ROUND(BL$318,6),NA())</f>
        <v>#N/A</v>
      </c>
      <c r="C345" s="393" t="e">
        <f ca="1">IF(ROUND(BM$318,6),ROUND(BM$318,6),NA())</f>
        <v>#N/A</v>
      </c>
      <c r="D345" s="393" t="e">
        <f ca="1">IF(ROUND(BN$318,6),ROUND(BN$318,6),NA())</f>
        <v>#N/A</v>
      </c>
      <c r="E345" s="1" t="s">
        <v>288</v>
      </c>
      <c r="H345" s="377"/>
      <c r="I345" s="95"/>
      <c r="J345" s="58"/>
      <c r="K345" s="155"/>
      <c r="L345" s="317"/>
      <c r="M345" s="156"/>
      <c r="N345" s="156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  <c r="Y345" s="106"/>
      <c r="Z345" s="105"/>
      <c r="AA345" s="155"/>
      <c r="AB345" s="105"/>
      <c r="AC345" s="105"/>
      <c r="AD345" s="105"/>
      <c r="AE345" s="105"/>
      <c r="AF345" s="105"/>
      <c r="AG345" s="105"/>
      <c r="AH345" s="105"/>
      <c r="AI345" s="105"/>
      <c r="AJ345" s="105"/>
      <c r="AK345" s="105"/>
      <c r="AL345" s="105"/>
      <c r="AM345" s="105"/>
      <c r="AN345" s="105"/>
      <c r="AO345" s="105"/>
      <c r="AP345" s="105"/>
      <c r="AQ345" s="105"/>
      <c r="AR345" s="105"/>
      <c r="AS345" s="105"/>
      <c r="AT345" s="105"/>
      <c r="AU345" s="105"/>
      <c r="AV345" s="105"/>
      <c r="AW345" s="105"/>
      <c r="AX345" s="105"/>
      <c r="AY345" s="105"/>
      <c r="AZ345" s="105"/>
      <c r="BA345" s="105"/>
      <c r="BB345" s="105"/>
      <c r="BC345" s="105"/>
      <c r="BD345" s="105"/>
      <c r="BE345" s="105"/>
      <c r="BF345" s="105"/>
      <c r="BG345" s="105"/>
      <c r="BH345" s="105"/>
      <c r="BI345" s="105"/>
      <c r="BJ345" s="105"/>
      <c r="BK345" s="105"/>
      <c r="BL345" s="105"/>
      <c r="BM345" s="105"/>
      <c r="BN345" s="105"/>
      <c r="BO345" s="105"/>
      <c r="BP345" s="105"/>
      <c r="BQ345" s="105"/>
      <c r="BR345" s="105"/>
      <c r="BS345" s="105"/>
      <c r="BT345" s="105"/>
      <c r="BU345" s="105"/>
      <c r="BV345" s="105"/>
      <c r="BW345" s="106"/>
      <c r="BX345" s="28"/>
    </row>
    <row r="346" spans="1:76" s="34" customFormat="1" ht="15" hidden="1" customHeight="1" outlineLevel="1" x14ac:dyDescent="0.25">
      <c r="A346" s="392" t="s">
        <v>257</v>
      </c>
      <c r="B346" s="393" t="e">
        <f ca="1">IF(ROUND(BP$318,6),ROUND(BP$318,6),NA())</f>
        <v>#N/A</v>
      </c>
      <c r="C346" s="393" t="e">
        <f ca="1">IF(ROUND(BQ$318,6),ROUND(BQ$318,6),NA())</f>
        <v>#N/A</v>
      </c>
      <c r="D346" s="393" t="e">
        <f ca="1">IF(ROUND(BR$318,6),ROUND(BR$318,6),NA())</f>
        <v>#N/A</v>
      </c>
      <c r="E346" s="1" t="s">
        <v>289</v>
      </c>
      <c r="H346" s="377"/>
      <c r="I346" s="95"/>
      <c r="J346" s="58"/>
      <c r="K346" s="155"/>
      <c r="L346" s="317"/>
      <c r="M346" s="156"/>
      <c r="N346" s="156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  <c r="Y346" s="106"/>
      <c r="Z346" s="105"/>
      <c r="AA346" s="155"/>
      <c r="AB346" s="105"/>
      <c r="AC346" s="105"/>
      <c r="AD346" s="105"/>
      <c r="AE346" s="105"/>
      <c r="AF346" s="105"/>
      <c r="AG346" s="105"/>
      <c r="AH346" s="105"/>
      <c r="AI346" s="105"/>
      <c r="AJ346" s="105"/>
      <c r="AK346" s="105"/>
      <c r="AL346" s="105"/>
      <c r="AM346" s="105"/>
      <c r="AN346" s="105"/>
      <c r="AO346" s="105"/>
      <c r="AP346" s="105"/>
      <c r="AQ346" s="105"/>
      <c r="AR346" s="105"/>
      <c r="AS346" s="105"/>
      <c r="AT346" s="105"/>
      <c r="AU346" s="105"/>
      <c r="AV346" s="105"/>
      <c r="AW346" s="105"/>
      <c r="AX346" s="105"/>
      <c r="AY346" s="105"/>
      <c r="AZ346" s="105"/>
      <c r="BA346" s="105"/>
      <c r="BB346" s="105"/>
      <c r="BC346" s="105"/>
      <c r="BD346" s="105"/>
      <c r="BE346" s="105"/>
      <c r="BF346" s="105"/>
      <c r="BG346" s="105"/>
      <c r="BH346" s="105"/>
      <c r="BI346" s="105"/>
      <c r="BJ346" s="105"/>
      <c r="BK346" s="105"/>
      <c r="BL346" s="105"/>
      <c r="BM346" s="105"/>
      <c r="BN346" s="105"/>
      <c r="BO346" s="105"/>
      <c r="BP346" s="105"/>
      <c r="BQ346" s="105"/>
      <c r="BR346" s="105"/>
      <c r="BS346" s="105"/>
      <c r="BT346" s="105"/>
      <c r="BU346" s="105"/>
      <c r="BV346" s="105"/>
      <c r="BW346" s="106"/>
      <c r="BX346" s="28"/>
    </row>
    <row r="347" spans="1:76" s="34" customFormat="1" ht="15" hidden="1" customHeight="1" outlineLevel="1" x14ac:dyDescent="0.25">
      <c r="A347" s="392" t="s">
        <v>216</v>
      </c>
      <c r="B347" s="393" t="e">
        <f ca="1">IF(ROUND(BT$318,6),ROUND(BT$318,6),NA())</f>
        <v>#N/A</v>
      </c>
      <c r="C347" s="393" t="e">
        <f ca="1">IF(ROUND(BU$318,6),ROUND(BU$318,6),NA())</f>
        <v>#N/A</v>
      </c>
      <c r="D347" s="393" t="e">
        <f ca="1">IF(ROUND(BV$318,6),ROUND(BV$318,6),NA())</f>
        <v>#N/A</v>
      </c>
      <c r="E347" s="1" t="s">
        <v>290</v>
      </c>
      <c r="H347" s="377"/>
      <c r="I347" s="95"/>
      <c r="J347" s="58"/>
      <c r="K347" s="155"/>
      <c r="L347" s="317"/>
      <c r="M347" s="156"/>
      <c r="N347" s="156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  <c r="Y347" s="106"/>
      <c r="Z347" s="105"/>
      <c r="AA347" s="155"/>
      <c r="AB347" s="105"/>
      <c r="AC347" s="105"/>
      <c r="AD347" s="105"/>
      <c r="AE347" s="105"/>
      <c r="AF347" s="105"/>
      <c r="AG347" s="105"/>
      <c r="AH347" s="105"/>
      <c r="AI347" s="105"/>
      <c r="AJ347" s="105"/>
      <c r="AK347" s="105"/>
      <c r="AL347" s="105"/>
      <c r="AM347" s="105"/>
      <c r="AN347" s="105"/>
      <c r="AO347" s="105"/>
      <c r="AP347" s="105"/>
      <c r="AQ347" s="105"/>
      <c r="AR347" s="105"/>
      <c r="AS347" s="105"/>
      <c r="AT347" s="105"/>
      <c r="AU347" s="105"/>
      <c r="AV347" s="105"/>
      <c r="AW347" s="105"/>
      <c r="AX347" s="105"/>
      <c r="AY347" s="105"/>
      <c r="AZ347" s="105"/>
      <c r="BA347" s="105"/>
      <c r="BB347" s="105"/>
      <c r="BC347" s="105"/>
      <c r="BD347" s="105"/>
      <c r="BE347" s="105"/>
      <c r="BF347" s="105"/>
      <c r="BG347" s="105"/>
      <c r="BH347" s="105"/>
      <c r="BI347" s="105"/>
      <c r="BJ347" s="105"/>
      <c r="BK347" s="105"/>
      <c r="BL347" s="105"/>
      <c r="BM347" s="105"/>
      <c r="BN347" s="105"/>
      <c r="BO347" s="105"/>
      <c r="BP347" s="105"/>
      <c r="BQ347" s="105"/>
      <c r="BR347" s="105"/>
      <c r="BS347" s="105"/>
      <c r="BT347" s="105"/>
      <c r="BU347" s="105"/>
      <c r="BV347" s="105"/>
      <c r="BW347" s="106"/>
      <c r="BX347" s="28"/>
    </row>
    <row r="348" spans="1:76" s="34" customFormat="1" ht="15" hidden="1" customHeight="1" outlineLevel="1" x14ac:dyDescent="0.25">
      <c r="A348" s="57"/>
      <c r="B348" s="377"/>
      <c r="C348" s="9"/>
      <c r="D348" s="1"/>
      <c r="E348" s="1"/>
      <c r="H348" s="377"/>
      <c r="I348" s="95"/>
      <c r="J348" s="58"/>
      <c r="K348" s="155"/>
      <c r="L348" s="317"/>
      <c r="M348" s="156"/>
      <c r="N348" s="156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  <c r="Y348" s="106"/>
      <c r="Z348" s="105"/>
      <c r="AA348" s="155"/>
      <c r="AB348" s="105"/>
      <c r="AC348" s="105"/>
      <c r="AD348" s="105"/>
      <c r="AE348" s="105"/>
      <c r="AF348" s="105"/>
      <c r="AG348" s="105"/>
      <c r="AH348" s="105"/>
      <c r="AI348" s="105"/>
      <c r="AJ348" s="105"/>
      <c r="AK348" s="105"/>
      <c r="AL348" s="105"/>
      <c r="AM348" s="105"/>
      <c r="AN348" s="105"/>
      <c r="AO348" s="105"/>
      <c r="AP348" s="105"/>
      <c r="AQ348" s="105"/>
      <c r="AR348" s="105"/>
      <c r="AS348" s="105"/>
      <c r="AT348" s="105"/>
      <c r="AU348" s="105"/>
      <c r="AV348" s="105"/>
      <c r="AW348" s="105"/>
      <c r="AX348" s="105"/>
      <c r="AY348" s="105"/>
      <c r="AZ348" s="105"/>
      <c r="BA348" s="105"/>
      <c r="BB348" s="105"/>
      <c r="BC348" s="105"/>
      <c r="BD348" s="105"/>
      <c r="BE348" s="105"/>
      <c r="BF348" s="105"/>
      <c r="BG348" s="105"/>
      <c r="BH348" s="105"/>
      <c r="BI348" s="105"/>
      <c r="BJ348" s="105"/>
      <c r="BK348" s="105"/>
      <c r="BL348" s="105"/>
      <c r="BM348" s="105"/>
      <c r="BN348" s="105"/>
      <c r="BO348" s="105"/>
      <c r="BP348" s="105"/>
      <c r="BQ348" s="105"/>
      <c r="BR348" s="105"/>
      <c r="BS348" s="105"/>
      <c r="BT348" s="105"/>
      <c r="BU348" s="105"/>
      <c r="BV348" s="105"/>
      <c r="BW348" s="106"/>
      <c r="BX348" s="28"/>
    </row>
    <row r="349" spans="1:76" s="34" customFormat="1" ht="15" hidden="1" customHeight="1" outlineLevel="1" x14ac:dyDescent="0.25">
      <c r="A349" s="394" t="s">
        <v>296</v>
      </c>
      <c r="B349" t="str">
        <f ca="1">$N$12&amp;" N"</f>
        <v>Actual N</v>
      </c>
      <c r="C349" t="str">
        <f ca="1">$N$20&amp;" "&amp;$N$21</f>
        <v>Budget V current N</v>
      </c>
      <c r="D349" t="str">
        <f ca="1">$O$20&amp;" "&amp;$O$21</f>
        <v>Actual N-1</v>
      </c>
      <c r="E349" s="1"/>
      <c r="H349" s="377"/>
      <c r="I349" s="95"/>
      <c r="J349" s="58"/>
      <c r="K349" s="155"/>
      <c r="L349" s="317"/>
      <c r="M349" s="156"/>
      <c r="N349" s="156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  <c r="Y349" s="106"/>
      <c r="Z349" s="105"/>
      <c r="AA349" s="155"/>
      <c r="AB349" s="105"/>
      <c r="AC349" s="105"/>
      <c r="AD349" s="105"/>
      <c r="AE349" s="105"/>
      <c r="AF349" s="105"/>
      <c r="AG349" s="105"/>
      <c r="AH349" s="105"/>
      <c r="AI349" s="105"/>
      <c r="AJ349" s="105"/>
      <c r="AK349" s="105"/>
      <c r="AL349" s="105"/>
      <c r="AM349" s="105"/>
      <c r="AN349" s="105"/>
      <c r="AO349" s="105"/>
      <c r="AP349" s="105"/>
      <c r="AQ349" s="105"/>
      <c r="AR349" s="105"/>
      <c r="AS349" s="105"/>
      <c r="AT349" s="105"/>
      <c r="AU349" s="105"/>
      <c r="AV349" s="105"/>
      <c r="AW349" s="105"/>
      <c r="AX349" s="105"/>
      <c r="AY349" s="105"/>
      <c r="AZ349" s="105"/>
      <c r="BA349" s="105"/>
      <c r="BB349" s="105"/>
      <c r="BC349" s="105"/>
      <c r="BD349" s="105"/>
      <c r="BE349" s="105"/>
      <c r="BF349" s="105"/>
      <c r="BG349" s="105"/>
      <c r="BH349" s="105"/>
      <c r="BI349" s="105"/>
      <c r="BJ349" s="105"/>
      <c r="BK349" s="105"/>
      <c r="BL349" s="105"/>
      <c r="BM349" s="105"/>
      <c r="BN349" s="105"/>
      <c r="BO349" s="105"/>
      <c r="BP349" s="105"/>
      <c r="BQ349" s="105"/>
      <c r="BR349" s="105"/>
      <c r="BS349" s="105"/>
      <c r="BT349" s="105"/>
      <c r="BU349" s="105"/>
      <c r="BV349" s="105"/>
      <c r="BW349" s="106"/>
      <c r="BX349" s="28"/>
    </row>
    <row r="350" spans="1:76" s="34" customFormat="1" ht="15" hidden="1" customHeight="1" outlineLevel="1" x14ac:dyDescent="0.25">
      <c r="A350" s="392" t="str">
        <f>IF($N$19="English","J","J")</f>
        <v>J</v>
      </c>
      <c r="B350" s="421" t="e">
        <f ca="1">IF(ROUND(AB$319,6),ROUND(AB$319,6),NA())</f>
        <v>#N/A</v>
      </c>
      <c r="C350" s="421" t="e">
        <f ca="1">IF(ROUND(AC$319,6),ROUND(AC$319,6),NA())</f>
        <v>#N/A</v>
      </c>
      <c r="D350" s="421" t="e">
        <f ca="1">IF(ROUND(AD$319,6),ROUND(AD$319,6),NA())</f>
        <v>#N/A</v>
      </c>
      <c r="E350" s="1" t="s">
        <v>279</v>
      </c>
      <c r="H350" s="377"/>
      <c r="I350" s="95"/>
      <c r="J350" s="58"/>
      <c r="K350" s="155"/>
      <c r="L350" s="317"/>
      <c r="M350" s="156"/>
      <c r="N350" s="156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  <c r="Y350" s="106"/>
      <c r="Z350" s="105"/>
      <c r="AA350" s="155"/>
      <c r="AB350" s="105"/>
      <c r="AC350" s="105"/>
      <c r="AD350" s="105"/>
      <c r="AE350" s="105"/>
      <c r="AF350" s="105"/>
      <c r="AG350" s="105"/>
      <c r="AH350" s="105"/>
      <c r="AI350" s="105"/>
      <c r="AJ350" s="105"/>
      <c r="AK350" s="105"/>
      <c r="AL350" s="105"/>
      <c r="AM350" s="105"/>
      <c r="AN350" s="105"/>
      <c r="AO350" s="105"/>
      <c r="AP350" s="105"/>
      <c r="AQ350" s="105"/>
      <c r="AR350" s="105"/>
      <c r="AS350" s="105"/>
      <c r="AT350" s="105"/>
      <c r="AU350" s="105"/>
      <c r="AV350" s="105"/>
      <c r="AW350" s="105"/>
      <c r="AX350" s="105"/>
      <c r="AY350" s="105"/>
      <c r="AZ350" s="105"/>
      <c r="BA350" s="105"/>
      <c r="BB350" s="105"/>
      <c r="BC350" s="105"/>
      <c r="BD350" s="105"/>
      <c r="BE350" s="105"/>
      <c r="BF350" s="105"/>
      <c r="BG350" s="105"/>
      <c r="BH350" s="105"/>
      <c r="BI350" s="105"/>
      <c r="BJ350" s="105"/>
      <c r="BK350" s="105"/>
      <c r="BL350" s="105"/>
      <c r="BM350" s="105"/>
      <c r="BN350" s="105"/>
      <c r="BO350" s="105"/>
      <c r="BP350" s="105"/>
      <c r="BQ350" s="105"/>
      <c r="BR350" s="105"/>
      <c r="BS350" s="105"/>
      <c r="BT350" s="105"/>
      <c r="BU350" s="105"/>
      <c r="BV350" s="105"/>
      <c r="BW350" s="106"/>
      <c r="BX350" s="28"/>
    </row>
    <row r="351" spans="1:76" s="34" customFormat="1" ht="15" hidden="1" customHeight="1" outlineLevel="1" x14ac:dyDescent="0.25">
      <c r="A351" s="392" t="s">
        <v>213</v>
      </c>
      <c r="B351" s="421" t="e">
        <f ca="1">IF(ROUND(AF$319,6),ROUND(AF$319,6),NA())</f>
        <v>#N/A</v>
      </c>
      <c r="C351" s="421" t="e">
        <f ca="1">IF(ROUND(AG$319,6),ROUND(AG$319,6),NA())</f>
        <v>#N/A</v>
      </c>
      <c r="D351" s="421" t="e">
        <f ca="1">IF(ROUND(AH$319,6),ROUND(AH$319,6),NA())</f>
        <v>#N/A</v>
      </c>
      <c r="E351" s="1" t="s">
        <v>280</v>
      </c>
      <c r="H351" s="377"/>
      <c r="I351" s="95"/>
      <c r="J351" s="58"/>
      <c r="K351" s="155"/>
      <c r="L351" s="317"/>
      <c r="M351" s="156"/>
      <c r="N351" s="156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  <c r="Y351" s="106"/>
      <c r="Z351" s="105"/>
      <c r="AA351" s="155"/>
      <c r="AB351" s="105"/>
      <c r="AC351" s="105"/>
      <c r="AD351" s="105"/>
      <c r="AE351" s="105"/>
      <c r="AF351" s="105"/>
      <c r="AG351" s="105"/>
      <c r="AH351" s="105"/>
      <c r="AI351" s="105"/>
      <c r="AJ351" s="105"/>
      <c r="AK351" s="105"/>
      <c r="AL351" s="105"/>
      <c r="AM351" s="105"/>
      <c r="AN351" s="105"/>
      <c r="AO351" s="105"/>
      <c r="AP351" s="105"/>
      <c r="AQ351" s="105"/>
      <c r="AR351" s="105"/>
      <c r="AS351" s="105"/>
      <c r="AT351" s="105"/>
      <c r="AU351" s="105"/>
      <c r="AV351" s="105"/>
      <c r="AW351" s="105"/>
      <c r="AX351" s="105"/>
      <c r="AY351" s="105"/>
      <c r="AZ351" s="105"/>
      <c r="BA351" s="105"/>
      <c r="BB351" s="105"/>
      <c r="BC351" s="105"/>
      <c r="BD351" s="105"/>
      <c r="BE351" s="105"/>
      <c r="BF351" s="105"/>
      <c r="BG351" s="105"/>
      <c r="BH351" s="105"/>
      <c r="BI351" s="105"/>
      <c r="BJ351" s="105"/>
      <c r="BK351" s="105"/>
      <c r="BL351" s="105"/>
      <c r="BM351" s="105"/>
      <c r="BN351" s="105"/>
      <c r="BO351" s="105"/>
      <c r="BP351" s="105"/>
      <c r="BQ351" s="105"/>
      <c r="BR351" s="105"/>
      <c r="BS351" s="105"/>
      <c r="BT351" s="105"/>
      <c r="BU351" s="105"/>
      <c r="BV351" s="105"/>
      <c r="BW351" s="106"/>
      <c r="BX351" s="28"/>
    </row>
    <row r="352" spans="1:76" s="34" customFormat="1" ht="15" hidden="1" customHeight="1" outlineLevel="1" x14ac:dyDescent="0.25">
      <c r="A352" s="392" t="s">
        <v>215</v>
      </c>
      <c r="B352" s="421" t="e">
        <f ca="1">IF(ROUND(AJ$319,6),ROUND(AJ$319,6),NA())</f>
        <v>#N/A</v>
      </c>
      <c r="C352" s="421" t="e">
        <f ca="1">IF(ROUND(AK$319,6),ROUND(AK$319,6),NA())</f>
        <v>#N/A</v>
      </c>
      <c r="D352" s="421" t="e">
        <f ca="1">IF(ROUND(AL$319,6),ROUND(AL$319,6),NA())</f>
        <v>#N/A</v>
      </c>
      <c r="E352" s="1" t="s">
        <v>281</v>
      </c>
      <c r="H352" s="377"/>
      <c r="I352" s="95"/>
      <c r="J352" s="58"/>
      <c r="K352" s="155"/>
      <c r="L352" s="317"/>
      <c r="M352" s="156"/>
      <c r="N352" s="156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  <c r="Y352" s="106"/>
      <c r="Z352" s="105"/>
      <c r="AA352" s="155"/>
      <c r="AB352" s="105"/>
      <c r="AC352" s="105"/>
      <c r="AD352" s="105"/>
      <c r="AE352" s="105"/>
      <c r="AF352" s="105"/>
      <c r="AG352" s="105"/>
      <c r="AH352" s="105"/>
      <c r="AI352" s="105"/>
      <c r="AJ352" s="105"/>
      <c r="AK352" s="105"/>
      <c r="AL352" s="105"/>
      <c r="AM352" s="105"/>
      <c r="AN352" s="105"/>
      <c r="AO352" s="105"/>
      <c r="AP352" s="105"/>
      <c r="AQ352" s="105"/>
      <c r="AR352" s="105"/>
      <c r="AS352" s="105"/>
      <c r="AT352" s="105"/>
      <c r="AU352" s="105"/>
      <c r="AV352" s="105"/>
      <c r="AW352" s="105"/>
      <c r="AX352" s="105"/>
      <c r="AY352" s="105"/>
      <c r="AZ352" s="105"/>
      <c r="BA352" s="105"/>
      <c r="BB352" s="105"/>
      <c r="BC352" s="105"/>
      <c r="BD352" s="105"/>
      <c r="BE352" s="105"/>
      <c r="BF352" s="105"/>
      <c r="BG352" s="105"/>
      <c r="BH352" s="105"/>
      <c r="BI352" s="105"/>
      <c r="BJ352" s="105"/>
      <c r="BK352" s="105"/>
      <c r="BL352" s="105"/>
      <c r="BM352" s="105"/>
      <c r="BN352" s="105"/>
      <c r="BO352" s="105"/>
      <c r="BP352" s="105"/>
      <c r="BQ352" s="105"/>
      <c r="BR352" s="105"/>
      <c r="BS352" s="105"/>
      <c r="BT352" s="105"/>
      <c r="BU352" s="105"/>
      <c r="BV352" s="105"/>
      <c r="BW352" s="106"/>
      <c r="BX352" s="28"/>
    </row>
    <row r="353" spans="1:76" s="34" customFormat="1" ht="15" hidden="1" customHeight="1" outlineLevel="1" x14ac:dyDescent="0.25">
      <c r="A353" s="392" t="s">
        <v>42</v>
      </c>
      <c r="B353" s="421" t="e">
        <f ca="1">IF(ROUND(AN$319,6),ROUND(AN$319,6),NA())</f>
        <v>#N/A</v>
      </c>
      <c r="C353" s="421" t="e">
        <f ca="1">IF(ROUND(AO$319,6),ROUND(AO$319,6),NA())</f>
        <v>#N/A</v>
      </c>
      <c r="D353" s="421" t="e">
        <f ca="1">IF(ROUND(AP$319,6),ROUND(AP$319,6),NA())</f>
        <v>#N/A</v>
      </c>
      <c r="E353" s="1" t="s">
        <v>282</v>
      </c>
      <c r="H353" s="377"/>
      <c r="I353" s="95"/>
      <c r="J353" s="58"/>
      <c r="K353" s="155"/>
      <c r="L353" s="317"/>
      <c r="M353" s="156"/>
      <c r="N353" s="156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  <c r="Y353" s="106"/>
      <c r="Z353" s="105"/>
      <c r="AA353" s="155"/>
      <c r="AB353" s="105"/>
      <c r="AC353" s="105"/>
      <c r="AD353" s="105"/>
      <c r="AE353" s="105"/>
      <c r="AF353" s="105"/>
      <c r="AG353" s="105"/>
      <c r="AH353" s="105"/>
      <c r="AI353" s="105"/>
      <c r="AJ353" s="105"/>
      <c r="AK353" s="105"/>
      <c r="AL353" s="105"/>
      <c r="AM353" s="105"/>
      <c r="AN353" s="105"/>
      <c r="AO353" s="105"/>
      <c r="AP353" s="105"/>
      <c r="AQ353" s="105"/>
      <c r="AR353" s="105"/>
      <c r="AS353" s="105"/>
      <c r="AT353" s="105"/>
      <c r="AU353" s="105"/>
      <c r="AV353" s="105"/>
      <c r="AW353" s="105"/>
      <c r="AX353" s="105"/>
      <c r="AY353" s="105"/>
      <c r="AZ353" s="105"/>
      <c r="BA353" s="105"/>
      <c r="BB353" s="105"/>
      <c r="BC353" s="105"/>
      <c r="BD353" s="105"/>
      <c r="BE353" s="105"/>
      <c r="BF353" s="105"/>
      <c r="BG353" s="105"/>
      <c r="BH353" s="105"/>
      <c r="BI353" s="105"/>
      <c r="BJ353" s="105"/>
      <c r="BK353" s="105"/>
      <c r="BL353" s="105"/>
      <c r="BM353" s="105"/>
      <c r="BN353" s="105"/>
      <c r="BO353" s="105"/>
      <c r="BP353" s="105"/>
      <c r="BQ353" s="105"/>
      <c r="BR353" s="105"/>
      <c r="BS353" s="105"/>
      <c r="BT353" s="105"/>
      <c r="BU353" s="105"/>
      <c r="BV353" s="105"/>
      <c r="BW353" s="106"/>
      <c r="BX353" s="28"/>
    </row>
    <row r="354" spans="1:76" s="34" customFormat="1" ht="15" hidden="1" customHeight="1" outlineLevel="1" x14ac:dyDescent="0.25">
      <c r="A354" s="392" t="s">
        <v>215</v>
      </c>
      <c r="B354" s="421" t="e">
        <f ca="1">IF(ROUND(AR$319,6),ROUND(AR$319,6),NA())</f>
        <v>#N/A</v>
      </c>
      <c r="C354" s="421" t="e">
        <f ca="1">IF(ROUND(AS$319,6),ROUND(AS$319,6),NA())</f>
        <v>#N/A</v>
      </c>
      <c r="D354" s="421" t="e">
        <f ca="1">IF(ROUND(AT$319,6),ROUND(AT$319,6),NA())</f>
        <v>#N/A</v>
      </c>
      <c r="E354" s="1" t="s">
        <v>283</v>
      </c>
      <c r="H354" s="377"/>
      <c r="I354" s="95"/>
      <c r="J354" s="58"/>
      <c r="K354" s="155"/>
      <c r="L354" s="317"/>
      <c r="M354" s="156"/>
      <c r="N354" s="156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  <c r="Y354" s="106"/>
      <c r="Z354" s="105"/>
      <c r="AA354" s="155"/>
      <c r="AB354" s="105"/>
      <c r="AC354" s="105"/>
      <c r="AD354" s="105"/>
      <c r="AE354" s="105"/>
      <c r="AF354" s="105"/>
      <c r="AG354" s="105"/>
      <c r="AH354" s="105"/>
      <c r="AI354" s="105"/>
      <c r="AJ354" s="105"/>
      <c r="AK354" s="105"/>
      <c r="AL354" s="105"/>
      <c r="AM354" s="105"/>
      <c r="AN354" s="105"/>
      <c r="AO354" s="105"/>
      <c r="AP354" s="105"/>
      <c r="AQ354" s="105"/>
      <c r="AR354" s="105"/>
      <c r="AS354" s="105"/>
      <c r="AT354" s="105"/>
      <c r="AU354" s="105"/>
      <c r="AV354" s="105"/>
      <c r="AW354" s="105"/>
      <c r="AX354" s="105"/>
      <c r="AY354" s="105"/>
      <c r="AZ354" s="105"/>
      <c r="BA354" s="105"/>
      <c r="BB354" s="105"/>
      <c r="BC354" s="105"/>
      <c r="BD354" s="105"/>
      <c r="BE354" s="105"/>
      <c r="BF354" s="105"/>
      <c r="BG354" s="105"/>
      <c r="BH354" s="105"/>
      <c r="BI354" s="105"/>
      <c r="BJ354" s="105"/>
      <c r="BK354" s="105"/>
      <c r="BL354" s="105"/>
      <c r="BM354" s="105"/>
      <c r="BN354" s="105"/>
      <c r="BO354" s="105"/>
      <c r="BP354" s="105"/>
      <c r="BQ354" s="105"/>
      <c r="BR354" s="105"/>
      <c r="BS354" s="105"/>
      <c r="BT354" s="105"/>
      <c r="BU354" s="105"/>
      <c r="BV354" s="105"/>
      <c r="BW354" s="106"/>
      <c r="BX354" s="28"/>
    </row>
    <row r="355" spans="1:76" s="34" customFormat="1" ht="15" hidden="1" customHeight="1" outlineLevel="1" x14ac:dyDescent="0.25">
      <c r="A355" s="392" t="s">
        <v>263</v>
      </c>
      <c r="B355" s="421" t="e">
        <f ca="1">IF(ROUND(AV$319,6),ROUND(AV$319,6),NA())</f>
        <v>#N/A</v>
      </c>
      <c r="C355" s="421" t="e">
        <f ca="1">IF(ROUND(AW$319,6),ROUND(AW$319,6),NA())</f>
        <v>#N/A</v>
      </c>
      <c r="D355" s="421" t="e">
        <f ca="1">IF(ROUND(AX$319,6),ROUND(AX$319,6),NA())</f>
        <v>#N/A</v>
      </c>
      <c r="E355" s="1" t="s">
        <v>284</v>
      </c>
      <c r="H355" s="377"/>
      <c r="I355" s="95"/>
      <c r="J355" s="58"/>
      <c r="K355" s="155"/>
      <c r="L355" s="317"/>
      <c r="M355" s="156"/>
      <c r="N355" s="156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  <c r="Y355" s="106"/>
      <c r="Z355" s="105"/>
      <c r="AA355" s="155"/>
      <c r="AB355" s="105"/>
      <c r="AC355" s="105"/>
      <c r="AD355" s="105"/>
      <c r="AE355" s="105"/>
      <c r="AF355" s="105"/>
      <c r="AG355" s="105"/>
      <c r="AH355" s="105"/>
      <c r="AI355" s="105"/>
      <c r="AJ355" s="105"/>
      <c r="AK355" s="105"/>
      <c r="AL355" s="105"/>
      <c r="AM355" s="105"/>
      <c r="AN355" s="105"/>
      <c r="AO355" s="105"/>
      <c r="AP355" s="105"/>
      <c r="AQ355" s="105"/>
      <c r="AR355" s="105"/>
      <c r="AS355" s="105"/>
      <c r="AT355" s="105"/>
      <c r="AU355" s="105"/>
      <c r="AV355" s="105"/>
      <c r="AW355" s="105"/>
      <c r="AX355" s="105"/>
      <c r="AY355" s="105"/>
      <c r="AZ355" s="105"/>
      <c r="BA355" s="105"/>
      <c r="BB355" s="105"/>
      <c r="BC355" s="105"/>
      <c r="BD355" s="105"/>
      <c r="BE355" s="105"/>
      <c r="BF355" s="105"/>
      <c r="BG355" s="105"/>
      <c r="BH355" s="105"/>
      <c r="BI355" s="105"/>
      <c r="BJ355" s="105"/>
      <c r="BK355" s="105"/>
      <c r="BL355" s="105"/>
      <c r="BM355" s="105"/>
      <c r="BN355" s="105"/>
      <c r="BO355" s="105"/>
      <c r="BP355" s="105"/>
      <c r="BQ355" s="105"/>
      <c r="BR355" s="105"/>
      <c r="BS355" s="105"/>
      <c r="BT355" s="105"/>
      <c r="BU355" s="105"/>
      <c r="BV355" s="105"/>
      <c r="BW355" s="106"/>
      <c r="BX355" s="28"/>
    </row>
    <row r="356" spans="1:76" s="34" customFormat="1" ht="30" hidden="1" customHeight="1" outlineLevel="1" x14ac:dyDescent="0.25">
      <c r="A356" s="392" t="s">
        <v>263</v>
      </c>
      <c r="B356" s="421" t="e">
        <f ca="1">IF(ROUND(AZ$319,6),ROUND(AZ$319,6),NA())</f>
        <v>#N/A</v>
      </c>
      <c r="C356" s="421" t="e">
        <f ca="1">IF(ROUND(BA$319,6),ROUND(BA$319,6),NA())</f>
        <v>#N/A</v>
      </c>
      <c r="D356" s="421" t="e">
        <f ca="1">IF(ROUND(BB$319,6),ROUND(BB$319,6),NA())</f>
        <v>#N/A</v>
      </c>
      <c r="E356" s="1" t="s">
        <v>285</v>
      </c>
      <c r="H356" s="377"/>
      <c r="I356" s="95"/>
      <c r="J356" s="58"/>
      <c r="K356" s="155"/>
      <c r="L356" s="317"/>
      <c r="M356" s="596" t="str">
        <f ca="1">M319</f>
        <v>D2 - Driving efficiency</v>
      </c>
      <c r="N356" s="596"/>
      <c r="O356" s="596"/>
      <c r="P356" s="596"/>
      <c r="Q356" s="596"/>
      <c r="R356" s="596"/>
      <c r="S356" s="596"/>
      <c r="T356" s="596"/>
      <c r="U356" s="105"/>
      <c r="V356" s="105"/>
      <c r="W356" s="105"/>
      <c r="X356" s="105"/>
      <c r="Y356" s="106"/>
      <c r="Z356" s="105"/>
      <c r="AA356" s="155"/>
      <c r="AB356" s="105"/>
      <c r="AC356" s="105"/>
      <c r="AD356" s="105"/>
      <c r="AE356" s="105"/>
      <c r="AF356" s="105"/>
      <c r="AG356" s="105"/>
      <c r="AH356" s="105"/>
      <c r="AI356" s="105"/>
      <c r="AJ356" s="105"/>
      <c r="AK356" s="105"/>
      <c r="AL356" s="105"/>
      <c r="AM356" s="105"/>
      <c r="AN356" s="105"/>
      <c r="AO356" s="105"/>
      <c r="AP356" s="105"/>
      <c r="AQ356" s="105"/>
      <c r="AR356" s="105"/>
      <c r="AS356" s="105"/>
      <c r="AT356" s="105"/>
      <c r="AU356" s="105"/>
      <c r="AV356" s="105"/>
      <c r="AW356" s="105"/>
      <c r="AX356" s="105"/>
      <c r="AY356" s="105"/>
      <c r="AZ356" s="105"/>
      <c r="BA356" s="105"/>
      <c r="BB356" s="105"/>
      <c r="BC356" s="105"/>
      <c r="BD356" s="105"/>
      <c r="BE356" s="105"/>
      <c r="BF356" s="105"/>
      <c r="BG356" s="105"/>
      <c r="BH356" s="105"/>
      <c r="BI356" s="105"/>
      <c r="BJ356" s="105"/>
      <c r="BK356" s="105"/>
      <c r="BL356" s="105"/>
      <c r="BM356" s="105"/>
      <c r="BN356" s="105"/>
      <c r="BO356" s="105"/>
      <c r="BP356" s="105"/>
      <c r="BQ356" s="105"/>
      <c r="BR356" s="105"/>
      <c r="BS356" s="105"/>
      <c r="BT356" s="105"/>
      <c r="BU356" s="105"/>
      <c r="BV356" s="105"/>
      <c r="BW356" s="106"/>
      <c r="BX356" s="28"/>
    </row>
    <row r="357" spans="1:76" s="34" customFormat="1" ht="15" hidden="1" customHeight="1" outlineLevel="1" x14ac:dyDescent="0.25">
      <c r="A357" s="392" t="s">
        <v>42</v>
      </c>
      <c r="B357" s="421" t="e">
        <f ca="1">IF(ROUND(BD$319,6),ROUND(BD$319,6),NA())</f>
        <v>#N/A</v>
      </c>
      <c r="C357" s="421" t="e">
        <f ca="1">IF(ROUND(BE$319,6),ROUND(BE$319,6),NA())</f>
        <v>#N/A</v>
      </c>
      <c r="D357" s="421" t="e">
        <f ca="1">IF(ROUND(BF$319,6),ROUND(BF$319,6),NA())</f>
        <v>#N/A</v>
      </c>
      <c r="E357" s="1" t="s">
        <v>286</v>
      </c>
      <c r="H357" s="377"/>
      <c r="I357" s="95"/>
      <c r="J357" s="58"/>
      <c r="K357" s="155"/>
      <c r="L357" s="317"/>
      <c r="M357" s="156"/>
      <c r="N357" s="156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  <c r="Y357" s="106"/>
      <c r="Z357" s="105"/>
      <c r="AA357" s="155"/>
      <c r="AB357" s="105"/>
      <c r="AC357" s="105"/>
      <c r="AD357" s="105"/>
      <c r="AE357" s="105"/>
      <c r="AF357" s="105"/>
      <c r="AG357" s="105"/>
      <c r="AH357" s="105"/>
      <c r="AI357" s="105"/>
      <c r="AJ357" s="105"/>
      <c r="AK357" s="105"/>
      <c r="AL357" s="105"/>
      <c r="AM357" s="105"/>
      <c r="AN357" s="105"/>
      <c r="AO357" s="105"/>
      <c r="AP357" s="105"/>
      <c r="AQ357" s="105"/>
      <c r="AR357" s="105"/>
      <c r="AS357" s="105"/>
      <c r="AT357" s="105"/>
      <c r="AU357" s="105"/>
      <c r="AV357" s="105"/>
      <c r="AW357" s="105"/>
      <c r="AX357" s="105"/>
      <c r="AY357" s="105"/>
      <c r="AZ357" s="105"/>
      <c r="BA357" s="105"/>
      <c r="BB357" s="105"/>
      <c r="BC357" s="105"/>
      <c r="BD357" s="105"/>
      <c r="BE357" s="105"/>
      <c r="BF357" s="105"/>
      <c r="BG357" s="105"/>
      <c r="BH357" s="105"/>
      <c r="BI357" s="105"/>
      <c r="BJ357" s="105"/>
      <c r="BK357" s="105"/>
      <c r="BL357" s="105"/>
      <c r="BM357" s="105"/>
      <c r="BN357" s="105"/>
      <c r="BO357" s="105"/>
      <c r="BP357" s="105"/>
      <c r="BQ357" s="105"/>
      <c r="BR357" s="105"/>
      <c r="BS357" s="105"/>
      <c r="BT357" s="105"/>
      <c r="BU357" s="105"/>
      <c r="BV357" s="105"/>
      <c r="BW357" s="106"/>
      <c r="BX357" s="28"/>
    </row>
    <row r="358" spans="1:76" s="34" customFormat="1" ht="15" hidden="1" customHeight="1" outlineLevel="1" x14ac:dyDescent="0.25">
      <c r="A358" s="392" t="s">
        <v>264</v>
      </c>
      <c r="B358" s="421" t="e">
        <f ca="1">IF(ROUND(BH$319,6),ROUND(BH$319,6),NA())</f>
        <v>#N/A</v>
      </c>
      <c r="C358" s="421" t="e">
        <f ca="1">IF(ROUND(BI$319,6),ROUND(BI$319,6),NA())</f>
        <v>#N/A</v>
      </c>
      <c r="D358" s="421" t="e">
        <f ca="1">IF(ROUND(BJ$319,6),ROUND(BJ$319,6),NA())</f>
        <v>#N/A</v>
      </c>
      <c r="E358" s="1" t="s">
        <v>287</v>
      </c>
      <c r="H358" s="377"/>
      <c r="I358" s="95"/>
      <c r="J358" s="58"/>
      <c r="K358" s="155"/>
      <c r="L358" s="317"/>
      <c r="M358" s="156"/>
      <c r="N358" s="156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  <c r="Y358" s="106"/>
      <c r="Z358" s="105"/>
      <c r="AA358" s="155"/>
      <c r="AB358" s="105"/>
      <c r="AC358" s="105"/>
      <c r="AD358" s="105"/>
      <c r="AE358" s="105"/>
      <c r="AF358" s="105"/>
      <c r="AG358" s="105"/>
      <c r="AH358" s="105"/>
      <c r="AI358" s="105"/>
      <c r="AJ358" s="105"/>
      <c r="AK358" s="105"/>
      <c r="AL358" s="105"/>
      <c r="AM358" s="105"/>
      <c r="AN358" s="105"/>
      <c r="AO358" s="105"/>
      <c r="AP358" s="105"/>
      <c r="AQ358" s="105"/>
      <c r="AR358" s="105"/>
      <c r="AS358" s="105"/>
      <c r="AT358" s="105"/>
      <c r="AU358" s="105"/>
      <c r="AV358" s="105"/>
      <c r="AW358" s="105"/>
      <c r="AX358" s="105"/>
      <c r="AY358" s="105"/>
      <c r="AZ358" s="105"/>
      <c r="BA358" s="105"/>
      <c r="BB358" s="105"/>
      <c r="BC358" s="105"/>
      <c r="BD358" s="105"/>
      <c r="BE358" s="105"/>
      <c r="BF358" s="105"/>
      <c r="BG358" s="105"/>
      <c r="BH358" s="105"/>
      <c r="BI358" s="105"/>
      <c r="BJ358" s="105"/>
      <c r="BK358" s="105"/>
      <c r="BL358" s="105"/>
      <c r="BM358" s="105"/>
      <c r="BN358" s="105"/>
      <c r="BO358" s="105"/>
      <c r="BP358" s="105"/>
      <c r="BQ358" s="105"/>
      <c r="BR358" s="105"/>
      <c r="BS358" s="105"/>
      <c r="BT358" s="105"/>
      <c r="BU358" s="105"/>
      <c r="BV358" s="105"/>
      <c r="BW358" s="106"/>
      <c r="BX358" s="28"/>
    </row>
    <row r="359" spans="1:76" s="34" customFormat="1" ht="15" hidden="1" customHeight="1" outlineLevel="1" x14ac:dyDescent="0.25">
      <c r="A359" s="392" t="s">
        <v>212</v>
      </c>
      <c r="B359" s="421" t="e">
        <f ca="1">IF(ROUND(BL$319,6),ROUND(BL$319,6),NA())</f>
        <v>#N/A</v>
      </c>
      <c r="C359" s="421" t="e">
        <f ca="1">IF(ROUND(BM$319,6),ROUND(BM$319,6),NA())</f>
        <v>#N/A</v>
      </c>
      <c r="D359" s="421" t="e">
        <f ca="1">IF(ROUND(BN$319,6),ROUND(BN$319,6),NA())</f>
        <v>#N/A</v>
      </c>
      <c r="E359" s="1" t="s">
        <v>288</v>
      </c>
      <c r="H359" s="377"/>
      <c r="I359" s="95"/>
      <c r="J359" s="58"/>
      <c r="K359" s="155"/>
      <c r="L359" s="317"/>
      <c r="M359" s="156"/>
      <c r="N359" s="156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  <c r="Y359" s="106"/>
      <c r="Z359" s="105"/>
      <c r="AA359" s="155"/>
      <c r="AB359" s="105"/>
      <c r="AC359" s="105"/>
      <c r="AD359" s="105"/>
      <c r="AE359" s="105"/>
      <c r="AF359" s="105"/>
      <c r="AG359" s="105"/>
      <c r="AH359" s="105"/>
      <c r="AI359" s="105"/>
      <c r="AJ359" s="105"/>
      <c r="AK359" s="105"/>
      <c r="AL359" s="105"/>
      <c r="AM359" s="105"/>
      <c r="AN359" s="105"/>
      <c r="AO359" s="105"/>
      <c r="AP359" s="105"/>
      <c r="AQ359" s="105"/>
      <c r="AR359" s="105"/>
      <c r="AS359" s="105"/>
      <c r="AT359" s="105"/>
      <c r="AU359" s="105"/>
      <c r="AV359" s="105"/>
      <c r="AW359" s="105"/>
      <c r="AX359" s="105"/>
      <c r="AY359" s="105"/>
      <c r="AZ359" s="105"/>
      <c r="BA359" s="105"/>
      <c r="BB359" s="105"/>
      <c r="BC359" s="105"/>
      <c r="BD359" s="105"/>
      <c r="BE359" s="105"/>
      <c r="BF359" s="105"/>
      <c r="BG359" s="105"/>
      <c r="BH359" s="105"/>
      <c r="BI359" s="105"/>
      <c r="BJ359" s="105"/>
      <c r="BK359" s="105"/>
      <c r="BL359" s="105"/>
      <c r="BM359" s="105"/>
      <c r="BN359" s="105"/>
      <c r="BO359" s="105"/>
      <c r="BP359" s="105"/>
      <c r="BQ359" s="105"/>
      <c r="BR359" s="105"/>
      <c r="BS359" s="105"/>
      <c r="BT359" s="105"/>
      <c r="BU359" s="105"/>
      <c r="BV359" s="105"/>
      <c r="BW359" s="106"/>
      <c r="BX359" s="28"/>
    </row>
    <row r="360" spans="1:76" s="34" customFormat="1" ht="15" hidden="1" customHeight="1" outlineLevel="1" x14ac:dyDescent="0.25">
      <c r="A360" s="392" t="s">
        <v>257</v>
      </c>
      <c r="B360" s="421" t="e">
        <f ca="1">IF(ROUND(BP$319,6),ROUND(BP$319,6),NA())</f>
        <v>#N/A</v>
      </c>
      <c r="C360" s="421" t="e">
        <f ca="1">IF(ROUND(BQ$319,6),ROUND(BQ$319,6),NA())</f>
        <v>#N/A</v>
      </c>
      <c r="D360" s="421" t="e">
        <f ca="1">IF(ROUND(BR$319,6),ROUND(BR$319,6),NA())</f>
        <v>#N/A</v>
      </c>
      <c r="E360" s="1" t="s">
        <v>289</v>
      </c>
      <c r="H360" s="377"/>
      <c r="I360" s="95"/>
      <c r="J360" s="58"/>
      <c r="K360" s="155"/>
      <c r="L360" s="317"/>
      <c r="M360" s="156"/>
      <c r="N360" s="156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  <c r="Y360" s="106"/>
      <c r="Z360" s="105"/>
      <c r="AA360" s="155"/>
      <c r="AB360" s="105"/>
      <c r="AC360" s="105"/>
      <c r="AD360" s="105"/>
      <c r="AE360" s="105"/>
      <c r="AF360" s="105"/>
      <c r="AG360" s="105"/>
      <c r="AH360" s="105"/>
      <c r="AI360" s="105"/>
      <c r="AJ360" s="105"/>
      <c r="AK360" s="105"/>
      <c r="AL360" s="105"/>
      <c r="AM360" s="105"/>
      <c r="AN360" s="105"/>
      <c r="AO360" s="105"/>
      <c r="AP360" s="105"/>
      <c r="AQ360" s="105"/>
      <c r="AR360" s="105"/>
      <c r="AS360" s="105"/>
      <c r="AT360" s="105"/>
      <c r="AU360" s="105"/>
      <c r="AV360" s="105"/>
      <c r="AW360" s="105"/>
      <c r="AX360" s="105"/>
      <c r="AY360" s="105"/>
      <c r="AZ360" s="105"/>
      <c r="BA360" s="105"/>
      <c r="BB360" s="105"/>
      <c r="BC360" s="105"/>
      <c r="BD360" s="105"/>
      <c r="BE360" s="105"/>
      <c r="BF360" s="105"/>
      <c r="BG360" s="105"/>
      <c r="BH360" s="105"/>
      <c r="BI360" s="105"/>
      <c r="BJ360" s="105"/>
      <c r="BK360" s="105"/>
      <c r="BL360" s="105"/>
      <c r="BM360" s="105"/>
      <c r="BN360" s="105"/>
      <c r="BO360" s="105"/>
      <c r="BP360" s="105"/>
      <c r="BQ360" s="105"/>
      <c r="BR360" s="105"/>
      <c r="BS360" s="105"/>
      <c r="BT360" s="105"/>
      <c r="BU360" s="105"/>
      <c r="BV360" s="105"/>
      <c r="BW360" s="106"/>
      <c r="BX360" s="28"/>
    </row>
    <row r="361" spans="1:76" s="34" customFormat="1" ht="15" hidden="1" customHeight="1" outlineLevel="1" x14ac:dyDescent="0.25">
      <c r="A361" s="392" t="s">
        <v>216</v>
      </c>
      <c r="B361" s="421" t="e">
        <f ca="1">IF(ROUND(BT$319,6),ROUND(BT$319,6),NA())</f>
        <v>#N/A</v>
      </c>
      <c r="C361" s="421" t="e">
        <f ca="1">IF(ROUND(BU$319,6),ROUND(BU$319,6),NA())</f>
        <v>#N/A</v>
      </c>
      <c r="D361" s="421" t="e">
        <f ca="1">IF(ROUND(BV$319,6),ROUND(BV$319,6),NA())</f>
        <v>#N/A</v>
      </c>
      <c r="E361" s="1" t="s">
        <v>290</v>
      </c>
      <c r="H361" s="377"/>
      <c r="I361" s="95"/>
      <c r="J361" s="58"/>
      <c r="K361" s="155"/>
      <c r="L361" s="317"/>
      <c r="M361" s="156"/>
      <c r="N361" s="156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  <c r="Y361" s="106"/>
      <c r="Z361" s="105"/>
      <c r="AA361" s="155"/>
      <c r="AB361" s="105"/>
      <c r="AC361" s="105"/>
      <c r="AD361" s="105"/>
      <c r="AE361" s="105"/>
      <c r="AF361" s="105"/>
      <c r="AG361" s="105"/>
      <c r="AH361" s="105"/>
      <c r="AI361" s="105"/>
      <c r="AJ361" s="105"/>
      <c r="AK361" s="105"/>
      <c r="AL361" s="105"/>
      <c r="AM361" s="105"/>
      <c r="AN361" s="105"/>
      <c r="AO361" s="105"/>
      <c r="AP361" s="105"/>
      <c r="AQ361" s="105"/>
      <c r="AR361" s="105"/>
      <c r="AS361" s="105"/>
      <c r="AT361" s="105"/>
      <c r="AU361" s="105"/>
      <c r="AV361" s="105"/>
      <c r="AW361" s="105"/>
      <c r="AX361" s="105"/>
      <c r="AY361" s="105"/>
      <c r="AZ361" s="105"/>
      <c r="BA361" s="105"/>
      <c r="BB361" s="105"/>
      <c r="BC361" s="105"/>
      <c r="BD361" s="105"/>
      <c r="BE361" s="105"/>
      <c r="BF361" s="105"/>
      <c r="BG361" s="105"/>
      <c r="BH361" s="105"/>
      <c r="BI361" s="105"/>
      <c r="BJ361" s="105"/>
      <c r="BK361" s="105"/>
      <c r="BL361" s="105"/>
      <c r="BM361" s="105"/>
      <c r="BN361" s="105"/>
      <c r="BO361" s="105"/>
      <c r="BP361" s="105"/>
      <c r="BQ361" s="105"/>
      <c r="BR361" s="105"/>
      <c r="BS361" s="105"/>
      <c r="BT361" s="105"/>
      <c r="BU361" s="105"/>
      <c r="BV361" s="105"/>
      <c r="BW361" s="106"/>
      <c r="BX361" s="28"/>
    </row>
    <row r="362" spans="1:76" s="34" customFormat="1" ht="16.5" hidden="1" customHeight="1" outlineLevel="1" x14ac:dyDescent="0.25">
      <c r="A362" s="57"/>
      <c r="B362" s="377"/>
      <c r="C362" s="9"/>
      <c r="D362" s="1"/>
      <c r="E362" s="1"/>
      <c r="H362" s="377"/>
      <c r="I362" s="95"/>
      <c r="J362" s="58"/>
      <c r="K362" s="155"/>
      <c r="L362" s="317"/>
      <c r="M362" s="156"/>
      <c r="N362" s="156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  <c r="Y362" s="106"/>
      <c r="Z362" s="105"/>
      <c r="AA362" s="155"/>
      <c r="AB362" s="105"/>
      <c r="AC362" s="105"/>
      <c r="AD362" s="105"/>
      <c r="AE362" s="105"/>
      <c r="AF362" s="105"/>
      <c r="AG362" s="105"/>
      <c r="AH362" s="105"/>
      <c r="AI362" s="105"/>
      <c r="AJ362" s="105"/>
      <c r="AK362" s="105"/>
      <c r="AL362" s="105"/>
      <c r="AM362" s="105"/>
      <c r="AN362" s="105"/>
      <c r="AO362" s="105"/>
      <c r="AP362" s="105"/>
      <c r="AQ362" s="105"/>
      <c r="AR362" s="105"/>
      <c r="AS362" s="105"/>
      <c r="AT362" s="105"/>
      <c r="AU362" s="105"/>
      <c r="AV362" s="105"/>
      <c r="AW362" s="105"/>
      <c r="AX362" s="105"/>
      <c r="AY362" s="105"/>
      <c r="AZ362" s="105"/>
      <c r="BA362" s="105"/>
      <c r="BB362" s="105"/>
      <c r="BC362" s="105"/>
      <c r="BD362" s="105"/>
      <c r="BE362" s="105"/>
      <c r="BF362" s="105"/>
      <c r="BG362" s="105"/>
      <c r="BH362" s="105"/>
      <c r="BI362" s="105"/>
      <c r="BJ362" s="105"/>
      <c r="BK362" s="105"/>
      <c r="BL362" s="105"/>
      <c r="BM362" s="105"/>
      <c r="BN362" s="105"/>
      <c r="BO362" s="105"/>
      <c r="BP362" s="105"/>
      <c r="BQ362" s="105"/>
      <c r="BR362" s="105"/>
      <c r="BS362" s="105"/>
      <c r="BT362" s="105"/>
      <c r="BU362" s="105"/>
      <c r="BV362" s="105"/>
      <c r="BW362" s="106"/>
      <c r="BX362" s="28"/>
    </row>
    <row r="363" spans="1:76" s="34" customFormat="1" ht="16.5" hidden="1" customHeight="1" outlineLevel="1" x14ac:dyDescent="0.25">
      <c r="A363" s="57"/>
      <c r="B363" s="377"/>
      <c r="C363" s="9"/>
      <c r="D363" s="1"/>
      <c r="E363" s="1"/>
      <c r="H363" s="377"/>
      <c r="I363" s="95"/>
      <c r="J363" s="58"/>
      <c r="K363" s="155"/>
      <c r="L363" s="317"/>
      <c r="M363" s="156"/>
      <c r="N363" s="156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  <c r="Y363" s="106"/>
      <c r="Z363" s="105"/>
      <c r="AA363" s="155"/>
      <c r="AB363" s="105"/>
      <c r="AC363" s="105"/>
      <c r="AD363" s="105"/>
      <c r="AE363" s="105"/>
      <c r="AF363" s="105"/>
      <c r="AG363" s="105"/>
      <c r="AH363" s="105"/>
      <c r="AI363" s="105"/>
      <c r="AJ363" s="105"/>
      <c r="AK363" s="105"/>
      <c r="AL363" s="105"/>
      <c r="AM363" s="105"/>
      <c r="AN363" s="105"/>
      <c r="AO363" s="105"/>
      <c r="AP363" s="105"/>
      <c r="AQ363" s="105"/>
      <c r="AR363" s="105"/>
      <c r="AS363" s="105"/>
      <c r="AT363" s="105"/>
      <c r="AU363" s="105"/>
      <c r="AV363" s="105"/>
      <c r="AW363" s="105"/>
      <c r="AX363" s="105"/>
      <c r="AY363" s="105"/>
      <c r="AZ363" s="105"/>
      <c r="BA363" s="105"/>
      <c r="BB363" s="105"/>
      <c r="BC363" s="105"/>
      <c r="BD363" s="105"/>
      <c r="BE363" s="105"/>
      <c r="BF363" s="105"/>
      <c r="BG363" s="105"/>
      <c r="BH363" s="105"/>
      <c r="BI363" s="105"/>
      <c r="BJ363" s="105"/>
      <c r="BK363" s="105"/>
      <c r="BL363" s="105"/>
      <c r="BM363" s="105"/>
      <c r="BN363" s="105"/>
      <c r="BO363" s="105"/>
      <c r="BP363" s="105"/>
      <c r="BQ363" s="105"/>
      <c r="BR363" s="105"/>
      <c r="BS363" s="105"/>
      <c r="BT363" s="105"/>
      <c r="BU363" s="105"/>
      <c r="BV363" s="105"/>
      <c r="BW363" s="106"/>
      <c r="BX363" s="28"/>
    </row>
    <row r="364" spans="1:76" s="34" customFormat="1" ht="16.5" hidden="1" customHeight="1" outlineLevel="1" x14ac:dyDescent="0.25">
      <c r="A364" s="57"/>
      <c r="B364" s="377"/>
      <c r="C364" s="9"/>
      <c r="D364" s="1"/>
      <c r="E364" s="1"/>
      <c r="H364" s="377"/>
      <c r="I364" s="95"/>
      <c r="J364" s="58"/>
      <c r="K364" s="155"/>
      <c r="L364" s="317"/>
      <c r="M364" s="156"/>
      <c r="N364" s="156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  <c r="Y364" s="106"/>
      <c r="Z364" s="105"/>
      <c r="AA364" s="155"/>
      <c r="AB364" s="105"/>
      <c r="AC364" s="105"/>
      <c r="AD364" s="105"/>
      <c r="AE364" s="105"/>
      <c r="AF364" s="105"/>
      <c r="AG364" s="105"/>
      <c r="AH364" s="105"/>
      <c r="AI364" s="105"/>
      <c r="AJ364" s="105"/>
      <c r="AK364" s="105"/>
      <c r="AL364" s="105"/>
      <c r="AM364" s="105"/>
      <c r="AN364" s="105"/>
      <c r="AO364" s="105"/>
      <c r="AP364" s="105"/>
      <c r="AQ364" s="105"/>
      <c r="AR364" s="105"/>
      <c r="AS364" s="105"/>
      <c r="AT364" s="105"/>
      <c r="AU364" s="105"/>
      <c r="AV364" s="105"/>
      <c r="AW364" s="105"/>
      <c r="AX364" s="105"/>
      <c r="AY364" s="105"/>
      <c r="AZ364" s="105"/>
      <c r="BA364" s="105"/>
      <c r="BB364" s="105"/>
      <c r="BC364" s="105"/>
      <c r="BD364" s="105"/>
      <c r="BE364" s="105"/>
      <c r="BF364" s="105"/>
      <c r="BG364" s="105"/>
      <c r="BH364" s="105"/>
      <c r="BI364" s="105"/>
      <c r="BJ364" s="105"/>
      <c r="BK364" s="105"/>
      <c r="BL364" s="105"/>
      <c r="BM364" s="105"/>
      <c r="BN364" s="105"/>
      <c r="BO364" s="105"/>
      <c r="BP364" s="105"/>
      <c r="BQ364" s="105"/>
      <c r="BR364" s="105"/>
      <c r="BS364" s="105"/>
      <c r="BT364" s="105"/>
      <c r="BU364" s="105"/>
      <c r="BV364" s="105"/>
      <c r="BW364" s="106"/>
      <c r="BX364" s="28"/>
    </row>
    <row r="365" spans="1:76" s="34" customFormat="1" ht="16.5" hidden="1" customHeight="1" outlineLevel="1" x14ac:dyDescent="0.25">
      <c r="A365" s="57"/>
      <c r="B365" s="377"/>
      <c r="C365" s="9"/>
      <c r="D365" s="1"/>
      <c r="E365" s="1"/>
      <c r="H365" s="377"/>
      <c r="I365" s="95"/>
      <c r="J365" s="58"/>
      <c r="K365" s="155"/>
      <c r="L365" s="317"/>
      <c r="M365" s="156"/>
      <c r="N365" s="156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  <c r="Y365" s="106"/>
      <c r="Z365" s="105"/>
      <c r="AA365" s="155"/>
      <c r="AB365" s="105"/>
      <c r="AC365" s="105"/>
      <c r="AD365" s="105"/>
      <c r="AE365" s="105"/>
      <c r="AF365" s="105"/>
      <c r="AG365" s="105"/>
      <c r="AH365" s="105"/>
      <c r="AI365" s="105"/>
      <c r="AJ365" s="105"/>
      <c r="AK365" s="105"/>
      <c r="AL365" s="105"/>
      <c r="AM365" s="105"/>
      <c r="AN365" s="105"/>
      <c r="AO365" s="105"/>
      <c r="AP365" s="105"/>
      <c r="AQ365" s="105"/>
      <c r="AR365" s="105"/>
      <c r="AS365" s="105"/>
      <c r="AT365" s="105"/>
      <c r="AU365" s="105"/>
      <c r="AV365" s="105"/>
      <c r="AW365" s="105"/>
      <c r="AX365" s="105"/>
      <c r="AY365" s="105"/>
      <c r="AZ365" s="105"/>
      <c r="BA365" s="105"/>
      <c r="BB365" s="105"/>
      <c r="BC365" s="105"/>
      <c r="BD365" s="105"/>
      <c r="BE365" s="105"/>
      <c r="BF365" s="105"/>
      <c r="BG365" s="105"/>
      <c r="BH365" s="105"/>
      <c r="BI365" s="105"/>
      <c r="BJ365" s="105"/>
      <c r="BK365" s="105"/>
      <c r="BL365" s="105"/>
      <c r="BM365" s="105"/>
      <c r="BN365" s="105"/>
      <c r="BO365" s="105"/>
      <c r="BP365" s="105"/>
      <c r="BQ365" s="105"/>
      <c r="BR365" s="105"/>
      <c r="BS365" s="105"/>
      <c r="BT365" s="105"/>
      <c r="BU365" s="105"/>
      <c r="BV365" s="105"/>
      <c r="BW365" s="106"/>
      <c r="BX365" s="28"/>
    </row>
    <row r="366" spans="1:76" s="34" customFormat="1" ht="16.5" hidden="1" customHeight="1" outlineLevel="1" x14ac:dyDescent="0.25">
      <c r="A366" s="57"/>
      <c r="B366" s="377"/>
      <c r="C366" s="9"/>
      <c r="D366" s="1"/>
      <c r="E366" s="1"/>
      <c r="H366" s="377"/>
      <c r="I366" s="95"/>
      <c r="J366" s="58"/>
      <c r="K366" s="155"/>
      <c r="L366" s="317"/>
      <c r="M366" s="156"/>
      <c r="N366" s="156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  <c r="Y366" s="106"/>
      <c r="Z366" s="105"/>
      <c r="AA366" s="155"/>
      <c r="AB366" s="105"/>
      <c r="AC366" s="105"/>
      <c r="AD366" s="105"/>
      <c r="AE366" s="105"/>
      <c r="AF366" s="105"/>
      <c r="AG366" s="105"/>
      <c r="AH366" s="105"/>
      <c r="AI366" s="105"/>
      <c r="AJ366" s="105"/>
      <c r="AK366" s="105"/>
      <c r="AL366" s="105"/>
      <c r="AM366" s="105"/>
      <c r="AN366" s="105"/>
      <c r="AO366" s="105"/>
      <c r="AP366" s="105"/>
      <c r="AQ366" s="105"/>
      <c r="AR366" s="105"/>
      <c r="AS366" s="105"/>
      <c r="AT366" s="105"/>
      <c r="AU366" s="105"/>
      <c r="AV366" s="105"/>
      <c r="AW366" s="105"/>
      <c r="AX366" s="105"/>
      <c r="AY366" s="105"/>
      <c r="AZ366" s="105"/>
      <c r="BA366" s="105"/>
      <c r="BB366" s="105"/>
      <c r="BC366" s="105"/>
      <c r="BD366" s="105"/>
      <c r="BE366" s="105"/>
      <c r="BF366" s="105"/>
      <c r="BG366" s="105"/>
      <c r="BH366" s="105"/>
      <c r="BI366" s="105"/>
      <c r="BJ366" s="105"/>
      <c r="BK366" s="105"/>
      <c r="BL366" s="105"/>
      <c r="BM366" s="105"/>
      <c r="BN366" s="105"/>
      <c r="BO366" s="105"/>
      <c r="BP366" s="105"/>
      <c r="BQ366" s="105"/>
      <c r="BR366" s="105"/>
      <c r="BS366" s="105"/>
      <c r="BT366" s="105"/>
      <c r="BU366" s="105"/>
      <c r="BV366" s="105"/>
      <c r="BW366" s="106"/>
      <c r="BX366" s="28"/>
    </row>
    <row r="367" spans="1:76" s="34" customFormat="1" ht="16.5" hidden="1" customHeight="1" outlineLevel="1" x14ac:dyDescent="0.25">
      <c r="A367" s="57"/>
      <c r="B367" s="377"/>
      <c r="C367" s="9"/>
      <c r="D367" s="1"/>
      <c r="E367" s="1"/>
      <c r="H367" s="377"/>
      <c r="I367" s="95"/>
      <c r="J367" s="58"/>
      <c r="K367" s="155"/>
      <c r="L367" s="317"/>
      <c r="M367" s="156"/>
      <c r="N367" s="156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  <c r="Y367" s="106"/>
      <c r="Z367" s="105"/>
      <c r="AA367" s="155"/>
      <c r="AB367" s="105"/>
      <c r="AC367" s="105"/>
      <c r="AD367" s="105"/>
      <c r="AE367" s="105"/>
      <c r="AF367" s="105"/>
      <c r="AG367" s="105"/>
      <c r="AH367" s="105"/>
      <c r="AI367" s="105"/>
      <c r="AJ367" s="105"/>
      <c r="AK367" s="105"/>
      <c r="AL367" s="105"/>
      <c r="AM367" s="105"/>
      <c r="AN367" s="105"/>
      <c r="AO367" s="105"/>
      <c r="AP367" s="105"/>
      <c r="AQ367" s="105"/>
      <c r="AR367" s="105"/>
      <c r="AS367" s="105"/>
      <c r="AT367" s="105"/>
      <c r="AU367" s="105"/>
      <c r="AV367" s="105"/>
      <c r="AW367" s="105"/>
      <c r="AX367" s="105"/>
      <c r="AY367" s="105"/>
      <c r="AZ367" s="105"/>
      <c r="BA367" s="105"/>
      <c r="BB367" s="105"/>
      <c r="BC367" s="105"/>
      <c r="BD367" s="105"/>
      <c r="BE367" s="105"/>
      <c r="BF367" s="105"/>
      <c r="BG367" s="105"/>
      <c r="BH367" s="105"/>
      <c r="BI367" s="105"/>
      <c r="BJ367" s="105"/>
      <c r="BK367" s="105"/>
      <c r="BL367" s="105"/>
      <c r="BM367" s="105"/>
      <c r="BN367" s="105"/>
      <c r="BO367" s="105"/>
      <c r="BP367" s="105"/>
      <c r="BQ367" s="105"/>
      <c r="BR367" s="105"/>
      <c r="BS367" s="105"/>
      <c r="BT367" s="105"/>
      <c r="BU367" s="105"/>
      <c r="BV367" s="105"/>
      <c r="BW367" s="106"/>
      <c r="BX367" s="28"/>
    </row>
    <row r="368" spans="1:76" s="34" customFormat="1" ht="16.5" hidden="1" customHeight="1" outlineLevel="1" x14ac:dyDescent="0.25">
      <c r="A368" s="57"/>
      <c r="B368" s="377"/>
      <c r="C368" s="9"/>
      <c r="D368" s="1"/>
      <c r="E368" s="1"/>
      <c r="H368" s="377"/>
      <c r="I368" s="95"/>
      <c r="J368" s="58"/>
      <c r="K368" s="155"/>
      <c r="L368" s="317"/>
      <c r="M368" s="156"/>
      <c r="N368" s="156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  <c r="Y368" s="106"/>
      <c r="Z368" s="105"/>
      <c r="AA368" s="155"/>
      <c r="AB368" s="105"/>
      <c r="AC368" s="105"/>
      <c r="AD368" s="105"/>
      <c r="AE368" s="105"/>
      <c r="AF368" s="105"/>
      <c r="AG368" s="105"/>
      <c r="AH368" s="105"/>
      <c r="AI368" s="105"/>
      <c r="AJ368" s="105"/>
      <c r="AK368" s="105"/>
      <c r="AL368" s="105"/>
      <c r="AM368" s="105"/>
      <c r="AN368" s="105"/>
      <c r="AO368" s="105"/>
      <c r="AP368" s="105"/>
      <c r="AQ368" s="105"/>
      <c r="AR368" s="105"/>
      <c r="AS368" s="105"/>
      <c r="AT368" s="105"/>
      <c r="AU368" s="105"/>
      <c r="AV368" s="105"/>
      <c r="AW368" s="105"/>
      <c r="AX368" s="105"/>
      <c r="AY368" s="105"/>
      <c r="AZ368" s="105"/>
      <c r="BA368" s="105"/>
      <c r="BB368" s="105"/>
      <c r="BC368" s="105"/>
      <c r="BD368" s="105"/>
      <c r="BE368" s="105"/>
      <c r="BF368" s="105"/>
      <c r="BG368" s="105"/>
      <c r="BH368" s="105"/>
      <c r="BI368" s="105"/>
      <c r="BJ368" s="105"/>
      <c r="BK368" s="105"/>
      <c r="BL368" s="105"/>
      <c r="BM368" s="105"/>
      <c r="BN368" s="105"/>
      <c r="BO368" s="105"/>
      <c r="BP368" s="105"/>
      <c r="BQ368" s="105"/>
      <c r="BR368" s="105"/>
      <c r="BS368" s="105"/>
      <c r="BT368" s="105"/>
      <c r="BU368" s="105"/>
      <c r="BV368" s="105"/>
      <c r="BW368" s="106"/>
      <c r="BX368" s="28"/>
    </row>
    <row r="369" spans="1:78" s="34" customFormat="1" ht="16.5" hidden="1" customHeight="1" outlineLevel="1" x14ac:dyDescent="0.25">
      <c r="A369" s="57"/>
      <c r="B369" s="377"/>
      <c r="C369" s="9"/>
      <c r="D369" s="1"/>
      <c r="E369" s="1"/>
      <c r="H369" s="377"/>
      <c r="I369" s="95"/>
      <c r="J369" s="58"/>
      <c r="K369" s="155"/>
      <c r="L369" s="317"/>
      <c r="M369" s="156"/>
      <c r="N369" s="156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6"/>
      <c r="Z369" s="105"/>
      <c r="AA369" s="155"/>
      <c r="AB369" s="105"/>
      <c r="AC369" s="105"/>
      <c r="AD369" s="105"/>
      <c r="AE369" s="105"/>
      <c r="AF369" s="105"/>
      <c r="AG369" s="105"/>
      <c r="AH369" s="105"/>
      <c r="AI369" s="105"/>
      <c r="AJ369" s="105"/>
      <c r="AK369" s="105"/>
      <c r="AL369" s="105"/>
      <c r="AM369" s="105"/>
      <c r="AN369" s="105"/>
      <c r="AO369" s="105"/>
      <c r="AP369" s="105"/>
      <c r="AQ369" s="105"/>
      <c r="AR369" s="105"/>
      <c r="AS369" s="105"/>
      <c r="AT369" s="105"/>
      <c r="AU369" s="105"/>
      <c r="AV369" s="105"/>
      <c r="AW369" s="105"/>
      <c r="AX369" s="105"/>
      <c r="AY369" s="105"/>
      <c r="AZ369" s="105"/>
      <c r="BA369" s="105"/>
      <c r="BB369" s="105"/>
      <c r="BC369" s="105"/>
      <c r="BD369" s="105"/>
      <c r="BE369" s="105"/>
      <c r="BF369" s="105"/>
      <c r="BG369" s="105"/>
      <c r="BH369" s="105"/>
      <c r="BI369" s="105"/>
      <c r="BJ369" s="105"/>
      <c r="BK369" s="105"/>
      <c r="BL369" s="105"/>
      <c r="BM369" s="105"/>
      <c r="BN369" s="105"/>
      <c r="BO369" s="105"/>
      <c r="BP369" s="105"/>
      <c r="BQ369" s="105"/>
      <c r="BR369" s="105"/>
      <c r="BS369" s="105"/>
      <c r="BT369" s="105"/>
      <c r="BU369" s="105"/>
      <c r="BV369" s="105"/>
      <c r="BW369" s="106"/>
      <c r="BX369" s="28"/>
    </row>
    <row r="370" spans="1:78" s="34" customFormat="1" ht="16.5" hidden="1" customHeight="1" outlineLevel="1" x14ac:dyDescent="0.25">
      <c r="A370" s="57"/>
      <c r="B370" s="377"/>
      <c r="C370" s="9"/>
      <c r="D370" s="1"/>
      <c r="E370" s="1"/>
      <c r="H370" s="377"/>
      <c r="I370" s="95"/>
      <c r="J370" s="58"/>
      <c r="K370" s="155"/>
      <c r="L370" s="317"/>
      <c r="M370" s="156"/>
      <c r="N370" s="156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  <c r="Y370" s="106"/>
      <c r="Z370" s="105"/>
      <c r="AA370" s="155"/>
      <c r="AB370" s="105"/>
      <c r="AC370" s="105"/>
      <c r="AD370" s="105"/>
      <c r="AE370" s="105"/>
      <c r="AF370" s="105"/>
      <c r="AG370" s="105"/>
      <c r="AH370" s="105"/>
      <c r="AI370" s="105"/>
      <c r="AJ370" s="105"/>
      <c r="AK370" s="105"/>
      <c r="AL370" s="105"/>
      <c r="AM370" s="105"/>
      <c r="AN370" s="105"/>
      <c r="AO370" s="105"/>
      <c r="AP370" s="105"/>
      <c r="AQ370" s="105"/>
      <c r="AR370" s="105"/>
      <c r="AS370" s="105"/>
      <c r="AT370" s="105"/>
      <c r="AU370" s="105"/>
      <c r="AV370" s="105"/>
      <c r="AW370" s="105"/>
      <c r="AX370" s="105"/>
      <c r="AY370" s="105"/>
      <c r="AZ370" s="105"/>
      <c r="BA370" s="105"/>
      <c r="BB370" s="105"/>
      <c r="BC370" s="105"/>
      <c r="BD370" s="105"/>
      <c r="BE370" s="105"/>
      <c r="BF370" s="105"/>
      <c r="BG370" s="105"/>
      <c r="BH370" s="105"/>
      <c r="BI370" s="105"/>
      <c r="BJ370" s="105"/>
      <c r="BK370" s="105"/>
      <c r="BL370" s="105"/>
      <c r="BM370" s="105"/>
      <c r="BN370" s="105"/>
      <c r="BO370" s="105"/>
      <c r="BP370" s="105"/>
      <c r="BQ370" s="105"/>
      <c r="BR370" s="105"/>
      <c r="BS370" s="105"/>
      <c r="BT370" s="105"/>
      <c r="BU370" s="105"/>
      <c r="BV370" s="105"/>
      <c r="BW370" s="106"/>
      <c r="BX370" s="28"/>
    </row>
    <row r="371" spans="1:78" s="34" customFormat="1" ht="16.5" hidden="1" customHeight="1" outlineLevel="1" x14ac:dyDescent="0.25">
      <c r="A371" s="57"/>
      <c r="B371" s="377"/>
      <c r="C371" s="9"/>
      <c r="D371" s="1"/>
      <c r="E371" s="1"/>
      <c r="H371" s="377"/>
      <c r="I371" s="95"/>
      <c r="J371" s="58"/>
      <c r="K371" s="155"/>
      <c r="L371" s="317"/>
      <c r="M371" s="156"/>
      <c r="N371" s="156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  <c r="Y371" s="106"/>
      <c r="Z371" s="105"/>
      <c r="AA371" s="155"/>
      <c r="AB371" s="105"/>
      <c r="AC371" s="105"/>
      <c r="AD371" s="105"/>
      <c r="AE371" s="105"/>
      <c r="AF371" s="105"/>
      <c r="AG371" s="105"/>
      <c r="AH371" s="105"/>
      <c r="AI371" s="105"/>
      <c r="AJ371" s="105"/>
      <c r="AK371" s="105"/>
      <c r="AL371" s="105"/>
      <c r="AM371" s="105"/>
      <c r="AN371" s="105"/>
      <c r="AO371" s="105"/>
      <c r="AP371" s="105"/>
      <c r="AQ371" s="105"/>
      <c r="AR371" s="105"/>
      <c r="AS371" s="105"/>
      <c r="AT371" s="105"/>
      <c r="AU371" s="105"/>
      <c r="AV371" s="105"/>
      <c r="AW371" s="105"/>
      <c r="AX371" s="105"/>
      <c r="AY371" s="105"/>
      <c r="AZ371" s="105"/>
      <c r="BA371" s="105"/>
      <c r="BB371" s="105"/>
      <c r="BC371" s="105"/>
      <c r="BD371" s="105"/>
      <c r="BE371" s="105"/>
      <c r="BF371" s="105"/>
      <c r="BG371" s="105"/>
      <c r="BH371" s="105"/>
      <c r="BI371" s="105"/>
      <c r="BJ371" s="105"/>
      <c r="BK371" s="105"/>
      <c r="BL371" s="105"/>
      <c r="BM371" s="105"/>
      <c r="BN371" s="105"/>
      <c r="BO371" s="105"/>
      <c r="BP371" s="105"/>
      <c r="BQ371" s="105"/>
      <c r="BR371" s="105"/>
      <c r="BS371" s="105"/>
      <c r="BT371" s="105"/>
      <c r="BU371" s="105"/>
      <c r="BV371" s="105"/>
      <c r="BW371" s="106"/>
      <c r="BX371" s="28"/>
    </row>
    <row r="372" spans="1:78" s="34" customFormat="1" ht="16.5" hidden="1" customHeight="1" outlineLevel="1" x14ac:dyDescent="0.25">
      <c r="A372" s="57"/>
      <c r="B372" s="377"/>
      <c r="C372" s="9"/>
      <c r="D372" s="1"/>
      <c r="E372" s="1"/>
      <c r="H372" s="377"/>
      <c r="I372" s="95"/>
      <c r="J372" s="58"/>
      <c r="K372" s="155"/>
      <c r="L372" s="317"/>
      <c r="M372" s="156"/>
      <c r="N372" s="156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  <c r="Y372" s="106"/>
      <c r="Z372" s="105"/>
      <c r="AA372" s="155"/>
      <c r="AB372" s="105"/>
      <c r="AC372" s="105"/>
      <c r="AD372" s="105"/>
      <c r="AE372" s="105"/>
      <c r="AF372" s="105"/>
      <c r="AG372" s="105"/>
      <c r="AH372" s="105"/>
      <c r="AI372" s="105"/>
      <c r="AJ372" s="105"/>
      <c r="AK372" s="105"/>
      <c r="AL372" s="105"/>
      <c r="AM372" s="105"/>
      <c r="AN372" s="105"/>
      <c r="AO372" s="105"/>
      <c r="AP372" s="105"/>
      <c r="AQ372" s="105"/>
      <c r="AR372" s="105"/>
      <c r="AS372" s="105"/>
      <c r="AT372" s="105"/>
      <c r="AU372" s="105"/>
      <c r="AV372" s="105"/>
      <c r="AW372" s="105"/>
      <c r="AX372" s="105"/>
      <c r="AY372" s="105"/>
      <c r="AZ372" s="105"/>
      <c r="BA372" s="105"/>
      <c r="BB372" s="105"/>
      <c r="BC372" s="105"/>
      <c r="BD372" s="105"/>
      <c r="BE372" s="105"/>
      <c r="BF372" s="105"/>
      <c r="BG372" s="105"/>
      <c r="BH372" s="105"/>
      <c r="BI372" s="105"/>
      <c r="BJ372" s="105"/>
      <c r="BK372" s="105"/>
      <c r="BL372" s="105"/>
      <c r="BM372" s="105"/>
      <c r="BN372" s="105"/>
      <c r="BO372" s="105"/>
      <c r="BP372" s="105"/>
      <c r="BQ372" s="105"/>
      <c r="BR372" s="105"/>
      <c r="BS372" s="105"/>
      <c r="BT372" s="105"/>
      <c r="BU372" s="105"/>
      <c r="BV372" s="105"/>
      <c r="BW372" s="106"/>
      <c r="BX372" s="28"/>
    </row>
    <row r="373" spans="1:78" s="34" customFormat="1" ht="16.5" hidden="1" customHeight="1" outlineLevel="1" x14ac:dyDescent="0.25">
      <c r="A373" s="57"/>
      <c r="B373" s="377"/>
      <c r="C373" s="9"/>
      <c r="D373" s="1"/>
      <c r="E373" s="1"/>
      <c r="H373" s="377"/>
      <c r="I373" s="95"/>
      <c r="J373" s="58"/>
      <c r="K373" s="155"/>
      <c r="L373" s="317"/>
      <c r="M373" s="156"/>
      <c r="N373" s="156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  <c r="Y373" s="106"/>
      <c r="Z373" s="105"/>
      <c r="AA373" s="155"/>
      <c r="AB373" s="105"/>
      <c r="AC373" s="105"/>
      <c r="AD373" s="105"/>
      <c r="AE373" s="105"/>
      <c r="AF373" s="105"/>
      <c r="AG373" s="105"/>
      <c r="AH373" s="105"/>
      <c r="AI373" s="105"/>
      <c r="AJ373" s="105"/>
      <c r="AK373" s="105"/>
      <c r="AL373" s="105"/>
      <c r="AM373" s="105"/>
      <c r="AN373" s="105"/>
      <c r="AO373" s="105"/>
      <c r="AP373" s="105"/>
      <c r="AQ373" s="105"/>
      <c r="AR373" s="105"/>
      <c r="AS373" s="105"/>
      <c r="AT373" s="105"/>
      <c r="AU373" s="105"/>
      <c r="AV373" s="105"/>
      <c r="AW373" s="105"/>
      <c r="AX373" s="105"/>
      <c r="AY373" s="105"/>
      <c r="AZ373" s="105"/>
      <c r="BA373" s="105"/>
      <c r="BB373" s="105"/>
      <c r="BC373" s="105"/>
      <c r="BD373" s="105"/>
      <c r="BE373" s="105"/>
      <c r="BF373" s="105"/>
      <c r="BG373" s="105"/>
      <c r="BH373" s="105"/>
      <c r="BI373" s="105"/>
      <c r="BJ373" s="105"/>
      <c r="BK373" s="105"/>
      <c r="BL373" s="105"/>
      <c r="BM373" s="105"/>
      <c r="BN373" s="105"/>
      <c r="BO373" s="105"/>
      <c r="BP373" s="105"/>
      <c r="BQ373" s="105"/>
      <c r="BR373" s="105"/>
      <c r="BS373" s="105"/>
      <c r="BT373" s="105"/>
      <c r="BU373" s="105"/>
      <c r="BV373" s="105"/>
      <c r="BW373" s="106"/>
      <c r="BX373" s="28"/>
    </row>
    <row r="374" spans="1:78" s="34" customFormat="1" ht="16.5" hidden="1" customHeight="1" outlineLevel="1" x14ac:dyDescent="0.25">
      <c r="A374" s="57"/>
      <c r="B374" s="377"/>
      <c r="C374" s="9"/>
      <c r="D374" s="1"/>
      <c r="E374" s="1"/>
      <c r="H374" s="377"/>
      <c r="I374" s="95"/>
      <c r="J374" s="58"/>
      <c r="K374" s="155"/>
      <c r="L374" s="317"/>
      <c r="M374" s="156"/>
      <c r="N374" s="156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  <c r="Y374" s="106"/>
      <c r="Z374" s="105"/>
      <c r="AA374" s="155"/>
      <c r="AB374" s="105"/>
      <c r="AC374" s="105"/>
      <c r="AD374" s="105"/>
      <c r="AE374" s="105"/>
      <c r="AF374" s="105"/>
      <c r="AG374" s="105"/>
      <c r="AH374" s="105"/>
      <c r="AI374" s="105"/>
      <c r="AJ374" s="105"/>
      <c r="AK374" s="105"/>
      <c r="AL374" s="105"/>
      <c r="AM374" s="105"/>
      <c r="AN374" s="105"/>
      <c r="AO374" s="105"/>
      <c r="AP374" s="105"/>
      <c r="AQ374" s="105"/>
      <c r="AR374" s="105"/>
      <c r="AS374" s="105"/>
      <c r="AT374" s="105"/>
      <c r="AU374" s="105"/>
      <c r="AV374" s="105"/>
      <c r="AW374" s="105"/>
      <c r="AX374" s="105"/>
      <c r="AY374" s="105"/>
      <c r="AZ374" s="105"/>
      <c r="BA374" s="105"/>
      <c r="BB374" s="105"/>
      <c r="BC374" s="105"/>
      <c r="BD374" s="105"/>
      <c r="BE374" s="105"/>
      <c r="BF374" s="105"/>
      <c r="BG374" s="105"/>
      <c r="BH374" s="105"/>
      <c r="BI374" s="105"/>
      <c r="BJ374" s="105"/>
      <c r="BK374" s="105"/>
      <c r="BL374" s="105"/>
      <c r="BM374" s="105"/>
      <c r="BN374" s="105"/>
      <c r="BO374" s="105"/>
      <c r="BP374" s="105"/>
      <c r="BQ374" s="105"/>
      <c r="BR374" s="105"/>
      <c r="BS374" s="105"/>
      <c r="BT374" s="105"/>
      <c r="BU374" s="105"/>
      <c r="BV374" s="105"/>
      <c r="BW374" s="106"/>
      <c r="BX374" s="28"/>
    </row>
    <row r="375" spans="1:78" s="34" customFormat="1" ht="16.5" hidden="1" customHeight="1" outlineLevel="1" x14ac:dyDescent="0.25">
      <c r="A375" s="57"/>
      <c r="B375" s="377"/>
      <c r="C375" s="9"/>
      <c r="D375" s="1"/>
      <c r="E375" s="1"/>
      <c r="H375" s="377"/>
      <c r="I375" s="95"/>
      <c r="J375" s="58"/>
      <c r="K375" s="155"/>
      <c r="L375" s="317"/>
      <c r="M375" s="156"/>
      <c r="N375" s="156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  <c r="Y375" s="106"/>
      <c r="Z375" s="105"/>
      <c r="AA375" s="155"/>
      <c r="AB375" s="105"/>
      <c r="AC375" s="105"/>
      <c r="AD375" s="105"/>
      <c r="AE375" s="105"/>
      <c r="AF375" s="105"/>
      <c r="AG375" s="105"/>
      <c r="AH375" s="105"/>
      <c r="AI375" s="105"/>
      <c r="AJ375" s="105"/>
      <c r="AK375" s="105"/>
      <c r="AL375" s="105"/>
      <c r="AM375" s="105"/>
      <c r="AN375" s="105"/>
      <c r="AO375" s="105"/>
      <c r="AP375" s="105"/>
      <c r="AQ375" s="105"/>
      <c r="AR375" s="105"/>
      <c r="AS375" s="105"/>
      <c r="AT375" s="105"/>
      <c r="AU375" s="105"/>
      <c r="AV375" s="105"/>
      <c r="AW375" s="105"/>
      <c r="AX375" s="105"/>
      <c r="AY375" s="105"/>
      <c r="AZ375" s="105"/>
      <c r="BA375" s="105"/>
      <c r="BB375" s="105"/>
      <c r="BC375" s="105"/>
      <c r="BD375" s="105"/>
      <c r="BE375" s="105"/>
      <c r="BF375" s="105"/>
      <c r="BG375" s="105"/>
      <c r="BH375" s="105"/>
      <c r="BI375" s="105"/>
      <c r="BJ375" s="105"/>
      <c r="BK375" s="105"/>
      <c r="BL375" s="105"/>
      <c r="BM375" s="105"/>
      <c r="BN375" s="105"/>
      <c r="BO375" s="105"/>
      <c r="BP375" s="105"/>
      <c r="BQ375" s="105"/>
      <c r="BR375" s="105"/>
      <c r="BS375" s="105"/>
      <c r="BT375" s="105"/>
      <c r="BU375" s="105"/>
      <c r="BV375" s="105"/>
      <c r="BW375" s="106"/>
      <c r="BX375" s="28"/>
    </row>
    <row r="376" spans="1:78" s="34" customFormat="1" ht="23.25" hidden="1" customHeight="1" outlineLevel="1" x14ac:dyDescent="0.25">
      <c r="A376" s="57"/>
      <c r="B376" s="377"/>
      <c r="C376" s="9"/>
      <c r="D376" s="1"/>
      <c r="E376" s="1"/>
      <c r="H376" s="377"/>
      <c r="I376" s="95"/>
      <c r="J376" s="58"/>
      <c r="K376" s="155"/>
      <c r="L376" s="317"/>
      <c r="M376" s="156"/>
      <c r="N376" s="156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  <c r="Y376" s="106"/>
      <c r="Z376" s="105"/>
      <c r="AA376" s="155"/>
      <c r="AB376" s="105"/>
      <c r="AC376" s="105"/>
      <c r="AD376" s="105"/>
      <c r="AE376" s="105"/>
      <c r="AF376" s="105"/>
      <c r="AG376" s="105"/>
      <c r="AH376" s="105"/>
      <c r="AI376" s="105"/>
      <c r="AJ376" s="105"/>
      <c r="AK376" s="105"/>
      <c r="AL376" s="105"/>
      <c r="AM376" s="105"/>
      <c r="AN376" s="105"/>
      <c r="AO376" s="105"/>
      <c r="AP376" s="105"/>
      <c r="AQ376" s="105"/>
      <c r="AR376" s="105"/>
      <c r="AS376" s="105"/>
      <c r="AT376" s="105"/>
      <c r="AU376" s="105"/>
      <c r="AV376" s="105"/>
      <c r="AW376" s="105"/>
      <c r="AX376" s="105"/>
      <c r="AY376" s="105"/>
      <c r="AZ376" s="105"/>
      <c r="BA376" s="105"/>
      <c r="BB376" s="105"/>
      <c r="BC376" s="105"/>
      <c r="BD376" s="105"/>
      <c r="BE376" s="105"/>
      <c r="BF376" s="105"/>
      <c r="BG376" s="105"/>
      <c r="BH376" s="105"/>
      <c r="BI376" s="105"/>
      <c r="BJ376" s="105"/>
      <c r="BK376" s="105"/>
      <c r="BL376" s="105"/>
      <c r="BM376" s="105"/>
      <c r="BN376" s="105"/>
      <c r="BO376" s="105"/>
      <c r="BP376" s="105"/>
      <c r="BQ376" s="105"/>
      <c r="BR376" s="105"/>
      <c r="BS376" s="105"/>
      <c r="BT376" s="105"/>
      <c r="BU376" s="105"/>
      <c r="BV376" s="105"/>
      <c r="BW376" s="106"/>
      <c r="BX376" s="28"/>
    </row>
    <row r="377" spans="1:78" s="34" customFormat="1" ht="23.25" customHeight="1" collapsed="1" x14ac:dyDescent="0.25">
      <c r="A377" s="57"/>
      <c r="B377" s="377"/>
      <c r="C377" s="9"/>
      <c r="D377" s="1"/>
      <c r="E377" s="1"/>
      <c r="H377" s="377"/>
      <c r="I377" s="95"/>
      <c r="J377" s="58"/>
      <c r="K377" s="155"/>
      <c r="L377" s="317"/>
      <c r="M377" s="156"/>
      <c r="N377" s="156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  <c r="Y377" s="106"/>
      <c r="Z377" s="105"/>
      <c r="AA377" s="155"/>
      <c r="AB377" s="105"/>
      <c r="AC377" s="105"/>
      <c r="AD377" s="105"/>
      <c r="AE377" s="105"/>
      <c r="AF377" s="105"/>
      <c r="AG377" s="105"/>
      <c r="AH377" s="105"/>
      <c r="AI377" s="105"/>
      <c r="AJ377" s="105"/>
      <c r="AK377" s="105"/>
      <c r="AL377" s="105"/>
      <c r="AM377" s="105"/>
      <c r="AN377" s="105"/>
      <c r="AO377" s="105"/>
      <c r="AP377" s="105"/>
      <c r="AQ377" s="105"/>
      <c r="AR377" s="105"/>
      <c r="AS377" s="105"/>
      <c r="AT377" s="105"/>
      <c r="AU377" s="105"/>
      <c r="AV377" s="105"/>
      <c r="AW377" s="105"/>
      <c r="AX377" s="105"/>
      <c r="AY377" s="105"/>
      <c r="AZ377" s="105"/>
      <c r="BA377" s="105"/>
      <c r="BB377" s="105"/>
      <c r="BC377" s="105"/>
      <c r="BD377" s="105"/>
      <c r="BE377" s="105"/>
      <c r="BF377" s="105"/>
      <c r="BG377" s="105"/>
      <c r="BH377" s="105"/>
      <c r="BI377" s="105"/>
      <c r="BJ377" s="105"/>
      <c r="BK377" s="105"/>
      <c r="BL377" s="105"/>
      <c r="BM377" s="105"/>
      <c r="BN377" s="105"/>
      <c r="BO377" s="105"/>
      <c r="BP377" s="105"/>
      <c r="BQ377" s="105"/>
      <c r="BR377" s="105"/>
      <c r="BS377" s="105"/>
      <c r="BT377" s="105"/>
      <c r="BU377" s="105"/>
      <c r="BV377" s="105"/>
      <c r="BW377" s="106"/>
      <c r="BX377" s="28"/>
    </row>
    <row r="378" spans="1:78" ht="3" customHeight="1" x14ac:dyDescent="0.25">
      <c r="A378" s="57"/>
      <c r="B378" s="360"/>
      <c r="H378" s="360"/>
      <c r="I378" s="69"/>
      <c r="J378" s="54"/>
      <c r="K378" s="107"/>
      <c r="L378" s="108"/>
      <c r="M378" s="583"/>
      <c r="N378" s="583"/>
      <c r="O378" s="583"/>
      <c r="P378" s="583"/>
      <c r="Q378" s="583"/>
      <c r="R378" s="583"/>
      <c r="S378" s="583"/>
      <c r="T378" s="583"/>
      <c r="U378" s="583"/>
      <c r="V378" s="583"/>
      <c r="W378" s="583"/>
      <c r="X378" s="583"/>
      <c r="Y378" s="106"/>
      <c r="Z378" s="105"/>
      <c r="AA378" s="107"/>
      <c r="AB378" s="105"/>
      <c r="AC378" s="105"/>
      <c r="AD378" s="105"/>
      <c r="AE378" s="105"/>
      <c r="AF378" s="105"/>
      <c r="AG378" s="105"/>
      <c r="AH378" s="105"/>
      <c r="AI378" s="105"/>
      <c r="AJ378" s="105"/>
      <c r="AK378" s="105"/>
      <c r="AL378" s="105"/>
      <c r="AM378" s="105"/>
      <c r="AN378" s="105"/>
      <c r="AO378" s="105"/>
      <c r="AP378" s="105"/>
      <c r="AQ378" s="105"/>
      <c r="AR378" s="105"/>
      <c r="AS378" s="105"/>
      <c r="AT378" s="105"/>
      <c r="AU378" s="105"/>
      <c r="AV378" s="105"/>
      <c r="AW378" s="105"/>
      <c r="AX378" s="105"/>
      <c r="AY378" s="105"/>
      <c r="AZ378" s="105"/>
      <c r="BA378" s="105"/>
      <c r="BB378" s="105"/>
      <c r="BC378" s="105"/>
      <c r="BD378" s="105"/>
      <c r="BE378" s="105"/>
      <c r="BF378" s="105"/>
      <c r="BG378" s="105"/>
      <c r="BH378" s="105"/>
      <c r="BI378" s="105"/>
      <c r="BJ378" s="105"/>
      <c r="BK378" s="105"/>
      <c r="BL378" s="105"/>
      <c r="BM378" s="105"/>
      <c r="BN378" s="105"/>
      <c r="BO378" s="105"/>
      <c r="BP378" s="105"/>
      <c r="BQ378" s="105"/>
      <c r="BR378" s="105"/>
      <c r="BS378" s="105"/>
      <c r="BT378" s="105"/>
      <c r="BU378" s="105"/>
      <c r="BV378" s="105"/>
      <c r="BW378" s="106"/>
      <c r="BX378" s="28"/>
      <c r="BZ378" s="55"/>
    </row>
    <row r="379" spans="1:78" s="34" customFormat="1" ht="8.25" customHeight="1" x14ac:dyDescent="0.25">
      <c r="A379" s="57"/>
      <c r="B379" s="377"/>
      <c r="C379" s="9"/>
      <c r="D379" s="1"/>
      <c r="E379" s="1"/>
      <c r="H379" s="377"/>
      <c r="I379" s="95"/>
      <c r="J379" s="58"/>
      <c r="K379" s="104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  <c r="Y379" s="106"/>
      <c r="Z379" s="105"/>
      <c r="AA379" s="104"/>
      <c r="AB379" s="105"/>
      <c r="AC379" s="105"/>
      <c r="AD379" s="105"/>
      <c r="AE379" s="105"/>
      <c r="AF379" s="105"/>
      <c r="AG379" s="105"/>
      <c r="AH379" s="105"/>
      <c r="AI379" s="105"/>
      <c r="AJ379" s="105"/>
      <c r="AK379" s="105"/>
      <c r="AL379" s="105"/>
      <c r="AM379" s="105"/>
      <c r="AN379" s="105"/>
      <c r="AO379" s="105"/>
      <c r="AP379" s="105"/>
      <c r="AQ379" s="105"/>
      <c r="AR379" s="105"/>
      <c r="AS379" s="105"/>
      <c r="AT379" s="105"/>
      <c r="AU379" s="105"/>
      <c r="AV379" s="105"/>
      <c r="AW379" s="105"/>
      <c r="AX379" s="105"/>
      <c r="AY379" s="105"/>
      <c r="AZ379" s="105"/>
      <c r="BA379" s="105"/>
      <c r="BB379" s="105"/>
      <c r="BC379" s="105"/>
      <c r="BD379" s="105"/>
      <c r="BE379" s="105"/>
      <c r="BF379" s="105"/>
      <c r="BG379" s="105"/>
      <c r="BH379" s="105"/>
      <c r="BI379" s="105"/>
      <c r="BJ379" s="105"/>
      <c r="BK379" s="105"/>
      <c r="BL379" s="105"/>
      <c r="BM379" s="105"/>
      <c r="BN379" s="105"/>
      <c r="BO379" s="105"/>
      <c r="BP379" s="105"/>
      <c r="BQ379" s="105"/>
      <c r="BR379" s="105"/>
      <c r="BS379" s="105"/>
      <c r="BT379" s="105"/>
      <c r="BU379" s="105"/>
      <c r="BV379" s="105"/>
      <c r="BW379" s="106"/>
      <c r="BX379" s="28"/>
    </row>
    <row r="380" spans="1:78" s="34" customFormat="1" ht="23.25" customHeight="1" x14ac:dyDescent="0.25">
      <c r="A380" s="57"/>
      <c r="B380" s="360" t="s">
        <v>95</v>
      </c>
      <c r="C380" s="9"/>
      <c r="D380" s="1"/>
      <c r="E380" s="1"/>
      <c r="H380" s="360"/>
      <c r="I380" s="95"/>
      <c r="J380" s="58"/>
      <c r="K380" s="100"/>
      <c r="L380" s="540" t="str">
        <f ca="1">_xll.DBRA(Server&amp;$B$32,$B380,$N$19)</f>
        <v>M - Maintenance Cost as % of revenue</v>
      </c>
      <c r="M380" s="541" t="s">
        <v>16</v>
      </c>
      <c r="N380" s="541"/>
      <c r="O380" s="584"/>
      <c r="P380" s="212"/>
      <c r="Q380" s="311">
        <f ca="1">_xll.DBRW(Server&amp;Cube1,$N$15,$N$16,$N$17,$N$18,$N$14,$N$13,$N$11,$Q$1,$B380)</f>
        <v>0</v>
      </c>
      <c r="R380" s="312">
        <f ca="1">_xll.DBRW(Server&amp;Cube1,$N$15,$N$16,$N$17,$N$18,$N$14,$N$13,$R$2,$R$1,$B380)</f>
        <v>0</v>
      </c>
      <c r="S380" s="299" t="str">
        <f ca="1">IF(T380=0,"è",IF(T380&lt;0,"ì","î"))</f>
        <v>è</v>
      </c>
      <c r="T380" s="294">
        <f ca="1">-(Q380-R380)*100</f>
        <v>0</v>
      </c>
      <c r="U380" s="245"/>
      <c r="V380" s="311">
        <f ca="1">_xll.DBRW(Server&amp;Cube1,$N$15,$N$16,$N$17,$N$18,$N$14,$N$13,$V$2,$V$1,$B380)</f>
        <v>0</v>
      </c>
      <c r="W380" s="300" t="str">
        <f ca="1">IF(X380=0,"è",IF(X380&lt;0,"ì","î"))</f>
        <v>è</v>
      </c>
      <c r="X380" s="294">
        <f ca="1">-($Q380-V380)*100</f>
        <v>0</v>
      </c>
      <c r="Y380" s="101"/>
      <c r="Z380" s="398"/>
      <c r="AA380" s="100"/>
      <c r="AB380" s="311">
        <f ca="1">_xll.DBRW(Server&amp;Cube1,$N$15,$N$16,$N$17,$N$18,$N$14,$N$13,AB$2,AB$1,$B380)</f>
        <v>0</v>
      </c>
      <c r="AC380" s="311">
        <f ca="1">_xll.DBRW(Server&amp;Cube1,$N$15,$N$16,$N$17,$N$18,$N$14,$N$13,AC$2,AC$1,$B380)</f>
        <v>0</v>
      </c>
      <c r="AD380" s="402">
        <f ca="1">_xll.DBRW(Server&amp;Cube1,$N$15,$N$16,$N$17,$N$18,$N$14,$N$13,AD$2,AD$1,$B380)</f>
        <v>0</v>
      </c>
      <c r="AE380" s="398"/>
      <c r="AF380" s="311">
        <f ca="1">_xll.DBRW(Server&amp;Cube1,$N$15,$N$16,$N$17,$N$18,$N$14,$N$13,AF$2,AF$1,$B380)</f>
        <v>0</v>
      </c>
      <c r="AG380" s="311">
        <f ca="1">_xll.DBRW(Server&amp;Cube1,$N$15,$N$16,$N$17,$N$18,$N$14,$N$13,AG$2,AG$1,$B380)</f>
        <v>0</v>
      </c>
      <c r="AH380" s="402">
        <f ca="1">_xll.DBRW(Server&amp;Cube1,$N$15,$N$16,$N$17,$N$18,$N$14,$N$13,AH$2,AH$1,$B380)</f>
        <v>0</v>
      </c>
      <c r="AI380" s="398"/>
      <c r="AJ380" s="311">
        <f ca="1">_xll.DBRW(Server&amp;Cube1,$N$15,$N$16,$N$17,$N$18,$N$14,$N$13,AJ$2,AJ$1,$B380)</f>
        <v>0</v>
      </c>
      <c r="AK380" s="311">
        <f ca="1">_xll.DBRW(Server&amp;Cube1,$N$15,$N$16,$N$17,$N$18,$N$14,$N$13,AK$2,AK$1,$B380)</f>
        <v>0</v>
      </c>
      <c r="AL380" s="402">
        <f ca="1">_xll.DBRW(Server&amp;Cube1,$N$15,$N$16,$N$17,$N$18,$N$14,$N$13,AL$2,AL$1,$B380)</f>
        <v>0</v>
      </c>
      <c r="AM380" s="398"/>
      <c r="AN380" s="311">
        <f ca="1">_xll.DBRW(Server&amp;Cube1,$N$15,$N$16,$N$17,$N$18,$N$14,$N$13,AN$2,AN$1,$B380)</f>
        <v>0</v>
      </c>
      <c r="AO380" s="311">
        <f ca="1">_xll.DBRW(Server&amp;Cube1,$N$15,$N$16,$N$17,$N$18,$N$14,$N$13,AO$2,AO$1,$B380)</f>
        <v>0</v>
      </c>
      <c r="AP380" s="402">
        <f ca="1">_xll.DBRW(Server&amp;Cube1,$N$15,$N$16,$N$17,$N$18,$N$14,$N$13,AP$2,AP$1,$B380)</f>
        <v>0</v>
      </c>
      <c r="AQ380" s="398"/>
      <c r="AR380" s="311">
        <f ca="1">_xll.DBRW(Server&amp;Cube1,$N$15,$N$16,$N$17,$N$18,$N$14,$N$13,AR$2,AR$1,$B380)</f>
        <v>0</v>
      </c>
      <c r="AS380" s="311">
        <f ca="1">_xll.DBRW(Server&amp;Cube1,$N$15,$N$16,$N$17,$N$18,$N$14,$N$13,AS$2,AS$1,$B380)</f>
        <v>0</v>
      </c>
      <c r="AT380" s="402">
        <f ca="1">_xll.DBRW(Server&amp;Cube1,$N$15,$N$16,$N$17,$N$18,$N$14,$N$13,AT$2,AT$1,$B380)</f>
        <v>0</v>
      </c>
      <c r="AU380" s="398"/>
      <c r="AV380" s="311">
        <f ca="1">_xll.DBRW(Server&amp;Cube1,$N$15,$N$16,$N$17,$N$18,$N$14,$N$13,AV$2,AV$1,$B380)</f>
        <v>0</v>
      </c>
      <c r="AW380" s="311">
        <f ca="1">_xll.DBRW(Server&amp;Cube1,$N$15,$N$16,$N$17,$N$18,$N$14,$N$13,AW$2,AW$1,$B380)</f>
        <v>0</v>
      </c>
      <c r="AX380" s="402">
        <f ca="1">_xll.DBRW(Server&amp;Cube1,$N$15,$N$16,$N$17,$N$18,$N$14,$N$13,AX$2,AX$1,$B380)</f>
        <v>0</v>
      </c>
      <c r="AY380" s="398"/>
      <c r="AZ380" s="311">
        <f ca="1">_xll.DBRW(Server&amp;Cube1,$N$15,$N$16,$N$17,$N$18,$N$14,$N$13,AZ$2,AZ$1,$B380)</f>
        <v>0</v>
      </c>
      <c r="BA380" s="311">
        <f ca="1">_xll.DBRW(Server&amp;Cube1,$N$15,$N$16,$N$17,$N$18,$N$14,$N$13,BA$2,BA$1,$B380)</f>
        <v>0</v>
      </c>
      <c r="BB380" s="402">
        <f ca="1">_xll.DBRW(Server&amp;Cube1,$N$15,$N$16,$N$17,$N$18,$N$14,$N$13,BB$2,BB$1,$B380)</f>
        <v>0</v>
      </c>
      <c r="BC380" s="398"/>
      <c r="BD380" s="311">
        <f ca="1">_xll.DBRW(Server&amp;Cube1,$N$15,$N$16,$N$17,$N$18,$N$14,$N$13,BD$2,BD$1,$B380)</f>
        <v>0</v>
      </c>
      <c r="BE380" s="311">
        <f ca="1">_xll.DBRW(Server&amp;Cube1,$N$15,$N$16,$N$17,$N$18,$N$14,$N$13,BE$2,BE$1,$B380)</f>
        <v>0</v>
      </c>
      <c r="BF380" s="402">
        <f ca="1">_xll.DBRW(Server&amp;Cube1,$N$15,$N$16,$N$17,$N$18,$N$14,$N$13,BF$2,BF$1,$B380)</f>
        <v>0</v>
      </c>
      <c r="BG380" s="398"/>
      <c r="BH380" s="311">
        <f ca="1">_xll.DBRW(Server&amp;Cube1,$N$15,$N$16,$N$17,$N$18,$N$14,$N$13,BH$2,BH$1,$B380)</f>
        <v>0</v>
      </c>
      <c r="BI380" s="311">
        <f ca="1">_xll.DBRW(Server&amp;Cube1,$N$15,$N$16,$N$17,$N$18,$N$14,$N$13,BI$2,BI$1,$B380)</f>
        <v>0</v>
      </c>
      <c r="BJ380" s="402">
        <f ca="1">_xll.DBRW(Server&amp;Cube1,$N$15,$N$16,$N$17,$N$18,$N$14,$N$13,BJ$2,BJ$1,$B380)</f>
        <v>0</v>
      </c>
      <c r="BK380" s="398"/>
      <c r="BL380" s="311">
        <f ca="1">_xll.DBRW(Server&amp;Cube1,$N$15,$N$16,$N$17,$N$18,$N$14,$N$13,BL$2,BL$1,$B380)</f>
        <v>0</v>
      </c>
      <c r="BM380" s="311">
        <f ca="1">_xll.DBRW(Server&amp;Cube1,$N$15,$N$16,$N$17,$N$18,$N$14,$N$13,BM$2,BM$1,$B380)</f>
        <v>0</v>
      </c>
      <c r="BN380" s="402">
        <f ca="1">_xll.DBRW(Server&amp;Cube1,$N$15,$N$16,$N$17,$N$18,$N$14,$N$13,BN$2,BN$1,$B380)</f>
        <v>0</v>
      </c>
      <c r="BO380" s="398"/>
      <c r="BP380" s="311">
        <f ca="1">_xll.DBRW(Server&amp;Cube1,$N$15,$N$16,$N$17,$N$18,$N$14,$N$13,BP$2,BP$1,$B380)</f>
        <v>0</v>
      </c>
      <c r="BQ380" s="311">
        <f ca="1">_xll.DBRW(Server&amp;Cube1,$N$15,$N$16,$N$17,$N$18,$N$14,$N$13,BQ$2,BQ$1,$B380)</f>
        <v>0</v>
      </c>
      <c r="BR380" s="402">
        <f ca="1">_xll.DBRW(Server&amp;Cube1,$N$15,$N$16,$N$17,$N$18,$N$14,$N$13,BR$2,BR$1,$B380)</f>
        <v>0</v>
      </c>
      <c r="BS380" s="398"/>
      <c r="BT380" s="311">
        <f ca="1">_xll.DBRW(Server&amp;Cube1,$N$15,$N$16,$N$17,$N$18,$N$14,$N$13,BT$2,BT$1,$B380)</f>
        <v>0</v>
      </c>
      <c r="BU380" s="311">
        <f ca="1">_xll.DBRW(Server&amp;Cube1,$N$15,$N$16,$N$17,$N$18,$N$14,$N$13,BU$2,BU$1,$B380)</f>
        <v>0</v>
      </c>
      <c r="BV380" s="402">
        <f ca="1">_xll.DBRW(Server&amp;Cube1,$N$15,$N$16,$N$17,$N$18,$N$14,$N$13,BV$2,BV$1,$B380)</f>
        <v>0</v>
      </c>
      <c r="BW380" s="101"/>
      <c r="BX380" s="28"/>
      <c r="BZ380" s="367"/>
    </row>
    <row r="381" spans="1:78" s="34" customFormat="1" ht="27.75" customHeight="1" x14ac:dyDescent="0.3">
      <c r="A381" s="57"/>
      <c r="B381" s="360" t="s">
        <v>97</v>
      </c>
      <c r="C381" s="9"/>
      <c r="D381" s="1"/>
      <c r="E381" s="1"/>
      <c r="H381" s="360"/>
      <c r="I381" s="95"/>
      <c r="J381" s="58"/>
      <c r="K381" s="100"/>
      <c r="L381" s="585" t="str">
        <f ca="1">_xll.DBRA(Server&amp;Context!$B$32,Context!$B$45,$N$19)</f>
        <v>LEVEL 2</v>
      </c>
      <c r="M381" s="588" t="str">
        <f ca="1">IF(OR(O393="Not defined",O393="Non défini",O395="Not defined",O395="Non défini"),_xll.DBRA(Server&amp;$B$32,$B381,$N$19),_xll.DBRA(Server&amp;Context!$B$32,Context!$B$48,$N$19)&amp;" "&amp;O393)</f>
        <v>M1 - Maintenance Cost per cost work unit</v>
      </c>
      <c r="N381" s="588"/>
      <c r="O381" s="589"/>
      <c r="P381" s="211"/>
      <c r="Q381" s="320">
        <f ca="1">_xll.DBRW(Server&amp;Cube1,$N$15,$N$16,$N$17,$N$18,$N$14,$N$13,$N$11,$Q$1,$B381)</f>
        <v>0</v>
      </c>
      <c r="R381" s="321">
        <f ca="1">_xll.DBRW(Server&amp;Cube1,$N$15,$N$16,$N$17,$N$18,$N$14,$N$13,$R$2,$R$1,$B381)</f>
        <v>0</v>
      </c>
      <c r="S381" s="322">
        <f ca="1">Q381-R381</f>
        <v>0</v>
      </c>
      <c r="T381" s="323"/>
      <c r="U381" s="245"/>
      <c r="V381" s="331">
        <f ca="1">_xll.DBRW(Server&amp;Cube1,$N$15,$N$16,$N$17,$N$18,$N$14,$N$13,$V$2,$V$1,$B381)</f>
        <v>0</v>
      </c>
      <c r="W381" s="322">
        <f ca="1">$Q381-V381</f>
        <v>0</v>
      </c>
      <c r="X381" s="323"/>
      <c r="Y381" s="101"/>
      <c r="Z381" s="398"/>
      <c r="AA381" s="100"/>
      <c r="AB381" s="320">
        <f ca="1">_xll.DBRW(Server&amp;Cube1,$N$15,$N$16,$N$17,$N$18,$N$14,$N$13,AB$2,AB$1,$B381)</f>
        <v>0</v>
      </c>
      <c r="AC381" s="320">
        <f ca="1">_xll.DBRW(Server&amp;Cube1,$N$15,$N$16,$N$17,$N$18,$N$14,$N$13,AC$2,AC$1,$B381)</f>
        <v>0</v>
      </c>
      <c r="AD381" s="403">
        <f ca="1">_xll.DBRW(Server&amp;Cube1,$N$15,$N$16,$N$17,$N$18,$N$14,$N$13,AD$2,AD$1,$B381)</f>
        <v>0</v>
      </c>
      <c r="AE381" s="398"/>
      <c r="AF381" s="320">
        <f ca="1">_xll.DBRW(Server&amp;Cube1,$N$15,$N$16,$N$17,$N$18,$N$14,$N$13,AF$2,AF$1,$B381)</f>
        <v>0</v>
      </c>
      <c r="AG381" s="320">
        <f ca="1">_xll.DBRW(Server&amp;Cube1,$N$15,$N$16,$N$17,$N$18,$N$14,$N$13,AG$2,AG$1,$B381)</f>
        <v>0</v>
      </c>
      <c r="AH381" s="403">
        <f ca="1">_xll.DBRW(Server&amp;Cube1,$N$15,$N$16,$N$17,$N$18,$N$14,$N$13,AH$2,AH$1,$B381)</f>
        <v>0</v>
      </c>
      <c r="AI381" s="398"/>
      <c r="AJ381" s="320">
        <f ca="1">_xll.DBRW(Server&amp;Cube1,$N$15,$N$16,$N$17,$N$18,$N$14,$N$13,AJ$2,AJ$1,$B381)</f>
        <v>0</v>
      </c>
      <c r="AK381" s="320">
        <f ca="1">_xll.DBRW(Server&amp;Cube1,$N$15,$N$16,$N$17,$N$18,$N$14,$N$13,AK$2,AK$1,$B381)</f>
        <v>0</v>
      </c>
      <c r="AL381" s="403">
        <f ca="1">_xll.DBRW(Server&amp;Cube1,$N$15,$N$16,$N$17,$N$18,$N$14,$N$13,AL$2,AL$1,$B381)</f>
        <v>0</v>
      </c>
      <c r="AM381" s="398"/>
      <c r="AN381" s="320">
        <f ca="1">_xll.DBRW(Server&amp;Cube1,$N$15,$N$16,$N$17,$N$18,$N$14,$N$13,AN$2,AN$1,$B381)</f>
        <v>0</v>
      </c>
      <c r="AO381" s="320">
        <f ca="1">_xll.DBRW(Server&amp;Cube1,$N$15,$N$16,$N$17,$N$18,$N$14,$N$13,AO$2,AO$1,$B381)</f>
        <v>0</v>
      </c>
      <c r="AP381" s="403">
        <f ca="1">_xll.DBRW(Server&amp;Cube1,$N$15,$N$16,$N$17,$N$18,$N$14,$N$13,AP$2,AP$1,$B381)</f>
        <v>0</v>
      </c>
      <c r="AQ381" s="398"/>
      <c r="AR381" s="320">
        <f ca="1">_xll.DBRW(Server&amp;Cube1,$N$15,$N$16,$N$17,$N$18,$N$14,$N$13,AR$2,AR$1,$B381)</f>
        <v>0</v>
      </c>
      <c r="AS381" s="320">
        <f ca="1">_xll.DBRW(Server&amp;Cube1,$N$15,$N$16,$N$17,$N$18,$N$14,$N$13,AS$2,AS$1,$B381)</f>
        <v>0</v>
      </c>
      <c r="AT381" s="403">
        <f ca="1">_xll.DBRW(Server&amp;Cube1,$N$15,$N$16,$N$17,$N$18,$N$14,$N$13,AT$2,AT$1,$B381)</f>
        <v>0</v>
      </c>
      <c r="AU381" s="398"/>
      <c r="AV381" s="320">
        <f ca="1">_xll.DBRW(Server&amp;Cube1,$N$15,$N$16,$N$17,$N$18,$N$14,$N$13,AV$2,AV$1,$B381)</f>
        <v>0</v>
      </c>
      <c r="AW381" s="320">
        <f ca="1">_xll.DBRW(Server&amp;Cube1,$N$15,$N$16,$N$17,$N$18,$N$14,$N$13,AW$2,AW$1,$B381)</f>
        <v>0</v>
      </c>
      <c r="AX381" s="403">
        <f ca="1">_xll.DBRW(Server&amp;Cube1,$N$15,$N$16,$N$17,$N$18,$N$14,$N$13,AX$2,AX$1,$B381)</f>
        <v>0</v>
      </c>
      <c r="AY381" s="398"/>
      <c r="AZ381" s="320">
        <f ca="1">_xll.DBRW(Server&amp;Cube1,$N$15,$N$16,$N$17,$N$18,$N$14,$N$13,AZ$2,AZ$1,$B381)</f>
        <v>0</v>
      </c>
      <c r="BA381" s="320">
        <f ca="1">_xll.DBRW(Server&amp;Cube1,$N$15,$N$16,$N$17,$N$18,$N$14,$N$13,BA$2,BA$1,$B381)</f>
        <v>0</v>
      </c>
      <c r="BB381" s="403">
        <f ca="1">_xll.DBRW(Server&amp;Cube1,$N$15,$N$16,$N$17,$N$18,$N$14,$N$13,BB$2,BB$1,$B381)</f>
        <v>0</v>
      </c>
      <c r="BC381" s="398"/>
      <c r="BD381" s="320">
        <f ca="1">_xll.DBRW(Server&amp;Cube1,$N$15,$N$16,$N$17,$N$18,$N$14,$N$13,BD$2,BD$1,$B381)</f>
        <v>0</v>
      </c>
      <c r="BE381" s="320">
        <f ca="1">_xll.DBRW(Server&amp;Cube1,$N$15,$N$16,$N$17,$N$18,$N$14,$N$13,BE$2,BE$1,$B381)</f>
        <v>0</v>
      </c>
      <c r="BF381" s="403">
        <f ca="1">_xll.DBRW(Server&amp;Cube1,$N$15,$N$16,$N$17,$N$18,$N$14,$N$13,BF$2,BF$1,$B381)</f>
        <v>0</v>
      </c>
      <c r="BG381" s="398"/>
      <c r="BH381" s="320">
        <f ca="1">_xll.DBRW(Server&amp;Cube1,$N$15,$N$16,$N$17,$N$18,$N$14,$N$13,BH$2,BH$1,$B381)</f>
        <v>0</v>
      </c>
      <c r="BI381" s="320">
        <f ca="1">_xll.DBRW(Server&amp;Cube1,$N$15,$N$16,$N$17,$N$18,$N$14,$N$13,BI$2,BI$1,$B381)</f>
        <v>0</v>
      </c>
      <c r="BJ381" s="403">
        <f ca="1">_xll.DBRW(Server&amp;Cube1,$N$15,$N$16,$N$17,$N$18,$N$14,$N$13,BJ$2,BJ$1,$B381)</f>
        <v>0</v>
      </c>
      <c r="BK381" s="398"/>
      <c r="BL381" s="320">
        <f ca="1">_xll.DBRW(Server&amp;Cube1,$N$15,$N$16,$N$17,$N$18,$N$14,$N$13,BL$2,BL$1,$B381)</f>
        <v>0</v>
      </c>
      <c r="BM381" s="320">
        <f ca="1">_xll.DBRW(Server&amp;Cube1,$N$15,$N$16,$N$17,$N$18,$N$14,$N$13,BM$2,BM$1,$B381)</f>
        <v>0</v>
      </c>
      <c r="BN381" s="403">
        <f ca="1">_xll.DBRW(Server&amp;Cube1,$N$15,$N$16,$N$17,$N$18,$N$14,$N$13,BN$2,BN$1,$B381)</f>
        <v>0</v>
      </c>
      <c r="BO381" s="398"/>
      <c r="BP381" s="320">
        <f ca="1">_xll.DBRW(Server&amp;Cube1,$N$15,$N$16,$N$17,$N$18,$N$14,$N$13,BP$2,BP$1,$B381)</f>
        <v>0</v>
      </c>
      <c r="BQ381" s="320">
        <f ca="1">_xll.DBRW(Server&amp;Cube1,$N$15,$N$16,$N$17,$N$18,$N$14,$N$13,BQ$2,BQ$1,$B381)</f>
        <v>0</v>
      </c>
      <c r="BR381" s="403">
        <f ca="1">_xll.DBRW(Server&amp;Cube1,$N$15,$N$16,$N$17,$N$18,$N$14,$N$13,BR$2,BR$1,$B381)</f>
        <v>0</v>
      </c>
      <c r="BS381" s="398"/>
      <c r="BT381" s="320">
        <f ca="1">_xll.DBRW(Server&amp;Cube1,$N$15,$N$16,$N$17,$N$18,$N$14,$N$13,BT$2,BT$1,$B381)</f>
        <v>0</v>
      </c>
      <c r="BU381" s="320">
        <f ca="1">_xll.DBRW(Server&amp;Cube1,$N$15,$N$16,$N$17,$N$18,$N$14,$N$13,BU$2,BU$1,$B381)</f>
        <v>0</v>
      </c>
      <c r="BV381" s="403">
        <f ca="1">_xll.DBRW(Server&amp;Cube1,$N$15,$N$16,$N$17,$N$18,$N$14,$N$13,BV$2,BV$1,$B381)</f>
        <v>0</v>
      </c>
      <c r="BW381" s="101"/>
      <c r="BX381" s="28"/>
      <c r="BZ381" s="370"/>
    </row>
    <row r="382" spans="1:78" s="34" customFormat="1" ht="27.75" customHeight="1" x14ac:dyDescent="0.3">
      <c r="A382" s="57"/>
      <c r="B382" s="360" t="s">
        <v>98</v>
      </c>
      <c r="C382" s="9"/>
      <c r="D382" s="1"/>
      <c r="E382" s="1"/>
      <c r="H382" s="360"/>
      <c r="I382" s="95"/>
      <c r="J382" s="58"/>
      <c r="K382" s="100"/>
      <c r="L382" s="586"/>
      <c r="M382" s="590" t="str">
        <f ca="1">IF(OR(O393="Not defined",O393="Non défini",O395="Not defined",O395="Non défini"),_xll.DBRA(Server&amp;$B$32,$B382,$N$19),_xll.DBRA(Server&amp;$B$32,$B382,$N$19)&amp;" - ("&amp;O393&amp;" / "&amp;O395&amp;")")</f>
        <v>M2 - Maintenance efficiency</v>
      </c>
      <c r="N382" s="590"/>
      <c r="O382" s="590"/>
      <c r="P382" s="211"/>
      <c r="Q382" s="324">
        <f ca="1">_xll.DBRW(Server&amp;Cube1,$N$15,$N$16,$N$17,$N$18,$N$14,$N$13,$N$11,$Q$1,$B382)</f>
        <v>0</v>
      </c>
      <c r="R382" s="319">
        <f ca="1">_xll.DBRW(Server&amp;Cube1,$N$15,$N$16,$N$17,$N$18,$N$14,$N$13,$R$2,$R$1,$B382)</f>
        <v>0</v>
      </c>
      <c r="S382" s="325">
        <f ca="1">Q382-R382</f>
        <v>0</v>
      </c>
      <c r="T382" s="326"/>
      <c r="U382" s="247"/>
      <c r="V382" s="332">
        <f ca="1">_xll.DBRW(Server&amp;Cube1,$N$15,$N$16,$N$17,$N$18,$N$14,$N$13,$V$2,$V$1,$B382)</f>
        <v>0</v>
      </c>
      <c r="W382" s="325">
        <f ca="1">$Q382-V382</f>
        <v>0</v>
      </c>
      <c r="X382" s="326"/>
      <c r="Y382" s="101"/>
      <c r="Z382" s="398"/>
      <c r="AA382" s="100"/>
      <c r="AB382" s="324">
        <f ca="1">_xll.DBRW(Server&amp;Cube1,$N$15,$N$16,$N$17,$N$18,$N$14,$N$13,AB$2,AB$1,$B382)</f>
        <v>0</v>
      </c>
      <c r="AC382" s="324">
        <f ca="1">_xll.DBRW(Server&amp;Cube1,$N$15,$N$16,$N$17,$N$18,$N$14,$N$13,AC$2,AC$1,$B382)</f>
        <v>0</v>
      </c>
      <c r="AD382" s="404">
        <f ca="1">_xll.DBRW(Server&amp;Cube1,$N$15,$N$16,$N$17,$N$18,$N$14,$N$13,AD$2,AD$1,$B382)</f>
        <v>0</v>
      </c>
      <c r="AE382" s="398"/>
      <c r="AF382" s="324">
        <f ca="1">_xll.DBRW(Server&amp;Cube1,$N$15,$N$16,$N$17,$N$18,$N$14,$N$13,AF$2,AF$1,$B382)</f>
        <v>0</v>
      </c>
      <c r="AG382" s="324">
        <f ca="1">_xll.DBRW(Server&amp;Cube1,$N$15,$N$16,$N$17,$N$18,$N$14,$N$13,AG$2,AG$1,$B382)</f>
        <v>0</v>
      </c>
      <c r="AH382" s="404">
        <f ca="1">_xll.DBRW(Server&amp;Cube1,$N$15,$N$16,$N$17,$N$18,$N$14,$N$13,AH$2,AH$1,$B382)</f>
        <v>0</v>
      </c>
      <c r="AI382" s="398"/>
      <c r="AJ382" s="324">
        <f ca="1">_xll.DBRW(Server&amp;Cube1,$N$15,$N$16,$N$17,$N$18,$N$14,$N$13,AJ$2,AJ$1,$B382)</f>
        <v>0</v>
      </c>
      <c r="AK382" s="324">
        <f ca="1">_xll.DBRW(Server&amp;Cube1,$N$15,$N$16,$N$17,$N$18,$N$14,$N$13,AK$2,AK$1,$B382)</f>
        <v>0</v>
      </c>
      <c r="AL382" s="404">
        <f ca="1">_xll.DBRW(Server&amp;Cube1,$N$15,$N$16,$N$17,$N$18,$N$14,$N$13,AL$2,AL$1,$B382)</f>
        <v>0</v>
      </c>
      <c r="AM382" s="398"/>
      <c r="AN382" s="324">
        <f ca="1">_xll.DBRW(Server&amp;Cube1,$N$15,$N$16,$N$17,$N$18,$N$14,$N$13,AN$2,AN$1,$B382)</f>
        <v>0</v>
      </c>
      <c r="AO382" s="324">
        <f ca="1">_xll.DBRW(Server&amp;Cube1,$N$15,$N$16,$N$17,$N$18,$N$14,$N$13,AO$2,AO$1,$B382)</f>
        <v>0</v>
      </c>
      <c r="AP382" s="404">
        <f ca="1">_xll.DBRW(Server&amp;Cube1,$N$15,$N$16,$N$17,$N$18,$N$14,$N$13,AP$2,AP$1,$B382)</f>
        <v>0</v>
      </c>
      <c r="AQ382" s="398"/>
      <c r="AR382" s="324">
        <f ca="1">_xll.DBRW(Server&amp;Cube1,$N$15,$N$16,$N$17,$N$18,$N$14,$N$13,AR$2,AR$1,$B382)</f>
        <v>0</v>
      </c>
      <c r="AS382" s="324">
        <f ca="1">_xll.DBRW(Server&amp;Cube1,$N$15,$N$16,$N$17,$N$18,$N$14,$N$13,AS$2,AS$1,$B382)</f>
        <v>0</v>
      </c>
      <c r="AT382" s="404">
        <f ca="1">_xll.DBRW(Server&amp;Cube1,$N$15,$N$16,$N$17,$N$18,$N$14,$N$13,AT$2,AT$1,$B382)</f>
        <v>0</v>
      </c>
      <c r="AU382" s="398"/>
      <c r="AV382" s="324">
        <f ca="1">_xll.DBRW(Server&amp;Cube1,$N$15,$N$16,$N$17,$N$18,$N$14,$N$13,AV$2,AV$1,$B382)</f>
        <v>0</v>
      </c>
      <c r="AW382" s="324">
        <f ca="1">_xll.DBRW(Server&amp;Cube1,$N$15,$N$16,$N$17,$N$18,$N$14,$N$13,AW$2,AW$1,$B382)</f>
        <v>0</v>
      </c>
      <c r="AX382" s="404">
        <f ca="1">_xll.DBRW(Server&amp;Cube1,$N$15,$N$16,$N$17,$N$18,$N$14,$N$13,AX$2,AX$1,$B382)</f>
        <v>0</v>
      </c>
      <c r="AY382" s="398"/>
      <c r="AZ382" s="324">
        <f ca="1">_xll.DBRW(Server&amp;Cube1,$N$15,$N$16,$N$17,$N$18,$N$14,$N$13,AZ$2,AZ$1,$B382)</f>
        <v>0</v>
      </c>
      <c r="BA382" s="324">
        <f ca="1">_xll.DBRW(Server&amp;Cube1,$N$15,$N$16,$N$17,$N$18,$N$14,$N$13,BA$2,BA$1,$B382)</f>
        <v>0</v>
      </c>
      <c r="BB382" s="404">
        <f ca="1">_xll.DBRW(Server&amp;Cube1,$N$15,$N$16,$N$17,$N$18,$N$14,$N$13,BB$2,BB$1,$B382)</f>
        <v>0</v>
      </c>
      <c r="BC382" s="398"/>
      <c r="BD382" s="324">
        <f ca="1">_xll.DBRW(Server&amp;Cube1,$N$15,$N$16,$N$17,$N$18,$N$14,$N$13,BD$2,BD$1,$B382)</f>
        <v>0</v>
      </c>
      <c r="BE382" s="324">
        <f ca="1">_xll.DBRW(Server&amp;Cube1,$N$15,$N$16,$N$17,$N$18,$N$14,$N$13,BE$2,BE$1,$B382)</f>
        <v>0</v>
      </c>
      <c r="BF382" s="404">
        <f ca="1">_xll.DBRW(Server&amp;Cube1,$N$15,$N$16,$N$17,$N$18,$N$14,$N$13,BF$2,BF$1,$B382)</f>
        <v>0</v>
      </c>
      <c r="BG382" s="398"/>
      <c r="BH382" s="324">
        <f ca="1">_xll.DBRW(Server&amp;Cube1,$N$15,$N$16,$N$17,$N$18,$N$14,$N$13,BH$2,BH$1,$B382)</f>
        <v>0</v>
      </c>
      <c r="BI382" s="324">
        <f ca="1">_xll.DBRW(Server&amp;Cube1,$N$15,$N$16,$N$17,$N$18,$N$14,$N$13,BI$2,BI$1,$B382)</f>
        <v>0</v>
      </c>
      <c r="BJ382" s="404">
        <f ca="1">_xll.DBRW(Server&amp;Cube1,$N$15,$N$16,$N$17,$N$18,$N$14,$N$13,BJ$2,BJ$1,$B382)</f>
        <v>0</v>
      </c>
      <c r="BK382" s="398"/>
      <c r="BL382" s="324">
        <f ca="1">_xll.DBRW(Server&amp;Cube1,$N$15,$N$16,$N$17,$N$18,$N$14,$N$13,BL$2,BL$1,$B382)</f>
        <v>0</v>
      </c>
      <c r="BM382" s="324">
        <f ca="1">_xll.DBRW(Server&amp;Cube1,$N$15,$N$16,$N$17,$N$18,$N$14,$N$13,BM$2,BM$1,$B382)</f>
        <v>0</v>
      </c>
      <c r="BN382" s="404">
        <f ca="1">_xll.DBRW(Server&amp;Cube1,$N$15,$N$16,$N$17,$N$18,$N$14,$N$13,BN$2,BN$1,$B382)</f>
        <v>0</v>
      </c>
      <c r="BO382" s="398"/>
      <c r="BP382" s="324">
        <f ca="1">_xll.DBRW(Server&amp;Cube1,$N$15,$N$16,$N$17,$N$18,$N$14,$N$13,BP$2,BP$1,$B382)</f>
        <v>0</v>
      </c>
      <c r="BQ382" s="324">
        <f ca="1">_xll.DBRW(Server&amp;Cube1,$N$15,$N$16,$N$17,$N$18,$N$14,$N$13,BQ$2,BQ$1,$B382)</f>
        <v>0</v>
      </c>
      <c r="BR382" s="404">
        <f ca="1">_xll.DBRW(Server&amp;Cube1,$N$15,$N$16,$N$17,$N$18,$N$14,$N$13,BR$2,BR$1,$B382)</f>
        <v>0</v>
      </c>
      <c r="BS382" s="398"/>
      <c r="BT382" s="324">
        <f ca="1">_xll.DBRW(Server&amp;Cube1,$N$15,$N$16,$N$17,$N$18,$N$14,$N$13,BT$2,BT$1,$B382)</f>
        <v>0</v>
      </c>
      <c r="BU382" s="324">
        <f ca="1">_xll.DBRW(Server&amp;Cube1,$N$15,$N$16,$N$17,$N$18,$N$14,$N$13,BU$2,BU$1,$B382)</f>
        <v>0</v>
      </c>
      <c r="BV382" s="404">
        <f ca="1">_xll.DBRW(Server&amp;Cube1,$N$15,$N$16,$N$17,$N$18,$N$14,$N$13,BV$2,BV$1,$B382)</f>
        <v>0</v>
      </c>
      <c r="BW382" s="101"/>
      <c r="BX382" s="28"/>
      <c r="BZ382" s="371"/>
    </row>
    <row r="383" spans="1:78" s="34" customFormat="1" ht="27.75" customHeight="1" collapsed="1" thickBot="1" x14ac:dyDescent="0.35">
      <c r="A383" s="57"/>
      <c r="B383" s="360" t="s">
        <v>99</v>
      </c>
      <c r="C383" s="9"/>
      <c r="D383" s="1"/>
      <c r="E383" s="1"/>
      <c r="H383" s="360"/>
      <c r="I383" s="95"/>
      <c r="J383" s="58"/>
      <c r="K383" s="100"/>
      <c r="L383" s="586"/>
      <c r="M383" s="591" t="str">
        <f ca="1">IF(OR(O393="Not defined",O393="Non défini",O395="Not defined",O395="Non défini"),_xll.DBRA(Server&amp;$B$32,$B383,$N$19),_xll.DBRA(Server&amp;Context!$B$32,Context!$B$49,$N$19)&amp;" "&amp;O395)</f>
        <v>M3 - Revenue per price work unit</v>
      </c>
      <c r="N383" s="591"/>
      <c r="O383" s="591"/>
      <c r="P383" s="211"/>
      <c r="Q383" s="327">
        <f ca="1">_xll.DBRW(Server&amp;Cube1,$N$15,$N$16,$N$17,$N$18,$N$14,$N$13,$N$11,$Q$1,$B383)</f>
        <v>0</v>
      </c>
      <c r="R383" s="328">
        <f ca="1">_xll.DBRW(Server&amp;Cube1,$N$15,$N$16,$N$17,$N$18,$N$14,$N$13,$R$2,$R$1,$B383)</f>
        <v>0</v>
      </c>
      <c r="S383" s="329">
        <f ca="1">Q383-R383</f>
        <v>0</v>
      </c>
      <c r="T383" s="330"/>
      <c r="U383" s="245"/>
      <c r="V383" s="333">
        <f ca="1">_xll.DBRW(Server&amp;Cube1,$N$15,$N$16,$N$17,$N$18,$N$14,$N$13,$V$2,$V$1,$B383)</f>
        <v>0</v>
      </c>
      <c r="W383" s="329">
        <f ca="1">$Q383-V383</f>
        <v>0</v>
      </c>
      <c r="X383" s="330"/>
      <c r="Y383" s="101"/>
      <c r="Z383" s="398"/>
      <c r="AA383" s="100"/>
      <c r="AB383" s="327">
        <f ca="1">_xll.DBRW(Server&amp;Cube1,$N$15,$N$16,$N$17,$N$18,$N$14,$N$13,AB$2,AB$1,$B383)</f>
        <v>0</v>
      </c>
      <c r="AC383" s="327">
        <f ca="1">_xll.DBRW(Server&amp;Cube1,$N$15,$N$16,$N$17,$N$18,$N$14,$N$13,AC$2,AC$1,$B383)</f>
        <v>0</v>
      </c>
      <c r="AD383" s="405">
        <f ca="1">_xll.DBRW(Server&amp;Cube1,$N$15,$N$16,$N$17,$N$18,$N$14,$N$13,AD$2,AD$1,$B383)</f>
        <v>0</v>
      </c>
      <c r="AE383" s="398"/>
      <c r="AF383" s="327">
        <f ca="1">_xll.DBRW(Server&amp;Cube1,$N$15,$N$16,$N$17,$N$18,$N$14,$N$13,AF$2,AF$1,$B383)</f>
        <v>0</v>
      </c>
      <c r="AG383" s="327">
        <f ca="1">_xll.DBRW(Server&amp;Cube1,$N$15,$N$16,$N$17,$N$18,$N$14,$N$13,AG$2,AG$1,$B383)</f>
        <v>0</v>
      </c>
      <c r="AH383" s="405">
        <f ca="1">_xll.DBRW(Server&amp;Cube1,$N$15,$N$16,$N$17,$N$18,$N$14,$N$13,AH$2,AH$1,$B383)</f>
        <v>0</v>
      </c>
      <c r="AI383" s="398"/>
      <c r="AJ383" s="327">
        <f ca="1">_xll.DBRW(Server&amp;Cube1,$N$15,$N$16,$N$17,$N$18,$N$14,$N$13,AJ$2,AJ$1,$B383)</f>
        <v>0</v>
      </c>
      <c r="AK383" s="327">
        <f ca="1">_xll.DBRW(Server&amp;Cube1,$N$15,$N$16,$N$17,$N$18,$N$14,$N$13,AK$2,AK$1,$B383)</f>
        <v>0</v>
      </c>
      <c r="AL383" s="405">
        <f ca="1">_xll.DBRW(Server&amp;Cube1,$N$15,$N$16,$N$17,$N$18,$N$14,$N$13,AL$2,AL$1,$B383)</f>
        <v>0</v>
      </c>
      <c r="AM383" s="398"/>
      <c r="AN383" s="327">
        <f ca="1">_xll.DBRW(Server&amp;Cube1,$N$15,$N$16,$N$17,$N$18,$N$14,$N$13,AN$2,AN$1,$B383)</f>
        <v>0</v>
      </c>
      <c r="AO383" s="327">
        <f ca="1">_xll.DBRW(Server&amp;Cube1,$N$15,$N$16,$N$17,$N$18,$N$14,$N$13,AO$2,AO$1,$B383)</f>
        <v>0</v>
      </c>
      <c r="AP383" s="405">
        <f ca="1">_xll.DBRW(Server&amp;Cube1,$N$15,$N$16,$N$17,$N$18,$N$14,$N$13,AP$2,AP$1,$B383)</f>
        <v>0</v>
      </c>
      <c r="AQ383" s="398"/>
      <c r="AR383" s="327">
        <f ca="1">_xll.DBRW(Server&amp;Cube1,$N$15,$N$16,$N$17,$N$18,$N$14,$N$13,AR$2,AR$1,$B383)</f>
        <v>0</v>
      </c>
      <c r="AS383" s="327">
        <f ca="1">_xll.DBRW(Server&amp;Cube1,$N$15,$N$16,$N$17,$N$18,$N$14,$N$13,AS$2,AS$1,$B383)</f>
        <v>0</v>
      </c>
      <c r="AT383" s="405">
        <f ca="1">_xll.DBRW(Server&amp;Cube1,$N$15,$N$16,$N$17,$N$18,$N$14,$N$13,AT$2,AT$1,$B383)</f>
        <v>0</v>
      </c>
      <c r="AU383" s="398"/>
      <c r="AV383" s="327">
        <f ca="1">_xll.DBRW(Server&amp;Cube1,$N$15,$N$16,$N$17,$N$18,$N$14,$N$13,AV$2,AV$1,$B383)</f>
        <v>0</v>
      </c>
      <c r="AW383" s="327">
        <f ca="1">_xll.DBRW(Server&amp;Cube1,$N$15,$N$16,$N$17,$N$18,$N$14,$N$13,AW$2,AW$1,$B383)</f>
        <v>0</v>
      </c>
      <c r="AX383" s="405">
        <f ca="1">_xll.DBRW(Server&amp;Cube1,$N$15,$N$16,$N$17,$N$18,$N$14,$N$13,AX$2,AX$1,$B383)</f>
        <v>0</v>
      </c>
      <c r="AY383" s="398"/>
      <c r="AZ383" s="327">
        <f ca="1">_xll.DBRW(Server&amp;Cube1,$N$15,$N$16,$N$17,$N$18,$N$14,$N$13,AZ$2,AZ$1,$B383)</f>
        <v>0</v>
      </c>
      <c r="BA383" s="327">
        <f ca="1">_xll.DBRW(Server&amp;Cube1,$N$15,$N$16,$N$17,$N$18,$N$14,$N$13,BA$2,BA$1,$B383)</f>
        <v>0</v>
      </c>
      <c r="BB383" s="405">
        <f ca="1">_xll.DBRW(Server&amp;Cube1,$N$15,$N$16,$N$17,$N$18,$N$14,$N$13,BB$2,BB$1,$B383)</f>
        <v>0</v>
      </c>
      <c r="BC383" s="398"/>
      <c r="BD383" s="327">
        <f ca="1">_xll.DBRW(Server&amp;Cube1,$N$15,$N$16,$N$17,$N$18,$N$14,$N$13,BD$2,BD$1,$B383)</f>
        <v>0</v>
      </c>
      <c r="BE383" s="327">
        <f ca="1">_xll.DBRW(Server&amp;Cube1,$N$15,$N$16,$N$17,$N$18,$N$14,$N$13,BE$2,BE$1,$B383)</f>
        <v>0</v>
      </c>
      <c r="BF383" s="405">
        <f ca="1">_xll.DBRW(Server&amp;Cube1,$N$15,$N$16,$N$17,$N$18,$N$14,$N$13,BF$2,BF$1,$B383)</f>
        <v>0</v>
      </c>
      <c r="BG383" s="398"/>
      <c r="BH383" s="327">
        <f ca="1">_xll.DBRW(Server&amp;Cube1,$N$15,$N$16,$N$17,$N$18,$N$14,$N$13,BH$2,BH$1,$B383)</f>
        <v>0</v>
      </c>
      <c r="BI383" s="327">
        <f ca="1">_xll.DBRW(Server&amp;Cube1,$N$15,$N$16,$N$17,$N$18,$N$14,$N$13,BI$2,BI$1,$B383)</f>
        <v>0</v>
      </c>
      <c r="BJ383" s="405">
        <f ca="1">_xll.DBRW(Server&amp;Cube1,$N$15,$N$16,$N$17,$N$18,$N$14,$N$13,BJ$2,BJ$1,$B383)</f>
        <v>0</v>
      </c>
      <c r="BK383" s="398"/>
      <c r="BL383" s="327">
        <f ca="1">_xll.DBRW(Server&amp;Cube1,$N$15,$N$16,$N$17,$N$18,$N$14,$N$13,BL$2,BL$1,$B383)</f>
        <v>0</v>
      </c>
      <c r="BM383" s="327">
        <f ca="1">_xll.DBRW(Server&amp;Cube1,$N$15,$N$16,$N$17,$N$18,$N$14,$N$13,BM$2,BM$1,$B383)</f>
        <v>0</v>
      </c>
      <c r="BN383" s="405">
        <f ca="1">_xll.DBRW(Server&amp;Cube1,$N$15,$N$16,$N$17,$N$18,$N$14,$N$13,BN$2,BN$1,$B383)</f>
        <v>0</v>
      </c>
      <c r="BO383" s="398"/>
      <c r="BP383" s="327">
        <f ca="1">_xll.DBRW(Server&amp;Cube1,$N$15,$N$16,$N$17,$N$18,$N$14,$N$13,BP$2,BP$1,$B383)</f>
        <v>0</v>
      </c>
      <c r="BQ383" s="327">
        <f ca="1">_xll.DBRW(Server&amp;Cube1,$N$15,$N$16,$N$17,$N$18,$N$14,$N$13,BQ$2,BQ$1,$B383)</f>
        <v>0</v>
      </c>
      <c r="BR383" s="405">
        <f ca="1">_xll.DBRW(Server&amp;Cube1,$N$15,$N$16,$N$17,$N$18,$N$14,$N$13,BR$2,BR$1,$B383)</f>
        <v>0</v>
      </c>
      <c r="BS383" s="398"/>
      <c r="BT383" s="327">
        <f ca="1">_xll.DBRW(Server&amp;Cube1,$N$15,$N$16,$N$17,$N$18,$N$14,$N$13,BT$2,BT$1,$B383)</f>
        <v>0</v>
      </c>
      <c r="BU383" s="327">
        <f ca="1">_xll.DBRW(Server&amp;Cube1,$N$15,$N$16,$N$17,$N$18,$N$14,$N$13,BU$2,BU$1,$B383)</f>
        <v>0</v>
      </c>
      <c r="BV383" s="405">
        <f ca="1">_xll.DBRW(Server&amp;Cube1,$N$15,$N$16,$N$17,$N$18,$N$14,$N$13,BV$2,BV$1,$B383)</f>
        <v>0</v>
      </c>
      <c r="BW383" s="101"/>
      <c r="BX383" s="28"/>
    </row>
    <row r="384" spans="1:78" ht="3.75" hidden="1" customHeight="1" outlineLevel="1" thickTop="1" x14ac:dyDescent="0.25">
      <c r="A384" s="57"/>
      <c r="B384" s="360"/>
      <c r="H384" s="360"/>
      <c r="I384" s="95"/>
      <c r="J384" s="58"/>
      <c r="K384" s="100"/>
      <c r="L384" s="586"/>
      <c r="M384" s="304"/>
      <c r="N384" s="304"/>
      <c r="O384" s="304"/>
      <c r="P384" s="62"/>
      <c r="Q384" s="338"/>
      <c r="R384" s="339"/>
      <c r="S384" s="340"/>
      <c r="T384" s="341"/>
      <c r="U384" s="215"/>
      <c r="V384" s="338"/>
      <c r="W384" s="340"/>
      <c r="X384" s="341"/>
      <c r="Y384" s="101"/>
      <c r="Z384" s="398"/>
      <c r="AA384" s="100"/>
      <c r="AB384" s="338"/>
      <c r="AC384" s="338"/>
      <c r="AD384" s="414"/>
      <c r="AE384" s="398"/>
      <c r="AF384" s="338"/>
      <c r="AG384" s="338"/>
      <c r="AH384" s="414"/>
      <c r="AI384" s="398"/>
      <c r="AJ384" s="338"/>
      <c r="AK384" s="338"/>
      <c r="AL384" s="414"/>
      <c r="AM384" s="398"/>
      <c r="AN384" s="338"/>
      <c r="AO384" s="338"/>
      <c r="AP384" s="414"/>
      <c r="AQ384" s="398"/>
      <c r="AR384" s="338"/>
      <c r="AS384" s="338"/>
      <c r="AT384" s="414"/>
      <c r="AU384" s="398"/>
      <c r="AV384" s="338"/>
      <c r="AW384" s="338"/>
      <c r="AX384" s="414"/>
      <c r="AY384" s="398"/>
      <c r="AZ384" s="338"/>
      <c r="BA384" s="338"/>
      <c r="BB384" s="414"/>
      <c r="BC384" s="398"/>
      <c r="BD384" s="338"/>
      <c r="BE384" s="338"/>
      <c r="BF384" s="414"/>
      <c r="BG384" s="398"/>
      <c r="BH384" s="338"/>
      <c r="BI384" s="338"/>
      <c r="BJ384" s="414"/>
      <c r="BK384" s="398"/>
      <c r="BL384" s="338"/>
      <c r="BM384" s="338"/>
      <c r="BN384" s="414"/>
      <c r="BO384" s="398"/>
      <c r="BP384" s="338"/>
      <c r="BQ384" s="338"/>
      <c r="BR384" s="414"/>
      <c r="BS384" s="398"/>
      <c r="BT384" s="338"/>
      <c r="BU384" s="338"/>
      <c r="BV384" s="414"/>
      <c r="BW384" s="101"/>
      <c r="BX384" s="28"/>
      <c r="BZ384" s="367"/>
    </row>
    <row r="385" spans="1:78" s="34" customFormat="1" ht="21.75" hidden="1" customHeight="1" outlineLevel="1" x14ac:dyDescent="0.25">
      <c r="A385" s="57"/>
      <c r="B385" s="360" t="s">
        <v>87</v>
      </c>
      <c r="C385" s="9"/>
      <c r="D385" s="360" t="b">
        <f ca="1">AND($Q393&lt;&gt;0,$R393&lt;&gt;0)</f>
        <v>0</v>
      </c>
      <c r="E385" s="360"/>
      <c r="F385" s="360" t="b">
        <f ca="1">AND($Q393&lt;&gt;0,$V393&lt;&gt;0)</f>
        <v>0</v>
      </c>
      <c r="H385" s="360"/>
      <c r="I385" s="95"/>
      <c r="J385" s="58"/>
      <c r="K385" s="100"/>
      <c r="L385" s="586"/>
      <c r="M385" s="592" t="str">
        <f ca="1">_xll.DBRA(Server&amp;$B$32,$B385,$N$19)</f>
        <v>M1 - Maintenance cost variance - Cost effect</v>
      </c>
      <c r="N385" s="592"/>
      <c r="O385" s="593"/>
      <c r="P385" s="246"/>
      <c r="Q385" s="249"/>
      <c r="R385" s="250"/>
      <c r="S385" s="251">
        <f ca="1">IF(D385,-1*S381*Q393,0)</f>
        <v>0</v>
      </c>
      <c r="T385" s="305">
        <f ca="1">IF(ISERROR(S385/#REF!*100),,S385/#REF!*100)</f>
        <v>0</v>
      </c>
      <c r="U385" s="245"/>
      <c r="V385" s="252"/>
      <c r="W385" s="251">
        <f ca="1">IF(F385,-1*W381*$Q393,0)</f>
        <v>0</v>
      </c>
      <c r="X385" s="309">
        <f ca="1">IF(ISERROR(W385/#REF!*100),,W385/#REF!*100)</f>
        <v>0</v>
      </c>
      <c r="Y385" s="101"/>
      <c r="Z385" s="398"/>
      <c r="AA385" s="100"/>
      <c r="AB385" s="342"/>
      <c r="AC385" s="342"/>
      <c r="AD385" s="407"/>
      <c r="AE385" s="398"/>
      <c r="AF385" s="342"/>
      <c r="AG385" s="342"/>
      <c r="AH385" s="407"/>
      <c r="AI385" s="398"/>
      <c r="AJ385" s="342"/>
      <c r="AK385" s="342"/>
      <c r="AL385" s="407"/>
      <c r="AM385" s="398"/>
      <c r="AN385" s="342"/>
      <c r="AO385" s="342"/>
      <c r="AP385" s="407"/>
      <c r="AQ385" s="398"/>
      <c r="AR385" s="342"/>
      <c r="AS385" s="342"/>
      <c r="AT385" s="407"/>
      <c r="AU385" s="398"/>
      <c r="AV385" s="342"/>
      <c r="AW385" s="342"/>
      <c r="AX385" s="407"/>
      <c r="AY385" s="398"/>
      <c r="AZ385" s="342"/>
      <c r="BA385" s="342"/>
      <c r="BB385" s="407"/>
      <c r="BC385" s="398"/>
      <c r="BD385" s="342"/>
      <c r="BE385" s="342"/>
      <c r="BF385" s="407"/>
      <c r="BG385" s="398"/>
      <c r="BH385" s="342"/>
      <c r="BI385" s="342"/>
      <c r="BJ385" s="407"/>
      <c r="BK385" s="398"/>
      <c r="BL385" s="342"/>
      <c r="BM385" s="342"/>
      <c r="BN385" s="407"/>
      <c r="BO385" s="398"/>
      <c r="BP385" s="342"/>
      <c r="BQ385" s="342"/>
      <c r="BR385" s="407"/>
      <c r="BS385" s="398"/>
      <c r="BT385" s="342"/>
      <c r="BU385" s="342"/>
      <c r="BV385" s="407"/>
      <c r="BW385" s="101"/>
      <c r="BX385" s="28"/>
    </row>
    <row r="386" spans="1:78" s="34" customFormat="1" ht="21.75" hidden="1" customHeight="1" outlineLevel="1" x14ac:dyDescent="0.25">
      <c r="A386" s="57"/>
      <c r="B386" s="360" t="s">
        <v>88</v>
      </c>
      <c r="C386" s="9"/>
      <c r="D386" s="360" t="b">
        <f ca="1">AND($Q395&lt;&gt;0,$R395&lt;&gt;0,$Q393&lt;&gt;0,$R393&lt;&gt;0)</f>
        <v>0</v>
      </c>
      <c r="E386" s="360"/>
      <c r="F386" s="360" t="b">
        <f ca="1">AND($Q395&lt;&gt;0,$V395&lt;&gt;0,$Q393&lt;&gt;0,$V393&lt;&gt;0)</f>
        <v>0</v>
      </c>
      <c r="H386" s="360"/>
      <c r="I386" s="95"/>
      <c r="J386" s="58"/>
      <c r="K386" s="100"/>
      <c r="L386" s="586"/>
      <c r="M386" s="573" t="str">
        <f ca="1">_xll.DBRA(Server&amp;$B$32,$B386,$N$19)</f>
        <v>M2 - Maintenance cost variance - Efficiency effect</v>
      </c>
      <c r="N386" s="573"/>
      <c r="O386" s="574"/>
      <c r="P386" s="246"/>
      <c r="Q386" s="249"/>
      <c r="R386" s="253"/>
      <c r="S386" s="251">
        <f ca="1">IF(D386,IF(Q382&lt;&gt;0,S382/Q382*$Q$62,0),0)</f>
        <v>0</v>
      </c>
      <c r="T386" s="305">
        <f ca="1">IF(ISERROR(S386/$Q$36*100),,S386/$Q$36*100)</f>
        <v>0</v>
      </c>
      <c r="U386" s="245"/>
      <c r="V386" s="252"/>
      <c r="W386" s="251">
        <f ca="1">IF(F386,IF($Q382&lt;&gt;0,W382/$Q382*$Q$62,0),0)</f>
        <v>0</v>
      </c>
      <c r="X386" s="309">
        <f ca="1">IF(ISERROR(W386/$Q$36*100),,W386/$Q$36*100)</f>
        <v>0</v>
      </c>
      <c r="Y386" s="101"/>
      <c r="Z386" s="398"/>
      <c r="AA386" s="100"/>
      <c r="AB386" s="342"/>
      <c r="AC386" s="342"/>
      <c r="AD386" s="407"/>
      <c r="AE386" s="398"/>
      <c r="AF386" s="342"/>
      <c r="AG386" s="342"/>
      <c r="AH386" s="407"/>
      <c r="AI386" s="398"/>
      <c r="AJ386" s="342"/>
      <c r="AK386" s="342"/>
      <c r="AL386" s="407"/>
      <c r="AM386" s="398"/>
      <c r="AN386" s="342"/>
      <c r="AO386" s="342"/>
      <c r="AP386" s="407"/>
      <c r="AQ386" s="398"/>
      <c r="AR386" s="342"/>
      <c r="AS386" s="342"/>
      <c r="AT386" s="407"/>
      <c r="AU386" s="398"/>
      <c r="AV386" s="342"/>
      <c r="AW386" s="342"/>
      <c r="AX386" s="407"/>
      <c r="AY386" s="398"/>
      <c r="AZ386" s="342"/>
      <c r="BA386" s="342"/>
      <c r="BB386" s="407"/>
      <c r="BC386" s="398"/>
      <c r="BD386" s="342"/>
      <c r="BE386" s="342"/>
      <c r="BF386" s="407"/>
      <c r="BG386" s="398"/>
      <c r="BH386" s="342"/>
      <c r="BI386" s="342"/>
      <c r="BJ386" s="407"/>
      <c r="BK386" s="398"/>
      <c r="BL386" s="342"/>
      <c r="BM386" s="342"/>
      <c r="BN386" s="407"/>
      <c r="BO386" s="398"/>
      <c r="BP386" s="342"/>
      <c r="BQ386" s="342"/>
      <c r="BR386" s="407"/>
      <c r="BS386" s="398"/>
      <c r="BT386" s="342"/>
      <c r="BU386" s="342"/>
      <c r="BV386" s="407"/>
      <c r="BW386" s="101"/>
      <c r="BX386" s="28"/>
    </row>
    <row r="387" spans="1:78" s="34" customFormat="1" ht="21.75" hidden="1" customHeight="1" outlineLevel="1" x14ac:dyDescent="0.25">
      <c r="A387" s="57"/>
      <c r="B387" s="360" t="s">
        <v>89</v>
      </c>
      <c r="C387" s="9"/>
      <c r="D387" s="360" t="b">
        <f ca="1">AND($Q395&lt;&gt;0,$R395&lt;&gt;0)</f>
        <v>0</v>
      </c>
      <c r="E387" s="360"/>
      <c r="F387" s="360" t="b">
        <f ca="1">AND($Q395&lt;&gt;0,$V395&lt;&gt;0)</f>
        <v>0</v>
      </c>
      <c r="H387" s="360"/>
      <c r="I387" s="95"/>
      <c r="J387" s="58"/>
      <c r="K387" s="100"/>
      <c r="L387" s="586"/>
      <c r="M387" s="573" t="str">
        <f ca="1">_xll.DBRA(Server&amp;$B$32,$B387,$N$19)</f>
        <v>M3 - Maintenance cost variance - Price effect</v>
      </c>
      <c r="N387" s="573"/>
      <c r="O387" s="574"/>
      <c r="P387" s="246"/>
      <c r="Q387" s="249"/>
      <c r="R387" s="253"/>
      <c r="S387" s="251">
        <f ca="1">IF(D387,Q380*S383*Q395,0)</f>
        <v>0</v>
      </c>
      <c r="T387" s="305">
        <f ca="1">IF(ISERROR(S387/$Q$36*100),,S387/$Q$36*100)</f>
        <v>0</v>
      </c>
      <c r="U387" s="245"/>
      <c r="V387" s="252"/>
      <c r="W387" s="254">
        <f ca="1">IF(F387,$Q380*W383*$Q395,0)</f>
        <v>0</v>
      </c>
      <c r="X387" s="309">
        <f ca="1">IF(ISERROR(W387/$Q$36*100),,W387/$Q$36*100)</f>
        <v>0</v>
      </c>
      <c r="Y387" s="101"/>
      <c r="Z387" s="398"/>
      <c r="AA387" s="100"/>
      <c r="AB387" s="342"/>
      <c r="AC387" s="342"/>
      <c r="AD387" s="407"/>
      <c r="AE387" s="398"/>
      <c r="AF387" s="342"/>
      <c r="AG387" s="342"/>
      <c r="AH387" s="407"/>
      <c r="AI387" s="398"/>
      <c r="AJ387" s="342"/>
      <c r="AK387" s="342"/>
      <c r="AL387" s="407"/>
      <c r="AM387" s="398"/>
      <c r="AN387" s="342"/>
      <c r="AO387" s="342"/>
      <c r="AP387" s="407"/>
      <c r="AQ387" s="398"/>
      <c r="AR387" s="342"/>
      <c r="AS387" s="342"/>
      <c r="AT387" s="407"/>
      <c r="AU387" s="398"/>
      <c r="AV387" s="342"/>
      <c r="AW387" s="342"/>
      <c r="AX387" s="407"/>
      <c r="AY387" s="398"/>
      <c r="AZ387" s="342"/>
      <c r="BA387" s="342"/>
      <c r="BB387" s="407"/>
      <c r="BC387" s="398"/>
      <c r="BD387" s="342"/>
      <c r="BE387" s="342"/>
      <c r="BF387" s="407"/>
      <c r="BG387" s="398"/>
      <c r="BH387" s="342"/>
      <c r="BI387" s="342"/>
      <c r="BJ387" s="407"/>
      <c r="BK387" s="398"/>
      <c r="BL387" s="342"/>
      <c r="BM387" s="342"/>
      <c r="BN387" s="407"/>
      <c r="BO387" s="398"/>
      <c r="BP387" s="342"/>
      <c r="BQ387" s="342"/>
      <c r="BR387" s="407"/>
      <c r="BS387" s="398"/>
      <c r="BT387" s="342"/>
      <c r="BU387" s="342"/>
      <c r="BV387" s="407"/>
      <c r="BW387" s="101"/>
      <c r="BX387" s="28"/>
    </row>
    <row r="388" spans="1:78" s="34" customFormat="1" ht="21.75" hidden="1" customHeight="1" outlineLevel="1" x14ac:dyDescent="0.25">
      <c r="A388" s="57"/>
      <c r="B388" s="360" t="s">
        <v>102</v>
      </c>
      <c r="C388" s="9"/>
      <c r="D388" s="360" t="b">
        <f ca="1">AND($Q395&lt;&gt;0,$R395&lt;&gt;0,$Q393&lt;&gt;0,$R393&lt;&gt;0)</f>
        <v>0</v>
      </c>
      <c r="E388" s="360"/>
      <c r="F388" s="360" t="b">
        <f ca="1">AND($Q395&lt;&gt;0,$V395&lt;&gt;0,$Q393&lt;&gt;0,$V393&lt;&gt;0)</f>
        <v>0</v>
      </c>
      <c r="H388" s="360"/>
      <c r="I388" s="95"/>
      <c r="J388" s="58"/>
      <c r="K388" s="100"/>
      <c r="L388" s="586"/>
      <c r="M388" s="575" t="str">
        <f ca="1">_xll.DBRA(Server&amp;$B$32,$B388,$N$19)</f>
        <v>M - Compound</v>
      </c>
      <c r="N388" s="575"/>
      <c r="O388" s="576"/>
      <c r="P388" s="246"/>
      <c r="Q388" s="249"/>
      <c r="R388" s="253"/>
      <c r="S388" s="255">
        <f ca="1">IF(D388,$S62-S385-S386-S387-S391,0)</f>
        <v>0</v>
      </c>
      <c r="T388" s="306">
        <f ca="1">IF(ISERROR(S388/$Q$36*100),,S388/$Q$36*100)</f>
        <v>0</v>
      </c>
      <c r="U388" s="245"/>
      <c r="V388" s="252"/>
      <c r="W388" s="255">
        <f ca="1">IF(F388,$W62-W385-W386-W387-W391,0)</f>
        <v>0</v>
      </c>
      <c r="X388" s="306">
        <f ca="1">IF(ISERROR(W388/$Q$36*100),,W388/$Q$36*100)</f>
        <v>0</v>
      </c>
      <c r="Y388" s="101"/>
      <c r="Z388" s="398"/>
      <c r="AA388" s="100"/>
      <c r="AB388" s="342"/>
      <c r="AC388" s="342"/>
      <c r="AD388" s="407"/>
      <c r="AE388" s="398"/>
      <c r="AF388" s="342"/>
      <c r="AG388" s="342"/>
      <c r="AH388" s="407"/>
      <c r="AI388" s="398"/>
      <c r="AJ388" s="342"/>
      <c r="AK388" s="342"/>
      <c r="AL388" s="407"/>
      <c r="AM388" s="398"/>
      <c r="AN388" s="342"/>
      <c r="AO388" s="342"/>
      <c r="AP388" s="407"/>
      <c r="AQ388" s="398"/>
      <c r="AR388" s="342"/>
      <c r="AS388" s="342"/>
      <c r="AT388" s="407"/>
      <c r="AU388" s="398"/>
      <c r="AV388" s="342"/>
      <c r="AW388" s="342"/>
      <c r="AX388" s="407"/>
      <c r="AY388" s="398"/>
      <c r="AZ388" s="342"/>
      <c r="BA388" s="342"/>
      <c r="BB388" s="407"/>
      <c r="BC388" s="398"/>
      <c r="BD388" s="342"/>
      <c r="BE388" s="342"/>
      <c r="BF388" s="407"/>
      <c r="BG388" s="398"/>
      <c r="BH388" s="342"/>
      <c r="BI388" s="342"/>
      <c r="BJ388" s="407"/>
      <c r="BK388" s="398"/>
      <c r="BL388" s="342"/>
      <c r="BM388" s="342"/>
      <c r="BN388" s="407"/>
      <c r="BO388" s="398"/>
      <c r="BP388" s="342"/>
      <c r="BQ388" s="342"/>
      <c r="BR388" s="407"/>
      <c r="BS388" s="398"/>
      <c r="BT388" s="342"/>
      <c r="BU388" s="342"/>
      <c r="BV388" s="407"/>
      <c r="BW388" s="101"/>
      <c r="BX388" s="28"/>
    </row>
    <row r="389" spans="1:78" s="34" customFormat="1" ht="21.75" hidden="1" customHeight="1" outlineLevel="1" x14ac:dyDescent="0.25">
      <c r="A389" s="57"/>
      <c r="B389" s="380" t="s">
        <v>143</v>
      </c>
      <c r="C389" s="9"/>
      <c r="D389" s="360" t="b">
        <f ca="1">OR($Q395=0,$R395=0,$Q393=0,$R393=0)</f>
        <v>1</v>
      </c>
      <c r="E389" s="360"/>
      <c r="F389" s="360" t="b">
        <f ca="1">OR($Q395=0,$V395=0,$Q393=0,$V393=0)</f>
        <v>1</v>
      </c>
      <c r="H389" s="380"/>
      <c r="I389" s="95"/>
      <c r="J389" s="58"/>
      <c r="K389" s="100"/>
      <c r="L389" s="586"/>
      <c r="M389" s="577" t="str">
        <f ca="1">_xll.DBRA(Server&amp;$B$32,$B389,$N$19)</f>
        <v>M - Maintenance cost variance not addressed due to missing Work Unit(s)</v>
      </c>
      <c r="N389" s="577"/>
      <c r="O389" s="578"/>
      <c r="P389" s="256"/>
      <c r="Q389" s="257"/>
      <c r="R389" s="258"/>
      <c r="S389" s="259">
        <f ca="1">IF(D389,S$62-S385-S386-S387-S391,0)</f>
        <v>67256732.806330919</v>
      </c>
      <c r="T389" s="307">
        <f ca="1">IF(ISERROR(S389/$Q$36*100),,S389/$Q$36*100)</f>
        <v>0.4312195435632154</v>
      </c>
      <c r="U389" s="260"/>
      <c r="V389" s="261"/>
      <c r="W389" s="255">
        <f ca="1">IF(F389,$W$62-W385-W386-W387-W391,0)</f>
        <v>339245357.56435299</v>
      </c>
      <c r="X389" s="307">
        <f ca="1">IF(ISERROR(W389/$Q$36*100),,W389/$Q$36*100)</f>
        <v>2.1750867480596647</v>
      </c>
      <c r="Y389" s="101"/>
      <c r="Z389" s="398"/>
      <c r="AA389" s="100"/>
      <c r="AB389" s="343"/>
      <c r="AC389" s="343"/>
      <c r="AD389" s="408"/>
      <c r="AE389" s="398"/>
      <c r="AF389" s="343"/>
      <c r="AG389" s="343"/>
      <c r="AH389" s="408"/>
      <c r="AI389" s="398"/>
      <c r="AJ389" s="343"/>
      <c r="AK389" s="343"/>
      <c r="AL389" s="408"/>
      <c r="AM389" s="398"/>
      <c r="AN389" s="343"/>
      <c r="AO389" s="343"/>
      <c r="AP389" s="408"/>
      <c r="AQ389" s="398"/>
      <c r="AR389" s="343"/>
      <c r="AS389" s="343"/>
      <c r="AT389" s="408"/>
      <c r="AU389" s="398"/>
      <c r="AV389" s="343"/>
      <c r="AW389" s="343"/>
      <c r="AX389" s="408"/>
      <c r="AY389" s="398"/>
      <c r="AZ389" s="343"/>
      <c r="BA389" s="343"/>
      <c r="BB389" s="408"/>
      <c r="BC389" s="398"/>
      <c r="BD389" s="343"/>
      <c r="BE389" s="343"/>
      <c r="BF389" s="408"/>
      <c r="BG389" s="398"/>
      <c r="BH389" s="343"/>
      <c r="BI389" s="343"/>
      <c r="BJ389" s="408"/>
      <c r="BK389" s="398"/>
      <c r="BL389" s="343"/>
      <c r="BM389" s="343"/>
      <c r="BN389" s="408"/>
      <c r="BO389" s="398"/>
      <c r="BP389" s="343"/>
      <c r="BQ389" s="343"/>
      <c r="BR389" s="408"/>
      <c r="BS389" s="398"/>
      <c r="BT389" s="343"/>
      <c r="BU389" s="343"/>
      <c r="BV389" s="408"/>
      <c r="BW389" s="101"/>
      <c r="BX389" s="28"/>
    </row>
    <row r="390" spans="1:78" s="34" customFormat="1" ht="22.5" customHeight="1" collapsed="1" thickTop="1" x14ac:dyDescent="0.25">
      <c r="A390" s="57"/>
      <c r="B390" s="360" t="s">
        <v>104</v>
      </c>
      <c r="C390" s="9"/>
      <c r="D390" s="1"/>
      <c r="E390" s="1"/>
      <c r="H390" s="360"/>
      <c r="I390" s="95"/>
      <c r="J390" s="58"/>
      <c r="K390" s="100"/>
      <c r="L390" s="586"/>
      <c r="M390" s="579" t="str">
        <f ca="1">_xll.DBRA(Server&amp;$B$32,$B390,$N$19)</f>
        <v>M - Part of Maintenance cost variance due to Level 2 ratios change</v>
      </c>
      <c r="N390" s="579"/>
      <c r="O390" s="580"/>
      <c r="P390" s="262"/>
      <c r="Q390" s="344"/>
      <c r="R390" s="345"/>
      <c r="S390" s="334">
        <f ca="1">SUM(S385:S389)</f>
        <v>67256732.806330919</v>
      </c>
      <c r="T390" s="335">
        <f ca="1">-(Q380-R380)*100</f>
        <v>0</v>
      </c>
      <c r="U390" s="266"/>
      <c r="V390" s="350"/>
      <c r="W390" s="334">
        <f ca="1">SUM(W385:W389)</f>
        <v>339245357.56435299</v>
      </c>
      <c r="X390" s="335">
        <f ca="1">-($Q380-V380)*100</f>
        <v>0</v>
      </c>
      <c r="Y390" s="101"/>
      <c r="Z390" s="398"/>
      <c r="AA390" s="100"/>
      <c r="AB390" s="344"/>
      <c r="AC390" s="344"/>
      <c r="AD390" s="409"/>
      <c r="AE390" s="398"/>
      <c r="AF390" s="344"/>
      <c r="AG390" s="344"/>
      <c r="AH390" s="409"/>
      <c r="AI390" s="398"/>
      <c r="AJ390" s="344"/>
      <c r="AK390" s="344"/>
      <c r="AL390" s="409"/>
      <c r="AM390" s="398"/>
      <c r="AN390" s="344"/>
      <c r="AO390" s="344"/>
      <c r="AP390" s="409"/>
      <c r="AQ390" s="398"/>
      <c r="AR390" s="344"/>
      <c r="AS390" s="344"/>
      <c r="AT390" s="409"/>
      <c r="AU390" s="398"/>
      <c r="AV390" s="344"/>
      <c r="AW390" s="344"/>
      <c r="AX390" s="409"/>
      <c r="AY390" s="398"/>
      <c r="AZ390" s="344"/>
      <c r="BA390" s="344"/>
      <c r="BB390" s="409"/>
      <c r="BC390" s="398"/>
      <c r="BD390" s="344"/>
      <c r="BE390" s="344"/>
      <c r="BF390" s="409"/>
      <c r="BG390" s="398"/>
      <c r="BH390" s="344"/>
      <c r="BI390" s="344"/>
      <c r="BJ390" s="409"/>
      <c r="BK390" s="398"/>
      <c r="BL390" s="344"/>
      <c r="BM390" s="344"/>
      <c r="BN390" s="409"/>
      <c r="BO390" s="398"/>
      <c r="BP390" s="344"/>
      <c r="BQ390" s="344"/>
      <c r="BR390" s="409"/>
      <c r="BS390" s="398"/>
      <c r="BT390" s="344"/>
      <c r="BU390" s="344"/>
      <c r="BV390" s="409"/>
      <c r="BW390" s="101"/>
      <c r="BX390" s="28"/>
    </row>
    <row r="391" spans="1:78" s="34" customFormat="1" ht="22.5" customHeight="1" x14ac:dyDescent="0.25">
      <c r="A391" s="57"/>
      <c r="B391" s="360" t="s">
        <v>103</v>
      </c>
      <c r="C391" s="9"/>
      <c r="D391" s="1"/>
      <c r="E391" s="1"/>
      <c r="H391" s="360"/>
      <c r="I391" s="95"/>
      <c r="J391" s="58"/>
      <c r="K391" s="100"/>
      <c r="L391" s="587"/>
      <c r="M391" s="581" t="str">
        <f ca="1">_xll.DBRA(Server&amp;$B$32,$B391,$N$19)</f>
        <v>M - Part of Maintenance cost variance due to ROA change</v>
      </c>
      <c r="N391" s="581"/>
      <c r="O391" s="582"/>
      <c r="P391" s="268"/>
      <c r="Q391" s="346"/>
      <c r="R391" s="347"/>
      <c r="S391" s="271">
        <f ca="1">(IF($R$36&lt;&gt;0,IF($R$36&gt;0,$S$36/$R$36,-$S$36/$R$36),0))*R62</f>
        <v>-280532075.91764617</v>
      </c>
      <c r="T391" s="336"/>
      <c r="U391" s="273"/>
      <c r="V391" s="351"/>
      <c r="W391" s="271">
        <f ca="1">(IF($V$36&lt;&gt;0,IF($V$36&gt;0,$W$36/$V$36,-$W$36/$V$36),0))*V62</f>
        <v>-614463209.83109665</v>
      </c>
      <c r="X391" s="336"/>
      <c r="Y391" s="101"/>
      <c r="Z391" s="398"/>
      <c r="AA391" s="100"/>
      <c r="AB391" s="346"/>
      <c r="AC391" s="346"/>
      <c r="AD391" s="410"/>
      <c r="AE391" s="398"/>
      <c r="AF391" s="346"/>
      <c r="AG391" s="346"/>
      <c r="AH391" s="410"/>
      <c r="AI391" s="398"/>
      <c r="AJ391" s="346"/>
      <c r="AK391" s="346"/>
      <c r="AL391" s="410"/>
      <c r="AM391" s="398"/>
      <c r="AN391" s="346"/>
      <c r="AO391" s="346"/>
      <c r="AP391" s="410"/>
      <c r="AQ391" s="398"/>
      <c r="AR391" s="346"/>
      <c r="AS391" s="346"/>
      <c r="AT391" s="410"/>
      <c r="AU391" s="398"/>
      <c r="AV391" s="346"/>
      <c r="AW391" s="346"/>
      <c r="AX391" s="410"/>
      <c r="AY391" s="398"/>
      <c r="AZ391" s="346"/>
      <c r="BA391" s="346"/>
      <c r="BB391" s="410"/>
      <c r="BC391" s="398"/>
      <c r="BD391" s="346"/>
      <c r="BE391" s="346"/>
      <c r="BF391" s="410"/>
      <c r="BG391" s="398"/>
      <c r="BH391" s="346"/>
      <c r="BI391" s="346"/>
      <c r="BJ391" s="410"/>
      <c r="BK391" s="398"/>
      <c r="BL391" s="346"/>
      <c r="BM391" s="346"/>
      <c r="BN391" s="410"/>
      <c r="BO391" s="398"/>
      <c r="BP391" s="346"/>
      <c r="BQ391" s="346"/>
      <c r="BR391" s="410"/>
      <c r="BS391" s="398"/>
      <c r="BT391" s="346"/>
      <c r="BU391" s="346"/>
      <c r="BV391" s="410"/>
      <c r="BW391" s="101"/>
      <c r="BX391" s="28"/>
    </row>
    <row r="392" spans="1:78" s="34" customFormat="1" ht="43.5" customHeight="1" collapsed="1" x14ac:dyDescent="0.25">
      <c r="A392" s="57"/>
      <c r="B392" s="379" t="s">
        <v>147</v>
      </c>
      <c r="C392" s="9"/>
      <c r="D392" s="1"/>
      <c r="E392" s="1"/>
      <c r="H392" s="379"/>
      <c r="I392" s="95"/>
      <c r="J392" s="58"/>
      <c r="K392" s="100"/>
      <c r="L392" s="570" t="str">
        <f ca="1">_xll.DBRA(Server&amp;Context!$B$32,Context!$B$57,$N$19)</f>
        <v>Total Maintenance cost variance (impact on Gross Margin variance)</v>
      </c>
      <c r="M392" s="571"/>
      <c r="N392" s="571"/>
      <c r="O392" s="572"/>
      <c r="P392" s="212"/>
      <c r="Q392" s="348"/>
      <c r="R392" s="349"/>
      <c r="S392" s="277">
        <f ca="1">SUM(S390:S391)</f>
        <v>-213275343.11131525</v>
      </c>
      <c r="T392" s="337"/>
      <c r="U392" s="247"/>
      <c r="V392" s="352"/>
      <c r="W392" s="280">
        <f ca="1">SUM(W390:W391)</f>
        <v>-275217852.26674366</v>
      </c>
      <c r="X392" s="337"/>
      <c r="Y392" s="101"/>
      <c r="Z392" s="398"/>
      <c r="AA392" s="100"/>
      <c r="AB392" s="348"/>
      <c r="AC392" s="348"/>
      <c r="AD392" s="411"/>
      <c r="AE392" s="398"/>
      <c r="AF392" s="348"/>
      <c r="AG392" s="348"/>
      <c r="AH392" s="411"/>
      <c r="AI392" s="398"/>
      <c r="AJ392" s="348"/>
      <c r="AK392" s="348"/>
      <c r="AL392" s="411"/>
      <c r="AM392" s="398"/>
      <c r="AN392" s="348"/>
      <c r="AO392" s="348"/>
      <c r="AP392" s="411"/>
      <c r="AQ392" s="398"/>
      <c r="AR392" s="348"/>
      <c r="AS392" s="348"/>
      <c r="AT392" s="411"/>
      <c r="AU392" s="398"/>
      <c r="AV392" s="348"/>
      <c r="AW392" s="348"/>
      <c r="AX392" s="411"/>
      <c r="AY392" s="398"/>
      <c r="AZ392" s="348"/>
      <c r="BA392" s="348"/>
      <c r="BB392" s="411"/>
      <c r="BC392" s="398"/>
      <c r="BD392" s="348"/>
      <c r="BE392" s="348"/>
      <c r="BF392" s="411"/>
      <c r="BG392" s="398"/>
      <c r="BH392" s="348"/>
      <c r="BI392" s="348"/>
      <c r="BJ392" s="411"/>
      <c r="BK392" s="398"/>
      <c r="BL392" s="348"/>
      <c r="BM392" s="348"/>
      <c r="BN392" s="411"/>
      <c r="BO392" s="398"/>
      <c r="BP392" s="348"/>
      <c r="BQ392" s="348"/>
      <c r="BR392" s="411"/>
      <c r="BS392" s="398"/>
      <c r="BT392" s="348"/>
      <c r="BU392" s="348"/>
      <c r="BV392" s="411"/>
      <c r="BW392" s="101"/>
      <c r="BX392" s="28"/>
    </row>
    <row r="393" spans="1:78" s="34" customFormat="1" ht="18.75" hidden="1" customHeight="1" outlineLevel="1" x14ac:dyDescent="0.25">
      <c r="A393" s="136" t="str">
        <f ca="1">_xll.DBR(Server&amp;Cube2,$N$15,$N$13,$B393,IF($N$19="French","STR_VAR3","STR_VAR2"))</f>
        <v/>
      </c>
      <c r="B393" s="360" t="s">
        <v>105</v>
      </c>
      <c r="C393" s="136" t="str">
        <f ca="1">_xll.DBR(Server&amp;Cube2,$N$15,$N$13,$B393,"STR_VAR1")</f>
        <v/>
      </c>
      <c r="D393" s="1"/>
      <c r="E393" s="1"/>
      <c r="H393" s="360"/>
      <c r="I393" s="1"/>
      <c r="J393" s="30"/>
      <c r="K393" s="100"/>
      <c r="L393" s="103"/>
      <c r="M393" s="302" t="str">
        <f ca="1">_xll.DBRA(Server&amp;$B$32,$B393,$N$19)&amp;"   ---&gt;"</f>
        <v>Maintenance - Cost Work Unit   ---&gt;</v>
      </c>
      <c r="N393" s="302"/>
      <c r="O393" s="423" t="str">
        <f ca="1">IF(A393="",_xll.DBRA(Server&amp;Context!$B$32,Context!$B$66,$N$19),_xll.DBRA(Server&amp;$B$32,$A393,$N$19))</f>
        <v>Not defined</v>
      </c>
      <c r="P393" s="212"/>
      <c r="Q393" s="281">
        <f ca="1">_xll.DBRW(Server&amp;Cube1,$N$15,$N$16,$N$17,$N$18,$N$14,$N$13,$N$11,$Q$1,$B393)</f>
        <v>0</v>
      </c>
      <c r="R393" s="282">
        <f ca="1">_xll.DBRW(Server&amp;Cube1,$N$15,$N$16,$N$17,$N$18,$N$14,$N$13,$R$2,$R$1,$B393)</f>
        <v>0</v>
      </c>
      <c r="S393" s="283">
        <f ca="1">Q393-R393</f>
        <v>0</v>
      </c>
      <c r="T393" s="284">
        <f ca="1">IF(R393&lt;&gt;0,IF(R393&gt;0,S393/R393,-S393/R393),0)</f>
        <v>0</v>
      </c>
      <c r="U393" s="245"/>
      <c r="V393" s="281">
        <f ca="1">_xll.DBRW(Server&amp;Cube1,$N$15,$N$16,$N$17,$N$18,$N$14,$N$13,$V$2,$V$1,$B393)</f>
        <v>0</v>
      </c>
      <c r="W393" s="283">
        <f ca="1">$Q393-V393</f>
        <v>0</v>
      </c>
      <c r="X393" s="284">
        <f ca="1">IF(V393&lt;&gt;0,IF(V393&gt;0,W393/V393,-W393/V393),0)</f>
        <v>0</v>
      </c>
      <c r="Y393" s="214"/>
      <c r="Z393" s="396"/>
      <c r="AA393" s="100"/>
      <c r="AB393" s="281">
        <f ca="1">_xll.DBRW(Server&amp;Cube1,$N$15,$N$16,$N$17,$N$18,$N$14,$N$13,AB$2,AB$1,$B393)</f>
        <v>0</v>
      </c>
      <c r="AC393" s="281">
        <f ca="1">_xll.DBRW(Server&amp;Cube1,$N$15,$N$16,$N$17,$N$18,$N$14,$N$13,AC$2,AC$1,$B393)</f>
        <v>0</v>
      </c>
      <c r="AD393" s="412">
        <f ca="1">_xll.DBRW(Server&amp;Cube1,$N$15,$N$16,$N$17,$N$18,$N$14,$N$13,AD$2,AD$1,$B393)</f>
        <v>0</v>
      </c>
      <c r="AE393" s="396"/>
      <c r="AF393" s="281">
        <f ca="1">_xll.DBRW(Server&amp;Cube1,$N$15,$N$16,$N$17,$N$18,$N$14,$N$13,AF$2,AF$1,$B393)</f>
        <v>0</v>
      </c>
      <c r="AG393" s="281">
        <f ca="1">_xll.DBRW(Server&amp;Cube1,$N$15,$N$16,$N$17,$N$18,$N$14,$N$13,AG$2,AG$1,$B393)</f>
        <v>0</v>
      </c>
      <c r="AH393" s="412">
        <f ca="1">_xll.DBRW(Server&amp;Cube1,$N$15,$N$16,$N$17,$N$18,$N$14,$N$13,AH$2,AH$1,$B393)</f>
        <v>0</v>
      </c>
      <c r="AI393" s="396"/>
      <c r="AJ393" s="281">
        <f ca="1">_xll.DBRW(Server&amp;Cube1,$N$15,$N$16,$N$17,$N$18,$N$14,$N$13,AJ$2,AJ$1,$B393)</f>
        <v>0</v>
      </c>
      <c r="AK393" s="281">
        <f ca="1">_xll.DBRW(Server&amp;Cube1,$N$15,$N$16,$N$17,$N$18,$N$14,$N$13,AK$2,AK$1,$B393)</f>
        <v>0</v>
      </c>
      <c r="AL393" s="412">
        <f ca="1">_xll.DBRW(Server&amp;Cube1,$N$15,$N$16,$N$17,$N$18,$N$14,$N$13,AL$2,AL$1,$B393)</f>
        <v>0</v>
      </c>
      <c r="AM393" s="396"/>
      <c r="AN393" s="281">
        <f ca="1">_xll.DBRW(Server&amp;Cube1,$N$15,$N$16,$N$17,$N$18,$N$14,$N$13,AN$2,AN$1,$B393)</f>
        <v>0</v>
      </c>
      <c r="AO393" s="281">
        <f ca="1">_xll.DBRW(Server&amp;Cube1,$N$15,$N$16,$N$17,$N$18,$N$14,$N$13,AO$2,AO$1,$B393)</f>
        <v>0</v>
      </c>
      <c r="AP393" s="412">
        <f ca="1">_xll.DBRW(Server&amp;Cube1,$N$15,$N$16,$N$17,$N$18,$N$14,$N$13,AP$2,AP$1,$B393)</f>
        <v>0</v>
      </c>
      <c r="AQ393" s="396"/>
      <c r="AR393" s="281">
        <f ca="1">_xll.DBRW(Server&amp;Cube1,$N$15,$N$16,$N$17,$N$18,$N$14,$N$13,AR$2,AR$1,$B393)</f>
        <v>0</v>
      </c>
      <c r="AS393" s="281">
        <f ca="1">_xll.DBRW(Server&amp;Cube1,$N$15,$N$16,$N$17,$N$18,$N$14,$N$13,AS$2,AS$1,$B393)</f>
        <v>0</v>
      </c>
      <c r="AT393" s="412">
        <f ca="1">_xll.DBRW(Server&amp;Cube1,$N$15,$N$16,$N$17,$N$18,$N$14,$N$13,AT$2,AT$1,$B393)</f>
        <v>0</v>
      </c>
      <c r="AU393" s="396"/>
      <c r="AV393" s="281">
        <f ca="1">_xll.DBRW(Server&amp;Cube1,$N$15,$N$16,$N$17,$N$18,$N$14,$N$13,AV$2,AV$1,$B393)</f>
        <v>0</v>
      </c>
      <c r="AW393" s="281">
        <f ca="1">_xll.DBRW(Server&amp;Cube1,$N$15,$N$16,$N$17,$N$18,$N$14,$N$13,AW$2,AW$1,$B393)</f>
        <v>0</v>
      </c>
      <c r="AX393" s="412">
        <f ca="1">_xll.DBRW(Server&amp;Cube1,$N$15,$N$16,$N$17,$N$18,$N$14,$N$13,AX$2,AX$1,$B393)</f>
        <v>0</v>
      </c>
      <c r="AY393" s="396"/>
      <c r="AZ393" s="281">
        <f ca="1">_xll.DBRW(Server&amp;Cube1,$N$15,$N$16,$N$17,$N$18,$N$14,$N$13,AZ$2,AZ$1,$B393)</f>
        <v>0</v>
      </c>
      <c r="BA393" s="281">
        <f ca="1">_xll.DBRW(Server&amp;Cube1,$N$15,$N$16,$N$17,$N$18,$N$14,$N$13,BA$2,BA$1,$B393)</f>
        <v>0</v>
      </c>
      <c r="BB393" s="412">
        <f ca="1">_xll.DBRW(Server&amp;Cube1,$N$15,$N$16,$N$17,$N$18,$N$14,$N$13,BB$2,BB$1,$B393)</f>
        <v>0</v>
      </c>
      <c r="BC393" s="396"/>
      <c r="BD393" s="281">
        <f ca="1">_xll.DBRW(Server&amp;Cube1,$N$15,$N$16,$N$17,$N$18,$N$14,$N$13,BD$2,BD$1,$B393)</f>
        <v>0</v>
      </c>
      <c r="BE393" s="281">
        <f ca="1">_xll.DBRW(Server&amp;Cube1,$N$15,$N$16,$N$17,$N$18,$N$14,$N$13,BE$2,BE$1,$B393)</f>
        <v>0</v>
      </c>
      <c r="BF393" s="412">
        <f ca="1">_xll.DBRW(Server&amp;Cube1,$N$15,$N$16,$N$17,$N$18,$N$14,$N$13,BF$2,BF$1,$B393)</f>
        <v>0</v>
      </c>
      <c r="BG393" s="396"/>
      <c r="BH393" s="281">
        <f ca="1">_xll.DBRW(Server&amp;Cube1,$N$15,$N$16,$N$17,$N$18,$N$14,$N$13,BH$2,BH$1,$B393)</f>
        <v>0</v>
      </c>
      <c r="BI393" s="281">
        <f ca="1">_xll.DBRW(Server&amp;Cube1,$N$15,$N$16,$N$17,$N$18,$N$14,$N$13,BI$2,BI$1,$B393)</f>
        <v>0</v>
      </c>
      <c r="BJ393" s="412">
        <f ca="1">_xll.DBRW(Server&amp;Cube1,$N$15,$N$16,$N$17,$N$18,$N$14,$N$13,BJ$2,BJ$1,$B393)</f>
        <v>0</v>
      </c>
      <c r="BK393" s="396"/>
      <c r="BL393" s="281">
        <f ca="1">_xll.DBRW(Server&amp;Cube1,$N$15,$N$16,$N$17,$N$18,$N$14,$N$13,BL$2,BL$1,$B393)</f>
        <v>0</v>
      </c>
      <c r="BM393" s="281">
        <f ca="1">_xll.DBRW(Server&amp;Cube1,$N$15,$N$16,$N$17,$N$18,$N$14,$N$13,BM$2,BM$1,$B393)</f>
        <v>0</v>
      </c>
      <c r="BN393" s="412">
        <f ca="1">_xll.DBRW(Server&amp;Cube1,$N$15,$N$16,$N$17,$N$18,$N$14,$N$13,BN$2,BN$1,$B393)</f>
        <v>0</v>
      </c>
      <c r="BO393" s="396"/>
      <c r="BP393" s="281">
        <f ca="1">_xll.DBRW(Server&amp;Cube1,$N$15,$N$16,$N$17,$N$18,$N$14,$N$13,BP$2,BP$1,$B393)</f>
        <v>0</v>
      </c>
      <c r="BQ393" s="281">
        <f ca="1">_xll.DBRW(Server&amp;Cube1,$N$15,$N$16,$N$17,$N$18,$N$14,$N$13,BQ$2,BQ$1,$B393)</f>
        <v>0</v>
      </c>
      <c r="BR393" s="412">
        <f ca="1">_xll.DBRW(Server&amp;Cube1,$N$15,$N$16,$N$17,$N$18,$N$14,$N$13,BR$2,BR$1,$B393)</f>
        <v>0</v>
      </c>
      <c r="BS393" s="396"/>
      <c r="BT393" s="281">
        <f ca="1">_xll.DBRW(Server&amp;Cube1,$N$15,$N$16,$N$17,$N$18,$N$14,$N$13,BT$2,BT$1,$B393)</f>
        <v>0</v>
      </c>
      <c r="BU393" s="281">
        <f ca="1">_xll.DBRW(Server&amp;Cube1,$N$15,$N$16,$N$17,$N$18,$N$14,$N$13,BU$2,BU$1,$B393)</f>
        <v>0</v>
      </c>
      <c r="BV393" s="412">
        <f ca="1">_xll.DBRW(Server&amp;Cube1,$N$15,$N$16,$N$17,$N$18,$N$14,$N$13,BV$2,BV$1,$B393)</f>
        <v>0</v>
      </c>
      <c r="BW393" s="214"/>
      <c r="BX393" s="79"/>
      <c r="BY393" s="55"/>
      <c r="BZ393" s="370"/>
    </row>
    <row r="394" spans="1:78" s="34" customFormat="1" ht="9" hidden="1" customHeight="1" outlineLevel="1" x14ac:dyDescent="0.25">
      <c r="A394" s="136"/>
      <c r="B394" s="360"/>
      <c r="C394" s="136"/>
      <c r="D394" s="1"/>
      <c r="E394" s="1"/>
      <c r="H394" s="360"/>
      <c r="I394" s="1"/>
      <c r="J394" s="30"/>
      <c r="K394" s="100"/>
      <c r="L394" s="103"/>
      <c r="M394" s="303"/>
      <c r="N394" s="303"/>
      <c r="O394" s="471" t="str">
        <f ca="1">IF(COUNTIF($C393,"*Tot_km*"),$B$6,IF(COUNTIF($C393,"Tot_nb_vehicle"),$B$7,IF(COUNTIF($C393,"Rev_km"),$B$8,IF(COUNTIF($C393,"Tot_driv_hours"),$B$9,""))))</f>
        <v/>
      </c>
      <c r="P394" s="212"/>
      <c r="Q394" s="453"/>
      <c r="R394" s="454"/>
      <c r="S394" s="455"/>
      <c r="T394" s="456"/>
      <c r="U394" s="245"/>
      <c r="V394" s="453"/>
      <c r="W394" s="455"/>
      <c r="X394" s="456"/>
      <c r="Y394" s="214"/>
      <c r="Z394" s="396"/>
      <c r="AA394" s="100"/>
      <c r="AB394" s="453"/>
      <c r="AC394" s="453"/>
      <c r="AD394" s="457"/>
      <c r="AE394" s="396"/>
      <c r="AF394" s="453"/>
      <c r="AG394" s="453"/>
      <c r="AH394" s="457"/>
      <c r="AI394" s="396"/>
      <c r="AJ394" s="453"/>
      <c r="AK394" s="453"/>
      <c r="AL394" s="457"/>
      <c r="AM394" s="396"/>
      <c r="AN394" s="453"/>
      <c r="AO394" s="453"/>
      <c r="AP394" s="457"/>
      <c r="AQ394" s="396"/>
      <c r="AR394" s="453"/>
      <c r="AS394" s="453"/>
      <c r="AT394" s="457"/>
      <c r="AU394" s="396"/>
      <c r="AV394" s="453"/>
      <c r="AW394" s="453"/>
      <c r="AX394" s="457"/>
      <c r="AY394" s="396"/>
      <c r="AZ394" s="453"/>
      <c r="BA394" s="453"/>
      <c r="BB394" s="457"/>
      <c r="BC394" s="396"/>
      <c r="BD394" s="453"/>
      <c r="BE394" s="453"/>
      <c r="BF394" s="457"/>
      <c r="BG394" s="396"/>
      <c r="BH394" s="453"/>
      <c r="BI394" s="453"/>
      <c r="BJ394" s="457"/>
      <c r="BK394" s="396"/>
      <c r="BL394" s="453"/>
      <c r="BM394" s="453"/>
      <c r="BN394" s="457"/>
      <c r="BO394" s="396"/>
      <c r="BP394" s="453"/>
      <c r="BQ394" s="453"/>
      <c r="BR394" s="457"/>
      <c r="BS394" s="396"/>
      <c r="BT394" s="453"/>
      <c r="BU394" s="453"/>
      <c r="BV394" s="457"/>
      <c r="BW394" s="214"/>
      <c r="BX394" s="79"/>
      <c r="BY394" s="55"/>
      <c r="BZ394" s="370"/>
    </row>
    <row r="395" spans="1:78" s="34" customFormat="1" ht="18.75" hidden="1" customHeight="1" outlineLevel="1" x14ac:dyDescent="0.25">
      <c r="A395" s="136" t="str">
        <f ca="1">_xll.DBR(Server&amp;Cube2,$N$15,$N$13,$B395,IF($N$19="French","STR_VAR3","STR_VAR2"))</f>
        <v/>
      </c>
      <c r="B395" s="360" t="s">
        <v>106</v>
      </c>
      <c r="C395" s="136" t="str">
        <f ca="1">_xll.DBR(Server&amp;Cube2,$N$15,$N$13,$B395,"STR_VAR1")</f>
        <v/>
      </c>
      <c r="D395" s="1"/>
      <c r="E395" s="1"/>
      <c r="H395" s="360"/>
      <c r="I395" s="1"/>
      <c r="J395" s="30"/>
      <c r="K395" s="100"/>
      <c r="L395" s="103"/>
      <c r="M395" s="303" t="str">
        <f ca="1">_xll.DBRA(Server&amp;$B$32,$B395,$N$19)&amp;"  ---&gt;"</f>
        <v>Maintenance - Price Work Unit  ---&gt;</v>
      </c>
      <c r="N395" s="303"/>
      <c r="O395" s="423" t="str">
        <f ca="1">IF(A395="",_xll.DBRA(Server&amp;Context!$B$32,Context!$B$66,$N$19),_xll.DBRA(Server&amp;$B$32,$A395,$N$19))</f>
        <v>Not defined</v>
      </c>
      <c r="P395" s="212"/>
      <c r="Q395" s="285">
        <f ca="1">_xll.DBRW(Server&amp;Cube1,$N$15,$N$16,$N$17,$N$18,$N$14,$N$13,$N$11,$Q$1,$B395)</f>
        <v>0</v>
      </c>
      <c r="R395" s="286">
        <f ca="1">_xll.DBRW(Server&amp;Cube1,$N$15,$N$16,$N$17,$N$18,$N$14,$N$13,$R$2,$R$1,$B395)</f>
        <v>0</v>
      </c>
      <c r="S395" s="287">
        <f ca="1">Q395-R395</f>
        <v>0</v>
      </c>
      <c r="T395" s="288">
        <f ca="1">IF(R395&lt;&gt;0,IF(R395&gt;0,S395/R395,-S395/R395),0)</f>
        <v>0</v>
      </c>
      <c r="U395" s="245"/>
      <c r="V395" s="285">
        <f ca="1">_xll.DBRW(Server&amp;Cube1,$N$15,$N$16,$N$17,$N$18,$N$14,$N$13,$V$2,$V$1,$B395)</f>
        <v>0</v>
      </c>
      <c r="W395" s="287">
        <f ca="1">$Q395-V395</f>
        <v>0</v>
      </c>
      <c r="X395" s="288">
        <f ca="1">IF(V395&lt;&gt;0,IF(V395&gt;0,W395/V395,-W395/V395),0)</f>
        <v>0</v>
      </c>
      <c r="Y395" s="214"/>
      <c r="Z395" s="396"/>
      <c r="AA395" s="100"/>
      <c r="AB395" s="285">
        <f ca="1">_xll.DBRW(Server&amp;Cube1,$N$15,$N$16,$N$17,$N$18,$N$14,$N$13,AB$2,AB$1,$B395)</f>
        <v>0</v>
      </c>
      <c r="AC395" s="285">
        <f ca="1">_xll.DBRW(Server&amp;Cube1,$N$15,$N$16,$N$17,$N$18,$N$14,$N$13,AC$2,AC$1,$B395)</f>
        <v>0</v>
      </c>
      <c r="AD395" s="413">
        <f ca="1">_xll.DBRW(Server&amp;Cube1,$N$15,$N$16,$N$17,$N$18,$N$14,$N$13,AD$2,AD$1,$B395)</f>
        <v>0</v>
      </c>
      <c r="AE395" s="396"/>
      <c r="AF395" s="285">
        <f ca="1">_xll.DBRW(Server&amp;Cube1,$N$15,$N$16,$N$17,$N$18,$N$14,$N$13,AF$2,AF$1,$B395)</f>
        <v>0</v>
      </c>
      <c r="AG395" s="285">
        <f ca="1">_xll.DBRW(Server&amp;Cube1,$N$15,$N$16,$N$17,$N$18,$N$14,$N$13,AG$2,AG$1,$B395)</f>
        <v>0</v>
      </c>
      <c r="AH395" s="413">
        <f ca="1">_xll.DBRW(Server&amp;Cube1,$N$15,$N$16,$N$17,$N$18,$N$14,$N$13,AH$2,AH$1,$B395)</f>
        <v>0</v>
      </c>
      <c r="AI395" s="396"/>
      <c r="AJ395" s="285">
        <f ca="1">_xll.DBRW(Server&amp;Cube1,$N$15,$N$16,$N$17,$N$18,$N$14,$N$13,AJ$2,AJ$1,$B395)</f>
        <v>0</v>
      </c>
      <c r="AK395" s="285">
        <f ca="1">_xll.DBRW(Server&amp;Cube1,$N$15,$N$16,$N$17,$N$18,$N$14,$N$13,AK$2,AK$1,$B395)</f>
        <v>0</v>
      </c>
      <c r="AL395" s="413">
        <f ca="1">_xll.DBRW(Server&amp;Cube1,$N$15,$N$16,$N$17,$N$18,$N$14,$N$13,AL$2,AL$1,$B395)</f>
        <v>0</v>
      </c>
      <c r="AM395" s="396"/>
      <c r="AN395" s="285">
        <f ca="1">_xll.DBRW(Server&amp;Cube1,$N$15,$N$16,$N$17,$N$18,$N$14,$N$13,AN$2,AN$1,$B395)</f>
        <v>0</v>
      </c>
      <c r="AO395" s="285">
        <f ca="1">_xll.DBRW(Server&amp;Cube1,$N$15,$N$16,$N$17,$N$18,$N$14,$N$13,AO$2,AO$1,$B395)</f>
        <v>0</v>
      </c>
      <c r="AP395" s="413">
        <f ca="1">_xll.DBRW(Server&amp;Cube1,$N$15,$N$16,$N$17,$N$18,$N$14,$N$13,AP$2,AP$1,$B395)</f>
        <v>0</v>
      </c>
      <c r="AQ395" s="396"/>
      <c r="AR395" s="285">
        <f ca="1">_xll.DBRW(Server&amp;Cube1,$N$15,$N$16,$N$17,$N$18,$N$14,$N$13,AR$2,AR$1,$B395)</f>
        <v>0</v>
      </c>
      <c r="AS395" s="285">
        <f ca="1">_xll.DBRW(Server&amp;Cube1,$N$15,$N$16,$N$17,$N$18,$N$14,$N$13,AS$2,AS$1,$B395)</f>
        <v>0</v>
      </c>
      <c r="AT395" s="413">
        <f ca="1">_xll.DBRW(Server&amp;Cube1,$N$15,$N$16,$N$17,$N$18,$N$14,$N$13,AT$2,AT$1,$B395)</f>
        <v>0</v>
      </c>
      <c r="AU395" s="396"/>
      <c r="AV395" s="285">
        <f ca="1">_xll.DBRW(Server&amp;Cube1,$N$15,$N$16,$N$17,$N$18,$N$14,$N$13,AV$2,AV$1,$B395)</f>
        <v>0</v>
      </c>
      <c r="AW395" s="285">
        <f ca="1">_xll.DBRW(Server&amp;Cube1,$N$15,$N$16,$N$17,$N$18,$N$14,$N$13,AW$2,AW$1,$B395)</f>
        <v>0</v>
      </c>
      <c r="AX395" s="413">
        <f ca="1">_xll.DBRW(Server&amp;Cube1,$N$15,$N$16,$N$17,$N$18,$N$14,$N$13,AX$2,AX$1,$B395)</f>
        <v>0</v>
      </c>
      <c r="AY395" s="396"/>
      <c r="AZ395" s="285">
        <f ca="1">_xll.DBRW(Server&amp;Cube1,$N$15,$N$16,$N$17,$N$18,$N$14,$N$13,AZ$2,AZ$1,$B395)</f>
        <v>0</v>
      </c>
      <c r="BA395" s="285">
        <f ca="1">_xll.DBRW(Server&amp;Cube1,$N$15,$N$16,$N$17,$N$18,$N$14,$N$13,BA$2,BA$1,$B395)</f>
        <v>0</v>
      </c>
      <c r="BB395" s="413">
        <f ca="1">_xll.DBRW(Server&amp;Cube1,$N$15,$N$16,$N$17,$N$18,$N$14,$N$13,BB$2,BB$1,$B395)</f>
        <v>0</v>
      </c>
      <c r="BC395" s="396"/>
      <c r="BD395" s="285">
        <f ca="1">_xll.DBRW(Server&amp;Cube1,$N$15,$N$16,$N$17,$N$18,$N$14,$N$13,BD$2,BD$1,$B395)</f>
        <v>0</v>
      </c>
      <c r="BE395" s="285">
        <f ca="1">_xll.DBRW(Server&amp;Cube1,$N$15,$N$16,$N$17,$N$18,$N$14,$N$13,BE$2,BE$1,$B395)</f>
        <v>0</v>
      </c>
      <c r="BF395" s="413">
        <f ca="1">_xll.DBRW(Server&amp;Cube1,$N$15,$N$16,$N$17,$N$18,$N$14,$N$13,BF$2,BF$1,$B395)</f>
        <v>0</v>
      </c>
      <c r="BG395" s="396"/>
      <c r="BH395" s="285">
        <f ca="1">_xll.DBRW(Server&amp;Cube1,$N$15,$N$16,$N$17,$N$18,$N$14,$N$13,BH$2,BH$1,$B395)</f>
        <v>0</v>
      </c>
      <c r="BI395" s="285">
        <f ca="1">_xll.DBRW(Server&amp;Cube1,$N$15,$N$16,$N$17,$N$18,$N$14,$N$13,BI$2,BI$1,$B395)</f>
        <v>0</v>
      </c>
      <c r="BJ395" s="413">
        <f ca="1">_xll.DBRW(Server&amp;Cube1,$N$15,$N$16,$N$17,$N$18,$N$14,$N$13,BJ$2,BJ$1,$B395)</f>
        <v>0</v>
      </c>
      <c r="BK395" s="396"/>
      <c r="BL395" s="285">
        <f ca="1">_xll.DBRW(Server&amp;Cube1,$N$15,$N$16,$N$17,$N$18,$N$14,$N$13,BL$2,BL$1,$B395)</f>
        <v>0</v>
      </c>
      <c r="BM395" s="285">
        <f ca="1">_xll.DBRW(Server&amp;Cube1,$N$15,$N$16,$N$17,$N$18,$N$14,$N$13,BM$2,BM$1,$B395)</f>
        <v>0</v>
      </c>
      <c r="BN395" s="413">
        <f ca="1">_xll.DBRW(Server&amp;Cube1,$N$15,$N$16,$N$17,$N$18,$N$14,$N$13,BN$2,BN$1,$B395)</f>
        <v>0</v>
      </c>
      <c r="BO395" s="396"/>
      <c r="BP395" s="285">
        <f ca="1">_xll.DBRW(Server&amp;Cube1,$N$15,$N$16,$N$17,$N$18,$N$14,$N$13,BP$2,BP$1,$B395)</f>
        <v>0</v>
      </c>
      <c r="BQ395" s="285">
        <f ca="1">_xll.DBRW(Server&amp;Cube1,$N$15,$N$16,$N$17,$N$18,$N$14,$N$13,BQ$2,BQ$1,$B395)</f>
        <v>0</v>
      </c>
      <c r="BR395" s="413">
        <f ca="1">_xll.DBRW(Server&amp;Cube1,$N$15,$N$16,$N$17,$N$18,$N$14,$N$13,BR$2,BR$1,$B395)</f>
        <v>0</v>
      </c>
      <c r="BS395" s="396"/>
      <c r="BT395" s="285">
        <f ca="1">_xll.DBRW(Server&amp;Cube1,$N$15,$N$16,$N$17,$N$18,$N$14,$N$13,BT$2,BT$1,$B395)</f>
        <v>0</v>
      </c>
      <c r="BU395" s="285">
        <f ca="1">_xll.DBRW(Server&amp;Cube1,$N$15,$N$16,$N$17,$N$18,$N$14,$N$13,BU$2,BU$1,$B395)</f>
        <v>0</v>
      </c>
      <c r="BV395" s="413">
        <f ca="1">_xll.DBRW(Server&amp;Cube1,$N$15,$N$16,$N$17,$N$18,$N$14,$N$13,BV$2,BV$1,$B395)</f>
        <v>0</v>
      </c>
      <c r="BW395" s="214"/>
      <c r="BX395" s="79"/>
      <c r="BY395" s="55"/>
    </row>
    <row r="396" spans="1:78" s="34" customFormat="1" ht="9" hidden="1" customHeight="1" outlineLevel="1" x14ac:dyDescent="0.25">
      <c r="A396" s="136"/>
      <c r="B396" s="360"/>
      <c r="C396" s="136"/>
      <c r="D396" s="1"/>
      <c r="E396" s="1"/>
      <c r="H396" s="360"/>
      <c r="I396" s="1"/>
      <c r="J396" s="30"/>
      <c r="K396" s="100"/>
      <c r="L396" s="103"/>
      <c r="M396" s="303"/>
      <c r="N396" s="303"/>
      <c r="O396" s="471" t="str">
        <f ca="1">IF(COUNTIF($C395,"*Tot_km*"),$B$6,IF(COUNTIF($C395,"Tot_nb_vehicle"),$B$7,IF(COUNTIF($C395,"Rev_km"),$B$8,IF(COUNTIF($C395,"Tot_driv_hours"),$B$9,""))))</f>
        <v/>
      </c>
      <c r="P396" s="458"/>
      <c r="Q396" s="459"/>
      <c r="R396" s="459"/>
      <c r="S396" s="455"/>
      <c r="T396" s="460"/>
      <c r="U396" s="461"/>
      <c r="V396" s="459"/>
      <c r="W396" s="455"/>
      <c r="X396" s="460"/>
      <c r="Y396" s="214"/>
      <c r="Z396" s="396"/>
      <c r="AA396" s="100"/>
      <c r="AB396" s="459"/>
      <c r="AC396" s="459"/>
      <c r="AD396" s="459"/>
      <c r="AE396" s="396"/>
      <c r="AF396" s="459"/>
      <c r="AG396" s="459"/>
      <c r="AH396" s="459"/>
      <c r="AI396" s="396"/>
      <c r="AJ396" s="459"/>
      <c r="AK396" s="459"/>
      <c r="AL396" s="459"/>
      <c r="AM396" s="396"/>
      <c r="AN396" s="459"/>
      <c r="AO396" s="459"/>
      <c r="AP396" s="459"/>
      <c r="AQ396" s="396"/>
      <c r="AR396" s="459"/>
      <c r="AS396" s="459"/>
      <c r="AT396" s="459"/>
      <c r="AU396" s="396"/>
      <c r="AV396" s="459"/>
      <c r="AW396" s="459"/>
      <c r="AX396" s="459"/>
      <c r="AY396" s="396"/>
      <c r="AZ396" s="459"/>
      <c r="BA396" s="459"/>
      <c r="BB396" s="459"/>
      <c r="BC396" s="396"/>
      <c r="BD396" s="459"/>
      <c r="BE396" s="459"/>
      <c r="BF396" s="459"/>
      <c r="BG396" s="396"/>
      <c r="BH396" s="459"/>
      <c r="BI396" s="459"/>
      <c r="BJ396" s="459"/>
      <c r="BK396" s="396"/>
      <c r="BL396" s="459"/>
      <c r="BM396" s="459"/>
      <c r="BN396" s="459"/>
      <c r="BO396" s="396"/>
      <c r="BP396" s="459"/>
      <c r="BQ396" s="459"/>
      <c r="BR396" s="459"/>
      <c r="BS396" s="396"/>
      <c r="BT396" s="459"/>
      <c r="BU396" s="459"/>
      <c r="BV396" s="459"/>
      <c r="BW396" s="214"/>
      <c r="BX396" s="79"/>
      <c r="BY396" s="55"/>
    </row>
    <row r="397" spans="1:78" s="34" customFormat="1" ht="23.25" customHeight="1" collapsed="1" x14ac:dyDescent="0.25">
      <c r="A397" s="57"/>
      <c r="B397" s="377"/>
      <c r="C397" s="9"/>
      <c r="D397" s="1"/>
      <c r="E397" s="1"/>
      <c r="H397" s="377"/>
      <c r="I397" s="95"/>
      <c r="J397" s="58"/>
      <c r="K397" s="104"/>
      <c r="L397" s="317"/>
      <c r="M397" s="156"/>
      <c r="N397" s="156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  <c r="Y397" s="106"/>
      <c r="Z397" s="105"/>
      <c r="AA397" s="104"/>
      <c r="AB397" s="105"/>
      <c r="AC397" s="105"/>
      <c r="AD397" s="105"/>
      <c r="AE397" s="105"/>
      <c r="AF397" s="105"/>
      <c r="AG397" s="105"/>
      <c r="AH397" s="105"/>
      <c r="AI397" s="105"/>
      <c r="AJ397" s="105"/>
      <c r="AK397" s="105"/>
      <c r="AL397" s="105"/>
      <c r="AM397" s="105"/>
      <c r="AN397" s="105"/>
      <c r="AO397" s="105"/>
      <c r="AP397" s="105"/>
      <c r="AQ397" s="105"/>
      <c r="AR397" s="105"/>
      <c r="AS397" s="105"/>
      <c r="AT397" s="105"/>
      <c r="AU397" s="105"/>
      <c r="AV397" s="105"/>
      <c r="AW397" s="105"/>
      <c r="AX397" s="105"/>
      <c r="AY397" s="105"/>
      <c r="AZ397" s="105"/>
      <c r="BA397" s="105"/>
      <c r="BB397" s="105"/>
      <c r="BC397" s="105"/>
      <c r="BD397" s="105"/>
      <c r="BE397" s="105"/>
      <c r="BF397" s="105"/>
      <c r="BG397" s="105"/>
      <c r="BH397" s="105"/>
      <c r="BI397" s="105"/>
      <c r="BJ397" s="105"/>
      <c r="BK397" s="105"/>
      <c r="BL397" s="105"/>
      <c r="BM397" s="105"/>
      <c r="BN397" s="105"/>
      <c r="BO397" s="105"/>
      <c r="BP397" s="105"/>
      <c r="BQ397" s="105"/>
      <c r="BR397" s="105"/>
      <c r="BS397" s="105"/>
      <c r="BT397" s="105"/>
      <c r="BU397" s="105"/>
      <c r="BV397" s="105"/>
      <c r="BW397" s="106"/>
      <c r="BX397" s="28"/>
    </row>
    <row r="398" spans="1:78" s="34" customFormat="1" ht="30" hidden="1" customHeight="1" outlineLevel="1" x14ac:dyDescent="0.25">
      <c r="A398" s="394" t="s">
        <v>297</v>
      </c>
      <c r="B398" t="str">
        <f ca="1">$N$12&amp;" N"</f>
        <v>Actual N</v>
      </c>
      <c r="C398" t="str">
        <f ca="1">$N$20&amp;" "&amp;$N$21</f>
        <v>Budget V current N</v>
      </c>
      <c r="D398" t="str">
        <f ca="1">$O$20&amp;" "&amp;$O$21</f>
        <v>Actual N-1</v>
      </c>
      <c r="E398" s="1"/>
      <c r="H398" s="377"/>
      <c r="I398" s="95"/>
      <c r="J398" s="58"/>
      <c r="K398" s="155"/>
      <c r="L398" s="317"/>
      <c r="M398" s="596" t="str">
        <f ca="1">M381</f>
        <v>M1 - Maintenance Cost per cost work unit</v>
      </c>
      <c r="N398" s="596"/>
      <c r="O398" s="596"/>
      <c r="P398" s="596"/>
      <c r="Q398" s="596"/>
      <c r="R398" s="596"/>
      <c r="S398" s="596"/>
      <c r="T398" s="596"/>
      <c r="U398" s="105"/>
      <c r="V398" s="105"/>
      <c r="W398" s="105"/>
      <c r="X398" s="105"/>
      <c r="Y398" s="106"/>
      <c r="Z398" s="105"/>
      <c r="AA398" s="104"/>
      <c r="AB398" s="105"/>
      <c r="AC398" s="105"/>
      <c r="AD398" s="105"/>
      <c r="AE398" s="105"/>
      <c r="AF398" s="105"/>
      <c r="AG398" s="105"/>
      <c r="AH398" s="105"/>
      <c r="AI398" s="105"/>
      <c r="AJ398" s="105"/>
      <c r="AK398" s="105"/>
      <c r="AL398" s="105"/>
      <c r="AM398" s="105"/>
      <c r="AN398" s="105"/>
      <c r="AO398" s="105"/>
      <c r="AP398" s="105"/>
      <c r="AQ398" s="105"/>
      <c r="AR398" s="105"/>
      <c r="AS398" s="105"/>
      <c r="AT398" s="105"/>
      <c r="AU398" s="105"/>
      <c r="AV398" s="105"/>
      <c r="AW398" s="105"/>
      <c r="AX398" s="105"/>
      <c r="AY398" s="105"/>
      <c r="AZ398" s="105"/>
      <c r="BA398" s="105"/>
      <c r="BB398" s="105"/>
      <c r="BC398" s="105"/>
      <c r="BD398" s="105"/>
      <c r="BE398" s="105"/>
      <c r="BF398" s="105"/>
      <c r="BG398" s="105"/>
      <c r="BH398" s="105"/>
      <c r="BI398" s="105"/>
      <c r="BJ398" s="105"/>
      <c r="BK398" s="105"/>
      <c r="BL398" s="105"/>
      <c r="BM398" s="105"/>
      <c r="BN398" s="105"/>
      <c r="BO398" s="105"/>
      <c r="BP398" s="105"/>
      <c r="BQ398" s="105"/>
      <c r="BR398" s="105"/>
      <c r="BS398" s="105"/>
      <c r="BT398" s="105"/>
      <c r="BU398" s="105"/>
      <c r="BV398" s="105"/>
      <c r="BW398" s="106"/>
      <c r="BX398" s="28"/>
    </row>
    <row r="399" spans="1:78" s="34" customFormat="1" ht="17.25" hidden="1" customHeight="1" outlineLevel="1" x14ac:dyDescent="0.25">
      <c r="A399" s="392" t="str">
        <f>IF($N$19="English","J","J")</f>
        <v>J</v>
      </c>
      <c r="B399" s="421" t="e">
        <f ca="1">IF(ROUND(AB$381,6),ROUND(AB$381,6),NA())</f>
        <v>#N/A</v>
      </c>
      <c r="C399" s="421" t="e">
        <f ca="1">IF(ROUND(AC$381,6),ROUND(AC$381,6),NA())</f>
        <v>#N/A</v>
      </c>
      <c r="D399" s="421" t="e">
        <f ca="1">IF(ROUND(AD$381,6),ROUND(AD$381,6),NA())</f>
        <v>#N/A</v>
      </c>
      <c r="E399" s="1" t="s">
        <v>279</v>
      </c>
      <c r="H399" s="377"/>
      <c r="I399" s="95"/>
      <c r="J399" s="58"/>
      <c r="K399" s="155"/>
      <c r="L399" s="317"/>
      <c r="M399" s="156"/>
      <c r="N399" s="156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  <c r="Y399" s="106"/>
      <c r="Z399" s="105"/>
      <c r="AA399" s="104"/>
      <c r="AB399" s="105"/>
      <c r="AC399" s="105"/>
      <c r="AD399" s="105"/>
      <c r="AE399" s="105"/>
      <c r="AF399" s="105"/>
      <c r="AG399" s="105"/>
      <c r="AH399" s="105"/>
      <c r="AI399" s="105"/>
      <c r="AJ399" s="105"/>
      <c r="AK399" s="105"/>
      <c r="AL399" s="105"/>
      <c r="AM399" s="105"/>
      <c r="AN399" s="105"/>
      <c r="AO399" s="105"/>
      <c r="AP399" s="105"/>
      <c r="AQ399" s="105"/>
      <c r="AR399" s="105"/>
      <c r="AS399" s="105"/>
      <c r="AT399" s="105"/>
      <c r="AU399" s="105"/>
      <c r="AV399" s="105"/>
      <c r="AW399" s="105"/>
      <c r="AX399" s="105"/>
      <c r="AY399" s="105"/>
      <c r="AZ399" s="105"/>
      <c r="BA399" s="105"/>
      <c r="BB399" s="105"/>
      <c r="BC399" s="105"/>
      <c r="BD399" s="105"/>
      <c r="BE399" s="105"/>
      <c r="BF399" s="105"/>
      <c r="BG399" s="105"/>
      <c r="BH399" s="105"/>
      <c r="BI399" s="105"/>
      <c r="BJ399" s="105"/>
      <c r="BK399" s="105"/>
      <c r="BL399" s="105"/>
      <c r="BM399" s="105"/>
      <c r="BN399" s="105"/>
      <c r="BO399" s="105"/>
      <c r="BP399" s="105"/>
      <c r="BQ399" s="105"/>
      <c r="BR399" s="105"/>
      <c r="BS399" s="105"/>
      <c r="BT399" s="105"/>
      <c r="BU399" s="105"/>
      <c r="BV399" s="105"/>
      <c r="BW399" s="106"/>
      <c r="BX399" s="28"/>
    </row>
    <row r="400" spans="1:78" s="34" customFormat="1" ht="17.25" hidden="1" customHeight="1" outlineLevel="1" x14ac:dyDescent="0.25">
      <c r="A400" s="392" t="s">
        <v>213</v>
      </c>
      <c r="B400" s="421" t="e">
        <f ca="1">IF(ROUND(AF$381,6),ROUND(AF$381,6),NA())</f>
        <v>#N/A</v>
      </c>
      <c r="C400" s="421" t="e">
        <f ca="1">IF(ROUND(AG$381,6),ROUND(AG$381,6),NA())</f>
        <v>#N/A</v>
      </c>
      <c r="D400" s="421" t="e">
        <f ca="1">IF(ROUND(AH$381,6),ROUND(AH$381,6),NA())</f>
        <v>#N/A</v>
      </c>
      <c r="E400" s="1" t="s">
        <v>280</v>
      </c>
      <c r="H400" s="377"/>
      <c r="I400" s="95"/>
      <c r="J400" s="58"/>
      <c r="K400" s="155"/>
      <c r="L400" s="317"/>
      <c r="M400" s="156"/>
      <c r="N400" s="156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  <c r="Y400" s="106"/>
      <c r="Z400" s="105"/>
      <c r="AA400" s="104"/>
      <c r="AB400" s="105"/>
      <c r="AC400" s="105"/>
      <c r="AD400" s="105"/>
      <c r="AE400" s="105"/>
      <c r="AF400" s="105"/>
      <c r="AG400" s="105"/>
      <c r="AH400" s="105"/>
      <c r="AI400" s="105"/>
      <c r="AJ400" s="105"/>
      <c r="AK400" s="105"/>
      <c r="AL400" s="105"/>
      <c r="AM400" s="105"/>
      <c r="AN400" s="105"/>
      <c r="AO400" s="105"/>
      <c r="AP400" s="105"/>
      <c r="AQ400" s="105"/>
      <c r="AR400" s="105"/>
      <c r="AS400" s="105"/>
      <c r="AT400" s="105"/>
      <c r="AU400" s="105"/>
      <c r="AV400" s="105"/>
      <c r="AW400" s="105"/>
      <c r="AX400" s="105"/>
      <c r="AY400" s="105"/>
      <c r="AZ400" s="105"/>
      <c r="BA400" s="105"/>
      <c r="BB400" s="105"/>
      <c r="BC400" s="105"/>
      <c r="BD400" s="105"/>
      <c r="BE400" s="105"/>
      <c r="BF400" s="105"/>
      <c r="BG400" s="105"/>
      <c r="BH400" s="105"/>
      <c r="BI400" s="105"/>
      <c r="BJ400" s="105"/>
      <c r="BK400" s="105"/>
      <c r="BL400" s="105"/>
      <c r="BM400" s="105"/>
      <c r="BN400" s="105"/>
      <c r="BO400" s="105"/>
      <c r="BP400" s="105"/>
      <c r="BQ400" s="105"/>
      <c r="BR400" s="105"/>
      <c r="BS400" s="105"/>
      <c r="BT400" s="105"/>
      <c r="BU400" s="105"/>
      <c r="BV400" s="105"/>
      <c r="BW400" s="106"/>
      <c r="BX400" s="28"/>
    </row>
    <row r="401" spans="1:76" s="34" customFormat="1" ht="17.25" hidden="1" customHeight="1" outlineLevel="1" x14ac:dyDescent="0.25">
      <c r="A401" s="392" t="s">
        <v>215</v>
      </c>
      <c r="B401" s="421" t="e">
        <f ca="1">IF(ROUND(AJ$381,6),ROUND(AJ$381,6),NA())</f>
        <v>#N/A</v>
      </c>
      <c r="C401" s="421" t="e">
        <f ca="1">IF(ROUND(AK$381,6),ROUND(AK$381,6),NA())</f>
        <v>#N/A</v>
      </c>
      <c r="D401" s="421" t="e">
        <f ca="1">IF(ROUND(AL$381,6),ROUND(AL$381,6),NA())</f>
        <v>#N/A</v>
      </c>
      <c r="E401" s="1" t="s">
        <v>281</v>
      </c>
      <c r="H401" s="377"/>
      <c r="I401" s="95"/>
      <c r="J401" s="58"/>
      <c r="K401" s="155"/>
      <c r="L401" s="317"/>
      <c r="M401" s="156"/>
      <c r="N401" s="156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  <c r="Y401" s="106"/>
      <c r="Z401" s="105"/>
      <c r="AA401" s="104"/>
      <c r="AB401" s="105"/>
      <c r="AC401" s="105"/>
      <c r="AD401" s="105"/>
      <c r="AE401" s="105"/>
      <c r="AF401" s="105"/>
      <c r="AG401" s="105"/>
      <c r="AH401" s="105"/>
      <c r="AI401" s="105"/>
      <c r="AJ401" s="105"/>
      <c r="AK401" s="105"/>
      <c r="AL401" s="105"/>
      <c r="AM401" s="105"/>
      <c r="AN401" s="105"/>
      <c r="AO401" s="105"/>
      <c r="AP401" s="105"/>
      <c r="AQ401" s="105"/>
      <c r="AR401" s="105"/>
      <c r="AS401" s="105"/>
      <c r="AT401" s="105"/>
      <c r="AU401" s="105"/>
      <c r="AV401" s="105"/>
      <c r="AW401" s="105"/>
      <c r="AX401" s="105"/>
      <c r="AY401" s="105"/>
      <c r="AZ401" s="105"/>
      <c r="BA401" s="105"/>
      <c r="BB401" s="105"/>
      <c r="BC401" s="105"/>
      <c r="BD401" s="105"/>
      <c r="BE401" s="105"/>
      <c r="BF401" s="105"/>
      <c r="BG401" s="105"/>
      <c r="BH401" s="105"/>
      <c r="BI401" s="105"/>
      <c r="BJ401" s="105"/>
      <c r="BK401" s="105"/>
      <c r="BL401" s="105"/>
      <c r="BM401" s="105"/>
      <c r="BN401" s="105"/>
      <c r="BO401" s="105"/>
      <c r="BP401" s="105"/>
      <c r="BQ401" s="105"/>
      <c r="BR401" s="105"/>
      <c r="BS401" s="105"/>
      <c r="BT401" s="105"/>
      <c r="BU401" s="105"/>
      <c r="BV401" s="105"/>
      <c r="BW401" s="106"/>
      <c r="BX401" s="28"/>
    </row>
    <row r="402" spans="1:76" s="34" customFormat="1" ht="17.25" hidden="1" customHeight="1" outlineLevel="1" x14ac:dyDescent="0.25">
      <c r="A402" s="392" t="s">
        <v>42</v>
      </c>
      <c r="B402" s="421" t="e">
        <f ca="1">IF(ROUND(AN$381,6),ROUND(AN$381,6),NA())</f>
        <v>#N/A</v>
      </c>
      <c r="C402" s="421" t="e">
        <f ca="1">IF(ROUND(AO$381,6),ROUND(AO$381,6),NA())</f>
        <v>#N/A</v>
      </c>
      <c r="D402" s="421" t="e">
        <f ca="1">IF(ROUND(AP$381,6),ROUND(AP$381,6),NA())</f>
        <v>#N/A</v>
      </c>
      <c r="E402" s="1" t="s">
        <v>282</v>
      </c>
      <c r="H402" s="377"/>
      <c r="I402" s="95"/>
      <c r="J402" s="58"/>
      <c r="K402" s="155"/>
      <c r="L402" s="317"/>
      <c r="M402" s="156"/>
      <c r="N402" s="156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  <c r="Y402" s="106"/>
      <c r="Z402" s="105"/>
      <c r="AA402" s="104"/>
      <c r="AB402" s="105"/>
      <c r="AC402" s="105"/>
      <c r="AD402" s="105"/>
      <c r="AE402" s="105"/>
      <c r="AF402" s="105"/>
      <c r="AG402" s="105"/>
      <c r="AH402" s="105"/>
      <c r="AI402" s="105"/>
      <c r="AJ402" s="105"/>
      <c r="AK402" s="105"/>
      <c r="AL402" s="105"/>
      <c r="AM402" s="105"/>
      <c r="AN402" s="105"/>
      <c r="AO402" s="105"/>
      <c r="AP402" s="105"/>
      <c r="AQ402" s="105"/>
      <c r="AR402" s="105"/>
      <c r="AS402" s="105"/>
      <c r="AT402" s="105"/>
      <c r="AU402" s="105"/>
      <c r="AV402" s="105"/>
      <c r="AW402" s="105"/>
      <c r="AX402" s="105"/>
      <c r="AY402" s="105"/>
      <c r="AZ402" s="105"/>
      <c r="BA402" s="105"/>
      <c r="BB402" s="105"/>
      <c r="BC402" s="105"/>
      <c r="BD402" s="105"/>
      <c r="BE402" s="105"/>
      <c r="BF402" s="105"/>
      <c r="BG402" s="105"/>
      <c r="BH402" s="105"/>
      <c r="BI402" s="105"/>
      <c r="BJ402" s="105"/>
      <c r="BK402" s="105"/>
      <c r="BL402" s="105"/>
      <c r="BM402" s="105"/>
      <c r="BN402" s="105"/>
      <c r="BO402" s="105"/>
      <c r="BP402" s="105"/>
      <c r="BQ402" s="105"/>
      <c r="BR402" s="105"/>
      <c r="BS402" s="105"/>
      <c r="BT402" s="105"/>
      <c r="BU402" s="105"/>
      <c r="BV402" s="105"/>
      <c r="BW402" s="106"/>
      <c r="BX402" s="28"/>
    </row>
    <row r="403" spans="1:76" s="34" customFormat="1" ht="17.25" hidden="1" customHeight="1" outlineLevel="1" x14ac:dyDescent="0.25">
      <c r="A403" s="392" t="s">
        <v>215</v>
      </c>
      <c r="B403" s="421" t="e">
        <f ca="1">IF(ROUND(AR$381,6),ROUND(AR$381,6),NA())</f>
        <v>#N/A</v>
      </c>
      <c r="C403" s="421" t="e">
        <f ca="1">IF(ROUND(AS$381,6),ROUND(AS$381,6),NA())</f>
        <v>#N/A</v>
      </c>
      <c r="D403" s="421" t="e">
        <f ca="1">IF(ROUND(AT$381,6),ROUND(AT$381,6),NA())</f>
        <v>#N/A</v>
      </c>
      <c r="E403" s="1" t="s">
        <v>283</v>
      </c>
      <c r="H403" s="377"/>
      <c r="I403" s="95"/>
      <c r="J403" s="58"/>
      <c r="K403" s="155"/>
      <c r="L403" s="317"/>
      <c r="M403" s="156"/>
      <c r="N403" s="156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  <c r="Y403" s="106"/>
      <c r="Z403" s="105"/>
      <c r="AA403" s="104"/>
      <c r="AB403" s="105"/>
      <c r="AC403" s="105"/>
      <c r="AD403" s="105"/>
      <c r="AE403" s="105"/>
      <c r="AF403" s="105"/>
      <c r="AG403" s="105"/>
      <c r="AH403" s="105"/>
      <c r="AI403" s="105"/>
      <c r="AJ403" s="105"/>
      <c r="AK403" s="105"/>
      <c r="AL403" s="105"/>
      <c r="AM403" s="105"/>
      <c r="AN403" s="105"/>
      <c r="AO403" s="105"/>
      <c r="AP403" s="105"/>
      <c r="AQ403" s="105"/>
      <c r="AR403" s="105"/>
      <c r="AS403" s="105"/>
      <c r="AT403" s="105"/>
      <c r="AU403" s="105"/>
      <c r="AV403" s="105"/>
      <c r="AW403" s="105"/>
      <c r="AX403" s="105"/>
      <c r="AY403" s="105"/>
      <c r="AZ403" s="105"/>
      <c r="BA403" s="105"/>
      <c r="BB403" s="105"/>
      <c r="BC403" s="105"/>
      <c r="BD403" s="105"/>
      <c r="BE403" s="105"/>
      <c r="BF403" s="105"/>
      <c r="BG403" s="105"/>
      <c r="BH403" s="105"/>
      <c r="BI403" s="105"/>
      <c r="BJ403" s="105"/>
      <c r="BK403" s="105"/>
      <c r="BL403" s="105"/>
      <c r="BM403" s="105"/>
      <c r="BN403" s="105"/>
      <c r="BO403" s="105"/>
      <c r="BP403" s="105"/>
      <c r="BQ403" s="105"/>
      <c r="BR403" s="105"/>
      <c r="BS403" s="105"/>
      <c r="BT403" s="105"/>
      <c r="BU403" s="105"/>
      <c r="BV403" s="105"/>
      <c r="BW403" s="106"/>
      <c r="BX403" s="28"/>
    </row>
    <row r="404" spans="1:76" s="34" customFormat="1" ht="17.25" hidden="1" customHeight="1" outlineLevel="1" x14ac:dyDescent="0.25">
      <c r="A404" s="392" t="s">
        <v>263</v>
      </c>
      <c r="B404" s="421" t="e">
        <f ca="1">IF(ROUND(AV$381,6),ROUND(AV$381,6),NA())</f>
        <v>#N/A</v>
      </c>
      <c r="C404" s="421" t="e">
        <f ca="1">IF(ROUND(AW$381,6),ROUND(AW$381,6),NA())</f>
        <v>#N/A</v>
      </c>
      <c r="D404" s="421" t="e">
        <f ca="1">IF(ROUND(AX$381,6),ROUND(AX$381,6),NA())</f>
        <v>#N/A</v>
      </c>
      <c r="E404" s="1" t="s">
        <v>284</v>
      </c>
      <c r="H404" s="377"/>
      <c r="I404" s="95"/>
      <c r="J404" s="58"/>
      <c r="K404" s="155"/>
      <c r="L404" s="317"/>
      <c r="M404" s="156"/>
      <c r="N404" s="156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  <c r="Y404" s="106"/>
      <c r="Z404" s="105"/>
      <c r="AA404" s="104"/>
      <c r="AB404" s="105"/>
      <c r="AC404" s="105"/>
      <c r="AD404" s="105"/>
      <c r="AE404" s="105"/>
      <c r="AF404" s="105"/>
      <c r="AG404" s="105"/>
      <c r="AH404" s="105"/>
      <c r="AI404" s="105"/>
      <c r="AJ404" s="105"/>
      <c r="AK404" s="105"/>
      <c r="AL404" s="105"/>
      <c r="AM404" s="105"/>
      <c r="AN404" s="105"/>
      <c r="AO404" s="105"/>
      <c r="AP404" s="105"/>
      <c r="AQ404" s="105"/>
      <c r="AR404" s="105"/>
      <c r="AS404" s="105"/>
      <c r="AT404" s="105"/>
      <c r="AU404" s="105"/>
      <c r="AV404" s="105"/>
      <c r="AW404" s="105"/>
      <c r="AX404" s="105"/>
      <c r="AY404" s="105"/>
      <c r="AZ404" s="105"/>
      <c r="BA404" s="105"/>
      <c r="BB404" s="105"/>
      <c r="BC404" s="105"/>
      <c r="BD404" s="105"/>
      <c r="BE404" s="105"/>
      <c r="BF404" s="105"/>
      <c r="BG404" s="105"/>
      <c r="BH404" s="105"/>
      <c r="BI404" s="105"/>
      <c r="BJ404" s="105"/>
      <c r="BK404" s="105"/>
      <c r="BL404" s="105"/>
      <c r="BM404" s="105"/>
      <c r="BN404" s="105"/>
      <c r="BO404" s="105"/>
      <c r="BP404" s="105"/>
      <c r="BQ404" s="105"/>
      <c r="BR404" s="105"/>
      <c r="BS404" s="105"/>
      <c r="BT404" s="105"/>
      <c r="BU404" s="105"/>
      <c r="BV404" s="105"/>
      <c r="BW404" s="106"/>
      <c r="BX404" s="28"/>
    </row>
    <row r="405" spans="1:76" s="34" customFormat="1" ht="17.25" hidden="1" customHeight="1" outlineLevel="1" x14ac:dyDescent="0.25">
      <c r="A405" s="392" t="s">
        <v>263</v>
      </c>
      <c r="B405" s="421" t="e">
        <f ca="1">IF(ROUND(AZ$381,6),ROUND(AZ$381,6),NA())</f>
        <v>#N/A</v>
      </c>
      <c r="C405" s="421" t="e">
        <f ca="1">IF(ROUND(BA$381,6),ROUND(BA$381,6),NA())</f>
        <v>#N/A</v>
      </c>
      <c r="D405" s="421" t="e">
        <f ca="1">IF(ROUND(BB$381,6),ROUND(BB$381,6),NA())</f>
        <v>#N/A</v>
      </c>
      <c r="E405" s="1" t="s">
        <v>285</v>
      </c>
      <c r="H405" s="377"/>
      <c r="I405" s="95"/>
      <c r="J405" s="58"/>
      <c r="K405" s="155"/>
      <c r="L405" s="317"/>
      <c r="M405" s="156"/>
      <c r="N405" s="156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  <c r="Y405" s="106"/>
      <c r="Z405" s="105"/>
      <c r="AA405" s="104"/>
      <c r="AB405" s="105"/>
      <c r="AC405" s="105"/>
      <c r="AD405" s="105"/>
      <c r="AE405" s="105"/>
      <c r="AF405" s="105"/>
      <c r="AG405" s="105"/>
      <c r="AH405" s="105"/>
      <c r="AI405" s="105"/>
      <c r="AJ405" s="105"/>
      <c r="AK405" s="105"/>
      <c r="AL405" s="105"/>
      <c r="AM405" s="105"/>
      <c r="AN405" s="105"/>
      <c r="AO405" s="105"/>
      <c r="AP405" s="105"/>
      <c r="AQ405" s="105"/>
      <c r="AR405" s="105"/>
      <c r="AS405" s="105"/>
      <c r="AT405" s="105"/>
      <c r="AU405" s="105"/>
      <c r="AV405" s="105"/>
      <c r="AW405" s="105"/>
      <c r="AX405" s="105"/>
      <c r="AY405" s="105"/>
      <c r="AZ405" s="105"/>
      <c r="BA405" s="105"/>
      <c r="BB405" s="105"/>
      <c r="BC405" s="105"/>
      <c r="BD405" s="105"/>
      <c r="BE405" s="105"/>
      <c r="BF405" s="105"/>
      <c r="BG405" s="105"/>
      <c r="BH405" s="105"/>
      <c r="BI405" s="105"/>
      <c r="BJ405" s="105"/>
      <c r="BK405" s="105"/>
      <c r="BL405" s="105"/>
      <c r="BM405" s="105"/>
      <c r="BN405" s="105"/>
      <c r="BO405" s="105"/>
      <c r="BP405" s="105"/>
      <c r="BQ405" s="105"/>
      <c r="BR405" s="105"/>
      <c r="BS405" s="105"/>
      <c r="BT405" s="105"/>
      <c r="BU405" s="105"/>
      <c r="BV405" s="105"/>
      <c r="BW405" s="106"/>
      <c r="BX405" s="28"/>
    </row>
    <row r="406" spans="1:76" s="34" customFormat="1" ht="17.25" hidden="1" customHeight="1" outlineLevel="1" x14ac:dyDescent="0.25">
      <c r="A406" s="392" t="s">
        <v>42</v>
      </c>
      <c r="B406" s="421" t="e">
        <f ca="1">IF(ROUND(BD$381,6),ROUND(BD$381,6),NA())</f>
        <v>#N/A</v>
      </c>
      <c r="C406" s="421" t="e">
        <f ca="1">IF(ROUND(BE$381,6),ROUND(BE$381,6),NA())</f>
        <v>#N/A</v>
      </c>
      <c r="D406" s="421" t="e">
        <f ca="1">IF(ROUND(BF$381,6),ROUND(BF$381,6),NA())</f>
        <v>#N/A</v>
      </c>
      <c r="E406" s="1" t="s">
        <v>286</v>
      </c>
      <c r="H406" s="377"/>
      <c r="I406" s="95"/>
      <c r="J406" s="58"/>
      <c r="K406" s="155"/>
      <c r="L406" s="317"/>
      <c r="M406" s="156"/>
      <c r="N406" s="156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  <c r="Y406" s="106"/>
      <c r="Z406" s="105"/>
      <c r="AA406" s="104"/>
      <c r="AB406" s="105"/>
      <c r="AC406" s="105"/>
      <c r="AD406" s="105"/>
      <c r="AE406" s="105"/>
      <c r="AF406" s="105"/>
      <c r="AG406" s="105"/>
      <c r="AH406" s="105"/>
      <c r="AI406" s="105"/>
      <c r="AJ406" s="105"/>
      <c r="AK406" s="105"/>
      <c r="AL406" s="105"/>
      <c r="AM406" s="105"/>
      <c r="AN406" s="105"/>
      <c r="AO406" s="105"/>
      <c r="AP406" s="105"/>
      <c r="AQ406" s="105"/>
      <c r="AR406" s="105"/>
      <c r="AS406" s="105"/>
      <c r="AT406" s="105"/>
      <c r="AU406" s="105"/>
      <c r="AV406" s="105"/>
      <c r="AW406" s="105"/>
      <c r="AX406" s="105"/>
      <c r="AY406" s="105"/>
      <c r="AZ406" s="105"/>
      <c r="BA406" s="105"/>
      <c r="BB406" s="105"/>
      <c r="BC406" s="105"/>
      <c r="BD406" s="105"/>
      <c r="BE406" s="105"/>
      <c r="BF406" s="105"/>
      <c r="BG406" s="105"/>
      <c r="BH406" s="105"/>
      <c r="BI406" s="105"/>
      <c r="BJ406" s="105"/>
      <c r="BK406" s="105"/>
      <c r="BL406" s="105"/>
      <c r="BM406" s="105"/>
      <c r="BN406" s="105"/>
      <c r="BO406" s="105"/>
      <c r="BP406" s="105"/>
      <c r="BQ406" s="105"/>
      <c r="BR406" s="105"/>
      <c r="BS406" s="105"/>
      <c r="BT406" s="105"/>
      <c r="BU406" s="105"/>
      <c r="BV406" s="105"/>
      <c r="BW406" s="106"/>
      <c r="BX406" s="28"/>
    </row>
    <row r="407" spans="1:76" s="34" customFormat="1" ht="17.25" hidden="1" customHeight="1" outlineLevel="1" x14ac:dyDescent="0.25">
      <c r="A407" s="392" t="s">
        <v>264</v>
      </c>
      <c r="B407" s="421" t="e">
        <f ca="1">IF(ROUND(BH$381,6),ROUND(BH$381,6),NA())</f>
        <v>#N/A</v>
      </c>
      <c r="C407" s="421" t="e">
        <f ca="1">IF(ROUND(BI$381,6),ROUND(BI$381,6),NA())</f>
        <v>#N/A</v>
      </c>
      <c r="D407" s="421" t="e">
        <f ca="1">IF(ROUND(BJ$381,6),ROUND(BJ$381,6),NA())</f>
        <v>#N/A</v>
      </c>
      <c r="E407" s="1" t="s">
        <v>287</v>
      </c>
      <c r="H407" s="377"/>
      <c r="I407" s="95"/>
      <c r="J407" s="58"/>
      <c r="K407" s="155"/>
      <c r="L407" s="317"/>
      <c r="M407" s="156"/>
      <c r="N407" s="156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  <c r="Y407" s="106"/>
      <c r="Z407" s="105"/>
      <c r="AA407" s="104"/>
      <c r="AB407" s="105"/>
      <c r="AC407" s="105"/>
      <c r="AD407" s="105"/>
      <c r="AE407" s="105"/>
      <c r="AF407" s="105"/>
      <c r="AG407" s="105"/>
      <c r="AH407" s="105"/>
      <c r="AI407" s="105"/>
      <c r="AJ407" s="105"/>
      <c r="AK407" s="105"/>
      <c r="AL407" s="105"/>
      <c r="AM407" s="105"/>
      <c r="AN407" s="105"/>
      <c r="AO407" s="105"/>
      <c r="AP407" s="105"/>
      <c r="AQ407" s="105"/>
      <c r="AR407" s="105"/>
      <c r="AS407" s="105"/>
      <c r="AT407" s="105"/>
      <c r="AU407" s="105"/>
      <c r="AV407" s="105"/>
      <c r="AW407" s="105"/>
      <c r="AX407" s="105"/>
      <c r="AY407" s="105"/>
      <c r="AZ407" s="105"/>
      <c r="BA407" s="105"/>
      <c r="BB407" s="105"/>
      <c r="BC407" s="105"/>
      <c r="BD407" s="105"/>
      <c r="BE407" s="105"/>
      <c r="BF407" s="105"/>
      <c r="BG407" s="105"/>
      <c r="BH407" s="105"/>
      <c r="BI407" s="105"/>
      <c r="BJ407" s="105"/>
      <c r="BK407" s="105"/>
      <c r="BL407" s="105"/>
      <c r="BM407" s="105"/>
      <c r="BN407" s="105"/>
      <c r="BO407" s="105"/>
      <c r="BP407" s="105"/>
      <c r="BQ407" s="105"/>
      <c r="BR407" s="105"/>
      <c r="BS407" s="105"/>
      <c r="BT407" s="105"/>
      <c r="BU407" s="105"/>
      <c r="BV407" s="105"/>
      <c r="BW407" s="106"/>
      <c r="BX407" s="28"/>
    </row>
    <row r="408" spans="1:76" s="34" customFormat="1" ht="17.25" hidden="1" customHeight="1" outlineLevel="1" x14ac:dyDescent="0.25">
      <c r="A408" s="392" t="s">
        <v>212</v>
      </c>
      <c r="B408" s="421" t="e">
        <f ca="1">IF(ROUND(BL$381,6),ROUND(BL$381,6),NA())</f>
        <v>#N/A</v>
      </c>
      <c r="C408" s="421" t="e">
        <f ca="1">IF(ROUND(BM$381,6),ROUND(BM$381,6),NA())</f>
        <v>#N/A</v>
      </c>
      <c r="D408" s="421" t="e">
        <f ca="1">IF(ROUND(BN$381,6),ROUND(BN$381,6),NA())</f>
        <v>#N/A</v>
      </c>
      <c r="E408" s="1" t="s">
        <v>288</v>
      </c>
      <c r="H408" s="377"/>
      <c r="I408" s="95"/>
      <c r="J408" s="58"/>
      <c r="K408" s="155"/>
      <c r="L408" s="317"/>
      <c r="M408" s="156"/>
      <c r="N408" s="156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  <c r="Y408" s="106"/>
      <c r="Z408" s="105"/>
      <c r="AA408" s="104"/>
      <c r="AB408" s="105"/>
      <c r="AC408" s="105"/>
      <c r="AD408" s="105"/>
      <c r="AE408" s="105"/>
      <c r="AF408" s="105"/>
      <c r="AG408" s="105"/>
      <c r="AH408" s="105"/>
      <c r="AI408" s="105"/>
      <c r="AJ408" s="105"/>
      <c r="AK408" s="105"/>
      <c r="AL408" s="105"/>
      <c r="AM408" s="105"/>
      <c r="AN408" s="105"/>
      <c r="AO408" s="105"/>
      <c r="AP408" s="105"/>
      <c r="AQ408" s="105"/>
      <c r="AR408" s="105"/>
      <c r="AS408" s="105"/>
      <c r="AT408" s="105"/>
      <c r="AU408" s="105"/>
      <c r="AV408" s="105"/>
      <c r="AW408" s="105"/>
      <c r="AX408" s="105"/>
      <c r="AY408" s="105"/>
      <c r="AZ408" s="105"/>
      <c r="BA408" s="105"/>
      <c r="BB408" s="105"/>
      <c r="BC408" s="105"/>
      <c r="BD408" s="105"/>
      <c r="BE408" s="105"/>
      <c r="BF408" s="105"/>
      <c r="BG408" s="105"/>
      <c r="BH408" s="105"/>
      <c r="BI408" s="105"/>
      <c r="BJ408" s="105"/>
      <c r="BK408" s="105"/>
      <c r="BL408" s="105"/>
      <c r="BM408" s="105"/>
      <c r="BN408" s="105"/>
      <c r="BO408" s="105"/>
      <c r="BP408" s="105"/>
      <c r="BQ408" s="105"/>
      <c r="BR408" s="105"/>
      <c r="BS408" s="105"/>
      <c r="BT408" s="105"/>
      <c r="BU408" s="105"/>
      <c r="BV408" s="105"/>
      <c r="BW408" s="106"/>
      <c r="BX408" s="28"/>
    </row>
    <row r="409" spans="1:76" s="34" customFormat="1" ht="17.25" hidden="1" customHeight="1" outlineLevel="1" x14ac:dyDescent="0.25">
      <c r="A409" s="392" t="s">
        <v>257</v>
      </c>
      <c r="B409" s="421" t="e">
        <f ca="1">IF(ROUND(BP$381,6),ROUND(BP$381,6),NA())</f>
        <v>#N/A</v>
      </c>
      <c r="C409" s="421" t="e">
        <f ca="1">IF(ROUND(BQ$381,6),ROUND(BQ$381,6),NA())</f>
        <v>#N/A</v>
      </c>
      <c r="D409" s="421" t="e">
        <f ca="1">IF(ROUND(BR$381,6),ROUND(BR$381,6),NA())</f>
        <v>#N/A</v>
      </c>
      <c r="E409" s="1" t="s">
        <v>289</v>
      </c>
      <c r="H409" s="377"/>
      <c r="I409" s="95"/>
      <c r="J409" s="58"/>
      <c r="K409" s="155"/>
      <c r="L409" s="317"/>
      <c r="M409" s="156"/>
      <c r="N409" s="156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  <c r="Y409" s="106"/>
      <c r="Z409" s="105"/>
      <c r="AA409" s="104"/>
      <c r="AB409" s="105"/>
      <c r="AC409" s="105"/>
      <c r="AD409" s="105"/>
      <c r="AE409" s="105"/>
      <c r="AF409" s="105"/>
      <c r="AG409" s="105"/>
      <c r="AH409" s="105"/>
      <c r="AI409" s="105"/>
      <c r="AJ409" s="105"/>
      <c r="AK409" s="105"/>
      <c r="AL409" s="105"/>
      <c r="AM409" s="105"/>
      <c r="AN409" s="105"/>
      <c r="AO409" s="105"/>
      <c r="AP409" s="105"/>
      <c r="AQ409" s="105"/>
      <c r="AR409" s="105"/>
      <c r="AS409" s="105"/>
      <c r="AT409" s="105"/>
      <c r="AU409" s="105"/>
      <c r="AV409" s="105"/>
      <c r="AW409" s="105"/>
      <c r="AX409" s="105"/>
      <c r="AY409" s="105"/>
      <c r="AZ409" s="105"/>
      <c r="BA409" s="105"/>
      <c r="BB409" s="105"/>
      <c r="BC409" s="105"/>
      <c r="BD409" s="105"/>
      <c r="BE409" s="105"/>
      <c r="BF409" s="105"/>
      <c r="BG409" s="105"/>
      <c r="BH409" s="105"/>
      <c r="BI409" s="105"/>
      <c r="BJ409" s="105"/>
      <c r="BK409" s="105"/>
      <c r="BL409" s="105"/>
      <c r="BM409" s="105"/>
      <c r="BN409" s="105"/>
      <c r="BO409" s="105"/>
      <c r="BP409" s="105"/>
      <c r="BQ409" s="105"/>
      <c r="BR409" s="105"/>
      <c r="BS409" s="105"/>
      <c r="BT409" s="105"/>
      <c r="BU409" s="105"/>
      <c r="BV409" s="105"/>
      <c r="BW409" s="106"/>
      <c r="BX409" s="28"/>
    </row>
    <row r="410" spans="1:76" s="34" customFormat="1" ht="17.25" hidden="1" customHeight="1" outlineLevel="1" x14ac:dyDescent="0.25">
      <c r="A410" s="392" t="s">
        <v>216</v>
      </c>
      <c r="B410" s="421" t="e">
        <f ca="1">IF(ROUND(BT$381,6),ROUND(BT$381,6),NA())</f>
        <v>#N/A</v>
      </c>
      <c r="C410" s="421" t="e">
        <f ca="1">IF(ROUND(BU$381,6),ROUND(BU$381,6),NA())</f>
        <v>#N/A</v>
      </c>
      <c r="D410" s="421" t="e">
        <f ca="1">IF(ROUND(BV$381,6),ROUND(BV$381,6),NA())</f>
        <v>#N/A</v>
      </c>
      <c r="E410" s="1" t="s">
        <v>290</v>
      </c>
      <c r="H410" s="377"/>
      <c r="I410" s="95"/>
      <c r="J410" s="58"/>
      <c r="K410" s="155"/>
      <c r="L410" s="317"/>
      <c r="M410" s="156"/>
      <c r="N410" s="156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  <c r="Y410" s="106"/>
      <c r="Z410" s="105"/>
      <c r="AA410" s="104"/>
      <c r="AB410" s="105"/>
      <c r="AC410" s="105"/>
      <c r="AD410" s="105"/>
      <c r="AE410" s="105"/>
      <c r="AF410" s="105"/>
      <c r="AG410" s="105"/>
      <c r="AH410" s="105"/>
      <c r="AI410" s="105"/>
      <c r="AJ410" s="105"/>
      <c r="AK410" s="105"/>
      <c r="AL410" s="105"/>
      <c r="AM410" s="105"/>
      <c r="AN410" s="105"/>
      <c r="AO410" s="105"/>
      <c r="AP410" s="105"/>
      <c r="AQ410" s="105"/>
      <c r="AR410" s="105"/>
      <c r="AS410" s="105"/>
      <c r="AT410" s="105"/>
      <c r="AU410" s="105"/>
      <c r="AV410" s="105"/>
      <c r="AW410" s="105"/>
      <c r="AX410" s="105"/>
      <c r="AY410" s="105"/>
      <c r="AZ410" s="105"/>
      <c r="BA410" s="105"/>
      <c r="BB410" s="105"/>
      <c r="BC410" s="105"/>
      <c r="BD410" s="105"/>
      <c r="BE410" s="105"/>
      <c r="BF410" s="105"/>
      <c r="BG410" s="105"/>
      <c r="BH410" s="105"/>
      <c r="BI410" s="105"/>
      <c r="BJ410" s="105"/>
      <c r="BK410" s="105"/>
      <c r="BL410" s="105"/>
      <c r="BM410" s="105"/>
      <c r="BN410" s="105"/>
      <c r="BO410" s="105"/>
      <c r="BP410" s="105"/>
      <c r="BQ410" s="105"/>
      <c r="BR410" s="105"/>
      <c r="BS410" s="105"/>
      <c r="BT410" s="105"/>
      <c r="BU410" s="105"/>
      <c r="BV410" s="105"/>
      <c r="BW410" s="106"/>
      <c r="BX410" s="28"/>
    </row>
    <row r="411" spans="1:76" s="34" customFormat="1" ht="17.25" hidden="1" customHeight="1" outlineLevel="1" x14ac:dyDescent="0.25">
      <c r="A411" s="57"/>
      <c r="B411" s="377"/>
      <c r="C411" s="9"/>
      <c r="D411" s="1"/>
      <c r="E411" s="1"/>
      <c r="H411" s="377"/>
      <c r="I411" s="95"/>
      <c r="J411" s="58"/>
      <c r="K411" s="155"/>
      <c r="L411" s="317"/>
      <c r="M411" s="156"/>
      <c r="N411" s="156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  <c r="Y411" s="106"/>
      <c r="Z411" s="105"/>
      <c r="AA411" s="104"/>
      <c r="AB411" s="105"/>
      <c r="AC411" s="105"/>
      <c r="AD411" s="105"/>
      <c r="AE411" s="105"/>
      <c r="AF411" s="105"/>
      <c r="AG411" s="105"/>
      <c r="AH411" s="105"/>
      <c r="AI411" s="105"/>
      <c r="AJ411" s="105"/>
      <c r="AK411" s="105"/>
      <c r="AL411" s="105"/>
      <c r="AM411" s="105"/>
      <c r="AN411" s="105"/>
      <c r="AO411" s="105"/>
      <c r="AP411" s="105"/>
      <c r="AQ411" s="105"/>
      <c r="AR411" s="105"/>
      <c r="AS411" s="105"/>
      <c r="AT411" s="105"/>
      <c r="AU411" s="105"/>
      <c r="AV411" s="105"/>
      <c r="AW411" s="105"/>
      <c r="AX411" s="105"/>
      <c r="AY411" s="105"/>
      <c r="AZ411" s="105"/>
      <c r="BA411" s="105"/>
      <c r="BB411" s="105"/>
      <c r="BC411" s="105"/>
      <c r="BD411" s="105"/>
      <c r="BE411" s="105"/>
      <c r="BF411" s="105"/>
      <c r="BG411" s="105"/>
      <c r="BH411" s="105"/>
      <c r="BI411" s="105"/>
      <c r="BJ411" s="105"/>
      <c r="BK411" s="105"/>
      <c r="BL411" s="105"/>
      <c r="BM411" s="105"/>
      <c r="BN411" s="105"/>
      <c r="BO411" s="105"/>
      <c r="BP411" s="105"/>
      <c r="BQ411" s="105"/>
      <c r="BR411" s="105"/>
      <c r="BS411" s="105"/>
      <c r="BT411" s="105"/>
      <c r="BU411" s="105"/>
      <c r="BV411" s="105"/>
      <c r="BW411" s="106"/>
      <c r="BX411" s="28"/>
    </row>
    <row r="412" spans="1:76" s="34" customFormat="1" ht="17.25" hidden="1" customHeight="1" outlineLevel="1" x14ac:dyDescent="0.25">
      <c r="A412" s="394" t="s">
        <v>298</v>
      </c>
      <c r="B412" t="str">
        <f ca="1">$N$12&amp;" N"</f>
        <v>Actual N</v>
      </c>
      <c r="C412" t="str">
        <f ca="1">$N$20&amp;" "&amp;$N$21</f>
        <v>Budget V current N</v>
      </c>
      <c r="D412" t="str">
        <f ca="1">$O$20&amp;" "&amp;$O$21</f>
        <v>Actual N-1</v>
      </c>
      <c r="E412" s="1"/>
      <c r="H412" s="377"/>
      <c r="I412" s="95"/>
      <c r="J412" s="58"/>
      <c r="K412" s="155"/>
      <c r="L412" s="317"/>
      <c r="M412" s="156"/>
      <c r="N412" s="156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  <c r="Y412" s="106"/>
      <c r="Z412" s="105"/>
      <c r="AA412" s="104"/>
      <c r="AB412" s="105"/>
      <c r="AC412" s="105"/>
      <c r="AD412" s="105"/>
      <c r="AE412" s="105"/>
      <c r="AF412" s="105"/>
      <c r="AG412" s="105"/>
      <c r="AH412" s="105"/>
      <c r="AI412" s="105"/>
      <c r="AJ412" s="105"/>
      <c r="AK412" s="105"/>
      <c r="AL412" s="105"/>
      <c r="AM412" s="105"/>
      <c r="AN412" s="105"/>
      <c r="AO412" s="105"/>
      <c r="AP412" s="105"/>
      <c r="AQ412" s="105"/>
      <c r="AR412" s="105"/>
      <c r="AS412" s="105"/>
      <c r="AT412" s="105"/>
      <c r="AU412" s="105"/>
      <c r="AV412" s="105"/>
      <c r="AW412" s="105"/>
      <c r="AX412" s="105"/>
      <c r="AY412" s="105"/>
      <c r="AZ412" s="105"/>
      <c r="BA412" s="105"/>
      <c r="BB412" s="105"/>
      <c r="BC412" s="105"/>
      <c r="BD412" s="105"/>
      <c r="BE412" s="105"/>
      <c r="BF412" s="105"/>
      <c r="BG412" s="105"/>
      <c r="BH412" s="105"/>
      <c r="BI412" s="105"/>
      <c r="BJ412" s="105"/>
      <c r="BK412" s="105"/>
      <c r="BL412" s="105"/>
      <c r="BM412" s="105"/>
      <c r="BN412" s="105"/>
      <c r="BO412" s="105"/>
      <c r="BP412" s="105"/>
      <c r="BQ412" s="105"/>
      <c r="BR412" s="105"/>
      <c r="BS412" s="105"/>
      <c r="BT412" s="105"/>
      <c r="BU412" s="105"/>
      <c r="BV412" s="105"/>
      <c r="BW412" s="106"/>
      <c r="BX412" s="28"/>
    </row>
    <row r="413" spans="1:76" s="34" customFormat="1" ht="17.25" hidden="1" customHeight="1" outlineLevel="1" x14ac:dyDescent="0.25">
      <c r="A413" s="392" t="str">
        <f>IF($N$19="English","J","J")</f>
        <v>J</v>
      </c>
      <c r="B413" s="421" t="e">
        <f ca="1">IF(ROUND(AB$382,6),ROUND(AB$382,6),NA())</f>
        <v>#N/A</v>
      </c>
      <c r="C413" s="421" t="e">
        <f ca="1">IF(ROUND(AC$382,6),ROUND(AC$382,6),NA())</f>
        <v>#N/A</v>
      </c>
      <c r="D413" s="421" t="e">
        <f ca="1">IF(ROUND(AD$382,6),ROUND(AD$382,6),NA())</f>
        <v>#N/A</v>
      </c>
      <c r="E413" s="1" t="s">
        <v>279</v>
      </c>
      <c r="H413" s="377"/>
      <c r="I413" s="95"/>
      <c r="J413" s="58"/>
      <c r="K413" s="155"/>
      <c r="L413" s="317"/>
      <c r="M413" s="156"/>
      <c r="N413" s="156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  <c r="Y413" s="106"/>
      <c r="Z413" s="105"/>
      <c r="AA413" s="104"/>
      <c r="AB413" s="105"/>
      <c r="AC413" s="105"/>
      <c r="AD413" s="105"/>
      <c r="AE413" s="105"/>
      <c r="AF413" s="105"/>
      <c r="AG413" s="105"/>
      <c r="AH413" s="105"/>
      <c r="AI413" s="105"/>
      <c r="AJ413" s="105"/>
      <c r="AK413" s="105"/>
      <c r="AL413" s="105"/>
      <c r="AM413" s="105"/>
      <c r="AN413" s="105"/>
      <c r="AO413" s="105"/>
      <c r="AP413" s="105"/>
      <c r="AQ413" s="105"/>
      <c r="AR413" s="105"/>
      <c r="AS413" s="105"/>
      <c r="AT413" s="105"/>
      <c r="AU413" s="105"/>
      <c r="AV413" s="105"/>
      <c r="AW413" s="105"/>
      <c r="AX413" s="105"/>
      <c r="AY413" s="105"/>
      <c r="AZ413" s="105"/>
      <c r="BA413" s="105"/>
      <c r="BB413" s="105"/>
      <c r="BC413" s="105"/>
      <c r="BD413" s="105"/>
      <c r="BE413" s="105"/>
      <c r="BF413" s="105"/>
      <c r="BG413" s="105"/>
      <c r="BH413" s="105"/>
      <c r="BI413" s="105"/>
      <c r="BJ413" s="105"/>
      <c r="BK413" s="105"/>
      <c r="BL413" s="105"/>
      <c r="BM413" s="105"/>
      <c r="BN413" s="105"/>
      <c r="BO413" s="105"/>
      <c r="BP413" s="105"/>
      <c r="BQ413" s="105"/>
      <c r="BR413" s="105"/>
      <c r="BS413" s="105"/>
      <c r="BT413" s="105"/>
      <c r="BU413" s="105"/>
      <c r="BV413" s="105"/>
      <c r="BW413" s="106"/>
      <c r="BX413" s="28"/>
    </row>
    <row r="414" spans="1:76" s="34" customFormat="1" ht="17.25" hidden="1" customHeight="1" outlineLevel="1" x14ac:dyDescent="0.25">
      <c r="A414" s="392" t="s">
        <v>213</v>
      </c>
      <c r="B414" s="421" t="e">
        <f ca="1">IF(ROUND(AF$382,6),ROUND(AF$382,6),NA())</f>
        <v>#N/A</v>
      </c>
      <c r="C414" s="421" t="e">
        <f ca="1">IF(ROUND(AG$382,6),ROUND(AG$382,6),NA())</f>
        <v>#N/A</v>
      </c>
      <c r="D414" s="421" t="e">
        <f ca="1">IF(ROUND(AH$382,6),ROUND(AH$382,6),NA())</f>
        <v>#N/A</v>
      </c>
      <c r="E414" s="1" t="s">
        <v>280</v>
      </c>
      <c r="H414" s="377"/>
      <c r="I414" s="95"/>
      <c r="J414" s="58"/>
      <c r="K414" s="155"/>
      <c r="L414" s="317"/>
      <c r="M414" s="156"/>
      <c r="N414" s="156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  <c r="Y414" s="106"/>
      <c r="Z414" s="105"/>
      <c r="AA414" s="104"/>
      <c r="AB414" s="105"/>
      <c r="AC414" s="105"/>
      <c r="AD414" s="105"/>
      <c r="AE414" s="105"/>
      <c r="AF414" s="105"/>
      <c r="AG414" s="105"/>
      <c r="AH414" s="105"/>
      <c r="AI414" s="105"/>
      <c r="AJ414" s="105"/>
      <c r="AK414" s="105"/>
      <c r="AL414" s="105"/>
      <c r="AM414" s="105"/>
      <c r="AN414" s="105"/>
      <c r="AO414" s="105"/>
      <c r="AP414" s="105"/>
      <c r="AQ414" s="105"/>
      <c r="AR414" s="105"/>
      <c r="AS414" s="105"/>
      <c r="AT414" s="105"/>
      <c r="AU414" s="105"/>
      <c r="AV414" s="105"/>
      <c r="AW414" s="105"/>
      <c r="AX414" s="105"/>
      <c r="AY414" s="105"/>
      <c r="AZ414" s="105"/>
      <c r="BA414" s="105"/>
      <c r="BB414" s="105"/>
      <c r="BC414" s="105"/>
      <c r="BD414" s="105"/>
      <c r="BE414" s="105"/>
      <c r="BF414" s="105"/>
      <c r="BG414" s="105"/>
      <c r="BH414" s="105"/>
      <c r="BI414" s="105"/>
      <c r="BJ414" s="105"/>
      <c r="BK414" s="105"/>
      <c r="BL414" s="105"/>
      <c r="BM414" s="105"/>
      <c r="BN414" s="105"/>
      <c r="BO414" s="105"/>
      <c r="BP414" s="105"/>
      <c r="BQ414" s="105"/>
      <c r="BR414" s="105"/>
      <c r="BS414" s="105"/>
      <c r="BT414" s="105"/>
      <c r="BU414" s="105"/>
      <c r="BV414" s="105"/>
      <c r="BW414" s="106"/>
      <c r="BX414" s="28"/>
    </row>
    <row r="415" spans="1:76" s="34" customFormat="1" ht="17.25" hidden="1" customHeight="1" outlineLevel="1" x14ac:dyDescent="0.25">
      <c r="A415" s="392" t="s">
        <v>215</v>
      </c>
      <c r="B415" s="421" t="e">
        <f ca="1">IF(ROUND(AJ$382,6),ROUND(AJ$382,6),NA())</f>
        <v>#N/A</v>
      </c>
      <c r="C415" s="421" t="e">
        <f ca="1">IF(ROUND(AK$382,6),ROUND(AK$382,6),NA())</f>
        <v>#N/A</v>
      </c>
      <c r="D415" s="421" t="e">
        <f ca="1">IF(ROUND(AL$382,6),ROUND(AL$382,6),NA())</f>
        <v>#N/A</v>
      </c>
      <c r="E415" s="1" t="s">
        <v>281</v>
      </c>
      <c r="H415" s="377"/>
      <c r="I415" s="95"/>
      <c r="J415" s="58"/>
      <c r="K415" s="155"/>
      <c r="L415" s="317"/>
      <c r="M415" s="156"/>
      <c r="N415" s="156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  <c r="Y415" s="106"/>
      <c r="Z415" s="105"/>
      <c r="AA415" s="104"/>
      <c r="AB415" s="105"/>
      <c r="AC415" s="105"/>
      <c r="AD415" s="105"/>
      <c r="AE415" s="105"/>
      <c r="AF415" s="105"/>
      <c r="AG415" s="105"/>
      <c r="AH415" s="105"/>
      <c r="AI415" s="105"/>
      <c r="AJ415" s="105"/>
      <c r="AK415" s="105"/>
      <c r="AL415" s="105"/>
      <c r="AM415" s="105"/>
      <c r="AN415" s="105"/>
      <c r="AO415" s="105"/>
      <c r="AP415" s="105"/>
      <c r="AQ415" s="105"/>
      <c r="AR415" s="105"/>
      <c r="AS415" s="105"/>
      <c r="AT415" s="105"/>
      <c r="AU415" s="105"/>
      <c r="AV415" s="105"/>
      <c r="AW415" s="105"/>
      <c r="AX415" s="105"/>
      <c r="AY415" s="105"/>
      <c r="AZ415" s="105"/>
      <c r="BA415" s="105"/>
      <c r="BB415" s="105"/>
      <c r="BC415" s="105"/>
      <c r="BD415" s="105"/>
      <c r="BE415" s="105"/>
      <c r="BF415" s="105"/>
      <c r="BG415" s="105"/>
      <c r="BH415" s="105"/>
      <c r="BI415" s="105"/>
      <c r="BJ415" s="105"/>
      <c r="BK415" s="105"/>
      <c r="BL415" s="105"/>
      <c r="BM415" s="105"/>
      <c r="BN415" s="105"/>
      <c r="BO415" s="105"/>
      <c r="BP415" s="105"/>
      <c r="BQ415" s="105"/>
      <c r="BR415" s="105"/>
      <c r="BS415" s="105"/>
      <c r="BT415" s="105"/>
      <c r="BU415" s="105"/>
      <c r="BV415" s="105"/>
      <c r="BW415" s="106"/>
      <c r="BX415" s="28"/>
    </row>
    <row r="416" spans="1:76" s="34" customFormat="1" ht="17.25" hidden="1" customHeight="1" outlineLevel="1" x14ac:dyDescent="0.25">
      <c r="A416" s="392" t="s">
        <v>42</v>
      </c>
      <c r="B416" s="421" t="e">
        <f ca="1">IF(ROUND(AN$382,6),ROUND(AN$382,6),NA())</f>
        <v>#N/A</v>
      </c>
      <c r="C416" s="421" t="e">
        <f ca="1">IF(ROUND(AO$382,6),ROUND(AO$382,6),NA())</f>
        <v>#N/A</v>
      </c>
      <c r="D416" s="421" t="e">
        <f ca="1">IF(ROUND(AP$382,6),ROUND(AP$382,6),NA())</f>
        <v>#N/A</v>
      </c>
      <c r="E416" s="1" t="s">
        <v>282</v>
      </c>
      <c r="H416" s="377"/>
      <c r="I416" s="95"/>
      <c r="J416" s="58"/>
      <c r="K416" s="155"/>
      <c r="L416" s="317"/>
      <c r="M416" s="156"/>
      <c r="N416" s="156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  <c r="Y416" s="106"/>
      <c r="Z416" s="105"/>
      <c r="AA416" s="104"/>
      <c r="AB416" s="105"/>
      <c r="AC416" s="105"/>
      <c r="AD416" s="105"/>
      <c r="AE416" s="105"/>
      <c r="AF416" s="105"/>
      <c r="AG416" s="105"/>
      <c r="AH416" s="105"/>
      <c r="AI416" s="105"/>
      <c r="AJ416" s="105"/>
      <c r="AK416" s="105"/>
      <c r="AL416" s="105"/>
      <c r="AM416" s="105"/>
      <c r="AN416" s="105"/>
      <c r="AO416" s="105"/>
      <c r="AP416" s="105"/>
      <c r="AQ416" s="105"/>
      <c r="AR416" s="105"/>
      <c r="AS416" s="105"/>
      <c r="AT416" s="105"/>
      <c r="AU416" s="105"/>
      <c r="AV416" s="105"/>
      <c r="AW416" s="105"/>
      <c r="AX416" s="105"/>
      <c r="AY416" s="105"/>
      <c r="AZ416" s="105"/>
      <c r="BA416" s="105"/>
      <c r="BB416" s="105"/>
      <c r="BC416" s="105"/>
      <c r="BD416" s="105"/>
      <c r="BE416" s="105"/>
      <c r="BF416" s="105"/>
      <c r="BG416" s="105"/>
      <c r="BH416" s="105"/>
      <c r="BI416" s="105"/>
      <c r="BJ416" s="105"/>
      <c r="BK416" s="105"/>
      <c r="BL416" s="105"/>
      <c r="BM416" s="105"/>
      <c r="BN416" s="105"/>
      <c r="BO416" s="105"/>
      <c r="BP416" s="105"/>
      <c r="BQ416" s="105"/>
      <c r="BR416" s="105"/>
      <c r="BS416" s="105"/>
      <c r="BT416" s="105"/>
      <c r="BU416" s="105"/>
      <c r="BV416" s="105"/>
      <c r="BW416" s="106"/>
      <c r="BX416" s="28"/>
    </row>
    <row r="417" spans="1:76" s="34" customFormat="1" ht="17.25" hidden="1" customHeight="1" outlineLevel="1" x14ac:dyDescent="0.25">
      <c r="A417" s="392" t="s">
        <v>215</v>
      </c>
      <c r="B417" s="421" t="e">
        <f ca="1">IF(ROUND(AR$382,6),ROUND(AR$382,6),NA())</f>
        <v>#N/A</v>
      </c>
      <c r="C417" s="421" t="e">
        <f ca="1">IF(ROUND(AS$382,6),ROUND(AS$382,6),NA())</f>
        <v>#N/A</v>
      </c>
      <c r="D417" s="421" t="e">
        <f ca="1">IF(ROUND(AT$382,6),ROUND(AT$382,6),NA())</f>
        <v>#N/A</v>
      </c>
      <c r="E417" s="1" t="s">
        <v>283</v>
      </c>
      <c r="H417" s="377"/>
      <c r="I417" s="95"/>
      <c r="J417" s="58"/>
      <c r="K417" s="155"/>
      <c r="L417" s="317"/>
      <c r="M417" s="156"/>
      <c r="N417" s="156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  <c r="Y417" s="106"/>
      <c r="Z417" s="105"/>
      <c r="AA417" s="104"/>
      <c r="AB417" s="105"/>
      <c r="AC417" s="105"/>
      <c r="AD417" s="105"/>
      <c r="AE417" s="105"/>
      <c r="AF417" s="105"/>
      <c r="AG417" s="105"/>
      <c r="AH417" s="105"/>
      <c r="AI417" s="105"/>
      <c r="AJ417" s="105"/>
      <c r="AK417" s="105"/>
      <c r="AL417" s="105"/>
      <c r="AM417" s="105"/>
      <c r="AN417" s="105"/>
      <c r="AO417" s="105"/>
      <c r="AP417" s="105"/>
      <c r="AQ417" s="105"/>
      <c r="AR417" s="105"/>
      <c r="AS417" s="105"/>
      <c r="AT417" s="105"/>
      <c r="AU417" s="105"/>
      <c r="AV417" s="105"/>
      <c r="AW417" s="105"/>
      <c r="AX417" s="105"/>
      <c r="AY417" s="105"/>
      <c r="AZ417" s="105"/>
      <c r="BA417" s="105"/>
      <c r="BB417" s="105"/>
      <c r="BC417" s="105"/>
      <c r="BD417" s="105"/>
      <c r="BE417" s="105"/>
      <c r="BF417" s="105"/>
      <c r="BG417" s="105"/>
      <c r="BH417" s="105"/>
      <c r="BI417" s="105"/>
      <c r="BJ417" s="105"/>
      <c r="BK417" s="105"/>
      <c r="BL417" s="105"/>
      <c r="BM417" s="105"/>
      <c r="BN417" s="105"/>
      <c r="BO417" s="105"/>
      <c r="BP417" s="105"/>
      <c r="BQ417" s="105"/>
      <c r="BR417" s="105"/>
      <c r="BS417" s="105"/>
      <c r="BT417" s="105"/>
      <c r="BU417" s="105"/>
      <c r="BV417" s="105"/>
      <c r="BW417" s="106"/>
      <c r="BX417" s="28"/>
    </row>
    <row r="418" spans="1:76" s="34" customFormat="1" ht="17.25" hidden="1" customHeight="1" outlineLevel="1" x14ac:dyDescent="0.25">
      <c r="A418" s="392" t="s">
        <v>263</v>
      </c>
      <c r="B418" s="421" t="e">
        <f ca="1">IF(ROUND(AV$382,6),ROUND(AV$382,6),NA())</f>
        <v>#N/A</v>
      </c>
      <c r="C418" s="421" t="e">
        <f ca="1">IF(ROUND(AW$382,6),ROUND(AW$382,6),NA())</f>
        <v>#N/A</v>
      </c>
      <c r="D418" s="421" t="e">
        <f ca="1">IF(ROUND(AX$382,6),ROUND(AX$382,6),NA())</f>
        <v>#N/A</v>
      </c>
      <c r="E418" s="1" t="s">
        <v>284</v>
      </c>
      <c r="H418" s="377"/>
      <c r="I418" s="95"/>
      <c r="J418" s="58"/>
      <c r="K418" s="155"/>
      <c r="L418" s="317"/>
      <c r="M418" s="156"/>
      <c r="N418" s="156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  <c r="Y418" s="106"/>
      <c r="Z418" s="105"/>
      <c r="AA418" s="104"/>
      <c r="AB418" s="105"/>
      <c r="AC418" s="105"/>
      <c r="AD418" s="105"/>
      <c r="AE418" s="105"/>
      <c r="AF418" s="105"/>
      <c r="AG418" s="105"/>
      <c r="AH418" s="105"/>
      <c r="AI418" s="105"/>
      <c r="AJ418" s="105"/>
      <c r="AK418" s="105"/>
      <c r="AL418" s="105"/>
      <c r="AM418" s="105"/>
      <c r="AN418" s="105"/>
      <c r="AO418" s="105"/>
      <c r="AP418" s="105"/>
      <c r="AQ418" s="105"/>
      <c r="AR418" s="105"/>
      <c r="AS418" s="105"/>
      <c r="AT418" s="105"/>
      <c r="AU418" s="105"/>
      <c r="AV418" s="105"/>
      <c r="AW418" s="105"/>
      <c r="AX418" s="105"/>
      <c r="AY418" s="105"/>
      <c r="AZ418" s="105"/>
      <c r="BA418" s="105"/>
      <c r="BB418" s="105"/>
      <c r="BC418" s="105"/>
      <c r="BD418" s="105"/>
      <c r="BE418" s="105"/>
      <c r="BF418" s="105"/>
      <c r="BG418" s="105"/>
      <c r="BH418" s="105"/>
      <c r="BI418" s="105"/>
      <c r="BJ418" s="105"/>
      <c r="BK418" s="105"/>
      <c r="BL418" s="105"/>
      <c r="BM418" s="105"/>
      <c r="BN418" s="105"/>
      <c r="BO418" s="105"/>
      <c r="BP418" s="105"/>
      <c r="BQ418" s="105"/>
      <c r="BR418" s="105"/>
      <c r="BS418" s="105"/>
      <c r="BT418" s="105"/>
      <c r="BU418" s="105"/>
      <c r="BV418" s="105"/>
      <c r="BW418" s="106"/>
      <c r="BX418" s="28"/>
    </row>
    <row r="419" spans="1:76" s="34" customFormat="1" ht="30" hidden="1" customHeight="1" outlineLevel="1" x14ac:dyDescent="0.25">
      <c r="A419" s="392" t="s">
        <v>263</v>
      </c>
      <c r="B419" s="421" t="e">
        <f ca="1">IF(ROUND(AZ$382,6),ROUND(AZ$382,6),NA())</f>
        <v>#N/A</v>
      </c>
      <c r="C419" s="421" t="e">
        <f ca="1">IF(ROUND(BA$382,6),ROUND(BA$382,6),NA())</f>
        <v>#N/A</v>
      </c>
      <c r="D419" s="421" t="e">
        <f ca="1">IF(ROUND(BB$382,6),ROUND(BB$382,6),NA())</f>
        <v>#N/A</v>
      </c>
      <c r="E419" s="1" t="s">
        <v>285</v>
      </c>
      <c r="H419" s="377"/>
      <c r="I419" s="95"/>
      <c r="J419" s="58"/>
      <c r="K419" s="155"/>
      <c r="L419" s="317"/>
      <c r="M419" s="596" t="str">
        <f ca="1">M382</f>
        <v>M2 - Maintenance efficiency</v>
      </c>
      <c r="N419" s="596"/>
      <c r="O419" s="596"/>
      <c r="P419" s="596"/>
      <c r="Q419" s="596"/>
      <c r="R419" s="596"/>
      <c r="S419" s="596"/>
      <c r="T419" s="596"/>
      <c r="U419" s="105"/>
      <c r="V419" s="105"/>
      <c r="W419" s="105"/>
      <c r="X419" s="105"/>
      <c r="Y419" s="106"/>
      <c r="Z419" s="105"/>
      <c r="AA419" s="104"/>
      <c r="AB419" s="105"/>
      <c r="AC419" s="105"/>
      <c r="AD419" s="105"/>
      <c r="AE419" s="105"/>
      <c r="AF419" s="105"/>
      <c r="AG419" s="105"/>
      <c r="AH419" s="105"/>
      <c r="AI419" s="105"/>
      <c r="AJ419" s="105"/>
      <c r="AK419" s="105"/>
      <c r="AL419" s="105"/>
      <c r="AM419" s="105"/>
      <c r="AN419" s="105"/>
      <c r="AO419" s="105"/>
      <c r="AP419" s="105"/>
      <c r="AQ419" s="105"/>
      <c r="AR419" s="105"/>
      <c r="AS419" s="105"/>
      <c r="AT419" s="105"/>
      <c r="AU419" s="105"/>
      <c r="AV419" s="105"/>
      <c r="AW419" s="105"/>
      <c r="AX419" s="105"/>
      <c r="AY419" s="105"/>
      <c r="AZ419" s="105"/>
      <c r="BA419" s="105"/>
      <c r="BB419" s="105"/>
      <c r="BC419" s="105"/>
      <c r="BD419" s="105"/>
      <c r="BE419" s="105"/>
      <c r="BF419" s="105"/>
      <c r="BG419" s="105"/>
      <c r="BH419" s="105"/>
      <c r="BI419" s="105"/>
      <c r="BJ419" s="105"/>
      <c r="BK419" s="105"/>
      <c r="BL419" s="105"/>
      <c r="BM419" s="105"/>
      <c r="BN419" s="105"/>
      <c r="BO419" s="105"/>
      <c r="BP419" s="105"/>
      <c r="BQ419" s="105"/>
      <c r="BR419" s="105"/>
      <c r="BS419" s="105"/>
      <c r="BT419" s="105"/>
      <c r="BU419" s="105"/>
      <c r="BV419" s="105"/>
      <c r="BW419" s="106"/>
      <c r="BX419" s="28"/>
    </row>
    <row r="420" spans="1:76" s="34" customFormat="1" ht="17.25" hidden="1" customHeight="1" outlineLevel="1" x14ac:dyDescent="0.25">
      <c r="A420" s="392" t="s">
        <v>42</v>
      </c>
      <c r="B420" s="421" t="e">
        <f ca="1">IF(ROUND(BD$382,6),ROUND(BD$382,6),NA())</f>
        <v>#N/A</v>
      </c>
      <c r="C420" s="421" t="e">
        <f ca="1">IF(ROUND(BE$382,6),ROUND(BE$382,6),NA())</f>
        <v>#N/A</v>
      </c>
      <c r="D420" s="421" t="e">
        <f ca="1">IF(ROUND(BF$382,6),ROUND(BF$382,6),NA())</f>
        <v>#N/A</v>
      </c>
      <c r="E420" s="1" t="s">
        <v>286</v>
      </c>
      <c r="H420" s="377"/>
      <c r="I420" s="95"/>
      <c r="J420" s="58"/>
      <c r="K420" s="155"/>
      <c r="L420" s="317"/>
      <c r="M420" s="156"/>
      <c r="N420" s="156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  <c r="Y420" s="106"/>
      <c r="Z420" s="105"/>
      <c r="AA420" s="104"/>
      <c r="AB420" s="105"/>
      <c r="AC420" s="105"/>
      <c r="AD420" s="105"/>
      <c r="AE420" s="105"/>
      <c r="AF420" s="105"/>
      <c r="AG420" s="105"/>
      <c r="AH420" s="105"/>
      <c r="AI420" s="105"/>
      <c r="AJ420" s="105"/>
      <c r="AK420" s="105"/>
      <c r="AL420" s="105"/>
      <c r="AM420" s="105"/>
      <c r="AN420" s="105"/>
      <c r="AO420" s="105"/>
      <c r="AP420" s="105"/>
      <c r="AQ420" s="105"/>
      <c r="AR420" s="105"/>
      <c r="AS420" s="105"/>
      <c r="AT420" s="105"/>
      <c r="AU420" s="105"/>
      <c r="AV420" s="105"/>
      <c r="AW420" s="105"/>
      <c r="AX420" s="105"/>
      <c r="AY420" s="105"/>
      <c r="AZ420" s="105"/>
      <c r="BA420" s="105"/>
      <c r="BB420" s="105"/>
      <c r="BC420" s="105"/>
      <c r="BD420" s="105"/>
      <c r="BE420" s="105"/>
      <c r="BF420" s="105"/>
      <c r="BG420" s="105"/>
      <c r="BH420" s="105"/>
      <c r="BI420" s="105"/>
      <c r="BJ420" s="105"/>
      <c r="BK420" s="105"/>
      <c r="BL420" s="105"/>
      <c r="BM420" s="105"/>
      <c r="BN420" s="105"/>
      <c r="BO420" s="105"/>
      <c r="BP420" s="105"/>
      <c r="BQ420" s="105"/>
      <c r="BR420" s="105"/>
      <c r="BS420" s="105"/>
      <c r="BT420" s="105"/>
      <c r="BU420" s="105"/>
      <c r="BV420" s="105"/>
      <c r="BW420" s="106"/>
      <c r="BX420" s="28"/>
    </row>
    <row r="421" spans="1:76" s="34" customFormat="1" ht="17.25" hidden="1" customHeight="1" outlineLevel="1" x14ac:dyDescent="0.25">
      <c r="A421" s="392" t="s">
        <v>264</v>
      </c>
      <c r="B421" s="421" t="e">
        <f ca="1">IF(ROUND(BH$382,6),ROUND(BH$382,6),NA())</f>
        <v>#N/A</v>
      </c>
      <c r="C421" s="421" t="e">
        <f ca="1">IF(ROUND(BI$382,6),ROUND(BI$382,6),NA())</f>
        <v>#N/A</v>
      </c>
      <c r="D421" s="421" t="e">
        <f ca="1">IF(ROUND(BJ$382,6),ROUND(BJ$382,6),NA())</f>
        <v>#N/A</v>
      </c>
      <c r="E421" s="1" t="s">
        <v>287</v>
      </c>
      <c r="H421" s="377"/>
      <c r="I421" s="95"/>
      <c r="J421" s="58"/>
      <c r="K421" s="155"/>
      <c r="L421" s="317"/>
      <c r="M421" s="156"/>
      <c r="N421" s="156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  <c r="Y421" s="106"/>
      <c r="Z421" s="105"/>
      <c r="AA421" s="104"/>
      <c r="AB421" s="105"/>
      <c r="AC421" s="105"/>
      <c r="AD421" s="105"/>
      <c r="AE421" s="105"/>
      <c r="AF421" s="105"/>
      <c r="AG421" s="105"/>
      <c r="AH421" s="105"/>
      <c r="AI421" s="105"/>
      <c r="AJ421" s="105"/>
      <c r="AK421" s="105"/>
      <c r="AL421" s="105"/>
      <c r="AM421" s="105"/>
      <c r="AN421" s="105"/>
      <c r="AO421" s="105"/>
      <c r="AP421" s="105"/>
      <c r="AQ421" s="105"/>
      <c r="AR421" s="105"/>
      <c r="AS421" s="105"/>
      <c r="AT421" s="105"/>
      <c r="AU421" s="105"/>
      <c r="AV421" s="105"/>
      <c r="AW421" s="105"/>
      <c r="AX421" s="105"/>
      <c r="AY421" s="105"/>
      <c r="AZ421" s="105"/>
      <c r="BA421" s="105"/>
      <c r="BB421" s="105"/>
      <c r="BC421" s="105"/>
      <c r="BD421" s="105"/>
      <c r="BE421" s="105"/>
      <c r="BF421" s="105"/>
      <c r="BG421" s="105"/>
      <c r="BH421" s="105"/>
      <c r="BI421" s="105"/>
      <c r="BJ421" s="105"/>
      <c r="BK421" s="105"/>
      <c r="BL421" s="105"/>
      <c r="BM421" s="105"/>
      <c r="BN421" s="105"/>
      <c r="BO421" s="105"/>
      <c r="BP421" s="105"/>
      <c r="BQ421" s="105"/>
      <c r="BR421" s="105"/>
      <c r="BS421" s="105"/>
      <c r="BT421" s="105"/>
      <c r="BU421" s="105"/>
      <c r="BV421" s="105"/>
      <c r="BW421" s="106"/>
      <c r="BX421" s="28"/>
    </row>
    <row r="422" spans="1:76" s="34" customFormat="1" ht="17.25" hidden="1" customHeight="1" outlineLevel="1" x14ac:dyDescent="0.25">
      <c r="A422" s="392" t="s">
        <v>212</v>
      </c>
      <c r="B422" s="421" t="e">
        <f ca="1">IF(ROUND(BL$382,6),ROUND(BL$382,6),NA())</f>
        <v>#N/A</v>
      </c>
      <c r="C422" s="421" t="e">
        <f ca="1">IF(ROUND(BM$382,6),ROUND(BM$382,6),NA())</f>
        <v>#N/A</v>
      </c>
      <c r="D422" s="421" t="e">
        <f ca="1">IF(ROUND(BN$382,6),ROUND(BN$382,6),NA())</f>
        <v>#N/A</v>
      </c>
      <c r="E422" s="1" t="s">
        <v>288</v>
      </c>
      <c r="H422" s="377"/>
      <c r="I422" s="95"/>
      <c r="J422" s="58"/>
      <c r="K422" s="155"/>
      <c r="L422" s="317"/>
      <c r="M422" s="156"/>
      <c r="N422" s="156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  <c r="Y422" s="106"/>
      <c r="Z422" s="105"/>
      <c r="AA422" s="104"/>
      <c r="AB422" s="105"/>
      <c r="AC422" s="105"/>
      <c r="AD422" s="105"/>
      <c r="AE422" s="105"/>
      <c r="AF422" s="105"/>
      <c r="AG422" s="105"/>
      <c r="AH422" s="105"/>
      <c r="AI422" s="105"/>
      <c r="AJ422" s="105"/>
      <c r="AK422" s="105"/>
      <c r="AL422" s="105"/>
      <c r="AM422" s="105"/>
      <c r="AN422" s="105"/>
      <c r="AO422" s="105"/>
      <c r="AP422" s="105"/>
      <c r="AQ422" s="105"/>
      <c r="AR422" s="105"/>
      <c r="AS422" s="105"/>
      <c r="AT422" s="105"/>
      <c r="AU422" s="105"/>
      <c r="AV422" s="105"/>
      <c r="AW422" s="105"/>
      <c r="AX422" s="105"/>
      <c r="AY422" s="105"/>
      <c r="AZ422" s="105"/>
      <c r="BA422" s="105"/>
      <c r="BB422" s="105"/>
      <c r="BC422" s="105"/>
      <c r="BD422" s="105"/>
      <c r="BE422" s="105"/>
      <c r="BF422" s="105"/>
      <c r="BG422" s="105"/>
      <c r="BH422" s="105"/>
      <c r="BI422" s="105"/>
      <c r="BJ422" s="105"/>
      <c r="BK422" s="105"/>
      <c r="BL422" s="105"/>
      <c r="BM422" s="105"/>
      <c r="BN422" s="105"/>
      <c r="BO422" s="105"/>
      <c r="BP422" s="105"/>
      <c r="BQ422" s="105"/>
      <c r="BR422" s="105"/>
      <c r="BS422" s="105"/>
      <c r="BT422" s="105"/>
      <c r="BU422" s="105"/>
      <c r="BV422" s="105"/>
      <c r="BW422" s="106"/>
      <c r="BX422" s="28"/>
    </row>
    <row r="423" spans="1:76" s="34" customFormat="1" ht="17.25" hidden="1" customHeight="1" outlineLevel="1" x14ac:dyDescent="0.25">
      <c r="A423" s="392" t="s">
        <v>257</v>
      </c>
      <c r="B423" s="421" t="e">
        <f ca="1">IF(ROUND(BP$382,6),ROUND(BP$382,6),NA())</f>
        <v>#N/A</v>
      </c>
      <c r="C423" s="421" t="e">
        <f ca="1">IF(ROUND(BQ$382,6),ROUND(BQ$382,6),NA())</f>
        <v>#N/A</v>
      </c>
      <c r="D423" s="421" t="e">
        <f ca="1">IF(ROUND(BR$382,6),ROUND(BR$382,6),NA())</f>
        <v>#N/A</v>
      </c>
      <c r="E423" s="1" t="s">
        <v>289</v>
      </c>
      <c r="H423" s="377"/>
      <c r="I423" s="95"/>
      <c r="J423" s="58"/>
      <c r="K423" s="155"/>
      <c r="L423" s="317"/>
      <c r="M423" s="156"/>
      <c r="N423" s="156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  <c r="Y423" s="106"/>
      <c r="Z423" s="105"/>
      <c r="AA423" s="104"/>
      <c r="AB423" s="105"/>
      <c r="AC423" s="105"/>
      <c r="AD423" s="105"/>
      <c r="AE423" s="105"/>
      <c r="AF423" s="105"/>
      <c r="AG423" s="105"/>
      <c r="AH423" s="105"/>
      <c r="AI423" s="105"/>
      <c r="AJ423" s="105"/>
      <c r="AK423" s="105"/>
      <c r="AL423" s="105"/>
      <c r="AM423" s="105"/>
      <c r="AN423" s="105"/>
      <c r="AO423" s="105"/>
      <c r="AP423" s="105"/>
      <c r="AQ423" s="105"/>
      <c r="AR423" s="105"/>
      <c r="AS423" s="105"/>
      <c r="AT423" s="105"/>
      <c r="AU423" s="105"/>
      <c r="AV423" s="105"/>
      <c r="AW423" s="105"/>
      <c r="AX423" s="105"/>
      <c r="AY423" s="105"/>
      <c r="AZ423" s="105"/>
      <c r="BA423" s="105"/>
      <c r="BB423" s="105"/>
      <c r="BC423" s="105"/>
      <c r="BD423" s="105"/>
      <c r="BE423" s="105"/>
      <c r="BF423" s="105"/>
      <c r="BG423" s="105"/>
      <c r="BH423" s="105"/>
      <c r="BI423" s="105"/>
      <c r="BJ423" s="105"/>
      <c r="BK423" s="105"/>
      <c r="BL423" s="105"/>
      <c r="BM423" s="105"/>
      <c r="BN423" s="105"/>
      <c r="BO423" s="105"/>
      <c r="BP423" s="105"/>
      <c r="BQ423" s="105"/>
      <c r="BR423" s="105"/>
      <c r="BS423" s="105"/>
      <c r="BT423" s="105"/>
      <c r="BU423" s="105"/>
      <c r="BV423" s="105"/>
      <c r="BW423" s="106"/>
      <c r="BX423" s="28"/>
    </row>
    <row r="424" spans="1:76" s="34" customFormat="1" ht="17.25" hidden="1" customHeight="1" outlineLevel="1" x14ac:dyDescent="0.25">
      <c r="A424" s="392" t="s">
        <v>216</v>
      </c>
      <c r="B424" s="421" t="e">
        <f ca="1">IF(ROUND(BT$382,6),ROUND(BT$382,6),NA())</f>
        <v>#N/A</v>
      </c>
      <c r="C424" s="421" t="e">
        <f ca="1">IF(ROUND(BU$382,6),ROUND(BU$382,6),NA())</f>
        <v>#N/A</v>
      </c>
      <c r="D424" s="421" t="e">
        <f ca="1">IF(ROUND(BV$382,6),ROUND(BV$382,6),NA())</f>
        <v>#N/A</v>
      </c>
      <c r="E424" s="1" t="s">
        <v>290</v>
      </c>
      <c r="H424" s="377"/>
      <c r="I424" s="95"/>
      <c r="J424" s="58"/>
      <c r="K424" s="155"/>
      <c r="L424" s="317"/>
      <c r="M424" s="156"/>
      <c r="N424" s="156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  <c r="Y424" s="106"/>
      <c r="Z424" s="105"/>
      <c r="AA424" s="104"/>
      <c r="AB424" s="105"/>
      <c r="AC424" s="105"/>
      <c r="AD424" s="105"/>
      <c r="AE424" s="105"/>
      <c r="AF424" s="105"/>
      <c r="AG424" s="105"/>
      <c r="AH424" s="105"/>
      <c r="AI424" s="105"/>
      <c r="AJ424" s="105"/>
      <c r="AK424" s="105"/>
      <c r="AL424" s="105"/>
      <c r="AM424" s="105"/>
      <c r="AN424" s="105"/>
      <c r="AO424" s="105"/>
      <c r="AP424" s="105"/>
      <c r="AQ424" s="105"/>
      <c r="AR424" s="105"/>
      <c r="AS424" s="105"/>
      <c r="AT424" s="105"/>
      <c r="AU424" s="105"/>
      <c r="AV424" s="105"/>
      <c r="AW424" s="105"/>
      <c r="AX424" s="105"/>
      <c r="AY424" s="105"/>
      <c r="AZ424" s="105"/>
      <c r="BA424" s="105"/>
      <c r="BB424" s="105"/>
      <c r="BC424" s="105"/>
      <c r="BD424" s="105"/>
      <c r="BE424" s="105"/>
      <c r="BF424" s="105"/>
      <c r="BG424" s="105"/>
      <c r="BH424" s="105"/>
      <c r="BI424" s="105"/>
      <c r="BJ424" s="105"/>
      <c r="BK424" s="105"/>
      <c r="BL424" s="105"/>
      <c r="BM424" s="105"/>
      <c r="BN424" s="105"/>
      <c r="BO424" s="105"/>
      <c r="BP424" s="105"/>
      <c r="BQ424" s="105"/>
      <c r="BR424" s="105"/>
      <c r="BS424" s="105"/>
      <c r="BT424" s="105"/>
      <c r="BU424" s="105"/>
      <c r="BV424" s="105"/>
      <c r="BW424" s="106"/>
      <c r="BX424" s="28"/>
    </row>
    <row r="425" spans="1:76" s="34" customFormat="1" ht="17.25" hidden="1" customHeight="1" outlineLevel="1" x14ac:dyDescent="0.25">
      <c r="A425" s="57"/>
      <c r="B425" s="377"/>
      <c r="C425" s="9"/>
      <c r="D425" s="1"/>
      <c r="E425" s="1"/>
      <c r="H425" s="377"/>
      <c r="I425" s="95"/>
      <c r="J425" s="58"/>
      <c r="K425" s="155"/>
      <c r="L425" s="317"/>
      <c r="M425" s="156"/>
      <c r="N425" s="156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  <c r="Y425" s="106"/>
      <c r="Z425" s="105"/>
      <c r="AA425" s="104"/>
      <c r="AB425" s="105"/>
      <c r="AC425" s="105"/>
      <c r="AD425" s="105"/>
      <c r="AE425" s="105"/>
      <c r="AF425" s="105"/>
      <c r="AG425" s="105"/>
      <c r="AH425" s="105"/>
      <c r="AI425" s="105"/>
      <c r="AJ425" s="105"/>
      <c r="AK425" s="105"/>
      <c r="AL425" s="105"/>
      <c r="AM425" s="105"/>
      <c r="AN425" s="105"/>
      <c r="AO425" s="105"/>
      <c r="AP425" s="105"/>
      <c r="AQ425" s="105"/>
      <c r="AR425" s="105"/>
      <c r="AS425" s="105"/>
      <c r="AT425" s="105"/>
      <c r="AU425" s="105"/>
      <c r="AV425" s="105"/>
      <c r="AW425" s="105"/>
      <c r="AX425" s="105"/>
      <c r="AY425" s="105"/>
      <c r="AZ425" s="105"/>
      <c r="BA425" s="105"/>
      <c r="BB425" s="105"/>
      <c r="BC425" s="105"/>
      <c r="BD425" s="105"/>
      <c r="BE425" s="105"/>
      <c r="BF425" s="105"/>
      <c r="BG425" s="105"/>
      <c r="BH425" s="105"/>
      <c r="BI425" s="105"/>
      <c r="BJ425" s="105"/>
      <c r="BK425" s="105"/>
      <c r="BL425" s="105"/>
      <c r="BM425" s="105"/>
      <c r="BN425" s="105"/>
      <c r="BO425" s="105"/>
      <c r="BP425" s="105"/>
      <c r="BQ425" s="105"/>
      <c r="BR425" s="105"/>
      <c r="BS425" s="105"/>
      <c r="BT425" s="105"/>
      <c r="BU425" s="105"/>
      <c r="BV425" s="105"/>
      <c r="BW425" s="106"/>
      <c r="BX425" s="28"/>
    </row>
    <row r="426" spans="1:76" s="34" customFormat="1" ht="17.25" hidden="1" customHeight="1" outlineLevel="1" x14ac:dyDescent="0.25">
      <c r="A426" s="57"/>
      <c r="B426" s="377"/>
      <c r="C426" s="9"/>
      <c r="D426" s="1"/>
      <c r="E426" s="1"/>
      <c r="H426" s="377"/>
      <c r="I426" s="95"/>
      <c r="J426" s="58"/>
      <c r="K426" s="155"/>
      <c r="L426" s="317"/>
      <c r="M426" s="156"/>
      <c r="N426" s="156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  <c r="Y426" s="106"/>
      <c r="Z426" s="105"/>
      <c r="AA426" s="104"/>
      <c r="AB426" s="105"/>
      <c r="AC426" s="105"/>
      <c r="AD426" s="105"/>
      <c r="AE426" s="105"/>
      <c r="AF426" s="105"/>
      <c r="AG426" s="105"/>
      <c r="AH426" s="105"/>
      <c r="AI426" s="105"/>
      <c r="AJ426" s="105"/>
      <c r="AK426" s="105"/>
      <c r="AL426" s="105"/>
      <c r="AM426" s="105"/>
      <c r="AN426" s="105"/>
      <c r="AO426" s="105"/>
      <c r="AP426" s="105"/>
      <c r="AQ426" s="105"/>
      <c r="AR426" s="105"/>
      <c r="AS426" s="105"/>
      <c r="AT426" s="105"/>
      <c r="AU426" s="105"/>
      <c r="AV426" s="105"/>
      <c r="AW426" s="105"/>
      <c r="AX426" s="105"/>
      <c r="AY426" s="105"/>
      <c r="AZ426" s="105"/>
      <c r="BA426" s="105"/>
      <c r="BB426" s="105"/>
      <c r="BC426" s="105"/>
      <c r="BD426" s="105"/>
      <c r="BE426" s="105"/>
      <c r="BF426" s="105"/>
      <c r="BG426" s="105"/>
      <c r="BH426" s="105"/>
      <c r="BI426" s="105"/>
      <c r="BJ426" s="105"/>
      <c r="BK426" s="105"/>
      <c r="BL426" s="105"/>
      <c r="BM426" s="105"/>
      <c r="BN426" s="105"/>
      <c r="BO426" s="105"/>
      <c r="BP426" s="105"/>
      <c r="BQ426" s="105"/>
      <c r="BR426" s="105"/>
      <c r="BS426" s="105"/>
      <c r="BT426" s="105"/>
      <c r="BU426" s="105"/>
      <c r="BV426" s="105"/>
      <c r="BW426" s="106"/>
      <c r="BX426" s="28"/>
    </row>
    <row r="427" spans="1:76" s="34" customFormat="1" ht="17.25" hidden="1" customHeight="1" outlineLevel="1" x14ac:dyDescent="0.25">
      <c r="A427" s="57"/>
      <c r="B427" s="377"/>
      <c r="C427" s="9"/>
      <c r="D427" s="1"/>
      <c r="E427" s="1"/>
      <c r="H427" s="377"/>
      <c r="I427" s="95"/>
      <c r="J427" s="58"/>
      <c r="K427" s="155"/>
      <c r="L427" s="317"/>
      <c r="M427" s="156"/>
      <c r="N427" s="156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  <c r="Y427" s="106"/>
      <c r="Z427" s="105"/>
      <c r="AA427" s="104"/>
      <c r="AB427" s="105"/>
      <c r="AC427" s="105"/>
      <c r="AD427" s="105"/>
      <c r="AE427" s="105"/>
      <c r="AF427" s="105"/>
      <c r="AG427" s="105"/>
      <c r="AH427" s="105"/>
      <c r="AI427" s="105"/>
      <c r="AJ427" s="105"/>
      <c r="AK427" s="105"/>
      <c r="AL427" s="105"/>
      <c r="AM427" s="105"/>
      <c r="AN427" s="105"/>
      <c r="AO427" s="105"/>
      <c r="AP427" s="105"/>
      <c r="AQ427" s="105"/>
      <c r="AR427" s="105"/>
      <c r="AS427" s="105"/>
      <c r="AT427" s="105"/>
      <c r="AU427" s="105"/>
      <c r="AV427" s="105"/>
      <c r="AW427" s="105"/>
      <c r="AX427" s="105"/>
      <c r="AY427" s="105"/>
      <c r="AZ427" s="105"/>
      <c r="BA427" s="105"/>
      <c r="BB427" s="105"/>
      <c r="BC427" s="105"/>
      <c r="BD427" s="105"/>
      <c r="BE427" s="105"/>
      <c r="BF427" s="105"/>
      <c r="BG427" s="105"/>
      <c r="BH427" s="105"/>
      <c r="BI427" s="105"/>
      <c r="BJ427" s="105"/>
      <c r="BK427" s="105"/>
      <c r="BL427" s="105"/>
      <c r="BM427" s="105"/>
      <c r="BN427" s="105"/>
      <c r="BO427" s="105"/>
      <c r="BP427" s="105"/>
      <c r="BQ427" s="105"/>
      <c r="BR427" s="105"/>
      <c r="BS427" s="105"/>
      <c r="BT427" s="105"/>
      <c r="BU427" s="105"/>
      <c r="BV427" s="105"/>
      <c r="BW427" s="106"/>
      <c r="BX427" s="28"/>
    </row>
    <row r="428" spans="1:76" s="34" customFormat="1" ht="17.25" hidden="1" customHeight="1" outlineLevel="1" x14ac:dyDescent="0.25">
      <c r="A428" s="57"/>
      <c r="B428" s="377"/>
      <c r="C428" s="9"/>
      <c r="D428" s="1"/>
      <c r="E428" s="1"/>
      <c r="H428" s="377"/>
      <c r="I428" s="95"/>
      <c r="J428" s="58"/>
      <c r="K428" s="155"/>
      <c r="L428" s="317"/>
      <c r="M428" s="156"/>
      <c r="N428" s="156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  <c r="Y428" s="106"/>
      <c r="Z428" s="105"/>
      <c r="AA428" s="104"/>
      <c r="AB428" s="105"/>
      <c r="AC428" s="105"/>
      <c r="AD428" s="105"/>
      <c r="AE428" s="105"/>
      <c r="AF428" s="105"/>
      <c r="AG428" s="105"/>
      <c r="AH428" s="105"/>
      <c r="AI428" s="105"/>
      <c r="AJ428" s="105"/>
      <c r="AK428" s="105"/>
      <c r="AL428" s="105"/>
      <c r="AM428" s="105"/>
      <c r="AN428" s="105"/>
      <c r="AO428" s="105"/>
      <c r="AP428" s="105"/>
      <c r="AQ428" s="105"/>
      <c r="AR428" s="105"/>
      <c r="AS428" s="105"/>
      <c r="AT428" s="105"/>
      <c r="AU428" s="105"/>
      <c r="AV428" s="105"/>
      <c r="AW428" s="105"/>
      <c r="AX428" s="105"/>
      <c r="AY428" s="105"/>
      <c r="AZ428" s="105"/>
      <c r="BA428" s="105"/>
      <c r="BB428" s="105"/>
      <c r="BC428" s="105"/>
      <c r="BD428" s="105"/>
      <c r="BE428" s="105"/>
      <c r="BF428" s="105"/>
      <c r="BG428" s="105"/>
      <c r="BH428" s="105"/>
      <c r="BI428" s="105"/>
      <c r="BJ428" s="105"/>
      <c r="BK428" s="105"/>
      <c r="BL428" s="105"/>
      <c r="BM428" s="105"/>
      <c r="BN428" s="105"/>
      <c r="BO428" s="105"/>
      <c r="BP428" s="105"/>
      <c r="BQ428" s="105"/>
      <c r="BR428" s="105"/>
      <c r="BS428" s="105"/>
      <c r="BT428" s="105"/>
      <c r="BU428" s="105"/>
      <c r="BV428" s="105"/>
      <c r="BW428" s="106"/>
      <c r="BX428" s="28"/>
    </row>
    <row r="429" spans="1:76" s="34" customFormat="1" ht="17.25" hidden="1" customHeight="1" outlineLevel="1" x14ac:dyDescent="0.25">
      <c r="A429" s="57"/>
      <c r="B429" s="377"/>
      <c r="C429" s="9"/>
      <c r="D429" s="1"/>
      <c r="E429" s="1"/>
      <c r="H429" s="377"/>
      <c r="I429" s="95"/>
      <c r="J429" s="58"/>
      <c r="K429" s="155"/>
      <c r="L429" s="317"/>
      <c r="M429" s="156"/>
      <c r="N429" s="156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  <c r="Y429" s="106"/>
      <c r="Z429" s="105"/>
      <c r="AA429" s="104"/>
      <c r="AB429" s="105"/>
      <c r="AC429" s="105"/>
      <c r="AD429" s="105"/>
      <c r="AE429" s="105"/>
      <c r="AF429" s="105"/>
      <c r="AG429" s="105"/>
      <c r="AH429" s="105"/>
      <c r="AI429" s="105"/>
      <c r="AJ429" s="105"/>
      <c r="AK429" s="105"/>
      <c r="AL429" s="105"/>
      <c r="AM429" s="105"/>
      <c r="AN429" s="105"/>
      <c r="AO429" s="105"/>
      <c r="AP429" s="105"/>
      <c r="AQ429" s="105"/>
      <c r="AR429" s="105"/>
      <c r="AS429" s="105"/>
      <c r="AT429" s="105"/>
      <c r="AU429" s="105"/>
      <c r="AV429" s="105"/>
      <c r="AW429" s="105"/>
      <c r="AX429" s="105"/>
      <c r="AY429" s="105"/>
      <c r="AZ429" s="105"/>
      <c r="BA429" s="105"/>
      <c r="BB429" s="105"/>
      <c r="BC429" s="105"/>
      <c r="BD429" s="105"/>
      <c r="BE429" s="105"/>
      <c r="BF429" s="105"/>
      <c r="BG429" s="105"/>
      <c r="BH429" s="105"/>
      <c r="BI429" s="105"/>
      <c r="BJ429" s="105"/>
      <c r="BK429" s="105"/>
      <c r="BL429" s="105"/>
      <c r="BM429" s="105"/>
      <c r="BN429" s="105"/>
      <c r="BO429" s="105"/>
      <c r="BP429" s="105"/>
      <c r="BQ429" s="105"/>
      <c r="BR429" s="105"/>
      <c r="BS429" s="105"/>
      <c r="BT429" s="105"/>
      <c r="BU429" s="105"/>
      <c r="BV429" s="105"/>
      <c r="BW429" s="106"/>
      <c r="BX429" s="28"/>
    </row>
    <row r="430" spans="1:76" s="34" customFormat="1" ht="17.25" hidden="1" customHeight="1" outlineLevel="1" x14ac:dyDescent="0.25">
      <c r="A430" s="57"/>
      <c r="B430" s="377"/>
      <c r="C430" s="9"/>
      <c r="D430" s="1"/>
      <c r="E430" s="1"/>
      <c r="H430" s="377"/>
      <c r="I430" s="95"/>
      <c r="J430" s="58"/>
      <c r="K430" s="155"/>
      <c r="L430" s="317"/>
      <c r="M430" s="156"/>
      <c r="N430" s="156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  <c r="Y430" s="106"/>
      <c r="Z430" s="105"/>
      <c r="AA430" s="104"/>
      <c r="AB430" s="105"/>
      <c r="AC430" s="105"/>
      <c r="AD430" s="105"/>
      <c r="AE430" s="105"/>
      <c r="AF430" s="105"/>
      <c r="AG430" s="105"/>
      <c r="AH430" s="105"/>
      <c r="AI430" s="105"/>
      <c r="AJ430" s="105"/>
      <c r="AK430" s="105"/>
      <c r="AL430" s="105"/>
      <c r="AM430" s="105"/>
      <c r="AN430" s="105"/>
      <c r="AO430" s="105"/>
      <c r="AP430" s="105"/>
      <c r="AQ430" s="105"/>
      <c r="AR430" s="105"/>
      <c r="AS430" s="105"/>
      <c r="AT430" s="105"/>
      <c r="AU430" s="105"/>
      <c r="AV430" s="105"/>
      <c r="AW430" s="105"/>
      <c r="AX430" s="105"/>
      <c r="AY430" s="105"/>
      <c r="AZ430" s="105"/>
      <c r="BA430" s="105"/>
      <c r="BB430" s="105"/>
      <c r="BC430" s="105"/>
      <c r="BD430" s="105"/>
      <c r="BE430" s="105"/>
      <c r="BF430" s="105"/>
      <c r="BG430" s="105"/>
      <c r="BH430" s="105"/>
      <c r="BI430" s="105"/>
      <c r="BJ430" s="105"/>
      <c r="BK430" s="105"/>
      <c r="BL430" s="105"/>
      <c r="BM430" s="105"/>
      <c r="BN430" s="105"/>
      <c r="BO430" s="105"/>
      <c r="BP430" s="105"/>
      <c r="BQ430" s="105"/>
      <c r="BR430" s="105"/>
      <c r="BS430" s="105"/>
      <c r="BT430" s="105"/>
      <c r="BU430" s="105"/>
      <c r="BV430" s="105"/>
      <c r="BW430" s="106"/>
      <c r="BX430" s="28"/>
    </row>
    <row r="431" spans="1:76" s="34" customFormat="1" ht="17.25" hidden="1" customHeight="1" outlineLevel="1" x14ac:dyDescent="0.25">
      <c r="A431" s="57"/>
      <c r="B431" s="377"/>
      <c r="C431" s="9"/>
      <c r="D431" s="1"/>
      <c r="E431" s="1"/>
      <c r="H431" s="377"/>
      <c r="I431" s="95"/>
      <c r="J431" s="58"/>
      <c r="K431" s="155"/>
      <c r="L431" s="317"/>
      <c r="M431" s="156"/>
      <c r="N431" s="156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  <c r="Y431" s="106"/>
      <c r="Z431" s="105"/>
      <c r="AA431" s="104"/>
      <c r="AB431" s="105"/>
      <c r="AC431" s="105"/>
      <c r="AD431" s="105"/>
      <c r="AE431" s="105"/>
      <c r="AF431" s="105"/>
      <c r="AG431" s="105"/>
      <c r="AH431" s="105"/>
      <c r="AI431" s="105"/>
      <c r="AJ431" s="105"/>
      <c r="AK431" s="105"/>
      <c r="AL431" s="105"/>
      <c r="AM431" s="105"/>
      <c r="AN431" s="105"/>
      <c r="AO431" s="105"/>
      <c r="AP431" s="105"/>
      <c r="AQ431" s="105"/>
      <c r="AR431" s="105"/>
      <c r="AS431" s="105"/>
      <c r="AT431" s="105"/>
      <c r="AU431" s="105"/>
      <c r="AV431" s="105"/>
      <c r="AW431" s="105"/>
      <c r="AX431" s="105"/>
      <c r="AY431" s="105"/>
      <c r="AZ431" s="105"/>
      <c r="BA431" s="105"/>
      <c r="BB431" s="105"/>
      <c r="BC431" s="105"/>
      <c r="BD431" s="105"/>
      <c r="BE431" s="105"/>
      <c r="BF431" s="105"/>
      <c r="BG431" s="105"/>
      <c r="BH431" s="105"/>
      <c r="BI431" s="105"/>
      <c r="BJ431" s="105"/>
      <c r="BK431" s="105"/>
      <c r="BL431" s="105"/>
      <c r="BM431" s="105"/>
      <c r="BN431" s="105"/>
      <c r="BO431" s="105"/>
      <c r="BP431" s="105"/>
      <c r="BQ431" s="105"/>
      <c r="BR431" s="105"/>
      <c r="BS431" s="105"/>
      <c r="BT431" s="105"/>
      <c r="BU431" s="105"/>
      <c r="BV431" s="105"/>
      <c r="BW431" s="106"/>
      <c r="BX431" s="28"/>
    </row>
    <row r="432" spans="1:76" s="34" customFormat="1" ht="17.25" hidden="1" customHeight="1" outlineLevel="1" x14ac:dyDescent="0.25">
      <c r="A432" s="57"/>
      <c r="B432" s="377"/>
      <c r="C432" s="9"/>
      <c r="D432" s="1"/>
      <c r="E432" s="1"/>
      <c r="H432" s="377"/>
      <c r="I432" s="95"/>
      <c r="J432" s="58"/>
      <c r="K432" s="155"/>
      <c r="L432" s="317"/>
      <c r="M432" s="156"/>
      <c r="N432" s="156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  <c r="Y432" s="106"/>
      <c r="Z432" s="105"/>
      <c r="AA432" s="104"/>
      <c r="AB432" s="105"/>
      <c r="AC432" s="105"/>
      <c r="AD432" s="105"/>
      <c r="AE432" s="105"/>
      <c r="AF432" s="105"/>
      <c r="AG432" s="105"/>
      <c r="AH432" s="105"/>
      <c r="AI432" s="105"/>
      <c r="AJ432" s="105"/>
      <c r="AK432" s="105"/>
      <c r="AL432" s="105"/>
      <c r="AM432" s="105"/>
      <c r="AN432" s="105"/>
      <c r="AO432" s="105"/>
      <c r="AP432" s="105"/>
      <c r="AQ432" s="105"/>
      <c r="AR432" s="105"/>
      <c r="AS432" s="105"/>
      <c r="AT432" s="105"/>
      <c r="AU432" s="105"/>
      <c r="AV432" s="105"/>
      <c r="AW432" s="105"/>
      <c r="AX432" s="105"/>
      <c r="AY432" s="105"/>
      <c r="AZ432" s="105"/>
      <c r="BA432" s="105"/>
      <c r="BB432" s="105"/>
      <c r="BC432" s="105"/>
      <c r="BD432" s="105"/>
      <c r="BE432" s="105"/>
      <c r="BF432" s="105"/>
      <c r="BG432" s="105"/>
      <c r="BH432" s="105"/>
      <c r="BI432" s="105"/>
      <c r="BJ432" s="105"/>
      <c r="BK432" s="105"/>
      <c r="BL432" s="105"/>
      <c r="BM432" s="105"/>
      <c r="BN432" s="105"/>
      <c r="BO432" s="105"/>
      <c r="BP432" s="105"/>
      <c r="BQ432" s="105"/>
      <c r="BR432" s="105"/>
      <c r="BS432" s="105"/>
      <c r="BT432" s="105"/>
      <c r="BU432" s="105"/>
      <c r="BV432" s="105"/>
      <c r="BW432" s="106"/>
      <c r="BX432" s="28"/>
    </row>
    <row r="433" spans="1:78" s="34" customFormat="1" ht="17.25" hidden="1" customHeight="1" outlineLevel="1" x14ac:dyDescent="0.25">
      <c r="A433" s="57"/>
      <c r="B433" s="377"/>
      <c r="C433" s="9"/>
      <c r="D433" s="1"/>
      <c r="E433" s="1"/>
      <c r="H433" s="377"/>
      <c r="I433" s="95"/>
      <c r="J433" s="58"/>
      <c r="K433" s="155"/>
      <c r="L433" s="317"/>
      <c r="M433" s="156"/>
      <c r="N433" s="156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  <c r="Y433" s="106"/>
      <c r="Z433" s="105"/>
      <c r="AA433" s="104"/>
      <c r="AB433" s="105"/>
      <c r="AC433" s="105"/>
      <c r="AD433" s="105"/>
      <c r="AE433" s="105"/>
      <c r="AF433" s="105"/>
      <c r="AG433" s="105"/>
      <c r="AH433" s="105"/>
      <c r="AI433" s="105"/>
      <c r="AJ433" s="105"/>
      <c r="AK433" s="105"/>
      <c r="AL433" s="105"/>
      <c r="AM433" s="105"/>
      <c r="AN433" s="105"/>
      <c r="AO433" s="105"/>
      <c r="AP433" s="105"/>
      <c r="AQ433" s="105"/>
      <c r="AR433" s="105"/>
      <c r="AS433" s="105"/>
      <c r="AT433" s="105"/>
      <c r="AU433" s="105"/>
      <c r="AV433" s="105"/>
      <c r="AW433" s="105"/>
      <c r="AX433" s="105"/>
      <c r="AY433" s="105"/>
      <c r="AZ433" s="105"/>
      <c r="BA433" s="105"/>
      <c r="BB433" s="105"/>
      <c r="BC433" s="105"/>
      <c r="BD433" s="105"/>
      <c r="BE433" s="105"/>
      <c r="BF433" s="105"/>
      <c r="BG433" s="105"/>
      <c r="BH433" s="105"/>
      <c r="BI433" s="105"/>
      <c r="BJ433" s="105"/>
      <c r="BK433" s="105"/>
      <c r="BL433" s="105"/>
      <c r="BM433" s="105"/>
      <c r="BN433" s="105"/>
      <c r="BO433" s="105"/>
      <c r="BP433" s="105"/>
      <c r="BQ433" s="105"/>
      <c r="BR433" s="105"/>
      <c r="BS433" s="105"/>
      <c r="BT433" s="105"/>
      <c r="BU433" s="105"/>
      <c r="BV433" s="105"/>
      <c r="BW433" s="106"/>
      <c r="BX433" s="28"/>
    </row>
    <row r="434" spans="1:78" s="34" customFormat="1" ht="17.25" hidden="1" customHeight="1" outlineLevel="1" x14ac:dyDescent="0.25">
      <c r="A434" s="57"/>
      <c r="B434" s="377"/>
      <c r="C434" s="9"/>
      <c r="D434" s="1"/>
      <c r="E434" s="1"/>
      <c r="H434" s="377"/>
      <c r="I434" s="95"/>
      <c r="J434" s="58"/>
      <c r="K434" s="155"/>
      <c r="L434" s="317"/>
      <c r="M434" s="156"/>
      <c r="N434" s="156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  <c r="Y434" s="106"/>
      <c r="Z434" s="105"/>
      <c r="AA434" s="104"/>
      <c r="AB434" s="105"/>
      <c r="AC434" s="105"/>
      <c r="AD434" s="105"/>
      <c r="AE434" s="105"/>
      <c r="AF434" s="105"/>
      <c r="AG434" s="105"/>
      <c r="AH434" s="105"/>
      <c r="AI434" s="105"/>
      <c r="AJ434" s="105"/>
      <c r="AK434" s="105"/>
      <c r="AL434" s="105"/>
      <c r="AM434" s="105"/>
      <c r="AN434" s="105"/>
      <c r="AO434" s="105"/>
      <c r="AP434" s="105"/>
      <c r="AQ434" s="105"/>
      <c r="AR434" s="105"/>
      <c r="AS434" s="105"/>
      <c r="AT434" s="105"/>
      <c r="AU434" s="105"/>
      <c r="AV434" s="105"/>
      <c r="AW434" s="105"/>
      <c r="AX434" s="105"/>
      <c r="AY434" s="105"/>
      <c r="AZ434" s="105"/>
      <c r="BA434" s="105"/>
      <c r="BB434" s="105"/>
      <c r="BC434" s="105"/>
      <c r="BD434" s="105"/>
      <c r="BE434" s="105"/>
      <c r="BF434" s="105"/>
      <c r="BG434" s="105"/>
      <c r="BH434" s="105"/>
      <c r="BI434" s="105"/>
      <c r="BJ434" s="105"/>
      <c r="BK434" s="105"/>
      <c r="BL434" s="105"/>
      <c r="BM434" s="105"/>
      <c r="BN434" s="105"/>
      <c r="BO434" s="105"/>
      <c r="BP434" s="105"/>
      <c r="BQ434" s="105"/>
      <c r="BR434" s="105"/>
      <c r="BS434" s="105"/>
      <c r="BT434" s="105"/>
      <c r="BU434" s="105"/>
      <c r="BV434" s="105"/>
      <c r="BW434" s="106"/>
      <c r="BX434" s="28"/>
    </row>
    <row r="435" spans="1:78" s="34" customFormat="1" ht="17.25" hidden="1" customHeight="1" outlineLevel="1" x14ac:dyDescent="0.25">
      <c r="A435" s="57"/>
      <c r="B435" s="377"/>
      <c r="C435" s="9"/>
      <c r="D435" s="1"/>
      <c r="E435" s="1"/>
      <c r="H435" s="377"/>
      <c r="I435" s="95"/>
      <c r="J435" s="58"/>
      <c r="K435" s="155"/>
      <c r="L435" s="317"/>
      <c r="M435" s="156"/>
      <c r="N435" s="156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  <c r="Y435" s="106"/>
      <c r="Z435" s="105"/>
      <c r="AA435" s="104"/>
      <c r="AB435" s="105"/>
      <c r="AC435" s="105"/>
      <c r="AD435" s="105"/>
      <c r="AE435" s="105"/>
      <c r="AF435" s="105"/>
      <c r="AG435" s="105"/>
      <c r="AH435" s="105"/>
      <c r="AI435" s="105"/>
      <c r="AJ435" s="105"/>
      <c r="AK435" s="105"/>
      <c r="AL435" s="105"/>
      <c r="AM435" s="105"/>
      <c r="AN435" s="105"/>
      <c r="AO435" s="105"/>
      <c r="AP435" s="105"/>
      <c r="AQ435" s="105"/>
      <c r="AR435" s="105"/>
      <c r="AS435" s="105"/>
      <c r="AT435" s="105"/>
      <c r="AU435" s="105"/>
      <c r="AV435" s="105"/>
      <c r="AW435" s="105"/>
      <c r="AX435" s="105"/>
      <c r="AY435" s="105"/>
      <c r="AZ435" s="105"/>
      <c r="BA435" s="105"/>
      <c r="BB435" s="105"/>
      <c r="BC435" s="105"/>
      <c r="BD435" s="105"/>
      <c r="BE435" s="105"/>
      <c r="BF435" s="105"/>
      <c r="BG435" s="105"/>
      <c r="BH435" s="105"/>
      <c r="BI435" s="105"/>
      <c r="BJ435" s="105"/>
      <c r="BK435" s="105"/>
      <c r="BL435" s="105"/>
      <c r="BM435" s="105"/>
      <c r="BN435" s="105"/>
      <c r="BO435" s="105"/>
      <c r="BP435" s="105"/>
      <c r="BQ435" s="105"/>
      <c r="BR435" s="105"/>
      <c r="BS435" s="105"/>
      <c r="BT435" s="105"/>
      <c r="BU435" s="105"/>
      <c r="BV435" s="105"/>
      <c r="BW435" s="106"/>
      <c r="BX435" s="28"/>
    </row>
    <row r="436" spans="1:78" s="34" customFormat="1" ht="17.25" hidden="1" customHeight="1" outlineLevel="1" x14ac:dyDescent="0.25">
      <c r="A436" s="57"/>
      <c r="B436" s="377"/>
      <c r="C436" s="9"/>
      <c r="D436" s="1"/>
      <c r="E436" s="1"/>
      <c r="H436" s="377"/>
      <c r="I436" s="95"/>
      <c r="J436" s="58"/>
      <c r="K436" s="155"/>
      <c r="L436" s="317"/>
      <c r="M436" s="156"/>
      <c r="N436" s="156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  <c r="Y436" s="106"/>
      <c r="Z436" s="105"/>
      <c r="AA436" s="104"/>
      <c r="AB436" s="105"/>
      <c r="AC436" s="105"/>
      <c r="AD436" s="105"/>
      <c r="AE436" s="105"/>
      <c r="AF436" s="105"/>
      <c r="AG436" s="105"/>
      <c r="AH436" s="105"/>
      <c r="AI436" s="105"/>
      <c r="AJ436" s="105"/>
      <c r="AK436" s="105"/>
      <c r="AL436" s="105"/>
      <c r="AM436" s="105"/>
      <c r="AN436" s="105"/>
      <c r="AO436" s="105"/>
      <c r="AP436" s="105"/>
      <c r="AQ436" s="105"/>
      <c r="AR436" s="105"/>
      <c r="AS436" s="105"/>
      <c r="AT436" s="105"/>
      <c r="AU436" s="105"/>
      <c r="AV436" s="105"/>
      <c r="AW436" s="105"/>
      <c r="AX436" s="105"/>
      <c r="AY436" s="105"/>
      <c r="AZ436" s="105"/>
      <c r="BA436" s="105"/>
      <c r="BB436" s="105"/>
      <c r="BC436" s="105"/>
      <c r="BD436" s="105"/>
      <c r="BE436" s="105"/>
      <c r="BF436" s="105"/>
      <c r="BG436" s="105"/>
      <c r="BH436" s="105"/>
      <c r="BI436" s="105"/>
      <c r="BJ436" s="105"/>
      <c r="BK436" s="105"/>
      <c r="BL436" s="105"/>
      <c r="BM436" s="105"/>
      <c r="BN436" s="105"/>
      <c r="BO436" s="105"/>
      <c r="BP436" s="105"/>
      <c r="BQ436" s="105"/>
      <c r="BR436" s="105"/>
      <c r="BS436" s="105"/>
      <c r="BT436" s="105"/>
      <c r="BU436" s="105"/>
      <c r="BV436" s="105"/>
      <c r="BW436" s="106"/>
      <c r="BX436" s="28"/>
    </row>
    <row r="437" spans="1:78" s="34" customFormat="1" ht="17.25" hidden="1" customHeight="1" outlineLevel="1" x14ac:dyDescent="0.25">
      <c r="A437" s="57"/>
      <c r="B437" s="377"/>
      <c r="C437" s="9"/>
      <c r="D437" s="1"/>
      <c r="E437" s="1"/>
      <c r="H437" s="377"/>
      <c r="I437" s="95"/>
      <c r="J437" s="58"/>
      <c r="K437" s="155"/>
      <c r="L437" s="317"/>
      <c r="M437" s="156"/>
      <c r="N437" s="156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  <c r="Y437" s="106"/>
      <c r="Z437" s="105"/>
      <c r="AA437" s="104"/>
      <c r="AB437" s="105"/>
      <c r="AC437" s="105"/>
      <c r="AD437" s="105"/>
      <c r="AE437" s="105"/>
      <c r="AF437" s="105"/>
      <c r="AG437" s="105"/>
      <c r="AH437" s="105"/>
      <c r="AI437" s="105"/>
      <c r="AJ437" s="105"/>
      <c r="AK437" s="105"/>
      <c r="AL437" s="105"/>
      <c r="AM437" s="105"/>
      <c r="AN437" s="105"/>
      <c r="AO437" s="105"/>
      <c r="AP437" s="105"/>
      <c r="AQ437" s="105"/>
      <c r="AR437" s="105"/>
      <c r="AS437" s="105"/>
      <c r="AT437" s="105"/>
      <c r="AU437" s="105"/>
      <c r="AV437" s="105"/>
      <c r="AW437" s="105"/>
      <c r="AX437" s="105"/>
      <c r="AY437" s="105"/>
      <c r="AZ437" s="105"/>
      <c r="BA437" s="105"/>
      <c r="BB437" s="105"/>
      <c r="BC437" s="105"/>
      <c r="BD437" s="105"/>
      <c r="BE437" s="105"/>
      <c r="BF437" s="105"/>
      <c r="BG437" s="105"/>
      <c r="BH437" s="105"/>
      <c r="BI437" s="105"/>
      <c r="BJ437" s="105"/>
      <c r="BK437" s="105"/>
      <c r="BL437" s="105"/>
      <c r="BM437" s="105"/>
      <c r="BN437" s="105"/>
      <c r="BO437" s="105"/>
      <c r="BP437" s="105"/>
      <c r="BQ437" s="105"/>
      <c r="BR437" s="105"/>
      <c r="BS437" s="105"/>
      <c r="BT437" s="105"/>
      <c r="BU437" s="105"/>
      <c r="BV437" s="105"/>
      <c r="BW437" s="106"/>
      <c r="BX437" s="28"/>
    </row>
    <row r="438" spans="1:78" s="34" customFormat="1" ht="17.25" hidden="1" customHeight="1" outlineLevel="1" x14ac:dyDescent="0.25">
      <c r="A438" s="57"/>
      <c r="B438" s="377"/>
      <c r="C438" s="9"/>
      <c r="D438" s="1"/>
      <c r="E438" s="1"/>
      <c r="H438" s="377"/>
      <c r="I438" s="95"/>
      <c r="J438" s="58"/>
      <c r="K438" s="155"/>
      <c r="L438" s="317"/>
      <c r="M438" s="156"/>
      <c r="N438" s="156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  <c r="Y438" s="106"/>
      <c r="Z438" s="105"/>
      <c r="AA438" s="104"/>
      <c r="AB438" s="105"/>
      <c r="AC438" s="105"/>
      <c r="AD438" s="105"/>
      <c r="AE438" s="105"/>
      <c r="AF438" s="105"/>
      <c r="AG438" s="105"/>
      <c r="AH438" s="105"/>
      <c r="AI438" s="105"/>
      <c r="AJ438" s="105"/>
      <c r="AK438" s="105"/>
      <c r="AL438" s="105"/>
      <c r="AM438" s="105"/>
      <c r="AN438" s="105"/>
      <c r="AO438" s="105"/>
      <c r="AP438" s="105"/>
      <c r="AQ438" s="105"/>
      <c r="AR438" s="105"/>
      <c r="AS438" s="105"/>
      <c r="AT438" s="105"/>
      <c r="AU438" s="105"/>
      <c r="AV438" s="105"/>
      <c r="AW438" s="105"/>
      <c r="AX438" s="105"/>
      <c r="AY438" s="105"/>
      <c r="AZ438" s="105"/>
      <c r="BA438" s="105"/>
      <c r="BB438" s="105"/>
      <c r="BC438" s="105"/>
      <c r="BD438" s="105"/>
      <c r="BE438" s="105"/>
      <c r="BF438" s="105"/>
      <c r="BG438" s="105"/>
      <c r="BH438" s="105"/>
      <c r="BI438" s="105"/>
      <c r="BJ438" s="105"/>
      <c r="BK438" s="105"/>
      <c r="BL438" s="105"/>
      <c r="BM438" s="105"/>
      <c r="BN438" s="105"/>
      <c r="BO438" s="105"/>
      <c r="BP438" s="105"/>
      <c r="BQ438" s="105"/>
      <c r="BR438" s="105"/>
      <c r="BS438" s="105"/>
      <c r="BT438" s="105"/>
      <c r="BU438" s="105"/>
      <c r="BV438" s="105"/>
      <c r="BW438" s="106"/>
      <c r="BX438" s="28"/>
    </row>
    <row r="439" spans="1:78" s="34" customFormat="1" ht="17.25" hidden="1" customHeight="1" outlineLevel="1" x14ac:dyDescent="0.25">
      <c r="A439" s="57"/>
      <c r="B439" s="377"/>
      <c r="C439" s="9"/>
      <c r="D439" s="1"/>
      <c r="E439" s="1"/>
      <c r="H439" s="377"/>
      <c r="I439" s="95"/>
      <c r="J439" s="58"/>
      <c r="K439" s="155"/>
      <c r="L439" s="317"/>
      <c r="M439" s="156"/>
      <c r="N439" s="156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  <c r="Y439" s="106"/>
      <c r="Z439" s="105"/>
      <c r="AA439" s="104"/>
      <c r="AB439" s="105"/>
      <c r="AC439" s="105"/>
      <c r="AD439" s="105"/>
      <c r="AE439" s="105"/>
      <c r="AF439" s="105"/>
      <c r="AG439" s="105"/>
      <c r="AH439" s="105"/>
      <c r="AI439" s="105"/>
      <c r="AJ439" s="105"/>
      <c r="AK439" s="105"/>
      <c r="AL439" s="105"/>
      <c r="AM439" s="105"/>
      <c r="AN439" s="105"/>
      <c r="AO439" s="105"/>
      <c r="AP439" s="105"/>
      <c r="AQ439" s="105"/>
      <c r="AR439" s="105"/>
      <c r="AS439" s="105"/>
      <c r="AT439" s="105"/>
      <c r="AU439" s="105"/>
      <c r="AV439" s="105"/>
      <c r="AW439" s="105"/>
      <c r="AX439" s="105"/>
      <c r="AY439" s="105"/>
      <c r="AZ439" s="105"/>
      <c r="BA439" s="105"/>
      <c r="BB439" s="105"/>
      <c r="BC439" s="105"/>
      <c r="BD439" s="105"/>
      <c r="BE439" s="105"/>
      <c r="BF439" s="105"/>
      <c r="BG439" s="105"/>
      <c r="BH439" s="105"/>
      <c r="BI439" s="105"/>
      <c r="BJ439" s="105"/>
      <c r="BK439" s="105"/>
      <c r="BL439" s="105"/>
      <c r="BM439" s="105"/>
      <c r="BN439" s="105"/>
      <c r="BO439" s="105"/>
      <c r="BP439" s="105"/>
      <c r="BQ439" s="105"/>
      <c r="BR439" s="105"/>
      <c r="BS439" s="105"/>
      <c r="BT439" s="105"/>
      <c r="BU439" s="105"/>
      <c r="BV439" s="105"/>
      <c r="BW439" s="106"/>
      <c r="BX439" s="28"/>
    </row>
    <row r="440" spans="1:78" s="34" customFormat="1" ht="17.25" customHeight="1" collapsed="1" x14ac:dyDescent="0.25">
      <c r="A440" s="57"/>
      <c r="B440" s="377"/>
      <c r="C440" s="9"/>
      <c r="D440" s="1"/>
      <c r="E440" s="1"/>
      <c r="H440" s="377"/>
      <c r="I440" s="95"/>
      <c r="J440" s="58"/>
      <c r="K440" s="155"/>
      <c r="L440" s="317"/>
      <c r="M440" s="156"/>
      <c r="N440" s="156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  <c r="Y440" s="106"/>
      <c r="Z440" s="105"/>
      <c r="AA440" s="104"/>
      <c r="AB440" s="105"/>
      <c r="AC440" s="105"/>
      <c r="AD440" s="105"/>
      <c r="AE440" s="105"/>
      <c r="AF440" s="105"/>
      <c r="AG440" s="105"/>
      <c r="AH440" s="105"/>
      <c r="AI440" s="105"/>
      <c r="AJ440" s="105"/>
      <c r="AK440" s="105"/>
      <c r="AL440" s="105"/>
      <c r="AM440" s="105"/>
      <c r="AN440" s="105"/>
      <c r="AO440" s="105"/>
      <c r="AP440" s="105"/>
      <c r="AQ440" s="105"/>
      <c r="AR440" s="105"/>
      <c r="AS440" s="105"/>
      <c r="AT440" s="105"/>
      <c r="AU440" s="105"/>
      <c r="AV440" s="105"/>
      <c r="AW440" s="105"/>
      <c r="AX440" s="105"/>
      <c r="AY440" s="105"/>
      <c r="AZ440" s="105"/>
      <c r="BA440" s="105"/>
      <c r="BB440" s="105"/>
      <c r="BC440" s="105"/>
      <c r="BD440" s="105"/>
      <c r="BE440" s="105"/>
      <c r="BF440" s="105"/>
      <c r="BG440" s="105"/>
      <c r="BH440" s="105"/>
      <c r="BI440" s="105"/>
      <c r="BJ440" s="105"/>
      <c r="BK440" s="105"/>
      <c r="BL440" s="105"/>
      <c r="BM440" s="105"/>
      <c r="BN440" s="105"/>
      <c r="BO440" s="105"/>
      <c r="BP440" s="105"/>
      <c r="BQ440" s="105"/>
      <c r="BR440" s="105"/>
      <c r="BS440" s="105"/>
      <c r="BT440" s="105"/>
      <c r="BU440" s="105"/>
      <c r="BV440" s="105"/>
      <c r="BW440" s="106"/>
      <c r="BX440" s="28"/>
    </row>
    <row r="441" spans="1:78" ht="3" customHeight="1" x14ac:dyDescent="0.25">
      <c r="A441" s="57"/>
      <c r="B441" s="360"/>
      <c r="H441" s="360"/>
      <c r="I441" s="69"/>
      <c r="J441" s="54"/>
      <c r="K441" s="107"/>
      <c r="L441" s="108"/>
      <c r="M441" s="583"/>
      <c r="N441" s="583"/>
      <c r="O441" s="583"/>
      <c r="P441" s="583"/>
      <c r="Q441" s="583"/>
      <c r="R441" s="583"/>
      <c r="S441" s="583"/>
      <c r="T441" s="583"/>
      <c r="U441" s="583"/>
      <c r="V441" s="583"/>
      <c r="W441" s="583"/>
      <c r="X441" s="583"/>
      <c r="Y441" s="106"/>
      <c r="Z441" s="105"/>
      <c r="AA441" s="107"/>
      <c r="AB441" s="105"/>
      <c r="AC441" s="105"/>
      <c r="AD441" s="105"/>
      <c r="AE441" s="105"/>
      <c r="AF441" s="105"/>
      <c r="AG441" s="105"/>
      <c r="AH441" s="105"/>
      <c r="AI441" s="105"/>
      <c r="AJ441" s="105"/>
      <c r="AK441" s="105"/>
      <c r="AL441" s="105"/>
      <c r="AM441" s="105"/>
      <c r="AN441" s="105"/>
      <c r="AO441" s="105"/>
      <c r="AP441" s="105"/>
      <c r="AQ441" s="105"/>
      <c r="AR441" s="105"/>
      <c r="AS441" s="105"/>
      <c r="AT441" s="105"/>
      <c r="AU441" s="105"/>
      <c r="AV441" s="105"/>
      <c r="AW441" s="105"/>
      <c r="AX441" s="105"/>
      <c r="AY441" s="105"/>
      <c r="AZ441" s="105"/>
      <c r="BA441" s="105"/>
      <c r="BB441" s="105"/>
      <c r="BC441" s="105"/>
      <c r="BD441" s="105"/>
      <c r="BE441" s="105"/>
      <c r="BF441" s="105"/>
      <c r="BG441" s="105"/>
      <c r="BH441" s="105"/>
      <c r="BI441" s="105"/>
      <c r="BJ441" s="105"/>
      <c r="BK441" s="105"/>
      <c r="BL441" s="105"/>
      <c r="BM441" s="105"/>
      <c r="BN441" s="105"/>
      <c r="BO441" s="105"/>
      <c r="BP441" s="105"/>
      <c r="BQ441" s="105"/>
      <c r="BR441" s="105"/>
      <c r="BS441" s="105"/>
      <c r="BT441" s="105"/>
      <c r="BU441" s="105"/>
      <c r="BV441" s="105"/>
      <c r="BW441" s="106"/>
      <c r="BX441" s="28"/>
      <c r="BZ441" s="55"/>
    </row>
    <row r="442" spans="1:78" s="34" customFormat="1" ht="8.25" customHeight="1" x14ac:dyDescent="0.25">
      <c r="A442" s="57"/>
      <c r="B442" s="377"/>
      <c r="C442" s="9"/>
      <c r="D442" s="1"/>
      <c r="E442" s="1"/>
      <c r="H442" s="377"/>
      <c r="I442" s="95"/>
      <c r="J442" s="58"/>
      <c r="K442" s="104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  <c r="Y442" s="106"/>
      <c r="Z442" s="105"/>
      <c r="AA442" s="104"/>
      <c r="AB442" s="105"/>
      <c r="AC442" s="105"/>
      <c r="AD442" s="105"/>
      <c r="AE442" s="105"/>
      <c r="AF442" s="105"/>
      <c r="AG442" s="105"/>
      <c r="AH442" s="105"/>
      <c r="AI442" s="105"/>
      <c r="AJ442" s="105"/>
      <c r="AK442" s="105"/>
      <c r="AL442" s="105"/>
      <c r="AM442" s="105"/>
      <c r="AN442" s="105"/>
      <c r="AO442" s="105"/>
      <c r="AP442" s="105"/>
      <c r="AQ442" s="105"/>
      <c r="AR442" s="105"/>
      <c r="AS442" s="105"/>
      <c r="AT442" s="105"/>
      <c r="AU442" s="105"/>
      <c r="AV442" s="105"/>
      <c r="AW442" s="105"/>
      <c r="AX442" s="105"/>
      <c r="AY442" s="105"/>
      <c r="AZ442" s="105"/>
      <c r="BA442" s="105"/>
      <c r="BB442" s="105"/>
      <c r="BC442" s="105"/>
      <c r="BD442" s="105"/>
      <c r="BE442" s="105"/>
      <c r="BF442" s="105"/>
      <c r="BG442" s="105"/>
      <c r="BH442" s="105"/>
      <c r="BI442" s="105"/>
      <c r="BJ442" s="105"/>
      <c r="BK442" s="105"/>
      <c r="BL442" s="105"/>
      <c r="BM442" s="105"/>
      <c r="BN442" s="105"/>
      <c r="BO442" s="105"/>
      <c r="BP442" s="105"/>
      <c r="BQ442" s="105"/>
      <c r="BR442" s="105"/>
      <c r="BS442" s="105"/>
      <c r="BT442" s="105"/>
      <c r="BU442" s="105"/>
      <c r="BV442" s="105"/>
      <c r="BW442" s="106"/>
      <c r="BX442" s="28"/>
    </row>
    <row r="443" spans="1:78" s="34" customFormat="1" ht="23.25" customHeight="1" x14ac:dyDescent="0.25">
      <c r="A443" s="57"/>
      <c r="B443" s="360" t="s">
        <v>110</v>
      </c>
      <c r="C443" s="9"/>
      <c r="D443" s="1"/>
      <c r="E443" s="1"/>
      <c r="H443" s="360"/>
      <c r="I443" s="95"/>
      <c r="J443" s="58"/>
      <c r="K443" s="100"/>
      <c r="L443" s="540" t="str">
        <f ca="1">_xll.DBRA(Server&amp;$B$32,$B443,$N$19)</f>
        <v>E - Energy Cost as % of revenue</v>
      </c>
      <c r="M443" s="541" t="s">
        <v>16</v>
      </c>
      <c r="N443" s="541"/>
      <c r="O443" s="584"/>
      <c r="P443" s="212"/>
      <c r="Q443" s="311">
        <f ca="1">_xll.DBRW(Server&amp;Cube1,$N$15,$N$16,$N$17,$N$18,$N$14,$N$13,$N$11,$Q$1,$B443)</f>
        <v>0</v>
      </c>
      <c r="R443" s="312">
        <f ca="1">_xll.DBRW(Server&amp;Cube1,$N$15,$N$16,$N$17,$N$18,$N$14,$N$13,$R$2,$R$1,$B443)</f>
        <v>0</v>
      </c>
      <c r="S443" s="299" t="str">
        <f ca="1">IF(T443=0,"è",IF(T443&lt;0,"ì","î"))</f>
        <v>è</v>
      </c>
      <c r="T443" s="294">
        <f ca="1">-(Q443-R443)*100</f>
        <v>0</v>
      </c>
      <c r="U443" s="245"/>
      <c r="V443" s="311">
        <f ca="1">_xll.DBRW(Server&amp;Cube1,$N$15,$N$16,$N$17,$N$18,$N$14,$N$13,$V$2,$V$1,$B443)</f>
        <v>0</v>
      </c>
      <c r="W443" s="300" t="str">
        <f ca="1">IF(X443=0,"è",IF(X443&lt;0,"ì","î"))</f>
        <v>è</v>
      </c>
      <c r="X443" s="294">
        <f ca="1">-($Q443-V443)*100</f>
        <v>0</v>
      </c>
      <c r="Y443" s="101"/>
      <c r="Z443" s="398"/>
      <c r="AA443" s="100"/>
      <c r="AB443" s="311">
        <f ca="1">_xll.DBRW(Server&amp;Cube1,$N$15,$N$16,$N$17,$N$18,$N$14,$N$13,AB$2,AB$1,$B443)</f>
        <v>0</v>
      </c>
      <c r="AC443" s="311">
        <f ca="1">_xll.DBRW(Server&amp;Cube1,$N$15,$N$16,$N$17,$N$18,$N$14,$N$13,AC$2,AC$1,$B443)</f>
        <v>0</v>
      </c>
      <c r="AD443" s="402">
        <f ca="1">_xll.DBRW(Server&amp;Cube1,$N$15,$N$16,$N$17,$N$18,$N$14,$N$13,AD$2,AD$1,$B443)</f>
        <v>0</v>
      </c>
      <c r="AE443" s="105"/>
      <c r="AF443" s="311">
        <f ca="1">_xll.DBRW(Server&amp;Cube1,$N$15,$N$16,$N$17,$N$18,$N$14,$N$13,AF$2,AF$1,$B443)</f>
        <v>0</v>
      </c>
      <c r="AG443" s="311">
        <f ca="1">_xll.DBRW(Server&amp;Cube1,$N$15,$N$16,$N$17,$N$18,$N$14,$N$13,AG$2,AG$1,$B443)</f>
        <v>0</v>
      </c>
      <c r="AH443" s="402">
        <f ca="1">_xll.DBRW(Server&amp;Cube1,$N$15,$N$16,$N$17,$N$18,$N$14,$N$13,AH$2,AH$1,$B443)</f>
        <v>0</v>
      </c>
      <c r="AI443" s="105"/>
      <c r="AJ443" s="311">
        <f ca="1">_xll.DBRW(Server&amp;Cube1,$N$15,$N$16,$N$17,$N$18,$N$14,$N$13,AJ$2,AJ$1,$B443)</f>
        <v>0</v>
      </c>
      <c r="AK443" s="311">
        <f ca="1">_xll.DBRW(Server&amp;Cube1,$N$15,$N$16,$N$17,$N$18,$N$14,$N$13,AK$2,AK$1,$B443)</f>
        <v>0</v>
      </c>
      <c r="AL443" s="402">
        <f ca="1">_xll.DBRW(Server&amp;Cube1,$N$15,$N$16,$N$17,$N$18,$N$14,$N$13,AL$2,AL$1,$B443)</f>
        <v>0</v>
      </c>
      <c r="AM443" s="105"/>
      <c r="AN443" s="311">
        <f ca="1">_xll.DBRW(Server&amp;Cube1,$N$15,$N$16,$N$17,$N$18,$N$14,$N$13,AN$2,AN$1,$B443)</f>
        <v>0</v>
      </c>
      <c r="AO443" s="311">
        <f ca="1">_xll.DBRW(Server&amp;Cube1,$N$15,$N$16,$N$17,$N$18,$N$14,$N$13,AO$2,AO$1,$B443)</f>
        <v>0</v>
      </c>
      <c r="AP443" s="402">
        <f ca="1">_xll.DBRW(Server&amp;Cube1,$N$15,$N$16,$N$17,$N$18,$N$14,$N$13,AP$2,AP$1,$B443)</f>
        <v>0</v>
      </c>
      <c r="AQ443" s="105"/>
      <c r="AR443" s="311">
        <f ca="1">_xll.DBRW(Server&amp;Cube1,$N$15,$N$16,$N$17,$N$18,$N$14,$N$13,AR$2,AR$1,$B443)</f>
        <v>0</v>
      </c>
      <c r="AS443" s="311">
        <f ca="1">_xll.DBRW(Server&amp;Cube1,$N$15,$N$16,$N$17,$N$18,$N$14,$N$13,AS$2,AS$1,$B443)</f>
        <v>0</v>
      </c>
      <c r="AT443" s="402">
        <f ca="1">_xll.DBRW(Server&amp;Cube1,$N$15,$N$16,$N$17,$N$18,$N$14,$N$13,AT$2,AT$1,$B443)</f>
        <v>0</v>
      </c>
      <c r="AU443" s="105"/>
      <c r="AV443" s="311">
        <f ca="1">_xll.DBRW(Server&amp;Cube1,$N$15,$N$16,$N$17,$N$18,$N$14,$N$13,AV$2,AV$1,$B443)</f>
        <v>0</v>
      </c>
      <c r="AW443" s="311">
        <f ca="1">_xll.DBRW(Server&amp;Cube1,$N$15,$N$16,$N$17,$N$18,$N$14,$N$13,AW$2,AW$1,$B443)</f>
        <v>0</v>
      </c>
      <c r="AX443" s="402">
        <f ca="1">_xll.DBRW(Server&amp;Cube1,$N$15,$N$16,$N$17,$N$18,$N$14,$N$13,AX$2,AX$1,$B443)</f>
        <v>0</v>
      </c>
      <c r="AY443" s="105"/>
      <c r="AZ443" s="311">
        <f ca="1">_xll.DBRW(Server&amp;Cube1,$N$15,$N$16,$N$17,$N$18,$N$14,$N$13,AZ$2,AZ$1,$B443)</f>
        <v>0</v>
      </c>
      <c r="BA443" s="311">
        <f ca="1">_xll.DBRW(Server&amp;Cube1,$N$15,$N$16,$N$17,$N$18,$N$14,$N$13,BA$2,BA$1,$B443)</f>
        <v>0</v>
      </c>
      <c r="BB443" s="402">
        <f ca="1">_xll.DBRW(Server&amp;Cube1,$N$15,$N$16,$N$17,$N$18,$N$14,$N$13,BB$2,BB$1,$B443)</f>
        <v>0</v>
      </c>
      <c r="BC443" s="105"/>
      <c r="BD443" s="311">
        <f ca="1">_xll.DBRW(Server&amp;Cube1,$N$15,$N$16,$N$17,$N$18,$N$14,$N$13,BD$2,BD$1,$B443)</f>
        <v>0</v>
      </c>
      <c r="BE443" s="311">
        <f ca="1">_xll.DBRW(Server&amp;Cube1,$N$15,$N$16,$N$17,$N$18,$N$14,$N$13,BE$2,BE$1,$B443)</f>
        <v>0</v>
      </c>
      <c r="BF443" s="402">
        <f ca="1">_xll.DBRW(Server&amp;Cube1,$N$15,$N$16,$N$17,$N$18,$N$14,$N$13,BF$2,BF$1,$B443)</f>
        <v>0</v>
      </c>
      <c r="BG443" s="105"/>
      <c r="BH443" s="311">
        <f ca="1">_xll.DBRW(Server&amp;Cube1,$N$15,$N$16,$N$17,$N$18,$N$14,$N$13,BH$2,BH$1,$B443)</f>
        <v>0</v>
      </c>
      <c r="BI443" s="311">
        <f ca="1">_xll.DBRW(Server&amp;Cube1,$N$15,$N$16,$N$17,$N$18,$N$14,$N$13,BI$2,BI$1,$B443)</f>
        <v>0</v>
      </c>
      <c r="BJ443" s="402">
        <f ca="1">_xll.DBRW(Server&amp;Cube1,$N$15,$N$16,$N$17,$N$18,$N$14,$N$13,BJ$2,BJ$1,$B443)</f>
        <v>0</v>
      </c>
      <c r="BK443" s="105"/>
      <c r="BL443" s="311">
        <f ca="1">_xll.DBRW(Server&amp;Cube1,$N$15,$N$16,$N$17,$N$18,$N$14,$N$13,BL$2,BL$1,$B443)</f>
        <v>0</v>
      </c>
      <c r="BM443" s="311">
        <f ca="1">_xll.DBRW(Server&amp;Cube1,$N$15,$N$16,$N$17,$N$18,$N$14,$N$13,BM$2,BM$1,$B443)</f>
        <v>0</v>
      </c>
      <c r="BN443" s="402">
        <f ca="1">_xll.DBRW(Server&amp;Cube1,$N$15,$N$16,$N$17,$N$18,$N$14,$N$13,BN$2,BN$1,$B443)</f>
        <v>0</v>
      </c>
      <c r="BO443" s="105"/>
      <c r="BP443" s="311">
        <f ca="1">_xll.DBRW(Server&amp;Cube1,$N$15,$N$16,$N$17,$N$18,$N$14,$N$13,BP$2,BP$1,$B443)</f>
        <v>0</v>
      </c>
      <c r="BQ443" s="311">
        <f ca="1">_xll.DBRW(Server&amp;Cube1,$N$15,$N$16,$N$17,$N$18,$N$14,$N$13,BQ$2,BQ$1,$B443)</f>
        <v>0</v>
      </c>
      <c r="BR443" s="402">
        <f ca="1">_xll.DBRW(Server&amp;Cube1,$N$15,$N$16,$N$17,$N$18,$N$14,$N$13,BR$2,BR$1,$B443)</f>
        <v>0</v>
      </c>
      <c r="BS443" s="105"/>
      <c r="BT443" s="311">
        <f ca="1">_xll.DBRW(Server&amp;Cube1,$N$15,$N$16,$N$17,$N$18,$N$14,$N$13,BT$2,BT$1,$B443)</f>
        <v>0</v>
      </c>
      <c r="BU443" s="311">
        <f ca="1">_xll.DBRW(Server&amp;Cube1,$N$15,$N$16,$N$17,$N$18,$N$14,$N$13,BU$2,BU$1,$B443)</f>
        <v>0</v>
      </c>
      <c r="BV443" s="402">
        <f ca="1">_xll.DBRW(Server&amp;Cube1,$N$15,$N$16,$N$17,$N$18,$N$14,$N$13,BV$2,BV$1,$B443)</f>
        <v>0</v>
      </c>
      <c r="BW443" s="101"/>
      <c r="BX443" s="28"/>
      <c r="BZ443" s="367"/>
    </row>
    <row r="444" spans="1:78" s="34" customFormat="1" ht="27.75" customHeight="1" x14ac:dyDescent="0.3">
      <c r="A444" s="57"/>
      <c r="B444" s="360" t="s">
        <v>107</v>
      </c>
      <c r="C444" s="9"/>
      <c r="D444" s="1"/>
      <c r="E444" s="1"/>
      <c r="H444" s="360"/>
      <c r="I444" s="95"/>
      <c r="J444" s="58"/>
      <c r="K444" s="100"/>
      <c r="L444" s="585" t="str">
        <f ca="1">_xll.DBRA(Server&amp;Context!$B$32,Context!$B$45,$N$19)</f>
        <v>LEVEL 2</v>
      </c>
      <c r="M444" s="588" t="str">
        <f ca="1">IF(OR(O456="Not defined",O456="Non défini",O458="Not defined",O458="Non défini"),_xll.DBRA(Server&amp;$B$32,$B444,$N$19),_xll.DBRA(Server&amp;Context!$B$32,Context!$B$50,$N$19)&amp;" "&amp;O456)</f>
        <v>E1 - Energy Cost per cost work unit</v>
      </c>
      <c r="N444" s="588"/>
      <c r="O444" s="589"/>
      <c r="P444" s="211"/>
      <c r="Q444" s="320">
        <f ca="1">_xll.DBRW(Server&amp;Cube1,$N$15,$N$16,$N$17,$N$18,$N$14,$N$13,$N$11,$Q$1,$B444)</f>
        <v>0</v>
      </c>
      <c r="R444" s="321">
        <f ca="1">_xll.DBRW(Server&amp;Cube1,$N$15,$N$16,$N$17,$N$18,$N$14,$N$13,$R$2,$R$1,$B444)</f>
        <v>0</v>
      </c>
      <c r="S444" s="322">
        <f ca="1">Q444-R444</f>
        <v>0</v>
      </c>
      <c r="T444" s="323"/>
      <c r="U444" s="245"/>
      <c r="V444" s="331">
        <f ca="1">_xll.DBRW(Server&amp;Cube1,$N$15,$N$16,$N$17,$N$18,$N$14,$N$13,$V$2,$V$1,$B444)</f>
        <v>0</v>
      </c>
      <c r="W444" s="322">
        <f ca="1">$Q444-V444</f>
        <v>0</v>
      </c>
      <c r="X444" s="323"/>
      <c r="Y444" s="101"/>
      <c r="Z444" s="398"/>
      <c r="AA444" s="100"/>
      <c r="AB444" s="320">
        <f ca="1">_xll.DBRW(Server&amp;Cube1,$N$15,$N$16,$N$17,$N$18,$N$14,$N$13,AB$2,AB$1,$B444)</f>
        <v>0</v>
      </c>
      <c r="AC444" s="320">
        <f ca="1">_xll.DBRW(Server&amp;Cube1,$N$15,$N$16,$N$17,$N$18,$N$14,$N$13,AC$2,AC$1,$B444)</f>
        <v>0</v>
      </c>
      <c r="AD444" s="403">
        <f ca="1">_xll.DBRW(Server&amp;Cube1,$N$15,$N$16,$N$17,$N$18,$N$14,$N$13,AD$2,AD$1,$B444)</f>
        <v>0</v>
      </c>
      <c r="AE444" s="105"/>
      <c r="AF444" s="320">
        <f ca="1">_xll.DBRW(Server&amp;Cube1,$N$15,$N$16,$N$17,$N$18,$N$14,$N$13,AF$2,AF$1,$B444)</f>
        <v>0</v>
      </c>
      <c r="AG444" s="320">
        <f ca="1">_xll.DBRW(Server&amp;Cube1,$N$15,$N$16,$N$17,$N$18,$N$14,$N$13,AG$2,AG$1,$B444)</f>
        <v>0</v>
      </c>
      <c r="AH444" s="403">
        <f ca="1">_xll.DBRW(Server&amp;Cube1,$N$15,$N$16,$N$17,$N$18,$N$14,$N$13,AH$2,AH$1,$B444)</f>
        <v>0</v>
      </c>
      <c r="AI444" s="105"/>
      <c r="AJ444" s="320">
        <f ca="1">_xll.DBRW(Server&amp;Cube1,$N$15,$N$16,$N$17,$N$18,$N$14,$N$13,AJ$2,AJ$1,$B444)</f>
        <v>0</v>
      </c>
      <c r="AK444" s="320">
        <f ca="1">_xll.DBRW(Server&amp;Cube1,$N$15,$N$16,$N$17,$N$18,$N$14,$N$13,AK$2,AK$1,$B444)</f>
        <v>0</v>
      </c>
      <c r="AL444" s="403">
        <f ca="1">_xll.DBRW(Server&amp;Cube1,$N$15,$N$16,$N$17,$N$18,$N$14,$N$13,AL$2,AL$1,$B444)</f>
        <v>0</v>
      </c>
      <c r="AM444" s="105"/>
      <c r="AN444" s="320">
        <f ca="1">_xll.DBRW(Server&amp;Cube1,$N$15,$N$16,$N$17,$N$18,$N$14,$N$13,AN$2,AN$1,$B444)</f>
        <v>0</v>
      </c>
      <c r="AO444" s="320">
        <f ca="1">_xll.DBRW(Server&amp;Cube1,$N$15,$N$16,$N$17,$N$18,$N$14,$N$13,AO$2,AO$1,$B444)</f>
        <v>0</v>
      </c>
      <c r="AP444" s="403">
        <f ca="1">_xll.DBRW(Server&amp;Cube1,$N$15,$N$16,$N$17,$N$18,$N$14,$N$13,AP$2,AP$1,$B444)</f>
        <v>0</v>
      </c>
      <c r="AQ444" s="105"/>
      <c r="AR444" s="320">
        <f ca="1">_xll.DBRW(Server&amp;Cube1,$N$15,$N$16,$N$17,$N$18,$N$14,$N$13,AR$2,AR$1,$B444)</f>
        <v>0</v>
      </c>
      <c r="AS444" s="320">
        <f ca="1">_xll.DBRW(Server&amp;Cube1,$N$15,$N$16,$N$17,$N$18,$N$14,$N$13,AS$2,AS$1,$B444)</f>
        <v>0</v>
      </c>
      <c r="AT444" s="403">
        <f ca="1">_xll.DBRW(Server&amp;Cube1,$N$15,$N$16,$N$17,$N$18,$N$14,$N$13,AT$2,AT$1,$B444)</f>
        <v>0</v>
      </c>
      <c r="AU444" s="105"/>
      <c r="AV444" s="320">
        <f ca="1">_xll.DBRW(Server&amp;Cube1,$N$15,$N$16,$N$17,$N$18,$N$14,$N$13,AV$2,AV$1,$B444)</f>
        <v>0</v>
      </c>
      <c r="AW444" s="320">
        <f ca="1">_xll.DBRW(Server&amp;Cube1,$N$15,$N$16,$N$17,$N$18,$N$14,$N$13,AW$2,AW$1,$B444)</f>
        <v>0</v>
      </c>
      <c r="AX444" s="403">
        <f ca="1">_xll.DBRW(Server&amp;Cube1,$N$15,$N$16,$N$17,$N$18,$N$14,$N$13,AX$2,AX$1,$B444)</f>
        <v>0</v>
      </c>
      <c r="AY444" s="105"/>
      <c r="AZ444" s="320">
        <f ca="1">_xll.DBRW(Server&amp;Cube1,$N$15,$N$16,$N$17,$N$18,$N$14,$N$13,AZ$2,AZ$1,$B444)</f>
        <v>0</v>
      </c>
      <c r="BA444" s="320">
        <f ca="1">_xll.DBRW(Server&amp;Cube1,$N$15,$N$16,$N$17,$N$18,$N$14,$N$13,BA$2,BA$1,$B444)</f>
        <v>0</v>
      </c>
      <c r="BB444" s="403">
        <f ca="1">_xll.DBRW(Server&amp;Cube1,$N$15,$N$16,$N$17,$N$18,$N$14,$N$13,BB$2,BB$1,$B444)</f>
        <v>0</v>
      </c>
      <c r="BC444" s="105"/>
      <c r="BD444" s="320">
        <f ca="1">_xll.DBRW(Server&amp;Cube1,$N$15,$N$16,$N$17,$N$18,$N$14,$N$13,BD$2,BD$1,$B444)</f>
        <v>0</v>
      </c>
      <c r="BE444" s="320">
        <f ca="1">_xll.DBRW(Server&amp;Cube1,$N$15,$N$16,$N$17,$N$18,$N$14,$N$13,BE$2,BE$1,$B444)</f>
        <v>0</v>
      </c>
      <c r="BF444" s="403">
        <f ca="1">_xll.DBRW(Server&amp;Cube1,$N$15,$N$16,$N$17,$N$18,$N$14,$N$13,BF$2,BF$1,$B444)</f>
        <v>0</v>
      </c>
      <c r="BG444" s="105"/>
      <c r="BH444" s="320">
        <f ca="1">_xll.DBRW(Server&amp;Cube1,$N$15,$N$16,$N$17,$N$18,$N$14,$N$13,BH$2,BH$1,$B444)</f>
        <v>0</v>
      </c>
      <c r="BI444" s="320">
        <f ca="1">_xll.DBRW(Server&amp;Cube1,$N$15,$N$16,$N$17,$N$18,$N$14,$N$13,BI$2,BI$1,$B444)</f>
        <v>0</v>
      </c>
      <c r="BJ444" s="403">
        <f ca="1">_xll.DBRW(Server&amp;Cube1,$N$15,$N$16,$N$17,$N$18,$N$14,$N$13,BJ$2,BJ$1,$B444)</f>
        <v>0</v>
      </c>
      <c r="BK444" s="105"/>
      <c r="BL444" s="320">
        <f ca="1">_xll.DBRW(Server&amp;Cube1,$N$15,$N$16,$N$17,$N$18,$N$14,$N$13,BL$2,BL$1,$B444)</f>
        <v>0</v>
      </c>
      <c r="BM444" s="320">
        <f ca="1">_xll.DBRW(Server&amp;Cube1,$N$15,$N$16,$N$17,$N$18,$N$14,$N$13,BM$2,BM$1,$B444)</f>
        <v>0</v>
      </c>
      <c r="BN444" s="403">
        <f ca="1">_xll.DBRW(Server&amp;Cube1,$N$15,$N$16,$N$17,$N$18,$N$14,$N$13,BN$2,BN$1,$B444)</f>
        <v>0</v>
      </c>
      <c r="BO444" s="105"/>
      <c r="BP444" s="320">
        <f ca="1">_xll.DBRW(Server&amp;Cube1,$N$15,$N$16,$N$17,$N$18,$N$14,$N$13,BP$2,BP$1,$B444)</f>
        <v>0</v>
      </c>
      <c r="BQ444" s="320">
        <f ca="1">_xll.DBRW(Server&amp;Cube1,$N$15,$N$16,$N$17,$N$18,$N$14,$N$13,BQ$2,BQ$1,$B444)</f>
        <v>0</v>
      </c>
      <c r="BR444" s="403">
        <f ca="1">_xll.DBRW(Server&amp;Cube1,$N$15,$N$16,$N$17,$N$18,$N$14,$N$13,BR$2,BR$1,$B444)</f>
        <v>0</v>
      </c>
      <c r="BS444" s="105"/>
      <c r="BT444" s="320">
        <f ca="1">_xll.DBRW(Server&amp;Cube1,$N$15,$N$16,$N$17,$N$18,$N$14,$N$13,BT$2,BT$1,$B444)</f>
        <v>0</v>
      </c>
      <c r="BU444" s="320">
        <f ca="1">_xll.DBRW(Server&amp;Cube1,$N$15,$N$16,$N$17,$N$18,$N$14,$N$13,BU$2,BU$1,$B444)</f>
        <v>0</v>
      </c>
      <c r="BV444" s="403">
        <f ca="1">_xll.DBRW(Server&amp;Cube1,$N$15,$N$16,$N$17,$N$18,$N$14,$N$13,BV$2,BV$1,$B444)</f>
        <v>0</v>
      </c>
      <c r="BW444" s="101"/>
      <c r="BX444" s="28"/>
      <c r="BZ444" s="370"/>
    </row>
    <row r="445" spans="1:78" s="34" customFormat="1" ht="27.75" customHeight="1" x14ac:dyDescent="0.3">
      <c r="A445" s="57"/>
      <c r="B445" s="360" t="s">
        <v>108</v>
      </c>
      <c r="C445" s="9"/>
      <c r="D445" s="1"/>
      <c r="E445" s="1"/>
      <c r="H445" s="360"/>
      <c r="I445" s="95"/>
      <c r="J445" s="58"/>
      <c r="K445" s="100"/>
      <c r="L445" s="586"/>
      <c r="M445" s="590" t="str">
        <f ca="1">IF(OR(O456="Not defined",O456="Non défini",O458="Not defined",O458="Non défini"),_xll.DBRA(Server&amp;$B$32,$B445,$N$19),_xll.DBRA(Server&amp;$B$32,$B445,$N$19)&amp;" - ("&amp;O456&amp;" / "&amp;O458&amp;")")</f>
        <v>E2 - Energy efficiency</v>
      </c>
      <c r="N445" s="590"/>
      <c r="O445" s="590"/>
      <c r="P445" s="211"/>
      <c r="Q445" s="324">
        <f ca="1">_xll.DBRW(Server&amp;Cube1,$N$15,$N$16,$N$17,$N$18,$N$14,$N$13,$N$11,$Q$1,$B445)</f>
        <v>0</v>
      </c>
      <c r="R445" s="319">
        <f ca="1">_xll.DBRW(Server&amp;Cube1,$N$15,$N$16,$N$17,$N$18,$N$14,$N$13,$R$2,$R$1,$B445)</f>
        <v>0</v>
      </c>
      <c r="S445" s="325">
        <f ca="1">Q445-R445</f>
        <v>0</v>
      </c>
      <c r="T445" s="326"/>
      <c r="U445" s="247"/>
      <c r="V445" s="332">
        <f ca="1">_xll.DBRW(Server&amp;Cube1,$N$15,$N$16,$N$17,$N$18,$N$14,$N$13,$V$2,$V$1,$B445)</f>
        <v>0</v>
      </c>
      <c r="W445" s="325">
        <f ca="1">$Q445-V445</f>
        <v>0</v>
      </c>
      <c r="X445" s="326"/>
      <c r="Y445" s="101"/>
      <c r="Z445" s="398"/>
      <c r="AA445" s="100"/>
      <c r="AB445" s="324">
        <f ca="1">_xll.DBRW(Server&amp;Cube1,$N$15,$N$16,$N$17,$N$18,$N$14,$N$13,AB$2,AB$1,$B445)</f>
        <v>0</v>
      </c>
      <c r="AC445" s="324">
        <f ca="1">_xll.DBRW(Server&amp;Cube1,$N$15,$N$16,$N$17,$N$18,$N$14,$N$13,AC$2,AC$1,$B445)</f>
        <v>0</v>
      </c>
      <c r="AD445" s="404">
        <f ca="1">_xll.DBRW(Server&amp;Cube1,$N$15,$N$16,$N$17,$N$18,$N$14,$N$13,AD$2,AD$1,$B445)</f>
        <v>0</v>
      </c>
      <c r="AE445" s="105"/>
      <c r="AF445" s="324">
        <f ca="1">_xll.DBRW(Server&amp;Cube1,$N$15,$N$16,$N$17,$N$18,$N$14,$N$13,AF$2,AF$1,$B445)</f>
        <v>0</v>
      </c>
      <c r="AG445" s="324">
        <f ca="1">_xll.DBRW(Server&amp;Cube1,$N$15,$N$16,$N$17,$N$18,$N$14,$N$13,AG$2,AG$1,$B445)</f>
        <v>0</v>
      </c>
      <c r="AH445" s="404">
        <f ca="1">_xll.DBRW(Server&amp;Cube1,$N$15,$N$16,$N$17,$N$18,$N$14,$N$13,AH$2,AH$1,$B445)</f>
        <v>0</v>
      </c>
      <c r="AI445" s="105"/>
      <c r="AJ445" s="324">
        <f ca="1">_xll.DBRW(Server&amp;Cube1,$N$15,$N$16,$N$17,$N$18,$N$14,$N$13,AJ$2,AJ$1,$B445)</f>
        <v>0</v>
      </c>
      <c r="AK445" s="324">
        <f ca="1">_xll.DBRW(Server&amp;Cube1,$N$15,$N$16,$N$17,$N$18,$N$14,$N$13,AK$2,AK$1,$B445)</f>
        <v>0</v>
      </c>
      <c r="AL445" s="404">
        <f ca="1">_xll.DBRW(Server&amp;Cube1,$N$15,$N$16,$N$17,$N$18,$N$14,$N$13,AL$2,AL$1,$B445)</f>
        <v>0</v>
      </c>
      <c r="AM445" s="105"/>
      <c r="AN445" s="324">
        <f ca="1">_xll.DBRW(Server&amp;Cube1,$N$15,$N$16,$N$17,$N$18,$N$14,$N$13,AN$2,AN$1,$B445)</f>
        <v>0</v>
      </c>
      <c r="AO445" s="324">
        <f ca="1">_xll.DBRW(Server&amp;Cube1,$N$15,$N$16,$N$17,$N$18,$N$14,$N$13,AO$2,AO$1,$B445)</f>
        <v>0</v>
      </c>
      <c r="AP445" s="404">
        <f ca="1">_xll.DBRW(Server&amp;Cube1,$N$15,$N$16,$N$17,$N$18,$N$14,$N$13,AP$2,AP$1,$B445)</f>
        <v>0</v>
      </c>
      <c r="AQ445" s="105"/>
      <c r="AR445" s="324">
        <f ca="1">_xll.DBRW(Server&amp;Cube1,$N$15,$N$16,$N$17,$N$18,$N$14,$N$13,AR$2,AR$1,$B445)</f>
        <v>0</v>
      </c>
      <c r="AS445" s="324">
        <f ca="1">_xll.DBRW(Server&amp;Cube1,$N$15,$N$16,$N$17,$N$18,$N$14,$N$13,AS$2,AS$1,$B445)</f>
        <v>0</v>
      </c>
      <c r="AT445" s="404">
        <f ca="1">_xll.DBRW(Server&amp;Cube1,$N$15,$N$16,$N$17,$N$18,$N$14,$N$13,AT$2,AT$1,$B445)</f>
        <v>0</v>
      </c>
      <c r="AU445" s="105"/>
      <c r="AV445" s="324">
        <f ca="1">_xll.DBRW(Server&amp;Cube1,$N$15,$N$16,$N$17,$N$18,$N$14,$N$13,AV$2,AV$1,$B445)</f>
        <v>0</v>
      </c>
      <c r="AW445" s="324">
        <f ca="1">_xll.DBRW(Server&amp;Cube1,$N$15,$N$16,$N$17,$N$18,$N$14,$N$13,AW$2,AW$1,$B445)</f>
        <v>0</v>
      </c>
      <c r="AX445" s="404">
        <f ca="1">_xll.DBRW(Server&amp;Cube1,$N$15,$N$16,$N$17,$N$18,$N$14,$N$13,AX$2,AX$1,$B445)</f>
        <v>0</v>
      </c>
      <c r="AY445" s="105"/>
      <c r="AZ445" s="324">
        <f ca="1">_xll.DBRW(Server&amp;Cube1,$N$15,$N$16,$N$17,$N$18,$N$14,$N$13,AZ$2,AZ$1,$B445)</f>
        <v>0</v>
      </c>
      <c r="BA445" s="324">
        <f ca="1">_xll.DBRW(Server&amp;Cube1,$N$15,$N$16,$N$17,$N$18,$N$14,$N$13,BA$2,BA$1,$B445)</f>
        <v>0</v>
      </c>
      <c r="BB445" s="404">
        <f ca="1">_xll.DBRW(Server&amp;Cube1,$N$15,$N$16,$N$17,$N$18,$N$14,$N$13,BB$2,BB$1,$B445)</f>
        <v>0</v>
      </c>
      <c r="BC445" s="105"/>
      <c r="BD445" s="324">
        <f ca="1">_xll.DBRW(Server&amp;Cube1,$N$15,$N$16,$N$17,$N$18,$N$14,$N$13,BD$2,BD$1,$B445)</f>
        <v>0</v>
      </c>
      <c r="BE445" s="324">
        <f ca="1">_xll.DBRW(Server&amp;Cube1,$N$15,$N$16,$N$17,$N$18,$N$14,$N$13,BE$2,BE$1,$B445)</f>
        <v>0</v>
      </c>
      <c r="BF445" s="404">
        <f ca="1">_xll.DBRW(Server&amp;Cube1,$N$15,$N$16,$N$17,$N$18,$N$14,$N$13,BF$2,BF$1,$B445)</f>
        <v>0</v>
      </c>
      <c r="BG445" s="105"/>
      <c r="BH445" s="324">
        <f ca="1">_xll.DBRW(Server&amp;Cube1,$N$15,$N$16,$N$17,$N$18,$N$14,$N$13,BH$2,BH$1,$B445)</f>
        <v>0</v>
      </c>
      <c r="BI445" s="324">
        <f ca="1">_xll.DBRW(Server&amp;Cube1,$N$15,$N$16,$N$17,$N$18,$N$14,$N$13,BI$2,BI$1,$B445)</f>
        <v>0</v>
      </c>
      <c r="BJ445" s="404">
        <f ca="1">_xll.DBRW(Server&amp;Cube1,$N$15,$N$16,$N$17,$N$18,$N$14,$N$13,BJ$2,BJ$1,$B445)</f>
        <v>0</v>
      </c>
      <c r="BK445" s="105"/>
      <c r="BL445" s="324">
        <f ca="1">_xll.DBRW(Server&amp;Cube1,$N$15,$N$16,$N$17,$N$18,$N$14,$N$13,BL$2,BL$1,$B445)</f>
        <v>0</v>
      </c>
      <c r="BM445" s="324">
        <f ca="1">_xll.DBRW(Server&amp;Cube1,$N$15,$N$16,$N$17,$N$18,$N$14,$N$13,BM$2,BM$1,$B445)</f>
        <v>0</v>
      </c>
      <c r="BN445" s="404">
        <f ca="1">_xll.DBRW(Server&amp;Cube1,$N$15,$N$16,$N$17,$N$18,$N$14,$N$13,BN$2,BN$1,$B445)</f>
        <v>0</v>
      </c>
      <c r="BO445" s="105"/>
      <c r="BP445" s="324">
        <f ca="1">_xll.DBRW(Server&amp;Cube1,$N$15,$N$16,$N$17,$N$18,$N$14,$N$13,BP$2,BP$1,$B445)</f>
        <v>0</v>
      </c>
      <c r="BQ445" s="324">
        <f ca="1">_xll.DBRW(Server&amp;Cube1,$N$15,$N$16,$N$17,$N$18,$N$14,$N$13,BQ$2,BQ$1,$B445)</f>
        <v>0</v>
      </c>
      <c r="BR445" s="404">
        <f ca="1">_xll.DBRW(Server&amp;Cube1,$N$15,$N$16,$N$17,$N$18,$N$14,$N$13,BR$2,BR$1,$B445)</f>
        <v>0</v>
      </c>
      <c r="BS445" s="105"/>
      <c r="BT445" s="324">
        <f ca="1">_xll.DBRW(Server&amp;Cube1,$N$15,$N$16,$N$17,$N$18,$N$14,$N$13,BT$2,BT$1,$B445)</f>
        <v>0</v>
      </c>
      <c r="BU445" s="324">
        <f ca="1">_xll.DBRW(Server&amp;Cube1,$N$15,$N$16,$N$17,$N$18,$N$14,$N$13,BU$2,BU$1,$B445)</f>
        <v>0</v>
      </c>
      <c r="BV445" s="404">
        <f ca="1">_xll.DBRW(Server&amp;Cube1,$N$15,$N$16,$N$17,$N$18,$N$14,$N$13,BV$2,BV$1,$B445)</f>
        <v>0</v>
      </c>
      <c r="BW445" s="101"/>
      <c r="BX445" s="28"/>
      <c r="BZ445" s="371"/>
    </row>
    <row r="446" spans="1:78" s="34" customFormat="1" ht="27.75" customHeight="1" collapsed="1" thickBot="1" x14ac:dyDescent="0.35">
      <c r="A446" s="57"/>
      <c r="B446" s="360" t="s">
        <v>109</v>
      </c>
      <c r="C446" s="9"/>
      <c r="D446" s="1"/>
      <c r="E446" s="1"/>
      <c r="H446" s="360"/>
      <c r="I446" s="95"/>
      <c r="J446" s="58"/>
      <c r="K446" s="100"/>
      <c r="L446" s="586"/>
      <c r="M446" s="591" t="str">
        <f ca="1">IF(OR(O456="Not defined",O456="Non défini",O458="Not defined",O458="Non défini"),_xll.DBRA(Server&amp;$B$32,$B446,$N$19),_xll.DBRA(Server&amp;Context!$B$32,Context!$B$51,$N$19)&amp;" "&amp;O458)</f>
        <v>E3 - Revenue per price work unit</v>
      </c>
      <c r="N446" s="591"/>
      <c r="O446" s="591"/>
      <c r="P446" s="211"/>
      <c r="Q446" s="327">
        <f ca="1">_xll.DBRW(Server&amp;Cube1,$N$15,$N$16,$N$17,$N$18,$N$14,$N$13,$N$11,$Q$1,$B446)</f>
        <v>0</v>
      </c>
      <c r="R446" s="328">
        <f ca="1">_xll.DBRW(Server&amp;Cube1,$N$15,$N$16,$N$17,$N$18,$N$14,$N$13,$R$2,$R$1,$B446)</f>
        <v>0</v>
      </c>
      <c r="S446" s="329">
        <f ca="1">Q446-R446</f>
        <v>0</v>
      </c>
      <c r="T446" s="330"/>
      <c r="U446" s="245"/>
      <c r="V446" s="333">
        <f ca="1">_xll.DBRW(Server&amp;Cube1,$N$15,$N$16,$N$17,$N$18,$N$14,$N$13,$V$2,$V$1,$B446)</f>
        <v>0</v>
      </c>
      <c r="W446" s="329">
        <f ca="1">$Q446-V446</f>
        <v>0</v>
      </c>
      <c r="X446" s="330"/>
      <c r="Y446" s="101"/>
      <c r="Z446" s="398"/>
      <c r="AA446" s="100"/>
      <c r="AB446" s="327">
        <f ca="1">_xll.DBRW(Server&amp;Cube1,$N$15,$N$16,$N$17,$N$18,$N$14,$N$13,AB$2,AB$1,$B446)</f>
        <v>0</v>
      </c>
      <c r="AC446" s="327">
        <f ca="1">_xll.DBRW(Server&amp;Cube1,$N$15,$N$16,$N$17,$N$18,$N$14,$N$13,AC$2,AC$1,$B446)</f>
        <v>0</v>
      </c>
      <c r="AD446" s="405">
        <f ca="1">_xll.DBRW(Server&amp;Cube1,$N$15,$N$16,$N$17,$N$18,$N$14,$N$13,AD$2,AD$1,$B446)</f>
        <v>0</v>
      </c>
      <c r="AE446" s="105"/>
      <c r="AF446" s="327">
        <f ca="1">_xll.DBRW(Server&amp;Cube1,$N$15,$N$16,$N$17,$N$18,$N$14,$N$13,AF$2,AF$1,$B446)</f>
        <v>0</v>
      </c>
      <c r="AG446" s="327">
        <f ca="1">_xll.DBRW(Server&amp;Cube1,$N$15,$N$16,$N$17,$N$18,$N$14,$N$13,AG$2,AG$1,$B446)</f>
        <v>0</v>
      </c>
      <c r="AH446" s="405">
        <f ca="1">_xll.DBRW(Server&amp;Cube1,$N$15,$N$16,$N$17,$N$18,$N$14,$N$13,AH$2,AH$1,$B446)</f>
        <v>0</v>
      </c>
      <c r="AI446" s="105"/>
      <c r="AJ446" s="327">
        <f ca="1">_xll.DBRW(Server&amp;Cube1,$N$15,$N$16,$N$17,$N$18,$N$14,$N$13,AJ$2,AJ$1,$B446)</f>
        <v>0</v>
      </c>
      <c r="AK446" s="327">
        <f ca="1">_xll.DBRW(Server&amp;Cube1,$N$15,$N$16,$N$17,$N$18,$N$14,$N$13,AK$2,AK$1,$B446)</f>
        <v>0</v>
      </c>
      <c r="AL446" s="405">
        <f ca="1">_xll.DBRW(Server&amp;Cube1,$N$15,$N$16,$N$17,$N$18,$N$14,$N$13,AL$2,AL$1,$B446)</f>
        <v>0</v>
      </c>
      <c r="AM446" s="105"/>
      <c r="AN446" s="327">
        <f ca="1">_xll.DBRW(Server&amp;Cube1,$N$15,$N$16,$N$17,$N$18,$N$14,$N$13,AN$2,AN$1,$B446)</f>
        <v>0</v>
      </c>
      <c r="AO446" s="327">
        <f ca="1">_xll.DBRW(Server&amp;Cube1,$N$15,$N$16,$N$17,$N$18,$N$14,$N$13,AO$2,AO$1,$B446)</f>
        <v>0</v>
      </c>
      <c r="AP446" s="405">
        <f ca="1">_xll.DBRW(Server&amp;Cube1,$N$15,$N$16,$N$17,$N$18,$N$14,$N$13,AP$2,AP$1,$B446)</f>
        <v>0</v>
      </c>
      <c r="AQ446" s="105"/>
      <c r="AR446" s="327">
        <f ca="1">_xll.DBRW(Server&amp;Cube1,$N$15,$N$16,$N$17,$N$18,$N$14,$N$13,AR$2,AR$1,$B446)</f>
        <v>0</v>
      </c>
      <c r="AS446" s="327">
        <f ca="1">_xll.DBRW(Server&amp;Cube1,$N$15,$N$16,$N$17,$N$18,$N$14,$N$13,AS$2,AS$1,$B446)</f>
        <v>0</v>
      </c>
      <c r="AT446" s="405">
        <f ca="1">_xll.DBRW(Server&amp;Cube1,$N$15,$N$16,$N$17,$N$18,$N$14,$N$13,AT$2,AT$1,$B446)</f>
        <v>0</v>
      </c>
      <c r="AU446" s="105"/>
      <c r="AV446" s="327">
        <f ca="1">_xll.DBRW(Server&amp;Cube1,$N$15,$N$16,$N$17,$N$18,$N$14,$N$13,AV$2,AV$1,$B446)</f>
        <v>0</v>
      </c>
      <c r="AW446" s="327">
        <f ca="1">_xll.DBRW(Server&amp;Cube1,$N$15,$N$16,$N$17,$N$18,$N$14,$N$13,AW$2,AW$1,$B446)</f>
        <v>0</v>
      </c>
      <c r="AX446" s="405">
        <f ca="1">_xll.DBRW(Server&amp;Cube1,$N$15,$N$16,$N$17,$N$18,$N$14,$N$13,AX$2,AX$1,$B446)</f>
        <v>0</v>
      </c>
      <c r="AY446" s="105"/>
      <c r="AZ446" s="327">
        <f ca="1">_xll.DBRW(Server&amp;Cube1,$N$15,$N$16,$N$17,$N$18,$N$14,$N$13,AZ$2,AZ$1,$B446)</f>
        <v>0</v>
      </c>
      <c r="BA446" s="327">
        <f ca="1">_xll.DBRW(Server&amp;Cube1,$N$15,$N$16,$N$17,$N$18,$N$14,$N$13,BA$2,BA$1,$B446)</f>
        <v>0</v>
      </c>
      <c r="BB446" s="405">
        <f ca="1">_xll.DBRW(Server&amp;Cube1,$N$15,$N$16,$N$17,$N$18,$N$14,$N$13,BB$2,BB$1,$B446)</f>
        <v>0</v>
      </c>
      <c r="BC446" s="105"/>
      <c r="BD446" s="327">
        <f ca="1">_xll.DBRW(Server&amp;Cube1,$N$15,$N$16,$N$17,$N$18,$N$14,$N$13,BD$2,BD$1,$B446)</f>
        <v>0</v>
      </c>
      <c r="BE446" s="327">
        <f ca="1">_xll.DBRW(Server&amp;Cube1,$N$15,$N$16,$N$17,$N$18,$N$14,$N$13,BE$2,BE$1,$B446)</f>
        <v>0</v>
      </c>
      <c r="BF446" s="405">
        <f ca="1">_xll.DBRW(Server&amp;Cube1,$N$15,$N$16,$N$17,$N$18,$N$14,$N$13,BF$2,BF$1,$B446)</f>
        <v>0</v>
      </c>
      <c r="BG446" s="105"/>
      <c r="BH446" s="327">
        <f ca="1">_xll.DBRW(Server&amp;Cube1,$N$15,$N$16,$N$17,$N$18,$N$14,$N$13,BH$2,BH$1,$B446)</f>
        <v>0</v>
      </c>
      <c r="BI446" s="327">
        <f ca="1">_xll.DBRW(Server&amp;Cube1,$N$15,$N$16,$N$17,$N$18,$N$14,$N$13,BI$2,BI$1,$B446)</f>
        <v>0</v>
      </c>
      <c r="BJ446" s="405">
        <f ca="1">_xll.DBRW(Server&amp;Cube1,$N$15,$N$16,$N$17,$N$18,$N$14,$N$13,BJ$2,BJ$1,$B446)</f>
        <v>0</v>
      </c>
      <c r="BK446" s="105"/>
      <c r="BL446" s="327">
        <f ca="1">_xll.DBRW(Server&amp;Cube1,$N$15,$N$16,$N$17,$N$18,$N$14,$N$13,BL$2,BL$1,$B446)</f>
        <v>0</v>
      </c>
      <c r="BM446" s="327">
        <f ca="1">_xll.DBRW(Server&amp;Cube1,$N$15,$N$16,$N$17,$N$18,$N$14,$N$13,BM$2,BM$1,$B446)</f>
        <v>0</v>
      </c>
      <c r="BN446" s="405">
        <f ca="1">_xll.DBRW(Server&amp;Cube1,$N$15,$N$16,$N$17,$N$18,$N$14,$N$13,BN$2,BN$1,$B446)</f>
        <v>0</v>
      </c>
      <c r="BO446" s="105"/>
      <c r="BP446" s="327">
        <f ca="1">_xll.DBRW(Server&amp;Cube1,$N$15,$N$16,$N$17,$N$18,$N$14,$N$13,BP$2,BP$1,$B446)</f>
        <v>0</v>
      </c>
      <c r="BQ446" s="327">
        <f ca="1">_xll.DBRW(Server&amp;Cube1,$N$15,$N$16,$N$17,$N$18,$N$14,$N$13,BQ$2,BQ$1,$B446)</f>
        <v>0</v>
      </c>
      <c r="BR446" s="405">
        <f ca="1">_xll.DBRW(Server&amp;Cube1,$N$15,$N$16,$N$17,$N$18,$N$14,$N$13,BR$2,BR$1,$B446)</f>
        <v>0</v>
      </c>
      <c r="BS446" s="105"/>
      <c r="BT446" s="327">
        <f ca="1">_xll.DBRW(Server&amp;Cube1,$N$15,$N$16,$N$17,$N$18,$N$14,$N$13,BT$2,BT$1,$B446)</f>
        <v>0</v>
      </c>
      <c r="BU446" s="327">
        <f ca="1">_xll.DBRW(Server&amp;Cube1,$N$15,$N$16,$N$17,$N$18,$N$14,$N$13,BU$2,BU$1,$B446)</f>
        <v>0</v>
      </c>
      <c r="BV446" s="405">
        <f ca="1">_xll.DBRW(Server&amp;Cube1,$N$15,$N$16,$N$17,$N$18,$N$14,$N$13,BV$2,BV$1,$B446)</f>
        <v>0</v>
      </c>
      <c r="BW446" s="101"/>
      <c r="BX446" s="28"/>
    </row>
    <row r="447" spans="1:78" ht="3.75" hidden="1" customHeight="1" outlineLevel="1" thickTop="1" x14ac:dyDescent="0.25">
      <c r="A447" s="57"/>
      <c r="B447" s="360"/>
      <c r="H447" s="360"/>
      <c r="I447" s="95"/>
      <c r="J447" s="58"/>
      <c r="K447" s="100"/>
      <c r="L447" s="586"/>
      <c r="M447" s="304"/>
      <c r="N447" s="304"/>
      <c r="O447" s="304"/>
      <c r="P447" s="62"/>
      <c r="Q447" s="213"/>
      <c r="R447" s="63"/>
      <c r="S447" s="64"/>
      <c r="T447" s="102"/>
      <c r="U447" s="215"/>
      <c r="V447" s="213"/>
      <c r="W447" s="64"/>
      <c r="X447" s="102"/>
      <c r="Y447" s="101"/>
      <c r="Z447" s="398"/>
      <c r="AA447" s="100"/>
      <c r="AB447" s="213"/>
      <c r="AC447" s="213"/>
      <c r="AD447" s="415"/>
      <c r="AE447" s="105"/>
      <c r="AF447" s="213"/>
      <c r="AG447" s="213"/>
      <c r="AH447" s="415"/>
      <c r="AI447" s="105"/>
      <c r="AJ447" s="213"/>
      <c r="AK447" s="213"/>
      <c r="AL447" s="415"/>
      <c r="AM447" s="105"/>
      <c r="AN447" s="213"/>
      <c r="AO447" s="213"/>
      <c r="AP447" s="415"/>
      <c r="AQ447" s="105"/>
      <c r="AR447" s="213"/>
      <c r="AS447" s="213"/>
      <c r="AT447" s="415"/>
      <c r="AU447" s="105"/>
      <c r="AV447" s="213"/>
      <c r="AW447" s="213"/>
      <c r="AX447" s="415"/>
      <c r="AY447" s="105"/>
      <c r="AZ447" s="213"/>
      <c r="BA447" s="213"/>
      <c r="BB447" s="415"/>
      <c r="BC447" s="105"/>
      <c r="BD447" s="213"/>
      <c r="BE447" s="213"/>
      <c r="BF447" s="415"/>
      <c r="BG447" s="105"/>
      <c r="BH447" s="213"/>
      <c r="BI447" s="213"/>
      <c r="BJ447" s="415"/>
      <c r="BK447" s="105"/>
      <c r="BL447" s="213"/>
      <c r="BM447" s="213"/>
      <c r="BN447" s="415"/>
      <c r="BO447" s="105"/>
      <c r="BP447" s="213"/>
      <c r="BQ447" s="213"/>
      <c r="BR447" s="415"/>
      <c r="BS447" s="105"/>
      <c r="BT447" s="213"/>
      <c r="BU447" s="213"/>
      <c r="BV447" s="415"/>
      <c r="BW447" s="101"/>
      <c r="BX447" s="28"/>
      <c r="BZ447" s="367"/>
    </row>
    <row r="448" spans="1:78" s="34" customFormat="1" ht="21.75" hidden="1" customHeight="1" outlineLevel="1" x14ac:dyDescent="0.25">
      <c r="A448" s="57"/>
      <c r="B448" s="360" t="s">
        <v>113</v>
      </c>
      <c r="C448" s="9"/>
      <c r="D448" s="360" t="b">
        <f ca="1">AND($Q456&lt;&gt;0,$R456&lt;&gt;0)</f>
        <v>0</v>
      </c>
      <c r="E448" s="360"/>
      <c r="F448" s="360" t="b">
        <f ca="1">AND($Q456&lt;&gt;0,$V456&lt;&gt;0)</f>
        <v>0</v>
      </c>
      <c r="H448" s="360"/>
      <c r="I448" s="95"/>
      <c r="J448" s="58"/>
      <c r="K448" s="100"/>
      <c r="L448" s="586"/>
      <c r="M448" s="592" t="str">
        <f ca="1">_xll.DBRA(Server&amp;$B$32,$B448,$N$19)</f>
        <v>E1 - Energy cost variance - Cost effect</v>
      </c>
      <c r="N448" s="592"/>
      <c r="O448" s="593"/>
      <c r="P448" s="246"/>
      <c r="Q448" s="249"/>
      <c r="R448" s="250"/>
      <c r="S448" s="251">
        <f ca="1">IF(D448,-1*S444*Q456,0)</f>
        <v>0</v>
      </c>
      <c r="T448" s="305">
        <f ca="1">IF(ISERROR(S448/#REF!*100),,S448/#REF!*100)</f>
        <v>0</v>
      </c>
      <c r="U448" s="245"/>
      <c r="V448" s="252"/>
      <c r="W448" s="251">
        <f ca="1">IF(F448,-1*W444*$Q456,0)</f>
        <v>0</v>
      </c>
      <c r="X448" s="309">
        <f ca="1">IF(ISERROR(W448/#REF!*100),,W448/#REF!*100)</f>
        <v>0</v>
      </c>
      <c r="Y448" s="101"/>
      <c r="Z448" s="398"/>
      <c r="AA448" s="100"/>
      <c r="AB448" s="249"/>
      <c r="AC448" s="249"/>
      <c r="AD448" s="416"/>
      <c r="AE448" s="105"/>
      <c r="AF448" s="249"/>
      <c r="AG448" s="249"/>
      <c r="AH448" s="416"/>
      <c r="AI448" s="105"/>
      <c r="AJ448" s="249"/>
      <c r="AK448" s="249"/>
      <c r="AL448" s="416"/>
      <c r="AM448" s="105"/>
      <c r="AN448" s="249"/>
      <c r="AO448" s="249"/>
      <c r="AP448" s="416"/>
      <c r="AQ448" s="105"/>
      <c r="AR448" s="249"/>
      <c r="AS448" s="249"/>
      <c r="AT448" s="416"/>
      <c r="AU448" s="105"/>
      <c r="AV448" s="249"/>
      <c r="AW448" s="249"/>
      <c r="AX448" s="416"/>
      <c r="AY448" s="105"/>
      <c r="AZ448" s="249"/>
      <c r="BA448" s="249"/>
      <c r="BB448" s="416"/>
      <c r="BC448" s="105"/>
      <c r="BD448" s="249"/>
      <c r="BE448" s="249"/>
      <c r="BF448" s="416"/>
      <c r="BG448" s="105"/>
      <c r="BH448" s="249"/>
      <c r="BI448" s="249"/>
      <c r="BJ448" s="416"/>
      <c r="BK448" s="105"/>
      <c r="BL448" s="249"/>
      <c r="BM448" s="249"/>
      <c r="BN448" s="416"/>
      <c r="BO448" s="105"/>
      <c r="BP448" s="249"/>
      <c r="BQ448" s="249"/>
      <c r="BR448" s="416"/>
      <c r="BS448" s="105"/>
      <c r="BT448" s="249"/>
      <c r="BU448" s="249"/>
      <c r="BV448" s="416"/>
      <c r="BW448" s="101"/>
      <c r="BX448" s="28"/>
    </row>
    <row r="449" spans="1:78" s="34" customFormat="1" ht="21.75" hidden="1" customHeight="1" outlineLevel="1" x14ac:dyDescent="0.25">
      <c r="A449" s="57"/>
      <c r="B449" s="360" t="s">
        <v>114</v>
      </c>
      <c r="C449" s="9"/>
      <c r="D449" s="360" t="b">
        <f ca="1">AND($Q458&lt;&gt;0,$R458&lt;&gt;0,$Q456&lt;&gt;0,$R456&lt;&gt;0)</f>
        <v>0</v>
      </c>
      <c r="E449" s="360"/>
      <c r="F449" s="360" t="b">
        <f ca="1">AND($Q458&lt;&gt;0,$V458&lt;&gt;0,$Q456&lt;&gt;0,$V456&lt;&gt;0)</f>
        <v>0</v>
      </c>
      <c r="H449" s="360"/>
      <c r="I449" s="95"/>
      <c r="J449" s="58"/>
      <c r="K449" s="100"/>
      <c r="L449" s="586"/>
      <c r="M449" s="573" t="str">
        <f ca="1">_xll.DBRA(Server&amp;$B$32,$B449,$N$19)</f>
        <v>E2 - Energy cost variance - Efficiency effect</v>
      </c>
      <c r="N449" s="573"/>
      <c r="O449" s="574"/>
      <c r="P449" s="246"/>
      <c r="Q449" s="249"/>
      <c r="R449" s="253"/>
      <c r="S449" s="251">
        <f ca="1">IF(D449,IF(Q445&lt;&gt;0,S445/Q445*$Q$81,0),0)</f>
        <v>0</v>
      </c>
      <c r="T449" s="305">
        <f ca="1">IF(ISERROR(S449/$Q$36*100),,S449/$Q$36*100)</f>
        <v>0</v>
      </c>
      <c r="U449" s="245"/>
      <c r="V449" s="252"/>
      <c r="W449" s="251">
        <f ca="1">IF(F449,IF($Q445&lt;&gt;0,W445/$Q445*$Q$81,0),0)</f>
        <v>0</v>
      </c>
      <c r="X449" s="309">
        <f ca="1">IF(ISERROR(W449/$Q$36*100),,W449/$Q$36*100)</f>
        <v>0</v>
      </c>
      <c r="Y449" s="101"/>
      <c r="Z449" s="398"/>
      <c r="AA449" s="100"/>
      <c r="AB449" s="249"/>
      <c r="AC449" s="249"/>
      <c r="AD449" s="416"/>
      <c r="AE449" s="105"/>
      <c r="AF449" s="249"/>
      <c r="AG449" s="249"/>
      <c r="AH449" s="416"/>
      <c r="AI449" s="105"/>
      <c r="AJ449" s="249"/>
      <c r="AK449" s="249"/>
      <c r="AL449" s="416"/>
      <c r="AM449" s="105"/>
      <c r="AN449" s="249"/>
      <c r="AO449" s="249"/>
      <c r="AP449" s="416"/>
      <c r="AQ449" s="105"/>
      <c r="AR449" s="249"/>
      <c r="AS449" s="249"/>
      <c r="AT449" s="416"/>
      <c r="AU449" s="105"/>
      <c r="AV449" s="249"/>
      <c r="AW449" s="249"/>
      <c r="AX449" s="416"/>
      <c r="AY449" s="105"/>
      <c r="AZ449" s="249"/>
      <c r="BA449" s="249"/>
      <c r="BB449" s="416"/>
      <c r="BC449" s="105"/>
      <c r="BD449" s="249"/>
      <c r="BE449" s="249"/>
      <c r="BF449" s="416"/>
      <c r="BG449" s="105"/>
      <c r="BH449" s="249"/>
      <c r="BI449" s="249"/>
      <c r="BJ449" s="416"/>
      <c r="BK449" s="105"/>
      <c r="BL449" s="249"/>
      <c r="BM449" s="249"/>
      <c r="BN449" s="416"/>
      <c r="BO449" s="105"/>
      <c r="BP449" s="249"/>
      <c r="BQ449" s="249"/>
      <c r="BR449" s="416"/>
      <c r="BS449" s="105"/>
      <c r="BT449" s="249"/>
      <c r="BU449" s="249"/>
      <c r="BV449" s="416"/>
      <c r="BW449" s="101"/>
      <c r="BX449" s="28"/>
    </row>
    <row r="450" spans="1:78" s="34" customFormat="1" ht="21.75" hidden="1" customHeight="1" outlineLevel="1" x14ac:dyDescent="0.25">
      <c r="A450" s="57"/>
      <c r="B450" s="360" t="s">
        <v>115</v>
      </c>
      <c r="C450" s="9"/>
      <c r="D450" s="360" t="b">
        <f ca="1">AND($Q458&lt;&gt;0,$R458&lt;&gt;0)</f>
        <v>0</v>
      </c>
      <c r="E450" s="360"/>
      <c r="F450" s="360" t="b">
        <f ca="1">AND($Q458&lt;&gt;0,$V458&lt;&gt;0)</f>
        <v>0</v>
      </c>
      <c r="H450" s="360"/>
      <c r="I450" s="95"/>
      <c r="J450" s="58"/>
      <c r="K450" s="100"/>
      <c r="L450" s="586"/>
      <c r="M450" s="573" t="str">
        <f ca="1">_xll.DBRA(Server&amp;$B$32,$B450,$N$19)</f>
        <v>E3 - Energy cost variance - Price effect</v>
      </c>
      <c r="N450" s="573"/>
      <c r="O450" s="574"/>
      <c r="P450" s="246"/>
      <c r="Q450" s="249"/>
      <c r="R450" s="253"/>
      <c r="S450" s="251">
        <f ca="1">IF(D450,Q443*S446*Q458,0)</f>
        <v>0</v>
      </c>
      <c r="T450" s="305">
        <f ca="1">IF(ISERROR(S450/$Q$36*100),,S450/$Q$36*100)</f>
        <v>0</v>
      </c>
      <c r="U450" s="245"/>
      <c r="V450" s="252"/>
      <c r="W450" s="254">
        <f ca="1">IF(F450,$Q443*W446*$Q458,0)</f>
        <v>0</v>
      </c>
      <c r="X450" s="309">
        <f ca="1">IF(ISERROR(W450/$Q$36*100),,W450/$Q$36*100)</f>
        <v>0</v>
      </c>
      <c r="Y450" s="101"/>
      <c r="Z450" s="398"/>
      <c r="AA450" s="100"/>
      <c r="AB450" s="249"/>
      <c r="AC450" s="249"/>
      <c r="AD450" s="416"/>
      <c r="AE450" s="105"/>
      <c r="AF450" s="249"/>
      <c r="AG450" s="249"/>
      <c r="AH450" s="416"/>
      <c r="AI450" s="105"/>
      <c r="AJ450" s="249"/>
      <c r="AK450" s="249"/>
      <c r="AL450" s="416"/>
      <c r="AM450" s="105"/>
      <c r="AN450" s="249"/>
      <c r="AO450" s="249"/>
      <c r="AP450" s="416"/>
      <c r="AQ450" s="105"/>
      <c r="AR450" s="249"/>
      <c r="AS450" s="249"/>
      <c r="AT450" s="416"/>
      <c r="AU450" s="105"/>
      <c r="AV450" s="249"/>
      <c r="AW450" s="249"/>
      <c r="AX450" s="416"/>
      <c r="AY450" s="105"/>
      <c r="AZ450" s="249"/>
      <c r="BA450" s="249"/>
      <c r="BB450" s="416"/>
      <c r="BC450" s="105"/>
      <c r="BD450" s="249"/>
      <c r="BE450" s="249"/>
      <c r="BF450" s="416"/>
      <c r="BG450" s="105"/>
      <c r="BH450" s="249"/>
      <c r="BI450" s="249"/>
      <c r="BJ450" s="416"/>
      <c r="BK450" s="105"/>
      <c r="BL450" s="249"/>
      <c r="BM450" s="249"/>
      <c r="BN450" s="416"/>
      <c r="BO450" s="105"/>
      <c r="BP450" s="249"/>
      <c r="BQ450" s="249"/>
      <c r="BR450" s="416"/>
      <c r="BS450" s="105"/>
      <c r="BT450" s="249"/>
      <c r="BU450" s="249"/>
      <c r="BV450" s="416"/>
      <c r="BW450" s="101"/>
      <c r="BX450" s="28"/>
    </row>
    <row r="451" spans="1:78" s="34" customFormat="1" ht="21.75" hidden="1" customHeight="1" outlineLevel="1" x14ac:dyDescent="0.25">
      <c r="A451" s="57"/>
      <c r="B451" s="360" t="s">
        <v>116</v>
      </c>
      <c r="C451" s="9"/>
      <c r="D451" s="360" t="b">
        <f ca="1">AND($Q458&lt;&gt;0,$R458&lt;&gt;0,$Q456&lt;&gt;0,$R456&lt;&gt;0)</f>
        <v>0</v>
      </c>
      <c r="E451" s="360"/>
      <c r="F451" s="360" t="b">
        <f ca="1">AND($Q458&lt;&gt;0,$V458&lt;&gt;0,$Q456&lt;&gt;0,$V456&lt;&gt;0)</f>
        <v>0</v>
      </c>
      <c r="H451" s="360"/>
      <c r="I451" s="95"/>
      <c r="J451" s="58"/>
      <c r="K451" s="100"/>
      <c r="L451" s="586"/>
      <c r="M451" s="575" t="str">
        <f ca="1">_xll.DBRA(Server&amp;$B$32,$B451,$N$19)</f>
        <v>E - Compound</v>
      </c>
      <c r="N451" s="575"/>
      <c r="O451" s="576"/>
      <c r="P451" s="246"/>
      <c r="Q451" s="249"/>
      <c r="R451" s="253"/>
      <c r="S451" s="255">
        <f ca="1">IF(D451,$S81-S448-S449-S450-S454,0)</f>
        <v>0</v>
      </c>
      <c r="T451" s="306">
        <f ca="1">IF(ISERROR(S451/$Q$36*100),,S451/$Q$36*100)</f>
        <v>0</v>
      </c>
      <c r="U451" s="245"/>
      <c r="V451" s="252"/>
      <c r="W451" s="255">
        <f ca="1">IF(F451,$W81-W448-W449-W450-W454,0)</f>
        <v>0</v>
      </c>
      <c r="X451" s="306">
        <f ca="1">IF(ISERROR(W451/$Q$36*100),,W451/$Q$36*100)</f>
        <v>0</v>
      </c>
      <c r="Y451" s="101"/>
      <c r="Z451" s="398"/>
      <c r="AA451" s="100"/>
      <c r="AB451" s="249"/>
      <c r="AC451" s="249"/>
      <c r="AD451" s="416"/>
      <c r="AE451" s="105"/>
      <c r="AF451" s="249"/>
      <c r="AG451" s="249"/>
      <c r="AH451" s="416"/>
      <c r="AI451" s="105"/>
      <c r="AJ451" s="249"/>
      <c r="AK451" s="249"/>
      <c r="AL451" s="416"/>
      <c r="AM451" s="105"/>
      <c r="AN451" s="249"/>
      <c r="AO451" s="249"/>
      <c r="AP451" s="416"/>
      <c r="AQ451" s="105"/>
      <c r="AR451" s="249"/>
      <c r="AS451" s="249"/>
      <c r="AT451" s="416"/>
      <c r="AU451" s="105"/>
      <c r="AV451" s="249"/>
      <c r="AW451" s="249"/>
      <c r="AX451" s="416"/>
      <c r="AY451" s="105"/>
      <c r="AZ451" s="249"/>
      <c r="BA451" s="249"/>
      <c r="BB451" s="416"/>
      <c r="BC451" s="105"/>
      <c r="BD451" s="249"/>
      <c r="BE451" s="249"/>
      <c r="BF451" s="416"/>
      <c r="BG451" s="105"/>
      <c r="BH451" s="249"/>
      <c r="BI451" s="249"/>
      <c r="BJ451" s="416"/>
      <c r="BK451" s="105"/>
      <c r="BL451" s="249"/>
      <c r="BM451" s="249"/>
      <c r="BN451" s="416"/>
      <c r="BO451" s="105"/>
      <c r="BP451" s="249"/>
      <c r="BQ451" s="249"/>
      <c r="BR451" s="416"/>
      <c r="BS451" s="105"/>
      <c r="BT451" s="249"/>
      <c r="BU451" s="249"/>
      <c r="BV451" s="416"/>
      <c r="BW451" s="101"/>
      <c r="BX451" s="28"/>
    </row>
    <row r="452" spans="1:78" s="34" customFormat="1" ht="21.75" hidden="1" customHeight="1" outlineLevel="1" x14ac:dyDescent="0.25">
      <c r="A452" s="57"/>
      <c r="B452" s="380" t="s">
        <v>144</v>
      </c>
      <c r="C452" s="9"/>
      <c r="D452" s="360" t="b">
        <f ca="1">OR($Q458=0,$R458=0,$Q456=0,$R456=0)</f>
        <v>1</v>
      </c>
      <c r="E452" s="360"/>
      <c r="F452" s="360" t="b">
        <f ca="1">OR($Q458=0,$V458=0,$Q456=0,$V456=0)</f>
        <v>1</v>
      </c>
      <c r="H452" s="380"/>
      <c r="I452" s="95"/>
      <c r="J452" s="58"/>
      <c r="K452" s="100"/>
      <c r="L452" s="586"/>
      <c r="M452" s="577" t="str">
        <f ca="1">_xll.DBRA(Server&amp;$B$32,$B452,$N$19)</f>
        <v>E - Energy cost variance not addressed due to missing Work Unit(s)</v>
      </c>
      <c r="N452" s="577"/>
      <c r="O452" s="578"/>
      <c r="P452" s="256"/>
      <c r="Q452" s="257"/>
      <c r="R452" s="258"/>
      <c r="S452" s="259">
        <f ca="1">IF(D452,S$81-S448-S449-S450-S454,0)</f>
        <v>47792591.759666085</v>
      </c>
      <c r="T452" s="307">
        <f ca="1">IF(ISERROR(S452/$Q$36*100),,S452/$Q$36*100)</f>
        <v>0.30642433470045621</v>
      </c>
      <c r="U452" s="260"/>
      <c r="V452" s="261"/>
      <c r="W452" s="255">
        <f ca="1">IF(F452,$W$81-W448-W449-W450-W454,0)</f>
        <v>406554766.04995537</v>
      </c>
      <c r="X452" s="307">
        <f ca="1">IF(ISERROR(W452/$Q$36*100),,W452/$Q$36*100)</f>
        <v>2.6066440240910591</v>
      </c>
      <c r="Y452" s="101"/>
      <c r="Z452" s="398"/>
      <c r="AA452" s="100"/>
      <c r="AB452" s="257"/>
      <c r="AC452" s="257"/>
      <c r="AD452" s="417"/>
      <c r="AE452" s="105"/>
      <c r="AF452" s="257"/>
      <c r="AG452" s="257"/>
      <c r="AH452" s="417"/>
      <c r="AI452" s="105"/>
      <c r="AJ452" s="257"/>
      <c r="AK452" s="257"/>
      <c r="AL452" s="417"/>
      <c r="AM452" s="105"/>
      <c r="AN452" s="257"/>
      <c r="AO452" s="257"/>
      <c r="AP452" s="417"/>
      <c r="AQ452" s="105"/>
      <c r="AR452" s="257"/>
      <c r="AS452" s="257"/>
      <c r="AT452" s="417"/>
      <c r="AU452" s="105"/>
      <c r="AV452" s="257"/>
      <c r="AW452" s="257"/>
      <c r="AX452" s="417"/>
      <c r="AY452" s="105"/>
      <c r="AZ452" s="257"/>
      <c r="BA452" s="257"/>
      <c r="BB452" s="417"/>
      <c r="BC452" s="105"/>
      <c r="BD452" s="257"/>
      <c r="BE452" s="257"/>
      <c r="BF452" s="417"/>
      <c r="BG452" s="105"/>
      <c r="BH452" s="257"/>
      <c r="BI452" s="257"/>
      <c r="BJ452" s="417"/>
      <c r="BK452" s="105"/>
      <c r="BL452" s="257"/>
      <c r="BM452" s="257"/>
      <c r="BN452" s="417"/>
      <c r="BO452" s="105"/>
      <c r="BP452" s="257"/>
      <c r="BQ452" s="257"/>
      <c r="BR452" s="417"/>
      <c r="BS452" s="105"/>
      <c r="BT452" s="257"/>
      <c r="BU452" s="257"/>
      <c r="BV452" s="417"/>
      <c r="BW452" s="101"/>
      <c r="BX452" s="28"/>
    </row>
    <row r="453" spans="1:78" s="34" customFormat="1" ht="22.5" customHeight="1" collapsed="1" thickTop="1" x14ac:dyDescent="0.25">
      <c r="A453" s="57"/>
      <c r="B453" s="360" t="s">
        <v>118</v>
      </c>
      <c r="C453" s="9"/>
      <c r="D453" s="1"/>
      <c r="E453" s="1"/>
      <c r="H453" s="360"/>
      <c r="I453" s="95"/>
      <c r="J453" s="58"/>
      <c r="K453" s="100"/>
      <c r="L453" s="586"/>
      <c r="M453" s="579" t="str">
        <f ca="1">_xll.DBRA(Server&amp;$B$32,$B453,$N$19)</f>
        <v>E - Part of Energy cost variance due to Level 2 ratios change</v>
      </c>
      <c r="N453" s="579"/>
      <c r="O453" s="580"/>
      <c r="P453" s="262"/>
      <c r="Q453" s="263"/>
      <c r="R453" s="264"/>
      <c r="S453" s="334">
        <f ca="1">SUM(S448:S452)</f>
        <v>47792591.759666085</v>
      </c>
      <c r="T453" s="335">
        <f ca="1">-(Q443-R443)*100</f>
        <v>0</v>
      </c>
      <c r="U453" s="266"/>
      <c r="V453" s="267"/>
      <c r="W453" s="334">
        <f ca="1">SUM(W448:W452)</f>
        <v>406554766.04995537</v>
      </c>
      <c r="X453" s="335">
        <f ca="1">-($Q443-V443)*100</f>
        <v>0</v>
      </c>
      <c r="Y453" s="101"/>
      <c r="Z453" s="398"/>
      <c r="AA453" s="100"/>
      <c r="AB453" s="263"/>
      <c r="AC453" s="263"/>
      <c r="AD453" s="418"/>
      <c r="AE453" s="105"/>
      <c r="AF453" s="263"/>
      <c r="AG453" s="263"/>
      <c r="AH453" s="418"/>
      <c r="AI453" s="105"/>
      <c r="AJ453" s="263"/>
      <c r="AK453" s="263"/>
      <c r="AL453" s="418"/>
      <c r="AM453" s="105"/>
      <c r="AN453" s="263"/>
      <c r="AO453" s="263"/>
      <c r="AP453" s="418"/>
      <c r="AQ453" s="105"/>
      <c r="AR453" s="263"/>
      <c r="AS453" s="263"/>
      <c r="AT453" s="418"/>
      <c r="AU453" s="105"/>
      <c r="AV453" s="263"/>
      <c r="AW453" s="263"/>
      <c r="AX453" s="418"/>
      <c r="AY453" s="105"/>
      <c r="AZ453" s="263"/>
      <c r="BA453" s="263"/>
      <c r="BB453" s="418"/>
      <c r="BC453" s="105"/>
      <c r="BD453" s="263"/>
      <c r="BE453" s="263"/>
      <c r="BF453" s="418"/>
      <c r="BG453" s="105"/>
      <c r="BH453" s="263"/>
      <c r="BI453" s="263"/>
      <c r="BJ453" s="418"/>
      <c r="BK453" s="105"/>
      <c r="BL453" s="263"/>
      <c r="BM453" s="263"/>
      <c r="BN453" s="418"/>
      <c r="BO453" s="105"/>
      <c r="BP453" s="263"/>
      <c r="BQ453" s="263"/>
      <c r="BR453" s="418"/>
      <c r="BS453" s="105"/>
      <c r="BT453" s="263"/>
      <c r="BU453" s="263"/>
      <c r="BV453" s="418"/>
      <c r="BW453" s="101"/>
      <c r="BX453" s="28"/>
    </row>
    <row r="454" spans="1:78" s="34" customFormat="1" ht="22.5" customHeight="1" x14ac:dyDescent="0.25">
      <c r="A454" s="57"/>
      <c r="B454" s="360" t="s">
        <v>117</v>
      </c>
      <c r="C454" s="9"/>
      <c r="D454" s="1"/>
      <c r="E454" s="1"/>
      <c r="H454" s="360"/>
      <c r="I454" s="95"/>
      <c r="J454" s="58"/>
      <c r="K454" s="100"/>
      <c r="L454" s="587"/>
      <c r="M454" s="581" t="str">
        <f ca="1">_xll.DBRA(Server&amp;$B$32,$B454,$N$19)</f>
        <v>E - Part of Energy cost variance due to ROA change</v>
      </c>
      <c r="N454" s="581"/>
      <c r="O454" s="582"/>
      <c r="P454" s="268"/>
      <c r="Q454" s="269"/>
      <c r="R454" s="270"/>
      <c r="S454" s="271">
        <f ca="1">(IF($R$36&lt;&gt;0,IF($R$36&gt;0,$S$36/$R$36,-$S$36/$R$36),0))*R81</f>
        <v>-317386364.16739762</v>
      </c>
      <c r="T454" s="336"/>
      <c r="U454" s="273"/>
      <c r="V454" s="274"/>
      <c r="W454" s="271">
        <f ca="1">(IF($V$36&lt;&gt;0,IF($V$36&gt;0,$W$36/$V$36,-$W$36/$V$36),0))*V81</f>
        <v>-709092051.34520602</v>
      </c>
      <c r="X454" s="336"/>
      <c r="Y454" s="101"/>
      <c r="Z454" s="398"/>
      <c r="AA454" s="100"/>
      <c r="AB454" s="269"/>
      <c r="AC454" s="269"/>
      <c r="AD454" s="419"/>
      <c r="AE454" s="105"/>
      <c r="AF454" s="269"/>
      <c r="AG454" s="269"/>
      <c r="AH454" s="419"/>
      <c r="AI454" s="105"/>
      <c r="AJ454" s="269"/>
      <c r="AK454" s="269"/>
      <c r="AL454" s="419"/>
      <c r="AM454" s="105"/>
      <c r="AN454" s="269"/>
      <c r="AO454" s="269"/>
      <c r="AP454" s="419"/>
      <c r="AQ454" s="105"/>
      <c r="AR454" s="269"/>
      <c r="AS454" s="269"/>
      <c r="AT454" s="419"/>
      <c r="AU454" s="105"/>
      <c r="AV454" s="269"/>
      <c r="AW454" s="269"/>
      <c r="AX454" s="419"/>
      <c r="AY454" s="105"/>
      <c r="AZ454" s="269"/>
      <c r="BA454" s="269"/>
      <c r="BB454" s="419"/>
      <c r="BC454" s="105"/>
      <c r="BD454" s="269"/>
      <c r="BE454" s="269"/>
      <c r="BF454" s="419"/>
      <c r="BG454" s="105"/>
      <c r="BH454" s="269"/>
      <c r="BI454" s="269"/>
      <c r="BJ454" s="419"/>
      <c r="BK454" s="105"/>
      <c r="BL454" s="269"/>
      <c r="BM454" s="269"/>
      <c r="BN454" s="419"/>
      <c r="BO454" s="105"/>
      <c r="BP454" s="269"/>
      <c r="BQ454" s="269"/>
      <c r="BR454" s="419"/>
      <c r="BS454" s="105"/>
      <c r="BT454" s="269"/>
      <c r="BU454" s="269"/>
      <c r="BV454" s="419"/>
      <c r="BW454" s="101"/>
      <c r="BX454" s="28"/>
    </row>
    <row r="455" spans="1:78" s="34" customFormat="1" ht="21" customHeight="1" collapsed="1" x14ac:dyDescent="0.25">
      <c r="A455" s="57"/>
      <c r="B455" s="379" t="s">
        <v>147</v>
      </c>
      <c r="C455" s="9"/>
      <c r="D455" s="1"/>
      <c r="E455" s="1"/>
      <c r="H455" s="379"/>
      <c r="I455" s="95"/>
      <c r="J455" s="58"/>
      <c r="K455" s="100"/>
      <c r="L455" s="570" t="str">
        <f ca="1">_xll.DBRA(Server&amp;Context!$B$32,Context!$B$58,$N$19)</f>
        <v>Total Energy cost variance (impact on Gross Margin variance)</v>
      </c>
      <c r="M455" s="571"/>
      <c r="N455" s="571"/>
      <c r="O455" s="572"/>
      <c r="P455" s="212"/>
      <c r="Q455" s="275"/>
      <c r="R455" s="276"/>
      <c r="S455" s="277">
        <f ca="1">SUM(S453:S454)</f>
        <v>-269593772.40773153</v>
      </c>
      <c r="T455" s="337"/>
      <c r="U455" s="247"/>
      <c r="V455" s="279"/>
      <c r="W455" s="280">
        <f ca="1">SUM(W453:W454)</f>
        <v>-302537285.29525065</v>
      </c>
      <c r="X455" s="337"/>
      <c r="Y455" s="101"/>
      <c r="Z455" s="398"/>
      <c r="AA455" s="100"/>
      <c r="AB455" s="275"/>
      <c r="AC455" s="275"/>
      <c r="AD455" s="420"/>
      <c r="AE455" s="105"/>
      <c r="AF455" s="275"/>
      <c r="AG455" s="275"/>
      <c r="AH455" s="420"/>
      <c r="AI455" s="105"/>
      <c r="AJ455" s="275"/>
      <c r="AK455" s="275"/>
      <c r="AL455" s="420"/>
      <c r="AM455" s="105"/>
      <c r="AN455" s="275"/>
      <c r="AO455" s="275"/>
      <c r="AP455" s="420"/>
      <c r="AQ455" s="105"/>
      <c r="AR455" s="275"/>
      <c r="AS455" s="275"/>
      <c r="AT455" s="420"/>
      <c r="AU455" s="105"/>
      <c r="AV455" s="275"/>
      <c r="AW455" s="275"/>
      <c r="AX455" s="420"/>
      <c r="AY455" s="105"/>
      <c r="AZ455" s="275"/>
      <c r="BA455" s="275"/>
      <c r="BB455" s="420"/>
      <c r="BC455" s="105"/>
      <c r="BD455" s="275"/>
      <c r="BE455" s="275"/>
      <c r="BF455" s="420"/>
      <c r="BG455" s="105"/>
      <c r="BH455" s="275"/>
      <c r="BI455" s="275"/>
      <c r="BJ455" s="420"/>
      <c r="BK455" s="105"/>
      <c r="BL455" s="275"/>
      <c r="BM455" s="275"/>
      <c r="BN455" s="420"/>
      <c r="BO455" s="105"/>
      <c r="BP455" s="275"/>
      <c r="BQ455" s="275"/>
      <c r="BR455" s="420"/>
      <c r="BS455" s="105"/>
      <c r="BT455" s="275"/>
      <c r="BU455" s="275"/>
      <c r="BV455" s="420"/>
      <c r="BW455" s="101"/>
      <c r="BX455" s="28"/>
    </row>
    <row r="456" spans="1:78" s="34" customFormat="1" ht="18.75" hidden="1" customHeight="1" outlineLevel="1" x14ac:dyDescent="0.25">
      <c r="A456" s="136" t="str">
        <f ca="1">_xll.DBR(Server&amp;Cube2,$N$15,$N$13,$B456,IF($N$19="French","STR_VAR3","STR_VAR2"))</f>
        <v/>
      </c>
      <c r="B456" s="360" t="s">
        <v>111</v>
      </c>
      <c r="C456" s="136" t="str">
        <f ca="1">_xll.DBR(Server&amp;Cube2,$N$15,$N$13,$B456,"STR_VAR1")</f>
        <v/>
      </c>
      <c r="D456" s="1"/>
      <c r="E456" s="1"/>
      <c r="H456" s="360"/>
      <c r="I456" s="1"/>
      <c r="J456" s="30"/>
      <c r="K456" s="100"/>
      <c r="L456" s="103"/>
      <c r="M456" s="302" t="str">
        <f ca="1">_xll.DBRA(Server&amp;$B$32,$B456,$N$19)&amp;"      ---&gt;"</f>
        <v>Energy - Cost Work Unit      ---&gt;</v>
      </c>
      <c r="N456" s="302"/>
      <c r="O456" s="423" t="str">
        <f ca="1">IF(A456="",_xll.DBRA(Server&amp;Context!$B$32,Context!$B$66,$N$19),_xll.DBRA(Server&amp;$B$32,$A456,$N$19))</f>
        <v>Not defined</v>
      </c>
      <c r="P456" s="212"/>
      <c r="Q456" s="281">
        <f ca="1">_xll.DBRW(Server&amp;Cube1,$N$15,$N$16,$N$17,$N$18,$N$14,$N$13,$N$11,$Q$1,$B456)</f>
        <v>0</v>
      </c>
      <c r="R456" s="282">
        <f ca="1">_xll.DBRW(Server&amp;Cube1,$N$15,$N$16,$N$17,$N$18,$N$14,$N$13,$R$2,$R$1,$B456)</f>
        <v>0</v>
      </c>
      <c r="S456" s="283">
        <f ca="1">Q456-R456</f>
        <v>0</v>
      </c>
      <c r="T456" s="284">
        <f ca="1">IF(R456&lt;&gt;0,IF(R456&gt;0,S456/R456,-S456/R456),0)</f>
        <v>0</v>
      </c>
      <c r="U456" s="245"/>
      <c r="V456" s="281">
        <f ca="1">_xll.DBRW(Server&amp;Cube1,$N$15,$N$16,$N$17,$N$18,$N$14,$N$13,$V$2,$V$1,$B456)</f>
        <v>0</v>
      </c>
      <c r="W456" s="283">
        <f ca="1">$Q456-V456</f>
        <v>0</v>
      </c>
      <c r="X456" s="284">
        <f ca="1">IF(V456&lt;&gt;0,IF(V456&gt;0,W456/V456,-W456/V456),0)</f>
        <v>0</v>
      </c>
      <c r="Y456" s="214"/>
      <c r="Z456" s="396"/>
      <c r="AA456" s="100"/>
      <c r="AB456" s="281">
        <f ca="1">_xll.DBRW(Server&amp;Cube1,$N$15,$N$16,$N$17,$N$18,$N$14,$N$13,AB$2,AB$1,$B456)</f>
        <v>0</v>
      </c>
      <c r="AC456" s="281">
        <f ca="1">_xll.DBRW(Server&amp;Cube1,$N$15,$N$16,$N$17,$N$18,$N$14,$N$13,AC$2,AC$1,$B456)</f>
        <v>0</v>
      </c>
      <c r="AD456" s="412">
        <f ca="1">_xll.DBRW(Server&amp;Cube1,$N$15,$N$16,$N$17,$N$18,$N$14,$N$13,AD$2,AD$1,$B456)</f>
        <v>0</v>
      </c>
      <c r="AE456" s="105"/>
      <c r="AF456" s="281">
        <f ca="1">_xll.DBRW(Server&amp;Cube1,$N$15,$N$16,$N$17,$N$18,$N$14,$N$13,AF$2,AF$1,$B456)</f>
        <v>0</v>
      </c>
      <c r="AG456" s="281">
        <f ca="1">_xll.DBRW(Server&amp;Cube1,$N$15,$N$16,$N$17,$N$18,$N$14,$N$13,AG$2,AG$1,$B456)</f>
        <v>0</v>
      </c>
      <c r="AH456" s="412">
        <f ca="1">_xll.DBRW(Server&amp;Cube1,$N$15,$N$16,$N$17,$N$18,$N$14,$N$13,AH$2,AH$1,$B456)</f>
        <v>0</v>
      </c>
      <c r="AI456" s="105"/>
      <c r="AJ456" s="281">
        <f ca="1">_xll.DBRW(Server&amp;Cube1,$N$15,$N$16,$N$17,$N$18,$N$14,$N$13,AJ$2,AJ$1,$B456)</f>
        <v>0</v>
      </c>
      <c r="AK456" s="281">
        <f ca="1">_xll.DBRW(Server&amp;Cube1,$N$15,$N$16,$N$17,$N$18,$N$14,$N$13,AK$2,AK$1,$B456)</f>
        <v>0</v>
      </c>
      <c r="AL456" s="412">
        <f ca="1">_xll.DBRW(Server&amp;Cube1,$N$15,$N$16,$N$17,$N$18,$N$14,$N$13,AL$2,AL$1,$B456)</f>
        <v>0</v>
      </c>
      <c r="AM456" s="105"/>
      <c r="AN456" s="281">
        <f ca="1">_xll.DBRW(Server&amp;Cube1,$N$15,$N$16,$N$17,$N$18,$N$14,$N$13,AN$2,AN$1,$B456)</f>
        <v>0</v>
      </c>
      <c r="AO456" s="281">
        <f ca="1">_xll.DBRW(Server&amp;Cube1,$N$15,$N$16,$N$17,$N$18,$N$14,$N$13,AO$2,AO$1,$B456)</f>
        <v>0</v>
      </c>
      <c r="AP456" s="412">
        <f ca="1">_xll.DBRW(Server&amp;Cube1,$N$15,$N$16,$N$17,$N$18,$N$14,$N$13,AP$2,AP$1,$B456)</f>
        <v>0</v>
      </c>
      <c r="AQ456" s="105"/>
      <c r="AR456" s="281">
        <f ca="1">_xll.DBRW(Server&amp;Cube1,$N$15,$N$16,$N$17,$N$18,$N$14,$N$13,AR$2,AR$1,$B456)</f>
        <v>0</v>
      </c>
      <c r="AS456" s="281">
        <f ca="1">_xll.DBRW(Server&amp;Cube1,$N$15,$N$16,$N$17,$N$18,$N$14,$N$13,AS$2,AS$1,$B456)</f>
        <v>0</v>
      </c>
      <c r="AT456" s="412">
        <f ca="1">_xll.DBRW(Server&amp;Cube1,$N$15,$N$16,$N$17,$N$18,$N$14,$N$13,AT$2,AT$1,$B456)</f>
        <v>0</v>
      </c>
      <c r="AU456" s="105"/>
      <c r="AV456" s="281">
        <f ca="1">_xll.DBRW(Server&amp;Cube1,$N$15,$N$16,$N$17,$N$18,$N$14,$N$13,AV$2,AV$1,$B456)</f>
        <v>0</v>
      </c>
      <c r="AW456" s="281">
        <f ca="1">_xll.DBRW(Server&amp;Cube1,$N$15,$N$16,$N$17,$N$18,$N$14,$N$13,AW$2,AW$1,$B456)</f>
        <v>0</v>
      </c>
      <c r="AX456" s="412">
        <f ca="1">_xll.DBRW(Server&amp;Cube1,$N$15,$N$16,$N$17,$N$18,$N$14,$N$13,AX$2,AX$1,$B456)</f>
        <v>0</v>
      </c>
      <c r="AY456" s="105"/>
      <c r="AZ456" s="281">
        <f ca="1">_xll.DBRW(Server&amp;Cube1,$N$15,$N$16,$N$17,$N$18,$N$14,$N$13,AZ$2,AZ$1,$B456)</f>
        <v>0</v>
      </c>
      <c r="BA456" s="281">
        <f ca="1">_xll.DBRW(Server&amp;Cube1,$N$15,$N$16,$N$17,$N$18,$N$14,$N$13,BA$2,BA$1,$B456)</f>
        <v>0</v>
      </c>
      <c r="BB456" s="412">
        <f ca="1">_xll.DBRW(Server&amp;Cube1,$N$15,$N$16,$N$17,$N$18,$N$14,$N$13,BB$2,BB$1,$B456)</f>
        <v>0</v>
      </c>
      <c r="BC456" s="105"/>
      <c r="BD456" s="281">
        <f ca="1">_xll.DBRW(Server&amp;Cube1,$N$15,$N$16,$N$17,$N$18,$N$14,$N$13,BD$2,BD$1,$B456)</f>
        <v>0</v>
      </c>
      <c r="BE456" s="281">
        <f ca="1">_xll.DBRW(Server&amp;Cube1,$N$15,$N$16,$N$17,$N$18,$N$14,$N$13,BE$2,BE$1,$B456)</f>
        <v>0</v>
      </c>
      <c r="BF456" s="412">
        <f ca="1">_xll.DBRW(Server&amp;Cube1,$N$15,$N$16,$N$17,$N$18,$N$14,$N$13,BF$2,BF$1,$B456)</f>
        <v>0</v>
      </c>
      <c r="BG456" s="105"/>
      <c r="BH456" s="281">
        <f ca="1">_xll.DBRW(Server&amp;Cube1,$N$15,$N$16,$N$17,$N$18,$N$14,$N$13,BH$2,BH$1,$B456)</f>
        <v>0</v>
      </c>
      <c r="BI456" s="281">
        <f ca="1">_xll.DBRW(Server&amp;Cube1,$N$15,$N$16,$N$17,$N$18,$N$14,$N$13,BI$2,BI$1,$B456)</f>
        <v>0</v>
      </c>
      <c r="BJ456" s="412">
        <f ca="1">_xll.DBRW(Server&amp;Cube1,$N$15,$N$16,$N$17,$N$18,$N$14,$N$13,BJ$2,BJ$1,$B456)</f>
        <v>0</v>
      </c>
      <c r="BK456" s="105"/>
      <c r="BL456" s="281">
        <f ca="1">_xll.DBRW(Server&amp;Cube1,$N$15,$N$16,$N$17,$N$18,$N$14,$N$13,BL$2,BL$1,$B456)</f>
        <v>0</v>
      </c>
      <c r="BM456" s="281">
        <f ca="1">_xll.DBRW(Server&amp;Cube1,$N$15,$N$16,$N$17,$N$18,$N$14,$N$13,BM$2,BM$1,$B456)</f>
        <v>0</v>
      </c>
      <c r="BN456" s="412">
        <f ca="1">_xll.DBRW(Server&amp;Cube1,$N$15,$N$16,$N$17,$N$18,$N$14,$N$13,BN$2,BN$1,$B456)</f>
        <v>0</v>
      </c>
      <c r="BO456" s="105"/>
      <c r="BP456" s="281">
        <f ca="1">_xll.DBRW(Server&amp;Cube1,$N$15,$N$16,$N$17,$N$18,$N$14,$N$13,BP$2,BP$1,$B456)</f>
        <v>0</v>
      </c>
      <c r="BQ456" s="281">
        <f ca="1">_xll.DBRW(Server&amp;Cube1,$N$15,$N$16,$N$17,$N$18,$N$14,$N$13,BQ$2,BQ$1,$B456)</f>
        <v>0</v>
      </c>
      <c r="BR456" s="412">
        <f ca="1">_xll.DBRW(Server&amp;Cube1,$N$15,$N$16,$N$17,$N$18,$N$14,$N$13,BR$2,BR$1,$B456)</f>
        <v>0</v>
      </c>
      <c r="BS456" s="105"/>
      <c r="BT456" s="281">
        <f ca="1">_xll.DBRW(Server&amp;Cube1,$N$15,$N$16,$N$17,$N$18,$N$14,$N$13,BT$2,BT$1,$B456)</f>
        <v>0</v>
      </c>
      <c r="BU456" s="281">
        <f ca="1">_xll.DBRW(Server&amp;Cube1,$N$15,$N$16,$N$17,$N$18,$N$14,$N$13,BU$2,BU$1,$B456)</f>
        <v>0</v>
      </c>
      <c r="BV456" s="412">
        <f ca="1">_xll.DBRW(Server&amp;Cube1,$N$15,$N$16,$N$17,$N$18,$N$14,$N$13,BV$2,BV$1,$B456)</f>
        <v>0</v>
      </c>
      <c r="BW456" s="214"/>
      <c r="BX456" s="79"/>
      <c r="BY456" s="55"/>
      <c r="BZ456" s="370"/>
    </row>
    <row r="457" spans="1:78" s="34" customFormat="1" ht="9" hidden="1" customHeight="1" outlineLevel="1" x14ac:dyDescent="0.25">
      <c r="A457" s="136"/>
      <c r="B457" s="360"/>
      <c r="C457" s="136"/>
      <c r="D457" s="1"/>
      <c r="E457" s="1"/>
      <c r="H457" s="360"/>
      <c r="I457" s="1"/>
      <c r="J457" s="30"/>
      <c r="K457" s="100"/>
      <c r="L457" s="103"/>
      <c r="M457" s="303"/>
      <c r="N457" s="303"/>
      <c r="O457" s="471" t="str">
        <f ca="1">IF(COUNTIF($C456,"*Tot_km*"),$B$6,IF(COUNTIF($C456,"Tot_nb_vehicle"),$B$7,IF(COUNTIF($C456,"Rev_km"),$B$8,IF(COUNTIF($C456,"Tot_driv_hours"),$B$9,""))))</f>
        <v/>
      </c>
      <c r="P457" s="212"/>
      <c r="Q457" s="453"/>
      <c r="R457" s="454"/>
      <c r="S457" s="455"/>
      <c r="T457" s="456"/>
      <c r="U457" s="245"/>
      <c r="V457" s="453"/>
      <c r="W457" s="455"/>
      <c r="X457" s="456"/>
      <c r="Y457" s="214"/>
      <c r="Z457" s="396"/>
      <c r="AA457" s="100"/>
      <c r="AB457" s="453"/>
      <c r="AC457" s="453"/>
      <c r="AD457" s="457"/>
      <c r="AE457" s="105"/>
      <c r="AF457" s="453"/>
      <c r="AG457" s="453"/>
      <c r="AH457" s="457"/>
      <c r="AI457" s="105"/>
      <c r="AJ457" s="453"/>
      <c r="AK457" s="453"/>
      <c r="AL457" s="457"/>
      <c r="AM457" s="105"/>
      <c r="AN457" s="453"/>
      <c r="AO457" s="453"/>
      <c r="AP457" s="457"/>
      <c r="AQ457" s="105"/>
      <c r="AR457" s="453"/>
      <c r="AS457" s="453"/>
      <c r="AT457" s="457"/>
      <c r="AU457" s="105"/>
      <c r="AV457" s="453"/>
      <c r="AW457" s="453"/>
      <c r="AX457" s="457"/>
      <c r="AY457" s="105"/>
      <c r="AZ457" s="453"/>
      <c r="BA457" s="453"/>
      <c r="BB457" s="457"/>
      <c r="BC457" s="105"/>
      <c r="BD457" s="453"/>
      <c r="BE457" s="453"/>
      <c r="BF457" s="457"/>
      <c r="BG457" s="105"/>
      <c r="BH457" s="453"/>
      <c r="BI457" s="453"/>
      <c r="BJ457" s="457"/>
      <c r="BK457" s="105"/>
      <c r="BL457" s="453"/>
      <c r="BM457" s="453"/>
      <c r="BN457" s="457"/>
      <c r="BO457" s="105"/>
      <c r="BP457" s="453"/>
      <c r="BQ457" s="453"/>
      <c r="BR457" s="457"/>
      <c r="BS457" s="105"/>
      <c r="BT457" s="453"/>
      <c r="BU457" s="453"/>
      <c r="BV457" s="457"/>
      <c r="BW457" s="214"/>
      <c r="BX457" s="79"/>
      <c r="BY457" s="55"/>
      <c r="BZ457" s="370"/>
    </row>
    <row r="458" spans="1:78" s="34" customFormat="1" ht="18.75" hidden="1" customHeight="1" outlineLevel="1" x14ac:dyDescent="0.25">
      <c r="A458" s="136" t="str">
        <f ca="1">_xll.DBR(Server&amp;Cube2,$N$15,$N$13,$B458,IF($N$19="French","STR_VAR3","STR_VAR2"))</f>
        <v/>
      </c>
      <c r="B458" s="360" t="s">
        <v>112</v>
      </c>
      <c r="C458" s="136" t="str">
        <f ca="1">_xll.DBR(Server&amp;Cube2,$N$15,$N$13,$B458,"STR_VAR1")</f>
        <v/>
      </c>
      <c r="D458" s="1"/>
      <c r="E458" s="1"/>
      <c r="H458" s="360"/>
      <c r="I458" s="1"/>
      <c r="J458" s="30"/>
      <c r="K458" s="100"/>
      <c r="L458" s="103"/>
      <c r="M458" s="303" t="str">
        <f ca="1">_xll.DBRA(Server&amp;$B$32,$B458,$N$19)&amp;"     ---&gt;"</f>
        <v>Energy - Price Work Unit     ---&gt;</v>
      </c>
      <c r="N458" s="303"/>
      <c r="O458" s="423" t="str">
        <f ca="1">IF(A458="",_xll.DBRA(Server&amp;Context!$B$32,Context!$B$66,$N$19),_xll.DBRA(Server&amp;$B$32,$A458,$N$19))</f>
        <v>Not defined</v>
      </c>
      <c r="P458" s="212"/>
      <c r="Q458" s="285">
        <f ca="1">_xll.DBRW(Server&amp;Cube1,$N$15,$N$16,$N$17,$N$18,$N$14,$N$13,$N$11,$Q$1,$B458)</f>
        <v>0</v>
      </c>
      <c r="R458" s="286">
        <f ca="1">_xll.DBRW(Server&amp;Cube1,$N$15,$N$16,$N$17,$N$18,$N$14,$N$13,$R$2,$R$1,$B458)</f>
        <v>0</v>
      </c>
      <c r="S458" s="287">
        <f ca="1">Q458-R458</f>
        <v>0</v>
      </c>
      <c r="T458" s="288">
        <f ca="1">IF(R458&lt;&gt;0,IF(R458&gt;0,S458/R458,-S458/R458),0)</f>
        <v>0</v>
      </c>
      <c r="U458" s="245"/>
      <c r="V458" s="285">
        <f ca="1">_xll.DBRW(Server&amp;Cube1,$N$15,$N$16,$N$17,$N$18,$N$14,$N$13,$V$2,$V$1,$B458)</f>
        <v>0</v>
      </c>
      <c r="W458" s="287">
        <f ca="1">$Q458-V458</f>
        <v>0</v>
      </c>
      <c r="X458" s="288">
        <f ca="1">IF(V458&lt;&gt;0,IF(V458&gt;0,W458/V458,-W458/V458),0)</f>
        <v>0</v>
      </c>
      <c r="Y458" s="214"/>
      <c r="Z458" s="396"/>
      <c r="AA458" s="100"/>
      <c r="AB458" s="285">
        <f ca="1">_xll.DBRW(Server&amp;Cube1,$N$15,$N$16,$N$17,$N$18,$N$14,$N$13,AB$2,AB$1,$B458)</f>
        <v>0</v>
      </c>
      <c r="AC458" s="285">
        <f ca="1">_xll.DBRW(Server&amp;Cube1,$N$15,$N$16,$N$17,$N$18,$N$14,$N$13,AC$2,AC$1,$B458)</f>
        <v>0</v>
      </c>
      <c r="AD458" s="413">
        <f ca="1">_xll.DBRW(Server&amp;Cube1,$N$15,$N$16,$N$17,$N$18,$N$14,$N$13,AD$2,AD$1,$B458)</f>
        <v>0</v>
      </c>
      <c r="AE458" s="105"/>
      <c r="AF458" s="285">
        <f ca="1">_xll.DBRW(Server&amp;Cube1,$N$15,$N$16,$N$17,$N$18,$N$14,$N$13,AF$2,AF$1,$B458)</f>
        <v>0</v>
      </c>
      <c r="AG458" s="285">
        <f ca="1">_xll.DBRW(Server&amp;Cube1,$N$15,$N$16,$N$17,$N$18,$N$14,$N$13,AG$2,AG$1,$B458)</f>
        <v>0</v>
      </c>
      <c r="AH458" s="413">
        <f ca="1">_xll.DBRW(Server&amp;Cube1,$N$15,$N$16,$N$17,$N$18,$N$14,$N$13,AH$2,AH$1,$B458)</f>
        <v>0</v>
      </c>
      <c r="AI458" s="105"/>
      <c r="AJ458" s="285">
        <f ca="1">_xll.DBRW(Server&amp;Cube1,$N$15,$N$16,$N$17,$N$18,$N$14,$N$13,AJ$2,AJ$1,$B458)</f>
        <v>0</v>
      </c>
      <c r="AK458" s="285">
        <f ca="1">_xll.DBRW(Server&amp;Cube1,$N$15,$N$16,$N$17,$N$18,$N$14,$N$13,AK$2,AK$1,$B458)</f>
        <v>0</v>
      </c>
      <c r="AL458" s="413">
        <f ca="1">_xll.DBRW(Server&amp;Cube1,$N$15,$N$16,$N$17,$N$18,$N$14,$N$13,AL$2,AL$1,$B458)</f>
        <v>0</v>
      </c>
      <c r="AM458" s="105"/>
      <c r="AN458" s="285">
        <f ca="1">_xll.DBRW(Server&amp;Cube1,$N$15,$N$16,$N$17,$N$18,$N$14,$N$13,AN$2,AN$1,$B458)</f>
        <v>0</v>
      </c>
      <c r="AO458" s="285">
        <f ca="1">_xll.DBRW(Server&amp;Cube1,$N$15,$N$16,$N$17,$N$18,$N$14,$N$13,AO$2,AO$1,$B458)</f>
        <v>0</v>
      </c>
      <c r="AP458" s="413">
        <f ca="1">_xll.DBRW(Server&amp;Cube1,$N$15,$N$16,$N$17,$N$18,$N$14,$N$13,AP$2,AP$1,$B458)</f>
        <v>0</v>
      </c>
      <c r="AQ458" s="105"/>
      <c r="AR458" s="285">
        <f ca="1">_xll.DBRW(Server&amp;Cube1,$N$15,$N$16,$N$17,$N$18,$N$14,$N$13,AR$2,AR$1,$B458)</f>
        <v>0</v>
      </c>
      <c r="AS458" s="285">
        <f ca="1">_xll.DBRW(Server&amp;Cube1,$N$15,$N$16,$N$17,$N$18,$N$14,$N$13,AS$2,AS$1,$B458)</f>
        <v>0</v>
      </c>
      <c r="AT458" s="413">
        <f ca="1">_xll.DBRW(Server&amp;Cube1,$N$15,$N$16,$N$17,$N$18,$N$14,$N$13,AT$2,AT$1,$B458)</f>
        <v>0</v>
      </c>
      <c r="AU458" s="105"/>
      <c r="AV458" s="285">
        <f ca="1">_xll.DBRW(Server&amp;Cube1,$N$15,$N$16,$N$17,$N$18,$N$14,$N$13,AV$2,AV$1,$B458)</f>
        <v>0</v>
      </c>
      <c r="AW458" s="285">
        <f ca="1">_xll.DBRW(Server&amp;Cube1,$N$15,$N$16,$N$17,$N$18,$N$14,$N$13,AW$2,AW$1,$B458)</f>
        <v>0</v>
      </c>
      <c r="AX458" s="413">
        <f ca="1">_xll.DBRW(Server&amp;Cube1,$N$15,$N$16,$N$17,$N$18,$N$14,$N$13,AX$2,AX$1,$B458)</f>
        <v>0</v>
      </c>
      <c r="AY458" s="105"/>
      <c r="AZ458" s="285">
        <f ca="1">_xll.DBRW(Server&amp;Cube1,$N$15,$N$16,$N$17,$N$18,$N$14,$N$13,AZ$2,AZ$1,$B458)</f>
        <v>0</v>
      </c>
      <c r="BA458" s="285">
        <f ca="1">_xll.DBRW(Server&amp;Cube1,$N$15,$N$16,$N$17,$N$18,$N$14,$N$13,BA$2,BA$1,$B458)</f>
        <v>0</v>
      </c>
      <c r="BB458" s="413">
        <f ca="1">_xll.DBRW(Server&amp;Cube1,$N$15,$N$16,$N$17,$N$18,$N$14,$N$13,BB$2,BB$1,$B458)</f>
        <v>0</v>
      </c>
      <c r="BC458" s="105"/>
      <c r="BD458" s="285">
        <f ca="1">_xll.DBRW(Server&amp;Cube1,$N$15,$N$16,$N$17,$N$18,$N$14,$N$13,BD$2,BD$1,$B458)</f>
        <v>0</v>
      </c>
      <c r="BE458" s="285">
        <f ca="1">_xll.DBRW(Server&amp;Cube1,$N$15,$N$16,$N$17,$N$18,$N$14,$N$13,BE$2,BE$1,$B458)</f>
        <v>0</v>
      </c>
      <c r="BF458" s="413">
        <f ca="1">_xll.DBRW(Server&amp;Cube1,$N$15,$N$16,$N$17,$N$18,$N$14,$N$13,BF$2,BF$1,$B458)</f>
        <v>0</v>
      </c>
      <c r="BG458" s="105"/>
      <c r="BH458" s="285">
        <f ca="1">_xll.DBRW(Server&amp;Cube1,$N$15,$N$16,$N$17,$N$18,$N$14,$N$13,BH$2,BH$1,$B458)</f>
        <v>0</v>
      </c>
      <c r="BI458" s="285">
        <f ca="1">_xll.DBRW(Server&amp;Cube1,$N$15,$N$16,$N$17,$N$18,$N$14,$N$13,BI$2,BI$1,$B458)</f>
        <v>0</v>
      </c>
      <c r="BJ458" s="413">
        <f ca="1">_xll.DBRW(Server&amp;Cube1,$N$15,$N$16,$N$17,$N$18,$N$14,$N$13,BJ$2,BJ$1,$B458)</f>
        <v>0</v>
      </c>
      <c r="BK458" s="105"/>
      <c r="BL458" s="285">
        <f ca="1">_xll.DBRW(Server&amp;Cube1,$N$15,$N$16,$N$17,$N$18,$N$14,$N$13,BL$2,BL$1,$B458)</f>
        <v>0</v>
      </c>
      <c r="BM458" s="285">
        <f ca="1">_xll.DBRW(Server&amp;Cube1,$N$15,$N$16,$N$17,$N$18,$N$14,$N$13,BM$2,BM$1,$B458)</f>
        <v>0</v>
      </c>
      <c r="BN458" s="413">
        <f ca="1">_xll.DBRW(Server&amp;Cube1,$N$15,$N$16,$N$17,$N$18,$N$14,$N$13,BN$2,BN$1,$B458)</f>
        <v>0</v>
      </c>
      <c r="BO458" s="105"/>
      <c r="BP458" s="285">
        <f ca="1">_xll.DBRW(Server&amp;Cube1,$N$15,$N$16,$N$17,$N$18,$N$14,$N$13,BP$2,BP$1,$B458)</f>
        <v>0</v>
      </c>
      <c r="BQ458" s="285">
        <f ca="1">_xll.DBRW(Server&amp;Cube1,$N$15,$N$16,$N$17,$N$18,$N$14,$N$13,BQ$2,BQ$1,$B458)</f>
        <v>0</v>
      </c>
      <c r="BR458" s="413">
        <f ca="1">_xll.DBRW(Server&amp;Cube1,$N$15,$N$16,$N$17,$N$18,$N$14,$N$13,BR$2,BR$1,$B458)</f>
        <v>0</v>
      </c>
      <c r="BS458" s="105"/>
      <c r="BT458" s="285">
        <f ca="1">_xll.DBRW(Server&amp;Cube1,$N$15,$N$16,$N$17,$N$18,$N$14,$N$13,BT$2,BT$1,$B458)</f>
        <v>0</v>
      </c>
      <c r="BU458" s="285">
        <f ca="1">_xll.DBRW(Server&amp;Cube1,$N$15,$N$16,$N$17,$N$18,$N$14,$N$13,BU$2,BU$1,$B458)</f>
        <v>0</v>
      </c>
      <c r="BV458" s="413">
        <f ca="1">_xll.DBRW(Server&amp;Cube1,$N$15,$N$16,$N$17,$N$18,$N$14,$N$13,BV$2,BV$1,$B458)</f>
        <v>0</v>
      </c>
      <c r="BW458" s="214"/>
      <c r="BX458" s="79"/>
      <c r="BY458" s="55"/>
    </row>
    <row r="459" spans="1:78" s="34" customFormat="1" ht="9" hidden="1" customHeight="1" outlineLevel="1" x14ac:dyDescent="0.25">
      <c r="A459" s="136"/>
      <c r="B459" s="360"/>
      <c r="C459" s="136"/>
      <c r="D459" s="1"/>
      <c r="E459" s="1"/>
      <c r="H459" s="360"/>
      <c r="I459" s="1"/>
      <c r="J459" s="30"/>
      <c r="K459" s="100"/>
      <c r="L459" s="103"/>
      <c r="M459" s="303"/>
      <c r="N459" s="303"/>
      <c r="O459" s="471" t="str">
        <f ca="1">IF(COUNTIF($C458,"*Tot_km*"),$B$6,IF(COUNTIF($C458,"Tot_nb_vehicle"),$B$7,IF(COUNTIF($C458,"Rev_km"),$B$8,IF(COUNTIF($C458,"Tot_driv_hours"),$B$9,""))))</f>
        <v/>
      </c>
      <c r="P459" s="458"/>
      <c r="Q459" s="459"/>
      <c r="R459" s="459"/>
      <c r="S459" s="455"/>
      <c r="T459" s="460"/>
      <c r="U459" s="461"/>
      <c r="V459" s="459"/>
      <c r="W459" s="455"/>
      <c r="X459" s="460"/>
      <c r="Y459" s="214"/>
      <c r="Z459" s="396"/>
      <c r="AA459" s="100"/>
      <c r="AB459" s="459"/>
      <c r="AC459" s="459"/>
      <c r="AD459" s="459"/>
      <c r="AE459" s="105"/>
      <c r="AF459" s="459"/>
      <c r="AG459" s="459"/>
      <c r="AH459" s="459"/>
      <c r="AI459" s="105"/>
      <c r="AJ459" s="459"/>
      <c r="AK459" s="459"/>
      <c r="AL459" s="459"/>
      <c r="AM459" s="105"/>
      <c r="AN459" s="459"/>
      <c r="AO459" s="459"/>
      <c r="AP459" s="459"/>
      <c r="AQ459" s="105"/>
      <c r="AR459" s="459"/>
      <c r="AS459" s="459"/>
      <c r="AT459" s="459"/>
      <c r="AU459" s="105"/>
      <c r="AV459" s="459"/>
      <c r="AW459" s="459"/>
      <c r="AX459" s="459"/>
      <c r="AY459" s="105"/>
      <c r="AZ459" s="459"/>
      <c r="BA459" s="459"/>
      <c r="BB459" s="459"/>
      <c r="BC459" s="105"/>
      <c r="BD459" s="459"/>
      <c r="BE459" s="459"/>
      <c r="BF459" s="459"/>
      <c r="BG459" s="105"/>
      <c r="BH459" s="459"/>
      <c r="BI459" s="459"/>
      <c r="BJ459" s="459"/>
      <c r="BK459" s="105"/>
      <c r="BL459" s="459"/>
      <c r="BM459" s="459"/>
      <c r="BN459" s="459"/>
      <c r="BO459" s="105"/>
      <c r="BP459" s="459"/>
      <c r="BQ459" s="459"/>
      <c r="BR459" s="459"/>
      <c r="BS459" s="105"/>
      <c r="BT459" s="459"/>
      <c r="BU459" s="459"/>
      <c r="BV459" s="459"/>
      <c r="BW459" s="214"/>
      <c r="BX459" s="79"/>
      <c r="BY459" s="55"/>
    </row>
    <row r="460" spans="1:78" s="34" customFormat="1" ht="23.25" customHeight="1" collapsed="1" x14ac:dyDescent="0.25">
      <c r="A460" s="57"/>
      <c r="B460" s="377"/>
      <c r="C460" s="9"/>
      <c r="D460" s="1"/>
      <c r="E460" s="1"/>
      <c r="H460" s="377"/>
      <c r="I460" s="95"/>
      <c r="J460" s="58"/>
      <c r="K460" s="104"/>
      <c r="L460" s="317"/>
      <c r="M460" s="156"/>
      <c r="N460" s="156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  <c r="Y460" s="106"/>
      <c r="Z460" s="105"/>
      <c r="AA460" s="104"/>
      <c r="AB460" s="105"/>
      <c r="AC460" s="105"/>
      <c r="AD460" s="105"/>
      <c r="AE460" s="105"/>
      <c r="AF460" s="105"/>
      <c r="AG460" s="105"/>
      <c r="AH460" s="105"/>
      <c r="AI460" s="105"/>
      <c r="AJ460" s="105"/>
      <c r="AK460" s="105"/>
      <c r="AL460" s="105"/>
      <c r="AM460" s="105"/>
      <c r="AN460" s="105"/>
      <c r="AO460" s="105"/>
      <c r="AP460" s="105"/>
      <c r="AQ460" s="105"/>
      <c r="AR460" s="105"/>
      <c r="AS460" s="105"/>
      <c r="AT460" s="105"/>
      <c r="AU460" s="105"/>
      <c r="AV460" s="105"/>
      <c r="AW460" s="105"/>
      <c r="AX460" s="105"/>
      <c r="AY460" s="105"/>
      <c r="AZ460" s="105"/>
      <c r="BA460" s="105"/>
      <c r="BB460" s="105"/>
      <c r="BC460" s="105"/>
      <c r="BD460" s="105"/>
      <c r="BE460" s="105"/>
      <c r="BF460" s="105"/>
      <c r="BG460" s="105"/>
      <c r="BH460" s="105"/>
      <c r="BI460" s="105"/>
      <c r="BJ460" s="105"/>
      <c r="BK460" s="105"/>
      <c r="BL460" s="105"/>
      <c r="BM460" s="105"/>
      <c r="BN460" s="105"/>
      <c r="BO460" s="105"/>
      <c r="BP460" s="105"/>
      <c r="BQ460" s="105"/>
      <c r="BR460" s="105"/>
      <c r="BS460" s="105"/>
      <c r="BT460" s="105"/>
      <c r="BU460" s="105"/>
      <c r="BV460" s="105"/>
      <c r="BW460" s="106"/>
      <c r="BX460" s="28"/>
    </row>
    <row r="461" spans="1:78" s="34" customFormat="1" ht="30" hidden="1" customHeight="1" outlineLevel="1" x14ac:dyDescent="0.25">
      <c r="A461" s="394" t="s">
        <v>299</v>
      </c>
      <c r="B461" t="str">
        <f ca="1">$N$12&amp;" N"</f>
        <v>Actual N</v>
      </c>
      <c r="C461" t="str">
        <f ca="1">$N$20&amp;" "&amp;$N$21</f>
        <v>Budget V current N</v>
      </c>
      <c r="D461" t="str">
        <f ca="1">$O$20&amp;" "&amp;$O$21</f>
        <v>Actual N-1</v>
      </c>
      <c r="E461" s="1"/>
      <c r="H461" s="377"/>
      <c r="I461" s="95"/>
      <c r="J461" s="58"/>
      <c r="K461" s="155"/>
      <c r="L461" s="317"/>
      <c r="M461" s="596" t="str">
        <f ca="1">M444</f>
        <v>E1 - Energy Cost per cost work unit</v>
      </c>
      <c r="N461" s="596"/>
      <c r="O461" s="596"/>
      <c r="P461" s="596"/>
      <c r="Q461" s="596"/>
      <c r="R461" s="596"/>
      <c r="S461" s="596"/>
      <c r="T461" s="596"/>
      <c r="U461" s="105"/>
      <c r="V461" s="105"/>
      <c r="W461" s="105"/>
      <c r="X461" s="105"/>
      <c r="Y461" s="106"/>
      <c r="Z461" s="105"/>
      <c r="AA461" s="104"/>
      <c r="AB461" s="105"/>
      <c r="AC461" s="105"/>
      <c r="AD461" s="105"/>
      <c r="AE461" s="105"/>
      <c r="AF461" s="105"/>
      <c r="AG461" s="105"/>
      <c r="AH461" s="105"/>
      <c r="AI461" s="105"/>
      <c r="AJ461" s="105"/>
      <c r="AK461" s="105"/>
      <c r="AL461" s="105"/>
      <c r="AM461" s="105"/>
      <c r="AN461" s="105"/>
      <c r="AO461" s="105"/>
      <c r="AP461" s="105"/>
      <c r="AQ461" s="105"/>
      <c r="AR461" s="105"/>
      <c r="AS461" s="105"/>
      <c r="AT461" s="105"/>
      <c r="AU461" s="105"/>
      <c r="AV461" s="105"/>
      <c r="AW461" s="105"/>
      <c r="AX461" s="105"/>
      <c r="AY461" s="105"/>
      <c r="AZ461" s="105"/>
      <c r="BA461" s="105"/>
      <c r="BB461" s="105"/>
      <c r="BC461" s="105"/>
      <c r="BD461" s="105"/>
      <c r="BE461" s="105"/>
      <c r="BF461" s="105"/>
      <c r="BG461" s="105"/>
      <c r="BH461" s="105"/>
      <c r="BI461" s="105"/>
      <c r="BJ461" s="105"/>
      <c r="BK461" s="105"/>
      <c r="BL461" s="105"/>
      <c r="BM461" s="105"/>
      <c r="BN461" s="105"/>
      <c r="BO461" s="105"/>
      <c r="BP461" s="105"/>
      <c r="BQ461" s="105"/>
      <c r="BR461" s="105"/>
      <c r="BS461" s="105"/>
      <c r="BT461" s="105"/>
      <c r="BU461" s="105"/>
      <c r="BV461" s="105"/>
      <c r="BW461" s="106"/>
      <c r="BX461" s="28"/>
    </row>
    <row r="462" spans="1:78" s="34" customFormat="1" ht="17.25" hidden="1" customHeight="1" outlineLevel="1" x14ac:dyDescent="0.25">
      <c r="A462" s="392" t="str">
        <f>IF($N$19="English","J","J")</f>
        <v>J</v>
      </c>
      <c r="B462" s="421" t="e">
        <f ca="1">IF(ROUND(AB$444,6),ROUND(AB$444,6),NA())</f>
        <v>#N/A</v>
      </c>
      <c r="C462" s="421" t="e">
        <f ca="1">IF(ROUND(AC$444,6),ROUND(AC$444,6),NA())</f>
        <v>#N/A</v>
      </c>
      <c r="D462" s="421" t="e">
        <f ca="1">IF(ROUND(AD$444,6),ROUND(AD$444,6),NA())</f>
        <v>#N/A</v>
      </c>
      <c r="E462" s="1" t="s">
        <v>279</v>
      </c>
      <c r="H462" s="377"/>
      <c r="I462" s="95"/>
      <c r="J462" s="58"/>
      <c r="K462" s="155"/>
      <c r="L462" s="317"/>
      <c r="M462" s="156"/>
      <c r="N462" s="156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  <c r="Y462" s="106"/>
      <c r="Z462" s="105"/>
      <c r="AA462" s="104"/>
      <c r="AB462" s="105"/>
      <c r="AC462" s="105"/>
      <c r="AD462" s="105"/>
      <c r="AE462" s="105"/>
      <c r="AF462" s="105"/>
      <c r="AG462" s="105"/>
      <c r="AH462" s="105"/>
      <c r="AI462" s="105"/>
      <c r="AJ462" s="105"/>
      <c r="AK462" s="105"/>
      <c r="AL462" s="105"/>
      <c r="AM462" s="105"/>
      <c r="AN462" s="105"/>
      <c r="AO462" s="105"/>
      <c r="AP462" s="105"/>
      <c r="AQ462" s="105"/>
      <c r="AR462" s="105"/>
      <c r="AS462" s="105"/>
      <c r="AT462" s="105"/>
      <c r="AU462" s="105"/>
      <c r="AV462" s="105"/>
      <c r="AW462" s="105"/>
      <c r="AX462" s="105"/>
      <c r="AY462" s="105"/>
      <c r="AZ462" s="105"/>
      <c r="BA462" s="105"/>
      <c r="BB462" s="105"/>
      <c r="BC462" s="105"/>
      <c r="BD462" s="105"/>
      <c r="BE462" s="105"/>
      <c r="BF462" s="105"/>
      <c r="BG462" s="105"/>
      <c r="BH462" s="105"/>
      <c r="BI462" s="105"/>
      <c r="BJ462" s="105"/>
      <c r="BK462" s="105"/>
      <c r="BL462" s="105"/>
      <c r="BM462" s="105"/>
      <c r="BN462" s="105"/>
      <c r="BO462" s="105"/>
      <c r="BP462" s="105"/>
      <c r="BQ462" s="105"/>
      <c r="BR462" s="105"/>
      <c r="BS462" s="105"/>
      <c r="BT462" s="105"/>
      <c r="BU462" s="105"/>
      <c r="BV462" s="105"/>
      <c r="BW462" s="106"/>
      <c r="BX462" s="28"/>
    </row>
    <row r="463" spans="1:78" s="34" customFormat="1" ht="17.25" hidden="1" customHeight="1" outlineLevel="1" x14ac:dyDescent="0.25">
      <c r="A463" s="392" t="s">
        <v>213</v>
      </c>
      <c r="B463" s="421" t="e">
        <f ca="1">IF(ROUND(AF$444,6),ROUND(AF$444,6),NA())</f>
        <v>#N/A</v>
      </c>
      <c r="C463" s="421" t="e">
        <f ca="1">IF(ROUND(AG$444,6),ROUND(AG$444,6),NA())</f>
        <v>#N/A</v>
      </c>
      <c r="D463" s="421" t="e">
        <f ca="1">IF(ROUND(AH$444,6),ROUND(AH$444,6),NA())</f>
        <v>#N/A</v>
      </c>
      <c r="E463" s="1" t="s">
        <v>280</v>
      </c>
      <c r="H463" s="377"/>
      <c r="I463" s="95"/>
      <c r="J463" s="58"/>
      <c r="K463" s="155"/>
      <c r="L463" s="317"/>
      <c r="M463" s="156"/>
      <c r="N463" s="156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  <c r="Y463" s="106"/>
      <c r="Z463" s="105"/>
      <c r="AA463" s="104"/>
      <c r="AB463" s="105"/>
      <c r="AC463" s="105"/>
      <c r="AD463" s="105"/>
      <c r="AE463" s="105"/>
      <c r="AF463" s="105"/>
      <c r="AG463" s="105"/>
      <c r="AH463" s="105"/>
      <c r="AI463" s="105"/>
      <c r="AJ463" s="105"/>
      <c r="AK463" s="105"/>
      <c r="AL463" s="105"/>
      <c r="AM463" s="105"/>
      <c r="AN463" s="105"/>
      <c r="AO463" s="105"/>
      <c r="AP463" s="105"/>
      <c r="AQ463" s="105"/>
      <c r="AR463" s="105"/>
      <c r="AS463" s="105"/>
      <c r="AT463" s="105"/>
      <c r="AU463" s="105"/>
      <c r="AV463" s="105"/>
      <c r="AW463" s="105"/>
      <c r="AX463" s="105"/>
      <c r="AY463" s="105"/>
      <c r="AZ463" s="105"/>
      <c r="BA463" s="105"/>
      <c r="BB463" s="105"/>
      <c r="BC463" s="105"/>
      <c r="BD463" s="105"/>
      <c r="BE463" s="105"/>
      <c r="BF463" s="105"/>
      <c r="BG463" s="105"/>
      <c r="BH463" s="105"/>
      <c r="BI463" s="105"/>
      <c r="BJ463" s="105"/>
      <c r="BK463" s="105"/>
      <c r="BL463" s="105"/>
      <c r="BM463" s="105"/>
      <c r="BN463" s="105"/>
      <c r="BO463" s="105"/>
      <c r="BP463" s="105"/>
      <c r="BQ463" s="105"/>
      <c r="BR463" s="105"/>
      <c r="BS463" s="105"/>
      <c r="BT463" s="105"/>
      <c r="BU463" s="105"/>
      <c r="BV463" s="105"/>
      <c r="BW463" s="106"/>
      <c r="BX463" s="28"/>
    </row>
    <row r="464" spans="1:78" s="34" customFormat="1" ht="17.25" hidden="1" customHeight="1" outlineLevel="1" x14ac:dyDescent="0.25">
      <c r="A464" s="392" t="s">
        <v>215</v>
      </c>
      <c r="B464" s="421" t="e">
        <f ca="1">IF(ROUND(AJ$444,6),ROUND(AJ$444,6),NA())</f>
        <v>#N/A</v>
      </c>
      <c r="C464" s="421" t="e">
        <f ca="1">IF(ROUND(AK$444,6),ROUND(AK$444,6),NA())</f>
        <v>#N/A</v>
      </c>
      <c r="D464" s="421" t="e">
        <f ca="1">IF(ROUND(AL$444,6),ROUND(AL$444,6),NA())</f>
        <v>#N/A</v>
      </c>
      <c r="E464" s="1" t="s">
        <v>281</v>
      </c>
      <c r="H464" s="377"/>
      <c r="I464" s="95"/>
      <c r="J464" s="58"/>
      <c r="K464" s="155"/>
      <c r="L464" s="317"/>
      <c r="M464" s="156"/>
      <c r="N464" s="156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  <c r="Y464" s="106"/>
      <c r="Z464" s="105"/>
      <c r="AA464" s="104"/>
      <c r="AB464" s="105"/>
      <c r="AC464" s="105"/>
      <c r="AD464" s="105"/>
      <c r="AE464" s="105"/>
      <c r="AF464" s="105"/>
      <c r="AG464" s="105"/>
      <c r="AH464" s="105"/>
      <c r="AI464" s="105"/>
      <c r="AJ464" s="105"/>
      <c r="AK464" s="105"/>
      <c r="AL464" s="105"/>
      <c r="AM464" s="105"/>
      <c r="AN464" s="105"/>
      <c r="AO464" s="105"/>
      <c r="AP464" s="105"/>
      <c r="AQ464" s="105"/>
      <c r="AR464" s="105"/>
      <c r="AS464" s="105"/>
      <c r="AT464" s="105"/>
      <c r="AU464" s="105"/>
      <c r="AV464" s="105"/>
      <c r="AW464" s="105"/>
      <c r="AX464" s="105"/>
      <c r="AY464" s="105"/>
      <c r="AZ464" s="105"/>
      <c r="BA464" s="105"/>
      <c r="BB464" s="105"/>
      <c r="BC464" s="105"/>
      <c r="BD464" s="105"/>
      <c r="BE464" s="105"/>
      <c r="BF464" s="105"/>
      <c r="BG464" s="105"/>
      <c r="BH464" s="105"/>
      <c r="BI464" s="105"/>
      <c r="BJ464" s="105"/>
      <c r="BK464" s="105"/>
      <c r="BL464" s="105"/>
      <c r="BM464" s="105"/>
      <c r="BN464" s="105"/>
      <c r="BO464" s="105"/>
      <c r="BP464" s="105"/>
      <c r="BQ464" s="105"/>
      <c r="BR464" s="105"/>
      <c r="BS464" s="105"/>
      <c r="BT464" s="105"/>
      <c r="BU464" s="105"/>
      <c r="BV464" s="105"/>
      <c r="BW464" s="106"/>
      <c r="BX464" s="28"/>
    </row>
    <row r="465" spans="1:76" s="34" customFormat="1" ht="17.25" hidden="1" customHeight="1" outlineLevel="1" x14ac:dyDescent="0.25">
      <c r="A465" s="392" t="s">
        <v>42</v>
      </c>
      <c r="B465" s="421" t="e">
        <f ca="1">IF(ROUND(AN$444,6),ROUND(AN$444,6),NA())</f>
        <v>#N/A</v>
      </c>
      <c r="C465" s="421" t="e">
        <f ca="1">IF(ROUND(AO$444,6),ROUND(AO$444,6),NA())</f>
        <v>#N/A</v>
      </c>
      <c r="D465" s="421" t="e">
        <f ca="1">IF(ROUND(AP$444,6),ROUND(AP$444,6),NA())</f>
        <v>#N/A</v>
      </c>
      <c r="E465" s="1" t="s">
        <v>282</v>
      </c>
      <c r="H465" s="377"/>
      <c r="I465" s="95"/>
      <c r="J465" s="58"/>
      <c r="K465" s="155"/>
      <c r="L465" s="317"/>
      <c r="M465" s="156"/>
      <c r="N465" s="156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  <c r="Y465" s="106"/>
      <c r="Z465" s="105"/>
      <c r="AA465" s="104"/>
      <c r="AB465" s="105"/>
      <c r="AC465" s="105"/>
      <c r="AD465" s="105"/>
      <c r="AE465" s="105"/>
      <c r="AF465" s="105"/>
      <c r="AG465" s="105"/>
      <c r="AH465" s="105"/>
      <c r="AI465" s="105"/>
      <c r="AJ465" s="105"/>
      <c r="AK465" s="105"/>
      <c r="AL465" s="105"/>
      <c r="AM465" s="105"/>
      <c r="AN465" s="105"/>
      <c r="AO465" s="105"/>
      <c r="AP465" s="105"/>
      <c r="AQ465" s="105"/>
      <c r="AR465" s="105"/>
      <c r="AS465" s="105"/>
      <c r="AT465" s="105"/>
      <c r="AU465" s="105"/>
      <c r="AV465" s="105"/>
      <c r="AW465" s="105"/>
      <c r="AX465" s="105"/>
      <c r="AY465" s="105"/>
      <c r="AZ465" s="105"/>
      <c r="BA465" s="105"/>
      <c r="BB465" s="105"/>
      <c r="BC465" s="105"/>
      <c r="BD465" s="105"/>
      <c r="BE465" s="105"/>
      <c r="BF465" s="105"/>
      <c r="BG465" s="105"/>
      <c r="BH465" s="105"/>
      <c r="BI465" s="105"/>
      <c r="BJ465" s="105"/>
      <c r="BK465" s="105"/>
      <c r="BL465" s="105"/>
      <c r="BM465" s="105"/>
      <c r="BN465" s="105"/>
      <c r="BO465" s="105"/>
      <c r="BP465" s="105"/>
      <c r="BQ465" s="105"/>
      <c r="BR465" s="105"/>
      <c r="BS465" s="105"/>
      <c r="BT465" s="105"/>
      <c r="BU465" s="105"/>
      <c r="BV465" s="105"/>
      <c r="BW465" s="106"/>
      <c r="BX465" s="28"/>
    </row>
    <row r="466" spans="1:76" s="34" customFormat="1" ht="17.25" hidden="1" customHeight="1" outlineLevel="1" x14ac:dyDescent="0.25">
      <c r="A466" s="392" t="s">
        <v>215</v>
      </c>
      <c r="B466" s="421" t="e">
        <f ca="1">IF(ROUND(AR$444,6),ROUND(AR$444,6),NA())</f>
        <v>#N/A</v>
      </c>
      <c r="C466" s="421" t="e">
        <f ca="1">IF(ROUND(AS$444,6),ROUND(AS$444,6),NA())</f>
        <v>#N/A</v>
      </c>
      <c r="D466" s="421" t="e">
        <f ca="1">IF(ROUND(AT$444,6),ROUND(AT$444,6),NA())</f>
        <v>#N/A</v>
      </c>
      <c r="E466" s="1" t="s">
        <v>283</v>
      </c>
      <c r="H466" s="377"/>
      <c r="I466" s="95"/>
      <c r="J466" s="58"/>
      <c r="K466" s="155"/>
      <c r="L466" s="317"/>
      <c r="M466" s="156"/>
      <c r="N466" s="156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  <c r="Y466" s="106"/>
      <c r="Z466" s="105"/>
      <c r="AA466" s="104"/>
      <c r="AB466" s="105"/>
      <c r="AC466" s="105"/>
      <c r="AD466" s="105"/>
      <c r="AE466" s="105"/>
      <c r="AF466" s="105"/>
      <c r="AG466" s="105"/>
      <c r="AH466" s="105"/>
      <c r="AI466" s="105"/>
      <c r="AJ466" s="105"/>
      <c r="AK466" s="105"/>
      <c r="AL466" s="105"/>
      <c r="AM466" s="105"/>
      <c r="AN466" s="105"/>
      <c r="AO466" s="105"/>
      <c r="AP466" s="105"/>
      <c r="AQ466" s="105"/>
      <c r="AR466" s="105"/>
      <c r="AS466" s="105"/>
      <c r="AT466" s="105"/>
      <c r="AU466" s="105"/>
      <c r="AV466" s="105"/>
      <c r="AW466" s="105"/>
      <c r="AX466" s="105"/>
      <c r="AY466" s="105"/>
      <c r="AZ466" s="105"/>
      <c r="BA466" s="105"/>
      <c r="BB466" s="105"/>
      <c r="BC466" s="105"/>
      <c r="BD466" s="105"/>
      <c r="BE466" s="105"/>
      <c r="BF466" s="105"/>
      <c r="BG466" s="105"/>
      <c r="BH466" s="105"/>
      <c r="BI466" s="105"/>
      <c r="BJ466" s="105"/>
      <c r="BK466" s="105"/>
      <c r="BL466" s="105"/>
      <c r="BM466" s="105"/>
      <c r="BN466" s="105"/>
      <c r="BO466" s="105"/>
      <c r="BP466" s="105"/>
      <c r="BQ466" s="105"/>
      <c r="BR466" s="105"/>
      <c r="BS466" s="105"/>
      <c r="BT466" s="105"/>
      <c r="BU466" s="105"/>
      <c r="BV466" s="105"/>
      <c r="BW466" s="106"/>
      <c r="BX466" s="28"/>
    </row>
    <row r="467" spans="1:76" s="34" customFormat="1" ht="17.25" hidden="1" customHeight="1" outlineLevel="1" x14ac:dyDescent="0.25">
      <c r="A467" s="392" t="s">
        <v>263</v>
      </c>
      <c r="B467" s="421" t="e">
        <f ca="1">IF(ROUND(AV$444,6),ROUND(AV$444,6),NA())</f>
        <v>#N/A</v>
      </c>
      <c r="C467" s="421" t="e">
        <f ca="1">IF(ROUND(AW$444,6),ROUND(AW$444,6),NA())</f>
        <v>#N/A</v>
      </c>
      <c r="D467" s="421" t="e">
        <f ca="1">IF(ROUND(AX$444,6),ROUND(AX$444,6),NA())</f>
        <v>#N/A</v>
      </c>
      <c r="E467" s="1" t="s">
        <v>284</v>
      </c>
      <c r="H467" s="377"/>
      <c r="I467" s="95"/>
      <c r="J467" s="58"/>
      <c r="K467" s="155"/>
      <c r="L467" s="317"/>
      <c r="M467" s="156"/>
      <c r="N467" s="156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  <c r="Y467" s="106"/>
      <c r="Z467" s="105"/>
      <c r="AA467" s="104"/>
      <c r="AB467" s="105"/>
      <c r="AC467" s="105"/>
      <c r="AD467" s="105"/>
      <c r="AE467" s="105"/>
      <c r="AF467" s="105"/>
      <c r="AG467" s="105"/>
      <c r="AH467" s="105"/>
      <c r="AI467" s="105"/>
      <c r="AJ467" s="105"/>
      <c r="AK467" s="105"/>
      <c r="AL467" s="105"/>
      <c r="AM467" s="105"/>
      <c r="AN467" s="105"/>
      <c r="AO467" s="105"/>
      <c r="AP467" s="105"/>
      <c r="AQ467" s="105"/>
      <c r="AR467" s="105"/>
      <c r="AS467" s="105"/>
      <c r="AT467" s="105"/>
      <c r="AU467" s="105"/>
      <c r="AV467" s="105"/>
      <c r="AW467" s="105"/>
      <c r="AX467" s="105"/>
      <c r="AY467" s="105"/>
      <c r="AZ467" s="105"/>
      <c r="BA467" s="105"/>
      <c r="BB467" s="105"/>
      <c r="BC467" s="105"/>
      <c r="BD467" s="105"/>
      <c r="BE467" s="105"/>
      <c r="BF467" s="105"/>
      <c r="BG467" s="105"/>
      <c r="BH467" s="105"/>
      <c r="BI467" s="105"/>
      <c r="BJ467" s="105"/>
      <c r="BK467" s="105"/>
      <c r="BL467" s="105"/>
      <c r="BM467" s="105"/>
      <c r="BN467" s="105"/>
      <c r="BO467" s="105"/>
      <c r="BP467" s="105"/>
      <c r="BQ467" s="105"/>
      <c r="BR467" s="105"/>
      <c r="BS467" s="105"/>
      <c r="BT467" s="105"/>
      <c r="BU467" s="105"/>
      <c r="BV467" s="105"/>
      <c r="BW467" s="106"/>
      <c r="BX467" s="28"/>
    </row>
    <row r="468" spans="1:76" s="34" customFormat="1" ht="17.25" hidden="1" customHeight="1" outlineLevel="1" x14ac:dyDescent="0.25">
      <c r="A468" s="392" t="s">
        <v>263</v>
      </c>
      <c r="B468" s="421" t="e">
        <f ca="1">IF(ROUND(AZ$444,6),ROUND(AZ$444,6),NA())</f>
        <v>#N/A</v>
      </c>
      <c r="C468" s="421" t="e">
        <f ca="1">IF(ROUND(BA$444,6),ROUND(BA$444,6),NA())</f>
        <v>#N/A</v>
      </c>
      <c r="D468" s="421" t="e">
        <f ca="1">IF(ROUND(BB$444,6),ROUND(BB$444,6),NA())</f>
        <v>#N/A</v>
      </c>
      <c r="E468" s="1" t="s">
        <v>285</v>
      </c>
      <c r="H468" s="377"/>
      <c r="I468" s="95"/>
      <c r="J468" s="58"/>
      <c r="K468" s="155"/>
      <c r="L468" s="317"/>
      <c r="M468" s="156"/>
      <c r="N468" s="156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  <c r="Y468" s="106"/>
      <c r="Z468" s="105"/>
      <c r="AA468" s="104"/>
      <c r="AB468" s="105"/>
      <c r="AC468" s="105"/>
      <c r="AD468" s="105"/>
      <c r="AE468" s="105"/>
      <c r="AF468" s="105"/>
      <c r="AG468" s="105"/>
      <c r="AH468" s="105"/>
      <c r="AI468" s="105"/>
      <c r="AJ468" s="105"/>
      <c r="AK468" s="105"/>
      <c r="AL468" s="105"/>
      <c r="AM468" s="105"/>
      <c r="AN468" s="105"/>
      <c r="AO468" s="105"/>
      <c r="AP468" s="105"/>
      <c r="AQ468" s="105"/>
      <c r="AR468" s="105"/>
      <c r="AS468" s="105"/>
      <c r="AT468" s="105"/>
      <c r="AU468" s="105"/>
      <c r="AV468" s="105"/>
      <c r="AW468" s="105"/>
      <c r="AX468" s="105"/>
      <c r="AY468" s="105"/>
      <c r="AZ468" s="105"/>
      <c r="BA468" s="105"/>
      <c r="BB468" s="105"/>
      <c r="BC468" s="105"/>
      <c r="BD468" s="105"/>
      <c r="BE468" s="105"/>
      <c r="BF468" s="105"/>
      <c r="BG468" s="105"/>
      <c r="BH468" s="105"/>
      <c r="BI468" s="105"/>
      <c r="BJ468" s="105"/>
      <c r="BK468" s="105"/>
      <c r="BL468" s="105"/>
      <c r="BM468" s="105"/>
      <c r="BN468" s="105"/>
      <c r="BO468" s="105"/>
      <c r="BP468" s="105"/>
      <c r="BQ468" s="105"/>
      <c r="BR468" s="105"/>
      <c r="BS468" s="105"/>
      <c r="BT468" s="105"/>
      <c r="BU468" s="105"/>
      <c r="BV468" s="105"/>
      <c r="BW468" s="106"/>
      <c r="BX468" s="28"/>
    </row>
    <row r="469" spans="1:76" s="34" customFormat="1" ht="17.25" hidden="1" customHeight="1" outlineLevel="1" x14ac:dyDescent="0.25">
      <c r="A469" s="392" t="s">
        <v>42</v>
      </c>
      <c r="B469" s="421" t="e">
        <f ca="1">IF(ROUND(BD$444,6),ROUND(BD$444,6),NA())</f>
        <v>#N/A</v>
      </c>
      <c r="C469" s="421" t="e">
        <f ca="1">IF(ROUND(BE$444,6),ROUND(BE$444,6),NA())</f>
        <v>#N/A</v>
      </c>
      <c r="D469" s="421" t="e">
        <f ca="1">IF(ROUND(BF$444,6),ROUND(BF$444,6),NA())</f>
        <v>#N/A</v>
      </c>
      <c r="E469" s="1" t="s">
        <v>286</v>
      </c>
      <c r="H469" s="377"/>
      <c r="I469" s="95"/>
      <c r="J469" s="58"/>
      <c r="K469" s="155"/>
      <c r="L469" s="317"/>
      <c r="M469" s="156"/>
      <c r="N469" s="156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  <c r="Y469" s="106"/>
      <c r="Z469" s="105"/>
      <c r="AA469" s="104"/>
      <c r="AB469" s="105"/>
      <c r="AC469" s="105"/>
      <c r="AD469" s="105"/>
      <c r="AE469" s="105"/>
      <c r="AF469" s="105"/>
      <c r="AG469" s="105"/>
      <c r="AH469" s="105"/>
      <c r="AI469" s="105"/>
      <c r="AJ469" s="105"/>
      <c r="AK469" s="105"/>
      <c r="AL469" s="105"/>
      <c r="AM469" s="105"/>
      <c r="AN469" s="105"/>
      <c r="AO469" s="105"/>
      <c r="AP469" s="105"/>
      <c r="AQ469" s="105"/>
      <c r="AR469" s="105"/>
      <c r="AS469" s="105"/>
      <c r="AT469" s="105"/>
      <c r="AU469" s="105"/>
      <c r="AV469" s="105"/>
      <c r="AW469" s="105"/>
      <c r="AX469" s="105"/>
      <c r="AY469" s="105"/>
      <c r="AZ469" s="105"/>
      <c r="BA469" s="105"/>
      <c r="BB469" s="105"/>
      <c r="BC469" s="105"/>
      <c r="BD469" s="105"/>
      <c r="BE469" s="105"/>
      <c r="BF469" s="105"/>
      <c r="BG469" s="105"/>
      <c r="BH469" s="105"/>
      <c r="BI469" s="105"/>
      <c r="BJ469" s="105"/>
      <c r="BK469" s="105"/>
      <c r="BL469" s="105"/>
      <c r="BM469" s="105"/>
      <c r="BN469" s="105"/>
      <c r="BO469" s="105"/>
      <c r="BP469" s="105"/>
      <c r="BQ469" s="105"/>
      <c r="BR469" s="105"/>
      <c r="BS469" s="105"/>
      <c r="BT469" s="105"/>
      <c r="BU469" s="105"/>
      <c r="BV469" s="105"/>
      <c r="BW469" s="106"/>
      <c r="BX469" s="28"/>
    </row>
    <row r="470" spans="1:76" s="34" customFormat="1" ht="17.25" hidden="1" customHeight="1" outlineLevel="1" x14ac:dyDescent="0.25">
      <c r="A470" s="392" t="s">
        <v>264</v>
      </c>
      <c r="B470" s="421" t="e">
        <f ca="1">IF(ROUND(BH$444,6),ROUND(BH$444,6),NA())</f>
        <v>#N/A</v>
      </c>
      <c r="C470" s="421" t="e">
        <f ca="1">IF(ROUND(BI$444,6),ROUND(BI$444,6),NA())</f>
        <v>#N/A</v>
      </c>
      <c r="D470" s="421" t="e">
        <f ca="1">IF(ROUND(BJ$444,6),ROUND(BJ$444,6),NA())</f>
        <v>#N/A</v>
      </c>
      <c r="E470" s="1" t="s">
        <v>287</v>
      </c>
      <c r="H470" s="377"/>
      <c r="I470" s="95"/>
      <c r="J470" s="58"/>
      <c r="K470" s="155"/>
      <c r="L470" s="317"/>
      <c r="M470" s="156"/>
      <c r="N470" s="156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  <c r="Y470" s="106"/>
      <c r="Z470" s="105"/>
      <c r="AA470" s="104"/>
      <c r="AB470" s="105"/>
      <c r="AC470" s="105"/>
      <c r="AD470" s="105"/>
      <c r="AE470" s="105"/>
      <c r="AF470" s="105"/>
      <c r="AG470" s="105"/>
      <c r="AH470" s="105"/>
      <c r="AI470" s="105"/>
      <c r="AJ470" s="105"/>
      <c r="AK470" s="105"/>
      <c r="AL470" s="105"/>
      <c r="AM470" s="105"/>
      <c r="AN470" s="105"/>
      <c r="AO470" s="105"/>
      <c r="AP470" s="105"/>
      <c r="AQ470" s="105"/>
      <c r="AR470" s="105"/>
      <c r="AS470" s="105"/>
      <c r="AT470" s="105"/>
      <c r="AU470" s="105"/>
      <c r="AV470" s="105"/>
      <c r="AW470" s="105"/>
      <c r="AX470" s="105"/>
      <c r="AY470" s="105"/>
      <c r="AZ470" s="105"/>
      <c r="BA470" s="105"/>
      <c r="BB470" s="105"/>
      <c r="BC470" s="105"/>
      <c r="BD470" s="105"/>
      <c r="BE470" s="105"/>
      <c r="BF470" s="105"/>
      <c r="BG470" s="105"/>
      <c r="BH470" s="105"/>
      <c r="BI470" s="105"/>
      <c r="BJ470" s="105"/>
      <c r="BK470" s="105"/>
      <c r="BL470" s="105"/>
      <c r="BM470" s="105"/>
      <c r="BN470" s="105"/>
      <c r="BO470" s="105"/>
      <c r="BP470" s="105"/>
      <c r="BQ470" s="105"/>
      <c r="BR470" s="105"/>
      <c r="BS470" s="105"/>
      <c r="BT470" s="105"/>
      <c r="BU470" s="105"/>
      <c r="BV470" s="105"/>
      <c r="BW470" s="106"/>
      <c r="BX470" s="28"/>
    </row>
    <row r="471" spans="1:76" s="34" customFormat="1" ht="17.25" hidden="1" customHeight="1" outlineLevel="1" x14ac:dyDescent="0.25">
      <c r="A471" s="392" t="s">
        <v>212</v>
      </c>
      <c r="B471" s="421" t="e">
        <f ca="1">IF(ROUND(BL$444,6),ROUND(BL$444,6),NA())</f>
        <v>#N/A</v>
      </c>
      <c r="C471" s="421" t="e">
        <f ca="1">IF(ROUND(BM$444,6),ROUND(BM$444,6),NA())</f>
        <v>#N/A</v>
      </c>
      <c r="D471" s="421" t="e">
        <f ca="1">IF(ROUND(BN$444,6),ROUND(BN$444,6),NA())</f>
        <v>#N/A</v>
      </c>
      <c r="E471" s="1" t="s">
        <v>288</v>
      </c>
      <c r="H471" s="377"/>
      <c r="I471" s="95"/>
      <c r="J471" s="58"/>
      <c r="K471" s="155"/>
      <c r="L471" s="317"/>
      <c r="M471" s="156"/>
      <c r="N471" s="156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  <c r="Y471" s="106"/>
      <c r="Z471" s="105"/>
      <c r="AA471" s="104"/>
      <c r="AB471" s="105"/>
      <c r="AC471" s="105"/>
      <c r="AD471" s="105"/>
      <c r="AE471" s="105"/>
      <c r="AF471" s="105"/>
      <c r="AG471" s="105"/>
      <c r="AH471" s="105"/>
      <c r="AI471" s="105"/>
      <c r="AJ471" s="105"/>
      <c r="AK471" s="105"/>
      <c r="AL471" s="105"/>
      <c r="AM471" s="105"/>
      <c r="AN471" s="105"/>
      <c r="AO471" s="105"/>
      <c r="AP471" s="105"/>
      <c r="AQ471" s="105"/>
      <c r="AR471" s="105"/>
      <c r="AS471" s="105"/>
      <c r="AT471" s="105"/>
      <c r="AU471" s="105"/>
      <c r="AV471" s="105"/>
      <c r="AW471" s="105"/>
      <c r="AX471" s="105"/>
      <c r="AY471" s="105"/>
      <c r="AZ471" s="105"/>
      <c r="BA471" s="105"/>
      <c r="BB471" s="105"/>
      <c r="BC471" s="105"/>
      <c r="BD471" s="105"/>
      <c r="BE471" s="105"/>
      <c r="BF471" s="105"/>
      <c r="BG471" s="105"/>
      <c r="BH471" s="105"/>
      <c r="BI471" s="105"/>
      <c r="BJ471" s="105"/>
      <c r="BK471" s="105"/>
      <c r="BL471" s="105"/>
      <c r="BM471" s="105"/>
      <c r="BN471" s="105"/>
      <c r="BO471" s="105"/>
      <c r="BP471" s="105"/>
      <c r="BQ471" s="105"/>
      <c r="BR471" s="105"/>
      <c r="BS471" s="105"/>
      <c r="BT471" s="105"/>
      <c r="BU471" s="105"/>
      <c r="BV471" s="105"/>
      <c r="BW471" s="106"/>
      <c r="BX471" s="28"/>
    </row>
    <row r="472" spans="1:76" s="34" customFormat="1" ht="17.25" hidden="1" customHeight="1" outlineLevel="1" x14ac:dyDescent="0.25">
      <c r="A472" s="392" t="s">
        <v>257</v>
      </c>
      <c r="B472" s="421" t="e">
        <f ca="1">IF(ROUND(BP$444,6),ROUND(BP$444,6),NA())</f>
        <v>#N/A</v>
      </c>
      <c r="C472" s="421" t="e">
        <f ca="1">IF(ROUND(BQ$444,6),ROUND(BQ$444,6),NA())</f>
        <v>#N/A</v>
      </c>
      <c r="D472" s="421" t="e">
        <f ca="1">IF(ROUND(BR$444,6),ROUND(BR$444,6),NA())</f>
        <v>#N/A</v>
      </c>
      <c r="E472" s="1" t="s">
        <v>289</v>
      </c>
      <c r="H472" s="377"/>
      <c r="I472" s="95"/>
      <c r="J472" s="58"/>
      <c r="K472" s="155"/>
      <c r="L472" s="317"/>
      <c r="M472" s="156"/>
      <c r="N472" s="156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  <c r="Y472" s="106"/>
      <c r="Z472" s="105"/>
      <c r="AA472" s="104"/>
      <c r="AB472" s="105"/>
      <c r="AC472" s="105"/>
      <c r="AD472" s="105"/>
      <c r="AE472" s="105"/>
      <c r="AF472" s="105"/>
      <c r="AG472" s="105"/>
      <c r="AH472" s="105"/>
      <c r="AI472" s="105"/>
      <c r="AJ472" s="105"/>
      <c r="AK472" s="105"/>
      <c r="AL472" s="105"/>
      <c r="AM472" s="105"/>
      <c r="AN472" s="105"/>
      <c r="AO472" s="105"/>
      <c r="AP472" s="105"/>
      <c r="AQ472" s="105"/>
      <c r="AR472" s="105"/>
      <c r="AS472" s="105"/>
      <c r="AT472" s="105"/>
      <c r="AU472" s="105"/>
      <c r="AV472" s="105"/>
      <c r="AW472" s="105"/>
      <c r="AX472" s="105"/>
      <c r="AY472" s="105"/>
      <c r="AZ472" s="105"/>
      <c r="BA472" s="105"/>
      <c r="BB472" s="105"/>
      <c r="BC472" s="105"/>
      <c r="BD472" s="105"/>
      <c r="BE472" s="105"/>
      <c r="BF472" s="105"/>
      <c r="BG472" s="105"/>
      <c r="BH472" s="105"/>
      <c r="BI472" s="105"/>
      <c r="BJ472" s="105"/>
      <c r="BK472" s="105"/>
      <c r="BL472" s="105"/>
      <c r="BM472" s="105"/>
      <c r="BN472" s="105"/>
      <c r="BO472" s="105"/>
      <c r="BP472" s="105"/>
      <c r="BQ472" s="105"/>
      <c r="BR472" s="105"/>
      <c r="BS472" s="105"/>
      <c r="BT472" s="105"/>
      <c r="BU472" s="105"/>
      <c r="BV472" s="105"/>
      <c r="BW472" s="106"/>
      <c r="BX472" s="28"/>
    </row>
    <row r="473" spans="1:76" s="34" customFormat="1" ht="17.25" hidden="1" customHeight="1" outlineLevel="1" x14ac:dyDescent="0.25">
      <c r="A473" s="392" t="s">
        <v>216</v>
      </c>
      <c r="B473" s="421" t="e">
        <f ca="1">IF(ROUND(BT$444,6),ROUND(BT$444,6),NA())</f>
        <v>#N/A</v>
      </c>
      <c r="C473" s="421" t="e">
        <f ca="1">IF(ROUND(BU$444,6),ROUND(BU$444,6),NA())</f>
        <v>#N/A</v>
      </c>
      <c r="D473" s="421" t="e">
        <f ca="1">IF(ROUND(BV$444,6),ROUND(BV$444,6),NA())</f>
        <v>#N/A</v>
      </c>
      <c r="E473" s="1" t="s">
        <v>290</v>
      </c>
      <c r="H473" s="377"/>
      <c r="I473" s="95"/>
      <c r="J473" s="58"/>
      <c r="K473" s="155"/>
      <c r="L473" s="317"/>
      <c r="M473" s="156"/>
      <c r="N473" s="156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  <c r="Y473" s="106"/>
      <c r="Z473" s="105"/>
      <c r="AA473" s="104"/>
      <c r="AB473" s="105"/>
      <c r="AC473" s="105"/>
      <c r="AD473" s="105"/>
      <c r="AE473" s="105"/>
      <c r="AF473" s="105"/>
      <c r="AG473" s="105"/>
      <c r="AH473" s="105"/>
      <c r="AI473" s="105"/>
      <c r="AJ473" s="105"/>
      <c r="AK473" s="105"/>
      <c r="AL473" s="105"/>
      <c r="AM473" s="105"/>
      <c r="AN473" s="105"/>
      <c r="AO473" s="105"/>
      <c r="AP473" s="105"/>
      <c r="AQ473" s="105"/>
      <c r="AR473" s="105"/>
      <c r="AS473" s="105"/>
      <c r="AT473" s="105"/>
      <c r="AU473" s="105"/>
      <c r="AV473" s="105"/>
      <c r="AW473" s="105"/>
      <c r="AX473" s="105"/>
      <c r="AY473" s="105"/>
      <c r="AZ473" s="105"/>
      <c r="BA473" s="105"/>
      <c r="BB473" s="105"/>
      <c r="BC473" s="105"/>
      <c r="BD473" s="105"/>
      <c r="BE473" s="105"/>
      <c r="BF473" s="105"/>
      <c r="BG473" s="105"/>
      <c r="BH473" s="105"/>
      <c r="BI473" s="105"/>
      <c r="BJ473" s="105"/>
      <c r="BK473" s="105"/>
      <c r="BL473" s="105"/>
      <c r="BM473" s="105"/>
      <c r="BN473" s="105"/>
      <c r="BO473" s="105"/>
      <c r="BP473" s="105"/>
      <c r="BQ473" s="105"/>
      <c r="BR473" s="105"/>
      <c r="BS473" s="105"/>
      <c r="BT473" s="105"/>
      <c r="BU473" s="105"/>
      <c r="BV473" s="105"/>
      <c r="BW473" s="106"/>
      <c r="BX473" s="28"/>
    </row>
    <row r="474" spans="1:76" s="34" customFormat="1" ht="17.25" hidden="1" customHeight="1" outlineLevel="1" x14ac:dyDescent="0.25">
      <c r="A474" s="57"/>
      <c r="B474" s="377"/>
      <c r="C474" s="9"/>
      <c r="D474" s="1"/>
      <c r="E474" s="1"/>
      <c r="H474" s="377"/>
      <c r="I474" s="95"/>
      <c r="J474" s="58"/>
      <c r="K474" s="155"/>
      <c r="L474" s="317"/>
      <c r="M474" s="156"/>
      <c r="N474" s="156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  <c r="Y474" s="106"/>
      <c r="Z474" s="105"/>
      <c r="AA474" s="104"/>
      <c r="AB474" s="105"/>
      <c r="AC474" s="105"/>
      <c r="AD474" s="105"/>
      <c r="AE474" s="105"/>
      <c r="AF474" s="105"/>
      <c r="AG474" s="105"/>
      <c r="AH474" s="105"/>
      <c r="AI474" s="105"/>
      <c r="AJ474" s="105"/>
      <c r="AK474" s="105"/>
      <c r="AL474" s="105"/>
      <c r="AM474" s="105"/>
      <c r="AN474" s="105"/>
      <c r="AO474" s="105"/>
      <c r="AP474" s="105"/>
      <c r="AQ474" s="105"/>
      <c r="AR474" s="105"/>
      <c r="AS474" s="105"/>
      <c r="AT474" s="105"/>
      <c r="AU474" s="105"/>
      <c r="AV474" s="105"/>
      <c r="AW474" s="105"/>
      <c r="AX474" s="105"/>
      <c r="AY474" s="105"/>
      <c r="AZ474" s="105"/>
      <c r="BA474" s="105"/>
      <c r="BB474" s="105"/>
      <c r="BC474" s="105"/>
      <c r="BD474" s="105"/>
      <c r="BE474" s="105"/>
      <c r="BF474" s="105"/>
      <c r="BG474" s="105"/>
      <c r="BH474" s="105"/>
      <c r="BI474" s="105"/>
      <c r="BJ474" s="105"/>
      <c r="BK474" s="105"/>
      <c r="BL474" s="105"/>
      <c r="BM474" s="105"/>
      <c r="BN474" s="105"/>
      <c r="BO474" s="105"/>
      <c r="BP474" s="105"/>
      <c r="BQ474" s="105"/>
      <c r="BR474" s="105"/>
      <c r="BS474" s="105"/>
      <c r="BT474" s="105"/>
      <c r="BU474" s="105"/>
      <c r="BV474" s="105"/>
      <c r="BW474" s="106"/>
      <c r="BX474" s="28"/>
    </row>
    <row r="475" spans="1:76" s="34" customFormat="1" ht="17.25" hidden="1" customHeight="1" outlineLevel="1" x14ac:dyDescent="0.25">
      <c r="A475" s="394" t="s">
        <v>300</v>
      </c>
      <c r="B475" t="str">
        <f ca="1">$N$12&amp;" N"</f>
        <v>Actual N</v>
      </c>
      <c r="C475" t="str">
        <f ca="1">$N$20&amp;" "&amp;$N$21</f>
        <v>Budget V current N</v>
      </c>
      <c r="D475" t="str">
        <f ca="1">$O$20&amp;" "&amp;$O$21</f>
        <v>Actual N-1</v>
      </c>
      <c r="E475" s="1"/>
      <c r="H475" s="377"/>
      <c r="I475" s="95"/>
      <c r="J475" s="58"/>
      <c r="K475" s="155"/>
      <c r="L475" s="317"/>
      <c r="M475" s="156"/>
      <c r="N475" s="156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  <c r="Y475" s="106"/>
      <c r="Z475" s="105"/>
      <c r="AA475" s="104"/>
      <c r="AB475" s="105"/>
      <c r="AC475" s="105"/>
      <c r="AD475" s="105"/>
      <c r="AE475" s="105"/>
      <c r="AF475" s="105"/>
      <c r="AG475" s="105"/>
      <c r="AH475" s="105"/>
      <c r="AI475" s="105"/>
      <c r="AJ475" s="105"/>
      <c r="AK475" s="105"/>
      <c r="AL475" s="105"/>
      <c r="AM475" s="105"/>
      <c r="AN475" s="105"/>
      <c r="AO475" s="105"/>
      <c r="AP475" s="105"/>
      <c r="AQ475" s="105"/>
      <c r="AR475" s="105"/>
      <c r="AS475" s="105"/>
      <c r="AT475" s="105"/>
      <c r="AU475" s="105"/>
      <c r="AV475" s="105"/>
      <c r="AW475" s="105"/>
      <c r="AX475" s="105"/>
      <c r="AY475" s="105"/>
      <c r="AZ475" s="105"/>
      <c r="BA475" s="105"/>
      <c r="BB475" s="105"/>
      <c r="BC475" s="105"/>
      <c r="BD475" s="105"/>
      <c r="BE475" s="105"/>
      <c r="BF475" s="105"/>
      <c r="BG475" s="105"/>
      <c r="BH475" s="105"/>
      <c r="BI475" s="105"/>
      <c r="BJ475" s="105"/>
      <c r="BK475" s="105"/>
      <c r="BL475" s="105"/>
      <c r="BM475" s="105"/>
      <c r="BN475" s="105"/>
      <c r="BO475" s="105"/>
      <c r="BP475" s="105"/>
      <c r="BQ475" s="105"/>
      <c r="BR475" s="105"/>
      <c r="BS475" s="105"/>
      <c r="BT475" s="105"/>
      <c r="BU475" s="105"/>
      <c r="BV475" s="105"/>
      <c r="BW475" s="106"/>
      <c r="BX475" s="28"/>
    </row>
    <row r="476" spans="1:76" s="34" customFormat="1" ht="17.25" hidden="1" customHeight="1" outlineLevel="1" x14ac:dyDescent="0.25">
      <c r="A476" s="392" t="str">
        <f>IF($N$19="English","J","J")</f>
        <v>J</v>
      </c>
      <c r="B476" s="421" t="e">
        <f ca="1">IF(ROUND(AB$445,6),ROUND(AB$445,6),NA())</f>
        <v>#N/A</v>
      </c>
      <c r="C476" s="421" t="e">
        <f ca="1">IF(ROUND(AC$445,6),ROUND(AC$445,6),NA())</f>
        <v>#N/A</v>
      </c>
      <c r="D476" s="421" t="e">
        <f ca="1">IF(ROUND(AD$445,6),ROUND(AD$445,6),NA())</f>
        <v>#N/A</v>
      </c>
      <c r="E476" s="1" t="s">
        <v>279</v>
      </c>
      <c r="H476" s="377"/>
      <c r="I476" s="95"/>
      <c r="J476" s="58"/>
      <c r="K476" s="155"/>
      <c r="L476" s="317"/>
      <c r="M476" s="156"/>
      <c r="N476" s="156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  <c r="Y476" s="106"/>
      <c r="Z476" s="105"/>
      <c r="AA476" s="104"/>
      <c r="AB476" s="105"/>
      <c r="AC476" s="105"/>
      <c r="AD476" s="105"/>
      <c r="AE476" s="105"/>
      <c r="AF476" s="105"/>
      <c r="AG476" s="105"/>
      <c r="AH476" s="105"/>
      <c r="AI476" s="105"/>
      <c r="AJ476" s="105"/>
      <c r="AK476" s="105"/>
      <c r="AL476" s="105"/>
      <c r="AM476" s="105"/>
      <c r="AN476" s="105"/>
      <c r="AO476" s="105"/>
      <c r="AP476" s="105"/>
      <c r="AQ476" s="105"/>
      <c r="AR476" s="105"/>
      <c r="AS476" s="105"/>
      <c r="AT476" s="105"/>
      <c r="AU476" s="105"/>
      <c r="AV476" s="105"/>
      <c r="AW476" s="105"/>
      <c r="AX476" s="105"/>
      <c r="AY476" s="105"/>
      <c r="AZ476" s="105"/>
      <c r="BA476" s="105"/>
      <c r="BB476" s="105"/>
      <c r="BC476" s="105"/>
      <c r="BD476" s="105"/>
      <c r="BE476" s="105"/>
      <c r="BF476" s="105"/>
      <c r="BG476" s="105"/>
      <c r="BH476" s="105"/>
      <c r="BI476" s="105"/>
      <c r="BJ476" s="105"/>
      <c r="BK476" s="105"/>
      <c r="BL476" s="105"/>
      <c r="BM476" s="105"/>
      <c r="BN476" s="105"/>
      <c r="BO476" s="105"/>
      <c r="BP476" s="105"/>
      <c r="BQ476" s="105"/>
      <c r="BR476" s="105"/>
      <c r="BS476" s="105"/>
      <c r="BT476" s="105"/>
      <c r="BU476" s="105"/>
      <c r="BV476" s="105"/>
      <c r="BW476" s="106"/>
      <c r="BX476" s="28"/>
    </row>
    <row r="477" spans="1:76" s="34" customFormat="1" ht="17.25" hidden="1" customHeight="1" outlineLevel="1" x14ac:dyDescent="0.25">
      <c r="A477" s="392" t="s">
        <v>213</v>
      </c>
      <c r="B477" s="421" t="e">
        <f ca="1">IF(ROUND(AF$445,6),ROUND(AF$445,6),NA())</f>
        <v>#N/A</v>
      </c>
      <c r="C477" s="421" t="e">
        <f ca="1">IF(ROUND(AG$445,6),ROUND(AG$445,6),NA())</f>
        <v>#N/A</v>
      </c>
      <c r="D477" s="421" t="e">
        <f ca="1">IF(ROUND(AH$445,6),ROUND(AH$445,6),NA())</f>
        <v>#N/A</v>
      </c>
      <c r="E477" s="1" t="s">
        <v>280</v>
      </c>
      <c r="H477" s="377"/>
      <c r="I477" s="95"/>
      <c r="J477" s="58"/>
      <c r="K477" s="155"/>
      <c r="L477" s="317"/>
      <c r="M477" s="156"/>
      <c r="N477" s="156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  <c r="Y477" s="106"/>
      <c r="Z477" s="105"/>
      <c r="AA477" s="104"/>
      <c r="AB477" s="105"/>
      <c r="AC477" s="105"/>
      <c r="AD477" s="105"/>
      <c r="AE477" s="105"/>
      <c r="AF477" s="105"/>
      <c r="AG477" s="105"/>
      <c r="AH477" s="105"/>
      <c r="AI477" s="105"/>
      <c r="AJ477" s="105"/>
      <c r="AK477" s="105"/>
      <c r="AL477" s="105"/>
      <c r="AM477" s="105"/>
      <c r="AN477" s="105"/>
      <c r="AO477" s="105"/>
      <c r="AP477" s="105"/>
      <c r="AQ477" s="105"/>
      <c r="AR477" s="105"/>
      <c r="AS477" s="105"/>
      <c r="AT477" s="105"/>
      <c r="AU477" s="105"/>
      <c r="AV477" s="105"/>
      <c r="AW477" s="105"/>
      <c r="AX477" s="105"/>
      <c r="AY477" s="105"/>
      <c r="AZ477" s="105"/>
      <c r="BA477" s="105"/>
      <c r="BB477" s="105"/>
      <c r="BC477" s="105"/>
      <c r="BD477" s="105"/>
      <c r="BE477" s="105"/>
      <c r="BF477" s="105"/>
      <c r="BG477" s="105"/>
      <c r="BH477" s="105"/>
      <c r="BI477" s="105"/>
      <c r="BJ477" s="105"/>
      <c r="BK477" s="105"/>
      <c r="BL477" s="105"/>
      <c r="BM477" s="105"/>
      <c r="BN477" s="105"/>
      <c r="BO477" s="105"/>
      <c r="BP477" s="105"/>
      <c r="BQ477" s="105"/>
      <c r="BR477" s="105"/>
      <c r="BS477" s="105"/>
      <c r="BT477" s="105"/>
      <c r="BU477" s="105"/>
      <c r="BV477" s="105"/>
      <c r="BW477" s="106"/>
      <c r="BX477" s="28"/>
    </row>
    <row r="478" spans="1:76" s="34" customFormat="1" ht="17.25" hidden="1" customHeight="1" outlineLevel="1" x14ac:dyDescent="0.25">
      <c r="A478" s="392" t="s">
        <v>215</v>
      </c>
      <c r="B478" s="421" t="e">
        <f ca="1">IF(ROUND(AJ$445,6),ROUND(AJ$445,6),NA())</f>
        <v>#N/A</v>
      </c>
      <c r="C478" s="421" t="e">
        <f ca="1">IF(ROUND(AK$445,6),ROUND(AK$445,6),NA())</f>
        <v>#N/A</v>
      </c>
      <c r="D478" s="421" t="e">
        <f ca="1">IF(ROUND(AL$445,6),ROUND(AL$445,6),NA())</f>
        <v>#N/A</v>
      </c>
      <c r="E478" s="1" t="s">
        <v>281</v>
      </c>
      <c r="H478" s="377"/>
      <c r="I478" s="95"/>
      <c r="J478" s="58"/>
      <c r="K478" s="155"/>
      <c r="L478" s="317"/>
      <c r="M478" s="156"/>
      <c r="N478" s="156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  <c r="Y478" s="106"/>
      <c r="Z478" s="105"/>
      <c r="AA478" s="104"/>
      <c r="AB478" s="105"/>
      <c r="AC478" s="105"/>
      <c r="AD478" s="105"/>
      <c r="AE478" s="105"/>
      <c r="AF478" s="105"/>
      <c r="AG478" s="105"/>
      <c r="AH478" s="105"/>
      <c r="AI478" s="105"/>
      <c r="AJ478" s="105"/>
      <c r="AK478" s="105"/>
      <c r="AL478" s="105"/>
      <c r="AM478" s="105"/>
      <c r="AN478" s="105"/>
      <c r="AO478" s="105"/>
      <c r="AP478" s="105"/>
      <c r="AQ478" s="105"/>
      <c r="AR478" s="105"/>
      <c r="AS478" s="105"/>
      <c r="AT478" s="105"/>
      <c r="AU478" s="105"/>
      <c r="AV478" s="105"/>
      <c r="AW478" s="105"/>
      <c r="AX478" s="105"/>
      <c r="AY478" s="105"/>
      <c r="AZ478" s="105"/>
      <c r="BA478" s="105"/>
      <c r="BB478" s="105"/>
      <c r="BC478" s="105"/>
      <c r="BD478" s="105"/>
      <c r="BE478" s="105"/>
      <c r="BF478" s="105"/>
      <c r="BG478" s="105"/>
      <c r="BH478" s="105"/>
      <c r="BI478" s="105"/>
      <c r="BJ478" s="105"/>
      <c r="BK478" s="105"/>
      <c r="BL478" s="105"/>
      <c r="BM478" s="105"/>
      <c r="BN478" s="105"/>
      <c r="BO478" s="105"/>
      <c r="BP478" s="105"/>
      <c r="BQ478" s="105"/>
      <c r="BR478" s="105"/>
      <c r="BS478" s="105"/>
      <c r="BT478" s="105"/>
      <c r="BU478" s="105"/>
      <c r="BV478" s="105"/>
      <c r="BW478" s="106"/>
      <c r="BX478" s="28"/>
    </row>
    <row r="479" spans="1:76" s="34" customFormat="1" ht="17.25" hidden="1" customHeight="1" outlineLevel="1" x14ac:dyDescent="0.25">
      <c r="A479" s="392" t="s">
        <v>42</v>
      </c>
      <c r="B479" s="421" t="e">
        <f ca="1">IF(ROUND(AN$445,6),ROUND(AN$445,6),NA())</f>
        <v>#N/A</v>
      </c>
      <c r="C479" s="421" t="e">
        <f ca="1">IF(ROUND(AO$445,6),ROUND(AO$445,6),NA())</f>
        <v>#N/A</v>
      </c>
      <c r="D479" s="421" t="e">
        <f ca="1">IF(ROUND(AP$445,6),ROUND(AP$445,6),NA())</f>
        <v>#N/A</v>
      </c>
      <c r="E479" s="1" t="s">
        <v>282</v>
      </c>
      <c r="H479" s="377"/>
      <c r="I479" s="95"/>
      <c r="J479" s="58"/>
      <c r="K479" s="155"/>
      <c r="L479" s="317"/>
      <c r="M479" s="156"/>
      <c r="N479" s="156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  <c r="Y479" s="106"/>
      <c r="Z479" s="105"/>
      <c r="AA479" s="104"/>
      <c r="AB479" s="105"/>
      <c r="AC479" s="105"/>
      <c r="AD479" s="105"/>
      <c r="AE479" s="105"/>
      <c r="AF479" s="105"/>
      <c r="AG479" s="105"/>
      <c r="AH479" s="105"/>
      <c r="AI479" s="105"/>
      <c r="AJ479" s="105"/>
      <c r="AK479" s="105"/>
      <c r="AL479" s="105"/>
      <c r="AM479" s="105"/>
      <c r="AN479" s="105"/>
      <c r="AO479" s="105"/>
      <c r="AP479" s="105"/>
      <c r="AQ479" s="105"/>
      <c r="AR479" s="105"/>
      <c r="AS479" s="105"/>
      <c r="AT479" s="105"/>
      <c r="AU479" s="105"/>
      <c r="AV479" s="105"/>
      <c r="AW479" s="105"/>
      <c r="AX479" s="105"/>
      <c r="AY479" s="105"/>
      <c r="AZ479" s="105"/>
      <c r="BA479" s="105"/>
      <c r="BB479" s="105"/>
      <c r="BC479" s="105"/>
      <c r="BD479" s="105"/>
      <c r="BE479" s="105"/>
      <c r="BF479" s="105"/>
      <c r="BG479" s="105"/>
      <c r="BH479" s="105"/>
      <c r="BI479" s="105"/>
      <c r="BJ479" s="105"/>
      <c r="BK479" s="105"/>
      <c r="BL479" s="105"/>
      <c r="BM479" s="105"/>
      <c r="BN479" s="105"/>
      <c r="BO479" s="105"/>
      <c r="BP479" s="105"/>
      <c r="BQ479" s="105"/>
      <c r="BR479" s="105"/>
      <c r="BS479" s="105"/>
      <c r="BT479" s="105"/>
      <c r="BU479" s="105"/>
      <c r="BV479" s="105"/>
      <c r="BW479" s="106"/>
      <c r="BX479" s="28"/>
    </row>
    <row r="480" spans="1:76" s="34" customFormat="1" ht="17.25" hidden="1" customHeight="1" outlineLevel="1" x14ac:dyDescent="0.25">
      <c r="A480" s="392" t="s">
        <v>215</v>
      </c>
      <c r="B480" s="421" t="e">
        <f ca="1">IF(ROUND(AR$445,6),ROUND(AR$445,6),NA())</f>
        <v>#N/A</v>
      </c>
      <c r="C480" s="421" t="e">
        <f ca="1">IF(ROUND(AS$445,6),ROUND(AS$445,6),NA())</f>
        <v>#N/A</v>
      </c>
      <c r="D480" s="421" t="e">
        <f ca="1">IF(ROUND(AT$445,6),ROUND(AT$445,6),NA())</f>
        <v>#N/A</v>
      </c>
      <c r="E480" s="1" t="s">
        <v>283</v>
      </c>
      <c r="H480" s="377"/>
      <c r="I480" s="95"/>
      <c r="J480" s="58"/>
      <c r="K480" s="155"/>
      <c r="L480" s="317"/>
      <c r="M480" s="156"/>
      <c r="N480" s="156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  <c r="Y480" s="106"/>
      <c r="Z480" s="105"/>
      <c r="AA480" s="104"/>
      <c r="AB480" s="105"/>
      <c r="AC480" s="105"/>
      <c r="AD480" s="105"/>
      <c r="AE480" s="105"/>
      <c r="AF480" s="105"/>
      <c r="AG480" s="105"/>
      <c r="AH480" s="105"/>
      <c r="AI480" s="105"/>
      <c r="AJ480" s="105"/>
      <c r="AK480" s="105"/>
      <c r="AL480" s="105"/>
      <c r="AM480" s="105"/>
      <c r="AN480" s="105"/>
      <c r="AO480" s="105"/>
      <c r="AP480" s="105"/>
      <c r="AQ480" s="105"/>
      <c r="AR480" s="105"/>
      <c r="AS480" s="105"/>
      <c r="AT480" s="105"/>
      <c r="AU480" s="105"/>
      <c r="AV480" s="105"/>
      <c r="AW480" s="105"/>
      <c r="AX480" s="105"/>
      <c r="AY480" s="105"/>
      <c r="AZ480" s="105"/>
      <c r="BA480" s="105"/>
      <c r="BB480" s="105"/>
      <c r="BC480" s="105"/>
      <c r="BD480" s="105"/>
      <c r="BE480" s="105"/>
      <c r="BF480" s="105"/>
      <c r="BG480" s="105"/>
      <c r="BH480" s="105"/>
      <c r="BI480" s="105"/>
      <c r="BJ480" s="105"/>
      <c r="BK480" s="105"/>
      <c r="BL480" s="105"/>
      <c r="BM480" s="105"/>
      <c r="BN480" s="105"/>
      <c r="BO480" s="105"/>
      <c r="BP480" s="105"/>
      <c r="BQ480" s="105"/>
      <c r="BR480" s="105"/>
      <c r="BS480" s="105"/>
      <c r="BT480" s="105"/>
      <c r="BU480" s="105"/>
      <c r="BV480" s="105"/>
      <c r="BW480" s="106"/>
      <c r="BX480" s="28"/>
    </row>
    <row r="481" spans="1:76" s="34" customFormat="1" ht="17.25" hidden="1" customHeight="1" outlineLevel="1" x14ac:dyDescent="0.25">
      <c r="A481" s="392" t="s">
        <v>263</v>
      </c>
      <c r="B481" s="421" t="e">
        <f ca="1">IF(ROUND(AV$445,6),ROUND(AV$445,6),NA())</f>
        <v>#N/A</v>
      </c>
      <c r="C481" s="421" t="e">
        <f ca="1">IF(ROUND(AW$445,6),ROUND(AW$445,6),NA())</f>
        <v>#N/A</v>
      </c>
      <c r="D481" s="421" t="e">
        <f ca="1">IF(ROUND(AX$445,6),ROUND(AX$445,6),NA())</f>
        <v>#N/A</v>
      </c>
      <c r="E481" s="1" t="s">
        <v>284</v>
      </c>
      <c r="H481" s="377"/>
      <c r="I481" s="95"/>
      <c r="J481" s="58"/>
      <c r="K481" s="155"/>
      <c r="L481" s="317"/>
      <c r="M481" s="156"/>
      <c r="N481" s="156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  <c r="Y481" s="106"/>
      <c r="Z481" s="105"/>
      <c r="AA481" s="104"/>
      <c r="AB481" s="105"/>
      <c r="AC481" s="105"/>
      <c r="AD481" s="105"/>
      <c r="AE481" s="105"/>
      <c r="AF481" s="105"/>
      <c r="AG481" s="105"/>
      <c r="AH481" s="105"/>
      <c r="AI481" s="105"/>
      <c r="AJ481" s="105"/>
      <c r="AK481" s="105"/>
      <c r="AL481" s="105"/>
      <c r="AM481" s="105"/>
      <c r="AN481" s="105"/>
      <c r="AO481" s="105"/>
      <c r="AP481" s="105"/>
      <c r="AQ481" s="105"/>
      <c r="AR481" s="105"/>
      <c r="AS481" s="105"/>
      <c r="AT481" s="105"/>
      <c r="AU481" s="105"/>
      <c r="AV481" s="105"/>
      <c r="AW481" s="105"/>
      <c r="AX481" s="105"/>
      <c r="AY481" s="105"/>
      <c r="AZ481" s="105"/>
      <c r="BA481" s="105"/>
      <c r="BB481" s="105"/>
      <c r="BC481" s="105"/>
      <c r="BD481" s="105"/>
      <c r="BE481" s="105"/>
      <c r="BF481" s="105"/>
      <c r="BG481" s="105"/>
      <c r="BH481" s="105"/>
      <c r="BI481" s="105"/>
      <c r="BJ481" s="105"/>
      <c r="BK481" s="105"/>
      <c r="BL481" s="105"/>
      <c r="BM481" s="105"/>
      <c r="BN481" s="105"/>
      <c r="BO481" s="105"/>
      <c r="BP481" s="105"/>
      <c r="BQ481" s="105"/>
      <c r="BR481" s="105"/>
      <c r="BS481" s="105"/>
      <c r="BT481" s="105"/>
      <c r="BU481" s="105"/>
      <c r="BV481" s="105"/>
      <c r="BW481" s="106"/>
      <c r="BX481" s="28"/>
    </row>
    <row r="482" spans="1:76" s="34" customFormat="1" ht="30" hidden="1" customHeight="1" outlineLevel="1" x14ac:dyDescent="0.25">
      <c r="A482" s="392" t="s">
        <v>263</v>
      </c>
      <c r="B482" s="421" t="e">
        <f ca="1">IF(ROUND(AZ$445,6),ROUND(AZ$445,6),NA())</f>
        <v>#N/A</v>
      </c>
      <c r="C482" s="421" t="e">
        <f ca="1">IF(ROUND(BA$445,6),ROUND(BA$445,6),NA())</f>
        <v>#N/A</v>
      </c>
      <c r="D482" s="421" t="e">
        <f ca="1">IF(ROUND(BB$445,6),ROUND(BB$445,6),NA())</f>
        <v>#N/A</v>
      </c>
      <c r="E482" s="1" t="s">
        <v>285</v>
      </c>
      <c r="H482" s="377"/>
      <c r="I482" s="95"/>
      <c r="J482" s="58"/>
      <c r="K482" s="155"/>
      <c r="L482" s="317"/>
      <c r="M482" s="596" t="str">
        <f ca="1">M445</f>
        <v>E2 - Energy efficiency</v>
      </c>
      <c r="N482" s="596"/>
      <c r="O482" s="596"/>
      <c r="P482" s="596"/>
      <c r="Q482" s="596"/>
      <c r="R482" s="596"/>
      <c r="S482" s="596"/>
      <c r="T482" s="596"/>
      <c r="U482" s="105"/>
      <c r="V482" s="105"/>
      <c r="W482" s="105"/>
      <c r="X482" s="105"/>
      <c r="Y482" s="106"/>
      <c r="Z482" s="105"/>
      <c r="AA482" s="104"/>
      <c r="AB482" s="105"/>
      <c r="AC482" s="105"/>
      <c r="AD482" s="105"/>
      <c r="AE482" s="105"/>
      <c r="AF482" s="105"/>
      <c r="AG482" s="105"/>
      <c r="AH482" s="105"/>
      <c r="AI482" s="105"/>
      <c r="AJ482" s="105"/>
      <c r="AK482" s="105"/>
      <c r="AL482" s="105"/>
      <c r="AM482" s="105"/>
      <c r="AN482" s="105"/>
      <c r="AO482" s="105"/>
      <c r="AP482" s="105"/>
      <c r="AQ482" s="105"/>
      <c r="AR482" s="105"/>
      <c r="AS482" s="105"/>
      <c r="AT482" s="105"/>
      <c r="AU482" s="105"/>
      <c r="AV482" s="105"/>
      <c r="AW482" s="105"/>
      <c r="AX482" s="105"/>
      <c r="AY482" s="105"/>
      <c r="AZ482" s="105"/>
      <c r="BA482" s="105"/>
      <c r="BB482" s="105"/>
      <c r="BC482" s="105"/>
      <c r="BD482" s="105"/>
      <c r="BE482" s="105"/>
      <c r="BF482" s="105"/>
      <c r="BG482" s="105"/>
      <c r="BH482" s="105"/>
      <c r="BI482" s="105"/>
      <c r="BJ482" s="105"/>
      <c r="BK482" s="105"/>
      <c r="BL482" s="105"/>
      <c r="BM482" s="105"/>
      <c r="BN482" s="105"/>
      <c r="BO482" s="105"/>
      <c r="BP482" s="105"/>
      <c r="BQ482" s="105"/>
      <c r="BR482" s="105"/>
      <c r="BS482" s="105"/>
      <c r="BT482" s="105"/>
      <c r="BU482" s="105"/>
      <c r="BV482" s="105"/>
      <c r="BW482" s="106"/>
      <c r="BX482" s="28"/>
    </row>
    <row r="483" spans="1:76" s="34" customFormat="1" ht="17.25" hidden="1" customHeight="1" outlineLevel="1" x14ac:dyDescent="0.25">
      <c r="A483" s="392" t="s">
        <v>42</v>
      </c>
      <c r="B483" s="421" t="e">
        <f ca="1">IF(ROUND(BD$445,6),ROUND(BD$445,6),NA())</f>
        <v>#N/A</v>
      </c>
      <c r="C483" s="421" t="e">
        <f ca="1">IF(ROUND(BE$445,6),ROUND(BE$445,6),NA())</f>
        <v>#N/A</v>
      </c>
      <c r="D483" s="421" t="e">
        <f ca="1">IF(ROUND(BF$445,6),ROUND(BF$445,6),NA())</f>
        <v>#N/A</v>
      </c>
      <c r="E483" s="1" t="s">
        <v>286</v>
      </c>
      <c r="H483" s="377"/>
      <c r="I483" s="95"/>
      <c r="J483" s="58"/>
      <c r="K483" s="155"/>
      <c r="L483" s="317"/>
      <c r="M483" s="156"/>
      <c r="N483" s="156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  <c r="Y483" s="106"/>
      <c r="Z483" s="105"/>
      <c r="AA483" s="104"/>
      <c r="AB483" s="105"/>
      <c r="AC483" s="105"/>
      <c r="AD483" s="105"/>
      <c r="AE483" s="105"/>
      <c r="AF483" s="105"/>
      <c r="AG483" s="105"/>
      <c r="AH483" s="105"/>
      <c r="AI483" s="105"/>
      <c r="AJ483" s="105"/>
      <c r="AK483" s="105"/>
      <c r="AL483" s="105"/>
      <c r="AM483" s="105"/>
      <c r="AN483" s="105"/>
      <c r="AO483" s="105"/>
      <c r="AP483" s="105"/>
      <c r="AQ483" s="105"/>
      <c r="AR483" s="105"/>
      <c r="AS483" s="105"/>
      <c r="AT483" s="105"/>
      <c r="AU483" s="105"/>
      <c r="AV483" s="105"/>
      <c r="AW483" s="105"/>
      <c r="AX483" s="105"/>
      <c r="AY483" s="105"/>
      <c r="AZ483" s="105"/>
      <c r="BA483" s="105"/>
      <c r="BB483" s="105"/>
      <c r="BC483" s="105"/>
      <c r="BD483" s="105"/>
      <c r="BE483" s="105"/>
      <c r="BF483" s="105"/>
      <c r="BG483" s="105"/>
      <c r="BH483" s="105"/>
      <c r="BI483" s="105"/>
      <c r="BJ483" s="105"/>
      <c r="BK483" s="105"/>
      <c r="BL483" s="105"/>
      <c r="BM483" s="105"/>
      <c r="BN483" s="105"/>
      <c r="BO483" s="105"/>
      <c r="BP483" s="105"/>
      <c r="BQ483" s="105"/>
      <c r="BR483" s="105"/>
      <c r="BS483" s="105"/>
      <c r="BT483" s="105"/>
      <c r="BU483" s="105"/>
      <c r="BV483" s="105"/>
      <c r="BW483" s="106"/>
      <c r="BX483" s="28"/>
    </row>
    <row r="484" spans="1:76" s="34" customFormat="1" ht="17.25" hidden="1" customHeight="1" outlineLevel="1" x14ac:dyDescent="0.25">
      <c r="A484" s="392" t="s">
        <v>264</v>
      </c>
      <c r="B484" s="421" t="e">
        <f ca="1">IF(ROUND(BH$445,6),ROUND(BH$445,6),NA())</f>
        <v>#N/A</v>
      </c>
      <c r="C484" s="421" t="e">
        <f ca="1">IF(ROUND(BI$445,6),ROUND(BI$445,6),NA())</f>
        <v>#N/A</v>
      </c>
      <c r="D484" s="421" t="e">
        <f ca="1">IF(ROUND(BJ$445,6),ROUND(BJ$445,6),NA())</f>
        <v>#N/A</v>
      </c>
      <c r="E484" s="1" t="s">
        <v>287</v>
      </c>
      <c r="H484" s="377"/>
      <c r="I484" s="95"/>
      <c r="J484" s="58"/>
      <c r="K484" s="155"/>
      <c r="L484" s="317"/>
      <c r="M484" s="156"/>
      <c r="N484" s="156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  <c r="Y484" s="106"/>
      <c r="Z484" s="105"/>
      <c r="AA484" s="104"/>
      <c r="AB484" s="105"/>
      <c r="AC484" s="105"/>
      <c r="AD484" s="105"/>
      <c r="AE484" s="105"/>
      <c r="AF484" s="105"/>
      <c r="AG484" s="105"/>
      <c r="AH484" s="105"/>
      <c r="AI484" s="105"/>
      <c r="AJ484" s="105"/>
      <c r="AK484" s="105"/>
      <c r="AL484" s="105"/>
      <c r="AM484" s="105"/>
      <c r="AN484" s="105"/>
      <c r="AO484" s="105"/>
      <c r="AP484" s="105"/>
      <c r="AQ484" s="105"/>
      <c r="AR484" s="105"/>
      <c r="AS484" s="105"/>
      <c r="AT484" s="105"/>
      <c r="AU484" s="105"/>
      <c r="AV484" s="105"/>
      <c r="AW484" s="105"/>
      <c r="AX484" s="105"/>
      <c r="AY484" s="105"/>
      <c r="AZ484" s="105"/>
      <c r="BA484" s="105"/>
      <c r="BB484" s="105"/>
      <c r="BC484" s="105"/>
      <c r="BD484" s="105"/>
      <c r="BE484" s="105"/>
      <c r="BF484" s="105"/>
      <c r="BG484" s="105"/>
      <c r="BH484" s="105"/>
      <c r="BI484" s="105"/>
      <c r="BJ484" s="105"/>
      <c r="BK484" s="105"/>
      <c r="BL484" s="105"/>
      <c r="BM484" s="105"/>
      <c r="BN484" s="105"/>
      <c r="BO484" s="105"/>
      <c r="BP484" s="105"/>
      <c r="BQ484" s="105"/>
      <c r="BR484" s="105"/>
      <c r="BS484" s="105"/>
      <c r="BT484" s="105"/>
      <c r="BU484" s="105"/>
      <c r="BV484" s="105"/>
      <c r="BW484" s="106"/>
      <c r="BX484" s="28"/>
    </row>
    <row r="485" spans="1:76" s="34" customFormat="1" ht="17.25" hidden="1" customHeight="1" outlineLevel="1" x14ac:dyDescent="0.25">
      <c r="A485" s="392" t="s">
        <v>212</v>
      </c>
      <c r="B485" s="421" t="e">
        <f ca="1">IF(ROUND(BL$445,6),ROUND(BL$445,6),NA())</f>
        <v>#N/A</v>
      </c>
      <c r="C485" s="421" t="e">
        <f ca="1">IF(ROUND(BM$445,6),ROUND(BM$445,6),NA())</f>
        <v>#N/A</v>
      </c>
      <c r="D485" s="421" t="e">
        <f ca="1">IF(ROUND(BN$445,6),ROUND(BN$445,6),NA())</f>
        <v>#N/A</v>
      </c>
      <c r="E485" s="1" t="s">
        <v>288</v>
      </c>
      <c r="H485" s="377"/>
      <c r="I485" s="95"/>
      <c r="J485" s="58"/>
      <c r="K485" s="155"/>
      <c r="L485" s="317"/>
      <c r="M485" s="156"/>
      <c r="N485" s="156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  <c r="Y485" s="106"/>
      <c r="Z485" s="105"/>
      <c r="AA485" s="104"/>
      <c r="AB485" s="105"/>
      <c r="AC485" s="105"/>
      <c r="AD485" s="105"/>
      <c r="AE485" s="105"/>
      <c r="AF485" s="105"/>
      <c r="AG485" s="105"/>
      <c r="AH485" s="105"/>
      <c r="AI485" s="105"/>
      <c r="AJ485" s="105"/>
      <c r="AK485" s="105"/>
      <c r="AL485" s="105"/>
      <c r="AM485" s="105"/>
      <c r="AN485" s="105"/>
      <c r="AO485" s="105"/>
      <c r="AP485" s="105"/>
      <c r="AQ485" s="105"/>
      <c r="AR485" s="105"/>
      <c r="AS485" s="105"/>
      <c r="AT485" s="105"/>
      <c r="AU485" s="105"/>
      <c r="AV485" s="105"/>
      <c r="AW485" s="105"/>
      <c r="AX485" s="105"/>
      <c r="AY485" s="105"/>
      <c r="AZ485" s="105"/>
      <c r="BA485" s="105"/>
      <c r="BB485" s="105"/>
      <c r="BC485" s="105"/>
      <c r="BD485" s="105"/>
      <c r="BE485" s="105"/>
      <c r="BF485" s="105"/>
      <c r="BG485" s="105"/>
      <c r="BH485" s="105"/>
      <c r="BI485" s="105"/>
      <c r="BJ485" s="105"/>
      <c r="BK485" s="105"/>
      <c r="BL485" s="105"/>
      <c r="BM485" s="105"/>
      <c r="BN485" s="105"/>
      <c r="BO485" s="105"/>
      <c r="BP485" s="105"/>
      <c r="BQ485" s="105"/>
      <c r="BR485" s="105"/>
      <c r="BS485" s="105"/>
      <c r="BT485" s="105"/>
      <c r="BU485" s="105"/>
      <c r="BV485" s="105"/>
      <c r="BW485" s="106"/>
      <c r="BX485" s="28"/>
    </row>
    <row r="486" spans="1:76" s="34" customFormat="1" ht="17.25" hidden="1" customHeight="1" outlineLevel="1" x14ac:dyDescent="0.25">
      <c r="A486" s="392" t="s">
        <v>257</v>
      </c>
      <c r="B486" s="421" t="e">
        <f ca="1">IF(ROUND(BP$445,6),ROUND(BP$445,6),NA())</f>
        <v>#N/A</v>
      </c>
      <c r="C486" s="421" t="e">
        <f ca="1">IF(ROUND(BQ$445,6),ROUND(BQ$445,6),NA())</f>
        <v>#N/A</v>
      </c>
      <c r="D486" s="421" t="e">
        <f ca="1">IF(ROUND(BR$445,6),ROUND(BR$445,6),NA())</f>
        <v>#N/A</v>
      </c>
      <c r="E486" s="1" t="s">
        <v>289</v>
      </c>
      <c r="H486" s="377"/>
      <c r="I486" s="95"/>
      <c r="J486" s="58"/>
      <c r="K486" s="155"/>
      <c r="L486" s="317"/>
      <c r="M486" s="156"/>
      <c r="N486" s="156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  <c r="Y486" s="106"/>
      <c r="Z486" s="105"/>
      <c r="AA486" s="104"/>
      <c r="AB486" s="105"/>
      <c r="AC486" s="105"/>
      <c r="AD486" s="105"/>
      <c r="AE486" s="105"/>
      <c r="AF486" s="105"/>
      <c r="AG486" s="105"/>
      <c r="AH486" s="105"/>
      <c r="AI486" s="105"/>
      <c r="AJ486" s="105"/>
      <c r="AK486" s="105"/>
      <c r="AL486" s="105"/>
      <c r="AM486" s="105"/>
      <c r="AN486" s="105"/>
      <c r="AO486" s="105"/>
      <c r="AP486" s="105"/>
      <c r="AQ486" s="105"/>
      <c r="AR486" s="105"/>
      <c r="AS486" s="105"/>
      <c r="AT486" s="105"/>
      <c r="AU486" s="105"/>
      <c r="AV486" s="105"/>
      <c r="AW486" s="105"/>
      <c r="AX486" s="105"/>
      <c r="AY486" s="105"/>
      <c r="AZ486" s="105"/>
      <c r="BA486" s="105"/>
      <c r="BB486" s="105"/>
      <c r="BC486" s="105"/>
      <c r="BD486" s="105"/>
      <c r="BE486" s="105"/>
      <c r="BF486" s="105"/>
      <c r="BG486" s="105"/>
      <c r="BH486" s="105"/>
      <c r="BI486" s="105"/>
      <c r="BJ486" s="105"/>
      <c r="BK486" s="105"/>
      <c r="BL486" s="105"/>
      <c r="BM486" s="105"/>
      <c r="BN486" s="105"/>
      <c r="BO486" s="105"/>
      <c r="BP486" s="105"/>
      <c r="BQ486" s="105"/>
      <c r="BR486" s="105"/>
      <c r="BS486" s="105"/>
      <c r="BT486" s="105"/>
      <c r="BU486" s="105"/>
      <c r="BV486" s="105"/>
      <c r="BW486" s="106"/>
      <c r="BX486" s="28"/>
    </row>
    <row r="487" spans="1:76" s="34" customFormat="1" ht="17.25" hidden="1" customHeight="1" outlineLevel="1" x14ac:dyDescent="0.25">
      <c r="A487" s="392" t="s">
        <v>216</v>
      </c>
      <c r="B487" s="421" t="e">
        <f ca="1">IF(ROUND(BT$445,6),ROUND(BT$445,6),NA())</f>
        <v>#N/A</v>
      </c>
      <c r="C487" s="421" t="e">
        <f ca="1">IF(ROUND(BU$445,6),ROUND(BU$445,6),NA())</f>
        <v>#N/A</v>
      </c>
      <c r="D487" s="421" t="e">
        <f ca="1">IF(ROUND(BV$445,6),ROUND(BV$445,6),NA())</f>
        <v>#N/A</v>
      </c>
      <c r="E487" s="1" t="s">
        <v>290</v>
      </c>
      <c r="H487" s="377"/>
      <c r="I487" s="95"/>
      <c r="J487" s="58"/>
      <c r="K487" s="155"/>
      <c r="L487" s="317"/>
      <c r="M487" s="156"/>
      <c r="N487" s="156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  <c r="Y487" s="106"/>
      <c r="Z487" s="105"/>
      <c r="AA487" s="104"/>
      <c r="AB487" s="105"/>
      <c r="AC487" s="105"/>
      <c r="AD487" s="105"/>
      <c r="AE487" s="105"/>
      <c r="AF487" s="105"/>
      <c r="AG487" s="105"/>
      <c r="AH487" s="105"/>
      <c r="AI487" s="105"/>
      <c r="AJ487" s="105"/>
      <c r="AK487" s="105"/>
      <c r="AL487" s="105"/>
      <c r="AM487" s="105"/>
      <c r="AN487" s="105"/>
      <c r="AO487" s="105"/>
      <c r="AP487" s="105"/>
      <c r="AQ487" s="105"/>
      <c r="AR487" s="105"/>
      <c r="AS487" s="105"/>
      <c r="AT487" s="105"/>
      <c r="AU487" s="105"/>
      <c r="AV487" s="105"/>
      <c r="AW487" s="105"/>
      <c r="AX487" s="105"/>
      <c r="AY487" s="105"/>
      <c r="AZ487" s="105"/>
      <c r="BA487" s="105"/>
      <c r="BB487" s="105"/>
      <c r="BC487" s="105"/>
      <c r="BD487" s="105"/>
      <c r="BE487" s="105"/>
      <c r="BF487" s="105"/>
      <c r="BG487" s="105"/>
      <c r="BH487" s="105"/>
      <c r="BI487" s="105"/>
      <c r="BJ487" s="105"/>
      <c r="BK487" s="105"/>
      <c r="BL487" s="105"/>
      <c r="BM487" s="105"/>
      <c r="BN487" s="105"/>
      <c r="BO487" s="105"/>
      <c r="BP487" s="105"/>
      <c r="BQ487" s="105"/>
      <c r="BR487" s="105"/>
      <c r="BS487" s="105"/>
      <c r="BT487" s="105"/>
      <c r="BU487" s="105"/>
      <c r="BV487" s="105"/>
      <c r="BW487" s="106"/>
      <c r="BX487" s="28"/>
    </row>
    <row r="488" spans="1:76" s="34" customFormat="1" ht="17.25" hidden="1" customHeight="1" outlineLevel="1" x14ac:dyDescent="0.25">
      <c r="A488" s="57"/>
      <c r="B488" s="377"/>
      <c r="C488" s="9"/>
      <c r="D488" s="1"/>
      <c r="E488" s="1"/>
      <c r="H488" s="377"/>
      <c r="I488" s="95"/>
      <c r="J488" s="58"/>
      <c r="K488" s="155"/>
      <c r="L488" s="317"/>
      <c r="M488" s="156"/>
      <c r="N488" s="156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  <c r="Y488" s="106"/>
      <c r="Z488" s="105"/>
      <c r="AA488" s="104"/>
      <c r="AB488" s="105"/>
      <c r="AC488" s="105"/>
      <c r="AD488" s="105"/>
      <c r="AE488" s="105"/>
      <c r="AF488" s="105"/>
      <c r="AG488" s="105"/>
      <c r="AH488" s="105"/>
      <c r="AI488" s="105"/>
      <c r="AJ488" s="105"/>
      <c r="AK488" s="105"/>
      <c r="AL488" s="105"/>
      <c r="AM488" s="105"/>
      <c r="AN488" s="105"/>
      <c r="AO488" s="105"/>
      <c r="AP488" s="105"/>
      <c r="AQ488" s="105"/>
      <c r="AR488" s="105"/>
      <c r="AS488" s="105"/>
      <c r="AT488" s="105"/>
      <c r="AU488" s="105"/>
      <c r="AV488" s="105"/>
      <c r="AW488" s="105"/>
      <c r="AX488" s="105"/>
      <c r="AY488" s="105"/>
      <c r="AZ488" s="105"/>
      <c r="BA488" s="105"/>
      <c r="BB488" s="105"/>
      <c r="BC488" s="105"/>
      <c r="BD488" s="105"/>
      <c r="BE488" s="105"/>
      <c r="BF488" s="105"/>
      <c r="BG488" s="105"/>
      <c r="BH488" s="105"/>
      <c r="BI488" s="105"/>
      <c r="BJ488" s="105"/>
      <c r="BK488" s="105"/>
      <c r="BL488" s="105"/>
      <c r="BM488" s="105"/>
      <c r="BN488" s="105"/>
      <c r="BO488" s="105"/>
      <c r="BP488" s="105"/>
      <c r="BQ488" s="105"/>
      <c r="BR488" s="105"/>
      <c r="BS488" s="105"/>
      <c r="BT488" s="105"/>
      <c r="BU488" s="105"/>
      <c r="BV488" s="105"/>
      <c r="BW488" s="106"/>
      <c r="BX488" s="28"/>
    </row>
    <row r="489" spans="1:76" s="34" customFormat="1" ht="17.25" hidden="1" customHeight="1" outlineLevel="1" x14ac:dyDescent="0.25">
      <c r="A489" s="57"/>
      <c r="B489" s="377"/>
      <c r="C489" s="9"/>
      <c r="D489" s="1"/>
      <c r="E489" s="1"/>
      <c r="H489" s="377"/>
      <c r="I489" s="95"/>
      <c r="J489" s="58"/>
      <c r="K489" s="155"/>
      <c r="L489" s="317"/>
      <c r="M489" s="156"/>
      <c r="N489" s="156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  <c r="Y489" s="106"/>
      <c r="Z489" s="105"/>
      <c r="AA489" s="104"/>
      <c r="AB489" s="105"/>
      <c r="AC489" s="105"/>
      <c r="AD489" s="105"/>
      <c r="AE489" s="105"/>
      <c r="AF489" s="105"/>
      <c r="AG489" s="105"/>
      <c r="AH489" s="105"/>
      <c r="AI489" s="105"/>
      <c r="AJ489" s="105"/>
      <c r="AK489" s="105"/>
      <c r="AL489" s="105"/>
      <c r="AM489" s="105"/>
      <c r="AN489" s="105"/>
      <c r="AO489" s="105"/>
      <c r="AP489" s="105"/>
      <c r="AQ489" s="105"/>
      <c r="AR489" s="105"/>
      <c r="AS489" s="105"/>
      <c r="AT489" s="105"/>
      <c r="AU489" s="105"/>
      <c r="AV489" s="105"/>
      <c r="AW489" s="105"/>
      <c r="AX489" s="105"/>
      <c r="AY489" s="105"/>
      <c r="AZ489" s="105"/>
      <c r="BA489" s="105"/>
      <c r="BB489" s="105"/>
      <c r="BC489" s="105"/>
      <c r="BD489" s="105"/>
      <c r="BE489" s="105"/>
      <c r="BF489" s="105"/>
      <c r="BG489" s="105"/>
      <c r="BH489" s="105"/>
      <c r="BI489" s="105"/>
      <c r="BJ489" s="105"/>
      <c r="BK489" s="105"/>
      <c r="BL489" s="105"/>
      <c r="BM489" s="105"/>
      <c r="BN489" s="105"/>
      <c r="BO489" s="105"/>
      <c r="BP489" s="105"/>
      <c r="BQ489" s="105"/>
      <c r="BR489" s="105"/>
      <c r="BS489" s="105"/>
      <c r="BT489" s="105"/>
      <c r="BU489" s="105"/>
      <c r="BV489" s="105"/>
      <c r="BW489" s="106"/>
      <c r="BX489" s="28"/>
    </row>
    <row r="490" spans="1:76" s="34" customFormat="1" ht="17.25" hidden="1" customHeight="1" outlineLevel="1" x14ac:dyDescent="0.25">
      <c r="A490" s="57"/>
      <c r="B490" s="377"/>
      <c r="C490" s="9"/>
      <c r="D490" s="1"/>
      <c r="E490" s="1"/>
      <c r="H490" s="377"/>
      <c r="I490" s="95"/>
      <c r="J490" s="58"/>
      <c r="K490" s="155"/>
      <c r="L490" s="317"/>
      <c r="M490" s="156"/>
      <c r="N490" s="156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  <c r="Y490" s="106"/>
      <c r="Z490" s="105"/>
      <c r="AA490" s="104"/>
      <c r="AB490" s="105"/>
      <c r="AC490" s="105"/>
      <c r="AD490" s="105"/>
      <c r="AE490" s="105"/>
      <c r="AF490" s="105"/>
      <c r="AG490" s="105"/>
      <c r="AH490" s="105"/>
      <c r="AI490" s="105"/>
      <c r="AJ490" s="105"/>
      <c r="AK490" s="105"/>
      <c r="AL490" s="105"/>
      <c r="AM490" s="105"/>
      <c r="AN490" s="105"/>
      <c r="AO490" s="105"/>
      <c r="AP490" s="105"/>
      <c r="AQ490" s="105"/>
      <c r="AR490" s="105"/>
      <c r="AS490" s="105"/>
      <c r="AT490" s="105"/>
      <c r="AU490" s="105"/>
      <c r="AV490" s="105"/>
      <c r="AW490" s="105"/>
      <c r="AX490" s="105"/>
      <c r="AY490" s="105"/>
      <c r="AZ490" s="105"/>
      <c r="BA490" s="105"/>
      <c r="BB490" s="105"/>
      <c r="BC490" s="105"/>
      <c r="BD490" s="105"/>
      <c r="BE490" s="105"/>
      <c r="BF490" s="105"/>
      <c r="BG490" s="105"/>
      <c r="BH490" s="105"/>
      <c r="BI490" s="105"/>
      <c r="BJ490" s="105"/>
      <c r="BK490" s="105"/>
      <c r="BL490" s="105"/>
      <c r="BM490" s="105"/>
      <c r="BN490" s="105"/>
      <c r="BO490" s="105"/>
      <c r="BP490" s="105"/>
      <c r="BQ490" s="105"/>
      <c r="BR490" s="105"/>
      <c r="BS490" s="105"/>
      <c r="BT490" s="105"/>
      <c r="BU490" s="105"/>
      <c r="BV490" s="105"/>
      <c r="BW490" s="106"/>
      <c r="BX490" s="28"/>
    </row>
    <row r="491" spans="1:76" s="34" customFormat="1" ht="17.25" hidden="1" customHeight="1" outlineLevel="1" x14ac:dyDescent="0.25">
      <c r="A491" s="57"/>
      <c r="B491" s="377"/>
      <c r="C491" s="9"/>
      <c r="D491" s="1"/>
      <c r="E491" s="1"/>
      <c r="H491" s="377"/>
      <c r="I491" s="95"/>
      <c r="J491" s="58"/>
      <c r="K491" s="155"/>
      <c r="L491" s="317"/>
      <c r="M491" s="156"/>
      <c r="N491" s="156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  <c r="Y491" s="106"/>
      <c r="Z491" s="105"/>
      <c r="AA491" s="104"/>
      <c r="AB491" s="105"/>
      <c r="AC491" s="105"/>
      <c r="AD491" s="105"/>
      <c r="AE491" s="105"/>
      <c r="AF491" s="105"/>
      <c r="AG491" s="105"/>
      <c r="AH491" s="105"/>
      <c r="AI491" s="105"/>
      <c r="AJ491" s="105"/>
      <c r="AK491" s="105"/>
      <c r="AL491" s="105"/>
      <c r="AM491" s="105"/>
      <c r="AN491" s="105"/>
      <c r="AO491" s="105"/>
      <c r="AP491" s="105"/>
      <c r="AQ491" s="105"/>
      <c r="AR491" s="105"/>
      <c r="AS491" s="105"/>
      <c r="AT491" s="105"/>
      <c r="AU491" s="105"/>
      <c r="AV491" s="105"/>
      <c r="AW491" s="105"/>
      <c r="AX491" s="105"/>
      <c r="AY491" s="105"/>
      <c r="AZ491" s="105"/>
      <c r="BA491" s="105"/>
      <c r="BB491" s="105"/>
      <c r="BC491" s="105"/>
      <c r="BD491" s="105"/>
      <c r="BE491" s="105"/>
      <c r="BF491" s="105"/>
      <c r="BG491" s="105"/>
      <c r="BH491" s="105"/>
      <c r="BI491" s="105"/>
      <c r="BJ491" s="105"/>
      <c r="BK491" s="105"/>
      <c r="BL491" s="105"/>
      <c r="BM491" s="105"/>
      <c r="BN491" s="105"/>
      <c r="BO491" s="105"/>
      <c r="BP491" s="105"/>
      <c r="BQ491" s="105"/>
      <c r="BR491" s="105"/>
      <c r="BS491" s="105"/>
      <c r="BT491" s="105"/>
      <c r="BU491" s="105"/>
      <c r="BV491" s="105"/>
      <c r="BW491" s="106"/>
      <c r="BX491" s="28"/>
    </row>
    <row r="492" spans="1:76" s="34" customFormat="1" ht="17.25" hidden="1" customHeight="1" outlineLevel="1" x14ac:dyDescent="0.25">
      <c r="A492" s="57"/>
      <c r="B492" s="377"/>
      <c r="C492" s="9"/>
      <c r="D492" s="1"/>
      <c r="E492" s="1"/>
      <c r="H492" s="377"/>
      <c r="I492" s="95"/>
      <c r="J492" s="58"/>
      <c r="K492" s="155"/>
      <c r="L492" s="317"/>
      <c r="M492" s="156"/>
      <c r="N492" s="156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  <c r="Y492" s="106"/>
      <c r="Z492" s="105"/>
      <c r="AA492" s="104"/>
      <c r="AB492" s="105"/>
      <c r="AC492" s="105"/>
      <c r="AD492" s="105"/>
      <c r="AE492" s="105"/>
      <c r="AF492" s="105"/>
      <c r="AG492" s="105"/>
      <c r="AH492" s="105"/>
      <c r="AI492" s="105"/>
      <c r="AJ492" s="105"/>
      <c r="AK492" s="105"/>
      <c r="AL492" s="105"/>
      <c r="AM492" s="105"/>
      <c r="AN492" s="105"/>
      <c r="AO492" s="105"/>
      <c r="AP492" s="105"/>
      <c r="AQ492" s="105"/>
      <c r="AR492" s="105"/>
      <c r="AS492" s="105"/>
      <c r="AT492" s="105"/>
      <c r="AU492" s="105"/>
      <c r="AV492" s="105"/>
      <c r="AW492" s="105"/>
      <c r="AX492" s="105"/>
      <c r="AY492" s="105"/>
      <c r="AZ492" s="105"/>
      <c r="BA492" s="105"/>
      <c r="BB492" s="105"/>
      <c r="BC492" s="105"/>
      <c r="BD492" s="105"/>
      <c r="BE492" s="105"/>
      <c r="BF492" s="105"/>
      <c r="BG492" s="105"/>
      <c r="BH492" s="105"/>
      <c r="BI492" s="105"/>
      <c r="BJ492" s="105"/>
      <c r="BK492" s="105"/>
      <c r="BL492" s="105"/>
      <c r="BM492" s="105"/>
      <c r="BN492" s="105"/>
      <c r="BO492" s="105"/>
      <c r="BP492" s="105"/>
      <c r="BQ492" s="105"/>
      <c r="BR492" s="105"/>
      <c r="BS492" s="105"/>
      <c r="BT492" s="105"/>
      <c r="BU492" s="105"/>
      <c r="BV492" s="105"/>
      <c r="BW492" s="106"/>
      <c r="BX492" s="28"/>
    </row>
    <row r="493" spans="1:76" s="34" customFormat="1" ht="17.25" hidden="1" customHeight="1" outlineLevel="1" x14ac:dyDescent="0.25">
      <c r="A493" s="57"/>
      <c r="B493" s="377"/>
      <c r="C493" s="9"/>
      <c r="D493" s="1"/>
      <c r="E493" s="1"/>
      <c r="H493" s="377"/>
      <c r="I493" s="95"/>
      <c r="J493" s="58"/>
      <c r="K493" s="155"/>
      <c r="L493" s="317"/>
      <c r="M493" s="156"/>
      <c r="N493" s="156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  <c r="Y493" s="106"/>
      <c r="Z493" s="105"/>
      <c r="AA493" s="104"/>
      <c r="AB493" s="105"/>
      <c r="AC493" s="105"/>
      <c r="AD493" s="105"/>
      <c r="AE493" s="105"/>
      <c r="AF493" s="105"/>
      <c r="AG493" s="105"/>
      <c r="AH493" s="105"/>
      <c r="AI493" s="105"/>
      <c r="AJ493" s="105"/>
      <c r="AK493" s="105"/>
      <c r="AL493" s="105"/>
      <c r="AM493" s="105"/>
      <c r="AN493" s="105"/>
      <c r="AO493" s="105"/>
      <c r="AP493" s="105"/>
      <c r="AQ493" s="105"/>
      <c r="AR493" s="105"/>
      <c r="AS493" s="105"/>
      <c r="AT493" s="105"/>
      <c r="AU493" s="105"/>
      <c r="AV493" s="105"/>
      <c r="AW493" s="105"/>
      <c r="AX493" s="105"/>
      <c r="AY493" s="105"/>
      <c r="AZ493" s="105"/>
      <c r="BA493" s="105"/>
      <c r="BB493" s="105"/>
      <c r="BC493" s="105"/>
      <c r="BD493" s="105"/>
      <c r="BE493" s="105"/>
      <c r="BF493" s="105"/>
      <c r="BG493" s="105"/>
      <c r="BH493" s="105"/>
      <c r="BI493" s="105"/>
      <c r="BJ493" s="105"/>
      <c r="BK493" s="105"/>
      <c r="BL493" s="105"/>
      <c r="BM493" s="105"/>
      <c r="BN493" s="105"/>
      <c r="BO493" s="105"/>
      <c r="BP493" s="105"/>
      <c r="BQ493" s="105"/>
      <c r="BR493" s="105"/>
      <c r="BS493" s="105"/>
      <c r="BT493" s="105"/>
      <c r="BU493" s="105"/>
      <c r="BV493" s="105"/>
      <c r="BW493" s="106"/>
      <c r="BX493" s="28"/>
    </row>
    <row r="494" spans="1:76" s="34" customFormat="1" ht="17.25" hidden="1" customHeight="1" outlineLevel="1" x14ac:dyDescent="0.25">
      <c r="A494" s="57"/>
      <c r="B494" s="377"/>
      <c r="C494" s="9"/>
      <c r="D494" s="1"/>
      <c r="E494" s="1"/>
      <c r="H494" s="377"/>
      <c r="I494" s="95"/>
      <c r="J494" s="58"/>
      <c r="K494" s="155"/>
      <c r="L494" s="317"/>
      <c r="M494" s="156"/>
      <c r="N494" s="156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  <c r="Y494" s="106"/>
      <c r="Z494" s="105"/>
      <c r="AA494" s="104"/>
      <c r="AB494" s="105"/>
      <c r="AC494" s="105"/>
      <c r="AD494" s="105"/>
      <c r="AE494" s="105"/>
      <c r="AF494" s="105"/>
      <c r="AG494" s="105"/>
      <c r="AH494" s="105"/>
      <c r="AI494" s="105"/>
      <c r="AJ494" s="105"/>
      <c r="AK494" s="105"/>
      <c r="AL494" s="105"/>
      <c r="AM494" s="105"/>
      <c r="AN494" s="105"/>
      <c r="AO494" s="105"/>
      <c r="AP494" s="105"/>
      <c r="AQ494" s="105"/>
      <c r="AR494" s="105"/>
      <c r="AS494" s="105"/>
      <c r="AT494" s="105"/>
      <c r="AU494" s="105"/>
      <c r="AV494" s="105"/>
      <c r="AW494" s="105"/>
      <c r="AX494" s="105"/>
      <c r="AY494" s="105"/>
      <c r="AZ494" s="105"/>
      <c r="BA494" s="105"/>
      <c r="BB494" s="105"/>
      <c r="BC494" s="105"/>
      <c r="BD494" s="105"/>
      <c r="BE494" s="105"/>
      <c r="BF494" s="105"/>
      <c r="BG494" s="105"/>
      <c r="BH494" s="105"/>
      <c r="BI494" s="105"/>
      <c r="BJ494" s="105"/>
      <c r="BK494" s="105"/>
      <c r="BL494" s="105"/>
      <c r="BM494" s="105"/>
      <c r="BN494" s="105"/>
      <c r="BO494" s="105"/>
      <c r="BP494" s="105"/>
      <c r="BQ494" s="105"/>
      <c r="BR494" s="105"/>
      <c r="BS494" s="105"/>
      <c r="BT494" s="105"/>
      <c r="BU494" s="105"/>
      <c r="BV494" s="105"/>
      <c r="BW494" s="106"/>
      <c r="BX494" s="28"/>
    </row>
    <row r="495" spans="1:76" s="34" customFormat="1" ht="17.25" hidden="1" customHeight="1" outlineLevel="1" x14ac:dyDescent="0.25">
      <c r="A495" s="57"/>
      <c r="B495" s="377"/>
      <c r="C495" s="9"/>
      <c r="D495" s="1"/>
      <c r="E495" s="1"/>
      <c r="H495" s="377"/>
      <c r="I495" s="95"/>
      <c r="J495" s="58"/>
      <c r="K495" s="155"/>
      <c r="L495" s="317"/>
      <c r="M495" s="156"/>
      <c r="N495" s="156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  <c r="Y495" s="106"/>
      <c r="Z495" s="105"/>
      <c r="AA495" s="104"/>
      <c r="AB495" s="105"/>
      <c r="AC495" s="105"/>
      <c r="AD495" s="105"/>
      <c r="AE495" s="105"/>
      <c r="AF495" s="105"/>
      <c r="AG495" s="105"/>
      <c r="AH495" s="105"/>
      <c r="AI495" s="105"/>
      <c r="AJ495" s="105"/>
      <c r="AK495" s="105"/>
      <c r="AL495" s="105"/>
      <c r="AM495" s="105"/>
      <c r="AN495" s="105"/>
      <c r="AO495" s="105"/>
      <c r="AP495" s="105"/>
      <c r="AQ495" s="105"/>
      <c r="AR495" s="105"/>
      <c r="AS495" s="105"/>
      <c r="AT495" s="105"/>
      <c r="AU495" s="105"/>
      <c r="AV495" s="105"/>
      <c r="AW495" s="105"/>
      <c r="AX495" s="105"/>
      <c r="AY495" s="105"/>
      <c r="AZ495" s="105"/>
      <c r="BA495" s="105"/>
      <c r="BB495" s="105"/>
      <c r="BC495" s="105"/>
      <c r="BD495" s="105"/>
      <c r="BE495" s="105"/>
      <c r="BF495" s="105"/>
      <c r="BG495" s="105"/>
      <c r="BH495" s="105"/>
      <c r="BI495" s="105"/>
      <c r="BJ495" s="105"/>
      <c r="BK495" s="105"/>
      <c r="BL495" s="105"/>
      <c r="BM495" s="105"/>
      <c r="BN495" s="105"/>
      <c r="BO495" s="105"/>
      <c r="BP495" s="105"/>
      <c r="BQ495" s="105"/>
      <c r="BR495" s="105"/>
      <c r="BS495" s="105"/>
      <c r="BT495" s="105"/>
      <c r="BU495" s="105"/>
      <c r="BV495" s="105"/>
      <c r="BW495" s="106"/>
      <c r="BX495" s="28"/>
    </row>
    <row r="496" spans="1:76" s="34" customFormat="1" ht="17.25" hidden="1" customHeight="1" outlineLevel="1" x14ac:dyDescent="0.25">
      <c r="A496" s="57"/>
      <c r="B496" s="377"/>
      <c r="C496" s="9"/>
      <c r="D496" s="1"/>
      <c r="E496" s="1"/>
      <c r="H496" s="377"/>
      <c r="I496" s="95"/>
      <c r="J496" s="58"/>
      <c r="K496" s="155"/>
      <c r="L496" s="317"/>
      <c r="M496" s="156"/>
      <c r="N496" s="156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  <c r="Y496" s="106"/>
      <c r="Z496" s="105"/>
      <c r="AA496" s="104"/>
      <c r="AB496" s="105"/>
      <c r="AC496" s="105"/>
      <c r="AD496" s="105"/>
      <c r="AE496" s="105"/>
      <c r="AF496" s="105"/>
      <c r="AG496" s="105"/>
      <c r="AH496" s="105"/>
      <c r="AI496" s="105"/>
      <c r="AJ496" s="105"/>
      <c r="AK496" s="105"/>
      <c r="AL496" s="105"/>
      <c r="AM496" s="105"/>
      <c r="AN496" s="105"/>
      <c r="AO496" s="105"/>
      <c r="AP496" s="105"/>
      <c r="AQ496" s="105"/>
      <c r="AR496" s="105"/>
      <c r="AS496" s="105"/>
      <c r="AT496" s="105"/>
      <c r="AU496" s="105"/>
      <c r="AV496" s="105"/>
      <c r="AW496" s="105"/>
      <c r="AX496" s="105"/>
      <c r="AY496" s="105"/>
      <c r="AZ496" s="105"/>
      <c r="BA496" s="105"/>
      <c r="BB496" s="105"/>
      <c r="BC496" s="105"/>
      <c r="BD496" s="105"/>
      <c r="BE496" s="105"/>
      <c r="BF496" s="105"/>
      <c r="BG496" s="105"/>
      <c r="BH496" s="105"/>
      <c r="BI496" s="105"/>
      <c r="BJ496" s="105"/>
      <c r="BK496" s="105"/>
      <c r="BL496" s="105"/>
      <c r="BM496" s="105"/>
      <c r="BN496" s="105"/>
      <c r="BO496" s="105"/>
      <c r="BP496" s="105"/>
      <c r="BQ496" s="105"/>
      <c r="BR496" s="105"/>
      <c r="BS496" s="105"/>
      <c r="BT496" s="105"/>
      <c r="BU496" s="105"/>
      <c r="BV496" s="105"/>
      <c r="BW496" s="106"/>
      <c r="BX496" s="28"/>
    </row>
    <row r="497" spans="1:78" s="34" customFormat="1" ht="17.25" hidden="1" customHeight="1" outlineLevel="1" x14ac:dyDescent="0.25">
      <c r="A497" s="57"/>
      <c r="B497" s="377"/>
      <c r="C497" s="9"/>
      <c r="D497" s="1"/>
      <c r="E497" s="1"/>
      <c r="H497" s="377"/>
      <c r="I497" s="95"/>
      <c r="J497" s="58"/>
      <c r="K497" s="155"/>
      <c r="L497" s="317"/>
      <c r="M497" s="156"/>
      <c r="N497" s="156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  <c r="Y497" s="106"/>
      <c r="Z497" s="105"/>
      <c r="AA497" s="104"/>
      <c r="AB497" s="105"/>
      <c r="AC497" s="105"/>
      <c r="AD497" s="105"/>
      <c r="AE497" s="105"/>
      <c r="AF497" s="105"/>
      <c r="AG497" s="105"/>
      <c r="AH497" s="105"/>
      <c r="AI497" s="105"/>
      <c r="AJ497" s="105"/>
      <c r="AK497" s="105"/>
      <c r="AL497" s="105"/>
      <c r="AM497" s="105"/>
      <c r="AN497" s="105"/>
      <c r="AO497" s="105"/>
      <c r="AP497" s="105"/>
      <c r="AQ497" s="105"/>
      <c r="AR497" s="105"/>
      <c r="AS497" s="105"/>
      <c r="AT497" s="105"/>
      <c r="AU497" s="105"/>
      <c r="AV497" s="105"/>
      <c r="AW497" s="105"/>
      <c r="AX497" s="105"/>
      <c r="AY497" s="105"/>
      <c r="AZ497" s="105"/>
      <c r="BA497" s="105"/>
      <c r="BB497" s="105"/>
      <c r="BC497" s="105"/>
      <c r="BD497" s="105"/>
      <c r="BE497" s="105"/>
      <c r="BF497" s="105"/>
      <c r="BG497" s="105"/>
      <c r="BH497" s="105"/>
      <c r="BI497" s="105"/>
      <c r="BJ497" s="105"/>
      <c r="BK497" s="105"/>
      <c r="BL497" s="105"/>
      <c r="BM497" s="105"/>
      <c r="BN497" s="105"/>
      <c r="BO497" s="105"/>
      <c r="BP497" s="105"/>
      <c r="BQ497" s="105"/>
      <c r="BR497" s="105"/>
      <c r="BS497" s="105"/>
      <c r="BT497" s="105"/>
      <c r="BU497" s="105"/>
      <c r="BV497" s="105"/>
      <c r="BW497" s="106"/>
      <c r="BX497" s="28"/>
    </row>
    <row r="498" spans="1:78" s="34" customFormat="1" ht="17.25" hidden="1" customHeight="1" outlineLevel="1" x14ac:dyDescent="0.25">
      <c r="A498" s="57"/>
      <c r="B498" s="377"/>
      <c r="C498" s="9"/>
      <c r="D498" s="1"/>
      <c r="E498" s="1"/>
      <c r="H498" s="377"/>
      <c r="I498" s="95"/>
      <c r="J498" s="58"/>
      <c r="K498" s="155"/>
      <c r="L498" s="317"/>
      <c r="M498" s="156"/>
      <c r="N498" s="156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  <c r="Y498" s="106"/>
      <c r="Z498" s="105"/>
      <c r="AA498" s="104"/>
      <c r="AB498" s="105"/>
      <c r="AC498" s="105"/>
      <c r="AD498" s="105"/>
      <c r="AE498" s="105"/>
      <c r="AF498" s="105"/>
      <c r="AG498" s="105"/>
      <c r="AH498" s="105"/>
      <c r="AI498" s="105"/>
      <c r="AJ498" s="105"/>
      <c r="AK498" s="105"/>
      <c r="AL498" s="105"/>
      <c r="AM498" s="105"/>
      <c r="AN498" s="105"/>
      <c r="AO498" s="105"/>
      <c r="AP498" s="105"/>
      <c r="AQ498" s="105"/>
      <c r="AR498" s="105"/>
      <c r="AS498" s="105"/>
      <c r="AT498" s="105"/>
      <c r="AU498" s="105"/>
      <c r="AV498" s="105"/>
      <c r="AW498" s="105"/>
      <c r="AX498" s="105"/>
      <c r="AY498" s="105"/>
      <c r="AZ498" s="105"/>
      <c r="BA498" s="105"/>
      <c r="BB498" s="105"/>
      <c r="BC498" s="105"/>
      <c r="BD498" s="105"/>
      <c r="BE498" s="105"/>
      <c r="BF498" s="105"/>
      <c r="BG498" s="105"/>
      <c r="BH498" s="105"/>
      <c r="BI498" s="105"/>
      <c r="BJ498" s="105"/>
      <c r="BK498" s="105"/>
      <c r="BL498" s="105"/>
      <c r="BM498" s="105"/>
      <c r="BN498" s="105"/>
      <c r="BO498" s="105"/>
      <c r="BP498" s="105"/>
      <c r="BQ498" s="105"/>
      <c r="BR498" s="105"/>
      <c r="BS498" s="105"/>
      <c r="BT498" s="105"/>
      <c r="BU498" s="105"/>
      <c r="BV498" s="105"/>
      <c r="BW498" s="106"/>
      <c r="BX498" s="28"/>
    </row>
    <row r="499" spans="1:78" s="34" customFormat="1" ht="17.25" hidden="1" customHeight="1" outlineLevel="1" x14ac:dyDescent="0.25">
      <c r="A499" s="57"/>
      <c r="B499" s="377"/>
      <c r="C499" s="9"/>
      <c r="D499" s="1"/>
      <c r="E499" s="1"/>
      <c r="H499" s="377"/>
      <c r="I499" s="95"/>
      <c r="J499" s="58"/>
      <c r="K499" s="155"/>
      <c r="L499" s="317"/>
      <c r="M499" s="156"/>
      <c r="N499" s="156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  <c r="Y499" s="106"/>
      <c r="Z499" s="105"/>
      <c r="AA499" s="104"/>
      <c r="AB499" s="105"/>
      <c r="AC499" s="105"/>
      <c r="AD499" s="105"/>
      <c r="AE499" s="105"/>
      <c r="AF499" s="105"/>
      <c r="AG499" s="105"/>
      <c r="AH499" s="105"/>
      <c r="AI499" s="105"/>
      <c r="AJ499" s="105"/>
      <c r="AK499" s="105"/>
      <c r="AL499" s="105"/>
      <c r="AM499" s="105"/>
      <c r="AN499" s="105"/>
      <c r="AO499" s="105"/>
      <c r="AP499" s="105"/>
      <c r="AQ499" s="105"/>
      <c r="AR499" s="105"/>
      <c r="AS499" s="105"/>
      <c r="AT499" s="105"/>
      <c r="AU499" s="105"/>
      <c r="AV499" s="105"/>
      <c r="AW499" s="105"/>
      <c r="AX499" s="105"/>
      <c r="AY499" s="105"/>
      <c r="AZ499" s="105"/>
      <c r="BA499" s="105"/>
      <c r="BB499" s="105"/>
      <c r="BC499" s="105"/>
      <c r="BD499" s="105"/>
      <c r="BE499" s="105"/>
      <c r="BF499" s="105"/>
      <c r="BG499" s="105"/>
      <c r="BH499" s="105"/>
      <c r="BI499" s="105"/>
      <c r="BJ499" s="105"/>
      <c r="BK499" s="105"/>
      <c r="BL499" s="105"/>
      <c r="BM499" s="105"/>
      <c r="BN499" s="105"/>
      <c r="BO499" s="105"/>
      <c r="BP499" s="105"/>
      <c r="BQ499" s="105"/>
      <c r="BR499" s="105"/>
      <c r="BS499" s="105"/>
      <c r="BT499" s="105"/>
      <c r="BU499" s="105"/>
      <c r="BV499" s="105"/>
      <c r="BW499" s="106"/>
      <c r="BX499" s="28"/>
    </row>
    <row r="500" spans="1:78" s="34" customFormat="1" ht="17.25" hidden="1" customHeight="1" outlineLevel="1" x14ac:dyDescent="0.25">
      <c r="A500" s="57"/>
      <c r="B500" s="377"/>
      <c r="C500" s="9"/>
      <c r="D500" s="1"/>
      <c r="E500" s="1"/>
      <c r="H500" s="377"/>
      <c r="I500" s="95"/>
      <c r="J500" s="58"/>
      <c r="K500" s="155"/>
      <c r="L500" s="317"/>
      <c r="M500" s="156"/>
      <c r="N500" s="156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  <c r="Y500" s="106"/>
      <c r="Z500" s="105"/>
      <c r="AA500" s="104"/>
      <c r="AB500" s="105"/>
      <c r="AC500" s="105"/>
      <c r="AD500" s="105"/>
      <c r="AE500" s="105"/>
      <c r="AF500" s="105"/>
      <c r="AG500" s="105"/>
      <c r="AH500" s="105"/>
      <c r="AI500" s="105"/>
      <c r="AJ500" s="105"/>
      <c r="AK500" s="105"/>
      <c r="AL500" s="105"/>
      <c r="AM500" s="105"/>
      <c r="AN500" s="105"/>
      <c r="AO500" s="105"/>
      <c r="AP500" s="105"/>
      <c r="AQ500" s="105"/>
      <c r="AR500" s="105"/>
      <c r="AS500" s="105"/>
      <c r="AT500" s="105"/>
      <c r="AU500" s="105"/>
      <c r="AV500" s="105"/>
      <c r="AW500" s="105"/>
      <c r="AX500" s="105"/>
      <c r="AY500" s="105"/>
      <c r="AZ500" s="105"/>
      <c r="BA500" s="105"/>
      <c r="BB500" s="105"/>
      <c r="BC500" s="105"/>
      <c r="BD500" s="105"/>
      <c r="BE500" s="105"/>
      <c r="BF500" s="105"/>
      <c r="BG500" s="105"/>
      <c r="BH500" s="105"/>
      <c r="BI500" s="105"/>
      <c r="BJ500" s="105"/>
      <c r="BK500" s="105"/>
      <c r="BL500" s="105"/>
      <c r="BM500" s="105"/>
      <c r="BN500" s="105"/>
      <c r="BO500" s="105"/>
      <c r="BP500" s="105"/>
      <c r="BQ500" s="105"/>
      <c r="BR500" s="105"/>
      <c r="BS500" s="105"/>
      <c r="BT500" s="105"/>
      <c r="BU500" s="105"/>
      <c r="BV500" s="105"/>
      <c r="BW500" s="106"/>
      <c r="BX500" s="28"/>
    </row>
    <row r="501" spans="1:78" s="34" customFormat="1" ht="17.25" hidden="1" customHeight="1" outlineLevel="1" x14ac:dyDescent="0.25">
      <c r="A501" s="57"/>
      <c r="B501" s="377"/>
      <c r="C501" s="9"/>
      <c r="D501" s="1"/>
      <c r="E501" s="1"/>
      <c r="H501" s="377"/>
      <c r="I501" s="95"/>
      <c r="J501" s="58"/>
      <c r="K501" s="155"/>
      <c r="L501" s="317"/>
      <c r="M501" s="156"/>
      <c r="N501" s="156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  <c r="Y501" s="106"/>
      <c r="Z501" s="105"/>
      <c r="AA501" s="104"/>
      <c r="AB501" s="105"/>
      <c r="AC501" s="105"/>
      <c r="AD501" s="105"/>
      <c r="AE501" s="105"/>
      <c r="AF501" s="105"/>
      <c r="AG501" s="105"/>
      <c r="AH501" s="105"/>
      <c r="AI501" s="105"/>
      <c r="AJ501" s="105"/>
      <c r="AK501" s="105"/>
      <c r="AL501" s="105"/>
      <c r="AM501" s="105"/>
      <c r="AN501" s="105"/>
      <c r="AO501" s="105"/>
      <c r="AP501" s="105"/>
      <c r="AQ501" s="105"/>
      <c r="AR501" s="105"/>
      <c r="AS501" s="105"/>
      <c r="AT501" s="105"/>
      <c r="AU501" s="105"/>
      <c r="AV501" s="105"/>
      <c r="AW501" s="105"/>
      <c r="AX501" s="105"/>
      <c r="AY501" s="105"/>
      <c r="AZ501" s="105"/>
      <c r="BA501" s="105"/>
      <c r="BB501" s="105"/>
      <c r="BC501" s="105"/>
      <c r="BD501" s="105"/>
      <c r="BE501" s="105"/>
      <c r="BF501" s="105"/>
      <c r="BG501" s="105"/>
      <c r="BH501" s="105"/>
      <c r="BI501" s="105"/>
      <c r="BJ501" s="105"/>
      <c r="BK501" s="105"/>
      <c r="BL501" s="105"/>
      <c r="BM501" s="105"/>
      <c r="BN501" s="105"/>
      <c r="BO501" s="105"/>
      <c r="BP501" s="105"/>
      <c r="BQ501" s="105"/>
      <c r="BR501" s="105"/>
      <c r="BS501" s="105"/>
      <c r="BT501" s="105"/>
      <c r="BU501" s="105"/>
      <c r="BV501" s="105"/>
      <c r="BW501" s="106"/>
      <c r="BX501" s="28"/>
    </row>
    <row r="502" spans="1:78" s="34" customFormat="1" ht="17.25" hidden="1" customHeight="1" outlineLevel="1" x14ac:dyDescent="0.25">
      <c r="A502" s="57"/>
      <c r="B502" s="377"/>
      <c r="C502" s="9"/>
      <c r="D502" s="1"/>
      <c r="E502" s="1"/>
      <c r="H502" s="377"/>
      <c r="I502" s="95"/>
      <c r="J502" s="58"/>
      <c r="K502" s="155"/>
      <c r="L502" s="317"/>
      <c r="M502" s="156"/>
      <c r="N502" s="156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  <c r="Y502" s="106"/>
      <c r="Z502" s="105"/>
      <c r="AA502" s="104"/>
      <c r="AB502" s="105"/>
      <c r="AC502" s="105"/>
      <c r="AD502" s="105"/>
      <c r="AE502" s="105"/>
      <c r="AF502" s="105"/>
      <c r="AG502" s="105"/>
      <c r="AH502" s="105"/>
      <c r="AI502" s="105"/>
      <c r="AJ502" s="105"/>
      <c r="AK502" s="105"/>
      <c r="AL502" s="105"/>
      <c r="AM502" s="105"/>
      <c r="AN502" s="105"/>
      <c r="AO502" s="105"/>
      <c r="AP502" s="105"/>
      <c r="AQ502" s="105"/>
      <c r="AR502" s="105"/>
      <c r="AS502" s="105"/>
      <c r="AT502" s="105"/>
      <c r="AU502" s="105"/>
      <c r="AV502" s="105"/>
      <c r="AW502" s="105"/>
      <c r="AX502" s="105"/>
      <c r="AY502" s="105"/>
      <c r="AZ502" s="105"/>
      <c r="BA502" s="105"/>
      <c r="BB502" s="105"/>
      <c r="BC502" s="105"/>
      <c r="BD502" s="105"/>
      <c r="BE502" s="105"/>
      <c r="BF502" s="105"/>
      <c r="BG502" s="105"/>
      <c r="BH502" s="105"/>
      <c r="BI502" s="105"/>
      <c r="BJ502" s="105"/>
      <c r="BK502" s="105"/>
      <c r="BL502" s="105"/>
      <c r="BM502" s="105"/>
      <c r="BN502" s="105"/>
      <c r="BO502" s="105"/>
      <c r="BP502" s="105"/>
      <c r="BQ502" s="105"/>
      <c r="BR502" s="105"/>
      <c r="BS502" s="105"/>
      <c r="BT502" s="105"/>
      <c r="BU502" s="105"/>
      <c r="BV502" s="105"/>
      <c r="BW502" s="106"/>
      <c r="BX502" s="28"/>
    </row>
    <row r="503" spans="1:78" s="34" customFormat="1" ht="17.25" customHeight="1" collapsed="1" x14ac:dyDescent="0.25">
      <c r="A503" s="57"/>
      <c r="B503" s="377"/>
      <c r="C503" s="9"/>
      <c r="D503" s="1"/>
      <c r="E503" s="1"/>
      <c r="H503" s="377"/>
      <c r="I503" s="95"/>
      <c r="J503" s="58"/>
      <c r="K503" s="155"/>
      <c r="L503" s="317"/>
      <c r="M503" s="156"/>
      <c r="N503" s="156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  <c r="Y503" s="106"/>
      <c r="Z503" s="105"/>
      <c r="AA503" s="104"/>
      <c r="AB503" s="105"/>
      <c r="AC503" s="105"/>
      <c r="AD503" s="105"/>
      <c r="AE503" s="105"/>
      <c r="AF503" s="105"/>
      <c r="AG503" s="105"/>
      <c r="AH503" s="105"/>
      <c r="AI503" s="105"/>
      <c r="AJ503" s="105"/>
      <c r="AK503" s="105"/>
      <c r="AL503" s="105"/>
      <c r="AM503" s="105"/>
      <c r="AN503" s="105"/>
      <c r="AO503" s="105"/>
      <c r="AP503" s="105"/>
      <c r="AQ503" s="105"/>
      <c r="AR503" s="105"/>
      <c r="AS503" s="105"/>
      <c r="AT503" s="105"/>
      <c r="AU503" s="105"/>
      <c r="AV503" s="105"/>
      <c r="AW503" s="105"/>
      <c r="AX503" s="105"/>
      <c r="AY503" s="105"/>
      <c r="AZ503" s="105"/>
      <c r="BA503" s="105"/>
      <c r="BB503" s="105"/>
      <c r="BC503" s="105"/>
      <c r="BD503" s="105"/>
      <c r="BE503" s="105"/>
      <c r="BF503" s="105"/>
      <c r="BG503" s="105"/>
      <c r="BH503" s="105"/>
      <c r="BI503" s="105"/>
      <c r="BJ503" s="105"/>
      <c r="BK503" s="105"/>
      <c r="BL503" s="105"/>
      <c r="BM503" s="105"/>
      <c r="BN503" s="105"/>
      <c r="BO503" s="105"/>
      <c r="BP503" s="105"/>
      <c r="BQ503" s="105"/>
      <c r="BR503" s="105"/>
      <c r="BS503" s="105"/>
      <c r="BT503" s="105"/>
      <c r="BU503" s="105"/>
      <c r="BV503" s="105"/>
      <c r="BW503" s="106"/>
      <c r="BX503" s="28"/>
    </row>
    <row r="504" spans="1:78" ht="3" customHeight="1" x14ac:dyDescent="0.25">
      <c r="A504" s="57"/>
      <c r="B504" s="360"/>
      <c r="H504" s="360"/>
      <c r="I504" s="69"/>
      <c r="J504" s="54"/>
      <c r="K504" s="107"/>
      <c r="L504" s="108"/>
      <c r="M504" s="583"/>
      <c r="N504" s="583"/>
      <c r="O504" s="583"/>
      <c r="P504" s="583"/>
      <c r="Q504" s="583"/>
      <c r="R504" s="583"/>
      <c r="S504" s="583"/>
      <c r="T504" s="583"/>
      <c r="U504" s="583"/>
      <c r="V504" s="583"/>
      <c r="W504" s="583"/>
      <c r="X504" s="583"/>
      <c r="Y504" s="106"/>
      <c r="Z504" s="105"/>
      <c r="AA504" s="107"/>
      <c r="AB504" s="105"/>
      <c r="AC504" s="105"/>
      <c r="AD504" s="105"/>
      <c r="AE504" s="105"/>
      <c r="AF504" s="105"/>
      <c r="AG504" s="105"/>
      <c r="AH504" s="105"/>
      <c r="AI504" s="105"/>
      <c r="AJ504" s="105"/>
      <c r="AK504" s="105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  <c r="AX504" s="105"/>
      <c r="AY504" s="105"/>
      <c r="AZ504" s="105"/>
      <c r="BA504" s="105"/>
      <c r="BB504" s="105"/>
      <c r="BC504" s="105"/>
      <c r="BD504" s="105"/>
      <c r="BE504" s="105"/>
      <c r="BF504" s="105"/>
      <c r="BG504" s="105"/>
      <c r="BH504" s="105"/>
      <c r="BI504" s="105"/>
      <c r="BJ504" s="105"/>
      <c r="BK504" s="105"/>
      <c r="BL504" s="105"/>
      <c r="BM504" s="105"/>
      <c r="BN504" s="105"/>
      <c r="BO504" s="105"/>
      <c r="BP504" s="105"/>
      <c r="BQ504" s="105"/>
      <c r="BR504" s="105"/>
      <c r="BS504" s="105"/>
      <c r="BT504" s="105"/>
      <c r="BU504" s="105"/>
      <c r="BV504" s="105"/>
      <c r="BW504" s="106"/>
      <c r="BX504" s="28"/>
      <c r="BZ504" s="55"/>
    </row>
    <row r="505" spans="1:78" s="34" customFormat="1" ht="8.25" customHeight="1" x14ac:dyDescent="0.25">
      <c r="A505" s="57"/>
      <c r="B505" s="377"/>
      <c r="C505" s="9"/>
      <c r="D505" s="1"/>
      <c r="E505" s="1"/>
      <c r="H505" s="377"/>
      <c r="I505" s="95"/>
      <c r="J505" s="58"/>
      <c r="K505" s="104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  <c r="Y505" s="106"/>
      <c r="Z505" s="105"/>
      <c r="AA505" s="104"/>
      <c r="AB505" s="105"/>
      <c r="AC505" s="105"/>
      <c r="AD505" s="105"/>
      <c r="AE505" s="105"/>
      <c r="AF505" s="105"/>
      <c r="AG505" s="105"/>
      <c r="AH505" s="105"/>
      <c r="AI505" s="105"/>
      <c r="AJ505" s="105"/>
      <c r="AK505" s="105"/>
      <c r="AL505" s="105"/>
      <c r="AM505" s="105"/>
      <c r="AN505" s="105"/>
      <c r="AO505" s="105"/>
      <c r="AP505" s="105"/>
      <c r="AQ505" s="105"/>
      <c r="AR505" s="105"/>
      <c r="AS505" s="105"/>
      <c r="AT505" s="105"/>
      <c r="AU505" s="105"/>
      <c r="AV505" s="105"/>
      <c r="AW505" s="105"/>
      <c r="AX505" s="105"/>
      <c r="AY505" s="105"/>
      <c r="AZ505" s="105"/>
      <c r="BA505" s="105"/>
      <c r="BB505" s="105"/>
      <c r="BC505" s="105"/>
      <c r="BD505" s="105"/>
      <c r="BE505" s="105"/>
      <c r="BF505" s="105"/>
      <c r="BG505" s="105"/>
      <c r="BH505" s="105"/>
      <c r="BI505" s="105"/>
      <c r="BJ505" s="105"/>
      <c r="BK505" s="105"/>
      <c r="BL505" s="105"/>
      <c r="BM505" s="105"/>
      <c r="BN505" s="105"/>
      <c r="BO505" s="105"/>
      <c r="BP505" s="105"/>
      <c r="BQ505" s="105"/>
      <c r="BR505" s="105"/>
      <c r="BS505" s="105"/>
      <c r="BT505" s="105"/>
      <c r="BU505" s="105"/>
      <c r="BV505" s="105"/>
      <c r="BW505" s="106"/>
      <c r="BX505" s="28"/>
    </row>
    <row r="506" spans="1:78" s="34" customFormat="1" ht="23.25" customHeight="1" x14ac:dyDescent="0.25">
      <c r="A506" s="57"/>
      <c r="B506" s="360" t="s">
        <v>122</v>
      </c>
      <c r="C506" s="9"/>
      <c r="D506" s="1"/>
      <c r="E506" s="1"/>
      <c r="H506" s="360"/>
      <c r="I506" s="95"/>
      <c r="J506" s="58"/>
      <c r="K506" s="100"/>
      <c r="L506" s="540" t="str">
        <f ca="1">_xll.DBRA(Server&amp;$B$32,$B506,$N$19)</f>
        <v>F - Fleet Cost as % of revenue</v>
      </c>
      <c r="M506" s="541" t="s">
        <v>16</v>
      </c>
      <c r="N506" s="541"/>
      <c r="O506" s="584"/>
      <c r="P506" s="212"/>
      <c r="Q506" s="311">
        <f ca="1">_xll.DBRW(Server&amp;Cube1,$N$15,$N$16,$N$17,$N$18,$N$14,$N$13,$N$11,$Q$1,$B506)</f>
        <v>0</v>
      </c>
      <c r="R506" s="312">
        <f ca="1">_xll.DBRW(Server&amp;Cube1,$N$15,$N$16,$N$17,$N$18,$N$14,$N$13,$R$2,$R$1,$B506)</f>
        <v>0</v>
      </c>
      <c r="S506" s="299" t="str">
        <f ca="1">IF(T506=0,"è",IF(T506&lt;0,"ì","î"))</f>
        <v>è</v>
      </c>
      <c r="T506" s="294">
        <f ca="1">-(Q506-R506)*100</f>
        <v>0</v>
      </c>
      <c r="U506" s="245"/>
      <c r="V506" s="311">
        <f ca="1">_xll.DBRW(Server&amp;Cube1,$N$15,$N$16,$N$17,$N$18,$N$14,$N$13,$V$2,$V$1,$B506)</f>
        <v>0</v>
      </c>
      <c r="W506" s="300" t="str">
        <f ca="1">IF(X506=0,"è",IF(X506&lt;0,"ì","î"))</f>
        <v>è</v>
      </c>
      <c r="X506" s="294">
        <f ca="1">-($Q506-V506)*100</f>
        <v>0</v>
      </c>
      <c r="Y506" s="101"/>
      <c r="Z506" s="398"/>
      <c r="AA506" s="100"/>
      <c r="AB506" s="311">
        <f ca="1">_xll.DBRW(Server&amp;Cube1,$N$15,$N$16,$N$17,$N$18,$N$14,$N$13,AB$2,AB$1,$B506)</f>
        <v>0</v>
      </c>
      <c r="AC506" s="311">
        <f ca="1">_xll.DBRW(Server&amp;Cube1,$N$15,$N$16,$N$17,$N$18,$N$14,$N$13,AC$2,AC$1,$B506)</f>
        <v>0</v>
      </c>
      <c r="AD506" s="402">
        <f ca="1">_xll.DBRW(Server&amp;Cube1,$N$15,$N$16,$N$17,$N$18,$N$14,$N$13,AD$2,AD$1,$B506)</f>
        <v>0</v>
      </c>
      <c r="AE506" s="105"/>
      <c r="AF506" s="311">
        <f ca="1">_xll.DBRW(Server&amp;Cube1,$N$15,$N$16,$N$17,$N$18,$N$14,$N$13,AF$2,AF$1,$B506)</f>
        <v>0</v>
      </c>
      <c r="AG506" s="311">
        <f ca="1">_xll.DBRW(Server&amp;Cube1,$N$15,$N$16,$N$17,$N$18,$N$14,$N$13,AG$2,AG$1,$B506)</f>
        <v>0</v>
      </c>
      <c r="AH506" s="402">
        <f ca="1">_xll.DBRW(Server&amp;Cube1,$N$15,$N$16,$N$17,$N$18,$N$14,$N$13,AH$2,AH$1,$B506)</f>
        <v>0</v>
      </c>
      <c r="AI506" s="105"/>
      <c r="AJ506" s="311">
        <f ca="1">_xll.DBRW(Server&amp;Cube1,$N$15,$N$16,$N$17,$N$18,$N$14,$N$13,AJ$2,AJ$1,$B506)</f>
        <v>0</v>
      </c>
      <c r="AK506" s="311">
        <f ca="1">_xll.DBRW(Server&amp;Cube1,$N$15,$N$16,$N$17,$N$18,$N$14,$N$13,AK$2,AK$1,$B506)</f>
        <v>0</v>
      </c>
      <c r="AL506" s="402">
        <f ca="1">_xll.DBRW(Server&amp;Cube1,$N$15,$N$16,$N$17,$N$18,$N$14,$N$13,AL$2,AL$1,$B506)</f>
        <v>0</v>
      </c>
      <c r="AM506" s="105"/>
      <c r="AN506" s="311">
        <f ca="1">_xll.DBRW(Server&amp;Cube1,$N$15,$N$16,$N$17,$N$18,$N$14,$N$13,AN$2,AN$1,$B506)</f>
        <v>0</v>
      </c>
      <c r="AO506" s="311">
        <f ca="1">_xll.DBRW(Server&amp;Cube1,$N$15,$N$16,$N$17,$N$18,$N$14,$N$13,AO$2,AO$1,$B506)</f>
        <v>0</v>
      </c>
      <c r="AP506" s="402">
        <f ca="1">_xll.DBRW(Server&amp;Cube1,$N$15,$N$16,$N$17,$N$18,$N$14,$N$13,AP$2,AP$1,$B506)</f>
        <v>0</v>
      </c>
      <c r="AQ506" s="105"/>
      <c r="AR506" s="311">
        <f ca="1">_xll.DBRW(Server&amp;Cube1,$N$15,$N$16,$N$17,$N$18,$N$14,$N$13,AR$2,AR$1,$B506)</f>
        <v>0</v>
      </c>
      <c r="AS506" s="311">
        <f ca="1">_xll.DBRW(Server&amp;Cube1,$N$15,$N$16,$N$17,$N$18,$N$14,$N$13,AS$2,AS$1,$B506)</f>
        <v>0</v>
      </c>
      <c r="AT506" s="402">
        <f ca="1">_xll.DBRW(Server&amp;Cube1,$N$15,$N$16,$N$17,$N$18,$N$14,$N$13,AT$2,AT$1,$B506)</f>
        <v>0</v>
      </c>
      <c r="AU506" s="105"/>
      <c r="AV506" s="311">
        <f ca="1">_xll.DBRW(Server&amp;Cube1,$N$15,$N$16,$N$17,$N$18,$N$14,$N$13,AV$2,AV$1,$B506)</f>
        <v>0</v>
      </c>
      <c r="AW506" s="311">
        <f ca="1">_xll.DBRW(Server&amp;Cube1,$N$15,$N$16,$N$17,$N$18,$N$14,$N$13,AW$2,AW$1,$B506)</f>
        <v>0</v>
      </c>
      <c r="AX506" s="402">
        <f ca="1">_xll.DBRW(Server&amp;Cube1,$N$15,$N$16,$N$17,$N$18,$N$14,$N$13,AX$2,AX$1,$B506)</f>
        <v>0</v>
      </c>
      <c r="AY506" s="105"/>
      <c r="AZ506" s="311">
        <f ca="1">_xll.DBRW(Server&amp;Cube1,$N$15,$N$16,$N$17,$N$18,$N$14,$N$13,AZ$2,AZ$1,$B506)</f>
        <v>0</v>
      </c>
      <c r="BA506" s="311">
        <f ca="1">_xll.DBRW(Server&amp;Cube1,$N$15,$N$16,$N$17,$N$18,$N$14,$N$13,BA$2,BA$1,$B506)</f>
        <v>0</v>
      </c>
      <c r="BB506" s="402">
        <f ca="1">_xll.DBRW(Server&amp;Cube1,$N$15,$N$16,$N$17,$N$18,$N$14,$N$13,BB$2,BB$1,$B506)</f>
        <v>0</v>
      </c>
      <c r="BC506" s="105"/>
      <c r="BD506" s="311">
        <f ca="1">_xll.DBRW(Server&amp;Cube1,$N$15,$N$16,$N$17,$N$18,$N$14,$N$13,BD$2,BD$1,$B506)</f>
        <v>0</v>
      </c>
      <c r="BE506" s="311">
        <f ca="1">_xll.DBRW(Server&amp;Cube1,$N$15,$N$16,$N$17,$N$18,$N$14,$N$13,BE$2,BE$1,$B506)</f>
        <v>0</v>
      </c>
      <c r="BF506" s="402">
        <f ca="1">_xll.DBRW(Server&amp;Cube1,$N$15,$N$16,$N$17,$N$18,$N$14,$N$13,BF$2,BF$1,$B506)</f>
        <v>0</v>
      </c>
      <c r="BG506" s="105"/>
      <c r="BH506" s="311">
        <f ca="1">_xll.DBRW(Server&amp;Cube1,$N$15,$N$16,$N$17,$N$18,$N$14,$N$13,BH$2,BH$1,$B506)</f>
        <v>0</v>
      </c>
      <c r="BI506" s="311">
        <f ca="1">_xll.DBRW(Server&amp;Cube1,$N$15,$N$16,$N$17,$N$18,$N$14,$N$13,BI$2,BI$1,$B506)</f>
        <v>0</v>
      </c>
      <c r="BJ506" s="402">
        <f ca="1">_xll.DBRW(Server&amp;Cube1,$N$15,$N$16,$N$17,$N$18,$N$14,$N$13,BJ$2,BJ$1,$B506)</f>
        <v>0</v>
      </c>
      <c r="BK506" s="105"/>
      <c r="BL506" s="311">
        <f ca="1">_xll.DBRW(Server&amp;Cube1,$N$15,$N$16,$N$17,$N$18,$N$14,$N$13,BL$2,BL$1,$B506)</f>
        <v>0</v>
      </c>
      <c r="BM506" s="311">
        <f ca="1">_xll.DBRW(Server&amp;Cube1,$N$15,$N$16,$N$17,$N$18,$N$14,$N$13,BM$2,BM$1,$B506)</f>
        <v>0</v>
      </c>
      <c r="BN506" s="402">
        <f ca="1">_xll.DBRW(Server&amp;Cube1,$N$15,$N$16,$N$17,$N$18,$N$14,$N$13,BN$2,BN$1,$B506)</f>
        <v>0</v>
      </c>
      <c r="BO506" s="105"/>
      <c r="BP506" s="311">
        <f ca="1">_xll.DBRW(Server&amp;Cube1,$N$15,$N$16,$N$17,$N$18,$N$14,$N$13,BP$2,BP$1,$B506)</f>
        <v>0</v>
      </c>
      <c r="BQ506" s="311">
        <f ca="1">_xll.DBRW(Server&amp;Cube1,$N$15,$N$16,$N$17,$N$18,$N$14,$N$13,BQ$2,BQ$1,$B506)</f>
        <v>0</v>
      </c>
      <c r="BR506" s="402">
        <f ca="1">_xll.DBRW(Server&amp;Cube1,$N$15,$N$16,$N$17,$N$18,$N$14,$N$13,BR$2,BR$1,$B506)</f>
        <v>0</v>
      </c>
      <c r="BS506" s="105"/>
      <c r="BT506" s="311">
        <f ca="1">_xll.DBRW(Server&amp;Cube1,$N$15,$N$16,$N$17,$N$18,$N$14,$N$13,BT$2,BT$1,$B506)</f>
        <v>0</v>
      </c>
      <c r="BU506" s="311">
        <f ca="1">_xll.DBRW(Server&amp;Cube1,$N$15,$N$16,$N$17,$N$18,$N$14,$N$13,BU$2,BU$1,$B506)</f>
        <v>0</v>
      </c>
      <c r="BV506" s="402">
        <f ca="1">_xll.DBRW(Server&amp;Cube1,$N$15,$N$16,$N$17,$N$18,$N$14,$N$13,BV$2,BV$1,$B506)</f>
        <v>0</v>
      </c>
      <c r="BW506" s="101"/>
      <c r="BX506" s="28"/>
      <c r="BZ506" s="367"/>
    </row>
    <row r="507" spans="1:78" s="34" customFormat="1" ht="27.75" customHeight="1" x14ac:dyDescent="0.3">
      <c r="A507" s="57"/>
      <c r="B507" s="360" t="s">
        <v>119</v>
      </c>
      <c r="C507" s="9"/>
      <c r="D507" s="1"/>
      <c r="E507" s="1"/>
      <c r="H507" s="360"/>
      <c r="I507" s="95"/>
      <c r="J507" s="58"/>
      <c r="K507" s="100"/>
      <c r="L507" s="585" t="str">
        <f ca="1">_xll.DBRA(Server&amp;Context!$B$32,Context!$B$45,$N$19)</f>
        <v>LEVEL 2</v>
      </c>
      <c r="M507" s="588" t="str">
        <f ca="1">IF(OR(O520="Not defined",O520="Non défini",O522="Not defined",O522="Non défini"),_xll.DBRA(Server&amp;$B$32,$B507,$N$19),_xll.DBRA(Server&amp;Context!$B$32,Context!$B$52,$N$19)&amp;" "&amp;O520)</f>
        <v>F1 - Fleet Cost per cost work unit</v>
      </c>
      <c r="N507" s="588"/>
      <c r="O507" s="589"/>
      <c r="P507" s="211"/>
      <c r="Q507" s="320">
        <f ca="1">_xll.DBRW(Server&amp;Cube1,$N$15,$N$16,$N$17,$N$18,$N$14,$N$13,$N$11,$Q$1,$B507)</f>
        <v>0</v>
      </c>
      <c r="R507" s="321">
        <f ca="1">_xll.DBRW(Server&amp;Cube1,$N$15,$N$16,$N$17,$N$18,$N$14,$N$13,$R$2,$R$1,$B507)</f>
        <v>0</v>
      </c>
      <c r="S507" s="322">
        <f ca="1">Q507-R507</f>
        <v>0</v>
      </c>
      <c r="T507" s="323"/>
      <c r="U507" s="245"/>
      <c r="V507" s="331">
        <f ca="1">_xll.DBRW(Server&amp;Cube1,$N$15,$N$16,$N$17,$N$18,$N$14,$N$13,$V$2,$V$1,$B507)</f>
        <v>0</v>
      </c>
      <c r="W507" s="322">
        <f ca="1">$Q507-V507</f>
        <v>0</v>
      </c>
      <c r="X507" s="323"/>
      <c r="Y507" s="101"/>
      <c r="Z507" s="398"/>
      <c r="AA507" s="100"/>
      <c r="AB507" s="320">
        <f ca="1">_xll.DBRW(Server&amp;Cube1,$N$15,$N$16,$N$17,$N$18,$N$14,$N$13,AB$2,AB$1,$B507)</f>
        <v>0</v>
      </c>
      <c r="AC507" s="320">
        <f ca="1">_xll.DBRW(Server&amp;Cube1,$N$15,$N$16,$N$17,$N$18,$N$14,$N$13,AC$2,AC$1,$B507)</f>
        <v>0</v>
      </c>
      <c r="AD507" s="403">
        <f ca="1">_xll.DBRW(Server&amp;Cube1,$N$15,$N$16,$N$17,$N$18,$N$14,$N$13,AD$2,AD$1,$B507)</f>
        <v>0</v>
      </c>
      <c r="AE507" s="105"/>
      <c r="AF507" s="320">
        <f ca="1">_xll.DBRW(Server&amp;Cube1,$N$15,$N$16,$N$17,$N$18,$N$14,$N$13,AF$2,AF$1,$B507)</f>
        <v>0</v>
      </c>
      <c r="AG507" s="320">
        <f ca="1">_xll.DBRW(Server&amp;Cube1,$N$15,$N$16,$N$17,$N$18,$N$14,$N$13,AG$2,AG$1,$B507)</f>
        <v>0</v>
      </c>
      <c r="AH507" s="403">
        <f ca="1">_xll.DBRW(Server&amp;Cube1,$N$15,$N$16,$N$17,$N$18,$N$14,$N$13,AH$2,AH$1,$B507)</f>
        <v>0</v>
      </c>
      <c r="AI507" s="105"/>
      <c r="AJ507" s="320">
        <f ca="1">_xll.DBRW(Server&amp;Cube1,$N$15,$N$16,$N$17,$N$18,$N$14,$N$13,AJ$2,AJ$1,$B507)</f>
        <v>0</v>
      </c>
      <c r="AK507" s="320">
        <f ca="1">_xll.DBRW(Server&amp;Cube1,$N$15,$N$16,$N$17,$N$18,$N$14,$N$13,AK$2,AK$1,$B507)</f>
        <v>0</v>
      </c>
      <c r="AL507" s="403">
        <f ca="1">_xll.DBRW(Server&amp;Cube1,$N$15,$N$16,$N$17,$N$18,$N$14,$N$13,AL$2,AL$1,$B507)</f>
        <v>0</v>
      </c>
      <c r="AM507" s="105"/>
      <c r="AN507" s="320">
        <f ca="1">_xll.DBRW(Server&amp;Cube1,$N$15,$N$16,$N$17,$N$18,$N$14,$N$13,AN$2,AN$1,$B507)</f>
        <v>0</v>
      </c>
      <c r="AO507" s="320">
        <f ca="1">_xll.DBRW(Server&amp;Cube1,$N$15,$N$16,$N$17,$N$18,$N$14,$N$13,AO$2,AO$1,$B507)</f>
        <v>0</v>
      </c>
      <c r="AP507" s="403">
        <f ca="1">_xll.DBRW(Server&amp;Cube1,$N$15,$N$16,$N$17,$N$18,$N$14,$N$13,AP$2,AP$1,$B507)</f>
        <v>0</v>
      </c>
      <c r="AQ507" s="105"/>
      <c r="AR507" s="320">
        <f ca="1">_xll.DBRW(Server&amp;Cube1,$N$15,$N$16,$N$17,$N$18,$N$14,$N$13,AR$2,AR$1,$B507)</f>
        <v>0</v>
      </c>
      <c r="AS507" s="320">
        <f ca="1">_xll.DBRW(Server&amp;Cube1,$N$15,$N$16,$N$17,$N$18,$N$14,$N$13,AS$2,AS$1,$B507)</f>
        <v>0</v>
      </c>
      <c r="AT507" s="403">
        <f ca="1">_xll.DBRW(Server&amp;Cube1,$N$15,$N$16,$N$17,$N$18,$N$14,$N$13,AT$2,AT$1,$B507)</f>
        <v>0</v>
      </c>
      <c r="AU507" s="105"/>
      <c r="AV507" s="320">
        <f ca="1">_xll.DBRW(Server&amp;Cube1,$N$15,$N$16,$N$17,$N$18,$N$14,$N$13,AV$2,AV$1,$B507)</f>
        <v>0</v>
      </c>
      <c r="AW507" s="320">
        <f ca="1">_xll.DBRW(Server&amp;Cube1,$N$15,$N$16,$N$17,$N$18,$N$14,$N$13,AW$2,AW$1,$B507)</f>
        <v>0</v>
      </c>
      <c r="AX507" s="403">
        <f ca="1">_xll.DBRW(Server&amp;Cube1,$N$15,$N$16,$N$17,$N$18,$N$14,$N$13,AX$2,AX$1,$B507)</f>
        <v>0</v>
      </c>
      <c r="AY507" s="105"/>
      <c r="AZ507" s="320">
        <f ca="1">_xll.DBRW(Server&amp;Cube1,$N$15,$N$16,$N$17,$N$18,$N$14,$N$13,AZ$2,AZ$1,$B507)</f>
        <v>0</v>
      </c>
      <c r="BA507" s="320">
        <f ca="1">_xll.DBRW(Server&amp;Cube1,$N$15,$N$16,$N$17,$N$18,$N$14,$N$13,BA$2,BA$1,$B507)</f>
        <v>0</v>
      </c>
      <c r="BB507" s="403">
        <f ca="1">_xll.DBRW(Server&amp;Cube1,$N$15,$N$16,$N$17,$N$18,$N$14,$N$13,BB$2,BB$1,$B507)</f>
        <v>0</v>
      </c>
      <c r="BC507" s="105"/>
      <c r="BD507" s="320">
        <f ca="1">_xll.DBRW(Server&amp;Cube1,$N$15,$N$16,$N$17,$N$18,$N$14,$N$13,BD$2,BD$1,$B507)</f>
        <v>0</v>
      </c>
      <c r="BE507" s="320">
        <f ca="1">_xll.DBRW(Server&amp;Cube1,$N$15,$N$16,$N$17,$N$18,$N$14,$N$13,BE$2,BE$1,$B507)</f>
        <v>0</v>
      </c>
      <c r="BF507" s="403">
        <f ca="1">_xll.DBRW(Server&amp;Cube1,$N$15,$N$16,$N$17,$N$18,$N$14,$N$13,BF$2,BF$1,$B507)</f>
        <v>0</v>
      </c>
      <c r="BG507" s="105"/>
      <c r="BH507" s="320">
        <f ca="1">_xll.DBRW(Server&amp;Cube1,$N$15,$N$16,$N$17,$N$18,$N$14,$N$13,BH$2,BH$1,$B507)</f>
        <v>0</v>
      </c>
      <c r="BI507" s="320">
        <f ca="1">_xll.DBRW(Server&amp;Cube1,$N$15,$N$16,$N$17,$N$18,$N$14,$N$13,BI$2,BI$1,$B507)</f>
        <v>0</v>
      </c>
      <c r="BJ507" s="403">
        <f ca="1">_xll.DBRW(Server&amp;Cube1,$N$15,$N$16,$N$17,$N$18,$N$14,$N$13,BJ$2,BJ$1,$B507)</f>
        <v>0</v>
      </c>
      <c r="BK507" s="105"/>
      <c r="BL507" s="320">
        <f ca="1">_xll.DBRW(Server&amp;Cube1,$N$15,$N$16,$N$17,$N$18,$N$14,$N$13,BL$2,BL$1,$B507)</f>
        <v>0</v>
      </c>
      <c r="BM507" s="320">
        <f ca="1">_xll.DBRW(Server&amp;Cube1,$N$15,$N$16,$N$17,$N$18,$N$14,$N$13,BM$2,BM$1,$B507)</f>
        <v>0</v>
      </c>
      <c r="BN507" s="403">
        <f ca="1">_xll.DBRW(Server&amp;Cube1,$N$15,$N$16,$N$17,$N$18,$N$14,$N$13,BN$2,BN$1,$B507)</f>
        <v>0</v>
      </c>
      <c r="BO507" s="105"/>
      <c r="BP507" s="320">
        <f ca="1">_xll.DBRW(Server&amp;Cube1,$N$15,$N$16,$N$17,$N$18,$N$14,$N$13,BP$2,BP$1,$B507)</f>
        <v>0</v>
      </c>
      <c r="BQ507" s="320">
        <f ca="1">_xll.DBRW(Server&amp;Cube1,$N$15,$N$16,$N$17,$N$18,$N$14,$N$13,BQ$2,BQ$1,$B507)</f>
        <v>0</v>
      </c>
      <c r="BR507" s="403">
        <f ca="1">_xll.DBRW(Server&amp;Cube1,$N$15,$N$16,$N$17,$N$18,$N$14,$N$13,BR$2,BR$1,$B507)</f>
        <v>0</v>
      </c>
      <c r="BS507" s="105"/>
      <c r="BT507" s="320">
        <f ca="1">_xll.DBRW(Server&amp;Cube1,$N$15,$N$16,$N$17,$N$18,$N$14,$N$13,BT$2,BT$1,$B507)</f>
        <v>0</v>
      </c>
      <c r="BU507" s="320">
        <f ca="1">_xll.DBRW(Server&amp;Cube1,$N$15,$N$16,$N$17,$N$18,$N$14,$N$13,BU$2,BU$1,$B507)</f>
        <v>0</v>
      </c>
      <c r="BV507" s="403">
        <f ca="1">_xll.DBRW(Server&amp;Cube1,$N$15,$N$16,$N$17,$N$18,$N$14,$N$13,BV$2,BV$1,$B507)</f>
        <v>0</v>
      </c>
      <c r="BW507" s="101"/>
      <c r="BX507" s="28"/>
      <c r="BZ507" s="370"/>
    </row>
    <row r="508" spans="1:78" s="34" customFormat="1" ht="27.75" customHeight="1" x14ac:dyDescent="0.3">
      <c r="A508" s="57"/>
      <c r="B508" s="360" t="s">
        <v>120</v>
      </c>
      <c r="C508" s="9"/>
      <c r="D508" s="1"/>
      <c r="E508" s="1"/>
      <c r="H508" s="360"/>
      <c r="I508" s="95"/>
      <c r="J508" s="58"/>
      <c r="K508" s="100"/>
      <c r="L508" s="586"/>
      <c r="M508" s="590" t="str">
        <f ca="1">IF(OR(O520="Not defined",O520="Non défini",O522="Not defined",O522="Non défini"),_xll.DBRA(Server&amp;$B$32,$B508,$N$19),_xll.DBRA(Server&amp;$B$32,$B508,$N$19)&amp;" - ("&amp;O520&amp;" / "&amp;O522&amp;")")</f>
        <v>F2 - Fleet efficiency</v>
      </c>
      <c r="N508" s="590"/>
      <c r="O508" s="590"/>
      <c r="P508" s="211"/>
      <c r="Q508" s="324">
        <f ca="1">_xll.DBRW(Server&amp;Cube1,$N$15,$N$16,$N$17,$N$18,$N$14,$N$13,$N$11,$Q$1,$B508)</f>
        <v>0</v>
      </c>
      <c r="R508" s="319">
        <f ca="1">_xll.DBRW(Server&amp;Cube1,$N$15,$N$16,$N$17,$N$18,$N$14,$N$13,$R$2,$R$1,$B508)</f>
        <v>0</v>
      </c>
      <c r="S508" s="325">
        <f ca="1">Q508-R508</f>
        <v>0</v>
      </c>
      <c r="T508" s="326"/>
      <c r="U508" s="247"/>
      <c r="V508" s="332">
        <f ca="1">_xll.DBRW(Server&amp;Cube1,$N$15,$N$16,$N$17,$N$18,$N$14,$N$13,$V$2,$V$1,$B508)</f>
        <v>0</v>
      </c>
      <c r="W508" s="325">
        <f ca="1">$Q508-V508</f>
        <v>0</v>
      </c>
      <c r="X508" s="326"/>
      <c r="Y508" s="101"/>
      <c r="Z508" s="398"/>
      <c r="AA508" s="100"/>
      <c r="AB508" s="324">
        <f ca="1">_xll.DBRW(Server&amp;Cube1,$N$15,$N$16,$N$17,$N$18,$N$14,$N$13,AB$2,AB$1,$B508)</f>
        <v>0</v>
      </c>
      <c r="AC508" s="324">
        <f ca="1">_xll.DBRW(Server&amp;Cube1,$N$15,$N$16,$N$17,$N$18,$N$14,$N$13,AC$2,AC$1,$B508)</f>
        <v>0</v>
      </c>
      <c r="AD508" s="404">
        <f ca="1">_xll.DBRW(Server&amp;Cube1,$N$15,$N$16,$N$17,$N$18,$N$14,$N$13,AD$2,AD$1,$B508)</f>
        <v>0</v>
      </c>
      <c r="AE508" s="105"/>
      <c r="AF508" s="324">
        <f ca="1">_xll.DBRW(Server&amp;Cube1,$N$15,$N$16,$N$17,$N$18,$N$14,$N$13,AF$2,AF$1,$B508)</f>
        <v>0</v>
      </c>
      <c r="AG508" s="324">
        <f ca="1">_xll.DBRW(Server&amp;Cube1,$N$15,$N$16,$N$17,$N$18,$N$14,$N$13,AG$2,AG$1,$B508)</f>
        <v>0</v>
      </c>
      <c r="AH508" s="404">
        <f ca="1">_xll.DBRW(Server&amp;Cube1,$N$15,$N$16,$N$17,$N$18,$N$14,$N$13,AH$2,AH$1,$B508)</f>
        <v>0</v>
      </c>
      <c r="AI508" s="105"/>
      <c r="AJ508" s="324">
        <f ca="1">_xll.DBRW(Server&amp;Cube1,$N$15,$N$16,$N$17,$N$18,$N$14,$N$13,AJ$2,AJ$1,$B508)</f>
        <v>0</v>
      </c>
      <c r="AK508" s="324">
        <f ca="1">_xll.DBRW(Server&amp;Cube1,$N$15,$N$16,$N$17,$N$18,$N$14,$N$13,AK$2,AK$1,$B508)</f>
        <v>0</v>
      </c>
      <c r="AL508" s="404">
        <f ca="1">_xll.DBRW(Server&amp;Cube1,$N$15,$N$16,$N$17,$N$18,$N$14,$N$13,AL$2,AL$1,$B508)</f>
        <v>0</v>
      </c>
      <c r="AM508" s="105"/>
      <c r="AN508" s="324">
        <f ca="1">_xll.DBRW(Server&amp;Cube1,$N$15,$N$16,$N$17,$N$18,$N$14,$N$13,AN$2,AN$1,$B508)</f>
        <v>0</v>
      </c>
      <c r="AO508" s="324">
        <f ca="1">_xll.DBRW(Server&amp;Cube1,$N$15,$N$16,$N$17,$N$18,$N$14,$N$13,AO$2,AO$1,$B508)</f>
        <v>0</v>
      </c>
      <c r="AP508" s="404">
        <f ca="1">_xll.DBRW(Server&amp;Cube1,$N$15,$N$16,$N$17,$N$18,$N$14,$N$13,AP$2,AP$1,$B508)</f>
        <v>0</v>
      </c>
      <c r="AQ508" s="105"/>
      <c r="AR508" s="324">
        <f ca="1">_xll.DBRW(Server&amp;Cube1,$N$15,$N$16,$N$17,$N$18,$N$14,$N$13,AR$2,AR$1,$B508)</f>
        <v>0</v>
      </c>
      <c r="AS508" s="324">
        <f ca="1">_xll.DBRW(Server&amp;Cube1,$N$15,$N$16,$N$17,$N$18,$N$14,$N$13,AS$2,AS$1,$B508)</f>
        <v>0</v>
      </c>
      <c r="AT508" s="404">
        <f ca="1">_xll.DBRW(Server&amp;Cube1,$N$15,$N$16,$N$17,$N$18,$N$14,$N$13,AT$2,AT$1,$B508)</f>
        <v>0</v>
      </c>
      <c r="AU508" s="105"/>
      <c r="AV508" s="324">
        <f ca="1">_xll.DBRW(Server&amp;Cube1,$N$15,$N$16,$N$17,$N$18,$N$14,$N$13,AV$2,AV$1,$B508)</f>
        <v>0</v>
      </c>
      <c r="AW508" s="324">
        <f ca="1">_xll.DBRW(Server&amp;Cube1,$N$15,$N$16,$N$17,$N$18,$N$14,$N$13,AW$2,AW$1,$B508)</f>
        <v>0</v>
      </c>
      <c r="AX508" s="404">
        <f ca="1">_xll.DBRW(Server&amp;Cube1,$N$15,$N$16,$N$17,$N$18,$N$14,$N$13,AX$2,AX$1,$B508)</f>
        <v>0</v>
      </c>
      <c r="AY508" s="105"/>
      <c r="AZ508" s="324">
        <f ca="1">_xll.DBRW(Server&amp;Cube1,$N$15,$N$16,$N$17,$N$18,$N$14,$N$13,AZ$2,AZ$1,$B508)</f>
        <v>0</v>
      </c>
      <c r="BA508" s="324">
        <f ca="1">_xll.DBRW(Server&amp;Cube1,$N$15,$N$16,$N$17,$N$18,$N$14,$N$13,BA$2,BA$1,$B508)</f>
        <v>0</v>
      </c>
      <c r="BB508" s="404">
        <f ca="1">_xll.DBRW(Server&amp;Cube1,$N$15,$N$16,$N$17,$N$18,$N$14,$N$13,BB$2,BB$1,$B508)</f>
        <v>0</v>
      </c>
      <c r="BC508" s="105"/>
      <c r="BD508" s="324">
        <f ca="1">_xll.DBRW(Server&amp;Cube1,$N$15,$N$16,$N$17,$N$18,$N$14,$N$13,BD$2,BD$1,$B508)</f>
        <v>0</v>
      </c>
      <c r="BE508" s="324">
        <f ca="1">_xll.DBRW(Server&amp;Cube1,$N$15,$N$16,$N$17,$N$18,$N$14,$N$13,BE$2,BE$1,$B508)</f>
        <v>0</v>
      </c>
      <c r="BF508" s="404">
        <f ca="1">_xll.DBRW(Server&amp;Cube1,$N$15,$N$16,$N$17,$N$18,$N$14,$N$13,BF$2,BF$1,$B508)</f>
        <v>0</v>
      </c>
      <c r="BG508" s="105"/>
      <c r="BH508" s="324">
        <f ca="1">_xll.DBRW(Server&amp;Cube1,$N$15,$N$16,$N$17,$N$18,$N$14,$N$13,BH$2,BH$1,$B508)</f>
        <v>0</v>
      </c>
      <c r="BI508" s="324">
        <f ca="1">_xll.DBRW(Server&amp;Cube1,$N$15,$N$16,$N$17,$N$18,$N$14,$N$13,BI$2,BI$1,$B508)</f>
        <v>0</v>
      </c>
      <c r="BJ508" s="404">
        <f ca="1">_xll.DBRW(Server&amp;Cube1,$N$15,$N$16,$N$17,$N$18,$N$14,$N$13,BJ$2,BJ$1,$B508)</f>
        <v>0</v>
      </c>
      <c r="BK508" s="105"/>
      <c r="BL508" s="324">
        <f ca="1">_xll.DBRW(Server&amp;Cube1,$N$15,$N$16,$N$17,$N$18,$N$14,$N$13,BL$2,BL$1,$B508)</f>
        <v>0</v>
      </c>
      <c r="BM508" s="324">
        <f ca="1">_xll.DBRW(Server&amp;Cube1,$N$15,$N$16,$N$17,$N$18,$N$14,$N$13,BM$2,BM$1,$B508)</f>
        <v>0</v>
      </c>
      <c r="BN508" s="404">
        <f ca="1">_xll.DBRW(Server&amp;Cube1,$N$15,$N$16,$N$17,$N$18,$N$14,$N$13,BN$2,BN$1,$B508)</f>
        <v>0</v>
      </c>
      <c r="BO508" s="105"/>
      <c r="BP508" s="324">
        <f ca="1">_xll.DBRW(Server&amp;Cube1,$N$15,$N$16,$N$17,$N$18,$N$14,$N$13,BP$2,BP$1,$B508)</f>
        <v>0</v>
      </c>
      <c r="BQ508" s="324">
        <f ca="1">_xll.DBRW(Server&amp;Cube1,$N$15,$N$16,$N$17,$N$18,$N$14,$N$13,BQ$2,BQ$1,$B508)</f>
        <v>0</v>
      </c>
      <c r="BR508" s="404">
        <f ca="1">_xll.DBRW(Server&amp;Cube1,$N$15,$N$16,$N$17,$N$18,$N$14,$N$13,BR$2,BR$1,$B508)</f>
        <v>0</v>
      </c>
      <c r="BS508" s="105"/>
      <c r="BT508" s="324">
        <f ca="1">_xll.DBRW(Server&amp;Cube1,$N$15,$N$16,$N$17,$N$18,$N$14,$N$13,BT$2,BT$1,$B508)</f>
        <v>0</v>
      </c>
      <c r="BU508" s="324">
        <f ca="1">_xll.DBRW(Server&amp;Cube1,$N$15,$N$16,$N$17,$N$18,$N$14,$N$13,BU$2,BU$1,$B508)</f>
        <v>0</v>
      </c>
      <c r="BV508" s="404">
        <f ca="1">_xll.DBRW(Server&amp;Cube1,$N$15,$N$16,$N$17,$N$18,$N$14,$N$13,BV$2,BV$1,$B508)</f>
        <v>0</v>
      </c>
      <c r="BW508" s="101"/>
      <c r="BX508" s="28"/>
      <c r="BZ508" s="371"/>
    </row>
    <row r="509" spans="1:78" s="34" customFormat="1" ht="27.75" customHeight="1" x14ac:dyDescent="0.3">
      <c r="A509" s="57"/>
      <c r="B509" s="360"/>
      <c r="C509" s="9"/>
      <c r="D509" s="1"/>
      <c r="E509" s="1"/>
      <c r="H509" s="360"/>
      <c r="I509" s="95"/>
      <c r="J509" s="58"/>
      <c r="K509" s="100"/>
      <c r="L509" s="586"/>
      <c r="M509" s="597" t="str">
        <f ca="1">IF(OR(O520="Not defined",O520="Non défini",O522="Not defined",O522="Non défini"),_xll.DBRA(Server&amp;$B$32,$B508,$N$19),"1/"&amp;_xll.DBRA(Server&amp;$B$32,$B508,$N$19)&amp;" - ("&amp;O522&amp;" / "&amp;O520&amp;")")</f>
        <v>F2 - Fleet efficiency</v>
      </c>
      <c r="N509" s="598"/>
      <c r="O509" s="599"/>
      <c r="P509" s="434"/>
      <c r="Q509" s="435">
        <f ca="1">IF(Q508&lt;&gt;0,1/Q508,0)</f>
        <v>0</v>
      </c>
      <c r="R509" s="436">
        <f ca="1">IF(R508&lt;&gt;0,1/R508,0)</f>
        <v>0</v>
      </c>
      <c r="S509" s="437">
        <f ca="1">Q509-R509</f>
        <v>0</v>
      </c>
      <c r="T509" s="438"/>
      <c r="U509" s="439"/>
      <c r="V509" s="440">
        <f ca="1">IF(V508&lt;&gt;0,1/V508,0)</f>
        <v>0</v>
      </c>
      <c r="W509" s="437">
        <f ca="1">$Q509-V509</f>
        <v>0</v>
      </c>
      <c r="X509" s="438"/>
      <c r="Y509" s="441"/>
      <c r="Z509" s="442"/>
      <c r="AA509" s="443"/>
      <c r="AB509" s="435">
        <f t="shared" ref="AB509:AD509" ca="1" si="110">IF(AB508&lt;&gt;0,1/AB508,0)</f>
        <v>0</v>
      </c>
      <c r="AC509" s="435">
        <f t="shared" ca="1" si="110"/>
        <v>0</v>
      </c>
      <c r="AD509" s="444">
        <f t="shared" ca="1" si="110"/>
        <v>0</v>
      </c>
      <c r="AE509" s="445"/>
      <c r="AF509" s="435">
        <f t="shared" ref="AF509:AH509" ca="1" si="111">IF(AF508&lt;&gt;0,1/AF508,0)</f>
        <v>0</v>
      </c>
      <c r="AG509" s="435">
        <f t="shared" ca="1" si="111"/>
        <v>0</v>
      </c>
      <c r="AH509" s="444">
        <f t="shared" ca="1" si="111"/>
        <v>0</v>
      </c>
      <c r="AI509" s="445"/>
      <c r="AJ509" s="435">
        <f t="shared" ref="AJ509:AL509" ca="1" si="112">IF(AJ508&lt;&gt;0,1/AJ508,0)</f>
        <v>0</v>
      </c>
      <c r="AK509" s="435">
        <f t="shared" ca="1" si="112"/>
        <v>0</v>
      </c>
      <c r="AL509" s="444">
        <f t="shared" ca="1" si="112"/>
        <v>0</v>
      </c>
      <c r="AM509" s="445"/>
      <c r="AN509" s="435">
        <f t="shared" ref="AN509:AP509" ca="1" si="113">IF(AN508&lt;&gt;0,1/AN508,0)</f>
        <v>0</v>
      </c>
      <c r="AO509" s="435">
        <f t="shared" ca="1" si="113"/>
        <v>0</v>
      </c>
      <c r="AP509" s="444">
        <f t="shared" ca="1" si="113"/>
        <v>0</v>
      </c>
      <c r="AQ509" s="445"/>
      <c r="AR509" s="435">
        <f t="shared" ref="AR509:AT509" ca="1" si="114">IF(AR508&lt;&gt;0,1/AR508,0)</f>
        <v>0</v>
      </c>
      <c r="AS509" s="435">
        <f t="shared" ca="1" si="114"/>
        <v>0</v>
      </c>
      <c r="AT509" s="444">
        <f t="shared" ca="1" si="114"/>
        <v>0</v>
      </c>
      <c r="AU509" s="445"/>
      <c r="AV509" s="435">
        <f t="shared" ref="AV509:AX509" ca="1" si="115">IF(AV508&lt;&gt;0,1/AV508,0)</f>
        <v>0</v>
      </c>
      <c r="AW509" s="435">
        <f t="shared" ca="1" si="115"/>
        <v>0</v>
      </c>
      <c r="AX509" s="444">
        <f t="shared" ca="1" si="115"/>
        <v>0</v>
      </c>
      <c r="AY509" s="445"/>
      <c r="AZ509" s="435">
        <f t="shared" ref="AZ509:BB509" ca="1" si="116">IF(AZ508&lt;&gt;0,1/AZ508,0)</f>
        <v>0</v>
      </c>
      <c r="BA509" s="435">
        <f t="shared" ca="1" si="116"/>
        <v>0</v>
      </c>
      <c r="BB509" s="444">
        <f t="shared" ca="1" si="116"/>
        <v>0</v>
      </c>
      <c r="BC509" s="445"/>
      <c r="BD509" s="435">
        <f t="shared" ref="BD509:BF509" ca="1" si="117">IF(BD508&lt;&gt;0,1/BD508,0)</f>
        <v>0</v>
      </c>
      <c r="BE509" s="435">
        <f t="shared" ca="1" si="117"/>
        <v>0</v>
      </c>
      <c r="BF509" s="444">
        <f t="shared" ca="1" si="117"/>
        <v>0</v>
      </c>
      <c r="BG509" s="445"/>
      <c r="BH509" s="435">
        <f t="shared" ref="BH509:BJ509" ca="1" si="118">IF(BH508&lt;&gt;0,1/BH508,0)</f>
        <v>0</v>
      </c>
      <c r="BI509" s="435">
        <f t="shared" ca="1" si="118"/>
        <v>0</v>
      </c>
      <c r="BJ509" s="444">
        <f t="shared" ca="1" si="118"/>
        <v>0</v>
      </c>
      <c r="BK509" s="445"/>
      <c r="BL509" s="435">
        <f t="shared" ref="BL509:BN509" ca="1" si="119">IF(BL508&lt;&gt;0,1/BL508,0)</f>
        <v>0</v>
      </c>
      <c r="BM509" s="435">
        <f t="shared" ca="1" si="119"/>
        <v>0</v>
      </c>
      <c r="BN509" s="444">
        <f t="shared" ca="1" si="119"/>
        <v>0</v>
      </c>
      <c r="BO509" s="445"/>
      <c r="BP509" s="435">
        <f t="shared" ref="BP509:BR509" ca="1" si="120">IF(BP508&lt;&gt;0,1/BP508,0)</f>
        <v>0</v>
      </c>
      <c r="BQ509" s="435">
        <f t="shared" ca="1" si="120"/>
        <v>0</v>
      </c>
      <c r="BR509" s="444">
        <f t="shared" ca="1" si="120"/>
        <v>0</v>
      </c>
      <c r="BS509" s="445"/>
      <c r="BT509" s="435">
        <f t="shared" ref="BT509:BV509" ca="1" si="121">IF(BT508&lt;&gt;0,1/BT508,0)</f>
        <v>0</v>
      </c>
      <c r="BU509" s="435">
        <f t="shared" ca="1" si="121"/>
        <v>0</v>
      </c>
      <c r="BV509" s="444">
        <f t="shared" ca="1" si="121"/>
        <v>0</v>
      </c>
      <c r="BW509" s="101"/>
      <c r="BX509" s="28"/>
      <c r="BZ509" s="371"/>
    </row>
    <row r="510" spans="1:78" s="34" customFormat="1" ht="27.75" customHeight="1" collapsed="1" thickBot="1" x14ac:dyDescent="0.35">
      <c r="A510" s="57"/>
      <c r="B510" s="360" t="s">
        <v>121</v>
      </c>
      <c r="C510" s="9"/>
      <c r="D510" s="1"/>
      <c r="E510" s="1"/>
      <c r="H510" s="360"/>
      <c r="I510" s="95"/>
      <c r="J510" s="58"/>
      <c r="K510" s="100"/>
      <c r="L510" s="586"/>
      <c r="M510" s="591" t="str">
        <f ca="1">IF(OR(O520="Not defined",O520="Non défini",O522="Not defined",O522="Non défini"),_xll.DBRA(Server&amp;$B$32,$B510,$N$19),_xll.DBRA(Server&amp;Context!$B$32,Context!$B$53,$N$19)&amp;" "&amp;O522)</f>
        <v>F3 - Revenue per price work unit</v>
      </c>
      <c r="N510" s="591"/>
      <c r="O510" s="591"/>
      <c r="P510" s="211"/>
      <c r="Q510" s="327">
        <f ca="1">_xll.DBRW(Server&amp;Cube1,$N$15,$N$16,$N$17,$N$18,$N$14,$N$13,$N$11,$Q$1,$B510)</f>
        <v>0</v>
      </c>
      <c r="R510" s="328">
        <f ca="1">_xll.DBRW(Server&amp;Cube1,$N$15,$N$16,$N$17,$N$18,$N$14,$N$13,$R$2,$R$1,$B510)</f>
        <v>0</v>
      </c>
      <c r="S510" s="329">
        <f ca="1">Q510-R510</f>
        <v>0</v>
      </c>
      <c r="T510" s="330"/>
      <c r="U510" s="245"/>
      <c r="V510" s="333">
        <f ca="1">_xll.DBRW(Server&amp;Cube1,$N$15,$N$16,$N$17,$N$18,$N$14,$N$13,$V$2,$V$1,$B510)</f>
        <v>0</v>
      </c>
      <c r="W510" s="329">
        <f ca="1">$Q510-V510</f>
        <v>0</v>
      </c>
      <c r="X510" s="330"/>
      <c r="Y510" s="101"/>
      <c r="Z510" s="398"/>
      <c r="AA510" s="100"/>
      <c r="AB510" s="327">
        <f ca="1">_xll.DBRW(Server&amp;Cube1,$N$15,$N$16,$N$17,$N$18,$N$14,$N$13,AB$2,AB$1,$B510)</f>
        <v>0</v>
      </c>
      <c r="AC510" s="327">
        <f ca="1">_xll.DBRW(Server&amp;Cube1,$N$15,$N$16,$N$17,$N$18,$N$14,$N$13,AC$2,AC$1,$B510)</f>
        <v>0</v>
      </c>
      <c r="AD510" s="405">
        <f ca="1">_xll.DBRW(Server&amp;Cube1,$N$15,$N$16,$N$17,$N$18,$N$14,$N$13,AD$2,AD$1,$B510)</f>
        <v>0</v>
      </c>
      <c r="AE510" s="105"/>
      <c r="AF510" s="327">
        <f ca="1">_xll.DBRW(Server&amp;Cube1,$N$15,$N$16,$N$17,$N$18,$N$14,$N$13,AF$2,AF$1,$B510)</f>
        <v>0</v>
      </c>
      <c r="AG510" s="327">
        <f ca="1">_xll.DBRW(Server&amp;Cube1,$N$15,$N$16,$N$17,$N$18,$N$14,$N$13,AG$2,AG$1,$B510)</f>
        <v>0</v>
      </c>
      <c r="AH510" s="405">
        <f ca="1">_xll.DBRW(Server&amp;Cube1,$N$15,$N$16,$N$17,$N$18,$N$14,$N$13,AH$2,AH$1,$B510)</f>
        <v>0</v>
      </c>
      <c r="AI510" s="105"/>
      <c r="AJ510" s="327">
        <f ca="1">_xll.DBRW(Server&amp;Cube1,$N$15,$N$16,$N$17,$N$18,$N$14,$N$13,AJ$2,AJ$1,$B510)</f>
        <v>0</v>
      </c>
      <c r="AK510" s="327">
        <f ca="1">_xll.DBRW(Server&amp;Cube1,$N$15,$N$16,$N$17,$N$18,$N$14,$N$13,AK$2,AK$1,$B510)</f>
        <v>0</v>
      </c>
      <c r="AL510" s="405">
        <f ca="1">_xll.DBRW(Server&amp;Cube1,$N$15,$N$16,$N$17,$N$18,$N$14,$N$13,AL$2,AL$1,$B510)</f>
        <v>0</v>
      </c>
      <c r="AM510" s="105"/>
      <c r="AN510" s="327">
        <f ca="1">_xll.DBRW(Server&amp;Cube1,$N$15,$N$16,$N$17,$N$18,$N$14,$N$13,AN$2,AN$1,$B510)</f>
        <v>0</v>
      </c>
      <c r="AO510" s="327">
        <f ca="1">_xll.DBRW(Server&amp;Cube1,$N$15,$N$16,$N$17,$N$18,$N$14,$N$13,AO$2,AO$1,$B510)</f>
        <v>0</v>
      </c>
      <c r="AP510" s="405">
        <f ca="1">_xll.DBRW(Server&amp;Cube1,$N$15,$N$16,$N$17,$N$18,$N$14,$N$13,AP$2,AP$1,$B510)</f>
        <v>0</v>
      </c>
      <c r="AQ510" s="105"/>
      <c r="AR510" s="327">
        <f ca="1">_xll.DBRW(Server&amp;Cube1,$N$15,$N$16,$N$17,$N$18,$N$14,$N$13,AR$2,AR$1,$B510)</f>
        <v>0</v>
      </c>
      <c r="AS510" s="327">
        <f ca="1">_xll.DBRW(Server&amp;Cube1,$N$15,$N$16,$N$17,$N$18,$N$14,$N$13,AS$2,AS$1,$B510)</f>
        <v>0</v>
      </c>
      <c r="AT510" s="405">
        <f ca="1">_xll.DBRW(Server&amp;Cube1,$N$15,$N$16,$N$17,$N$18,$N$14,$N$13,AT$2,AT$1,$B510)</f>
        <v>0</v>
      </c>
      <c r="AU510" s="105"/>
      <c r="AV510" s="327">
        <f ca="1">_xll.DBRW(Server&amp;Cube1,$N$15,$N$16,$N$17,$N$18,$N$14,$N$13,AV$2,AV$1,$B510)</f>
        <v>0</v>
      </c>
      <c r="AW510" s="327">
        <f ca="1">_xll.DBRW(Server&amp;Cube1,$N$15,$N$16,$N$17,$N$18,$N$14,$N$13,AW$2,AW$1,$B510)</f>
        <v>0</v>
      </c>
      <c r="AX510" s="405">
        <f ca="1">_xll.DBRW(Server&amp;Cube1,$N$15,$N$16,$N$17,$N$18,$N$14,$N$13,AX$2,AX$1,$B510)</f>
        <v>0</v>
      </c>
      <c r="AY510" s="105"/>
      <c r="AZ510" s="327">
        <f ca="1">_xll.DBRW(Server&amp;Cube1,$N$15,$N$16,$N$17,$N$18,$N$14,$N$13,AZ$2,AZ$1,$B510)</f>
        <v>0</v>
      </c>
      <c r="BA510" s="327">
        <f ca="1">_xll.DBRW(Server&amp;Cube1,$N$15,$N$16,$N$17,$N$18,$N$14,$N$13,BA$2,BA$1,$B510)</f>
        <v>0</v>
      </c>
      <c r="BB510" s="405">
        <f ca="1">_xll.DBRW(Server&amp;Cube1,$N$15,$N$16,$N$17,$N$18,$N$14,$N$13,BB$2,BB$1,$B510)</f>
        <v>0</v>
      </c>
      <c r="BC510" s="105"/>
      <c r="BD510" s="327">
        <f ca="1">_xll.DBRW(Server&amp;Cube1,$N$15,$N$16,$N$17,$N$18,$N$14,$N$13,BD$2,BD$1,$B510)</f>
        <v>0</v>
      </c>
      <c r="BE510" s="327">
        <f ca="1">_xll.DBRW(Server&amp;Cube1,$N$15,$N$16,$N$17,$N$18,$N$14,$N$13,BE$2,BE$1,$B510)</f>
        <v>0</v>
      </c>
      <c r="BF510" s="405">
        <f ca="1">_xll.DBRW(Server&amp;Cube1,$N$15,$N$16,$N$17,$N$18,$N$14,$N$13,BF$2,BF$1,$B510)</f>
        <v>0</v>
      </c>
      <c r="BG510" s="105"/>
      <c r="BH510" s="327">
        <f ca="1">_xll.DBRW(Server&amp;Cube1,$N$15,$N$16,$N$17,$N$18,$N$14,$N$13,BH$2,BH$1,$B510)</f>
        <v>0</v>
      </c>
      <c r="BI510" s="327">
        <f ca="1">_xll.DBRW(Server&amp;Cube1,$N$15,$N$16,$N$17,$N$18,$N$14,$N$13,BI$2,BI$1,$B510)</f>
        <v>0</v>
      </c>
      <c r="BJ510" s="405">
        <f ca="1">_xll.DBRW(Server&amp;Cube1,$N$15,$N$16,$N$17,$N$18,$N$14,$N$13,BJ$2,BJ$1,$B510)</f>
        <v>0</v>
      </c>
      <c r="BK510" s="105"/>
      <c r="BL510" s="327">
        <f ca="1">_xll.DBRW(Server&amp;Cube1,$N$15,$N$16,$N$17,$N$18,$N$14,$N$13,BL$2,BL$1,$B510)</f>
        <v>0</v>
      </c>
      <c r="BM510" s="327">
        <f ca="1">_xll.DBRW(Server&amp;Cube1,$N$15,$N$16,$N$17,$N$18,$N$14,$N$13,BM$2,BM$1,$B510)</f>
        <v>0</v>
      </c>
      <c r="BN510" s="405">
        <f ca="1">_xll.DBRW(Server&amp;Cube1,$N$15,$N$16,$N$17,$N$18,$N$14,$N$13,BN$2,BN$1,$B510)</f>
        <v>0</v>
      </c>
      <c r="BO510" s="105"/>
      <c r="BP510" s="327">
        <f ca="1">_xll.DBRW(Server&amp;Cube1,$N$15,$N$16,$N$17,$N$18,$N$14,$N$13,BP$2,BP$1,$B510)</f>
        <v>0</v>
      </c>
      <c r="BQ510" s="327">
        <f ca="1">_xll.DBRW(Server&amp;Cube1,$N$15,$N$16,$N$17,$N$18,$N$14,$N$13,BQ$2,BQ$1,$B510)</f>
        <v>0</v>
      </c>
      <c r="BR510" s="405">
        <f ca="1">_xll.DBRW(Server&amp;Cube1,$N$15,$N$16,$N$17,$N$18,$N$14,$N$13,BR$2,BR$1,$B510)</f>
        <v>0</v>
      </c>
      <c r="BS510" s="105"/>
      <c r="BT510" s="327">
        <f ca="1">_xll.DBRW(Server&amp;Cube1,$N$15,$N$16,$N$17,$N$18,$N$14,$N$13,BT$2,BT$1,$B510)</f>
        <v>0</v>
      </c>
      <c r="BU510" s="327">
        <f ca="1">_xll.DBRW(Server&amp;Cube1,$N$15,$N$16,$N$17,$N$18,$N$14,$N$13,BU$2,BU$1,$B510)</f>
        <v>0</v>
      </c>
      <c r="BV510" s="405">
        <f ca="1">_xll.DBRW(Server&amp;Cube1,$N$15,$N$16,$N$17,$N$18,$N$14,$N$13,BV$2,BV$1,$B510)</f>
        <v>0</v>
      </c>
      <c r="BW510" s="101"/>
      <c r="BX510" s="28"/>
    </row>
    <row r="511" spans="1:78" ht="3.75" hidden="1" customHeight="1" outlineLevel="1" thickTop="1" x14ac:dyDescent="0.25">
      <c r="A511" s="57"/>
      <c r="B511" s="360"/>
      <c r="H511" s="360"/>
      <c r="I511" s="95"/>
      <c r="J511" s="58"/>
      <c r="K511" s="100"/>
      <c r="L511" s="586"/>
      <c r="M511" s="304"/>
      <c r="N511" s="304"/>
      <c r="O511" s="304"/>
      <c r="P511" s="62"/>
      <c r="Q511" s="213"/>
      <c r="R511" s="63"/>
      <c r="S511" s="64"/>
      <c r="T511" s="102"/>
      <c r="U511" s="215"/>
      <c r="V511" s="213"/>
      <c r="W511" s="64"/>
      <c r="X511" s="102"/>
      <c r="Y511" s="101"/>
      <c r="Z511" s="398"/>
      <c r="AA511" s="100"/>
      <c r="AB511" s="213"/>
      <c r="AC511" s="213"/>
      <c r="AD511" s="415"/>
      <c r="AE511" s="105"/>
      <c r="AF511" s="213"/>
      <c r="AG511" s="213"/>
      <c r="AH511" s="415"/>
      <c r="AI511" s="105"/>
      <c r="AJ511" s="213"/>
      <c r="AK511" s="213"/>
      <c r="AL511" s="415"/>
      <c r="AM511" s="105"/>
      <c r="AN511" s="213"/>
      <c r="AO511" s="213"/>
      <c r="AP511" s="415"/>
      <c r="AQ511" s="105"/>
      <c r="AR511" s="213"/>
      <c r="AS511" s="213"/>
      <c r="AT511" s="415"/>
      <c r="AU511" s="105"/>
      <c r="AV511" s="213"/>
      <c r="AW511" s="213"/>
      <c r="AX511" s="415"/>
      <c r="AY511" s="105"/>
      <c r="AZ511" s="213"/>
      <c r="BA511" s="213"/>
      <c r="BB511" s="415"/>
      <c r="BC511" s="105"/>
      <c r="BD511" s="213"/>
      <c r="BE511" s="213"/>
      <c r="BF511" s="415"/>
      <c r="BG511" s="105"/>
      <c r="BH511" s="213"/>
      <c r="BI511" s="213"/>
      <c r="BJ511" s="415"/>
      <c r="BK511" s="105"/>
      <c r="BL511" s="213"/>
      <c r="BM511" s="213"/>
      <c r="BN511" s="415"/>
      <c r="BO511" s="105"/>
      <c r="BP511" s="213"/>
      <c r="BQ511" s="213"/>
      <c r="BR511" s="415"/>
      <c r="BS511" s="105"/>
      <c r="BT511" s="213"/>
      <c r="BU511" s="213"/>
      <c r="BV511" s="415"/>
      <c r="BW511" s="101"/>
      <c r="BX511" s="28"/>
      <c r="BZ511" s="367"/>
    </row>
    <row r="512" spans="1:78" s="34" customFormat="1" ht="21.75" hidden="1" customHeight="1" outlineLevel="1" x14ac:dyDescent="0.25">
      <c r="A512" s="57"/>
      <c r="B512" s="360" t="s">
        <v>125</v>
      </c>
      <c r="C512" s="9"/>
      <c r="D512" s="360" t="b">
        <f ca="1">AND($Q520&lt;&gt;0,$R520&lt;&gt;0)</f>
        <v>0</v>
      </c>
      <c r="E512" s="360"/>
      <c r="F512" s="360" t="b">
        <f ca="1">AND($Q520&lt;&gt;0,$V520&lt;&gt;0)</f>
        <v>0</v>
      </c>
      <c r="H512" s="360"/>
      <c r="I512" s="95"/>
      <c r="J512" s="58"/>
      <c r="K512" s="100"/>
      <c r="L512" s="586"/>
      <c r="M512" s="592" t="str">
        <f ca="1">_xll.DBRA(Server&amp;$B$32,$B512,$N$19)</f>
        <v>F1 - Fleet cost variance - Cost effect</v>
      </c>
      <c r="N512" s="592"/>
      <c r="O512" s="593"/>
      <c r="P512" s="246"/>
      <c r="Q512" s="249"/>
      <c r="R512" s="250"/>
      <c r="S512" s="251">
        <f ca="1">IF(D512,-1*S507*Q520,0)</f>
        <v>0</v>
      </c>
      <c r="T512" s="305">
        <f ca="1">IF(ISERROR(S512/#REF!*100),,S512/#REF!*100)</f>
        <v>0</v>
      </c>
      <c r="U512" s="245"/>
      <c r="V512" s="252"/>
      <c r="W512" s="251">
        <f ca="1">IF(F512,-1*W507*$Q520,0)</f>
        <v>0</v>
      </c>
      <c r="X512" s="309">
        <f ca="1">IF(ISERROR(W512/#REF!*100),,W512/#REF!*100)</f>
        <v>0</v>
      </c>
      <c r="Y512" s="101"/>
      <c r="Z512" s="398"/>
      <c r="AA512" s="100"/>
      <c r="AB512" s="249"/>
      <c r="AC512" s="249"/>
      <c r="AD512" s="416"/>
      <c r="AE512" s="105"/>
      <c r="AF512" s="249"/>
      <c r="AG512" s="249"/>
      <c r="AH512" s="416"/>
      <c r="AI512" s="105"/>
      <c r="AJ512" s="249"/>
      <c r="AK512" s="249"/>
      <c r="AL512" s="416"/>
      <c r="AM512" s="105"/>
      <c r="AN512" s="249"/>
      <c r="AO512" s="249"/>
      <c r="AP512" s="416"/>
      <c r="AQ512" s="105"/>
      <c r="AR512" s="249"/>
      <c r="AS512" s="249"/>
      <c r="AT512" s="416"/>
      <c r="AU512" s="105"/>
      <c r="AV512" s="249"/>
      <c r="AW512" s="249"/>
      <c r="AX512" s="416"/>
      <c r="AY512" s="105"/>
      <c r="AZ512" s="249"/>
      <c r="BA512" s="249"/>
      <c r="BB512" s="416"/>
      <c r="BC512" s="105"/>
      <c r="BD512" s="249"/>
      <c r="BE512" s="249"/>
      <c r="BF512" s="416"/>
      <c r="BG512" s="105"/>
      <c r="BH512" s="249"/>
      <c r="BI512" s="249"/>
      <c r="BJ512" s="416"/>
      <c r="BK512" s="105"/>
      <c r="BL512" s="249"/>
      <c r="BM512" s="249"/>
      <c r="BN512" s="416"/>
      <c r="BO512" s="105"/>
      <c r="BP512" s="249"/>
      <c r="BQ512" s="249"/>
      <c r="BR512" s="416"/>
      <c r="BS512" s="105"/>
      <c r="BT512" s="249"/>
      <c r="BU512" s="249"/>
      <c r="BV512" s="416"/>
      <c r="BW512" s="101"/>
      <c r="BX512" s="28"/>
    </row>
    <row r="513" spans="1:78" s="34" customFormat="1" ht="21.75" hidden="1" customHeight="1" outlineLevel="1" x14ac:dyDescent="0.25">
      <c r="A513" s="57"/>
      <c r="B513" s="360" t="s">
        <v>126</v>
      </c>
      <c r="C513" s="9"/>
      <c r="D513" s="360" t="b">
        <f ca="1">AND($Q522&lt;&gt;0,$R522&lt;&gt;0,$Q520&lt;&gt;0,$R520&lt;&gt;0)</f>
        <v>0</v>
      </c>
      <c r="E513" s="360"/>
      <c r="F513" s="360" t="b">
        <f ca="1">AND($Q522&lt;&gt;0,$V522&lt;&gt;0,$Q520&lt;&gt;0,$V520&lt;&gt;0)</f>
        <v>0</v>
      </c>
      <c r="H513" s="360"/>
      <c r="I513" s="95"/>
      <c r="J513" s="58"/>
      <c r="K513" s="100"/>
      <c r="L513" s="586"/>
      <c r="M513" s="573" t="str">
        <f ca="1">_xll.DBRA(Server&amp;$B$32,$B513,$N$19)</f>
        <v>F2 - Fleet cost variance - Efficiency effect</v>
      </c>
      <c r="N513" s="573"/>
      <c r="O513" s="574"/>
      <c r="P513" s="246"/>
      <c r="Q513" s="249"/>
      <c r="R513" s="253"/>
      <c r="S513" s="251">
        <f ca="1">IF(D513,IF(Q508&lt;&gt;0,S508/Q508*$Q$98,0),0)</f>
        <v>0</v>
      </c>
      <c r="T513" s="305">
        <f ca="1">IF(ISERROR(S513/$Q$36*100),,S513/$Q$36*100)</f>
        <v>0</v>
      </c>
      <c r="U513" s="245"/>
      <c r="V513" s="252"/>
      <c r="W513" s="251">
        <f ca="1">IF(F513,IF($Q508&lt;&gt;0,W508/$Q508*$Q$98,0),0)</f>
        <v>0</v>
      </c>
      <c r="X513" s="309">
        <f ca="1">IF(ISERROR(W513/$Q$36*100),,W513/$Q$36*100)</f>
        <v>0</v>
      </c>
      <c r="Y513" s="101"/>
      <c r="Z513" s="398"/>
      <c r="AA513" s="100"/>
      <c r="AB513" s="249"/>
      <c r="AC513" s="249"/>
      <c r="AD513" s="416"/>
      <c r="AE513" s="105"/>
      <c r="AF513" s="249"/>
      <c r="AG513" s="249"/>
      <c r="AH513" s="416"/>
      <c r="AI513" s="105"/>
      <c r="AJ513" s="249"/>
      <c r="AK513" s="249"/>
      <c r="AL513" s="416"/>
      <c r="AM513" s="105"/>
      <c r="AN513" s="249"/>
      <c r="AO513" s="249"/>
      <c r="AP513" s="416"/>
      <c r="AQ513" s="105"/>
      <c r="AR513" s="249"/>
      <c r="AS513" s="249"/>
      <c r="AT513" s="416"/>
      <c r="AU513" s="105"/>
      <c r="AV513" s="249"/>
      <c r="AW513" s="249"/>
      <c r="AX513" s="416"/>
      <c r="AY513" s="105"/>
      <c r="AZ513" s="249"/>
      <c r="BA513" s="249"/>
      <c r="BB513" s="416"/>
      <c r="BC513" s="105"/>
      <c r="BD513" s="249"/>
      <c r="BE513" s="249"/>
      <c r="BF513" s="416"/>
      <c r="BG513" s="105"/>
      <c r="BH513" s="249"/>
      <c r="BI513" s="249"/>
      <c r="BJ513" s="416"/>
      <c r="BK513" s="105"/>
      <c r="BL513" s="249"/>
      <c r="BM513" s="249"/>
      <c r="BN513" s="416"/>
      <c r="BO513" s="105"/>
      <c r="BP513" s="249"/>
      <c r="BQ513" s="249"/>
      <c r="BR513" s="416"/>
      <c r="BS513" s="105"/>
      <c r="BT513" s="249"/>
      <c r="BU513" s="249"/>
      <c r="BV513" s="416"/>
      <c r="BW513" s="101"/>
      <c r="BX513" s="28"/>
    </row>
    <row r="514" spans="1:78" s="34" customFormat="1" ht="21.75" hidden="1" customHeight="1" outlineLevel="1" x14ac:dyDescent="0.25">
      <c r="A514" s="57"/>
      <c r="B514" s="360" t="s">
        <v>127</v>
      </c>
      <c r="C514" s="9"/>
      <c r="D514" s="360" t="b">
        <f ca="1">AND($Q522&lt;&gt;0,$R522&lt;&gt;0)</f>
        <v>0</v>
      </c>
      <c r="E514" s="360"/>
      <c r="F514" s="360" t="b">
        <f ca="1">AND($Q522&lt;&gt;0,$V522&lt;&gt;0)</f>
        <v>0</v>
      </c>
      <c r="H514" s="360"/>
      <c r="I514" s="95"/>
      <c r="J514" s="58"/>
      <c r="K514" s="100"/>
      <c r="L514" s="586"/>
      <c r="M514" s="573" t="str">
        <f ca="1">_xll.DBRA(Server&amp;$B$32,$B514,$N$19)</f>
        <v>F3 - Fleet cost variance - Price effect</v>
      </c>
      <c r="N514" s="573"/>
      <c r="O514" s="574"/>
      <c r="P514" s="246"/>
      <c r="Q514" s="249"/>
      <c r="R514" s="253"/>
      <c r="S514" s="251">
        <f ca="1">IF(D514,Q506*S510*Q522,0)</f>
        <v>0</v>
      </c>
      <c r="T514" s="305">
        <f ca="1">IF(ISERROR(S514/$Q$36*100),,S514/$Q$36*100)</f>
        <v>0</v>
      </c>
      <c r="U514" s="245"/>
      <c r="V514" s="252"/>
      <c r="W514" s="254">
        <f ca="1">IF(F514,$Q506*W510*$Q522,0)</f>
        <v>0</v>
      </c>
      <c r="X514" s="309">
        <f ca="1">IF(ISERROR(W514/$Q$36*100),,W514/$Q$36*100)</f>
        <v>0</v>
      </c>
      <c r="Y514" s="101"/>
      <c r="Z514" s="398"/>
      <c r="AA514" s="100"/>
      <c r="AB514" s="249"/>
      <c r="AC514" s="249"/>
      <c r="AD514" s="416"/>
      <c r="AE514" s="105"/>
      <c r="AF514" s="249"/>
      <c r="AG514" s="249"/>
      <c r="AH514" s="416"/>
      <c r="AI514" s="105"/>
      <c r="AJ514" s="249"/>
      <c r="AK514" s="249"/>
      <c r="AL514" s="416"/>
      <c r="AM514" s="105"/>
      <c r="AN514" s="249"/>
      <c r="AO514" s="249"/>
      <c r="AP514" s="416"/>
      <c r="AQ514" s="105"/>
      <c r="AR514" s="249"/>
      <c r="AS514" s="249"/>
      <c r="AT514" s="416"/>
      <c r="AU514" s="105"/>
      <c r="AV514" s="249"/>
      <c r="AW514" s="249"/>
      <c r="AX514" s="416"/>
      <c r="AY514" s="105"/>
      <c r="AZ514" s="249"/>
      <c r="BA514" s="249"/>
      <c r="BB514" s="416"/>
      <c r="BC514" s="105"/>
      <c r="BD514" s="249"/>
      <c r="BE514" s="249"/>
      <c r="BF514" s="416"/>
      <c r="BG514" s="105"/>
      <c r="BH514" s="249"/>
      <c r="BI514" s="249"/>
      <c r="BJ514" s="416"/>
      <c r="BK514" s="105"/>
      <c r="BL514" s="249"/>
      <c r="BM514" s="249"/>
      <c r="BN514" s="416"/>
      <c r="BO514" s="105"/>
      <c r="BP514" s="249"/>
      <c r="BQ514" s="249"/>
      <c r="BR514" s="416"/>
      <c r="BS514" s="105"/>
      <c r="BT514" s="249"/>
      <c r="BU514" s="249"/>
      <c r="BV514" s="416"/>
      <c r="BW514" s="101"/>
      <c r="BX514" s="28"/>
    </row>
    <row r="515" spans="1:78" s="34" customFormat="1" ht="21.75" hidden="1" customHeight="1" outlineLevel="1" x14ac:dyDescent="0.25">
      <c r="A515" s="57"/>
      <c r="B515" s="360" t="s">
        <v>128</v>
      </c>
      <c r="C515" s="9"/>
      <c r="D515" s="360" t="b">
        <f ca="1">AND($Q522&lt;&gt;0,$R522&lt;&gt;0,$Q520&lt;&gt;0,$R520&lt;&gt;0)</f>
        <v>0</v>
      </c>
      <c r="E515" s="360"/>
      <c r="F515" s="360" t="b">
        <f ca="1">AND($Q522&lt;&gt;0,$V522&lt;&gt;0,$Q520&lt;&gt;0,$V520&lt;&gt;0)</f>
        <v>0</v>
      </c>
      <c r="H515" s="360"/>
      <c r="I515" s="95"/>
      <c r="J515" s="58"/>
      <c r="K515" s="100"/>
      <c r="L515" s="586"/>
      <c r="M515" s="575" t="str">
        <f ca="1">_xll.DBRA(Server&amp;$B$32,$B515,$N$19)</f>
        <v>F - Compound</v>
      </c>
      <c r="N515" s="575"/>
      <c r="O515" s="576"/>
      <c r="P515" s="246"/>
      <c r="Q515" s="249"/>
      <c r="R515" s="253"/>
      <c r="S515" s="255">
        <f ca="1">IF(D515,$S98-S512-S513-S514-S518,0)</f>
        <v>0</v>
      </c>
      <c r="T515" s="306">
        <f ca="1">IF(ISERROR(S515/$Q$36*100),,S515/$Q$36*100)</f>
        <v>0</v>
      </c>
      <c r="U515" s="245"/>
      <c r="V515" s="252"/>
      <c r="W515" s="255">
        <f ca="1">IF(F515,$W98-W512-W513-W514-W518,0)</f>
        <v>0</v>
      </c>
      <c r="X515" s="306">
        <f ca="1">IF(ISERROR(W515/$Q$36*100),,W515/$Q$36*100)</f>
        <v>0</v>
      </c>
      <c r="Y515" s="101"/>
      <c r="Z515" s="398"/>
      <c r="AA515" s="100"/>
      <c r="AB515" s="249"/>
      <c r="AC515" s="249"/>
      <c r="AD515" s="416"/>
      <c r="AE515" s="105"/>
      <c r="AF515" s="249"/>
      <c r="AG515" s="249"/>
      <c r="AH515" s="416"/>
      <c r="AI515" s="105"/>
      <c r="AJ515" s="249"/>
      <c r="AK515" s="249"/>
      <c r="AL515" s="416"/>
      <c r="AM515" s="105"/>
      <c r="AN515" s="249"/>
      <c r="AO515" s="249"/>
      <c r="AP515" s="416"/>
      <c r="AQ515" s="105"/>
      <c r="AR515" s="249"/>
      <c r="AS515" s="249"/>
      <c r="AT515" s="416"/>
      <c r="AU515" s="105"/>
      <c r="AV515" s="249"/>
      <c r="AW515" s="249"/>
      <c r="AX515" s="416"/>
      <c r="AY515" s="105"/>
      <c r="AZ515" s="249"/>
      <c r="BA515" s="249"/>
      <c r="BB515" s="416"/>
      <c r="BC515" s="105"/>
      <c r="BD515" s="249"/>
      <c r="BE515" s="249"/>
      <c r="BF515" s="416"/>
      <c r="BG515" s="105"/>
      <c r="BH515" s="249"/>
      <c r="BI515" s="249"/>
      <c r="BJ515" s="416"/>
      <c r="BK515" s="105"/>
      <c r="BL515" s="249"/>
      <c r="BM515" s="249"/>
      <c r="BN515" s="416"/>
      <c r="BO515" s="105"/>
      <c r="BP515" s="249"/>
      <c r="BQ515" s="249"/>
      <c r="BR515" s="416"/>
      <c r="BS515" s="105"/>
      <c r="BT515" s="249"/>
      <c r="BU515" s="249"/>
      <c r="BV515" s="416"/>
      <c r="BW515" s="101"/>
      <c r="BX515" s="28"/>
    </row>
    <row r="516" spans="1:78" s="34" customFormat="1" ht="21.75" hidden="1" customHeight="1" outlineLevel="1" x14ac:dyDescent="0.25">
      <c r="A516" s="57"/>
      <c r="B516" s="380" t="s">
        <v>145</v>
      </c>
      <c r="C516" s="9"/>
      <c r="D516" s="360" t="b">
        <f ca="1">OR($Q522=0,$R522=0,$Q520=0,$R520=0)</f>
        <v>1</v>
      </c>
      <c r="E516" s="360"/>
      <c r="F516" s="360" t="b">
        <f ca="1">OR($Q522=0,$V522=0,$Q520=0,$V520=0)</f>
        <v>1</v>
      </c>
      <c r="H516" s="380"/>
      <c r="I516" s="95"/>
      <c r="J516" s="58"/>
      <c r="K516" s="100"/>
      <c r="L516" s="586"/>
      <c r="M516" s="577" t="str">
        <f ca="1">_xll.DBRA(Server&amp;$B$32,$B516,$N$19)</f>
        <v>F - Fleet cost variance not addressed due to missing Work Unit(s)</v>
      </c>
      <c r="N516" s="577"/>
      <c r="O516" s="578"/>
      <c r="P516" s="256"/>
      <c r="Q516" s="257"/>
      <c r="R516" s="258"/>
      <c r="S516" s="259">
        <f ca="1">IF(D516,S$98-S512-S513-S514-S518,0)</f>
        <v>729884528.50687182</v>
      </c>
      <c r="T516" s="307">
        <f ca="1">IF(ISERROR(S516/$Q$36*100),,S516/$Q$36*100)</f>
        <v>4.6796872239229446</v>
      </c>
      <c r="U516" s="260"/>
      <c r="V516" s="261"/>
      <c r="W516" s="255">
        <f ca="1">IF(F516,$W$98-W512-W513-W514-W518,0)</f>
        <v>846052417.05150974</v>
      </c>
      <c r="X516" s="307">
        <f ca="1">IF(ISERROR(W516/$Q$36*100),,W516/$Q$36*100)</f>
        <v>5.4245028250489904</v>
      </c>
      <c r="Y516" s="101"/>
      <c r="Z516" s="398"/>
      <c r="AA516" s="100"/>
      <c r="AB516" s="257"/>
      <c r="AC516" s="257"/>
      <c r="AD516" s="417"/>
      <c r="AE516" s="105"/>
      <c r="AF516" s="257"/>
      <c r="AG516" s="257"/>
      <c r="AH516" s="417"/>
      <c r="AI516" s="105"/>
      <c r="AJ516" s="257"/>
      <c r="AK516" s="257"/>
      <c r="AL516" s="417"/>
      <c r="AM516" s="105"/>
      <c r="AN516" s="257"/>
      <c r="AO516" s="257"/>
      <c r="AP516" s="417"/>
      <c r="AQ516" s="105"/>
      <c r="AR516" s="257"/>
      <c r="AS516" s="257"/>
      <c r="AT516" s="417"/>
      <c r="AU516" s="105"/>
      <c r="AV516" s="257"/>
      <c r="AW516" s="257"/>
      <c r="AX516" s="417"/>
      <c r="AY516" s="105"/>
      <c r="AZ516" s="257"/>
      <c r="BA516" s="257"/>
      <c r="BB516" s="417"/>
      <c r="BC516" s="105"/>
      <c r="BD516" s="257"/>
      <c r="BE516" s="257"/>
      <c r="BF516" s="417"/>
      <c r="BG516" s="105"/>
      <c r="BH516" s="257"/>
      <c r="BI516" s="257"/>
      <c r="BJ516" s="417"/>
      <c r="BK516" s="105"/>
      <c r="BL516" s="257"/>
      <c r="BM516" s="257"/>
      <c r="BN516" s="417"/>
      <c r="BO516" s="105"/>
      <c r="BP516" s="257"/>
      <c r="BQ516" s="257"/>
      <c r="BR516" s="417"/>
      <c r="BS516" s="105"/>
      <c r="BT516" s="257"/>
      <c r="BU516" s="257"/>
      <c r="BV516" s="417"/>
      <c r="BW516" s="101"/>
      <c r="BX516" s="28"/>
    </row>
    <row r="517" spans="1:78" s="34" customFormat="1" ht="22.5" customHeight="1" collapsed="1" thickTop="1" x14ac:dyDescent="0.25">
      <c r="A517" s="57"/>
      <c r="B517" s="360" t="s">
        <v>129</v>
      </c>
      <c r="C517" s="9"/>
      <c r="D517" s="1"/>
      <c r="E517" s="1"/>
      <c r="H517" s="360"/>
      <c r="I517" s="95"/>
      <c r="J517" s="58"/>
      <c r="K517" s="100"/>
      <c r="L517" s="586"/>
      <c r="M517" s="579" t="str">
        <f ca="1">_xll.DBRA(Server&amp;$B$32,$B517,$N$19)</f>
        <v>F - Part of Fleet cost variance due to Level 2 ratios change</v>
      </c>
      <c r="N517" s="579"/>
      <c r="O517" s="580"/>
      <c r="P517" s="262"/>
      <c r="Q517" s="263"/>
      <c r="R517" s="264"/>
      <c r="S517" s="334">
        <f ca="1">SUM(S512:S516)</f>
        <v>729884528.50687182</v>
      </c>
      <c r="T517" s="335">
        <f ca="1">-(Q506-R506)*100</f>
        <v>0</v>
      </c>
      <c r="U517" s="266"/>
      <c r="V517" s="267"/>
      <c r="W517" s="334">
        <f ca="1">SUM(W512:W516)</f>
        <v>846052417.05150974</v>
      </c>
      <c r="X517" s="335">
        <f ca="1">-($Q506-V506)*100</f>
        <v>0</v>
      </c>
      <c r="Y517" s="101"/>
      <c r="Z517" s="398"/>
      <c r="AA517" s="100"/>
      <c r="AB517" s="263"/>
      <c r="AC517" s="263"/>
      <c r="AD517" s="418"/>
      <c r="AE517" s="105"/>
      <c r="AF517" s="263"/>
      <c r="AG517" s="263"/>
      <c r="AH517" s="418"/>
      <c r="AI517" s="105"/>
      <c r="AJ517" s="263"/>
      <c r="AK517" s="263"/>
      <c r="AL517" s="418"/>
      <c r="AM517" s="105"/>
      <c r="AN517" s="263"/>
      <c r="AO517" s="263"/>
      <c r="AP517" s="418"/>
      <c r="AQ517" s="105"/>
      <c r="AR517" s="263"/>
      <c r="AS517" s="263"/>
      <c r="AT517" s="418"/>
      <c r="AU517" s="105"/>
      <c r="AV517" s="263"/>
      <c r="AW517" s="263"/>
      <c r="AX517" s="418"/>
      <c r="AY517" s="105"/>
      <c r="AZ517" s="263"/>
      <c r="BA517" s="263"/>
      <c r="BB517" s="418"/>
      <c r="BC517" s="105"/>
      <c r="BD517" s="263"/>
      <c r="BE517" s="263"/>
      <c r="BF517" s="418"/>
      <c r="BG517" s="105"/>
      <c r="BH517" s="263"/>
      <c r="BI517" s="263"/>
      <c r="BJ517" s="418"/>
      <c r="BK517" s="105"/>
      <c r="BL517" s="263"/>
      <c r="BM517" s="263"/>
      <c r="BN517" s="418"/>
      <c r="BO517" s="105"/>
      <c r="BP517" s="263"/>
      <c r="BQ517" s="263"/>
      <c r="BR517" s="418"/>
      <c r="BS517" s="105"/>
      <c r="BT517" s="263"/>
      <c r="BU517" s="263"/>
      <c r="BV517" s="418"/>
      <c r="BW517" s="101"/>
      <c r="BX517" s="28"/>
    </row>
    <row r="518" spans="1:78" s="34" customFormat="1" ht="22.5" customHeight="1" x14ac:dyDescent="0.25">
      <c r="A518" s="57"/>
      <c r="B518" s="360" t="s">
        <v>130</v>
      </c>
      <c r="C518" s="9"/>
      <c r="D518" s="1"/>
      <c r="E518" s="1"/>
      <c r="H518" s="360"/>
      <c r="I518" s="95"/>
      <c r="J518" s="58"/>
      <c r="K518" s="100"/>
      <c r="L518" s="587"/>
      <c r="M518" s="581" t="str">
        <f ca="1">_xll.DBRA(Server&amp;$B$32,$B518,$N$19)</f>
        <v>F - Part of Fleet cost variance due to ROA change</v>
      </c>
      <c r="N518" s="581"/>
      <c r="O518" s="582"/>
      <c r="P518" s="268"/>
      <c r="Q518" s="269"/>
      <c r="R518" s="270"/>
      <c r="S518" s="271">
        <f ca="1">(IF($R$36&lt;&gt;0,IF($R$36&gt;0,$S$36/$R$36,-$S$36/$R$36),0))*R98</f>
        <v>-293902242.48224103</v>
      </c>
      <c r="T518" s="336"/>
      <c r="U518" s="273"/>
      <c r="V518" s="274"/>
      <c r="W518" s="271">
        <f ca="1">(IF($V$36&lt;&gt;0,IF($V$36&gt;0,$W$36/$V$36,-$W$36/$V$36),0))*V98</f>
        <v>-597767432.73813331</v>
      </c>
      <c r="X518" s="336"/>
      <c r="Y518" s="101"/>
      <c r="Z518" s="398"/>
      <c r="AA518" s="100"/>
      <c r="AB518" s="269"/>
      <c r="AC518" s="269"/>
      <c r="AD518" s="419"/>
      <c r="AE518" s="105"/>
      <c r="AF518" s="269"/>
      <c r="AG518" s="269"/>
      <c r="AH518" s="419"/>
      <c r="AI518" s="105"/>
      <c r="AJ518" s="269"/>
      <c r="AK518" s="269"/>
      <c r="AL518" s="419"/>
      <c r="AM518" s="105"/>
      <c r="AN518" s="269"/>
      <c r="AO518" s="269"/>
      <c r="AP518" s="419"/>
      <c r="AQ518" s="105"/>
      <c r="AR518" s="269"/>
      <c r="AS518" s="269"/>
      <c r="AT518" s="419"/>
      <c r="AU518" s="105"/>
      <c r="AV518" s="269"/>
      <c r="AW518" s="269"/>
      <c r="AX518" s="419"/>
      <c r="AY518" s="105"/>
      <c r="AZ518" s="269"/>
      <c r="BA518" s="269"/>
      <c r="BB518" s="419"/>
      <c r="BC518" s="105"/>
      <c r="BD518" s="269"/>
      <c r="BE518" s="269"/>
      <c r="BF518" s="419"/>
      <c r="BG518" s="105"/>
      <c r="BH518" s="269"/>
      <c r="BI518" s="269"/>
      <c r="BJ518" s="419"/>
      <c r="BK518" s="105"/>
      <c r="BL518" s="269"/>
      <c r="BM518" s="269"/>
      <c r="BN518" s="419"/>
      <c r="BO518" s="105"/>
      <c r="BP518" s="269"/>
      <c r="BQ518" s="269"/>
      <c r="BR518" s="419"/>
      <c r="BS518" s="105"/>
      <c r="BT518" s="269"/>
      <c r="BU518" s="269"/>
      <c r="BV518" s="419"/>
      <c r="BW518" s="101"/>
      <c r="BX518" s="28"/>
    </row>
    <row r="519" spans="1:78" s="34" customFormat="1" ht="21" customHeight="1" collapsed="1" x14ac:dyDescent="0.25">
      <c r="A519" s="57"/>
      <c r="B519" s="379" t="s">
        <v>147</v>
      </c>
      <c r="C519" s="9"/>
      <c r="D519" s="1"/>
      <c r="E519" s="1"/>
      <c r="H519" s="379"/>
      <c r="I519" s="95"/>
      <c r="J519" s="58"/>
      <c r="K519" s="100"/>
      <c r="L519" s="570" t="str">
        <f ca="1">_xll.DBRA(Server&amp;Context!$B$32,Context!$B$59,$N$19)</f>
        <v>Total Fleet cost variance (impact on Gross Margin variance)</v>
      </c>
      <c r="M519" s="571"/>
      <c r="N519" s="571"/>
      <c r="O519" s="572"/>
      <c r="P519" s="212"/>
      <c r="Q519" s="275"/>
      <c r="R519" s="276"/>
      <c r="S519" s="277">
        <f ca="1">SUM(S517:S518)</f>
        <v>435982286.02463078</v>
      </c>
      <c r="T519" s="337"/>
      <c r="U519" s="247"/>
      <c r="V519" s="279"/>
      <c r="W519" s="280">
        <f ca="1">SUM(W517:W518)</f>
        <v>248284984.31337643</v>
      </c>
      <c r="X519" s="337"/>
      <c r="Y519" s="101"/>
      <c r="Z519" s="398"/>
      <c r="AA519" s="100"/>
      <c r="AB519" s="275"/>
      <c r="AC519" s="275"/>
      <c r="AD519" s="420"/>
      <c r="AE519" s="105"/>
      <c r="AF519" s="275"/>
      <c r="AG519" s="275"/>
      <c r="AH519" s="420"/>
      <c r="AI519" s="105"/>
      <c r="AJ519" s="275"/>
      <c r="AK519" s="275"/>
      <c r="AL519" s="420"/>
      <c r="AM519" s="105"/>
      <c r="AN519" s="275"/>
      <c r="AO519" s="275"/>
      <c r="AP519" s="420"/>
      <c r="AQ519" s="105"/>
      <c r="AR519" s="275"/>
      <c r="AS519" s="275"/>
      <c r="AT519" s="420"/>
      <c r="AU519" s="105"/>
      <c r="AV519" s="275"/>
      <c r="AW519" s="275"/>
      <c r="AX519" s="420"/>
      <c r="AY519" s="105"/>
      <c r="AZ519" s="275"/>
      <c r="BA519" s="275"/>
      <c r="BB519" s="420"/>
      <c r="BC519" s="105"/>
      <c r="BD519" s="275"/>
      <c r="BE519" s="275"/>
      <c r="BF519" s="420"/>
      <c r="BG519" s="105"/>
      <c r="BH519" s="275"/>
      <c r="BI519" s="275"/>
      <c r="BJ519" s="420"/>
      <c r="BK519" s="105"/>
      <c r="BL519" s="275"/>
      <c r="BM519" s="275"/>
      <c r="BN519" s="420"/>
      <c r="BO519" s="105"/>
      <c r="BP519" s="275"/>
      <c r="BQ519" s="275"/>
      <c r="BR519" s="420"/>
      <c r="BS519" s="105"/>
      <c r="BT519" s="275"/>
      <c r="BU519" s="275"/>
      <c r="BV519" s="420"/>
      <c r="BW519" s="101"/>
      <c r="BX519" s="28"/>
    </row>
    <row r="520" spans="1:78" s="34" customFormat="1" ht="18.75" hidden="1" customHeight="1" outlineLevel="1" x14ac:dyDescent="0.25">
      <c r="A520" s="136" t="str">
        <f ca="1">_xll.DBR(Server&amp;Cube2,$N$15,$N$13,$B520,IF($N$19="French","STR_VAR3","STR_VAR2"))</f>
        <v/>
      </c>
      <c r="B520" s="360" t="s">
        <v>123</v>
      </c>
      <c r="C520" s="136" t="str">
        <f ca="1">_xll.DBR(Server&amp;Cube2,$N$15,$N$13,$B520,"STR_VAR1")</f>
        <v/>
      </c>
      <c r="D520" s="1"/>
      <c r="E520" s="1"/>
      <c r="H520" s="360"/>
      <c r="I520" s="1"/>
      <c r="J520" s="30"/>
      <c r="K520" s="100"/>
      <c r="L520" s="103"/>
      <c r="M520" s="302" t="str">
        <f ca="1">_xll.DBRA(Server&amp;$B$32,$B520,$N$19)&amp;"      ---&gt;"</f>
        <v>Fleet - Cost Work Unit      ---&gt;</v>
      </c>
      <c r="N520" s="302"/>
      <c r="O520" s="423" t="str">
        <f ca="1">IF(A520="",_xll.DBRA(Server&amp;Context!$B$32,Context!$B$66,$N$19),_xll.DBRA(Server&amp;$B$32,$A520,$N$19))</f>
        <v>Not defined</v>
      </c>
      <c r="P520" s="212"/>
      <c r="Q520" s="281">
        <f ca="1">_xll.DBRW(Server&amp;Cube1,$N$15,$N$16,$N$17,$N$18,$N$14,$N$13,$N$11,$Q$1,$B520)</f>
        <v>0</v>
      </c>
      <c r="R520" s="282">
        <f ca="1">_xll.DBRW(Server&amp;Cube1,$N$15,$N$16,$N$17,$N$18,$N$14,$N$13,$R$2,$R$1,$B520)</f>
        <v>0</v>
      </c>
      <c r="S520" s="283">
        <f ca="1">Q520-R520</f>
        <v>0</v>
      </c>
      <c r="T520" s="284">
        <f ca="1">IF(R520&lt;&gt;0,IF(R520&gt;0,S520/R520,-S520/R520),0)</f>
        <v>0</v>
      </c>
      <c r="U520" s="245"/>
      <c r="V520" s="281">
        <f ca="1">_xll.DBRW(Server&amp;Cube1,$N$15,$N$16,$N$17,$N$18,$N$14,$N$13,$V$2,$V$1,$B520)</f>
        <v>0</v>
      </c>
      <c r="W520" s="283">
        <f ca="1">$Q520-V520</f>
        <v>0</v>
      </c>
      <c r="X520" s="284">
        <f ca="1">IF(V520&lt;&gt;0,IF(V520&gt;0,W520/V520,-W520/V520),0)</f>
        <v>0</v>
      </c>
      <c r="Y520" s="214"/>
      <c r="Z520" s="396"/>
      <c r="AA520" s="100"/>
      <c r="AB520" s="281">
        <f ca="1">_xll.DBRW(Server&amp;Cube1,$N$15,$N$16,$N$17,$N$18,$N$14,$N$13,AB$2,AB$1,$B520)</f>
        <v>0</v>
      </c>
      <c r="AC520" s="281">
        <f ca="1">_xll.DBRW(Server&amp;Cube1,$N$15,$N$16,$N$17,$N$18,$N$14,$N$13,AC$2,AC$1,$B520)</f>
        <v>0</v>
      </c>
      <c r="AD520" s="412">
        <f ca="1">_xll.DBRW(Server&amp;Cube1,$N$15,$N$16,$N$17,$N$18,$N$14,$N$13,AD$2,AD$1,$B520)</f>
        <v>0</v>
      </c>
      <c r="AE520" s="105"/>
      <c r="AF520" s="281">
        <f ca="1">_xll.DBRW(Server&amp;Cube1,$N$15,$N$16,$N$17,$N$18,$N$14,$N$13,AF$2,AF$1,$B520)</f>
        <v>0</v>
      </c>
      <c r="AG520" s="281">
        <f ca="1">_xll.DBRW(Server&amp;Cube1,$N$15,$N$16,$N$17,$N$18,$N$14,$N$13,AG$2,AG$1,$B520)</f>
        <v>0</v>
      </c>
      <c r="AH520" s="412">
        <f ca="1">_xll.DBRW(Server&amp;Cube1,$N$15,$N$16,$N$17,$N$18,$N$14,$N$13,AH$2,AH$1,$B520)</f>
        <v>0</v>
      </c>
      <c r="AI520" s="105"/>
      <c r="AJ520" s="281">
        <f ca="1">_xll.DBRW(Server&amp;Cube1,$N$15,$N$16,$N$17,$N$18,$N$14,$N$13,AJ$2,AJ$1,$B520)</f>
        <v>0</v>
      </c>
      <c r="AK520" s="281">
        <f ca="1">_xll.DBRW(Server&amp;Cube1,$N$15,$N$16,$N$17,$N$18,$N$14,$N$13,AK$2,AK$1,$B520)</f>
        <v>0</v>
      </c>
      <c r="AL520" s="412">
        <f ca="1">_xll.DBRW(Server&amp;Cube1,$N$15,$N$16,$N$17,$N$18,$N$14,$N$13,AL$2,AL$1,$B520)</f>
        <v>0</v>
      </c>
      <c r="AM520" s="105"/>
      <c r="AN520" s="281">
        <f ca="1">_xll.DBRW(Server&amp;Cube1,$N$15,$N$16,$N$17,$N$18,$N$14,$N$13,AN$2,AN$1,$B520)</f>
        <v>0</v>
      </c>
      <c r="AO520" s="281">
        <f ca="1">_xll.DBRW(Server&amp;Cube1,$N$15,$N$16,$N$17,$N$18,$N$14,$N$13,AO$2,AO$1,$B520)</f>
        <v>0</v>
      </c>
      <c r="AP520" s="412">
        <f ca="1">_xll.DBRW(Server&amp;Cube1,$N$15,$N$16,$N$17,$N$18,$N$14,$N$13,AP$2,AP$1,$B520)</f>
        <v>0</v>
      </c>
      <c r="AQ520" s="105"/>
      <c r="AR520" s="281">
        <f ca="1">_xll.DBRW(Server&amp;Cube1,$N$15,$N$16,$N$17,$N$18,$N$14,$N$13,AR$2,AR$1,$B520)</f>
        <v>0</v>
      </c>
      <c r="AS520" s="281">
        <f ca="1">_xll.DBRW(Server&amp;Cube1,$N$15,$N$16,$N$17,$N$18,$N$14,$N$13,AS$2,AS$1,$B520)</f>
        <v>0</v>
      </c>
      <c r="AT520" s="412">
        <f ca="1">_xll.DBRW(Server&amp;Cube1,$N$15,$N$16,$N$17,$N$18,$N$14,$N$13,AT$2,AT$1,$B520)</f>
        <v>0</v>
      </c>
      <c r="AU520" s="105"/>
      <c r="AV520" s="281">
        <f ca="1">_xll.DBRW(Server&amp;Cube1,$N$15,$N$16,$N$17,$N$18,$N$14,$N$13,AV$2,AV$1,$B520)</f>
        <v>0</v>
      </c>
      <c r="AW520" s="281">
        <f ca="1">_xll.DBRW(Server&amp;Cube1,$N$15,$N$16,$N$17,$N$18,$N$14,$N$13,AW$2,AW$1,$B520)</f>
        <v>0</v>
      </c>
      <c r="AX520" s="412">
        <f ca="1">_xll.DBRW(Server&amp;Cube1,$N$15,$N$16,$N$17,$N$18,$N$14,$N$13,AX$2,AX$1,$B520)</f>
        <v>0</v>
      </c>
      <c r="AY520" s="105"/>
      <c r="AZ520" s="281">
        <f ca="1">_xll.DBRW(Server&amp;Cube1,$N$15,$N$16,$N$17,$N$18,$N$14,$N$13,AZ$2,AZ$1,$B520)</f>
        <v>0</v>
      </c>
      <c r="BA520" s="281">
        <f ca="1">_xll.DBRW(Server&amp;Cube1,$N$15,$N$16,$N$17,$N$18,$N$14,$N$13,BA$2,BA$1,$B520)</f>
        <v>0</v>
      </c>
      <c r="BB520" s="412">
        <f ca="1">_xll.DBRW(Server&amp;Cube1,$N$15,$N$16,$N$17,$N$18,$N$14,$N$13,BB$2,BB$1,$B520)</f>
        <v>0</v>
      </c>
      <c r="BC520" s="105"/>
      <c r="BD520" s="281">
        <f ca="1">_xll.DBRW(Server&amp;Cube1,$N$15,$N$16,$N$17,$N$18,$N$14,$N$13,BD$2,BD$1,$B520)</f>
        <v>0</v>
      </c>
      <c r="BE520" s="281">
        <f ca="1">_xll.DBRW(Server&amp;Cube1,$N$15,$N$16,$N$17,$N$18,$N$14,$N$13,BE$2,BE$1,$B520)</f>
        <v>0</v>
      </c>
      <c r="BF520" s="412">
        <f ca="1">_xll.DBRW(Server&amp;Cube1,$N$15,$N$16,$N$17,$N$18,$N$14,$N$13,BF$2,BF$1,$B520)</f>
        <v>0</v>
      </c>
      <c r="BG520" s="105"/>
      <c r="BH520" s="281">
        <f ca="1">_xll.DBRW(Server&amp;Cube1,$N$15,$N$16,$N$17,$N$18,$N$14,$N$13,BH$2,BH$1,$B520)</f>
        <v>0</v>
      </c>
      <c r="BI520" s="281">
        <f ca="1">_xll.DBRW(Server&amp;Cube1,$N$15,$N$16,$N$17,$N$18,$N$14,$N$13,BI$2,BI$1,$B520)</f>
        <v>0</v>
      </c>
      <c r="BJ520" s="412">
        <f ca="1">_xll.DBRW(Server&amp;Cube1,$N$15,$N$16,$N$17,$N$18,$N$14,$N$13,BJ$2,BJ$1,$B520)</f>
        <v>0</v>
      </c>
      <c r="BK520" s="105"/>
      <c r="BL520" s="281">
        <f ca="1">_xll.DBRW(Server&amp;Cube1,$N$15,$N$16,$N$17,$N$18,$N$14,$N$13,BL$2,BL$1,$B520)</f>
        <v>0</v>
      </c>
      <c r="BM520" s="281">
        <f ca="1">_xll.DBRW(Server&amp;Cube1,$N$15,$N$16,$N$17,$N$18,$N$14,$N$13,BM$2,BM$1,$B520)</f>
        <v>0</v>
      </c>
      <c r="BN520" s="412">
        <f ca="1">_xll.DBRW(Server&amp;Cube1,$N$15,$N$16,$N$17,$N$18,$N$14,$N$13,BN$2,BN$1,$B520)</f>
        <v>0</v>
      </c>
      <c r="BO520" s="105"/>
      <c r="BP520" s="281">
        <f ca="1">_xll.DBRW(Server&amp;Cube1,$N$15,$N$16,$N$17,$N$18,$N$14,$N$13,BP$2,BP$1,$B520)</f>
        <v>0</v>
      </c>
      <c r="BQ520" s="281">
        <f ca="1">_xll.DBRW(Server&amp;Cube1,$N$15,$N$16,$N$17,$N$18,$N$14,$N$13,BQ$2,BQ$1,$B520)</f>
        <v>0</v>
      </c>
      <c r="BR520" s="412">
        <f ca="1">_xll.DBRW(Server&amp;Cube1,$N$15,$N$16,$N$17,$N$18,$N$14,$N$13,BR$2,BR$1,$B520)</f>
        <v>0</v>
      </c>
      <c r="BS520" s="105"/>
      <c r="BT520" s="281">
        <f ca="1">_xll.DBRW(Server&amp;Cube1,$N$15,$N$16,$N$17,$N$18,$N$14,$N$13,BT$2,BT$1,$B520)</f>
        <v>0</v>
      </c>
      <c r="BU520" s="281">
        <f ca="1">_xll.DBRW(Server&amp;Cube1,$N$15,$N$16,$N$17,$N$18,$N$14,$N$13,BU$2,BU$1,$B520)</f>
        <v>0</v>
      </c>
      <c r="BV520" s="412">
        <f ca="1">_xll.DBRW(Server&amp;Cube1,$N$15,$N$16,$N$17,$N$18,$N$14,$N$13,BV$2,BV$1,$B520)</f>
        <v>0</v>
      </c>
      <c r="BW520" s="214"/>
      <c r="BX520" s="79"/>
      <c r="BY520" s="55"/>
      <c r="BZ520" s="370"/>
    </row>
    <row r="521" spans="1:78" s="34" customFormat="1" ht="9" hidden="1" customHeight="1" outlineLevel="1" x14ac:dyDescent="0.25">
      <c r="A521" s="136"/>
      <c r="B521" s="360"/>
      <c r="C521" s="136"/>
      <c r="D521" s="1"/>
      <c r="E521" s="1"/>
      <c r="H521" s="360"/>
      <c r="I521" s="1"/>
      <c r="J521" s="30"/>
      <c r="K521" s="100"/>
      <c r="L521" s="103"/>
      <c r="M521" s="303"/>
      <c r="N521" s="303"/>
      <c r="O521" s="471" t="str">
        <f ca="1">IF(COUNTIF($C520,"*Tot_km*"),$B$6,IF(COUNTIF($C520,"Tot_nb_vehicle"),$B$7,IF(COUNTIF($C520,"Rev_km"),$B$8,IF(COUNTIF($C520,"Tot_driv_hours"),$B$9,""))))</f>
        <v/>
      </c>
      <c r="P521" s="212"/>
      <c r="Q521" s="453"/>
      <c r="R521" s="454"/>
      <c r="S521" s="455"/>
      <c r="T521" s="456"/>
      <c r="U521" s="245"/>
      <c r="V521" s="453"/>
      <c r="W521" s="455"/>
      <c r="X521" s="456"/>
      <c r="Y521" s="214"/>
      <c r="Z521" s="396"/>
      <c r="AA521" s="100"/>
      <c r="AB521" s="453"/>
      <c r="AC521" s="453"/>
      <c r="AD521" s="457"/>
      <c r="AE521" s="105"/>
      <c r="AF521" s="453"/>
      <c r="AG521" s="453"/>
      <c r="AH521" s="457"/>
      <c r="AI521" s="105"/>
      <c r="AJ521" s="453"/>
      <c r="AK521" s="453"/>
      <c r="AL521" s="457"/>
      <c r="AM521" s="105"/>
      <c r="AN521" s="453"/>
      <c r="AO521" s="453"/>
      <c r="AP521" s="457"/>
      <c r="AQ521" s="105"/>
      <c r="AR521" s="453"/>
      <c r="AS521" s="453"/>
      <c r="AT521" s="457"/>
      <c r="AU521" s="105"/>
      <c r="AV521" s="453"/>
      <c r="AW521" s="453"/>
      <c r="AX521" s="457"/>
      <c r="AY521" s="105"/>
      <c r="AZ521" s="453"/>
      <c r="BA521" s="453"/>
      <c r="BB521" s="457"/>
      <c r="BC521" s="105"/>
      <c r="BD521" s="453"/>
      <c r="BE521" s="453"/>
      <c r="BF521" s="457"/>
      <c r="BG521" s="105"/>
      <c r="BH521" s="453"/>
      <c r="BI521" s="453"/>
      <c r="BJ521" s="457"/>
      <c r="BK521" s="105"/>
      <c r="BL521" s="453"/>
      <c r="BM521" s="453"/>
      <c r="BN521" s="457"/>
      <c r="BO521" s="105"/>
      <c r="BP521" s="453"/>
      <c r="BQ521" s="453"/>
      <c r="BR521" s="457"/>
      <c r="BS521" s="105"/>
      <c r="BT521" s="453"/>
      <c r="BU521" s="453"/>
      <c r="BV521" s="457"/>
      <c r="BW521" s="214"/>
      <c r="BX521" s="79"/>
      <c r="BY521" s="55"/>
      <c r="BZ521" s="370"/>
    </row>
    <row r="522" spans="1:78" s="34" customFormat="1" ht="18.75" hidden="1" customHeight="1" outlineLevel="1" x14ac:dyDescent="0.25">
      <c r="A522" s="136" t="str">
        <f ca="1">_xll.DBR(Server&amp;Cube2,$N$15,$N$13,$B522,IF($N$19="French","STR_VAR3","STR_VAR2"))</f>
        <v/>
      </c>
      <c r="B522" s="360" t="s">
        <v>124</v>
      </c>
      <c r="C522" s="136" t="str">
        <f ca="1">_xll.DBR(Server&amp;Cube2,$N$15,$N$13,$B522,"STR_VAR1")</f>
        <v/>
      </c>
      <c r="D522" s="1"/>
      <c r="E522" s="1"/>
      <c r="H522" s="360"/>
      <c r="I522" s="1"/>
      <c r="J522" s="30"/>
      <c r="K522" s="100"/>
      <c r="L522" s="103"/>
      <c r="M522" s="303" t="str">
        <f ca="1">_xll.DBRA(Server&amp;$B$32,$B522,$N$19)&amp;"     ---&gt;"</f>
        <v>Fleet - Price Work Unit     ---&gt;</v>
      </c>
      <c r="N522" s="303"/>
      <c r="O522" s="423" t="str">
        <f ca="1">IF(A522="",_xll.DBRA(Server&amp;Context!$B$32,Context!$B$66,$N$19),_xll.DBRA(Server&amp;$B$32,$A522,$N$19))</f>
        <v>Not defined</v>
      </c>
      <c r="P522" s="212"/>
      <c r="Q522" s="285">
        <f ca="1">_xll.DBRW(Server&amp;Cube1,$N$15,$N$16,$N$17,$N$18,$N$14,$N$13,$N$11,$Q$1,$B522)</f>
        <v>0</v>
      </c>
      <c r="R522" s="286">
        <f ca="1">_xll.DBRW(Server&amp;Cube1,$N$15,$N$16,$N$17,$N$18,$N$14,$N$13,$R$2,$R$1,$B522)</f>
        <v>0</v>
      </c>
      <c r="S522" s="287">
        <f ca="1">Q522-R522</f>
        <v>0</v>
      </c>
      <c r="T522" s="288">
        <f ca="1">IF(R522&lt;&gt;0,IF(R522&gt;0,S522/R522,-S522/R522),0)</f>
        <v>0</v>
      </c>
      <c r="U522" s="245"/>
      <c r="V522" s="285">
        <f ca="1">_xll.DBRW(Server&amp;Cube1,$N$15,$N$16,$N$17,$N$18,$N$14,$N$13,$V$2,$V$1,$B522)</f>
        <v>0</v>
      </c>
      <c r="W522" s="287">
        <f ca="1">$Q522-V522</f>
        <v>0</v>
      </c>
      <c r="X522" s="288">
        <f ca="1">IF(V522&lt;&gt;0,IF(V522&gt;0,W522/V522,-W522/V522),0)</f>
        <v>0</v>
      </c>
      <c r="Y522" s="214"/>
      <c r="Z522" s="396"/>
      <c r="AA522" s="100"/>
      <c r="AB522" s="285">
        <f ca="1">_xll.DBRW(Server&amp;Cube1,$N$15,$N$16,$N$17,$N$18,$N$14,$N$13,AB$2,AB$1,$B522)</f>
        <v>0</v>
      </c>
      <c r="AC522" s="285">
        <f ca="1">_xll.DBRW(Server&amp;Cube1,$N$15,$N$16,$N$17,$N$18,$N$14,$N$13,AC$2,AC$1,$B522)</f>
        <v>0</v>
      </c>
      <c r="AD522" s="413">
        <f ca="1">_xll.DBRW(Server&amp;Cube1,$N$15,$N$16,$N$17,$N$18,$N$14,$N$13,AD$2,AD$1,$B522)</f>
        <v>0</v>
      </c>
      <c r="AE522" s="105"/>
      <c r="AF522" s="285">
        <f ca="1">_xll.DBRW(Server&amp;Cube1,$N$15,$N$16,$N$17,$N$18,$N$14,$N$13,AF$2,AF$1,$B522)</f>
        <v>0</v>
      </c>
      <c r="AG522" s="285">
        <f ca="1">_xll.DBRW(Server&amp;Cube1,$N$15,$N$16,$N$17,$N$18,$N$14,$N$13,AG$2,AG$1,$B522)</f>
        <v>0</v>
      </c>
      <c r="AH522" s="413">
        <f ca="1">_xll.DBRW(Server&amp;Cube1,$N$15,$N$16,$N$17,$N$18,$N$14,$N$13,AH$2,AH$1,$B522)</f>
        <v>0</v>
      </c>
      <c r="AI522" s="105"/>
      <c r="AJ522" s="285">
        <f ca="1">_xll.DBRW(Server&amp;Cube1,$N$15,$N$16,$N$17,$N$18,$N$14,$N$13,AJ$2,AJ$1,$B522)</f>
        <v>0</v>
      </c>
      <c r="AK522" s="285">
        <f ca="1">_xll.DBRW(Server&amp;Cube1,$N$15,$N$16,$N$17,$N$18,$N$14,$N$13,AK$2,AK$1,$B522)</f>
        <v>0</v>
      </c>
      <c r="AL522" s="413">
        <f ca="1">_xll.DBRW(Server&amp;Cube1,$N$15,$N$16,$N$17,$N$18,$N$14,$N$13,AL$2,AL$1,$B522)</f>
        <v>0</v>
      </c>
      <c r="AM522" s="105"/>
      <c r="AN522" s="285">
        <f ca="1">_xll.DBRW(Server&amp;Cube1,$N$15,$N$16,$N$17,$N$18,$N$14,$N$13,AN$2,AN$1,$B522)</f>
        <v>0</v>
      </c>
      <c r="AO522" s="285">
        <f ca="1">_xll.DBRW(Server&amp;Cube1,$N$15,$N$16,$N$17,$N$18,$N$14,$N$13,AO$2,AO$1,$B522)</f>
        <v>0</v>
      </c>
      <c r="AP522" s="413">
        <f ca="1">_xll.DBRW(Server&amp;Cube1,$N$15,$N$16,$N$17,$N$18,$N$14,$N$13,AP$2,AP$1,$B522)</f>
        <v>0</v>
      </c>
      <c r="AQ522" s="105"/>
      <c r="AR522" s="285">
        <f ca="1">_xll.DBRW(Server&amp;Cube1,$N$15,$N$16,$N$17,$N$18,$N$14,$N$13,AR$2,AR$1,$B522)</f>
        <v>0</v>
      </c>
      <c r="AS522" s="285">
        <f ca="1">_xll.DBRW(Server&amp;Cube1,$N$15,$N$16,$N$17,$N$18,$N$14,$N$13,AS$2,AS$1,$B522)</f>
        <v>0</v>
      </c>
      <c r="AT522" s="413">
        <f ca="1">_xll.DBRW(Server&amp;Cube1,$N$15,$N$16,$N$17,$N$18,$N$14,$N$13,AT$2,AT$1,$B522)</f>
        <v>0</v>
      </c>
      <c r="AU522" s="105"/>
      <c r="AV522" s="285">
        <f ca="1">_xll.DBRW(Server&amp;Cube1,$N$15,$N$16,$N$17,$N$18,$N$14,$N$13,AV$2,AV$1,$B522)</f>
        <v>0</v>
      </c>
      <c r="AW522" s="285">
        <f ca="1">_xll.DBRW(Server&amp;Cube1,$N$15,$N$16,$N$17,$N$18,$N$14,$N$13,AW$2,AW$1,$B522)</f>
        <v>0</v>
      </c>
      <c r="AX522" s="413">
        <f ca="1">_xll.DBRW(Server&amp;Cube1,$N$15,$N$16,$N$17,$N$18,$N$14,$N$13,AX$2,AX$1,$B522)</f>
        <v>0</v>
      </c>
      <c r="AY522" s="105"/>
      <c r="AZ522" s="285">
        <f ca="1">_xll.DBRW(Server&amp;Cube1,$N$15,$N$16,$N$17,$N$18,$N$14,$N$13,AZ$2,AZ$1,$B522)</f>
        <v>0</v>
      </c>
      <c r="BA522" s="285">
        <f ca="1">_xll.DBRW(Server&amp;Cube1,$N$15,$N$16,$N$17,$N$18,$N$14,$N$13,BA$2,BA$1,$B522)</f>
        <v>0</v>
      </c>
      <c r="BB522" s="413">
        <f ca="1">_xll.DBRW(Server&amp;Cube1,$N$15,$N$16,$N$17,$N$18,$N$14,$N$13,BB$2,BB$1,$B522)</f>
        <v>0</v>
      </c>
      <c r="BC522" s="105"/>
      <c r="BD522" s="285">
        <f ca="1">_xll.DBRW(Server&amp;Cube1,$N$15,$N$16,$N$17,$N$18,$N$14,$N$13,BD$2,BD$1,$B522)</f>
        <v>0</v>
      </c>
      <c r="BE522" s="285">
        <f ca="1">_xll.DBRW(Server&amp;Cube1,$N$15,$N$16,$N$17,$N$18,$N$14,$N$13,BE$2,BE$1,$B522)</f>
        <v>0</v>
      </c>
      <c r="BF522" s="413">
        <f ca="1">_xll.DBRW(Server&amp;Cube1,$N$15,$N$16,$N$17,$N$18,$N$14,$N$13,BF$2,BF$1,$B522)</f>
        <v>0</v>
      </c>
      <c r="BG522" s="105"/>
      <c r="BH522" s="285">
        <f ca="1">_xll.DBRW(Server&amp;Cube1,$N$15,$N$16,$N$17,$N$18,$N$14,$N$13,BH$2,BH$1,$B522)</f>
        <v>0</v>
      </c>
      <c r="BI522" s="285">
        <f ca="1">_xll.DBRW(Server&amp;Cube1,$N$15,$N$16,$N$17,$N$18,$N$14,$N$13,BI$2,BI$1,$B522)</f>
        <v>0</v>
      </c>
      <c r="BJ522" s="413">
        <f ca="1">_xll.DBRW(Server&amp;Cube1,$N$15,$N$16,$N$17,$N$18,$N$14,$N$13,BJ$2,BJ$1,$B522)</f>
        <v>0</v>
      </c>
      <c r="BK522" s="105"/>
      <c r="BL522" s="285">
        <f ca="1">_xll.DBRW(Server&amp;Cube1,$N$15,$N$16,$N$17,$N$18,$N$14,$N$13,BL$2,BL$1,$B522)</f>
        <v>0</v>
      </c>
      <c r="BM522" s="285">
        <f ca="1">_xll.DBRW(Server&amp;Cube1,$N$15,$N$16,$N$17,$N$18,$N$14,$N$13,BM$2,BM$1,$B522)</f>
        <v>0</v>
      </c>
      <c r="BN522" s="413">
        <f ca="1">_xll.DBRW(Server&amp;Cube1,$N$15,$N$16,$N$17,$N$18,$N$14,$N$13,BN$2,BN$1,$B522)</f>
        <v>0</v>
      </c>
      <c r="BO522" s="105"/>
      <c r="BP522" s="285">
        <f ca="1">_xll.DBRW(Server&amp;Cube1,$N$15,$N$16,$N$17,$N$18,$N$14,$N$13,BP$2,BP$1,$B522)</f>
        <v>0</v>
      </c>
      <c r="BQ522" s="285">
        <f ca="1">_xll.DBRW(Server&amp;Cube1,$N$15,$N$16,$N$17,$N$18,$N$14,$N$13,BQ$2,BQ$1,$B522)</f>
        <v>0</v>
      </c>
      <c r="BR522" s="413">
        <f ca="1">_xll.DBRW(Server&amp;Cube1,$N$15,$N$16,$N$17,$N$18,$N$14,$N$13,BR$2,BR$1,$B522)</f>
        <v>0</v>
      </c>
      <c r="BS522" s="105"/>
      <c r="BT522" s="285">
        <f ca="1">_xll.DBRW(Server&amp;Cube1,$N$15,$N$16,$N$17,$N$18,$N$14,$N$13,BT$2,BT$1,$B522)</f>
        <v>0</v>
      </c>
      <c r="BU522" s="285">
        <f ca="1">_xll.DBRW(Server&amp;Cube1,$N$15,$N$16,$N$17,$N$18,$N$14,$N$13,BU$2,BU$1,$B522)</f>
        <v>0</v>
      </c>
      <c r="BV522" s="413">
        <f ca="1">_xll.DBRW(Server&amp;Cube1,$N$15,$N$16,$N$17,$N$18,$N$14,$N$13,BV$2,BV$1,$B522)</f>
        <v>0</v>
      </c>
      <c r="BW522" s="214"/>
      <c r="BX522" s="79"/>
      <c r="BY522" s="55"/>
    </row>
    <row r="523" spans="1:78" s="34" customFormat="1" ht="9" hidden="1" customHeight="1" outlineLevel="1" x14ac:dyDescent="0.25">
      <c r="A523" s="136"/>
      <c r="B523" s="360"/>
      <c r="C523" s="136"/>
      <c r="D523" s="1"/>
      <c r="E523" s="1"/>
      <c r="H523" s="360"/>
      <c r="I523" s="1"/>
      <c r="J523" s="30"/>
      <c r="K523" s="100"/>
      <c r="L523" s="103"/>
      <c r="M523" s="303"/>
      <c r="N523" s="303"/>
      <c r="O523" s="471" t="str">
        <f ca="1">IF(COUNTIF($C522,"*Tot_km*"),$B$6,IF(COUNTIF($C522,"Tot_nb_vehicle"),$B$7,IF(COUNTIF($C522,"Rev_km"),$B$8,IF(COUNTIF($C522,"Tot_driv_hours"),$B$9,""))))</f>
        <v/>
      </c>
      <c r="P523" s="458"/>
      <c r="Q523" s="459"/>
      <c r="R523" s="459"/>
      <c r="S523" s="455"/>
      <c r="T523" s="460"/>
      <c r="U523" s="461"/>
      <c r="V523" s="459"/>
      <c r="W523" s="455"/>
      <c r="X523" s="460"/>
      <c r="Y523" s="214"/>
      <c r="Z523" s="396"/>
      <c r="AA523" s="100"/>
      <c r="AB523" s="459"/>
      <c r="AC523" s="459"/>
      <c r="AD523" s="459"/>
      <c r="AE523" s="105"/>
      <c r="AF523" s="459"/>
      <c r="AG523" s="459"/>
      <c r="AH523" s="459"/>
      <c r="AI523" s="105"/>
      <c r="AJ523" s="459"/>
      <c r="AK523" s="459"/>
      <c r="AL523" s="459"/>
      <c r="AM523" s="105"/>
      <c r="AN523" s="459"/>
      <c r="AO523" s="459"/>
      <c r="AP523" s="459"/>
      <c r="AQ523" s="105"/>
      <c r="AR523" s="459"/>
      <c r="AS523" s="459"/>
      <c r="AT523" s="459"/>
      <c r="AU523" s="105"/>
      <c r="AV523" s="459"/>
      <c r="AW523" s="459"/>
      <c r="AX523" s="459"/>
      <c r="AY523" s="105"/>
      <c r="AZ523" s="459"/>
      <c r="BA523" s="459"/>
      <c r="BB523" s="459"/>
      <c r="BC523" s="105"/>
      <c r="BD523" s="459"/>
      <c r="BE523" s="459"/>
      <c r="BF523" s="459"/>
      <c r="BG523" s="105"/>
      <c r="BH523" s="459"/>
      <c r="BI523" s="459"/>
      <c r="BJ523" s="459"/>
      <c r="BK523" s="105"/>
      <c r="BL523" s="459"/>
      <c r="BM523" s="459"/>
      <c r="BN523" s="459"/>
      <c r="BO523" s="105"/>
      <c r="BP523" s="459"/>
      <c r="BQ523" s="459"/>
      <c r="BR523" s="459"/>
      <c r="BS523" s="105"/>
      <c r="BT523" s="459"/>
      <c r="BU523" s="459"/>
      <c r="BV523" s="459"/>
      <c r="BW523" s="214"/>
      <c r="BX523" s="79"/>
      <c r="BY523" s="55"/>
    </row>
    <row r="524" spans="1:78" s="34" customFormat="1" ht="23.25" customHeight="1" collapsed="1" x14ac:dyDescent="0.25">
      <c r="A524" s="57"/>
      <c r="B524" s="377"/>
      <c r="C524" s="9"/>
      <c r="D524" s="1"/>
      <c r="E524" s="1"/>
      <c r="H524" s="377"/>
      <c r="I524" s="95"/>
      <c r="J524" s="58"/>
      <c r="K524" s="104"/>
      <c r="L524" s="317"/>
      <c r="M524" s="156"/>
      <c r="N524" s="156"/>
      <c r="O524" s="105"/>
      <c r="P524" s="105"/>
      <c r="Q524" s="105"/>
      <c r="R524" s="105"/>
      <c r="S524" s="105"/>
      <c r="T524" s="105"/>
      <c r="U524" s="105"/>
      <c r="V524" s="105"/>
      <c r="W524" s="105"/>
      <c r="X524" s="105"/>
      <c r="Y524" s="106"/>
      <c r="Z524" s="105"/>
      <c r="AA524" s="104"/>
      <c r="AB524" s="105"/>
      <c r="AC524" s="105"/>
      <c r="AD524" s="105"/>
      <c r="AE524" s="105"/>
      <c r="AF524" s="105"/>
      <c r="AG524" s="105"/>
      <c r="AH524" s="105"/>
      <c r="AI524" s="105"/>
      <c r="AJ524" s="105"/>
      <c r="AK524" s="105"/>
      <c r="AL524" s="105"/>
      <c r="AM524" s="105"/>
      <c r="AN524" s="105"/>
      <c r="AO524" s="105"/>
      <c r="AP524" s="105"/>
      <c r="AQ524" s="105"/>
      <c r="AR524" s="105"/>
      <c r="AS524" s="105"/>
      <c r="AT524" s="105"/>
      <c r="AU524" s="105"/>
      <c r="AV524" s="105"/>
      <c r="AW524" s="105"/>
      <c r="AX524" s="105"/>
      <c r="AY524" s="105"/>
      <c r="AZ524" s="105"/>
      <c r="BA524" s="105"/>
      <c r="BB524" s="105"/>
      <c r="BC524" s="105"/>
      <c r="BD524" s="105"/>
      <c r="BE524" s="105"/>
      <c r="BF524" s="105"/>
      <c r="BG524" s="105"/>
      <c r="BH524" s="105"/>
      <c r="BI524" s="105"/>
      <c r="BJ524" s="105"/>
      <c r="BK524" s="105"/>
      <c r="BL524" s="105"/>
      <c r="BM524" s="105"/>
      <c r="BN524" s="105"/>
      <c r="BO524" s="105"/>
      <c r="BP524" s="105"/>
      <c r="BQ524" s="105"/>
      <c r="BR524" s="105"/>
      <c r="BS524" s="105"/>
      <c r="BT524" s="105"/>
      <c r="BU524" s="105"/>
      <c r="BV524" s="105"/>
      <c r="BW524" s="106"/>
      <c r="BX524" s="28"/>
    </row>
    <row r="525" spans="1:78" s="34" customFormat="1" ht="30" hidden="1" customHeight="1" outlineLevel="1" x14ac:dyDescent="0.25">
      <c r="A525" s="394" t="s">
        <v>301</v>
      </c>
      <c r="B525" t="str">
        <f ca="1">$N$12&amp;" N"</f>
        <v>Actual N</v>
      </c>
      <c r="C525" t="str">
        <f ca="1">$N$20&amp;" "&amp;$N$21</f>
        <v>Budget V current N</v>
      </c>
      <c r="D525" t="str">
        <f ca="1">$O$20&amp;" "&amp;$O$21</f>
        <v>Actual N-1</v>
      </c>
      <c r="E525" s="1"/>
      <c r="H525" s="377"/>
      <c r="I525" s="95"/>
      <c r="J525" s="58"/>
      <c r="K525" s="155"/>
      <c r="L525" s="317"/>
      <c r="M525" s="596" t="str">
        <f ca="1">M507</f>
        <v>F1 - Fleet Cost per cost work unit</v>
      </c>
      <c r="N525" s="596"/>
      <c r="O525" s="596"/>
      <c r="P525" s="596"/>
      <c r="Q525" s="596"/>
      <c r="R525" s="596"/>
      <c r="S525" s="596"/>
      <c r="T525" s="596"/>
      <c r="U525" s="105"/>
      <c r="V525" s="105"/>
      <c r="W525" s="105"/>
      <c r="X525" s="105"/>
      <c r="Y525" s="106"/>
      <c r="Z525" s="105"/>
      <c r="AA525" s="104"/>
      <c r="AB525" s="105"/>
      <c r="AC525" s="105"/>
      <c r="AD525" s="105"/>
      <c r="AE525" s="105"/>
      <c r="AF525" s="105"/>
      <c r="AG525" s="105"/>
      <c r="AH525" s="105"/>
      <c r="AI525" s="105"/>
      <c r="AJ525" s="105"/>
      <c r="AK525" s="105"/>
      <c r="AL525" s="105"/>
      <c r="AM525" s="105"/>
      <c r="AN525" s="105"/>
      <c r="AO525" s="105"/>
      <c r="AP525" s="105"/>
      <c r="AQ525" s="105"/>
      <c r="AR525" s="105"/>
      <c r="AS525" s="105"/>
      <c r="AT525" s="105"/>
      <c r="AU525" s="105"/>
      <c r="AV525" s="105"/>
      <c r="AW525" s="105"/>
      <c r="AX525" s="105"/>
      <c r="AY525" s="105"/>
      <c r="AZ525" s="105"/>
      <c r="BA525" s="105"/>
      <c r="BB525" s="105"/>
      <c r="BC525" s="105"/>
      <c r="BD525" s="105"/>
      <c r="BE525" s="105"/>
      <c r="BF525" s="105"/>
      <c r="BG525" s="105"/>
      <c r="BH525" s="105"/>
      <c r="BI525" s="105"/>
      <c r="BJ525" s="105"/>
      <c r="BK525" s="105"/>
      <c r="BL525" s="105"/>
      <c r="BM525" s="105"/>
      <c r="BN525" s="105"/>
      <c r="BO525" s="105"/>
      <c r="BP525" s="105"/>
      <c r="BQ525" s="105"/>
      <c r="BR525" s="105"/>
      <c r="BS525" s="105"/>
      <c r="BT525" s="105"/>
      <c r="BU525" s="105"/>
      <c r="BV525" s="105"/>
      <c r="BW525" s="106"/>
      <c r="BX525" s="28"/>
    </row>
    <row r="526" spans="1:78" s="34" customFormat="1" ht="17.25" hidden="1" customHeight="1" outlineLevel="1" x14ac:dyDescent="0.25">
      <c r="A526" s="392" t="str">
        <f>IF($N$19="English","J","J")</f>
        <v>J</v>
      </c>
      <c r="B526" s="421" t="e">
        <f ca="1">IF(ROUND(AB$507,6),ROUND(AB$507,6),NA())</f>
        <v>#N/A</v>
      </c>
      <c r="C526" s="421" t="e">
        <f ca="1">IF(ROUND(AC$507,6),ROUND(AC$507,6),NA())</f>
        <v>#N/A</v>
      </c>
      <c r="D526" s="421" t="e">
        <f ca="1">IF(ROUND(AD$507,6),ROUND(AD$507,6),NA())</f>
        <v>#N/A</v>
      </c>
      <c r="E526" s="1" t="s">
        <v>279</v>
      </c>
      <c r="H526" s="377"/>
      <c r="I526" s="95"/>
      <c r="J526" s="58"/>
      <c r="K526" s="155"/>
      <c r="L526" s="317"/>
      <c r="M526" s="156"/>
      <c r="N526" s="156"/>
      <c r="O526" s="105"/>
      <c r="P526" s="105"/>
      <c r="Q526" s="105"/>
      <c r="R526" s="105"/>
      <c r="S526" s="105"/>
      <c r="T526" s="105"/>
      <c r="U526" s="105"/>
      <c r="V526" s="105"/>
      <c r="W526" s="105"/>
      <c r="X526" s="105"/>
      <c r="Y526" s="106"/>
      <c r="Z526" s="105"/>
      <c r="AA526" s="104"/>
      <c r="AB526" s="105"/>
      <c r="AC526" s="105"/>
      <c r="AD526" s="105"/>
      <c r="AE526" s="105"/>
      <c r="AF526" s="105"/>
      <c r="AG526" s="105"/>
      <c r="AH526" s="105"/>
      <c r="AI526" s="105"/>
      <c r="AJ526" s="105"/>
      <c r="AK526" s="105"/>
      <c r="AL526" s="105"/>
      <c r="AM526" s="105"/>
      <c r="AN526" s="105"/>
      <c r="AO526" s="105"/>
      <c r="AP526" s="105"/>
      <c r="AQ526" s="105"/>
      <c r="AR526" s="105"/>
      <c r="AS526" s="105"/>
      <c r="AT526" s="105"/>
      <c r="AU526" s="105"/>
      <c r="AV526" s="105"/>
      <c r="AW526" s="105"/>
      <c r="AX526" s="105"/>
      <c r="AY526" s="105"/>
      <c r="AZ526" s="105"/>
      <c r="BA526" s="105"/>
      <c r="BB526" s="105"/>
      <c r="BC526" s="105"/>
      <c r="BD526" s="105"/>
      <c r="BE526" s="105"/>
      <c r="BF526" s="105"/>
      <c r="BG526" s="105"/>
      <c r="BH526" s="105"/>
      <c r="BI526" s="105"/>
      <c r="BJ526" s="105"/>
      <c r="BK526" s="105"/>
      <c r="BL526" s="105"/>
      <c r="BM526" s="105"/>
      <c r="BN526" s="105"/>
      <c r="BO526" s="105"/>
      <c r="BP526" s="105"/>
      <c r="BQ526" s="105"/>
      <c r="BR526" s="105"/>
      <c r="BS526" s="105"/>
      <c r="BT526" s="105"/>
      <c r="BU526" s="105"/>
      <c r="BV526" s="105"/>
      <c r="BW526" s="106"/>
      <c r="BX526" s="28"/>
    </row>
    <row r="527" spans="1:78" s="34" customFormat="1" ht="17.25" hidden="1" customHeight="1" outlineLevel="1" x14ac:dyDescent="0.25">
      <c r="A527" s="392" t="s">
        <v>213</v>
      </c>
      <c r="B527" s="421" t="e">
        <f ca="1">IF(ROUND(AF$507,6),ROUND(AF$507,6),NA())</f>
        <v>#N/A</v>
      </c>
      <c r="C527" s="421" t="e">
        <f ca="1">IF(ROUND(AG$507,6),ROUND(AG$507,6),NA())</f>
        <v>#N/A</v>
      </c>
      <c r="D527" s="421" t="e">
        <f ca="1">IF(ROUND(AH$507,6),ROUND(AH$507,6),NA())</f>
        <v>#N/A</v>
      </c>
      <c r="E527" s="1" t="s">
        <v>280</v>
      </c>
      <c r="H527" s="377"/>
      <c r="I527" s="95"/>
      <c r="J527" s="58"/>
      <c r="K527" s="155"/>
      <c r="L527" s="317"/>
      <c r="M527" s="156"/>
      <c r="N527" s="156"/>
      <c r="O527" s="105"/>
      <c r="P527" s="105"/>
      <c r="Q527" s="105"/>
      <c r="R527" s="105"/>
      <c r="S527" s="105"/>
      <c r="T527" s="105"/>
      <c r="U527" s="105"/>
      <c r="V527" s="105"/>
      <c r="W527" s="105"/>
      <c r="X527" s="105"/>
      <c r="Y527" s="106"/>
      <c r="Z527" s="105"/>
      <c r="AA527" s="104"/>
      <c r="AB527" s="105"/>
      <c r="AC527" s="105"/>
      <c r="AD527" s="105"/>
      <c r="AE527" s="105"/>
      <c r="AF527" s="105"/>
      <c r="AG527" s="105"/>
      <c r="AH527" s="105"/>
      <c r="AI527" s="105"/>
      <c r="AJ527" s="105"/>
      <c r="AK527" s="105"/>
      <c r="AL527" s="105"/>
      <c r="AM527" s="105"/>
      <c r="AN527" s="105"/>
      <c r="AO527" s="105"/>
      <c r="AP527" s="105"/>
      <c r="AQ527" s="105"/>
      <c r="AR527" s="105"/>
      <c r="AS527" s="105"/>
      <c r="AT527" s="105"/>
      <c r="AU527" s="105"/>
      <c r="AV527" s="105"/>
      <c r="AW527" s="105"/>
      <c r="AX527" s="105"/>
      <c r="AY527" s="105"/>
      <c r="AZ527" s="105"/>
      <c r="BA527" s="105"/>
      <c r="BB527" s="105"/>
      <c r="BC527" s="105"/>
      <c r="BD527" s="105"/>
      <c r="BE527" s="105"/>
      <c r="BF527" s="105"/>
      <c r="BG527" s="105"/>
      <c r="BH527" s="105"/>
      <c r="BI527" s="105"/>
      <c r="BJ527" s="105"/>
      <c r="BK527" s="105"/>
      <c r="BL527" s="105"/>
      <c r="BM527" s="105"/>
      <c r="BN527" s="105"/>
      <c r="BO527" s="105"/>
      <c r="BP527" s="105"/>
      <c r="BQ527" s="105"/>
      <c r="BR527" s="105"/>
      <c r="BS527" s="105"/>
      <c r="BT527" s="105"/>
      <c r="BU527" s="105"/>
      <c r="BV527" s="105"/>
      <c r="BW527" s="106"/>
      <c r="BX527" s="28"/>
    </row>
    <row r="528" spans="1:78" s="34" customFormat="1" ht="17.25" hidden="1" customHeight="1" outlineLevel="1" x14ac:dyDescent="0.25">
      <c r="A528" s="392" t="s">
        <v>215</v>
      </c>
      <c r="B528" s="421" t="e">
        <f ca="1">IF(ROUND(AJ$507,6),ROUND(AJ$507,6),NA())</f>
        <v>#N/A</v>
      </c>
      <c r="C528" s="421" t="e">
        <f ca="1">IF(ROUND(AK$507,6),ROUND(AK$507,6),NA())</f>
        <v>#N/A</v>
      </c>
      <c r="D528" s="421" t="e">
        <f ca="1">IF(ROUND(AL$507,6),ROUND(AL$507,6),NA())</f>
        <v>#N/A</v>
      </c>
      <c r="E528" s="1" t="s">
        <v>281</v>
      </c>
      <c r="H528" s="377"/>
      <c r="I528" s="95"/>
      <c r="J528" s="58"/>
      <c r="K528" s="155"/>
      <c r="L528" s="317"/>
      <c r="M528" s="156"/>
      <c r="N528" s="156"/>
      <c r="O528" s="105"/>
      <c r="P528" s="105"/>
      <c r="Q528" s="105"/>
      <c r="R528" s="105"/>
      <c r="S528" s="105"/>
      <c r="T528" s="105"/>
      <c r="U528" s="105"/>
      <c r="V528" s="105"/>
      <c r="W528" s="105"/>
      <c r="X528" s="105"/>
      <c r="Y528" s="106"/>
      <c r="Z528" s="105"/>
      <c r="AA528" s="104"/>
      <c r="AB528" s="105"/>
      <c r="AC528" s="105"/>
      <c r="AD528" s="105"/>
      <c r="AE528" s="105"/>
      <c r="AF528" s="105"/>
      <c r="AG528" s="105"/>
      <c r="AH528" s="105"/>
      <c r="AI528" s="105"/>
      <c r="AJ528" s="105"/>
      <c r="AK528" s="105"/>
      <c r="AL528" s="105"/>
      <c r="AM528" s="105"/>
      <c r="AN528" s="105"/>
      <c r="AO528" s="105"/>
      <c r="AP528" s="105"/>
      <c r="AQ528" s="105"/>
      <c r="AR528" s="105"/>
      <c r="AS528" s="105"/>
      <c r="AT528" s="105"/>
      <c r="AU528" s="105"/>
      <c r="AV528" s="105"/>
      <c r="AW528" s="105"/>
      <c r="AX528" s="105"/>
      <c r="AY528" s="105"/>
      <c r="AZ528" s="105"/>
      <c r="BA528" s="105"/>
      <c r="BB528" s="105"/>
      <c r="BC528" s="105"/>
      <c r="BD528" s="105"/>
      <c r="BE528" s="105"/>
      <c r="BF528" s="105"/>
      <c r="BG528" s="105"/>
      <c r="BH528" s="105"/>
      <c r="BI528" s="105"/>
      <c r="BJ528" s="105"/>
      <c r="BK528" s="105"/>
      <c r="BL528" s="105"/>
      <c r="BM528" s="105"/>
      <c r="BN528" s="105"/>
      <c r="BO528" s="105"/>
      <c r="BP528" s="105"/>
      <c r="BQ528" s="105"/>
      <c r="BR528" s="105"/>
      <c r="BS528" s="105"/>
      <c r="BT528" s="105"/>
      <c r="BU528" s="105"/>
      <c r="BV528" s="105"/>
      <c r="BW528" s="106"/>
      <c r="BX528" s="28"/>
    </row>
    <row r="529" spans="1:76" s="34" customFormat="1" ht="17.25" hidden="1" customHeight="1" outlineLevel="1" x14ac:dyDescent="0.25">
      <c r="A529" s="392" t="s">
        <v>42</v>
      </c>
      <c r="B529" s="421" t="e">
        <f ca="1">IF(ROUND(AN$507,6),ROUND(AN$507,6),NA())</f>
        <v>#N/A</v>
      </c>
      <c r="C529" s="421" t="e">
        <f ca="1">IF(ROUND(AO$507,6),ROUND(AO$507,6),NA())</f>
        <v>#N/A</v>
      </c>
      <c r="D529" s="421" t="e">
        <f ca="1">IF(ROUND(AP$507,6),ROUND(AP$507,6),NA())</f>
        <v>#N/A</v>
      </c>
      <c r="E529" s="1" t="s">
        <v>282</v>
      </c>
      <c r="H529" s="377"/>
      <c r="I529" s="95"/>
      <c r="J529" s="58"/>
      <c r="K529" s="155"/>
      <c r="L529" s="317"/>
      <c r="M529" s="156"/>
      <c r="N529" s="156"/>
      <c r="O529" s="105"/>
      <c r="P529" s="105"/>
      <c r="Q529" s="105"/>
      <c r="R529" s="105"/>
      <c r="S529" s="105"/>
      <c r="T529" s="105"/>
      <c r="U529" s="105"/>
      <c r="V529" s="105"/>
      <c r="W529" s="105"/>
      <c r="X529" s="105"/>
      <c r="Y529" s="106"/>
      <c r="Z529" s="105"/>
      <c r="AA529" s="104"/>
      <c r="AB529" s="105"/>
      <c r="AC529" s="105"/>
      <c r="AD529" s="105"/>
      <c r="AE529" s="105"/>
      <c r="AF529" s="105"/>
      <c r="AG529" s="105"/>
      <c r="AH529" s="105"/>
      <c r="AI529" s="105"/>
      <c r="AJ529" s="105"/>
      <c r="AK529" s="105"/>
      <c r="AL529" s="105"/>
      <c r="AM529" s="105"/>
      <c r="AN529" s="105"/>
      <c r="AO529" s="105"/>
      <c r="AP529" s="105"/>
      <c r="AQ529" s="105"/>
      <c r="AR529" s="105"/>
      <c r="AS529" s="105"/>
      <c r="AT529" s="105"/>
      <c r="AU529" s="105"/>
      <c r="AV529" s="105"/>
      <c r="AW529" s="105"/>
      <c r="AX529" s="105"/>
      <c r="AY529" s="105"/>
      <c r="AZ529" s="105"/>
      <c r="BA529" s="105"/>
      <c r="BB529" s="105"/>
      <c r="BC529" s="105"/>
      <c r="BD529" s="105"/>
      <c r="BE529" s="105"/>
      <c r="BF529" s="105"/>
      <c r="BG529" s="105"/>
      <c r="BH529" s="105"/>
      <c r="BI529" s="105"/>
      <c r="BJ529" s="105"/>
      <c r="BK529" s="105"/>
      <c r="BL529" s="105"/>
      <c r="BM529" s="105"/>
      <c r="BN529" s="105"/>
      <c r="BO529" s="105"/>
      <c r="BP529" s="105"/>
      <c r="BQ529" s="105"/>
      <c r="BR529" s="105"/>
      <c r="BS529" s="105"/>
      <c r="BT529" s="105"/>
      <c r="BU529" s="105"/>
      <c r="BV529" s="105"/>
      <c r="BW529" s="106"/>
      <c r="BX529" s="28"/>
    </row>
    <row r="530" spans="1:76" s="34" customFormat="1" ht="17.25" hidden="1" customHeight="1" outlineLevel="1" x14ac:dyDescent="0.25">
      <c r="A530" s="392" t="s">
        <v>215</v>
      </c>
      <c r="B530" s="421" t="e">
        <f ca="1">IF(ROUND(AR$507,6),ROUND(AR$507,6),NA())</f>
        <v>#N/A</v>
      </c>
      <c r="C530" s="421" t="e">
        <f ca="1">IF(ROUND(AS$507,6),ROUND(AS$507,6),NA())</f>
        <v>#N/A</v>
      </c>
      <c r="D530" s="421" t="e">
        <f ca="1">IF(ROUND(AT$507,6),ROUND(AT$507,6),NA())</f>
        <v>#N/A</v>
      </c>
      <c r="E530" s="1" t="s">
        <v>283</v>
      </c>
      <c r="H530" s="377"/>
      <c r="I530" s="95"/>
      <c r="J530" s="58"/>
      <c r="K530" s="155"/>
      <c r="L530" s="317"/>
      <c r="M530" s="156"/>
      <c r="N530" s="156"/>
      <c r="O530" s="105"/>
      <c r="P530" s="105"/>
      <c r="Q530" s="105"/>
      <c r="R530" s="105"/>
      <c r="S530" s="105"/>
      <c r="T530" s="105"/>
      <c r="U530" s="105"/>
      <c r="V530" s="105"/>
      <c r="W530" s="105"/>
      <c r="X530" s="105"/>
      <c r="Y530" s="106"/>
      <c r="Z530" s="105"/>
      <c r="AA530" s="104"/>
      <c r="AB530" s="105"/>
      <c r="AC530" s="105"/>
      <c r="AD530" s="105"/>
      <c r="AE530" s="105"/>
      <c r="AF530" s="105"/>
      <c r="AG530" s="105"/>
      <c r="AH530" s="105"/>
      <c r="AI530" s="105"/>
      <c r="AJ530" s="105"/>
      <c r="AK530" s="105"/>
      <c r="AL530" s="105"/>
      <c r="AM530" s="105"/>
      <c r="AN530" s="105"/>
      <c r="AO530" s="105"/>
      <c r="AP530" s="105"/>
      <c r="AQ530" s="105"/>
      <c r="AR530" s="105"/>
      <c r="AS530" s="105"/>
      <c r="AT530" s="105"/>
      <c r="AU530" s="105"/>
      <c r="AV530" s="105"/>
      <c r="AW530" s="105"/>
      <c r="AX530" s="105"/>
      <c r="AY530" s="105"/>
      <c r="AZ530" s="105"/>
      <c r="BA530" s="105"/>
      <c r="BB530" s="105"/>
      <c r="BC530" s="105"/>
      <c r="BD530" s="105"/>
      <c r="BE530" s="105"/>
      <c r="BF530" s="105"/>
      <c r="BG530" s="105"/>
      <c r="BH530" s="105"/>
      <c r="BI530" s="105"/>
      <c r="BJ530" s="105"/>
      <c r="BK530" s="105"/>
      <c r="BL530" s="105"/>
      <c r="BM530" s="105"/>
      <c r="BN530" s="105"/>
      <c r="BO530" s="105"/>
      <c r="BP530" s="105"/>
      <c r="BQ530" s="105"/>
      <c r="BR530" s="105"/>
      <c r="BS530" s="105"/>
      <c r="BT530" s="105"/>
      <c r="BU530" s="105"/>
      <c r="BV530" s="105"/>
      <c r="BW530" s="106"/>
      <c r="BX530" s="28"/>
    </row>
    <row r="531" spans="1:76" s="34" customFormat="1" ht="17.25" hidden="1" customHeight="1" outlineLevel="1" x14ac:dyDescent="0.25">
      <c r="A531" s="392" t="s">
        <v>263</v>
      </c>
      <c r="B531" s="421" t="e">
        <f ca="1">IF(ROUND(AV$507,6),ROUND(AV$507,6),NA())</f>
        <v>#N/A</v>
      </c>
      <c r="C531" s="421" t="e">
        <f ca="1">IF(ROUND(AW$507,6),ROUND(AW$507,6),NA())</f>
        <v>#N/A</v>
      </c>
      <c r="D531" s="421" t="e">
        <f ca="1">IF(ROUND(AX$507,6),ROUND(AX$507,6),NA())</f>
        <v>#N/A</v>
      </c>
      <c r="E531" s="1" t="s">
        <v>284</v>
      </c>
      <c r="H531" s="377"/>
      <c r="I531" s="95"/>
      <c r="J531" s="58"/>
      <c r="K531" s="155"/>
      <c r="L531" s="317"/>
      <c r="M531" s="156"/>
      <c r="N531" s="156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  <c r="Y531" s="106"/>
      <c r="Z531" s="105"/>
      <c r="AA531" s="104"/>
      <c r="AB531" s="105"/>
      <c r="AC531" s="105"/>
      <c r="AD531" s="105"/>
      <c r="AE531" s="105"/>
      <c r="AF531" s="105"/>
      <c r="AG531" s="105"/>
      <c r="AH531" s="105"/>
      <c r="AI531" s="105"/>
      <c r="AJ531" s="105"/>
      <c r="AK531" s="105"/>
      <c r="AL531" s="105"/>
      <c r="AM531" s="105"/>
      <c r="AN531" s="105"/>
      <c r="AO531" s="105"/>
      <c r="AP531" s="105"/>
      <c r="AQ531" s="105"/>
      <c r="AR531" s="105"/>
      <c r="AS531" s="105"/>
      <c r="AT531" s="105"/>
      <c r="AU531" s="105"/>
      <c r="AV531" s="105"/>
      <c r="AW531" s="105"/>
      <c r="AX531" s="105"/>
      <c r="AY531" s="105"/>
      <c r="AZ531" s="105"/>
      <c r="BA531" s="105"/>
      <c r="BB531" s="105"/>
      <c r="BC531" s="105"/>
      <c r="BD531" s="105"/>
      <c r="BE531" s="105"/>
      <c r="BF531" s="105"/>
      <c r="BG531" s="105"/>
      <c r="BH531" s="105"/>
      <c r="BI531" s="105"/>
      <c r="BJ531" s="105"/>
      <c r="BK531" s="105"/>
      <c r="BL531" s="105"/>
      <c r="BM531" s="105"/>
      <c r="BN531" s="105"/>
      <c r="BO531" s="105"/>
      <c r="BP531" s="105"/>
      <c r="BQ531" s="105"/>
      <c r="BR531" s="105"/>
      <c r="BS531" s="105"/>
      <c r="BT531" s="105"/>
      <c r="BU531" s="105"/>
      <c r="BV531" s="105"/>
      <c r="BW531" s="106"/>
      <c r="BX531" s="28"/>
    </row>
    <row r="532" spans="1:76" s="34" customFormat="1" ht="17.25" hidden="1" customHeight="1" outlineLevel="1" x14ac:dyDescent="0.25">
      <c r="A532" s="392" t="s">
        <v>263</v>
      </c>
      <c r="B532" s="421" t="e">
        <f ca="1">IF(ROUND(AZ$507,6),ROUND(AZ$507,6),NA())</f>
        <v>#N/A</v>
      </c>
      <c r="C532" s="421" t="e">
        <f ca="1">IF(ROUND(BA$507,6),ROUND(BA$507,6),NA())</f>
        <v>#N/A</v>
      </c>
      <c r="D532" s="421" t="e">
        <f ca="1">IF(ROUND(BB$507,6),ROUND(BB$507,6),NA())</f>
        <v>#N/A</v>
      </c>
      <c r="E532" s="1" t="s">
        <v>285</v>
      </c>
      <c r="H532" s="377"/>
      <c r="I532" s="95"/>
      <c r="J532" s="58"/>
      <c r="K532" s="155"/>
      <c r="L532" s="317"/>
      <c r="M532" s="156"/>
      <c r="N532" s="156"/>
      <c r="O532" s="105"/>
      <c r="P532" s="105"/>
      <c r="Q532" s="105"/>
      <c r="R532" s="105"/>
      <c r="S532" s="105"/>
      <c r="T532" s="105"/>
      <c r="U532" s="105"/>
      <c r="V532" s="105"/>
      <c r="W532" s="105"/>
      <c r="X532" s="105"/>
      <c r="Y532" s="106"/>
      <c r="Z532" s="105"/>
      <c r="AA532" s="104"/>
      <c r="AB532" s="105"/>
      <c r="AC532" s="105"/>
      <c r="AD532" s="105"/>
      <c r="AE532" s="105"/>
      <c r="AF532" s="105"/>
      <c r="AG532" s="105"/>
      <c r="AH532" s="105"/>
      <c r="AI532" s="105"/>
      <c r="AJ532" s="105"/>
      <c r="AK532" s="105"/>
      <c r="AL532" s="105"/>
      <c r="AM532" s="105"/>
      <c r="AN532" s="105"/>
      <c r="AO532" s="105"/>
      <c r="AP532" s="105"/>
      <c r="AQ532" s="105"/>
      <c r="AR532" s="105"/>
      <c r="AS532" s="105"/>
      <c r="AT532" s="105"/>
      <c r="AU532" s="105"/>
      <c r="AV532" s="105"/>
      <c r="AW532" s="105"/>
      <c r="AX532" s="105"/>
      <c r="AY532" s="105"/>
      <c r="AZ532" s="105"/>
      <c r="BA532" s="105"/>
      <c r="BB532" s="105"/>
      <c r="BC532" s="105"/>
      <c r="BD532" s="105"/>
      <c r="BE532" s="105"/>
      <c r="BF532" s="105"/>
      <c r="BG532" s="105"/>
      <c r="BH532" s="105"/>
      <c r="BI532" s="105"/>
      <c r="BJ532" s="105"/>
      <c r="BK532" s="105"/>
      <c r="BL532" s="105"/>
      <c r="BM532" s="105"/>
      <c r="BN532" s="105"/>
      <c r="BO532" s="105"/>
      <c r="BP532" s="105"/>
      <c r="BQ532" s="105"/>
      <c r="BR532" s="105"/>
      <c r="BS532" s="105"/>
      <c r="BT532" s="105"/>
      <c r="BU532" s="105"/>
      <c r="BV532" s="105"/>
      <c r="BW532" s="106"/>
      <c r="BX532" s="28"/>
    </row>
    <row r="533" spans="1:76" s="34" customFormat="1" ht="17.25" hidden="1" customHeight="1" outlineLevel="1" x14ac:dyDescent="0.25">
      <c r="A533" s="392" t="s">
        <v>42</v>
      </c>
      <c r="B533" s="421" t="e">
        <f ca="1">IF(ROUND(BD$507,6),ROUND(BD$507,6),NA())</f>
        <v>#N/A</v>
      </c>
      <c r="C533" s="421" t="e">
        <f ca="1">IF(ROUND(BE$507,6),ROUND(BE$507,6),NA())</f>
        <v>#N/A</v>
      </c>
      <c r="D533" s="421" t="e">
        <f ca="1">IF(ROUND(BF$507,6),ROUND(BF$507,6),NA())</f>
        <v>#N/A</v>
      </c>
      <c r="E533" s="1" t="s">
        <v>286</v>
      </c>
      <c r="H533" s="377"/>
      <c r="I533" s="95"/>
      <c r="J533" s="58"/>
      <c r="K533" s="155"/>
      <c r="L533" s="317"/>
      <c r="M533" s="156"/>
      <c r="N533" s="156"/>
      <c r="O533" s="105"/>
      <c r="P533" s="105"/>
      <c r="Q533" s="105"/>
      <c r="R533" s="105"/>
      <c r="S533" s="105"/>
      <c r="T533" s="105"/>
      <c r="U533" s="105"/>
      <c r="V533" s="105"/>
      <c r="W533" s="105"/>
      <c r="X533" s="105"/>
      <c r="Y533" s="106"/>
      <c r="Z533" s="105"/>
      <c r="AA533" s="104"/>
      <c r="AB533" s="105"/>
      <c r="AC533" s="105"/>
      <c r="AD533" s="105"/>
      <c r="AE533" s="105"/>
      <c r="AF533" s="105"/>
      <c r="AG533" s="105"/>
      <c r="AH533" s="105"/>
      <c r="AI533" s="105"/>
      <c r="AJ533" s="105"/>
      <c r="AK533" s="105"/>
      <c r="AL533" s="105"/>
      <c r="AM533" s="105"/>
      <c r="AN533" s="105"/>
      <c r="AO533" s="105"/>
      <c r="AP533" s="105"/>
      <c r="AQ533" s="105"/>
      <c r="AR533" s="105"/>
      <c r="AS533" s="105"/>
      <c r="AT533" s="105"/>
      <c r="AU533" s="105"/>
      <c r="AV533" s="105"/>
      <c r="AW533" s="105"/>
      <c r="AX533" s="105"/>
      <c r="AY533" s="105"/>
      <c r="AZ533" s="105"/>
      <c r="BA533" s="105"/>
      <c r="BB533" s="105"/>
      <c r="BC533" s="105"/>
      <c r="BD533" s="105"/>
      <c r="BE533" s="105"/>
      <c r="BF533" s="105"/>
      <c r="BG533" s="105"/>
      <c r="BH533" s="105"/>
      <c r="BI533" s="105"/>
      <c r="BJ533" s="105"/>
      <c r="BK533" s="105"/>
      <c r="BL533" s="105"/>
      <c r="BM533" s="105"/>
      <c r="BN533" s="105"/>
      <c r="BO533" s="105"/>
      <c r="BP533" s="105"/>
      <c r="BQ533" s="105"/>
      <c r="BR533" s="105"/>
      <c r="BS533" s="105"/>
      <c r="BT533" s="105"/>
      <c r="BU533" s="105"/>
      <c r="BV533" s="105"/>
      <c r="BW533" s="106"/>
      <c r="BX533" s="28"/>
    </row>
    <row r="534" spans="1:76" s="34" customFormat="1" ht="17.25" hidden="1" customHeight="1" outlineLevel="1" x14ac:dyDescent="0.25">
      <c r="A534" s="392" t="s">
        <v>264</v>
      </c>
      <c r="B534" s="421" t="e">
        <f ca="1">IF(ROUND(BH$507,6),ROUND(BH$507,6),NA())</f>
        <v>#N/A</v>
      </c>
      <c r="C534" s="421" t="e">
        <f ca="1">IF(ROUND(BI$507,6),ROUND(BI$507,6),NA())</f>
        <v>#N/A</v>
      </c>
      <c r="D534" s="421" t="e">
        <f ca="1">IF(ROUND(BJ$507,6),ROUND(BJ$507,6),NA())</f>
        <v>#N/A</v>
      </c>
      <c r="E534" s="1" t="s">
        <v>287</v>
      </c>
      <c r="H534" s="377"/>
      <c r="I534" s="95"/>
      <c r="J534" s="58"/>
      <c r="K534" s="155"/>
      <c r="L534" s="317"/>
      <c r="M534" s="156"/>
      <c r="N534" s="156"/>
      <c r="O534" s="105"/>
      <c r="P534" s="105"/>
      <c r="Q534" s="105"/>
      <c r="R534" s="105"/>
      <c r="S534" s="105"/>
      <c r="T534" s="105"/>
      <c r="U534" s="105"/>
      <c r="V534" s="105"/>
      <c r="W534" s="105"/>
      <c r="X534" s="105"/>
      <c r="Y534" s="106"/>
      <c r="Z534" s="105"/>
      <c r="AA534" s="104"/>
      <c r="AB534" s="105"/>
      <c r="AC534" s="105"/>
      <c r="AD534" s="105"/>
      <c r="AE534" s="105"/>
      <c r="AF534" s="105"/>
      <c r="AG534" s="105"/>
      <c r="AH534" s="105"/>
      <c r="AI534" s="105"/>
      <c r="AJ534" s="105"/>
      <c r="AK534" s="105"/>
      <c r="AL534" s="105"/>
      <c r="AM534" s="105"/>
      <c r="AN534" s="105"/>
      <c r="AO534" s="105"/>
      <c r="AP534" s="105"/>
      <c r="AQ534" s="105"/>
      <c r="AR534" s="105"/>
      <c r="AS534" s="105"/>
      <c r="AT534" s="105"/>
      <c r="AU534" s="105"/>
      <c r="AV534" s="105"/>
      <c r="AW534" s="105"/>
      <c r="AX534" s="105"/>
      <c r="AY534" s="105"/>
      <c r="AZ534" s="105"/>
      <c r="BA534" s="105"/>
      <c r="BB534" s="105"/>
      <c r="BC534" s="105"/>
      <c r="BD534" s="105"/>
      <c r="BE534" s="105"/>
      <c r="BF534" s="105"/>
      <c r="BG534" s="105"/>
      <c r="BH534" s="105"/>
      <c r="BI534" s="105"/>
      <c r="BJ534" s="105"/>
      <c r="BK534" s="105"/>
      <c r="BL534" s="105"/>
      <c r="BM534" s="105"/>
      <c r="BN534" s="105"/>
      <c r="BO534" s="105"/>
      <c r="BP534" s="105"/>
      <c r="BQ534" s="105"/>
      <c r="BR534" s="105"/>
      <c r="BS534" s="105"/>
      <c r="BT534" s="105"/>
      <c r="BU534" s="105"/>
      <c r="BV534" s="105"/>
      <c r="BW534" s="106"/>
      <c r="BX534" s="28"/>
    </row>
    <row r="535" spans="1:76" s="34" customFormat="1" ht="17.25" hidden="1" customHeight="1" outlineLevel="1" x14ac:dyDescent="0.25">
      <c r="A535" s="392" t="s">
        <v>212</v>
      </c>
      <c r="B535" s="421" t="e">
        <f ca="1">IF(ROUND(BL$507,6),ROUND(BL$507,6),NA())</f>
        <v>#N/A</v>
      </c>
      <c r="C535" s="421" t="e">
        <f ca="1">IF(ROUND(BM$507,6),ROUND(BM$507,6),NA())</f>
        <v>#N/A</v>
      </c>
      <c r="D535" s="421" t="e">
        <f ca="1">IF(ROUND(BN$507,6),ROUND(BN$507,6),NA())</f>
        <v>#N/A</v>
      </c>
      <c r="E535" s="1" t="s">
        <v>288</v>
      </c>
      <c r="H535" s="377"/>
      <c r="I535" s="95"/>
      <c r="J535" s="58"/>
      <c r="K535" s="155"/>
      <c r="L535" s="317"/>
      <c r="M535" s="156"/>
      <c r="N535" s="156"/>
      <c r="O535" s="105"/>
      <c r="P535" s="105"/>
      <c r="Q535" s="105"/>
      <c r="R535" s="105"/>
      <c r="S535" s="105"/>
      <c r="T535" s="105"/>
      <c r="U535" s="105"/>
      <c r="V535" s="105"/>
      <c r="W535" s="105"/>
      <c r="X535" s="105"/>
      <c r="Y535" s="106"/>
      <c r="Z535" s="105"/>
      <c r="AA535" s="104"/>
      <c r="AB535" s="105"/>
      <c r="AC535" s="105"/>
      <c r="AD535" s="105"/>
      <c r="AE535" s="105"/>
      <c r="AF535" s="105"/>
      <c r="AG535" s="105"/>
      <c r="AH535" s="105"/>
      <c r="AI535" s="105"/>
      <c r="AJ535" s="105"/>
      <c r="AK535" s="105"/>
      <c r="AL535" s="105"/>
      <c r="AM535" s="105"/>
      <c r="AN535" s="105"/>
      <c r="AO535" s="105"/>
      <c r="AP535" s="105"/>
      <c r="AQ535" s="105"/>
      <c r="AR535" s="105"/>
      <c r="AS535" s="105"/>
      <c r="AT535" s="105"/>
      <c r="AU535" s="105"/>
      <c r="AV535" s="105"/>
      <c r="AW535" s="105"/>
      <c r="AX535" s="105"/>
      <c r="AY535" s="105"/>
      <c r="AZ535" s="105"/>
      <c r="BA535" s="105"/>
      <c r="BB535" s="105"/>
      <c r="BC535" s="105"/>
      <c r="BD535" s="105"/>
      <c r="BE535" s="105"/>
      <c r="BF535" s="105"/>
      <c r="BG535" s="105"/>
      <c r="BH535" s="105"/>
      <c r="BI535" s="105"/>
      <c r="BJ535" s="105"/>
      <c r="BK535" s="105"/>
      <c r="BL535" s="105"/>
      <c r="BM535" s="105"/>
      <c r="BN535" s="105"/>
      <c r="BO535" s="105"/>
      <c r="BP535" s="105"/>
      <c r="BQ535" s="105"/>
      <c r="BR535" s="105"/>
      <c r="BS535" s="105"/>
      <c r="BT535" s="105"/>
      <c r="BU535" s="105"/>
      <c r="BV535" s="105"/>
      <c r="BW535" s="106"/>
      <c r="BX535" s="28"/>
    </row>
    <row r="536" spans="1:76" s="34" customFormat="1" ht="17.25" hidden="1" customHeight="1" outlineLevel="1" x14ac:dyDescent="0.25">
      <c r="A536" s="392" t="s">
        <v>257</v>
      </c>
      <c r="B536" s="421" t="e">
        <f ca="1">IF(ROUND(BP$507,6),ROUND(BP$507,6),NA())</f>
        <v>#N/A</v>
      </c>
      <c r="C536" s="421" t="e">
        <f ca="1">IF(ROUND(BQ$507,6),ROUND(BQ$507,6),NA())</f>
        <v>#N/A</v>
      </c>
      <c r="D536" s="421" t="e">
        <f ca="1">IF(ROUND(BR$507,6),ROUND(BR$507,6),NA())</f>
        <v>#N/A</v>
      </c>
      <c r="E536" s="1" t="s">
        <v>289</v>
      </c>
      <c r="H536" s="377"/>
      <c r="I536" s="95"/>
      <c r="J536" s="58"/>
      <c r="K536" s="155"/>
      <c r="L536" s="317"/>
      <c r="M536" s="156"/>
      <c r="N536" s="156"/>
      <c r="O536" s="105"/>
      <c r="P536" s="105"/>
      <c r="Q536" s="105"/>
      <c r="R536" s="105"/>
      <c r="S536" s="105"/>
      <c r="T536" s="105"/>
      <c r="U536" s="105"/>
      <c r="V536" s="105"/>
      <c r="W536" s="105"/>
      <c r="X536" s="105"/>
      <c r="Y536" s="106"/>
      <c r="Z536" s="105"/>
      <c r="AA536" s="104"/>
      <c r="AB536" s="105"/>
      <c r="AC536" s="105"/>
      <c r="AD536" s="105"/>
      <c r="AE536" s="105"/>
      <c r="AF536" s="105"/>
      <c r="AG536" s="105"/>
      <c r="AH536" s="105"/>
      <c r="AI536" s="105"/>
      <c r="AJ536" s="105"/>
      <c r="AK536" s="105"/>
      <c r="AL536" s="105"/>
      <c r="AM536" s="105"/>
      <c r="AN536" s="105"/>
      <c r="AO536" s="105"/>
      <c r="AP536" s="105"/>
      <c r="AQ536" s="105"/>
      <c r="AR536" s="105"/>
      <c r="AS536" s="105"/>
      <c r="AT536" s="105"/>
      <c r="AU536" s="105"/>
      <c r="AV536" s="105"/>
      <c r="AW536" s="105"/>
      <c r="AX536" s="105"/>
      <c r="AY536" s="105"/>
      <c r="AZ536" s="105"/>
      <c r="BA536" s="105"/>
      <c r="BB536" s="105"/>
      <c r="BC536" s="105"/>
      <c r="BD536" s="105"/>
      <c r="BE536" s="105"/>
      <c r="BF536" s="105"/>
      <c r="BG536" s="105"/>
      <c r="BH536" s="105"/>
      <c r="BI536" s="105"/>
      <c r="BJ536" s="105"/>
      <c r="BK536" s="105"/>
      <c r="BL536" s="105"/>
      <c r="BM536" s="105"/>
      <c r="BN536" s="105"/>
      <c r="BO536" s="105"/>
      <c r="BP536" s="105"/>
      <c r="BQ536" s="105"/>
      <c r="BR536" s="105"/>
      <c r="BS536" s="105"/>
      <c r="BT536" s="105"/>
      <c r="BU536" s="105"/>
      <c r="BV536" s="105"/>
      <c r="BW536" s="106"/>
      <c r="BX536" s="28"/>
    </row>
    <row r="537" spans="1:76" s="34" customFormat="1" ht="17.25" hidden="1" customHeight="1" outlineLevel="1" x14ac:dyDescent="0.25">
      <c r="A537" s="392" t="s">
        <v>216</v>
      </c>
      <c r="B537" s="421" t="e">
        <f ca="1">IF(ROUND(BT$507,6),ROUND(BT$507,6),NA())</f>
        <v>#N/A</v>
      </c>
      <c r="C537" s="421" t="e">
        <f ca="1">IF(ROUND(BU$507,6),ROUND(BU$507,6),NA())</f>
        <v>#N/A</v>
      </c>
      <c r="D537" s="421" t="e">
        <f ca="1">IF(ROUND(BV$507,6),ROUND(BV$507,6),NA())</f>
        <v>#N/A</v>
      </c>
      <c r="E537" s="1" t="s">
        <v>290</v>
      </c>
      <c r="H537" s="377"/>
      <c r="I537" s="95"/>
      <c r="J537" s="58"/>
      <c r="K537" s="155"/>
      <c r="L537" s="317"/>
      <c r="M537" s="156"/>
      <c r="N537" s="156"/>
      <c r="O537" s="105"/>
      <c r="P537" s="105"/>
      <c r="Q537" s="105"/>
      <c r="R537" s="105"/>
      <c r="S537" s="105"/>
      <c r="T537" s="105"/>
      <c r="U537" s="105"/>
      <c r="V537" s="105"/>
      <c r="W537" s="105"/>
      <c r="X537" s="105"/>
      <c r="Y537" s="106"/>
      <c r="Z537" s="105"/>
      <c r="AA537" s="104"/>
      <c r="AB537" s="105"/>
      <c r="AC537" s="105"/>
      <c r="AD537" s="105"/>
      <c r="AE537" s="105"/>
      <c r="AF537" s="105"/>
      <c r="AG537" s="105"/>
      <c r="AH537" s="105"/>
      <c r="AI537" s="105"/>
      <c r="AJ537" s="105"/>
      <c r="AK537" s="105"/>
      <c r="AL537" s="105"/>
      <c r="AM537" s="105"/>
      <c r="AN537" s="105"/>
      <c r="AO537" s="105"/>
      <c r="AP537" s="105"/>
      <c r="AQ537" s="105"/>
      <c r="AR537" s="105"/>
      <c r="AS537" s="105"/>
      <c r="AT537" s="105"/>
      <c r="AU537" s="105"/>
      <c r="AV537" s="105"/>
      <c r="AW537" s="105"/>
      <c r="AX537" s="105"/>
      <c r="AY537" s="105"/>
      <c r="AZ537" s="105"/>
      <c r="BA537" s="105"/>
      <c r="BB537" s="105"/>
      <c r="BC537" s="105"/>
      <c r="BD537" s="105"/>
      <c r="BE537" s="105"/>
      <c r="BF537" s="105"/>
      <c r="BG537" s="105"/>
      <c r="BH537" s="105"/>
      <c r="BI537" s="105"/>
      <c r="BJ537" s="105"/>
      <c r="BK537" s="105"/>
      <c r="BL537" s="105"/>
      <c r="BM537" s="105"/>
      <c r="BN537" s="105"/>
      <c r="BO537" s="105"/>
      <c r="BP537" s="105"/>
      <c r="BQ537" s="105"/>
      <c r="BR537" s="105"/>
      <c r="BS537" s="105"/>
      <c r="BT537" s="105"/>
      <c r="BU537" s="105"/>
      <c r="BV537" s="105"/>
      <c r="BW537" s="106"/>
      <c r="BX537" s="28"/>
    </row>
    <row r="538" spans="1:76" s="34" customFormat="1" ht="17.25" hidden="1" customHeight="1" outlineLevel="1" x14ac:dyDescent="0.25">
      <c r="A538" s="57"/>
      <c r="B538" s="425"/>
      <c r="C538" s="426"/>
      <c r="D538" s="427"/>
      <c r="E538" s="1"/>
      <c r="H538" s="377"/>
      <c r="I538" s="95"/>
      <c r="J538" s="58"/>
      <c r="K538" s="155"/>
      <c r="L538" s="317"/>
      <c r="M538" s="156"/>
      <c r="N538" s="156"/>
      <c r="O538" s="105"/>
      <c r="P538" s="105"/>
      <c r="Q538" s="105"/>
      <c r="R538" s="105"/>
      <c r="S538" s="105"/>
      <c r="T538" s="105"/>
      <c r="U538" s="105"/>
      <c r="V538" s="105"/>
      <c r="W538" s="105"/>
      <c r="X538" s="105"/>
      <c r="Y538" s="106"/>
      <c r="Z538" s="105"/>
      <c r="AA538" s="104"/>
      <c r="AB538" s="105"/>
      <c r="AC538" s="105"/>
      <c r="AD538" s="105"/>
      <c r="AE538" s="105"/>
      <c r="AF538" s="105"/>
      <c r="AG538" s="105"/>
      <c r="AH538" s="105"/>
      <c r="AI538" s="105"/>
      <c r="AJ538" s="105"/>
      <c r="AK538" s="105"/>
      <c r="AL538" s="105"/>
      <c r="AM538" s="105"/>
      <c r="AN538" s="105"/>
      <c r="AO538" s="105"/>
      <c r="AP538" s="105"/>
      <c r="AQ538" s="105"/>
      <c r="AR538" s="105"/>
      <c r="AS538" s="105"/>
      <c r="AT538" s="105"/>
      <c r="AU538" s="105"/>
      <c r="AV538" s="105"/>
      <c r="AW538" s="105"/>
      <c r="AX538" s="105"/>
      <c r="AY538" s="105"/>
      <c r="AZ538" s="105"/>
      <c r="BA538" s="105"/>
      <c r="BB538" s="105"/>
      <c r="BC538" s="105"/>
      <c r="BD538" s="105"/>
      <c r="BE538" s="105"/>
      <c r="BF538" s="105"/>
      <c r="BG538" s="105"/>
      <c r="BH538" s="105"/>
      <c r="BI538" s="105"/>
      <c r="BJ538" s="105"/>
      <c r="BK538" s="105"/>
      <c r="BL538" s="105"/>
      <c r="BM538" s="105"/>
      <c r="BN538" s="105"/>
      <c r="BO538" s="105"/>
      <c r="BP538" s="105"/>
      <c r="BQ538" s="105"/>
      <c r="BR538" s="105"/>
      <c r="BS538" s="105"/>
      <c r="BT538" s="105"/>
      <c r="BU538" s="105"/>
      <c r="BV538" s="105"/>
      <c r="BW538" s="106"/>
      <c r="BX538" s="28"/>
    </row>
    <row r="539" spans="1:76" s="34" customFormat="1" ht="17.25" hidden="1" customHeight="1" outlineLevel="1" x14ac:dyDescent="0.25">
      <c r="A539" s="394" t="s">
        <v>302</v>
      </c>
      <c r="B539" s="428" t="str">
        <f ca="1">$N$12&amp;" N"</f>
        <v>Actual N</v>
      </c>
      <c r="C539" s="428" t="str">
        <f ca="1">$N$20&amp;" "&amp;$N$21</f>
        <v>Budget V current N</v>
      </c>
      <c r="D539" s="428" t="str">
        <f ca="1">$O$20&amp;" "&amp;$O$21</f>
        <v>Actual N-1</v>
      </c>
      <c r="E539" s="1"/>
      <c r="H539" s="377"/>
      <c r="I539" s="95"/>
      <c r="J539" s="58"/>
      <c r="K539" s="155"/>
      <c r="L539" s="317"/>
      <c r="M539" s="156"/>
      <c r="N539" s="156"/>
      <c r="O539" s="105"/>
      <c r="P539" s="105"/>
      <c r="Q539" s="105"/>
      <c r="R539" s="105"/>
      <c r="S539" s="105"/>
      <c r="T539" s="105"/>
      <c r="U539" s="105"/>
      <c r="V539" s="105"/>
      <c r="W539" s="105"/>
      <c r="X539" s="105"/>
      <c r="Y539" s="106"/>
      <c r="Z539" s="105"/>
      <c r="AA539" s="104"/>
      <c r="AB539" s="105"/>
      <c r="AC539" s="105"/>
      <c r="AD539" s="105"/>
      <c r="AE539" s="105"/>
      <c r="AF539" s="105"/>
      <c r="AG539" s="105"/>
      <c r="AH539" s="105"/>
      <c r="AI539" s="105"/>
      <c r="AJ539" s="105"/>
      <c r="AK539" s="105"/>
      <c r="AL539" s="105"/>
      <c r="AM539" s="105"/>
      <c r="AN539" s="105"/>
      <c r="AO539" s="105"/>
      <c r="AP539" s="105"/>
      <c r="AQ539" s="105"/>
      <c r="AR539" s="105"/>
      <c r="AS539" s="105"/>
      <c r="AT539" s="105"/>
      <c r="AU539" s="105"/>
      <c r="AV539" s="105"/>
      <c r="AW539" s="105"/>
      <c r="AX539" s="105"/>
      <c r="AY539" s="105"/>
      <c r="AZ539" s="105"/>
      <c r="BA539" s="105"/>
      <c r="BB539" s="105"/>
      <c r="BC539" s="105"/>
      <c r="BD539" s="105"/>
      <c r="BE539" s="105"/>
      <c r="BF539" s="105"/>
      <c r="BG539" s="105"/>
      <c r="BH539" s="105"/>
      <c r="BI539" s="105"/>
      <c r="BJ539" s="105"/>
      <c r="BK539" s="105"/>
      <c r="BL539" s="105"/>
      <c r="BM539" s="105"/>
      <c r="BN539" s="105"/>
      <c r="BO539" s="105"/>
      <c r="BP539" s="105"/>
      <c r="BQ539" s="105"/>
      <c r="BR539" s="105"/>
      <c r="BS539" s="105"/>
      <c r="BT539" s="105"/>
      <c r="BU539" s="105"/>
      <c r="BV539" s="105"/>
      <c r="BW539" s="106"/>
      <c r="BX539" s="28"/>
    </row>
    <row r="540" spans="1:76" s="34" customFormat="1" ht="17.25" hidden="1" customHeight="1" outlineLevel="1" x14ac:dyDescent="0.25">
      <c r="A540" s="392" t="str">
        <f>IF($N$19="English","J","J")</f>
        <v>J</v>
      </c>
      <c r="B540" s="421" t="e">
        <f ca="1">IF(ROUND(AB$509,6),ROUND(AB$509,6),NA())</f>
        <v>#N/A</v>
      </c>
      <c r="C540" s="421" t="e">
        <f ca="1">IF(ROUND(AC$509,6),ROUND(AC$509,6),NA())</f>
        <v>#N/A</v>
      </c>
      <c r="D540" s="421" t="e">
        <f ca="1">IF(ROUND(AD$509,6),ROUND(AD$509,6),NA())</f>
        <v>#N/A</v>
      </c>
      <c r="E540" s="1" t="s">
        <v>279</v>
      </c>
      <c r="H540" s="377"/>
      <c r="I540" s="95"/>
      <c r="J540" s="58"/>
      <c r="K540" s="155"/>
      <c r="L540" s="317"/>
      <c r="M540" s="156"/>
      <c r="N540" s="156"/>
      <c r="O540" s="105"/>
      <c r="P540" s="105"/>
      <c r="Q540" s="105"/>
      <c r="R540" s="105"/>
      <c r="S540" s="105"/>
      <c r="T540" s="105"/>
      <c r="U540" s="105"/>
      <c r="V540" s="105"/>
      <c r="W540" s="105"/>
      <c r="X540" s="105"/>
      <c r="Y540" s="106"/>
      <c r="Z540" s="105"/>
      <c r="AA540" s="104"/>
      <c r="AB540" s="105"/>
      <c r="AC540" s="105"/>
      <c r="AD540" s="105"/>
      <c r="AE540" s="105"/>
      <c r="AF540" s="105"/>
      <c r="AG540" s="105"/>
      <c r="AH540" s="105"/>
      <c r="AI540" s="105"/>
      <c r="AJ540" s="105"/>
      <c r="AK540" s="105"/>
      <c r="AL540" s="105"/>
      <c r="AM540" s="105"/>
      <c r="AN540" s="105"/>
      <c r="AO540" s="105"/>
      <c r="AP540" s="105"/>
      <c r="AQ540" s="105"/>
      <c r="AR540" s="105"/>
      <c r="AS540" s="105"/>
      <c r="AT540" s="105"/>
      <c r="AU540" s="105"/>
      <c r="AV540" s="105"/>
      <c r="AW540" s="105"/>
      <c r="AX540" s="105"/>
      <c r="AY540" s="105"/>
      <c r="AZ540" s="105"/>
      <c r="BA540" s="105"/>
      <c r="BB540" s="105"/>
      <c r="BC540" s="105"/>
      <c r="BD540" s="105"/>
      <c r="BE540" s="105"/>
      <c r="BF540" s="105"/>
      <c r="BG540" s="105"/>
      <c r="BH540" s="105"/>
      <c r="BI540" s="105"/>
      <c r="BJ540" s="105"/>
      <c r="BK540" s="105"/>
      <c r="BL540" s="105"/>
      <c r="BM540" s="105"/>
      <c r="BN540" s="105"/>
      <c r="BO540" s="105"/>
      <c r="BP540" s="105"/>
      <c r="BQ540" s="105"/>
      <c r="BR540" s="105"/>
      <c r="BS540" s="105"/>
      <c r="BT540" s="105"/>
      <c r="BU540" s="105"/>
      <c r="BV540" s="105"/>
      <c r="BW540" s="106"/>
      <c r="BX540" s="28"/>
    </row>
    <row r="541" spans="1:76" s="34" customFormat="1" ht="17.25" hidden="1" customHeight="1" outlineLevel="1" x14ac:dyDescent="0.25">
      <c r="A541" s="392" t="s">
        <v>213</v>
      </c>
      <c r="B541" s="421" t="e">
        <f ca="1">IF(ROUND(AF$509,6),ROUND(AF$509,6),NA())</f>
        <v>#N/A</v>
      </c>
      <c r="C541" s="421" t="e">
        <f ca="1">IF(ROUND(AG$509,6),ROUND(AG$509,6),NA())</f>
        <v>#N/A</v>
      </c>
      <c r="D541" s="421" t="e">
        <f ca="1">IF(ROUND(AH$509,6),ROUND(AH$509,6),NA())</f>
        <v>#N/A</v>
      </c>
      <c r="E541" s="1" t="s">
        <v>280</v>
      </c>
      <c r="H541" s="377"/>
      <c r="I541" s="95"/>
      <c r="J541" s="58"/>
      <c r="K541" s="155"/>
      <c r="L541" s="317"/>
      <c r="M541" s="156"/>
      <c r="N541" s="156"/>
      <c r="O541" s="105"/>
      <c r="P541" s="105"/>
      <c r="Q541" s="105"/>
      <c r="R541" s="105"/>
      <c r="S541" s="105"/>
      <c r="T541" s="105"/>
      <c r="U541" s="105"/>
      <c r="V541" s="105"/>
      <c r="W541" s="105"/>
      <c r="X541" s="105"/>
      <c r="Y541" s="106"/>
      <c r="Z541" s="105"/>
      <c r="AA541" s="104"/>
      <c r="AB541" s="105"/>
      <c r="AC541" s="105"/>
      <c r="AD541" s="105"/>
      <c r="AE541" s="105"/>
      <c r="AF541" s="105"/>
      <c r="AG541" s="105"/>
      <c r="AH541" s="105"/>
      <c r="AI541" s="105"/>
      <c r="AJ541" s="105"/>
      <c r="AK541" s="105"/>
      <c r="AL541" s="105"/>
      <c r="AM541" s="105"/>
      <c r="AN541" s="105"/>
      <c r="AO541" s="105"/>
      <c r="AP541" s="105"/>
      <c r="AQ541" s="105"/>
      <c r="AR541" s="105"/>
      <c r="AS541" s="105"/>
      <c r="AT541" s="105"/>
      <c r="AU541" s="105"/>
      <c r="AV541" s="105"/>
      <c r="AW541" s="105"/>
      <c r="AX541" s="105"/>
      <c r="AY541" s="105"/>
      <c r="AZ541" s="105"/>
      <c r="BA541" s="105"/>
      <c r="BB541" s="105"/>
      <c r="BC541" s="105"/>
      <c r="BD541" s="105"/>
      <c r="BE541" s="105"/>
      <c r="BF541" s="105"/>
      <c r="BG541" s="105"/>
      <c r="BH541" s="105"/>
      <c r="BI541" s="105"/>
      <c r="BJ541" s="105"/>
      <c r="BK541" s="105"/>
      <c r="BL541" s="105"/>
      <c r="BM541" s="105"/>
      <c r="BN541" s="105"/>
      <c r="BO541" s="105"/>
      <c r="BP541" s="105"/>
      <c r="BQ541" s="105"/>
      <c r="BR541" s="105"/>
      <c r="BS541" s="105"/>
      <c r="BT541" s="105"/>
      <c r="BU541" s="105"/>
      <c r="BV541" s="105"/>
      <c r="BW541" s="106"/>
      <c r="BX541" s="28"/>
    </row>
    <row r="542" spans="1:76" s="34" customFormat="1" ht="17.25" hidden="1" customHeight="1" outlineLevel="1" x14ac:dyDescent="0.25">
      <c r="A542" s="392" t="s">
        <v>215</v>
      </c>
      <c r="B542" s="421" t="e">
        <f ca="1">IF(ROUND(AJ$509,6),ROUND(AJ$509,6),NA())</f>
        <v>#N/A</v>
      </c>
      <c r="C542" s="421" t="e">
        <f ca="1">IF(ROUND(AK$509,6),ROUND(AK$509,6),NA())</f>
        <v>#N/A</v>
      </c>
      <c r="D542" s="421" t="e">
        <f ca="1">IF(ROUND(AL$509,6),ROUND(AL$509,6),NA())</f>
        <v>#N/A</v>
      </c>
      <c r="E542" s="1" t="s">
        <v>281</v>
      </c>
      <c r="H542" s="377"/>
      <c r="I542" s="95"/>
      <c r="J542" s="58"/>
      <c r="K542" s="155"/>
      <c r="L542" s="317"/>
      <c r="M542" s="156"/>
      <c r="N542" s="156"/>
      <c r="O542" s="105"/>
      <c r="P542" s="105"/>
      <c r="Q542" s="105"/>
      <c r="R542" s="105"/>
      <c r="S542" s="105"/>
      <c r="T542" s="105"/>
      <c r="U542" s="105"/>
      <c r="V542" s="105"/>
      <c r="W542" s="105"/>
      <c r="X542" s="105"/>
      <c r="Y542" s="106"/>
      <c r="Z542" s="105"/>
      <c r="AA542" s="104"/>
      <c r="AB542" s="105"/>
      <c r="AC542" s="105"/>
      <c r="AD542" s="105"/>
      <c r="AE542" s="105"/>
      <c r="AF542" s="105"/>
      <c r="AG542" s="105"/>
      <c r="AH542" s="105"/>
      <c r="AI542" s="105"/>
      <c r="AJ542" s="105"/>
      <c r="AK542" s="105"/>
      <c r="AL542" s="105"/>
      <c r="AM542" s="105"/>
      <c r="AN542" s="105"/>
      <c r="AO542" s="105"/>
      <c r="AP542" s="105"/>
      <c r="AQ542" s="105"/>
      <c r="AR542" s="105"/>
      <c r="AS542" s="105"/>
      <c r="AT542" s="105"/>
      <c r="AU542" s="105"/>
      <c r="AV542" s="105"/>
      <c r="AW542" s="105"/>
      <c r="AX542" s="105"/>
      <c r="AY542" s="105"/>
      <c r="AZ542" s="105"/>
      <c r="BA542" s="105"/>
      <c r="BB542" s="105"/>
      <c r="BC542" s="105"/>
      <c r="BD542" s="105"/>
      <c r="BE542" s="105"/>
      <c r="BF542" s="105"/>
      <c r="BG542" s="105"/>
      <c r="BH542" s="105"/>
      <c r="BI542" s="105"/>
      <c r="BJ542" s="105"/>
      <c r="BK542" s="105"/>
      <c r="BL542" s="105"/>
      <c r="BM542" s="105"/>
      <c r="BN542" s="105"/>
      <c r="BO542" s="105"/>
      <c r="BP542" s="105"/>
      <c r="BQ542" s="105"/>
      <c r="BR542" s="105"/>
      <c r="BS542" s="105"/>
      <c r="BT542" s="105"/>
      <c r="BU542" s="105"/>
      <c r="BV542" s="105"/>
      <c r="BW542" s="106"/>
      <c r="BX542" s="28"/>
    </row>
    <row r="543" spans="1:76" s="34" customFormat="1" ht="17.25" hidden="1" customHeight="1" outlineLevel="1" x14ac:dyDescent="0.25">
      <c r="A543" s="392" t="s">
        <v>42</v>
      </c>
      <c r="B543" s="421" t="e">
        <f ca="1">IF(ROUND(AN$509,6),ROUND(AN$509,6),NA())</f>
        <v>#N/A</v>
      </c>
      <c r="C543" s="421" t="e">
        <f ca="1">IF(ROUND(AO$509,6),ROUND(AO$509,6),NA())</f>
        <v>#N/A</v>
      </c>
      <c r="D543" s="421" t="e">
        <f ca="1">IF(ROUND(AP$509,6),ROUND(AP$509,6),NA())</f>
        <v>#N/A</v>
      </c>
      <c r="E543" s="1" t="s">
        <v>282</v>
      </c>
      <c r="H543" s="377"/>
      <c r="I543" s="95"/>
      <c r="J543" s="58"/>
      <c r="K543" s="155"/>
      <c r="L543" s="317"/>
      <c r="M543" s="156"/>
      <c r="N543" s="156"/>
      <c r="O543" s="105"/>
      <c r="P543" s="105"/>
      <c r="Q543" s="105"/>
      <c r="R543" s="105"/>
      <c r="S543" s="105"/>
      <c r="T543" s="105"/>
      <c r="U543" s="105"/>
      <c r="V543" s="105"/>
      <c r="W543" s="105"/>
      <c r="X543" s="105"/>
      <c r="Y543" s="106"/>
      <c r="Z543" s="105"/>
      <c r="AA543" s="104"/>
      <c r="AB543" s="105"/>
      <c r="AC543" s="105"/>
      <c r="AD543" s="105"/>
      <c r="AE543" s="105"/>
      <c r="AF543" s="105"/>
      <c r="AG543" s="105"/>
      <c r="AH543" s="105"/>
      <c r="AI543" s="105"/>
      <c r="AJ543" s="105"/>
      <c r="AK543" s="105"/>
      <c r="AL543" s="105"/>
      <c r="AM543" s="105"/>
      <c r="AN543" s="105"/>
      <c r="AO543" s="105"/>
      <c r="AP543" s="105"/>
      <c r="AQ543" s="105"/>
      <c r="AR543" s="105"/>
      <c r="AS543" s="105"/>
      <c r="AT543" s="105"/>
      <c r="AU543" s="105"/>
      <c r="AV543" s="105"/>
      <c r="AW543" s="105"/>
      <c r="AX543" s="105"/>
      <c r="AY543" s="105"/>
      <c r="AZ543" s="105"/>
      <c r="BA543" s="105"/>
      <c r="BB543" s="105"/>
      <c r="BC543" s="105"/>
      <c r="BD543" s="105"/>
      <c r="BE543" s="105"/>
      <c r="BF543" s="105"/>
      <c r="BG543" s="105"/>
      <c r="BH543" s="105"/>
      <c r="BI543" s="105"/>
      <c r="BJ543" s="105"/>
      <c r="BK543" s="105"/>
      <c r="BL543" s="105"/>
      <c r="BM543" s="105"/>
      <c r="BN543" s="105"/>
      <c r="BO543" s="105"/>
      <c r="BP543" s="105"/>
      <c r="BQ543" s="105"/>
      <c r="BR543" s="105"/>
      <c r="BS543" s="105"/>
      <c r="BT543" s="105"/>
      <c r="BU543" s="105"/>
      <c r="BV543" s="105"/>
      <c r="BW543" s="106"/>
      <c r="BX543" s="28"/>
    </row>
    <row r="544" spans="1:76" s="34" customFormat="1" ht="17.25" hidden="1" customHeight="1" outlineLevel="1" x14ac:dyDescent="0.25">
      <c r="A544" s="392" t="s">
        <v>215</v>
      </c>
      <c r="B544" s="421" t="e">
        <f ca="1">IF(ROUND(AR$509,6),ROUND(AR$509,6),NA())</f>
        <v>#N/A</v>
      </c>
      <c r="C544" s="421" t="e">
        <f ca="1">IF(ROUND(AS$509,6),ROUND(AS$509,6),NA())</f>
        <v>#N/A</v>
      </c>
      <c r="D544" s="421" t="e">
        <f ca="1">IF(ROUND(AT$509,6),ROUND(AT$509,6),NA())</f>
        <v>#N/A</v>
      </c>
      <c r="E544" s="1" t="s">
        <v>283</v>
      </c>
      <c r="H544" s="377"/>
      <c r="I544" s="95"/>
      <c r="J544" s="58"/>
      <c r="K544" s="155"/>
      <c r="L544" s="317"/>
      <c r="M544" s="156"/>
      <c r="N544" s="156"/>
      <c r="O544" s="105"/>
      <c r="P544" s="105"/>
      <c r="Q544" s="105"/>
      <c r="R544" s="105"/>
      <c r="S544" s="105"/>
      <c r="T544" s="105"/>
      <c r="U544" s="105"/>
      <c r="V544" s="105"/>
      <c r="W544" s="105"/>
      <c r="X544" s="105"/>
      <c r="Y544" s="106"/>
      <c r="Z544" s="105"/>
      <c r="AA544" s="104"/>
      <c r="AB544" s="105"/>
      <c r="AC544" s="105"/>
      <c r="AD544" s="105"/>
      <c r="AE544" s="105"/>
      <c r="AF544" s="105"/>
      <c r="AG544" s="105"/>
      <c r="AH544" s="105"/>
      <c r="AI544" s="105"/>
      <c r="AJ544" s="105"/>
      <c r="AK544" s="105"/>
      <c r="AL544" s="105"/>
      <c r="AM544" s="105"/>
      <c r="AN544" s="105"/>
      <c r="AO544" s="105"/>
      <c r="AP544" s="105"/>
      <c r="AQ544" s="105"/>
      <c r="AR544" s="105"/>
      <c r="AS544" s="105"/>
      <c r="AT544" s="105"/>
      <c r="AU544" s="105"/>
      <c r="AV544" s="105"/>
      <c r="AW544" s="105"/>
      <c r="AX544" s="105"/>
      <c r="AY544" s="105"/>
      <c r="AZ544" s="105"/>
      <c r="BA544" s="105"/>
      <c r="BB544" s="105"/>
      <c r="BC544" s="105"/>
      <c r="BD544" s="105"/>
      <c r="BE544" s="105"/>
      <c r="BF544" s="105"/>
      <c r="BG544" s="105"/>
      <c r="BH544" s="105"/>
      <c r="BI544" s="105"/>
      <c r="BJ544" s="105"/>
      <c r="BK544" s="105"/>
      <c r="BL544" s="105"/>
      <c r="BM544" s="105"/>
      <c r="BN544" s="105"/>
      <c r="BO544" s="105"/>
      <c r="BP544" s="105"/>
      <c r="BQ544" s="105"/>
      <c r="BR544" s="105"/>
      <c r="BS544" s="105"/>
      <c r="BT544" s="105"/>
      <c r="BU544" s="105"/>
      <c r="BV544" s="105"/>
      <c r="BW544" s="106"/>
      <c r="BX544" s="28"/>
    </row>
    <row r="545" spans="1:76" s="34" customFormat="1" ht="17.25" hidden="1" customHeight="1" outlineLevel="1" x14ac:dyDescent="0.25">
      <c r="A545" s="392" t="s">
        <v>263</v>
      </c>
      <c r="B545" s="421" t="e">
        <f ca="1">IF(ROUND(AV$509,6),ROUND(AV$509,6),NA())</f>
        <v>#N/A</v>
      </c>
      <c r="C545" s="421" t="e">
        <f ca="1">IF(ROUND(AW$509,6),ROUND(AW$509,6),NA())</f>
        <v>#N/A</v>
      </c>
      <c r="D545" s="421" t="e">
        <f ca="1">IF(ROUND(AX$509,6),ROUND(AX$509,6),NA())</f>
        <v>#N/A</v>
      </c>
      <c r="E545" s="1" t="s">
        <v>284</v>
      </c>
      <c r="H545" s="377"/>
      <c r="I545" s="95"/>
      <c r="J545" s="58"/>
      <c r="K545" s="155"/>
      <c r="L545" s="317"/>
      <c r="M545" s="156"/>
      <c r="N545" s="156"/>
      <c r="O545" s="105"/>
      <c r="P545" s="105"/>
      <c r="Q545" s="105"/>
      <c r="R545" s="105"/>
      <c r="S545" s="105"/>
      <c r="T545" s="105"/>
      <c r="U545" s="105"/>
      <c r="V545" s="105"/>
      <c r="W545" s="105"/>
      <c r="X545" s="105"/>
      <c r="Y545" s="106"/>
      <c r="Z545" s="105"/>
      <c r="AA545" s="104"/>
      <c r="AB545" s="105"/>
      <c r="AC545" s="105"/>
      <c r="AD545" s="105"/>
      <c r="AE545" s="105"/>
      <c r="AF545" s="105"/>
      <c r="AG545" s="105"/>
      <c r="AH545" s="105"/>
      <c r="AI545" s="105"/>
      <c r="AJ545" s="105"/>
      <c r="AK545" s="105"/>
      <c r="AL545" s="105"/>
      <c r="AM545" s="105"/>
      <c r="AN545" s="105"/>
      <c r="AO545" s="105"/>
      <c r="AP545" s="105"/>
      <c r="AQ545" s="105"/>
      <c r="AR545" s="105"/>
      <c r="AS545" s="105"/>
      <c r="AT545" s="105"/>
      <c r="AU545" s="105"/>
      <c r="AV545" s="105"/>
      <c r="AW545" s="105"/>
      <c r="AX545" s="105"/>
      <c r="AY545" s="105"/>
      <c r="AZ545" s="105"/>
      <c r="BA545" s="105"/>
      <c r="BB545" s="105"/>
      <c r="BC545" s="105"/>
      <c r="BD545" s="105"/>
      <c r="BE545" s="105"/>
      <c r="BF545" s="105"/>
      <c r="BG545" s="105"/>
      <c r="BH545" s="105"/>
      <c r="BI545" s="105"/>
      <c r="BJ545" s="105"/>
      <c r="BK545" s="105"/>
      <c r="BL545" s="105"/>
      <c r="BM545" s="105"/>
      <c r="BN545" s="105"/>
      <c r="BO545" s="105"/>
      <c r="BP545" s="105"/>
      <c r="BQ545" s="105"/>
      <c r="BR545" s="105"/>
      <c r="BS545" s="105"/>
      <c r="BT545" s="105"/>
      <c r="BU545" s="105"/>
      <c r="BV545" s="105"/>
      <c r="BW545" s="106"/>
      <c r="BX545" s="28"/>
    </row>
    <row r="546" spans="1:76" s="34" customFormat="1" ht="30" hidden="1" customHeight="1" outlineLevel="1" x14ac:dyDescent="0.25">
      <c r="A546" s="392" t="s">
        <v>263</v>
      </c>
      <c r="B546" s="421" t="e">
        <f ca="1">IF(ROUND(AZ$509,6),ROUND(AZ$509,6),NA())</f>
        <v>#N/A</v>
      </c>
      <c r="C546" s="421" t="e">
        <f ca="1">IF(ROUND(BA$509,6),ROUND(BA$509,6),NA())</f>
        <v>#N/A</v>
      </c>
      <c r="D546" s="421" t="e">
        <f ca="1">IF(ROUND(BB$509,6),ROUND(BB$509,6),NA())</f>
        <v>#N/A</v>
      </c>
      <c r="E546" s="1" t="s">
        <v>285</v>
      </c>
      <c r="H546" s="377"/>
      <c r="I546" s="95"/>
      <c r="J546" s="58"/>
      <c r="K546" s="155"/>
      <c r="L546" s="317"/>
      <c r="M546" s="596" t="str">
        <f ca="1">M509</f>
        <v>F2 - Fleet efficiency</v>
      </c>
      <c r="N546" s="596"/>
      <c r="O546" s="596"/>
      <c r="P546" s="596"/>
      <c r="Q546" s="596"/>
      <c r="R546" s="596"/>
      <c r="S546" s="596"/>
      <c r="T546" s="596"/>
      <c r="U546" s="105"/>
      <c r="V546" s="105"/>
      <c r="W546" s="105"/>
      <c r="X546" s="105"/>
      <c r="Y546" s="106"/>
      <c r="Z546" s="105"/>
      <c r="AA546" s="104"/>
      <c r="AB546" s="105"/>
      <c r="AC546" s="105"/>
      <c r="AD546" s="105"/>
      <c r="AE546" s="105"/>
      <c r="AF546" s="105"/>
      <c r="AG546" s="105"/>
      <c r="AH546" s="105"/>
      <c r="AI546" s="105"/>
      <c r="AJ546" s="105"/>
      <c r="AK546" s="105"/>
      <c r="AL546" s="105"/>
      <c r="AM546" s="105"/>
      <c r="AN546" s="105"/>
      <c r="AO546" s="105"/>
      <c r="AP546" s="105"/>
      <c r="AQ546" s="105"/>
      <c r="AR546" s="105"/>
      <c r="AS546" s="105"/>
      <c r="AT546" s="105"/>
      <c r="AU546" s="105"/>
      <c r="AV546" s="105"/>
      <c r="AW546" s="105"/>
      <c r="AX546" s="105"/>
      <c r="AY546" s="105"/>
      <c r="AZ546" s="105"/>
      <c r="BA546" s="105"/>
      <c r="BB546" s="105"/>
      <c r="BC546" s="105"/>
      <c r="BD546" s="105"/>
      <c r="BE546" s="105"/>
      <c r="BF546" s="105"/>
      <c r="BG546" s="105"/>
      <c r="BH546" s="105"/>
      <c r="BI546" s="105"/>
      <c r="BJ546" s="105"/>
      <c r="BK546" s="105"/>
      <c r="BL546" s="105"/>
      <c r="BM546" s="105"/>
      <c r="BN546" s="105"/>
      <c r="BO546" s="105"/>
      <c r="BP546" s="105"/>
      <c r="BQ546" s="105"/>
      <c r="BR546" s="105"/>
      <c r="BS546" s="105"/>
      <c r="BT546" s="105"/>
      <c r="BU546" s="105"/>
      <c r="BV546" s="105"/>
      <c r="BW546" s="106"/>
      <c r="BX546" s="28"/>
    </row>
    <row r="547" spans="1:76" s="34" customFormat="1" ht="17.25" hidden="1" customHeight="1" outlineLevel="1" x14ac:dyDescent="0.25">
      <c r="A547" s="392" t="s">
        <v>42</v>
      </c>
      <c r="B547" s="421" t="e">
        <f ca="1">IF(ROUND(BD$509,6),ROUND(BD$509,6),NA())</f>
        <v>#N/A</v>
      </c>
      <c r="C547" s="421" t="e">
        <f ca="1">IF(ROUND(BE$509,6),ROUND(BE$509,6),NA())</f>
        <v>#N/A</v>
      </c>
      <c r="D547" s="421" t="e">
        <f ca="1">IF(ROUND(BF$509,6),ROUND(BF$509,6),NA())</f>
        <v>#N/A</v>
      </c>
      <c r="E547" s="1" t="s">
        <v>286</v>
      </c>
      <c r="H547" s="377"/>
      <c r="I547" s="95"/>
      <c r="J547" s="58"/>
      <c r="K547" s="155"/>
      <c r="L547" s="317"/>
      <c r="M547" s="156"/>
      <c r="N547" s="156"/>
      <c r="O547" s="105"/>
      <c r="P547" s="105"/>
      <c r="Q547" s="105"/>
      <c r="R547" s="105"/>
      <c r="S547" s="105"/>
      <c r="T547" s="105"/>
      <c r="U547" s="105"/>
      <c r="V547" s="105"/>
      <c r="W547" s="105"/>
      <c r="X547" s="105"/>
      <c r="Y547" s="106"/>
      <c r="Z547" s="105"/>
      <c r="AA547" s="104"/>
      <c r="AB547" s="105"/>
      <c r="AC547" s="105"/>
      <c r="AD547" s="105"/>
      <c r="AE547" s="105"/>
      <c r="AF547" s="105"/>
      <c r="AG547" s="105"/>
      <c r="AH547" s="105"/>
      <c r="AI547" s="105"/>
      <c r="AJ547" s="105"/>
      <c r="AK547" s="105"/>
      <c r="AL547" s="105"/>
      <c r="AM547" s="105"/>
      <c r="AN547" s="105"/>
      <c r="AO547" s="105"/>
      <c r="AP547" s="105"/>
      <c r="AQ547" s="105"/>
      <c r="AR547" s="105"/>
      <c r="AS547" s="105"/>
      <c r="AT547" s="105"/>
      <c r="AU547" s="105"/>
      <c r="AV547" s="105"/>
      <c r="AW547" s="105"/>
      <c r="AX547" s="105"/>
      <c r="AY547" s="105"/>
      <c r="AZ547" s="105"/>
      <c r="BA547" s="105"/>
      <c r="BB547" s="105"/>
      <c r="BC547" s="105"/>
      <c r="BD547" s="105"/>
      <c r="BE547" s="105"/>
      <c r="BF547" s="105"/>
      <c r="BG547" s="105"/>
      <c r="BH547" s="105"/>
      <c r="BI547" s="105"/>
      <c r="BJ547" s="105"/>
      <c r="BK547" s="105"/>
      <c r="BL547" s="105"/>
      <c r="BM547" s="105"/>
      <c r="BN547" s="105"/>
      <c r="BO547" s="105"/>
      <c r="BP547" s="105"/>
      <c r="BQ547" s="105"/>
      <c r="BR547" s="105"/>
      <c r="BS547" s="105"/>
      <c r="BT547" s="105"/>
      <c r="BU547" s="105"/>
      <c r="BV547" s="105"/>
      <c r="BW547" s="106"/>
      <c r="BX547" s="28"/>
    </row>
    <row r="548" spans="1:76" s="34" customFormat="1" ht="17.25" hidden="1" customHeight="1" outlineLevel="1" x14ac:dyDescent="0.25">
      <c r="A548" s="392" t="s">
        <v>264</v>
      </c>
      <c r="B548" s="421" t="e">
        <f ca="1">IF(ROUND(BH$509,6),ROUND(BH$509,6),NA())</f>
        <v>#N/A</v>
      </c>
      <c r="C548" s="421" t="e">
        <f ca="1">IF(ROUND(BI$509,6),ROUND(BI$509,6),NA())</f>
        <v>#N/A</v>
      </c>
      <c r="D548" s="421" t="e">
        <f ca="1">IF(ROUND(BJ$509,6),ROUND(BJ$509,6),NA())</f>
        <v>#N/A</v>
      </c>
      <c r="E548" s="1" t="s">
        <v>287</v>
      </c>
      <c r="H548" s="377"/>
      <c r="I548" s="95"/>
      <c r="J548" s="58"/>
      <c r="K548" s="155"/>
      <c r="L548" s="317"/>
      <c r="M548" s="156"/>
      <c r="N548" s="156"/>
      <c r="O548" s="105"/>
      <c r="P548" s="105"/>
      <c r="Q548" s="105"/>
      <c r="R548" s="105"/>
      <c r="S548" s="105"/>
      <c r="T548" s="105"/>
      <c r="U548" s="105"/>
      <c r="V548" s="105"/>
      <c r="W548" s="105"/>
      <c r="X548" s="105"/>
      <c r="Y548" s="106"/>
      <c r="Z548" s="105"/>
      <c r="AA548" s="104"/>
      <c r="AB548" s="105"/>
      <c r="AC548" s="105"/>
      <c r="AD548" s="105"/>
      <c r="AE548" s="105"/>
      <c r="AF548" s="105"/>
      <c r="AG548" s="105"/>
      <c r="AH548" s="105"/>
      <c r="AI548" s="105"/>
      <c r="AJ548" s="105"/>
      <c r="AK548" s="105"/>
      <c r="AL548" s="105"/>
      <c r="AM548" s="105"/>
      <c r="AN548" s="105"/>
      <c r="AO548" s="105"/>
      <c r="AP548" s="105"/>
      <c r="AQ548" s="105"/>
      <c r="AR548" s="105"/>
      <c r="AS548" s="105"/>
      <c r="AT548" s="105"/>
      <c r="AU548" s="105"/>
      <c r="AV548" s="105"/>
      <c r="AW548" s="105"/>
      <c r="AX548" s="105"/>
      <c r="AY548" s="105"/>
      <c r="AZ548" s="105"/>
      <c r="BA548" s="105"/>
      <c r="BB548" s="105"/>
      <c r="BC548" s="105"/>
      <c r="BD548" s="105"/>
      <c r="BE548" s="105"/>
      <c r="BF548" s="105"/>
      <c r="BG548" s="105"/>
      <c r="BH548" s="105"/>
      <c r="BI548" s="105"/>
      <c r="BJ548" s="105"/>
      <c r="BK548" s="105"/>
      <c r="BL548" s="105"/>
      <c r="BM548" s="105"/>
      <c r="BN548" s="105"/>
      <c r="BO548" s="105"/>
      <c r="BP548" s="105"/>
      <c r="BQ548" s="105"/>
      <c r="BR548" s="105"/>
      <c r="BS548" s="105"/>
      <c r="BT548" s="105"/>
      <c r="BU548" s="105"/>
      <c r="BV548" s="105"/>
      <c r="BW548" s="106"/>
      <c r="BX548" s="28"/>
    </row>
    <row r="549" spans="1:76" s="34" customFormat="1" ht="17.25" hidden="1" customHeight="1" outlineLevel="1" x14ac:dyDescent="0.25">
      <c r="A549" s="392" t="s">
        <v>212</v>
      </c>
      <c r="B549" s="421" t="e">
        <f ca="1">IF(ROUND(BL$509,6),ROUND(BL$509,6),NA())</f>
        <v>#N/A</v>
      </c>
      <c r="C549" s="421" t="e">
        <f ca="1">IF(ROUND(BM$509,6),ROUND(BM$509,6),NA())</f>
        <v>#N/A</v>
      </c>
      <c r="D549" s="421" t="e">
        <f ca="1">IF(ROUND(BN$509,6),ROUND(BN$509,6),NA())</f>
        <v>#N/A</v>
      </c>
      <c r="E549" s="1" t="s">
        <v>288</v>
      </c>
      <c r="H549" s="377"/>
      <c r="I549" s="95"/>
      <c r="J549" s="58"/>
      <c r="K549" s="155"/>
      <c r="L549" s="317"/>
      <c r="M549" s="156"/>
      <c r="N549" s="156"/>
      <c r="O549" s="105"/>
      <c r="P549" s="105"/>
      <c r="Q549" s="105"/>
      <c r="R549" s="105"/>
      <c r="S549" s="105"/>
      <c r="T549" s="105"/>
      <c r="U549" s="105"/>
      <c r="V549" s="105"/>
      <c r="W549" s="105"/>
      <c r="X549" s="105"/>
      <c r="Y549" s="106"/>
      <c r="Z549" s="105"/>
      <c r="AA549" s="104"/>
      <c r="AB549" s="105"/>
      <c r="AC549" s="105"/>
      <c r="AD549" s="105"/>
      <c r="AE549" s="105"/>
      <c r="AF549" s="105"/>
      <c r="AG549" s="105"/>
      <c r="AH549" s="105"/>
      <c r="AI549" s="105"/>
      <c r="AJ549" s="105"/>
      <c r="AK549" s="105"/>
      <c r="AL549" s="105"/>
      <c r="AM549" s="105"/>
      <c r="AN549" s="105"/>
      <c r="AO549" s="105"/>
      <c r="AP549" s="105"/>
      <c r="AQ549" s="105"/>
      <c r="AR549" s="105"/>
      <c r="AS549" s="105"/>
      <c r="AT549" s="105"/>
      <c r="AU549" s="105"/>
      <c r="AV549" s="105"/>
      <c r="AW549" s="105"/>
      <c r="AX549" s="105"/>
      <c r="AY549" s="105"/>
      <c r="AZ549" s="105"/>
      <c r="BA549" s="105"/>
      <c r="BB549" s="105"/>
      <c r="BC549" s="105"/>
      <c r="BD549" s="105"/>
      <c r="BE549" s="105"/>
      <c r="BF549" s="105"/>
      <c r="BG549" s="105"/>
      <c r="BH549" s="105"/>
      <c r="BI549" s="105"/>
      <c r="BJ549" s="105"/>
      <c r="BK549" s="105"/>
      <c r="BL549" s="105"/>
      <c r="BM549" s="105"/>
      <c r="BN549" s="105"/>
      <c r="BO549" s="105"/>
      <c r="BP549" s="105"/>
      <c r="BQ549" s="105"/>
      <c r="BR549" s="105"/>
      <c r="BS549" s="105"/>
      <c r="BT549" s="105"/>
      <c r="BU549" s="105"/>
      <c r="BV549" s="105"/>
      <c r="BW549" s="106"/>
      <c r="BX549" s="28"/>
    </row>
    <row r="550" spans="1:76" s="34" customFormat="1" ht="17.25" hidden="1" customHeight="1" outlineLevel="1" x14ac:dyDescent="0.25">
      <c r="A550" s="392" t="s">
        <v>257</v>
      </c>
      <c r="B550" s="421" t="e">
        <f ca="1">IF(ROUND(BP$509,6),ROUND(BP$509,6),NA())</f>
        <v>#N/A</v>
      </c>
      <c r="C550" s="421" t="e">
        <f ca="1">IF(ROUND(BQ$509,6),ROUND(BQ$509,6),NA())</f>
        <v>#N/A</v>
      </c>
      <c r="D550" s="421" t="e">
        <f ca="1">IF(ROUND(BR$509,6),ROUND(BR$509,6),NA())</f>
        <v>#N/A</v>
      </c>
      <c r="E550" s="1" t="s">
        <v>289</v>
      </c>
      <c r="H550" s="377"/>
      <c r="I550" s="95"/>
      <c r="J550" s="58"/>
      <c r="K550" s="155"/>
      <c r="L550" s="317"/>
      <c r="M550" s="156"/>
      <c r="N550" s="156"/>
      <c r="O550" s="105"/>
      <c r="P550" s="105"/>
      <c r="Q550" s="105"/>
      <c r="R550" s="105"/>
      <c r="S550" s="105"/>
      <c r="T550" s="105"/>
      <c r="U550" s="105"/>
      <c r="V550" s="105"/>
      <c r="W550" s="105"/>
      <c r="X550" s="105"/>
      <c r="Y550" s="106"/>
      <c r="Z550" s="105"/>
      <c r="AA550" s="104"/>
      <c r="AB550" s="105"/>
      <c r="AC550" s="105"/>
      <c r="AD550" s="105"/>
      <c r="AE550" s="105"/>
      <c r="AF550" s="105"/>
      <c r="AG550" s="105"/>
      <c r="AH550" s="105"/>
      <c r="AI550" s="105"/>
      <c r="AJ550" s="105"/>
      <c r="AK550" s="105"/>
      <c r="AL550" s="105"/>
      <c r="AM550" s="105"/>
      <c r="AN550" s="105"/>
      <c r="AO550" s="105"/>
      <c r="AP550" s="105"/>
      <c r="AQ550" s="105"/>
      <c r="AR550" s="105"/>
      <c r="AS550" s="105"/>
      <c r="AT550" s="105"/>
      <c r="AU550" s="105"/>
      <c r="AV550" s="105"/>
      <c r="AW550" s="105"/>
      <c r="AX550" s="105"/>
      <c r="AY550" s="105"/>
      <c r="AZ550" s="105"/>
      <c r="BA550" s="105"/>
      <c r="BB550" s="105"/>
      <c r="BC550" s="105"/>
      <c r="BD550" s="105"/>
      <c r="BE550" s="105"/>
      <c r="BF550" s="105"/>
      <c r="BG550" s="105"/>
      <c r="BH550" s="105"/>
      <c r="BI550" s="105"/>
      <c r="BJ550" s="105"/>
      <c r="BK550" s="105"/>
      <c r="BL550" s="105"/>
      <c r="BM550" s="105"/>
      <c r="BN550" s="105"/>
      <c r="BO550" s="105"/>
      <c r="BP550" s="105"/>
      <c r="BQ550" s="105"/>
      <c r="BR550" s="105"/>
      <c r="BS550" s="105"/>
      <c r="BT550" s="105"/>
      <c r="BU550" s="105"/>
      <c r="BV550" s="105"/>
      <c r="BW550" s="106"/>
      <c r="BX550" s="28"/>
    </row>
    <row r="551" spans="1:76" s="34" customFormat="1" ht="17.25" hidden="1" customHeight="1" outlineLevel="1" x14ac:dyDescent="0.25">
      <c r="A551" s="392" t="s">
        <v>216</v>
      </c>
      <c r="B551" s="421" t="e">
        <f ca="1">IF(ROUND(BT$509,6),ROUND(BT$509,6),NA())</f>
        <v>#N/A</v>
      </c>
      <c r="C551" s="421" t="e">
        <f ca="1">IF(ROUND(BU$509,6),ROUND(BU$509,6),NA())</f>
        <v>#N/A</v>
      </c>
      <c r="D551" s="421" t="e">
        <f ca="1">IF(ROUND(BV$509,6),ROUND(BV$509,6),NA())</f>
        <v>#N/A</v>
      </c>
      <c r="E551" s="1" t="s">
        <v>290</v>
      </c>
      <c r="H551" s="377"/>
      <c r="I551" s="95"/>
      <c r="J551" s="58"/>
      <c r="K551" s="155"/>
      <c r="L551" s="317"/>
      <c r="M551" s="156"/>
      <c r="N551" s="156"/>
      <c r="O551" s="105"/>
      <c r="P551" s="105"/>
      <c r="Q551" s="105"/>
      <c r="R551" s="105"/>
      <c r="S551" s="105"/>
      <c r="T551" s="105"/>
      <c r="U551" s="105"/>
      <c r="V551" s="105"/>
      <c r="W551" s="105"/>
      <c r="X551" s="105"/>
      <c r="Y551" s="106"/>
      <c r="Z551" s="105"/>
      <c r="AA551" s="104"/>
      <c r="AB551" s="105"/>
      <c r="AC551" s="105"/>
      <c r="AD551" s="105"/>
      <c r="AE551" s="105"/>
      <c r="AF551" s="105"/>
      <c r="AG551" s="105"/>
      <c r="AH551" s="105"/>
      <c r="AI551" s="105"/>
      <c r="AJ551" s="105"/>
      <c r="AK551" s="105"/>
      <c r="AL551" s="105"/>
      <c r="AM551" s="105"/>
      <c r="AN551" s="105"/>
      <c r="AO551" s="105"/>
      <c r="AP551" s="105"/>
      <c r="AQ551" s="105"/>
      <c r="AR551" s="105"/>
      <c r="AS551" s="105"/>
      <c r="AT551" s="105"/>
      <c r="AU551" s="105"/>
      <c r="AV551" s="105"/>
      <c r="AW551" s="105"/>
      <c r="AX551" s="105"/>
      <c r="AY551" s="105"/>
      <c r="AZ551" s="105"/>
      <c r="BA551" s="105"/>
      <c r="BB551" s="105"/>
      <c r="BC551" s="105"/>
      <c r="BD551" s="105"/>
      <c r="BE551" s="105"/>
      <c r="BF551" s="105"/>
      <c r="BG551" s="105"/>
      <c r="BH551" s="105"/>
      <c r="BI551" s="105"/>
      <c r="BJ551" s="105"/>
      <c r="BK551" s="105"/>
      <c r="BL551" s="105"/>
      <c r="BM551" s="105"/>
      <c r="BN551" s="105"/>
      <c r="BO551" s="105"/>
      <c r="BP551" s="105"/>
      <c r="BQ551" s="105"/>
      <c r="BR551" s="105"/>
      <c r="BS551" s="105"/>
      <c r="BT551" s="105"/>
      <c r="BU551" s="105"/>
      <c r="BV551" s="105"/>
      <c r="BW551" s="106"/>
      <c r="BX551" s="28"/>
    </row>
    <row r="552" spans="1:76" s="34" customFormat="1" ht="17.25" hidden="1" customHeight="1" outlineLevel="1" x14ac:dyDescent="0.25">
      <c r="A552" s="57"/>
      <c r="B552" s="377"/>
      <c r="C552" s="9"/>
      <c r="D552" s="1"/>
      <c r="E552" s="1"/>
      <c r="H552" s="377"/>
      <c r="I552" s="95"/>
      <c r="J552" s="58"/>
      <c r="K552" s="155"/>
      <c r="L552" s="317"/>
      <c r="M552" s="156"/>
      <c r="N552" s="156"/>
      <c r="O552" s="105"/>
      <c r="P552" s="105"/>
      <c r="Q552" s="105"/>
      <c r="R552" s="105"/>
      <c r="S552" s="105"/>
      <c r="T552" s="105"/>
      <c r="U552" s="105"/>
      <c r="V552" s="105"/>
      <c r="W552" s="105"/>
      <c r="X552" s="105"/>
      <c r="Y552" s="106"/>
      <c r="Z552" s="105"/>
      <c r="AA552" s="104"/>
      <c r="AB552" s="105"/>
      <c r="AC552" s="105"/>
      <c r="AD552" s="105"/>
      <c r="AE552" s="105"/>
      <c r="AF552" s="105"/>
      <c r="AG552" s="105"/>
      <c r="AH552" s="105"/>
      <c r="AI552" s="105"/>
      <c r="AJ552" s="105"/>
      <c r="AK552" s="105"/>
      <c r="AL552" s="105"/>
      <c r="AM552" s="105"/>
      <c r="AN552" s="105"/>
      <c r="AO552" s="105"/>
      <c r="AP552" s="105"/>
      <c r="AQ552" s="105"/>
      <c r="AR552" s="105"/>
      <c r="AS552" s="105"/>
      <c r="AT552" s="105"/>
      <c r="AU552" s="105"/>
      <c r="AV552" s="105"/>
      <c r="AW552" s="105"/>
      <c r="AX552" s="105"/>
      <c r="AY552" s="105"/>
      <c r="AZ552" s="105"/>
      <c r="BA552" s="105"/>
      <c r="BB552" s="105"/>
      <c r="BC552" s="105"/>
      <c r="BD552" s="105"/>
      <c r="BE552" s="105"/>
      <c r="BF552" s="105"/>
      <c r="BG552" s="105"/>
      <c r="BH552" s="105"/>
      <c r="BI552" s="105"/>
      <c r="BJ552" s="105"/>
      <c r="BK552" s="105"/>
      <c r="BL552" s="105"/>
      <c r="BM552" s="105"/>
      <c r="BN552" s="105"/>
      <c r="BO552" s="105"/>
      <c r="BP552" s="105"/>
      <c r="BQ552" s="105"/>
      <c r="BR552" s="105"/>
      <c r="BS552" s="105"/>
      <c r="BT552" s="105"/>
      <c r="BU552" s="105"/>
      <c r="BV552" s="105"/>
      <c r="BW552" s="106"/>
      <c r="BX552" s="28"/>
    </row>
    <row r="553" spans="1:76" s="34" customFormat="1" ht="17.25" hidden="1" customHeight="1" outlineLevel="1" x14ac:dyDescent="0.25">
      <c r="A553" s="57"/>
      <c r="B553" s="377"/>
      <c r="C553" s="9"/>
      <c r="D553" s="1"/>
      <c r="E553" s="1"/>
      <c r="H553" s="377"/>
      <c r="I553" s="95"/>
      <c r="J553" s="58"/>
      <c r="K553" s="155"/>
      <c r="L553" s="317"/>
      <c r="M553" s="156"/>
      <c r="N553" s="156"/>
      <c r="O553" s="105"/>
      <c r="P553" s="105"/>
      <c r="Q553" s="105"/>
      <c r="R553" s="105"/>
      <c r="S553" s="105"/>
      <c r="T553" s="105"/>
      <c r="U553" s="105"/>
      <c r="V553" s="105"/>
      <c r="W553" s="105"/>
      <c r="X553" s="105"/>
      <c r="Y553" s="106"/>
      <c r="Z553" s="105"/>
      <c r="AA553" s="104"/>
      <c r="AB553" s="105"/>
      <c r="AC553" s="105"/>
      <c r="AD553" s="105"/>
      <c r="AE553" s="105"/>
      <c r="AF553" s="105"/>
      <c r="AG553" s="105"/>
      <c r="AH553" s="105"/>
      <c r="AI553" s="105"/>
      <c r="AJ553" s="105"/>
      <c r="AK553" s="105"/>
      <c r="AL553" s="105"/>
      <c r="AM553" s="105"/>
      <c r="AN553" s="105"/>
      <c r="AO553" s="105"/>
      <c r="AP553" s="105"/>
      <c r="AQ553" s="105"/>
      <c r="AR553" s="105"/>
      <c r="AS553" s="105"/>
      <c r="AT553" s="105"/>
      <c r="AU553" s="105"/>
      <c r="AV553" s="105"/>
      <c r="AW553" s="105"/>
      <c r="AX553" s="105"/>
      <c r="AY553" s="105"/>
      <c r="AZ553" s="105"/>
      <c r="BA553" s="105"/>
      <c r="BB553" s="105"/>
      <c r="BC553" s="105"/>
      <c r="BD553" s="105"/>
      <c r="BE553" s="105"/>
      <c r="BF553" s="105"/>
      <c r="BG553" s="105"/>
      <c r="BH553" s="105"/>
      <c r="BI553" s="105"/>
      <c r="BJ553" s="105"/>
      <c r="BK553" s="105"/>
      <c r="BL553" s="105"/>
      <c r="BM553" s="105"/>
      <c r="BN553" s="105"/>
      <c r="BO553" s="105"/>
      <c r="BP553" s="105"/>
      <c r="BQ553" s="105"/>
      <c r="BR553" s="105"/>
      <c r="BS553" s="105"/>
      <c r="BT553" s="105"/>
      <c r="BU553" s="105"/>
      <c r="BV553" s="105"/>
      <c r="BW553" s="106"/>
      <c r="BX553" s="28"/>
    </row>
    <row r="554" spans="1:76" s="34" customFormat="1" ht="17.25" hidden="1" customHeight="1" outlineLevel="1" x14ac:dyDescent="0.25">
      <c r="A554" s="57"/>
      <c r="B554" s="377"/>
      <c r="C554" s="9"/>
      <c r="D554" s="1"/>
      <c r="E554" s="1"/>
      <c r="H554" s="377"/>
      <c r="I554" s="95"/>
      <c r="J554" s="58"/>
      <c r="K554" s="155"/>
      <c r="L554" s="317"/>
      <c r="M554" s="156"/>
      <c r="N554" s="156"/>
      <c r="O554" s="105"/>
      <c r="P554" s="105"/>
      <c r="Q554" s="105"/>
      <c r="R554" s="105"/>
      <c r="S554" s="105"/>
      <c r="T554" s="105"/>
      <c r="U554" s="105"/>
      <c r="V554" s="105"/>
      <c r="W554" s="105"/>
      <c r="X554" s="105"/>
      <c r="Y554" s="106"/>
      <c r="Z554" s="105"/>
      <c r="AA554" s="104"/>
      <c r="AB554" s="105"/>
      <c r="AC554" s="105"/>
      <c r="AD554" s="105"/>
      <c r="AE554" s="105"/>
      <c r="AF554" s="105"/>
      <c r="AG554" s="105"/>
      <c r="AH554" s="105"/>
      <c r="AI554" s="105"/>
      <c r="AJ554" s="105"/>
      <c r="AK554" s="105"/>
      <c r="AL554" s="105"/>
      <c r="AM554" s="105"/>
      <c r="AN554" s="105"/>
      <c r="AO554" s="105"/>
      <c r="AP554" s="105"/>
      <c r="AQ554" s="105"/>
      <c r="AR554" s="105"/>
      <c r="AS554" s="105"/>
      <c r="AT554" s="105"/>
      <c r="AU554" s="105"/>
      <c r="AV554" s="105"/>
      <c r="AW554" s="105"/>
      <c r="AX554" s="105"/>
      <c r="AY554" s="105"/>
      <c r="AZ554" s="105"/>
      <c r="BA554" s="105"/>
      <c r="BB554" s="105"/>
      <c r="BC554" s="105"/>
      <c r="BD554" s="105"/>
      <c r="BE554" s="105"/>
      <c r="BF554" s="105"/>
      <c r="BG554" s="105"/>
      <c r="BH554" s="105"/>
      <c r="BI554" s="105"/>
      <c r="BJ554" s="105"/>
      <c r="BK554" s="105"/>
      <c r="BL554" s="105"/>
      <c r="BM554" s="105"/>
      <c r="BN554" s="105"/>
      <c r="BO554" s="105"/>
      <c r="BP554" s="105"/>
      <c r="BQ554" s="105"/>
      <c r="BR554" s="105"/>
      <c r="BS554" s="105"/>
      <c r="BT554" s="105"/>
      <c r="BU554" s="105"/>
      <c r="BV554" s="105"/>
      <c r="BW554" s="106"/>
      <c r="BX554" s="28"/>
    </row>
    <row r="555" spans="1:76" s="34" customFormat="1" ht="17.25" hidden="1" customHeight="1" outlineLevel="1" x14ac:dyDescent="0.25">
      <c r="A555" s="57"/>
      <c r="B555" s="377"/>
      <c r="C555" s="9"/>
      <c r="D555" s="1"/>
      <c r="E555" s="1"/>
      <c r="H555" s="377"/>
      <c r="I555" s="95"/>
      <c r="J555" s="58"/>
      <c r="K555" s="155"/>
      <c r="L555" s="317"/>
      <c r="M555" s="156"/>
      <c r="N555" s="156"/>
      <c r="O555" s="105"/>
      <c r="P555" s="105"/>
      <c r="Q555" s="105"/>
      <c r="R555" s="105"/>
      <c r="S555" s="105"/>
      <c r="T555" s="105"/>
      <c r="U555" s="105"/>
      <c r="V555" s="105"/>
      <c r="W555" s="105"/>
      <c r="X555" s="105"/>
      <c r="Y555" s="106"/>
      <c r="Z555" s="105"/>
      <c r="AA555" s="104"/>
      <c r="AB555" s="105"/>
      <c r="AC555" s="105"/>
      <c r="AD555" s="105"/>
      <c r="AE555" s="105"/>
      <c r="AF555" s="105"/>
      <c r="AG555" s="105"/>
      <c r="AH555" s="105"/>
      <c r="AI555" s="105"/>
      <c r="AJ555" s="105"/>
      <c r="AK555" s="105"/>
      <c r="AL555" s="105"/>
      <c r="AM555" s="105"/>
      <c r="AN555" s="105"/>
      <c r="AO555" s="105"/>
      <c r="AP555" s="105"/>
      <c r="AQ555" s="105"/>
      <c r="AR555" s="105"/>
      <c r="AS555" s="105"/>
      <c r="AT555" s="105"/>
      <c r="AU555" s="105"/>
      <c r="AV555" s="105"/>
      <c r="AW555" s="105"/>
      <c r="AX555" s="105"/>
      <c r="AY555" s="105"/>
      <c r="AZ555" s="105"/>
      <c r="BA555" s="105"/>
      <c r="BB555" s="105"/>
      <c r="BC555" s="105"/>
      <c r="BD555" s="105"/>
      <c r="BE555" s="105"/>
      <c r="BF555" s="105"/>
      <c r="BG555" s="105"/>
      <c r="BH555" s="105"/>
      <c r="BI555" s="105"/>
      <c r="BJ555" s="105"/>
      <c r="BK555" s="105"/>
      <c r="BL555" s="105"/>
      <c r="BM555" s="105"/>
      <c r="BN555" s="105"/>
      <c r="BO555" s="105"/>
      <c r="BP555" s="105"/>
      <c r="BQ555" s="105"/>
      <c r="BR555" s="105"/>
      <c r="BS555" s="105"/>
      <c r="BT555" s="105"/>
      <c r="BU555" s="105"/>
      <c r="BV555" s="105"/>
      <c r="BW555" s="106"/>
      <c r="BX555" s="28"/>
    </row>
    <row r="556" spans="1:76" s="34" customFormat="1" ht="17.25" hidden="1" customHeight="1" outlineLevel="1" x14ac:dyDescent="0.25">
      <c r="A556" s="57"/>
      <c r="B556" s="377"/>
      <c r="C556" s="9"/>
      <c r="D556" s="1"/>
      <c r="E556" s="1"/>
      <c r="H556" s="377"/>
      <c r="I556" s="95"/>
      <c r="J556" s="58"/>
      <c r="K556" s="155"/>
      <c r="L556" s="317"/>
      <c r="M556" s="156"/>
      <c r="N556" s="156"/>
      <c r="O556" s="105"/>
      <c r="P556" s="105"/>
      <c r="Q556" s="105"/>
      <c r="R556" s="105"/>
      <c r="S556" s="105"/>
      <c r="T556" s="105"/>
      <c r="U556" s="105"/>
      <c r="V556" s="105"/>
      <c r="W556" s="105"/>
      <c r="X556" s="105"/>
      <c r="Y556" s="106"/>
      <c r="Z556" s="105"/>
      <c r="AA556" s="104"/>
      <c r="AB556" s="105"/>
      <c r="AC556" s="105"/>
      <c r="AD556" s="105"/>
      <c r="AE556" s="105"/>
      <c r="AF556" s="105"/>
      <c r="AG556" s="105"/>
      <c r="AH556" s="105"/>
      <c r="AI556" s="105"/>
      <c r="AJ556" s="105"/>
      <c r="AK556" s="105"/>
      <c r="AL556" s="105"/>
      <c r="AM556" s="105"/>
      <c r="AN556" s="105"/>
      <c r="AO556" s="105"/>
      <c r="AP556" s="105"/>
      <c r="AQ556" s="105"/>
      <c r="AR556" s="105"/>
      <c r="AS556" s="105"/>
      <c r="AT556" s="105"/>
      <c r="AU556" s="105"/>
      <c r="AV556" s="105"/>
      <c r="AW556" s="105"/>
      <c r="AX556" s="105"/>
      <c r="AY556" s="105"/>
      <c r="AZ556" s="105"/>
      <c r="BA556" s="105"/>
      <c r="BB556" s="105"/>
      <c r="BC556" s="105"/>
      <c r="BD556" s="105"/>
      <c r="BE556" s="105"/>
      <c r="BF556" s="105"/>
      <c r="BG556" s="105"/>
      <c r="BH556" s="105"/>
      <c r="BI556" s="105"/>
      <c r="BJ556" s="105"/>
      <c r="BK556" s="105"/>
      <c r="BL556" s="105"/>
      <c r="BM556" s="105"/>
      <c r="BN556" s="105"/>
      <c r="BO556" s="105"/>
      <c r="BP556" s="105"/>
      <c r="BQ556" s="105"/>
      <c r="BR556" s="105"/>
      <c r="BS556" s="105"/>
      <c r="BT556" s="105"/>
      <c r="BU556" s="105"/>
      <c r="BV556" s="105"/>
      <c r="BW556" s="106"/>
      <c r="BX556" s="28"/>
    </row>
    <row r="557" spans="1:76" s="34" customFormat="1" ht="17.25" hidden="1" customHeight="1" outlineLevel="1" x14ac:dyDescent="0.25">
      <c r="A557" s="57"/>
      <c r="B557" s="377"/>
      <c r="C557" s="9"/>
      <c r="D557" s="1"/>
      <c r="E557" s="1"/>
      <c r="H557" s="377"/>
      <c r="I557" s="95"/>
      <c r="J557" s="58"/>
      <c r="K557" s="155"/>
      <c r="L557" s="317"/>
      <c r="M557" s="156"/>
      <c r="N557" s="156"/>
      <c r="O557" s="105"/>
      <c r="P557" s="105"/>
      <c r="Q557" s="105"/>
      <c r="R557" s="105"/>
      <c r="S557" s="105"/>
      <c r="T557" s="105"/>
      <c r="U557" s="105"/>
      <c r="V557" s="105"/>
      <c r="W557" s="105"/>
      <c r="X557" s="105"/>
      <c r="Y557" s="106"/>
      <c r="Z557" s="105"/>
      <c r="AA557" s="104"/>
      <c r="AB557" s="105"/>
      <c r="AC557" s="105"/>
      <c r="AD557" s="105"/>
      <c r="AE557" s="105"/>
      <c r="AF557" s="105"/>
      <c r="AG557" s="105"/>
      <c r="AH557" s="105"/>
      <c r="AI557" s="105"/>
      <c r="AJ557" s="105"/>
      <c r="AK557" s="105"/>
      <c r="AL557" s="105"/>
      <c r="AM557" s="105"/>
      <c r="AN557" s="105"/>
      <c r="AO557" s="105"/>
      <c r="AP557" s="105"/>
      <c r="AQ557" s="105"/>
      <c r="AR557" s="105"/>
      <c r="AS557" s="105"/>
      <c r="AT557" s="105"/>
      <c r="AU557" s="105"/>
      <c r="AV557" s="105"/>
      <c r="AW557" s="105"/>
      <c r="AX557" s="105"/>
      <c r="AY557" s="105"/>
      <c r="AZ557" s="105"/>
      <c r="BA557" s="105"/>
      <c r="BB557" s="105"/>
      <c r="BC557" s="105"/>
      <c r="BD557" s="105"/>
      <c r="BE557" s="105"/>
      <c r="BF557" s="105"/>
      <c r="BG557" s="105"/>
      <c r="BH557" s="105"/>
      <c r="BI557" s="105"/>
      <c r="BJ557" s="105"/>
      <c r="BK557" s="105"/>
      <c r="BL557" s="105"/>
      <c r="BM557" s="105"/>
      <c r="BN557" s="105"/>
      <c r="BO557" s="105"/>
      <c r="BP557" s="105"/>
      <c r="BQ557" s="105"/>
      <c r="BR557" s="105"/>
      <c r="BS557" s="105"/>
      <c r="BT557" s="105"/>
      <c r="BU557" s="105"/>
      <c r="BV557" s="105"/>
      <c r="BW557" s="106"/>
      <c r="BX557" s="28"/>
    </row>
    <row r="558" spans="1:76" s="34" customFormat="1" ht="17.25" hidden="1" customHeight="1" outlineLevel="1" x14ac:dyDescent="0.25">
      <c r="A558" s="57"/>
      <c r="B558" s="377"/>
      <c r="C558" s="9"/>
      <c r="D558" s="1"/>
      <c r="E558" s="1"/>
      <c r="H558" s="377"/>
      <c r="I558" s="95"/>
      <c r="J558" s="58"/>
      <c r="K558" s="155"/>
      <c r="L558" s="317"/>
      <c r="M558" s="156"/>
      <c r="N558" s="156"/>
      <c r="O558" s="105"/>
      <c r="P558" s="105"/>
      <c r="Q558" s="105"/>
      <c r="R558" s="105"/>
      <c r="S558" s="105"/>
      <c r="T558" s="105"/>
      <c r="U558" s="105"/>
      <c r="V558" s="105"/>
      <c r="W558" s="105"/>
      <c r="X558" s="105"/>
      <c r="Y558" s="106"/>
      <c r="Z558" s="105"/>
      <c r="AA558" s="104"/>
      <c r="AB558" s="105"/>
      <c r="AC558" s="105"/>
      <c r="AD558" s="105"/>
      <c r="AE558" s="105"/>
      <c r="AF558" s="105"/>
      <c r="AG558" s="105"/>
      <c r="AH558" s="105"/>
      <c r="AI558" s="105"/>
      <c r="AJ558" s="105"/>
      <c r="AK558" s="105"/>
      <c r="AL558" s="105"/>
      <c r="AM558" s="105"/>
      <c r="AN558" s="105"/>
      <c r="AO558" s="105"/>
      <c r="AP558" s="105"/>
      <c r="AQ558" s="105"/>
      <c r="AR558" s="105"/>
      <c r="AS558" s="105"/>
      <c r="AT558" s="105"/>
      <c r="AU558" s="105"/>
      <c r="AV558" s="105"/>
      <c r="AW558" s="105"/>
      <c r="AX558" s="105"/>
      <c r="AY558" s="105"/>
      <c r="AZ558" s="105"/>
      <c r="BA558" s="105"/>
      <c r="BB558" s="105"/>
      <c r="BC558" s="105"/>
      <c r="BD558" s="105"/>
      <c r="BE558" s="105"/>
      <c r="BF558" s="105"/>
      <c r="BG558" s="105"/>
      <c r="BH558" s="105"/>
      <c r="BI558" s="105"/>
      <c r="BJ558" s="105"/>
      <c r="BK558" s="105"/>
      <c r="BL558" s="105"/>
      <c r="BM558" s="105"/>
      <c r="BN558" s="105"/>
      <c r="BO558" s="105"/>
      <c r="BP558" s="105"/>
      <c r="BQ558" s="105"/>
      <c r="BR558" s="105"/>
      <c r="BS558" s="105"/>
      <c r="BT558" s="105"/>
      <c r="BU558" s="105"/>
      <c r="BV558" s="105"/>
      <c r="BW558" s="106"/>
      <c r="BX558" s="28"/>
    </row>
    <row r="559" spans="1:76" s="34" customFormat="1" ht="17.25" hidden="1" customHeight="1" outlineLevel="1" x14ac:dyDescent="0.25">
      <c r="A559" s="57"/>
      <c r="B559" s="377"/>
      <c r="C559" s="9"/>
      <c r="D559" s="1"/>
      <c r="E559" s="1"/>
      <c r="H559" s="377"/>
      <c r="I559" s="95"/>
      <c r="J559" s="58"/>
      <c r="K559" s="155"/>
      <c r="L559" s="317"/>
      <c r="M559" s="156"/>
      <c r="N559" s="156"/>
      <c r="O559" s="105"/>
      <c r="P559" s="105"/>
      <c r="Q559" s="105"/>
      <c r="R559" s="105"/>
      <c r="S559" s="105"/>
      <c r="T559" s="105"/>
      <c r="U559" s="105"/>
      <c r="V559" s="105"/>
      <c r="W559" s="105"/>
      <c r="X559" s="105"/>
      <c r="Y559" s="106"/>
      <c r="Z559" s="105"/>
      <c r="AA559" s="104"/>
      <c r="AB559" s="105"/>
      <c r="AC559" s="105"/>
      <c r="AD559" s="105"/>
      <c r="AE559" s="105"/>
      <c r="AF559" s="105"/>
      <c r="AG559" s="105"/>
      <c r="AH559" s="105"/>
      <c r="AI559" s="105"/>
      <c r="AJ559" s="105"/>
      <c r="AK559" s="105"/>
      <c r="AL559" s="105"/>
      <c r="AM559" s="105"/>
      <c r="AN559" s="105"/>
      <c r="AO559" s="105"/>
      <c r="AP559" s="105"/>
      <c r="AQ559" s="105"/>
      <c r="AR559" s="105"/>
      <c r="AS559" s="105"/>
      <c r="AT559" s="105"/>
      <c r="AU559" s="105"/>
      <c r="AV559" s="105"/>
      <c r="AW559" s="105"/>
      <c r="AX559" s="105"/>
      <c r="AY559" s="105"/>
      <c r="AZ559" s="105"/>
      <c r="BA559" s="105"/>
      <c r="BB559" s="105"/>
      <c r="BC559" s="105"/>
      <c r="BD559" s="105"/>
      <c r="BE559" s="105"/>
      <c r="BF559" s="105"/>
      <c r="BG559" s="105"/>
      <c r="BH559" s="105"/>
      <c r="BI559" s="105"/>
      <c r="BJ559" s="105"/>
      <c r="BK559" s="105"/>
      <c r="BL559" s="105"/>
      <c r="BM559" s="105"/>
      <c r="BN559" s="105"/>
      <c r="BO559" s="105"/>
      <c r="BP559" s="105"/>
      <c r="BQ559" s="105"/>
      <c r="BR559" s="105"/>
      <c r="BS559" s="105"/>
      <c r="BT559" s="105"/>
      <c r="BU559" s="105"/>
      <c r="BV559" s="105"/>
      <c r="BW559" s="106"/>
      <c r="BX559" s="28"/>
    </row>
    <row r="560" spans="1:76" s="34" customFormat="1" ht="17.25" hidden="1" customHeight="1" outlineLevel="1" x14ac:dyDescent="0.25">
      <c r="A560" s="57"/>
      <c r="B560" s="377"/>
      <c r="C560" s="9"/>
      <c r="D560" s="1"/>
      <c r="E560" s="1"/>
      <c r="H560" s="377"/>
      <c r="I560" s="95"/>
      <c r="J560" s="58"/>
      <c r="K560" s="155"/>
      <c r="L560" s="317"/>
      <c r="M560" s="156"/>
      <c r="N560" s="156"/>
      <c r="O560" s="105"/>
      <c r="P560" s="105"/>
      <c r="Q560" s="105"/>
      <c r="R560" s="105"/>
      <c r="S560" s="105"/>
      <c r="T560" s="105"/>
      <c r="U560" s="105"/>
      <c r="V560" s="105"/>
      <c r="W560" s="105"/>
      <c r="X560" s="105"/>
      <c r="Y560" s="106"/>
      <c r="Z560" s="105"/>
      <c r="AA560" s="104"/>
      <c r="AB560" s="105"/>
      <c r="AC560" s="105"/>
      <c r="AD560" s="105"/>
      <c r="AE560" s="105"/>
      <c r="AF560" s="105"/>
      <c r="AG560" s="105"/>
      <c r="AH560" s="105"/>
      <c r="AI560" s="105"/>
      <c r="AJ560" s="105"/>
      <c r="AK560" s="105"/>
      <c r="AL560" s="105"/>
      <c r="AM560" s="105"/>
      <c r="AN560" s="105"/>
      <c r="AO560" s="105"/>
      <c r="AP560" s="105"/>
      <c r="AQ560" s="105"/>
      <c r="AR560" s="105"/>
      <c r="AS560" s="105"/>
      <c r="AT560" s="105"/>
      <c r="AU560" s="105"/>
      <c r="AV560" s="105"/>
      <c r="AW560" s="105"/>
      <c r="AX560" s="105"/>
      <c r="AY560" s="105"/>
      <c r="AZ560" s="105"/>
      <c r="BA560" s="105"/>
      <c r="BB560" s="105"/>
      <c r="BC560" s="105"/>
      <c r="BD560" s="105"/>
      <c r="BE560" s="105"/>
      <c r="BF560" s="105"/>
      <c r="BG560" s="105"/>
      <c r="BH560" s="105"/>
      <c r="BI560" s="105"/>
      <c r="BJ560" s="105"/>
      <c r="BK560" s="105"/>
      <c r="BL560" s="105"/>
      <c r="BM560" s="105"/>
      <c r="BN560" s="105"/>
      <c r="BO560" s="105"/>
      <c r="BP560" s="105"/>
      <c r="BQ560" s="105"/>
      <c r="BR560" s="105"/>
      <c r="BS560" s="105"/>
      <c r="BT560" s="105"/>
      <c r="BU560" s="105"/>
      <c r="BV560" s="105"/>
      <c r="BW560" s="106"/>
      <c r="BX560" s="28"/>
    </row>
    <row r="561" spans="1:78" s="34" customFormat="1" ht="17.25" hidden="1" customHeight="1" outlineLevel="1" x14ac:dyDescent="0.25">
      <c r="A561" s="57"/>
      <c r="B561" s="377"/>
      <c r="C561" s="9"/>
      <c r="D561" s="1"/>
      <c r="E561" s="1"/>
      <c r="H561" s="377"/>
      <c r="I561" s="95"/>
      <c r="J561" s="58"/>
      <c r="K561" s="155"/>
      <c r="L561" s="317"/>
      <c r="M561" s="156"/>
      <c r="N561" s="156"/>
      <c r="O561" s="105"/>
      <c r="P561" s="105"/>
      <c r="Q561" s="105"/>
      <c r="R561" s="105"/>
      <c r="S561" s="105"/>
      <c r="T561" s="105"/>
      <c r="U561" s="105"/>
      <c r="V561" s="105"/>
      <c r="W561" s="105"/>
      <c r="X561" s="105"/>
      <c r="Y561" s="106"/>
      <c r="Z561" s="105"/>
      <c r="AA561" s="104"/>
      <c r="AB561" s="105"/>
      <c r="AC561" s="105"/>
      <c r="AD561" s="105"/>
      <c r="AE561" s="105"/>
      <c r="AF561" s="105"/>
      <c r="AG561" s="105"/>
      <c r="AH561" s="105"/>
      <c r="AI561" s="105"/>
      <c r="AJ561" s="105"/>
      <c r="AK561" s="105"/>
      <c r="AL561" s="105"/>
      <c r="AM561" s="105"/>
      <c r="AN561" s="105"/>
      <c r="AO561" s="105"/>
      <c r="AP561" s="105"/>
      <c r="AQ561" s="105"/>
      <c r="AR561" s="105"/>
      <c r="AS561" s="105"/>
      <c r="AT561" s="105"/>
      <c r="AU561" s="105"/>
      <c r="AV561" s="105"/>
      <c r="AW561" s="105"/>
      <c r="AX561" s="105"/>
      <c r="AY561" s="105"/>
      <c r="AZ561" s="105"/>
      <c r="BA561" s="105"/>
      <c r="BB561" s="105"/>
      <c r="BC561" s="105"/>
      <c r="BD561" s="105"/>
      <c r="BE561" s="105"/>
      <c r="BF561" s="105"/>
      <c r="BG561" s="105"/>
      <c r="BH561" s="105"/>
      <c r="BI561" s="105"/>
      <c r="BJ561" s="105"/>
      <c r="BK561" s="105"/>
      <c r="BL561" s="105"/>
      <c r="BM561" s="105"/>
      <c r="BN561" s="105"/>
      <c r="BO561" s="105"/>
      <c r="BP561" s="105"/>
      <c r="BQ561" s="105"/>
      <c r="BR561" s="105"/>
      <c r="BS561" s="105"/>
      <c r="BT561" s="105"/>
      <c r="BU561" s="105"/>
      <c r="BV561" s="105"/>
      <c r="BW561" s="106"/>
      <c r="BX561" s="28"/>
    </row>
    <row r="562" spans="1:78" s="34" customFormat="1" ht="17.25" hidden="1" customHeight="1" outlineLevel="1" x14ac:dyDescent="0.25">
      <c r="A562" s="57"/>
      <c r="B562" s="377"/>
      <c r="C562" s="9"/>
      <c r="D562" s="1"/>
      <c r="E562" s="1"/>
      <c r="H562" s="377"/>
      <c r="I562" s="95"/>
      <c r="J562" s="58"/>
      <c r="K562" s="155"/>
      <c r="L562" s="317"/>
      <c r="M562" s="156"/>
      <c r="N562" s="156"/>
      <c r="O562" s="105"/>
      <c r="P562" s="105"/>
      <c r="Q562" s="105"/>
      <c r="R562" s="105"/>
      <c r="S562" s="105"/>
      <c r="T562" s="105"/>
      <c r="U562" s="105"/>
      <c r="V562" s="105"/>
      <c r="W562" s="105"/>
      <c r="X562" s="105"/>
      <c r="Y562" s="106"/>
      <c r="Z562" s="105"/>
      <c r="AA562" s="104"/>
      <c r="AB562" s="105"/>
      <c r="AC562" s="105"/>
      <c r="AD562" s="105"/>
      <c r="AE562" s="105"/>
      <c r="AF562" s="105"/>
      <c r="AG562" s="105"/>
      <c r="AH562" s="105"/>
      <c r="AI562" s="105"/>
      <c r="AJ562" s="105"/>
      <c r="AK562" s="105"/>
      <c r="AL562" s="105"/>
      <c r="AM562" s="105"/>
      <c r="AN562" s="105"/>
      <c r="AO562" s="105"/>
      <c r="AP562" s="105"/>
      <c r="AQ562" s="105"/>
      <c r="AR562" s="105"/>
      <c r="AS562" s="105"/>
      <c r="AT562" s="105"/>
      <c r="AU562" s="105"/>
      <c r="AV562" s="105"/>
      <c r="AW562" s="105"/>
      <c r="AX562" s="105"/>
      <c r="AY562" s="105"/>
      <c r="AZ562" s="105"/>
      <c r="BA562" s="105"/>
      <c r="BB562" s="105"/>
      <c r="BC562" s="105"/>
      <c r="BD562" s="105"/>
      <c r="BE562" s="105"/>
      <c r="BF562" s="105"/>
      <c r="BG562" s="105"/>
      <c r="BH562" s="105"/>
      <c r="BI562" s="105"/>
      <c r="BJ562" s="105"/>
      <c r="BK562" s="105"/>
      <c r="BL562" s="105"/>
      <c r="BM562" s="105"/>
      <c r="BN562" s="105"/>
      <c r="BO562" s="105"/>
      <c r="BP562" s="105"/>
      <c r="BQ562" s="105"/>
      <c r="BR562" s="105"/>
      <c r="BS562" s="105"/>
      <c r="BT562" s="105"/>
      <c r="BU562" s="105"/>
      <c r="BV562" s="105"/>
      <c r="BW562" s="106"/>
      <c r="BX562" s="28"/>
    </row>
    <row r="563" spans="1:78" s="34" customFormat="1" ht="17.25" hidden="1" customHeight="1" outlineLevel="1" x14ac:dyDescent="0.25">
      <c r="A563" s="57"/>
      <c r="B563" s="377"/>
      <c r="C563" s="9"/>
      <c r="D563" s="1"/>
      <c r="E563" s="1"/>
      <c r="H563" s="377"/>
      <c r="I563" s="95"/>
      <c r="J563" s="58"/>
      <c r="K563" s="155"/>
      <c r="L563" s="317"/>
      <c r="M563" s="156"/>
      <c r="N563" s="156"/>
      <c r="O563" s="105"/>
      <c r="P563" s="105"/>
      <c r="Q563" s="105"/>
      <c r="R563" s="105"/>
      <c r="S563" s="105"/>
      <c r="T563" s="105"/>
      <c r="U563" s="105"/>
      <c r="V563" s="105"/>
      <c r="W563" s="105"/>
      <c r="X563" s="105"/>
      <c r="Y563" s="106"/>
      <c r="Z563" s="105"/>
      <c r="AA563" s="104"/>
      <c r="AB563" s="105"/>
      <c r="AC563" s="105"/>
      <c r="AD563" s="105"/>
      <c r="AE563" s="105"/>
      <c r="AF563" s="105"/>
      <c r="AG563" s="105"/>
      <c r="AH563" s="105"/>
      <c r="AI563" s="105"/>
      <c r="AJ563" s="105"/>
      <c r="AK563" s="105"/>
      <c r="AL563" s="105"/>
      <c r="AM563" s="105"/>
      <c r="AN563" s="105"/>
      <c r="AO563" s="105"/>
      <c r="AP563" s="105"/>
      <c r="AQ563" s="105"/>
      <c r="AR563" s="105"/>
      <c r="AS563" s="105"/>
      <c r="AT563" s="105"/>
      <c r="AU563" s="105"/>
      <c r="AV563" s="105"/>
      <c r="AW563" s="105"/>
      <c r="AX563" s="105"/>
      <c r="AY563" s="105"/>
      <c r="AZ563" s="105"/>
      <c r="BA563" s="105"/>
      <c r="BB563" s="105"/>
      <c r="BC563" s="105"/>
      <c r="BD563" s="105"/>
      <c r="BE563" s="105"/>
      <c r="BF563" s="105"/>
      <c r="BG563" s="105"/>
      <c r="BH563" s="105"/>
      <c r="BI563" s="105"/>
      <c r="BJ563" s="105"/>
      <c r="BK563" s="105"/>
      <c r="BL563" s="105"/>
      <c r="BM563" s="105"/>
      <c r="BN563" s="105"/>
      <c r="BO563" s="105"/>
      <c r="BP563" s="105"/>
      <c r="BQ563" s="105"/>
      <c r="BR563" s="105"/>
      <c r="BS563" s="105"/>
      <c r="BT563" s="105"/>
      <c r="BU563" s="105"/>
      <c r="BV563" s="105"/>
      <c r="BW563" s="106"/>
      <c r="BX563" s="28"/>
    </row>
    <row r="564" spans="1:78" s="34" customFormat="1" ht="17.25" hidden="1" customHeight="1" outlineLevel="1" x14ac:dyDescent="0.25">
      <c r="A564" s="57"/>
      <c r="B564" s="377"/>
      <c r="C564" s="9"/>
      <c r="D564" s="1"/>
      <c r="E564" s="1"/>
      <c r="H564" s="377"/>
      <c r="I564" s="95"/>
      <c r="J564" s="58"/>
      <c r="K564" s="155"/>
      <c r="L564" s="317"/>
      <c r="M564" s="156"/>
      <c r="N564" s="156"/>
      <c r="O564" s="105"/>
      <c r="P564" s="105"/>
      <c r="Q564" s="105"/>
      <c r="R564" s="105"/>
      <c r="S564" s="105"/>
      <c r="T564" s="105"/>
      <c r="U564" s="105"/>
      <c r="V564" s="105"/>
      <c r="W564" s="105"/>
      <c r="X564" s="105"/>
      <c r="Y564" s="106"/>
      <c r="Z564" s="105"/>
      <c r="AA564" s="104"/>
      <c r="AB564" s="105"/>
      <c r="AC564" s="105"/>
      <c r="AD564" s="105"/>
      <c r="AE564" s="105"/>
      <c r="AF564" s="105"/>
      <c r="AG564" s="105"/>
      <c r="AH564" s="105"/>
      <c r="AI564" s="105"/>
      <c r="AJ564" s="105"/>
      <c r="AK564" s="105"/>
      <c r="AL564" s="105"/>
      <c r="AM564" s="105"/>
      <c r="AN564" s="105"/>
      <c r="AO564" s="105"/>
      <c r="AP564" s="105"/>
      <c r="AQ564" s="105"/>
      <c r="AR564" s="105"/>
      <c r="AS564" s="105"/>
      <c r="AT564" s="105"/>
      <c r="AU564" s="105"/>
      <c r="AV564" s="105"/>
      <c r="AW564" s="105"/>
      <c r="AX564" s="105"/>
      <c r="AY564" s="105"/>
      <c r="AZ564" s="105"/>
      <c r="BA564" s="105"/>
      <c r="BB564" s="105"/>
      <c r="BC564" s="105"/>
      <c r="BD564" s="105"/>
      <c r="BE564" s="105"/>
      <c r="BF564" s="105"/>
      <c r="BG564" s="105"/>
      <c r="BH564" s="105"/>
      <c r="BI564" s="105"/>
      <c r="BJ564" s="105"/>
      <c r="BK564" s="105"/>
      <c r="BL564" s="105"/>
      <c r="BM564" s="105"/>
      <c r="BN564" s="105"/>
      <c r="BO564" s="105"/>
      <c r="BP564" s="105"/>
      <c r="BQ564" s="105"/>
      <c r="BR564" s="105"/>
      <c r="BS564" s="105"/>
      <c r="BT564" s="105"/>
      <c r="BU564" s="105"/>
      <c r="BV564" s="105"/>
      <c r="BW564" s="106"/>
      <c r="BX564" s="28"/>
    </row>
    <row r="565" spans="1:78" s="34" customFormat="1" ht="17.25" hidden="1" customHeight="1" outlineLevel="1" x14ac:dyDescent="0.25">
      <c r="A565" s="57"/>
      <c r="B565" s="377"/>
      <c r="C565" s="9"/>
      <c r="D565" s="1"/>
      <c r="E565" s="1"/>
      <c r="H565" s="377"/>
      <c r="I565" s="95"/>
      <c r="J565" s="58"/>
      <c r="K565" s="155"/>
      <c r="L565" s="317"/>
      <c r="M565" s="156"/>
      <c r="N565" s="156"/>
      <c r="O565" s="105"/>
      <c r="P565" s="105"/>
      <c r="Q565" s="105"/>
      <c r="R565" s="105"/>
      <c r="S565" s="105"/>
      <c r="T565" s="105"/>
      <c r="U565" s="105"/>
      <c r="V565" s="105"/>
      <c r="W565" s="105"/>
      <c r="X565" s="105"/>
      <c r="Y565" s="106"/>
      <c r="Z565" s="105"/>
      <c r="AA565" s="104"/>
      <c r="AB565" s="105"/>
      <c r="AC565" s="105"/>
      <c r="AD565" s="105"/>
      <c r="AE565" s="105"/>
      <c r="AF565" s="105"/>
      <c r="AG565" s="105"/>
      <c r="AH565" s="105"/>
      <c r="AI565" s="105"/>
      <c r="AJ565" s="105"/>
      <c r="AK565" s="105"/>
      <c r="AL565" s="105"/>
      <c r="AM565" s="105"/>
      <c r="AN565" s="105"/>
      <c r="AO565" s="105"/>
      <c r="AP565" s="105"/>
      <c r="AQ565" s="105"/>
      <c r="AR565" s="105"/>
      <c r="AS565" s="105"/>
      <c r="AT565" s="105"/>
      <c r="AU565" s="105"/>
      <c r="AV565" s="105"/>
      <c r="AW565" s="105"/>
      <c r="AX565" s="105"/>
      <c r="AY565" s="105"/>
      <c r="AZ565" s="105"/>
      <c r="BA565" s="105"/>
      <c r="BB565" s="105"/>
      <c r="BC565" s="105"/>
      <c r="BD565" s="105"/>
      <c r="BE565" s="105"/>
      <c r="BF565" s="105"/>
      <c r="BG565" s="105"/>
      <c r="BH565" s="105"/>
      <c r="BI565" s="105"/>
      <c r="BJ565" s="105"/>
      <c r="BK565" s="105"/>
      <c r="BL565" s="105"/>
      <c r="BM565" s="105"/>
      <c r="BN565" s="105"/>
      <c r="BO565" s="105"/>
      <c r="BP565" s="105"/>
      <c r="BQ565" s="105"/>
      <c r="BR565" s="105"/>
      <c r="BS565" s="105"/>
      <c r="BT565" s="105"/>
      <c r="BU565" s="105"/>
      <c r="BV565" s="105"/>
      <c r="BW565" s="106"/>
      <c r="BX565" s="28"/>
    </row>
    <row r="566" spans="1:78" s="34" customFormat="1" ht="17.25" hidden="1" customHeight="1" outlineLevel="1" x14ac:dyDescent="0.25">
      <c r="A566" s="57"/>
      <c r="B566" s="377"/>
      <c r="C566" s="9"/>
      <c r="D566" s="1"/>
      <c r="E566" s="1"/>
      <c r="H566" s="377"/>
      <c r="I566" s="95"/>
      <c r="J566" s="58"/>
      <c r="K566" s="155"/>
      <c r="L566" s="317"/>
      <c r="M566" s="156"/>
      <c r="N566" s="156"/>
      <c r="O566" s="105"/>
      <c r="P566" s="105"/>
      <c r="Q566" s="105"/>
      <c r="R566" s="105"/>
      <c r="S566" s="105"/>
      <c r="T566" s="105"/>
      <c r="U566" s="105"/>
      <c r="V566" s="105"/>
      <c r="W566" s="105"/>
      <c r="X566" s="105"/>
      <c r="Y566" s="106"/>
      <c r="Z566" s="105"/>
      <c r="AA566" s="104"/>
      <c r="AB566" s="105"/>
      <c r="AC566" s="105"/>
      <c r="AD566" s="105"/>
      <c r="AE566" s="105"/>
      <c r="AF566" s="105"/>
      <c r="AG566" s="105"/>
      <c r="AH566" s="105"/>
      <c r="AI566" s="105"/>
      <c r="AJ566" s="105"/>
      <c r="AK566" s="105"/>
      <c r="AL566" s="105"/>
      <c r="AM566" s="105"/>
      <c r="AN566" s="105"/>
      <c r="AO566" s="105"/>
      <c r="AP566" s="105"/>
      <c r="AQ566" s="105"/>
      <c r="AR566" s="105"/>
      <c r="AS566" s="105"/>
      <c r="AT566" s="105"/>
      <c r="AU566" s="105"/>
      <c r="AV566" s="105"/>
      <c r="AW566" s="105"/>
      <c r="AX566" s="105"/>
      <c r="AY566" s="105"/>
      <c r="AZ566" s="105"/>
      <c r="BA566" s="105"/>
      <c r="BB566" s="105"/>
      <c r="BC566" s="105"/>
      <c r="BD566" s="105"/>
      <c r="BE566" s="105"/>
      <c r="BF566" s="105"/>
      <c r="BG566" s="105"/>
      <c r="BH566" s="105"/>
      <c r="BI566" s="105"/>
      <c r="BJ566" s="105"/>
      <c r="BK566" s="105"/>
      <c r="BL566" s="105"/>
      <c r="BM566" s="105"/>
      <c r="BN566" s="105"/>
      <c r="BO566" s="105"/>
      <c r="BP566" s="105"/>
      <c r="BQ566" s="105"/>
      <c r="BR566" s="105"/>
      <c r="BS566" s="105"/>
      <c r="BT566" s="105"/>
      <c r="BU566" s="105"/>
      <c r="BV566" s="105"/>
      <c r="BW566" s="106"/>
      <c r="BX566" s="28"/>
    </row>
    <row r="567" spans="1:78" s="34" customFormat="1" ht="17.25" customHeight="1" collapsed="1" x14ac:dyDescent="0.25">
      <c r="A567" s="57"/>
      <c r="B567" s="377"/>
      <c r="C567" s="9"/>
      <c r="D567" s="1"/>
      <c r="E567" s="1"/>
      <c r="H567" s="377"/>
      <c r="I567" s="95"/>
      <c r="J567" s="58"/>
      <c r="K567" s="155"/>
      <c r="L567" s="317"/>
      <c r="M567" s="156"/>
      <c r="N567" s="156"/>
      <c r="O567" s="105"/>
      <c r="P567" s="105"/>
      <c r="Q567" s="105"/>
      <c r="R567" s="105"/>
      <c r="S567" s="105"/>
      <c r="T567" s="105"/>
      <c r="U567" s="105"/>
      <c r="V567" s="105"/>
      <c r="W567" s="105"/>
      <c r="X567" s="105"/>
      <c r="Y567" s="106"/>
      <c r="Z567" s="105"/>
      <c r="AA567" s="104"/>
      <c r="AB567" s="105"/>
      <c r="AC567" s="105"/>
      <c r="AD567" s="105"/>
      <c r="AE567" s="105"/>
      <c r="AF567" s="105"/>
      <c r="AG567" s="105"/>
      <c r="AH567" s="105"/>
      <c r="AI567" s="105"/>
      <c r="AJ567" s="105"/>
      <c r="AK567" s="105"/>
      <c r="AL567" s="105"/>
      <c r="AM567" s="105"/>
      <c r="AN567" s="105"/>
      <c r="AO567" s="105"/>
      <c r="AP567" s="105"/>
      <c r="AQ567" s="105"/>
      <c r="AR567" s="105"/>
      <c r="AS567" s="105"/>
      <c r="AT567" s="105"/>
      <c r="AU567" s="105"/>
      <c r="AV567" s="105"/>
      <c r="AW567" s="105"/>
      <c r="AX567" s="105"/>
      <c r="AY567" s="105"/>
      <c r="AZ567" s="105"/>
      <c r="BA567" s="105"/>
      <c r="BB567" s="105"/>
      <c r="BC567" s="105"/>
      <c r="BD567" s="105"/>
      <c r="BE567" s="105"/>
      <c r="BF567" s="105"/>
      <c r="BG567" s="105"/>
      <c r="BH567" s="105"/>
      <c r="BI567" s="105"/>
      <c r="BJ567" s="105"/>
      <c r="BK567" s="105"/>
      <c r="BL567" s="105"/>
      <c r="BM567" s="105"/>
      <c r="BN567" s="105"/>
      <c r="BO567" s="105"/>
      <c r="BP567" s="105"/>
      <c r="BQ567" s="105"/>
      <c r="BR567" s="105"/>
      <c r="BS567" s="105"/>
      <c r="BT567" s="105"/>
      <c r="BU567" s="105"/>
      <c r="BV567" s="105"/>
      <c r="BW567" s="106"/>
      <c r="BX567" s="28"/>
    </row>
    <row r="568" spans="1:78" ht="3" customHeight="1" x14ac:dyDescent="0.25">
      <c r="A568" s="57"/>
      <c r="B568" s="360"/>
      <c r="H568" s="360"/>
      <c r="I568" s="69"/>
      <c r="J568" s="54"/>
      <c r="K568" s="107"/>
      <c r="L568" s="108"/>
      <c r="M568" s="583"/>
      <c r="N568" s="583"/>
      <c r="O568" s="583"/>
      <c r="P568" s="583"/>
      <c r="Q568" s="583"/>
      <c r="R568" s="583"/>
      <c r="S568" s="583"/>
      <c r="T568" s="583"/>
      <c r="U568" s="583"/>
      <c r="V568" s="583"/>
      <c r="W568" s="583"/>
      <c r="X568" s="583"/>
      <c r="Y568" s="106"/>
      <c r="Z568" s="105"/>
      <c r="AA568" s="107"/>
      <c r="AB568" s="105"/>
      <c r="AC568" s="105"/>
      <c r="AD568" s="105"/>
      <c r="AE568" s="105"/>
      <c r="AF568" s="105"/>
      <c r="AG568" s="105"/>
      <c r="AH568" s="105"/>
      <c r="AI568" s="105"/>
      <c r="AJ568" s="105"/>
      <c r="AK568" s="105"/>
      <c r="AL568" s="105"/>
      <c r="AM568" s="105"/>
      <c r="AN568" s="105"/>
      <c r="AO568" s="105"/>
      <c r="AP568" s="105"/>
      <c r="AQ568" s="105"/>
      <c r="AR568" s="105"/>
      <c r="AS568" s="105"/>
      <c r="AT568" s="105"/>
      <c r="AU568" s="105"/>
      <c r="AV568" s="105"/>
      <c r="AW568" s="105"/>
      <c r="AX568" s="105"/>
      <c r="AY568" s="105"/>
      <c r="AZ568" s="105"/>
      <c r="BA568" s="105"/>
      <c r="BB568" s="105"/>
      <c r="BC568" s="105"/>
      <c r="BD568" s="105"/>
      <c r="BE568" s="105"/>
      <c r="BF568" s="105"/>
      <c r="BG568" s="105"/>
      <c r="BH568" s="105"/>
      <c r="BI568" s="105"/>
      <c r="BJ568" s="105"/>
      <c r="BK568" s="105"/>
      <c r="BL568" s="105"/>
      <c r="BM568" s="105"/>
      <c r="BN568" s="105"/>
      <c r="BO568" s="105"/>
      <c r="BP568" s="105"/>
      <c r="BQ568" s="105"/>
      <c r="BR568" s="105"/>
      <c r="BS568" s="105"/>
      <c r="BT568" s="105"/>
      <c r="BU568" s="105"/>
      <c r="BV568" s="105"/>
      <c r="BW568" s="106"/>
      <c r="BX568" s="28"/>
      <c r="BZ568" s="55"/>
    </row>
    <row r="569" spans="1:78" s="34" customFormat="1" ht="8.25" customHeight="1" x14ac:dyDescent="0.25">
      <c r="A569" s="57"/>
      <c r="B569" s="377"/>
      <c r="C569" s="9"/>
      <c r="D569" s="1"/>
      <c r="E569" s="1"/>
      <c r="H569" s="377"/>
      <c r="I569" s="95"/>
      <c r="J569" s="58"/>
      <c r="K569" s="104"/>
      <c r="L569" s="105"/>
      <c r="M569" s="105"/>
      <c r="N569" s="105"/>
      <c r="O569" s="105"/>
      <c r="P569" s="105"/>
      <c r="Q569" s="105"/>
      <c r="R569" s="105"/>
      <c r="S569" s="105"/>
      <c r="T569" s="105"/>
      <c r="U569" s="105"/>
      <c r="V569" s="105"/>
      <c r="W569" s="105"/>
      <c r="X569" s="105"/>
      <c r="Y569" s="106"/>
      <c r="Z569" s="105"/>
      <c r="AA569" s="104"/>
      <c r="AB569" s="105"/>
      <c r="AC569" s="105"/>
      <c r="AD569" s="105"/>
      <c r="AE569" s="105"/>
      <c r="AF569" s="105"/>
      <c r="AG569" s="105"/>
      <c r="AH569" s="105"/>
      <c r="AI569" s="105"/>
      <c r="AJ569" s="105"/>
      <c r="AK569" s="105"/>
      <c r="AL569" s="105"/>
      <c r="AM569" s="105"/>
      <c r="AN569" s="105"/>
      <c r="AO569" s="105"/>
      <c r="AP569" s="105"/>
      <c r="AQ569" s="105"/>
      <c r="AR569" s="105"/>
      <c r="AS569" s="105"/>
      <c r="AT569" s="105"/>
      <c r="AU569" s="105"/>
      <c r="AV569" s="105"/>
      <c r="AW569" s="105"/>
      <c r="AX569" s="105"/>
      <c r="AY569" s="105"/>
      <c r="AZ569" s="105"/>
      <c r="BA569" s="105"/>
      <c r="BB569" s="105"/>
      <c r="BC569" s="105"/>
      <c r="BD569" s="105"/>
      <c r="BE569" s="105"/>
      <c r="BF569" s="105"/>
      <c r="BG569" s="105"/>
      <c r="BH569" s="105"/>
      <c r="BI569" s="105"/>
      <c r="BJ569" s="105"/>
      <c r="BK569" s="105"/>
      <c r="BL569" s="105"/>
      <c r="BM569" s="105"/>
      <c r="BN569" s="105"/>
      <c r="BO569" s="105"/>
      <c r="BP569" s="105"/>
      <c r="BQ569" s="105"/>
      <c r="BR569" s="105"/>
      <c r="BS569" s="105"/>
      <c r="BT569" s="105"/>
      <c r="BU569" s="105"/>
      <c r="BV569" s="105"/>
      <c r="BW569" s="106"/>
      <c r="BX569" s="28"/>
    </row>
    <row r="570" spans="1:78" s="34" customFormat="1" ht="23.25" customHeight="1" x14ac:dyDescent="0.25">
      <c r="A570" s="57"/>
      <c r="B570" s="360" t="s">
        <v>131</v>
      </c>
      <c r="C570" s="9"/>
      <c r="D570" s="1"/>
      <c r="E570" s="1"/>
      <c r="H570" s="360"/>
      <c r="I570" s="95"/>
      <c r="J570" s="58"/>
      <c r="K570" s="100"/>
      <c r="L570" s="540" t="str">
        <f ca="1">_xll.DBRA(Server&amp;$B$32,$B570,$N$19)</f>
        <v>O - Other op. Cost as % of revenue</v>
      </c>
      <c r="M570" s="541" t="s">
        <v>16</v>
      </c>
      <c r="N570" s="541"/>
      <c r="O570" s="584"/>
      <c r="P570" s="212"/>
      <c r="Q570" s="311">
        <f ca="1">_xll.DBRW(Server&amp;Cube1,$N$15,$N$16,$N$17,$N$18,$N$14,$N$13,$N$11,$Q$1,$B570)</f>
        <v>0</v>
      </c>
      <c r="R570" s="312">
        <f ca="1">_xll.DBRW(Server&amp;Cube1,$N$15,$N$16,$N$17,$N$18,$N$14,$N$13,$R$2,$R$1,$B570)</f>
        <v>0</v>
      </c>
      <c r="S570" s="299" t="str">
        <f ca="1">IF(T570=0,"è",IF(T570&lt;0,"ì","î"))</f>
        <v>è</v>
      </c>
      <c r="T570" s="294">
        <f ca="1">-(Q570-R570)*100</f>
        <v>0</v>
      </c>
      <c r="U570" s="245"/>
      <c r="V570" s="311">
        <f ca="1">_xll.DBRW(Server&amp;Cube1,$N$15,$N$16,$N$17,$N$18,$N$14,$N$13,$V$2,$V$1,$B570)</f>
        <v>0</v>
      </c>
      <c r="W570" s="300" t="str">
        <f ca="1">IF(X570=0,"è",IF(X570&lt;0,"ì","î"))</f>
        <v>è</v>
      </c>
      <c r="X570" s="294">
        <f ca="1">-($Q570-V570)*100</f>
        <v>0</v>
      </c>
      <c r="Y570" s="101"/>
      <c r="Z570" s="398"/>
      <c r="AA570" s="100"/>
      <c r="AB570" s="311">
        <f ca="1">_xll.DBRW(Server&amp;Cube1,$N$15,$N$16,$N$17,$N$18,$N$14,$N$13,AB$2,AB$1,$B570)</f>
        <v>0</v>
      </c>
      <c r="AC570" s="311">
        <f ca="1">_xll.DBRW(Server&amp;Cube1,$N$15,$N$16,$N$17,$N$18,$N$14,$N$13,AC$2,AC$1,$B570)</f>
        <v>0</v>
      </c>
      <c r="AD570" s="402">
        <f ca="1">_xll.DBRW(Server&amp;Cube1,$N$15,$N$16,$N$17,$N$18,$N$14,$N$13,AD$2,AD$1,$B570)</f>
        <v>0</v>
      </c>
      <c r="AE570" s="398"/>
      <c r="AF570" s="311">
        <f ca="1">_xll.DBRW(Server&amp;Cube1,$N$15,$N$16,$N$17,$N$18,$N$14,$N$13,AF$2,AF$1,$B570)</f>
        <v>0</v>
      </c>
      <c r="AG570" s="311">
        <f ca="1">_xll.DBRW(Server&amp;Cube1,$N$15,$N$16,$N$17,$N$18,$N$14,$N$13,AG$2,AG$1,$B570)</f>
        <v>0</v>
      </c>
      <c r="AH570" s="402">
        <f ca="1">_xll.DBRW(Server&amp;Cube1,$N$15,$N$16,$N$17,$N$18,$N$14,$N$13,AH$2,AH$1,$B570)</f>
        <v>0</v>
      </c>
      <c r="AI570" s="398"/>
      <c r="AJ570" s="311">
        <f ca="1">_xll.DBRW(Server&amp;Cube1,$N$15,$N$16,$N$17,$N$18,$N$14,$N$13,AJ$2,AJ$1,$B570)</f>
        <v>0</v>
      </c>
      <c r="AK570" s="311">
        <f ca="1">_xll.DBRW(Server&amp;Cube1,$N$15,$N$16,$N$17,$N$18,$N$14,$N$13,AK$2,AK$1,$B570)</f>
        <v>0</v>
      </c>
      <c r="AL570" s="402">
        <f ca="1">_xll.DBRW(Server&amp;Cube1,$N$15,$N$16,$N$17,$N$18,$N$14,$N$13,AL$2,AL$1,$B570)</f>
        <v>0</v>
      </c>
      <c r="AM570" s="398"/>
      <c r="AN570" s="311">
        <f ca="1">_xll.DBRW(Server&amp;Cube1,$N$15,$N$16,$N$17,$N$18,$N$14,$N$13,AN$2,AN$1,$B570)</f>
        <v>0</v>
      </c>
      <c r="AO570" s="311">
        <f ca="1">_xll.DBRW(Server&amp;Cube1,$N$15,$N$16,$N$17,$N$18,$N$14,$N$13,AO$2,AO$1,$B570)</f>
        <v>0</v>
      </c>
      <c r="AP570" s="402">
        <f ca="1">_xll.DBRW(Server&amp;Cube1,$N$15,$N$16,$N$17,$N$18,$N$14,$N$13,AP$2,AP$1,$B570)</f>
        <v>0</v>
      </c>
      <c r="AQ570" s="398"/>
      <c r="AR570" s="311">
        <f ca="1">_xll.DBRW(Server&amp;Cube1,$N$15,$N$16,$N$17,$N$18,$N$14,$N$13,AR$2,AR$1,$B570)</f>
        <v>0</v>
      </c>
      <c r="AS570" s="311">
        <f ca="1">_xll.DBRW(Server&amp;Cube1,$N$15,$N$16,$N$17,$N$18,$N$14,$N$13,AS$2,AS$1,$B570)</f>
        <v>0</v>
      </c>
      <c r="AT570" s="402">
        <f ca="1">_xll.DBRW(Server&amp;Cube1,$N$15,$N$16,$N$17,$N$18,$N$14,$N$13,AT$2,AT$1,$B570)</f>
        <v>0</v>
      </c>
      <c r="AU570" s="398"/>
      <c r="AV570" s="311">
        <f ca="1">_xll.DBRW(Server&amp;Cube1,$N$15,$N$16,$N$17,$N$18,$N$14,$N$13,AV$2,AV$1,$B570)</f>
        <v>0</v>
      </c>
      <c r="AW570" s="311">
        <f ca="1">_xll.DBRW(Server&amp;Cube1,$N$15,$N$16,$N$17,$N$18,$N$14,$N$13,AW$2,AW$1,$B570)</f>
        <v>0</v>
      </c>
      <c r="AX570" s="402">
        <f ca="1">_xll.DBRW(Server&amp;Cube1,$N$15,$N$16,$N$17,$N$18,$N$14,$N$13,AX$2,AX$1,$B570)</f>
        <v>0</v>
      </c>
      <c r="AY570" s="398"/>
      <c r="AZ570" s="311">
        <f ca="1">_xll.DBRW(Server&amp;Cube1,$N$15,$N$16,$N$17,$N$18,$N$14,$N$13,AZ$2,AZ$1,$B570)</f>
        <v>0</v>
      </c>
      <c r="BA570" s="311">
        <f ca="1">_xll.DBRW(Server&amp;Cube1,$N$15,$N$16,$N$17,$N$18,$N$14,$N$13,BA$2,BA$1,$B570)</f>
        <v>0</v>
      </c>
      <c r="BB570" s="402">
        <f ca="1">_xll.DBRW(Server&amp;Cube1,$N$15,$N$16,$N$17,$N$18,$N$14,$N$13,BB$2,BB$1,$B570)</f>
        <v>0</v>
      </c>
      <c r="BC570" s="398"/>
      <c r="BD570" s="311">
        <f ca="1">_xll.DBRW(Server&amp;Cube1,$N$15,$N$16,$N$17,$N$18,$N$14,$N$13,BD$2,BD$1,$B570)</f>
        <v>0</v>
      </c>
      <c r="BE570" s="311">
        <f ca="1">_xll.DBRW(Server&amp;Cube1,$N$15,$N$16,$N$17,$N$18,$N$14,$N$13,BE$2,BE$1,$B570)</f>
        <v>0</v>
      </c>
      <c r="BF570" s="402">
        <f ca="1">_xll.DBRW(Server&amp;Cube1,$N$15,$N$16,$N$17,$N$18,$N$14,$N$13,BF$2,BF$1,$B570)</f>
        <v>0</v>
      </c>
      <c r="BG570" s="398"/>
      <c r="BH570" s="311">
        <f ca="1">_xll.DBRW(Server&amp;Cube1,$N$15,$N$16,$N$17,$N$18,$N$14,$N$13,BH$2,BH$1,$B570)</f>
        <v>0</v>
      </c>
      <c r="BI570" s="311">
        <f ca="1">_xll.DBRW(Server&amp;Cube1,$N$15,$N$16,$N$17,$N$18,$N$14,$N$13,BI$2,BI$1,$B570)</f>
        <v>0</v>
      </c>
      <c r="BJ570" s="402">
        <f ca="1">_xll.DBRW(Server&amp;Cube1,$N$15,$N$16,$N$17,$N$18,$N$14,$N$13,BJ$2,BJ$1,$B570)</f>
        <v>0</v>
      </c>
      <c r="BK570" s="398"/>
      <c r="BL570" s="311">
        <f ca="1">_xll.DBRW(Server&amp;Cube1,$N$15,$N$16,$N$17,$N$18,$N$14,$N$13,BL$2,BL$1,$B570)</f>
        <v>0</v>
      </c>
      <c r="BM570" s="311">
        <f ca="1">_xll.DBRW(Server&amp;Cube1,$N$15,$N$16,$N$17,$N$18,$N$14,$N$13,BM$2,BM$1,$B570)</f>
        <v>0</v>
      </c>
      <c r="BN570" s="402">
        <f ca="1">_xll.DBRW(Server&amp;Cube1,$N$15,$N$16,$N$17,$N$18,$N$14,$N$13,BN$2,BN$1,$B570)</f>
        <v>0</v>
      </c>
      <c r="BO570" s="398"/>
      <c r="BP570" s="311">
        <f ca="1">_xll.DBRW(Server&amp;Cube1,$N$15,$N$16,$N$17,$N$18,$N$14,$N$13,BP$2,BP$1,$B570)</f>
        <v>0</v>
      </c>
      <c r="BQ570" s="311">
        <f ca="1">_xll.DBRW(Server&amp;Cube1,$N$15,$N$16,$N$17,$N$18,$N$14,$N$13,BQ$2,BQ$1,$B570)</f>
        <v>0</v>
      </c>
      <c r="BR570" s="402">
        <f ca="1">_xll.DBRW(Server&amp;Cube1,$N$15,$N$16,$N$17,$N$18,$N$14,$N$13,BR$2,BR$1,$B570)</f>
        <v>0</v>
      </c>
      <c r="BS570" s="398"/>
      <c r="BT570" s="311">
        <f ca="1">_xll.DBRW(Server&amp;Cube1,$N$15,$N$16,$N$17,$N$18,$N$14,$N$13,BT$2,BT$1,$B570)</f>
        <v>0</v>
      </c>
      <c r="BU570" s="311">
        <f ca="1">_xll.DBRW(Server&amp;Cube1,$N$15,$N$16,$N$17,$N$18,$N$14,$N$13,BU$2,BU$1,$B570)</f>
        <v>0</v>
      </c>
      <c r="BV570" s="402">
        <f ca="1">_xll.DBRW(Server&amp;Cube1,$N$15,$N$16,$N$17,$N$18,$N$14,$N$13,BV$2,BV$1,$B570)</f>
        <v>0</v>
      </c>
      <c r="BW570" s="101"/>
      <c r="BX570" s="28"/>
      <c r="BZ570" s="367"/>
    </row>
    <row r="571" spans="1:78" s="34" customFormat="1" ht="27.75" customHeight="1" x14ac:dyDescent="0.3">
      <c r="A571" s="57"/>
      <c r="B571" s="360" t="s">
        <v>132</v>
      </c>
      <c r="C571" s="9"/>
      <c r="D571" s="1"/>
      <c r="E571" s="1"/>
      <c r="H571" s="360"/>
      <c r="I571" s="95"/>
      <c r="J571" s="58"/>
      <c r="K571" s="100"/>
      <c r="L571" s="585" t="str">
        <f ca="1">_xll.DBRA(Server&amp;Context!$B$32,Context!$B$45,$N$19)</f>
        <v>LEVEL 2</v>
      </c>
      <c r="M571" s="588" t="str">
        <f ca="1">IF(OR(O583="Not defined",O583="Non défini",O585="Not defined",O585="Non défini"),_xll.DBRA(Server&amp;$B$32,$B571,$N$19),_xll.DBRA(Server&amp;Context!$B$32,Context!$B$54,$N$19)&amp;" "&amp;O583)</f>
        <v>O1 - Other Op. Cost per cost work unit</v>
      </c>
      <c r="N571" s="588"/>
      <c r="O571" s="589"/>
      <c r="P571" s="211"/>
      <c r="Q571" s="320">
        <f ca="1">_xll.DBRW(Server&amp;Cube1,$N$15,$N$16,$N$17,$N$18,$N$14,$N$13,$N$11,$Q$1,$B571)</f>
        <v>0</v>
      </c>
      <c r="R571" s="321">
        <f ca="1">_xll.DBRW(Server&amp;Cube1,$N$15,$N$16,$N$17,$N$18,$N$14,$N$13,$R$2,$R$1,$B571)</f>
        <v>0</v>
      </c>
      <c r="S571" s="322">
        <f ca="1">Q571-R571</f>
        <v>0</v>
      </c>
      <c r="T571" s="323"/>
      <c r="U571" s="245"/>
      <c r="V571" s="331">
        <f ca="1">_xll.DBRW(Server&amp;Cube1,$N$15,$N$16,$N$17,$N$18,$N$14,$N$13,$V$2,$V$1,$B571)</f>
        <v>0</v>
      </c>
      <c r="W571" s="322">
        <f ca="1">$Q571-V571</f>
        <v>0</v>
      </c>
      <c r="X571" s="323"/>
      <c r="Y571" s="101"/>
      <c r="Z571" s="398"/>
      <c r="AA571" s="100"/>
      <c r="AB571" s="320">
        <f ca="1">_xll.DBRW(Server&amp;Cube1,$N$15,$N$16,$N$17,$N$18,$N$14,$N$13,AB$2,AB$1,$B571)</f>
        <v>0</v>
      </c>
      <c r="AC571" s="320">
        <f ca="1">_xll.DBRW(Server&amp;Cube1,$N$15,$N$16,$N$17,$N$18,$N$14,$N$13,AC$2,AC$1,$B571)</f>
        <v>0</v>
      </c>
      <c r="AD571" s="403">
        <f ca="1">_xll.DBRW(Server&amp;Cube1,$N$15,$N$16,$N$17,$N$18,$N$14,$N$13,AD$2,AD$1,$B571)</f>
        <v>0</v>
      </c>
      <c r="AE571" s="398"/>
      <c r="AF571" s="320">
        <f ca="1">_xll.DBRW(Server&amp;Cube1,$N$15,$N$16,$N$17,$N$18,$N$14,$N$13,AF$2,AF$1,$B571)</f>
        <v>0</v>
      </c>
      <c r="AG571" s="320">
        <f ca="1">_xll.DBRW(Server&amp;Cube1,$N$15,$N$16,$N$17,$N$18,$N$14,$N$13,AG$2,AG$1,$B571)</f>
        <v>0</v>
      </c>
      <c r="AH571" s="403">
        <f ca="1">_xll.DBRW(Server&amp;Cube1,$N$15,$N$16,$N$17,$N$18,$N$14,$N$13,AH$2,AH$1,$B571)</f>
        <v>0</v>
      </c>
      <c r="AI571" s="398"/>
      <c r="AJ571" s="320">
        <f ca="1">_xll.DBRW(Server&amp;Cube1,$N$15,$N$16,$N$17,$N$18,$N$14,$N$13,AJ$2,AJ$1,$B571)</f>
        <v>0</v>
      </c>
      <c r="AK571" s="320">
        <f ca="1">_xll.DBRW(Server&amp;Cube1,$N$15,$N$16,$N$17,$N$18,$N$14,$N$13,AK$2,AK$1,$B571)</f>
        <v>0</v>
      </c>
      <c r="AL571" s="403">
        <f ca="1">_xll.DBRW(Server&amp;Cube1,$N$15,$N$16,$N$17,$N$18,$N$14,$N$13,AL$2,AL$1,$B571)</f>
        <v>0</v>
      </c>
      <c r="AM571" s="398"/>
      <c r="AN571" s="320">
        <f ca="1">_xll.DBRW(Server&amp;Cube1,$N$15,$N$16,$N$17,$N$18,$N$14,$N$13,AN$2,AN$1,$B571)</f>
        <v>0</v>
      </c>
      <c r="AO571" s="320">
        <f ca="1">_xll.DBRW(Server&amp;Cube1,$N$15,$N$16,$N$17,$N$18,$N$14,$N$13,AO$2,AO$1,$B571)</f>
        <v>0</v>
      </c>
      <c r="AP571" s="403">
        <f ca="1">_xll.DBRW(Server&amp;Cube1,$N$15,$N$16,$N$17,$N$18,$N$14,$N$13,AP$2,AP$1,$B571)</f>
        <v>0</v>
      </c>
      <c r="AQ571" s="398"/>
      <c r="AR571" s="320">
        <f ca="1">_xll.DBRW(Server&amp;Cube1,$N$15,$N$16,$N$17,$N$18,$N$14,$N$13,AR$2,AR$1,$B571)</f>
        <v>0</v>
      </c>
      <c r="AS571" s="320">
        <f ca="1">_xll.DBRW(Server&amp;Cube1,$N$15,$N$16,$N$17,$N$18,$N$14,$N$13,AS$2,AS$1,$B571)</f>
        <v>0</v>
      </c>
      <c r="AT571" s="403">
        <f ca="1">_xll.DBRW(Server&amp;Cube1,$N$15,$N$16,$N$17,$N$18,$N$14,$N$13,AT$2,AT$1,$B571)</f>
        <v>0</v>
      </c>
      <c r="AU571" s="398"/>
      <c r="AV571" s="320">
        <f ca="1">_xll.DBRW(Server&amp;Cube1,$N$15,$N$16,$N$17,$N$18,$N$14,$N$13,AV$2,AV$1,$B571)</f>
        <v>0</v>
      </c>
      <c r="AW571" s="320">
        <f ca="1">_xll.DBRW(Server&amp;Cube1,$N$15,$N$16,$N$17,$N$18,$N$14,$N$13,AW$2,AW$1,$B571)</f>
        <v>0</v>
      </c>
      <c r="AX571" s="403">
        <f ca="1">_xll.DBRW(Server&amp;Cube1,$N$15,$N$16,$N$17,$N$18,$N$14,$N$13,AX$2,AX$1,$B571)</f>
        <v>0</v>
      </c>
      <c r="AY571" s="398"/>
      <c r="AZ571" s="320">
        <f ca="1">_xll.DBRW(Server&amp;Cube1,$N$15,$N$16,$N$17,$N$18,$N$14,$N$13,AZ$2,AZ$1,$B571)</f>
        <v>0</v>
      </c>
      <c r="BA571" s="320">
        <f ca="1">_xll.DBRW(Server&amp;Cube1,$N$15,$N$16,$N$17,$N$18,$N$14,$N$13,BA$2,BA$1,$B571)</f>
        <v>0</v>
      </c>
      <c r="BB571" s="403">
        <f ca="1">_xll.DBRW(Server&amp;Cube1,$N$15,$N$16,$N$17,$N$18,$N$14,$N$13,BB$2,BB$1,$B571)</f>
        <v>0</v>
      </c>
      <c r="BC571" s="398"/>
      <c r="BD571" s="320">
        <f ca="1">_xll.DBRW(Server&amp;Cube1,$N$15,$N$16,$N$17,$N$18,$N$14,$N$13,BD$2,BD$1,$B571)</f>
        <v>0</v>
      </c>
      <c r="BE571" s="320">
        <f ca="1">_xll.DBRW(Server&amp;Cube1,$N$15,$N$16,$N$17,$N$18,$N$14,$N$13,BE$2,BE$1,$B571)</f>
        <v>0</v>
      </c>
      <c r="BF571" s="403">
        <f ca="1">_xll.DBRW(Server&amp;Cube1,$N$15,$N$16,$N$17,$N$18,$N$14,$N$13,BF$2,BF$1,$B571)</f>
        <v>0</v>
      </c>
      <c r="BG571" s="398"/>
      <c r="BH571" s="320">
        <f ca="1">_xll.DBRW(Server&amp;Cube1,$N$15,$N$16,$N$17,$N$18,$N$14,$N$13,BH$2,BH$1,$B571)</f>
        <v>0</v>
      </c>
      <c r="BI571" s="320">
        <f ca="1">_xll.DBRW(Server&amp;Cube1,$N$15,$N$16,$N$17,$N$18,$N$14,$N$13,BI$2,BI$1,$B571)</f>
        <v>0</v>
      </c>
      <c r="BJ571" s="403">
        <f ca="1">_xll.DBRW(Server&amp;Cube1,$N$15,$N$16,$N$17,$N$18,$N$14,$N$13,BJ$2,BJ$1,$B571)</f>
        <v>0</v>
      </c>
      <c r="BK571" s="398"/>
      <c r="BL571" s="320">
        <f ca="1">_xll.DBRW(Server&amp;Cube1,$N$15,$N$16,$N$17,$N$18,$N$14,$N$13,BL$2,BL$1,$B571)</f>
        <v>0</v>
      </c>
      <c r="BM571" s="320">
        <f ca="1">_xll.DBRW(Server&amp;Cube1,$N$15,$N$16,$N$17,$N$18,$N$14,$N$13,BM$2,BM$1,$B571)</f>
        <v>0</v>
      </c>
      <c r="BN571" s="403">
        <f ca="1">_xll.DBRW(Server&amp;Cube1,$N$15,$N$16,$N$17,$N$18,$N$14,$N$13,BN$2,BN$1,$B571)</f>
        <v>0</v>
      </c>
      <c r="BO571" s="398"/>
      <c r="BP571" s="320">
        <f ca="1">_xll.DBRW(Server&amp;Cube1,$N$15,$N$16,$N$17,$N$18,$N$14,$N$13,BP$2,BP$1,$B571)</f>
        <v>0</v>
      </c>
      <c r="BQ571" s="320">
        <f ca="1">_xll.DBRW(Server&amp;Cube1,$N$15,$N$16,$N$17,$N$18,$N$14,$N$13,BQ$2,BQ$1,$B571)</f>
        <v>0</v>
      </c>
      <c r="BR571" s="403">
        <f ca="1">_xll.DBRW(Server&amp;Cube1,$N$15,$N$16,$N$17,$N$18,$N$14,$N$13,BR$2,BR$1,$B571)</f>
        <v>0</v>
      </c>
      <c r="BS571" s="398"/>
      <c r="BT571" s="320">
        <f ca="1">_xll.DBRW(Server&amp;Cube1,$N$15,$N$16,$N$17,$N$18,$N$14,$N$13,BT$2,BT$1,$B571)</f>
        <v>0</v>
      </c>
      <c r="BU571" s="320">
        <f ca="1">_xll.DBRW(Server&amp;Cube1,$N$15,$N$16,$N$17,$N$18,$N$14,$N$13,BU$2,BU$1,$B571)</f>
        <v>0</v>
      </c>
      <c r="BV571" s="403">
        <f ca="1">_xll.DBRW(Server&amp;Cube1,$N$15,$N$16,$N$17,$N$18,$N$14,$N$13,BV$2,BV$1,$B571)</f>
        <v>0</v>
      </c>
      <c r="BW571" s="101"/>
      <c r="BX571" s="28"/>
      <c r="BZ571" s="370"/>
    </row>
    <row r="572" spans="1:78" s="34" customFormat="1" ht="27.75" customHeight="1" x14ac:dyDescent="0.3">
      <c r="A572" s="57"/>
      <c r="B572" s="360" t="s">
        <v>133</v>
      </c>
      <c r="C572" s="9"/>
      <c r="D572" s="1"/>
      <c r="E572" s="1"/>
      <c r="H572" s="360"/>
      <c r="I572" s="95"/>
      <c r="J572" s="58"/>
      <c r="K572" s="100"/>
      <c r="L572" s="586"/>
      <c r="M572" s="590" t="str">
        <f ca="1">IF(OR(O583="Not defined",O583="Non défini",O585="Not defined",O585="Non défini"),_xll.DBRA(Server&amp;$B$32,$B572,$N$19),_xll.DBRA(Server&amp;$B$32,$B572,$N$19)&amp;" - ("&amp;O583&amp;" / "&amp;O585&amp;")")</f>
        <v>O2 - Other Op. efficiency</v>
      </c>
      <c r="N572" s="590"/>
      <c r="O572" s="590"/>
      <c r="P572" s="211"/>
      <c r="Q572" s="324">
        <f ca="1">_xll.DBRW(Server&amp;Cube1,$N$15,$N$16,$N$17,$N$18,$N$14,$N$13,$N$11,$Q$1,$B572)</f>
        <v>0</v>
      </c>
      <c r="R572" s="319">
        <f ca="1">_xll.DBRW(Server&amp;Cube1,$N$15,$N$16,$N$17,$N$18,$N$14,$N$13,$R$2,$R$1,$B572)</f>
        <v>0</v>
      </c>
      <c r="S572" s="325">
        <f ca="1">Q572-R572</f>
        <v>0</v>
      </c>
      <c r="T572" s="326"/>
      <c r="U572" s="247"/>
      <c r="V572" s="332">
        <f ca="1">_xll.DBRW(Server&amp;Cube1,$N$15,$N$16,$N$17,$N$18,$N$14,$N$13,$V$2,$V$1,$B572)</f>
        <v>0</v>
      </c>
      <c r="W572" s="325">
        <f ca="1">$Q572-V572</f>
        <v>0</v>
      </c>
      <c r="X572" s="326"/>
      <c r="Y572" s="101"/>
      <c r="Z572" s="398"/>
      <c r="AA572" s="100"/>
      <c r="AB572" s="324">
        <f ca="1">_xll.DBRW(Server&amp;Cube1,$N$15,$N$16,$N$17,$N$18,$N$14,$N$13,AB$2,AB$1,$B572)</f>
        <v>0</v>
      </c>
      <c r="AC572" s="324">
        <f ca="1">_xll.DBRW(Server&amp;Cube1,$N$15,$N$16,$N$17,$N$18,$N$14,$N$13,AC$2,AC$1,$B572)</f>
        <v>0</v>
      </c>
      <c r="AD572" s="404">
        <f ca="1">_xll.DBRW(Server&amp;Cube1,$N$15,$N$16,$N$17,$N$18,$N$14,$N$13,AD$2,AD$1,$B572)</f>
        <v>0</v>
      </c>
      <c r="AE572" s="398"/>
      <c r="AF572" s="324">
        <f ca="1">_xll.DBRW(Server&amp;Cube1,$N$15,$N$16,$N$17,$N$18,$N$14,$N$13,AF$2,AF$1,$B572)</f>
        <v>0</v>
      </c>
      <c r="AG572" s="324">
        <f ca="1">_xll.DBRW(Server&amp;Cube1,$N$15,$N$16,$N$17,$N$18,$N$14,$N$13,AG$2,AG$1,$B572)</f>
        <v>0</v>
      </c>
      <c r="AH572" s="404">
        <f ca="1">_xll.DBRW(Server&amp;Cube1,$N$15,$N$16,$N$17,$N$18,$N$14,$N$13,AH$2,AH$1,$B572)</f>
        <v>0</v>
      </c>
      <c r="AI572" s="398"/>
      <c r="AJ572" s="324">
        <f ca="1">_xll.DBRW(Server&amp;Cube1,$N$15,$N$16,$N$17,$N$18,$N$14,$N$13,AJ$2,AJ$1,$B572)</f>
        <v>0</v>
      </c>
      <c r="AK572" s="324">
        <f ca="1">_xll.DBRW(Server&amp;Cube1,$N$15,$N$16,$N$17,$N$18,$N$14,$N$13,AK$2,AK$1,$B572)</f>
        <v>0</v>
      </c>
      <c r="AL572" s="404">
        <f ca="1">_xll.DBRW(Server&amp;Cube1,$N$15,$N$16,$N$17,$N$18,$N$14,$N$13,AL$2,AL$1,$B572)</f>
        <v>0</v>
      </c>
      <c r="AM572" s="398"/>
      <c r="AN572" s="324">
        <f ca="1">_xll.DBRW(Server&amp;Cube1,$N$15,$N$16,$N$17,$N$18,$N$14,$N$13,AN$2,AN$1,$B572)</f>
        <v>0</v>
      </c>
      <c r="AO572" s="324">
        <f ca="1">_xll.DBRW(Server&amp;Cube1,$N$15,$N$16,$N$17,$N$18,$N$14,$N$13,AO$2,AO$1,$B572)</f>
        <v>0</v>
      </c>
      <c r="AP572" s="404">
        <f ca="1">_xll.DBRW(Server&amp;Cube1,$N$15,$N$16,$N$17,$N$18,$N$14,$N$13,AP$2,AP$1,$B572)</f>
        <v>0</v>
      </c>
      <c r="AQ572" s="398"/>
      <c r="AR572" s="324">
        <f ca="1">_xll.DBRW(Server&amp;Cube1,$N$15,$N$16,$N$17,$N$18,$N$14,$N$13,AR$2,AR$1,$B572)</f>
        <v>0</v>
      </c>
      <c r="AS572" s="324">
        <f ca="1">_xll.DBRW(Server&amp;Cube1,$N$15,$N$16,$N$17,$N$18,$N$14,$N$13,AS$2,AS$1,$B572)</f>
        <v>0</v>
      </c>
      <c r="AT572" s="404">
        <f ca="1">_xll.DBRW(Server&amp;Cube1,$N$15,$N$16,$N$17,$N$18,$N$14,$N$13,AT$2,AT$1,$B572)</f>
        <v>0</v>
      </c>
      <c r="AU572" s="398"/>
      <c r="AV572" s="324">
        <f ca="1">_xll.DBRW(Server&amp;Cube1,$N$15,$N$16,$N$17,$N$18,$N$14,$N$13,AV$2,AV$1,$B572)</f>
        <v>0</v>
      </c>
      <c r="AW572" s="324">
        <f ca="1">_xll.DBRW(Server&amp;Cube1,$N$15,$N$16,$N$17,$N$18,$N$14,$N$13,AW$2,AW$1,$B572)</f>
        <v>0</v>
      </c>
      <c r="AX572" s="404">
        <f ca="1">_xll.DBRW(Server&amp;Cube1,$N$15,$N$16,$N$17,$N$18,$N$14,$N$13,AX$2,AX$1,$B572)</f>
        <v>0</v>
      </c>
      <c r="AY572" s="398"/>
      <c r="AZ572" s="324">
        <f ca="1">_xll.DBRW(Server&amp;Cube1,$N$15,$N$16,$N$17,$N$18,$N$14,$N$13,AZ$2,AZ$1,$B572)</f>
        <v>0</v>
      </c>
      <c r="BA572" s="324">
        <f ca="1">_xll.DBRW(Server&amp;Cube1,$N$15,$N$16,$N$17,$N$18,$N$14,$N$13,BA$2,BA$1,$B572)</f>
        <v>0</v>
      </c>
      <c r="BB572" s="404">
        <f ca="1">_xll.DBRW(Server&amp;Cube1,$N$15,$N$16,$N$17,$N$18,$N$14,$N$13,BB$2,BB$1,$B572)</f>
        <v>0</v>
      </c>
      <c r="BC572" s="398"/>
      <c r="BD572" s="324">
        <f ca="1">_xll.DBRW(Server&amp;Cube1,$N$15,$N$16,$N$17,$N$18,$N$14,$N$13,BD$2,BD$1,$B572)</f>
        <v>0</v>
      </c>
      <c r="BE572" s="324">
        <f ca="1">_xll.DBRW(Server&amp;Cube1,$N$15,$N$16,$N$17,$N$18,$N$14,$N$13,BE$2,BE$1,$B572)</f>
        <v>0</v>
      </c>
      <c r="BF572" s="404">
        <f ca="1">_xll.DBRW(Server&amp;Cube1,$N$15,$N$16,$N$17,$N$18,$N$14,$N$13,BF$2,BF$1,$B572)</f>
        <v>0</v>
      </c>
      <c r="BG572" s="398"/>
      <c r="BH572" s="324">
        <f ca="1">_xll.DBRW(Server&amp;Cube1,$N$15,$N$16,$N$17,$N$18,$N$14,$N$13,BH$2,BH$1,$B572)</f>
        <v>0</v>
      </c>
      <c r="BI572" s="324">
        <f ca="1">_xll.DBRW(Server&amp;Cube1,$N$15,$N$16,$N$17,$N$18,$N$14,$N$13,BI$2,BI$1,$B572)</f>
        <v>0</v>
      </c>
      <c r="BJ572" s="404">
        <f ca="1">_xll.DBRW(Server&amp;Cube1,$N$15,$N$16,$N$17,$N$18,$N$14,$N$13,BJ$2,BJ$1,$B572)</f>
        <v>0</v>
      </c>
      <c r="BK572" s="398"/>
      <c r="BL572" s="324">
        <f ca="1">_xll.DBRW(Server&amp;Cube1,$N$15,$N$16,$N$17,$N$18,$N$14,$N$13,BL$2,BL$1,$B572)</f>
        <v>0</v>
      </c>
      <c r="BM572" s="324">
        <f ca="1">_xll.DBRW(Server&amp;Cube1,$N$15,$N$16,$N$17,$N$18,$N$14,$N$13,BM$2,BM$1,$B572)</f>
        <v>0</v>
      </c>
      <c r="BN572" s="404">
        <f ca="1">_xll.DBRW(Server&amp;Cube1,$N$15,$N$16,$N$17,$N$18,$N$14,$N$13,BN$2,BN$1,$B572)</f>
        <v>0</v>
      </c>
      <c r="BO572" s="398"/>
      <c r="BP572" s="324">
        <f ca="1">_xll.DBRW(Server&amp;Cube1,$N$15,$N$16,$N$17,$N$18,$N$14,$N$13,BP$2,BP$1,$B572)</f>
        <v>0</v>
      </c>
      <c r="BQ572" s="324">
        <f ca="1">_xll.DBRW(Server&amp;Cube1,$N$15,$N$16,$N$17,$N$18,$N$14,$N$13,BQ$2,BQ$1,$B572)</f>
        <v>0</v>
      </c>
      <c r="BR572" s="404">
        <f ca="1">_xll.DBRW(Server&amp;Cube1,$N$15,$N$16,$N$17,$N$18,$N$14,$N$13,BR$2,BR$1,$B572)</f>
        <v>0</v>
      </c>
      <c r="BS572" s="398"/>
      <c r="BT572" s="324">
        <f ca="1">_xll.DBRW(Server&amp;Cube1,$N$15,$N$16,$N$17,$N$18,$N$14,$N$13,BT$2,BT$1,$B572)</f>
        <v>0</v>
      </c>
      <c r="BU572" s="324">
        <f ca="1">_xll.DBRW(Server&amp;Cube1,$N$15,$N$16,$N$17,$N$18,$N$14,$N$13,BU$2,BU$1,$B572)</f>
        <v>0</v>
      </c>
      <c r="BV572" s="404">
        <f ca="1">_xll.DBRW(Server&amp;Cube1,$N$15,$N$16,$N$17,$N$18,$N$14,$N$13,BV$2,BV$1,$B572)</f>
        <v>0</v>
      </c>
      <c r="BW572" s="101"/>
      <c r="BX572" s="28"/>
      <c r="BZ572" s="371"/>
    </row>
    <row r="573" spans="1:78" s="34" customFormat="1" ht="27.75" customHeight="1" collapsed="1" thickBot="1" x14ac:dyDescent="0.35">
      <c r="A573" s="57"/>
      <c r="B573" s="360" t="s">
        <v>134</v>
      </c>
      <c r="C573" s="9"/>
      <c r="D573" s="1"/>
      <c r="E573" s="1"/>
      <c r="H573" s="360"/>
      <c r="I573" s="95"/>
      <c r="J573" s="58"/>
      <c r="K573" s="100"/>
      <c r="L573" s="586"/>
      <c r="M573" s="591" t="str">
        <f ca="1">IF(OR(O583="Not defined",O583="Non défini",O585="Not defined",O585="Non défini"),_xll.DBRA(Server&amp;$B$32,$B573,$N$19),_xll.DBRA(Server&amp;Context!$B$32,Context!$B$55,$N$19)&amp;" "&amp;O585)</f>
        <v>O3 - Revenue per price work unit</v>
      </c>
      <c r="N573" s="591"/>
      <c r="O573" s="591"/>
      <c r="P573" s="211"/>
      <c r="Q573" s="327">
        <f ca="1">_xll.DBRW(Server&amp;Cube1,$N$15,$N$16,$N$17,$N$18,$N$14,$N$13,$N$11,$Q$1,$B573)</f>
        <v>0</v>
      </c>
      <c r="R573" s="328">
        <f ca="1">_xll.DBRW(Server&amp;Cube1,$N$15,$N$16,$N$17,$N$18,$N$14,$N$13,$R$2,$R$1,$B573)</f>
        <v>0</v>
      </c>
      <c r="S573" s="329">
        <f ca="1">Q573-R573</f>
        <v>0</v>
      </c>
      <c r="T573" s="330"/>
      <c r="U573" s="245"/>
      <c r="V573" s="333">
        <f ca="1">_xll.DBRW(Server&amp;Cube1,$N$15,$N$16,$N$17,$N$18,$N$14,$N$13,$V$2,$V$1,$B573)</f>
        <v>0</v>
      </c>
      <c r="W573" s="329">
        <f ca="1">$Q573-V573</f>
        <v>0</v>
      </c>
      <c r="X573" s="330"/>
      <c r="Y573" s="101"/>
      <c r="Z573" s="398"/>
      <c r="AA573" s="100"/>
      <c r="AB573" s="327">
        <f ca="1">_xll.DBRW(Server&amp;Cube1,$N$15,$N$16,$N$17,$N$18,$N$14,$N$13,AB$2,AB$1,$B573)</f>
        <v>0</v>
      </c>
      <c r="AC573" s="327">
        <f ca="1">_xll.DBRW(Server&amp;Cube1,$N$15,$N$16,$N$17,$N$18,$N$14,$N$13,AC$2,AC$1,$B573)</f>
        <v>0</v>
      </c>
      <c r="AD573" s="405">
        <f ca="1">_xll.DBRW(Server&amp;Cube1,$N$15,$N$16,$N$17,$N$18,$N$14,$N$13,AD$2,AD$1,$B573)</f>
        <v>0</v>
      </c>
      <c r="AE573" s="398"/>
      <c r="AF573" s="327">
        <f ca="1">_xll.DBRW(Server&amp;Cube1,$N$15,$N$16,$N$17,$N$18,$N$14,$N$13,AF$2,AF$1,$B573)</f>
        <v>0</v>
      </c>
      <c r="AG573" s="327">
        <f ca="1">_xll.DBRW(Server&amp;Cube1,$N$15,$N$16,$N$17,$N$18,$N$14,$N$13,AG$2,AG$1,$B573)</f>
        <v>0</v>
      </c>
      <c r="AH573" s="405">
        <f ca="1">_xll.DBRW(Server&amp;Cube1,$N$15,$N$16,$N$17,$N$18,$N$14,$N$13,AH$2,AH$1,$B573)</f>
        <v>0</v>
      </c>
      <c r="AI573" s="398"/>
      <c r="AJ573" s="327">
        <f ca="1">_xll.DBRW(Server&amp;Cube1,$N$15,$N$16,$N$17,$N$18,$N$14,$N$13,AJ$2,AJ$1,$B573)</f>
        <v>0</v>
      </c>
      <c r="AK573" s="327">
        <f ca="1">_xll.DBRW(Server&amp;Cube1,$N$15,$N$16,$N$17,$N$18,$N$14,$N$13,AK$2,AK$1,$B573)</f>
        <v>0</v>
      </c>
      <c r="AL573" s="405">
        <f ca="1">_xll.DBRW(Server&amp;Cube1,$N$15,$N$16,$N$17,$N$18,$N$14,$N$13,AL$2,AL$1,$B573)</f>
        <v>0</v>
      </c>
      <c r="AM573" s="398"/>
      <c r="AN573" s="327">
        <f ca="1">_xll.DBRW(Server&amp;Cube1,$N$15,$N$16,$N$17,$N$18,$N$14,$N$13,AN$2,AN$1,$B573)</f>
        <v>0</v>
      </c>
      <c r="AO573" s="327">
        <f ca="1">_xll.DBRW(Server&amp;Cube1,$N$15,$N$16,$N$17,$N$18,$N$14,$N$13,AO$2,AO$1,$B573)</f>
        <v>0</v>
      </c>
      <c r="AP573" s="405">
        <f ca="1">_xll.DBRW(Server&amp;Cube1,$N$15,$N$16,$N$17,$N$18,$N$14,$N$13,AP$2,AP$1,$B573)</f>
        <v>0</v>
      </c>
      <c r="AQ573" s="398"/>
      <c r="AR573" s="327">
        <f ca="1">_xll.DBRW(Server&amp;Cube1,$N$15,$N$16,$N$17,$N$18,$N$14,$N$13,AR$2,AR$1,$B573)</f>
        <v>0</v>
      </c>
      <c r="AS573" s="327">
        <f ca="1">_xll.DBRW(Server&amp;Cube1,$N$15,$N$16,$N$17,$N$18,$N$14,$N$13,AS$2,AS$1,$B573)</f>
        <v>0</v>
      </c>
      <c r="AT573" s="405">
        <f ca="1">_xll.DBRW(Server&amp;Cube1,$N$15,$N$16,$N$17,$N$18,$N$14,$N$13,AT$2,AT$1,$B573)</f>
        <v>0</v>
      </c>
      <c r="AU573" s="398"/>
      <c r="AV573" s="327">
        <f ca="1">_xll.DBRW(Server&amp;Cube1,$N$15,$N$16,$N$17,$N$18,$N$14,$N$13,AV$2,AV$1,$B573)</f>
        <v>0</v>
      </c>
      <c r="AW573" s="327">
        <f ca="1">_xll.DBRW(Server&amp;Cube1,$N$15,$N$16,$N$17,$N$18,$N$14,$N$13,AW$2,AW$1,$B573)</f>
        <v>0</v>
      </c>
      <c r="AX573" s="405">
        <f ca="1">_xll.DBRW(Server&amp;Cube1,$N$15,$N$16,$N$17,$N$18,$N$14,$N$13,AX$2,AX$1,$B573)</f>
        <v>0</v>
      </c>
      <c r="AY573" s="398"/>
      <c r="AZ573" s="327">
        <f ca="1">_xll.DBRW(Server&amp;Cube1,$N$15,$N$16,$N$17,$N$18,$N$14,$N$13,AZ$2,AZ$1,$B573)</f>
        <v>0</v>
      </c>
      <c r="BA573" s="327">
        <f ca="1">_xll.DBRW(Server&amp;Cube1,$N$15,$N$16,$N$17,$N$18,$N$14,$N$13,BA$2,BA$1,$B573)</f>
        <v>0</v>
      </c>
      <c r="BB573" s="405">
        <f ca="1">_xll.DBRW(Server&amp;Cube1,$N$15,$N$16,$N$17,$N$18,$N$14,$N$13,BB$2,BB$1,$B573)</f>
        <v>0</v>
      </c>
      <c r="BC573" s="398"/>
      <c r="BD573" s="327">
        <f ca="1">_xll.DBRW(Server&amp;Cube1,$N$15,$N$16,$N$17,$N$18,$N$14,$N$13,BD$2,BD$1,$B573)</f>
        <v>0</v>
      </c>
      <c r="BE573" s="327">
        <f ca="1">_xll.DBRW(Server&amp;Cube1,$N$15,$N$16,$N$17,$N$18,$N$14,$N$13,BE$2,BE$1,$B573)</f>
        <v>0</v>
      </c>
      <c r="BF573" s="405">
        <f ca="1">_xll.DBRW(Server&amp;Cube1,$N$15,$N$16,$N$17,$N$18,$N$14,$N$13,BF$2,BF$1,$B573)</f>
        <v>0</v>
      </c>
      <c r="BG573" s="398"/>
      <c r="BH573" s="327">
        <f ca="1">_xll.DBRW(Server&amp;Cube1,$N$15,$N$16,$N$17,$N$18,$N$14,$N$13,BH$2,BH$1,$B573)</f>
        <v>0</v>
      </c>
      <c r="BI573" s="327">
        <f ca="1">_xll.DBRW(Server&amp;Cube1,$N$15,$N$16,$N$17,$N$18,$N$14,$N$13,BI$2,BI$1,$B573)</f>
        <v>0</v>
      </c>
      <c r="BJ573" s="405">
        <f ca="1">_xll.DBRW(Server&amp;Cube1,$N$15,$N$16,$N$17,$N$18,$N$14,$N$13,BJ$2,BJ$1,$B573)</f>
        <v>0</v>
      </c>
      <c r="BK573" s="398"/>
      <c r="BL573" s="327">
        <f ca="1">_xll.DBRW(Server&amp;Cube1,$N$15,$N$16,$N$17,$N$18,$N$14,$N$13,BL$2,BL$1,$B573)</f>
        <v>0</v>
      </c>
      <c r="BM573" s="327">
        <f ca="1">_xll.DBRW(Server&amp;Cube1,$N$15,$N$16,$N$17,$N$18,$N$14,$N$13,BM$2,BM$1,$B573)</f>
        <v>0</v>
      </c>
      <c r="BN573" s="405">
        <f ca="1">_xll.DBRW(Server&amp;Cube1,$N$15,$N$16,$N$17,$N$18,$N$14,$N$13,BN$2,BN$1,$B573)</f>
        <v>0</v>
      </c>
      <c r="BO573" s="398"/>
      <c r="BP573" s="327">
        <f ca="1">_xll.DBRW(Server&amp;Cube1,$N$15,$N$16,$N$17,$N$18,$N$14,$N$13,BP$2,BP$1,$B573)</f>
        <v>0</v>
      </c>
      <c r="BQ573" s="327">
        <f ca="1">_xll.DBRW(Server&amp;Cube1,$N$15,$N$16,$N$17,$N$18,$N$14,$N$13,BQ$2,BQ$1,$B573)</f>
        <v>0</v>
      </c>
      <c r="BR573" s="405">
        <f ca="1">_xll.DBRW(Server&amp;Cube1,$N$15,$N$16,$N$17,$N$18,$N$14,$N$13,BR$2,BR$1,$B573)</f>
        <v>0</v>
      </c>
      <c r="BS573" s="398"/>
      <c r="BT573" s="327">
        <f ca="1">_xll.DBRW(Server&amp;Cube1,$N$15,$N$16,$N$17,$N$18,$N$14,$N$13,BT$2,BT$1,$B573)</f>
        <v>0</v>
      </c>
      <c r="BU573" s="327">
        <f ca="1">_xll.DBRW(Server&amp;Cube1,$N$15,$N$16,$N$17,$N$18,$N$14,$N$13,BU$2,BU$1,$B573)</f>
        <v>0</v>
      </c>
      <c r="BV573" s="405">
        <f ca="1">_xll.DBRW(Server&amp;Cube1,$N$15,$N$16,$N$17,$N$18,$N$14,$N$13,BV$2,BV$1,$B573)</f>
        <v>0</v>
      </c>
      <c r="BW573" s="101"/>
      <c r="BX573" s="28"/>
    </row>
    <row r="574" spans="1:78" ht="3.75" hidden="1" customHeight="1" outlineLevel="1" thickTop="1" x14ac:dyDescent="0.25">
      <c r="A574" s="57"/>
      <c r="B574" s="360"/>
      <c r="H574" s="360"/>
      <c r="I574" s="95"/>
      <c r="J574" s="58"/>
      <c r="K574" s="100"/>
      <c r="L574" s="586"/>
      <c r="M574" s="304"/>
      <c r="N574" s="304"/>
      <c r="O574" s="304"/>
      <c r="P574" s="62"/>
      <c r="Q574" s="213"/>
      <c r="R574" s="63"/>
      <c r="S574" s="64"/>
      <c r="T574" s="102"/>
      <c r="U574" s="215"/>
      <c r="V574" s="213"/>
      <c r="W574" s="64"/>
      <c r="X574" s="102"/>
      <c r="Y574" s="101"/>
      <c r="Z574" s="398"/>
      <c r="AA574" s="100"/>
      <c r="AB574" s="213"/>
      <c r="AC574" s="213"/>
      <c r="AD574" s="415"/>
      <c r="AE574" s="398"/>
      <c r="AF574" s="213"/>
      <c r="AG574" s="213"/>
      <c r="AH574" s="415"/>
      <c r="AI574" s="398"/>
      <c r="AJ574" s="213"/>
      <c r="AK574" s="213"/>
      <c r="AL574" s="415"/>
      <c r="AM574" s="398"/>
      <c r="AN574" s="213"/>
      <c r="AO574" s="213"/>
      <c r="AP574" s="415"/>
      <c r="AQ574" s="398"/>
      <c r="AR574" s="213"/>
      <c r="AS574" s="213"/>
      <c r="AT574" s="415"/>
      <c r="AU574" s="398"/>
      <c r="AV574" s="213"/>
      <c r="AW574" s="213"/>
      <c r="AX574" s="415"/>
      <c r="AY574" s="398"/>
      <c r="AZ574" s="213"/>
      <c r="BA574" s="213"/>
      <c r="BB574" s="415"/>
      <c r="BC574" s="398"/>
      <c r="BD574" s="213"/>
      <c r="BE574" s="213"/>
      <c r="BF574" s="415"/>
      <c r="BG574" s="398"/>
      <c r="BH574" s="213"/>
      <c r="BI574" s="213"/>
      <c r="BJ574" s="415"/>
      <c r="BK574" s="398"/>
      <c r="BL574" s="213"/>
      <c r="BM574" s="213"/>
      <c r="BN574" s="415"/>
      <c r="BO574" s="398"/>
      <c r="BP574" s="213"/>
      <c r="BQ574" s="213"/>
      <c r="BR574" s="415"/>
      <c r="BS574" s="398"/>
      <c r="BT574" s="213"/>
      <c r="BU574" s="213"/>
      <c r="BV574" s="415"/>
      <c r="BW574" s="101"/>
      <c r="BX574" s="28"/>
      <c r="BZ574" s="367"/>
    </row>
    <row r="575" spans="1:78" s="34" customFormat="1" ht="21.75" hidden="1" customHeight="1" outlineLevel="1" x14ac:dyDescent="0.25">
      <c r="A575" s="57"/>
      <c r="B575" s="360" t="s">
        <v>135</v>
      </c>
      <c r="C575" s="9"/>
      <c r="D575" s="360" t="b">
        <f ca="1">AND($Q583&lt;&gt;0,$R583&lt;&gt;0)</f>
        <v>0</v>
      </c>
      <c r="E575" s="360"/>
      <c r="F575" s="360" t="b">
        <f ca="1">AND($Q583&lt;&gt;0,$V583&lt;&gt;0)</f>
        <v>0</v>
      </c>
      <c r="H575" s="360"/>
      <c r="I575" s="95"/>
      <c r="J575" s="58"/>
      <c r="K575" s="100"/>
      <c r="L575" s="586"/>
      <c r="M575" s="592" t="str">
        <f ca="1">_xll.DBRA(Server&amp;$B$32,$B575,$N$19)</f>
        <v>O1 - Other op. cost variance - Costs effect</v>
      </c>
      <c r="N575" s="592"/>
      <c r="O575" s="593"/>
      <c r="P575" s="246"/>
      <c r="Q575" s="249"/>
      <c r="R575" s="250"/>
      <c r="S575" s="251">
        <f ca="1">IF(D575,-1*S571*Q583,0)</f>
        <v>0</v>
      </c>
      <c r="T575" s="305">
        <f ca="1">IF(ISERROR(S575/#REF!*100),,S575/#REF!*100)</f>
        <v>0</v>
      </c>
      <c r="U575" s="245"/>
      <c r="V575" s="252"/>
      <c r="W575" s="251">
        <f ca="1">IF(F575,-1*W571*$Q583,0)</f>
        <v>0</v>
      </c>
      <c r="X575" s="309">
        <f ca="1">IF(ISERROR(W575/#REF!*100),,W575/#REF!*100)</f>
        <v>0</v>
      </c>
      <c r="Y575" s="101"/>
      <c r="Z575" s="398"/>
      <c r="AA575" s="100"/>
      <c r="AB575" s="249"/>
      <c r="AC575" s="249"/>
      <c r="AD575" s="416"/>
      <c r="AE575" s="398"/>
      <c r="AF575" s="249"/>
      <c r="AG575" s="249"/>
      <c r="AH575" s="416"/>
      <c r="AI575" s="398"/>
      <c r="AJ575" s="249"/>
      <c r="AK575" s="249"/>
      <c r="AL575" s="416"/>
      <c r="AM575" s="398"/>
      <c r="AN575" s="249"/>
      <c r="AO575" s="249"/>
      <c r="AP575" s="416"/>
      <c r="AQ575" s="398"/>
      <c r="AR575" s="249"/>
      <c r="AS575" s="249"/>
      <c r="AT575" s="416"/>
      <c r="AU575" s="398"/>
      <c r="AV575" s="249"/>
      <c r="AW575" s="249"/>
      <c r="AX575" s="416"/>
      <c r="AY575" s="398"/>
      <c r="AZ575" s="249"/>
      <c r="BA575" s="249"/>
      <c r="BB575" s="416"/>
      <c r="BC575" s="398"/>
      <c r="BD575" s="249"/>
      <c r="BE575" s="249"/>
      <c r="BF575" s="416"/>
      <c r="BG575" s="398"/>
      <c r="BH575" s="249"/>
      <c r="BI575" s="249"/>
      <c r="BJ575" s="416"/>
      <c r="BK575" s="398"/>
      <c r="BL575" s="249"/>
      <c r="BM575" s="249"/>
      <c r="BN575" s="416"/>
      <c r="BO575" s="398"/>
      <c r="BP575" s="249"/>
      <c r="BQ575" s="249"/>
      <c r="BR575" s="416"/>
      <c r="BS575" s="398"/>
      <c r="BT575" s="249"/>
      <c r="BU575" s="249"/>
      <c r="BV575" s="416"/>
      <c r="BW575" s="101"/>
      <c r="BX575" s="28"/>
    </row>
    <row r="576" spans="1:78" s="34" customFormat="1" ht="21.75" hidden="1" customHeight="1" outlineLevel="1" x14ac:dyDescent="0.25">
      <c r="A576" s="57"/>
      <c r="B576" s="360" t="s">
        <v>136</v>
      </c>
      <c r="C576" s="9"/>
      <c r="D576" s="360" t="b">
        <f ca="1">AND($Q585&lt;&gt;0,$R585&lt;&gt;0,$Q583&lt;&gt;0,$R583&lt;&gt;0)</f>
        <v>0</v>
      </c>
      <c r="E576" s="360"/>
      <c r="F576" s="360" t="b">
        <f ca="1">AND($Q585&lt;&gt;0,$V585&lt;&gt;0,$Q583&lt;&gt;0,$V583&lt;&gt;0)</f>
        <v>0</v>
      </c>
      <c r="H576" s="360"/>
      <c r="I576" s="95"/>
      <c r="J576" s="58"/>
      <c r="K576" s="100"/>
      <c r="L576" s="586"/>
      <c r="M576" s="573" t="str">
        <f ca="1">_xll.DBRA(Server&amp;$B$32,$B576,$N$19)</f>
        <v>O2 - Other op. cost variance - Costs efficiency effect</v>
      </c>
      <c r="N576" s="573"/>
      <c r="O576" s="574"/>
      <c r="P576" s="246"/>
      <c r="Q576" s="249"/>
      <c r="R576" s="253"/>
      <c r="S576" s="251">
        <f ca="1">IF(D576,IF(Q572&lt;&gt;0,S572/Q572*$Q$111,0),0)</f>
        <v>0</v>
      </c>
      <c r="T576" s="305">
        <f ca="1">IF(ISERROR(S576/$Q$36*100),,S576/$Q$36*100)</f>
        <v>0</v>
      </c>
      <c r="U576" s="245"/>
      <c r="V576" s="252"/>
      <c r="W576" s="251">
        <f ca="1">IF(F576,IF($Q572&lt;&gt;0,W572/$Q572*$Q$111,0),0)</f>
        <v>0</v>
      </c>
      <c r="X576" s="309">
        <f ca="1">IF(ISERROR(W576/$Q$36*100),,W576/$Q$36*100)</f>
        <v>0</v>
      </c>
      <c r="Y576" s="101"/>
      <c r="Z576" s="398"/>
      <c r="AA576" s="100"/>
      <c r="AB576" s="249"/>
      <c r="AC576" s="249"/>
      <c r="AD576" s="416"/>
      <c r="AE576" s="398"/>
      <c r="AF576" s="249"/>
      <c r="AG576" s="249"/>
      <c r="AH576" s="416"/>
      <c r="AI576" s="398"/>
      <c r="AJ576" s="249"/>
      <c r="AK576" s="249"/>
      <c r="AL576" s="416"/>
      <c r="AM576" s="398"/>
      <c r="AN576" s="249"/>
      <c r="AO576" s="249"/>
      <c r="AP576" s="416"/>
      <c r="AQ576" s="398"/>
      <c r="AR576" s="249"/>
      <c r="AS576" s="249"/>
      <c r="AT576" s="416"/>
      <c r="AU576" s="398"/>
      <c r="AV576" s="249"/>
      <c r="AW576" s="249"/>
      <c r="AX576" s="416"/>
      <c r="AY576" s="398"/>
      <c r="AZ576" s="249"/>
      <c r="BA576" s="249"/>
      <c r="BB576" s="416"/>
      <c r="BC576" s="398"/>
      <c r="BD576" s="249"/>
      <c r="BE576" s="249"/>
      <c r="BF576" s="416"/>
      <c r="BG576" s="398"/>
      <c r="BH576" s="249"/>
      <c r="BI576" s="249"/>
      <c r="BJ576" s="416"/>
      <c r="BK576" s="398"/>
      <c r="BL576" s="249"/>
      <c r="BM576" s="249"/>
      <c r="BN576" s="416"/>
      <c r="BO576" s="398"/>
      <c r="BP576" s="249"/>
      <c r="BQ576" s="249"/>
      <c r="BR576" s="416"/>
      <c r="BS576" s="398"/>
      <c r="BT576" s="249"/>
      <c r="BU576" s="249"/>
      <c r="BV576" s="416"/>
      <c r="BW576" s="101"/>
      <c r="BX576" s="28"/>
    </row>
    <row r="577" spans="1:78" s="34" customFormat="1" ht="21.75" hidden="1" customHeight="1" outlineLevel="1" x14ac:dyDescent="0.25">
      <c r="A577" s="57"/>
      <c r="B577" s="360" t="s">
        <v>137</v>
      </c>
      <c r="C577" s="9"/>
      <c r="D577" s="360" t="b">
        <f ca="1">AND($Q585&lt;&gt;0,$R585&lt;&gt;0)</f>
        <v>0</v>
      </c>
      <c r="E577" s="360"/>
      <c r="F577" s="360" t="b">
        <f ca="1">AND($Q585&lt;&gt;0,$V585&lt;&gt;0)</f>
        <v>0</v>
      </c>
      <c r="H577" s="360"/>
      <c r="I577" s="95"/>
      <c r="J577" s="58"/>
      <c r="K577" s="100"/>
      <c r="L577" s="586"/>
      <c r="M577" s="573" t="str">
        <f ca="1">_xll.DBRA(Server&amp;$B$32,$B577,$N$19)</f>
        <v>O3 - Other op. cost variance - Price effect</v>
      </c>
      <c r="N577" s="573"/>
      <c r="O577" s="574"/>
      <c r="P577" s="246"/>
      <c r="Q577" s="249"/>
      <c r="R577" s="253"/>
      <c r="S577" s="251">
        <f ca="1">IF(D577,Q570*S573*Q585,0)</f>
        <v>0</v>
      </c>
      <c r="T577" s="305">
        <f ca="1">IF(ISERROR(S577/$Q$36*100),,S577/$Q$36*100)</f>
        <v>0</v>
      </c>
      <c r="U577" s="245"/>
      <c r="V577" s="252"/>
      <c r="W577" s="254">
        <f ca="1">IF(F577,$Q570*W573*$Q585,0)</f>
        <v>0</v>
      </c>
      <c r="X577" s="309">
        <f ca="1">IF(ISERROR(W577/$Q$36*100),,W577/$Q$36*100)</f>
        <v>0</v>
      </c>
      <c r="Y577" s="101"/>
      <c r="Z577" s="398"/>
      <c r="AA577" s="100"/>
      <c r="AB577" s="249"/>
      <c r="AC577" s="249"/>
      <c r="AD577" s="416"/>
      <c r="AE577" s="398"/>
      <c r="AF577" s="249"/>
      <c r="AG577" s="249"/>
      <c r="AH577" s="416"/>
      <c r="AI577" s="398"/>
      <c r="AJ577" s="249"/>
      <c r="AK577" s="249"/>
      <c r="AL577" s="416"/>
      <c r="AM577" s="398"/>
      <c r="AN577" s="249"/>
      <c r="AO577" s="249"/>
      <c r="AP577" s="416"/>
      <c r="AQ577" s="398"/>
      <c r="AR577" s="249"/>
      <c r="AS577" s="249"/>
      <c r="AT577" s="416"/>
      <c r="AU577" s="398"/>
      <c r="AV577" s="249"/>
      <c r="AW577" s="249"/>
      <c r="AX577" s="416"/>
      <c r="AY577" s="398"/>
      <c r="AZ577" s="249"/>
      <c r="BA577" s="249"/>
      <c r="BB577" s="416"/>
      <c r="BC577" s="398"/>
      <c r="BD577" s="249"/>
      <c r="BE577" s="249"/>
      <c r="BF577" s="416"/>
      <c r="BG577" s="398"/>
      <c r="BH577" s="249"/>
      <c r="BI577" s="249"/>
      <c r="BJ577" s="416"/>
      <c r="BK577" s="398"/>
      <c r="BL577" s="249"/>
      <c r="BM577" s="249"/>
      <c r="BN577" s="416"/>
      <c r="BO577" s="398"/>
      <c r="BP577" s="249"/>
      <c r="BQ577" s="249"/>
      <c r="BR577" s="416"/>
      <c r="BS577" s="398"/>
      <c r="BT577" s="249"/>
      <c r="BU577" s="249"/>
      <c r="BV577" s="416"/>
      <c r="BW577" s="101"/>
      <c r="BX577" s="28"/>
    </row>
    <row r="578" spans="1:78" s="34" customFormat="1" ht="21.75" hidden="1" customHeight="1" outlineLevel="1" x14ac:dyDescent="0.25">
      <c r="A578" s="57"/>
      <c r="B578" s="360" t="s">
        <v>138</v>
      </c>
      <c r="C578" s="9"/>
      <c r="D578" s="360" t="b">
        <f ca="1">AND($Q585&lt;&gt;0,$R585&lt;&gt;0,$Q583&lt;&gt;0,$R583&lt;&gt;0)</f>
        <v>0</v>
      </c>
      <c r="E578" s="360"/>
      <c r="F578" s="360" t="b">
        <f ca="1">AND($Q585&lt;&gt;0,$V585&lt;&gt;0,$Q583&lt;&gt;0,$V583&lt;&gt;0)</f>
        <v>0</v>
      </c>
      <c r="H578" s="360"/>
      <c r="I578" s="95"/>
      <c r="J578" s="58"/>
      <c r="K578" s="100"/>
      <c r="L578" s="586"/>
      <c r="M578" s="575" t="str">
        <f ca="1">_xll.DBRA(Server&amp;$B$32,$B578,$N$19)</f>
        <v>O - Compound</v>
      </c>
      <c r="N578" s="575"/>
      <c r="O578" s="576"/>
      <c r="P578" s="246"/>
      <c r="Q578" s="249"/>
      <c r="R578" s="253"/>
      <c r="S578" s="255">
        <f ca="1">IF(D578,$S111-S575-S576-S577-S581,0)</f>
        <v>0</v>
      </c>
      <c r="T578" s="306">
        <f ca="1">IF(ISERROR(S578/$Q$36*100),,S578/$Q$36*100)</f>
        <v>0</v>
      </c>
      <c r="U578" s="245"/>
      <c r="V578" s="252"/>
      <c r="W578" s="255">
        <f ca="1">IF(F578,$W111-W575-W576-W577-W581,0)</f>
        <v>0</v>
      </c>
      <c r="X578" s="306">
        <f ca="1">IF(ISERROR(W578/$Q$36*100),,W578/$Q$36*100)</f>
        <v>0</v>
      </c>
      <c r="Y578" s="101"/>
      <c r="Z578" s="398"/>
      <c r="AA578" s="100"/>
      <c r="AB578" s="249"/>
      <c r="AC578" s="249"/>
      <c r="AD578" s="416"/>
      <c r="AE578" s="398"/>
      <c r="AF578" s="249"/>
      <c r="AG578" s="249"/>
      <c r="AH578" s="416"/>
      <c r="AI578" s="398"/>
      <c r="AJ578" s="249"/>
      <c r="AK578" s="249"/>
      <c r="AL578" s="416"/>
      <c r="AM578" s="398"/>
      <c r="AN578" s="249"/>
      <c r="AO578" s="249"/>
      <c r="AP578" s="416"/>
      <c r="AQ578" s="398"/>
      <c r="AR578" s="249"/>
      <c r="AS578" s="249"/>
      <c r="AT578" s="416"/>
      <c r="AU578" s="398"/>
      <c r="AV578" s="249"/>
      <c r="AW578" s="249"/>
      <c r="AX578" s="416"/>
      <c r="AY578" s="398"/>
      <c r="AZ578" s="249"/>
      <c r="BA578" s="249"/>
      <c r="BB578" s="416"/>
      <c r="BC578" s="398"/>
      <c r="BD578" s="249"/>
      <c r="BE578" s="249"/>
      <c r="BF578" s="416"/>
      <c r="BG578" s="398"/>
      <c r="BH578" s="249"/>
      <c r="BI578" s="249"/>
      <c r="BJ578" s="416"/>
      <c r="BK578" s="398"/>
      <c r="BL578" s="249"/>
      <c r="BM578" s="249"/>
      <c r="BN578" s="416"/>
      <c r="BO578" s="398"/>
      <c r="BP578" s="249"/>
      <c r="BQ578" s="249"/>
      <c r="BR578" s="416"/>
      <c r="BS578" s="398"/>
      <c r="BT578" s="249"/>
      <c r="BU578" s="249"/>
      <c r="BV578" s="416"/>
      <c r="BW578" s="101"/>
      <c r="BX578" s="28"/>
    </row>
    <row r="579" spans="1:78" s="34" customFormat="1" ht="21.75" hidden="1" customHeight="1" outlineLevel="1" x14ac:dyDescent="0.25">
      <c r="A579" s="57"/>
      <c r="B579" s="380" t="s">
        <v>146</v>
      </c>
      <c r="C579" s="9"/>
      <c r="D579" s="360" t="b">
        <f ca="1">OR($Q585=0,$R585=0,$Q583=0,$R583=0)</f>
        <v>1</v>
      </c>
      <c r="E579" s="360"/>
      <c r="F579" s="360" t="b">
        <f ca="1">OR($Q585=0,$V585=0,$Q583=0,$V583=0)</f>
        <v>1</v>
      </c>
      <c r="H579" s="380"/>
      <c r="I579" s="95"/>
      <c r="J579" s="58"/>
      <c r="K579" s="100"/>
      <c r="L579" s="586"/>
      <c r="M579" s="577" t="str">
        <f ca="1">_xll.DBRA(Server&amp;$B$32,$B579,$N$19)</f>
        <v>O - Other op. cost variance not addressed due to missing Work Unit(s)</v>
      </c>
      <c r="N579" s="577"/>
      <c r="O579" s="578"/>
      <c r="P579" s="256"/>
      <c r="Q579" s="257"/>
      <c r="R579" s="258"/>
      <c r="S579" s="259">
        <f ca="1">IF(D579,S$111-S575-S576-S577-S581,0)</f>
        <v>743724086.05751371</v>
      </c>
      <c r="T579" s="307">
        <f ca="1">IF(ISERROR(S579/$Q$36*100),,S579/$Q$36*100)</f>
        <v>4.768420164716983</v>
      </c>
      <c r="U579" s="260"/>
      <c r="V579" s="261"/>
      <c r="W579" s="255">
        <f ca="1">IF(F579,$W$111-W575-W576-W577-W581,0)</f>
        <v>247790000.99975348</v>
      </c>
      <c r="X579" s="307">
        <f ca="1">IF(ISERROR(W579/$Q$36*100),,W579/$Q$36*100)</f>
        <v>1.5887166484629529</v>
      </c>
      <c r="Y579" s="101"/>
      <c r="Z579" s="398"/>
      <c r="AA579" s="100"/>
      <c r="AB579" s="257"/>
      <c r="AC579" s="257"/>
      <c r="AD579" s="417"/>
      <c r="AE579" s="398"/>
      <c r="AF579" s="257"/>
      <c r="AG579" s="257"/>
      <c r="AH579" s="417"/>
      <c r="AI579" s="398"/>
      <c r="AJ579" s="257"/>
      <c r="AK579" s="257"/>
      <c r="AL579" s="417"/>
      <c r="AM579" s="398"/>
      <c r="AN579" s="257"/>
      <c r="AO579" s="257"/>
      <c r="AP579" s="417"/>
      <c r="AQ579" s="398"/>
      <c r="AR579" s="257"/>
      <c r="AS579" s="257"/>
      <c r="AT579" s="417"/>
      <c r="AU579" s="398"/>
      <c r="AV579" s="257"/>
      <c r="AW579" s="257"/>
      <c r="AX579" s="417"/>
      <c r="AY579" s="398"/>
      <c r="AZ579" s="257"/>
      <c r="BA579" s="257"/>
      <c r="BB579" s="417"/>
      <c r="BC579" s="398"/>
      <c r="BD579" s="257"/>
      <c r="BE579" s="257"/>
      <c r="BF579" s="417"/>
      <c r="BG579" s="398"/>
      <c r="BH579" s="257"/>
      <c r="BI579" s="257"/>
      <c r="BJ579" s="417"/>
      <c r="BK579" s="398"/>
      <c r="BL579" s="257"/>
      <c r="BM579" s="257"/>
      <c r="BN579" s="417"/>
      <c r="BO579" s="398"/>
      <c r="BP579" s="257"/>
      <c r="BQ579" s="257"/>
      <c r="BR579" s="417"/>
      <c r="BS579" s="398"/>
      <c r="BT579" s="257"/>
      <c r="BU579" s="257"/>
      <c r="BV579" s="417"/>
      <c r="BW579" s="101"/>
      <c r="BX579" s="28"/>
    </row>
    <row r="580" spans="1:78" s="34" customFormat="1" ht="22.5" customHeight="1" collapsed="1" thickTop="1" x14ac:dyDescent="0.25">
      <c r="A580" s="57"/>
      <c r="B580" s="360" t="s">
        <v>140</v>
      </c>
      <c r="C580" s="9"/>
      <c r="D580" s="1"/>
      <c r="E580" s="1"/>
      <c r="H580" s="360"/>
      <c r="I580" s="95"/>
      <c r="J580" s="58"/>
      <c r="K580" s="100"/>
      <c r="L580" s="586"/>
      <c r="M580" s="579" t="str">
        <f ca="1">_xll.DBRA(Server&amp;$B$32,$B580,$N$19)</f>
        <v>O - Part of Other op. cost variance due to Level 2 ratios change</v>
      </c>
      <c r="N580" s="579"/>
      <c r="O580" s="580"/>
      <c r="P580" s="262"/>
      <c r="Q580" s="263"/>
      <c r="R580" s="264"/>
      <c r="S580" s="265">
        <f ca="1">SUM(S575:S579)</f>
        <v>743724086.05751371</v>
      </c>
      <c r="T580" s="308">
        <f ca="1">-(Q570-R570)*100</f>
        <v>0</v>
      </c>
      <c r="U580" s="266"/>
      <c r="V580" s="267"/>
      <c r="W580" s="265">
        <f ca="1">SUM(W575:W579)</f>
        <v>247790000.99975348</v>
      </c>
      <c r="X580" s="308">
        <f ca="1">-($Q570-V570)*100</f>
        <v>0</v>
      </c>
      <c r="Y580" s="101"/>
      <c r="Z580" s="398"/>
      <c r="AA580" s="100"/>
      <c r="AB580" s="263"/>
      <c r="AC580" s="263"/>
      <c r="AD580" s="418"/>
      <c r="AE580" s="398"/>
      <c r="AF580" s="263"/>
      <c r="AG580" s="263"/>
      <c r="AH580" s="418"/>
      <c r="AI580" s="398"/>
      <c r="AJ580" s="263"/>
      <c r="AK580" s="263"/>
      <c r="AL580" s="418"/>
      <c r="AM580" s="398"/>
      <c r="AN580" s="263"/>
      <c r="AO580" s="263"/>
      <c r="AP580" s="418"/>
      <c r="AQ580" s="398"/>
      <c r="AR580" s="263"/>
      <c r="AS580" s="263"/>
      <c r="AT580" s="418"/>
      <c r="AU580" s="398"/>
      <c r="AV580" s="263"/>
      <c r="AW580" s="263"/>
      <c r="AX580" s="418"/>
      <c r="AY580" s="398"/>
      <c r="AZ580" s="263"/>
      <c r="BA580" s="263"/>
      <c r="BB580" s="418"/>
      <c r="BC580" s="398"/>
      <c r="BD580" s="263"/>
      <c r="BE580" s="263"/>
      <c r="BF580" s="418"/>
      <c r="BG580" s="398"/>
      <c r="BH580" s="263"/>
      <c r="BI580" s="263"/>
      <c r="BJ580" s="418"/>
      <c r="BK580" s="398"/>
      <c r="BL580" s="263"/>
      <c r="BM580" s="263"/>
      <c r="BN580" s="418"/>
      <c r="BO580" s="398"/>
      <c r="BP580" s="263"/>
      <c r="BQ580" s="263"/>
      <c r="BR580" s="418"/>
      <c r="BS580" s="398"/>
      <c r="BT580" s="263"/>
      <c r="BU580" s="263"/>
      <c r="BV580" s="418"/>
      <c r="BW580" s="101"/>
      <c r="BX580" s="28"/>
    </row>
    <row r="581" spans="1:78" s="34" customFormat="1" ht="22.5" customHeight="1" x14ac:dyDescent="0.25">
      <c r="A581" s="57"/>
      <c r="B581" s="360" t="s">
        <v>139</v>
      </c>
      <c r="C581" s="9"/>
      <c r="D581" s="1"/>
      <c r="E581" s="1"/>
      <c r="H581" s="360"/>
      <c r="I581" s="95"/>
      <c r="J581" s="58"/>
      <c r="K581" s="100"/>
      <c r="L581" s="587"/>
      <c r="M581" s="581" t="str">
        <f ca="1">_xll.DBRA(Server&amp;$B$32,$B581,$N$19)</f>
        <v>O - Part of Other op. cost variance due to ROA change</v>
      </c>
      <c r="N581" s="581"/>
      <c r="O581" s="582"/>
      <c r="P581" s="268"/>
      <c r="Q581" s="269"/>
      <c r="R581" s="270"/>
      <c r="S581" s="271">
        <f ca="1">(IF($R$36&lt;&gt;0,IF($R$36&gt;0,$S$36/$R$36,-$S$36/$R$36),0))*R111</f>
        <v>-527669160.3003245</v>
      </c>
      <c r="T581" s="272"/>
      <c r="U581" s="273"/>
      <c r="V581" s="274"/>
      <c r="W581" s="271">
        <f ca="1">(IF($V$36&lt;&gt;0,IF($V$36&gt;0,$W$36/$V$36,-$W$36/$V$36),0))*V111</f>
        <v>-881301221.96698999</v>
      </c>
      <c r="X581" s="272"/>
      <c r="Y581" s="101"/>
      <c r="Z581" s="398"/>
      <c r="AA581" s="100"/>
      <c r="AB581" s="269"/>
      <c r="AC581" s="269"/>
      <c r="AD581" s="419"/>
      <c r="AE581" s="398"/>
      <c r="AF581" s="269"/>
      <c r="AG581" s="269"/>
      <c r="AH581" s="419"/>
      <c r="AI581" s="398"/>
      <c r="AJ581" s="269"/>
      <c r="AK581" s="269"/>
      <c r="AL581" s="419"/>
      <c r="AM581" s="398"/>
      <c r="AN581" s="269"/>
      <c r="AO581" s="269"/>
      <c r="AP581" s="419"/>
      <c r="AQ581" s="398"/>
      <c r="AR581" s="269"/>
      <c r="AS581" s="269"/>
      <c r="AT581" s="419"/>
      <c r="AU581" s="398"/>
      <c r="AV581" s="269"/>
      <c r="AW581" s="269"/>
      <c r="AX581" s="419"/>
      <c r="AY581" s="398"/>
      <c r="AZ581" s="269"/>
      <c r="BA581" s="269"/>
      <c r="BB581" s="419"/>
      <c r="BC581" s="398"/>
      <c r="BD581" s="269"/>
      <c r="BE581" s="269"/>
      <c r="BF581" s="419"/>
      <c r="BG581" s="398"/>
      <c r="BH581" s="269"/>
      <c r="BI581" s="269"/>
      <c r="BJ581" s="419"/>
      <c r="BK581" s="398"/>
      <c r="BL581" s="269"/>
      <c r="BM581" s="269"/>
      <c r="BN581" s="419"/>
      <c r="BO581" s="398"/>
      <c r="BP581" s="269"/>
      <c r="BQ581" s="269"/>
      <c r="BR581" s="419"/>
      <c r="BS581" s="398"/>
      <c r="BT581" s="269"/>
      <c r="BU581" s="269"/>
      <c r="BV581" s="419"/>
      <c r="BW581" s="101"/>
      <c r="BX581" s="28"/>
    </row>
    <row r="582" spans="1:78" s="34" customFormat="1" ht="21" customHeight="1" collapsed="1" x14ac:dyDescent="0.25">
      <c r="A582" s="57"/>
      <c r="B582" s="379" t="s">
        <v>147</v>
      </c>
      <c r="C582" s="9"/>
      <c r="D582" s="1"/>
      <c r="E582" s="1"/>
      <c r="H582" s="379"/>
      <c r="I582" s="95"/>
      <c r="J582" s="58"/>
      <c r="K582" s="100"/>
      <c r="L582" s="570" t="str">
        <f ca="1">_xll.DBRA(Server&amp;Context!$B$32,Context!$B$60,$N$19)</f>
        <v>Total Other op. cost variance (impact on Gross Margin variance)</v>
      </c>
      <c r="M582" s="571"/>
      <c r="N582" s="571"/>
      <c r="O582" s="572"/>
      <c r="P582" s="212"/>
      <c r="Q582" s="275"/>
      <c r="R582" s="276"/>
      <c r="S582" s="277">
        <f ca="1">SUM(S580:S581)</f>
        <v>216054925.75718921</v>
      </c>
      <c r="T582" s="278"/>
      <c r="U582" s="247"/>
      <c r="V582" s="279"/>
      <c r="W582" s="280">
        <f ca="1">SUM(W580:W581)</f>
        <v>-633511220.96723652</v>
      </c>
      <c r="X582" s="278"/>
      <c r="Y582" s="101"/>
      <c r="Z582" s="398"/>
      <c r="AA582" s="100"/>
      <c r="AB582" s="275"/>
      <c r="AC582" s="275"/>
      <c r="AD582" s="420"/>
      <c r="AE582" s="398"/>
      <c r="AF582" s="275"/>
      <c r="AG582" s="275"/>
      <c r="AH582" s="420"/>
      <c r="AI582" s="398"/>
      <c r="AJ582" s="275"/>
      <c r="AK582" s="275"/>
      <c r="AL582" s="420"/>
      <c r="AM582" s="398"/>
      <c r="AN582" s="275"/>
      <c r="AO582" s="275"/>
      <c r="AP582" s="420"/>
      <c r="AQ582" s="398"/>
      <c r="AR582" s="275"/>
      <c r="AS582" s="275"/>
      <c r="AT582" s="420"/>
      <c r="AU582" s="398"/>
      <c r="AV582" s="275"/>
      <c r="AW582" s="275"/>
      <c r="AX582" s="420"/>
      <c r="AY582" s="398"/>
      <c r="AZ582" s="275"/>
      <c r="BA582" s="275"/>
      <c r="BB582" s="420"/>
      <c r="BC582" s="398"/>
      <c r="BD582" s="275"/>
      <c r="BE582" s="275"/>
      <c r="BF582" s="420"/>
      <c r="BG582" s="398"/>
      <c r="BH582" s="275"/>
      <c r="BI582" s="275"/>
      <c r="BJ582" s="420"/>
      <c r="BK582" s="398"/>
      <c r="BL582" s="275"/>
      <c r="BM582" s="275"/>
      <c r="BN582" s="420"/>
      <c r="BO582" s="398"/>
      <c r="BP582" s="275"/>
      <c r="BQ582" s="275"/>
      <c r="BR582" s="420"/>
      <c r="BS582" s="398"/>
      <c r="BT582" s="275"/>
      <c r="BU582" s="275"/>
      <c r="BV582" s="420"/>
      <c r="BW582" s="101"/>
      <c r="BX582" s="28"/>
    </row>
    <row r="583" spans="1:78" s="34" customFormat="1" ht="18.75" hidden="1" customHeight="1" outlineLevel="1" x14ac:dyDescent="0.25">
      <c r="A583" s="136" t="str">
        <f ca="1">_xll.DBR(Server&amp;Cube2,$N$15,$N$13,$B583,IF($N$19="French","STR_VAR3","STR_VAR2"))</f>
        <v/>
      </c>
      <c r="B583" s="360" t="s">
        <v>149</v>
      </c>
      <c r="C583" s="136" t="str">
        <f ca="1">_xll.DBR(Server&amp;Cube2,$N$15,$N$13,$B583,"STR_VAR1")</f>
        <v/>
      </c>
      <c r="D583" s="1"/>
      <c r="E583" s="1"/>
      <c r="H583" s="360"/>
      <c r="I583" s="1"/>
      <c r="J583" s="30"/>
      <c r="K583" s="100"/>
      <c r="L583" s="103"/>
      <c r="M583" s="302" t="str">
        <f ca="1">_xll.DBRA(Server&amp;$B$32,$B583,$N$19)&amp;"      ---&gt;"</f>
        <v>Other Op. - Cost Work Unit      ---&gt;</v>
      </c>
      <c r="N583" s="302"/>
      <c r="O583" s="423" t="str">
        <f ca="1">IF(A583="",_xll.DBRA(Server&amp;Context!$B$32,Context!$B$66,$N$19),_xll.DBRA(Server&amp;$B$32,$A583,$N$19))</f>
        <v>Not defined</v>
      </c>
      <c r="P583" s="212"/>
      <c r="Q583" s="281">
        <f ca="1">_xll.DBRW(Server&amp;Cube1,$N$15,$N$16,$N$17,$N$18,$N$14,$N$13,$N$11,$Q$1,$B583)</f>
        <v>0</v>
      </c>
      <c r="R583" s="282">
        <f ca="1">_xll.DBRW(Server&amp;Cube1,$N$15,$N$16,$N$17,$N$18,$N$14,$N$13,$R$2,$R$1,$B583)</f>
        <v>0</v>
      </c>
      <c r="S583" s="283">
        <f ca="1">Q583-R583</f>
        <v>0</v>
      </c>
      <c r="T583" s="284">
        <f ca="1">IF(R583&lt;&gt;0,IF(R583&gt;0,S583/R583,-S583/R583),0)</f>
        <v>0</v>
      </c>
      <c r="U583" s="245"/>
      <c r="V583" s="281">
        <f ca="1">_xll.DBRW(Server&amp;Cube1,$N$15,$N$16,$N$17,$N$18,$N$14,$N$13,$V$2,$V$1,$B583)</f>
        <v>0</v>
      </c>
      <c r="W583" s="283">
        <f ca="1">$Q583-V583</f>
        <v>0</v>
      </c>
      <c r="X583" s="284">
        <f ca="1">IF(V583&lt;&gt;0,IF(V583&gt;0,W583/V583,-W583/V583),0)</f>
        <v>0</v>
      </c>
      <c r="Y583" s="214"/>
      <c r="Z583" s="396"/>
      <c r="AA583" s="100"/>
      <c r="AB583" s="281">
        <f ca="1">_xll.DBRW(Server&amp;Cube1,$N$15,$N$16,$N$17,$N$18,$N$14,$N$13,AB$2,AB$1,$B583)</f>
        <v>0</v>
      </c>
      <c r="AC583" s="281">
        <f ca="1">_xll.DBRW(Server&amp;Cube1,$N$15,$N$16,$N$17,$N$18,$N$14,$N$13,AC$2,AC$1,$B583)</f>
        <v>0</v>
      </c>
      <c r="AD583" s="412">
        <f ca="1">_xll.DBRW(Server&amp;Cube1,$N$15,$N$16,$N$17,$N$18,$N$14,$N$13,AD$2,AD$1,$B583)</f>
        <v>0</v>
      </c>
      <c r="AE583" s="396"/>
      <c r="AF583" s="281">
        <f ca="1">_xll.DBRW(Server&amp;Cube1,$N$15,$N$16,$N$17,$N$18,$N$14,$N$13,AF$2,AF$1,$B583)</f>
        <v>0</v>
      </c>
      <c r="AG583" s="281">
        <f ca="1">_xll.DBRW(Server&amp;Cube1,$N$15,$N$16,$N$17,$N$18,$N$14,$N$13,AG$2,AG$1,$B583)</f>
        <v>0</v>
      </c>
      <c r="AH583" s="412">
        <f ca="1">_xll.DBRW(Server&amp;Cube1,$N$15,$N$16,$N$17,$N$18,$N$14,$N$13,AH$2,AH$1,$B583)</f>
        <v>0</v>
      </c>
      <c r="AI583" s="396"/>
      <c r="AJ583" s="281">
        <f ca="1">_xll.DBRW(Server&amp;Cube1,$N$15,$N$16,$N$17,$N$18,$N$14,$N$13,AJ$2,AJ$1,$B583)</f>
        <v>0</v>
      </c>
      <c r="AK583" s="281">
        <f ca="1">_xll.DBRW(Server&amp;Cube1,$N$15,$N$16,$N$17,$N$18,$N$14,$N$13,AK$2,AK$1,$B583)</f>
        <v>0</v>
      </c>
      <c r="AL583" s="412">
        <f ca="1">_xll.DBRW(Server&amp;Cube1,$N$15,$N$16,$N$17,$N$18,$N$14,$N$13,AL$2,AL$1,$B583)</f>
        <v>0</v>
      </c>
      <c r="AM583" s="396"/>
      <c r="AN583" s="281">
        <f ca="1">_xll.DBRW(Server&amp;Cube1,$N$15,$N$16,$N$17,$N$18,$N$14,$N$13,AN$2,AN$1,$B583)</f>
        <v>0</v>
      </c>
      <c r="AO583" s="281">
        <f ca="1">_xll.DBRW(Server&amp;Cube1,$N$15,$N$16,$N$17,$N$18,$N$14,$N$13,AO$2,AO$1,$B583)</f>
        <v>0</v>
      </c>
      <c r="AP583" s="412">
        <f ca="1">_xll.DBRW(Server&amp;Cube1,$N$15,$N$16,$N$17,$N$18,$N$14,$N$13,AP$2,AP$1,$B583)</f>
        <v>0</v>
      </c>
      <c r="AQ583" s="396"/>
      <c r="AR583" s="281">
        <f ca="1">_xll.DBRW(Server&amp;Cube1,$N$15,$N$16,$N$17,$N$18,$N$14,$N$13,AR$2,AR$1,$B583)</f>
        <v>0</v>
      </c>
      <c r="AS583" s="281">
        <f ca="1">_xll.DBRW(Server&amp;Cube1,$N$15,$N$16,$N$17,$N$18,$N$14,$N$13,AS$2,AS$1,$B583)</f>
        <v>0</v>
      </c>
      <c r="AT583" s="412">
        <f ca="1">_xll.DBRW(Server&amp;Cube1,$N$15,$N$16,$N$17,$N$18,$N$14,$N$13,AT$2,AT$1,$B583)</f>
        <v>0</v>
      </c>
      <c r="AU583" s="396"/>
      <c r="AV583" s="281">
        <f ca="1">_xll.DBRW(Server&amp;Cube1,$N$15,$N$16,$N$17,$N$18,$N$14,$N$13,AV$2,AV$1,$B583)</f>
        <v>0</v>
      </c>
      <c r="AW583" s="281">
        <f ca="1">_xll.DBRW(Server&amp;Cube1,$N$15,$N$16,$N$17,$N$18,$N$14,$N$13,AW$2,AW$1,$B583)</f>
        <v>0</v>
      </c>
      <c r="AX583" s="412">
        <f ca="1">_xll.DBRW(Server&amp;Cube1,$N$15,$N$16,$N$17,$N$18,$N$14,$N$13,AX$2,AX$1,$B583)</f>
        <v>0</v>
      </c>
      <c r="AY583" s="396"/>
      <c r="AZ583" s="281">
        <f ca="1">_xll.DBRW(Server&amp;Cube1,$N$15,$N$16,$N$17,$N$18,$N$14,$N$13,AZ$2,AZ$1,$B583)</f>
        <v>0</v>
      </c>
      <c r="BA583" s="281">
        <f ca="1">_xll.DBRW(Server&amp;Cube1,$N$15,$N$16,$N$17,$N$18,$N$14,$N$13,BA$2,BA$1,$B583)</f>
        <v>0</v>
      </c>
      <c r="BB583" s="412">
        <f ca="1">_xll.DBRW(Server&amp;Cube1,$N$15,$N$16,$N$17,$N$18,$N$14,$N$13,BB$2,BB$1,$B583)</f>
        <v>0</v>
      </c>
      <c r="BC583" s="396"/>
      <c r="BD583" s="281">
        <f ca="1">_xll.DBRW(Server&amp;Cube1,$N$15,$N$16,$N$17,$N$18,$N$14,$N$13,BD$2,BD$1,$B583)</f>
        <v>0</v>
      </c>
      <c r="BE583" s="281">
        <f ca="1">_xll.DBRW(Server&amp;Cube1,$N$15,$N$16,$N$17,$N$18,$N$14,$N$13,BE$2,BE$1,$B583)</f>
        <v>0</v>
      </c>
      <c r="BF583" s="412">
        <f ca="1">_xll.DBRW(Server&amp;Cube1,$N$15,$N$16,$N$17,$N$18,$N$14,$N$13,BF$2,BF$1,$B583)</f>
        <v>0</v>
      </c>
      <c r="BG583" s="396"/>
      <c r="BH583" s="281">
        <f ca="1">_xll.DBRW(Server&amp;Cube1,$N$15,$N$16,$N$17,$N$18,$N$14,$N$13,BH$2,BH$1,$B583)</f>
        <v>0</v>
      </c>
      <c r="BI583" s="281">
        <f ca="1">_xll.DBRW(Server&amp;Cube1,$N$15,$N$16,$N$17,$N$18,$N$14,$N$13,BI$2,BI$1,$B583)</f>
        <v>0</v>
      </c>
      <c r="BJ583" s="412">
        <f ca="1">_xll.DBRW(Server&amp;Cube1,$N$15,$N$16,$N$17,$N$18,$N$14,$N$13,BJ$2,BJ$1,$B583)</f>
        <v>0</v>
      </c>
      <c r="BK583" s="396"/>
      <c r="BL583" s="281">
        <f ca="1">_xll.DBRW(Server&amp;Cube1,$N$15,$N$16,$N$17,$N$18,$N$14,$N$13,BL$2,BL$1,$B583)</f>
        <v>0</v>
      </c>
      <c r="BM583" s="281">
        <f ca="1">_xll.DBRW(Server&amp;Cube1,$N$15,$N$16,$N$17,$N$18,$N$14,$N$13,BM$2,BM$1,$B583)</f>
        <v>0</v>
      </c>
      <c r="BN583" s="412">
        <f ca="1">_xll.DBRW(Server&amp;Cube1,$N$15,$N$16,$N$17,$N$18,$N$14,$N$13,BN$2,BN$1,$B583)</f>
        <v>0</v>
      </c>
      <c r="BO583" s="396"/>
      <c r="BP583" s="281">
        <f ca="1">_xll.DBRW(Server&amp;Cube1,$N$15,$N$16,$N$17,$N$18,$N$14,$N$13,BP$2,BP$1,$B583)</f>
        <v>0</v>
      </c>
      <c r="BQ583" s="281">
        <f ca="1">_xll.DBRW(Server&amp;Cube1,$N$15,$N$16,$N$17,$N$18,$N$14,$N$13,BQ$2,BQ$1,$B583)</f>
        <v>0</v>
      </c>
      <c r="BR583" s="412">
        <f ca="1">_xll.DBRW(Server&amp;Cube1,$N$15,$N$16,$N$17,$N$18,$N$14,$N$13,BR$2,BR$1,$B583)</f>
        <v>0</v>
      </c>
      <c r="BS583" s="396"/>
      <c r="BT583" s="281">
        <f ca="1">_xll.DBRW(Server&amp;Cube1,$N$15,$N$16,$N$17,$N$18,$N$14,$N$13,BT$2,BT$1,$B583)</f>
        <v>0</v>
      </c>
      <c r="BU583" s="281">
        <f ca="1">_xll.DBRW(Server&amp;Cube1,$N$15,$N$16,$N$17,$N$18,$N$14,$N$13,BU$2,BU$1,$B583)</f>
        <v>0</v>
      </c>
      <c r="BV583" s="412">
        <f ca="1">_xll.DBRW(Server&amp;Cube1,$N$15,$N$16,$N$17,$N$18,$N$14,$N$13,BV$2,BV$1,$B583)</f>
        <v>0</v>
      </c>
      <c r="BW583" s="214"/>
      <c r="BX583" s="79"/>
      <c r="BY583" s="55"/>
      <c r="BZ583" s="370"/>
    </row>
    <row r="584" spans="1:78" s="34" customFormat="1" ht="9" hidden="1" customHeight="1" outlineLevel="1" x14ac:dyDescent="0.25">
      <c r="A584" s="136"/>
      <c r="B584" s="360"/>
      <c r="C584" s="136"/>
      <c r="D584" s="1"/>
      <c r="E584" s="1"/>
      <c r="H584" s="360"/>
      <c r="I584" s="1"/>
      <c r="J584" s="30"/>
      <c r="K584" s="100"/>
      <c r="L584" s="103"/>
      <c r="M584" s="303"/>
      <c r="N584" s="303"/>
      <c r="O584" s="471" t="str">
        <f ca="1">IF(COUNTIF($C583,"*Tot_km*"),$B$6,IF(COUNTIF($C583,"Tot_nb_vehicle"),$B$7,IF(COUNTIF($C583,"Rev_km"),$B$8,IF(COUNTIF($C583,"Tot_driv_hours"),$B$9,""))))</f>
        <v/>
      </c>
      <c r="P584" s="212"/>
      <c r="Q584" s="453"/>
      <c r="R584" s="454"/>
      <c r="S584" s="455"/>
      <c r="T584" s="456"/>
      <c r="U584" s="245"/>
      <c r="V584" s="453"/>
      <c r="W584" s="455"/>
      <c r="X584" s="456"/>
      <c r="Y584" s="214"/>
      <c r="Z584" s="396"/>
      <c r="AA584" s="100"/>
      <c r="AB584" s="453"/>
      <c r="AC584" s="453"/>
      <c r="AD584" s="457"/>
      <c r="AE584" s="396"/>
      <c r="AF584" s="453"/>
      <c r="AG584" s="453"/>
      <c r="AH584" s="457"/>
      <c r="AI584" s="396"/>
      <c r="AJ584" s="453"/>
      <c r="AK584" s="453"/>
      <c r="AL584" s="457"/>
      <c r="AM584" s="396"/>
      <c r="AN584" s="453"/>
      <c r="AO584" s="453"/>
      <c r="AP584" s="457"/>
      <c r="AQ584" s="396"/>
      <c r="AR584" s="453"/>
      <c r="AS584" s="453"/>
      <c r="AT584" s="457"/>
      <c r="AU584" s="396"/>
      <c r="AV584" s="453"/>
      <c r="AW584" s="453"/>
      <c r="AX584" s="457"/>
      <c r="AY584" s="396"/>
      <c r="AZ584" s="453"/>
      <c r="BA584" s="453"/>
      <c r="BB584" s="457"/>
      <c r="BC584" s="396"/>
      <c r="BD584" s="453"/>
      <c r="BE584" s="453"/>
      <c r="BF584" s="457"/>
      <c r="BG584" s="396"/>
      <c r="BH584" s="453"/>
      <c r="BI584" s="453"/>
      <c r="BJ584" s="457"/>
      <c r="BK584" s="396"/>
      <c r="BL584" s="453"/>
      <c r="BM584" s="453"/>
      <c r="BN584" s="457"/>
      <c r="BO584" s="396"/>
      <c r="BP584" s="453"/>
      <c r="BQ584" s="453"/>
      <c r="BR584" s="457"/>
      <c r="BS584" s="396"/>
      <c r="BT584" s="453"/>
      <c r="BU584" s="453"/>
      <c r="BV584" s="457"/>
      <c r="BW584" s="214"/>
      <c r="BX584" s="79"/>
      <c r="BY584" s="55"/>
      <c r="BZ584" s="370"/>
    </row>
    <row r="585" spans="1:78" s="34" customFormat="1" ht="18.75" hidden="1" customHeight="1" outlineLevel="1" x14ac:dyDescent="0.25">
      <c r="A585" s="136" t="str">
        <f ca="1">_xll.DBR(Server&amp;Cube2,$N$15,$N$13,$B585,IF($N$19="French","STR_VAR3","STR_VAR2"))</f>
        <v/>
      </c>
      <c r="B585" s="360" t="s">
        <v>150</v>
      </c>
      <c r="C585" s="136" t="str">
        <f ca="1">_xll.DBR(Server&amp;Cube2,$N$15,$N$13,$B585,"STR_VAR1")</f>
        <v/>
      </c>
      <c r="D585" s="1"/>
      <c r="E585" s="1"/>
      <c r="H585" s="360"/>
      <c r="I585" s="1"/>
      <c r="J585" s="30"/>
      <c r="K585" s="100"/>
      <c r="L585" s="103"/>
      <c r="M585" s="303" t="str">
        <f ca="1">_xll.DBRA(Server&amp;$B$32,$B585,$N$19)&amp;"     ---&gt;"</f>
        <v>Other Op. - Price Work Unit     ---&gt;</v>
      </c>
      <c r="N585" s="303"/>
      <c r="O585" s="423" t="str">
        <f ca="1">IF(A585="",_xll.DBRA(Server&amp;Context!$B$32,Context!$B$66,$N$19),_xll.DBRA(Server&amp;$B$32,$A585,$N$19))</f>
        <v>Not defined</v>
      </c>
      <c r="P585" s="212"/>
      <c r="Q585" s="285">
        <f ca="1">_xll.DBRW(Server&amp;Cube1,$N$15,$N$16,$N$17,$N$18,$N$14,$N$13,$N$11,$Q$1,$B585)</f>
        <v>0</v>
      </c>
      <c r="R585" s="286">
        <f ca="1">_xll.DBRW(Server&amp;Cube1,$N$15,$N$16,$N$17,$N$18,$N$14,$N$13,$R$2,$R$1,$B585)</f>
        <v>0</v>
      </c>
      <c r="S585" s="287">
        <f ca="1">Q585-R585</f>
        <v>0</v>
      </c>
      <c r="T585" s="288">
        <f ca="1">IF(R585&lt;&gt;0,IF(R585&gt;0,S585/R585,-S585/R585),0)</f>
        <v>0</v>
      </c>
      <c r="U585" s="245"/>
      <c r="V585" s="285">
        <f ca="1">_xll.DBRW(Server&amp;Cube1,$N$15,$N$16,$N$17,$N$18,$N$14,$N$13,$V$2,$V$1,$B585)</f>
        <v>0</v>
      </c>
      <c r="W585" s="287">
        <f ca="1">$Q585-V585</f>
        <v>0</v>
      </c>
      <c r="X585" s="288">
        <f ca="1">IF(V585&lt;&gt;0,IF(V585&gt;0,W585/V585,-W585/V585),0)</f>
        <v>0</v>
      </c>
      <c r="Y585" s="214"/>
      <c r="Z585" s="396"/>
      <c r="AA585" s="100"/>
      <c r="AB585" s="285">
        <f ca="1">_xll.DBRW(Server&amp;Cube1,$N$15,$N$16,$N$17,$N$18,$N$14,$N$13,AB$2,AB$1,$B585)</f>
        <v>0</v>
      </c>
      <c r="AC585" s="285">
        <f ca="1">_xll.DBRW(Server&amp;Cube1,$N$15,$N$16,$N$17,$N$18,$N$14,$N$13,AC$2,AC$1,$B585)</f>
        <v>0</v>
      </c>
      <c r="AD585" s="413">
        <f ca="1">_xll.DBRW(Server&amp;Cube1,$N$15,$N$16,$N$17,$N$18,$N$14,$N$13,AD$2,AD$1,$B585)</f>
        <v>0</v>
      </c>
      <c r="AE585" s="396"/>
      <c r="AF585" s="285">
        <f ca="1">_xll.DBRW(Server&amp;Cube1,$N$15,$N$16,$N$17,$N$18,$N$14,$N$13,AF$2,AF$1,$B585)</f>
        <v>0</v>
      </c>
      <c r="AG585" s="285">
        <f ca="1">_xll.DBRW(Server&amp;Cube1,$N$15,$N$16,$N$17,$N$18,$N$14,$N$13,AG$2,AG$1,$B585)</f>
        <v>0</v>
      </c>
      <c r="AH585" s="413">
        <f ca="1">_xll.DBRW(Server&amp;Cube1,$N$15,$N$16,$N$17,$N$18,$N$14,$N$13,AH$2,AH$1,$B585)</f>
        <v>0</v>
      </c>
      <c r="AI585" s="396"/>
      <c r="AJ585" s="285">
        <f ca="1">_xll.DBRW(Server&amp;Cube1,$N$15,$N$16,$N$17,$N$18,$N$14,$N$13,AJ$2,AJ$1,$B585)</f>
        <v>0</v>
      </c>
      <c r="AK585" s="285">
        <f ca="1">_xll.DBRW(Server&amp;Cube1,$N$15,$N$16,$N$17,$N$18,$N$14,$N$13,AK$2,AK$1,$B585)</f>
        <v>0</v>
      </c>
      <c r="AL585" s="413">
        <f ca="1">_xll.DBRW(Server&amp;Cube1,$N$15,$N$16,$N$17,$N$18,$N$14,$N$13,AL$2,AL$1,$B585)</f>
        <v>0</v>
      </c>
      <c r="AM585" s="396"/>
      <c r="AN585" s="285">
        <f ca="1">_xll.DBRW(Server&amp;Cube1,$N$15,$N$16,$N$17,$N$18,$N$14,$N$13,AN$2,AN$1,$B585)</f>
        <v>0</v>
      </c>
      <c r="AO585" s="285">
        <f ca="1">_xll.DBRW(Server&amp;Cube1,$N$15,$N$16,$N$17,$N$18,$N$14,$N$13,AO$2,AO$1,$B585)</f>
        <v>0</v>
      </c>
      <c r="AP585" s="413">
        <f ca="1">_xll.DBRW(Server&amp;Cube1,$N$15,$N$16,$N$17,$N$18,$N$14,$N$13,AP$2,AP$1,$B585)</f>
        <v>0</v>
      </c>
      <c r="AQ585" s="396"/>
      <c r="AR585" s="285">
        <f ca="1">_xll.DBRW(Server&amp;Cube1,$N$15,$N$16,$N$17,$N$18,$N$14,$N$13,AR$2,AR$1,$B585)</f>
        <v>0</v>
      </c>
      <c r="AS585" s="285">
        <f ca="1">_xll.DBRW(Server&amp;Cube1,$N$15,$N$16,$N$17,$N$18,$N$14,$N$13,AS$2,AS$1,$B585)</f>
        <v>0</v>
      </c>
      <c r="AT585" s="413">
        <f ca="1">_xll.DBRW(Server&amp;Cube1,$N$15,$N$16,$N$17,$N$18,$N$14,$N$13,AT$2,AT$1,$B585)</f>
        <v>0</v>
      </c>
      <c r="AU585" s="396"/>
      <c r="AV585" s="285">
        <f ca="1">_xll.DBRW(Server&amp;Cube1,$N$15,$N$16,$N$17,$N$18,$N$14,$N$13,AV$2,AV$1,$B585)</f>
        <v>0</v>
      </c>
      <c r="AW585" s="285">
        <f ca="1">_xll.DBRW(Server&amp;Cube1,$N$15,$N$16,$N$17,$N$18,$N$14,$N$13,AW$2,AW$1,$B585)</f>
        <v>0</v>
      </c>
      <c r="AX585" s="413">
        <f ca="1">_xll.DBRW(Server&amp;Cube1,$N$15,$N$16,$N$17,$N$18,$N$14,$N$13,AX$2,AX$1,$B585)</f>
        <v>0</v>
      </c>
      <c r="AY585" s="396"/>
      <c r="AZ585" s="285">
        <f ca="1">_xll.DBRW(Server&amp;Cube1,$N$15,$N$16,$N$17,$N$18,$N$14,$N$13,AZ$2,AZ$1,$B585)</f>
        <v>0</v>
      </c>
      <c r="BA585" s="285">
        <f ca="1">_xll.DBRW(Server&amp;Cube1,$N$15,$N$16,$N$17,$N$18,$N$14,$N$13,BA$2,BA$1,$B585)</f>
        <v>0</v>
      </c>
      <c r="BB585" s="413">
        <f ca="1">_xll.DBRW(Server&amp;Cube1,$N$15,$N$16,$N$17,$N$18,$N$14,$N$13,BB$2,BB$1,$B585)</f>
        <v>0</v>
      </c>
      <c r="BC585" s="396"/>
      <c r="BD585" s="285">
        <f ca="1">_xll.DBRW(Server&amp;Cube1,$N$15,$N$16,$N$17,$N$18,$N$14,$N$13,BD$2,BD$1,$B585)</f>
        <v>0</v>
      </c>
      <c r="BE585" s="285">
        <f ca="1">_xll.DBRW(Server&amp;Cube1,$N$15,$N$16,$N$17,$N$18,$N$14,$N$13,BE$2,BE$1,$B585)</f>
        <v>0</v>
      </c>
      <c r="BF585" s="413">
        <f ca="1">_xll.DBRW(Server&amp;Cube1,$N$15,$N$16,$N$17,$N$18,$N$14,$N$13,BF$2,BF$1,$B585)</f>
        <v>0</v>
      </c>
      <c r="BG585" s="396"/>
      <c r="BH585" s="285">
        <f ca="1">_xll.DBRW(Server&amp;Cube1,$N$15,$N$16,$N$17,$N$18,$N$14,$N$13,BH$2,BH$1,$B585)</f>
        <v>0</v>
      </c>
      <c r="BI585" s="285">
        <f ca="1">_xll.DBRW(Server&amp;Cube1,$N$15,$N$16,$N$17,$N$18,$N$14,$N$13,BI$2,BI$1,$B585)</f>
        <v>0</v>
      </c>
      <c r="BJ585" s="413">
        <f ca="1">_xll.DBRW(Server&amp;Cube1,$N$15,$N$16,$N$17,$N$18,$N$14,$N$13,BJ$2,BJ$1,$B585)</f>
        <v>0</v>
      </c>
      <c r="BK585" s="396"/>
      <c r="BL585" s="285">
        <f ca="1">_xll.DBRW(Server&amp;Cube1,$N$15,$N$16,$N$17,$N$18,$N$14,$N$13,BL$2,BL$1,$B585)</f>
        <v>0</v>
      </c>
      <c r="BM585" s="285">
        <f ca="1">_xll.DBRW(Server&amp;Cube1,$N$15,$N$16,$N$17,$N$18,$N$14,$N$13,BM$2,BM$1,$B585)</f>
        <v>0</v>
      </c>
      <c r="BN585" s="413">
        <f ca="1">_xll.DBRW(Server&amp;Cube1,$N$15,$N$16,$N$17,$N$18,$N$14,$N$13,BN$2,BN$1,$B585)</f>
        <v>0</v>
      </c>
      <c r="BO585" s="396"/>
      <c r="BP585" s="285">
        <f ca="1">_xll.DBRW(Server&amp;Cube1,$N$15,$N$16,$N$17,$N$18,$N$14,$N$13,BP$2,BP$1,$B585)</f>
        <v>0</v>
      </c>
      <c r="BQ585" s="285">
        <f ca="1">_xll.DBRW(Server&amp;Cube1,$N$15,$N$16,$N$17,$N$18,$N$14,$N$13,BQ$2,BQ$1,$B585)</f>
        <v>0</v>
      </c>
      <c r="BR585" s="413">
        <f ca="1">_xll.DBRW(Server&amp;Cube1,$N$15,$N$16,$N$17,$N$18,$N$14,$N$13,BR$2,BR$1,$B585)</f>
        <v>0</v>
      </c>
      <c r="BS585" s="396"/>
      <c r="BT585" s="285">
        <f ca="1">_xll.DBRW(Server&amp;Cube1,$N$15,$N$16,$N$17,$N$18,$N$14,$N$13,BT$2,BT$1,$B585)</f>
        <v>0</v>
      </c>
      <c r="BU585" s="285">
        <f ca="1">_xll.DBRW(Server&amp;Cube1,$N$15,$N$16,$N$17,$N$18,$N$14,$N$13,BU$2,BU$1,$B585)</f>
        <v>0</v>
      </c>
      <c r="BV585" s="413">
        <f ca="1">_xll.DBRW(Server&amp;Cube1,$N$15,$N$16,$N$17,$N$18,$N$14,$N$13,BV$2,BV$1,$B585)</f>
        <v>0</v>
      </c>
      <c r="BW585" s="214"/>
      <c r="BX585" s="79"/>
      <c r="BY585" s="55"/>
    </row>
    <row r="586" spans="1:78" s="34" customFormat="1" ht="9" hidden="1" customHeight="1" outlineLevel="1" x14ac:dyDescent="0.25">
      <c r="A586" s="136"/>
      <c r="B586" s="360"/>
      <c r="C586" s="136"/>
      <c r="D586" s="1"/>
      <c r="E586" s="1"/>
      <c r="H586" s="360"/>
      <c r="I586" s="1"/>
      <c r="J586" s="30"/>
      <c r="K586" s="100"/>
      <c r="L586" s="103"/>
      <c r="M586" s="303"/>
      <c r="N586" s="303"/>
      <c r="O586" s="471" t="str">
        <f ca="1">IF(COUNTIF($C585,"*Tot_km*"),$B$6,IF(COUNTIF($C585,"Tot_nb_vehicle"),$B$7,IF(COUNTIF($C585,"Rev_km"),$B$8,IF(COUNTIF($C585,"Tot_driv_hours"),$B$9,""))))</f>
        <v/>
      </c>
      <c r="P586" s="458"/>
      <c r="Q586" s="459"/>
      <c r="R586" s="459"/>
      <c r="S586" s="455"/>
      <c r="T586" s="460"/>
      <c r="U586" s="461"/>
      <c r="V586" s="459"/>
      <c r="W586" s="455"/>
      <c r="X586" s="460"/>
      <c r="Y586" s="214"/>
      <c r="Z586" s="396"/>
      <c r="AA586" s="100"/>
      <c r="AB586" s="459"/>
      <c r="AC586" s="459"/>
      <c r="AD586" s="459"/>
      <c r="AE586" s="396"/>
      <c r="AF586" s="459"/>
      <c r="AG586" s="459"/>
      <c r="AH586" s="459"/>
      <c r="AI586" s="396"/>
      <c r="AJ586" s="459"/>
      <c r="AK586" s="459"/>
      <c r="AL586" s="459"/>
      <c r="AM586" s="396"/>
      <c r="AN586" s="459"/>
      <c r="AO586" s="459"/>
      <c r="AP586" s="459"/>
      <c r="AQ586" s="396"/>
      <c r="AR586" s="459"/>
      <c r="AS586" s="459"/>
      <c r="AT586" s="459"/>
      <c r="AU586" s="396"/>
      <c r="AV586" s="459"/>
      <c r="AW586" s="459"/>
      <c r="AX586" s="459"/>
      <c r="AY586" s="396"/>
      <c r="AZ586" s="459"/>
      <c r="BA586" s="459"/>
      <c r="BB586" s="459"/>
      <c r="BC586" s="396"/>
      <c r="BD586" s="459"/>
      <c r="BE586" s="459"/>
      <c r="BF586" s="459"/>
      <c r="BG586" s="396"/>
      <c r="BH586" s="459"/>
      <c r="BI586" s="459"/>
      <c r="BJ586" s="459"/>
      <c r="BK586" s="396"/>
      <c r="BL586" s="459"/>
      <c r="BM586" s="459"/>
      <c r="BN586" s="459"/>
      <c r="BO586" s="396"/>
      <c r="BP586" s="459"/>
      <c r="BQ586" s="459"/>
      <c r="BR586" s="459"/>
      <c r="BS586" s="396"/>
      <c r="BT586" s="459"/>
      <c r="BU586" s="459"/>
      <c r="BV586" s="459"/>
      <c r="BW586" s="214"/>
      <c r="BX586" s="79"/>
      <c r="BY586" s="55"/>
    </row>
    <row r="587" spans="1:78" s="34" customFormat="1" ht="23.25" customHeight="1" collapsed="1" x14ac:dyDescent="0.25">
      <c r="A587" s="57"/>
      <c r="B587" s="377"/>
      <c r="C587" s="9"/>
      <c r="D587" s="1"/>
      <c r="E587" s="1"/>
      <c r="H587" s="377"/>
      <c r="I587" s="95"/>
      <c r="J587" s="58"/>
      <c r="K587" s="92"/>
      <c r="L587" s="318"/>
      <c r="M587" s="157"/>
      <c r="N587" s="157"/>
      <c r="O587" s="93"/>
      <c r="P587" s="93"/>
      <c r="Q587" s="93"/>
      <c r="R587" s="93"/>
      <c r="S587" s="109"/>
      <c r="T587" s="109"/>
      <c r="U587" s="93"/>
      <c r="V587" s="93"/>
      <c r="W587" s="109"/>
      <c r="X587" s="109"/>
      <c r="Y587" s="94"/>
      <c r="Z587" s="105"/>
      <c r="AA587" s="92"/>
      <c r="AB587" s="93"/>
      <c r="AC587" s="93"/>
      <c r="AD587" s="93"/>
      <c r="AE587" s="93"/>
      <c r="AF587" s="93"/>
      <c r="AG587" s="93"/>
      <c r="AH587" s="93"/>
      <c r="AI587" s="93"/>
      <c r="AJ587" s="93"/>
      <c r="AK587" s="93"/>
      <c r="AL587" s="93"/>
      <c r="AM587" s="93"/>
      <c r="AN587" s="93"/>
      <c r="AO587" s="93"/>
      <c r="AP587" s="93"/>
      <c r="AQ587" s="93"/>
      <c r="AR587" s="93"/>
      <c r="AS587" s="93"/>
      <c r="AT587" s="93"/>
      <c r="AU587" s="93"/>
      <c r="AV587" s="93"/>
      <c r="AW587" s="93"/>
      <c r="AX587" s="93"/>
      <c r="AY587" s="93"/>
      <c r="AZ587" s="93"/>
      <c r="BA587" s="93"/>
      <c r="BB587" s="93"/>
      <c r="BC587" s="93"/>
      <c r="BD587" s="93"/>
      <c r="BE587" s="93"/>
      <c r="BF587" s="93"/>
      <c r="BG587" s="93"/>
      <c r="BH587" s="93"/>
      <c r="BI587" s="93"/>
      <c r="BJ587" s="93"/>
      <c r="BK587" s="93"/>
      <c r="BL587" s="93"/>
      <c r="BM587" s="93"/>
      <c r="BN587" s="93"/>
      <c r="BO587" s="93"/>
      <c r="BP587" s="93"/>
      <c r="BQ587" s="93"/>
      <c r="BR587" s="93"/>
      <c r="BS587" s="93"/>
      <c r="BT587" s="93"/>
      <c r="BU587" s="93"/>
      <c r="BV587" s="93"/>
      <c r="BW587" s="94"/>
      <c r="BX587" s="28"/>
    </row>
    <row r="588" spans="1:78" s="34" customFormat="1" ht="9.75" customHeight="1" x14ac:dyDescent="0.25">
      <c r="A588" s="57"/>
      <c r="B588" s="377"/>
      <c r="C588" s="9"/>
      <c r="D588" s="1"/>
      <c r="E588" s="1"/>
      <c r="H588" s="377"/>
      <c r="I588" s="95"/>
      <c r="J588" s="58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  <c r="AC588" s="95"/>
      <c r="AD588" s="95"/>
      <c r="AE588" s="95"/>
      <c r="AF588" s="95"/>
      <c r="AG588" s="95"/>
      <c r="AH588" s="95"/>
      <c r="AI588" s="95"/>
      <c r="AJ588" s="95"/>
      <c r="AK588" s="95"/>
      <c r="AL588" s="95"/>
      <c r="AM588" s="95"/>
      <c r="AN588" s="95"/>
      <c r="AO588" s="95"/>
      <c r="AP588" s="95"/>
      <c r="AQ588" s="95"/>
      <c r="AR588" s="95"/>
      <c r="AS588" s="95"/>
      <c r="AT588" s="95"/>
      <c r="AU588" s="95"/>
      <c r="AV588" s="95"/>
      <c r="AW588" s="95"/>
      <c r="AX588" s="95"/>
      <c r="AY588" s="95"/>
      <c r="AZ588" s="95"/>
      <c r="BA588" s="95"/>
      <c r="BB588" s="95"/>
      <c r="BC588" s="95"/>
      <c r="BD588" s="95"/>
      <c r="BE588" s="95"/>
      <c r="BF588" s="95"/>
      <c r="BG588" s="95"/>
      <c r="BH588" s="95"/>
      <c r="BI588" s="95"/>
      <c r="BJ588" s="95"/>
      <c r="BK588" s="95"/>
      <c r="BL588" s="95"/>
      <c r="BM588" s="95"/>
      <c r="BN588" s="95"/>
      <c r="BO588" s="95"/>
      <c r="BP588" s="95"/>
      <c r="BQ588" s="95"/>
      <c r="BR588" s="95"/>
      <c r="BS588" s="95"/>
      <c r="BT588" s="95"/>
      <c r="BU588" s="95"/>
      <c r="BV588" s="95"/>
      <c r="BW588" s="95"/>
      <c r="BX588" s="28"/>
    </row>
    <row r="589" spans="1:78" s="34" customFormat="1" ht="9.75" customHeight="1" x14ac:dyDescent="0.25">
      <c r="A589" s="1"/>
      <c r="B589" s="381"/>
      <c r="D589" s="1"/>
      <c r="E589" s="1"/>
      <c r="H589" s="381"/>
      <c r="I589" s="112"/>
      <c r="J589" s="187"/>
      <c r="K589" s="188"/>
      <c r="L589" s="188"/>
      <c r="M589" s="189"/>
      <c r="N589" s="189"/>
      <c r="O589" s="190"/>
      <c r="P589" s="191"/>
      <c r="Q589" s="192"/>
      <c r="R589" s="192"/>
      <c r="S589" s="193"/>
      <c r="T589" s="194"/>
      <c r="U589" s="195"/>
      <c r="V589" s="192"/>
      <c r="W589" s="193"/>
      <c r="X589" s="194"/>
      <c r="Y589" s="196"/>
      <c r="Z589" s="196"/>
      <c r="AA589" s="196"/>
      <c r="AB589" s="196"/>
      <c r="AC589" s="196"/>
      <c r="AD589" s="196"/>
      <c r="AE589" s="196"/>
      <c r="AF589" s="196"/>
      <c r="AG589" s="196"/>
      <c r="AH589" s="196"/>
      <c r="AI589" s="196"/>
      <c r="AJ589" s="196"/>
      <c r="AK589" s="196"/>
      <c r="AL589" s="196"/>
      <c r="AM589" s="196"/>
      <c r="AN589" s="196"/>
      <c r="AO589" s="196"/>
      <c r="AP589" s="196"/>
      <c r="AQ589" s="196"/>
      <c r="AR589" s="196"/>
      <c r="AS589" s="196"/>
      <c r="AT589" s="196"/>
      <c r="AU589" s="196"/>
      <c r="AV589" s="196"/>
      <c r="AW589" s="196"/>
      <c r="AX589" s="196"/>
      <c r="AY589" s="196"/>
      <c r="AZ589" s="196"/>
      <c r="BA589" s="196"/>
      <c r="BB589" s="196"/>
      <c r="BC589" s="196"/>
      <c r="BD589" s="196"/>
      <c r="BE589" s="196"/>
      <c r="BF589" s="196"/>
      <c r="BG589" s="196"/>
      <c r="BH589" s="196"/>
      <c r="BI589" s="196"/>
      <c r="BJ589" s="196"/>
      <c r="BK589" s="196"/>
      <c r="BL589" s="196"/>
      <c r="BM589" s="196"/>
      <c r="BN589" s="196"/>
      <c r="BO589" s="196"/>
      <c r="BP589" s="196"/>
      <c r="BQ589" s="196"/>
      <c r="BR589" s="196"/>
      <c r="BS589" s="196"/>
      <c r="BT589" s="196"/>
      <c r="BU589" s="196"/>
      <c r="BV589" s="196"/>
      <c r="BW589" s="196"/>
      <c r="BX589" s="125"/>
    </row>
    <row r="590" spans="1:78" ht="18" customHeight="1" x14ac:dyDescent="0.25">
      <c r="S590" s="9"/>
      <c r="T590" s="9"/>
      <c r="U590" s="9"/>
    </row>
    <row r="591" spans="1:78" ht="18" customHeight="1" x14ac:dyDescent="0.25">
      <c r="S591" s="9"/>
      <c r="T591" s="9"/>
      <c r="U591" s="9"/>
      <c r="W591" s="9"/>
    </row>
    <row r="592" spans="1:78" ht="18" customHeight="1" x14ac:dyDescent="0.25">
      <c r="S592" s="9"/>
      <c r="T592" s="9"/>
      <c r="U592" s="9"/>
      <c r="W592" s="9"/>
    </row>
    <row r="593" spans="4:78" ht="18" customHeight="1" x14ac:dyDescent="0.25">
      <c r="S593" s="9"/>
      <c r="T593" s="9"/>
      <c r="U593" s="9"/>
      <c r="W593" s="9"/>
    </row>
    <row r="594" spans="4:78" ht="18" customHeight="1" x14ac:dyDescent="0.25">
      <c r="S594" s="9"/>
      <c r="T594" s="9"/>
      <c r="U594" s="9"/>
      <c r="W594" s="9"/>
    </row>
    <row r="595" spans="4:78" ht="18" customHeight="1" x14ac:dyDescent="0.25">
      <c r="S595" s="9"/>
      <c r="T595" s="9"/>
      <c r="U595" s="9"/>
      <c r="W595" s="9"/>
    </row>
    <row r="596" spans="4:78" ht="18" customHeight="1" x14ac:dyDescent="0.25">
      <c r="S596" s="9"/>
      <c r="T596" s="9"/>
      <c r="U596" s="9"/>
      <c r="W596" s="9"/>
    </row>
    <row r="597" spans="4:78" ht="18" customHeight="1" x14ac:dyDescent="0.25">
      <c r="S597" s="9"/>
      <c r="T597" s="9"/>
      <c r="U597" s="9"/>
      <c r="W597" s="9"/>
    </row>
    <row r="598" spans="4:78" ht="18" customHeight="1" x14ac:dyDescent="0.25">
      <c r="S598" s="9"/>
      <c r="T598" s="9"/>
      <c r="U598" s="9"/>
      <c r="W598" s="9"/>
    </row>
    <row r="599" spans="4:78" ht="18" customHeight="1" x14ac:dyDescent="0.25">
      <c r="S599" s="9"/>
      <c r="T599" s="9"/>
      <c r="U599" s="9"/>
      <c r="W599" s="9"/>
    </row>
    <row r="600" spans="4:78" ht="18" customHeight="1" x14ac:dyDescent="0.25"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S600" s="9"/>
      <c r="T600" s="9"/>
      <c r="U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  <c r="AJ600" s="9"/>
      <c r="AK600" s="9"/>
      <c r="AL600" s="9"/>
      <c r="AM600" s="9"/>
      <c r="AN600" s="9"/>
      <c r="AO600" s="9"/>
      <c r="AP600" s="9"/>
      <c r="AQ600" s="9"/>
      <c r="AR600" s="9"/>
      <c r="AS600" s="9"/>
      <c r="AT600" s="9"/>
      <c r="AU600" s="9"/>
      <c r="AV600" s="9"/>
      <c r="AW600" s="9"/>
      <c r="AX600" s="9"/>
      <c r="AY600" s="9"/>
      <c r="AZ600" s="9"/>
      <c r="BA600" s="9"/>
      <c r="BB600" s="9"/>
      <c r="BC600" s="9"/>
      <c r="BD600" s="9"/>
      <c r="BE600" s="9"/>
      <c r="BF600" s="9"/>
      <c r="BG600" s="9"/>
      <c r="BH600" s="9"/>
      <c r="BI600" s="9"/>
      <c r="BJ600" s="9"/>
      <c r="BK600" s="9"/>
      <c r="BL600" s="9"/>
      <c r="BM600" s="9"/>
      <c r="BN600" s="9"/>
      <c r="BO600" s="9"/>
      <c r="BP600" s="9"/>
      <c r="BQ600" s="9"/>
      <c r="BR600" s="9"/>
      <c r="BS600" s="9"/>
      <c r="BT600" s="9"/>
      <c r="BU600" s="9"/>
      <c r="BV600" s="9"/>
      <c r="BW600" s="9"/>
      <c r="BX600" s="9"/>
      <c r="BY600" s="9"/>
      <c r="BZ600" s="9"/>
    </row>
    <row r="601" spans="4:78" ht="18" customHeight="1" x14ac:dyDescent="0.25"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S601" s="9"/>
      <c r="T601" s="9"/>
      <c r="U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  <c r="AJ601" s="9"/>
      <c r="AK601" s="9"/>
      <c r="AL601" s="9"/>
      <c r="AM601" s="9"/>
      <c r="AN601" s="9"/>
      <c r="AO601" s="9"/>
      <c r="AP601" s="9"/>
      <c r="AQ601" s="9"/>
      <c r="AR601" s="9"/>
      <c r="AS601" s="9"/>
      <c r="AT601" s="9"/>
      <c r="AU601" s="9"/>
      <c r="AV601" s="9"/>
      <c r="AW601" s="9"/>
      <c r="AX601" s="9"/>
      <c r="AY601" s="9"/>
      <c r="AZ601" s="9"/>
      <c r="BA601" s="9"/>
      <c r="BB601" s="9"/>
      <c r="BC601" s="9"/>
      <c r="BD601" s="9"/>
      <c r="BE601" s="9"/>
      <c r="BF601" s="9"/>
      <c r="BG601" s="9"/>
      <c r="BH601" s="9"/>
      <c r="BI601" s="9"/>
      <c r="BJ601" s="9"/>
      <c r="BK601" s="9"/>
      <c r="BL601" s="9"/>
      <c r="BM601" s="9"/>
      <c r="BN601" s="9"/>
      <c r="BO601" s="9"/>
      <c r="BP601" s="9"/>
      <c r="BQ601" s="9"/>
      <c r="BR601" s="9"/>
      <c r="BS601" s="9"/>
      <c r="BT601" s="9"/>
      <c r="BU601" s="9"/>
      <c r="BV601" s="9"/>
      <c r="BW601" s="9"/>
      <c r="BX601" s="9"/>
      <c r="BY601" s="9"/>
      <c r="BZ601" s="9"/>
    </row>
    <row r="602" spans="4:78" ht="18" customHeight="1" x14ac:dyDescent="0.25"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S602" s="9"/>
      <c r="T602" s="9"/>
      <c r="U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  <c r="AJ602" s="9"/>
      <c r="AK602" s="9"/>
      <c r="AL602" s="9"/>
      <c r="AM602" s="9"/>
      <c r="AN602" s="9"/>
      <c r="AO602" s="9"/>
      <c r="AP602" s="9"/>
      <c r="AQ602" s="9"/>
      <c r="AR602" s="9"/>
      <c r="AS602" s="9"/>
      <c r="AT602" s="9"/>
      <c r="AU602" s="9"/>
      <c r="AV602" s="9"/>
      <c r="AW602" s="9"/>
      <c r="AX602" s="9"/>
      <c r="AY602" s="9"/>
      <c r="AZ602" s="9"/>
      <c r="BA602" s="9"/>
      <c r="BB602" s="9"/>
      <c r="BC602" s="9"/>
      <c r="BD602" s="9"/>
      <c r="BE602" s="9"/>
      <c r="BF602" s="9"/>
      <c r="BG602" s="9"/>
      <c r="BH602" s="9"/>
      <c r="BI602" s="9"/>
      <c r="BJ602" s="9"/>
      <c r="BK602" s="9"/>
      <c r="BL602" s="9"/>
      <c r="BM602" s="9"/>
      <c r="BN602" s="9"/>
      <c r="BO602" s="9"/>
      <c r="BP602" s="9"/>
      <c r="BQ602" s="9"/>
      <c r="BR602" s="9"/>
      <c r="BS602" s="9"/>
      <c r="BT602" s="9"/>
      <c r="BU602" s="9"/>
      <c r="BV602" s="9"/>
      <c r="BW602" s="9"/>
      <c r="BX602" s="9"/>
      <c r="BY602" s="9"/>
      <c r="BZ602" s="9"/>
    </row>
    <row r="603" spans="4:78" ht="18" customHeight="1" x14ac:dyDescent="0.25"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S603" s="9"/>
      <c r="T603" s="9"/>
      <c r="U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  <c r="AJ603" s="9"/>
      <c r="AK603" s="9"/>
      <c r="AL603" s="9"/>
      <c r="AM603" s="9"/>
      <c r="AN603" s="9"/>
      <c r="AO603" s="9"/>
      <c r="AP603" s="9"/>
      <c r="AQ603" s="9"/>
      <c r="AR603" s="9"/>
      <c r="AS603" s="9"/>
      <c r="AT603" s="9"/>
      <c r="AU603" s="9"/>
      <c r="AV603" s="9"/>
      <c r="AW603" s="9"/>
      <c r="AX603" s="9"/>
      <c r="AY603" s="9"/>
      <c r="AZ603" s="9"/>
      <c r="BA603" s="9"/>
      <c r="BB603" s="9"/>
      <c r="BC603" s="9"/>
      <c r="BD603" s="9"/>
      <c r="BE603" s="9"/>
      <c r="BF603" s="9"/>
      <c r="BG603" s="9"/>
      <c r="BH603" s="9"/>
      <c r="BI603" s="9"/>
      <c r="BJ603" s="9"/>
      <c r="BK603" s="9"/>
      <c r="BL603" s="9"/>
      <c r="BM603" s="9"/>
      <c r="BN603" s="9"/>
      <c r="BO603" s="9"/>
      <c r="BP603" s="9"/>
      <c r="BQ603" s="9"/>
      <c r="BR603" s="9"/>
      <c r="BS603" s="9"/>
      <c r="BT603" s="9"/>
      <c r="BU603" s="9"/>
      <c r="BV603" s="9"/>
      <c r="BW603" s="9"/>
      <c r="BX603" s="9"/>
      <c r="BY603" s="9"/>
      <c r="BZ603" s="9"/>
    </row>
    <row r="604" spans="4:78" ht="18" customHeight="1" x14ac:dyDescent="0.25"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S604" s="9"/>
      <c r="T604" s="9"/>
      <c r="U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  <c r="AJ604" s="9"/>
      <c r="AK604" s="9"/>
      <c r="AL604" s="9"/>
      <c r="AM604" s="9"/>
      <c r="AN604" s="9"/>
      <c r="AO604" s="9"/>
      <c r="AP604" s="9"/>
      <c r="AQ604" s="9"/>
      <c r="AR604" s="9"/>
      <c r="AS604" s="9"/>
      <c r="AT604" s="9"/>
      <c r="AU604" s="9"/>
      <c r="AV604" s="9"/>
      <c r="AW604" s="9"/>
      <c r="AX604" s="9"/>
      <c r="AY604" s="9"/>
      <c r="AZ604" s="9"/>
      <c r="BA604" s="9"/>
      <c r="BB604" s="9"/>
      <c r="BC604" s="9"/>
      <c r="BD604" s="9"/>
      <c r="BE604" s="9"/>
      <c r="BF604" s="9"/>
      <c r="BG604" s="9"/>
      <c r="BH604" s="9"/>
      <c r="BI604" s="9"/>
      <c r="BJ604" s="9"/>
      <c r="BK604" s="9"/>
      <c r="BL604" s="9"/>
      <c r="BM604" s="9"/>
      <c r="BN604" s="9"/>
      <c r="BO604" s="9"/>
      <c r="BP604" s="9"/>
      <c r="BQ604" s="9"/>
      <c r="BR604" s="9"/>
      <c r="BS604" s="9"/>
      <c r="BT604" s="9"/>
      <c r="BU604" s="9"/>
      <c r="BV604" s="9"/>
      <c r="BW604" s="9"/>
      <c r="BX604" s="9"/>
      <c r="BY604" s="9"/>
      <c r="BZ604" s="9"/>
    </row>
    <row r="605" spans="4:78" ht="18" customHeight="1" x14ac:dyDescent="0.25"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S605" s="9"/>
      <c r="T605" s="9"/>
      <c r="U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  <c r="AJ605" s="9"/>
      <c r="AK605" s="9"/>
      <c r="AL605" s="9"/>
      <c r="AM605" s="9"/>
      <c r="AN605" s="9"/>
      <c r="AO605" s="9"/>
      <c r="AP605" s="9"/>
      <c r="AQ605" s="9"/>
      <c r="AR605" s="9"/>
      <c r="AS605" s="9"/>
      <c r="AT605" s="9"/>
      <c r="AU605" s="9"/>
      <c r="AV605" s="9"/>
      <c r="AW605" s="9"/>
      <c r="AX605" s="9"/>
      <c r="AY605" s="9"/>
      <c r="AZ605" s="9"/>
      <c r="BA605" s="9"/>
      <c r="BB605" s="9"/>
      <c r="BC605" s="9"/>
      <c r="BD605" s="9"/>
      <c r="BE605" s="9"/>
      <c r="BF605" s="9"/>
      <c r="BG605" s="9"/>
      <c r="BH605" s="9"/>
      <c r="BI605" s="9"/>
      <c r="BJ605" s="9"/>
      <c r="BK605" s="9"/>
      <c r="BL605" s="9"/>
      <c r="BM605" s="9"/>
      <c r="BN605" s="9"/>
      <c r="BO605" s="9"/>
      <c r="BP605" s="9"/>
      <c r="BQ605" s="9"/>
      <c r="BR605" s="9"/>
      <c r="BS605" s="9"/>
      <c r="BT605" s="9"/>
      <c r="BU605" s="9"/>
      <c r="BV605" s="9"/>
      <c r="BW605" s="9"/>
      <c r="BX605" s="9"/>
      <c r="BY605" s="9"/>
      <c r="BZ605" s="9"/>
    </row>
    <row r="606" spans="4:78" ht="18" customHeight="1" x14ac:dyDescent="0.25"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S606" s="9"/>
      <c r="T606" s="9"/>
      <c r="U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  <c r="AJ606" s="9"/>
      <c r="AK606" s="9"/>
      <c r="AL606" s="9"/>
      <c r="AM606" s="9"/>
      <c r="AN606" s="9"/>
      <c r="AO606" s="9"/>
      <c r="AP606" s="9"/>
      <c r="AQ606" s="9"/>
      <c r="AR606" s="9"/>
      <c r="AS606" s="9"/>
      <c r="AT606" s="9"/>
      <c r="AU606" s="9"/>
      <c r="AV606" s="9"/>
      <c r="AW606" s="9"/>
      <c r="AX606" s="9"/>
      <c r="AY606" s="9"/>
      <c r="AZ606" s="9"/>
      <c r="BA606" s="9"/>
      <c r="BB606" s="9"/>
      <c r="BC606" s="9"/>
      <c r="BD606" s="9"/>
      <c r="BE606" s="9"/>
      <c r="BF606" s="9"/>
      <c r="BG606" s="9"/>
      <c r="BH606" s="9"/>
      <c r="BI606" s="9"/>
      <c r="BJ606" s="9"/>
      <c r="BK606" s="9"/>
      <c r="BL606" s="9"/>
      <c r="BM606" s="9"/>
      <c r="BN606" s="9"/>
      <c r="BO606" s="9"/>
      <c r="BP606" s="9"/>
      <c r="BQ606" s="9"/>
      <c r="BR606" s="9"/>
      <c r="BS606" s="9"/>
      <c r="BT606" s="9"/>
      <c r="BU606" s="9"/>
      <c r="BV606" s="9"/>
      <c r="BW606" s="9"/>
      <c r="BX606" s="9"/>
      <c r="BY606" s="9"/>
      <c r="BZ606" s="9"/>
    </row>
    <row r="607" spans="4:78" ht="18" customHeight="1" x14ac:dyDescent="0.25"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S607" s="9"/>
      <c r="T607" s="9"/>
      <c r="U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  <c r="AJ607" s="9"/>
      <c r="AK607" s="9"/>
      <c r="AL607" s="9"/>
      <c r="AM607" s="9"/>
      <c r="AN607" s="9"/>
      <c r="AO607" s="9"/>
      <c r="AP607" s="9"/>
      <c r="AQ607" s="9"/>
      <c r="AR607" s="9"/>
      <c r="AS607" s="9"/>
      <c r="AT607" s="9"/>
      <c r="AU607" s="9"/>
      <c r="AV607" s="9"/>
      <c r="AW607" s="9"/>
      <c r="AX607" s="9"/>
      <c r="AY607" s="9"/>
      <c r="AZ607" s="9"/>
      <c r="BA607" s="9"/>
      <c r="BB607" s="9"/>
      <c r="BC607" s="9"/>
      <c r="BD607" s="9"/>
      <c r="BE607" s="9"/>
      <c r="BF607" s="9"/>
      <c r="BG607" s="9"/>
      <c r="BH607" s="9"/>
      <c r="BI607" s="9"/>
      <c r="BJ607" s="9"/>
      <c r="BK607" s="9"/>
      <c r="BL607" s="9"/>
      <c r="BM607" s="9"/>
      <c r="BN607" s="9"/>
      <c r="BO607" s="9"/>
      <c r="BP607" s="9"/>
      <c r="BQ607" s="9"/>
      <c r="BR607" s="9"/>
      <c r="BS607" s="9"/>
      <c r="BT607" s="9"/>
      <c r="BU607" s="9"/>
      <c r="BV607" s="9"/>
      <c r="BW607" s="9"/>
      <c r="BX607" s="9"/>
      <c r="BY607" s="9"/>
      <c r="BZ607" s="9"/>
    </row>
    <row r="608" spans="4:78" ht="18" customHeight="1" x14ac:dyDescent="0.25"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S608" s="9"/>
      <c r="T608" s="9"/>
      <c r="U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  <c r="AJ608" s="9"/>
      <c r="AK608" s="9"/>
      <c r="AL608" s="9"/>
      <c r="AM608" s="9"/>
      <c r="AN608" s="9"/>
      <c r="AO608" s="9"/>
      <c r="AP608" s="9"/>
      <c r="AQ608" s="9"/>
      <c r="AR608" s="9"/>
      <c r="AS608" s="9"/>
      <c r="AT608" s="9"/>
      <c r="AU608" s="9"/>
      <c r="AV608" s="9"/>
      <c r="AW608" s="9"/>
      <c r="AX608" s="9"/>
      <c r="AY608" s="9"/>
      <c r="AZ608" s="9"/>
      <c r="BA608" s="9"/>
      <c r="BB608" s="9"/>
      <c r="BC608" s="9"/>
      <c r="BD608" s="9"/>
      <c r="BE608" s="9"/>
      <c r="BF608" s="9"/>
      <c r="BG608" s="9"/>
      <c r="BH608" s="9"/>
      <c r="BI608" s="9"/>
      <c r="BJ608" s="9"/>
      <c r="BK608" s="9"/>
      <c r="BL608" s="9"/>
      <c r="BM608" s="9"/>
      <c r="BN608" s="9"/>
      <c r="BO608" s="9"/>
      <c r="BP608" s="9"/>
      <c r="BQ608" s="9"/>
      <c r="BR608" s="9"/>
      <c r="BS608" s="9"/>
      <c r="BT608" s="9"/>
      <c r="BU608" s="9"/>
      <c r="BV608" s="9"/>
      <c r="BW608" s="9"/>
      <c r="BX608" s="9"/>
      <c r="BY608" s="9"/>
      <c r="BZ608" s="9"/>
    </row>
    <row r="609" spans="4:78" ht="18" customHeight="1" x14ac:dyDescent="0.25"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S609" s="9"/>
      <c r="T609" s="9"/>
      <c r="U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  <c r="AJ609" s="9"/>
      <c r="AK609" s="9"/>
      <c r="AL609" s="9"/>
      <c r="AM609" s="9"/>
      <c r="AN609" s="9"/>
      <c r="AO609" s="9"/>
      <c r="AP609" s="9"/>
      <c r="AQ609" s="9"/>
      <c r="AR609" s="9"/>
      <c r="AS609" s="9"/>
      <c r="AT609" s="9"/>
      <c r="AU609" s="9"/>
      <c r="AV609" s="9"/>
      <c r="AW609" s="9"/>
      <c r="AX609" s="9"/>
      <c r="AY609" s="9"/>
      <c r="AZ609" s="9"/>
      <c r="BA609" s="9"/>
      <c r="BB609" s="9"/>
      <c r="BC609" s="9"/>
      <c r="BD609" s="9"/>
      <c r="BE609" s="9"/>
      <c r="BF609" s="9"/>
      <c r="BG609" s="9"/>
      <c r="BH609" s="9"/>
      <c r="BI609" s="9"/>
      <c r="BJ609" s="9"/>
      <c r="BK609" s="9"/>
      <c r="BL609" s="9"/>
      <c r="BM609" s="9"/>
      <c r="BN609" s="9"/>
      <c r="BO609" s="9"/>
      <c r="BP609" s="9"/>
      <c r="BQ609" s="9"/>
      <c r="BR609" s="9"/>
      <c r="BS609" s="9"/>
      <c r="BT609" s="9"/>
      <c r="BU609" s="9"/>
      <c r="BV609" s="9"/>
      <c r="BW609" s="9"/>
      <c r="BX609" s="9"/>
      <c r="BY609" s="9"/>
      <c r="BZ609" s="9"/>
    </row>
    <row r="610" spans="4:78" ht="18" customHeight="1" x14ac:dyDescent="0.25"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S610" s="9"/>
      <c r="T610" s="9"/>
      <c r="U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  <c r="AJ610" s="9"/>
      <c r="AK610" s="9"/>
      <c r="AL610" s="9"/>
      <c r="AM610" s="9"/>
      <c r="AN610" s="9"/>
      <c r="AO610" s="9"/>
      <c r="AP610" s="9"/>
      <c r="AQ610" s="9"/>
      <c r="AR610" s="9"/>
      <c r="AS610" s="9"/>
      <c r="AT610" s="9"/>
      <c r="AU610" s="9"/>
      <c r="AV610" s="9"/>
      <c r="AW610" s="9"/>
      <c r="AX610" s="9"/>
      <c r="AY610" s="9"/>
      <c r="AZ610" s="9"/>
      <c r="BA610" s="9"/>
      <c r="BB610" s="9"/>
      <c r="BC610" s="9"/>
      <c r="BD610" s="9"/>
      <c r="BE610" s="9"/>
      <c r="BF610" s="9"/>
      <c r="BG610" s="9"/>
      <c r="BH610" s="9"/>
      <c r="BI610" s="9"/>
      <c r="BJ610" s="9"/>
      <c r="BK610" s="9"/>
      <c r="BL610" s="9"/>
      <c r="BM610" s="9"/>
      <c r="BN610" s="9"/>
      <c r="BO610" s="9"/>
      <c r="BP610" s="9"/>
      <c r="BQ610" s="9"/>
      <c r="BR610" s="9"/>
      <c r="BS610" s="9"/>
      <c r="BT610" s="9"/>
      <c r="BU610" s="9"/>
      <c r="BV610" s="9"/>
      <c r="BW610" s="9"/>
      <c r="BX610" s="9"/>
      <c r="BY610" s="9"/>
      <c r="BZ610" s="9"/>
    </row>
    <row r="611" spans="4:78" ht="18" customHeight="1" x14ac:dyDescent="0.25"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S611" s="9"/>
      <c r="T611" s="9"/>
      <c r="U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  <c r="AJ611" s="9"/>
      <c r="AK611" s="9"/>
      <c r="AL611" s="9"/>
      <c r="AM611" s="9"/>
      <c r="AN611" s="9"/>
      <c r="AO611" s="9"/>
      <c r="AP611" s="9"/>
      <c r="AQ611" s="9"/>
      <c r="AR611" s="9"/>
      <c r="AS611" s="9"/>
      <c r="AT611" s="9"/>
      <c r="AU611" s="9"/>
      <c r="AV611" s="9"/>
      <c r="AW611" s="9"/>
      <c r="AX611" s="9"/>
      <c r="AY611" s="9"/>
      <c r="AZ611" s="9"/>
      <c r="BA611" s="9"/>
      <c r="BB611" s="9"/>
      <c r="BC611" s="9"/>
      <c r="BD611" s="9"/>
      <c r="BE611" s="9"/>
      <c r="BF611" s="9"/>
      <c r="BG611" s="9"/>
      <c r="BH611" s="9"/>
      <c r="BI611" s="9"/>
      <c r="BJ611" s="9"/>
      <c r="BK611" s="9"/>
      <c r="BL611" s="9"/>
      <c r="BM611" s="9"/>
      <c r="BN611" s="9"/>
      <c r="BO611" s="9"/>
      <c r="BP611" s="9"/>
      <c r="BQ611" s="9"/>
      <c r="BR611" s="9"/>
      <c r="BS611" s="9"/>
      <c r="BT611" s="9"/>
      <c r="BU611" s="9"/>
      <c r="BV611" s="9"/>
      <c r="BW611" s="9"/>
      <c r="BX611" s="9"/>
      <c r="BY611" s="9"/>
      <c r="BZ611" s="9"/>
    </row>
    <row r="612" spans="4:78" ht="18" customHeight="1" x14ac:dyDescent="0.25"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S612" s="9"/>
      <c r="T612" s="9"/>
      <c r="U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  <c r="AJ612" s="9"/>
      <c r="AK612" s="9"/>
      <c r="AL612" s="9"/>
      <c r="AM612" s="9"/>
      <c r="AN612" s="9"/>
      <c r="AO612" s="9"/>
      <c r="AP612" s="9"/>
      <c r="AQ612" s="9"/>
      <c r="AR612" s="9"/>
      <c r="AS612" s="9"/>
      <c r="AT612" s="9"/>
      <c r="AU612" s="9"/>
      <c r="AV612" s="9"/>
      <c r="AW612" s="9"/>
      <c r="AX612" s="9"/>
      <c r="AY612" s="9"/>
      <c r="AZ612" s="9"/>
      <c r="BA612" s="9"/>
      <c r="BB612" s="9"/>
      <c r="BC612" s="9"/>
      <c r="BD612" s="9"/>
      <c r="BE612" s="9"/>
      <c r="BF612" s="9"/>
      <c r="BG612" s="9"/>
      <c r="BH612" s="9"/>
      <c r="BI612" s="9"/>
      <c r="BJ612" s="9"/>
      <c r="BK612" s="9"/>
      <c r="BL612" s="9"/>
      <c r="BM612" s="9"/>
      <c r="BN612" s="9"/>
      <c r="BO612" s="9"/>
      <c r="BP612" s="9"/>
      <c r="BQ612" s="9"/>
      <c r="BR612" s="9"/>
      <c r="BS612" s="9"/>
      <c r="BT612" s="9"/>
      <c r="BU612" s="9"/>
      <c r="BV612" s="9"/>
      <c r="BW612" s="9"/>
      <c r="BX612" s="9"/>
      <c r="BY612" s="9"/>
      <c r="BZ612" s="9"/>
    </row>
    <row r="613" spans="4:78" ht="18" customHeight="1" x14ac:dyDescent="0.25"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S613" s="9"/>
      <c r="T613" s="9"/>
      <c r="U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  <c r="AJ613" s="9"/>
      <c r="AK613" s="9"/>
      <c r="AL613" s="9"/>
      <c r="AM613" s="9"/>
      <c r="AN613" s="9"/>
      <c r="AO613" s="9"/>
      <c r="AP613" s="9"/>
      <c r="AQ613" s="9"/>
      <c r="AR613" s="9"/>
      <c r="AS613" s="9"/>
      <c r="AT613" s="9"/>
      <c r="AU613" s="9"/>
      <c r="AV613" s="9"/>
      <c r="AW613" s="9"/>
      <c r="AX613" s="9"/>
      <c r="AY613" s="9"/>
      <c r="AZ613" s="9"/>
      <c r="BA613" s="9"/>
      <c r="BB613" s="9"/>
      <c r="BC613" s="9"/>
      <c r="BD613" s="9"/>
      <c r="BE613" s="9"/>
      <c r="BF613" s="9"/>
      <c r="BG613" s="9"/>
      <c r="BH613" s="9"/>
      <c r="BI613" s="9"/>
      <c r="BJ613" s="9"/>
      <c r="BK613" s="9"/>
      <c r="BL613" s="9"/>
      <c r="BM613" s="9"/>
      <c r="BN613" s="9"/>
      <c r="BO613" s="9"/>
      <c r="BP613" s="9"/>
      <c r="BQ613" s="9"/>
      <c r="BR613" s="9"/>
      <c r="BS613" s="9"/>
      <c r="BT613" s="9"/>
      <c r="BU613" s="9"/>
      <c r="BV613" s="9"/>
      <c r="BW613" s="9"/>
      <c r="BX613" s="9"/>
      <c r="BY613" s="9"/>
      <c r="BZ613" s="9"/>
    </row>
    <row r="614" spans="4:78" ht="18" customHeight="1" x14ac:dyDescent="0.25"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S614" s="9"/>
      <c r="T614" s="9"/>
      <c r="U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  <c r="AJ614" s="9"/>
      <c r="AK614" s="9"/>
      <c r="AL614" s="9"/>
      <c r="AM614" s="9"/>
      <c r="AN614" s="9"/>
      <c r="AO614" s="9"/>
      <c r="AP614" s="9"/>
      <c r="AQ614" s="9"/>
      <c r="AR614" s="9"/>
      <c r="AS614" s="9"/>
      <c r="AT614" s="9"/>
      <c r="AU614" s="9"/>
      <c r="AV614" s="9"/>
      <c r="AW614" s="9"/>
      <c r="AX614" s="9"/>
      <c r="AY614" s="9"/>
      <c r="AZ614" s="9"/>
      <c r="BA614" s="9"/>
      <c r="BB614" s="9"/>
      <c r="BC614" s="9"/>
      <c r="BD614" s="9"/>
      <c r="BE614" s="9"/>
      <c r="BF614" s="9"/>
      <c r="BG614" s="9"/>
      <c r="BH614" s="9"/>
      <c r="BI614" s="9"/>
      <c r="BJ614" s="9"/>
      <c r="BK614" s="9"/>
      <c r="BL614" s="9"/>
      <c r="BM614" s="9"/>
      <c r="BN614" s="9"/>
      <c r="BO614" s="9"/>
      <c r="BP614" s="9"/>
      <c r="BQ614" s="9"/>
      <c r="BR614" s="9"/>
      <c r="BS614" s="9"/>
      <c r="BT614" s="9"/>
      <c r="BU614" s="9"/>
      <c r="BV614" s="9"/>
      <c r="BW614" s="9"/>
      <c r="BX614" s="9"/>
      <c r="BY614" s="9"/>
      <c r="BZ614" s="9"/>
    </row>
    <row r="615" spans="4:78" ht="18" customHeight="1" x14ac:dyDescent="0.25"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S615" s="9"/>
      <c r="T615" s="9"/>
      <c r="U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  <c r="AJ615" s="9"/>
      <c r="AK615" s="9"/>
      <c r="AL615" s="9"/>
      <c r="AM615" s="9"/>
      <c r="AN615" s="9"/>
      <c r="AO615" s="9"/>
      <c r="AP615" s="9"/>
      <c r="AQ615" s="9"/>
      <c r="AR615" s="9"/>
      <c r="AS615" s="9"/>
      <c r="AT615" s="9"/>
      <c r="AU615" s="9"/>
      <c r="AV615" s="9"/>
      <c r="AW615" s="9"/>
      <c r="AX615" s="9"/>
      <c r="AY615" s="9"/>
      <c r="AZ615" s="9"/>
      <c r="BA615" s="9"/>
      <c r="BB615" s="9"/>
      <c r="BC615" s="9"/>
      <c r="BD615" s="9"/>
      <c r="BE615" s="9"/>
      <c r="BF615" s="9"/>
      <c r="BG615" s="9"/>
      <c r="BH615" s="9"/>
      <c r="BI615" s="9"/>
      <c r="BJ615" s="9"/>
      <c r="BK615" s="9"/>
      <c r="BL615" s="9"/>
      <c r="BM615" s="9"/>
      <c r="BN615" s="9"/>
      <c r="BO615" s="9"/>
      <c r="BP615" s="9"/>
      <c r="BQ615" s="9"/>
      <c r="BR615" s="9"/>
      <c r="BS615" s="9"/>
      <c r="BT615" s="9"/>
      <c r="BU615" s="9"/>
      <c r="BV615" s="9"/>
      <c r="BW615" s="9"/>
      <c r="BX615" s="9"/>
      <c r="BY615" s="9"/>
      <c r="BZ615" s="9"/>
    </row>
    <row r="616" spans="4:78" ht="18" customHeight="1" x14ac:dyDescent="0.25"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S616" s="9"/>
      <c r="T616" s="9"/>
      <c r="U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  <c r="AJ616" s="9"/>
      <c r="AK616" s="9"/>
      <c r="AL616" s="9"/>
      <c r="AM616" s="9"/>
      <c r="AN616" s="9"/>
      <c r="AO616" s="9"/>
      <c r="AP616" s="9"/>
      <c r="AQ616" s="9"/>
      <c r="AR616" s="9"/>
      <c r="AS616" s="9"/>
      <c r="AT616" s="9"/>
      <c r="AU616" s="9"/>
      <c r="AV616" s="9"/>
      <c r="AW616" s="9"/>
      <c r="AX616" s="9"/>
      <c r="AY616" s="9"/>
      <c r="AZ616" s="9"/>
      <c r="BA616" s="9"/>
      <c r="BB616" s="9"/>
      <c r="BC616" s="9"/>
      <c r="BD616" s="9"/>
      <c r="BE616" s="9"/>
      <c r="BF616" s="9"/>
      <c r="BG616" s="9"/>
      <c r="BH616" s="9"/>
      <c r="BI616" s="9"/>
      <c r="BJ616" s="9"/>
      <c r="BK616" s="9"/>
      <c r="BL616" s="9"/>
      <c r="BM616" s="9"/>
      <c r="BN616" s="9"/>
      <c r="BO616" s="9"/>
      <c r="BP616" s="9"/>
      <c r="BQ616" s="9"/>
      <c r="BR616" s="9"/>
      <c r="BS616" s="9"/>
      <c r="BT616" s="9"/>
      <c r="BU616" s="9"/>
      <c r="BV616" s="9"/>
      <c r="BW616" s="9"/>
      <c r="BX616" s="9"/>
      <c r="BY616" s="9"/>
      <c r="BZ616" s="9"/>
    </row>
    <row r="617" spans="4:78" ht="18" customHeight="1" x14ac:dyDescent="0.25"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S617" s="9"/>
      <c r="T617" s="9"/>
      <c r="U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  <c r="AJ617" s="9"/>
      <c r="AK617" s="9"/>
      <c r="AL617" s="9"/>
      <c r="AM617" s="9"/>
      <c r="AN617" s="9"/>
      <c r="AO617" s="9"/>
      <c r="AP617" s="9"/>
      <c r="AQ617" s="9"/>
      <c r="AR617" s="9"/>
      <c r="AS617" s="9"/>
      <c r="AT617" s="9"/>
      <c r="AU617" s="9"/>
      <c r="AV617" s="9"/>
      <c r="AW617" s="9"/>
      <c r="AX617" s="9"/>
      <c r="AY617" s="9"/>
      <c r="AZ617" s="9"/>
      <c r="BA617" s="9"/>
      <c r="BB617" s="9"/>
      <c r="BC617" s="9"/>
      <c r="BD617" s="9"/>
      <c r="BE617" s="9"/>
      <c r="BF617" s="9"/>
      <c r="BG617" s="9"/>
      <c r="BH617" s="9"/>
      <c r="BI617" s="9"/>
      <c r="BJ617" s="9"/>
      <c r="BK617" s="9"/>
      <c r="BL617" s="9"/>
      <c r="BM617" s="9"/>
      <c r="BN617" s="9"/>
      <c r="BO617" s="9"/>
      <c r="BP617" s="9"/>
      <c r="BQ617" s="9"/>
      <c r="BR617" s="9"/>
      <c r="BS617" s="9"/>
      <c r="BT617" s="9"/>
      <c r="BU617" s="9"/>
      <c r="BV617" s="9"/>
      <c r="BW617" s="9"/>
      <c r="BX617" s="9"/>
      <c r="BY617" s="9"/>
      <c r="BZ617" s="9"/>
    </row>
    <row r="618" spans="4:78" ht="18" customHeight="1" x14ac:dyDescent="0.25"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S618" s="9"/>
      <c r="T618" s="9"/>
      <c r="U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  <c r="AJ618" s="9"/>
      <c r="AK618" s="9"/>
      <c r="AL618" s="9"/>
      <c r="AM618" s="9"/>
      <c r="AN618" s="9"/>
      <c r="AO618" s="9"/>
      <c r="AP618" s="9"/>
      <c r="AQ618" s="9"/>
      <c r="AR618" s="9"/>
      <c r="AS618" s="9"/>
      <c r="AT618" s="9"/>
      <c r="AU618" s="9"/>
      <c r="AV618" s="9"/>
      <c r="AW618" s="9"/>
      <c r="AX618" s="9"/>
      <c r="AY618" s="9"/>
      <c r="AZ618" s="9"/>
      <c r="BA618" s="9"/>
      <c r="BB618" s="9"/>
      <c r="BC618" s="9"/>
      <c r="BD618" s="9"/>
      <c r="BE618" s="9"/>
      <c r="BF618" s="9"/>
      <c r="BG618" s="9"/>
      <c r="BH618" s="9"/>
      <c r="BI618" s="9"/>
      <c r="BJ618" s="9"/>
      <c r="BK618" s="9"/>
      <c r="BL618" s="9"/>
      <c r="BM618" s="9"/>
      <c r="BN618" s="9"/>
      <c r="BO618" s="9"/>
      <c r="BP618" s="9"/>
      <c r="BQ618" s="9"/>
      <c r="BR618" s="9"/>
      <c r="BS618" s="9"/>
      <c r="BT618" s="9"/>
      <c r="BU618" s="9"/>
      <c r="BV618" s="9"/>
      <c r="BW618" s="9"/>
      <c r="BX618" s="9"/>
      <c r="BY618" s="9"/>
      <c r="BZ618" s="9"/>
    </row>
    <row r="619" spans="4:78" ht="18" customHeight="1" x14ac:dyDescent="0.25"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S619" s="9"/>
      <c r="T619" s="9"/>
      <c r="U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  <c r="AJ619" s="9"/>
      <c r="AK619" s="9"/>
      <c r="AL619" s="9"/>
      <c r="AM619" s="9"/>
      <c r="AN619" s="9"/>
      <c r="AO619" s="9"/>
      <c r="AP619" s="9"/>
      <c r="AQ619" s="9"/>
      <c r="AR619" s="9"/>
      <c r="AS619" s="9"/>
      <c r="AT619" s="9"/>
      <c r="AU619" s="9"/>
      <c r="AV619" s="9"/>
      <c r="AW619" s="9"/>
      <c r="AX619" s="9"/>
      <c r="AY619" s="9"/>
      <c r="AZ619" s="9"/>
      <c r="BA619" s="9"/>
      <c r="BB619" s="9"/>
      <c r="BC619" s="9"/>
      <c r="BD619" s="9"/>
      <c r="BE619" s="9"/>
      <c r="BF619" s="9"/>
      <c r="BG619" s="9"/>
      <c r="BH619" s="9"/>
      <c r="BI619" s="9"/>
      <c r="BJ619" s="9"/>
      <c r="BK619" s="9"/>
      <c r="BL619" s="9"/>
      <c r="BM619" s="9"/>
      <c r="BN619" s="9"/>
      <c r="BO619" s="9"/>
      <c r="BP619" s="9"/>
      <c r="BQ619" s="9"/>
      <c r="BR619" s="9"/>
      <c r="BS619" s="9"/>
      <c r="BT619" s="9"/>
      <c r="BU619" s="9"/>
      <c r="BV619" s="9"/>
      <c r="BW619" s="9"/>
      <c r="BX619" s="9"/>
      <c r="BY619" s="9"/>
      <c r="BZ619" s="9"/>
    </row>
    <row r="620" spans="4:78" ht="18" customHeight="1" x14ac:dyDescent="0.25"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S620" s="9"/>
      <c r="T620" s="9"/>
      <c r="U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  <c r="BF620" s="9"/>
      <c r="BG620" s="9"/>
      <c r="BH620" s="9"/>
      <c r="BI620" s="9"/>
      <c r="BJ620" s="9"/>
      <c r="BK620" s="9"/>
      <c r="BL620" s="9"/>
      <c r="BM620" s="9"/>
      <c r="BN620" s="9"/>
      <c r="BO620" s="9"/>
      <c r="BP620" s="9"/>
      <c r="BQ620" s="9"/>
      <c r="BR620" s="9"/>
      <c r="BS620" s="9"/>
      <c r="BT620" s="9"/>
      <c r="BU620" s="9"/>
      <c r="BV620" s="9"/>
      <c r="BW620" s="9"/>
      <c r="BX620" s="9"/>
      <c r="BY620" s="9"/>
      <c r="BZ620" s="9"/>
    </row>
    <row r="621" spans="4:78" ht="18" customHeight="1" x14ac:dyDescent="0.25"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S621" s="9"/>
      <c r="T621" s="9"/>
      <c r="U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  <c r="AJ621" s="9"/>
      <c r="AK621" s="9"/>
      <c r="AL621" s="9"/>
      <c r="AM621" s="9"/>
      <c r="AN621" s="9"/>
      <c r="AO621" s="9"/>
      <c r="AP621" s="9"/>
      <c r="AQ621" s="9"/>
      <c r="AR621" s="9"/>
      <c r="AS621" s="9"/>
      <c r="AT621" s="9"/>
      <c r="AU621" s="9"/>
      <c r="AV621" s="9"/>
      <c r="AW621" s="9"/>
      <c r="AX621" s="9"/>
      <c r="AY621" s="9"/>
      <c r="AZ621" s="9"/>
      <c r="BA621" s="9"/>
      <c r="BB621" s="9"/>
      <c r="BC621" s="9"/>
      <c r="BD621" s="9"/>
      <c r="BE621" s="9"/>
      <c r="BF621" s="9"/>
      <c r="BG621" s="9"/>
      <c r="BH621" s="9"/>
      <c r="BI621" s="9"/>
      <c r="BJ621" s="9"/>
      <c r="BK621" s="9"/>
      <c r="BL621" s="9"/>
      <c r="BM621" s="9"/>
      <c r="BN621" s="9"/>
      <c r="BO621" s="9"/>
      <c r="BP621" s="9"/>
      <c r="BQ621" s="9"/>
      <c r="BR621" s="9"/>
      <c r="BS621" s="9"/>
      <c r="BT621" s="9"/>
      <c r="BU621" s="9"/>
      <c r="BV621" s="9"/>
      <c r="BW621" s="9"/>
      <c r="BX621" s="9"/>
      <c r="BY621" s="9"/>
      <c r="BZ621" s="9"/>
    </row>
    <row r="622" spans="4:78" ht="18" customHeight="1" x14ac:dyDescent="0.25"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S622" s="9"/>
      <c r="T622" s="9"/>
      <c r="U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  <c r="AJ622" s="9"/>
      <c r="AK622" s="9"/>
      <c r="AL622" s="9"/>
      <c r="AM622" s="9"/>
      <c r="AN622" s="9"/>
      <c r="AO622" s="9"/>
      <c r="AP622" s="9"/>
      <c r="AQ622" s="9"/>
      <c r="AR622" s="9"/>
      <c r="AS622" s="9"/>
      <c r="AT622" s="9"/>
      <c r="AU622" s="9"/>
      <c r="AV622" s="9"/>
      <c r="AW622" s="9"/>
      <c r="AX622" s="9"/>
      <c r="AY622" s="9"/>
      <c r="AZ622" s="9"/>
      <c r="BA622" s="9"/>
      <c r="BB622" s="9"/>
      <c r="BC622" s="9"/>
      <c r="BD622" s="9"/>
      <c r="BE622" s="9"/>
      <c r="BF622" s="9"/>
      <c r="BG622" s="9"/>
      <c r="BH622" s="9"/>
      <c r="BI622" s="9"/>
      <c r="BJ622" s="9"/>
      <c r="BK622" s="9"/>
      <c r="BL622" s="9"/>
      <c r="BM622" s="9"/>
      <c r="BN622" s="9"/>
      <c r="BO622" s="9"/>
      <c r="BP622" s="9"/>
      <c r="BQ622" s="9"/>
      <c r="BR622" s="9"/>
      <c r="BS622" s="9"/>
      <c r="BT622" s="9"/>
      <c r="BU622" s="9"/>
      <c r="BV622" s="9"/>
      <c r="BW622" s="9"/>
      <c r="BX622" s="9"/>
      <c r="BY622" s="9"/>
      <c r="BZ622" s="9"/>
    </row>
    <row r="623" spans="4:78" ht="18" customHeight="1" x14ac:dyDescent="0.25"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S623" s="9"/>
      <c r="T623" s="9"/>
      <c r="U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  <c r="AJ623" s="9"/>
      <c r="AK623" s="9"/>
      <c r="AL623" s="9"/>
      <c r="AM623" s="9"/>
      <c r="AN623" s="9"/>
      <c r="AO623" s="9"/>
      <c r="AP623" s="9"/>
      <c r="AQ623" s="9"/>
      <c r="AR623" s="9"/>
      <c r="AS623" s="9"/>
      <c r="AT623" s="9"/>
      <c r="AU623" s="9"/>
      <c r="AV623" s="9"/>
      <c r="AW623" s="9"/>
      <c r="AX623" s="9"/>
      <c r="AY623" s="9"/>
      <c r="AZ623" s="9"/>
      <c r="BA623" s="9"/>
      <c r="BB623" s="9"/>
      <c r="BC623" s="9"/>
      <c r="BD623" s="9"/>
      <c r="BE623" s="9"/>
      <c r="BF623" s="9"/>
      <c r="BG623" s="9"/>
      <c r="BH623" s="9"/>
      <c r="BI623" s="9"/>
      <c r="BJ623" s="9"/>
      <c r="BK623" s="9"/>
      <c r="BL623" s="9"/>
      <c r="BM623" s="9"/>
      <c r="BN623" s="9"/>
      <c r="BO623" s="9"/>
      <c r="BP623" s="9"/>
      <c r="BQ623" s="9"/>
      <c r="BR623" s="9"/>
      <c r="BS623" s="9"/>
      <c r="BT623" s="9"/>
      <c r="BU623" s="9"/>
      <c r="BV623" s="9"/>
      <c r="BW623" s="9"/>
      <c r="BX623" s="9"/>
      <c r="BY623" s="9"/>
      <c r="BZ623" s="9"/>
    </row>
    <row r="624" spans="4:78" ht="18" customHeight="1" x14ac:dyDescent="0.25"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S624" s="9"/>
      <c r="T624" s="9"/>
      <c r="U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  <c r="AJ624" s="9"/>
      <c r="AK624" s="9"/>
      <c r="AL624" s="9"/>
      <c r="AM624" s="9"/>
      <c r="AN624" s="9"/>
      <c r="AO624" s="9"/>
      <c r="AP624" s="9"/>
      <c r="AQ624" s="9"/>
      <c r="AR624" s="9"/>
      <c r="AS624" s="9"/>
      <c r="AT624" s="9"/>
      <c r="AU624" s="9"/>
      <c r="AV624" s="9"/>
      <c r="AW624" s="9"/>
      <c r="AX624" s="9"/>
      <c r="AY624" s="9"/>
      <c r="AZ624" s="9"/>
      <c r="BA624" s="9"/>
      <c r="BB624" s="9"/>
      <c r="BC624" s="9"/>
      <c r="BD624" s="9"/>
      <c r="BE624" s="9"/>
      <c r="BF624" s="9"/>
      <c r="BG624" s="9"/>
      <c r="BH624" s="9"/>
      <c r="BI624" s="9"/>
      <c r="BJ624" s="9"/>
      <c r="BK624" s="9"/>
      <c r="BL624" s="9"/>
      <c r="BM624" s="9"/>
      <c r="BN624" s="9"/>
      <c r="BO624" s="9"/>
      <c r="BP624" s="9"/>
      <c r="BQ624" s="9"/>
      <c r="BR624" s="9"/>
      <c r="BS624" s="9"/>
      <c r="BT624" s="9"/>
      <c r="BU624" s="9"/>
      <c r="BV624" s="9"/>
      <c r="BW624" s="9"/>
      <c r="BX624" s="9"/>
      <c r="BY624" s="9"/>
      <c r="BZ624" s="9"/>
    </row>
    <row r="625" spans="4:78" ht="18" customHeight="1" x14ac:dyDescent="0.25"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S625" s="9"/>
      <c r="T625" s="9"/>
      <c r="U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  <c r="AJ625" s="9"/>
      <c r="AK625" s="9"/>
      <c r="AL625" s="9"/>
      <c r="AM625" s="9"/>
      <c r="AN625" s="9"/>
      <c r="AO625" s="9"/>
      <c r="AP625" s="9"/>
      <c r="AQ625" s="9"/>
      <c r="AR625" s="9"/>
      <c r="AS625" s="9"/>
      <c r="AT625" s="9"/>
      <c r="AU625" s="9"/>
      <c r="AV625" s="9"/>
      <c r="AW625" s="9"/>
      <c r="AX625" s="9"/>
      <c r="AY625" s="9"/>
      <c r="AZ625" s="9"/>
      <c r="BA625" s="9"/>
      <c r="BB625" s="9"/>
      <c r="BC625" s="9"/>
      <c r="BD625" s="9"/>
      <c r="BE625" s="9"/>
      <c r="BF625" s="9"/>
      <c r="BG625" s="9"/>
      <c r="BH625" s="9"/>
      <c r="BI625" s="9"/>
      <c r="BJ625" s="9"/>
      <c r="BK625" s="9"/>
      <c r="BL625" s="9"/>
      <c r="BM625" s="9"/>
      <c r="BN625" s="9"/>
      <c r="BO625" s="9"/>
      <c r="BP625" s="9"/>
      <c r="BQ625" s="9"/>
      <c r="BR625" s="9"/>
      <c r="BS625" s="9"/>
      <c r="BT625" s="9"/>
      <c r="BU625" s="9"/>
      <c r="BV625" s="9"/>
      <c r="BW625" s="9"/>
      <c r="BX625" s="9"/>
      <c r="BY625" s="9"/>
      <c r="BZ625" s="9"/>
    </row>
    <row r="626" spans="4:78" ht="18" customHeight="1" x14ac:dyDescent="0.25"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S626" s="9"/>
      <c r="T626" s="9"/>
      <c r="U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  <c r="AJ626" s="9"/>
      <c r="AK626" s="9"/>
      <c r="AL626" s="9"/>
      <c r="AM626" s="9"/>
      <c r="AN626" s="9"/>
      <c r="AO626" s="9"/>
      <c r="AP626" s="9"/>
      <c r="AQ626" s="9"/>
      <c r="AR626" s="9"/>
      <c r="AS626" s="9"/>
      <c r="AT626" s="9"/>
      <c r="AU626" s="9"/>
      <c r="AV626" s="9"/>
      <c r="AW626" s="9"/>
      <c r="AX626" s="9"/>
      <c r="AY626" s="9"/>
      <c r="AZ626" s="9"/>
      <c r="BA626" s="9"/>
      <c r="BB626" s="9"/>
      <c r="BC626" s="9"/>
      <c r="BD626" s="9"/>
      <c r="BE626" s="9"/>
      <c r="BF626" s="9"/>
      <c r="BG626" s="9"/>
      <c r="BH626" s="9"/>
      <c r="BI626" s="9"/>
      <c r="BJ626" s="9"/>
      <c r="BK626" s="9"/>
      <c r="BL626" s="9"/>
      <c r="BM626" s="9"/>
      <c r="BN626" s="9"/>
      <c r="BO626" s="9"/>
      <c r="BP626" s="9"/>
      <c r="BQ626" s="9"/>
      <c r="BR626" s="9"/>
      <c r="BS626" s="9"/>
      <c r="BT626" s="9"/>
      <c r="BU626" s="9"/>
      <c r="BV626" s="9"/>
      <c r="BW626" s="9"/>
      <c r="BX626" s="9"/>
      <c r="BY626" s="9"/>
      <c r="BZ626" s="9"/>
    </row>
    <row r="627" spans="4:78" ht="18" customHeight="1" x14ac:dyDescent="0.25"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S627" s="9"/>
      <c r="T627" s="9"/>
      <c r="U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  <c r="AJ627" s="9"/>
      <c r="AK627" s="9"/>
      <c r="AL627" s="9"/>
      <c r="AM627" s="9"/>
      <c r="AN627" s="9"/>
      <c r="AO627" s="9"/>
      <c r="AP627" s="9"/>
      <c r="AQ627" s="9"/>
      <c r="AR627" s="9"/>
      <c r="AS627" s="9"/>
      <c r="AT627" s="9"/>
      <c r="AU627" s="9"/>
      <c r="AV627" s="9"/>
      <c r="AW627" s="9"/>
      <c r="AX627" s="9"/>
      <c r="AY627" s="9"/>
      <c r="AZ627" s="9"/>
      <c r="BA627" s="9"/>
      <c r="BB627" s="9"/>
      <c r="BC627" s="9"/>
      <c r="BD627" s="9"/>
      <c r="BE627" s="9"/>
      <c r="BF627" s="9"/>
      <c r="BG627" s="9"/>
      <c r="BH627" s="9"/>
      <c r="BI627" s="9"/>
      <c r="BJ627" s="9"/>
      <c r="BK627" s="9"/>
      <c r="BL627" s="9"/>
      <c r="BM627" s="9"/>
      <c r="BN627" s="9"/>
      <c r="BO627" s="9"/>
      <c r="BP627" s="9"/>
      <c r="BQ627" s="9"/>
      <c r="BR627" s="9"/>
      <c r="BS627" s="9"/>
      <c r="BT627" s="9"/>
      <c r="BU627" s="9"/>
      <c r="BV627" s="9"/>
      <c r="BW627" s="9"/>
      <c r="BX627" s="9"/>
      <c r="BY627" s="9"/>
      <c r="BZ627" s="9"/>
    </row>
    <row r="628" spans="4:78" ht="18" customHeight="1" x14ac:dyDescent="0.25"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S628" s="9"/>
      <c r="T628" s="9"/>
      <c r="U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  <c r="AJ628" s="9"/>
      <c r="AK628" s="9"/>
      <c r="AL628" s="9"/>
      <c r="AM628" s="9"/>
      <c r="AN628" s="9"/>
      <c r="AO628" s="9"/>
      <c r="AP628" s="9"/>
      <c r="AQ628" s="9"/>
      <c r="AR628" s="9"/>
      <c r="AS628" s="9"/>
      <c r="AT628" s="9"/>
      <c r="AU628" s="9"/>
      <c r="AV628" s="9"/>
      <c r="AW628" s="9"/>
      <c r="AX628" s="9"/>
      <c r="AY628" s="9"/>
      <c r="AZ628" s="9"/>
      <c r="BA628" s="9"/>
      <c r="BB628" s="9"/>
      <c r="BC628" s="9"/>
      <c r="BD628" s="9"/>
      <c r="BE628" s="9"/>
      <c r="BF628" s="9"/>
      <c r="BG628" s="9"/>
      <c r="BH628" s="9"/>
      <c r="BI628" s="9"/>
      <c r="BJ628" s="9"/>
      <c r="BK628" s="9"/>
      <c r="BL628" s="9"/>
      <c r="BM628" s="9"/>
      <c r="BN628" s="9"/>
      <c r="BO628" s="9"/>
      <c r="BP628" s="9"/>
      <c r="BQ628" s="9"/>
      <c r="BR628" s="9"/>
      <c r="BS628" s="9"/>
      <c r="BT628" s="9"/>
      <c r="BU628" s="9"/>
      <c r="BV628" s="9"/>
      <c r="BW628" s="9"/>
      <c r="BX628" s="9"/>
      <c r="BY628" s="9"/>
      <c r="BZ628" s="9"/>
    </row>
    <row r="629" spans="4:78" ht="18" customHeight="1" x14ac:dyDescent="0.25"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S629" s="9"/>
      <c r="T629" s="9"/>
      <c r="U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  <c r="AJ629" s="9"/>
      <c r="AK629" s="9"/>
      <c r="AL629" s="9"/>
      <c r="AM629" s="9"/>
      <c r="AN629" s="9"/>
      <c r="AO629" s="9"/>
      <c r="AP629" s="9"/>
      <c r="AQ629" s="9"/>
      <c r="AR629" s="9"/>
      <c r="AS629" s="9"/>
      <c r="AT629" s="9"/>
      <c r="AU629" s="9"/>
      <c r="AV629" s="9"/>
      <c r="AW629" s="9"/>
      <c r="AX629" s="9"/>
      <c r="AY629" s="9"/>
      <c r="AZ629" s="9"/>
      <c r="BA629" s="9"/>
      <c r="BB629" s="9"/>
      <c r="BC629" s="9"/>
      <c r="BD629" s="9"/>
      <c r="BE629" s="9"/>
      <c r="BF629" s="9"/>
      <c r="BG629" s="9"/>
      <c r="BH629" s="9"/>
      <c r="BI629" s="9"/>
      <c r="BJ629" s="9"/>
      <c r="BK629" s="9"/>
      <c r="BL629" s="9"/>
      <c r="BM629" s="9"/>
      <c r="BN629" s="9"/>
      <c r="BO629" s="9"/>
      <c r="BP629" s="9"/>
      <c r="BQ629" s="9"/>
      <c r="BR629" s="9"/>
      <c r="BS629" s="9"/>
      <c r="BT629" s="9"/>
      <c r="BU629" s="9"/>
      <c r="BV629" s="9"/>
      <c r="BW629" s="9"/>
      <c r="BX629" s="9"/>
      <c r="BY629" s="9"/>
      <c r="BZ629" s="9"/>
    </row>
    <row r="630" spans="4:78" ht="18" customHeight="1" x14ac:dyDescent="0.25"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S630" s="9"/>
      <c r="T630" s="9"/>
      <c r="U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  <c r="AJ630" s="9"/>
      <c r="AK630" s="9"/>
      <c r="AL630" s="9"/>
      <c r="AM630" s="9"/>
      <c r="AN630" s="9"/>
      <c r="AO630" s="9"/>
      <c r="AP630" s="9"/>
      <c r="AQ630" s="9"/>
      <c r="AR630" s="9"/>
      <c r="AS630" s="9"/>
      <c r="AT630" s="9"/>
      <c r="AU630" s="9"/>
      <c r="AV630" s="9"/>
      <c r="AW630" s="9"/>
      <c r="AX630" s="9"/>
      <c r="AY630" s="9"/>
      <c r="AZ630" s="9"/>
      <c r="BA630" s="9"/>
      <c r="BB630" s="9"/>
      <c r="BC630" s="9"/>
      <c r="BD630" s="9"/>
      <c r="BE630" s="9"/>
      <c r="BF630" s="9"/>
      <c r="BG630" s="9"/>
      <c r="BH630" s="9"/>
      <c r="BI630" s="9"/>
      <c r="BJ630" s="9"/>
      <c r="BK630" s="9"/>
      <c r="BL630" s="9"/>
      <c r="BM630" s="9"/>
      <c r="BN630" s="9"/>
      <c r="BO630" s="9"/>
      <c r="BP630" s="9"/>
      <c r="BQ630" s="9"/>
      <c r="BR630" s="9"/>
      <c r="BS630" s="9"/>
      <c r="BT630" s="9"/>
      <c r="BU630" s="9"/>
      <c r="BV630" s="9"/>
      <c r="BW630" s="9"/>
      <c r="BX630" s="9"/>
      <c r="BY630" s="9"/>
      <c r="BZ630" s="9"/>
    </row>
    <row r="631" spans="4:78" ht="18" customHeight="1" x14ac:dyDescent="0.25"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S631" s="9"/>
      <c r="T631" s="9"/>
      <c r="U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  <c r="AJ631" s="9"/>
      <c r="AK631" s="9"/>
      <c r="AL631" s="9"/>
      <c r="AM631" s="9"/>
      <c r="AN631" s="9"/>
      <c r="AO631" s="9"/>
      <c r="AP631" s="9"/>
      <c r="AQ631" s="9"/>
      <c r="AR631" s="9"/>
      <c r="AS631" s="9"/>
      <c r="AT631" s="9"/>
      <c r="AU631" s="9"/>
      <c r="AV631" s="9"/>
      <c r="AW631" s="9"/>
      <c r="AX631" s="9"/>
      <c r="AY631" s="9"/>
      <c r="AZ631" s="9"/>
      <c r="BA631" s="9"/>
      <c r="BB631" s="9"/>
      <c r="BC631" s="9"/>
      <c r="BD631" s="9"/>
      <c r="BE631" s="9"/>
      <c r="BF631" s="9"/>
      <c r="BG631" s="9"/>
      <c r="BH631" s="9"/>
      <c r="BI631" s="9"/>
      <c r="BJ631" s="9"/>
      <c r="BK631" s="9"/>
      <c r="BL631" s="9"/>
      <c r="BM631" s="9"/>
      <c r="BN631" s="9"/>
      <c r="BO631" s="9"/>
      <c r="BP631" s="9"/>
      <c r="BQ631" s="9"/>
      <c r="BR631" s="9"/>
      <c r="BS631" s="9"/>
      <c r="BT631" s="9"/>
      <c r="BU631" s="9"/>
      <c r="BV631" s="9"/>
      <c r="BW631" s="9"/>
      <c r="BX631" s="9"/>
      <c r="BY631" s="9"/>
      <c r="BZ631" s="9"/>
    </row>
    <row r="632" spans="4:78" ht="18" customHeight="1" x14ac:dyDescent="0.25"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S632" s="9"/>
      <c r="T632" s="9"/>
      <c r="U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  <c r="AJ632" s="9"/>
      <c r="AK632" s="9"/>
      <c r="AL632" s="9"/>
      <c r="AM632" s="9"/>
      <c r="AN632" s="9"/>
      <c r="AO632" s="9"/>
      <c r="AP632" s="9"/>
      <c r="AQ632" s="9"/>
      <c r="AR632" s="9"/>
      <c r="AS632" s="9"/>
      <c r="AT632" s="9"/>
      <c r="AU632" s="9"/>
      <c r="AV632" s="9"/>
      <c r="AW632" s="9"/>
      <c r="AX632" s="9"/>
      <c r="AY632" s="9"/>
      <c r="AZ632" s="9"/>
      <c r="BA632" s="9"/>
      <c r="BB632" s="9"/>
      <c r="BC632" s="9"/>
      <c r="BD632" s="9"/>
      <c r="BE632" s="9"/>
      <c r="BF632" s="9"/>
      <c r="BG632" s="9"/>
      <c r="BH632" s="9"/>
      <c r="BI632" s="9"/>
      <c r="BJ632" s="9"/>
      <c r="BK632" s="9"/>
      <c r="BL632" s="9"/>
      <c r="BM632" s="9"/>
      <c r="BN632" s="9"/>
      <c r="BO632" s="9"/>
      <c r="BP632" s="9"/>
      <c r="BQ632" s="9"/>
      <c r="BR632" s="9"/>
      <c r="BS632" s="9"/>
      <c r="BT632" s="9"/>
      <c r="BU632" s="9"/>
      <c r="BV632" s="9"/>
      <c r="BW632" s="9"/>
      <c r="BX632" s="9"/>
      <c r="BY632" s="9"/>
      <c r="BZ632" s="9"/>
    </row>
    <row r="633" spans="4:78" ht="18" customHeight="1" x14ac:dyDescent="0.25"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S633" s="9"/>
      <c r="T633" s="9"/>
      <c r="U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  <c r="AJ633" s="9"/>
      <c r="AK633" s="9"/>
      <c r="AL633" s="9"/>
      <c r="AM633" s="9"/>
      <c r="AN633" s="9"/>
      <c r="AO633" s="9"/>
      <c r="AP633" s="9"/>
      <c r="AQ633" s="9"/>
      <c r="AR633" s="9"/>
      <c r="AS633" s="9"/>
      <c r="AT633" s="9"/>
      <c r="AU633" s="9"/>
      <c r="AV633" s="9"/>
      <c r="AW633" s="9"/>
      <c r="AX633" s="9"/>
      <c r="AY633" s="9"/>
      <c r="AZ633" s="9"/>
      <c r="BA633" s="9"/>
      <c r="BB633" s="9"/>
      <c r="BC633" s="9"/>
      <c r="BD633" s="9"/>
      <c r="BE633" s="9"/>
      <c r="BF633" s="9"/>
      <c r="BG633" s="9"/>
      <c r="BH633" s="9"/>
      <c r="BI633" s="9"/>
      <c r="BJ633" s="9"/>
      <c r="BK633" s="9"/>
      <c r="BL633" s="9"/>
      <c r="BM633" s="9"/>
      <c r="BN633" s="9"/>
      <c r="BO633" s="9"/>
      <c r="BP633" s="9"/>
      <c r="BQ633" s="9"/>
      <c r="BR633" s="9"/>
      <c r="BS633" s="9"/>
      <c r="BT633" s="9"/>
      <c r="BU633" s="9"/>
      <c r="BV633" s="9"/>
      <c r="BW633" s="9"/>
      <c r="BX633" s="9"/>
      <c r="BY633" s="9"/>
      <c r="BZ633" s="9"/>
    </row>
    <row r="634" spans="4:78" ht="18" customHeight="1" x14ac:dyDescent="0.25"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S634" s="9"/>
      <c r="T634" s="9"/>
      <c r="U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  <c r="AJ634" s="9"/>
      <c r="AK634" s="9"/>
      <c r="AL634" s="9"/>
      <c r="AM634" s="9"/>
      <c r="AN634" s="9"/>
      <c r="AO634" s="9"/>
      <c r="AP634" s="9"/>
      <c r="AQ634" s="9"/>
      <c r="AR634" s="9"/>
      <c r="AS634" s="9"/>
      <c r="AT634" s="9"/>
      <c r="AU634" s="9"/>
      <c r="AV634" s="9"/>
      <c r="AW634" s="9"/>
      <c r="AX634" s="9"/>
      <c r="AY634" s="9"/>
      <c r="AZ634" s="9"/>
      <c r="BA634" s="9"/>
      <c r="BB634" s="9"/>
      <c r="BC634" s="9"/>
      <c r="BD634" s="9"/>
      <c r="BE634" s="9"/>
      <c r="BF634" s="9"/>
      <c r="BG634" s="9"/>
      <c r="BH634" s="9"/>
      <c r="BI634" s="9"/>
      <c r="BJ634" s="9"/>
      <c r="BK634" s="9"/>
      <c r="BL634" s="9"/>
      <c r="BM634" s="9"/>
      <c r="BN634" s="9"/>
      <c r="BO634" s="9"/>
      <c r="BP634" s="9"/>
      <c r="BQ634" s="9"/>
      <c r="BR634" s="9"/>
      <c r="BS634" s="9"/>
      <c r="BT634" s="9"/>
      <c r="BU634" s="9"/>
      <c r="BV634" s="9"/>
      <c r="BW634" s="9"/>
      <c r="BX634" s="9"/>
      <c r="BY634" s="9"/>
      <c r="BZ634" s="9"/>
    </row>
    <row r="635" spans="4:78" ht="18" customHeight="1" x14ac:dyDescent="0.25"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S635" s="9"/>
      <c r="T635" s="9"/>
      <c r="U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  <c r="AJ635" s="9"/>
      <c r="AK635" s="9"/>
      <c r="AL635" s="9"/>
      <c r="AM635" s="9"/>
      <c r="AN635" s="9"/>
      <c r="AO635" s="9"/>
      <c r="AP635" s="9"/>
      <c r="AQ635" s="9"/>
      <c r="AR635" s="9"/>
      <c r="AS635" s="9"/>
      <c r="AT635" s="9"/>
      <c r="AU635" s="9"/>
      <c r="AV635" s="9"/>
      <c r="AW635" s="9"/>
      <c r="AX635" s="9"/>
      <c r="AY635" s="9"/>
      <c r="AZ635" s="9"/>
      <c r="BA635" s="9"/>
      <c r="BB635" s="9"/>
      <c r="BC635" s="9"/>
      <c r="BD635" s="9"/>
      <c r="BE635" s="9"/>
      <c r="BF635" s="9"/>
      <c r="BG635" s="9"/>
      <c r="BH635" s="9"/>
      <c r="BI635" s="9"/>
      <c r="BJ635" s="9"/>
      <c r="BK635" s="9"/>
      <c r="BL635" s="9"/>
      <c r="BM635" s="9"/>
      <c r="BN635" s="9"/>
      <c r="BO635" s="9"/>
      <c r="BP635" s="9"/>
      <c r="BQ635" s="9"/>
      <c r="BR635" s="9"/>
      <c r="BS635" s="9"/>
      <c r="BT635" s="9"/>
      <c r="BU635" s="9"/>
      <c r="BV635" s="9"/>
      <c r="BW635" s="9"/>
      <c r="BX635" s="9"/>
      <c r="BY635" s="9"/>
      <c r="BZ635" s="9"/>
    </row>
    <row r="636" spans="4:78" ht="18" customHeight="1" x14ac:dyDescent="0.25"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S636" s="9"/>
      <c r="T636" s="9"/>
      <c r="U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  <c r="AJ636" s="9"/>
      <c r="AK636" s="9"/>
      <c r="AL636" s="9"/>
      <c r="AM636" s="9"/>
      <c r="AN636" s="9"/>
      <c r="AO636" s="9"/>
      <c r="AP636" s="9"/>
      <c r="AQ636" s="9"/>
      <c r="AR636" s="9"/>
      <c r="AS636" s="9"/>
      <c r="AT636" s="9"/>
      <c r="AU636" s="9"/>
      <c r="AV636" s="9"/>
      <c r="AW636" s="9"/>
      <c r="AX636" s="9"/>
      <c r="AY636" s="9"/>
      <c r="AZ636" s="9"/>
      <c r="BA636" s="9"/>
      <c r="BB636" s="9"/>
      <c r="BC636" s="9"/>
      <c r="BD636" s="9"/>
      <c r="BE636" s="9"/>
      <c r="BF636" s="9"/>
      <c r="BG636" s="9"/>
      <c r="BH636" s="9"/>
      <c r="BI636" s="9"/>
      <c r="BJ636" s="9"/>
      <c r="BK636" s="9"/>
      <c r="BL636" s="9"/>
      <c r="BM636" s="9"/>
      <c r="BN636" s="9"/>
      <c r="BO636" s="9"/>
      <c r="BP636" s="9"/>
      <c r="BQ636" s="9"/>
      <c r="BR636" s="9"/>
      <c r="BS636" s="9"/>
      <c r="BT636" s="9"/>
      <c r="BU636" s="9"/>
      <c r="BV636" s="9"/>
      <c r="BW636" s="9"/>
      <c r="BX636" s="9"/>
      <c r="BY636" s="9"/>
      <c r="BZ636" s="9"/>
    </row>
    <row r="637" spans="4:78" ht="18" customHeight="1" x14ac:dyDescent="0.25"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S637" s="9"/>
      <c r="T637" s="9"/>
      <c r="U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  <c r="AJ637" s="9"/>
      <c r="AK637" s="9"/>
      <c r="AL637" s="9"/>
      <c r="AM637" s="9"/>
      <c r="AN637" s="9"/>
      <c r="AO637" s="9"/>
      <c r="AP637" s="9"/>
      <c r="AQ637" s="9"/>
      <c r="AR637" s="9"/>
      <c r="AS637" s="9"/>
      <c r="AT637" s="9"/>
      <c r="AU637" s="9"/>
      <c r="AV637" s="9"/>
      <c r="AW637" s="9"/>
      <c r="AX637" s="9"/>
      <c r="AY637" s="9"/>
      <c r="AZ637" s="9"/>
      <c r="BA637" s="9"/>
      <c r="BB637" s="9"/>
      <c r="BC637" s="9"/>
      <c r="BD637" s="9"/>
      <c r="BE637" s="9"/>
      <c r="BF637" s="9"/>
      <c r="BG637" s="9"/>
      <c r="BH637" s="9"/>
      <c r="BI637" s="9"/>
      <c r="BJ637" s="9"/>
      <c r="BK637" s="9"/>
      <c r="BL637" s="9"/>
      <c r="BM637" s="9"/>
      <c r="BN637" s="9"/>
      <c r="BO637" s="9"/>
      <c r="BP637" s="9"/>
      <c r="BQ637" s="9"/>
      <c r="BR637" s="9"/>
      <c r="BS637" s="9"/>
      <c r="BT637" s="9"/>
      <c r="BU637" s="9"/>
      <c r="BV637" s="9"/>
      <c r="BW637" s="9"/>
      <c r="BX637" s="9"/>
      <c r="BY637" s="9"/>
      <c r="BZ637" s="9"/>
    </row>
    <row r="638" spans="4:78" ht="18" customHeight="1" x14ac:dyDescent="0.25"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S638" s="9"/>
      <c r="T638" s="9"/>
      <c r="U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  <c r="AJ638" s="9"/>
      <c r="AK638" s="9"/>
      <c r="AL638" s="9"/>
      <c r="AM638" s="9"/>
      <c r="AN638" s="9"/>
      <c r="AO638" s="9"/>
      <c r="AP638" s="9"/>
      <c r="AQ638" s="9"/>
      <c r="AR638" s="9"/>
      <c r="AS638" s="9"/>
      <c r="AT638" s="9"/>
      <c r="AU638" s="9"/>
      <c r="AV638" s="9"/>
      <c r="AW638" s="9"/>
      <c r="AX638" s="9"/>
      <c r="AY638" s="9"/>
      <c r="AZ638" s="9"/>
      <c r="BA638" s="9"/>
      <c r="BB638" s="9"/>
      <c r="BC638" s="9"/>
      <c r="BD638" s="9"/>
      <c r="BE638" s="9"/>
      <c r="BF638" s="9"/>
      <c r="BG638" s="9"/>
      <c r="BH638" s="9"/>
      <c r="BI638" s="9"/>
      <c r="BJ638" s="9"/>
      <c r="BK638" s="9"/>
      <c r="BL638" s="9"/>
      <c r="BM638" s="9"/>
      <c r="BN638" s="9"/>
      <c r="BO638" s="9"/>
      <c r="BP638" s="9"/>
      <c r="BQ638" s="9"/>
      <c r="BR638" s="9"/>
      <c r="BS638" s="9"/>
      <c r="BT638" s="9"/>
      <c r="BU638" s="9"/>
      <c r="BV638" s="9"/>
      <c r="BW638" s="9"/>
      <c r="BX638" s="9"/>
      <c r="BY638" s="9"/>
      <c r="BZ638" s="9"/>
    </row>
    <row r="639" spans="4:78" ht="18" customHeight="1" x14ac:dyDescent="0.25"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S639" s="9"/>
      <c r="T639" s="9"/>
      <c r="U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  <c r="AJ639" s="9"/>
      <c r="AK639" s="9"/>
      <c r="AL639" s="9"/>
      <c r="AM639" s="9"/>
      <c r="AN639" s="9"/>
      <c r="AO639" s="9"/>
      <c r="AP639" s="9"/>
      <c r="AQ639" s="9"/>
      <c r="AR639" s="9"/>
      <c r="AS639" s="9"/>
      <c r="AT639" s="9"/>
      <c r="AU639" s="9"/>
      <c r="AV639" s="9"/>
      <c r="AW639" s="9"/>
      <c r="AX639" s="9"/>
      <c r="AY639" s="9"/>
      <c r="AZ639" s="9"/>
      <c r="BA639" s="9"/>
      <c r="BB639" s="9"/>
      <c r="BC639" s="9"/>
      <c r="BD639" s="9"/>
      <c r="BE639" s="9"/>
      <c r="BF639" s="9"/>
      <c r="BG639" s="9"/>
      <c r="BH639" s="9"/>
      <c r="BI639" s="9"/>
      <c r="BJ639" s="9"/>
      <c r="BK639" s="9"/>
      <c r="BL639" s="9"/>
      <c r="BM639" s="9"/>
      <c r="BN639" s="9"/>
      <c r="BO639" s="9"/>
      <c r="BP639" s="9"/>
      <c r="BQ639" s="9"/>
      <c r="BR639" s="9"/>
      <c r="BS639" s="9"/>
      <c r="BT639" s="9"/>
      <c r="BU639" s="9"/>
      <c r="BV639" s="9"/>
      <c r="BW639" s="9"/>
      <c r="BX639" s="9"/>
      <c r="BY639" s="9"/>
      <c r="BZ639" s="9"/>
    </row>
    <row r="640" spans="4:78" ht="18" customHeight="1" x14ac:dyDescent="0.25"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S640" s="9"/>
      <c r="T640" s="9"/>
      <c r="U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  <c r="AJ640" s="9"/>
      <c r="AK640" s="9"/>
      <c r="AL640" s="9"/>
      <c r="AM640" s="9"/>
      <c r="AN640" s="9"/>
      <c r="AO640" s="9"/>
      <c r="AP640" s="9"/>
      <c r="AQ640" s="9"/>
      <c r="AR640" s="9"/>
      <c r="AS640" s="9"/>
      <c r="AT640" s="9"/>
      <c r="AU640" s="9"/>
      <c r="AV640" s="9"/>
      <c r="AW640" s="9"/>
      <c r="AX640" s="9"/>
      <c r="AY640" s="9"/>
      <c r="AZ640" s="9"/>
      <c r="BA640" s="9"/>
      <c r="BB640" s="9"/>
      <c r="BC640" s="9"/>
      <c r="BD640" s="9"/>
      <c r="BE640" s="9"/>
      <c r="BF640" s="9"/>
      <c r="BG640" s="9"/>
      <c r="BH640" s="9"/>
      <c r="BI640" s="9"/>
      <c r="BJ640" s="9"/>
      <c r="BK640" s="9"/>
      <c r="BL640" s="9"/>
      <c r="BM640" s="9"/>
      <c r="BN640" s="9"/>
      <c r="BO640" s="9"/>
      <c r="BP640" s="9"/>
      <c r="BQ640" s="9"/>
      <c r="BR640" s="9"/>
      <c r="BS640" s="9"/>
      <c r="BT640" s="9"/>
      <c r="BU640" s="9"/>
      <c r="BV640" s="9"/>
      <c r="BW640" s="9"/>
      <c r="BX640" s="9"/>
      <c r="BY640" s="9"/>
      <c r="BZ640" s="9"/>
    </row>
    <row r="641" spans="4:78" ht="18" customHeight="1" x14ac:dyDescent="0.25"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S641" s="9"/>
      <c r="T641" s="9"/>
      <c r="U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  <c r="AJ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  <c r="BL641" s="9"/>
      <c r="BM641" s="9"/>
      <c r="BN641" s="9"/>
      <c r="BO641" s="9"/>
      <c r="BP641" s="9"/>
      <c r="BQ641" s="9"/>
      <c r="BR641" s="9"/>
      <c r="BS641" s="9"/>
      <c r="BT641" s="9"/>
      <c r="BU641" s="9"/>
      <c r="BV641" s="9"/>
      <c r="BW641" s="9"/>
      <c r="BX641" s="9"/>
      <c r="BY641" s="9"/>
      <c r="BZ641" s="9"/>
    </row>
    <row r="642" spans="4:78" ht="18" customHeight="1" x14ac:dyDescent="0.25"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S642" s="9"/>
      <c r="T642" s="9"/>
      <c r="U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  <c r="AJ642" s="9"/>
      <c r="AK642" s="9"/>
      <c r="AL642" s="9"/>
      <c r="AM642" s="9"/>
      <c r="AN642" s="9"/>
      <c r="AO642" s="9"/>
      <c r="AP642" s="9"/>
      <c r="AQ642" s="9"/>
      <c r="AR642" s="9"/>
      <c r="AS642" s="9"/>
      <c r="AT642" s="9"/>
      <c r="AU642" s="9"/>
      <c r="AV642" s="9"/>
      <c r="AW642" s="9"/>
      <c r="AX642" s="9"/>
      <c r="AY642" s="9"/>
      <c r="AZ642" s="9"/>
      <c r="BA642" s="9"/>
      <c r="BB642" s="9"/>
      <c r="BC642" s="9"/>
      <c r="BD642" s="9"/>
      <c r="BE642" s="9"/>
      <c r="BF642" s="9"/>
      <c r="BG642" s="9"/>
      <c r="BH642" s="9"/>
      <c r="BI642" s="9"/>
      <c r="BJ642" s="9"/>
      <c r="BK642" s="9"/>
      <c r="BL642" s="9"/>
      <c r="BM642" s="9"/>
      <c r="BN642" s="9"/>
      <c r="BO642" s="9"/>
      <c r="BP642" s="9"/>
      <c r="BQ642" s="9"/>
      <c r="BR642" s="9"/>
      <c r="BS642" s="9"/>
      <c r="BT642" s="9"/>
      <c r="BU642" s="9"/>
      <c r="BV642" s="9"/>
      <c r="BW642" s="9"/>
      <c r="BX642" s="9"/>
      <c r="BY642" s="9"/>
      <c r="BZ642" s="9"/>
    </row>
    <row r="643" spans="4:78" ht="18" customHeight="1" x14ac:dyDescent="0.25"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S643" s="9"/>
      <c r="T643" s="9"/>
      <c r="U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  <c r="AJ643" s="9"/>
      <c r="AK643" s="9"/>
      <c r="AL643" s="9"/>
      <c r="AM643" s="9"/>
      <c r="AN643" s="9"/>
      <c r="AO643" s="9"/>
      <c r="AP643" s="9"/>
      <c r="AQ643" s="9"/>
      <c r="AR643" s="9"/>
      <c r="AS643" s="9"/>
      <c r="AT643" s="9"/>
      <c r="AU643" s="9"/>
      <c r="AV643" s="9"/>
      <c r="AW643" s="9"/>
      <c r="AX643" s="9"/>
      <c r="AY643" s="9"/>
      <c r="AZ643" s="9"/>
      <c r="BA643" s="9"/>
      <c r="BB643" s="9"/>
      <c r="BC643" s="9"/>
      <c r="BD643" s="9"/>
      <c r="BE643" s="9"/>
      <c r="BF643" s="9"/>
      <c r="BG643" s="9"/>
      <c r="BH643" s="9"/>
      <c r="BI643" s="9"/>
      <c r="BJ643" s="9"/>
      <c r="BK643" s="9"/>
      <c r="BL643" s="9"/>
      <c r="BM643" s="9"/>
      <c r="BN643" s="9"/>
      <c r="BO643" s="9"/>
      <c r="BP643" s="9"/>
      <c r="BQ643" s="9"/>
      <c r="BR643" s="9"/>
      <c r="BS643" s="9"/>
      <c r="BT643" s="9"/>
      <c r="BU643" s="9"/>
      <c r="BV643" s="9"/>
      <c r="BW643" s="9"/>
      <c r="BX643" s="9"/>
      <c r="BY643" s="9"/>
      <c r="BZ643" s="9"/>
    </row>
    <row r="644" spans="4:78" ht="18" customHeight="1" x14ac:dyDescent="0.25"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S644" s="9"/>
      <c r="T644" s="9"/>
      <c r="U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  <c r="AJ644" s="9"/>
      <c r="AK644" s="9"/>
      <c r="AL644" s="9"/>
      <c r="AM644" s="9"/>
      <c r="AN644" s="9"/>
      <c r="AO644" s="9"/>
      <c r="AP644" s="9"/>
      <c r="AQ644" s="9"/>
      <c r="AR644" s="9"/>
      <c r="AS644" s="9"/>
      <c r="AT644" s="9"/>
      <c r="AU644" s="9"/>
      <c r="AV644" s="9"/>
      <c r="AW644" s="9"/>
      <c r="AX644" s="9"/>
      <c r="AY644" s="9"/>
      <c r="AZ644" s="9"/>
      <c r="BA644" s="9"/>
      <c r="BB644" s="9"/>
      <c r="BC644" s="9"/>
      <c r="BD644" s="9"/>
      <c r="BE644" s="9"/>
      <c r="BF644" s="9"/>
      <c r="BG644" s="9"/>
      <c r="BH644" s="9"/>
      <c r="BI644" s="9"/>
      <c r="BJ644" s="9"/>
      <c r="BK644" s="9"/>
      <c r="BL644" s="9"/>
      <c r="BM644" s="9"/>
      <c r="BN644" s="9"/>
      <c r="BO644" s="9"/>
      <c r="BP644" s="9"/>
      <c r="BQ644" s="9"/>
      <c r="BR644" s="9"/>
      <c r="BS644" s="9"/>
      <c r="BT644" s="9"/>
      <c r="BU644" s="9"/>
      <c r="BV644" s="9"/>
      <c r="BW644" s="9"/>
      <c r="BX644" s="9"/>
      <c r="BY644" s="9"/>
      <c r="BZ644" s="9"/>
    </row>
    <row r="645" spans="4:78" ht="18" customHeight="1" x14ac:dyDescent="0.25"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S645" s="9"/>
      <c r="T645" s="9"/>
      <c r="U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  <c r="AJ645" s="9"/>
      <c r="AK645" s="9"/>
      <c r="AL645" s="9"/>
      <c r="AM645" s="9"/>
      <c r="AN645" s="9"/>
      <c r="AO645" s="9"/>
      <c r="AP645" s="9"/>
      <c r="AQ645" s="9"/>
      <c r="AR645" s="9"/>
      <c r="AS645" s="9"/>
      <c r="AT645" s="9"/>
      <c r="AU645" s="9"/>
      <c r="AV645" s="9"/>
      <c r="AW645" s="9"/>
      <c r="AX645" s="9"/>
      <c r="AY645" s="9"/>
      <c r="AZ645" s="9"/>
      <c r="BA645" s="9"/>
      <c r="BB645" s="9"/>
      <c r="BC645" s="9"/>
      <c r="BD645" s="9"/>
      <c r="BE645" s="9"/>
      <c r="BF645" s="9"/>
      <c r="BG645" s="9"/>
      <c r="BH645" s="9"/>
      <c r="BI645" s="9"/>
      <c r="BJ645" s="9"/>
      <c r="BK645" s="9"/>
      <c r="BL645" s="9"/>
      <c r="BM645" s="9"/>
      <c r="BN645" s="9"/>
      <c r="BO645" s="9"/>
      <c r="BP645" s="9"/>
      <c r="BQ645" s="9"/>
      <c r="BR645" s="9"/>
      <c r="BS645" s="9"/>
      <c r="BT645" s="9"/>
      <c r="BU645" s="9"/>
      <c r="BV645" s="9"/>
      <c r="BW645" s="9"/>
      <c r="BX645" s="9"/>
      <c r="BY645" s="9"/>
      <c r="BZ645" s="9"/>
    </row>
    <row r="646" spans="4:78" ht="18" customHeight="1" x14ac:dyDescent="0.25"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S646" s="9"/>
      <c r="T646" s="9"/>
      <c r="U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  <c r="AJ646" s="9"/>
      <c r="AK646" s="9"/>
      <c r="AL646" s="9"/>
      <c r="AM646" s="9"/>
      <c r="AN646" s="9"/>
      <c r="AO646" s="9"/>
      <c r="AP646" s="9"/>
      <c r="AQ646" s="9"/>
      <c r="AR646" s="9"/>
      <c r="AS646" s="9"/>
      <c r="AT646" s="9"/>
      <c r="AU646" s="9"/>
      <c r="AV646" s="9"/>
      <c r="AW646" s="9"/>
      <c r="AX646" s="9"/>
      <c r="AY646" s="9"/>
      <c r="AZ646" s="9"/>
      <c r="BA646" s="9"/>
      <c r="BB646" s="9"/>
      <c r="BC646" s="9"/>
      <c r="BD646" s="9"/>
      <c r="BE646" s="9"/>
      <c r="BF646" s="9"/>
      <c r="BG646" s="9"/>
      <c r="BH646" s="9"/>
      <c r="BI646" s="9"/>
      <c r="BJ646" s="9"/>
      <c r="BK646" s="9"/>
      <c r="BL646" s="9"/>
      <c r="BM646" s="9"/>
      <c r="BN646" s="9"/>
      <c r="BO646" s="9"/>
      <c r="BP646" s="9"/>
      <c r="BQ646" s="9"/>
      <c r="BR646" s="9"/>
      <c r="BS646" s="9"/>
      <c r="BT646" s="9"/>
      <c r="BU646" s="9"/>
      <c r="BV646" s="9"/>
      <c r="BW646" s="9"/>
      <c r="BX646" s="9"/>
      <c r="BY646" s="9"/>
      <c r="BZ646" s="9"/>
    </row>
    <row r="647" spans="4:78" ht="18" customHeight="1" x14ac:dyDescent="0.25"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S647" s="9"/>
      <c r="T647" s="9"/>
      <c r="U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  <c r="AJ647" s="9"/>
      <c r="AK647" s="9"/>
      <c r="AL647" s="9"/>
      <c r="AM647" s="9"/>
      <c r="AN647" s="9"/>
      <c r="AO647" s="9"/>
      <c r="AP647" s="9"/>
      <c r="AQ647" s="9"/>
      <c r="AR647" s="9"/>
      <c r="AS647" s="9"/>
      <c r="AT647" s="9"/>
      <c r="AU647" s="9"/>
      <c r="AV647" s="9"/>
      <c r="AW647" s="9"/>
      <c r="AX647" s="9"/>
      <c r="AY647" s="9"/>
      <c r="AZ647" s="9"/>
      <c r="BA647" s="9"/>
      <c r="BB647" s="9"/>
      <c r="BC647" s="9"/>
      <c r="BD647" s="9"/>
      <c r="BE647" s="9"/>
      <c r="BF647" s="9"/>
      <c r="BG647" s="9"/>
      <c r="BH647" s="9"/>
      <c r="BI647" s="9"/>
      <c r="BJ647" s="9"/>
      <c r="BK647" s="9"/>
      <c r="BL647" s="9"/>
      <c r="BM647" s="9"/>
      <c r="BN647" s="9"/>
      <c r="BO647" s="9"/>
      <c r="BP647" s="9"/>
      <c r="BQ647" s="9"/>
      <c r="BR647" s="9"/>
      <c r="BS647" s="9"/>
      <c r="BT647" s="9"/>
      <c r="BU647" s="9"/>
      <c r="BV647" s="9"/>
      <c r="BW647" s="9"/>
      <c r="BX647" s="9"/>
      <c r="BY647" s="9"/>
      <c r="BZ647" s="9"/>
    </row>
    <row r="648" spans="4:78" ht="18" customHeight="1" x14ac:dyDescent="0.25"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S648" s="9"/>
      <c r="T648" s="9"/>
      <c r="U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  <c r="AJ648" s="9"/>
      <c r="AK648" s="9"/>
      <c r="AL648" s="9"/>
      <c r="AM648" s="9"/>
      <c r="AN648" s="9"/>
      <c r="AO648" s="9"/>
      <c r="AP648" s="9"/>
      <c r="AQ648" s="9"/>
      <c r="AR648" s="9"/>
      <c r="AS648" s="9"/>
      <c r="AT648" s="9"/>
      <c r="AU648" s="9"/>
      <c r="AV648" s="9"/>
      <c r="AW648" s="9"/>
      <c r="AX648" s="9"/>
      <c r="AY648" s="9"/>
      <c r="AZ648" s="9"/>
      <c r="BA648" s="9"/>
      <c r="BB648" s="9"/>
      <c r="BC648" s="9"/>
      <c r="BD648" s="9"/>
      <c r="BE648" s="9"/>
      <c r="BF648" s="9"/>
      <c r="BG648" s="9"/>
      <c r="BH648" s="9"/>
      <c r="BI648" s="9"/>
      <c r="BJ648" s="9"/>
      <c r="BK648" s="9"/>
      <c r="BL648" s="9"/>
      <c r="BM648" s="9"/>
      <c r="BN648" s="9"/>
      <c r="BO648" s="9"/>
      <c r="BP648" s="9"/>
      <c r="BQ648" s="9"/>
      <c r="BR648" s="9"/>
      <c r="BS648" s="9"/>
      <c r="BT648" s="9"/>
      <c r="BU648" s="9"/>
      <c r="BV648" s="9"/>
      <c r="BW648" s="9"/>
      <c r="BX648" s="9"/>
      <c r="BY648" s="9"/>
      <c r="BZ648" s="9"/>
    </row>
    <row r="649" spans="4:78" ht="18" customHeight="1" x14ac:dyDescent="0.25"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S649" s="9"/>
      <c r="T649" s="9"/>
      <c r="U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  <c r="AJ649" s="9"/>
      <c r="AK649" s="9"/>
      <c r="AL649" s="9"/>
      <c r="AM649" s="9"/>
      <c r="AN649" s="9"/>
      <c r="AO649" s="9"/>
      <c r="AP649" s="9"/>
      <c r="AQ649" s="9"/>
      <c r="AR649" s="9"/>
      <c r="AS649" s="9"/>
      <c r="AT649" s="9"/>
      <c r="AU649" s="9"/>
      <c r="AV649" s="9"/>
      <c r="AW649" s="9"/>
      <c r="AX649" s="9"/>
      <c r="AY649" s="9"/>
      <c r="AZ649" s="9"/>
      <c r="BA649" s="9"/>
      <c r="BB649" s="9"/>
      <c r="BC649" s="9"/>
      <c r="BD649" s="9"/>
      <c r="BE649" s="9"/>
      <c r="BF649" s="9"/>
      <c r="BG649" s="9"/>
      <c r="BH649" s="9"/>
      <c r="BI649" s="9"/>
      <c r="BJ649" s="9"/>
      <c r="BK649" s="9"/>
      <c r="BL649" s="9"/>
      <c r="BM649" s="9"/>
      <c r="BN649" s="9"/>
      <c r="BO649" s="9"/>
      <c r="BP649" s="9"/>
      <c r="BQ649" s="9"/>
      <c r="BR649" s="9"/>
      <c r="BS649" s="9"/>
      <c r="BT649" s="9"/>
      <c r="BU649" s="9"/>
      <c r="BV649" s="9"/>
      <c r="BW649" s="9"/>
      <c r="BX649" s="9"/>
      <c r="BY649" s="9"/>
      <c r="BZ649" s="9"/>
    </row>
    <row r="650" spans="4:78" ht="18" customHeight="1" x14ac:dyDescent="0.25"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S650" s="9"/>
      <c r="T650" s="9"/>
      <c r="U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  <c r="AJ650" s="9"/>
      <c r="AK650" s="9"/>
      <c r="AL650" s="9"/>
      <c r="AM650" s="9"/>
      <c r="AN650" s="9"/>
      <c r="AO650" s="9"/>
      <c r="AP650" s="9"/>
      <c r="AQ650" s="9"/>
      <c r="AR650" s="9"/>
      <c r="AS650" s="9"/>
      <c r="AT650" s="9"/>
      <c r="AU650" s="9"/>
      <c r="AV650" s="9"/>
      <c r="AW650" s="9"/>
      <c r="AX650" s="9"/>
      <c r="AY650" s="9"/>
      <c r="AZ650" s="9"/>
      <c r="BA650" s="9"/>
      <c r="BB650" s="9"/>
      <c r="BC650" s="9"/>
      <c r="BD650" s="9"/>
      <c r="BE650" s="9"/>
      <c r="BF650" s="9"/>
      <c r="BG650" s="9"/>
      <c r="BH650" s="9"/>
      <c r="BI650" s="9"/>
      <c r="BJ650" s="9"/>
      <c r="BK650" s="9"/>
      <c r="BL650" s="9"/>
      <c r="BM650" s="9"/>
      <c r="BN650" s="9"/>
      <c r="BO650" s="9"/>
      <c r="BP650" s="9"/>
      <c r="BQ650" s="9"/>
      <c r="BR650" s="9"/>
      <c r="BS650" s="9"/>
      <c r="BT650" s="9"/>
      <c r="BU650" s="9"/>
      <c r="BV650" s="9"/>
      <c r="BW650" s="9"/>
      <c r="BX650" s="9"/>
      <c r="BY650" s="9"/>
      <c r="BZ650" s="9"/>
    </row>
    <row r="651" spans="4:78" ht="18" customHeight="1" x14ac:dyDescent="0.25"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S651" s="9"/>
      <c r="T651" s="9"/>
      <c r="U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  <c r="AJ651" s="9"/>
      <c r="AK651" s="9"/>
      <c r="AL651" s="9"/>
      <c r="AM651" s="9"/>
      <c r="AN651" s="9"/>
      <c r="AO651" s="9"/>
      <c r="AP651" s="9"/>
      <c r="AQ651" s="9"/>
      <c r="AR651" s="9"/>
      <c r="AS651" s="9"/>
      <c r="AT651" s="9"/>
      <c r="AU651" s="9"/>
      <c r="AV651" s="9"/>
      <c r="AW651" s="9"/>
      <c r="AX651" s="9"/>
      <c r="AY651" s="9"/>
      <c r="AZ651" s="9"/>
      <c r="BA651" s="9"/>
      <c r="BB651" s="9"/>
      <c r="BC651" s="9"/>
      <c r="BD651" s="9"/>
      <c r="BE651" s="9"/>
      <c r="BF651" s="9"/>
      <c r="BG651" s="9"/>
      <c r="BH651" s="9"/>
      <c r="BI651" s="9"/>
      <c r="BJ651" s="9"/>
      <c r="BK651" s="9"/>
      <c r="BL651" s="9"/>
      <c r="BM651" s="9"/>
      <c r="BN651" s="9"/>
      <c r="BO651" s="9"/>
      <c r="BP651" s="9"/>
      <c r="BQ651" s="9"/>
      <c r="BR651" s="9"/>
      <c r="BS651" s="9"/>
      <c r="BT651" s="9"/>
      <c r="BU651" s="9"/>
      <c r="BV651" s="9"/>
      <c r="BW651" s="9"/>
      <c r="BX651" s="9"/>
      <c r="BY651" s="9"/>
      <c r="BZ651" s="9"/>
    </row>
    <row r="652" spans="4:78" ht="18" customHeight="1" x14ac:dyDescent="0.25"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S652" s="9"/>
      <c r="T652" s="9"/>
      <c r="U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  <c r="AJ652" s="9"/>
      <c r="AK652" s="9"/>
      <c r="AL652" s="9"/>
      <c r="AM652" s="9"/>
      <c r="AN652" s="9"/>
      <c r="AO652" s="9"/>
      <c r="AP652" s="9"/>
      <c r="AQ652" s="9"/>
      <c r="AR652" s="9"/>
      <c r="AS652" s="9"/>
      <c r="AT652" s="9"/>
      <c r="AU652" s="9"/>
      <c r="AV652" s="9"/>
      <c r="AW652" s="9"/>
      <c r="AX652" s="9"/>
      <c r="AY652" s="9"/>
      <c r="AZ652" s="9"/>
      <c r="BA652" s="9"/>
      <c r="BB652" s="9"/>
      <c r="BC652" s="9"/>
      <c r="BD652" s="9"/>
      <c r="BE652" s="9"/>
      <c r="BF652" s="9"/>
      <c r="BG652" s="9"/>
      <c r="BH652" s="9"/>
      <c r="BI652" s="9"/>
      <c r="BJ652" s="9"/>
      <c r="BK652" s="9"/>
      <c r="BL652" s="9"/>
      <c r="BM652" s="9"/>
      <c r="BN652" s="9"/>
      <c r="BO652" s="9"/>
      <c r="BP652" s="9"/>
      <c r="BQ652" s="9"/>
      <c r="BR652" s="9"/>
      <c r="BS652" s="9"/>
      <c r="BT652" s="9"/>
      <c r="BU652" s="9"/>
      <c r="BV652" s="9"/>
      <c r="BW652" s="9"/>
      <c r="BX652" s="9"/>
      <c r="BY652" s="9"/>
      <c r="BZ652" s="9"/>
    </row>
    <row r="653" spans="4:78" ht="18" customHeight="1" x14ac:dyDescent="0.25"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S653" s="9"/>
      <c r="T653" s="9"/>
      <c r="U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  <c r="AJ653" s="9"/>
      <c r="AK653" s="9"/>
      <c r="AL653" s="9"/>
      <c r="AM653" s="9"/>
      <c r="AN653" s="9"/>
      <c r="AO653" s="9"/>
      <c r="AP653" s="9"/>
      <c r="AQ653" s="9"/>
      <c r="AR653" s="9"/>
      <c r="AS653" s="9"/>
      <c r="AT653" s="9"/>
      <c r="AU653" s="9"/>
      <c r="AV653" s="9"/>
      <c r="AW653" s="9"/>
      <c r="AX653" s="9"/>
      <c r="AY653" s="9"/>
      <c r="AZ653" s="9"/>
      <c r="BA653" s="9"/>
      <c r="BB653" s="9"/>
      <c r="BC653" s="9"/>
      <c r="BD653" s="9"/>
      <c r="BE653" s="9"/>
      <c r="BF653" s="9"/>
      <c r="BG653" s="9"/>
      <c r="BH653" s="9"/>
      <c r="BI653" s="9"/>
      <c r="BJ653" s="9"/>
      <c r="BK653" s="9"/>
      <c r="BL653" s="9"/>
      <c r="BM653" s="9"/>
      <c r="BN653" s="9"/>
      <c r="BO653" s="9"/>
      <c r="BP653" s="9"/>
      <c r="BQ653" s="9"/>
      <c r="BR653" s="9"/>
      <c r="BS653" s="9"/>
      <c r="BT653" s="9"/>
      <c r="BU653" s="9"/>
      <c r="BV653" s="9"/>
      <c r="BW653" s="9"/>
      <c r="BX653" s="9"/>
      <c r="BY653" s="9"/>
      <c r="BZ653" s="9"/>
    </row>
    <row r="654" spans="4:78" ht="18" customHeight="1" x14ac:dyDescent="0.25"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S654" s="9"/>
      <c r="T654" s="9"/>
      <c r="U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  <c r="AJ654" s="9"/>
      <c r="AK654" s="9"/>
      <c r="AL654" s="9"/>
      <c r="AM654" s="9"/>
      <c r="AN654" s="9"/>
      <c r="AO654" s="9"/>
      <c r="AP654" s="9"/>
      <c r="AQ654" s="9"/>
      <c r="AR654" s="9"/>
      <c r="AS654" s="9"/>
      <c r="AT654" s="9"/>
      <c r="AU654" s="9"/>
      <c r="AV654" s="9"/>
      <c r="AW654" s="9"/>
      <c r="AX654" s="9"/>
      <c r="AY654" s="9"/>
      <c r="AZ654" s="9"/>
      <c r="BA654" s="9"/>
      <c r="BB654" s="9"/>
      <c r="BC654" s="9"/>
      <c r="BD654" s="9"/>
      <c r="BE654" s="9"/>
      <c r="BF654" s="9"/>
      <c r="BG654" s="9"/>
      <c r="BH654" s="9"/>
      <c r="BI654" s="9"/>
      <c r="BJ654" s="9"/>
      <c r="BK654" s="9"/>
      <c r="BL654" s="9"/>
      <c r="BM654" s="9"/>
      <c r="BN654" s="9"/>
      <c r="BO654" s="9"/>
      <c r="BP654" s="9"/>
      <c r="BQ654" s="9"/>
      <c r="BR654" s="9"/>
      <c r="BS654" s="9"/>
      <c r="BT654" s="9"/>
      <c r="BU654" s="9"/>
      <c r="BV654" s="9"/>
      <c r="BW654" s="9"/>
      <c r="BX654" s="9"/>
      <c r="BY654" s="9"/>
      <c r="BZ654" s="9"/>
    </row>
    <row r="655" spans="4:78" ht="18" customHeight="1" x14ac:dyDescent="0.25"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S655" s="9"/>
      <c r="T655" s="9"/>
      <c r="U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  <c r="AJ655" s="9"/>
      <c r="AK655" s="9"/>
      <c r="AL655" s="9"/>
      <c r="AM655" s="9"/>
      <c r="AN655" s="9"/>
      <c r="AO655" s="9"/>
      <c r="AP655" s="9"/>
      <c r="AQ655" s="9"/>
      <c r="AR655" s="9"/>
      <c r="AS655" s="9"/>
      <c r="AT655" s="9"/>
      <c r="AU655" s="9"/>
      <c r="AV655" s="9"/>
      <c r="AW655" s="9"/>
      <c r="AX655" s="9"/>
      <c r="AY655" s="9"/>
      <c r="AZ655" s="9"/>
      <c r="BA655" s="9"/>
      <c r="BB655" s="9"/>
      <c r="BC655" s="9"/>
      <c r="BD655" s="9"/>
      <c r="BE655" s="9"/>
      <c r="BF655" s="9"/>
      <c r="BG655" s="9"/>
      <c r="BH655" s="9"/>
      <c r="BI655" s="9"/>
      <c r="BJ655" s="9"/>
      <c r="BK655" s="9"/>
      <c r="BL655" s="9"/>
      <c r="BM655" s="9"/>
      <c r="BN655" s="9"/>
      <c r="BO655" s="9"/>
      <c r="BP655" s="9"/>
      <c r="BQ655" s="9"/>
      <c r="BR655" s="9"/>
      <c r="BS655" s="9"/>
      <c r="BT655" s="9"/>
      <c r="BU655" s="9"/>
      <c r="BV655" s="9"/>
      <c r="BW655" s="9"/>
      <c r="BX655" s="9"/>
      <c r="BY655" s="9"/>
      <c r="BZ655" s="9"/>
    </row>
    <row r="656" spans="4:78" ht="18" customHeight="1" x14ac:dyDescent="0.25"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S656" s="9"/>
      <c r="T656" s="9"/>
      <c r="U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  <c r="AJ656" s="9"/>
      <c r="AK656" s="9"/>
      <c r="AL656" s="9"/>
      <c r="AM656" s="9"/>
      <c r="AN656" s="9"/>
      <c r="AO656" s="9"/>
      <c r="AP656" s="9"/>
      <c r="AQ656" s="9"/>
      <c r="AR656" s="9"/>
      <c r="AS656" s="9"/>
      <c r="AT656" s="9"/>
      <c r="AU656" s="9"/>
      <c r="AV656" s="9"/>
      <c r="AW656" s="9"/>
      <c r="AX656" s="9"/>
      <c r="AY656" s="9"/>
      <c r="AZ656" s="9"/>
      <c r="BA656" s="9"/>
      <c r="BB656" s="9"/>
      <c r="BC656" s="9"/>
      <c r="BD656" s="9"/>
      <c r="BE656" s="9"/>
      <c r="BF656" s="9"/>
      <c r="BG656" s="9"/>
      <c r="BH656" s="9"/>
      <c r="BI656" s="9"/>
      <c r="BJ656" s="9"/>
      <c r="BK656" s="9"/>
      <c r="BL656" s="9"/>
      <c r="BM656" s="9"/>
      <c r="BN656" s="9"/>
      <c r="BO656" s="9"/>
      <c r="BP656" s="9"/>
      <c r="BQ656" s="9"/>
      <c r="BR656" s="9"/>
      <c r="BS656" s="9"/>
      <c r="BT656" s="9"/>
      <c r="BU656" s="9"/>
      <c r="BV656" s="9"/>
      <c r="BW656" s="9"/>
      <c r="BX656" s="9"/>
      <c r="BY656" s="9"/>
      <c r="BZ656" s="9"/>
    </row>
    <row r="657" spans="4:78" ht="18" customHeight="1" x14ac:dyDescent="0.25"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S657" s="9"/>
      <c r="T657" s="9"/>
      <c r="U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  <c r="AJ657" s="9"/>
      <c r="AK657" s="9"/>
      <c r="AL657" s="9"/>
      <c r="AM657" s="9"/>
      <c r="AN657" s="9"/>
      <c r="AO657" s="9"/>
      <c r="AP657" s="9"/>
      <c r="AQ657" s="9"/>
      <c r="AR657" s="9"/>
      <c r="AS657" s="9"/>
      <c r="AT657" s="9"/>
      <c r="AU657" s="9"/>
      <c r="AV657" s="9"/>
      <c r="AW657" s="9"/>
      <c r="AX657" s="9"/>
      <c r="AY657" s="9"/>
      <c r="AZ657" s="9"/>
      <c r="BA657" s="9"/>
      <c r="BB657" s="9"/>
      <c r="BC657" s="9"/>
      <c r="BD657" s="9"/>
      <c r="BE657" s="9"/>
      <c r="BF657" s="9"/>
      <c r="BG657" s="9"/>
      <c r="BH657" s="9"/>
      <c r="BI657" s="9"/>
      <c r="BJ657" s="9"/>
      <c r="BK657" s="9"/>
      <c r="BL657" s="9"/>
      <c r="BM657" s="9"/>
      <c r="BN657" s="9"/>
      <c r="BO657" s="9"/>
      <c r="BP657" s="9"/>
      <c r="BQ657" s="9"/>
      <c r="BR657" s="9"/>
      <c r="BS657" s="9"/>
      <c r="BT657" s="9"/>
      <c r="BU657" s="9"/>
      <c r="BV657" s="9"/>
      <c r="BW657" s="9"/>
      <c r="BX657" s="9"/>
      <c r="BY657" s="9"/>
      <c r="BZ657" s="9"/>
    </row>
    <row r="658" spans="4:78" ht="18" customHeight="1" x14ac:dyDescent="0.25"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S658" s="9"/>
      <c r="T658" s="9"/>
      <c r="U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  <c r="AJ658" s="9"/>
      <c r="AK658" s="9"/>
      <c r="AL658" s="9"/>
      <c r="AM658" s="9"/>
      <c r="AN658" s="9"/>
      <c r="AO658" s="9"/>
      <c r="AP658" s="9"/>
      <c r="AQ658" s="9"/>
      <c r="AR658" s="9"/>
      <c r="AS658" s="9"/>
      <c r="AT658" s="9"/>
      <c r="AU658" s="9"/>
      <c r="AV658" s="9"/>
      <c r="AW658" s="9"/>
      <c r="AX658" s="9"/>
      <c r="AY658" s="9"/>
      <c r="AZ658" s="9"/>
      <c r="BA658" s="9"/>
      <c r="BB658" s="9"/>
      <c r="BC658" s="9"/>
      <c r="BD658" s="9"/>
      <c r="BE658" s="9"/>
      <c r="BF658" s="9"/>
      <c r="BG658" s="9"/>
      <c r="BH658" s="9"/>
      <c r="BI658" s="9"/>
      <c r="BJ658" s="9"/>
      <c r="BK658" s="9"/>
      <c r="BL658" s="9"/>
      <c r="BM658" s="9"/>
      <c r="BN658" s="9"/>
      <c r="BO658" s="9"/>
      <c r="BP658" s="9"/>
      <c r="BQ658" s="9"/>
      <c r="BR658" s="9"/>
      <c r="BS658" s="9"/>
      <c r="BT658" s="9"/>
      <c r="BU658" s="9"/>
      <c r="BV658" s="9"/>
      <c r="BW658" s="9"/>
      <c r="BX658" s="9"/>
      <c r="BY658" s="9"/>
      <c r="BZ658" s="9"/>
    </row>
    <row r="659" spans="4:78" ht="18" customHeight="1" x14ac:dyDescent="0.25"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S659" s="9"/>
      <c r="T659" s="9"/>
      <c r="U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  <c r="AJ659" s="9"/>
      <c r="AK659" s="9"/>
      <c r="AL659" s="9"/>
      <c r="AM659" s="9"/>
      <c r="AN659" s="9"/>
      <c r="AO659" s="9"/>
      <c r="AP659" s="9"/>
      <c r="AQ659" s="9"/>
      <c r="AR659" s="9"/>
      <c r="AS659" s="9"/>
      <c r="AT659" s="9"/>
      <c r="AU659" s="9"/>
      <c r="AV659" s="9"/>
      <c r="AW659" s="9"/>
      <c r="AX659" s="9"/>
      <c r="AY659" s="9"/>
      <c r="AZ659" s="9"/>
      <c r="BA659" s="9"/>
      <c r="BB659" s="9"/>
      <c r="BC659" s="9"/>
      <c r="BD659" s="9"/>
      <c r="BE659" s="9"/>
      <c r="BF659" s="9"/>
      <c r="BG659" s="9"/>
      <c r="BH659" s="9"/>
      <c r="BI659" s="9"/>
      <c r="BJ659" s="9"/>
      <c r="BK659" s="9"/>
      <c r="BL659" s="9"/>
      <c r="BM659" s="9"/>
      <c r="BN659" s="9"/>
      <c r="BO659" s="9"/>
      <c r="BP659" s="9"/>
      <c r="BQ659" s="9"/>
      <c r="BR659" s="9"/>
      <c r="BS659" s="9"/>
      <c r="BT659" s="9"/>
      <c r="BU659" s="9"/>
      <c r="BV659" s="9"/>
      <c r="BW659" s="9"/>
      <c r="BX659" s="9"/>
      <c r="BY659" s="9"/>
      <c r="BZ659" s="9"/>
    </row>
    <row r="660" spans="4:78" ht="18" customHeight="1" x14ac:dyDescent="0.25"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S660" s="9"/>
      <c r="T660" s="9"/>
      <c r="U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  <c r="AJ660" s="9"/>
      <c r="AK660" s="9"/>
      <c r="AL660" s="9"/>
      <c r="AM660" s="9"/>
      <c r="AN660" s="9"/>
      <c r="AO660" s="9"/>
      <c r="AP660" s="9"/>
      <c r="AQ660" s="9"/>
      <c r="AR660" s="9"/>
      <c r="AS660" s="9"/>
      <c r="AT660" s="9"/>
      <c r="AU660" s="9"/>
      <c r="AV660" s="9"/>
      <c r="AW660" s="9"/>
      <c r="AX660" s="9"/>
      <c r="AY660" s="9"/>
      <c r="AZ660" s="9"/>
      <c r="BA660" s="9"/>
      <c r="BB660" s="9"/>
      <c r="BC660" s="9"/>
      <c r="BD660" s="9"/>
      <c r="BE660" s="9"/>
      <c r="BF660" s="9"/>
      <c r="BG660" s="9"/>
      <c r="BH660" s="9"/>
      <c r="BI660" s="9"/>
      <c r="BJ660" s="9"/>
      <c r="BK660" s="9"/>
      <c r="BL660" s="9"/>
      <c r="BM660" s="9"/>
      <c r="BN660" s="9"/>
      <c r="BO660" s="9"/>
      <c r="BP660" s="9"/>
      <c r="BQ660" s="9"/>
      <c r="BR660" s="9"/>
      <c r="BS660" s="9"/>
      <c r="BT660" s="9"/>
      <c r="BU660" s="9"/>
      <c r="BV660" s="9"/>
      <c r="BW660" s="9"/>
      <c r="BX660" s="9"/>
      <c r="BY660" s="9"/>
      <c r="BZ660" s="9"/>
    </row>
    <row r="661" spans="4:78" ht="18" customHeight="1" x14ac:dyDescent="0.25"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S661" s="9"/>
      <c r="T661" s="9"/>
      <c r="U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  <c r="BF661" s="9"/>
      <c r="BG661" s="9"/>
      <c r="BH661" s="9"/>
      <c r="BI661" s="9"/>
      <c r="BJ661" s="9"/>
      <c r="BK661" s="9"/>
      <c r="BL661" s="9"/>
      <c r="BM661" s="9"/>
      <c r="BN661" s="9"/>
      <c r="BO661" s="9"/>
      <c r="BP661" s="9"/>
      <c r="BQ661" s="9"/>
      <c r="BR661" s="9"/>
      <c r="BS661" s="9"/>
      <c r="BT661" s="9"/>
      <c r="BU661" s="9"/>
      <c r="BV661" s="9"/>
      <c r="BW661" s="9"/>
      <c r="BX661" s="9"/>
      <c r="BY661" s="9"/>
      <c r="BZ661" s="9"/>
    </row>
    <row r="662" spans="4:78" ht="18" customHeight="1" x14ac:dyDescent="0.25"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S662" s="9"/>
      <c r="T662" s="9"/>
      <c r="U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  <c r="AJ662" s="9"/>
      <c r="AK662" s="9"/>
      <c r="AL662" s="9"/>
      <c r="AM662" s="9"/>
      <c r="AN662" s="9"/>
      <c r="AO662" s="9"/>
      <c r="AP662" s="9"/>
      <c r="AQ662" s="9"/>
      <c r="AR662" s="9"/>
      <c r="AS662" s="9"/>
      <c r="AT662" s="9"/>
      <c r="AU662" s="9"/>
      <c r="AV662" s="9"/>
      <c r="AW662" s="9"/>
      <c r="AX662" s="9"/>
      <c r="AY662" s="9"/>
      <c r="AZ662" s="9"/>
      <c r="BA662" s="9"/>
      <c r="BB662" s="9"/>
      <c r="BC662" s="9"/>
      <c r="BD662" s="9"/>
      <c r="BE662" s="9"/>
      <c r="BF662" s="9"/>
      <c r="BG662" s="9"/>
      <c r="BH662" s="9"/>
      <c r="BI662" s="9"/>
      <c r="BJ662" s="9"/>
      <c r="BK662" s="9"/>
      <c r="BL662" s="9"/>
      <c r="BM662" s="9"/>
      <c r="BN662" s="9"/>
      <c r="BO662" s="9"/>
      <c r="BP662" s="9"/>
      <c r="BQ662" s="9"/>
      <c r="BR662" s="9"/>
      <c r="BS662" s="9"/>
      <c r="BT662" s="9"/>
      <c r="BU662" s="9"/>
      <c r="BV662" s="9"/>
      <c r="BW662" s="9"/>
      <c r="BX662" s="9"/>
      <c r="BY662" s="9"/>
      <c r="BZ662" s="9"/>
    </row>
    <row r="663" spans="4:78" ht="18" customHeight="1" x14ac:dyDescent="0.25"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S663" s="9"/>
      <c r="T663" s="9"/>
      <c r="U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  <c r="AJ663" s="9"/>
      <c r="AK663" s="9"/>
      <c r="AL663" s="9"/>
      <c r="AM663" s="9"/>
      <c r="AN663" s="9"/>
      <c r="AO663" s="9"/>
      <c r="AP663" s="9"/>
      <c r="AQ663" s="9"/>
      <c r="AR663" s="9"/>
      <c r="AS663" s="9"/>
      <c r="AT663" s="9"/>
      <c r="AU663" s="9"/>
      <c r="AV663" s="9"/>
      <c r="AW663" s="9"/>
      <c r="AX663" s="9"/>
      <c r="AY663" s="9"/>
      <c r="AZ663" s="9"/>
      <c r="BA663" s="9"/>
      <c r="BB663" s="9"/>
      <c r="BC663" s="9"/>
      <c r="BD663" s="9"/>
      <c r="BE663" s="9"/>
      <c r="BF663" s="9"/>
      <c r="BG663" s="9"/>
      <c r="BH663" s="9"/>
      <c r="BI663" s="9"/>
      <c r="BJ663" s="9"/>
      <c r="BK663" s="9"/>
      <c r="BL663" s="9"/>
      <c r="BM663" s="9"/>
      <c r="BN663" s="9"/>
      <c r="BO663" s="9"/>
      <c r="BP663" s="9"/>
      <c r="BQ663" s="9"/>
      <c r="BR663" s="9"/>
      <c r="BS663" s="9"/>
      <c r="BT663" s="9"/>
      <c r="BU663" s="9"/>
      <c r="BV663" s="9"/>
      <c r="BW663" s="9"/>
      <c r="BX663" s="9"/>
      <c r="BY663" s="9"/>
      <c r="BZ663" s="9"/>
    </row>
    <row r="664" spans="4:78" ht="18" customHeight="1" x14ac:dyDescent="0.25"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S664" s="9"/>
      <c r="T664" s="9"/>
      <c r="U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  <c r="AJ664" s="9"/>
      <c r="AK664" s="9"/>
      <c r="AL664" s="9"/>
      <c r="AM664" s="9"/>
      <c r="AN664" s="9"/>
      <c r="AO664" s="9"/>
      <c r="AP664" s="9"/>
      <c r="AQ664" s="9"/>
      <c r="AR664" s="9"/>
      <c r="AS664" s="9"/>
      <c r="AT664" s="9"/>
      <c r="AU664" s="9"/>
      <c r="AV664" s="9"/>
      <c r="AW664" s="9"/>
      <c r="AX664" s="9"/>
      <c r="AY664" s="9"/>
      <c r="AZ664" s="9"/>
      <c r="BA664" s="9"/>
      <c r="BB664" s="9"/>
      <c r="BC664" s="9"/>
      <c r="BD664" s="9"/>
      <c r="BE664" s="9"/>
      <c r="BF664" s="9"/>
      <c r="BG664" s="9"/>
      <c r="BH664" s="9"/>
      <c r="BI664" s="9"/>
      <c r="BJ664" s="9"/>
      <c r="BK664" s="9"/>
      <c r="BL664" s="9"/>
      <c r="BM664" s="9"/>
      <c r="BN664" s="9"/>
      <c r="BO664" s="9"/>
      <c r="BP664" s="9"/>
      <c r="BQ664" s="9"/>
      <c r="BR664" s="9"/>
      <c r="BS664" s="9"/>
      <c r="BT664" s="9"/>
      <c r="BU664" s="9"/>
      <c r="BV664" s="9"/>
      <c r="BW664" s="9"/>
      <c r="BX664" s="9"/>
      <c r="BY664" s="9"/>
      <c r="BZ664" s="9"/>
    </row>
    <row r="665" spans="4:78" ht="18" customHeight="1" x14ac:dyDescent="0.25"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S665" s="9"/>
      <c r="T665" s="9"/>
      <c r="U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  <c r="AJ665" s="9"/>
      <c r="AK665" s="9"/>
      <c r="AL665" s="9"/>
      <c r="AM665" s="9"/>
      <c r="AN665" s="9"/>
      <c r="AO665" s="9"/>
      <c r="AP665" s="9"/>
      <c r="AQ665" s="9"/>
      <c r="AR665" s="9"/>
      <c r="AS665" s="9"/>
      <c r="AT665" s="9"/>
      <c r="AU665" s="9"/>
      <c r="AV665" s="9"/>
      <c r="AW665" s="9"/>
      <c r="AX665" s="9"/>
      <c r="AY665" s="9"/>
      <c r="AZ665" s="9"/>
      <c r="BA665" s="9"/>
      <c r="BB665" s="9"/>
      <c r="BC665" s="9"/>
      <c r="BD665" s="9"/>
      <c r="BE665" s="9"/>
      <c r="BF665" s="9"/>
      <c r="BG665" s="9"/>
      <c r="BH665" s="9"/>
      <c r="BI665" s="9"/>
      <c r="BJ665" s="9"/>
      <c r="BK665" s="9"/>
      <c r="BL665" s="9"/>
      <c r="BM665" s="9"/>
      <c r="BN665" s="9"/>
      <c r="BO665" s="9"/>
      <c r="BP665" s="9"/>
      <c r="BQ665" s="9"/>
      <c r="BR665" s="9"/>
      <c r="BS665" s="9"/>
      <c r="BT665" s="9"/>
      <c r="BU665" s="9"/>
      <c r="BV665" s="9"/>
      <c r="BW665" s="9"/>
      <c r="BX665" s="9"/>
      <c r="BY665" s="9"/>
      <c r="BZ665" s="9"/>
    </row>
    <row r="666" spans="4:78" ht="18" customHeight="1" x14ac:dyDescent="0.25"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S666" s="9"/>
      <c r="T666" s="9"/>
      <c r="U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  <c r="AJ666" s="9"/>
      <c r="AK666" s="9"/>
      <c r="AL666" s="9"/>
      <c r="AM666" s="9"/>
      <c r="AN666" s="9"/>
      <c r="AO666" s="9"/>
      <c r="AP666" s="9"/>
      <c r="AQ666" s="9"/>
      <c r="AR666" s="9"/>
      <c r="AS666" s="9"/>
      <c r="AT666" s="9"/>
      <c r="AU666" s="9"/>
      <c r="AV666" s="9"/>
      <c r="AW666" s="9"/>
      <c r="AX666" s="9"/>
      <c r="AY666" s="9"/>
      <c r="AZ666" s="9"/>
      <c r="BA666" s="9"/>
      <c r="BB666" s="9"/>
      <c r="BC666" s="9"/>
      <c r="BD666" s="9"/>
      <c r="BE666" s="9"/>
      <c r="BF666" s="9"/>
      <c r="BG666" s="9"/>
      <c r="BH666" s="9"/>
      <c r="BI666" s="9"/>
      <c r="BJ666" s="9"/>
      <c r="BK666" s="9"/>
      <c r="BL666" s="9"/>
      <c r="BM666" s="9"/>
      <c r="BN666" s="9"/>
      <c r="BO666" s="9"/>
      <c r="BP666" s="9"/>
      <c r="BQ666" s="9"/>
      <c r="BR666" s="9"/>
      <c r="BS666" s="9"/>
      <c r="BT666" s="9"/>
      <c r="BU666" s="9"/>
      <c r="BV666" s="9"/>
      <c r="BW666" s="9"/>
      <c r="BX666" s="9"/>
      <c r="BY666" s="9"/>
      <c r="BZ666" s="9"/>
    </row>
    <row r="667" spans="4:78" ht="18" customHeight="1" x14ac:dyDescent="0.25"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S667" s="9"/>
      <c r="T667" s="9"/>
      <c r="U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  <c r="AJ667" s="9"/>
      <c r="AK667" s="9"/>
      <c r="AL667" s="9"/>
      <c r="AM667" s="9"/>
      <c r="AN667" s="9"/>
      <c r="AO667" s="9"/>
      <c r="AP667" s="9"/>
      <c r="AQ667" s="9"/>
      <c r="AR667" s="9"/>
      <c r="AS667" s="9"/>
      <c r="AT667" s="9"/>
      <c r="AU667" s="9"/>
      <c r="AV667" s="9"/>
      <c r="AW667" s="9"/>
      <c r="AX667" s="9"/>
      <c r="AY667" s="9"/>
      <c r="AZ667" s="9"/>
      <c r="BA667" s="9"/>
      <c r="BB667" s="9"/>
      <c r="BC667" s="9"/>
      <c r="BD667" s="9"/>
      <c r="BE667" s="9"/>
      <c r="BF667" s="9"/>
      <c r="BG667" s="9"/>
      <c r="BH667" s="9"/>
      <c r="BI667" s="9"/>
      <c r="BJ667" s="9"/>
      <c r="BK667" s="9"/>
      <c r="BL667" s="9"/>
      <c r="BM667" s="9"/>
      <c r="BN667" s="9"/>
      <c r="BO667" s="9"/>
      <c r="BP667" s="9"/>
      <c r="BQ667" s="9"/>
      <c r="BR667" s="9"/>
      <c r="BS667" s="9"/>
      <c r="BT667" s="9"/>
      <c r="BU667" s="9"/>
      <c r="BV667" s="9"/>
      <c r="BW667" s="9"/>
      <c r="BX667" s="9"/>
      <c r="BY667" s="9"/>
      <c r="BZ667" s="9"/>
    </row>
    <row r="668" spans="4:78" ht="18" customHeight="1" x14ac:dyDescent="0.25"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S668" s="9"/>
      <c r="T668" s="9"/>
      <c r="U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  <c r="AJ668" s="9"/>
      <c r="AK668" s="9"/>
      <c r="AL668" s="9"/>
      <c r="AM668" s="9"/>
      <c r="AN668" s="9"/>
      <c r="AO668" s="9"/>
      <c r="AP668" s="9"/>
      <c r="AQ668" s="9"/>
      <c r="AR668" s="9"/>
      <c r="AS668" s="9"/>
      <c r="AT668" s="9"/>
      <c r="AU668" s="9"/>
      <c r="AV668" s="9"/>
      <c r="AW668" s="9"/>
      <c r="AX668" s="9"/>
      <c r="AY668" s="9"/>
      <c r="AZ668" s="9"/>
      <c r="BA668" s="9"/>
      <c r="BB668" s="9"/>
      <c r="BC668" s="9"/>
      <c r="BD668" s="9"/>
      <c r="BE668" s="9"/>
      <c r="BF668" s="9"/>
      <c r="BG668" s="9"/>
      <c r="BH668" s="9"/>
      <c r="BI668" s="9"/>
      <c r="BJ668" s="9"/>
      <c r="BK668" s="9"/>
      <c r="BL668" s="9"/>
      <c r="BM668" s="9"/>
      <c r="BN668" s="9"/>
      <c r="BO668" s="9"/>
      <c r="BP668" s="9"/>
      <c r="BQ668" s="9"/>
      <c r="BR668" s="9"/>
      <c r="BS668" s="9"/>
      <c r="BT668" s="9"/>
      <c r="BU668" s="9"/>
      <c r="BV668" s="9"/>
      <c r="BW668" s="9"/>
      <c r="BX668" s="9"/>
      <c r="BY668" s="9"/>
      <c r="BZ668" s="9"/>
    </row>
    <row r="669" spans="4:78" ht="18" customHeight="1" x14ac:dyDescent="0.25"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S669" s="9"/>
      <c r="T669" s="9"/>
      <c r="U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  <c r="AJ669" s="9"/>
      <c r="AK669" s="9"/>
      <c r="AL669" s="9"/>
      <c r="AM669" s="9"/>
      <c r="AN669" s="9"/>
      <c r="AO669" s="9"/>
      <c r="AP669" s="9"/>
      <c r="AQ669" s="9"/>
      <c r="AR669" s="9"/>
      <c r="AS669" s="9"/>
      <c r="AT669" s="9"/>
      <c r="AU669" s="9"/>
      <c r="AV669" s="9"/>
      <c r="AW669" s="9"/>
      <c r="AX669" s="9"/>
      <c r="AY669" s="9"/>
      <c r="AZ669" s="9"/>
      <c r="BA669" s="9"/>
      <c r="BB669" s="9"/>
      <c r="BC669" s="9"/>
      <c r="BD669" s="9"/>
      <c r="BE669" s="9"/>
      <c r="BF669" s="9"/>
      <c r="BG669" s="9"/>
      <c r="BH669" s="9"/>
      <c r="BI669" s="9"/>
      <c r="BJ669" s="9"/>
      <c r="BK669" s="9"/>
      <c r="BL669" s="9"/>
      <c r="BM669" s="9"/>
      <c r="BN669" s="9"/>
      <c r="BO669" s="9"/>
      <c r="BP669" s="9"/>
      <c r="BQ669" s="9"/>
      <c r="BR669" s="9"/>
      <c r="BS669" s="9"/>
      <c r="BT669" s="9"/>
      <c r="BU669" s="9"/>
      <c r="BV669" s="9"/>
      <c r="BW669" s="9"/>
      <c r="BX669" s="9"/>
      <c r="BY669" s="9"/>
      <c r="BZ669" s="9"/>
    </row>
    <row r="670" spans="4:78" ht="18" customHeight="1" x14ac:dyDescent="0.25"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S670" s="9"/>
      <c r="T670" s="9"/>
      <c r="U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  <c r="AJ670" s="9"/>
      <c r="AK670" s="9"/>
      <c r="AL670" s="9"/>
      <c r="AM670" s="9"/>
      <c r="AN670" s="9"/>
      <c r="AO670" s="9"/>
      <c r="AP670" s="9"/>
      <c r="AQ670" s="9"/>
      <c r="AR670" s="9"/>
      <c r="AS670" s="9"/>
      <c r="AT670" s="9"/>
      <c r="AU670" s="9"/>
      <c r="AV670" s="9"/>
      <c r="AW670" s="9"/>
      <c r="AX670" s="9"/>
      <c r="AY670" s="9"/>
      <c r="AZ670" s="9"/>
      <c r="BA670" s="9"/>
      <c r="BB670" s="9"/>
      <c r="BC670" s="9"/>
      <c r="BD670" s="9"/>
      <c r="BE670" s="9"/>
      <c r="BF670" s="9"/>
      <c r="BG670" s="9"/>
      <c r="BH670" s="9"/>
      <c r="BI670" s="9"/>
      <c r="BJ670" s="9"/>
      <c r="BK670" s="9"/>
      <c r="BL670" s="9"/>
      <c r="BM670" s="9"/>
      <c r="BN670" s="9"/>
      <c r="BO670" s="9"/>
      <c r="BP670" s="9"/>
      <c r="BQ670" s="9"/>
      <c r="BR670" s="9"/>
      <c r="BS670" s="9"/>
      <c r="BT670" s="9"/>
      <c r="BU670" s="9"/>
      <c r="BV670" s="9"/>
      <c r="BW670" s="9"/>
      <c r="BX670" s="9"/>
      <c r="BY670" s="9"/>
      <c r="BZ670" s="9"/>
    </row>
    <row r="671" spans="4:78" ht="18" customHeight="1" x14ac:dyDescent="0.25"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S671" s="9"/>
      <c r="T671" s="9"/>
      <c r="U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  <c r="AJ671" s="9"/>
      <c r="AK671" s="9"/>
      <c r="AL671" s="9"/>
      <c r="AM671" s="9"/>
      <c r="AN671" s="9"/>
      <c r="AO671" s="9"/>
      <c r="AP671" s="9"/>
      <c r="AQ671" s="9"/>
      <c r="AR671" s="9"/>
      <c r="AS671" s="9"/>
      <c r="AT671" s="9"/>
      <c r="AU671" s="9"/>
      <c r="AV671" s="9"/>
      <c r="AW671" s="9"/>
      <c r="AX671" s="9"/>
      <c r="AY671" s="9"/>
      <c r="AZ671" s="9"/>
      <c r="BA671" s="9"/>
      <c r="BB671" s="9"/>
      <c r="BC671" s="9"/>
      <c r="BD671" s="9"/>
      <c r="BE671" s="9"/>
      <c r="BF671" s="9"/>
      <c r="BG671" s="9"/>
      <c r="BH671" s="9"/>
      <c r="BI671" s="9"/>
      <c r="BJ671" s="9"/>
      <c r="BK671" s="9"/>
      <c r="BL671" s="9"/>
      <c r="BM671" s="9"/>
      <c r="BN671" s="9"/>
      <c r="BO671" s="9"/>
      <c r="BP671" s="9"/>
      <c r="BQ671" s="9"/>
      <c r="BR671" s="9"/>
      <c r="BS671" s="9"/>
      <c r="BT671" s="9"/>
      <c r="BU671" s="9"/>
      <c r="BV671" s="9"/>
      <c r="BW671" s="9"/>
      <c r="BX671" s="9"/>
      <c r="BY671" s="9"/>
      <c r="BZ671" s="9"/>
    </row>
    <row r="672" spans="4:78" ht="18" customHeight="1" x14ac:dyDescent="0.25"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S672" s="9"/>
      <c r="T672" s="9"/>
      <c r="U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  <c r="AJ672" s="9"/>
      <c r="AK672" s="9"/>
      <c r="AL672" s="9"/>
      <c r="AM672" s="9"/>
      <c r="AN672" s="9"/>
      <c r="AO672" s="9"/>
      <c r="AP672" s="9"/>
      <c r="AQ672" s="9"/>
      <c r="AR672" s="9"/>
      <c r="AS672" s="9"/>
      <c r="AT672" s="9"/>
      <c r="AU672" s="9"/>
      <c r="AV672" s="9"/>
      <c r="AW672" s="9"/>
      <c r="AX672" s="9"/>
      <c r="AY672" s="9"/>
      <c r="AZ672" s="9"/>
      <c r="BA672" s="9"/>
      <c r="BB672" s="9"/>
      <c r="BC672" s="9"/>
      <c r="BD672" s="9"/>
      <c r="BE672" s="9"/>
      <c r="BF672" s="9"/>
      <c r="BG672" s="9"/>
      <c r="BH672" s="9"/>
      <c r="BI672" s="9"/>
      <c r="BJ672" s="9"/>
      <c r="BK672" s="9"/>
      <c r="BL672" s="9"/>
      <c r="BM672" s="9"/>
      <c r="BN672" s="9"/>
      <c r="BO672" s="9"/>
      <c r="BP672" s="9"/>
      <c r="BQ672" s="9"/>
      <c r="BR672" s="9"/>
      <c r="BS672" s="9"/>
      <c r="BT672" s="9"/>
      <c r="BU672" s="9"/>
      <c r="BV672" s="9"/>
      <c r="BW672" s="9"/>
      <c r="BX672" s="9"/>
      <c r="BY672" s="9"/>
      <c r="BZ672" s="9"/>
    </row>
    <row r="673" spans="4:78" ht="18" customHeight="1" x14ac:dyDescent="0.25"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S673" s="9"/>
      <c r="T673" s="9"/>
      <c r="U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  <c r="AJ673" s="9"/>
      <c r="AK673" s="9"/>
      <c r="AL673" s="9"/>
      <c r="AM673" s="9"/>
      <c r="AN673" s="9"/>
      <c r="AO673" s="9"/>
      <c r="AP673" s="9"/>
      <c r="AQ673" s="9"/>
      <c r="AR673" s="9"/>
      <c r="AS673" s="9"/>
      <c r="AT673" s="9"/>
      <c r="AU673" s="9"/>
      <c r="AV673" s="9"/>
      <c r="AW673" s="9"/>
      <c r="AX673" s="9"/>
      <c r="AY673" s="9"/>
      <c r="AZ673" s="9"/>
      <c r="BA673" s="9"/>
      <c r="BB673" s="9"/>
      <c r="BC673" s="9"/>
      <c r="BD673" s="9"/>
      <c r="BE673" s="9"/>
      <c r="BF673" s="9"/>
      <c r="BG673" s="9"/>
      <c r="BH673" s="9"/>
      <c r="BI673" s="9"/>
      <c r="BJ673" s="9"/>
      <c r="BK673" s="9"/>
      <c r="BL673" s="9"/>
      <c r="BM673" s="9"/>
      <c r="BN673" s="9"/>
      <c r="BO673" s="9"/>
      <c r="BP673" s="9"/>
      <c r="BQ673" s="9"/>
      <c r="BR673" s="9"/>
      <c r="BS673" s="9"/>
      <c r="BT673" s="9"/>
      <c r="BU673" s="9"/>
      <c r="BV673" s="9"/>
      <c r="BW673" s="9"/>
      <c r="BX673" s="9"/>
      <c r="BY673" s="9"/>
      <c r="BZ673" s="9"/>
    </row>
    <row r="674" spans="4:78" ht="18" customHeight="1" x14ac:dyDescent="0.25"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S674" s="9"/>
      <c r="T674" s="9"/>
      <c r="U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  <c r="AJ674" s="9"/>
      <c r="AK674" s="9"/>
      <c r="AL674" s="9"/>
      <c r="AM674" s="9"/>
      <c r="AN674" s="9"/>
      <c r="AO674" s="9"/>
      <c r="AP674" s="9"/>
      <c r="AQ674" s="9"/>
      <c r="AR674" s="9"/>
      <c r="AS674" s="9"/>
      <c r="AT674" s="9"/>
      <c r="AU674" s="9"/>
      <c r="AV674" s="9"/>
      <c r="AW674" s="9"/>
      <c r="AX674" s="9"/>
      <c r="AY674" s="9"/>
      <c r="AZ674" s="9"/>
      <c r="BA674" s="9"/>
      <c r="BB674" s="9"/>
      <c r="BC674" s="9"/>
      <c r="BD674" s="9"/>
      <c r="BE674" s="9"/>
      <c r="BF674" s="9"/>
      <c r="BG674" s="9"/>
      <c r="BH674" s="9"/>
      <c r="BI674" s="9"/>
      <c r="BJ674" s="9"/>
      <c r="BK674" s="9"/>
      <c r="BL674" s="9"/>
      <c r="BM674" s="9"/>
      <c r="BN674" s="9"/>
      <c r="BO674" s="9"/>
      <c r="BP674" s="9"/>
      <c r="BQ674" s="9"/>
      <c r="BR674" s="9"/>
      <c r="BS674" s="9"/>
      <c r="BT674" s="9"/>
      <c r="BU674" s="9"/>
      <c r="BV674" s="9"/>
      <c r="BW674" s="9"/>
      <c r="BX674" s="9"/>
      <c r="BY674" s="9"/>
      <c r="BZ674" s="9"/>
    </row>
    <row r="675" spans="4:78" ht="18" customHeight="1" x14ac:dyDescent="0.25"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S675" s="9"/>
      <c r="T675" s="9"/>
      <c r="U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  <c r="AJ675" s="9"/>
      <c r="AK675" s="9"/>
      <c r="AL675" s="9"/>
      <c r="AM675" s="9"/>
      <c r="AN675" s="9"/>
      <c r="AO675" s="9"/>
      <c r="AP675" s="9"/>
      <c r="AQ675" s="9"/>
      <c r="AR675" s="9"/>
      <c r="AS675" s="9"/>
      <c r="AT675" s="9"/>
      <c r="AU675" s="9"/>
      <c r="AV675" s="9"/>
      <c r="AW675" s="9"/>
      <c r="AX675" s="9"/>
      <c r="AY675" s="9"/>
      <c r="AZ675" s="9"/>
      <c r="BA675" s="9"/>
      <c r="BB675" s="9"/>
      <c r="BC675" s="9"/>
      <c r="BD675" s="9"/>
      <c r="BE675" s="9"/>
      <c r="BF675" s="9"/>
      <c r="BG675" s="9"/>
      <c r="BH675" s="9"/>
      <c r="BI675" s="9"/>
      <c r="BJ675" s="9"/>
      <c r="BK675" s="9"/>
      <c r="BL675" s="9"/>
      <c r="BM675" s="9"/>
      <c r="BN675" s="9"/>
      <c r="BO675" s="9"/>
      <c r="BP675" s="9"/>
      <c r="BQ675" s="9"/>
      <c r="BR675" s="9"/>
      <c r="BS675" s="9"/>
      <c r="BT675" s="9"/>
      <c r="BU675" s="9"/>
      <c r="BV675" s="9"/>
      <c r="BW675" s="9"/>
      <c r="BX675" s="9"/>
      <c r="BY675" s="9"/>
      <c r="BZ675" s="9"/>
    </row>
    <row r="676" spans="4:78" ht="18" customHeight="1" x14ac:dyDescent="0.25"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S676" s="9"/>
      <c r="T676" s="9"/>
      <c r="U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  <c r="AJ676" s="9"/>
      <c r="AK676" s="9"/>
      <c r="AL676" s="9"/>
      <c r="AM676" s="9"/>
      <c r="AN676" s="9"/>
      <c r="AO676" s="9"/>
      <c r="AP676" s="9"/>
      <c r="AQ676" s="9"/>
      <c r="AR676" s="9"/>
      <c r="AS676" s="9"/>
      <c r="AT676" s="9"/>
      <c r="AU676" s="9"/>
      <c r="AV676" s="9"/>
      <c r="AW676" s="9"/>
      <c r="AX676" s="9"/>
      <c r="AY676" s="9"/>
      <c r="AZ676" s="9"/>
      <c r="BA676" s="9"/>
      <c r="BB676" s="9"/>
      <c r="BC676" s="9"/>
      <c r="BD676" s="9"/>
      <c r="BE676" s="9"/>
      <c r="BF676" s="9"/>
      <c r="BG676" s="9"/>
      <c r="BH676" s="9"/>
      <c r="BI676" s="9"/>
      <c r="BJ676" s="9"/>
      <c r="BK676" s="9"/>
      <c r="BL676" s="9"/>
      <c r="BM676" s="9"/>
      <c r="BN676" s="9"/>
      <c r="BO676" s="9"/>
      <c r="BP676" s="9"/>
      <c r="BQ676" s="9"/>
      <c r="BR676" s="9"/>
      <c r="BS676" s="9"/>
      <c r="BT676" s="9"/>
      <c r="BU676" s="9"/>
      <c r="BV676" s="9"/>
      <c r="BW676" s="9"/>
      <c r="BX676" s="9"/>
      <c r="BY676" s="9"/>
      <c r="BZ676" s="9"/>
    </row>
    <row r="677" spans="4:78" ht="18" customHeight="1" x14ac:dyDescent="0.25"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S677" s="9"/>
      <c r="T677" s="9"/>
      <c r="U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  <c r="AJ677" s="9"/>
      <c r="AK677" s="9"/>
      <c r="AL677" s="9"/>
      <c r="AM677" s="9"/>
      <c r="AN677" s="9"/>
      <c r="AO677" s="9"/>
      <c r="AP677" s="9"/>
      <c r="AQ677" s="9"/>
      <c r="AR677" s="9"/>
      <c r="AS677" s="9"/>
      <c r="AT677" s="9"/>
      <c r="AU677" s="9"/>
      <c r="AV677" s="9"/>
      <c r="AW677" s="9"/>
      <c r="AX677" s="9"/>
      <c r="AY677" s="9"/>
      <c r="AZ677" s="9"/>
      <c r="BA677" s="9"/>
      <c r="BB677" s="9"/>
      <c r="BC677" s="9"/>
      <c r="BD677" s="9"/>
      <c r="BE677" s="9"/>
      <c r="BF677" s="9"/>
      <c r="BG677" s="9"/>
      <c r="BH677" s="9"/>
      <c r="BI677" s="9"/>
      <c r="BJ677" s="9"/>
      <c r="BK677" s="9"/>
      <c r="BL677" s="9"/>
      <c r="BM677" s="9"/>
      <c r="BN677" s="9"/>
      <c r="BO677" s="9"/>
      <c r="BP677" s="9"/>
      <c r="BQ677" s="9"/>
      <c r="BR677" s="9"/>
      <c r="BS677" s="9"/>
      <c r="BT677" s="9"/>
      <c r="BU677" s="9"/>
      <c r="BV677" s="9"/>
      <c r="BW677" s="9"/>
      <c r="BX677" s="9"/>
      <c r="BY677" s="9"/>
      <c r="BZ677" s="9"/>
    </row>
    <row r="678" spans="4:78" ht="18" customHeight="1" x14ac:dyDescent="0.25"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S678" s="9"/>
      <c r="T678" s="9"/>
      <c r="U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  <c r="AJ678" s="9"/>
      <c r="AK678" s="9"/>
      <c r="AL678" s="9"/>
      <c r="AM678" s="9"/>
      <c r="AN678" s="9"/>
      <c r="AO678" s="9"/>
      <c r="AP678" s="9"/>
      <c r="AQ678" s="9"/>
      <c r="AR678" s="9"/>
      <c r="AS678" s="9"/>
      <c r="AT678" s="9"/>
      <c r="AU678" s="9"/>
      <c r="AV678" s="9"/>
      <c r="AW678" s="9"/>
      <c r="AX678" s="9"/>
      <c r="AY678" s="9"/>
      <c r="AZ678" s="9"/>
      <c r="BA678" s="9"/>
      <c r="BB678" s="9"/>
      <c r="BC678" s="9"/>
      <c r="BD678" s="9"/>
      <c r="BE678" s="9"/>
      <c r="BF678" s="9"/>
      <c r="BG678" s="9"/>
      <c r="BH678" s="9"/>
      <c r="BI678" s="9"/>
      <c r="BJ678" s="9"/>
      <c r="BK678" s="9"/>
      <c r="BL678" s="9"/>
      <c r="BM678" s="9"/>
      <c r="BN678" s="9"/>
      <c r="BO678" s="9"/>
      <c r="BP678" s="9"/>
      <c r="BQ678" s="9"/>
      <c r="BR678" s="9"/>
      <c r="BS678" s="9"/>
      <c r="BT678" s="9"/>
      <c r="BU678" s="9"/>
      <c r="BV678" s="9"/>
      <c r="BW678" s="9"/>
      <c r="BX678" s="9"/>
      <c r="BY678" s="9"/>
      <c r="BZ678" s="9"/>
    </row>
    <row r="679" spans="4:78" ht="18" customHeight="1" x14ac:dyDescent="0.25"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S679" s="9"/>
      <c r="T679" s="9"/>
      <c r="U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  <c r="AJ679" s="9"/>
      <c r="AK679" s="9"/>
      <c r="AL679" s="9"/>
      <c r="AM679" s="9"/>
      <c r="AN679" s="9"/>
      <c r="AO679" s="9"/>
      <c r="AP679" s="9"/>
      <c r="AQ679" s="9"/>
      <c r="AR679" s="9"/>
      <c r="AS679" s="9"/>
      <c r="AT679" s="9"/>
      <c r="AU679" s="9"/>
      <c r="AV679" s="9"/>
      <c r="AW679" s="9"/>
      <c r="AX679" s="9"/>
      <c r="AY679" s="9"/>
      <c r="AZ679" s="9"/>
      <c r="BA679" s="9"/>
      <c r="BB679" s="9"/>
      <c r="BC679" s="9"/>
      <c r="BD679" s="9"/>
      <c r="BE679" s="9"/>
      <c r="BF679" s="9"/>
      <c r="BG679" s="9"/>
      <c r="BH679" s="9"/>
      <c r="BI679" s="9"/>
      <c r="BJ679" s="9"/>
      <c r="BK679" s="9"/>
      <c r="BL679" s="9"/>
      <c r="BM679" s="9"/>
      <c r="BN679" s="9"/>
      <c r="BO679" s="9"/>
      <c r="BP679" s="9"/>
      <c r="BQ679" s="9"/>
      <c r="BR679" s="9"/>
      <c r="BS679" s="9"/>
      <c r="BT679" s="9"/>
      <c r="BU679" s="9"/>
      <c r="BV679" s="9"/>
      <c r="BW679" s="9"/>
      <c r="BX679" s="9"/>
      <c r="BY679" s="9"/>
      <c r="BZ679" s="9"/>
    </row>
    <row r="680" spans="4:78" ht="18" customHeight="1" x14ac:dyDescent="0.25"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S680" s="9"/>
      <c r="T680" s="9"/>
      <c r="U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  <c r="AJ680" s="9"/>
      <c r="AK680" s="9"/>
      <c r="AL680" s="9"/>
      <c r="AM680" s="9"/>
      <c r="AN680" s="9"/>
      <c r="AO680" s="9"/>
      <c r="AP680" s="9"/>
      <c r="AQ680" s="9"/>
      <c r="AR680" s="9"/>
      <c r="AS680" s="9"/>
      <c r="AT680" s="9"/>
      <c r="AU680" s="9"/>
      <c r="AV680" s="9"/>
      <c r="AW680" s="9"/>
      <c r="AX680" s="9"/>
      <c r="AY680" s="9"/>
      <c r="AZ680" s="9"/>
      <c r="BA680" s="9"/>
      <c r="BB680" s="9"/>
      <c r="BC680" s="9"/>
      <c r="BD680" s="9"/>
      <c r="BE680" s="9"/>
      <c r="BF680" s="9"/>
      <c r="BG680" s="9"/>
      <c r="BH680" s="9"/>
      <c r="BI680" s="9"/>
      <c r="BJ680" s="9"/>
      <c r="BK680" s="9"/>
      <c r="BL680" s="9"/>
      <c r="BM680" s="9"/>
      <c r="BN680" s="9"/>
      <c r="BO680" s="9"/>
      <c r="BP680" s="9"/>
      <c r="BQ680" s="9"/>
      <c r="BR680" s="9"/>
      <c r="BS680" s="9"/>
      <c r="BT680" s="9"/>
      <c r="BU680" s="9"/>
      <c r="BV680" s="9"/>
      <c r="BW680" s="9"/>
      <c r="BX680" s="9"/>
      <c r="BY680" s="9"/>
      <c r="BZ680" s="9"/>
    </row>
    <row r="681" spans="4:78" ht="18" customHeight="1" x14ac:dyDescent="0.25"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S681" s="9"/>
      <c r="T681" s="9"/>
      <c r="U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  <c r="AJ681" s="9"/>
      <c r="AK681" s="9"/>
      <c r="AL681" s="9"/>
      <c r="AM681" s="9"/>
      <c r="AN681" s="9"/>
      <c r="AO681" s="9"/>
      <c r="AP681" s="9"/>
      <c r="AQ681" s="9"/>
      <c r="AR681" s="9"/>
      <c r="AS681" s="9"/>
      <c r="AT681" s="9"/>
      <c r="AU681" s="9"/>
      <c r="AV681" s="9"/>
      <c r="AW681" s="9"/>
      <c r="AX681" s="9"/>
      <c r="AY681" s="9"/>
      <c r="AZ681" s="9"/>
      <c r="BA681" s="9"/>
      <c r="BB681" s="9"/>
      <c r="BC681" s="9"/>
      <c r="BD681" s="9"/>
      <c r="BE681" s="9"/>
      <c r="BF681" s="9"/>
      <c r="BG681" s="9"/>
      <c r="BH681" s="9"/>
      <c r="BI681" s="9"/>
      <c r="BJ681" s="9"/>
      <c r="BK681" s="9"/>
      <c r="BL681" s="9"/>
      <c r="BM681" s="9"/>
      <c r="BN681" s="9"/>
      <c r="BO681" s="9"/>
      <c r="BP681" s="9"/>
      <c r="BQ681" s="9"/>
      <c r="BR681" s="9"/>
      <c r="BS681" s="9"/>
      <c r="BT681" s="9"/>
      <c r="BU681" s="9"/>
      <c r="BV681" s="9"/>
      <c r="BW681" s="9"/>
      <c r="BX681" s="9"/>
      <c r="BY681" s="9"/>
      <c r="BZ681" s="9"/>
    </row>
    <row r="682" spans="4:78" ht="18" customHeight="1" x14ac:dyDescent="0.25"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S682" s="9"/>
      <c r="T682" s="9"/>
      <c r="U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  <c r="AJ682" s="9"/>
      <c r="AK682" s="9"/>
      <c r="AL682" s="9"/>
      <c r="AM682" s="9"/>
      <c r="AN682" s="9"/>
      <c r="AO682" s="9"/>
      <c r="AP682" s="9"/>
      <c r="AQ682" s="9"/>
      <c r="AR682" s="9"/>
      <c r="AS682" s="9"/>
      <c r="AT682" s="9"/>
      <c r="AU682" s="9"/>
      <c r="AV682" s="9"/>
      <c r="AW682" s="9"/>
      <c r="AX682" s="9"/>
      <c r="AY682" s="9"/>
      <c r="AZ682" s="9"/>
      <c r="BA682" s="9"/>
      <c r="BB682" s="9"/>
      <c r="BC682" s="9"/>
      <c r="BD682" s="9"/>
      <c r="BE682" s="9"/>
      <c r="BF682" s="9"/>
      <c r="BG682" s="9"/>
      <c r="BH682" s="9"/>
      <c r="BI682" s="9"/>
      <c r="BJ682" s="9"/>
      <c r="BK682" s="9"/>
      <c r="BL682" s="9"/>
      <c r="BM682" s="9"/>
      <c r="BN682" s="9"/>
      <c r="BO682" s="9"/>
      <c r="BP682" s="9"/>
      <c r="BQ682" s="9"/>
      <c r="BR682" s="9"/>
      <c r="BS682" s="9"/>
      <c r="BT682" s="9"/>
      <c r="BU682" s="9"/>
      <c r="BV682" s="9"/>
      <c r="BW682" s="9"/>
      <c r="BX682" s="9"/>
      <c r="BY682" s="9"/>
      <c r="BZ682" s="9"/>
    </row>
    <row r="683" spans="4:78" ht="18" customHeight="1" x14ac:dyDescent="0.25"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S683" s="9"/>
      <c r="T683" s="9"/>
      <c r="U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  <c r="AJ683" s="9"/>
      <c r="AK683" s="9"/>
      <c r="AL683" s="9"/>
      <c r="AM683" s="9"/>
      <c r="AN683" s="9"/>
      <c r="AO683" s="9"/>
      <c r="AP683" s="9"/>
      <c r="AQ683" s="9"/>
      <c r="AR683" s="9"/>
      <c r="AS683" s="9"/>
      <c r="AT683" s="9"/>
      <c r="AU683" s="9"/>
      <c r="AV683" s="9"/>
      <c r="AW683" s="9"/>
      <c r="AX683" s="9"/>
      <c r="AY683" s="9"/>
      <c r="AZ683" s="9"/>
      <c r="BA683" s="9"/>
      <c r="BB683" s="9"/>
      <c r="BC683" s="9"/>
      <c r="BD683" s="9"/>
      <c r="BE683" s="9"/>
      <c r="BF683" s="9"/>
      <c r="BG683" s="9"/>
      <c r="BH683" s="9"/>
      <c r="BI683" s="9"/>
      <c r="BJ683" s="9"/>
      <c r="BK683" s="9"/>
      <c r="BL683" s="9"/>
      <c r="BM683" s="9"/>
      <c r="BN683" s="9"/>
      <c r="BO683" s="9"/>
      <c r="BP683" s="9"/>
      <c r="BQ683" s="9"/>
      <c r="BR683" s="9"/>
      <c r="BS683" s="9"/>
      <c r="BT683" s="9"/>
      <c r="BU683" s="9"/>
      <c r="BV683" s="9"/>
      <c r="BW683" s="9"/>
      <c r="BX683" s="9"/>
      <c r="BY683" s="9"/>
      <c r="BZ683" s="9"/>
    </row>
    <row r="684" spans="4:78" ht="18" customHeight="1" x14ac:dyDescent="0.25"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S684" s="9"/>
      <c r="T684" s="9"/>
      <c r="U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  <c r="AJ684" s="9"/>
      <c r="AK684" s="9"/>
      <c r="AL684" s="9"/>
      <c r="AM684" s="9"/>
      <c r="AN684" s="9"/>
      <c r="AO684" s="9"/>
      <c r="AP684" s="9"/>
      <c r="AQ684" s="9"/>
      <c r="AR684" s="9"/>
      <c r="AS684" s="9"/>
      <c r="AT684" s="9"/>
      <c r="AU684" s="9"/>
      <c r="AV684" s="9"/>
      <c r="AW684" s="9"/>
      <c r="AX684" s="9"/>
      <c r="AY684" s="9"/>
      <c r="AZ684" s="9"/>
      <c r="BA684" s="9"/>
      <c r="BB684" s="9"/>
      <c r="BC684" s="9"/>
      <c r="BD684" s="9"/>
      <c r="BE684" s="9"/>
      <c r="BF684" s="9"/>
      <c r="BG684" s="9"/>
      <c r="BH684" s="9"/>
      <c r="BI684" s="9"/>
      <c r="BJ684" s="9"/>
      <c r="BK684" s="9"/>
      <c r="BL684" s="9"/>
      <c r="BM684" s="9"/>
      <c r="BN684" s="9"/>
      <c r="BO684" s="9"/>
      <c r="BP684" s="9"/>
      <c r="BQ684" s="9"/>
      <c r="BR684" s="9"/>
      <c r="BS684" s="9"/>
      <c r="BT684" s="9"/>
      <c r="BU684" s="9"/>
      <c r="BV684" s="9"/>
      <c r="BW684" s="9"/>
      <c r="BX684" s="9"/>
      <c r="BY684" s="9"/>
      <c r="BZ684" s="9"/>
    </row>
    <row r="685" spans="4:78" ht="18" customHeight="1" x14ac:dyDescent="0.25"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S685" s="9"/>
      <c r="T685" s="9"/>
      <c r="U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  <c r="AJ685" s="9"/>
      <c r="AK685" s="9"/>
      <c r="AL685" s="9"/>
      <c r="AM685" s="9"/>
      <c r="AN685" s="9"/>
      <c r="AO685" s="9"/>
      <c r="AP685" s="9"/>
      <c r="AQ685" s="9"/>
      <c r="AR685" s="9"/>
      <c r="AS685" s="9"/>
      <c r="AT685" s="9"/>
      <c r="AU685" s="9"/>
      <c r="AV685" s="9"/>
      <c r="AW685" s="9"/>
      <c r="AX685" s="9"/>
      <c r="AY685" s="9"/>
      <c r="AZ685" s="9"/>
      <c r="BA685" s="9"/>
      <c r="BB685" s="9"/>
      <c r="BC685" s="9"/>
      <c r="BD685" s="9"/>
      <c r="BE685" s="9"/>
      <c r="BF685" s="9"/>
      <c r="BG685" s="9"/>
      <c r="BH685" s="9"/>
      <c r="BI685" s="9"/>
      <c r="BJ685" s="9"/>
      <c r="BK685" s="9"/>
      <c r="BL685" s="9"/>
      <c r="BM685" s="9"/>
      <c r="BN685" s="9"/>
      <c r="BO685" s="9"/>
      <c r="BP685" s="9"/>
      <c r="BQ685" s="9"/>
      <c r="BR685" s="9"/>
      <c r="BS685" s="9"/>
      <c r="BT685" s="9"/>
      <c r="BU685" s="9"/>
      <c r="BV685" s="9"/>
      <c r="BW685" s="9"/>
      <c r="BX685" s="9"/>
      <c r="BY685" s="9"/>
      <c r="BZ685" s="9"/>
    </row>
    <row r="686" spans="4:78" ht="18" customHeight="1" x14ac:dyDescent="0.25"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S686" s="9"/>
      <c r="T686" s="9"/>
      <c r="U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  <c r="AJ686" s="9"/>
      <c r="AK686" s="9"/>
      <c r="AL686" s="9"/>
      <c r="AM686" s="9"/>
      <c r="AN686" s="9"/>
      <c r="AO686" s="9"/>
      <c r="AP686" s="9"/>
      <c r="AQ686" s="9"/>
      <c r="AR686" s="9"/>
      <c r="AS686" s="9"/>
      <c r="AT686" s="9"/>
      <c r="AU686" s="9"/>
      <c r="AV686" s="9"/>
      <c r="AW686" s="9"/>
      <c r="AX686" s="9"/>
      <c r="AY686" s="9"/>
      <c r="AZ686" s="9"/>
      <c r="BA686" s="9"/>
      <c r="BB686" s="9"/>
      <c r="BC686" s="9"/>
      <c r="BD686" s="9"/>
      <c r="BE686" s="9"/>
      <c r="BF686" s="9"/>
      <c r="BG686" s="9"/>
      <c r="BH686" s="9"/>
      <c r="BI686" s="9"/>
      <c r="BJ686" s="9"/>
      <c r="BK686" s="9"/>
      <c r="BL686" s="9"/>
      <c r="BM686" s="9"/>
      <c r="BN686" s="9"/>
      <c r="BO686" s="9"/>
      <c r="BP686" s="9"/>
      <c r="BQ686" s="9"/>
      <c r="BR686" s="9"/>
      <c r="BS686" s="9"/>
      <c r="BT686" s="9"/>
      <c r="BU686" s="9"/>
      <c r="BV686" s="9"/>
      <c r="BW686" s="9"/>
      <c r="BX686" s="9"/>
      <c r="BY686" s="9"/>
      <c r="BZ686" s="9"/>
    </row>
    <row r="687" spans="4:78" ht="18" customHeight="1" x14ac:dyDescent="0.25"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S687" s="9"/>
      <c r="T687" s="9"/>
      <c r="U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  <c r="AJ687" s="9"/>
      <c r="AK687" s="9"/>
      <c r="AL687" s="9"/>
      <c r="AM687" s="9"/>
      <c r="AN687" s="9"/>
      <c r="AO687" s="9"/>
      <c r="AP687" s="9"/>
      <c r="AQ687" s="9"/>
      <c r="AR687" s="9"/>
      <c r="AS687" s="9"/>
      <c r="AT687" s="9"/>
      <c r="AU687" s="9"/>
      <c r="AV687" s="9"/>
      <c r="AW687" s="9"/>
      <c r="AX687" s="9"/>
      <c r="AY687" s="9"/>
      <c r="AZ687" s="9"/>
      <c r="BA687" s="9"/>
      <c r="BB687" s="9"/>
      <c r="BC687" s="9"/>
      <c r="BD687" s="9"/>
      <c r="BE687" s="9"/>
      <c r="BF687" s="9"/>
      <c r="BG687" s="9"/>
      <c r="BH687" s="9"/>
      <c r="BI687" s="9"/>
      <c r="BJ687" s="9"/>
      <c r="BK687" s="9"/>
      <c r="BL687" s="9"/>
      <c r="BM687" s="9"/>
      <c r="BN687" s="9"/>
      <c r="BO687" s="9"/>
      <c r="BP687" s="9"/>
      <c r="BQ687" s="9"/>
      <c r="BR687" s="9"/>
      <c r="BS687" s="9"/>
      <c r="BT687" s="9"/>
      <c r="BU687" s="9"/>
      <c r="BV687" s="9"/>
      <c r="BW687" s="9"/>
      <c r="BX687" s="9"/>
      <c r="BY687" s="9"/>
      <c r="BZ687" s="9"/>
    </row>
    <row r="688" spans="4:78" ht="18" customHeight="1" x14ac:dyDescent="0.25"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S688" s="9"/>
      <c r="T688" s="9"/>
      <c r="U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  <c r="AJ688" s="9"/>
      <c r="AK688" s="9"/>
      <c r="AL688" s="9"/>
      <c r="AM688" s="9"/>
      <c r="AN688" s="9"/>
      <c r="AO688" s="9"/>
      <c r="AP688" s="9"/>
      <c r="AQ688" s="9"/>
      <c r="AR688" s="9"/>
      <c r="AS688" s="9"/>
      <c r="AT688" s="9"/>
      <c r="AU688" s="9"/>
      <c r="AV688" s="9"/>
      <c r="AW688" s="9"/>
      <c r="AX688" s="9"/>
      <c r="AY688" s="9"/>
      <c r="AZ688" s="9"/>
      <c r="BA688" s="9"/>
      <c r="BB688" s="9"/>
      <c r="BC688" s="9"/>
      <c r="BD688" s="9"/>
      <c r="BE688" s="9"/>
      <c r="BF688" s="9"/>
      <c r="BG688" s="9"/>
      <c r="BH688" s="9"/>
      <c r="BI688" s="9"/>
      <c r="BJ688" s="9"/>
      <c r="BK688" s="9"/>
      <c r="BL688" s="9"/>
      <c r="BM688" s="9"/>
      <c r="BN688" s="9"/>
      <c r="BO688" s="9"/>
      <c r="BP688" s="9"/>
      <c r="BQ688" s="9"/>
      <c r="BR688" s="9"/>
      <c r="BS688" s="9"/>
      <c r="BT688" s="9"/>
      <c r="BU688" s="9"/>
      <c r="BV688" s="9"/>
      <c r="BW688" s="9"/>
      <c r="BX688" s="9"/>
      <c r="BY688" s="9"/>
      <c r="BZ688" s="9"/>
    </row>
    <row r="689" spans="4:78" ht="18" customHeight="1" x14ac:dyDescent="0.25"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S689" s="9"/>
      <c r="T689" s="9"/>
      <c r="U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  <c r="AJ689" s="9"/>
      <c r="AK689" s="9"/>
      <c r="AL689" s="9"/>
      <c r="AM689" s="9"/>
      <c r="AN689" s="9"/>
      <c r="AO689" s="9"/>
      <c r="AP689" s="9"/>
      <c r="AQ689" s="9"/>
      <c r="AR689" s="9"/>
      <c r="AS689" s="9"/>
      <c r="AT689" s="9"/>
      <c r="AU689" s="9"/>
      <c r="AV689" s="9"/>
      <c r="AW689" s="9"/>
      <c r="AX689" s="9"/>
      <c r="AY689" s="9"/>
      <c r="AZ689" s="9"/>
      <c r="BA689" s="9"/>
      <c r="BB689" s="9"/>
      <c r="BC689" s="9"/>
      <c r="BD689" s="9"/>
      <c r="BE689" s="9"/>
      <c r="BF689" s="9"/>
      <c r="BG689" s="9"/>
      <c r="BH689" s="9"/>
      <c r="BI689" s="9"/>
      <c r="BJ689" s="9"/>
      <c r="BK689" s="9"/>
      <c r="BL689" s="9"/>
      <c r="BM689" s="9"/>
      <c r="BN689" s="9"/>
      <c r="BO689" s="9"/>
      <c r="BP689" s="9"/>
      <c r="BQ689" s="9"/>
      <c r="BR689" s="9"/>
      <c r="BS689" s="9"/>
      <c r="BT689" s="9"/>
      <c r="BU689" s="9"/>
      <c r="BV689" s="9"/>
      <c r="BW689" s="9"/>
      <c r="BX689" s="9"/>
      <c r="BY689" s="9"/>
      <c r="BZ689" s="9"/>
    </row>
    <row r="690" spans="4:78" ht="18" customHeight="1" x14ac:dyDescent="0.25"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S690" s="9"/>
      <c r="T690" s="9"/>
      <c r="U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  <c r="AJ690" s="9"/>
      <c r="AK690" s="9"/>
      <c r="AL690" s="9"/>
      <c r="AM690" s="9"/>
      <c r="AN690" s="9"/>
      <c r="AO690" s="9"/>
      <c r="AP690" s="9"/>
      <c r="AQ690" s="9"/>
      <c r="AR690" s="9"/>
      <c r="AS690" s="9"/>
      <c r="AT690" s="9"/>
      <c r="AU690" s="9"/>
      <c r="AV690" s="9"/>
      <c r="AW690" s="9"/>
      <c r="AX690" s="9"/>
      <c r="AY690" s="9"/>
      <c r="AZ690" s="9"/>
      <c r="BA690" s="9"/>
      <c r="BB690" s="9"/>
      <c r="BC690" s="9"/>
      <c r="BD690" s="9"/>
      <c r="BE690" s="9"/>
      <c r="BF690" s="9"/>
      <c r="BG690" s="9"/>
      <c r="BH690" s="9"/>
      <c r="BI690" s="9"/>
      <c r="BJ690" s="9"/>
      <c r="BK690" s="9"/>
      <c r="BL690" s="9"/>
      <c r="BM690" s="9"/>
      <c r="BN690" s="9"/>
      <c r="BO690" s="9"/>
      <c r="BP690" s="9"/>
      <c r="BQ690" s="9"/>
      <c r="BR690" s="9"/>
      <c r="BS690" s="9"/>
      <c r="BT690" s="9"/>
      <c r="BU690" s="9"/>
      <c r="BV690" s="9"/>
      <c r="BW690" s="9"/>
      <c r="BX690" s="9"/>
      <c r="BY690" s="9"/>
      <c r="BZ690" s="9"/>
    </row>
    <row r="691" spans="4:78" ht="18" customHeight="1" x14ac:dyDescent="0.25"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S691" s="9"/>
      <c r="T691" s="9"/>
      <c r="U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  <c r="AJ691" s="9"/>
      <c r="AK691" s="9"/>
      <c r="AL691" s="9"/>
      <c r="AM691" s="9"/>
      <c r="AN691" s="9"/>
      <c r="AO691" s="9"/>
      <c r="AP691" s="9"/>
      <c r="AQ691" s="9"/>
      <c r="AR691" s="9"/>
      <c r="AS691" s="9"/>
      <c r="AT691" s="9"/>
      <c r="AU691" s="9"/>
      <c r="AV691" s="9"/>
      <c r="AW691" s="9"/>
      <c r="AX691" s="9"/>
      <c r="AY691" s="9"/>
      <c r="AZ691" s="9"/>
      <c r="BA691" s="9"/>
      <c r="BB691" s="9"/>
      <c r="BC691" s="9"/>
      <c r="BD691" s="9"/>
      <c r="BE691" s="9"/>
      <c r="BF691" s="9"/>
      <c r="BG691" s="9"/>
      <c r="BH691" s="9"/>
      <c r="BI691" s="9"/>
      <c r="BJ691" s="9"/>
      <c r="BK691" s="9"/>
      <c r="BL691" s="9"/>
      <c r="BM691" s="9"/>
      <c r="BN691" s="9"/>
      <c r="BO691" s="9"/>
      <c r="BP691" s="9"/>
      <c r="BQ691" s="9"/>
      <c r="BR691" s="9"/>
      <c r="BS691" s="9"/>
      <c r="BT691" s="9"/>
      <c r="BU691" s="9"/>
      <c r="BV691" s="9"/>
      <c r="BW691" s="9"/>
      <c r="BX691" s="9"/>
      <c r="BY691" s="9"/>
      <c r="BZ691" s="9"/>
    </row>
    <row r="692" spans="4:78" ht="18" customHeight="1" x14ac:dyDescent="0.25"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S692" s="9"/>
      <c r="T692" s="9"/>
      <c r="U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  <c r="AJ692" s="9"/>
      <c r="AK692" s="9"/>
      <c r="AL692" s="9"/>
      <c r="AM692" s="9"/>
      <c r="AN692" s="9"/>
      <c r="AO692" s="9"/>
      <c r="AP692" s="9"/>
      <c r="AQ692" s="9"/>
      <c r="AR692" s="9"/>
      <c r="AS692" s="9"/>
      <c r="AT692" s="9"/>
      <c r="AU692" s="9"/>
      <c r="AV692" s="9"/>
      <c r="AW692" s="9"/>
      <c r="AX692" s="9"/>
      <c r="AY692" s="9"/>
      <c r="AZ692" s="9"/>
      <c r="BA692" s="9"/>
      <c r="BB692" s="9"/>
      <c r="BC692" s="9"/>
      <c r="BD692" s="9"/>
      <c r="BE692" s="9"/>
      <c r="BF692" s="9"/>
      <c r="BG692" s="9"/>
      <c r="BH692" s="9"/>
      <c r="BI692" s="9"/>
      <c r="BJ692" s="9"/>
      <c r="BK692" s="9"/>
      <c r="BL692" s="9"/>
      <c r="BM692" s="9"/>
      <c r="BN692" s="9"/>
      <c r="BO692" s="9"/>
      <c r="BP692" s="9"/>
      <c r="BQ692" s="9"/>
      <c r="BR692" s="9"/>
      <c r="BS692" s="9"/>
      <c r="BT692" s="9"/>
      <c r="BU692" s="9"/>
      <c r="BV692" s="9"/>
      <c r="BW692" s="9"/>
      <c r="BX692" s="9"/>
      <c r="BY692" s="9"/>
      <c r="BZ692" s="9"/>
    </row>
    <row r="693" spans="4:78" ht="18" customHeight="1" x14ac:dyDescent="0.25"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S693" s="9"/>
      <c r="T693" s="9"/>
      <c r="U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  <c r="AJ693" s="9"/>
      <c r="AK693" s="9"/>
      <c r="AL693" s="9"/>
      <c r="AM693" s="9"/>
      <c r="AN693" s="9"/>
      <c r="AO693" s="9"/>
      <c r="AP693" s="9"/>
      <c r="AQ693" s="9"/>
      <c r="AR693" s="9"/>
      <c r="AS693" s="9"/>
      <c r="AT693" s="9"/>
      <c r="AU693" s="9"/>
      <c r="AV693" s="9"/>
      <c r="AW693" s="9"/>
      <c r="AX693" s="9"/>
      <c r="AY693" s="9"/>
      <c r="AZ693" s="9"/>
      <c r="BA693" s="9"/>
      <c r="BB693" s="9"/>
      <c r="BC693" s="9"/>
      <c r="BD693" s="9"/>
      <c r="BE693" s="9"/>
      <c r="BF693" s="9"/>
      <c r="BG693" s="9"/>
      <c r="BH693" s="9"/>
      <c r="BI693" s="9"/>
      <c r="BJ693" s="9"/>
      <c r="BK693" s="9"/>
      <c r="BL693" s="9"/>
      <c r="BM693" s="9"/>
      <c r="BN693" s="9"/>
      <c r="BO693" s="9"/>
      <c r="BP693" s="9"/>
      <c r="BQ693" s="9"/>
      <c r="BR693" s="9"/>
      <c r="BS693" s="9"/>
      <c r="BT693" s="9"/>
      <c r="BU693" s="9"/>
      <c r="BV693" s="9"/>
      <c r="BW693" s="9"/>
      <c r="BX693" s="9"/>
      <c r="BY693" s="9"/>
      <c r="BZ693" s="9"/>
    </row>
    <row r="694" spans="4:78" ht="18" customHeight="1" x14ac:dyDescent="0.25"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S694" s="9"/>
      <c r="T694" s="9"/>
      <c r="U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  <c r="AJ694" s="9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  <c r="BL694" s="9"/>
      <c r="BM694" s="9"/>
      <c r="BN694" s="9"/>
      <c r="BO694" s="9"/>
      <c r="BP694" s="9"/>
      <c r="BQ694" s="9"/>
      <c r="BR694" s="9"/>
      <c r="BS694" s="9"/>
      <c r="BT694" s="9"/>
      <c r="BU694" s="9"/>
      <c r="BV694" s="9"/>
      <c r="BW694" s="9"/>
      <c r="BX694" s="9"/>
      <c r="BY694" s="9"/>
      <c r="BZ694" s="9"/>
    </row>
    <row r="695" spans="4:78" ht="18" customHeight="1" x14ac:dyDescent="0.25"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S695" s="9"/>
      <c r="T695" s="9"/>
      <c r="U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  <c r="AJ695" s="9"/>
      <c r="AK695" s="9"/>
      <c r="AL695" s="9"/>
      <c r="AM695" s="9"/>
      <c r="AN695" s="9"/>
      <c r="AO695" s="9"/>
      <c r="AP695" s="9"/>
      <c r="AQ695" s="9"/>
      <c r="AR695" s="9"/>
      <c r="AS695" s="9"/>
      <c r="AT695" s="9"/>
      <c r="AU695" s="9"/>
      <c r="AV695" s="9"/>
      <c r="AW695" s="9"/>
      <c r="AX695" s="9"/>
      <c r="AY695" s="9"/>
      <c r="AZ695" s="9"/>
      <c r="BA695" s="9"/>
      <c r="BB695" s="9"/>
      <c r="BC695" s="9"/>
      <c r="BD695" s="9"/>
      <c r="BE695" s="9"/>
      <c r="BF695" s="9"/>
      <c r="BG695" s="9"/>
      <c r="BH695" s="9"/>
      <c r="BI695" s="9"/>
      <c r="BJ695" s="9"/>
      <c r="BK695" s="9"/>
      <c r="BL695" s="9"/>
      <c r="BM695" s="9"/>
      <c r="BN695" s="9"/>
      <c r="BO695" s="9"/>
      <c r="BP695" s="9"/>
      <c r="BQ695" s="9"/>
      <c r="BR695" s="9"/>
      <c r="BS695" s="9"/>
      <c r="BT695" s="9"/>
      <c r="BU695" s="9"/>
      <c r="BV695" s="9"/>
      <c r="BW695" s="9"/>
      <c r="BX695" s="9"/>
      <c r="BY695" s="9"/>
      <c r="BZ695" s="9"/>
    </row>
    <row r="696" spans="4:78" ht="18" customHeight="1" x14ac:dyDescent="0.25"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S696" s="9"/>
      <c r="T696" s="9"/>
      <c r="U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  <c r="AJ696" s="9"/>
      <c r="AK696" s="9"/>
      <c r="AL696" s="9"/>
      <c r="AM696" s="9"/>
      <c r="AN696" s="9"/>
      <c r="AO696" s="9"/>
      <c r="AP696" s="9"/>
      <c r="AQ696" s="9"/>
      <c r="AR696" s="9"/>
      <c r="AS696" s="9"/>
      <c r="AT696" s="9"/>
      <c r="AU696" s="9"/>
      <c r="AV696" s="9"/>
      <c r="AW696" s="9"/>
      <c r="AX696" s="9"/>
      <c r="AY696" s="9"/>
      <c r="AZ696" s="9"/>
      <c r="BA696" s="9"/>
      <c r="BB696" s="9"/>
      <c r="BC696" s="9"/>
      <c r="BD696" s="9"/>
      <c r="BE696" s="9"/>
      <c r="BF696" s="9"/>
      <c r="BG696" s="9"/>
      <c r="BH696" s="9"/>
      <c r="BI696" s="9"/>
      <c r="BJ696" s="9"/>
      <c r="BK696" s="9"/>
      <c r="BL696" s="9"/>
      <c r="BM696" s="9"/>
      <c r="BN696" s="9"/>
      <c r="BO696" s="9"/>
      <c r="BP696" s="9"/>
      <c r="BQ696" s="9"/>
      <c r="BR696" s="9"/>
      <c r="BS696" s="9"/>
      <c r="BT696" s="9"/>
      <c r="BU696" s="9"/>
      <c r="BV696" s="9"/>
      <c r="BW696" s="9"/>
      <c r="BX696" s="9"/>
      <c r="BY696" s="9"/>
      <c r="BZ696" s="9"/>
    </row>
    <row r="697" spans="4:78" ht="18" customHeight="1" x14ac:dyDescent="0.25"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S697" s="9"/>
      <c r="T697" s="9"/>
      <c r="U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  <c r="AJ697" s="9"/>
      <c r="AK697" s="9"/>
      <c r="AL697" s="9"/>
      <c r="AM697" s="9"/>
      <c r="AN697" s="9"/>
      <c r="AO697" s="9"/>
      <c r="AP697" s="9"/>
      <c r="AQ697" s="9"/>
      <c r="AR697" s="9"/>
      <c r="AS697" s="9"/>
      <c r="AT697" s="9"/>
      <c r="AU697" s="9"/>
      <c r="AV697" s="9"/>
      <c r="AW697" s="9"/>
      <c r="AX697" s="9"/>
      <c r="AY697" s="9"/>
      <c r="AZ697" s="9"/>
      <c r="BA697" s="9"/>
      <c r="BB697" s="9"/>
      <c r="BC697" s="9"/>
      <c r="BD697" s="9"/>
      <c r="BE697" s="9"/>
      <c r="BF697" s="9"/>
      <c r="BG697" s="9"/>
      <c r="BH697" s="9"/>
      <c r="BI697" s="9"/>
      <c r="BJ697" s="9"/>
      <c r="BK697" s="9"/>
      <c r="BL697" s="9"/>
      <c r="BM697" s="9"/>
      <c r="BN697" s="9"/>
      <c r="BO697" s="9"/>
      <c r="BP697" s="9"/>
      <c r="BQ697" s="9"/>
      <c r="BR697" s="9"/>
      <c r="BS697" s="9"/>
      <c r="BT697" s="9"/>
      <c r="BU697" s="9"/>
      <c r="BV697" s="9"/>
      <c r="BW697" s="9"/>
      <c r="BX697" s="9"/>
      <c r="BY697" s="9"/>
      <c r="BZ697" s="9"/>
    </row>
    <row r="698" spans="4:78" ht="18" customHeight="1" x14ac:dyDescent="0.25"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S698" s="9"/>
      <c r="T698" s="9"/>
      <c r="U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  <c r="AJ698" s="9"/>
      <c r="AK698" s="9"/>
      <c r="AL698" s="9"/>
      <c r="AM698" s="9"/>
      <c r="AN698" s="9"/>
      <c r="AO698" s="9"/>
      <c r="AP698" s="9"/>
      <c r="AQ698" s="9"/>
      <c r="AR698" s="9"/>
      <c r="AS698" s="9"/>
      <c r="AT698" s="9"/>
      <c r="AU698" s="9"/>
      <c r="AV698" s="9"/>
      <c r="AW698" s="9"/>
      <c r="AX698" s="9"/>
      <c r="AY698" s="9"/>
      <c r="AZ698" s="9"/>
      <c r="BA698" s="9"/>
      <c r="BB698" s="9"/>
      <c r="BC698" s="9"/>
      <c r="BD698" s="9"/>
      <c r="BE698" s="9"/>
      <c r="BF698" s="9"/>
      <c r="BG698" s="9"/>
      <c r="BH698" s="9"/>
      <c r="BI698" s="9"/>
      <c r="BJ698" s="9"/>
      <c r="BK698" s="9"/>
      <c r="BL698" s="9"/>
      <c r="BM698" s="9"/>
      <c r="BN698" s="9"/>
      <c r="BO698" s="9"/>
      <c r="BP698" s="9"/>
      <c r="BQ698" s="9"/>
      <c r="BR698" s="9"/>
      <c r="BS698" s="9"/>
      <c r="BT698" s="9"/>
      <c r="BU698" s="9"/>
      <c r="BV698" s="9"/>
      <c r="BW698" s="9"/>
      <c r="BX698" s="9"/>
      <c r="BY698" s="9"/>
      <c r="BZ698" s="9"/>
    </row>
    <row r="699" spans="4:78" ht="18" customHeight="1" x14ac:dyDescent="0.25"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S699" s="9"/>
      <c r="T699" s="9"/>
      <c r="U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  <c r="AJ699" s="9"/>
      <c r="AK699" s="9"/>
      <c r="AL699" s="9"/>
      <c r="AM699" s="9"/>
      <c r="AN699" s="9"/>
      <c r="AO699" s="9"/>
      <c r="AP699" s="9"/>
      <c r="AQ699" s="9"/>
      <c r="AR699" s="9"/>
      <c r="AS699" s="9"/>
      <c r="AT699" s="9"/>
      <c r="AU699" s="9"/>
      <c r="AV699" s="9"/>
      <c r="AW699" s="9"/>
      <c r="AX699" s="9"/>
      <c r="AY699" s="9"/>
      <c r="AZ699" s="9"/>
      <c r="BA699" s="9"/>
      <c r="BB699" s="9"/>
      <c r="BC699" s="9"/>
      <c r="BD699" s="9"/>
      <c r="BE699" s="9"/>
      <c r="BF699" s="9"/>
      <c r="BG699" s="9"/>
      <c r="BH699" s="9"/>
      <c r="BI699" s="9"/>
      <c r="BJ699" s="9"/>
      <c r="BK699" s="9"/>
      <c r="BL699" s="9"/>
      <c r="BM699" s="9"/>
      <c r="BN699" s="9"/>
      <c r="BO699" s="9"/>
      <c r="BP699" s="9"/>
      <c r="BQ699" s="9"/>
      <c r="BR699" s="9"/>
      <c r="BS699" s="9"/>
      <c r="BT699" s="9"/>
      <c r="BU699" s="9"/>
      <c r="BV699" s="9"/>
      <c r="BW699" s="9"/>
      <c r="BX699" s="9"/>
      <c r="BY699" s="9"/>
      <c r="BZ699" s="9"/>
    </row>
    <row r="700" spans="4:78" ht="18" customHeight="1" x14ac:dyDescent="0.25"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S700" s="9"/>
      <c r="T700" s="9"/>
      <c r="U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  <c r="AJ700" s="9"/>
      <c r="AK700" s="9"/>
      <c r="AL700" s="9"/>
      <c r="AM700" s="9"/>
      <c r="AN700" s="9"/>
      <c r="AO700" s="9"/>
      <c r="AP700" s="9"/>
      <c r="AQ700" s="9"/>
      <c r="AR700" s="9"/>
      <c r="AS700" s="9"/>
      <c r="AT700" s="9"/>
      <c r="AU700" s="9"/>
      <c r="AV700" s="9"/>
      <c r="AW700" s="9"/>
      <c r="AX700" s="9"/>
      <c r="AY700" s="9"/>
      <c r="AZ700" s="9"/>
      <c r="BA700" s="9"/>
      <c r="BB700" s="9"/>
      <c r="BC700" s="9"/>
      <c r="BD700" s="9"/>
      <c r="BE700" s="9"/>
      <c r="BF700" s="9"/>
      <c r="BG700" s="9"/>
      <c r="BH700" s="9"/>
      <c r="BI700" s="9"/>
      <c r="BJ700" s="9"/>
      <c r="BK700" s="9"/>
      <c r="BL700" s="9"/>
      <c r="BM700" s="9"/>
      <c r="BN700" s="9"/>
      <c r="BO700" s="9"/>
      <c r="BP700" s="9"/>
      <c r="BQ700" s="9"/>
      <c r="BR700" s="9"/>
      <c r="BS700" s="9"/>
      <c r="BT700" s="9"/>
      <c r="BU700" s="9"/>
      <c r="BV700" s="9"/>
      <c r="BW700" s="9"/>
      <c r="BX700" s="9"/>
      <c r="BY700" s="9"/>
      <c r="BZ700" s="9"/>
    </row>
    <row r="701" spans="4:78" ht="18" customHeight="1" x14ac:dyDescent="0.25"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S701" s="9"/>
      <c r="T701" s="9"/>
      <c r="U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  <c r="AJ701" s="9"/>
      <c r="AK701" s="9"/>
      <c r="AL701" s="9"/>
      <c r="AM701" s="9"/>
      <c r="AN701" s="9"/>
      <c r="AO701" s="9"/>
      <c r="AP701" s="9"/>
      <c r="AQ701" s="9"/>
      <c r="AR701" s="9"/>
      <c r="AS701" s="9"/>
      <c r="AT701" s="9"/>
      <c r="AU701" s="9"/>
      <c r="AV701" s="9"/>
      <c r="AW701" s="9"/>
      <c r="AX701" s="9"/>
      <c r="AY701" s="9"/>
      <c r="AZ701" s="9"/>
      <c r="BA701" s="9"/>
      <c r="BB701" s="9"/>
      <c r="BC701" s="9"/>
      <c r="BD701" s="9"/>
      <c r="BE701" s="9"/>
      <c r="BF701" s="9"/>
      <c r="BG701" s="9"/>
      <c r="BH701" s="9"/>
      <c r="BI701" s="9"/>
      <c r="BJ701" s="9"/>
      <c r="BK701" s="9"/>
      <c r="BL701" s="9"/>
      <c r="BM701" s="9"/>
      <c r="BN701" s="9"/>
      <c r="BO701" s="9"/>
      <c r="BP701" s="9"/>
      <c r="BQ701" s="9"/>
      <c r="BR701" s="9"/>
      <c r="BS701" s="9"/>
      <c r="BT701" s="9"/>
      <c r="BU701" s="9"/>
      <c r="BV701" s="9"/>
      <c r="BW701" s="9"/>
      <c r="BX701" s="9"/>
      <c r="BY701" s="9"/>
      <c r="BZ701" s="9"/>
    </row>
    <row r="702" spans="4:78" ht="18" customHeight="1" x14ac:dyDescent="0.25"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S702" s="9"/>
      <c r="T702" s="9"/>
      <c r="U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  <c r="BF702" s="9"/>
      <c r="BG702" s="9"/>
      <c r="BH702" s="9"/>
      <c r="BI702" s="9"/>
      <c r="BJ702" s="9"/>
      <c r="BK702" s="9"/>
      <c r="BL702" s="9"/>
      <c r="BM702" s="9"/>
      <c r="BN702" s="9"/>
      <c r="BO702" s="9"/>
      <c r="BP702" s="9"/>
      <c r="BQ702" s="9"/>
      <c r="BR702" s="9"/>
      <c r="BS702" s="9"/>
      <c r="BT702" s="9"/>
      <c r="BU702" s="9"/>
      <c r="BV702" s="9"/>
      <c r="BW702" s="9"/>
      <c r="BX702" s="9"/>
      <c r="BY702" s="9"/>
      <c r="BZ702" s="9"/>
    </row>
    <row r="703" spans="4:78" ht="18" customHeight="1" x14ac:dyDescent="0.25"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S703" s="9"/>
      <c r="T703" s="9"/>
      <c r="U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  <c r="AJ703" s="9"/>
      <c r="AK703" s="9"/>
      <c r="AL703" s="9"/>
      <c r="AM703" s="9"/>
      <c r="AN703" s="9"/>
      <c r="AO703" s="9"/>
      <c r="AP703" s="9"/>
      <c r="AQ703" s="9"/>
      <c r="AR703" s="9"/>
      <c r="AS703" s="9"/>
      <c r="AT703" s="9"/>
      <c r="AU703" s="9"/>
      <c r="AV703" s="9"/>
      <c r="AW703" s="9"/>
      <c r="AX703" s="9"/>
      <c r="AY703" s="9"/>
      <c r="AZ703" s="9"/>
      <c r="BA703" s="9"/>
      <c r="BB703" s="9"/>
      <c r="BC703" s="9"/>
      <c r="BD703" s="9"/>
      <c r="BE703" s="9"/>
      <c r="BF703" s="9"/>
      <c r="BG703" s="9"/>
      <c r="BH703" s="9"/>
      <c r="BI703" s="9"/>
      <c r="BJ703" s="9"/>
      <c r="BK703" s="9"/>
      <c r="BL703" s="9"/>
      <c r="BM703" s="9"/>
      <c r="BN703" s="9"/>
      <c r="BO703" s="9"/>
      <c r="BP703" s="9"/>
      <c r="BQ703" s="9"/>
      <c r="BR703" s="9"/>
      <c r="BS703" s="9"/>
      <c r="BT703" s="9"/>
      <c r="BU703" s="9"/>
      <c r="BV703" s="9"/>
      <c r="BW703" s="9"/>
      <c r="BX703" s="9"/>
      <c r="BY703" s="9"/>
      <c r="BZ703" s="9"/>
    </row>
    <row r="704" spans="4:78" ht="18" customHeight="1" x14ac:dyDescent="0.25"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S704" s="9"/>
      <c r="T704" s="9"/>
      <c r="U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  <c r="AJ704" s="9"/>
      <c r="AK704" s="9"/>
      <c r="AL704" s="9"/>
      <c r="AM704" s="9"/>
      <c r="AN704" s="9"/>
      <c r="AO704" s="9"/>
      <c r="AP704" s="9"/>
      <c r="AQ704" s="9"/>
      <c r="AR704" s="9"/>
      <c r="AS704" s="9"/>
      <c r="AT704" s="9"/>
      <c r="AU704" s="9"/>
      <c r="AV704" s="9"/>
      <c r="AW704" s="9"/>
      <c r="AX704" s="9"/>
      <c r="AY704" s="9"/>
      <c r="AZ704" s="9"/>
      <c r="BA704" s="9"/>
      <c r="BB704" s="9"/>
      <c r="BC704" s="9"/>
      <c r="BD704" s="9"/>
      <c r="BE704" s="9"/>
      <c r="BF704" s="9"/>
      <c r="BG704" s="9"/>
      <c r="BH704" s="9"/>
      <c r="BI704" s="9"/>
      <c r="BJ704" s="9"/>
      <c r="BK704" s="9"/>
      <c r="BL704" s="9"/>
      <c r="BM704" s="9"/>
      <c r="BN704" s="9"/>
      <c r="BO704" s="9"/>
      <c r="BP704" s="9"/>
      <c r="BQ704" s="9"/>
      <c r="BR704" s="9"/>
      <c r="BS704" s="9"/>
      <c r="BT704" s="9"/>
      <c r="BU704" s="9"/>
      <c r="BV704" s="9"/>
      <c r="BW704" s="9"/>
      <c r="BX704" s="9"/>
      <c r="BY704" s="9"/>
      <c r="BZ704" s="9"/>
    </row>
    <row r="705" spans="4:78" ht="18" customHeight="1" x14ac:dyDescent="0.25"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S705" s="9"/>
      <c r="T705" s="9"/>
      <c r="U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  <c r="AJ705" s="9"/>
      <c r="AK705" s="9"/>
      <c r="AL705" s="9"/>
      <c r="AM705" s="9"/>
      <c r="AN705" s="9"/>
      <c r="AO705" s="9"/>
      <c r="AP705" s="9"/>
      <c r="AQ705" s="9"/>
      <c r="AR705" s="9"/>
      <c r="AS705" s="9"/>
      <c r="AT705" s="9"/>
      <c r="AU705" s="9"/>
      <c r="AV705" s="9"/>
      <c r="AW705" s="9"/>
      <c r="AX705" s="9"/>
      <c r="AY705" s="9"/>
      <c r="AZ705" s="9"/>
      <c r="BA705" s="9"/>
      <c r="BB705" s="9"/>
      <c r="BC705" s="9"/>
      <c r="BD705" s="9"/>
      <c r="BE705" s="9"/>
      <c r="BF705" s="9"/>
      <c r="BG705" s="9"/>
      <c r="BH705" s="9"/>
      <c r="BI705" s="9"/>
      <c r="BJ705" s="9"/>
      <c r="BK705" s="9"/>
      <c r="BL705" s="9"/>
      <c r="BM705" s="9"/>
      <c r="BN705" s="9"/>
      <c r="BO705" s="9"/>
      <c r="BP705" s="9"/>
      <c r="BQ705" s="9"/>
      <c r="BR705" s="9"/>
      <c r="BS705" s="9"/>
      <c r="BT705" s="9"/>
      <c r="BU705" s="9"/>
      <c r="BV705" s="9"/>
      <c r="BW705" s="9"/>
      <c r="BX705" s="9"/>
      <c r="BY705" s="9"/>
      <c r="BZ705" s="9"/>
    </row>
    <row r="706" spans="4:78" ht="18" customHeight="1" x14ac:dyDescent="0.25"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S706" s="9"/>
      <c r="T706" s="9"/>
      <c r="U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  <c r="AJ706" s="9"/>
      <c r="AK706" s="9"/>
      <c r="AL706" s="9"/>
      <c r="AM706" s="9"/>
      <c r="AN706" s="9"/>
      <c r="AO706" s="9"/>
      <c r="AP706" s="9"/>
      <c r="AQ706" s="9"/>
      <c r="AR706" s="9"/>
      <c r="AS706" s="9"/>
      <c r="AT706" s="9"/>
      <c r="AU706" s="9"/>
      <c r="AV706" s="9"/>
      <c r="AW706" s="9"/>
      <c r="AX706" s="9"/>
      <c r="AY706" s="9"/>
      <c r="AZ706" s="9"/>
      <c r="BA706" s="9"/>
      <c r="BB706" s="9"/>
      <c r="BC706" s="9"/>
      <c r="BD706" s="9"/>
      <c r="BE706" s="9"/>
      <c r="BF706" s="9"/>
      <c r="BG706" s="9"/>
      <c r="BH706" s="9"/>
      <c r="BI706" s="9"/>
      <c r="BJ706" s="9"/>
      <c r="BK706" s="9"/>
      <c r="BL706" s="9"/>
      <c r="BM706" s="9"/>
      <c r="BN706" s="9"/>
      <c r="BO706" s="9"/>
      <c r="BP706" s="9"/>
      <c r="BQ706" s="9"/>
      <c r="BR706" s="9"/>
      <c r="BS706" s="9"/>
      <c r="BT706" s="9"/>
      <c r="BU706" s="9"/>
      <c r="BV706" s="9"/>
      <c r="BW706" s="9"/>
      <c r="BX706" s="9"/>
      <c r="BY706" s="9"/>
      <c r="BZ706" s="9"/>
    </row>
    <row r="707" spans="4:78" ht="18" customHeight="1" x14ac:dyDescent="0.25"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S707" s="9"/>
      <c r="T707" s="9"/>
      <c r="U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  <c r="AJ707" s="9"/>
      <c r="AK707" s="9"/>
      <c r="AL707" s="9"/>
      <c r="AM707" s="9"/>
      <c r="AN707" s="9"/>
      <c r="AO707" s="9"/>
      <c r="AP707" s="9"/>
      <c r="AQ707" s="9"/>
      <c r="AR707" s="9"/>
      <c r="AS707" s="9"/>
      <c r="AT707" s="9"/>
      <c r="AU707" s="9"/>
      <c r="AV707" s="9"/>
      <c r="AW707" s="9"/>
      <c r="AX707" s="9"/>
      <c r="AY707" s="9"/>
      <c r="AZ707" s="9"/>
      <c r="BA707" s="9"/>
      <c r="BB707" s="9"/>
      <c r="BC707" s="9"/>
      <c r="BD707" s="9"/>
      <c r="BE707" s="9"/>
      <c r="BF707" s="9"/>
      <c r="BG707" s="9"/>
      <c r="BH707" s="9"/>
      <c r="BI707" s="9"/>
      <c r="BJ707" s="9"/>
      <c r="BK707" s="9"/>
      <c r="BL707" s="9"/>
      <c r="BM707" s="9"/>
      <c r="BN707" s="9"/>
      <c r="BO707" s="9"/>
      <c r="BP707" s="9"/>
      <c r="BQ707" s="9"/>
      <c r="BR707" s="9"/>
      <c r="BS707" s="9"/>
      <c r="BT707" s="9"/>
      <c r="BU707" s="9"/>
      <c r="BV707" s="9"/>
      <c r="BW707" s="9"/>
      <c r="BX707" s="9"/>
      <c r="BY707" s="9"/>
      <c r="BZ707" s="9"/>
    </row>
    <row r="708" spans="4:78" ht="18" customHeight="1" x14ac:dyDescent="0.25"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S708" s="9"/>
      <c r="T708" s="9"/>
      <c r="U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  <c r="AJ708" s="9"/>
      <c r="AK708" s="9"/>
      <c r="AL708" s="9"/>
      <c r="AM708" s="9"/>
      <c r="AN708" s="9"/>
      <c r="AO708" s="9"/>
      <c r="AP708" s="9"/>
      <c r="AQ708" s="9"/>
      <c r="AR708" s="9"/>
      <c r="AS708" s="9"/>
      <c r="AT708" s="9"/>
      <c r="AU708" s="9"/>
      <c r="AV708" s="9"/>
      <c r="AW708" s="9"/>
      <c r="AX708" s="9"/>
      <c r="AY708" s="9"/>
      <c r="AZ708" s="9"/>
      <c r="BA708" s="9"/>
      <c r="BB708" s="9"/>
      <c r="BC708" s="9"/>
      <c r="BD708" s="9"/>
      <c r="BE708" s="9"/>
      <c r="BF708" s="9"/>
      <c r="BG708" s="9"/>
      <c r="BH708" s="9"/>
      <c r="BI708" s="9"/>
      <c r="BJ708" s="9"/>
      <c r="BK708" s="9"/>
      <c r="BL708" s="9"/>
      <c r="BM708" s="9"/>
      <c r="BN708" s="9"/>
      <c r="BO708" s="9"/>
      <c r="BP708" s="9"/>
      <c r="BQ708" s="9"/>
      <c r="BR708" s="9"/>
      <c r="BS708" s="9"/>
      <c r="BT708" s="9"/>
      <c r="BU708" s="9"/>
      <c r="BV708" s="9"/>
      <c r="BW708" s="9"/>
      <c r="BX708" s="9"/>
      <c r="BY708" s="9"/>
      <c r="BZ708" s="9"/>
    </row>
    <row r="709" spans="4:78" ht="18" customHeight="1" x14ac:dyDescent="0.25"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S709" s="9"/>
      <c r="T709" s="9"/>
      <c r="U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  <c r="AJ709" s="9"/>
      <c r="AK709" s="9"/>
      <c r="AL709" s="9"/>
      <c r="AM709" s="9"/>
      <c r="AN709" s="9"/>
      <c r="AO709" s="9"/>
      <c r="AP709" s="9"/>
      <c r="AQ709" s="9"/>
      <c r="AR709" s="9"/>
      <c r="AS709" s="9"/>
      <c r="AT709" s="9"/>
      <c r="AU709" s="9"/>
      <c r="AV709" s="9"/>
      <c r="AW709" s="9"/>
      <c r="AX709" s="9"/>
      <c r="AY709" s="9"/>
      <c r="AZ709" s="9"/>
      <c r="BA709" s="9"/>
      <c r="BB709" s="9"/>
      <c r="BC709" s="9"/>
      <c r="BD709" s="9"/>
      <c r="BE709" s="9"/>
      <c r="BF709" s="9"/>
      <c r="BG709" s="9"/>
      <c r="BH709" s="9"/>
      <c r="BI709" s="9"/>
      <c r="BJ709" s="9"/>
      <c r="BK709" s="9"/>
      <c r="BL709" s="9"/>
      <c r="BM709" s="9"/>
      <c r="BN709" s="9"/>
      <c r="BO709" s="9"/>
      <c r="BP709" s="9"/>
      <c r="BQ709" s="9"/>
      <c r="BR709" s="9"/>
      <c r="BS709" s="9"/>
      <c r="BT709" s="9"/>
      <c r="BU709" s="9"/>
      <c r="BV709" s="9"/>
      <c r="BW709" s="9"/>
      <c r="BX709" s="9"/>
      <c r="BY709" s="9"/>
      <c r="BZ709" s="9"/>
    </row>
    <row r="710" spans="4:78" ht="18" customHeight="1" x14ac:dyDescent="0.25"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S710" s="9"/>
      <c r="T710" s="9"/>
      <c r="U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  <c r="AJ710" s="9"/>
      <c r="AK710" s="9"/>
      <c r="AL710" s="9"/>
      <c r="AM710" s="9"/>
      <c r="AN710" s="9"/>
      <c r="AO710" s="9"/>
      <c r="AP710" s="9"/>
      <c r="AQ710" s="9"/>
      <c r="AR710" s="9"/>
      <c r="AS710" s="9"/>
      <c r="AT710" s="9"/>
      <c r="AU710" s="9"/>
      <c r="AV710" s="9"/>
      <c r="AW710" s="9"/>
      <c r="AX710" s="9"/>
      <c r="AY710" s="9"/>
      <c r="AZ710" s="9"/>
      <c r="BA710" s="9"/>
      <c r="BB710" s="9"/>
      <c r="BC710" s="9"/>
      <c r="BD710" s="9"/>
      <c r="BE710" s="9"/>
      <c r="BF710" s="9"/>
      <c r="BG710" s="9"/>
      <c r="BH710" s="9"/>
      <c r="BI710" s="9"/>
      <c r="BJ710" s="9"/>
      <c r="BK710" s="9"/>
      <c r="BL710" s="9"/>
      <c r="BM710" s="9"/>
      <c r="BN710" s="9"/>
      <c r="BO710" s="9"/>
      <c r="BP710" s="9"/>
      <c r="BQ710" s="9"/>
      <c r="BR710" s="9"/>
      <c r="BS710" s="9"/>
      <c r="BT710" s="9"/>
      <c r="BU710" s="9"/>
      <c r="BV710" s="9"/>
      <c r="BW710" s="9"/>
      <c r="BX710" s="9"/>
      <c r="BY710" s="9"/>
      <c r="BZ710" s="9"/>
    </row>
    <row r="711" spans="4:78" ht="18" customHeight="1" x14ac:dyDescent="0.25"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S711" s="9"/>
      <c r="T711" s="9"/>
      <c r="U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  <c r="AJ711" s="9"/>
      <c r="AK711" s="9"/>
      <c r="AL711" s="9"/>
      <c r="AM711" s="9"/>
      <c r="AN711" s="9"/>
      <c r="AO711" s="9"/>
      <c r="AP711" s="9"/>
      <c r="AQ711" s="9"/>
      <c r="AR711" s="9"/>
      <c r="AS711" s="9"/>
      <c r="AT711" s="9"/>
      <c r="AU711" s="9"/>
      <c r="AV711" s="9"/>
      <c r="AW711" s="9"/>
      <c r="AX711" s="9"/>
      <c r="AY711" s="9"/>
      <c r="AZ711" s="9"/>
      <c r="BA711" s="9"/>
      <c r="BB711" s="9"/>
      <c r="BC711" s="9"/>
      <c r="BD711" s="9"/>
      <c r="BE711" s="9"/>
      <c r="BF711" s="9"/>
      <c r="BG711" s="9"/>
      <c r="BH711" s="9"/>
      <c r="BI711" s="9"/>
      <c r="BJ711" s="9"/>
      <c r="BK711" s="9"/>
      <c r="BL711" s="9"/>
      <c r="BM711" s="9"/>
      <c r="BN711" s="9"/>
      <c r="BO711" s="9"/>
      <c r="BP711" s="9"/>
      <c r="BQ711" s="9"/>
      <c r="BR711" s="9"/>
      <c r="BS711" s="9"/>
      <c r="BT711" s="9"/>
      <c r="BU711" s="9"/>
      <c r="BV711" s="9"/>
      <c r="BW711" s="9"/>
      <c r="BX711" s="9"/>
      <c r="BY711" s="9"/>
      <c r="BZ711" s="9"/>
    </row>
    <row r="712" spans="4:78" ht="18" customHeight="1" x14ac:dyDescent="0.25"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S712" s="9"/>
      <c r="T712" s="9"/>
      <c r="U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  <c r="AJ712" s="9"/>
      <c r="AK712" s="9"/>
      <c r="AL712" s="9"/>
      <c r="AM712" s="9"/>
      <c r="AN712" s="9"/>
      <c r="AO712" s="9"/>
      <c r="AP712" s="9"/>
      <c r="AQ712" s="9"/>
      <c r="AR712" s="9"/>
      <c r="AS712" s="9"/>
      <c r="AT712" s="9"/>
      <c r="AU712" s="9"/>
      <c r="AV712" s="9"/>
      <c r="AW712" s="9"/>
      <c r="AX712" s="9"/>
      <c r="AY712" s="9"/>
      <c r="AZ712" s="9"/>
      <c r="BA712" s="9"/>
      <c r="BB712" s="9"/>
      <c r="BC712" s="9"/>
      <c r="BD712" s="9"/>
      <c r="BE712" s="9"/>
      <c r="BF712" s="9"/>
      <c r="BG712" s="9"/>
      <c r="BH712" s="9"/>
      <c r="BI712" s="9"/>
      <c r="BJ712" s="9"/>
      <c r="BK712" s="9"/>
      <c r="BL712" s="9"/>
      <c r="BM712" s="9"/>
      <c r="BN712" s="9"/>
      <c r="BO712" s="9"/>
      <c r="BP712" s="9"/>
      <c r="BQ712" s="9"/>
      <c r="BR712" s="9"/>
      <c r="BS712" s="9"/>
      <c r="BT712" s="9"/>
      <c r="BU712" s="9"/>
      <c r="BV712" s="9"/>
      <c r="BW712" s="9"/>
      <c r="BX712" s="9"/>
      <c r="BY712" s="9"/>
      <c r="BZ712" s="9"/>
    </row>
    <row r="713" spans="4:78" ht="18" customHeight="1" x14ac:dyDescent="0.25"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S713" s="9"/>
      <c r="T713" s="9"/>
      <c r="U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  <c r="AJ713" s="9"/>
      <c r="AK713" s="9"/>
      <c r="AL713" s="9"/>
      <c r="AM713" s="9"/>
      <c r="AN713" s="9"/>
      <c r="AO713" s="9"/>
      <c r="AP713" s="9"/>
      <c r="AQ713" s="9"/>
      <c r="AR713" s="9"/>
      <c r="AS713" s="9"/>
      <c r="AT713" s="9"/>
      <c r="AU713" s="9"/>
      <c r="AV713" s="9"/>
      <c r="AW713" s="9"/>
      <c r="AX713" s="9"/>
      <c r="AY713" s="9"/>
      <c r="AZ713" s="9"/>
      <c r="BA713" s="9"/>
      <c r="BB713" s="9"/>
      <c r="BC713" s="9"/>
      <c r="BD713" s="9"/>
      <c r="BE713" s="9"/>
      <c r="BF713" s="9"/>
      <c r="BG713" s="9"/>
      <c r="BH713" s="9"/>
      <c r="BI713" s="9"/>
      <c r="BJ713" s="9"/>
      <c r="BK713" s="9"/>
      <c r="BL713" s="9"/>
      <c r="BM713" s="9"/>
      <c r="BN713" s="9"/>
      <c r="BO713" s="9"/>
      <c r="BP713" s="9"/>
      <c r="BQ713" s="9"/>
      <c r="BR713" s="9"/>
      <c r="BS713" s="9"/>
      <c r="BT713" s="9"/>
      <c r="BU713" s="9"/>
      <c r="BV713" s="9"/>
      <c r="BW713" s="9"/>
      <c r="BX713" s="9"/>
      <c r="BY713" s="9"/>
      <c r="BZ713" s="9"/>
    </row>
    <row r="714" spans="4:78" ht="18" customHeight="1" x14ac:dyDescent="0.25"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S714" s="9"/>
      <c r="T714" s="9"/>
      <c r="U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  <c r="AJ714" s="9"/>
      <c r="AK714" s="9"/>
      <c r="AL714" s="9"/>
      <c r="AM714" s="9"/>
      <c r="AN714" s="9"/>
      <c r="AO714" s="9"/>
      <c r="AP714" s="9"/>
      <c r="AQ714" s="9"/>
      <c r="AR714" s="9"/>
      <c r="AS714" s="9"/>
      <c r="AT714" s="9"/>
      <c r="AU714" s="9"/>
      <c r="AV714" s="9"/>
      <c r="AW714" s="9"/>
      <c r="AX714" s="9"/>
      <c r="AY714" s="9"/>
      <c r="AZ714" s="9"/>
      <c r="BA714" s="9"/>
      <c r="BB714" s="9"/>
      <c r="BC714" s="9"/>
      <c r="BD714" s="9"/>
      <c r="BE714" s="9"/>
      <c r="BF714" s="9"/>
      <c r="BG714" s="9"/>
      <c r="BH714" s="9"/>
      <c r="BI714" s="9"/>
      <c r="BJ714" s="9"/>
      <c r="BK714" s="9"/>
      <c r="BL714" s="9"/>
      <c r="BM714" s="9"/>
      <c r="BN714" s="9"/>
      <c r="BO714" s="9"/>
      <c r="BP714" s="9"/>
      <c r="BQ714" s="9"/>
      <c r="BR714" s="9"/>
      <c r="BS714" s="9"/>
      <c r="BT714" s="9"/>
      <c r="BU714" s="9"/>
      <c r="BV714" s="9"/>
      <c r="BW714" s="9"/>
      <c r="BX714" s="9"/>
      <c r="BY714" s="9"/>
      <c r="BZ714" s="9"/>
    </row>
    <row r="715" spans="4:78" ht="18" customHeight="1" x14ac:dyDescent="0.25"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S715" s="9"/>
      <c r="T715" s="9"/>
      <c r="U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  <c r="AJ715" s="9"/>
      <c r="AK715" s="9"/>
      <c r="AL715" s="9"/>
      <c r="AM715" s="9"/>
      <c r="AN715" s="9"/>
      <c r="AO715" s="9"/>
      <c r="AP715" s="9"/>
      <c r="AQ715" s="9"/>
      <c r="AR715" s="9"/>
      <c r="AS715" s="9"/>
      <c r="AT715" s="9"/>
      <c r="AU715" s="9"/>
      <c r="AV715" s="9"/>
      <c r="AW715" s="9"/>
      <c r="AX715" s="9"/>
      <c r="AY715" s="9"/>
      <c r="AZ715" s="9"/>
      <c r="BA715" s="9"/>
      <c r="BB715" s="9"/>
      <c r="BC715" s="9"/>
      <c r="BD715" s="9"/>
      <c r="BE715" s="9"/>
      <c r="BF715" s="9"/>
      <c r="BG715" s="9"/>
      <c r="BH715" s="9"/>
      <c r="BI715" s="9"/>
      <c r="BJ715" s="9"/>
      <c r="BK715" s="9"/>
      <c r="BL715" s="9"/>
      <c r="BM715" s="9"/>
      <c r="BN715" s="9"/>
      <c r="BO715" s="9"/>
      <c r="BP715" s="9"/>
      <c r="BQ715" s="9"/>
      <c r="BR715" s="9"/>
      <c r="BS715" s="9"/>
      <c r="BT715" s="9"/>
      <c r="BU715" s="9"/>
      <c r="BV715" s="9"/>
      <c r="BW715" s="9"/>
      <c r="BX715" s="9"/>
      <c r="BY715" s="9"/>
      <c r="BZ715" s="9"/>
    </row>
    <row r="716" spans="4:78" ht="18" customHeight="1" x14ac:dyDescent="0.25"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S716" s="9"/>
      <c r="T716" s="9"/>
      <c r="U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  <c r="AJ716" s="9"/>
      <c r="AK716" s="9"/>
      <c r="AL716" s="9"/>
      <c r="AM716" s="9"/>
      <c r="AN716" s="9"/>
      <c r="AO716" s="9"/>
      <c r="AP716" s="9"/>
      <c r="AQ716" s="9"/>
      <c r="AR716" s="9"/>
      <c r="AS716" s="9"/>
      <c r="AT716" s="9"/>
      <c r="AU716" s="9"/>
      <c r="AV716" s="9"/>
      <c r="AW716" s="9"/>
      <c r="AX716" s="9"/>
      <c r="AY716" s="9"/>
      <c r="AZ716" s="9"/>
      <c r="BA716" s="9"/>
      <c r="BB716" s="9"/>
      <c r="BC716" s="9"/>
      <c r="BD716" s="9"/>
      <c r="BE716" s="9"/>
      <c r="BF716" s="9"/>
      <c r="BG716" s="9"/>
      <c r="BH716" s="9"/>
      <c r="BI716" s="9"/>
      <c r="BJ716" s="9"/>
      <c r="BK716" s="9"/>
      <c r="BL716" s="9"/>
      <c r="BM716" s="9"/>
      <c r="BN716" s="9"/>
      <c r="BO716" s="9"/>
      <c r="BP716" s="9"/>
      <c r="BQ716" s="9"/>
      <c r="BR716" s="9"/>
      <c r="BS716" s="9"/>
      <c r="BT716" s="9"/>
      <c r="BU716" s="9"/>
      <c r="BV716" s="9"/>
      <c r="BW716" s="9"/>
      <c r="BX716" s="9"/>
      <c r="BY716" s="9"/>
      <c r="BZ716" s="9"/>
    </row>
    <row r="717" spans="4:78" ht="18" customHeight="1" x14ac:dyDescent="0.25"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S717" s="9"/>
      <c r="T717" s="9"/>
      <c r="U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  <c r="AJ717" s="9"/>
      <c r="AK717" s="9"/>
      <c r="AL717" s="9"/>
      <c r="AM717" s="9"/>
      <c r="AN717" s="9"/>
      <c r="AO717" s="9"/>
      <c r="AP717" s="9"/>
      <c r="AQ717" s="9"/>
      <c r="AR717" s="9"/>
      <c r="AS717" s="9"/>
      <c r="AT717" s="9"/>
      <c r="AU717" s="9"/>
      <c r="AV717" s="9"/>
      <c r="AW717" s="9"/>
      <c r="AX717" s="9"/>
      <c r="AY717" s="9"/>
      <c r="AZ717" s="9"/>
      <c r="BA717" s="9"/>
      <c r="BB717" s="9"/>
      <c r="BC717" s="9"/>
      <c r="BD717" s="9"/>
      <c r="BE717" s="9"/>
      <c r="BF717" s="9"/>
      <c r="BG717" s="9"/>
      <c r="BH717" s="9"/>
      <c r="BI717" s="9"/>
      <c r="BJ717" s="9"/>
      <c r="BK717" s="9"/>
      <c r="BL717" s="9"/>
      <c r="BM717" s="9"/>
      <c r="BN717" s="9"/>
      <c r="BO717" s="9"/>
      <c r="BP717" s="9"/>
      <c r="BQ717" s="9"/>
      <c r="BR717" s="9"/>
      <c r="BS717" s="9"/>
      <c r="BT717" s="9"/>
      <c r="BU717" s="9"/>
      <c r="BV717" s="9"/>
      <c r="BW717" s="9"/>
      <c r="BX717" s="9"/>
      <c r="BY717" s="9"/>
      <c r="BZ717" s="9"/>
    </row>
    <row r="718" spans="4:78" ht="18" customHeight="1" x14ac:dyDescent="0.25"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S718" s="9"/>
      <c r="T718" s="9"/>
      <c r="U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  <c r="AJ718" s="9"/>
      <c r="AK718" s="9"/>
      <c r="AL718" s="9"/>
      <c r="AM718" s="9"/>
      <c r="AN718" s="9"/>
      <c r="AO718" s="9"/>
      <c r="AP718" s="9"/>
      <c r="AQ718" s="9"/>
      <c r="AR718" s="9"/>
      <c r="AS718" s="9"/>
      <c r="AT718" s="9"/>
      <c r="AU718" s="9"/>
      <c r="AV718" s="9"/>
      <c r="AW718" s="9"/>
      <c r="AX718" s="9"/>
      <c r="AY718" s="9"/>
      <c r="AZ718" s="9"/>
      <c r="BA718" s="9"/>
      <c r="BB718" s="9"/>
      <c r="BC718" s="9"/>
      <c r="BD718" s="9"/>
      <c r="BE718" s="9"/>
      <c r="BF718" s="9"/>
      <c r="BG718" s="9"/>
      <c r="BH718" s="9"/>
      <c r="BI718" s="9"/>
      <c r="BJ718" s="9"/>
      <c r="BK718" s="9"/>
      <c r="BL718" s="9"/>
      <c r="BM718" s="9"/>
      <c r="BN718" s="9"/>
      <c r="BO718" s="9"/>
      <c r="BP718" s="9"/>
      <c r="BQ718" s="9"/>
      <c r="BR718" s="9"/>
      <c r="BS718" s="9"/>
      <c r="BT718" s="9"/>
      <c r="BU718" s="9"/>
      <c r="BV718" s="9"/>
      <c r="BW718" s="9"/>
      <c r="BX718" s="9"/>
      <c r="BY718" s="9"/>
      <c r="BZ718" s="9"/>
    </row>
    <row r="719" spans="4:78" ht="18" customHeight="1" x14ac:dyDescent="0.25"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S719" s="9"/>
      <c r="T719" s="9"/>
      <c r="U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  <c r="AJ719" s="9"/>
      <c r="AK719" s="9"/>
      <c r="AL719" s="9"/>
      <c r="AM719" s="9"/>
      <c r="AN719" s="9"/>
      <c r="AO719" s="9"/>
      <c r="AP719" s="9"/>
      <c r="AQ719" s="9"/>
      <c r="AR719" s="9"/>
      <c r="AS719" s="9"/>
      <c r="AT719" s="9"/>
      <c r="AU719" s="9"/>
      <c r="AV719" s="9"/>
      <c r="AW719" s="9"/>
      <c r="AX719" s="9"/>
      <c r="AY719" s="9"/>
      <c r="AZ719" s="9"/>
      <c r="BA719" s="9"/>
      <c r="BB719" s="9"/>
      <c r="BC719" s="9"/>
      <c r="BD719" s="9"/>
      <c r="BE719" s="9"/>
      <c r="BF719" s="9"/>
      <c r="BG719" s="9"/>
      <c r="BH719" s="9"/>
      <c r="BI719" s="9"/>
      <c r="BJ719" s="9"/>
      <c r="BK719" s="9"/>
      <c r="BL719" s="9"/>
      <c r="BM719" s="9"/>
      <c r="BN719" s="9"/>
      <c r="BO719" s="9"/>
      <c r="BP719" s="9"/>
      <c r="BQ719" s="9"/>
      <c r="BR719" s="9"/>
      <c r="BS719" s="9"/>
      <c r="BT719" s="9"/>
      <c r="BU719" s="9"/>
      <c r="BV719" s="9"/>
      <c r="BW719" s="9"/>
      <c r="BX719" s="9"/>
      <c r="BY719" s="9"/>
      <c r="BZ719" s="9"/>
    </row>
    <row r="720" spans="4:78" ht="18" customHeight="1" x14ac:dyDescent="0.25"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S720" s="9"/>
      <c r="T720" s="9"/>
      <c r="U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  <c r="AJ720" s="9"/>
      <c r="AK720" s="9"/>
      <c r="AL720" s="9"/>
      <c r="AM720" s="9"/>
      <c r="AN720" s="9"/>
      <c r="AO720" s="9"/>
      <c r="AP720" s="9"/>
      <c r="AQ720" s="9"/>
      <c r="AR720" s="9"/>
      <c r="AS720" s="9"/>
      <c r="AT720" s="9"/>
      <c r="AU720" s="9"/>
      <c r="AV720" s="9"/>
      <c r="AW720" s="9"/>
      <c r="AX720" s="9"/>
      <c r="AY720" s="9"/>
      <c r="AZ720" s="9"/>
      <c r="BA720" s="9"/>
      <c r="BB720" s="9"/>
      <c r="BC720" s="9"/>
      <c r="BD720" s="9"/>
      <c r="BE720" s="9"/>
      <c r="BF720" s="9"/>
      <c r="BG720" s="9"/>
      <c r="BH720" s="9"/>
      <c r="BI720" s="9"/>
      <c r="BJ720" s="9"/>
      <c r="BK720" s="9"/>
      <c r="BL720" s="9"/>
      <c r="BM720" s="9"/>
      <c r="BN720" s="9"/>
      <c r="BO720" s="9"/>
      <c r="BP720" s="9"/>
      <c r="BQ720" s="9"/>
      <c r="BR720" s="9"/>
      <c r="BS720" s="9"/>
      <c r="BT720" s="9"/>
      <c r="BU720" s="9"/>
      <c r="BV720" s="9"/>
      <c r="BW720" s="9"/>
      <c r="BX720" s="9"/>
      <c r="BY720" s="9"/>
      <c r="BZ720" s="9"/>
    </row>
    <row r="721" spans="4:78" ht="18" customHeight="1" x14ac:dyDescent="0.25"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S721" s="9"/>
      <c r="T721" s="9"/>
      <c r="U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  <c r="AJ721" s="9"/>
      <c r="AK721" s="9"/>
      <c r="AL721" s="9"/>
      <c r="AM721" s="9"/>
      <c r="AN721" s="9"/>
      <c r="AO721" s="9"/>
      <c r="AP721" s="9"/>
      <c r="AQ721" s="9"/>
      <c r="AR721" s="9"/>
      <c r="AS721" s="9"/>
      <c r="AT721" s="9"/>
      <c r="AU721" s="9"/>
      <c r="AV721" s="9"/>
      <c r="AW721" s="9"/>
      <c r="AX721" s="9"/>
      <c r="AY721" s="9"/>
      <c r="AZ721" s="9"/>
      <c r="BA721" s="9"/>
      <c r="BB721" s="9"/>
      <c r="BC721" s="9"/>
      <c r="BD721" s="9"/>
      <c r="BE721" s="9"/>
      <c r="BF721" s="9"/>
      <c r="BG721" s="9"/>
      <c r="BH721" s="9"/>
      <c r="BI721" s="9"/>
      <c r="BJ721" s="9"/>
      <c r="BK721" s="9"/>
      <c r="BL721" s="9"/>
      <c r="BM721" s="9"/>
      <c r="BN721" s="9"/>
      <c r="BO721" s="9"/>
      <c r="BP721" s="9"/>
      <c r="BQ721" s="9"/>
      <c r="BR721" s="9"/>
      <c r="BS721" s="9"/>
      <c r="BT721" s="9"/>
      <c r="BU721" s="9"/>
      <c r="BV721" s="9"/>
      <c r="BW721" s="9"/>
      <c r="BX721" s="9"/>
      <c r="BY721" s="9"/>
      <c r="BZ721" s="9"/>
    </row>
    <row r="722" spans="4:78" ht="18" customHeight="1" x14ac:dyDescent="0.25"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S722" s="9"/>
      <c r="T722" s="9"/>
      <c r="U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  <c r="AJ722" s="9"/>
      <c r="AK722" s="9"/>
      <c r="AL722" s="9"/>
      <c r="AM722" s="9"/>
      <c r="AN722" s="9"/>
      <c r="AO722" s="9"/>
      <c r="AP722" s="9"/>
      <c r="AQ722" s="9"/>
      <c r="AR722" s="9"/>
      <c r="AS722" s="9"/>
      <c r="AT722" s="9"/>
      <c r="AU722" s="9"/>
      <c r="AV722" s="9"/>
      <c r="AW722" s="9"/>
      <c r="AX722" s="9"/>
      <c r="AY722" s="9"/>
      <c r="AZ722" s="9"/>
      <c r="BA722" s="9"/>
      <c r="BB722" s="9"/>
      <c r="BC722" s="9"/>
      <c r="BD722" s="9"/>
      <c r="BE722" s="9"/>
      <c r="BF722" s="9"/>
      <c r="BG722" s="9"/>
      <c r="BH722" s="9"/>
      <c r="BI722" s="9"/>
      <c r="BJ722" s="9"/>
      <c r="BK722" s="9"/>
      <c r="BL722" s="9"/>
      <c r="BM722" s="9"/>
      <c r="BN722" s="9"/>
      <c r="BO722" s="9"/>
      <c r="BP722" s="9"/>
      <c r="BQ722" s="9"/>
      <c r="BR722" s="9"/>
      <c r="BS722" s="9"/>
      <c r="BT722" s="9"/>
      <c r="BU722" s="9"/>
      <c r="BV722" s="9"/>
      <c r="BW722" s="9"/>
      <c r="BX722" s="9"/>
      <c r="BY722" s="9"/>
      <c r="BZ722" s="9"/>
    </row>
    <row r="723" spans="4:78" ht="18" customHeight="1" x14ac:dyDescent="0.25"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S723" s="9"/>
      <c r="T723" s="9"/>
      <c r="U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  <c r="AI723" s="9"/>
      <c r="AJ723" s="9"/>
      <c r="AK723" s="9"/>
      <c r="AL723" s="9"/>
      <c r="AM723" s="9"/>
      <c r="AN723" s="9"/>
      <c r="AO723" s="9"/>
      <c r="AP723" s="9"/>
      <c r="AQ723" s="9"/>
      <c r="AR723" s="9"/>
      <c r="AS723" s="9"/>
      <c r="AT723" s="9"/>
      <c r="AU723" s="9"/>
      <c r="AV723" s="9"/>
      <c r="AW723" s="9"/>
      <c r="AX723" s="9"/>
      <c r="AY723" s="9"/>
      <c r="AZ723" s="9"/>
      <c r="BA723" s="9"/>
      <c r="BB723" s="9"/>
      <c r="BC723" s="9"/>
      <c r="BD723" s="9"/>
      <c r="BE723" s="9"/>
      <c r="BF723" s="9"/>
      <c r="BG723" s="9"/>
      <c r="BH723" s="9"/>
      <c r="BI723" s="9"/>
      <c r="BJ723" s="9"/>
      <c r="BK723" s="9"/>
      <c r="BL723" s="9"/>
      <c r="BM723" s="9"/>
      <c r="BN723" s="9"/>
      <c r="BO723" s="9"/>
      <c r="BP723" s="9"/>
      <c r="BQ723" s="9"/>
      <c r="BR723" s="9"/>
      <c r="BS723" s="9"/>
      <c r="BT723" s="9"/>
      <c r="BU723" s="9"/>
      <c r="BV723" s="9"/>
      <c r="BW723" s="9"/>
      <c r="BX723" s="9"/>
      <c r="BY723" s="9"/>
      <c r="BZ723" s="9"/>
    </row>
    <row r="724" spans="4:78" ht="18" customHeight="1" x14ac:dyDescent="0.25"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S724" s="9"/>
      <c r="T724" s="9"/>
      <c r="U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  <c r="AI724" s="9"/>
      <c r="AJ724" s="9"/>
      <c r="AK724" s="9"/>
      <c r="AL724" s="9"/>
      <c r="AM724" s="9"/>
      <c r="AN724" s="9"/>
      <c r="AO724" s="9"/>
      <c r="AP724" s="9"/>
      <c r="AQ724" s="9"/>
      <c r="AR724" s="9"/>
      <c r="AS724" s="9"/>
      <c r="AT724" s="9"/>
      <c r="AU724" s="9"/>
      <c r="AV724" s="9"/>
      <c r="AW724" s="9"/>
      <c r="AX724" s="9"/>
      <c r="AY724" s="9"/>
      <c r="AZ724" s="9"/>
      <c r="BA724" s="9"/>
      <c r="BB724" s="9"/>
      <c r="BC724" s="9"/>
      <c r="BD724" s="9"/>
      <c r="BE724" s="9"/>
      <c r="BF724" s="9"/>
      <c r="BG724" s="9"/>
      <c r="BH724" s="9"/>
      <c r="BI724" s="9"/>
      <c r="BJ724" s="9"/>
      <c r="BK724" s="9"/>
      <c r="BL724" s="9"/>
      <c r="BM724" s="9"/>
      <c r="BN724" s="9"/>
      <c r="BO724" s="9"/>
      <c r="BP724" s="9"/>
      <c r="BQ724" s="9"/>
      <c r="BR724" s="9"/>
      <c r="BS724" s="9"/>
      <c r="BT724" s="9"/>
      <c r="BU724" s="9"/>
      <c r="BV724" s="9"/>
      <c r="BW724" s="9"/>
      <c r="BX724" s="9"/>
      <c r="BY724" s="9"/>
      <c r="BZ724" s="9"/>
    </row>
    <row r="725" spans="4:78" ht="18" customHeight="1" x14ac:dyDescent="0.25"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S725" s="9"/>
      <c r="T725" s="9"/>
      <c r="U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  <c r="AI725" s="9"/>
      <c r="AJ725" s="9"/>
      <c r="AK725" s="9"/>
      <c r="AL725" s="9"/>
      <c r="AM725" s="9"/>
      <c r="AN725" s="9"/>
      <c r="AO725" s="9"/>
      <c r="AP725" s="9"/>
      <c r="AQ725" s="9"/>
      <c r="AR725" s="9"/>
      <c r="AS725" s="9"/>
      <c r="AT725" s="9"/>
      <c r="AU725" s="9"/>
      <c r="AV725" s="9"/>
      <c r="AW725" s="9"/>
      <c r="AX725" s="9"/>
      <c r="AY725" s="9"/>
      <c r="AZ725" s="9"/>
      <c r="BA725" s="9"/>
      <c r="BB725" s="9"/>
      <c r="BC725" s="9"/>
      <c r="BD725" s="9"/>
      <c r="BE725" s="9"/>
      <c r="BF725" s="9"/>
      <c r="BG725" s="9"/>
      <c r="BH725" s="9"/>
      <c r="BI725" s="9"/>
      <c r="BJ725" s="9"/>
      <c r="BK725" s="9"/>
      <c r="BL725" s="9"/>
      <c r="BM725" s="9"/>
      <c r="BN725" s="9"/>
      <c r="BO725" s="9"/>
      <c r="BP725" s="9"/>
      <c r="BQ725" s="9"/>
      <c r="BR725" s="9"/>
      <c r="BS725" s="9"/>
      <c r="BT725" s="9"/>
      <c r="BU725" s="9"/>
      <c r="BV725" s="9"/>
      <c r="BW725" s="9"/>
      <c r="BX725" s="9"/>
      <c r="BY725" s="9"/>
      <c r="BZ725" s="9"/>
    </row>
    <row r="726" spans="4:78" ht="18" customHeight="1" x14ac:dyDescent="0.25"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S726" s="9"/>
      <c r="T726" s="9"/>
      <c r="U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  <c r="AI726" s="9"/>
      <c r="AJ726" s="9"/>
      <c r="AK726" s="9"/>
      <c r="AL726" s="9"/>
      <c r="AM726" s="9"/>
      <c r="AN726" s="9"/>
      <c r="AO726" s="9"/>
      <c r="AP726" s="9"/>
      <c r="AQ726" s="9"/>
      <c r="AR726" s="9"/>
      <c r="AS726" s="9"/>
      <c r="AT726" s="9"/>
      <c r="AU726" s="9"/>
      <c r="AV726" s="9"/>
      <c r="AW726" s="9"/>
      <c r="AX726" s="9"/>
      <c r="AY726" s="9"/>
      <c r="AZ726" s="9"/>
      <c r="BA726" s="9"/>
      <c r="BB726" s="9"/>
      <c r="BC726" s="9"/>
      <c r="BD726" s="9"/>
      <c r="BE726" s="9"/>
      <c r="BF726" s="9"/>
      <c r="BG726" s="9"/>
      <c r="BH726" s="9"/>
      <c r="BI726" s="9"/>
      <c r="BJ726" s="9"/>
      <c r="BK726" s="9"/>
      <c r="BL726" s="9"/>
      <c r="BM726" s="9"/>
      <c r="BN726" s="9"/>
      <c r="BO726" s="9"/>
      <c r="BP726" s="9"/>
      <c r="BQ726" s="9"/>
      <c r="BR726" s="9"/>
      <c r="BS726" s="9"/>
      <c r="BT726" s="9"/>
      <c r="BU726" s="9"/>
      <c r="BV726" s="9"/>
      <c r="BW726" s="9"/>
      <c r="BX726" s="9"/>
      <c r="BY726" s="9"/>
      <c r="BZ726" s="9"/>
    </row>
    <row r="727" spans="4:78" ht="18" customHeight="1" x14ac:dyDescent="0.25"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S727" s="9"/>
      <c r="T727" s="9"/>
      <c r="U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  <c r="AI727" s="9"/>
      <c r="AJ727" s="9"/>
      <c r="AK727" s="9"/>
      <c r="AL727" s="9"/>
      <c r="AM727" s="9"/>
      <c r="AN727" s="9"/>
      <c r="AO727" s="9"/>
      <c r="AP727" s="9"/>
      <c r="AQ727" s="9"/>
      <c r="AR727" s="9"/>
      <c r="AS727" s="9"/>
      <c r="AT727" s="9"/>
      <c r="AU727" s="9"/>
      <c r="AV727" s="9"/>
      <c r="AW727" s="9"/>
      <c r="AX727" s="9"/>
      <c r="AY727" s="9"/>
      <c r="AZ727" s="9"/>
      <c r="BA727" s="9"/>
      <c r="BB727" s="9"/>
      <c r="BC727" s="9"/>
      <c r="BD727" s="9"/>
      <c r="BE727" s="9"/>
      <c r="BF727" s="9"/>
      <c r="BG727" s="9"/>
      <c r="BH727" s="9"/>
      <c r="BI727" s="9"/>
      <c r="BJ727" s="9"/>
      <c r="BK727" s="9"/>
      <c r="BL727" s="9"/>
      <c r="BM727" s="9"/>
      <c r="BN727" s="9"/>
      <c r="BO727" s="9"/>
      <c r="BP727" s="9"/>
      <c r="BQ727" s="9"/>
      <c r="BR727" s="9"/>
      <c r="BS727" s="9"/>
      <c r="BT727" s="9"/>
      <c r="BU727" s="9"/>
      <c r="BV727" s="9"/>
      <c r="BW727" s="9"/>
      <c r="BX727" s="9"/>
      <c r="BY727" s="9"/>
      <c r="BZ727" s="9"/>
    </row>
    <row r="728" spans="4:78" ht="18" customHeight="1" x14ac:dyDescent="0.25"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S728" s="9"/>
      <c r="T728" s="9"/>
      <c r="U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  <c r="AI728" s="9"/>
      <c r="AJ728" s="9"/>
      <c r="AK728" s="9"/>
      <c r="AL728" s="9"/>
      <c r="AM728" s="9"/>
      <c r="AN728" s="9"/>
      <c r="AO728" s="9"/>
      <c r="AP728" s="9"/>
      <c r="AQ728" s="9"/>
      <c r="AR728" s="9"/>
      <c r="AS728" s="9"/>
      <c r="AT728" s="9"/>
      <c r="AU728" s="9"/>
      <c r="AV728" s="9"/>
      <c r="AW728" s="9"/>
      <c r="AX728" s="9"/>
      <c r="AY728" s="9"/>
      <c r="AZ728" s="9"/>
      <c r="BA728" s="9"/>
      <c r="BB728" s="9"/>
      <c r="BC728" s="9"/>
      <c r="BD728" s="9"/>
      <c r="BE728" s="9"/>
      <c r="BF728" s="9"/>
      <c r="BG728" s="9"/>
      <c r="BH728" s="9"/>
      <c r="BI728" s="9"/>
      <c r="BJ728" s="9"/>
      <c r="BK728" s="9"/>
      <c r="BL728" s="9"/>
      <c r="BM728" s="9"/>
      <c r="BN728" s="9"/>
      <c r="BO728" s="9"/>
      <c r="BP728" s="9"/>
      <c r="BQ728" s="9"/>
      <c r="BR728" s="9"/>
      <c r="BS728" s="9"/>
      <c r="BT728" s="9"/>
      <c r="BU728" s="9"/>
      <c r="BV728" s="9"/>
      <c r="BW728" s="9"/>
      <c r="BX728" s="9"/>
      <c r="BY728" s="9"/>
      <c r="BZ728" s="9"/>
    </row>
    <row r="729" spans="4:78" ht="18" customHeight="1" x14ac:dyDescent="0.25"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S729" s="9"/>
      <c r="T729" s="9"/>
      <c r="U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  <c r="AI729" s="9"/>
      <c r="AJ729" s="9"/>
      <c r="AK729" s="9"/>
      <c r="AL729" s="9"/>
      <c r="AM729" s="9"/>
      <c r="AN729" s="9"/>
      <c r="AO729" s="9"/>
      <c r="AP729" s="9"/>
      <c r="AQ729" s="9"/>
      <c r="AR729" s="9"/>
      <c r="AS729" s="9"/>
      <c r="AT729" s="9"/>
      <c r="AU729" s="9"/>
      <c r="AV729" s="9"/>
      <c r="AW729" s="9"/>
      <c r="AX729" s="9"/>
      <c r="AY729" s="9"/>
      <c r="AZ729" s="9"/>
      <c r="BA729" s="9"/>
      <c r="BB729" s="9"/>
      <c r="BC729" s="9"/>
      <c r="BD729" s="9"/>
      <c r="BE729" s="9"/>
      <c r="BF729" s="9"/>
      <c r="BG729" s="9"/>
      <c r="BH729" s="9"/>
      <c r="BI729" s="9"/>
      <c r="BJ729" s="9"/>
      <c r="BK729" s="9"/>
      <c r="BL729" s="9"/>
      <c r="BM729" s="9"/>
      <c r="BN729" s="9"/>
      <c r="BO729" s="9"/>
      <c r="BP729" s="9"/>
      <c r="BQ729" s="9"/>
      <c r="BR729" s="9"/>
      <c r="BS729" s="9"/>
      <c r="BT729" s="9"/>
      <c r="BU729" s="9"/>
      <c r="BV729" s="9"/>
      <c r="BW729" s="9"/>
      <c r="BX729" s="9"/>
      <c r="BY729" s="9"/>
      <c r="BZ729" s="9"/>
    </row>
    <row r="730" spans="4:78" ht="18" customHeight="1" x14ac:dyDescent="0.25"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S730" s="9"/>
      <c r="T730" s="9"/>
      <c r="U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  <c r="AI730" s="9"/>
      <c r="AJ730" s="9"/>
      <c r="AK730" s="9"/>
      <c r="AL730" s="9"/>
      <c r="AM730" s="9"/>
      <c r="AN730" s="9"/>
      <c r="AO730" s="9"/>
      <c r="AP730" s="9"/>
      <c r="AQ730" s="9"/>
      <c r="AR730" s="9"/>
      <c r="AS730" s="9"/>
      <c r="AT730" s="9"/>
      <c r="AU730" s="9"/>
      <c r="AV730" s="9"/>
      <c r="AW730" s="9"/>
      <c r="AX730" s="9"/>
      <c r="AY730" s="9"/>
      <c r="AZ730" s="9"/>
      <c r="BA730" s="9"/>
      <c r="BB730" s="9"/>
      <c r="BC730" s="9"/>
      <c r="BD730" s="9"/>
      <c r="BE730" s="9"/>
      <c r="BF730" s="9"/>
      <c r="BG730" s="9"/>
      <c r="BH730" s="9"/>
      <c r="BI730" s="9"/>
      <c r="BJ730" s="9"/>
      <c r="BK730" s="9"/>
      <c r="BL730" s="9"/>
      <c r="BM730" s="9"/>
      <c r="BN730" s="9"/>
      <c r="BO730" s="9"/>
      <c r="BP730" s="9"/>
      <c r="BQ730" s="9"/>
      <c r="BR730" s="9"/>
      <c r="BS730" s="9"/>
      <c r="BT730" s="9"/>
      <c r="BU730" s="9"/>
      <c r="BV730" s="9"/>
      <c r="BW730" s="9"/>
      <c r="BX730" s="9"/>
      <c r="BY730" s="9"/>
      <c r="BZ730" s="9"/>
    </row>
    <row r="731" spans="4:78" ht="18" customHeight="1" x14ac:dyDescent="0.25"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S731" s="9"/>
      <c r="T731" s="9"/>
      <c r="U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  <c r="AI731" s="9"/>
      <c r="AJ731" s="9"/>
      <c r="AK731" s="9"/>
      <c r="AL731" s="9"/>
      <c r="AM731" s="9"/>
      <c r="AN731" s="9"/>
      <c r="AO731" s="9"/>
      <c r="AP731" s="9"/>
      <c r="AQ731" s="9"/>
      <c r="AR731" s="9"/>
      <c r="AS731" s="9"/>
      <c r="AT731" s="9"/>
      <c r="AU731" s="9"/>
      <c r="AV731" s="9"/>
      <c r="AW731" s="9"/>
      <c r="AX731" s="9"/>
      <c r="AY731" s="9"/>
      <c r="AZ731" s="9"/>
      <c r="BA731" s="9"/>
      <c r="BB731" s="9"/>
      <c r="BC731" s="9"/>
      <c r="BD731" s="9"/>
      <c r="BE731" s="9"/>
      <c r="BF731" s="9"/>
      <c r="BG731" s="9"/>
      <c r="BH731" s="9"/>
      <c r="BI731" s="9"/>
      <c r="BJ731" s="9"/>
      <c r="BK731" s="9"/>
      <c r="BL731" s="9"/>
      <c r="BM731" s="9"/>
      <c r="BN731" s="9"/>
      <c r="BO731" s="9"/>
      <c r="BP731" s="9"/>
      <c r="BQ731" s="9"/>
      <c r="BR731" s="9"/>
      <c r="BS731" s="9"/>
      <c r="BT731" s="9"/>
      <c r="BU731" s="9"/>
      <c r="BV731" s="9"/>
      <c r="BW731" s="9"/>
      <c r="BX731" s="9"/>
      <c r="BY731" s="9"/>
      <c r="BZ731" s="9"/>
    </row>
    <row r="732" spans="4:78" ht="18" customHeight="1" x14ac:dyDescent="0.25"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S732" s="9"/>
      <c r="T732" s="9"/>
      <c r="U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  <c r="AI732" s="9"/>
      <c r="AJ732" s="9"/>
      <c r="AK732" s="9"/>
      <c r="AL732" s="9"/>
      <c r="AM732" s="9"/>
      <c r="AN732" s="9"/>
      <c r="AO732" s="9"/>
      <c r="AP732" s="9"/>
      <c r="AQ732" s="9"/>
      <c r="AR732" s="9"/>
      <c r="AS732" s="9"/>
      <c r="AT732" s="9"/>
      <c r="AU732" s="9"/>
      <c r="AV732" s="9"/>
      <c r="AW732" s="9"/>
      <c r="AX732" s="9"/>
      <c r="AY732" s="9"/>
      <c r="AZ732" s="9"/>
      <c r="BA732" s="9"/>
      <c r="BB732" s="9"/>
      <c r="BC732" s="9"/>
      <c r="BD732" s="9"/>
      <c r="BE732" s="9"/>
      <c r="BF732" s="9"/>
      <c r="BG732" s="9"/>
      <c r="BH732" s="9"/>
      <c r="BI732" s="9"/>
      <c r="BJ732" s="9"/>
      <c r="BK732" s="9"/>
      <c r="BL732" s="9"/>
      <c r="BM732" s="9"/>
      <c r="BN732" s="9"/>
      <c r="BO732" s="9"/>
      <c r="BP732" s="9"/>
      <c r="BQ732" s="9"/>
      <c r="BR732" s="9"/>
      <c r="BS732" s="9"/>
      <c r="BT732" s="9"/>
      <c r="BU732" s="9"/>
      <c r="BV732" s="9"/>
      <c r="BW732" s="9"/>
      <c r="BX732" s="9"/>
      <c r="BY732" s="9"/>
      <c r="BZ732" s="9"/>
    </row>
    <row r="733" spans="4:78" ht="18" customHeight="1" x14ac:dyDescent="0.25"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S733" s="9"/>
      <c r="T733" s="9"/>
      <c r="U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  <c r="AI733" s="9"/>
      <c r="AJ733" s="9"/>
      <c r="AK733" s="9"/>
      <c r="AL733" s="9"/>
      <c r="AM733" s="9"/>
      <c r="AN733" s="9"/>
      <c r="AO733" s="9"/>
      <c r="AP733" s="9"/>
      <c r="AQ733" s="9"/>
      <c r="AR733" s="9"/>
      <c r="AS733" s="9"/>
      <c r="AT733" s="9"/>
      <c r="AU733" s="9"/>
      <c r="AV733" s="9"/>
      <c r="AW733" s="9"/>
      <c r="AX733" s="9"/>
      <c r="AY733" s="9"/>
      <c r="AZ733" s="9"/>
      <c r="BA733" s="9"/>
      <c r="BB733" s="9"/>
      <c r="BC733" s="9"/>
      <c r="BD733" s="9"/>
      <c r="BE733" s="9"/>
      <c r="BF733" s="9"/>
      <c r="BG733" s="9"/>
      <c r="BH733" s="9"/>
      <c r="BI733" s="9"/>
      <c r="BJ733" s="9"/>
      <c r="BK733" s="9"/>
      <c r="BL733" s="9"/>
      <c r="BM733" s="9"/>
      <c r="BN733" s="9"/>
      <c r="BO733" s="9"/>
      <c r="BP733" s="9"/>
      <c r="BQ733" s="9"/>
      <c r="BR733" s="9"/>
      <c r="BS733" s="9"/>
      <c r="BT733" s="9"/>
      <c r="BU733" s="9"/>
      <c r="BV733" s="9"/>
      <c r="BW733" s="9"/>
      <c r="BX733" s="9"/>
      <c r="BY733" s="9"/>
      <c r="BZ733" s="9"/>
    </row>
    <row r="734" spans="4:78" ht="18" customHeight="1" x14ac:dyDescent="0.25"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S734" s="9"/>
      <c r="T734" s="9"/>
      <c r="U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  <c r="AI734" s="9"/>
      <c r="AJ734" s="9"/>
      <c r="AK734" s="9"/>
      <c r="AL734" s="9"/>
      <c r="AM734" s="9"/>
      <c r="AN734" s="9"/>
      <c r="AO734" s="9"/>
      <c r="AP734" s="9"/>
      <c r="AQ734" s="9"/>
      <c r="AR734" s="9"/>
      <c r="AS734" s="9"/>
      <c r="AT734" s="9"/>
      <c r="AU734" s="9"/>
      <c r="AV734" s="9"/>
      <c r="AW734" s="9"/>
      <c r="AX734" s="9"/>
      <c r="AY734" s="9"/>
      <c r="AZ734" s="9"/>
      <c r="BA734" s="9"/>
      <c r="BB734" s="9"/>
      <c r="BC734" s="9"/>
      <c r="BD734" s="9"/>
      <c r="BE734" s="9"/>
      <c r="BF734" s="9"/>
      <c r="BG734" s="9"/>
      <c r="BH734" s="9"/>
      <c r="BI734" s="9"/>
      <c r="BJ734" s="9"/>
      <c r="BK734" s="9"/>
      <c r="BL734" s="9"/>
      <c r="BM734" s="9"/>
      <c r="BN734" s="9"/>
      <c r="BO734" s="9"/>
      <c r="BP734" s="9"/>
      <c r="BQ734" s="9"/>
      <c r="BR734" s="9"/>
      <c r="BS734" s="9"/>
      <c r="BT734" s="9"/>
      <c r="BU734" s="9"/>
      <c r="BV734" s="9"/>
      <c r="BW734" s="9"/>
      <c r="BX734" s="9"/>
      <c r="BY734" s="9"/>
      <c r="BZ734" s="9"/>
    </row>
    <row r="735" spans="4:78" ht="18" customHeight="1" x14ac:dyDescent="0.25"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S735" s="9"/>
      <c r="T735" s="9"/>
      <c r="U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  <c r="AI735" s="9"/>
      <c r="AJ735" s="9"/>
      <c r="AK735" s="9"/>
      <c r="AL735" s="9"/>
      <c r="AM735" s="9"/>
      <c r="AN735" s="9"/>
      <c r="AO735" s="9"/>
      <c r="AP735" s="9"/>
      <c r="AQ735" s="9"/>
      <c r="AR735" s="9"/>
      <c r="AS735" s="9"/>
      <c r="AT735" s="9"/>
      <c r="AU735" s="9"/>
      <c r="AV735" s="9"/>
      <c r="AW735" s="9"/>
      <c r="AX735" s="9"/>
      <c r="AY735" s="9"/>
      <c r="AZ735" s="9"/>
      <c r="BA735" s="9"/>
      <c r="BB735" s="9"/>
      <c r="BC735" s="9"/>
      <c r="BD735" s="9"/>
      <c r="BE735" s="9"/>
      <c r="BF735" s="9"/>
      <c r="BG735" s="9"/>
      <c r="BH735" s="9"/>
      <c r="BI735" s="9"/>
      <c r="BJ735" s="9"/>
      <c r="BK735" s="9"/>
      <c r="BL735" s="9"/>
      <c r="BM735" s="9"/>
      <c r="BN735" s="9"/>
      <c r="BO735" s="9"/>
      <c r="BP735" s="9"/>
      <c r="BQ735" s="9"/>
      <c r="BR735" s="9"/>
      <c r="BS735" s="9"/>
      <c r="BT735" s="9"/>
      <c r="BU735" s="9"/>
      <c r="BV735" s="9"/>
      <c r="BW735" s="9"/>
      <c r="BX735" s="9"/>
      <c r="BY735" s="9"/>
      <c r="BZ735" s="9"/>
    </row>
    <row r="736" spans="4:78" ht="18" customHeight="1" x14ac:dyDescent="0.25"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S736" s="9"/>
      <c r="T736" s="9"/>
      <c r="U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  <c r="AI736" s="9"/>
      <c r="AJ736" s="9"/>
      <c r="AK736" s="9"/>
      <c r="AL736" s="9"/>
      <c r="AM736" s="9"/>
      <c r="AN736" s="9"/>
      <c r="AO736" s="9"/>
      <c r="AP736" s="9"/>
      <c r="AQ736" s="9"/>
      <c r="AR736" s="9"/>
      <c r="AS736" s="9"/>
      <c r="AT736" s="9"/>
      <c r="AU736" s="9"/>
      <c r="AV736" s="9"/>
      <c r="AW736" s="9"/>
      <c r="AX736" s="9"/>
      <c r="AY736" s="9"/>
      <c r="AZ736" s="9"/>
      <c r="BA736" s="9"/>
      <c r="BB736" s="9"/>
      <c r="BC736" s="9"/>
      <c r="BD736" s="9"/>
      <c r="BE736" s="9"/>
      <c r="BF736" s="9"/>
      <c r="BG736" s="9"/>
      <c r="BH736" s="9"/>
      <c r="BI736" s="9"/>
      <c r="BJ736" s="9"/>
      <c r="BK736" s="9"/>
      <c r="BL736" s="9"/>
      <c r="BM736" s="9"/>
      <c r="BN736" s="9"/>
      <c r="BO736" s="9"/>
      <c r="BP736" s="9"/>
      <c r="BQ736" s="9"/>
      <c r="BR736" s="9"/>
      <c r="BS736" s="9"/>
      <c r="BT736" s="9"/>
      <c r="BU736" s="9"/>
      <c r="BV736" s="9"/>
      <c r="BW736" s="9"/>
      <c r="BX736" s="9"/>
      <c r="BY736" s="9"/>
      <c r="BZ736" s="9"/>
    </row>
    <row r="737" spans="4:78" ht="18" customHeight="1" x14ac:dyDescent="0.25"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S737" s="9"/>
      <c r="T737" s="9"/>
      <c r="U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  <c r="AI737" s="9"/>
      <c r="AJ737" s="9"/>
      <c r="AK737" s="9"/>
      <c r="AL737" s="9"/>
      <c r="AM737" s="9"/>
      <c r="AN737" s="9"/>
      <c r="AO737" s="9"/>
      <c r="AP737" s="9"/>
      <c r="AQ737" s="9"/>
      <c r="AR737" s="9"/>
      <c r="AS737" s="9"/>
      <c r="AT737" s="9"/>
      <c r="AU737" s="9"/>
      <c r="AV737" s="9"/>
      <c r="AW737" s="9"/>
      <c r="AX737" s="9"/>
      <c r="AY737" s="9"/>
      <c r="AZ737" s="9"/>
      <c r="BA737" s="9"/>
      <c r="BB737" s="9"/>
      <c r="BC737" s="9"/>
      <c r="BD737" s="9"/>
      <c r="BE737" s="9"/>
      <c r="BF737" s="9"/>
      <c r="BG737" s="9"/>
      <c r="BH737" s="9"/>
      <c r="BI737" s="9"/>
      <c r="BJ737" s="9"/>
      <c r="BK737" s="9"/>
      <c r="BL737" s="9"/>
      <c r="BM737" s="9"/>
      <c r="BN737" s="9"/>
      <c r="BO737" s="9"/>
      <c r="BP737" s="9"/>
      <c r="BQ737" s="9"/>
      <c r="BR737" s="9"/>
      <c r="BS737" s="9"/>
      <c r="BT737" s="9"/>
      <c r="BU737" s="9"/>
      <c r="BV737" s="9"/>
      <c r="BW737" s="9"/>
      <c r="BX737" s="9"/>
      <c r="BY737" s="9"/>
      <c r="BZ737" s="9"/>
    </row>
    <row r="738" spans="4:78" ht="18" customHeight="1" x14ac:dyDescent="0.25"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S738" s="9"/>
      <c r="T738" s="9"/>
      <c r="U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  <c r="AI738" s="9"/>
      <c r="AJ738" s="9"/>
      <c r="AK738" s="9"/>
      <c r="AL738" s="9"/>
      <c r="AM738" s="9"/>
      <c r="AN738" s="9"/>
      <c r="AO738" s="9"/>
      <c r="AP738" s="9"/>
      <c r="AQ738" s="9"/>
      <c r="AR738" s="9"/>
      <c r="AS738" s="9"/>
      <c r="AT738" s="9"/>
      <c r="AU738" s="9"/>
      <c r="AV738" s="9"/>
      <c r="AW738" s="9"/>
      <c r="AX738" s="9"/>
      <c r="AY738" s="9"/>
      <c r="AZ738" s="9"/>
      <c r="BA738" s="9"/>
      <c r="BB738" s="9"/>
      <c r="BC738" s="9"/>
      <c r="BD738" s="9"/>
      <c r="BE738" s="9"/>
      <c r="BF738" s="9"/>
      <c r="BG738" s="9"/>
      <c r="BH738" s="9"/>
      <c r="BI738" s="9"/>
      <c r="BJ738" s="9"/>
      <c r="BK738" s="9"/>
      <c r="BL738" s="9"/>
      <c r="BM738" s="9"/>
      <c r="BN738" s="9"/>
      <c r="BO738" s="9"/>
      <c r="BP738" s="9"/>
      <c r="BQ738" s="9"/>
      <c r="BR738" s="9"/>
      <c r="BS738" s="9"/>
      <c r="BT738" s="9"/>
      <c r="BU738" s="9"/>
      <c r="BV738" s="9"/>
      <c r="BW738" s="9"/>
      <c r="BX738" s="9"/>
      <c r="BY738" s="9"/>
      <c r="BZ738" s="9"/>
    </row>
    <row r="739" spans="4:78" ht="18" customHeight="1" x14ac:dyDescent="0.25"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S739" s="9"/>
      <c r="T739" s="9"/>
      <c r="U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  <c r="AI739" s="9"/>
      <c r="AJ739" s="9"/>
      <c r="AK739" s="9"/>
      <c r="AL739" s="9"/>
      <c r="AM739" s="9"/>
      <c r="AN739" s="9"/>
      <c r="AO739" s="9"/>
      <c r="AP739" s="9"/>
      <c r="AQ739" s="9"/>
      <c r="AR739" s="9"/>
      <c r="AS739" s="9"/>
      <c r="AT739" s="9"/>
      <c r="AU739" s="9"/>
      <c r="AV739" s="9"/>
      <c r="AW739" s="9"/>
      <c r="AX739" s="9"/>
      <c r="AY739" s="9"/>
      <c r="AZ739" s="9"/>
      <c r="BA739" s="9"/>
      <c r="BB739" s="9"/>
      <c r="BC739" s="9"/>
      <c r="BD739" s="9"/>
      <c r="BE739" s="9"/>
      <c r="BF739" s="9"/>
      <c r="BG739" s="9"/>
      <c r="BH739" s="9"/>
      <c r="BI739" s="9"/>
      <c r="BJ739" s="9"/>
      <c r="BK739" s="9"/>
      <c r="BL739" s="9"/>
      <c r="BM739" s="9"/>
      <c r="BN739" s="9"/>
      <c r="BO739" s="9"/>
      <c r="BP739" s="9"/>
      <c r="BQ739" s="9"/>
      <c r="BR739" s="9"/>
      <c r="BS739" s="9"/>
      <c r="BT739" s="9"/>
      <c r="BU739" s="9"/>
      <c r="BV739" s="9"/>
      <c r="BW739" s="9"/>
      <c r="BX739" s="9"/>
      <c r="BY739" s="9"/>
      <c r="BZ739" s="9"/>
    </row>
    <row r="740" spans="4:78" ht="18" customHeight="1" x14ac:dyDescent="0.25"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S740" s="9"/>
      <c r="T740" s="9"/>
      <c r="U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  <c r="AI740" s="9"/>
      <c r="AJ740" s="9"/>
      <c r="AK740" s="9"/>
      <c r="AL740" s="9"/>
      <c r="AM740" s="9"/>
      <c r="AN740" s="9"/>
      <c r="AO740" s="9"/>
      <c r="AP740" s="9"/>
      <c r="AQ740" s="9"/>
      <c r="AR740" s="9"/>
      <c r="AS740" s="9"/>
      <c r="AT740" s="9"/>
      <c r="AU740" s="9"/>
      <c r="AV740" s="9"/>
      <c r="AW740" s="9"/>
      <c r="AX740" s="9"/>
      <c r="AY740" s="9"/>
      <c r="AZ740" s="9"/>
      <c r="BA740" s="9"/>
      <c r="BB740" s="9"/>
      <c r="BC740" s="9"/>
      <c r="BD740" s="9"/>
      <c r="BE740" s="9"/>
      <c r="BF740" s="9"/>
      <c r="BG740" s="9"/>
      <c r="BH740" s="9"/>
      <c r="BI740" s="9"/>
      <c r="BJ740" s="9"/>
      <c r="BK740" s="9"/>
      <c r="BL740" s="9"/>
      <c r="BM740" s="9"/>
      <c r="BN740" s="9"/>
      <c r="BO740" s="9"/>
      <c r="BP740" s="9"/>
      <c r="BQ740" s="9"/>
      <c r="BR740" s="9"/>
      <c r="BS740" s="9"/>
      <c r="BT740" s="9"/>
      <c r="BU740" s="9"/>
      <c r="BV740" s="9"/>
      <c r="BW740" s="9"/>
      <c r="BX740" s="9"/>
      <c r="BY740" s="9"/>
      <c r="BZ740" s="9"/>
    </row>
    <row r="741" spans="4:78" ht="18" customHeight="1" x14ac:dyDescent="0.25"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S741" s="9"/>
      <c r="T741" s="9"/>
      <c r="U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  <c r="AI741" s="9"/>
      <c r="AJ741" s="9"/>
      <c r="AK741" s="9"/>
      <c r="AL741" s="9"/>
      <c r="AM741" s="9"/>
      <c r="AN741" s="9"/>
      <c r="AO741" s="9"/>
      <c r="AP741" s="9"/>
      <c r="AQ741" s="9"/>
      <c r="AR741" s="9"/>
      <c r="AS741" s="9"/>
      <c r="AT741" s="9"/>
      <c r="AU741" s="9"/>
      <c r="AV741" s="9"/>
      <c r="AW741" s="9"/>
      <c r="AX741" s="9"/>
      <c r="AY741" s="9"/>
      <c r="AZ741" s="9"/>
      <c r="BA741" s="9"/>
      <c r="BB741" s="9"/>
      <c r="BC741" s="9"/>
      <c r="BD741" s="9"/>
      <c r="BE741" s="9"/>
      <c r="BF741" s="9"/>
      <c r="BG741" s="9"/>
      <c r="BH741" s="9"/>
      <c r="BI741" s="9"/>
      <c r="BJ741" s="9"/>
      <c r="BK741" s="9"/>
      <c r="BL741" s="9"/>
      <c r="BM741" s="9"/>
      <c r="BN741" s="9"/>
      <c r="BO741" s="9"/>
      <c r="BP741" s="9"/>
      <c r="BQ741" s="9"/>
      <c r="BR741" s="9"/>
      <c r="BS741" s="9"/>
      <c r="BT741" s="9"/>
      <c r="BU741" s="9"/>
      <c r="BV741" s="9"/>
      <c r="BW741" s="9"/>
      <c r="BX741" s="9"/>
      <c r="BY741" s="9"/>
      <c r="BZ741" s="9"/>
    </row>
    <row r="742" spans="4:78" ht="18" customHeight="1" x14ac:dyDescent="0.25"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S742" s="9"/>
      <c r="T742" s="9"/>
      <c r="U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  <c r="AI742" s="9"/>
      <c r="AJ742" s="9"/>
      <c r="AK742" s="9"/>
      <c r="AL742" s="9"/>
      <c r="AM742" s="9"/>
      <c r="AN742" s="9"/>
      <c r="AO742" s="9"/>
      <c r="AP742" s="9"/>
      <c r="AQ742" s="9"/>
      <c r="AR742" s="9"/>
      <c r="AS742" s="9"/>
      <c r="AT742" s="9"/>
      <c r="AU742" s="9"/>
      <c r="AV742" s="9"/>
      <c r="AW742" s="9"/>
      <c r="AX742" s="9"/>
      <c r="AY742" s="9"/>
      <c r="AZ742" s="9"/>
      <c r="BA742" s="9"/>
      <c r="BB742" s="9"/>
      <c r="BC742" s="9"/>
      <c r="BD742" s="9"/>
      <c r="BE742" s="9"/>
      <c r="BF742" s="9"/>
      <c r="BG742" s="9"/>
      <c r="BH742" s="9"/>
      <c r="BI742" s="9"/>
      <c r="BJ742" s="9"/>
      <c r="BK742" s="9"/>
      <c r="BL742" s="9"/>
      <c r="BM742" s="9"/>
      <c r="BN742" s="9"/>
      <c r="BO742" s="9"/>
      <c r="BP742" s="9"/>
      <c r="BQ742" s="9"/>
      <c r="BR742" s="9"/>
      <c r="BS742" s="9"/>
      <c r="BT742" s="9"/>
      <c r="BU742" s="9"/>
      <c r="BV742" s="9"/>
      <c r="BW742" s="9"/>
      <c r="BX742" s="9"/>
      <c r="BY742" s="9"/>
      <c r="BZ742" s="9"/>
    </row>
    <row r="743" spans="4:78" ht="18" customHeight="1" x14ac:dyDescent="0.25"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S743" s="9"/>
      <c r="T743" s="9"/>
      <c r="U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  <c r="BF743" s="9"/>
      <c r="BG743" s="9"/>
      <c r="BH743" s="9"/>
      <c r="BI743" s="9"/>
      <c r="BJ743" s="9"/>
      <c r="BK743" s="9"/>
      <c r="BL743" s="9"/>
      <c r="BM743" s="9"/>
      <c r="BN743" s="9"/>
      <c r="BO743" s="9"/>
      <c r="BP743" s="9"/>
      <c r="BQ743" s="9"/>
      <c r="BR743" s="9"/>
      <c r="BS743" s="9"/>
      <c r="BT743" s="9"/>
      <c r="BU743" s="9"/>
      <c r="BV743" s="9"/>
      <c r="BW743" s="9"/>
      <c r="BX743" s="9"/>
      <c r="BY743" s="9"/>
      <c r="BZ743" s="9"/>
    </row>
    <row r="744" spans="4:78" ht="18" customHeight="1" x14ac:dyDescent="0.25"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S744" s="9"/>
      <c r="T744" s="9"/>
      <c r="U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  <c r="AI744" s="9"/>
      <c r="AJ744" s="9"/>
      <c r="AK744" s="9"/>
      <c r="AL744" s="9"/>
      <c r="AM744" s="9"/>
      <c r="AN744" s="9"/>
      <c r="AO744" s="9"/>
      <c r="AP744" s="9"/>
      <c r="AQ744" s="9"/>
      <c r="AR744" s="9"/>
      <c r="AS744" s="9"/>
      <c r="AT744" s="9"/>
      <c r="AU744" s="9"/>
      <c r="AV744" s="9"/>
      <c r="AW744" s="9"/>
      <c r="AX744" s="9"/>
      <c r="AY744" s="9"/>
      <c r="AZ744" s="9"/>
      <c r="BA744" s="9"/>
      <c r="BB744" s="9"/>
      <c r="BC744" s="9"/>
      <c r="BD744" s="9"/>
      <c r="BE744" s="9"/>
      <c r="BF744" s="9"/>
      <c r="BG744" s="9"/>
      <c r="BH744" s="9"/>
      <c r="BI744" s="9"/>
      <c r="BJ744" s="9"/>
      <c r="BK744" s="9"/>
      <c r="BL744" s="9"/>
      <c r="BM744" s="9"/>
      <c r="BN744" s="9"/>
      <c r="BO744" s="9"/>
      <c r="BP744" s="9"/>
      <c r="BQ744" s="9"/>
      <c r="BR744" s="9"/>
      <c r="BS744" s="9"/>
      <c r="BT744" s="9"/>
      <c r="BU744" s="9"/>
      <c r="BV744" s="9"/>
      <c r="BW744" s="9"/>
      <c r="BX744" s="9"/>
      <c r="BY744" s="9"/>
      <c r="BZ744" s="9"/>
    </row>
    <row r="745" spans="4:78" ht="18" customHeight="1" x14ac:dyDescent="0.25"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S745" s="9"/>
      <c r="T745" s="9"/>
      <c r="U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  <c r="AI745" s="9"/>
      <c r="AJ745" s="9"/>
      <c r="AK745" s="9"/>
      <c r="AL745" s="9"/>
      <c r="AM745" s="9"/>
      <c r="AN745" s="9"/>
      <c r="AO745" s="9"/>
      <c r="AP745" s="9"/>
      <c r="AQ745" s="9"/>
      <c r="AR745" s="9"/>
      <c r="AS745" s="9"/>
      <c r="AT745" s="9"/>
      <c r="AU745" s="9"/>
      <c r="AV745" s="9"/>
      <c r="AW745" s="9"/>
      <c r="AX745" s="9"/>
      <c r="AY745" s="9"/>
      <c r="AZ745" s="9"/>
      <c r="BA745" s="9"/>
      <c r="BB745" s="9"/>
      <c r="BC745" s="9"/>
      <c r="BD745" s="9"/>
      <c r="BE745" s="9"/>
      <c r="BF745" s="9"/>
      <c r="BG745" s="9"/>
      <c r="BH745" s="9"/>
      <c r="BI745" s="9"/>
      <c r="BJ745" s="9"/>
      <c r="BK745" s="9"/>
      <c r="BL745" s="9"/>
      <c r="BM745" s="9"/>
      <c r="BN745" s="9"/>
      <c r="BO745" s="9"/>
      <c r="BP745" s="9"/>
      <c r="BQ745" s="9"/>
      <c r="BR745" s="9"/>
      <c r="BS745" s="9"/>
      <c r="BT745" s="9"/>
      <c r="BU745" s="9"/>
      <c r="BV745" s="9"/>
      <c r="BW745" s="9"/>
      <c r="BX745" s="9"/>
      <c r="BY745" s="9"/>
      <c r="BZ745" s="9"/>
    </row>
    <row r="746" spans="4:78" ht="18" customHeight="1" x14ac:dyDescent="0.25"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S746" s="9"/>
      <c r="T746" s="9"/>
      <c r="U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  <c r="AI746" s="9"/>
      <c r="AJ746" s="9"/>
      <c r="AK746" s="9"/>
      <c r="AL746" s="9"/>
      <c r="AM746" s="9"/>
      <c r="AN746" s="9"/>
      <c r="AO746" s="9"/>
      <c r="AP746" s="9"/>
      <c r="AQ746" s="9"/>
      <c r="AR746" s="9"/>
      <c r="AS746" s="9"/>
      <c r="AT746" s="9"/>
      <c r="AU746" s="9"/>
      <c r="AV746" s="9"/>
      <c r="AW746" s="9"/>
      <c r="AX746" s="9"/>
      <c r="AY746" s="9"/>
      <c r="AZ746" s="9"/>
      <c r="BA746" s="9"/>
      <c r="BB746" s="9"/>
      <c r="BC746" s="9"/>
      <c r="BD746" s="9"/>
      <c r="BE746" s="9"/>
      <c r="BF746" s="9"/>
      <c r="BG746" s="9"/>
      <c r="BH746" s="9"/>
      <c r="BI746" s="9"/>
      <c r="BJ746" s="9"/>
      <c r="BK746" s="9"/>
      <c r="BL746" s="9"/>
      <c r="BM746" s="9"/>
      <c r="BN746" s="9"/>
      <c r="BO746" s="9"/>
      <c r="BP746" s="9"/>
      <c r="BQ746" s="9"/>
      <c r="BR746" s="9"/>
      <c r="BS746" s="9"/>
      <c r="BT746" s="9"/>
      <c r="BU746" s="9"/>
      <c r="BV746" s="9"/>
      <c r="BW746" s="9"/>
      <c r="BX746" s="9"/>
      <c r="BY746" s="9"/>
      <c r="BZ746" s="9"/>
    </row>
    <row r="747" spans="4:78" ht="18" customHeight="1" x14ac:dyDescent="0.25"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S747" s="9"/>
      <c r="T747" s="9"/>
      <c r="U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  <c r="AI747" s="9"/>
      <c r="AJ747" s="9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  <c r="BL747" s="9"/>
      <c r="BM747" s="9"/>
      <c r="BN747" s="9"/>
      <c r="BO747" s="9"/>
      <c r="BP747" s="9"/>
      <c r="BQ747" s="9"/>
      <c r="BR747" s="9"/>
      <c r="BS747" s="9"/>
      <c r="BT747" s="9"/>
      <c r="BU747" s="9"/>
      <c r="BV747" s="9"/>
      <c r="BW747" s="9"/>
      <c r="BX747" s="9"/>
      <c r="BY747" s="9"/>
      <c r="BZ747" s="9"/>
    </row>
    <row r="748" spans="4:78" ht="18" customHeight="1" x14ac:dyDescent="0.25"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S748" s="9"/>
      <c r="T748" s="9"/>
      <c r="U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  <c r="AI748" s="9"/>
      <c r="AJ748" s="9"/>
      <c r="AK748" s="9"/>
      <c r="AL748" s="9"/>
      <c r="AM748" s="9"/>
      <c r="AN748" s="9"/>
      <c r="AO748" s="9"/>
      <c r="AP748" s="9"/>
      <c r="AQ748" s="9"/>
      <c r="AR748" s="9"/>
      <c r="AS748" s="9"/>
      <c r="AT748" s="9"/>
      <c r="AU748" s="9"/>
      <c r="AV748" s="9"/>
      <c r="AW748" s="9"/>
      <c r="AX748" s="9"/>
      <c r="AY748" s="9"/>
      <c r="AZ748" s="9"/>
      <c r="BA748" s="9"/>
      <c r="BB748" s="9"/>
      <c r="BC748" s="9"/>
      <c r="BD748" s="9"/>
      <c r="BE748" s="9"/>
      <c r="BF748" s="9"/>
      <c r="BG748" s="9"/>
      <c r="BH748" s="9"/>
      <c r="BI748" s="9"/>
      <c r="BJ748" s="9"/>
      <c r="BK748" s="9"/>
      <c r="BL748" s="9"/>
      <c r="BM748" s="9"/>
      <c r="BN748" s="9"/>
      <c r="BO748" s="9"/>
      <c r="BP748" s="9"/>
      <c r="BQ748" s="9"/>
      <c r="BR748" s="9"/>
      <c r="BS748" s="9"/>
      <c r="BT748" s="9"/>
      <c r="BU748" s="9"/>
      <c r="BV748" s="9"/>
      <c r="BW748" s="9"/>
      <c r="BX748" s="9"/>
      <c r="BY748" s="9"/>
      <c r="BZ748" s="9"/>
    </row>
    <row r="749" spans="4:78" ht="18" customHeight="1" x14ac:dyDescent="0.25"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S749" s="9"/>
      <c r="T749" s="9"/>
      <c r="U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  <c r="AI749" s="9"/>
      <c r="AJ749" s="9"/>
      <c r="AK749" s="9"/>
      <c r="AL749" s="9"/>
      <c r="AM749" s="9"/>
      <c r="AN749" s="9"/>
      <c r="AO749" s="9"/>
      <c r="AP749" s="9"/>
      <c r="AQ749" s="9"/>
      <c r="AR749" s="9"/>
      <c r="AS749" s="9"/>
      <c r="AT749" s="9"/>
      <c r="AU749" s="9"/>
      <c r="AV749" s="9"/>
      <c r="AW749" s="9"/>
      <c r="AX749" s="9"/>
      <c r="AY749" s="9"/>
      <c r="AZ749" s="9"/>
      <c r="BA749" s="9"/>
      <c r="BB749" s="9"/>
      <c r="BC749" s="9"/>
      <c r="BD749" s="9"/>
      <c r="BE749" s="9"/>
      <c r="BF749" s="9"/>
      <c r="BG749" s="9"/>
      <c r="BH749" s="9"/>
      <c r="BI749" s="9"/>
      <c r="BJ749" s="9"/>
      <c r="BK749" s="9"/>
      <c r="BL749" s="9"/>
      <c r="BM749" s="9"/>
      <c r="BN749" s="9"/>
      <c r="BO749" s="9"/>
      <c r="BP749" s="9"/>
      <c r="BQ749" s="9"/>
      <c r="BR749" s="9"/>
      <c r="BS749" s="9"/>
      <c r="BT749" s="9"/>
      <c r="BU749" s="9"/>
      <c r="BV749" s="9"/>
      <c r="BW749" s="9"/>
      <c r="BX749" s="9"/>
      <c r="BY749" s="9"/>
      <c r="BZ749" s="9"/>
    </row>
    <row r="750" spans="4:78" ht="18" customHeight="1" x14ac:dyDescent="0.25"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S750" s="9"/>
      <c r="T750" s="9"/>
      <c r="U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  <c r="AI750" s="9"/>
      <c r="AJ750" s="9"/>
      <c r="AK750" s="9"/>
      <c r="AL750" s="9"/>
      <c r="AM750" s="9"/>
      <c r="AN750" s="9"/>
      <c r="AO750" s="9"/>
      <c r="AP750" s="9"/>
      <c r="AQ750" s="9"/>
      <c r="AR750" s="9"/>
      <c r="AS750" s="9"/>
      <c r="AT750" s="9"/>
      <c r="AU750" s="9"/>
      <c r="AV750" s="9"/>
      <c r="AW750" s="9"/>
      <c r="AX750" s="9"/>
      <c r="AY750" s="9"/>
      <c r="AZ750" s="9"/>
      <c r="BA750" s="9"/>
      <c r="BB750" s="9"/>
      <c r="BC750" s="9"/>
      <c r="BD750" s="9"/>
      <c r="BE750" s="9"/>
      <c r="BF750" s="9"/>
      <c r="BG750" s="9"/>
      <c r="BH750" s="9"/>
      <c r="BI750" s="9"/>
      <c r="BJ750" s="9"/>
      <c r="BK750" s="9"/>
      <c r="BL750" s="9"/>
      <c r="BM750" s="9"/>
      <c r="BN750" s="9"/>
      <c r="BO750" s="9"/>
      <c r="BP750" s="9"/>
      <c r="BQ750" s="9"/>
      <c r="BR750" s="9"/>
      <c r="BS750" s="9"/>
      <c r="BT750" s="9"/>
      <c r="BU750" s="9"/>
      <c r="BV750" s="9"/>
      <c r="BW750" s="9"/>
      <c r="BX750" s="9"/>
      <c r="BY750" s="9"/>
      <c r="BZ750" s="9"/>
    </row>
    <row r="751" spans="4:78" ht="18" customHeight="1" x14ac:dyDescent="0.25"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S751" s="9"/>
      <c r="T751" s="9"/>
      <c r="U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  <c r="AI751" s="9"/>
      <c r="AJ751" s="9"/>
      <c r="AK751" s="9"/>
      <c r="AL751" s="9"/>
      <c r="AM751" s="9"/>
      <c r="AN751" s="9"/>
      <c r="AO751" s="9"/>
      <c r="AP751" s="9"/>
      <c r="AQ751" s="9"/>
      <c r="AR751" s="9"/>
      <c r="AS751" s="9"/>
      <c r="AT751" s="9"/>
      <c r="AU751" s="9"/>
      <c r="AV751" s="9"/>
      <c r="AW751" s="9"/>
      <c r="AX751" s="9"/>
      <c r="AY751" s="9"/>
      <c r="AZ751" s="9"/>
      <c r="BA751" s="9"/>
      <c r="BB751" s="9"/>
      <c r="BC751" s="9"/>
      <c r="BD751" s="9"/>
      <c r="BE751" s="9"/>
      <c r="BF751" s="9"/>
      <c r="BG751" s="9"/>
      <c r="BH751" s="9"/>
      <c r="BI751" s="9"/>
      <c r="BJ751" s="9"/>
      <c r="BK751" s="9"/>
      <c r="BL751" s="9"/>
      <c r="BM751" s="9"/>
      <c r="BN751" s="9"/>
      <c r="BO751" s="9"/>
      <c r="BP751" s="9"/>
      <c r="BQ751" s="9"/>
      <c r="BR751" s="9"/>
      <c r="BS751" s="9"/>
      <c r="BT751" s="9"/>
      <c r="BU751" s="9"/>
      <c r="BV751" s="9"/>
      <c r="BW751" s="9"/>
      <c r="BX751" s="9"/>
      <c r="BY751" s="9"/>
      <c r="BZ751" s="9"/>
    </row>
    <row r="752" spans="4:78" ht="18" customHeight="1" x14ac:dyDescent="0.25"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S752" s="9"/>
      <c r="T752" s="9"/>
      <c r="U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  <c r="AI752" s="9"/>
      <c r="AJ752" s="9"/>
      <c r="AK752" s="9"/>
      <c r="AL752" s="9"/>
      <c r="AM752" s="9"/>
      <c r="AN752" s="9"/>
      <c r="AO752" s="9"/>
      <c r="AP752" s="9"/>
      <c r="AQ752" s="9"/>
      <c r="AR752" s="9"/>
      <c r="AS752" s="9"/>
      <c r="AT752" s="9"/>
      <c r="AU752" s="9"/>
      <c r="AV752" s="9"/>
      <c r="AW752" s="9"/>
      <c r="AX752" s="9"/>
      <c r="AY752" s="9"/>
      <c r="AZ752" s="9"/>
      <c r="BA752" s="9"/>
      <c r="BB752" s="9"/>
      <c r="BC752" s="9"/>
      <c r="BD752" s="9"/>
      <c r="BE752" s="9"/>
      <c r="BF752" s="9"/>
      <c r="BG752" s="9"/>
      <c r="BH752" s="9"/>
      <c r="BI752" s="9"/>
      <c r="BJ752" s="9"/>
      <c r="BK752" s="9"/>
      <c r="BL752" s="9"/>
      <c r="BM752" s="9"/>
      <c r="BN752" s="9"/>
      <c r="BO752" s="9"/>
      <c r="BP752" s="9"/>
      <c r="BQ752" s="9"/>
      <c r="BR752" s="9"/>
      <c r="BS752" s="9"/>
      <c r="BT752" s="9"/>
      <c r="BU752" s="9"/>
      <c r="BV752" s="9"/>
      <c r="BW752" s="9"/>
      <c r="BX752" s="9"/>
      <c r="BY752" s="9"/>
      <c r="BZ752" s="9"/>
    </row>
    <row r="753" spans="4:78" ht="18" customHeight="1" x14ac:dyDescent="0.25"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S753" s="9"/>
      <c r="T753" s="9"/>
      <c r="U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  <c r="AI753" s="9"/>
      <c r="AJ753" s="9"/>
      <c r="AK753" s="9"/>
      <c r="AL753" s="9"/>
      <c r="AM753" s="9"/>
      <c r="AN753" s="9"/>
      <c r="AO753" s="9"/>
      <c r="AP753" s="9"/>
      <c r="AQ753" s="9"/>
      <c r="AR753" s="9"/>
      <c r="AS753" s="9"/>
      <c r="AT753" s="9"/>
      <c r="AU753" s="9"/>
      <c r="AV753" s="9"/>
      <c r="AW753" s="9"/>
      <c r="AX753" s="9"/>
      <c r="AY753" s="9"/>
      <c r="AZ753" s="9"/>
      <c r="BA753" s="9"/>
      <c r="BB753" s="9"/>
      <c r="BC753" s="9"/>
      <c r="BD753" s="9"/>
      <c r="BE753" s="9"/>
      <c r="BF753" s="9"/>
      <c r="BG753" s="9"/>
      <c r="BH753" s="9"/>
      <c r="BI753" s="9"/>
      <c r="BJ753" s="9"/>
      <c r="BK753" s="9"/>
      <c r="BL753" s="9"/>
      <c r="BM753" s="9"/>
      <c r="BN753" s="9"/>
      <c r="BO753" s="9"/>
      <c r="BP753" s="9"/>
      <c r="BQ753" s="9"/>
      <c r="BR753" s="9"/>
      <c r="BS753" s="9"/>
      <c r="BT753" s="9"/>
      <c r="BU753" s="9"/>
      <c r="BV753" s="9"/>
      <c r="BW753" s="9"/>
      <c r="BX753" s="9"/>
      <c r="BY753" s="9"/>
      <c r="BZ753" s="9"/>
    </row>
    <row r="754" spans="4:78" ht="18" customHeight="1" x14ac:dyDescent="0.25"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S754" s="9"/>
      <c r="T754" s="9"/>
      <c r="U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  <c r="AI754" s="9"/>
      <c r="AJ754" s="9"/>
      <c r="AK754" s="9"/>
      <c r="AL754" s="9"/>
      <c r="AM754" s="9"/>
      <c r="AN754" s="9"/>
      <c r="AO754" s="9"/>
      <c r="AP754" s="9"/>
      <c r="AQ754" s="9"/>
      <c r="AR754" s="9"/>
      <c r="AS754" s="9"/>
      <c r="AT754" s="9"/>
      <c r="AU754" s="9"/>
      <c r="AV754" s="9"/>
      <c r="AW754" s="9"/>
      <c r="AX754" s="9"/>
      <c r="AY754" s="9"/>
      <c r="AZ754" s="9"/>
      <c r="BA754" s="9"/>
      <c r="BB754" s="9"/>
      <c r="BC754" s="9"/>
      <c r="BD754" s="9"/>
      <c r="BE754" s="9"/>
      <c r="BF754" s="9"/>
      <c r="BG754" s="9"/>
      <c r="BH754" s="9"/>
      <c r="BI754" s="9"/>
      <c r="BJ754" s="9"/>
      <c r="BK754" s="9"/>
      <c r="BL754" s="9"/>
      <c r="BM754" s="9"/>
      <c r="BN754" s="9"/>
      <c r="BO754" s="9"/>
      <c r="BP754" s="9"/>
      <c r="BQ754" s="9"/>
      <c r="BR754" s="9"/>
      <c r="BS754" s="9"/>
      <c r="BT754" s="9"/>
      <c r="BU754" s="9"/>
      <c r="BV754" s="9"/>
      <c r="BW754" s="9"/>
      <c r="BX754" s="9"/>
      <c r="BY754" s="9"/>
      <c r="BZ754" s="9"/>
    </row>
    <row r="755" spans="4:78" ht="18" customHeight="1" x14ac:dyDescent="0.25"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S755" s="9"/>
      <c r="T755" s="9"/>
      <c r="U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  <c r="AI755" s="9"/>
      <c r="AJ755" s="9"/>
      <c r="AK755" s="9"/>
      <c r="AL755" s="9"/>
      <c r="AM755" s="9"/>
      <c r="AN755" s="9"/>
      <c r="AO755" s="9"/>
      <c r="AP755" s="9"/>
      <c r="AQ755" s="9"/>
      <c r="AR755" s="9"/>
      <c r="AS755" s="9"/>
      <c r="AT755" s="9"/>
      <c r="AU755" s="9"/>
      <c r="AV755" s="9"/>
      <c r="AW755" s="9"/>
      <c r="AX755" s="9"/>
      <c r="AY755" s="9"/>
      <c r="AZ755" s="9"/>
      <c r="BA755" s="9"/>
      <c r="BB755" s="9"/>
      <c r="BC755" s="9"/>
      <c r="BD755" s="9"/>
      <c r="BE755" s="9"/>
      <c r="BF755" s="9"/>
      <c r="BG755" s="9"/>
      <c r="BH755" s="9"/>
      <c r="BI755" s="9"/>
      <c r="BJ755" s="9"/>
      <c r="BK755" s="9"/>
      <c r="BL755" s="9"/>
      <c r="BM755" s="9"/>
      <c r="BN755" s="9"/>
      <c r="BO755" s="9"/>
      <c r="BP755" s="9"/>
      <c r="BQ755" s="9"/>
      <c r="BR755" s="9"/>
      <c r="BS755" s="9"/>
      <c r="BT755" s="9"/>
      <c r="BU755" s="9"/>
      <c r="BV755" s="9"/>
      <c r="BW755" s="9"/>
      <c r="BX755" s="9"/>
      <c r="BY755" s="9"/>
      <c r="BZ755" s="9"/>
    </row>
    <row r="756" spans="4:78" ht="18" customHeight="1" x14ac:dyDescent="0.25"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S756" s="9"/>
      <c r="T756" s="9"/>
      <c r="U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  <c r="AI756" s="9"/>
      <c r="AJ756" s="9"/>
      <c r="AK756" s="9"/>
      <c r="AL756" s="9"/>
      <c r="AM756" s="9"/>
      <c r="AN756" s="9"/>
      <c r="AO756" s="9"/>
      <c r="AP756" s="9"/>
      <c r="AQ756" s="9"/>
      <c r="AR756" s="9"/>
      <c r="AS756" s="9"/>
      <c r="AT756" s="9"/>
      <c r="AU756" s="9"/>
      <c r="AV756" s="9"/>
      <c r="AW756" s="9"/>
      <c r="AX756" s="9"/>
      <c r="AY756" s="9"/>
      <c r="AZ756" s="9"/>
      <c r="BA756" s="9"/>
      <c r="BB756" s="9"/>
      <c r="BC756" s="9"/>
      <c r="BD756" s="9"/>
      <c r="BE756" s="9"/>
      <c r="BF756" s="9"/>
      <c r="BG756" s="9"/>
      <c r="BH756" s="9"/>
      <c r="BI756" s="9"/>
      <c r="BJ756" s="9"/>
      <c r="BK756" s="9"/>
      <c r="BL756" s="9"/>
      <c r="BM756" s="9"/>
      <c r="BN756" s="9"/>
      <c r="BO756" s="9"/>
      <c r="BP756" s="9"/>
      <c r="BQ756" s="9"/>
      <c r="BR756" s="9"/>
      <c r="BS756" s="9"/>
      <c r="BT756" s="9"/>
      <c r="BU756" s="9"/>
      <c r="BV756" s="9"/>
      <c r="BW756" s="9"/>
      <c r="BX756" s="9"/>
      <c r="BY756" s="9"/>
      <c r="BZ756" s="9"/>
    </row>
    <row r="757" spans="4:78" ht="18" customHeight="1" x14ac:dyDescent="0.25"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S757" s="9"/>
      <c r="T757" s="9"/>
      <c r="U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  <c r="AI757" s="9"/>
      <c r="AJ757" s="9"/>
      <c r="AK757" s="9"/>
      <c r="AL757" s="9"/>
      <c r="AM757" s="9"/>
      <c r="AN757" s="9"/>
      <c r="AO757" s="9"/>
      <c r="AP757" s="9"/>
      <c r="AQ757" s="9"/>
      <c r="AR757" s="9"/>
      <c r="AS757" s="9"/>
      <c r="AT757" s="9"/>
      <c r="AU757" s="9"/>
      <c r="AV757" s="9"/>
      <c r="AW757" s="9"/>
      <c r="AX757" s="9"/>
      <c r="AY757" s="9"/>
      <c r="AZ757" s="9"/>
      <c r="BA757" s="9"/>
      <c r="BB757" s="9"/>
      <c r="BC757" s="9"/>
      <c r="BD757" s="9"/>
      <c r="BE757" s="9"/>
      <c r="BF757" s="9"/>
      <c r="BG757" s="9"/>
      <c r="BH757" s="9"/>
      <c r="BI757" s="9"/>
      <c r="BJ757" s="9"/>
      <c r="BK757" s="9"/>
      <c r="BL757" s="9"/>
      <c r="BM757" s="9"/>
      <c r="BN757" s="9"/>
      <c r="BO757" s="9"/>
      <c r="BP757" s="9"/>
      <c r="BQ757" s="9"/>
      <c r="BR757" s="9"/>
      <c r="BS757" s="9"/>
      <c r="BT757" s="9"/>
      <c r="BU757" s="9"/>
      <c r="BV757" s="9"/>
      <c r="BW757" s="9"/>
      <c r="BX757" s="9"/>
      <c r="BY757" s="9"/>
      <c r="BZ757" s="9"/>
    </row>
    <row r="758" spans="4:78" ht="18" customHeight="1" x14ac:dyDescent="0.25"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S758" s="9"/>
      <c r="T758" s="9"/>
      <c r="U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  <c r="AI758" s="9"/>
      <c r="AJ758" s="9"/>
      <c r="AK758" s="9"/>
      <c r="AL758" s="9"/>
      <c r="AM758" s="9"/>
      <c r="AN758" s="9"/>
      <c r="AO758" s="9"/>
      <c r="AP758" s="9"/>
      <c r="AQ758" s="9"/>
      <c r="AR758" s="9"/>
      <c r="AS758" s="9"/>
      <c r="AT758" s="9"/>
      <c r="AU758" s="9"/>
      <c r="AV758" s="9"/>
      <c r="AW758" s="9"/>
      <c r="AX758" s="9"/>
      <c r="AY758" s="9"/>
      <c r="AZ758" s="9"/>
      <c r="BA758" s="9"/>
      <c r="BB758" s="9"/>
      <c r="BC758" s="9"/>
      <c r="BD758" s="9"/>
      <c r="BE758" s="9"/>
      <c r="BF758" s="9"/>
      <c r="BG758" s="9"/>
      <c r="BH758" s="9"/>
      <c r="BI758" s="9"/>
      <c r="BJ758" s="9"/>
      <c r="BK758" s="9"/>
      <c r="BL758" s="9"/>
      <c r="BM758" s="9"/>
      <c r="BN758" s="9"/>
      <c r="BO758" s="9"/>
      <c r="BP758" s="9"/>
      <c r="BQ758" s="9"/>
      <c r="BR758" s="9"/>
      <c r="BS758" s="9"/>
      <c r="BT758" s="9"/>
      <c r="BU758" s="9"/>
      <c r="BV758" s="9"/>
      <c r="BW758" s="9"/>
      <c r="BX758" s="9"/>
      <c r="BY758" s="9"/>
      <c r="BZ758" s="9"/>
    </row>
    <row r="759" spans="4:78" ht="18" customHeight="1" x14ac:dyDescent="0.25"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S759" s="9"/>
      <c r="T759" s="9"/>
      <c r="U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  <c r="AI759" s="9"/>
      <c r="AJ759" s="9"/>
      <c r="AK759" s="9"/>
      <c r="AL759" s="9"/>
      <c r="AM759" s="9"/>
      <c r="AN759" s="9"/>
      <c r="AO759" s="9"/>
      <c r="AP759" s="9"/>
      <c r="AQ759" s="9"/>
      <c r="AR759" s="9"/>
      <c r="AS759" s="9"/>
      <c r="AT759" s="9"/>
      <c r="AU759" s="9"/>
      <c r="AV759" s="9"/>
      <c r="AW759" s="9"/>
      <c r="AX759" s="9"/>
      <c r="AY759" s="9"/>
      <c r="AZ759" s="9"/>
      <c r="BA759" s="9"/>
      <c r="BB759" s="9"/>
      <c r="BC759" s="9"/>
      <c r="BD759" s="9"/>
      <c r="BE759" s="9"/>
      <c r="BF759" s="9"/>
      <c r="BG759" s="9"/>
      <c r="BH759" s="9"/>
      <c r="BI759" s="9"/>
      <c r="BJ759" s="9"/>
      <c r="BK759" s="9"/>
      <c r="BL759" s="9"/>
      <c r="BM759" s="9"/>
      <c r="BN759" s="9"/>
      <c r="BO759" s="9"/>
      <c r="BP759" s="9"/>
      <c r="BQ759" s="9"/>
      <c r="BR759" s="9"/>
      <c r="BS759" s="9"/>
      <c r="BT759" s="9"/>
      <c r="BU759" s="9"/>
      <c r="BV759" s="9"/>
      <c r="BW759" s="9"/>
      <c r="BX759" s="9"/>
      <c r="BY759" s="9"/>
      <c r="BZ759" s="9"/>
    </row>
    <row r="760" spans="4:78" ht="18" customHeight="1" x14ac:dyDescent="0.25"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S760" s="9"/>
      <c r="T760" s="9"/>
      <c r="U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  <c r="AI760" s="9"/>
      <c r="AJ760" s="9"/>
      <c r="AK760" s="9"/>
      <c r="AL760" s="9"/>
      <c r="AM760" s="9"/>
      <c r="AN760" s="9"/>
      <c r="AO760" s="9"/>
      <c r="AP760" s="9"/>
      <c r="AQ760" s="9"/>
      <c r="AR760" s="9"/>
      <c r="AS760" s="9"/>
      <c r="AT760" s="9"/>
      <c r="AU760" s="9"/>
      <c r="AV760" s="9"/>
      <c r="AW760" s="9"/>
      <c r="AX760" s="9"/>
      <c r="AY760" s="9"/>
      <c r="AZ760" s="9"/>
      <c r="BA760" s="9"/>
      <c r="BB760" s="9"/>
      <c r="BC760" s="9"/>
      <c r="BD760" s="9"/>
      <c r="BE760" s="9"/>
      <c r="BF760" s="9"/>
      <c r="BG760" s="9"/>
      <c r="BH760" s="9"/>
      <c r="BI760" s="9"/>
      <c r="BJ760" s="9"/>
      <c r="BK760" s="9"/>
      <c r="BL760" s="9"/>
      <c r="BM760" s="9"/>
      <c r="BN760" s="9"/>
      <c r="BO760" s="9"/>
      <c r="BP760" s="9"/>
      <c r="BQ760" s="9"/>
      <c r="BR760" s="9"/>
      <c r="BS760" s="9"/>
      <c r="BT760" s="9"/>
      <c r="BU760" s="9"/>
      <c r="BV760" s="9"/>
      <c r="BW760" s="9"/>
      <c r="BX760" s="9"/>
      <c r="BY760" s="9"/>
      <c r="BZ760" s="9"/>
    </row>
    <row r="761" spans="4:78" ht="18" customHeight="1" x14ac:dyDescent="0.25"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S761" s="9"/>
      <c r="T761" s="9"/>
      <c r="U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  <c r="AI761" s="9"/>
      <c r="AJ761" s="9"/>
      <c r="AK761" s="9"/>
      <c r="AL761" s="9"/>
      <c r="AM761" s="9"/>
      <c r="AN761" s="9"/>
      <c r="AO761" s="9"/>
      <c r="AP761" s="9"/>
      <c r="AQ761" s="9"/>
      <c r="AR761" s="9"/>
      <c r="AS761" s="9"/>
      <c r="AT761" s="9"/>
      <c r="AU761" s="9"/>
      <c r="AV761" s="9"/>
      <c r="AW761" s="9"/>
      <c r="AX761" s="9"/>
      <c r="AY761" s="9"/>
      <c r="AZ761" s="9"/>
      <c r="BA761" s="9"/>
      <c r="BB761" s="9"/>
      <c r="BC761" s="9"/>
      <c r="BD761" s="9"/>
      <c r="BE761" s="9"/>
      <c r="BF761" s="9"/>
      <c r="BG761" s="9"/>
      <c r="BH761" s="9"/>
      <c r="BI761" s="9"/>
      <c r="BJ761" s="9"/>
      <c r="BK761" s="9"/>
      <c r="BL761" s="9"/>
      <c r="BM761" s="9"/>
      <c r="BN761" s="9"/>
      <c r="BO761" s="9"/>
      <c r="BP761" s="9"/>
      <c r="BQ761" s="9"/>
      <c r="BR761" s="9"/>
      <c r="BS761" s="9"/>
      <c r="BT761" s="9"/>
      <c r="BU761" s="9"/>
      <c r="BV761" s="9"/>
      <c r="BW761" s="9"/>
      <c r="BX761" s="9"/>
      <c r="BY761" s="9"/>
      <c r="BZ761" s="9"/>
    </row>
    <row r="762" spans="4:78" ht="18" customHeight="1" x14ac:dyDescent="0.25"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S762" s="9"/>
      <c r="T762" s="9"/>
      <c r="U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9"/>
      <c r="AI762" s="9"/>
      <c r="AJ762" s="9"/>
      <c r="AK762" s="9"/>
      <c r="AL762" s="9"/>
      <c r="AM762" s="9"/>
      <c r="AN762" s="9"/>
      <c r="AO762" s="9"/>
      <c r="AP762" s="9"/>
      <c r="AQ762" s="9"/>
      <c r="AR762" s="9"/>
      <c r="AS762" s="9"/>
      <c r="AT762" s="9"/>
      <c r="AU762" s="9"/>
      <c r="AV762" s="9"/>
      <c r="AW762" s="9"/>
      <c r="AX762" s="9"/>
      <c r="AY762" s="9"/>
      <c r="AZ762" s="9"/>
      <c r="BA762" s="9"/>
      <c r="BB762" s="9"/>
      <c r="BC762" s="9"/>
      <c r="BD762" s="9"/>
      <c r="BE762" s="9"/>
      <c r="BF762" s="9"/>
      <c r="BG762" s="9"/>
      <c r="BH762" s="9"/>
      <c r="BI762" s="9"/>
      <c r="BJ762" s="9"/>
      <c r="BK762" s="9"/>
      <c r="BL762" s="9"/>
      <c r="BM762" s="9"/>
      <c r="BN762" s="9"/>
      <c r="BO762" s="9"/>
      <c r="BP762" s="9"/>
      <c r="BQ762" s="9"/>
      <c r="BR762" s="9"/>
      <c r="BS762" s="9"/>
      <c r="BT762" s="9"/>
      <c r="BU762" s="9"/>
      <c r="BV762" s="9"/>
      <c r="BW762" s="9"/>
      <c r="BX762" s="9"/>
      <c r="BY762" s="9"/>
      <c r="BZ762" s="9"/>
    </row>
    <row r="763" spans="4:78" ht="18" customHeight="1" x14ac:dyDescent="0.25"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S763" s="9"/>
      <c r="T763" s="9"/>
      <c r="U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  <c r="AI763" s="9"/>
      <c r="AJ763" s="9"/>
      <c r="AK763" s="9"/>
      <c r="AL763" s="9"/>
      <c r="AM763" s="9"/>
      <c r="AN763" s="9"/>
      <c r="AO763" s="9"/>
      <c r="AP763" s="9"/>
      <c r="AQ763" s="9"/>
      <c r="AR763" s="9"/>
      <c r="AS763" s="9"/>
      <c r="AT763" s="9"/>
      <c r="AU763" s="9"/>
      <c r="AV763" s="9"/>
      <c r="AW763" s="9"/>
      <c r="AX763" s="9"/>
      <c r="AY763" s="9"/>
      <c r="AZ763" s="9"/>
      <c r="BA763" s="9"/>
      <c r="BB763" s="9"/>
      <c r="BC763" s="9"/>
      <c r="BD763" s="9"/>
      <c r="BE763" s="9"/>
      <c r="BF763" s="9"/>
      <c r="BG763" s="9"/>
      <c r="BH763" s="9"/>
      <c r="BI763" s="9"/>
      <c r="BJ763" s="9"/>
      <c r="BK763" s="9"/>
      <c r="BL763" s="9"/>
      <c r="BM763" s="9"/>
      <c r="BN763" s="9"/>
      <c r="BO763" s="9"/>
      <c r="BP763" s="9"/>
      <c r="BQ763" s="9"/>
      <c r="BR763" s="9"/>
      <c r="BS763" s="9"/>
      <c r="BT763" s="9"/>
      <c r="BU763" s="9"/>
      <c r="BV763" s="9"/>
      <c r="BW763" s="9"/>
      <c r="BX763" s="9"/>
      <c r="BY763" s="9"/>
      <c r="BZ763" s="9"/>
    </row>
    <row r="764" spans="4:78" ht="18" customHeight="1" x14ac:dyDescent="0.25"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S764" s="9"/>
      <c r="T764" s="9"/>
      <c r="U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9"/>
      <c r="AI764" s="9"/>
      <c r="AJ764" s="9"/>
      <c r="AK764" s="9"/>
      <c r="AL764" s="9"/>
      <c r="AM764" s="9"/>
      <c r="AN764" s="9"/>
      <c r="AO764" s="9"/>
      <c r="AP764" s="9"/>
      <c r="AQ764" s="9"/>
      <c r="AR764" s="9"/>
      <c r="AS764" s="9"/>
      <c r="AT764" s="9"/>
      <c r="AU764" s="9"/>
      <c r="AV764" s="9"/>
      <c r="AW764" s="9"/>
      <c r="AX764" s="9"/>
      <c r="AY764" s="9"/>
      <c r="AZ764" s="9"/>
      <c r="BA764" s="9"/>
      <c r="BB764" s="9"/>
      <c r="BC764" s="9"/>
      <c r="BD764" s="9"/>
      <c r="BE764" s="9"/>
      <c r="BF764" s="9"/>
      <c r="BG764" s="9"/>
      <c r="BH764" s="9"/>
      <c r="BI764" s="9"/>
      <c r="BJ764" s="9"/>
      <c r="BK764" s="9"/>
      <c r="BL764" s="9"/>
      <c r="BM764" s="9"/>
      <c r="BN764" s="9"/>
      <c r="BO764" s="9"/>
      <c r="BP764" s="9"/>
      <c r="BQ764" s="9"/>
      <c r="BR764" s="9"/>
      <c r="BS764" s="9"/>
      <c r="BT764" s="9"/>
      <c r="BU764" s="9"/>
      <c r="BV764" s="9"/>
      <c r="BW764" s="9"/>
      <c r="BX764" s="9"/>
      <c r="BY764" s="9"/>
      <c r="BZ764" s="9"/>
    </row>
    <row r="765" spans="4:78" ht="18" customHeight="1" x14ac:dyDescent="0.25"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S765" s="9"/>
      <c r="T765" s="9"/>
      <c r="U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9"/>
      <c r="AI765" s="9"/>
      <c r="AJ765" s="9"/>
      <c r="AK765" s="9"/>
      <c r="AL765" s="9"/>
      <c r="AM765" s="9"/>
      <c r="AN765" s="9"/>
      <c r="AO765" s="9"/>
      <c r="AP765" s="9"/>
      <c r="AQ765" s="9"/>
      <c r="AR765" s="9"/>
      <c r="AS765" s="9"/>
      <c r="AT765" s="9"/>
      <c r="AU765" s="9"/>
      <c r="AV765" s="9"/>
      <c r="AW765" s="9"/>
      <c r="AX765" s="9"/>
      <c r="AY765" s="9"/>
      <c r="AZ765" s="9"/>
      <c r="BA765" s="9"/>
      <c r="BB765" s="9"/>
      <c r="BC765" s="9"/>
      <c r="BD765" s="9"/>
      <c r="BE765" s="9"/>
      <c r="BF765" s="9"/>
      <c r="BG765" s="9"/>
      <c r="BH765" s="9"/>
      <c r="BI765" s="9"/>
      <c r="BJ765" s="9"/>
      <c r="BK765" s="9"/>
      <c r="BL765" s="9"/>
      <c r="BM765" s="9"/>
      <c r="BN765" s="9"/>
      <c r="BO765" s="9"/>
      <c r="BP765" s="9"/>
      <c r="BQ765" s="9"/>
      <c r="BR765" s="9"/>
      <c r="BS765" s="9"/>
      <c r="BT765" s="9"/>
      <c r="BU765" s="9"/>
      <c r="BV765" s="9"/>
      <c r="BW765" s="9"/>
      <c r="BX765" s="9"/>
      <c r="BY765" s="9"/>
      <c r="BZ765" s="9"/>
    </row>
    <row r="766" spans="4:78" ht="18" customHeight="1" x14ac:dyDescent="0.25"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S766" s="9"/>
      <c r="T766" s="9"/>
      <c r="U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9"/>
      <c r="AI766" s="9"/>
      <c r="AJ766" s="9"/>
      <c r="AK766" s="9"/>
      <c r="AL766" s="9"/>
      <c r="AM766" s="9"/>
      <c r="AN766" s="9"/>
      <c r="AO766" s="9"/>
      <c r="AP766" s="9"/>
      <c r="AQ766" s="9"/>
      <c r="AR766" s="9"/>
      <c r="AS766" s="9"/>
      <c r="AT766" s="9"/>
      <c r="AU766" s="9"/>
      <c r="AV766" s="9"/>
      <c r="AW766" s="9"/>
      <c r="AX766" s="9"/>
      <c r="AY766" s="9"/>
      <c r="AZ766" s="9"/>
      <c r="BA766" s="9"/>
      <c r="BB766" s="9"/>
      <c r="BC766" s="9"/>
      <c r="BD766" s="9"/>
      <c r="BE766" s="9"/>
      <c r="BF766" s="9"/>
      <c r="BG766" s="9"/>
      <c r="BH766" s="9"/>
      <c r="BI766" s="9"/>
      <c r="BJ766" s="9"/>
      <c r="BK766" s="9"/>
      <c r="BL766" s="9"/>
      <c r="BM766" s="9"/>
      <c r="BN766" s="9"/>
      <c r="BO766" s="9"/>
      <c r="BP766" s="9"/>
      <c r="BQ766" s="9"/>
      <c r="BR766" s="9"/>
      <c r="BS766" s="9"/>
      <c r="BT766" s="9"/>
      <c r="BU766" s="9"/>
      <c r="BV766" s="9"/>
      <c r="BW766" s="9"/>
      <c r="BX766" s="9"/>
      <c r="BY766" s="9"/>
      <c r="BZ766" s="9"/>
    </row>
    <row r="767" spans="4:78" ht="18" customHeight="1" x14ac:dyDescent="0.25"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S767" s="9"/>
      <c r="T767" s="9"/>
      <c r="U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9"/>
      <c r="AI767" s="9"/>
      <c r="AJ767" s="9"/>
      <c r="AK767" s="9"/>
      <c r="AL767" s="9"/>
      <c r="AM767" s="9"/>
      <c r="AN767" s="9"/>
      <c r="AO767" s="9"/>
      <c r="AP767" s="9"/>
      <c r="AQ767" s="9"/>
      <c r="AR767" s="9"/>
      <c r="AS767" s="9"/>
      <c r="AT767" s="9"/>
      <c r="AU767" s="9"/>
      <c r="AV767" s="9"/>
      <c r="AW767" s="9"/>
      <c r="AX767" s="9"/>
      <c r="AY767" s="9"/>
      <c r="AZ767" s="9"/>
      <c r="BA767" s="9"/>
      <c r="BB767" s="9"/>
      <c r="BC767" s="9"/>
      <c r="BD767" s="9"/>
      <c r="BE767" s="9"/>
      <c r="BF767" s="9"/>
      <c r="BG767" s="9"/>
      <c r="BH767" s="9"/>
      <c r="BI767" s="9"/>
      <c r="BJ767" s="9"/>
      <c r="BK767" s="9"/>
      <c r="BL767" s="9"/>
      <c r="BM767" s="9"/>
      <c r="BN767" s="9"/>
      <c r="BO767" s="9"/>
      <c r="BP767" s="9"/>
      <c r="BQ767" s="9"/>
      <c r="BR767" s="9"/>
      <c r="BS767" s="9"/>
      <c r="BT767" s="9"/>
      <c r="BU767" s="9"/>
      <c r="BV767" s="9"/>
      <c r="BW767" s="9"/>
      <c r="BX767" s="9"/>
      <c r="BY767" s="9"/>
      <c r="BZ767" s="9"/>
    </row>
    <row r="768" spans="4:78" ht="18" customHeight="1" x14ac:dyDescent="0.25"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S768" s="9"/>
      <c r="T768" s="9"/>
      <c r="U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9"/>
      <c r="AI768" s="9"/>
      <c r="AJ768" s="9"/>
      <c r="AK768" s="9"/>
      <c r="AL768" s="9"/>
      <c r="AM768" s="9"/>
      <c r="AN768" s="9"/>
      <c r="AO768" s="9"/>
      <c r="AP768" s="9"/>
      <c r="AQ768" s="9"/>
      <c r="AR768" s="9"/>
      <c r="AS768" s="9"/>
      <c r="AT768" s="9"/>
      <c r="AU768" s="9"/>
      <c r="AV768" s="9"/>
      <c r="AW768" s="9"/>
      <c r="AX768" s="9"/>
      <c r="AY768" s="9"/>
      <c r="AZ768" s="9"/>
      <c r="BA768" s="9"/>
      <c r="BB768" s="9"/>
      <c r="BC768" s="9"/>
      <c r="BD768" s="9"/>
      <c r="BE768" s="9"/>
      <c r="BF768" s="9"/>
      <c r="BG768" s="9"/>
      <c r="BH768" s="9"/>
      <c r="BI768" s="9"/>
      <c r="BJ768" s="9"/>
      <c r="BK768" s="9"/>
      <c r="BL768" s="9"/>
      <c r="BM768" s="9"/>
      <c r="BN768" s="9"/>
      <c r="BO768" s="9"/>
      <c r="BP768" s="9"/>
      <c r="BQ768" s="9"/>
      <c r="BR768" s="9"/>
      <c r="BS768" s="9"/>
      <c r="BT768" s="9"/>
      <c r="BU768" s="9"/>
      <c r="BV768" s="9"/>
      <c r="BW768" s="9"/>
      <c r="BX768" s="9"/>
      <c r="BY768" s="9"/>
      <c r="BZ768" s="9"/>
    </row>
    <row r="769" spans="4:78" ht="18" customHeight="1" x14ac:dyDescent="0.25"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S769" s="9"/>
      <c r="T769" s="9"/>
      <c r="U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9"/>
      <c r="AI769" s="9"/>
      <c r="AJ769" s="9"/>
      <c r="AK769" s="9"/>
      <c r="AL769" s="9"/>
      <c r="AM769" s="9"/>
      <c r="AN769" s="9"/>
      <c r="AO769" s="9"/>
      <c r="AP769" s="9"/>
      <c r="AQ769" s="9"/>
      <c r="AR769" s="9"/>
      <c r="AS769" s="9"/>
      <c r="AT769" s="9"/>
      <c r="AU769" s="9"/>
      <c r="AV769" s="9"/>
      <c r="AW769" s="9"/>
      <c r="AX769" s="9"/>
      <c r="AY769" s="9"/>
      <c r="AZ769" s="9"/>
      <c r="BA769" s="9"/>
      <c r="BB769" s="9"/>
      <c r="BC769" s="9"/>
      <c r="BD769" s="9"/>
      <c r="BE769" s="9"/>
      <c r="BF769" s="9"/>
      <c r="BG769" s="9"/>
      <c r="BH769" s="9"/>
      <c r="BI769" s="9"/>
      <c r="BJ769" s="9"/>
      <c r="BK769" s="9"/>
      <c r="BL769" s="9"/>
      <c r="BM769" s="9"/>
      <c r="BN769" s="9"/>
      <c r="BO769" s="9"/>
      <c r="BP769" s="9"/>
      <c r="BQ769" s="9"/>
      <c r="BR769" s="9"/>
      <c r="BS769" s="9"/>
      <c r="BT769" s="9"/>
      <c r="BU769" s="9"/>
      <c r="BV769" s="9"/>
      <c r="BW769" s="9"/>
      <c r="BX769" s="9"/>
      <c r="BY769" s="9"/>
      <c r="BZ769" s="9"/>
    </row>
    <row r="770" spans="4:78" ht="18" customHeight="1" x14ac:dyDescent="0.25"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S770" s="9"/>
      <c r="T770" s="9"/>
      <c r="U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9"/>
      <c r="AI770" s="9"/>
      <c r="AJ770" s="9"/>
      <c r="AK770" s="9"/>
      <c r="AL770" s="9"/>
      <c r="AM770" s="9"/>
      <c r="AN770" s="9"/>
      <c r="AO770" s="9"/>
      <c r="AP770" s="9"/>
      <c r="AQ770" s="9"/>
      <c r="AR770" s="9"/>
      <c r="AS770" s="9"/>
      <c r="AT770" s="9"/>
      <c r="AU770" s="9"/>
      <c r="AV770" s="9"/>
      <c r="AW770" s="9"/>
      <c r="AX770" s="9"/>
      <c r="AY770" s="9"/>
      <c r="AZ770" s="9"/>
      <c r="BA770" s="9"/>
      <c r="BB770" s="9"/>
      <c r="BC770" s="9"/>
      <c r="BD770" s="9"/>
      <c r="BE770" s="9"/>
      <c r="BF770" s="9"/>
      <c r="BG770" s="9"/>
      <c r="BH770" s="9"/>
      <c r="BI770" s="9"/>
      <c r="BJ770" s="9"/>
      <c r="BK770" s="9"/>
      <c r="BL770" s="9"/>
      <c r="BM770" s="9"/>
      <c r="BN770" s="9"/>
      <c r="BO770" s="9"/>
      <c r="BP770" s="9"/>
      <c r="BQ770" s="9"/>
      <c r="BR770" s="9"/>
      <c r="BS770" s="9"/>
      <c r="BT770" s="9"/>
      <c r="BU770" s="9"/>
      <c r="BV770" s="9"/>
      <c r="BW770" s="9"/>
      <c r="BX770" s="9"/>
      <c r="BY770" s="9"/>
      <c r="BZ770" s="9"/>
    </row>
    <row r="771" spans="4:78" ht="18" customHeight="1" x14ac:dyDescent="0.25"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S771" s="9"/>
      <c r="T771" s="9"/>
      <c r="U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9"/>
      <c r="AI771" s="9"/>
      <c r="AJ771" s="9"/>
      <c r="AK771" s="9"/>
      <c r="AL771" s="9"/>
      <c r="AM771" s="9"/>
      <c r="AN771" s="9"/>
      <c r="AO771" s="9"/>
      <c r="AP771" s="9"/>
      <c r="AQ771" s="9"/>
      <c r="AR771" s="9"/>
      <c r="AS771" s="9"/>
      <c r="AT771" s="9"/>
      <c r="AU771" s="9"/>
      <c r="AV771" s="9"/>
      <c r="AW771" s="9"/>
      <c r="AX771" s="9"/>
      <c r="AY771" s="9"/>
      <c r="AZ771" s="9"/>
      <c r="BA771" s="9"/>
      <c r="BB771" s="9"/>
      <c r="BC771" s="9"/>
      <c r="BD771" s="9"/>
      <c r="BE771" s="9"/>
      <c r="BF771" s="9"/>
      <c r="BG771" s="9"/>
      <c r="BH771" s="9"/>
      <c r="BI771" s="9"/>
      <c r="BJ771" s="9"/>
      <c r="BK771" s="9"/>
      <c r="BL771" s="9"/>
      <c r="BM771" s="9"/>
      <c r="BN771" s="9"/>
      <c r="BO771" s="9"/>
      <c r="BP771" s="9"/>
      <c r="BQ771" s="9"/>
      <c r="BR771" s="9"/>
      <c r="BS771" s="9"/>
      <c r="BT771" s="9"/>
      <c r="BU771" s="9"/>
      <c r="BV771" s="9"/>
      <c r="BW771" s="9"/>
      <c r="BX771" s="9"/>
      <c r="BY771" s="9"/>
      <c r="BZ771" s="9"/>
    </row>
    <row r="772" spans="4:78" ht="18" customHeight="1" x14ac:dyDescent="0.25"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S772" s="9"/>
      <c r="T772" s="9"/>
      <c r="U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  <c r="AH772" s="9"/>
      <c r="AI772" s="9"/>
      <c r="AJ772" s="9"/>
      <c r="AK772" s="9"/>
      <c r="AL772" s="9"/>
      <c r="AM772" s="9"/>
      <c r="AN772" s="9"/>
      <c r="AO772" s="9"/>
      <c r="AP772" s="9"/>
      <c r="AQ772" s="9"/>
      <c r="AR772" s="9"/>
      <c r="AS772" s="9"/>
      <c r="AT772" s="9"/>
      <c r="AU772" s="9"/>
      <c r="AV772" s="9"/>
      <c r="AW772" s="9"/>
      <c r="AX772" s="9"/>
      <c r="AY772" s="9"/>
      <c r="AZ772" s="9"/>
      <c r="BA772" s="9"/>
      <c r="BB772" s="9"/>
      <c r="BC772" s="9"/>
      <c r="BD772" s="9"/>
      <c r="BE772" s="9"/>
      <c r="BF772" s="9"/>
      <c r="BG772" s="9"/>
      <c r="BH772" s="9"/>
      <c r="BI772" s="9"/>
      <c r="BJ772" s="9"/>
      <c r="BK772" s="9"/>
      <c r="BL772" s="9"/>
      <c r="BM772" s="9"/>
      <c r="BN772" s="9"/>
      <c r="BO772" s="9"/>
      <c r="BP772" s="9"/>
      <c r="BQ772" s="9"/>
      <c r="BR772" s="9"/>
      <c r="BS772" s="9"/>
      <c r="BT772" s="9"/>
      <c r="BU772" s="9"/>
      <c r="BV772" s="9"/>
      <c r="BW772" s="9"/>
      <c r="BX772" s="9"/>
      <c r="BY772" s="9"/>
      <c r="BZ772" s="9"/>
    </row>
    <row r="773" spans="4:78" ht="18" customHeight="1" x14ac:dyDescent="0.25"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S773" s="9"/>
      <c r="T773" s="9"/>
      <c r="U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  <c r="AH773" s="9"/>
      <c r="AI773" s="9"/>
      <c r="AJ773" s="9"/>
      <c r="AK773" s="9"/>
      <c r="AL773" s="9"/>
      <c r="AM773" s="9"/>
      <c r="AN773" s="9"/>
      <c r="AO773" s="9"/>
      <c r="AP773" s="9"/>
      <c r="AQ773" s="9"/>
      <c r="AR773" s="9"/>
      <c r="AS773" s="9"/>
      <c r="AT773" s="9"/>
      <c r="AU773" s="9"/>
      <c r="AV773" s="9"/>
      <c r="AW773" s="9"/>
      <c r="AX773" s="9"/>
      <c r="AY773" s="9"/>
      <c r="AZ773" s="9"/>
      <c r="BA773" s="9"/>
      <c r="BB773" s="9"/>
      <c r="BC773" s="9"/>
      <c r="BD773" s="9"/>
      <c r="BE773" s="9"/>
      <c r="BF773" s="9"/>
      <c r="BG773" s="9"/>
      <c r="BH773" s="9"/>
      <c r="BI773" s="9"/>
      <c r="BJ773" s="9"/>
      <c r="BK773" s="9"/>
      <c r="BL773" s="9"/>
      <c r="BM773" s="9"/>
      <c r="BN773" s="9"/>
      <c r="BO773" s="9"/>
      <c r="BP773" s="9"/>
      <c r="BQ773" s="9"/>
      <c r="BR773" s="9"/>
      <c r="BS773" s="9"/>
      <c r="BT773" s="9"/>
      <c r="BU773" s="9"/>
      <c r="BV773" s="9"/>
      <c r="BW773" s="9"/>
      <c r="BX773" s="9"/>
      <c r="BY773" s="9"/>
      <c r="BZ773" s="9"/>
    </row>
    <row r="774" spans="4:78" ht="18" customHeight="1" x14ac:dyDescent="0.25"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S774" s="9"/>
      <c r="T774" s="9"/>
      <c r="U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  <c r="AI774" s="9"/>
      <c r="AJ774" s="9"/>
      <c r="AK774" s="9"/>
      <c r="AL774" s="9"/>
      <c r="AM774" s="9"/>
      <c r="AN774" s="9"/>
      <c r="AO774" s="9"/>
      <c r="AP774" s="9"/>
      <c r="AQ774" s="9"/>
      <c r="AR774" s="9"/>
      <c r="AS774" s="9"/>
      <c r="AT774" s="9"/>
      <c r="AU774" s="9"/>
      <c r="AV774" s="9"/>
      <c r="AW774" s="9"/>
      <c r="AX774" s="9"/>
      <c r="AY774" s="9"/>
      <c r="AZ774" s="9"/>
      <c r="BA774" s="9"/>
      <c r="BB774" s="9"/>
      <c r="BC774" s="9"/>
      <c r="BD774" s="9"/>
      <c r="BE774" s="9"/>
      <c r="BF774" s="9"/>
      <c r="BG774" s="9"/>
      <c r="BH774" s="9"/>
      <c r="BI774" s="9"/>
      <c r="BJ774" s="9"/>
      <c r="BK774" s="9"/>
      <c r="BL774" s="9"/>
      <c r="BM774" s="9"/>
      <c r="BN774" s="9"/>
      <c r="BO774" s="9"/>
      <c r="BP774" s="9"/>
      <c r="BQ774" s="9"/>
      <c r="BR774" s="9"/>
      <c r="BS774" s="9"/>
      <c r="BT774" s="9"/>
      <c r="BU774" s="9"/>
      <c r="BV774" s="9"/>
      <c r="BW774" s="9"/>
      <c r="BX774" s="9"/>
      <c r="BY774" s="9"/>
      <c r="BZ774" s="9"/>
    </row>
    <row r="775" spans="4:78" ht="18" customHeight="1" x14ac:dyDescent="0.25"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S775" s="9"/>
      <c r="T775" s="9"/>
      <c r="U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  <c r="AH775" s="9"/>
      <c r="AI775" s="9"/>
      <c r="AJ775" s="9"/>
      <c r="AK775" s="9"/>
      <c r="AL775" s="9"/>
      <c r="AM775" s="9"/>
      <c r="AN775" s="9"/>
      <c r="AO775" s="9"/>
      <c r="AP775" s="9"/>
      <c r="AQ775" s="9"/>
      <c r="AR775" s="9"/>
      <c r="AS775" s="9"/>
      <c r="AT775" s="9"/>
      <c r="AU775" s="9"/>
      <c r="AV775" s="9"/>
      <c r="AW775" s="9"/>
      <c r="AX775" s="9"/>
      <c r="AY775" s="9"/>
      <c r="AZ775" s="9"/>
      <c r="BA775" s="9"/>
      <c r="BB775" s="9"/>
      <c r="BC775" s="9"/>
      <c r="BD775" s="9"/>
      <c r="BE775" s="9"/>
      <c r="BF775" s="9"/>
      <c r="BG775" s="9"/>
      <c r="BH775" s="9"/>
      <c r="BI775" s="9"/>
      <c r="BJ775" s="9"/>
      <c r="BK775" s="9"/>
      <c r="BL775" s="9"/>
      <c r="BM775" s="9"/>
      <c r="BN775" s="9"/>
      <c r="BO775" s="9"/>
      <c r="BP775" s="9"/>
      <c r="BQ775" s="9"/>
      <c r="BR775" s="9"/>
      <c r="BS775" s="9"/>
      <c r="BT775" s="9"/>
      <c r="BU775" s="9"/>
      <c r="BV775" s="9"/>
      <c r="BW775" s="9"/>
      <c r="BX775" s="9"/>
      <c r="BY775" s="9"/>
      <c r="BZ775" s="9"/>
    </row>
    <row r="776" spans="4:78" ht="18" customHeight="1" x14ac:dyDescent="0.25"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S776" s="9"/>
      <c r="T776" s="9"/>
      <c r="U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  <c r="AH776" s="9"/>
      <c r="AI776" s="9"/>
      <c r="AJ776" s="9"/>
      <c r="AK776" s="9"/>
      <c r="AL776" s="9"/>
      <c r="AM776" s="9"/>
      <c r="AN776" s="9"/>
      <c r="AO776" s="9"/>
      <c r="AP776" s="9"/>
      <c r="AQ776" s="9"/>
      <c r="AR776" s="9"/>
      <c r="AS776" s="9"/>
      <c r="AT776" s="9"/>
      <c r="AU776" s="9"/>
      <c r="AV776" s="9"/>
      <c r="AW776" s="9"/>
      <c r="AX776" s="9"/>
      <c r="AY776" s="9"/>
      <c r="AZ776" s="9"/>
      <c r="BA776" s="9"/>
      <c r="BB776" s="9"/>
      <c r="BC776" s="9"/>
      <c r="BD776" s="9"/>
      <c r="BE776" s="9"/>
      <c r="BF776" s="9"/>
      <c r="BG776" s="9"/>
      <c r="BH776" s="9"/>
      <c r="BI776" s="9"/>
      <c r="BJ776" s="9"/>
      <c r="BK776" s="9"/>
      <c r="BL776" s="9"/>
      <c r="BM776" s="9"/>
      <c r="BN776" s="9"/>
      <c r="BO776" s="9"/>
      <c r="BP776" s="9"/>
      <c r="BQ776" s="9"/>
      <c r="BR776" s="9"/>
      <c r="BS776" s="9"/>
      <c r="BT776" s="9"/>
      <c r="BU776" s="9"/>
      <c r="BV776" s="9"/>
      <c r="BW776" s="9"/>
      <c r="BX776" s="9"/>
      <c r="BY776" s="9"/>
      <c r="BZ776" s="9"/>
    </row>
    <row r="777" spans="4:78" ht="18" customHeight="1" x14ac:dyDescent="0.25"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S777" s="9"/>
      <c r="T777" s="9"/>
      <c r="U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  <c r="AH777" s="9"/>
      <c r="AI777" s="9"/>
      <c r="AJ777" s="9"/>
      <c r="AK777" s="9"/>
      <c r="AL777" s="9"/>
      <c r="AM777" s="9"/>
      <c r="AN777" s="9"/>
      <c r="AO777" s="9"/>
      <c r="AP777" s="9"/>
      <c r="AQ777" s="9"/>
      <c r="AR777" s="9"/>
      <c r="AS777" s="9"/>
      <c r="AT777" s="9"/>
      <c r="AU777" s="9"/>
      <c r="AV777" s="9"/>
      <c r="AW777" s="9"/>
      <c r="AX777" s="9"/>
      <c r="AY777" s="9"/>
      <c r="AZ777" s="9"/>
      <c r="BA777" s="9"/>
      <c r="BB777" s="9"/>
      <c r="BC777" s="9"/>
      <c r="BD777" s="9"/>
      <c r="BE777" s="9"/>
      <c r="BF777" s="9"/>
      <c r="BG777" s="9"/>
      <c r="BH777" s="9"/>
      <c r="BI777" s="9"/>
      <c r="BJ777" s="9"/>
      <c r="BK777" s="9"/>
      <c r="BL777" s="9"/>
      <c r="BM777" s="9"/>
      <c r="BN777" s="9"/>
      <c r="BO777" s="9"/>
      <c r="BP777" s="9"/>
      <c r="BQ777" s="9"/>
      <c r="BR777" s="9"/>
      <c r="BS777" s="9"/>
      <c r="BT777" s="9"/>
      <c r="BU777" s="9"/>
      <c r="BV777" s="9"/>
      <c r="BW777" s="9"/>
      <c r="BX777" s="9"/>
      <c r="BY777" s="9"/>
      <c r="BZ777" s="9"/>
    </row>
    <row r="778" spans="4:78" ht="18" customHeight="1" x14ac:dyDescent="0.25"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S778" s="9"/>
      <c r="T778" s="9"/>
      <c r="U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  <c r="AH778" s="9"/>
      <c r="AI778" s="9"/>
      <c r="AJ778" s="9"/>
      <c r="AK778" s="9"/>
      <c r="AL778" s="9"/>
      <c r="AM778" s="9"/>
      <c r="AN778" s="9"/>
      <c r="AO778" s="9"/>
      <c r="AP778" s="9"/>
      <c r="AQ778" s="9"/>
      <c r="AR778" s="9"/>
      <c r="AS778" s="9"/>
      <c r="AT778" s="9"/>
      <c r="AU778" s="9"/>
      <c r="AV778" s="9"/>
      <c r="AW778" s="9"/>
      <c r="AX778" s="9"/>
      <c r="AY778" s="9"/>
      <c r="AZ778" s="9"/>
      <c r="BA778" s="9"/>
      <c r="BB778" s="9"/>
      <c r="BC778" s="9"/>
      <c r="BD778" s="9"/>
      <c r="BE778" s="9"/>
      <c r="BF778" s="9"/>
      <c r="BG778" s="9"/>
      <c r="BH778" s="9"/>
      <c r="BI778" s="9"/>
      <c r="BJ778" s="9"/>
      <c r="BK778" s="9"/>
      <c r="BL778" s="9"/>
      <c r="BM778" s="9"/>
      <c r="BN778" s="9"/>
      <c r="BO778" s="9"/>
      <c r="BP778" s="9"/>
      <c r="BQ778" s="9"/>
      <c r="BR778" s="9"/>
      <c r="BS778" s="9"/>
      <c r="BT778" s="9"/>
      <c r="BU778" s="9"/>
      <c r="BV778" s="9"/>
      <c r="BW778" s="9"/>
      <c r="BX778" s="9"/>
      <c r="BY778" s="9"/>
      <c r="BZ778" s="9"/>
    </row>
    <row r="779" spans="4:78" ht="18" customHeight="1" x14ac:dyDescent="0.25"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S779" s="9"/>
      <c r="T779" s="9"/>
      <c r="U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  <c r="AH779" s="9"/>
      <c r="AI779" s="9"/>
      <c r="AJ779" s="9"/>
      <c r="AK779" s="9"/>
      <c r="AL779" s="9"/>
      <c r="AM779" s="9"/>
      <c r="AN779" s="9"/>
      <c r="AO779" s="9"/>
      <c r="AP779" s="9"/>
      <c r="AQ779" s="9"/>
      <c r="AR779" s="9"/>
      <c r="AS779" s="9"/>
      <c r="AT779" s="9"/>
      <c r="AU779" s="9"/>
      <c r="AV779" s="9"/>
      <c r="AW779" s="9"/>
      <c r="AX779" s="9"/>
      <c r="AY779" s="9"/>
      <c r="AZ779" s="9"/>
      <c r="BA779" s="9"/>
      <c r="BB779" s="9"/>
      <c r="BC779" s="9"/>
      <c r="BD779" s="9"/>
      <c r="BE779" s="9"/>
      <c r="BF779" s="9"/>
      <c r="BG779" s="9"/>
      <c r="BH779" s="9"/>
      <c r="BI779" s="9"/>
      <c r="BJ779" s="9"/>
      <c r="BK779" s="9"/>
      <c r="BL779" s="9"/>
      <c r="BM779" s="9"/>
      <c r="BN779" s="9"/>
      <c r="BO779" s="9"/>
      <c r="BP779" s="9"/>
      <c r="BQ779" s="9"/>
      <c r="BR779" s="9"/>
      <c r="BS779" s="9"/>
      <c r="BT779" s="9"/>
      <c r="BU779" s="9"/>
      <c r="BV779" s="9"/>
      <c r="BW779" s="9"/>
      <c r="BX779" s="9"/>
      <c r="BY779" s="9"/>
      <c r="BZ779" s="9"/>
    </row>
    <row r="780" spans="4:78" ht="18" customHeight="1" x14ac:dyDescent="0.25"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S780" s="9"/>
      <c r="T780" s="9"/>
      <c r="U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  <c r="AH780" s="9"/>
      <c r="AI780" s="9"/>
      <c r="AJ780" s="9"/>
      <c r="AK780" s="9"/>
      <c r="AL780" s="9"/>
      <c r="AM780" s="9"/>
      <c r="AN780" s="9"/>
      <c r="AO780" s="9"/>
      <c r="AP780" s="9"/>
      <c r="AQ780" s="9"/>
      <c r="AR780" s="9"/>
      <c r="AS780" s="9"/>
      <c r="AT780" s="9"/>
      <c r="AU780" s="9"/>
      <c r="AV780" s="9"/>
      <c r="AW780" s="9"/>
      <c r="AX780" s="9"/>
      <c r="AY780" s="9"/>
      <c r="AZ780" s="9"/>
      <c r="BA780" s="9"/>
      <c r="BB780" s="9"/>
      <c r="BC780" s="9"/>
      <c r="BD780" s="9"/>
      <c r="BE780" s="9"/>
      <c r="BF780" s="9"/>
      <c r="BG780" s="9"/>
      <c r="BH780" s="9"/>
      <c r="BI780" s="9"/>
      <c r="BJ780" s="9"/>
      <c r="BK780" s="9"/>
      <c r="BL780" s="9"/>
      <c r="BM780" s="9"/>
      <c r="BN780" s="9"/>
      <c r="BO780" s="9"/>
      <c r="BP780" s="9"/>
      <c r="BQ780" s="9"/>
      <c r="BR780" s="9"/>
      <c r="BS780" s="9"/>
      <c r="BT780" s="9"/>
      <c r="BU780" s="9"/>
      <c r="BV780" s="9"/>
      <c r="BW780" s="9"/>
      <c r="BX780" s="9"/>
      <c r="BY780" s="9"/>
      <c r="BZ780" s="9"/>
    </row>
    <row r="781" spans="4:78" ht="18" customHeight="1" x14ac:dyDescent="0.25"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S781" s="9"/>
      <c r="T781" s="9"/>
      <c r="U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  <c r="AH781" s="9"/>
      <c r="AI781" s="9"/>
      <c r="AJ781" s="9"/>
      <c r="AK781" s="9"/>
      <c r="AL781" s="9"/>
      <c r="AM781" s="9"/>
      <c r="AN781" s="9"/>
      <c r="AO781" s="9"/>
      <c r="AP781" s="9"/>
      <c r="AQ781" s="9"/>
      <c r="AR781" s="9"/>
      <c r="AS781" s="9"/>
      <c r="AT781" s="9"/>
      <c r="AU781" s="9"/>
      <c r="AV781" s="9"/>
      <c r="AW781" s="9"/>
      <c r="AX781" s="9"/>
      <c r="AY781" s="9"/>
      <c r="AZ781" s="9"/>
      <c r="BA781" s="9"/>
      <c r="BB781" s="9"/>
      <c r="BC781" s="9"/>
      <c r="BD781" s="9"/>
      <c r="BE781" s="9"/>
      <c r="BF781" s="9"/>
      <c r="BG781" s="9"/>
      <c r="BH781" s="9"/>
      <c r="BI781" s="9"/>
      <c r="BJ781" s="9"/>
      <c r="BK781" s="9"/>
      <c r="BL781" s="9"/>
      <c r="BM781" s="9"/>
      <c r="BN781" s="9"/>
      <c r="BO781" s="9"/>
      <c r="BP781" s="9"/>
      <c r="BQ781" s="9"/>
      <c r="BR781" s="9"/>
      <c r="BS781" s="9"/>
      <c r="BT781" s="9"/>
      <c r="BU781" s="9"/>
      <c r="BV781" s="9"/>
      <c r="BW781" s="9"/>
      <c r="BX781" s="9"/>
      <c r="BY781" s="9"/>
      <c r="BZ781" s="9"/>
    </row>
    <row r="782" spans="4:78" ht="18" customHeight="1" x14ac:dyDescent="0.25"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S782" s="9"/>
      <c r="T782" s="9"/>
      <c r="U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  <c r="AH782" s="9"/>
      <c r="AI782" s="9"/>
      <c r="AJ782" s="9"/>
      <c r="AK782" s="9"/>
      <c r="AL782" s="9"/>
      <c r="AM782" s="9"/>
      <c r="AN782" s="9"/>
      <c r="AO782" s="9"/>
      <c r="AP782" s="9"/>
      <c r="AQ782" s="9"/>
      <c r="AR782" s="9"/>
      <c r="AS782" s="9"/>
      <c r="AT782" s="9"/>
      <c r="AU782" s="9"/>
      <c r="AV782" s="9"/>
      <c r="AW782" s="9"/>
      <c r="AX782" s="9"/>
      <c r="AY782" s="9"/>
      <c r="AZ782" s="9"/>
      <c r="BA782" s="9"/>
      <c r="BB782" s="9"/>
      <c r="BC782" s="9"/>
      <c r="BD782" s="9"/>
      <c r="BE782" s="9"/>
      <c r="BF782" s="9"/>
      <c r="BG782" s="9"/>
      <c r="BH782" s="9"/>
      <c r="BI782" s="9"/>
      <c r="BJ782" s="9"/>
      <c r="BK782" s="9"/>
      <c r="BL782" s="9"/>
      <c r="BM782" s="9"/>
      <c r="BN782" s="9"/>
      <c r="BO782" s="9"/>
      <c r="BP782" s="9"/>
      <c r="BQ782" s="9"/>
      <c r="BR782" s="9"/>
      <c r="BS782" s="9"/>
      <c r="BT782" s="9"/>
      <c r="BU782" s="9"/>
      <c r="BV782" s="9"/>
      <c r="BW782" s="9"/>
      <c r="BX782" s="9"/>
      <c r="BY782" s="9"/>
      <c r="BZ782" s="9"/>
    </row>
    <row r="783" spans="4:78" ht="18" customHeight="1" x14ac:dyDescent="0.25"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S783" s="9"/>
      <c r="T783" s="9"/>
      <c r="U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  <c r="AH783" s="9"/>
      <c r="AI783" s="9"/>
      <c r="AJ783" s="9"/>
      <c r="AK783" s="9"/>
      <c r="AL783" s="9"/>
      <c r="AM783" s="9"/>
      <c r="AN783" s="9"/>
      <c r="AO783" s="9"/>
      <c r="AP783" s="9"/>
      <c r="AQ783" s="9"/>
      <c r="AR783" s="9"/>
      <c r="AS783" s="9"/>
      <c r="AT783" s="9"/>
      <c r="AU783" s="9"/>
      <c r="AV783" s="9"/>
      <c r="AW783" s="9"/>
      <c r="AX783" s="9"/>
      <c r="AY783" s="9"/>
      <c r="AZ783" s="9"/>
      <c r="BA783" s="9"/>
      <c r="BB783" s="9"/>
      <c r="BC783" s="9"/>
      <c r="BD783" s="9"/>
      <c r="BE783" s="9"/>
      <c r="BF783" s="9"/>
      <c r="BG783" s="9"/>
      <c r="BH783" s="9"/>
      <c r="BI783" s="9"/>
      <c r="BJ783" s="9"/>
      <c r="BK783" s="9"/>
      <c r="BL783" s="9"/>
      <c r="BM783" s="9"/>
      <c r="BN783" s="9"/>
      <c r="BO783" s="9"/>
      <c r="BP783" s="9"/>
      <c r="BQ783" s="9"/>
      <c r="BR783" s="9"/>
      <c r="BS783" s="9"/>
      <c r="BT783" s="9"/>
      <c r="BU783" s="9"/>
      <c r="BV783" s="9"/>
      <c r="BW783" s="9"/>
      <c r="BX783" s="9"/>
      <c r="BY783" s="9"/>
      <c r="BZ783" s="9"/>
    </row>
    <row r="784" spans="4:78" ht="18" customHeight="1" x14ac:dyDescent="0.25"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S784" s="9"/>
      <c r="T784" s="9"/>
      <c r="U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  <c r="BF784" s="9"/>
      <c r="BG784" s="9"/>
      <c r="BH784" s="9"/>
      <c r="BI784" s="9"/>
      <c r="BJ784" s="9"/>
      <c r="BK784" s="9"/>
      <c r="BL784" s="9"/>
      <c r="BM784" s="9"/>
      <c r="BN784" s="9"/>
      <c r="BO784" s="9"/>
      <c r="BP784" s="9"/>
      <c r="BQ784" s="9"/>
      <c r="BR784" s="9"/>
      <c r="BS784" s="9"/>
      <c r="BT784" s="9"/>
      <c r="BU784" s="9"/>
      <c r="BV784" s="9"/>
      <c r="BW784" s="9"/>
      <c r="BX784" s="9"/>
      <c r="BY784" s="9"/>
      <c r="BZ784" s="9"/>
    </row>
    <row r="785" spans="4:78" ht="18" customHeight="1" x14ac:dyDescent="0.25"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S785" s="9"/>
      <c r="T785" s="9"/>
      <c r="U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  <c r="AI785" s="9"/>
      <c r="AJ785" s="9"/>
      <c r="AK785" s="9"/>
      <c r="AL785" s="9"/>
      <c r="AM785" s="9"/>
      <c r="AN785" s="9"/>
      <c r="AO785" s="9"/>
      <c r="AP785" s="9"/>
      <c r="AQ785" s="9"/>
      <c r="AR785" s="9"/>
      <c r="AS785" s="9"/>
      <c r="AT785" s="9"/>
      <c r="AU785" s="9"/>
      <c r="AV785" s="9"/>
      <c r="AW785" s="9"/>
      <c r="AX785" s="9"/>
      <c r="AY785" s="9"/>
      <c r="AZ785" s="9"/>
      <c r="BA785" s="9"/>
      <c r="BB785" s="9"/>
      <c r="BC785" s="9"/>
      <c r="BD785" s="9"/>
      <c r="BE785" s="9"/>
      <c r="BF785" s="9"/>
      <c r="BG785" s="9"/>
      <c r="BH785" s="9"/>
      <c r="BI785" s="9"/>
      <c r="BJ785" s="9"/>
      <c r="BK785" s="9"/>
      <c r="BL785" s="9"/>
      <c r="BM785" s="9"/>
      <c r="BN785" s="9"/>
      <c r="BO785" s="9"/>
      <c r="BP785" s="9"/>
      <c r="BQ785" s="9"/>
      <c r="BR785" s="9"/>
      <c r="BS785" s="9"/>
      <c r="BT785" s="9"/>
      <c r="BU785" s="9"/>
      <c r="BV785" s="9"/>
      <c r="BW785" s="9"/>
      <c r="BX785" s="9"/>
      <c r="BY785" s="9"/>
      <c r="BZ785" s="9"/>
    </row>
    <row r="786" spans="4:78" ht="18" customHeight="1" x14ac:dyDescent="0.25"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S786" s="9"/>
      <c r="T786" s="9"/>
      <c r="U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  <c r="AH786" s="9"/>
      <c r="AI786" s="9"/>
      <c r="AJ786" s="9"/>
      <c r="AK786" s="9"/>
      <c r="AL786" s="9"/>
      <c r="AM786" s="9"/>
      <c r="AN786" s="9"/>
      <c r="AO786" s="9"/>
      <c r="AP786" s="9"/>
      <c r="AQ786" s="9"/>
      <c r="AR786" s="9"/>
      <c r="AS786" s="9"/>
      <c r="AT786" s="9"/>
      <c r="AU786" s="9"/>
      <c r="AV786" s="9"/>
      <c r="AW786" s="9"/>
      <c r="AX786" s="9"/>
      <c r="AY786" s="9"/>
      <c r="AZ786" s="9"/>
      <c r="BA786" s="9"/>
      <c r="BB786" s="9"/>
      <c r="BC786" s="9"/>
      <c r="BD786" s="9"/>
      <c r="BE786" s="9"/>
      <c r="BF786" s="9"/>
      <c r="BG786" s="9"/>
      <c r="BH786" s="9"/>
      <c r="BI786" s="9"/>
      <c r="BJ786" s="9"/>
      <c r="BK786" s="9"/>
      <c r="BL786" s="9"/>
      <c r="BM786" s="9"/>
      <c r="BN786" s="9"/>
      <c r="BO786" s="9"/>
      <c r="BP786" s="9"/>
      <c r="BQ786" s="9"/>
      <c r="BR786" s="9"/>
      <c r="BS786" s="9"/>
      <c r="BT786" s="9"/>
      <c r="BU786" s="9"/>
      <c r="BV786" s="9"/>
      <c r="BW786" s="9"/>
      <c r="BX786" s="9"/>
      <c r="BY786" s="9"/>
      <c r="BZ786" s="9"/>
    </row>
    <row r="787" spans="4:78" ht="18" customHeight="1" x14ac:dyDescent="0.25"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S787" s="9"/>
      <c r="T787" s="9"/>
      <c r="U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  <c r="AH787" s="9"/>
      <c r="AI787" s="9"/>
      <c r="AJ787" s="9"/>
      <c r="AK787" s="9"/>
      <c r="AL787" s="9"/>
      <c r="AM787" s="9"/>
      <c r="AN787" s="9"/>
      <c r="AO787" s="9"/>
      <c r="AP787" s="9"/>
      <c r="AQ787" s="9"/>
      <c r="AR787" s="9"/>
      <c r="AS787" s="9"/>
      <c r="AT787" s="9"/>
      <c r="AU787" s="9"/>
      <c r="AV787" s="9"/>
      <c r="AW787" s="9"/>
      <c r="AX787" s="9"/>
      <c r="AY787" s="9"/>
      <c r="AZ787" s="9"/>
      <c r="BA787" s="9"/>
      <c r="BB787" s="9"/>
      <c r="BC787" s="9"/>
      <c r="BD787" s="9"/>
      <c r="BE787" s="9"/>
      <c r="BF787" s="9"/>
      <c r="BG787" s="9"/>
      <c r="BH787" s="9"/>
      <c r="BI787" s="9"/>
      <c r="BJ787" s="9"/>
      <c r="BK787" s="9"/>
      <c r="BL787" s="9"/>
      <c r="BM787" s="9"/>
      <c r="BN787" s="9"/>
      <c r="BO787" s="9"/>
      <c r="BP787" s="9"/>
      <c r="BQ787" s="9"/>
      <c r="BR787" s="9"/>
      <c r="BS787" s="9"/>
      <c r="BT787" s="9"/>
      <c r="BU787" s="9"/>
      <c r="BV787" s="9"/>
      <c r="BW787" s="9"/>
      <c r="BX787" s="9"/>
      <c r="BY787" s="9"/>
      <c r="BZ787" s="9"/>
    </row>
    <row r="788" spans="4:78" ht="18" customHeight="1" x14ac:dyDescent="0.25"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S788" s="9"/>
      <c r="T788" s="9"/>
      <c r="U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  <c r="AH788" s="9"/>
      <c r="AI788" s="9"/>
      <c r="AJ788" s="9"/>
      <c r="AK788" s="9"/>
      <c r="AL788" s="9"/>
      <c r="AM788" s="9"/>
      <c r="AN788" s="9"/>
      <c r="AO788" s="9"/>
      <c r="AP788" s="9"/>
      <c r="AQ788" s="9"/>
      <c r="AR788" s="9"/>
      <c r="AS788" s="9"/>
      <c r="AT788" s="9"/>
      <c r="AU788" s="9"/>
      <c r="AV788" s="9"/>
      <c r="AW788" s="9"/>
      <c r="AX788" s="9"/>
      <c r="AY788" s="9"/>
      <c r="AZ788" s="9"/>
      <c r="BA788" s="9"/>
      <c r="BB788" s="9"/>
      <c r="BC788" s="9"/>
      <c r="BD788" s="9"/>
      <c r="BE788" s="9"/>
      <c r="BF788" s="9"/>
      <c r="BG788" s="9"/>
      <c r="BH788" s="9"/>
      <c r="BI788" s="9"/>
      <c r="BJ788" s="9"/>
      <c r="BK788" s="9"/>
      <c r="BL788" s="9"/>
      <c r="BM788" s="9"/>
      <c r="BN788" s="9"/>
      <c r="BO788" s="9"/>
      <c r="BP788" s="9"/>
      <c r="BQ788" s="9"/>
      <c r="BR788" s="9"/>
      <c r="BS788" s="9"/>
      <c r="BT788" s="9"/>
      <c r="BU788" s="9"/>
      <c r="BV788" s="9"/>
      <c r="BW788" s="9"/>
      <c r="BX788" s="9"/>
      <c r="BY788" s="9"/>
      <c r="BZ788" s="9"/>
    </row>
    <row r="789" spans="4:78" ht="18" customHeight="1" x14ac:dyDescent="0.25"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S789" s="9"/>
      <c r="T789" s="9"/>
      <c r="U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  <c r="AI789" s="9"/>
      <c r="AJ789" s="9"/>
      <c r="AK789" s="9"/>
      <c r="AL789" s="9"/>
      <c r="AM789" s="9"/>
      <c r="AN789" s="9"/>
      <c r="AO789" s="9"/>
      <c r="AP789" s="9"/>
      <c r="AQ789" s="9"/>
      <c r="AR789" s="9"/>
      <c r="AS789" s="9"/>
      <c r="AT789" s="9"/>
      <c r="AU789" s="9"/>
      <c r="AV789" s="9"/>
      <c r="AW789" s="9"/>
      <c r="AX789" s="9"/>
      <c r="AY789" s="9"/>
      <c r="AZ789" s="9"/>
      <c r="BA789" s="9"/>
      <c r="BB789" s="9"/>
      <c r="BC789" s="9"/>
      <c r="BD789" s="9"/>
      <c r="BE789" s="9"/>
      <c r="BF789" s="9"/>
      <c r="BG789" s="9"/>
      <c r="BH789" s="9"/>
      <c r="BI789" s="9"/>
      <c r="BJ789" s="9"/>
      <c r="BK789" s="9"/>
      <c r="BL789" s="9"/>
      <c r="BM789" s="9"/>
      <c r="BN789" s="9"/>
      <c r="BO789" s="9"/>
      <c r="BP789" s="9"/>
      <c r="BQ789" s="9"/>
      <c r="BR789" s="9"/>
      <c r="BS789" s="9"/>
      <c r="BT789" s="9"/>
      <c r="BU789" s="9"/>
      <c r="BV789" s="9"/>
      <c r="BW789" s="9"/>
      <c r="BX789" s="9"/>
      <c r="BY789" s="9"/>
      <c r="BZ789" s="9"/>
    </row>
    <row r="790" spans="4:78" ht="18" customHeight="1" x14ac:dyDescent="0.25"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S790" s="9"/>
      <c r="T790" s="9"/>
      <c r="U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  <c r="AH790" s="9"/>
      <c r="AI790" s="9"/>
      <c r="AJ790" s="9"/>
      <c r="AK790" s="9"/>
      <c r="AL790" s="9"/>
      <c r="AM790" s="9"/>
      <c r="AN790" s="9"/>
      <c r="AO790" s="9"/>
      <c r="AP790" s="9"/>
      <c r="AQ790" s="9"/>
      <c r="AR790" s="9"/>
      <c r="AS790" s="9"/>
      <c r="AT790" s="9"/>
      <c r="AU790" s="9"/>
      <c r="AV790" s="9"/>
      <c r="AW790" s="9"/>
      <c r="AX790" s="9"/>
      <c r="AY790" s="9"/>
      <c r="AZ790" s="9"/>
      <c r="BA790" s="9"/>
      <c r="BB790" s="9"/>
      <c r="BC790" s="9"/>
      <c r="BD790" s="9"/>
      <c r="BE790" s="9"/>
      <c r="BF790" s="9"/>
      <c r="BG790" s="9"/>
      <c r="BH790" s="9"/>
      <c r="BI790" s="9"/>
      <c r="BJ790" s="9"/>
      <c r="BK790" s="9"/>
      <c r="BL790" s="9"/>
      <c r="BM790" s="9"/>
      <c r="BN790" s="9"/>
      <c r="BO790" s="9"/>
      <c r="BP790" s="9"/>
      <c r="BQ790" s="9"/>
      <c r="BR790" s="9"/>
      <c r="BS790" s="9"/>
      <c r="BT790" s="9"/>
      <c r="BU790" s="9"/>
      <c r="BV790" s="9"/>
      <c r="BW790" s="9"/>
      <c r="BX790" s="9"/>
      <c r="BY790" s="9"/>
      <c r="BZ790" s="9"/>
    </row>
    <row r="791" spans="4:78" ht="18" customHeight="1" x14ac:dyDescent="0.25"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S791" s="9"/>
      <c r="T791" s="9"/>
      <c r="U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  <c r="AH791" s="9"/>
      <c r="AI791" s="9"/>
      <c r="AJ791" s="9"/>
      <c r="AK791" s="9"/>
      <c r="AL791" s="9"/>
      <c r="AM791" s="9"/>
      <c r="AN791" s="9"/>
      <c r="AO791" s="9"/>
      <c r="AP791" s="9"/>
      <c r="AQ791" s="9"/>
      <c r="AR791" s="9"/>
      <c r="AS791" s="9"/>
      <c r="AT791" s="9"/>
      <c r="AU791" s="9"/>
      <c r="AV791" s="9"/>
      <c r="AW791" s="9"/>
      <c r="AX791" s="9"/>
      <c r="AY791" s="9"/>
      <c r="AZ791" s="9"/>
      <c r="BA791" s="9"/>
      <c r="BB791" s="9"/>
      <c r="BC791" s="9"/>
      <c r="BD791" s="9"/>
      <c r="BE791" s="9"/>
      <c r="BF791" s="9"/>
      <c r="BG791" s="9"/>
      <c r="BH791" s="9"/>
      <c r="BI791" s="9"/>
      <c r="BJ791" s="9"/>
      <c r="BK791" s="9"/>
      <c r="BL791" s="9"/>
      <c r="BM791" s="9"/>
      <c r="BN791" s="9"/>
      <c r="BO791" s="9"/>
      <c r="BP791" s="9"/>
      <c r="BQ791" s="9"/>
      <c r="BR791" s="9"/>
      <c r="BS791" s="9"/>
      <c r="BT791" s="9"/>
      <c r="BU791" s="9"/>
      <c r="BV791" s="9"/>
      <c r="BW791" s="9"/>
      <c r="BX791" s="9"/>
      <c r="BY791" s="9"/>
      <c r="BZ791" s="9"/>
    </row>
    <row r="792" spans="4:78" ht="18" customHeight="1" x14ac:dyDescent="0.25"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S792" s="9"/>
      <c r="T792" s="9"/>
      <c r="U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  <c r="AH792" s="9"/>
      <c r="AI792" s="9"/>
      <c r="AJ792" s="9"/>
      <c r="AK792" s="9"/>
      <c r="AL792" s="9"/>
      <c r="AM792" s="9"/>
      <c r="AN792" s="9"/>
      <c r="AO792" s="9"/>
      <c r="AP792" s="9"/>
      <c r="AQ792" s="9"/>
      <c r="AR792" s="9"/>
      <c r="AS792" s="9"/>
      <c r="AT792" s="9"/>
      <c r="AU792" s="9"/>
      <c r="AV792" s="9"/>
      <c r="AW792" s="9"/>
      <c r="AX792" s="9"/>
      <c r="AY792" s="9"/>
      <c r="AZ792" s="9"/>
      <c r="BA792" s="9"/>
      <c r="BB792" s="9"/>
      <c r="BC792" s="9"/>
      <c r="BD792" s="9"/>
      <c r="BE792" s="9"/>
      <c r="BF792" s="9"/>
      <c r="BG792" s="9"/>
      <c r="BH792" s="9"/>
      <c r="BI792" s="9"/>
      <c r="BJ792" s="9"/>
      <c r="BK792" s="9"/>
      <c r="BL792" s="9"/>
      <c r="BM792" s="9"/>
      <c r="BN792" s="9"/>
      <c r="BO792" s="9"/>
      <c r="BP792" s="9"/>
      <c r="BQ792" s="9"/>
      <c r="BR792" s="9"/>
      <c r="BS792" s="9"/>
      <c r="BT792" s="9"/>
      <c r="BU792" s="9"/>
      <c r="BV792" s="9"/>
      <c r="BW792" s="9"/>
      <c r="BX792" s="9"/>
      <c r="BY792" s="9"/>
      <c r="BZ792" s="9"/>
    </row>
    <row r="793" spans="4:78" ht="18" customHeight="1" x14ac:dyDescent="0.25"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S793" s="9"/>
      <c r="T793" s="9"/>
      <c r="U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  <c r="AH793" s="9"/>
      <c r="AI793" s="9"/>
      <c r="AJ793" s="9"/>
      <c r="AK793" s="9"/>
      <c r="AL793" s="9"/>
      <c r="AM793" s="9"/>
      <c r="AN793" s="9"/>
      <c r="AO793" s="9"/>
      <c r="AP793" s="9"/>
      <c r="AQ793" s="9"/>
      <c r="AR793" s="9"/>
      <c r="AS793" s="9"/>
      <c r="AT793" s="9"/>
      <c r="AU793" s="9"/>
      <c r="AV793" s="9"/>
      <c r="AW793" s="9"/>
      <c r="AX793" s="9"/>
      <c r="AY793" s="9"/>
      <c r="AZ793" s="9"/>
      <c r="BA793" s="9"/>
      <c r="BB793" s="9"/>
      <c r="BC793" s="9"/>
      <c r="BD793" s="9"/>
      <c r="BE793" s="9"/>
      <c r="BF793" s="9"/>
      <c r="BG793" s="9"/>
      <c r="BH793" s="9"/>
      <c r="BI793" s="9"/>
      <c r="BJ793" s="9"/>
      <c r="BK793" s="9"/>
      <c r="BL793" s="9"/>
      <c r="BM793" s="9"/>
      <c r="BN793" s="9"/>
      <c r="BO793" s="9"/>
      <c r="BP793" s="9"/>
      <c r="BQ793" s="9"/>
      <c r="BR793" s="9"/>
      <c r="BS793" s="9"/>
      <c r="BT793" s="9"/>
      <c r="BU793" s="9"/>
      <c r="BV793" s="9"/>
      <c r="BW793" s="9"/>
      <c r="BX793" s="9"/>
      <c r="BY793" s="9"/>
      <c r="BZ793" s="9"/>
    </row>
    <row r="794" spans="4:78" ht="18" customHeight="1" x14ac:dyDescent="0.25"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S794" s="9"/>
      <c r="T794" s="9"/>
      <c r="U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  <c r="AI794" s="9"/>
      <c r="AJ794" s="9"/>
      <c r="AK794" s="9"/>
      <c r="AL794" s="9"/>
      <c r="AM794" s="9"/>
      <c r="AN794" s="9"/>
      <c r="AO794" s="9"/>
      <c r="AP794" s="9"/>
      <c r="AQ794" s="9"/>
      <c r="AR794" s="9"/>
      <c r="AS794" s="9"/>
      <c r="AT794" s="9"/>
      <c r="AU794" s="9"/>
      <c r="AV794" s="9"/>
      <c r="AW794" s="9"/>
      <c r="AX794" s="9"/>
      <c r="AY794" s="9"/>
      <c r="AZ794" s="9"/>
      <c r="BA794" s="9"/>
      <c r="BB794" s="9"/>
      <c r="BC794" s="9"/>
      <c r="BD794" s="9"/>
      <c r="BE794" s="9"/>
      <c r="BF794" s="9"/>
      <c r="BG794" s="9"/>
      <c r="BH794" s="9"/>
      <c r="BI794" s="9"/>
      <c r="BJ794" s="9"/>
      <c r="BK794" s="9"/>
      <c r="BL794" s="9"/>
      <c r="BM794" s="9"/>
      <c r="BN794" s="9"/>
      <c r="BO794" s="9"/>
      <c r="BP794" s="9"/>
      <c r="BQ794" s="9"/>
      <c r="BR794" s="9"/>
      <c r="BS794" s="9"/>
      <c r="BT794" s="9"/>
      <c r="BU794" s="9"/>
      <c r="BV794" s="9"/>
      <c r="BW794" s="9"/>
      <c r="BX794" s="9"/>
      <c r="BY794" s="9"/>
      <c r="BZ794" s="9"/>
    </row>
    <row r="795" spans="4:78" ht="18" customHeight="1" x14ac:dyDescent="0.25"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S795" s="9"/>
      <c r="T795" s="9"/>
      <c r="U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  <c r="AI795" s="9"/>
      <c r="AJ795" s="9"/>
      <c r="AK795" s="9"/>
      <c r="AL795" s="9"/>
      <c r="AM795" s="9"/>
      <c r="AN795" s="9"/>
      <c r="AO795" s="9"/>
      <c r="AP795" s="9"/>
      <c r="AQ795" s="9"/>
      <c r="AR795" s="9"/>
      <c r="AS795" s="9"/>
      <c r="AT795" s="9"/>
      <c r="AU795" s="9"/>
      <c r="AV795" s="9"/>
      <c r="AW795" s="9"/>
      <c r="AX795" s="9"/>
      <c r="AY795" s="9"/>
      <c r="AZ795" s="9"/>
      <c r="BA795" s="9"/>
      <c r="BB795" s="9"/>
      <c r="BC795" s="9"/>
      <c r="BD795" s="9"/>
      <c r="BE795" s="9"/>
      <c r="BF795" s="9"/>
      <c r="BG795" s="9"/>
      <c r="BH795" s="9"/>
      <c r="BI795" s="9"/>
      <c r="BJ795" s="9"/>
      <c r="BK795" s="9"/>
      <c r="BL795" s="9"/>
      <c r="BM795" s="9"/>
      <c r="BN795" s="9"/>
      <c r="BO795" s="9"/>
      <c r="BP795" s="9"/>
      <c r="BQ795" s="9"/>
      <c r="BR795" s="9"/>
      <c r="BS795" s="9"/>
      <c r="BT795" s="9"/>
      <c r="BU795" s="9"/>
      <c r="BV795" s="9"/>
      <c r="BW795" s="9"/>
      <c r="BX795" s="9"/>
      <c r="BY795" s="9"/>
      <c r="BZ795" s="9"/>
    </row>
    <row r="796" spans="4:78" ht="18" customHeight="1" x14ac:dyDescent="0.25"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S796" s="9"/>
      <c r="T796" s="9"/>
      <c r="U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  <c r="AH796" s="9"/>
      <c r="AI796" s="9"/>
      <c r="AJ796" s="9"/>
      <c r="AK796" s="9"/>
      <c r="AL796" s="9"/>
      <c r="AM796" s="9"/>
      <c r="AN796" s="9"/>
      <c r="AO796" s="9"/>
      <c r="AP796" s="9"/>
      <c r="AQ796" s="9"/>
      <c r="AR796" s="9"/>
      <c r="AS796" s="9"/>
      <c r="AT796" s="9"/>
      <c r="AU796" s="9"/>
      <c r="AV796" s="9"/>
      <c r="AW796" s="9"/>
      <c r="AX796" s="9"/>
      <c r="AY796" s="9"/>
      <c r="AZ796" s="9"/>
      <c r="BA796" s="9"/>
      <c r="BB796" s="9"/>
      <c r="BC796" s="9"/>
      <c r="BD796" s="9"/>
      <c r="BE796" s="9"/>
      <c r="BF796" s="9"/>
      <c r="BG796" s="9"/>
      <c r="BH796" s="9"/>
      <c r="BI796" s="9"/>
      <c r="BJ796" s="9"/>
      <c r="BK796" s="9"/>
      <c r="BL796" s="9"/>
      <c r="BM796" s="9"/>
      <c r="BN796" s="9"/>
      <c r="BO796" s="9"/>
      <c r="BP796" s="9"/>
      <c r="BQ796" s="9"/>
      <c r="BR796" s="9"/>
      <c r="BS796" s="9"/>
      <c r="BT796" s="9"/>
      <c r="BU796" s="9"/>
      <c r="BV796" s="9"/>
      <c r="BW796" s="9"/>
      <c r="BX796" s="9"/>
      <c r="BY796" s="9"/>
      <c r="BZ796" s="9"/>
    </row>
    <row r="797" spans="4:78" ht="18" customHeight="1" x14ac:dyDescent="0.25"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S797" s="9"/>
      <c r="T797" s="9"/>
      <c r="U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  <c r="AH797" s="9"/>
      <c r="AI797" s="9"/>
      <c r="AJ797" s="9"/>
      <c r="AK797" s="9"/>
      <c r="AL797" s="9"/>
      <c r="AM797" s="9"/>
      <c r="AN797" s="9"/>
      <c r="AO797" s="9"/>
      <c r="AP797" s="9"/>
      <c r="AQ797" s="9"/>
      <c r="AR797" s="9"/>
      <c r="AS797" s="9"/>
      <c r="AT797" s="9"/>
      <c r="AU797" s="9"/>
      <c r="AV797" s="9"/>
      <c r="AW797" s="9"/>
      <c r="AX797" s="9"/>
      <c r="AY797" s="9"/>
      <c r="AZ797" s="9"/>
      <c r="BA797" s="9"/>
      <c r="BB797" s="9"/>
      <c r="BC797" s="9"/>
      <c r="BD797" s="9"/>
      <c r="BE797" s="9"/>
      <c r="BF797" s="9"/>
      <c r="BG797" s="9"/>
      <c r="BH797" s="9"/>
      <c r="BI797" s="9"/>
      <c r="BJ797" s="9"/>
      <c r="BK797" s="9"/>
      <c r="BL797" s="9"/>
      <c r="BM797" s="9"/>
      <c r="BN797" s="9"/>
      <c r="BO797" s="9"/>
      <c r="BP797" s="9"/>
      <c r="BQ797" s="9"/>
      <c r="BR797" s="9"/>
      <c r="BS797" s="9"/>
      <c r="BT797" s="9"/>
      <c r="BU797" s="9"/>
      <c r="BV797" s="9"/>
      <c r="BW797" s="9"/>
      <c r="BX797" s="9"/>
      <c r="BY797" s="9"/>
      <c r="BZ797" s="9"/>
    </row>
    <row r="798" spans="4:78" ht="18" customHeight="1" x14ac:dyDescent="0.25"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S798" s="9"/>
      <c r="T798" s="9"/>
      <c r="U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  <c r="AH798" s="9"/>
      <c r="AI798" s="9"/>
      <c r="AJ798" s="9"/>
      <c r="AK798" s="9"/>
      <c r="AL798" s="9"/>
      <c r="AM798" s="9"/>
      <c r="AN798" s="9"/>
      <c r="AO798" s="9"/>
      <c r="AP798" s="9"/>
      <c r="AQ798" s="9"/>
      <c r="AR798" s="9"/>
      <c r="AS798" s="9"/>
      <c r="AT798" s="9"/>
      <c r="AU798" s="9"/>
      <c r="AV798" s="9"/>
      <c r="AW798" s="9"/>
      <c r="AX798" s="9"/>
      <c r="AY798" s="9"/>
      <c r="AZ798" s="9"/>
      <c r="BA798" s="9"/>
      <c r="BB798" s="9"/>
      <c r="BC798" s="9"/>
      <c r="BD798" s="9"/>
      <c r="BE798" s="9"/>
      <c r="BF798" s="9"/>
      <c r="BG798" s="9"/>
      <c r="BH798" s="9"/>
      <c r="BI798" s="9"/>
      <c r="BJ798" s="9"/>
      <c r="BK798" s="9"/>
      <c r="BL798" s="9"/>
      <c r="BM798" s="9"/>
      <c r="BN798" s="9"/>
      <c r="BO798" s="9"/>
      <c r="BP798" s="9"/>
      <c r="BQ798" s="9"/>
      <c r="BR798" s="9"/>
      <c r="BS798" s="9"/>
      <c r="BT798" s="9"/>
      <c r="BU798" s="9"/>
      <c r="BV798" s="9"/>
      <c r="BW798" s="9"/>
      <c r="BX798" s="9"/>
      <c r="BY798" s="9"/>
      <c r="BZ798" s="9"/>
    </row>
    <row r="799" spans="4:78" ht="18" customHeight="1" x14ac:dyDescent="0.25"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S799" s="9"/>
      <c r="T799" s="9"/>
      <c r="U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  <c r="AH799" s="9"/>
      <c r="AI799" s="9"/>
      <c r="AJ799" s="9"/>
      <c r="AK799" s="9"/>
      <c r="AL799" s="9"/>
      <c r="AM799" s="9"/>
      <c r="AN799" s="9"/>
      <c r="AO799" s="9"/>
      <c r="AP799" s="9"/>
      <c r="AQ799" s="9"/>
      <c r="AR799" s="9"/>
      <c r="AS799" s="9"/>
      <c r="AT799" s="9"/>
      <c r="AU799" s="9"/>
      <c r="AV799" s="9"/>
      <c r="AW799" s="9"/>
      <c r="AX799" s="9"/>
      <c r="AY799" s="9"/>
      <c r="AZ799" s="9"/>
      <c r="BA799" s="9"/>
      <c r="BB799" s="9"/>
      <c r="BC799" s="9"/>
      <c r="BD799" s="9"/>
      <c r="BE799" s="9"/>
      <c r="BF799" s="9"/>
      <c r="BG799" s="9"/>
      <c r="BH799" s="9"/>
      <c r="BI799" s="9"/>
      <c r="BJ799" s="9"/>
      <c r="BK799" s="9"/>
      <c r="BL799" s="9"/>
      <c r="BM799" s="9"/>
      <c r="BN799" s="9"/>
      <c r="BO799" s="9"/>
      <c r="BP799" s="9"/>
      <c r="BQ799" s="9"/>
      <c r="BR799" s="9"/>
      <c r="BS799" s="9"/>
      <c r="BT799" s="9"/>
      <c r="BU799" s="9"/>
      <c r="BV799" s="9"/>
      <c r="BW799" s="9"/>
      <c r="BX799" s="9"/>
      <c r="BY799" s="9"/>
      <c r="BZ799" s="9"/>
    </row>
    <row r="800" spans="4:78" ht="18" customHeight="1" x14ac:dyDescent="0.25"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S800" s="9"/>
      <c r="T800" s="9"/>
      <c r="U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  <c r="AI800" s="9"/>
      <c r="AJ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  <c r="BL800" s="9"/>
      <c r="BM800" s="9"/>
      <c r="BN800" s="9"/>
      <c r="BO800" s="9"/>
      <c r="BP800" s="9"/>
      <c r="BQ800" s="9"/>
      <c r="BR800" s="9"/>
      <c r="BS800" s="9"/>
      <c r="BT800" s="9"/>
      <c r="BU800" s="9"/>
      <c r="BV800" s="9"/>
      <c r="BW800" s="9"/>
      <c r="BX800" s="9"/>
      <c r="BY800" s="9"/>
      <c r="BZ800" s="9"/>
    </row>
    <row r="801" spans="4:78" ht="18" customHeight="1" x14ac:dyDescent="0.25"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S801" s="9"/>
      <c r="T801" s="9"/>
      <c r="U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  <c r="AI801" s="9"/>
      <c r="AJ801" s="9"/>
      <c r="AK801" s="9"/>
      <c r="AL801" s="9"/>
      <c r="AM801" s="9"/>
      <c r="AN801" s="9"/>
      <c r="AO801" s="9"/>
      <c r="AP801" s="9"/>
      <c r="AQ801" s="9"/>
      <c r="AR801" s="9"/>
      <c r="AS801" s="9"/>
      <c r="AT801" s="9"/>
      <c r="AU801" s="9"/>
      <c r="AV801" s="9"/>
      <c r="AW801" s="9"/>
      <c r="AX801" s="9"/>
      <c r="AY801" s="9"/>
      <c r="AZ801" s="9"/>
      <c r="BA801" s="9"/>
      <c r="BB801" s="9"/>
      <c r="BC801" s="9"/>
      <c r="BD801" s="9"/>
      <c r="BE801" s="9"/>
      <c r="BF801" s="9"/>
      <c r="BG801" s="9"/>
      <c r="BH801" s="9"/>
      <c r="BI801" s="9"/>
      <c r="BJ801" s="9"/>
      <c r="BK801" s="9"/>
      <c r="BL801" s="9"/>
      <c r="BM801" s="9"/>
      <c r="BN801" s="9"/>
      <c r="BO801" s="9"/>
      <c r="BP801" s="9"/>
      <c r="BQ801" s="9"/>
      <c r="BR801" s="9"/>
      <c r="BS801" s="9"/>
      <c r="BT801" s="9"/>
      <c r="BU801" s="9"/>
      <c r="BV801" s="9"/>
      <c r="BW801" s="9"/>
      <c r="BX801" s="9"/>
      <c r="BY801" s="9"/>
      <c r="BZ801" s="9"/>
    </row>
    <row r="802" spans="4:78" ht="18" customHeight="1" x14ac:dyDescent="0.25"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S802" s="9"/>
      <c r="T802" s="9"/>
      <c r="U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  <c r="AI802" s="9"/>
      <c r="AJ802" s="9"/>
      <c r="AK802" s="9"/>
      <c r="AL802" s="9"/>
      <c r="AM802" s="9"/>
      <c r="AN802" s="9"/>
      <c r="AO802" s="9"/>
      <c r="AP802" s="9"/>
      <c r="AQ802" s="9"/>
      <c r="AR802" s="9"/>
      <c r="AS802" s="9"/>
      <c r="AT802" s="9"/>
      <c r="AU802" s="9"/>
      <c r="AV802" s="9"/>
      <c r="AW802" s="9"/>
      <c r="AX802" s="9"/>
      <c r="AY802" s="9"/>
      <c r="AZ802" s="9"/>
      <c r="BA802" s="9"/>
      <c r="BB802" s="9"/>
      <c r="BC802" s="9"/>
      <c r="BD802" s="9"/>
      <c r="BE802" s="9"/>
      <c r="BF802" s="9"/>
      <c r="BG802" s="9"/>
      <c r="BH802" s="9"/>
      <c r="BI802" s="9"/>
      <c r="BJ802" s="9"/>
      <c r="BK802" s="9"/>
      <c r="BL802" s="9"/>
      <c r="BM802" s="9"/>
      <c r="BN802" s="9"/>
      <c r="BO802" s="9"/>
      <c r="BP802" s="9"/>
      <c r="BQ802" s="9"/>
      <c r="BR802" s="9"/>
      <c r="BS802" s="9"/>
      <c r="BT802" s="9"/>
      <c r="BU802" s="9"/>
      <c r="BV802" s="9"/>
      <c r="BW802" s="9"/>
      <c r="BX802" s="9"/>
      <c r="BY802" s="9"/>
      <c r="BZ802" s="9"/>
    </row>
    <row r="803" spans="4:78" ht="18" customHeight="1" x14ac:dyDescent="0.25"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S803" s="9"/>
      <c r="T803" s="9"/>
      <c r="U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  <c r="AI803" s="9"/>
      <c r="AJ803" s="9"/>
      <c r="AK803" s="9"/>
      <c r="AL803" s="9"/>
      <c r="AM803" s="9"/>
      <c r="AN803" s="9"/>
      <c r="AO803" s="9"/>
      <c r="AP803" s="9"/>
      <c r="AQ803" s="9"/>
      <c r="AR803" s="9"/>
      <c r="AS803" s="9"/>
      <c r="AT803" s="9"/>
      <c r="AU803" s="9"/>
      <c r="AV803" s="9"/>
      <c r="AW803" s="9"/>
      <c r="AX803" s="9"/>
      <c r="AY803" s="9"/>
      <c r="AZ803" s="9"/>
      <c r="BA803" s="9"/>
      <c r="BB803" s="9"/>
      <c r="BC803" s="9"/>
      <c r="BD803" s="9"/>
      <c r="BE803" s="9"/>
      <c r="BF803" s="9"/>
      <c r="BG803" s="9"/>
      <c r="BH803" s="9"/>
      <c r="BI803" s="9"/>
      <c r="BJ803" s="9"/>
      <c r="BK803" s="9"/>
      <c r="BL803" s="9"/>
      <c r="BM803" s="9"/>
      <c r="BN803" s="9"/>
      <c r="BO803" s="9"/>
      <c r="BP803" s="9"/>
      <c r="BQ803" s="9"/>
      <c r="BR803" s="9"/>
      <c r="BS803" s="9"/>
      <c r="BT803" s="9"/>
      <c r="BU803" s="9"/>
      <c r="BV803" s="9"/>
      <c r="BW803" s="9"/>
      <c r="BX803" s="9"/>
      <c r="BY803" s="9"/>
      <c r="BZ803" s="9"/>
    </row>
    <row r="804" spans="4:78" ht="18" customHeight="1" x14ac:dyDescent="0.25"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S804" s="9"/>
      <c r="T804" s="9"/>
      <c r="U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  <c r="AI804" s="9"/>
      <c r="AJ804" s="9"/>
      <c r="AK804" s="9"/>
      <c r="AL804" s="9"/>
      <c r="AM804" s="9"/>
      <c r="AN804" s="9"/>
      <c r="AO804" s="9"/>
      <c r="AP804" s="9"/>
      <c r="AQ804" s="9"/>
      <c r="AR804" s="9"/>
      <c r="AS804" s="9"/>
      <c r="AT804" s="9"/>
      <c r="AU804" s="9"/>
      <c r="AV804" s="9"/>
      <c r="AW804" s="9"/>
      <c r="AX804" s="9"/>
      <c r="AY804" s="9"/>
      <c r="AZ804" s="9"/>
      <c r="BA804" s="9"/>
      <c r="BB804" s="9"/>
      <c r="BC804" s="9"/>
      <c r="BD804" s="9"/>
      <c r="BE804" s="9"/>
      <c r="BF804" s="9"/>
      <c r="BG804" s="9"/>
      <c r="BH804" s="9"/>
      <c r="BI804" s="9"/>
      <c r="BJ804" s="9"/>
      <c r="BK804" s="9"/>
      <c r="BL804" s="9"/>
      <c r="BM804" s="9"/>
      <c r="BN804" s="9"/>
      <c r="BO804" s="9"/>
      <c r="BP804" s="9"/>
      <c r="BQ804" s="9"/>
      <c r="BR804" s="9"/>
      <c r="BS804" s="9"/>
      <c r="BT804" s="9"/>
      <c r="BU804" s="9"/>
      <c r="BV804" s="9"/>
      <c r="BW804" s="9"/>
      <c r="BX804" s="9"/>
      <c r="BY804" s="9"/>
      <c r="BZ804" s="9"/>
    </row>
    <row r="805" spans="4:78" ht="18" customHeight="1" x14ac:dyDescent="0.25"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S805" s="9"/>
      <c r="T805" s="9"/>
      <c r="U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  <c r="AI805" s="9"/>
      <c r="AJ805" s="9"/>
      <c r="AK805" s="9"/>
      <c r="AL805" s="9"/>
      <c r="AM805" s="9"/>
      <c r="AN805" s="9"/>
      <c r="AO805" s="9"/>
      <c r="AP805" s="9"/>
      <c r="AQ805" s="9"/>
      <c r="AR805" s="9"/>
      <c r="AS805" s="9"/>
      <c r="AT805" s="9"/>
      <c r="AU805" s="9"/>
      <c r="AV805" s="9"/>
      <c r="AW805" s="9"/>
      <c r="AX805" s="9"/>
      <c r="AY805" s="9"/>
      <c r="AZ805" s="9"/>
      <c r="BA805" s="9"/>
      <c r="BB805" s="9"/>
      <c r="BC805" s="9"/>
      <c r="BD805" s="9"/>
      <c r="BE805" s="9"/>
      <c r="BF805" s="9"/>
      <c r="BG805" s="9"/>
      <c r="BH805" s="9"/>
      <c r="BI805" s="9"/>
      <c r="BJ805" s="9"/>
      <c r="BK805" s="9"/>
      <c r="BL805" s="9"/>
      <c r="BM805" s="9"/>
      <c r="BN805" s="9"/>
      <c r="BO805" s="9"/>
      <c r="BP805" s="9"/>
      <c r="BQ805" s="9"/>
      <c r="BR805" s="9"/>
      <c r="BS805" s="9"/>
      <c r="BT805" s="9"/>
      <c r="BU805" s="9"/>
      <c r="BV805" s="9"/>
      <c r="BW805" s="9"/>
      <c r="BX805" s="9"/>
      <c r="BY805" s="9"/>
      <c r="BZ805" s="9"/>
    </row>
    <row r="806" spans="4:78" ht="18" customHeight="1" x14ac:dyDescent="0.25"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S806" s="9"/>
      <c r="T806" s="9"/>
      <c r="U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  <c r="AI806" s="9"/>
      <c r="AJ806" s="9"/>
      <c r="AK806" s="9"/>
      <c r="AL806" s="9"/>
      <c r="AM806" s="9"/>
      <c r="AN806" s="9"/>
      <c r="AO806" s="9"/>
      <c r="AP806" s="9"/>
      <c r="AQ806" s="9"/>
      <c r="AR806" s="9"/>
      <c r="AS806" s="9"/>
      <c r="AT806" s="9"/>
      <c r="AU806" s="9"/>
      <c r="AV806" s="9"/>
      <c r="AW806" s="9"/>
      <c r="AX806" s="9"/>
      <c r="AY806" s="9"/>
      <c r="AZ806" s="9"/>
      <c r="BA806" s="9"/>
      <c r="BB806" s="9"/>
      <c r="BC806" s="9"/>
      <c r="BD806" s="9"/>
      <c r="BE806" s="9"/>
      <c r="BF806" s="9"/>
      <c r="BG806" s="9"/>
      <c r="BH806" s="9"/>
      <c r="BI806" s="9"/>
      <c r="BJ806" s="9"/>
      <c r="BK806" s="9"/>
      <c r="BL806" s="9"/>
      <c r="BM806" s="9"/>
      <c r="BN806" s="9"/>
      <c r="BO806" s="9"/>
      <c r="BP806" s="9"/>
      <c r="BQ806" s="9"/>
      <c r="BR806" s="9"/>
      <c r="BS806" s="9"/>
      <c r="BT806" s="9"/>
      <c r="BU806" s="9"/>
      <c r="BV806" s="9"/>
      <c r="BW806" s="9"/>
      <c r="BX806" s="9"/>
      <c r="BY806" s="9"/>
      <c r="BZ806" s="9"/>
    </row>
    <row r="807" spans="4:78" ht="18" customHeight="1" x14ac:dyDescent="0.25"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S807" s="9"/>
      <c r="T807" s="9"/>
      <c r="U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  <c r="AI807" s="9"/>
      <c r="AJ807" s="9"/>
      <c r="AK807" s="9"/>
      <c r="AL807" s="9"/>
      <c r="AM807" s="9"/>
      <c r="AN807" s="9"/>
      <c r="AO807" s="9"/>
      <c r="AP807" s="9"/>
      <c r="AQ807" s="9"/>
      <c r="AR807" s="9"/>
      <c r="AS807" s="9"/>
      <c r="AT807" s="9"/>
      <c r="AU807" s="9"/>
      <c r="AV807" s="9"/>
      <c r="AW807" s="9"/>
      <c r="AX807" s="9"/>
      <c r="AY807" s="9"/>
      <c r="AZ807" s="9"/>
      <c r="BA807" s="9"/>
      <c r="BB807" s="9"/>
      <c r="BC807" s="9"/>
      <c r="BD807" s="9"/>
      <c r="BE807" s="9"/>
      <c r="BF807" s="9"/>
      <c r="BG807" s="9"/>
      <c r="BH807" s="9"/>
      <c r="BI807" s="9"/>
      <c r="BJ807" s="9"/>
      <c r="BK807" s="9"/>
      <c r="BL807" s="9"/>
      <c r="BM807" s="9"/>
      <c r="BN807" s="9"/>
      <c r="BO807" s="9"/>
      <c r="BP807" s="9"/>
      <c r="BQ807" s="9"/>
      <c r="BR807" s="9"/>
      <c r="BS807" s="9"/>
      <c r="BT807" s="9"/>
      <c r="BU807" s="9"/>
      <c r="BV807" s="9"/>
      <c r="BW807" s="9"/>
      <c r="BX807" s="9"/>
      <c r="BY807" s="9"/>
      <c r="BZ807" s="9"/>
    </row>
    <row r="808" spans="4:78" ht="18" customHeight="1" x14ac:dyDescent="0.25"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S808" s="9"/>
      <c r="T808" s="9"/>
      <c r="U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  <c r="AH808" s="9"/>
      <c r="AI808" s="9"/>
      <c r="AJ808" s="9"/>
      <c r="AK808" s="9"/>
      <c r="AL808" s="9"/>
      <c r="AM808" s="9"/>
      <c r="AN808" s="9"/>
      <c r="AO808" s="9"/>
      <c r="AP808" s="9"/>
      <c r="AQ808" s="9"/>
      <c r="AR808" s="9"/>
      <c r="AS808" s="9"/>
      <c r="AT808" s="9"/>
      <c r="AU808" s="9"/>
      <c r="AV808" s="9"/>
      <c r="AW808" s="9"/>
      <c r="AX808" s="9"/>
      <c r="AY808" s="9"/>
      <c r="AZ808" s="9"/>
      <c r="BA808" s="9"/>
      <c r="BB808" s="9"/>
      <c r="BC808" s="9"/>
      <c r="BD808" s="9"/>
      <c r="BE808" s="9"/>
      <c r="BF808" s="9"/>
      <c r="BG808" s="9"/>
      <c r="BH808" s="9"/>
      <c r="BI808" s="9"/>
      <c r="BJ808" s="9"/>
      <c r="BK808" s="9"/>
      <c r="BL808" s="9"/>
      <c r="BM808" s="9"/>
      <c r="BN808" s="9"/>
      <c r="BO808" s="9"/>
      <c r="BP808" s="9"/>
      <c r="BQ808" s="9"/>
      <c r="BR808" s="9"/>
      <c r="BS808" s="9"/>
      <c r="BT808" s="9"/>
      <c r="BU808" s="9"/>
      <c r="BV808" s="9"/>
      <c r="BW808" s="9"/>
      <c r="BX808" s="9"/>
      <c r="BY808" s="9"/>
      <c r="BZ808" s="9"/>
    </row>
    <row r="809" spans="4:78" ht="18" customHeight="1" x14ac:dyDescent="0.25"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S809" s="9"/>
      <c r="T809" s="9"/>
      <c r="U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  <c r="AH809" s="9"/>
      <c r="AI809" s="9"/>
      <c r="AJ809" s="9"/>
      <c r="AK809" s="9"/>
      <c r="AL809" s="9"/>
      <c r="AM809" s="9"/>
      <c r="AN809" s="9"/>
      <c r="AO809" s="9"/>
      <c r="AP809" s="9"/>
      <c r="AQ809" s="9"/>
      <c r="AR809" s="9"/>
      <c r="AS809" s="9"/>
      <c r="AT809" s="9"/>
      <c r="AU809" s="9"/>
      <c r="AV809" s="9"/>
      <c r="AW809" s="9"/>
      <c r="AX809" s="9"/>
      <c r="AY809" s="9"/>
      <c r="AZ809" s="9"/>
      <c r="BA809" s="9"/>
      <c r="BB809" s="9"/>
      <c r="BC809" s="9"/>
      <c r="BD809" s="9"/>
      <c r="BE809" s="9"/>
      <c r="BF809" s="9"/>
      <c r="BG809" s="9"/>
      <c r="BH809" s="9"/>
      <c r="BI809" s="9"/>
      <c r="BJ809" s="9"/>
      <c r="BK809" s="9"/>
      <c r="BL809" s="9"/>
      <c r="BM809" s="9"/>
      <c r="BN809" s="9"/>
      <c r="BO809" s="9"/>
      <c r="BP809" s="9"/>
      <c r="BQ809" s="9"/>
      <c r="BR809" s="9"/>
      <c r="BS809" s="9"/>
      <c r="BT809" s="9"/>
      <c r="BU809" s="9"/>
      <c r="BV809" s="9"/>
      <c r="BW809" s="9"/>
      <c r="BX809" s="9"/>
      <c r="BY809" s="9"/>
      <c r="BZ809" s="9"/>
    </row>
    <row r="810" spans="4:78" ht="18" customHeight="1" x14ac:dyDescent="0.25"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S810" s="9"/>
      <c r="T810" s="9"/>
      <c r="U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  <c r="AH810" s="9"/>
      <c r="AI810" s="9"/>
      <c r="AJ810" s="9"/>
      <c r="AK810" s="9"/>
      <c r="AL810" s="9"/>
      <c r="AM810" s="9"/>
      <c r="AN810" s="9"/>
      <c r="AO810" s="9"/>
      <c r="AP810" s="9"/>
      <c r="AQ810" s="9"/>
      <c r="AR810" s="9"/>
      <c r="AS810" s="9"/>
      <c r="AT810" s="9"/>
      <c r="AU810" s="9"/>
      <c r="AV810" s="9"/>
      <c r="AW810" s="9"/>
      <c r="AX810" s="9"/>
      <c r="AY810" s="9"/>
      <c r="AZ810" s="9"/>
      <c r="BA810" s="9"/>
      <c r="BB810" s="9"/>
      <c r="BC810" s="9"/>
      <c r="BD810" s="9"/>
      <c r="BE810" s="9"/>
      <c r="BF810" s="9"/>
      <c r="BG810" s="9"/>
      <c r="BH810" s="9"/>
      <c r="BI810" s="9"/>
      <c r="BJ810" s="9"/>
      <c r="BK810" s="9"/>
      <c r="BL810" s="9"/>
      <c r="BM810" s="9"/>
      <c r="BN810" s="9"/>
      <c r="BO810" s="9"/>
      <c r="BP810" s="9"/>
      <c r="BQ810" s="9"/>
      <c r="BR810" s="9"/>
      <c r="BS810" s="9"/>
      <c r="BT810" s="9"/>
      <c r="BU810" s="9"/>
      <c r="BV810" s="9"/>
      <c r="BW810" s="9"/>
      <c r="BX810" s="9"/>
      <c r="BY810" s="9"/>
      <c r="BZ810" s="9"/>
    </row>
    <row r="811" spans="4:78" ht="18" customHeight="1" x14ac:dyDescent="0.25"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S811" s="9"/>
      <c r="T811" s="9"/>
      <c r="U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  <c r="AH811" s="9"/>
      <c r="AI811" s="9"/>
      <c r="AJ811" s="9"/>
      <c r="AK811" s="9"/>
      <c r="AL811" s="9"/>
      <c r="AM811" s="9"/>
      <c r="AN811" s="9"/>
      <c r="AO811" s="9"/>
      <c r="AP811" s="9"/>
      <c r="AQ811" s="9"/>
      <c r="AR811" s="9"/>
      <c r="AS811" s="9"/>
      <c r="AT811" s="9"/>
      <c r="AU811" s="9"/>
      <c r="AV811" s="9"/>
      <c r="AW811" s="9"/>
      <c r="AX811" s="9"/>
      <c r="AY811" s="9"/>
      <c r="AZ811" s="9"/>
      <c r="BA811" s="9"/>
      <c r="BB811" s="9"/>
      <c r="BC811" s="9"/>
      <c r="BD811" s="9"/>
      <c r="BE811" s="9"/>
      <c r="BF811" s="9"/>
      <c r="BG811" s="9"/>
      <c r="BH811" s="9"/>
      <c r="BI811" s="9"/>
      <c r="BJ811" s="9"/>
      <c r="BK811" s="9"/>
      <c r="BL811" s="9"/>
      <c r="BM811" s="9"/>
      <c r="BN811" s="9"/>
      <c r="BO811" s="9"/>
      <c r="BP811" s="9"/>
      <c r="BQ811" s="9"/>
      <c r="BR811" s="9"/>
      <c r="BS811" s="9"/>
      <c r="BT811" s="9"/>
      <c r="BU811" s="9"/>
      <c r="BV811" s="9"/>
      <c r="BW811" s="9"/>
      <c r="BX811" s="9"/>
      <c r="BY811" s="9"/>
      <c r="BZ811" s="9"/>
    </row>
    <row r="812" spans="4:78" ht="18" customHeight="1" x14ac:dyDescent="0.25"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S812" s="9"/>
      <c r="T812" s="9"/>
      <c r="U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  <c r="AH812" s="9"/>
      <c r="AI812" s="9"/>
      <c r="AJ812" s="9"/>
      <c r="AK812" s="9"/>
      <c r="AL812" s="9"/>
      <c r="AM812" s="9"/>
      <c r="AN812" s="9"/>
      <c r="AO812" s="9"/>
      <c r="AP812" s="9"/>
      <c r="AQ812" s="9"/>
      <c r="AR812" s="9"/>
      <c r="AS812" s="9"/>
      <c r="AT812" s="9"/>
      <c r="AU812" s="9"/>
      <c r="AV812" s="9"/>
      <c r="AW812" s="9"/>
      <c r="AX812" s="9"/>
      <c r="AY812" s="9"/>
      <c r="AZ812" s="9"/>
      <c r="BA812" s="9"/>
      <c r="BB812" s="9"/>
      <c r="BC812" s="9"/>
      <c r="BD812" s="9"/>
      <c r="BE812" s="9"/>
      <c r="BF812" s="9"/>
      <c r="BG812" s="9"/>
      <c r="BH812" s="9"/>
      <c r="BI812" s="9"/>
      <c r="BJ812" s="9"/>
      <c r="BK812" s="9"/>
      <c r="BL812" s="9"/>
      <c r="BM812" s="9"/>
      <c r="BN812" s="9"/>
      <c r="BO812" s="9"/>
      <c r="BP812" s="9"/>
      <c r="BQ812" s="9"/>
      <c r="BR812" s="9"/>
      <c r="BS812" s="9"/>
      <c r="BT812" s="9"/>
      <c r="BU812" s="9"/>
      <c r="BV812" s="9"/>
      <c r="BW812" s="9"/>
      <c r="BX812" s="9"/>
      <c r="BY812" s="9"/>
      <c r="BZ812" s="9"/>
    </row>
    <row r="813" spans="4:78" ht="18" customHeight="1" x14ac:dyDescent="0.25"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S813" s="9"/>
      <c r="T813" s="9"/>
      <c r="U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  <c r="AI813" s="9"/>
      <c r="AJ813" s="9"/>
      <c r="AK813" s="9"/>
      <c r="AL813" s="9"/>
      <c r="AM813" s="9"/>
      <c r="AN813" s="9"/>
      <c r="AO813" s="9"/>
      <c r="AP813" s="9"/>
      <c r="AQ813" s="9"/>
      <c r="AR813" s="9"/>
      <c r="AS813" s="9"/>
      <c r="AT813" s="9"/>
      <c r="AU813" s="9"/>
      <c r="AV813" s="9"/>
      <c r="AW813" s="9"/>
      <c r="AX813" s="9"/>
      <c r="AY813" s="9"/>
      <c r="AZ813" s="9"/>
      <c r="BA813" s="9"/>
      <c r="BB813" s="9"/>
      <c r="BC813" s="9"/>
      <c r="BD813" s="9"/>
      <c r="BE813" s="9"/>
      <c r="BF813" s="9"/>
      <c r="BG813" s="9"/>
      <c r="BH813" s="9"/>
      <c r="BI813" s="9"/>
      <c r="BJ813" s="9"/>
      <c r="BK813" s="9"/>
      <c r="BL813" s="9"/>
      <c r="BM813" s="9"/>
      <c r="BN813" s="9"/>
      <c r="BO813" s="9"/>
      <c r="BP813" s="9"/>
      <c r="BQ813" s="9"/>
      <c r="BR813" s="9"/>
      <c r="BS813" s="9"/>
      <c r="BT813" s="9"/>
      <c r="BU813" s="9"/>
      <c r="BV813" s="9"/>
      <c r="BW813" s="9"/>
      <c r="BX813" s="9"/>
      <c r="BY813" s="9"/>
      <c r="BZ813" s="9"/>
    </row>
    <row r="814" spans="4:78" ht="18" customHeight="1" x14ac:dyDescent="0.25"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S814" s="9"/>
      <c r="T814" s="9"/>
      <c r="U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  <c r="AH814" s="9"/>
      <c r="AI814" s="9"/>
      <c r="AJ814" s="9"/>
      <c r="AK814" s="9"/>
      <c r="AL814" s="9"/>
      <c r="AM814" s="9"/>
      <c r="AN814" s="9"/>
      <c r="AO814" s="9"/>
      <c r="AP814" s="9"/>
      <c r="AQ814" s="9"/>
      <c r="AR814" s="9"/>
      <c r="AS814" s="9"/>
      <c r="AT814" s="9"/>
      <c r="AU814" s="9"/>
      <c r="AV814" s="9"/>
      <c r="AW814" s="9"/>
      <c r="AX814" s="9"/>
      <c r="AY814" s="9"/>
      <c r="AZ814" s="9"/>
      <c r="BA814" s="9"/>
      <c r="BB814" s="9"/>
      <c r="BC814" s="9"/>
      <c r="BD814" s="9"/>
      <c r="BE814" s="9"/>
      <c r="BF814" s="9"/>
      <c r="BG814" s="9"/>
      <c r="BH814" s="9"/>
      <c r="BI814" s="9"/>
      <c r="BJ814" s="9"/>
      <c r="BK814" s="9"/>
      <c r="BL814" s="9"/>
      <c r="BM814" s="9"/>
      <c r="BN814" s="9"/>
      <c r="BO814" s="9"/>
      <c r="BP814" s="9"/>
      <c r="BQ814" s="9"/>
      <c r="BR814" s="9"/>
      <c r="BS814" s="9"/>
      <c r="BT814" s="9"/>
      <c r="BU814" s="9"/>
      <c r="BV814" s="9"/>
      <c r="BW814" s="9"/>
      <c r="BX814" s="9"/>
      <c r="BY814" s="9"/>
      <c r="BZ814" s="9"/>
    </row>
    <row r="815" spans="4:78" ht="18" customHeight="1" x14ac:dyDescent="0.25"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S815" s="9"/>
      <c r="T815" s="9"/>
      <c r="U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  <c r="AH815" s="9"/>
      <c r="AI815" s="9"/>
      <c r="AJ815" s="9"/>
      <c r="AK815" s="9"/>
      <c r="AL815" s="9"/>
      <c r="AM815" s="9"/>
      <c r="AN815" s="9"/>
      <c r="AO815" s="9"/>
      <c r="AP815" s="9"/>
      <c r="AQ815" s="9"/>
      <c r="AR815" s="9"/>
      <c r="AS815" s="9"/>
      <c r="AT815" s="9"/>
      <c r="AU815" s="9"/>
      <c r="AV815" s="9"/>
      <c r="AW815" s="9"/>
      <c r="AX815" s="9"/>
      <c r="AY815" s="9"/>
      <c r="AZ815" s="9"/>
      <c r="BA815" s="9"/>
      <c r="BB815" s="9"/>
      <c r="BC815" s="9"/>
      <c r="BD815" s="9"/>
      <c r="BE815" s="9"/>
      <c r="BF815" s="9"/>
      <c r="BG815" s="9"/>
      <c r="BH815" s="9"/>
      <c r="BI815" s="9"/>
      <c r="BJ815" s="9"/>
      <c r="BK815" s="9"/>
      <c r="BL815" s="9"/>
      <c r="BM815" s="9"/>
      <c r="BN815" s="9"/>
      <c r="BO815" s="9"/>
      <c r="BP815" s="9"/>
      <c r="BQ815" s="9"/>
      <c r="BR815" s="9"/>
      <c r="BS815" s="9"/>
      <c r="BT815" s="9"/>
      <c r="BU815" s="9"/>
      <c r="BV815" s="9"/>
      <c r="BW815" s="9"/>
      <c r="BX815" s="9"/>
      <c r="BY815" s="9"/>
      <c r="BZ815" s="9"/>
    </row>
    <row r="816" spans="4:78" ht="18" customHeight="1" x14ac:dyDescent="0.25"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S816" s="9"/>
      <c r="T816" s="9"/>
      <c r="U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  <c r="AH816" s="9"/>
      <c r="AI816" s="9"/>
      <c r="AJ816" s="9"/>
      <c r="AK816" s="9"/>
      <c r="AL816" s="9"/>
      <c r="AM816" s="9"/>
      <c r="AN816" s="9"/>
      <c r="AO816" s="9"/>
      <c r="AP816" s="9"/>
      <c r="AQ816" s="9"/>
      <c r="AR816" s="9"/>
      <c r="AS816" s="9"/>
      <c r="AT816" s="9"/>
      <c r="AU816" s="9"/>
      <c r="AV816" s="9"/>
      <c r="AW816" s="9"/>
      <c r="AX816" s="9"/>
      <c r="AY816" s="9"/>
      <c r="AZ816" s="9"/>
      <c r="BA816" s="9"/>
      <c r="BB816" s="9"/>
      <c r="BC816" s="9"/>
      <c r="BD816" s="9"/>
      <c r="BE816" s="9"/>
      <c r="BF816" s="9"/>
      <c r="BG816" s="9"/>
      <c r="BH816" s="9"/>
      <c r="BI816" s="9"/>
      <c r="BJ816" s="9"/>
      <c r="BK816" s="9"/>
      <c r="BL816" s="9"/>
      <c r="BM816" s="9"/>
      <c r="BN816" s="9"/>
      <c r="BO816" s="9"/>
      <c r="BP816" s="9"/>
      <c r="BQ816" s="9"/>
      <c r="BR816" s="9"/>
      <c r="BS816" s="9"/>
      <c r="BT816" s="9"/>
      <c r="BU816" s="9"/>
      <c r="BV816" s="9"/>
      <c r="BW816" s="9"/>
      <c r="BX816" s="9"/>
      <c r="BY816" s="9"/>
      <c r="BZ816" s="9"/>
    </row>
    <row r="817" spans="4:78" ht="18" customHeight="1" x14ac:dyDescent="0.25"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S817" s="9"/>
      <c r="T817" s="9"/>
      <c r="U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  <c r="AI817" s="9"/>
      <c r="AJ817" s="9"/>
      <c r="AK817" s="9"/>
      <c r="AL817" s="9"/>
      <c r="AM817" s="9"/>
      <c r="AN817" s="9"/>
      <c r="AO817" s="9"/>
      <c r="AP817" s="9"/>
      <c r="AQ817" s="9"/>
      <c r="AR817" s="9"/>
      <c r="AS817" s="9"/>
      <c r="AT817" s="9"/>
      <c r="AU817" s="9"/>
      <c r="AV817" s="9"/>
      <c r="AW817" s="9"/>
      <c r="AX817" s="9"/>
      <c r="AY817" s="9"/>
      <c r="AZ817" s="9"/>
      <c r="BA817" s="9"/>
      <c r="BB817" s="9"/>
      <c r="BC817" s="9"/>
      <c r="BD817" s="9"/>
      <c r="BE817" s="9"/>
      <c r="BF817" s="9"/>
      <c r="BG817" s="9"/>
      <c r="BH817" s="9"/>
      <c r="BI817" s="9"/>
      <c r="BJ817" s="9"/>
      <c r="BK817" s="9"/>
      <c r="BL817" s="9"/>
      <c r="BM817" s="9"/>
      <c r="BN817" s="9"/>
      <c r="BO817" s="9"/>
      <c r="BP817" s="9"/>
      <c r="BQ817" s="9"/>
      <c r="BR817" s="9"/>
      <c r="BS817" s="9"/>
      <c r="BT817" s="9"/>
      <c r="BU817" s="9"/>
      <c r="BV817" s="9"/>
      <c r="BW817" s="9"/>
      <c r="BX817" s="9"/>
      <c r="BY817" s="9"/>
      <c r="BZ817" s="9"/>
    </row>
    <row r="818" spans="4:78" ht="18" customHeight="1" x14ac:dyDescent="0.25"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S818" s="9"/>
      <c r="T818" s="9"/>
      <c r="U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  <c r="AI818" s="9"/>
      <c r="AJ818" s="9"/>
      <c r="AK818" s="9"/>
      <c r="AL818" s="9"/>
      <c r="AM818" s="9"/>
      <c r="AN818" s="9"/>
      <c r="AO818" s="9"/>
      <c r="AP818" s="9"/>
      <c r="AQ818" s="9"/>
      <c r="AR818" s="9"/>
      <c r="AS818" s="9"/>
      <c r="AT818" s="9"/>
      <c r="AU818" s="9"/>
      <c r="AV818" s="9"/>
      <c r="AW818" s="9"/>
      <c r="AX818" s="9"/>
      <c r="AY818" s="9"/>
      <c r="AZ818" s="9"/>
      <c r="BA818" s="9"/>
      <c r="BB818" s="9"/>
      <c r="BC818" s="9"/>
      <c r="BD818" s="9"/>
      <c r="BE818" s="9"/>
      <c r="BF818" s="9"/>
      <c r="BG818" s="9"/>
      <c r="BH818" s="9"/>
      <c r="BI818" s="9"/>
      <c r="BJ818" s="9"/>
      <c r="BK818" s="9"/>
      <c r="BL818" s="9"/>
      <c r="BM818" s="9"/>
      <c r="BN818" s="9"/>
      <c r="BO818" s="9"/>
      <c r="BP818" s="9"/>
      <c r="BQ818" s="9"/>
      <c r="BR818" s="9"/>
      <c r="BS818" s="9"/>
      <c r="BT818" s="9"/>
      <c r="BU818" s="9"/>
      <c r="BV818" s="9"/>
      <c r="BW818" s="9"/>
      <c r="BX818" s="9"/>
      <c r="BY818" s="9"/>
      <c r="BZ818" s="9"/>
    </row>
    <row r="819" spans="4:78" ht="18" customHeight="1" x14ac:dyDescent="0.25"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S819" s="9"/>
      <c r="T819" s="9"/>
      <c r="U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  <c r="AH819" s="9"/>
      <c r="AI819" s="9"/>
      <c r="AJ819" s="9"/>
      <c r="AK819" s="9"/>
      <c r="AL819" s="9"/>
      <c r="AM819" s="9"/>
      <c r="AN819" s="9"/>
      <c r="AO819" s="9"/>
      <c r="AP819" s="9"/>
      <c r="AQ819" s="9"/>
      <c r="AR819" s="9"/>
      <c r="AS819" s="9"/>
      <c r="AT819" s="9"/>
      <c r="AU819" s="9"/>
      <c r="AV819" s="9"/>
      <c r="AW819" s="9"/>
      <c r="AX819" s="9"/>
      <c r="AY819" s="9"/>
      <c r="AZ819" s="9"/>
      <c r="BA819" s="9"/>
      <c r="BB819" s="9"/>
      <c r="BC819" s="9"/>
      <c r="BD819" s="9"/>
      <c r="BE819" s="9"/>
      <c r="BF819" s="9"/>
      <c r="BG819" s="9"/>
      <c r="BH819" s="9"/>
      <c r="BI819" s="9"/>
      <c r="BJ819" s="9"/>
      <c r="BK819" s="9"/>
      <c r="BL819" s="9"/>
      <c r="BM819" s="9"/>
      <c r="BN819" s="9"/>
      <c r="BO819" s="9"/>
      <c r="BP819" s="9"/>
      <c r="BQ819" s="9"/>
      <c r="BR819" s="9"/>
      <c r="BS819" s="9"/>
      <c r="BT819" s="9"/>
      <c r="BU819" s="9"/>
      <c r="BV819" s="9"/>
      <c r="BW819" s="9"/>
      <c r="BX819" s="9"/>
      <c r="BY819" s="9"/>
      <c r="BZ819" s="9"/>
    </row>
    <row r="820" spans="4:78" ht="18" customHeight="1" x14ac:dyDescent="0.25"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S820" s="9"/>
      <c r="T820" s="9"/>
      <c r="U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  <c r="AH820" s="9"/>
      <c r="AI820" s="9"/>
      <c r="AJ820" s="9"/>
      <c r="AK820" s="9"/>
      <c r="AL820" s="9"/>
      <c r="AM820" s="9"/>
      <c r="AN820" s="9"/>
      <c r="AO820" s="9"/>
      <c r="AP820" s="9"/>
      <c r="AQ820" s="9"/>
      <c r="AR820" s="9"/>
      <c r="AS820" s="9"/>
      <c r="AT820" s="9"/>
      <c r="AU820" s="9"/>
      <c r="AV820" s="9"/>
      <c r="AW820" s="9"/>
      <c r="AX820" s="9"/>
      <c r="AY820" s="9"/>
      <c r="AZ820" s="9"/>
      <c r="BA820" s="9"/>
      <c r="BB820" s="9"/>
      <c r="BC820" s="9"/>
      <c r="BD820" s="9"/>
      <c r="BE820" s="9"/>
      <c r="BF820" s="9"/>
      <c r="BG820" s="9"/>
      <c r="BH820" s="9"/>
      <c r="BI820" s="9"/>
      <c r="BJ820" s="9"/>
      <c r="BK820" s="9"/>
      <c r="BL820" s="9"/>
      <c r="BM820" s="9"/>
      <c r="BN820" s="9"/>
      <c r="BO820" s="9"/>
      <c r="BP820" s="9"/>
      <c r="BQ820" s="9"/>
      <c r="BR820" s="9"/>
      <c r="BS820" s="9"/>
      <c r="BT820" s="9"/>
      <c r="BU820" s="9"/>
      <c r="BV820" s="9"/>
      <c r="BW820" s="9"/>
      <c r="BX820" s="9"/>
      <c r="BY820" s="9"/>
      <c r="BZ820" s="9"/>
    </row>
    <row r="821" spans="4:78" ht="18" customHeight="1" x14ac:dyDescent="0.25"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S821" s="9"/>
      <c r="T821" s="9"/>
      <c r="U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  <c r="AH821" s="9"/>
      <c r="AI821" s="9"/>
      <c r="AJ821" s="9"/>
      <c r="AK821" s="9"/>
      <c r="AL821" s="9"/>
      <c r="AM821" s="9"/>
      <c r="AN821" s="9"/>
      <c r="AO821" s="9"/>
      <c r="AP821" s="9"/>
      <c r="AQ821" s="9"/>
      <c r="AR821" s="9"/>
      <c r="AS821" s="9"/>
      <c r="AT821" s="9"/>
      <c r="AU821" s="9"/>
      <c r="AV821" s="9"/>
      <c r="AW821" s="9"/>
      <c r="AX821" s="9"/>
      <c r="AY821" s="9"/>
      <c r="AZ821" s="9"/>
      <c r="BA821" s="9"/>
      <c r="BB821" s="9"/>
      <c r="BC821" s="9"/>
      <c r="BD821" s="9"/>
      <c r="BE821" s="9"/>
      <c r="BF821" s="9"/>
      <c r="BG821" s="9"/>
      <c r="BH821" s="9"/>
      <c r="BI821" s="9"/>
      <c r="BJ821" s="9"/>
      <c r="BK821" s="9"/>
      <c r="BL821" s="9"/>
      <c r="BM821" s="9"/>
      <c r="BN821" s="9"/>
      <c r="BO821" s="9"/>
      <c r="BP821" s="9"/>
      <c r="BQ821" s="9"/>
      <c r="BR821" s="9"/>
      <c r="BS821" s="9"/>
      <c r="BT821" s="9"/>
      <c r="BU821" s="9"/>
      <c r="BV821" s="9"/>
      <c r="BW821" s="9"/>
      <c r="BX821" s="9"/>
      <c r="BY821" s="9"/>
      <c r="BZ821" s="9"/>
    </row>
    <row r="822" spans="4:78" ht="18" customHeight="1" x14ac:dyDescent="0.25"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S822" s="9"/>
      <c r="T822" s="9"/>
      <c r="U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  <c r="AH822" s="9"/>
      <c r="AI822" s="9"/>
      <c r="AJ822" s="9"/>
      <c r="AK822" s="9"/>
      <c r="AL822" s="9"/>
      <c r="AM822" s="9"/>
      <c r="AN822" s="9"/>
      <c r="AO822" s="9"/>
      <c r="AP822" s="9"/>
      <c r="AQ822" s="9"/>
      <c r="AR822" s="9"/>
      <c r="AS822" s="9"/>
      <c r="AT822" s="9"/>
      <c r="AU822" s="9"/>
      <c r="AV822" s="9"/>
      <c r="AW822" s="9"/>
      <c r="AX822" s="9"/>
      <c r="AY822" s="9"/>
      <c r="AZ822" s="9"/>
      <c r="BA822" s="9"/>
      <c r="BB822" s="9"/>
      <c r="BC822" s="9"/>
      <c r="BD822" s="9"/>
      <c r="BE822" s="9"/>
      <c r="BF822" s="9"/>
      <c r="BG822" s="9"/>
      <c r="BH822" s="9"/>
      <c r="BI822" s="9"/>
      <c r="BJ822" s="9"/>
      <c r="BK822" s="9"/>
      <c r="BL822" s="9"/>
      <c r="BM822" s="9"/>
      <c r="BN822" s="9"/>
      <c r="BO822" s="9"/>
      <c r="BP822" s="9"/>
      <c r="BQ822" s="9"/>
      <c r="BR822" s="9"/>
      <c r="BS822" s="9"/>
      <c r="BT822" s="9"/>
      <c r="BU822" s="9"/>
      <c r="BV822" s="9"/>
      <c r="BW822" s="9"/>
      <c r="BX822" s="9"/>
      <c r="BY822" s="9"/>
      <c r="BZ822" s="9"/>
    </row>
    <row r="823" spans="4:78" ht="18" customHeight="1" x14ac:dyDescent="0.25"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S823" s="9"/>
      <c r="T823" s="9"/>
      <c r="U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  <c r="AI823" s="9"/>
      <c r="AJ823" s="9"/>
      <c r="AK823" s="9"/>
      <c r="AL823" s="9"/>
      <c r="AM823" s="9"/>
      <c r="AN823" s="9"/>
      <c r="AO823" s="9"/>
      <c r="AP823" s="9"/>
      <c r="AQ823" s="9"/>
      <c r="AR823" s="9"/>
      <c r="AS823" s="9"/>
      <c r="AT823" s="9"/>
      <c r="AU823" s="9"/>
      <c r="AV823" s="9"/>
      <c r="AW823" s="9"/>
      <c r="AX823" s="9"/>
      <c r="AY823" s="9"/>
      <c r="AZ823" s="9"/>
      <c r="BA823" s="9"/>
      <c r="BB823" s="9"/>
      <c r="BC823" s="9"/>
      <c r="BD823" s="9"/>
      <c r="BE823" s="9"/>
      <c r="BF823" s="9"/>
      <c r="BG823" s="9"/>
      <c r="BH823" s="9"/>
      <c r="BI823" s="9"/>
      <c r="BJ823" s="9"/>
      <c r="BK823" s="9"/>
      <c r="BL823" s="9"/>
      <c r="BM823" s="9"/>
      <c r="BN823" s="9"/>
      <c r="BO823" s="9"/>
      <c r="BP823" s="9"/>
      <c r="BQ823" s="9"/>
      <c r="BR823" s="9"/>
      <c r="BS823" s="9"/>
      <c r="BT823" s="9"/>
      <c r="BU823" s="9"/>
      <c r="BV823" s="9"/>
      <c r="BW823" s="9"/>
      <c r="BX823" s="9"/>
      <c r="BY823" s="9"/>
      <c r="BZ823" s="9"/>
    </row>
    <row r="824" spans="4:78" ht="18" customHeight="1" x14ac:dyDescent="0.25"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S824" s="9"/>
      <c r="T824" s="9"/>
      <c r="U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  <c r="AH824" s="9"/>
      <c r="AI824" s="9"/>
      <c r="AJ824" s="9"/>
      <c r="AK824" s="9"/>
      <c r="AL824" s="9"/>
      <c r="AM824" s="9"/>
      <c r="AN824" s="9"/>
      <c r="AO824" s="9"/>
      <c r="AP824" s="9"/>
      <c r="AQ824" s="9"/>
      <c r="AR824" s="9"/>
      <c r="AS824" s="9"/>
      <c r="AT824" s="9"/>
      <c r="AU824" s="9"/>
      <c r="AV824" s="9"/>
      <c r="AW824" s="9"/>
      <c r="AX824" s="9"/>
      <c r="AY824" s="9"/>
      <c r="AZ824" s="9"/>
      <c r="BA824" s="9"/>
      <c r="BB824" s="9"/>
      <c r="BC824" s="9"/>
      <c r="BD824" s="9"/>
      <c r="BE824" s="9"/>
      <c r="BF824" s="9"/>
      <c r="BG824" s="9"/>
      <c r="BH824" s="9"/>
      <c r="BI824" s="9"/>
      <c r="BJ824" s="9"/>
      <c r="BK824" s="9"/>
      <c r="BL824" s="9"/>
      <c r="BM824" s="9"/>
      <c r="BN824" s="9"/>
      <c r="BO824" s="9"/>
      <c r="BP824" s="9"/>
      <c r="BQ824" s="9"/>
      <c r="BR824" s="9"/>
      <c r="BS824" s="9"/>
      <c r="BT824" s="9"/>
      <c r="BU824" s="9"/>
      <c r="BV824" s="9"/>
      <c r="BW824" s="9"/>
      <c r="BX824" s="9"/>
      <c r="BY824" s="9"/>
      <c r="BZ824" s="9"/>
    </row>
    <row r="825" spans="4:78" ht="18" customHeight="1" x14ac:dyDescent="0.25"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S825" s="9"/>
      <c r="T825" s="9"/>
      <c r="U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  <c r="BF825" s="9"/>
      <c r="BG825" s="9"/>
      <c r="BH825" s="9"/>
      <c r="BI825" s="9"/>
      <c r="BJ825" s="9"/>
      <c r="BK825" s="9"/>
      <c r="BL825" s="9"/>
      <c r="BM825" s="9"/>
      <c r="BN825" s="9"/>
      <c r="BO825" s="9"/>
      <c r="BP825" s="9"/>
      <c r="BQ825" s="9"/>
      <c r="BR825" s="9"/>
      <c r="BS825" s="9"/>
      <c r="BT825" s="9"/>
      <c r="BU825" s="9"/>
      <c r="BV825" s="9"/>
      <c r="BW825" s="9"/>
      <c r="BX825" s="9"/>
      <c r="BY825" s="9"/>
      <c r="BZ825" s="9"/>
    </row>
    <row r="826" spans="4:78" ht="18" customHeight="1" x14ac:dyDescent="0.25"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S826" s="9"/>
      <c r="T826" s="9"/>
      <c r="U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  <c r="AH826" s="9"/>
      <c r="AI826" s="9"/>
      <c r="AJ826" s="9"/>
      <c r="AK826" s="9"/>
      <c r="AL826" s="9"/>
      <c r="AM826" s="9"/>
      <c r="AN826" s="9"/>
      <c r="AO826" s="9"/>
      <c r="AP826" s="9"/>
      <c r="AQ826" s="9"/>
      <c r="AR826" s="9"/>
      <c r="AS826" s="9"/>
      <c r="AT826" s="9"/>
      <c r="AU826" s="9"/>
      <c r="AV826" s="9"/>
      <c r="AW826" s="9"/>
      <c r="AX826" s="9"/>
      <c r="AY826" s="9"/>
      <c r="AZ826" s="9"/>
      <c r="BA826" s="9"/>
      <c r="BB826" s="9"/>
      <c r="BC826" s="9"/>
      <c r="BD826" s="9"/>
      <c r="BE826" s="9"/>
      <c r="BF826" s="9"/>
      <c r="BG826" s="9"/>
      <c r="BH826" s="9"/>
      <c r="BI826" s="9"/>
      <c r="BJ826" s="9"/>
      <c r="BK826" s="9"/>
      <c r="BL826" s="9"/>
      <c r="BM826" s="9"/>
      <c r="BN826" s="9"/>
      <c r="BO826" s="9"/>
      <c r="BP826" s="9"/>
      <c r="BQ826" s="9"/>
      <c r="BR826" s="9"/>
      <c r="BS826" s="9"/>
      <c r="BT826" s="9"/>
      <c r="BU826" s="9"/>
      <c r="BV826" s="9"/>
      <c r="BW826" s="9"/>
      <c r="BX826" s="9"/>
      <c r="BY826" s="9"/>
      <c r="BZ826" s="9"/>
    </row>
    <row r="827" spans="4:78" ht="18" customHeight="1" x14ac:dyDescent="0.25"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S827" s="9"/>
      <c r="T827" s="9"/>
      <c r="U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  <c r="AH827" s="9"/>
      <c r="AI827" s="9"/>
      <c r="AJ827" s="9"/>
      <c r="AK827" s="9"/>
      <c r="AL827" s="9"/>
      <c r="AM827" s="9"/>
      <c r="AN827" s="9"/>
      <c r="AO827" s="9"/>
      <c r="AP827" s="9"/>
      <c r="AQ827" s="9"/>
      <c r="AR827" s="9"/>
      <c r="AS827" s="9"/>
      <c r="AT827" s="9"/>
      <c r="AU827" s="9"/>
      <c r="AV827" s="9"/>
      <c r="AW827" s="9"/>
      <c r="AX827" s="9"/>
      <c r="AY827" s="9"/>
      <c r="AZ827" s="9"/>
      <c r="BA827" s="9"/>
      <c r="BB827" s="9"/>
      <c r="BC827" s="9"/>
      <c r="BD827" s="9"/>
      <c r="BE827" s="9"/>
      <c r="BF827" s="9"/>
      <c r="BG827" s="9"/>
      <c r="BH827" s="9"/>
      <c r="BI827" s="9"/>
      <c r="BJ827" s="9"/>
      <c r="BK827" s="9"/>
      <c r="BL827" s="9"/>
      <c r="BM827" s="9"/>
      <c r="BN827" s="9"/>
      <c r="BO827" s="9"/>
      <c r="BP827" s="9"/>
      <c r="BQ827" s="9"/>
      <c r="BR827" s="9"/>
      <c r="BS827" s="9"/>
      <c r="BT827" s="9"/>
      <c r="BU827" s="9"/>
      <c r="BV827" s="9"/>
      <c r="BW827" s="9"/>
      <c r="BX827" s="9"/>
      <c r="BY827" s="9"/>
      <c r="BZ827" s="9"/>
    </row>
    <row r="828" spans="4:78" ht="18" customHeight="1" x14ac:dyDescent="0.25"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S828" s="9"/>
      <c r="T828" s="9"/>
      <c r="U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  <c r="AI828" s="9"/>
      <c r="AJ828" s="9"/>
      <c r="AK828" s="9"/>
      <c r="AL828" s="9"/>
      <c r="AM828" s="9"/>
      <c r="AN828" s="9"/>
      <c r="AO828" s="9"/>
      <c r="AP828" s="9"/>
      <c r="AQ828" s="9"/>
      <c r="AR828" s="9"/>
      <c r="AS828" s="9"/>
      <c r="AT828" s="9"/>
      <c r="AU828" s="9"/>
      <c r="AV828" s="9"/>
      <c r="AW828" s="9"/>
      <c r="AX828" s="9"/>
      <c r="AY828" s="9"/>
      <c r="AZ828" s="9"/>
      <c r="BA828" s="9"/>
      <c r="BB828" s="9"/>
      <c r="BC828" s="9"/>
      <c r="BD828" s="9"/>
      <c r="BE828" s="9"/>
      <c r="BF828" s="9"/>
      <c r="BG828" s="9"/>
      <c r="BH828" s="9"/>
      <c r="BI828" s="9"/>
      <c r="BJ828" s="9"/>
      <c r="BK828" s="9"/>
      <c r="BL828" s="9"/>
      <c r="BM828" s="9"/>
      <c r="BN828" s="9"/>
      <c r="BO828" s="9"/>
      <c r="BP828" s="9"/>
      <c r="BQ828" s="9"/>
      <c r="BR828" s="9"/>
      <c r="BS828" s="9"/>
      <c r="BT828" s="9"/>
      <c r="BU828" s="9"/>
      <c r="BV828" s="9"/>
      <c r="BW828" s="9"/>
      <c r="BX828" s="9"/>
      <c r="BY828" s="9"/>
      <c r="BZ828" s="9"/>
    </row>
    <row r="829" spans="4:78" ht="18" customHeight="1" x14ac:dyDescent="0.25"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S829" s="9"/>
      <c r="T829" s="9"/>
      <c r="U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  <c r="AI829" s="9"/>
      <c r="AJ829" s="9"/>
      <c r="AK829" s="9"/>
      <c r="AL829" s="9"/>
      <c r="AM829" s="9"/>
      <c r="AN829" s="9"/>
      <c r="AO829" s="9"/>
      <c r="AP829" s="9"/>
      <c r="AQ829" s="9"/>
      <c r="AR829" s="9"/>
      <c r="AS829" s="9"/>
      <c r="AT829" s="9"/>
      <c r="AU829" s="9"/>
      <c r="AV829" s="9"/>
      <c r="AW829" s="9"/>
      <c r="AX829" s="9"/>
      <c r="AY829" s="9"/>
      <c r="AZ829" s="9"/>
      <c r="BA829" s="9"/>
      <c r="BB829" s="9"/>
      <c r="BC829" s="9"/>
      <c r="BD829" s="9"/>
      <c r="BE829" s="9"/>
      <c r="BF829" s="9"/>
      <c r="BG829" s="9"/>
      <c r="BH829" s="9"/>
      <c r="BI829" s="9"/>
      <c r="BJ829" s="9"/>
      <c r="BK829" s="9"/>
      <c r="BL829" s="9"/>
      <c r="BM829" s="9"/>
      <c r="BN829" s="9"/>
      <c r="BO829" s="9"/>
      <c r="BP829" s="9"/>
      <c r="BQ829" s="9"/>
      <c r="BR829" s="9"/>
      <c r="BS829" s="9"/>
      <c r="BT829" s="9"/>
      <c r="BU829" s="9"/>
      <c r="BV829" s="9"/>
      <c r="BW829" s="9"/>
      <c r="BX829" s="9"/>
      <c r="BY829" s="9"/>
      <c r="BZ829" s="9"/>
    </row>
    <row r="830" spans="4:78" ht="18" customHeight="1" x14ac:dyDescent="0.25"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S830" s="9"/>
      <c r="T830" s="9"/>
      <c r="U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  <c r="AH830" s="9"/>
      <c r="AI830" s="9"/>
      <c r="AJ830" s="9"/>
      <c r="AK830" s="9"/>
      <c r="AL830" s="9"/>
      <c r="AM830" s="9"/>
      <c r="AN830" s="9"/>
      <c r="AO830" s="9"/>
      <c r="AP830" s="9"/>
      <c r="AQ830" s="9"/>
      <c r="AR830" s="9"/>
      <c r="AS830" s="9"/>
      <c r="AT830" s="9"/>
      <c r="AU830" s="9"/>
      <c r="AV830" s="9"/>
      <c r="AW830" s="9"/>
      <c r="AX830" s="9"/>
      <c r="AY830" s="9"/>
      <c r="AZ830" s="9"/>
      <c r="BA830" s="9"/>
      <c r="BB830" s="9"/>
      <c r="BC830" s="9"/>
      <c r="BD830" s="9"/>
      <c r="BE830" s="9"/>
      <c r="BF830" s="9"/>
      <c r="BG830" s="9"/>
      <c r="BH830" s="9"/>
      <c r="BI830" s="9"/>
      <c r="BJ830" s="9"/>
      <c r="BK830" s="9"/>
      <c r="BL830" s="9"/>
      <c r="BM830" s="9"/>
      <c r="BN830" s="9"/>
      <c r="BO830" s="9"/>
      <c r="BP830" s="9"/>
      <c r="BQ830" s="9"/>
      <c r="BR830" s="9"/>
      <c r="BS830" s="9"/>
      <c r="BT830" s="9"/>
      <c r="BU830" s="9"/>
      <c r="BV830" s="9"/>
      <c r="BW830" s="9"/>
      <c r="BX830" s="9"/>
      <c r="BY830" s="9"/>
      <c r="BZ830" s="9"/>
    </row>
    <row r="831" spans="4:78" ht="18" customHeight="1" x14ac:dyDescent="0.25"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S831" s="9"/>
      <c r="T831" s="9"/>
      <c r="U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  <c r="AH831" s="9"/>
      <c r="AI831" s="9"/>
      <c r="AJ831" s="9"/>
      <c r="AK831" s="9"/>
      <c r="AL831" s="9"/>
      <c r="AM831" s="9"/>
      <c r="AN831" s="9"/>
      <c r="AO831" s="9"/>
      <c r="AP831" s="9"/>
      <c r="AQ831" s="9"/>
      <c r="AR831" s="9"/>
      <c r="AS831" s="9"/>
      <c r="AT831" s="9"/>
      <c r="AU831" s="9"/>
      <c r="AV831" s="9"/>
      <c r="AW831" s="9"/>
      <c r="AX831" s="9"/>
      <c r="AY831" s="9"/>
      <c r="AZ831" s="9"/>
      <c r="BA831" s="9"/>
      <c r="BB831" s="9"/>
      <c r="BC831" s="9"/>
      <c r="BD831" s="9"/>
      <c r="BE831" s="9"/>
      <c r="BF831" s="9"/>
      <c r="BG831" s="9"/>
      <c r="BH831" s="9"/>
      <c r="BI831" s="9"/>
      <c r="BJ831" s="9"/>
      <c r="BK831" s="9"/>
      <c r="BL831" s="9"/>
      <c r="BM831" s="9"/>
      <c r="BN831" s="9"/>
      <c r="BO831" s="9"/>
      <c r="BP831" s="9"/>
      <c r="BQ831" s="9"/>
      <c r="BR831" s="9"/>
      <c r="BS831" s="9"/>
      <c r="BT831" s="9"/>
      <c r="BU831" s="9"/>
      <c r="BV831" s="9"/>
      <c r="BW831" s="9"/>
      <c r="BX831" s="9"/>
      <c r="BY831" s="9"/>
      <c r="BZ831" s="9"/>
    </row>
    <row r="832" spans="4:78" ht="18" customHeight="1" x14ac:dyDescent="0.25"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S832" s="9"/>
      <c r="T832" s="9"/>
      <c r="U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  <c r="AH832" s="9"/>
      <c r="AI832" s="9"/>
      <c r="AJ832" s="9"/>
      <c r="AK832" s="9"/>
      <c r="AL832" s="9"/>
      <c r="AM832" s="9"/>
      <c r="AN832" s="9"/>
      <c r="AO832" s="9"/>
      <c r="AP832" s="9"/>
      <c r="AQ832" s="9"/>
      <c r="AR832" s="9"/>
      <c r="AS832" s="9"/>
      <c r="AT832" s="9"/>
      <c r="AU832" s="9"/>
      <c r="AV832" s="9"/>
      <c r="AW832" s="9"/>
      <c r="AX832" s="9"/>
      <c r="AY832" s="9"/>
      <c r="AZ832" s="9"/>
      <c r="BA832" s="9"/>
      <c r="BB832" s="9"/>
      <c r="BC832" s="9"/>
      <c r="BD832" s="9"/>
      <c r="BE832" s="9"/>
      <c r="BF832" s="9"/>
      <c r="BG832" s="9"/>
      <c r="BH832" s="9"/>
      <c r="BI832" s="9"/>
      <c r="BJ832" s="9"/>
      <c r="BK832" s="9"/>
      <c r="BL832" s="9"/>
      <c r="BM832" s="9"/>
      <c r="BN832" s="9"/>
      <c r="BO832" s="9"/>
      <c r="BP832" s="9"/>
      <c r="BQ832" s="9"/>
      <c r="BR832" s="9"/>
      <c r="BS832" s="9"/>
      <c r="BT832" s="9"/>
      <c r="BU832" s="9"/>
      <c r="BV832" s="9"/>
      <c r="BW832" s="9"/>
      <c r="BX832" s="9"/>
      <c r="BY832" s="9"/>
      <c r="BZ832" s="9"/>
    </row>
    <row r="833" spans="4:78" ht="18" customHeight="1" x14ac:dyDescent="0.25"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S833" s="9"/>
      <c r="T833" s="9"/>
      <c r="U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  <c r="AI833" s="9"/>
      <c r="AJ833" s="9"/>
      <c r="AK833" s="9"/>
      <c r="AL833" s="9"/>
      <c r="AM833" s="9"/>
      <c r="AN833" s="9"/>
      <c r="AO833" s="9"/>
      <c r="AP833" s="9"/>
      <c r="AQ833" s="9"/>
      <c r="AR833" s="9"/>
      <c r="AS833" s="9"/>
      <c r="AT833" s="9"/>
      <c r="AU833" s="9"/>
      <c r="AV833" s="9"/>
      <c r="AW833" s="9"/>
      <c r="AX833" s="9"/>
      <c r="AY833" s="9"/>
      <c r="AZ833" s="9"/>
      <c r="BA833" s="9"/>
      <c r="BB833" s="9"/>
      <c r="BC833" s="9"/>
      <c r="BD833" s="9"/>
      <c r="BE833" s="9"/>
      <c r="BF833" s="9"/>
      <c r="BG833" s="9"/>
      <c r="BH833" s="9"/>
      <c r="BI833" s="9"/>
      <c r="BJ833" s="9"/>
      <c r="BK833" s="9"/>
      <c r="BL833" s="9"/>
      <c r="BM833" s="9"/>
      <c r="BN833" s="9"/>
      <c r="BO833" s="9"/>
      <c r="BP833" s="9"/>
      <c r="BQ833" s="9"/>
      <c r="BR833" s="9"/>
      <c r="BS833" s="9"/>
      <c r="BT833" s="9"/>
      <c r="BU833" s="9"/>
      <c r="BV833" s="9"/>
      <c r="BW833" s="9"/>
      <c r="BX833" s="9"/>
      <c r="BY833" s="9"/>
      <c r="BZ833" s="9"/>
    </row>
    <row r="834" spans="4:78" ht="18" customHeight="1" x14ac:dyDescent="0.25"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S834" s="9"/>
      <c r="T834" s="9"/>
      <c r="U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  <c r="AH834" s="9"/>
      <c r="AI834" s="9"/>
      <c r="AJ834" s="9"/>
      <c r="AK834" s="9"/>
      <c r="AL834" s="9"/>
      <c r="AM834" s="9"/>
      <c r="AN834" s="9"/>
      <c r="AO834" s="9"/>
      <c r="AP834" s="9"/>
      <c r="AQ834" s="9"/>
      <c r="AR834" s="9"/>
      <c r="AS834" s="9"/>
      <c r="AT834" s="9"/>
      <c r="AU834" s="9"/>
      <c r="AV834" s="9"/>
      <c r="AW834" s="9"/>
      <c r="AX834" s="9"/>
      <c r="AY834" s="9"/>
      <c r="AZ834" s="9"/>
      <c r="BA834" s="9"/>
      <c r="BB834" s="9"/>
      <c r="BC834" s="9"/>
      <c r="BD834" s="9"/>
      <c r="BE834" s="9"/>
      <c r="BF834" s="9"/>
      <c r="BG834" s="9"/>
      <c r="BH834" s="9"/>
      <c r="BI834" s="9"/>
      <c r="BJ834" s="9"/>
      <c r="BK834" s="9"/>
      <c r="BL834" s="9"/>
      <c r="BM834" s="9"/>
      <c r="BN834" s="9"/>
      <c r="BO834" s="9"/>
      <c r="BP834" s="9"/>
      <c r="BQ834" s="9"/>
      <c r="BR834" s="9"/>
      <c r="BS834" s="9"/>
      <c r="BT834" s="9"/>
      <c r="BU834" s="9"/>
      <c r="BV834" s="9"/>
      <c r="BW834" s="9"/>
      <c r="BX834" s="9"/>
      <c r="BY834" s="9"/>
      <c r="BZ834" s="9"/>
    </row>
    <row r="835" spans="4:78" ht="18" customHeight="1" x14ac:dyDescent="0.25"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S835" s="9"/>
      <c r="T835" s="9"/>
      <c r="U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  <c r="AH835" s="9"/>
      <c r="AI835" s="9"/>
      <c r="AJ835" s="9"/>
      <c r="AK835" s="9"/>
      <c r="AL835" s="9"/>
      <c r="AM835" s="9"/>
      <c r="AN835" s="9"/>
      <c r="AO835" s="9"/>
      <c r="AP835" s="9"/>
      <c r="AQ835" s="9"/>
      <c r="AR835" s="9"/>
      <c r="AS835" s="9"/>
      <c r="AT835" s="9"/>
      <c r="AU835" s="9"/>
      <c r="AV835" s="9"/>
      <c r="AW835" s="9"/>
      <c r="AX835" s="9"/>
      <c r="AY835" s="9"/>
      <c r="AZ835" s="9"/>
      <c r="BA835" s="9"/>
      <c r="BB835" s="9"/>
      <c r="BC835" s="9"/>
      <c r="BD835" s="9"/>
      <c r="BE835" s="9"/>
      <c r="BF835" s="9"/>
      <c r="BG835" s="9"/>
      <c r="BH835" s="9"/>
      <c r="BI835" s="9"/>
      <c r="BJ835" s="9"/>
      <c r="BK835" s="9"/>
      <c r="BL835" s="9"/>
      <c r="BM835" s="9"/>
      <c r="BN835" s="9"/>
      <c r="BO835" s="9"/>
      <c r="BP835" s="9"/>
      <c r="BQ835" s="9"/>
      <c r="BR835" s="9"/>
      <c r="BS835" s="9"/>
      <c r="BT835" s="9"/>
      <c r="BU835" s="9"/>
      <c r="BV835" s="9"/>
      <c r="BW835" s="9"/>
      <c r="BX835" s="9"/>
      <c r="BY835" s="9"/>
      <c r="BZ835" s="9"/>
    </row>
    <row r="836" spans="4:78" ht="18" customHeight="1" x14ac:dyDescent="0.25"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S836" s="9"/>
      <c r="T836" s="9"/>
      <c r="U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  <c r="AH836" s="9"/>
      <c r="AI836" s="9"/>
      <c r="AJ836" s="9"/>
      <c r="AK836" s="9"/>
      <c r="AL836" s="9"/>
      <c r="AM836" s="9"/>
      <c r="AN836" s="9"/>
      <c r="AO836" s="9"/>
      <c r="AP836" s="9"/>
      <c r="AQ836" s="9"/>
      <c r="AR836" s="9"/>
      <c r="AS836" s="9"/>
      <c r="AT836" s="9"/>
      <c r="AU836" s="9"/>
      <c r="AV836" s="9"/>
      <c r="AW836" s="9"/>
      <c r="AX836" s="9"/>
      <c r="AY836" s="9"/>
      <c r="AZ836" s="9"/>
      <c r="BA836" s="9"/>
      <c r="BB836" s="9"/>
      <c r="BC836" s="9"/>
      <c r="BD836" s="9"/>
      <c r="BE836" s="9"/>
      <c r="BF836" s="9"/>
      <c r="BG836" s="9"/>
      <c r="BH836" s="9"/>
      <c r="BI836" s="9"/>
      <c r="BJ836" s="9"/>
      <c r="BK836" s="9"/>
      <c r="BL836" s="9"/>
      <c r="BM836" s="9"/>
      <c r="BN836" s="9"/>
      <c r="BO836" s="9"/>
      <c r="BP836" s="9"/>
      <c r="BQ836" s="9"/>
      <c r="BR836" s="9"/>
      <c r="BS836" s="9"/>
      <c r="BT836" s="9"/>
      <c r="BU836" s="9"/>
      <c r="BV836" s="9"/>
      <c r="BW836" s="9"/>
      <c r="BX836" s="9"/>
      <c r="BY836" s="9"/>
      <c r="BZ836" s="9"/>
    </row>
    <row r="837" spans="4:78" ht="18" customHeight="1" x14ac:dyDescent="0.25"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S837" s="9"/>
      <c r="T837" s="9"/>
      <c r="U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  <c r="AH837" s="9"/>
      <c r="AI837" s="9"/>
      <c r="AJ837" s="9"/>
      <c r="AK837" s="9"/>
      <c r="AL837" s="9"/>
      <c r="AM837" s="9"/>
      <c r="AN837" s="9"/>
      <c r="AO837" s="9"/>
      <c r="AP837" s="9"/>
      <c r="AQ837" s="9"/>
      <c r="AR837" s="9"/>
      <c r="AS837" s="9"/>
      <c r="AT837" s="9"/>
      <c r="AU837" s="9"/>
      <c r="AV837" s="9"/>
      <c r="AW837" s="9"/>
      <c r="AX837" s="9"/>
      <c r="AY837" s="9"/>
      <c r="AZ837" s="9"/>
      <c r="BA837" s="9"/>
      <c r="BB837" s="9"/>
      <c r="BC837" s="9"/>
      <c r="BD837" s="9"/>
      <c r="BE837" s="9"/>
      <c r="BF837" s="9"/>
      <c r="BG837" s="9"/>
      <c r="BH837" s="9"/>
      <c r="BI837" s="9"/>
      <c r="BJ837" s="9"/>
      <c r="BK837" s="9"/>
      <c r="BL837" s="9"/>
      <c r="BM837" s="9"/>
      <c r="BN837" s="9"/>
      <c r="BO837" s="9"/>
      <c r="BP837" s="9"/>
      <c r="BQ837" s="9"/>
      <c r="BR837" s="9"/>
      <c r="BS837" s="9"/>
      <c r="BT837" s="9"/>
      <c r="BU837" s="9"/>
      <c r="BV837" s="9"/>
      <c r="BW837" s="9"/>
      <c r="BX837" s="9"/>
      <c r="BY837" s="9"/>
      <c r="BZ837" s="9"/>
    </row>
    <row r="838" spans="4:78" ht="18" customHeight="1" x14ac:dyDescent="0.25"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S838" s="9"/>
      <c r="T838" s="9"/>
      <c r="U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  <c r="AI838" s="9"/>
      <c r="AJ838" s="9"/>
      <c r="AK838" s="9"/>
      <c r="AL838" s="9"/>
      <c r="AM838" s="9"/>
      <c r="AN838" s="9"/>
      <c r="AO838" s="9"/>
      <c r="AP838" s="9"/>
      <c r="AQ838" s="9"/>
      <c r="AR838" s="9"/>
      <c r="AS838" s="9"/>
      <c r="AT838" s="9"/>
      <c r="AU838" s="9"/>
      <c r="AV838" s="9"/>
      <c r="AW838" s="9"/>
      <c r="AX838" s="9"/>
      <c r="AY838" s="9"/>
      <c r="AZ838" s="9"/>
      <c r="BA838" s="9"/>
      <c r="BB838" s="9"/>
      <c r="BC838" s="9"/>
      <c r="BD838" s="9"/>
      <c r="BE838" s="9"/>
      <c r="BF838" s="9"/>
      <c r="BG838" s="9"/>
      <c r="BH838" s="9"/>
      <c r="BI838" s="9"/>
      <c r="BJ838" s="9"/>
      <c r="BK838" s="9"/>
      <c r="BL838" s="9"/>
      <c r="BM838" s="9"/>
      <c r="BN838" s="9"/>
      <c r="BO838" s="9"/>
      <c r="BP838" s="9"/>
      <c r="BQ838" s="9"/>
      <c r="BR838" s="9"/>
      <c r="BS838" s="9"/>
      <c r="BT838" s="9"/>
      <c r="BU838" s="9"/>
      <c r="BV838" s="9"/>
      <c r="BW838" s="9"/>
      <c r="BX838" s="9"/>
      <c r="BY838" s="9"/>
      <c r="BZ838" s="9"/>
    </row>
    <row r="839" spans="4:78" ht="18" customHeight="1" x14ac:dyDescent="0.25"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S839" s="9"/>
      <c r="T839" s="9"/>
      <c r="U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  <c r="AH839" s="9"/>
      <c r="AI839" s="9"/>
      <c r="AJ839" s="9"/>
      <c r="AK839" s="9"/>
      <c r="AL839" s="9"/>
      <c r="AM839" s="9"/>
      <c r="AN839" s="9"/>
      <c r="AO839" s="9"/>
      <c r="AP839" s="9"/>
      <c r="AQ839" s="9"/>
      <c r="AR839" s="9"/>
      <c r="AS839" s="9"/>
      <c r="AT839" s="9"/>
      <c r="AU839" s="9"/>
      <c r="AV839" s="9"/>
      <c r="AW839" s="9"/>
      <c r="AX839" s="9"/>
      <c r="AY839" s="9"/>
      <c r="AZ839" s="9"/>
      <c r="BA839" s="9"/>
      <c r="BB839" s="9"/>
      <c r="BC839" s="9"/>
      <c r="BD839" s="9"/>
      <c r="BE839" s="9"/>
      <c r="BF839" s="9"/>
      <c r="BG839" s="9"/>
      <c r="BH839" s="9"/>
      <c r="BI839" s="9"/>
      <c r="BJ839" s="9"/>
      <c r="BK839" s="9"/>
      <c r="BL839" s="9"/>
      <c r="BM839" s="9"/>
      <c r="BN839" s="9"/>
      <c r="BO839" s="9"/>
      <c r="BP839" s="9"/>
      <c r="BQ839" s="9"/>
      <c r="BR839" s="9"/>
      <c r="BS839" s="9"/>
      <c r="BT839" s="9"/>
      <c r="BU839" s="9"/>
      <c r="BV839" s="9"/>
      <c r="BW839" s="9"/>
      <c r="BX839" s="9"/>
      <c r="BY839" s="9"/>
      <c r="BZ839" s="9"/>
    </row>
    <row r="840" spans="4:78" ht="18" customHeight="1" x14ac:dyDescent="0.25"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S840" s="9"/>
      <c r="T840" s="9"/>
      <c r="U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  <c r="AH840" s="9"/>
      <c r="AI840" s="9"/>
      <c r="AJ840" s="9"/>
      <c r="AK840" s="9"/>
      <c r="AL840" s="9"/>
      <c r="AM840" s="9"/>
      <c r="AN840" s="9"/>
      <c r="AO840" s="9"/>
      <c r="AP840" s="9"/>
      <c r="AQ840" s="9"/>
      <c r="AR840" s="9"/>
      <c r="AS840" s="9"/>
      <c r="AT840" s="9"/>
      <c r="AU840" s="9"/>
      <c r="AV840" s="9"/>
      <c r="AW840" s="9"/>
      <c r="AX840" s="9"/>
      <c r="AY840" s="9"/>
      <c r="AZ840" s="9"/>
      <c r="BA840" s="9"/>
      <c r="BB840" s="9"/>
      <c r="BC840" s="9"/>
      <c r="BD840" s="9"/>
      <c r="BE840" s="9"/>
      <c r="BF840" s="9"/>
      <c r="BG840" s="9"/>
      <c r="BH840" s="9"/>
      <c r="BI840" s="9"/>
      <c r="BJ840" s="9"/>
      <c r="BK840" s="9"/>
      <c r="BL840" s="9"/>
      <c r="BM840" s="9"/>
      <c r="BN840" s="9"/>
      <c r="BO840" s="9"/>
      <c r="BP840" s="9"/>
      <c r="BQ840" s="9"/>
      <c r="BR840" s="9"/>
      <c r="BS840" s="9"/>
      <c r="BT840" s="9"/>
      <c r="BU840" s="9"/>
      <c r="BV840" s="9"/>
      <c r="BW840" s="9"/>
      <c r="BX840" s="9"/>
      <c r="BY840" s="9"/>
      <c r="BZ840" s="9"/>
    </row>
    <row r="841" spans="4:78" ht="18" customHeight="1" x14ac:dyDescent="0.25"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S841" s="9"/>
      <c r="T841" s="9"/>
      <c r="U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  <c r="AH841" s="9"/>
      <c r="AI841" s="9"/>
      <c r="AJ841" s="9"/>
      <c r="AK841" s="9"/>
      <c r="AL841" s="9"/>
      <c r="AM841" s="9"/>
      <c r="AN841" s="9"/>
      <c r="AO841" s="9"/>
      <c r="AP841" s="9"/>
      <c r="AQ841" s="9"/>
      <c r="AR841" s="9"/>
      <c r="AS841" s="9"/>
      <c r="AT841" s="9"/>
      <c r="AU841" s="9"/>
      <c r="AV841" s="9"/>
      <c r="AW841" s="9"/>
      <c r="AX841" s="9"/>
      <c r="AY841" s="9"/>
      <c r="AZ841" s="9"/>
      <c r="BA841" s="9"/>
      <c r="BB841" s="9"/>
      <c r="BC841" s="9"/>
      <c r="BD841" s="9"/>
      <c r="BE841" s="9"/>
      <c r="BF841" s="9"/>
      <c r="BG841" s="9"/>
      <c r="BH841" s="9"/>
      <c r="BI841" s="9"/>
      <c r="BJ841" s="9"/>
      <c r="BK841" s="9"/>
      <c r="BL841" s="9"/>
      <c r="BM841" s="9"/>
      <c r="BN841" s="9"/>
      <c r="BO841" s="9"/>
      <c r="BP841" s="9"/>
      <c r="BQ841" s="9"/>
      <c r="BR841" s="9"/>
      <c r="BS841" s="9"/>
      <c r="BT841" s="9"/>
      <c r="BU841" s="9"/>
      <c r="BV841" s="9"/>
      <c r="BW841" s="9"/>
      <c r="BX841" s="9"/>
      <c r="BY841" s="9"/>
      <c r="BZ841" s="9"/>
    </row>
    <row r="842" spans="4:78" ht="18" customHeight="1" x14ac:dyDescent="0.25"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S842" s="9"/>
      <c r="T842" s="9"/>
      <c r="U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  <c r="AH842" s="9"/>
      <c r="AI842" s="9"/>
      <c r="AJ842" s="9"/>
      <c r="AK842" s="9"/>
      <c r="AL842" s="9"/>
      <c r="AM842" s="9"/>
      <c r="AN842" s="9"/>
      <c r="AO842" s="9"/>
      <c r="AP842" s="9"/>
      <c r="AQ842" s="9"/>
      <c r="AR842" s="9"/>
      <c r="AS842" s="9"/>
      <c r="AT842" s="9"/>
      <c r="AU842" s="9"/>
      <c r="AV842" s="9"/>
      <c r="AW842" s="9"/>
      <c r="AX842" s="9"/>
      <c r="AY842" s="9"/>
      <c r="AZ842" s="9"/>
      <c r="BA842" s="9"/>
      <c r="BB842" s="9"/>
      <c r="BC842" s="9"/>
      <c r="BD842" s="9"/>
      <c r="BE842" s="9"/>
      <c r="BF842" s="9"/>
      <c r="BG842" s="9"/>
      <c r="BH842" s="9"/>
      <c r="BI842" s="9"/>
      <c r="BJ842" s="9"/>
      <c r="BK842" s="9"/>
      <c r="BL842" s="9"/>
      <c r="BM842" s="9"/>
      <c r="BN842" s="9"/>
      <c r="BO842" s="9"/>
      <c r="BP842" s="9"/>
      <c r="BQ842" s="9"/>
      <c r="BR842" s="9"/>
      <c r="BS842" s="9"/>
      <c r="BT842" s="9"/>
      <c r="BU842" s="9"/>
      <c r="BV842" s="9"/>
      <c r="BW842" s="9"/>
      <c r="BX842" s="9"/>
      <c r="BY842" s="9"/>
      <c r="BZ842" s="9"/>
    </row>
    <row r="843" spans="4:78" ht="18" customHeight="1" x14ac:dyDescent="0.25"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S843" s="9"/>
      <c r="T843" s="9"/>
      <c r="U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  <c r="AI843" s="9"/>
      <c r="AJ843" s="9"/>
      <c r="AK843" s="9"/>
      <c r="AL843" s="9"/>
      <c r="AM843" s="9"/>
      <c r="AN843" s="9"/>
      <c r="AO843" s="9"/>
      <c r="AP843" s="9"/>
      <c r="AQ843" s="9"/>
      <c r="AR843" s="9"/>
      <c r="AS843" s="9"/>
      <c r="AT843" s="9"/>
      <c r="AU843" s="9"/>
      <c r="AV843" s="9"/>
      <c r="AW843" s="9"/>
      <c r="AX843" s="9"/>
      <c r="AY843" s="9"/>
      <c r="AZ843" s="9"/>
      <c r="BA843" s="9"/>
      <c r="BB843" s="9"/>
      <c r="BC843" s="9"/>
      <c r="BD843" s="9"/>
      <c r="BE843" s="9"/>
      <c r="BF843" s="9"/>
      <c r="BG843" s="9"/>
      <c r="BH843" s="9"/>
      <c r="BI843" s="9"/>
      <c r="BJ843" s="9"/>
      <c r="BK843" s="9"/>
      <c r="BL843" s="9"/>
      <c r="BM843" s="9"/>
      <c r="BN843" s="9"/>
      <c r="BO843" s="9"/>
      <c r="BP843" s="9"/>
      <c r="BQ843" s="9"/>
      <c r="BR843" s="9"/>
      <c r="BS843" s="9"/>
      <c r="BT843" s="9"/>
      <c r="BU843" s="9"/>
      <c r="BV843" s="9"/>
      <c r="BW843" s="9"/>
      <c r="BX843" s="9"/>
      <c r="BY843" s="9"/>
      <c r="BZ843" s="9"/>
    </row>
    <row r="844" spans="4:78" ht="18" customHeight="1" x14ac:dyDescent="0.25"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S844" s="9"/>
      <c r="T844" s="9"/>
      <c r="U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  <c r="AH844" s="9"/>
      <c r="AI844" s="9"/>
      <c r="AJ844" s="9"/>
      <c r="AK844" s="9"/>
      <c r="AL844" s="9"/>
      <c r="AM844" s="9"/>
      <c r="AN844" s="9"/>
      <c r="AO844" s="9"/>
      <c r="AP844" s="9"/>
      <c r="AQ844" s="9"/>
      <c r="AR844" s="9"/>
      <c r="AS844" s="9"/>
      <c r="AT844" s="9"/>
      <c r="AU844" s="9"/>
      <c r="AV844" s="9"/>
      <c r="AW844" s="9"/>
      <c r="AX844" s="9"/>
      <c r="AY844" s="9"/>
      <c r="AZ844" s="9"/>
      <c r="BA844" s="9"/>
      <c r="BB844" s="9"/>
      <c r="BC844" s="9"/>
      <c r="BD844" s="9"/>
      <c r="BE844" s="9"/>
      <c r="BF844" s="9"/>
      <c r="BG844" s="9"/>
      <c r="BH844" s="9"/>
      <c r="BI844" s="9"/>
      <c r="BJ844" s="9"/>
      <c r="BK844" s="9"/>
      <c r="BL844" s="9"/>
      <c r="BM844" s="9"/>
      <c r="BN844" s="9"/>
      <c r="BO844" s="9"/>
      <c r="BP844" s="9"/>
      <c r="BQ844" s="9"/>
      <c r="BR844" s="9"/>
      <c r="BS844" s="9"/>
      <c r="BT844" s="9"/>
      <c r="BU844" s="9"/>
      <c r="BV844" s="9"/>
      <c r="BW844" s="9"/>
      <c r="BX844" s="9"/>
      <c r="BY844" s="9"/>
      <c r="BZ844" s="9"/>
    </row>
    <row r="845" spans="4:78" ht="18" customHeight="1" x14ac:dyDescent="0.25"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S845" s="9"/>
      <c r="T845" s="9"/>
      <c r="U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  <c r="AH845" s="9"/>
      <c r="AI845" s="9"/>
      <c r="AJ845" s="9"/>
      <c r="AK845" s="9"/>
      <c r="AL845" s="9"/>
      <c r="AM845" s="9"/>
      <c r="AN845" s="9"/>
      <c r="AO845" s="9"/>
      <c r="AP845" s="9"/>
      <c r="AQ845" s="9"/>
      <c r="AR845" s="9"/>
      <c r="AS845" s="9"/>
      <c r="AT845" s="9"/>
      <c r="AU845" s="9"/>
      <c r="AV845" s="9"/>
      <c r="AW845" s="9"/>
      <c r="AX845" s="9"/>
      <c r="AY845" s="9"/>
      <c r="AZ845" s="9"/>
      <c r="BA845" s="9"/>
      <c r="BB845" s="9"/>
      <c r="BC845" s="9"/>
      <c r="BD845" s="9"/>
      <c r="BE845" s="9"/>
      <c r="BF845" s="9"/>
      <c r="BG845" s="9"/>
      <c r="BH845" s="9"/>
      <c r="BI845" s="9"/>
      <c r="BJ845" s="9"/>
      <c r="BK845" s="9"/>
      <c r="BL845" s="9"/>
      <c r="BM845" s="9"/>
      <c r="BN845" s="9"/>
      <c r="BO845" s="9"/>
      <c r="BP845" s="9"/>
      <c r="BQ845" s="9"/>
      <c r="BR845" s="9"/>
      <c r="BS845" s="9"/>
      <c r="BT845" s="9"/>
      <c r="BU845" s="9"/>
      <c r="BV845" s="9"/>
      <c r="BW845" s="9"/>
      <c r="BX845" s="9"/>
      <c r="BY845" s="9"/>
      <c r="BZ845" s="9"/>
    </row>
    <row r="846" spans="4:78" ht="18" customHeight="1" x14ac:dyDescent="0.25"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S846" s="9"/>
      <c r="T846" s="9"/>
      <c r="U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  <c r="AH846" s="9"/>
      <c r="AI846" s="9"/>
      <c r="AJ846" s="9"/>
      <c r="AK846" s="9"/>
      <c r="AL846" s="9"/>
      <c r="AM846" s="9"/>
      <c r="AN846" s="9"/>
      <c r="AO846" s="9"/>
      <c r="AP846" s="9"/>
      <c r="AQ846" s="9"/>
      <c r="AR846" s="9"/>
      <c r="AS846" s="9"/>
      <c r="AT846" s="9"/>
      <c r="AU846" s="9"/>
      <c r="AV846" s="9"/>
      <c r="AW846" s="9"/>
      <c r="AX846" s="9"/>
      <c r="AY846" s="9"/>
      <c r="AZ846" s="9"/>
      <c r="BA846" s="9"/>
      <c r="BB846" s="9"/>
      <c r="BC846" s="9"/>
      <c r="BD846" s="9"/>
      <c r="BE846" s="9"/>
      <c r="BF846" s="9"/>
      <c r="BG846" s="9"/>
      <c r="BH846" s="9"/>
      <c r="BI846" s="9"/>
      <c r="BJ846" s="9"/>
      <c r="BK846" s="9"/>
      <c r="BL846" s="9"/>
      <c r="BM846" s="9"/>
      <c r="BN846" s="9"/>
      <c r="BO846" s="9"/>
      <c r="BP846" s="9"/>
      <c r="BQ846" s="9"/>
      <c r="BR846" s="9"/>
      <c r="BS846" s="9"/>
      <c r="BT846" s="9"/>
      <c r="BU846" s="9"/>
      <c r="BV846" s="9"/>
      <c r="BW846" s="9"/>
      <c r="BX846" s="9"/>
      <c r="BY846" s="9"/>
      <c r="BZ846" s="9"/>
    </row>
    <row r="847" spans="4:78" ht="18" customHeight="1" x14ac:dyDescent="0.25"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S847" s="9"/>
      <c r="T847" s="9"/>
      <c r="U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  <c r="AH847" s="9"/>
      <c r="AI847" s="9"/>
      <c r="AJ847" s="9"/>
      <c r="AK847" s="9"/>
      <c r="AL847" s="9"/>
      <c r="AM847" s="9"/>
      <c r="AN847" s="9"/>
      <c r="AO847" s="9"/>
      <c r="AP847" s="9"/>
      <c r="AQ847" s="9"/>
      <c r="AR847" s="9"/>
      <c r="AS847" s="9"/>
      <c r="AT847" s="9"/>
      <c r="AU847" s="9"/>
      <c r="AV847" s="9"/>
      <c r="AW847" s="9"/>
      <c r="AX847" s="9"/>
      <c r="AY847" s="9"/>
      <c r="AZ847" s="9"/>
      <c r="BA847" s="9"/>
      <c r="BB847" s="9"/>
      <c r="BC847" s="9"/>
      <c r="BD847" s="9"/>
      <c r="BE847" s="9"/>
      <c r="BF847" s="9"/>
      <c r="BG847" s="9"/>
      <c r="BH847" s="9"/>
      <c r="BI847" s="9"/>
      <c r="BJ847" s="9"/>
      <c r="BK847" s="9"/>
      <c r="BL847" s="9"/>
      <c r="BM847" s="9"/>
      <c r="BN847" s="9"/>
      <c r="BO847" s="9"/>
      <c r="BP847" s="9"/>
      <c r="BQ847" s="9"/>
      <c r="BR847" s="9"/>
      <c r="BS847" s="9"/>
      <c r="BT847" s="9"/>
      <c r="BU847" s="9"/>
      <c r="BV847" s="9"/>
      <c r="BW847" s="9"/>
      <c r="BX847" s="9"/>
      <c r="BY847" s="9"/>
      <c r="BZ847" s="9"/>
    </row>
    <row r="848" spans="4:78" ht="18" customHeight="1" x14ac:dyDescent="0.25"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S848" s="9"/>
      <c r="T848" s="9"/>
      <c r="U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  <c r="AH848" s="9"/>
      <c r="AI848" s="9"/>
      <c r="AJ848" s="9"/>
      <c r="AK848" s="9"/>
      <c r="AL848" s="9"/>
      <c r="AM848" s="9"/>
      <c r="AN848" s="9"/>
      <c r="AO848" s="9"/>
      <c r="AP848" s="9"/>
      <c r="AQ848" s="9"/>
      <c r="AR848" s="9"/>
      <c r="AS848" s="9"/>
      <c r="AT848" s="9"/>
      <c r="AU848" s="9"/>
      <c r="AV848" s="9"/>
      <c r="AW848" s="9"/>
      <c r="AX848" s="9"/>
      <c r="AY848" s="9"/>
      <c r="AZ848" s="9"/>
      <c r="BA848" s="9"/>
      <c r="BB848" s="9"/>
      <c r="BC848" s="9"/>
      <c r="BD848" s="9"/>
      <c r="BE848" s="9"/>
      <c r="BF848" s="9"/>
      <c r="BG848" s="9"/>
      <c r="BH848" s="9"/>
      <c r="BI848" s="9"/>
      <c r="BJ848" s="9"/>
      <c r="BK848" s="9"/>
      <c r="BL848" s="9"/>
      <c r="BM848" s="9"/>
      <c r="BN848" s="9"/>
      <c r="BO848" s="9"/>
      <c r="BP848" s="9"/>
      <c r="BQ848" s="9"/>
      <c r="BR848" s="9"/>
      <c r="BS848" s="9"/>
      <c r="BT848" s="9"/>
      <c r="BU848" s="9"/>
      <c r="BV848" s="9"/>
      <c r="BW848" s="9"/>
      <c r="BX848" s="9"/>
      <c r="BY848" s="9"/>
      <c r="BZ848" s="9"/>
    </row>
    <row r="849" spans="4:78" ht="18" customHeight="1" x14ac:dyDescent="0.25"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S849" s="9"/>
      <c r="T849" s="9"/>
      <c r="U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  <c r="AH849" s="9"/>
      <c r="AI849" s="9"/>
      <c r="AJ849" s="9"/>
      <c r="AK849" s="9"/>
      <c r="AL849" s="9"/>
      <c r="AM849" s="9"/>
      <c r="AN849" s="9"/>
      <c r="AO849" s="9"/>
      <c r="AP849" s="9"/>
      <c r="AQ849" s="9"/>
      <c r="AR849" s="9"/>
      <c r="AS849" s="9"/>
      <c r="AT849" s="9"/>
      <c r="AU849" s="9"/>
      <c r="AV849" s="9"/>
      <c r="AW849" s="9"/>
      <c r="AX849" s="9"/>
      <c r="AY849" s="9"/>
      <c r="AZ849" s="9"/>
      <c r="BA849" s="9"/>
      <c r="BB849" s="9"/>
      <c r="BC849" s="9"/>
      <c r="BD849" s="9"/>
      <c r="BE849" s="9"/>
      <c r="BF849" s="9"/>
      <c r="BG849" s="9"/>
      <c r="BH849" s="9"/>
      <c r="BI849" s="9"/>
      <c r="BJ849" s="9"/>
      <c r="BK849" s="9"/>
      <c r="BL849" s="9"/>
      <c r="BM849" s="9"/>
      <c r="BN849" s="9"/>
      <c r="BO849" s="9"/>
      <c r="BP849" s="9"/>
      <c r="BQ849" s="9"/>
      <c r="BR849" s="9"/>
      <c r="BS849" s="9"/>
      <c r="BT849" s="9"/>
      <c r="BU849" s="9"/>
      <c r="BV849" s="9"/>
      <c r="BW849" s="9"/>
      <c r="BX849" s="9"/>
      <c r="BY849" s="9"/>
      <c r="BZ849" s="9"/>
    </row>
    <row r="850" spans="4:78" ht="18" customHeight="1" x14ac:dyDescent="0.25"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S850" s="9"/>
      <c r="T850" s="9"/>
      <c r="U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  <c r="AH850" s="9"/>
      <c r="AI850" s="9"/>
      <c r="AJ850" s="9"/>
      <c r="AK850" s="9"/>
      <c r="AL850" s="9"/>
      <c r="AM850" s="9"/>
      <c r="AN850" s="9"/>
      <c r="AO850" s="9"/>
      <c r="AP850" s="9"/>
      <c r="AQ850" s="9"/>
      <c r="AR850" s="9"/>
      <c r="AS850" s="9"/>
      <c r="AT850" s="9"/>
      <c r="AU850" s="9"/>
      <c r="AV850" s="9"/>
      <c r="AW850" s="9"/>
      <c r="AX850" s="9"/>
      <c r="AY850" s="9"/>
      <c r="AZ850" s="9"/>
      <c r="BA850" s="9"/>
      <c r="BB850" s="9"/>
      <c r="BC850" s="9"/>
      <c r="BD850" s="9"/>
      <c r="BE850" s="9"/>
      <c r="BF850" s="9"/>
      <c r="BG850" s="9"/>
      <c r="BH850" s="9"/>
      <c r="BI850" s="9"/>
      <c r="BJ850" s="9"/>
      <c r="BK850" s="9"/>
      <c r="BL850" s="9"/>
      <c r="BM850" s="9"/>
      <c r="BN850" s="9"/>
      <c r="BO850" s="9"/>
      <c r="BP850" s="9"/>
      <c r="BQ850" s="9"/>
      <c r="BR850" s="9"/>
      <c r="BS850" s="9"/>
      <c r="BT850" s="9"/>
      <c r="BU850" s="9"/>
      <c r="BV850" s="9"/>
      <c r="BW850" s="9"/>
      <c r="BX850" s="9"/>
      <c r="BY850" s="9"/>
      <c r="BZ850" s="9"/>
    </row>
    <row r="851" spans="4:78" ht="18" customHeight="1" x14ac:dyDescent="0.25"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S851" s="9"/>
      <c r="T851" s="9"/>
      <c r="U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  <c r="AH851" s="9"/>
      <c r="AI851" s="9"/>
      <c r="AJ851" s="9"/>
      <c r="AK851" s="9"/>
      <c r="AL851" s="9"/>
      <c r="AM851" s="9"/>
      <c r="AN851" s="9"/>
      <c r="AO851" s="9"/>
      <c r="AP851" s="9"/>
      <c r="AQ851" s="9"/>
      <c r="AR851" s="9"/>
      <c r="AS851" s="9"/>
      <c r="AT851" s="9"/>
      <c r="AU851" s="9"/>
      <c r="AV851" s="9"/>
      <c r="AW851" s="9"/>
      <c r="AX851" s="9"/>
      <c r="AY851" s="9"/>
      <c r="AZ851" s="9"/>
      <c r="BA851" s="9"/>
      <c r="BB851" s="9"/>
      <c r="BC851" s="9"/>
      <c r="BD851" s="9"/>
      <c r="BE851" s="9"/>
      <c r="BF851" s="9"/>
      <c r="BG851" s="9"/>
      <c r="BH851" s="9"/>
      <c r="BI851" s="9"/>
      <c r="BJ851" s="9"/>
      <c r="BK851" s="9"/>
      <c r="BL851" s="9"/>
      <c r="BM851" s="9"/>
      <c r="BN851" s="9"/>
      <c r="BO851" s="9"/>
      <c r="BP851" s="9"/>
      <c r="BQ851" s="9"/>
      <c r="BR851" s="9"/>
      <c r="BS851" s="9"/>
      <c r="BT851" s="9"/>
      <c r="BU851" s="9"/>
      <c r="BV851" s="9"/>
      <c r="BW851" s="9"/>
      <c r="BX851" s="9"/>
      <c r="BY851" s="9"/>
      <c r="BZ851" s="9"/>
    </row>
    <row r="852" spans="4:78" ht="18" customHeight="1" x14ac:dyDescent="0.25"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S852" s="9"/>
      <c r="T852" s="9"/>
      <c r="U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  <c r="AH852" s="9"/>
      <c r="AI852" s="9"/>
      <c r="AJ852" s="9"/>
      <c r="AK852" s="9"/>
      <c r="AL852" s="9"/>
      <c r="AM852" s="9"/>
      <c r="AN852" s="9"/>
      <c r="AO852" s="9"/>
      <c r="AP852" s="9"/>
      <c r="AQ852" s="9"/>
      <c r="AR852" s="9"/>
      <c r="AS852" s="9"/>
      <c r="AT852" s="9"/>
      <c r="AU852" s="9"/>
      <c r="AV852" s="9"/>
      <c r="AW852" s="9"/>
      <c r="AX852" s="9"/>
      <c r="AY852" s="9"/>
      <c r="AZ852" s="9"/>
      <c r="BA852" s="9"/>
      <c r="BB852" s="9"/>
      <c r="BC852" s="9"/>
      <c r="BD852" s="9"/>
      <c r="BE852" s="9"/>
      <c r="BF852" s="9"/>
      <c r="BG852" s="9"/>
      <c r="BH852" s="9"/>
      <c r="BI852" s="9"/>
      <c r="BJ852" s="9"/>
      <c r="BK852" s="9"/>
      <c r="BL852" s="9"/>
      <c r="BM852" s="9"/>
      <c r="BN852" s="9"/>
      <c r="BO852" s="9"/>
      <c r="BP852" s="9"/>
      <c r="BQ852" s="9"/>
      <c r="BR852" s="9"/>
      <c r="BS852" s="9"/>
      <c r="BT852" s="9"/>
      <c r="BU852" s="9"/>
      <c r="BV852" s="9"/>
      <c r="BW852" s="9"/>
      <c r="BX852" s="9"/>
      <c r="BY852" s="9"/>
      <c r="BZ852" s="9"/>
    </row>
    <row r="853" spans="4:78" ht="18" customHeight="1" x14ac:dyDescent="0.25"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S853" s="9"/>
      <c r="T853" s="9"/>
      <c r="U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  <c r="AH853" s="9"/>
      <c r="AI853" s="9"/>
      <c r="AJ853" s="9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  <c r="BL853" s="9"/>
      <c r="BM853" s="9"/>
      <c r="BN853" s="9"/>
      <c r="BO853" s="9"/>
      <c r="BP853" s="9"/>
      <c r="BQ853" s="9"/>
      <c r="BR853" s="9"/>
      <c r="BS853" s="9"/>
      <c r="BT853" s="9"/>
      <c r="BU853" s="9"/>
      <c r="BV853" s="9"/>
      <c r="BW853" s="9"/>
      <c r="BX853" s="9"/>
      <c r="BY853" s="9"/>
      <c r="BZ853" s="9"/>
    </row>
    <row r="854" spans="4:78" ht="18" customHeight="1" x14ac:dyDescent="0.25"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S854" s="9"/>
      <c r="T854" s="9"/>
      <c r="U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  <c r="AH854" s="9"/>
      <c r="AI854" s="9"/>
      <c r="AJ854" s="9"/>
      <c r="AK854" s="9"/>
      <c r="AL854" s="9"/>
      <c r="AM854" s="9"/>
      <c r="AN854" s="9"/>
      <c r="AO854" s="9"/>
      <c r="AP854" s="9"/>
      <c r="AQ854" s="9"/>
      <c r="AR854" s="9"/>
      <c r="AS854" s="9"/>
      <c r="AT854" s="9"/>
      <c r="AU854" s="9"/>
      <c r="AV854" s="9"/>
      <c r="AW854" s="9"/>
      <c r="AX854" s="9"/>
      <c r="AY854" s="9"/>
      <c r="AZ854" s="9"/>
      <c r="BA854" s="9"/>
      <c r="BB854" s="9"/>
      <c r="BC854" s="9"/>
      <c r="BD854" s="9"/>
      <c r="BE854" s="9"/>
      <c r="BF854" s="9"/>
      <c r="BG854" s="9"/>
      <c r="BH854" s="9"/>
      <c r="BI854" s="9"/>
      <c r="BJ854" s="9"/>
      <c r="BK854" s="9"/>
      <c r="BL854" s="9"/>
      <c r="BM854" s="9"/>
      <c r="BN854" s="9"/>
      <c r="BO854" s="9"/>
      <c r="BP854" s="9"/>
      <c r="BQ854" s="9"/>
      <c r="BR854" s="9"/>
      <c r="BS854" s="9"/>
      <c r="BT854" s="9"/>
      <c r="BU854" s="9"/>
      <c r="BV854" s="9"/>
      <c r="BW854" s="9"/>
      <c r="BX854" s="9"/>
      <c r="BY854" s="9"/>
      <c r="BZ854" s="9"/>
    </row>
    <row r="855" spans="4:78" ht="18" customHeight="1" x14ac:dyDescent="0.25"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S855" s="9"/>
      <c r="T855" s="9"/>
      <c r="U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  <c r="AH855" s="9"/>
      <c r="AI855" s="9"/>
      <c r="AJ855" s="9"/>
      <c r="AK855" s="9"/>
      <c r="AL855" s="9"/>
      <c r="AM855" s="9"/>
      <c r="AN855" s="9"/>
      <c r="AO855" s="9"/>
      <c r="AP855" s="9"/>
      <c r="AQ855" s="9"/>
      <c r="AR855" s="9"/>
      <c r="AS855" s="9"/>
      <c r="AT855" s="9"/>
      <c r="AU855" s="9"/>
      <c r="AV855" s="9"/>
      <c r="AW855" s="9"/>
      <c r="AX855" s="9"/>
      <c r="AY855" s="9"/>
      <c r="AZ855" s="9"/>
      <c r="BA855" s="9"/>
      <c r="BB855" s="9"/>
      <c r="BC855" s="9"/>
      <c r="BD855" s="9"/>
      <c r="BE855" s="9"/>
      <c r="BF855" s="9"/>
      <c r="BG855" s="9"/>
      <c r="BH855" s="9"/>
      <c r="BI855" s="9"/>
      <c r="BJ855" s="9"/>
      <c r="BK855" s="9"/>
      <c r="BL855" s="9"/>
      <c r="BM855" s="9"/>
      <c r="BN855" s="9"/>
      <c r="BO855" s="9"/>
      <c r="BP855" s="9"/>
      <c r="BQ855" s="9"/>
      <c r="BR855" s="9"/>
      <c r="BS855" s="9"/>
      <c r="BT855" s="9"/>
      <c r="BU855" s="9"/>
      <c r="BV855" s="9"/>
      <c r="BW855" s="9"/>
      <c r="BX855" s="9"/>
      <c r="BY855" s="9"/>
      <c r="BZ855" s="9"/>
    </row>
    <row r="856" spans="4:78" ht="18" customHeight="1" x14ac:dyDescent="0.25"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S856" s="9"/>
      <c r="T856" s="9"/>
      <c r="U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  <c r="AH856" s="9"/>
      <c r="AI856" s="9"/>
      <c r="AJ856" s="9"/>
      <c r="AK856" s="9"/>
      <c r="AL856" s="9"/>
      <c r="AM856" s="9"/>
      <c r="AN856" s="9"/>
      <c r="AO856" s="9"/>
      <c r="AP856" s="9"/>
      <c r="AQ856" s="9"/>
      <c r="AR856" s="9"/>
      <c r="AS856" s="9"/>
      <c r="AT856" s="9"/>
      <c r="AU856" s="9"/>
      <c r="AV856" s="9"/>
      <c r="AW856" s="9"/>
      <c r="AX856" s="9"/>
      <c r="AY856" s="9"/>
      <c r="AZ856" s="9"/>
      <c r="BA856" s="9"/>
      <c r="BB856" s="9"/>
      <c r="BC856" s="9"/>
      <c r="BD856" s="9"/>
      <c r="BE856" s="9"/>
      <c r="BF856" s="9"/>
      <c r="BG856" s="9"/>
      <c r="BH856" s="9"/>
      <c r="BI856" s="9"/>
      <c r="BJ856" s="9"/>
      <c r="BK856" s="9"/>
      <c r="BL856" s="9"/>
      <c r="BM856" s="9"/>
      <c r="BN856" s="9"/>
      <c r="BO856" s="9"/>
      <c r="BP856" s="9"/>
      <c r="BQ856" s="9"/>
      <c r="BR856" s="9"/>
      <c r="BS856" s="9"/>
      <c r="BT856" s="9"/>
      <c r="BU856" s="9"/>
      <c r="BV856" s="9"/>
      <c r="BW856" s="9"/>
      <c r="BX856" s="9"/>
      <c r="BY856" s="9"/>
      <c r="BZ856" s="9"/>
    </row>
    <row r="857" spans="4:78" ht="18" customHeight="1" x14ac:dyDescent="0.25"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S857" s="9"/>
      <c r="T857" s="9"/>
      <c r="U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  <c r="AH857" s="9"/>
      <c r="AI857" s="9"/>
      <c r="AJ857" s="9"/>
      <c r="AK857" s="9"/>
      <c r="AL857" s="9"/>
      <c r="AM857" s="9"/>
      <c r="AN857" s="9"/>
      <c r="AO857" s="9"/>
      <c r="AP857" s="9"/>
      <c r="AQ857" s="9"/>
      <c r="AR857" s="9"/>
      <c r="AS857" s="9"/>
      <c r="AT857" s="9"/>
      <c r="AU857" s="9"/>
      <c r="AV857" s="9"/>
      <c r="AW857" s="9"/>
      <c r="AX857" s="9"/>
      <c r="AY857" s="9"/>
      <c r="AZ857" s="9"/>
      <c r="BA857" s="9"/>
      <c r="BB857" s="9"/>
      <c r="BC857" s="9"/>
      <c r="BD857" s="9"/>
      <c r="BE857" s="9"/>
      <c r="BF857" s="9"/>
      <c r="BG857" s="9"/>
      <c r="BH857" s="9"/>
      <c r="BI857" s="9"/>
      <c r="BJ857" s="9"/>
      <c r="BK857" s="9"/>
      <c r="BL857" s="9"/>
      <c r="BM857" s="9"/>
      <c r="BN857" s="9"/>
      <c r="BO857" s="9"/>
      <c r="BP857" s="9"/>
      <c r="BQ857" s="9"/>
      <c r="BR857" s="9"/>
      <c r="BS857" s="9"/>
      <c r="BT857" s="9"/>
      <c r="BU857" s="9"/>
      <c r="BV857" s="9"/>
      <c r="BW857" s="9"/>
      <c r="BX857" s="9"/>
      <c r="BY857" s="9"/>
      <c r="BZ857" s="9"/>
    </row>
    <row r="858" spans="4:78" ht="18" customHeight="1" x14ac:dyDescent="0.25"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S858" s="9"/>
      <c r="T858" s="9"/>
      <c r="U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  <c r="AH858" s="9"/>
      <c r="AI858" s="9"/>
      <c r="AJ858" s="9"/>
      <c r="AK858" s="9"/>
      <c r="AL858" s="9"/>
      <c r="AM858" s="9"/>
      <c r="AN858" s="9"/>
      <c r="AO858" s="9"/>
      <c r="AP858" s="9"/>
      <c r="AQ858" s="9"/>
      <c r="AR858" s="9"/>
      <c r="AS858" s="9"/>
      <c r="AT858" s="9"/>
      <c r="AU858" s="9"/>
      <c r="AV858" s="9"/>
      <c r="AW858" s="9"/>
      <c r="AX858" s="9"/>
      <c r="AY858" s="9"/>
      <c r="AZ858" s="9"/>
      <c r="BA858" s="9"/>
      <c r="BB858" s="9"/>
      <c r="BC858" s="9"/>
      <c r="BD858" s="9"/>
      <c r="BE858" s="9"/>
      <c r="BF858" s="9"/>
      <c r="BG858" s="9"/>
      <c r="BH858" s="9"/>
      <c r="BI858" s="9"/>
      <c r="BJ858" s="9"/>
      <c r="BK858" s="9"/>
      <c r="BL858" s="9"/>
      <c r="BM858" s="9"/>
      <c r="BN858" s="9"/>
      <c r="BO858" s="9"/>
      <c r="BP858" s="9"/>
      <c r="BQ858" s="9"/>
      <c r="BR858" s="9"/>
      <c r="BS858" s="9"/>
      <c r="BT858" s="9"/>
      <c r="BU858" s="9"/>
      <c r="BV858" s="9"/>
      <c r="BW858" s="9"/>
      <c r="BX858" s="9"/>
      <c r="BY858" s="9"/>
      <c r="BZ858" s="9"/>
    </row>
    <row r="859" spans="4:78" ht="18" customHeight="1" x14ac:dyDescent="0.25"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S859" s="9"/>
      <c r="T859" s="9"/>
      <c r="U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  <c r="AH859" s="9"/>
      <c r="AI859" s="9"/>
      <c r="AJ859" s="9"/>
      <c r="AK859" s="9"/>
      <c r="AL859" s="9"/>
      <c r="AM859" s="9"/>
      <c r="AN859" s="9"/>
      <c r="AO859" s="9"/>
      <c r="AP859" s="9"/>
      <c r="AQ859" s="9"/>
      <c r="AR859" s="9"/>
      <c r="AS859" s="9"/>
      <c r="AT859" s="9"/>
      <c r="AU859" s="9"/>
      <c r="AV859" s="9"/>
      <c r="AW859" s="9"/>
      <c r="AX859" s="9"/>
      <c r="AY859" s="9"/>
      <c r="AZ859" s="9"/>
      <c r="BA859" s="9"/>
      <c r="BB859" s="9"/>
      <c r="BC859" s="9"/>
      <c r="BD859" s="9"/>
      <c r="BE859" s="9"/>
      <c r="BF859" s="9"/>
      <c r="BG859" s="9"/>
      <c r="BH859" s="9"/>
      <c r="BI859" s="9"/>
      <c r="BJ859" s="9"/>
      <c r="BK859" s="9"/>
      <c r="BL859" s="9"/>
      <c r="BM859" s="9"/>
      <c r="BN859" s="9"/>
      <c r="BO859" s="9"/>
      <c r="BP859" s="9"/>
      <c r="BQ859" s="9"/>
      <c r="BR859" s="9"/>
      <c r="BS859" s="9"/>
      <c r="BT859" s="9"/>
      <c r="BU859" s="9"/>
      <c r="BV859" s="9"/>
      <c r="BW859" s="9"/>
      <c r="BX859" s="9"/>
      <c r="BY859" s="9"/>
      <c r="BZ859" s="9"/>
    </row>
    <row r="860" spans="4:78" ht="18" customHeight="1" x14ac:dyDescent="0.25"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S860" s="9"/>
      <c r="T860" s="9"/>
      <c r="U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  <c r="AH860" s="9"/>
      <c r="AI860" s="9"/>
      <c r="AJ860" s="9"/>
      <c r="AK860" s="9"/>
      <c r="AL860" s="9"/>
      <c r="AM860" s="9"/>
      <c r="AN860" s="9"/>
      <c r="AO860" s="9"/>
      <c r="AP860" s="9"/>
      <c r="AQ860" s="9"/>
      <c r="AR860" s="9"/>
      <c r="AS860" s="9"/>
      <c r="AT860" s="9"/>
      <c r="AU860" s="9"/>
      <c r="AV860" s="9"/>
      <c r="AW860" s="9"/>
      <c r="AX860" s="9"/>
      <c r="AY860" s="9"/>
      <c r="AZ860" s="9"/>
      <c r="BA860" s="9"/>
      <c r="BB860" s="9"/>
      <c r="BC860" s="9"/>
      <c r="BD860" s="9"/>
      <c r="BE860" s="9"/>
      <c r="BF860" s="9"/>
      <c r="BG860" s="9"/>
      <c r="BH860" s="9"/>
      <c r="BI860" s="9"/>
      <c r="BJ860" s="9"/>
      <c r="BK860" s="9"/>
      <c r="BL860" s="9"/>
      <c r="BM860" s="9"/>
      <c r="BN860" s="9"/>
      <c r="BO860" s="9"/>
      <c r="BP860" s="9"/>
      <c r="BQ860" s="9"/>
      <c r="BR860" s="9"/>
      <c r="BS860" s="9"/>
      <c r="BT860" s="9"/>
      <c r="BU860" s="9"/>
      <c r="BV860" s="9"/>
      <c r="BW860" s="9"/>
      <c r="BX860" s="9"/>
      <c r="BY860" s="9"/>
      <c r="BZ860" s="9"/>
    </row>
    <row r="861" spans="4:78" ht="18" customHeight="1" x14ac:dyDescent="0.25"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S861" s="9"/>
      <c r="T861" s="9"/>
      <c r="U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  <c r="AH861" s="9"/>
      <c r="AI861" s="9"/>
      <c r="AJ861" s="9"/>
      <c r="AK861" s="9"/>
      <c r="AL861" s="9"/>
      <c r="AM861" s="9"/>
      <c r="AN861" s="9"/>
      <c r="AO861" s="9"/>
      <c r="AP861" s="9"/>
      <c r="AQ861" s="9"/>
      <c r="AR861" s="9"/>
      <c r="AS861" s="9"/>
      <c r="AT861" s="9"/>
      <c r="AU861" s="9"/>
      <c r="AV861" s="9"/>
      <c r="AW861" s="9"/>
      <c r="AX861" s="9"/>
      <c r="AY861" s="9"/>
      <c r="AZ861" s="9"/>
      <c r="BA861" s="9"/>
      <c r="BB861" s="9"/>
      <c r="BC861" s="9"/>
      <c r="BD861" s="9"/>
      <c r="BE861" s="9"/>
      <c r="BF861" s="9"/>
      <c r="BG861" s="9"/>
      <c r="BH861" s="9"/>
      <c r="BI861" s="9"/>
      <c r="BJ861" s="9"/>
      <c r="BK861" s="9"/>
      <c r="BL861" s="9"/>
      <c r="BM861" s="9"/>
      <c r="BN861" s="9"/>
      <c r="BO861" s="9"/>
      <c r="BP861" s="9"/>
      <c r="BQ861" s="9"/>
      <c r="BR861" s="9"/>
      <c r="BS861" s="9"/>
      <c r="BT861" s="9"/>
      <c r="BU861" s="9"/>
      <c r="BV861" s="9"/>
      <c r="BW861" s="9"/>
      <c r="BX861" s="9"/>
      <c r="BY861" s="9"/>
      <c r="BZ861" s="9"/>
    </row>
    <row r="862" spans="4:78" ht="18" customHeight="1" x14ac:dyDescent="0.25"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S862" s="9"/>
      <c r="T862" s="9"/>
      <c r="U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  <c r="AH862" s="9"/>
      <c r="AI862" s="9"/>
      <c r="AJ862" s="9"/>
      <c r="AK862" s="9"/>
      <c r="AL862" s="9"/>
      <c r="AM862" s="9"/>
      <c r="AN862" s="9"/>
      <c r="AO862" s="9"/>
      <c r="AP862" s="9"/>
      <c r="AQ862" s="9"/>
      <c r="AR862" s="9"/>
      <c r="AS862" s="9"/>
      <c r="AT862" s="9"/>
      <c r="AU862" s="9"/>
      <c r="AV862" s="9"/>
      <c r="AW862" s="9"/>
      <c r="AX862" s="9"/>
      <c r="AY862" s="9"/>
      <c r="AZ862" s="9"/>
      <c r="BA862" s="9"/>
      <c r="BB862" s="9"/>
      <c r="BC862" s="9"/>
      <c r="BD862" s="9"/>
      <c r="BE862" s="9"/>
      <c r="BF862" s="9"/>
      <c r="BG862" s="9"/>
      <c r="BH862" s="9"/>
      <c r="BI862" s="9"/>
      <c r="BJ862" s="9"/>
      <c r="BK862" s="9"/>
      <c r="BL862" s="9"/>
      <c r="BM862" s="9"/>
      <c r="BN862" s="9"/>
      <c r="BO862" s="9"/>
      <c r="BP862" s="9"/>
      <c r="BQ862" s="9"/>
      <c r="BR862" s="9"/>
      <c r="BS862" s="9"/>
      <c r="BT862" s="9"/>
      <c r="BU862" s="9"/>
      <c r="BV862" s="9"/>
      <c r="BW862" s="9"/>
      <c r="BX862" s="9"/>
      <c r="BY862" s="9"/>
      <c r="BZ862" s="9"/>
    </row>
    <row r="863" spans="4:78" ht="18" customHeight="1" x14ac:dyDescent="0.25"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S863" s="9"/>
      <c r="T863" s="9"/>
      <c r="U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  <c r="AH863" s="9"/>
      <c r="AI863" s="9"/>
      <c r="AJ863" s="9"/>
      <c r="AK863" s="9"/>
      <c r="AL863" s="9"/>
      <c r="AM863" s="9"/>
      <c r="AN863" s="9"/>
      <c r="AO863" s="9"/>
      <c r="AP863" s="9"/>
      <c r="AQ863" s="9"/>
      <c r="AR863" s="9"/>
      <c r="AS863" s="9"/>
      <c r="AT863" s="9"/>
      <c r="AU863" s="9"/>
      <c r="AV863" s="9"/>
      <c r="AW863" s="9"/>
      <c r="AX863" s="9"/>
      <c r="AY863" s="9"/>
      <c r="AZ863" s="9"/>
      <c r="BA863" s="9"/>
      <c r="BB863" s="9"/>
      <c r="BC863" s="9"/>
      <c r="BD863" s="9"/>
      <c r="BE863" s="9"/>
      <c r="BF863" s="9"/>
      <c r="BG863" s="9"/>
      <c r="BH863" s="9"/>
      <c r="BI863" s="9"/>
      <c r="BJ863" s="9"/>
      <c r="BK863" s="9"/>
      <c r="BL863" s="9"/>
      <c r="BM863" s="9"/>
      <c r="BN863" s="9"/>
      <c r="BO863" s="9"/>
      <c r="BP863" s="9"/>
      <c r="BQ863" s="9"/>
      <c r="BR863" s="9"/>
      <c r="BS863" s="9"/>
      <c r="BT863" s="9"/>
      <c r="BU863" s="9"/>
      <c r="BV863" s="9"/>
      <c r="BW863" s="9"/>
      <c r="BX863" s="9"/>
      <c r="BY863" s="9"/>
      <c r="BZ863" s="9"/>
    </row>
    <row r="864" spans="4:78" ht="18" customHeight="1" x14ac:dyDescent="0.25"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S864" s="9"/>
      <c r="T864" s="9"/>
      <c r="U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  <c r="AH864" s="9"/>
      <c r="AI864" s="9"/>
      <c r="AJ864" s="9"/>
      <c r="AK864" s="9"/>
      <c r="AL864" s="9"/>
      <c r="AM864" s="9"/>
      <c r="AN864" s="9"/>
      <c r="AO864" s="9"/>
      <c r="AP864" s="9"/>
      <c r="AQ864" s="9"/>
      <c r="AR864" s="9"/>
      <c r="AS864" s="9"/>
      <c r="AT864" s="9"/>
      <c r="AU864" s="9"/>
      <c r="AV864" s="9"/>
      <c r="AW864" s="9"/>
      <c r="AX864" s="9"/>
      <c r="AY864" s="9"/>
      <c r="AZ864" s="9"/>
      <c r="BA864" s="9"/>
      <c r="BB864" s="9"/>
      <c r="BC864" s="9"/>
      <c r="BD864" s="9"/>
      <c r="BE864" s="9"/>
      <c r="BF864" s="9"/>
      <c r="BG864" s="9"/>
      <c r="BH864" s="9"/>
      <c r="BI864" s="9"/>
      <c r="BJ864" s="9"/>
      <c r="BK864" s="9"/>
      <c r="BL864" s="9"/>
      <c r="BM864" s="9"/>
      <c r="BN864" s="9"/>
      <c r="BO864" s="9"/>
      <c r="BP864" s="9"/>
      <c r="BQ864" s="9"/>
      <c r="BR864" s="9"/>
      <c r="BS864" s="9"/>
      <c r="BT864" s="9"/>
      <c r="BU864" s="9"/>
      <c r="BV864" s="9"/>
      <c r="BW864" s="9"/>
      <c r="BX864" s="9"/>
      <c r="BY864" s="9"/>
      <c r="BZ864" s="9"/>
    </row>
    <row r="865" spans="4:78" ht="18" customHeight="1" x14ac:dyDescent="0.25"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S865" s="9"/>
      <c r="T865" s="9"/>
      <c r="U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  <c r="AH865" s="9"/>
      <c r="AI865" s="9"/>
      <c r="AJ865" s="9"/>
      <c r="AK865" s="9"/>
      <c r="AL865" s="9"/>
      <c r="AM865" s="9"/>
      <c r="AN865" s="9"/>
      <c r="AO865" s="9"/>
      <c r="AP865" s="9"/>
      <c r="AQ865" s="9"/>
      <c r="AR865" s="9"/>
      <c r="AS865" s="9"/>
      <c r="AT865" s="9"/>
      <c r="AU865" s="9"/>
      <c r="AV865" s="9"/>
      <c r="AW865" s="9"/>
      <c r="AX865" s="9"/>
      <c r="AY865" s="9"/>
      <c r="AZ865" s="9"/>
      <c r="BA865" s="9"/>
      <c r="BB865" s="9"/>
      <c r="BC865" s="9"/>
      <c r="BD865" s="9"/>
      <c r="BE865" s="9"/>
      <c r="BF865" s="9"/>
      <c r="BG865" s="9"/>
      <c r="BH865" s="9"/>
      <c r="BI865" s="9"/>
      <c r="BJ865" s="9"/>
      <c r="BK865" s="9"/>
      <c r="BL865" s="9"/>
      <c r="BM865" s="9"/>
      <c r="BN865" s="9"/>
      <c r="BO865" s="9"/>
      <c r="BP865" s="9"/>
      <c r="BQ865" s="9"/>
      <c r="BR865" s="9"/>
      <c r="BS865" s="9"/>
      <c r="BT865" s="9"/>
      <c r="BU865" s="9"/>
      <c r="BV865" s="9"/>
      <c r="BW865" s="9"/>
      <c r="BX865" s="9"/>
      <c r="BY865" s="9"/>
      <c r="BZ865" s="9"/>
    </row>
    <row r="866" spans="4:78" ht="18" customHeight="1" x14ac:dyDescent="0.25"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S866" s="9"/>
      <c r="T866" s="9"/>
      <c r="U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  <c r="BF866" s="9"/>
      <c r="BG866" s="9"/>
      <c r="BH866" s="9"/>
      <c r="BI866" s="9"/>
      <c r="BJ866" s="9"/>
      <c r="BK866" s="9"/>
      <c r="BL866" s="9"/>
      <c r="BM866" s="9"/>
      <c r="BN866" s="9"/>
      <c r="BO866" s="9"/>
      <c r="BP866" s="9"/>
      <c r="BQ866" s="9"/>
      <c r="BR866" s="9"/>
      <c r="BS866" s="9"/>
      <c r="BT866" s="9"/>
      <c r="BU866" s="9"/>
      <c r="BV866" s="9"/>
      <c r="BW866" s="9"/>
      <c r="BX866" s="9"/>
      <c r="BY866" s="9"/>
      <c r="BZ866" s="9"/>
    </row>
    <row r="867" spans="4:78" ht="18" customHeight="1" x14ac:dyDescent="0.25"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S867" s="9"/>
      <c r="T867" s="9"/>
      <c r="U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  <c r="AH867" s="9"/>
      <c r="AI867" s="9"/>
      <c r="AJ867" s="9"/>
      <c r="AK867" s="9"/>
      <c r="AL867" s="9"/>
      <c r="AM867" s="9"/>
      <c r="AN867" s="9"/>
      <c r="AO867" s="9"/>
      <c r="AP867" s="9"/>
      <c r="AQ867" s="9"/>
      <c r="AR867" s="9"/>
      <c r="AS867" s="9"/>
      <c r="AT867" s="9"/>
      <c r="AU867" s="9"/>
      <c r="AV867" s="9"/>
      <c r="AW867" s="9"/>
      <c r="AX867" s="9"/>
      <c r="AY867" s="9"/>
      <c r="AZ867" s="9"/>
      <c r="BA867" s="9"/>
      <c r="BB867" s="9"/>
      <c r="BC867" s="9"/>
      <c r="BD867" s="9"/>
      <c r="BE867" s="9"/>
      <c r="BF867" s="9"/>
      <c r="BG867" s="9"/>
      <c r="BH867" s="9"/>
      <c r="BI867" s="9"/>
      <c r="BJ867" s="9"/>
      <c r="BK867" s="9"/>
      <c r="BL867" s="9"/>
      <c r="BM867" s="9"/>
      <c r="BN867" s="9"/>
      <c r="BO867" s="9"/>
      <c r="BP867" s="9"/>
      <c r="BQ867" s="9"/>
      <c r="BR867" s="9"/>
      <c r="BS867" s="9"/>
      <c r="BT867" s="9"/>
      <c r="BU867" s="9"/>
      <c r="BV867" s="9"/>
      <c r="BW867" s="9"/>
      <c r="BX867" s="9"/>
      <c r="BY867" s="9"/>
      <c r="BZ867" s="9"/>
    </row>
    <row r="868" spans="4:78" ht="18" customHeight="1" x14ac:dyDescent="0.25"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S868" s="9"/>
      <c r="T868" s="9"/>
      <c r="U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  <c r="AH868" s="9"/>
      <c r="AI868" s="9"/>
      <c r="AJ868" s="9"/>
      <c r="AK868" s="9"/>
      <c r="AL868" s="9"/>
      <c r="AM868" s="9"/>
      <c r="AN868" s="9"/>
      <c r="AO868" s="9"/>
      <c r="AP868" s="9"/>
      <c r="AQ868" s="9"/>
      <c r="AR868" s="9"/>
      <c r="AS868" s="9"/>
      <c r="AT868" s="9"/>
      <c r="AU868" s="9"/>
      <c r="AV868" s="9"/>
      <c r="AW868" s="9"/>
      <c r="AX868" s="9"/>
      <c r="AY868" s="9"/>
      <c r="AZ868" s="9"/>
      <c r="BA868" s="9"/>
      <c r="BB868" s="9"/>
      <c r="BC868" s="9"/>
      <c r="BD868" s="9"/>
      <c r="BE868" s="9"/>
      <c r="BF868" s="9"/>
      <c r="BG868" s="9"/>
      <c r="BH868" s="9"/>
      <c r="BI868" s="9"/>
      <c r="BJ868" s="9"/>
      <c r="BK868" s="9"/>
      <c r="BL868" s="9"/>
      <c r="BM868" s="9"/>
      <c r="BN868" s="9"/>
      <c r="BO868" s="9"/>
      <c r="BP868" s="9"/>
      <c r="BQ868" s="9"/>
      <c r="BR868" s="9"/>
      <c r="BS868" s="9"/>
      <c r="BT868" s="9"/>
      <c r="BU868" s="9"/>
      <c r="BV868" s="9"/>
      <c r="BW868" s="9"/>
      <c r="BX868" s="9"/>
      <c r="BY868" s="9"/>
      <c r="BZ868" s="9"/>
    </row>
    <row r="869" spans="4:78" ht="18" customHeight="1" x14ac:dyDescent="0.25"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S869" s="9"/>
      <c r="T869" s="9"/>
      <c r="U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  <c r="AH869" s="9"/>
      <c r="AI869" s="9"/>
      <c r="AJ869" s="9"/>
      <c r="AK869" s="9"/>
      <c r="AL869" s="9"/>
      <c r="AM869" s="9"/>
      <c r="AN869" s="9"/>
      <c r="AO869" s="9"/>
      <c r="AP869" s="9"/>
      <c r="AQ869" s="9"/>
      <c r="AR869" s="9"/>
      <c r="AS869" s="9"/>
      <c r="AT869" s="9"/>
      <c r="AU869" s="9"/>
      <c r="AV869" s="9"/>
      <c r="AW869" s="9"/>
      <c r="AX869" s="9"/>
      <c r="AY869" s="9"/>
      <c r="AZ869" s="9"/>
      <c r="BA869" s="9"/>
      <c r="BB869" s="9"/>
      <c r="BC869" s="9"/>
      <c r="BD869" s="9"/>
      <c r="BE869" s="9"/>
      <c r="BF869" s="9"/>
      <c r="BG869" s="9"/>
      <c r="BH869" s="9"/>
      <c r="BI869" s="9"/>
      <c r="BJ869" s="9"/>
      <c r="BK869" s="9"/>
      <c r="BL869" s="9"/>
      <c r="BM869" s="9"/>
      <c r="BN869" s="9"/>
      <c r="BO869" s="9"/>
      <c r="BP869" s="9"/>
      <c r="BQ869" s="9"/>
      <c r="BR869" s="9"/>
      <c r="BS869" s="9"/>
      <c r="BT869" s="9"/>
      <c r="BU869" s="9"/>
      <c r="BV869" s="9"/>
      <c r="BW869" s="9"/>
      <c r="BX869" s="9"/>
      <c r="BY869" s="9"/>
      <c r="BZ869" s="9"/>
    </row>
    <row r="870" spans="4:78" ht="18" customHeight="1" x14ac:dyDescent="0.25"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S870" s="9"/>
      <c r="T870" s="9"/>
      <c r="U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  <c r="AH870" s="9"/>
      <c r="AI870" s="9"/>
      <c r="AJ870" s="9"/>
      <c r="AK870" s="9"/>
      <c r="AL870" s="9"/>
      <c r="AM870" s="9"/>
      <c r="AN870" s="9"/>
      <c r="AO870" s="9"/>
      <c r="AP870" s="9"/>
      <c r="AQ870" s="9"/>
      <c r="AR870" s="9"/>
      <c r="AS870" s="9"/>
      <c r="AT870" s="9"/>
      <c r="AU870" s="9"/>
      <c r="AV870" s="9"/>
      <c r="AW870" s="9"/>
      <c r="AX870" s="9"/>
      <c r="AY870" s="9"/>
      <c r="AZ870" s="9"/>
      <c r="BA870" s="9"/>
      <c r="BB870" s="9"/>
      <c r="BC870" s="9"/>
      <c r="BD870" s="9"/>
      <c r="BE870" s="9"/>
      <c r="BF870" s="9"/>
      <c r="BG870" s="9"/>
      <c r="BH870" s="9"/>
      <c r="BI870" s="9"/>
      <c r="BJ870" s="9"/>
      <c r="BK870" s="9"/>
      <c r="BL870" s="9"/>
      <c r="BM870" s="9"/>
      <c r="BN870" s="9"/>
      <c r="BO870" s="9"/>
      <c r="BP870" s="9"/>
      <c r="BQ870" s="9"/>
      <c r="BR870" s="9"/>
      <c r="BS870" s="9"/>
      <c r="BT870" s="9"/>
      <c r="BU870" s="9"/>
      <c r="BV870" s="9"/>
      <c r="BW870" s="9"/>
      <c r="BX870" s="9"/>
      <c r="BY870" s="9"/>
      <c r="BZ870" s="9"/>
    </row>
    <row r="871" spans="4:78" ht="18" customHeight="1" x14ac:dyDescent="0.25"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S871" s="9"/>
      <c r="T871" s="9"/>
      <c r="U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  <c r="AH871" s="9"/>
      <c r="AI871" s="9"/>
      <c r="AJ871" s="9"/>
      <c r="AK871" s="9"/>
      <c r="AL871" s="9"/>
      <c r="AM871" s="9"/>
      <c r="AN871" s="9"/>
      <c r="AO871" s="9"/>
      <c r="AP871" s="9"/>
      <c r="AQ871" s="9"/>
      <c r="AR871" s="9"/>
      <c r="AS871" s="9"/>
      <c r="AT871" s="9"/>
      <c r="AU871" s="9"/>
      <c r="AV871" s="9"/>
      <c r="AW871" s="9"/>
      <c r="AX871" s="9"/>
      <c r="AY871" s="9"/>
      <c r="AZ871" s="9"/>
      <c r="BA871" s="9"/>
      <c r="BB871" s="9"/>
      <c r="BC871" s="9"/>
      <c r="BD871" s="9"/>
      <c r="BE871" s="9"/>
      <c r="BF871" s="9"/>
      <c r="BG871" s="9"/>
      <c r="BH871" s="9"/>
      <c r="BI871" s="9"/>
      <c r="BJ871" s="9"/>
      <c r="BK871" s="9"/>
      <c r="BL871" s="9"/>
      <c r="BM871" s="9"/>
      <c r="BN871" s="9"/>
      <c r="BO871" s="9"/>
      <c r="BP871" s="9"/>
      <c r="BQ871" s="9"/>
      <c r="BR871" s="9"/>
      <c r="BS871" s="9"/>
      <c r="BT871" s="9"/>
      <c r="BU871" s="9"/>
      <c r="BV871" s="9"/>
      <c r="BW871" s="9"/>
      <c r="BX871" s="9"/>
      <c r="BY871" s="9"/>
      <c r="BZ871" s="9"/>
    </row>
    <row r="872" spans="4:78" ht="18" customHeight="1" x14ac:dyDescent="0.25"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S872" s="9"/>
      <c r="T872" s="9"/>
      <c r="U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  <c r="AH872" s="9"/>
      <c r="AI872" s="9"/>
      <c r="AJ872" s="9"/>
      <c r="AK872" s="9"/>
      <c r="AL872" s="9"/>
      <c r="AM872" s="9"/>
      <c r="AN872" s="9"/>
      <c r="AO872" s="9"/>
      <c r="AP872" s="9"/>
      <c r="AQ872" s="9"/>
      <c r="AR872" s="9"/>
      <c r="AS872" s="9"/>
      <c r="AT872" s="9"/>
      <c r="AU872" s="9"/>
      <c r="AV872" s="9"/>
      <c r="AW872" s="9"/>
      <c r="AX872" s="9"/>
      <c r="AY872" s="9"/>
      <c r="AZ872" s="9"/>
      <c r="BA872" s="9"/>
      <c r="BB872" s="9"/>
      <c r="BC872" s="9"/>
      <c r="BD872" s="9"/>
      <c r="BE872" s="9"/>
      <c r="BF872" s="9"/>
      <c r="BG872" s="9"/>
      <c r="BH872" s="9"/>
      <c r="BI872" s="9"/>
      <c r="BJ872" s="9"/>
      <c r="BK872" s="9"/>
      <c r="BL872" s="9"/>
      <c r="BM872" s="9"/>
      <c r="BN872" s="9"/>
      <c r="BO872" s="9"/>
      <c r="BP872" s="9"/>
      <c r="BQ872" s="9"/>
      <c r="BR872" s="9"/>
      <c r="BS872" s="9"/>
      <c r="BT872" s="9"/>
      <c r="BU872" s="9"/>
      <c r="BV872" s="9"/>
      <c r="BW872" s="9"/>
      <c r="BX872" s="9"/>
      <c r="BY872" s="9"/>
      <c r="BZ872" s="9"/>
    </row>
    <row r="873" spans="4:78" ht="18" customHeight="1" x14ac:dyDescent="0.25"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S873" s="9"/>
      <c r="T873" s="9"/>
      <c r="U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  <c r="AH873" s="9"/>
      <c r="AI873" s="9"/>
      <c r="AJ873" s="9"/>
      <c r="AK873" s="9"/>
      <c r="AL873" s="9"/>
      <c r="AM873" s="9"/>
      <c r="AN873" s="9"/>
      <c r="AO873" s="9"/>
      <c r="AP873" s="9"/>
      <c r="AQ873" s="9"/>
      <c r="AR873" s="9"/>
      <c r="AS873" s="9"/>
      <c r="AT873" s="9"/>
      <c r="AU873" s="9"/>
      <c r="AV873" s="9"/>
      <c r="AW873" s="9"/>
      <c r="AX873" s="9"/>
      <c r="AY873" s="9"/>
      <c r="AZ873" s="9"/>
      <c r="BA873" s="9"/>
      <c r="BB873" s="9"/>
      <c r="BC873" s="9"/>
      <c r="BD873" s="9"/>
      <c r="BE873" s="9"/>
      <c r="BF873" s="9"/>
      <c r="BG873" s="9"/>
      <c r="BH873" s="9"/>
      <c r="BI873" s="9"/>
      <c r="BJ873" s="9"/>
      <c r="BK873" s="9"/>
      <c r="BL873" s="9"/>
      <c r="BM873" s="9"/>
      <c r="BN873" s="9"/>
      <c r="BO873" s="9"/>
      <c r="BP873" s="9"/>
      <c r="BQ873" s="9"/>
      <c r="BR873" s="9"/>
      <c r="BS873" s="9"/>
      <c r="BT873" s="9"/>
      <c r="BU873" s="9"/>
      <c r="BV873" s="9"/>
      <c r="BW873" s="9"/>
      <c r="BX873" s="9"/>
      <c r="BY873" s="9"/>
      <c r="BZ873" s="9"/>
    </row>
    <row r="874" spans="4:78" ht="18" customHeight="1" x14ac:dyDescent="0.25"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S874" s="9"/>
      <c r="T874" s="9"/>
      <c r="U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  <c r="AH874" s="9"/>
      <c r="AI874" s="9"/>
      <c r="AJ874" s="9"/>
      <c r="AK874" s="9"/>
      <c r="AL874" s="9"/>
      <c r="AM874" s="9"/>
      <c r="AN874" s="9"/>
      <c r="AO874" s="9"/>
      <c r="AP874" s="9"/>
      <c r="AQ874" s="9"/>
      <c r="AR874" s="9"/>
      <c r="AS874" s="9"/>
      <c r="AT874" s="9"/>
      <c r="AU874" s="9"/>
      <c r="AV874" s="9"/>
      <c r="AW874" s="9"/>
      <c r="AX874" s="9"/>
      <c r="AY874" s="9"/>
      <c r="AZ874" s="9"/>
      <c r="BA874" s="9"/>
      <c r="BB874" s="9"/>
      <c r="BC874" s="9"/>
      <c r="BD874" s="9"/>
      <c r="BE874" s="9"/>
      <c r="BF874" s="9"/>
      <c r="BG874" s="9"/>
      <c r="BH874" s="9"/>
      <c r="BI874" s="9"/>
      <c r="BJ874" s="9"/>
      <c r="BK874" s="9"/>
      <c r="BL874" s="9"/>
      <c r="BM874" s="9"/>
      <c r="BN874" s="9"/>
      <c r="BO874" s="9"/>
      <c r="BP874" s="9"/>
      <c r="BQ874" s="9"/>
      <c r="BR874" s="9"/>
      <c r="BS874" s="9"/>
      <c r="BT874" s="9"/>
      <c r="BU874" s="9"/>
      <c r="BV874" s="9"/>
      <c r="BW874" s="9"/>
      <c r="BX874" s="9"/>
      <c r="BY874" s="9"/>
      <c r="BZ874" s="9"/>
    </row>
    <row r="875" spans="4:78" ht="18" customHeight="1" x14ac:dyDescent="0.25"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S875" s="9"/>
      <c r="T875" s="9"/>
      <c r="U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  <c r="AH875" s="9"/>
      <c r="AI875" s="9"/>
      <c r="AJ875" s="9"/>
      <c r="AK875" s="9"/>
      <c r="AL875" s="9"/>
      <c r="AM875" s="9"/>
      <c r="AN875" s="9"/>
      <c r="AO875" s="9"/>
      <c r="AP875" s="9"/>
      <c r="AQ875" s="9"/>
      <c r="AR875" s="9"/>
      <c r="AS875" s="9"/>
      <c r="AT875" s="9"/>
      <c r="AU875" s="9"/>
      <c r="AV875" s="9"/>
      <c r="AW875" s="9"/>
      <c r="AX875" s="9"/>
      <c r="AY875" s="9"/>
      <c r="AZ875" s="9"/>
      <c r="BA875" s="9"/>
      <c r="BB875" s="9"/>
      <c r="BC875" s="9"/>
      <c r="BD875" s="9"/>
      <c r="BE875" s="9"/>
      <c r="BF875" s="9"/>
      <c r="BG875" s="9"/>
      <c r="BH875" s="9"/>
      <c r="BI875" s="9"/>
      <c r="BJ875" s="9"/>
      <c r="BK875" s="9"/>
      <c r="BL875" s="9"/>
      <c r="BM875" s="9"/>
      <c r="BN875" s="9"/>
      <c r="BO875" s="9"/>
      <c r="BP875" s="9"/>
      <c r="BQ875" s="9"/>
      <c r="BR875" s="9"/>
      <c r="BS875" s="9"/>
      <c r="BT875" s="9"/>
      <c r="BU875" s="9"/>
      <c r="BV875" s="9"/>
      <c r="BW875" s="9"/>
      <c r="BX875" s="9"/>
      <c r="BY875" s="9"/>
      <c r="BZ875" s="9"/>
    </row>
    <row r="876" spans="4:78" ht="18" customHeight="1" x14ac:dyDescent="0.25"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S876" s="9"/>
      <c r="T876" s="9"/>
      <c r="U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  <c r="AH876" s="9"/>
      <c r="AI876" s="9"/>
      <c r="AJ876" s="9"/>
      <c r="AK876" s="9"/>
      <c r="AL876" s="9"/>
      <c r="AM876" s="9"/>
      <c r="AN876" s="9"/>
      <c r="AO876" s="9"/>
      <c r="AP876" s="9"/>
      <c r="AQ876" s="9"/>
      <c r="AR876" s="9"/>
      <c r="AS876" s="9"/>
      <c r="AT876" s="9"/>
      <c r="AU876" s="9"/>
      <c r="AV876" s="9"/>
      <c r="AW876" s="9"/>
      <c r="AX876" s="9"/>
      <c r="AY876" s="9"/>
      <c r="AZ876" s="9"/>
      <c r="BA876" s="9"/>
      <c r="BB876" s="9"/>
      <c r="BC876" s="9"/>
      <c r="BD876" s="9"/>
      <c r="BE876" s="9"/>
      <c r="BF876" s="9"/>
      <c r="BG876" s="9"/>
      <c r="BH876" s="9"/>
      <c r="BI876" s="9"/>
      <c r="BJ876" s="9"/>
      <c r="BK876" s="9"/>
      <c r="BL876" s="9"/>
      <c r="BM876" s="9"/>
      <c r="BN876" s="9"/>
      <c r="BO876" s="9"/>
      <c r="BP876" s="9"/>
      <c r="BQ876" s="9"/>
      <c r="BR876" s="9"/>
      <c r="BS876" s="9"/>
      <c r="BT876" s="9"/>
      <c r="BU876" s="9"/>
      <c r="BV876" s="9"/>
      <c r="BW876" s="9"/>
      <c r="BX876" s="9"/>
      <c r="BY876" s="9"/>
      <c r="BZ876" s="9"/>
    </row>
    <row r="877" spans="4:78" ht="18" customHeight="1" x14ac:dyDescent="0.25"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S877" s="9"/>
      <c r="T877" s="9"/>
      <c r="U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  <c r="AH877" s="9"/>
      <c r="AI877" s="9"/>
      <c r="AJ877" s="9"/>
      <c r="AK877" s="9"/>
      <c r="AL877" s="9"/>
      <c r="AM877" s="9"/>
      <c r="AN877" s="9"/>
      <c r="AO877" s="9"/>
      <c r="AP877" s="9"/>
      <c r="AQ877" s="9"/>
      <c r="AR877" s="9"/>
      <c r="AS877" s="9"/>
      <c r="AT877" s="9"/>
      <c r="AU877" s="9"/>
      <c r="AV877" s="9"/>
      <c r="AW877" s="9"/>
      <c r="AX877" s="9"/>
      <c r="AY877" s="9"/>
      <c r="AZ877" s="9"/>
      <c r="BA877" s="9"/>
      <c r="BB877" s="9"/>
      <c r="BC877" s="9"/>
      <c r="BD877" s="9"/>
      <c r="BE877" s="9"/>
      <c r="BF877" s="9"/>
      <c r="BG877" s="9"/>
      <c r="BH877" s="9"/>
      <c r="BI877" s="9"/>
      <c r="BJ877" s="9"/>
      <c r="BK877" s="9"/>
      <c r="BL877" s="9"/>
      <c r="BM877" s="9"/>
      <c r="BN877" s="9"/>
      <c r="BO877" s="9"/>
      <c r="BP877" s="9"/>
      <c r="BQ877" s="9"/>
      <c r="BR877" s="9"/>
      <c r="BS877" s="9"/>
      <c r="BT877" s="9"/>
      <c r="BU877" s="9"/>
      <c r="BV877" s="9"/>
      <c r="BW877" s="9"/>
      <c r="BX877" s="9"/>
      <c r="BY877" s="9"/>
      <c r="BZ877" s="9"/>
    </row>
    <row r="878" spans="4:78" ht="18" customHeight="1" x14ac:dyDescent="0.25"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S878" s="9"/>
      <c r="T878" s="9"/>
      <c r="U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  <c r="AH878" s="9"/>
      <c r="AI878" s="9"/>
      <c r="AJ878" s="9"/>
      <c r="AK878" s="9"/>
      <c r="AL878" s="9"/>
      <c r="AM878" s="9"/>
      <c r="AN878" s="9"/>
      <c r="AO878" s="9"/>
      <c r="AP878" s="9"/>
      <c r="AQ878" s="9"/>
      <c r="AR878" s="9"/>
      <c r="AS878" s="9"/>
      <c r="AT878" s="9"/>
      <c r="AU878" s="9"/>
      <c r="AV878" s="9"/>
      <c r="AW878" s="9"/>
      <c r="AX878" s="9"/>
      <c r="AY878" s="9"/>
      <c r="AZ878" s="9"/>
      <c r="BA878" s="9"/>
      <c r="BB878" s="9"/>
      <c r="BC878" s="9"/>
      <c r="BD878" s="9"/>
      <c r="BE878" s="9"/>
      <c r="BF878" s="9"/>
      <c r="BG878" s="9"/>
      <c r="BH878" s="9"/>
      <c r="BI878" s="9"/>
      <c r="BJ878" s="9"/>
      <c r="BK878" s="9"/>
      <c r="BL878" s="9"/>
      <c r="BM878" s="9"/>
      <c r="BN878" s="9"/>
      <c r="BO878" s="9"/>
      <c r="BP878" s="9"/>
      <c r="BQ878" s="9"/>
      <c r="BR878" s="9"/>
      <c r="BS878" s="9"/>
      <c r="BT878" s="9"/>
      <c r="BU878" s="9"/>
      <c r="BV878" s="9"/>
      <c r="BW878" s="9"/>
      <c r="BX878" s="9"/>
      <c r="BY878" s="9"/>
      <c r="BZ878" s="9"/>
    </row>
    <row r="879" spans="4:78" ht="18" customHeight="1" x14ac:dyDescent="0.25"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S879" s="9"/>
      <c r="T879" s="9"/>
      <c r="U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  <c r="AH879" s="9"/>
      <c r="AI879" s="9"/>
      <c r="AJ879" s="9"/>
      <c r="AK879" s="9"/>
      <c r="AL879" s="9"/>
      <c r="AM879" s="9"/>
      <c r="AN879" s="9"/>
      <c r="AO879" s="9"/>
      <c r="AP879" s="9"/>
      <c r="AQ879" s="9"/>
      <c r="AR879" s="9"/>
      <c r="AS879" s="9"/>
      <c r="AT879" s="9"/>
      <c r="AU879" s="9"/>
      <c r="AV879" s="9"/>
      <c r="AW879" s="9"/>
      <c r="AX879" s="9"/>
      <c r="AY879" s="9"/>
      <c r="AZ879" s="9"/>
      <c r="BA879" s="9"/>
      <c r="BB879" s="9"/>
      <c r="BC879" s="9"/>
      <c r="BD879" s="9"/>
      <c r="BE879" s="9"/>
      <c r="BF879" s="9"/>
      <c r="BG879" s="9"/>
      <c r="BH879" s="9"/>
      <c r="BI879" s="9"/>
      <c r="BJ879" s="9"/>
      <c r="BK879" s="9"/>
      <c r="BL879" s="9"/>
      <c r="BM879" s="9"/>
      <c r="BN879" s="9"/>
      <c r="BO879" s="9"/>
      <c r="BP879" s="9"/>
      <c r="BQ879" s="9"/>
      <c r="BR879" s="9"/>
      <c r="BS879" s="9"/>
      <c r="BT879" s="9"/>
      <c r="BU879" s="9"/>
      <c r="BV879" s="9"/>
      <c r="BW879" s="9"/>
      <c r="BX879" s="9"/>
      <c r="BY879" s="9"/>
      <c r="BZ879" s="9"/>
    </row>
    <row r="880" spans="4:78" ht="18" customHeight="1" x14ac:dyDescent="0.25"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S880" s="9"/>
      <c r="T880" s="9"/>
      <c r="U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  <c r="AH880" s="9"/>
      <c r="AI880" s="9"/>
      <c r="AJ880" s="9"/>
      <c r="AK880" s="9"/>
      <c r="AL880" s="9"/>
      <c r="AM880" s="9"/>
      <c r="AN880" s="9"/>
      <c r="AO880" s="9"/>
      <c r="AP880" s="9"/>
      <c r="AQ880" s="9"/>
      <c r="AR880" s="9"/>
      <c r="AS880" s="9"/>
      <c r="AT880" s="9"/>
      <c r="AU880" s="9"/>
      <c r="AV880" s="9"/>
      <c r="AW880" s="9"/>
      <c r="AX880" s="9"/>
      <c r="AY880" s="9"/>
      <c r="AZ880" s="9"/>
      <c r="BA880" s="9"/>
      <c r="BB880" s="9"/>
      <c r="BC880" s="9"/>
      <c r="BD880" s="9"/>
      <c r="BE880" s="9"/>
      <c r="BF880" s="9"/>
      <c r="BG880" s="9"/>
      <c r="BH880" s="9"/>
      <c r="BI880" s="9"/>
      <c r="BJ880" s="9"/>
      <c r="BK880" s="9"/>
      <c r="BL880" s="9"/>
      <c r="BM880" s="9"/>
      <c r="BN880" s="9"/>
      <c r="BO880" s="9"/>
      <c r="BP880" s="9"/>
      <c r="BQ880" s="9"/>
      <c r="BR880" s="9"/>
      <c r="BS880" s="9"/>
      <c r="BT880" s="9"/>
      <c r="BU880" s="9"/>
      <c r="BV880" s="9"/>
      <c r="BW880" s="9"/>
      <c r="BX880" s="9"/>
      <c r="BY880" s="9"/>
      <c r="BZ880" s="9"/>
    </row>
    <row r="881" spans="4:78" ht="18" customHeight="1" x14ac:dyDescent="0.25"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S881" s="9"/>
      <c r="T881" s="9"/>
      <c r="U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  <c r="AH881" s="9"/>
      <c r="AI881" s="9"/>
      <c r="AJ881" s="9"/>
      <c r="AK881" s="9"/>
      <c r="AL881" s="9"/>
      <c r="AM881" s="9"/>
      <c r="AN881" s="9"/>
      <c r="AO881" s="9"/>
      <c r="AP881" s="9"/>
      <c r="AQ881" s="9"/>
      <c r="AR881" s="9"/>
      <c r="AS881" s="9"/>
      <c r="AT881" s="9"/>
      <c r="AU881" s="9"/>
      <c r="AV881" s="9"/>
      <c r="AW881" s="9"/>
      <c r="AX881" s="9"/>
      <c r="AY881" s="9"/>
      <c r="AZ881" s="9"/>
      <c r="BA881" s="9"/>
      <c r="BB881" s="9"/>
      <c r="BC881" s="9"/>
      <c r="BD881" s="9"/>
      <c r="BE881" s="9"/>
      <c r="BF881" s="9"/>
      <c r="BG881" s="9"/>
      <c r="BH881" s="9"/>
      <c r="BI881" s="9"/>
      <c r="BJ881" s="9"/>
      <c r="BK881" s="9"/>
      <c r="BL881" s="9"/>
      <c r="BM881" s="9"/>
      <c r="BN881" s="9"/>
      <c r="BO881" s="9"/>
      <c r="BP881" s="9"/>
      <c r="BQ881" s="9"/>
      <c r="BR881" s="9"/>
      <c r="BS881" s="9"/>
      <c r="BT881" s="9"/>
      <c r="BU881" s="9"/>
      <c r="BV881" s="9"/>
      <c r="BW881" s="9"/>
      <c r="BX881" s="9"/>
      <c r="BY881" s="9"/>
      <c r="BZ881" s="9"/>
    </row>
    <row r="882" spans="4:78" ht="18" customHeight="1" x14ac:dyDescent="0.25"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S882" s="9"/>
      <c r="T882" s="9"/>
      <c r="U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  <c r="AH882" s="9"/>
      <c r="AI882" s="9"/>
      <c r="AJ882" s="9"/>
      <c r="AK882" s="9"/>
      <c r="AL882" s="9"/>
      <c r="AM882" s="9"/>
      <c r="AN882" s="9"/>
      <c r="AO882" s="9"/>
      <c r="AP882" s="9"/>
      <c r="AQ882" s="9"/>
      <c r="AR882" s="9"/>
      <c r="AS882" s="9"/>
      <c r="AT882" s="9"/>
      <c r="AU882" s="9"/>
      <c r="AV882" s="9"/>
      <c r="AW882" s="9"/>
      <c r="AX882" s="9"/>
      <c r="AY882" s="9"/>
      <c r="AZ882" s="9"/>
      <c r="BA882" s="9"/>
      <c r="BB882" s="9"/>
      <c r="BC882" s="9"/>
      <c r="BD882" s="9"/>
      <c r="BE882" s="9"/>
      <c r="BF882" s="9"/>
      <c r="BG882" s="9"/>
      <c r="BH882" s="9"/>
      <c r="BI882" s="9"/>
      <c r="BJ882" s="9"/>
      <c r="BK882" s="9"/>
      <c r="BL882" s="9"/>
      <c r="BM882" s="9"/>
      <c r="BN882" s="9"/>
      <c r="BO882" s="9"/>
      <c r="BP882" s="9"/>
      <c r="BQ882" s="9"/>
      <c r="BR882" s="9"/>
      <c r="BS882" s="9"/>
      <c r="BT882" s="9"/>
      <c r="BU882" s="9"/>
      <c r="BV882" s="9"/>
      <c r="BW882" s="9"/>
      <c r="BX882" s="9"/>
      <c r="BY882" s="9"/>
      <c r="BZ882" s="9"/>
    </row>
    <row r="883" spans="4:78" ht="18" customHeight="1" x14ac:dyDescent="0.25"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S883" s="9"/>
      <c r="T883" s="9"/>
      <c r="U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  <c r="AH883" s="9"/>
      <c r="AI883" s="9"/>
      <c r="AJ883" s="9"/>
      <c r="AK883" s="9"/>
      <c r="AL883" s="9"/>
      <c r="AM883" s="9"/>
      <c r="AN883" s="9"/>
      <c r="AO883" s="9"/>
      <c r="AP883" s="9"/>
      <c r="AQ883" s="9"/>
      <c r="AR883" s="9"/>
      <c r="AS883" s="9"/>
      <c r="AT883" s="9"/>
      <c r="AU883" s="9"/>
      <c r="AV883" s="9"/>
      <c r="AW883" s="9"/>
      <c r="AX883" s="9"/>
      <c r="AY883" s="9"/>
      <c r="AZ883" s="9"/>
      <c r="BA883" s="9"/>
      <c r="BB883" s="9"/>
      <c r="BC883" s="9"/>
      <c r="BD883" s="9"/>
      <c r="BE883" s="9"/>
      <c r="BF883" s="9"/>
      <c r="BG883" s="9"/>
      <c r="BH883" s="9"/>
      <c r="BI883" s="9"/>
      <c r="BJ883" s="9"/>
      <c r="BK883" s="9"/>
      <c r="BL883" s="9"/>
      <c r="BM883" s="9"/>
      <c r="BN883" s="9"/>
      <c r="BO883" s="9"/>
      <c r="BP883" s="9"/>
      <c r="BQ883" s="9"/>
      <c r="BR883" s="9"/>
      <c r="BS883" s="9"/>
      <c r="BT883" s="9"/>
      <c r="BU883" s="9"/>
      <c r="BV883" s="9"/>
      <c r="BW883" s="9"/>
      <c r="BX883" s="9"/>
      <c r="BY883" s="9"/>
      <c r="BZ883" s="9"/>
    </row>
    <row r="884" spans="4:78" ht="18" customHeight="1" x14ac:dyDescent="0.25"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S884" s="9"/>
      <c r="T884" s="9"/>
      <c r="U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  <c r="AH884" s="9"/>
      <c r="AI884" s="9"/>
      <c r="AJ884" s="9"/>
      <c r="AK884" s="9"/>
      <c r="AL884" s="9"/>
      <c r="AM884" s="9"/>
      <c r="AN884" s="9"/>
      <c r="AO884" s="9"/>
      <c r="AP884" s="9"/>
      <c r="AQ884" s="9"/>
      <c r="AR884" s="9"/>
      <c r="AS884" s="9"/>
      <c r="AT884" s="9"/>
      <c r="AU884" s="9"/>
      <c r="AV884" s="9"/>
      <c r="AW884" s="9"/>
      <c r="AX884" s="9"/>
      <c r="AY884" s="9"/>
      <c r="AZ884" s="9"/>
      <c r="BA884" s="9"/>
      <c r="BB884" s="9"/>
      <c r="BC884" s="9"/>
      <c r="BD884" s="9"/>
      <c r="BE884" s="9"/>
      <c r="BF884" s="9"/>
      <c r="BG884" s="9"/>
      <c r="BH884" s="9"/>
      <c r="BI884" s="9"/>
      <c r="BJ884" s="9"/>
      <c r="BK884" s="9"/>
      <c r="BL884" s="9"/>
      <c r="BM884" s="9"/>
      <c r="BN884" s="9"/>
      <c r="BO884" s="9"/>
      <c r="BP884" s="9"/>
      <c r="BQ884" s="9"/>
      <c r="BR884" s="9"/>
      <c r="BS884" s="9"/>
      <c r="BT884" s="9"/>
      <c r="BU884" s="9"/>
      <c r="BV884" s="9"/>
      <c r="BW884" s="9"/>
      <c r="BX884" s="9"/>
      <c r="BY884" s="9"/>
      <c r="BZ884" s="9"/>
    </row>
    <row r="885" spans="4:78" ht="18" customHeight="1" x14ac:dyDescent="0.25"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S885" s="9"/>
      <c r="T885" s="9"/>
      <c r="U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  <c r="AH885" s="9"/>
      <c r="AI885" s="9"/>
      <c r="AJ885" s="9"/>
      <c r="AK885" s="9"/>
      <c r="AL885" s="9"/>
      <c r="AM885" s="9"/>
      <c r="AN885" s="9"/>
      <c r="AO885" s="9"/>
      <c r="AP885" s="9"/>
      <c r="AQ885" s="9"/>
      <c r="AR885" s="9"/>
      <c r="AS885" s="9"/>
      <c r="AT885" s="9"/>
      <c r="AU885" s="9"/>
      <c r="AV885" s="9"/>
      <c r="AW885" s="9"/>
      <c r="AX885" s="9"/>
      <c r="AY885" s="9"/>
      <c r="AZ885" s="9"/>
      <c r="BA885" s="9"/>
      <c r="BB885" s="9"/>
      <c r="BC885" s="9"/>
      <c r="BD885" s="9"/>
      <c r="BE885" s="9"/>
      <c r="BF885" s="9"/>
      <c r="BG885" s="9"/>
      <c r="BH885" s="9"/>
      <c r="BI885" s="9"/>
      <c r="BJ885" s="9"/>
      <c r="BK885" s="9"/>
      <c r="BL885" s="9"/>
      <c r="BM885" s="9"/>
      <c r="BN885" s="9"/>
      <c r="BO885" s="9"/>
      <c r="BP885" s="9"/>
      <c r="BQ885" s="9"/>
      <c r="BR885" s="9"/>
      <c r="BS885" s="9"/>
      <c r="BT885" s="9"/>
      <c r="BU885" s="9"/>
      <c r="BV885" s="9"/>
      <c r="BW885" s="9"/>
      <c r="BX885" s="9"/>
      <c r="BY885" s="9"/>
      <c r="BZ885" s="9"/>
    </row>
    <row r="886" spans="4:78" ht="18" customHeight="1" x14ac:dyDescent="0.25"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S886" s="9"/>
      <c r="T886" s="9"/>
      <c r="U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  <c r="AH886" s="9"/>
      <c r="AI886" s="9"/>
      <c r="AJ886" s="9"/>
      <c r="AK886" s="9"/>
      <c r="AL886" s="9"/>
      <c r="AM886" s="9"/>
      <c r="AN886" s="9"/>
      <c r="AO886" s="9"/>
      <c r="AP886" s="9"/>
      <c r="AQ886" s="9"/>
      <c r="AR886" s="9"/>
      <c r="AS886" s="9"/>
      <c r="AT886" s="9"/>
      <c r="AU886" s="9"/>
      <c r="AV886" s="9"/>
      <c r="AW886" s="9"/>
      <c r="AX886" s="9"/>
      <c r="AY886" s="9"/>
      <c r="AZ886" s="9"/>
      <c r="BA886" s="9"/>
      <c r="BB886" s="9"/>
      <c r="BC886" s="9"/>
      <c r="BD886" s="9"/>
      <c r="BE886" s="9"/>
      <c r="BF886" s="9"/>
      <c r="BG886" s="9"/>
      <c r="BH886" s="9"/>
      <c r="BI886" s="9"/>
      <c r="BJ886" s="9"/>
      <c r="BK886" s="9"/>
      <c r="BL886" s="9"/>
      <c r="BM886" s="9"/>
      <c r="BN886" s="9"/>
      <c r="BO886" s="9"/>
      <c r="BP886" s="9"/>
      <c r="BQ886" s="9"/>
      <c r="BR886" s="9"/>
      <c r="BS886" s="9"/>
      <c r="BT886" s="9"/>
      <c r="BU886" s="9"/>
      <c r="BV886" s="9"/>
      <c r="BW886" s="9"/>
      <c r="BX886" s="9"/>
      <c r="BY886" s="9"/>
      <c r="BZ886" s="9"/>
    </row>
    <row r="887" spans="4:78" ht="18" customHeight="1" x14ac:dyDescent="0.25"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S887" s="9"/>
      <c r="T887" s="9"/>
      <c r="U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  <c r="AH887" s="9"/>
      <c r="AI887" s="9"/>
      <c r="AJ887" s="9"/>
      <c r="AK887" s="9"/>
      <c r="AL887" s="9"/>
      <c r="AM887" s="9"/>
      <c r="AN887" s="9"/>
      <c r="AO887" s="9"/>
      <c r="AP887" s="9"/>
      <c r="AQ887" s="9"/>
      <c r="AR887" s="9"/>
      <c r="AS887" s="9"/>
      <c r="AT887" s="9"/>
      <c r="AU887" s="9"/>
      <c r="AV887" s="9"/>
      <c r="AW887" s="9"/>
      <c r="AX887" s="9"/>
      <c r="AY887" s="9"/>
      <c r="AZ887" s="9"/>
      <c r="BA887" s="9"/>
      <c r="BB887" s="9"/>
      <c r="BC887" s="9"/>
      <c r="BD887" s="9"/>
      <c r="BE887" s="9"/>
      <c r="BF887" s="9"/>
      <c r="BG887" s="9"/>
      <c r="BH887" s="9"/>
      <c r="BI887" s="9"/>
      <c r="BJ887" s="9"/>
      <c r="BK887" s="9"/>
      <c r="BL887" s="9"/>
      <c r="BM887" s="9"/>
      <c r="BN887" s="9"/>
      <c r="BO887" s="9"/>
      <c r="BP887" s="9"/>
      <c r="BQ887" s="9"/>
      <c r="BR887" s="9"/>
      <c r="BS887" s="9"/>
      <c r="BT887" s="9"/>
      <c r="BU887" s="9"/>
      <c r="BV887" s="9"/>
      <c r="BW887" s="9"/>
      <c r="BX887" s="9"/>
      <c r="BY887" s="9"/>
      <c r="BZ887" s="9"/>
    </row>
    <row r="888" spans="4:78" ht="18" customHeight="1" x14ac:dyDescent="0.25"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S888" s="9"/>
      <c r="T888" s="9"/>
      <c r="U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  <c r="AH888" s="9"/>
      <c r="AI888" s="9"/>
      <c r="AJ888" s="9"/>
      <c r="AK888" s="9"/>
      <c r="AL888" s="9"/>
      <c r="AM888" s="9"/>
      <c r="AN888" s="9"/>
      <c r="AO888" s="9"/>
      <c r="AP888" s="9"/>
      <c r="AQ888" s="9"/>
      <c r="AR888" s="9"/>
      <c r="AS888" s="9"/>
      <c r="AT888" s="9"/>
      <c r="AU888" s="9"/>
      <c r="AV888" s="9"/>
      <c r="AW888" s="9"/>
      <c r="AX888" s="9"/>
      <c r="AY888" s="9"/>
      <c r="AZ888" s="9"/>
      <c r="BA888" s="9"/>
      <c r="BB888" s="9"/>
      <c r="BC888" s="9"/>
      <c r="BD888" s="9"/>
      <c r="BE888" s="9"/>
      <c r="BF888" s="9"/>
      <c r="BG888" s="9"/>
      <c r="BH888" s="9"/>
      <c r="BI888" s="9"/>
      <c r="BJ888" s="9"/>
      <c r="BK888" s="9"/>
      <c r="BL888" s="9"/>
      <c r="BM888" s="9"/>
      <c r="BN888" s="9"/>
      <c r="BO888" s="9"/>
      <c r="BP888" s="9"/>
      <c r="BQ888" s="9"/>
      <c r="BR888" s="9"/>
      <c r="BS888" s="9"/>
      <c r="BT888" s="9"/>
      <c r="BU888" s="9"/>
      <c r="BV888" s="9"/>
      <c r="BW888" s="9"/>
      <c r="BX888" s="9"/>
      <c r="BY888" s="9"/>
      <c r="BZ888" s="9"/>
    </row>
    <row r="889" spans="4:78" ht="18" customHeight="1" x14ac:dyDescent="0.25"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S889" s="9"/>
      <c r="T889" s="9"/>
      <c r="U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  <c r="AH889" s="9"/>
      <c r="AI889" s="9"/>
      <c r="AJ889" s="9"/>
      <c r="AK889" s="9"/>
      <c r="AL889" s="9"/>
      <c r="AM889" s="9"/>
      <c r="AN889" s="9"/>
      <c r="AO889" s="9"/>
      <c r="AP889" s="9"/>
      <c r="AQ889" s="9"/>
      <c r="AR889" s="9"/>
      <c r="AS889" s="9"/>
      <c r="AT889" s="9"/>
      <c r="AU889" s="9"/>
      <c r="AV889" s="9"/>
      <c r="AW889" s="9"/>
      <c r="AX889" s="9"/>
      <c r="AY889" s="9"/>
      <c r="AZ889" s="9"/>
      <c r="BA889" s="9"/>
      <c r="BB889" s="9"/>
      <c r="BC889" s="9"/>
      <c r="BD889" s="9"/>
      <c r="BE889" s="9"/>
      <c r="BF889" s="9"/>
      <c r="BG889" s="9"/>
      <c r="BH889" s="9"/>
      <c r="BI889" s="9"/>
      <c r="BJ889" s="9"/>
      <c r="BK889" s="9"/>
      <c r="BL889" s="9"/>
      <c r="BM889" s="9"/>
      <c r="BN889" s="9"/>
      <c r="BO889" s="9"/>
      <c r="BP889" s="9"/>
      <c r="BQ889" s="9"/>
      <c r="BR889" s="9"/>
      <c r="BS889" s="9"/>
      <c r="BT889" s="9"/>
      <c r="BU889" s="9"/>
      <c r="BV889" s="9"/>
      <c r="BW889" s="9"/>
      <c r="BX889" s="9"/>
      <c r="BY889" s="9"/>
      <c r="BZ889" s="9"/>
    </row>
    <row r="890" spans="4:78" ht="18" customHeight="1" x14ac:dyDescent="0.25"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S890" s="9"/>
      <c r="T890" s="9"/>
      <c r="U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  <c r="AH890" s="9"/>
      <c r="AI890" s="9"/>
      <c r="AJ890" s="9"/>
      <c r="AK890" s="9"/>
      <c r="AL890" s="9"/>
      <c r="AM890" s="9"/>
      <c r="AN890" s="9"/>
      <c r="AO890" s="9"/>
      <c r="AP890" s="9"/>
      <c r="AQ890" s="9"/>
      <c r="AR890" s="9"/>
      <c r="AS890" s="9"/>
      <c r="AT890" s="9"/>
      <c r="AU890" s="9"/>
      <c r="AV890" s="9"/>
      <c r="AW890" s="9"/>
      <c r="AX890" s="9"/>
      <c r="AY890" s="9"/>
      <c r="AZ890" s="9"/>
      <c r="BA890" s="9"/>
      <c r="BB890" s="9"/>
      <c r="BC890" s="9"/>
      <c r="BD890" s="9"/>
      <c r="BE890" s="9"/>
      <c r="BF890" s="9"/>
      <c r="BG890" s="9"/>
      <c r="BH890" s="9"/>
      <c r="BI890" s="9"/>
      <c r="BJ890" s="9"/>
      <c r="BK890" s="9"/>
      <c r="BL890" s="9"/>
      <c r="BM890" s="9"/>
      <c r="BN890" s="9"/>
      <c r="BO890" s="9"/>
      <c r="BP890" s="9"/>
      <c r="BQ890" s="9"/>
      <c r="BR890" s="9"/>
      <c r="BS890" s="9"/>
      <c r="BT890" s="9"/>
      <c r="BU890" s="9"/>
      <c r="BV890" s="9"/>
      <c r="BW890" s="9"/>
      <c r="BX890" s="9"/>
      <c r="BY890" s="9"/>
      <c r="BZ890" s="9"/>
    </row>
    <row r="891" spans="4:78" ht="18" customHeight="1" x14ac:dyDescent="0.25"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S891" s="9"/>
      <c r="T891" s="9"/>
      <c r="U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  <c r="AH891" s="9"/>
      <c r="AI891" s="9"/>
      <c r="AJ891" s="9"/>
      <c r="AK891" s="9"/>
      <c r="AL891" s="9"/>
      <c r="AM891" s="9"/>
      <c r="AN891" s="9"/>
      <c r="AO891" s="9"/>
      <c r="AP891" s="9"/>
      <c r="AQ891" s="9"/>
      <c r="AR891" s="9"/>
      <c r="AS891" s="9"/>
      <c r="AT891" s="9"/>
      <c r="AU891" s="9"/>
      <c r="AV891" s="9"/>
      <c r="AW891" s="9"/>
      <c r="AX891" s="9"/>
      <c r="AY891" s="9"/>
      <c r="AZ891" s="9"/>
      <c r="BA891" s="9"/>
      <c r="BB891" s="9"/>
      <c r="BC891" s="9"/>
      <c r="BD891" s="9"/>
      <c r="BE891" s="9"/>
      <c r="BF891" s="9"/>
      <c r="BG891" s="9"/>
      <c r="BH891" s="9"/>
      <c r="BI891" s="9"/>
      <c r="BJ891" s="9"/>
      <c r="BK891" s="9"/>
      <c r="BL891" s="9"/>
      <c r="BM891" s="9"/>
      <c r="BN891" s="9"/>
      <c r="BO891" s="9"/>
      <c r="BP891" s="9"/>
      <c r="BQ891" s="9"/>
      <c r="BR891" s="9"/>
      <c r="BS891" s="9"/>
      <c r="BT891" s="9"/>
      <c r="BU891" s="9"/>
      <c r="BV891" s="9"/>
      <c r="BW891" s="9"/>
      <c r="BX891" s="9"/>
      <c r="BY891" s="9"/>
      <c r="BZ891" s="9"/>
    </row>
    <row r="892" spans="4:78" ht="18" customHeight="1" x14ac:dyDescent="0.25"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S892" s="9"/>
      <c r="T892" s="9"/>
      <c r="U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  <c r="AH892" s="9"/>
      <c r="AI892" s="9"/>
      <c r="AJ892" s="9"/>
      <c r="AK892" s="9"/>
      <c r="AL892" s="9"/>
      <c r="AM892" s="9"/>
      <c r="AN892" s="9"/>
      <c r="AO892" s="9"/>
      <c r="AP892" s="9"/>
      <c r="AQ892" s="9"/>
      <c r="AR892" s="9"/>
      <c r="AS892" s="9"/>
      <c r="AT892" s="9"/>
      <c r="AU892" s="9"/>
      <c r="AV892" s="9"/>
      <c r="AW892" s="9"/>
      <c r="AX892" s="9"/>
      <c r="AY892" s="9"/>
      <c r="AZ892" s="9"/>
      <c r="BA892" s="9"/>
      <c r="BB892" s="9"/>
      <c r="BC892" s="9"/>
      <c r="BD892" s="9"/>
      <c r="BE892" s="9"/>
      <c r="BF892" s="9"/>
      <c r="BG892" s="9"/>
      <c r="BH892" s="9"/>
      <c r="BI892" s="9"/>
      <c r="BJ892" s="9"/>
      <c r="BK892" s="9"/>
      <c r="BL892" s="9"/>
      <c r="BM892" s="9"/>
      <c r="BN892" s="9"/>
      <c r="BO892" s="9"/>
      <c r="BP892" s="9"/>
      <c r="BQ892" s="9"/>
      <c r="BR892" s="9"/>
      <c r="BS892" s="9"/>
      <c r="BT892" s="9"/>
      <c r="BU892" s="9"/>
      <c r="BV892" s="9"/>
      <c r="BW892" s="9"/>
      <c r="BX892" s="9"/>
      <c r="BY892" s="9"/>
      <c r="BZ892" s="9"/>
    </row>
    <row r="893" spans="4:78" ht="18" customHeight="1" x14ac:dyDescent="0.25"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S893" s="9"/>
      <c r="T893" s="9"/>
      <c r="U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  <c r="AH893" s="9"/>
      <c r="AI893" s="9"/>
      <c r="AJ893" s="9"/>
      <c r="AK893" s="9"/>
      <c r="AL893" s="9"/>
      <c r="AM893" s="9"/>
      <c r="AN893" s="9"/>
      <c r="AO893" s="9"/>
      <c r="AP893" s="9"/>
      <c r="AQ893" s="9"/>
      <c r="AR893" s="9"/>
      <c r="AS893" s="9"/>
      <c r="AT893" s="9"/>
      <c r="AU893" s="9"/>
      <c r="AV893" s="9"/>
      <c r="AW893" s="9"/>
      <c r="AX893" s="9"/>
      <c r="AY893" s="9"/>
      <c r="AZ893" s="9"/>
      <c r="BA893" s="9"/>
      <c r="BB893" s="9"/>
      <c r="BC893" s="9"/>
      <c r="BD893" s="9"/>
      <c r="BE893" s="9"/>
      <c r="BF893" s="9"/>
      <c r="BG893" s="9"/>
      <c r="BH893" s="9"/>
      <c r="BI893" s="9"/>
      <c r="BJ893" s="9"/>
      <c r="BK893" s="9"/>
      <c r="BL893" s="9"/>
      <c r="BM893" s="9"/>
      <c r="BN893" s="9"/>
      <c r="BO893" s="9"/>
      <c r="BP893" s="9"/>
      <c r="BQ893" s="9"/>
      <c r="BR893" s="9"/>
      <c r="BS893" s="9"/>
      <c r="BT893" s="9"/>
      <c r="BU893" s="9"/>
      <c r="BV893" s="9"/>
      <c r="BW893" s="9"/>
      <c r="BX893" s="9"/>
      <c r="BY893" s="9"/>
      <c r="BZ893" s="9"/>
    </row>
    <row r="894" spans="4:78" ht="18" customHeight="1" x14ac:dyDescent="0.25"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S894" s="9"/>
      <c r="T894" s="9"/>
      <c r="U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  <c r="AH894" s="9"/>
      <c r="AI894" s="9"/>
      <c r="AJ894" s="9"/>
      <c r="AK894" s="9"/>
      <c r="AL894" s="9"/>
      <c r="AM894" s="9"/>
      <c r="AN894" s="9"/>
      <c r="AO894" s="9"/>
      <c r="AP894" s="9"/>
      <c r="AQ894" s="9"/>
      <c r="AR894" s="9"/>
      <c r="AS894" s="9"/>
      <c r="AT894" s="9"/>
      <c r="AU894" s="9"/>
      <c r="AV894" s="9"/>
      <c r="AW894" s="9"/>
      <c r="AX894" s="9"/>
      <c r="AY894" s="9"/>
      <c r="AZ894" s="9"/>
      <c r="BA894" s="9"/>
      <c r="BB894" s="9"/>
      <c r="BC894" s="9"/>
      <c r="BD894" s="9"/>
      <c r="BE894" s="9"/>
      <c r="BF894" s="9"/>
      <c r="BG894" s="9"/>
      <c r="BH894" s="9"/>
      <c r="BI894" s="9"/>
      <c r="BJ894" s="9"/>
      <c r="BK894" s="9"/>
      <c r="BL894" s="9"/>
      <c r="BM894" s="9"/>
      <c r="BN894" s="9"/>
      <c r="BO894" s="9"/>
      <c r="BP894" s="9"/>
      <c r="BQ894" s="9"/>
      <c r="BR894" s="9"/>
      <c r="BS894" s="9"/>
      <c r="BT894" s="9"/>
      <c r="BU894" s="9"/>
      <c r="BV894" s="9"/>
      <c r="BW894" s="9"/>
      <c r="BX894" s="9"/>
      <c r="BY894" s="9"/>
      <c r="BZ894" s="9"/>
    </row>
    <row r="895" spans="4:78" ht="18" customHeight="1" x14ac:dyDescent="0.25"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S895" s="9"/>
      <c r="T895" s="9"/>
      <c r="U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  <c r="AH895" s="9"/>
      <c r="AI895" s="9"/>
      <c r="AJ895" s="9"/>
      <c r="AK895" s="9"/>
      <c r="AL895" s="9"/>
      <c r="AM895" s="9"/>
      <c r="AN895" s="9"/>
      <c r="AO895" s="9"/>
      <c r="AP895" s="9"/>
      <c r="AQ895" s="9"/>
      <c r="AR895" s="9"/>
      <c r="AS895" s="9"/>
      <c r="AT895" s="9"/>
      <c r="AU895" s="9"/>
      <c r="AV895" s="9"/>
      <c r="AW895" s="9"/>
      <c r="AX895" s="9"/>
      <c r="AY895" s="9"/>
      <c r="AZ895" s="9"/>
      <c r="BA895" s="9"/>
      <c r="BB895" s="9"/>
      <c r="BC895" s="9"/>
      <c r="BD895" s="9"/>
      <c r="BE895" s="9"/>
      <c r="BF895" s="9"/>
      <c r="BG895" s="9"/>
      <c r="BH895" s="9"/>
      <c r="BI895" s="9"/>
      <c r="BJ895" s="9"/>
      <c r="BK895" s="9"/>
      <c r="BL895" s="9"/>
      <c r="BM895" s="9"/>
      <c r="BN895" s="9"/>
      <c r="BO895" s="9"/>
      <c r="BP895" s="9"/>
      <c r="BQ895" s="9"/>
      <c r="BR895" s="9"/>
      <c r="BS895" s="9"/>
      <c r="BT895" s="9"/>
      <c r="BU895" s="9"/>
      <c r="BV895" s="9"/>
      <c r="BW895" s="9"/>
      <c r="BX895" s="9"/>
      <c r="BY895" s="9"/>
      <c r="BZ895" s="9"/>
    </row>
    <row r="896" spans="4:78" ht="18" customHeight="1" x14ac:dyDescent="0.25"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S896" s="9"/>
      <c r="T896" s="9"/>
      <c r="U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  <c r="AH896" s="9"/>
      <c r="AI896" s="9"/>
      <c r="AJ896" s="9"/>
      <c r="AK896" s="9"/>
      <c r="AL896" s="9"/>
      <c r="AM896" s="9"/>
      <c r="AN896" s="9"/>
      <c r="AO896" s="9"/>
      <c r="AP896" s="9"/>
      <c r="AQ896" s="9"/>
      <c r="AR896" s="9"/>
      <c r="AS896" s="9"/>
      <c r="AT896" s="9"/>
      <c r="AU896" s="9"/>
      <c r="AV896" s="9"/>
      <c r="AW896" s="9"/>
      <c r="AX896" s="9"/>
      <c r="AY896" s="9"/>
      <c r="AZ896" s="9"/>
      <c r="BA896" s="9"/>
      <c r="BB896" s="9"/>
      <c r="BC896" s="9"/>
      <c r="BD896" s="9"/>
      <c r="BE896" s="9"/>
      <c r="BF896" s="9"/>
      <c r="BG896" s="9"/>
      <c r="BH896" s="9"/>
      <c r="BI896" s="9"/>
      <c r="BJ896" s="9"/>
      <c r="BK896" s="9"/>
      <c r="BL896" s="9"/>
      <c r="BM896" s="9"/>
      <c r="BN896" s="9"/>
      <c r="BO896" s="9"/>
      <c r="BP896" s="9"/>
      <c r="BQ896" s="9"/>
      <c r="BR896" s="9"/>
      <c r="BS896" s="9"/>
      <c r="BT896" s="9"/>
      <c r="BU896" s="9"/>
      <c r="BV896" s="9"/>
      <c r="BW896" s="9"/>
      <c r="BX896" s="9"/>
      <c r="BY896" s="9"/>
      <c r="BZ896" s="9"/>
    </row>
    <row r="897" spans="4:78" ht="18" customHeight="1" x14ac:dyDescent="0.25"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S897" s="9"/>
      <c r="T897" s="9"/>
      <c r="U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  <c r="AH897" s="9"/>
      <c r="AI897" s="9"/>
      <c r="AJ897" s="9"/>
      <c r="AK897" s="9"/>
      <c r="AL897" s="9"/>
      <c r="AM897" s="9"/>
      <c r="AN897" s="9"/>
      <c r="AO897" s="9"/>
      <c r="AP897" s="9"/>
      <c r="AQ897" s="9"/>
      <c r="AR897" s="9"/>
      <c r="AS897" s="9"/>
      <c r="AT897" s="9"/>
      <c r="AU897" s="9"/>
      <c r="AV897" s="9"/>
      <c r="AW897" s="9"/>
      <c r="AX897" s="9"/>
      <c r="AY897" s="9"/>
      <c r="AZ897" s="9"/>
      <c r="BA897" s="9"/>
      <c r="BB897" s="9"/>
      <c r="BC897" s="9"/>
      <c r="BD897" s="9"/>
      <c r="BE897" s="9"/>
      <c r="BF897" s="9"/>
      <c r="BG897" s="9"/>
      <c r="BH897" s="9"/>
      <c r="BI897" s="9"/>
      <c r="BJ897" s="9"/>
      <c r="BK897" s="9"/>
      <c r="BL897" s="9"/>
      <c r="BM897" s="9"/>
      <c r="BN897" s="9"/>
      <c r="BO897" s="9"/>
      <c r="BP897" s="9"/>
      <c r="BQ897" s="9"/>
      <c r="BR897" s="9"/>
      <c r="BS897" s="9"/>
      <c r="BT897" s="9"/>
      <c r="BU897" s="9"/>
      <c r="BV897" s="9"/>
      <c r="BW897" s="9"/>
      <c r="BX897" s="9"/>
      <c r="BY897" s="9"/>
      <c r="BZ897" s="9"/>
    </row>
    <row r="898" spans="4:78" ht="18" customHeight="1" x14ac:dyDescent="0.25"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S898" s="9"/>
      <c r="T898" s="9"/>
      <c r="U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  <c r="AH898" s="9"/>
      <c r="AI898" s="9"/>
      <c r="AJ898" s="9"/>
      <c r="AK898" s="9"/>
      <c r="AL898" s="9"/>
      <c r="AM898" s="9"/>
      <c r="AN898" s="9"/>
      <c r="AO898" s="9"/>
      <c r="AP898" s="9"/>
      <c r="AQ898" s="9"/>
      <c r="AR898" s="9"/>
      <c r="AS898" s="9"/>
      <c r="AT898" s="9"/>
      <c r="AU898" s="9"/>
      <c r="AV898" s="9"/>
      <c r="AW898" s="9"/>
      <c r="AX898" s="9"/>
      <c r="AY898" s="9"/>
      <c r="AZ898" s="9"/>
      <c r="BA898" s="9"/>
      <c r="BB898" s="9"/>
      <c r="BC898" s="9"/>
      <c r="BD898" s="9"/>
      <c r="BE898" s="9"/>
      <c r="BF898" s="9"/>
      <c r="BG898" s="9"/>
      <c r="BH898" s="9"/>
      <c r="BI898" s="9"/>
      <c r="BJ898" s="9"/>
      <c r="BK898" s="9"/>
      <c r="BL898" s="9"/>
      <c r="BM898" s="9"/>
      <c r="BN898" s="9"/>
      <c r="BO898" s="9"/>
      <c r="BP898" s="9"/>
      <c r="BQ898" s="9"/>
      <c r="BR898" s="9"/>
      <c r="BS898" s="9"/>
      <c r="BT898" s="9"/>
      <c r="BU898" s="9"/>
      <c r="BV898" s="9"/>
      <c r="BW898" s="9"/>
      <c r="BX898" s="9"/>
      <c r="BY898" s="9"/>
      <c r="BZ898" s="9"/>
    </row>
    <row r="899" spans="4:78" ht="18" customHeight="1" x14ac:dyDescent="0.25"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S899" s="9"/>
      <c r="T899" s="9"/>
      <c r="U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  <c r="AH899" s="9"/>
      <c r="AI899" s="9"/>
      <c r="AJ899" s="9"/>
      <c r="AK899" s="9"/>
      <c r="AL899" s="9"/>
      <c r="AM899" s="9"/>
      <c r="AN899" s="9"/>
      <c r="AO899" s="9"/>
      <c r="AP899" s="9"/>
      <c r="AQ899" s="9"/>
      <c r="AR899" s="9"/>
      <c r="AS899" s="9"/>
      <c r="AT899" s="9"/>
      <c r="AU899" s="9"/>
      <c r="AV899" s="9"/>
      <c r="AW899" s="9"/>
      <c r="AX899" s="9"/>
      <c r="AY899" s="9"/>
      <c r="AZ899" s="9"/>
      <c r="BA899" s="9"/>
      <c r="BB899" s="9"/>
      <c r="BC899" s="9"/>
      <c r="BD899" s="9"/>
      <c r="BE899" s="9"/>
      <c r="BF899" s="9"/>
      <c r="BG899" s="9"/>
      <c r="BH899" s="9"/>
      <c r="BI899" s="9"/>
      <c r="BJ899" s="9"/>
      <c r="BK899" s="9"/>
      <c r="BL899" s="9"/>
      <c r="BM899" s="9"/>
      <c r="BN899" s="9"/>
      <c r="BO899" s="9"/>
      <c r="BP899" s="9"/>
      <c r="BQ899" s="9"/>
      <c r="BR899" s="9"/>
      <c r="BS899" s="9"/>
      <c r="BT899" s="9"/>
      <c r="BU899" s="9"/>
      <c r="BV899" s="9"/>
      <c r="BW899" s="9"/>
      <c r="BX899" s="9"/>
      <c r="BY899" s="9"/>
      <c r="BZ899" s="9"/>
    </row>
    <row r="900" spans="4:78" ht="18" customHeight="1" x14ac:dyDescent="0.25"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S900" s="9"/>
      <c r="T900" s="9"/>
      <c r="U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  <c r="AH900" s="9"/>
      <c r="AI900" s="9"/>
      <c r="AJ900" s="9"/>
      <c r="AK900" s="9"/>
      <c r="AL900" s="9"/>
      <c r="AM900" s="9"/>
      <c r="AN900" s="9"/>
      <c r="AO900" s="9"/>
      <c r="AP900" s="9"/>
      <c r="AQ900" s="9"/>
      <c r="AR900" s="9"/>
      <c r="AS900" s="9"/>
      <c r="AT900" s="9"/>
      <c r="AU900" s="9"/>
      <c r="AV900" s="9"/>
      <c r="AW900" s="9"/>
      <c r="AX900" s="9"/>
      <c r="AY900" s="9"/>
      <c r="AZ900" s="9"/>
      <c r="BA900" s="9"/>
      <c r="BB900" s="9"/>
      <c r="BC900" s="9"/>
      <c r="BD900" s="9"/>
      <c r="BE900" s="9"/>
      <c r="BF900" s="9"/>
      <c r="BG900" s="9"/>
      <c r="BH900" s="9"/>
      <c r="BI900" s="9"/>
      <c r="BJ900" s="9"/>
      <c r="BK900" s="9"/>
      <c r="BL900" s="9"/>
      <c r="BM900" s="9"/>
      <c r="BN900" s="9"/>
      <c r="BO900" s="9"/>
      <c r="BP900" s="9"/>
      <c r="BQ900" s="9"/>
      <c r="BR900" s="9"/>
      <c r="BS900" s="9"/>
      <c r="BT900" s="9"/>
      <c r="BU900" s="9"/>
      <c r="BV900" s="9"/>
      <c r="BW900" s="9"/>
      <c r="BX900" s="9"/>
      <c r="BY900" s="9"/>
      <c r="BZ900" s="9"/>
    </row>
    <row r="901" spans="4:78" ht="18" customHeight="1" x14ac:dyDescent="0.25"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S901" s="9"/>
      <c r="T901" s="9"/>
      <c r="U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  <c r="AH901" s="9"/>
      <c r="AI901" s="9"/>
      <c r="AJ901" s="9"/>
      <c r="AK901" s="9"/>
      <c r="AL901" s="9"/>
      <c r="AM901" s="9"/>
      <c r="AN901" s="9"/>
      <c r="AO901" s="9"/>
      <c r="AP901" s="9"/>
      <c r="AQ901" s="9"/>
      <c r="AR901" s="9"/>
      <c r="AS901" s="9"/>
      <c r="AT901" s="9"/>
      <c r="AU901" s="9"/>
      <c r="AV901" s="9"/>
      <c r="AW901" s="9"/>
      <c r="AX901" s="9"/>
      <c r="AY901" s="9"/>
      <c r="AZ901" s="9"/>
      <c r="BA901" s="9"/>
      <c r="BB901" s="9"/>
      <c r="BC901" s="9"/>
      <c r="BD901" s="9"/>
      <c r="BE901" s="9"/>
      <c r="BF901" s="9"/>
      <c r="BG901" s="9"/>
      <c r="BH901" s="9"/>
      <c r="BI901" s="9"/>
      <c r="BJ901" s="9"/>
      <c r="BK901" s="9"/>
      <c r="BL901" s="9"/>
      <c r="BM901" s="9"/>
      <c r="BN901" s="9"/>
      <c r="BO901" s="9"/>
      <c r="BP901" s="9"/>
      <c r="BQ901" s="9"/>
      <c r="BR901" s="9"/>
      <c r="BS901" s="9"/>
      <c r="BT901" s="9"/>
      <c r="BU901" s="9"/>
      <c r="BV901" s="9"/>
      <c r="BW901" s="9"/>
      <c r="BX901" s="9"/>
      <c r="BY901" s="9"/>
      <c r="BZ901" s="9"/>
    </row>
    <row r="902" spans="4:78" ht="18" customHeight="1" x14ac:dyDescent="0.25"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S902" s="9"/>
      <c r="T902" s="9"/>
      <c r="U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  <c r="AH902" s="9"/>
      <c r="AI902" s="9"/>
      <c r="AJ902" s="9"/>
      <c r="AK902" s="9"/>
      <c r="AL902" s="9"/>
      <c r="AM902" s="9"/>
      <c r="AN902" s="9"/>
      <c r="AO902" s="9"/>
      <c r="AP902" s="9"/>
      <c r="AQ902" s="9"/>
      <c r="AR902" s="9"/>
      <c r="AS902" s="9"/>
      <c r="AT902" s="9"/>
      <c r="AU902" s="9"/>
      <c r="AV902" s="9"/>
      <c r="AW902" s="9"/>
      <c r="AX902" s="9"/>
      <c r="AY902" s="9"/>
      <c r="AZ902" s="9"/>
      <c r="BA902" s="9"/>
      <c r="BB902" s="9"/>
      <c r="BC902" s="9"/>
      <c r="BD902" s="9"/>
      <c r="BE902" s="9"/>
      <c r="BF902" s="9"/>
      <c r="BG902" s="9"/>
      <c r="BH902" s="9"/>
      <c r="BI902" s="9"/>
      <c r="BJ902" s="9"/>
      <c r="BK902" s="9"/>
      <c r="BL902" s="9"/>
      <c r="BM902" s="9"/>
      <c r="BN902" s="9"/>
      <c r="BO902" s="9"/>
      <c r="BP902" s="9"/>
      <c r="BQ902" s="9"/>
      <c r="BR902" s="9"/>
      <c r="BS902" s="9"/>
      <c r="BT902" s="9"/>
      <c r="BU902" s="9"/>
      <c r="BV902" s="9"/>
      <c r="BW902" s="9"/>
      <c r="BX902" s="9"/>
      <c r="BY902" s="9"/>
      <c r="BZ902" s="9"/>
    </row>
    <row r="903" spans="4:78" ht="18" customHeight="1" x14ac:dyDescent="0.25"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S903" s="9"/>
      <c r="T903" s="9"/>
      <c r="U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  <c r="AH903" s="9"/>
      <c r="AI903" s="9"/>
      <c r="AJ903" s="9"/>
      <c r="AK903" s="9"/>
      <c r="AL903" s="9"/>
      <c r="AM903" s="9"/>
      <c r="AN903" s="9"/>
      <c r="AO903" s="9"/>
      <c r="AP903" s="9"/>
      <c r="AQ903" s="9"/>
      <c r="AR903" s="9"/>
      <c r="AS903" s="9"/>
      <c r="AT903" s="9"/>
      <c r="AU903" s="9"/>
      <c r="AV903" s="9"/>
      <c r="AW903" s="9"/>
      <c r="AX903" s="9"/>
      <c r="AY903" s="9"/>
      <c r="AZ903" s="9"/>
      <c r="BA903" s="9"/>
      <c r="BB903" s="9"/>
      <c r="BC903" s="9"/>
      <c r="BD903" s="9"/>
      <c r="BE903" s="9"/>
      <c r="BF903" s="9"/>
      <c r="BG903" s="9"/>
      <c r="BH903" s="9"/>
      <c r="BI903" s="9"/>
      <c r="BJ903" s="9"/>
      <c r="BK903" s="9"/>
      <c r="BL903" s="9"/>
      <c r="BM903" s="9"/>
      <c r="BN903" s="9"/>
      <c r="BO903" s="9"/>
      <c r="BP903" s="9"/>
      <c r="BQ903" s="9"/>
      <c r="BR903" s="9"/>
      <c r="BS903" s="9"/>
      <c r="BT903" s="9"/>
      <c r="BU903" s="9"/>
      <c r="BV903" s="9"/>
      <c r="BW903" s="9"/>
      <c r="BX903" s="9"/>
      <c r="BY903" s="9"/>
      <c r="BZ903" s="9"/>
    </row>
    <row r="904" spans="4:78" ht="18" customHeight="1" x14ac:dyDescent="0.25"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S904" s="9"/>
      <c r="T904" s="9"/>
      <c r="U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  <c r="AH904" s="9"/>
      <c r="AI904" s="9"/>
      <c r="AJ904" s="9"/>
      <c r="AK904" s="9"/>
      <c r="AL904" s="9"/>
      <c r="AM904" s="9"/>
      <c r="AN904" s="9"/>
      <c r="AO904" s="9"/>
      <c r="AP904" s="9"/>
      <c r="AQ904" s="9"/>
      <c r="AR904" s="9"/>
      <c r="AS904" s="9"/>
      <c r="AT904" s="9"/>
      <c r="AU904" s="9"/>
      <c r="AV904" s="9"/>
      <c r="AW904" s="9"/>
      <c r="AX904" s="9"/>
      <c r="AY904" s="9"/>
      <c r="AZ904" s="9"/>
      <c r="BA904" s="9"/>
      <c r="BB904" s="9"/>
      <c r="BC904" s="9"/>
      <c r="BD904" s="9"/>
      <c r="BE904" s="9"/>
      <c r="BF904" s="9"/>
      <c r="BG904" s="9"/>
      <c r="BH904" s="9"/>
      <c r="BI904" s="9"/>
      <c r="BJ904" s="9"/>
      <c r="BK904" s="9"/>
      <c r="BL904" s="9"/>
      <c r="BM904" s="9"/>
      <c r="BN904" s="9"/>
      <c r="BO904" s="9"/>
      <c r="BP904" s="9"/>
      <c r="BQ904" s="9"/>
      <c r="BR904" s="9"/>
      <c r="BS904" s="9"/>
      <c r="BT904" s="9"/>
      <c r="BU904" s="9"/>
      <c r="BV904" s="9"/>
      <c r="BW904" s="9"/>
      <c r="BX904" s="9"/>
      <c r="BY904" s="9"/>
      <c r="BZ904" s="9"/>
    </row>
    <row r="905" spans="4:78" ht="18" customHeight="1" x14ac:dyDescent="0.25"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S905" s="9"/>
      <c r="T905" s="9"/>
      <c r="U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  <c r="AH905" s="9"/>
      <c r="AI905" s="9"/>
      <c r="AJ905" s="9"/>
      <c r="AK905" s="9"/>
      <c r="AL905" s="9"/>
      <c r="AM905" s="9"/>
      <c r="AN905" s="9"/>
      <c r="AO905" s="9"/>
      <c r="AP905" s="9"/>
      <c r="AQ905" s="9"/>
      <c r="AR905" s="9"/>
      <c r="AS905" s="9"/>
      <c r="AT905" s="9"/>
      <c r="AU905" s="9"/>
      <c r="AV905" s="9"/>
      <c r="AW905" s="9"/>
      <c r="AX905" s="9"/>
      <c r="AY905" s="9"/>
      <c r="AZ905" s="9"/>
      <c r="BA905" s="9"/>
      <c r="BB905" s="9"/>
      <c r="BC905" s="9"/>
      <c r="BD905" s="9"/>
      <c r="BE905" s="9"/>
      <c r="BF905" s="9"/>
      <c r="BG905" s="9"/>
      <c r="BH905" s="9"/>
      <c r="BI905" s="9"/>
      <c r="BJ905" s="9"/>
      <c r="BK905" s="9"/>
      <c r="BL905" s="9"/>
      <c r="BM905" s="9"/>
      <c r="BN905" s="9"/>
      <c r="BO905" s="9"/>
      <c r="BP905" s="9"/>
      <c r="BQ905" s="9"/>
      <c r="BR905" s="9"/>
      <c r="BS905" s="9"/>
      <c r="BT905" s="9"/>
      <c r="BU905" s="9"/>
      <c r="BV905" s="9"/>
      <c r="BW905" s="9"/>
      <c r="BX905" s="9"/>
      <c r="BY905" s="9"/>
      <c r="BZ905" s="9"/>
    </row>
    <row r="906" spans="4:78" ht="18" customHeight="1" x14ac:dyDescent="0.25"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S906" s="9"/>
      <c r="T906" s="9"/>
      <c r="U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  <c r="AH906" s="9"/>
      <c r="AI906" s="9"/>
      <c r="AJ906" s="9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  <c r="BL906" s="9"/>
      <c r="BM906" s="9"/>
      <c r="BN906" s="9"/>
      <c r="BO906" s="9"/>
      <c r="BP906" s="9"/>
      <c r="BQ906" s="9"/>
      <c r="BR906" s="9"/>
      <c r="BS906" s="9"/>
      <c r="BT906" s="9"/>
      <c r="BU906" s="9"/>
      <c r="BV906" s="9"/>
      <c r="BW906" s="9"/>
      <c r="BX906" s="9"/>
      <c r="BY906" s="9"/>
      <c r="BZ906" s="9"/>
    </row>
    <row r="907" spans="4:78" ht="18" customHeight="1" x14ac:dyDescent="0.25"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S907" s="9"/>
      <c r="T907" s="9"/>
      <c r="U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  <c r="BF907" s="9"/>
      <c r="BG907" s="9"/>
      <c r="BH907" s="9"/>
      <c r="BI907" s="9"/>
      <c r="BJ907" s="9"/>
      <c r="BK907" s="9"/>
      <c r="BL907" s="9"/>
      <c r="BM907" s="9"/>
      <c r="BN907" s="9"/>
      <c r="BO907" s="9"/>
      <c r="BP907" s="9"/>
      <c r="BQ907" s="9"/>
      <c r="BR907" s="9"/>
      <c r="BS907" s="9"/>
      <c r="BT907" s="9"/>
      <c r="BU907" s="9"/>
      <c r="BV907" s="9"/>
      <c r="BW907" s="9"/>
      <c r="BX907" s="9"/>
      <c r="BY907" s="9"/>
      <c r="BZ907" s="9"/>
    </row>
    <row r="908" spans="4:78" ht="18" customHeight="1" x14ac:dyDescent="0.25"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S908" s="9"/>
      <c r="T908" s="9"/>
      <c r="U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  <c r="AH908" s="9"/>
      <c r="AI908" s="9"/>
      <c r="AJ908" s="9"/>
      <c r="AK908" s="9"/>
      <c r="AL908" s="9"/>
      <c r="AM908" s="9"/>
      <c r="AN908" s="9"/>
      <c r="AO908" s="9"/>
      <c r="AP908" s="9"/>
      <c r="AQ908" s="9"/>
      <c r="AR908" s="9"/>
      <c r="AS908" s="9"/>
      <c r="AT908" s="9"/>
      <c r="AU908" s="9"/>
      <c r="AV908" s="9"/>
      <c r="AW908" s="9"/>
      <c r="AX908" s="9"/>
      <c r="AY908" s="9"/>
      <c r="AZ908" s="9"/>
      <c r="BA908" s="9"/>
      <c r="BB908" s="9"/>
      <c r="BC908" s="9"/>
      <c r="BD908" s="9"/>
      <c r="BE908" s="9"/>
      <c r="BF908" s="9"/>
      <c r="BG908" s="9"/>
      <c r="BH908" s="9"/>
      <c r="BI908" s="9"/>
      <c r="BJ908" s="9"/>
      <c r="BK908" s="9"/>
      <c r="BL908" s="9"/>
      <c r="BM908" s="9"/>
      <c r="BN908" s="9"/>
      <c r="BO908" s="9"/>
      <c r="BP908" s="9"/>
      <c r="BQ908" s="9"/>
      <c r="BR908" s="9"/>
      <c r="BS908" s="9"/>
      <c r="BT908" s="9"/>
      <c r="BU908" s="9"/>
      <c r="BV908" s="9"/>
      <c r="BW908" s="9"/>
      <c r="BX908" s="9"/>
      <c r="BY908" s="9"/>
      <c r="BZ908" s="9"/>
    </row>
    <row r="909" spans="4:78" ht="18" customHeight="1" x14ac:dyDescent="0.25"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S909" s="9"/>
      <c r="T909" s="9"/>
      <c r="U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  <c r="AH909" s="9"/>
      <c r="AI909" s="9"/>
      <c r="AJ909" s="9"/>
      <c r="AK909" s="9"/>
      <c r="AL909" s="9"/>
      <c r="AM909" s="9"/>
      <c r="AN909" s="9"/>
      <c r="AO909" s="9"/>
      <c r="AP909" s="9"/>
      <c r="AQ909" s="9"/>
      <c r="AR909" s="9"/>
      <c r="AS909" s="9"/>
      <c r="AT909" s="9"/>
      <c r="AU909" s="9"/>
      <c r="AV909" s="9"/>
      <c r="AW909" s="9"/>
      <c r="AX909" s="9"/>
      <c r="AY909" s="9"/>
      <c r="AZ909" s="9"/>
      <c r="BA909" s="9"/>
      <c r="BB909" s="9"/>
      <c r="BC909" s="9"/>
      <c r="BD909" s="9"/>
      <c r="BE909" s="9"/>
      <c r="BF909" s="9"/>
      <c r="BG909" s="9"/>
      <c r="BH909" s="9"/>
      <c r="BI909" s="9"/>
      <c r="BJ909" s="9"/>
      <c r="BK909" s="9"/>
      <c r="BL909" s="9"/>
      <c r="BM909" s="9"/>
      <c r="BN909" s="9"/>
      <c r="BO909" s="9"/>
      <c r="BP909" s="9"/>
      <c r="BQ909" s="9"/>
      <c r="BR909" s="9"/>
      <c r="BS909" s="9"/>
      <c r="BT909" s="9"/>
      <c r="BU909" s="9"/>
      <c r="BV909" s="9"/>
      <c r="BW909" s="9"/>
      <c r="BX909" s="9"/>
      <c r="BY909" s="9"/>
      <c r="BZ909" s="9"/>
    </row>
    <row r="910" spans="4:78" ht="18" customHeight="1" x14ac:dyDescent="0.25"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S910" s="9"/>
      <c r="T910" s="9"/>
      <c r="U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  <c r="AH910" s="9"/>
      <c r="AI910" s="9"/>
      <c r="AJ910" s="9"/>
      <c r="AK910" s="9"/>
      <c r="AL910" s="9"/>
      <c r="AM910" s="9"/>
      <c r="AN910" s="9"/>
      <c r="AO910" s="9"/>
      <c r="AP910" s="9"/>
      <c r="AQ910" s="9"/>
      <c r="AR910" s="9"/>
      <c r="AS910" s="9"/>
      <c r="AT910" s="9"/>
      <c r="AU910" s="9"/>
      <c r="AV910" s="9"/>
      <c r="AW910" s="9"/>
      <c r="AX910" s="9"/>
      <c r="AY910" s="9"/>
      <c r="AZ910" s="9"/>
      <c r="BA910" s="9"/>
      <c r="BB910" s="9"/>
      <c r="BC910" s="9"/>
      <c r="BD910" s="9"/>
      <c r="BE910" s="9"/>
      <c r="BF910" s="9"/>
      <c r="BG910" s="9"/>
      <c r="BH910" s="9"/>
      <c r="BI910" s="9"/>
      <c r="BJ910" s="9"/>
      <c r="BK910" s="9"/>
      <c r="BL910" s="9"/>
      <c r="BM910" s="9"/>
      <c r="BN910" s="9"/>
      <c r="BO910" s="9"/>
      <c r="BP910" s="9"/>
      <c r="BQ910" s="9"/>
      <c r="BR910" s="9"/>
      <c r="BS910" s="9"/>
      <c r="BT910" s="9"/>
      <c r="BU910" s="9"/>
      <c r="BV910" s="9"/>
      <c r="BW910" s="9"/>
      <c r="BX910" s="9"/>
      <c r="BY910" s="9"/>
      <c r="BZ910" s="9"/>
    </row>
    <row r="911" spans="4:78" ht="18" customHeight="1" x14ac:dyDescent="0.25"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S911" s="9"/>
      <c r="T911" s="9"/>
      <c r="U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  <c r="AH911" s="9"/>
      <c r="AI911" s="9"/>
      <c r="AJ911" s="9"/>
      <c r="AK911" s="9"/>
      <c r="AL911" s="9"/>
      <c r="AM911" s="9"/>
      <c r="AN911" s="9"/>
      <c r="AO911" s="9"/>
      <c r="AP911" s="9"/>
      <c r="AQ911" s="9"/>
      <c r="AR911" s="9"/>
      <c r="AS911" s="9"/>
      <c r="AT911" s="9"/>
      <c r="AU911" s="9"/>
      <c r="AV911" s="9"/>
      <c r="AW911" s="9"/>
      <c r="AX911" s="9"/>
      <c r="AY911" s="9"/>
      <c r="AZ911" s="9"/>
      <c r="BA911" s="9"/>
      <c r="BB911" s="9"/>
      <c r="BC911" s="9"/>
      <c r="BD911" s="9"/>
      <c r="BE911" s="9"/>
      <c r="BF911" s="9"/>
      <c r="BG911" s="9"/>
      <c r="BH911" s="9"/>
      <c r="BI911" s="9"/>
      <c r="BJ911" s="9"/>
      <c r="BK911" s="9"/>
      <c r="BL911" s="9"/>
      <c r="BM911" s="9"/>
      <c r="BN911" s="9"/>
      <c r="BO911" s="9"/>
      <c r="BP911" s="9"/>
      <c r="BQ911" s="9"/>
      <c r="BR911" s="9"/>
      <c r="BS911" s="9"/>
      <c r="BT911" s="9"/>
      <c r="BU911" s="9"/>
      <c r="BV911" s="9"/>
      <c r="BW911" s="9"/>
      <c r="BX911" s="9"/>
      <c r="BY911" s="9"/>
      <c r="BZ911" s="9"/>
    </row>
    <row r="912" spans="4:78" ht="18" customHeight="1" x14ac:dyDescent="0.25"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S912" s="9"/>
      <c r="T912" s="9"/>
      <c r="U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  <c r="AH912" s="9"/>
      <c r="AI912" s="9"/>
      <c r="AJ912" s="9"/>
      <c r="AK912" s="9"/>
      <c r="AL912" s="9"/>
      <c r="AM912" s="9"/>
      <c r="AN912" s="9"/>
      <c r="AO912" s="9"/>
      <c r="AP912" s="9"/>
      <c r="AQ912" s="9"/>
      <c r="AR912" s="9"/>
      <c r="AS912" s="9"/>
      <c r="AT912" s="9"/>
      <c r="AU912" s="9"/>
      <c r="AV912" s="9"/>
      <c r="AW912" s="9"/>
      <c r="AX912" s="9"/>
      <c r="AY912" s="9"/>
      <c r="AZ912" s="9"/>
      <c r="BA912" s="9"/>
      <c r="BB912" s="9"/>
      <c r="BC912" s="9"/>
      <c r="BD912" s="9"/>
      <c r="BE912" s="9"/>
      <c r="BF912" s="9"/>
      <c r="BG912" s="9"/>
      <c r="BH912" s="9"/>
      <c r="BI912" s="9"/>
      <c r="BJ912" s="9"/>
      <c r="BK912" s="9"/>
      <c r="BL912" s="9"/>
      <c r="BM912" s="9"/>
      <c r="BN912" s="9"/>
      <c r="BO912" s="9"/>
      <c r="BP912" s="9"/>
      <c r="BQ912" s="9"/>
      <c r="BR912" s="9"/>
      <c r="BS912" s="9"/>
      <c r="BT912" s="9"/>
      <c r="BU912" s="9"/>
      <c r="BV912" s="9"/>
      <c r="BW912" s="9"/>
      <c r="BX912" s="9"/>
      <c r="BY912" s="9"/>
      <c r="BZ912" s="9"/>
    </row>
    <row r="913" spans="4:78" ht="18" customHeight="1" x14ac:dyDescent="0.25"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S913" s="9"/>
      <c r="T913" s="9"/>
      <c r="U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  <c r="AH913" s="9"/>
      <c r="AI913" s="9"/>
      <c r="AJ913" s="9"/>
      <c r="AK913" s="9"/>
      <c r="AL913" s="9"/>
      <c r="AM913" s="9"/>
      <c r="AN913" s="9"/>
      <c r="AO913" s="9"/>
      <c r="AP913" s="9"/>
      <c r="AQ913" s="9"/>
      <c r="AR913" s="9"/>
      <c r="AS913" s="9"/>
      <c r="AT913" s="9"/>
      <c r="AU913" s="9"/>
      <c r="AV913" s="9"/>
      <c r="AW913" s="9"/>
      <c r="AX913" s="9"/>
      <c r="AY913" s="9"/>
      <c r="AZ913" s="9"/>
      <c r="BA913" s="9"/>
      <c r="BB913" s="9"/>
      <c r="BC913" s="9"/>
      <c r="BD913" s="9"/>
      <c r="BE913" s="9"/>
      <c r="BF913" s="9"/>
      <c r="BG913" s="9"/>
      <c r="BH913" s="9"/>
      <c r="BI913" s="9"/>
      <c r="BJ913" s="9"/>
      <c r="BK913" s="9"/>
      <c r="BL913" s="9"/>
      <c r="BM913" s="9"/>
      <c r="BN913" s="9"/>
      <c r="BO913" s="9"/>
      <c r="BP913" s="9"/>
      <c r="BQ913" s="9"/>
      <c r="BR913" s="9"/>
      <c r="BS913" s="9"/>
      <c r="BT913" s="9"/>
      <c r="BU913" s="9"/>
      <c r="BV913" s="9"/>
      <c r="BW913" s="9"/>
      <c r="BX913" s="9"/>
      <c r="BY913" s="9"/>
      <c r="BZ913" s="9"/>
    </row>
    <row r="914" spans="4:78" ht="18" customHeight="1" x14ac:dyDescent="0.25"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S914" s="9"/>
      <c r="T914" s="9"/>
      <c r="U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  <c r="AH914" s="9"/>
      <c r="AI914" s="9"/>
      <c r="AJ914" s="9"/>
      <c r="AK914" s="9"/>
      <c r="AL914" s="9"/>
      <c r="AM914" s="9"/>
      <c r="AN914" s="9"/>
      <c r="AO914" s="9"/>
      <c r="AP914" s="9"/>
      <c r="AQ914" s="9"/>
      <c r="AR914" s="9"/>
      <c r="AS914" s="9"/>
      <c r="AT914" s="9"/>
      <c r="AU914" s="9"/>
      <c r="AV914" s="9"/>
      <c r="AW914" s="9"/>
      <c r="AX914" s="9"/>
      <c r="AY914" s="9"/>
      <c r="AZ914" s="9"/>
      <c r="BA914" s="9"/>
      <c r="BB914" s="9"/>
      <c r="BC914" s="9"/>
      <c r="BD914" s="9"/>
      <c r="BE914" s="9"/>
      <c r="BF914" s="9"/>
      <c r="BG914" s="9"/>
      <c r="BH914" s="9"/>
      <c r="BI914" s="9"/>
      <c r="BJ914" s="9"/>
      <c r="BK914" s="9"/>
      <c r="BL914" s="9"/>
      <c r="BM914" s="9"/>
      <c r="BN914" s="9"/>
      <c r="BO914" s="9"/>
      <c r="BP914" s="9"/>
      <c r="BQ914" s="9"/>
      <c r="BR914" s="9"/>
      <c r="BS914" s="9"/>
      <c r="BT914" s="9"/>
      <c r="BU914" s="9"/>
      <c r="BV914" s="9"/>
      <c r="BW914" s="9"/>
      <c r="BX914" s="9"/>
      <c r="BY914" s="9"/>
      <c r="BZ914" s="9"/>
    </row>
    <row r="915" spans="4:78" ht="18" customHeight="1" x14ac:dyDescent="0.25"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S915" s="9"/>
      <c r="T915" s="9"/>
      <c r="U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  <c r="AH915" s="9"/>
      <c r="AI915" s="9"/>
      <c r="AJ915" s="9"/>
      <c r="AK915" s="9"/>
      <c r="AL915" s="9"/>
      <c r="AM915" s="9"/>
      <c r="AN915" s="9"/>
      <c r="AO915" s="9"/>
      <c r="AP915" s="9"/>
      <c r="AQ915" s="9"/>
      <c r="AR915" s="9"/>
      <c r="AS915" s="9"/>
      <c r="AT915" s="9"/>
      <c r="AU915" s="9"/>
      <c r="AV915" s="9"/>
      <c r="AW915" s="9"/>
      <c r="AX915" s="9"/>
      <c r="AY915" s="9"/>
      <c r="AZ915" s="9"/>
      <c r="BA915" s="9"/>
      <c r="BB915" s="9"/>
      <c r="BC915" s="9"/>
      <c r="BD915" s="9"/>
      <c r="BE915" s="9"/>
      <c r="BF915" s="9"/>
      <c r="BG915" s="9"/>
      <c r="BH915" s="9"/>
      <c r="BI915" s="9"/>
      <c r="BJ915" s="9"/>
      <c r="BK915" s="9"/>
      <c r="BL915" s="9"/>
      <c r="BM915" s="9"/>
      <c r="BN915" s="9"/>
      <c r="BO915" s="9"/>
      <c r="BP915" s="9"/>
      <c r="BQ915" s="9"/>
      <c r="BR915" s="9"/>
      <c r="BS915" s="9"/>
      <c r="BT915" s="9"/>
      <c r="BU915" s="9"/>
      <c r="BV915" s="9"/>
      <c r="BW915" s="9"/>
      <c r="BX915" s="9"/>
      <c r="BY915" s="9"/>
      <c r="BZ915" s="9"/>
    </row>
    <row r="916" spans="4:78" ht="18" customHeight="1" x14ac:dyDescent="0.25"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S916" s="9"/>
      <c r="T916" s="9"/>
      <c r="U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  <c r="AH916" s="9"/>
      <c r="AI916" s="9"/>
      <c r="AJ916" s="9"/>
      <c r="AK916" s="9"/>
      <c r="AL916" s="9"/>
      <c r="AM916" s="9"/>
      <c r="AN916" s="9"/>
      <c r="AO916" s="9"/>
      <c r="AP916" s="9"/>
      <c r="AQ916" s="9"/>
      <c r="AR916" s="9"/>
      <c r="AS916" s="9"/>
      <c r="AT916" s="9"/>
      <c r="AU916" s="9"/>
      <c r="AV916" s="9"/>
      <c r="AW916" s="9"/>
      <c r="AX916" s="9"/>
      <c r="AY916" s="9"/>
      <c r="AZ916" s="9"/>
      <c r="BA916" s="9"/>
      <c r="BB916" s="9"/>
      <c r="BC916" s="9"/>
      <c r="BD916" s="9"/>
      <c r="BE916" s="9"/>
      <c r="BF916" s="9"/>
      <c r="BG916" s="9"/>
      <c r="BH916" s="9"/>
      <c r="BI916" s="9"/>
      <c r="BJ916" s="9"/>
      <c r="BK916" s="9"/>
      <c r="BL916" s="9"/>
      <c r="BM916" s="9"/>
      <c r="BN916" s="9"/>
      <c r="BO916" s="9"/>
      <c r="BP916" s="9"/>
      <c r="BQ916" s="9"/>
      <c r="BR916" s="9"/>
      <c r="BS916" s="9"/>
      <c r="BT916" s="9"/>
      <c r="BU916" s="9"/>
      <c r="BV916" s="9"/>
      <c r="BW916" s="9"/>
      <c r="BX916" s="9"/>
      <c r="BY916" s="9"/>
      <c r="BZ916" s="9"/>
    </row>
    <row r="917" spans="4:78" ht="18" customHeight="1" x14ac:dyDescent="0.25"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S917" s="9"/>
      <c r="T917" s="9"/>
      <c r="U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  <c r="AH917" s="9"/>
      <c r="AI917" s="9"/>
      <c r="AJ917" s="9"/>
      <c r="AK917" s="9"/>
      <c r="AL917" s="9"/>
      <c r="AM917" s="9"/>
      <c r="AN917" s="9"/>
      <c r="AO917" s="9"/>
      <c r="AP917" s="9"/>
      <c r="AQ917" s="9"/>
      <c r="AR917" s="9"/>
      <c r="AS917" s="9"/>
      <c r="AT917" s="9"/>
      <c r="AU917" s="9"/>
      <c r="AV917" s="9"/>
      <c r="AW917" s="9"/>
      <c r="AX917" s="9"/>
      <c r="AY917" s="9"/>
      <c r="AZ917" s="9"/>
      <c r="BA917" s="9"/>
      <c r="BB917" s="9"/>
      <c r="BC917" s="9"/>
      <c r="BD917" s="9"/>
      <c r="BE917" s="9"/>
      <c r="BF917" s="9"/>
      <c r="BG917" s="9"/>
      <c r="BH917" s="9"/>
      <c r="BI917" s="9"/>
      <c r="BJ917" s="9"/>
      <c r="BK917" s="9"/>
      <c r="BL917" s="9"/>
      <c r="BM917" s="9"/>
      <c r="BN917" s="9"/>
      <c r="BO917" s="9"/>
      <c r="BP917" s="9"/>
      <c r="BQ917" s="9"/>
      <c r="BR917" s="9"/>
      <c r="BS917" s="9"/>
      <c r="BT917" s="9"/>
      <c r="BU917" s="9"/>
      <c r="BV917" s="9"/>
      <c r="BW917" s="9"/>
      <c r="BX917" s="9"/>
      <c r="BY917" s="9"/>
      <c r="BZ917" s="9"/>
    </row>
    <row r="918" spans="4:78" ht="18" customHeight="1" x14ac:dyDescent="0.25"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S918" s="9"/>
      <c r="T918" s="9"/>
      <c r="U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  <c r="AH918" s="9"/>
      <c r="AI918" s="9"/>
      <c r="AJ918" s="9"/>
      <c r="AK918" s="9"/>
      <c r="AL918" s="9"/>
      <c r="AM918" s="9"/>
      <c r="AN918" s="9"/>
      <c r="AO918" s="9"/>
      <c r="AP918" s="9"/>
      <c r="AQ918" s="9"/>
      <c r="AR918" s="9"/>
      <c r="AS918" s="9"/>
      <c r="AT918" s="9"/>
      <c r="AU918" s="9"/>
      <c r="AV918" s="9"/>
      <c r="AW918" s="9"/>
      <c r="AX918" s="9"/>
      <c r="AY918" s="9"/>
      <c r="AZ918" s="9"/>
      <c r="BA918" s="9"/>
      <c r="BB918" s="9"/>
      <c r="BC918" s="9"/>
      <c r="BD918" s="9"/>
      <c r="BE918" s="9"/>
      <c r="BF918" s="9"/>
      <c r="BG918" s="9"/>
      <c r="BH918" s="9"/>
      <c r="BI918" s="9"/>
      <c r="BJ918" s="9"/>
      <c r="BK918" s="9"/>
      <c r="BL918" s="9"/>
      <c r="BM918" s="9"/>
      <c r="BN918" s="9"/>
      <c r="BO918" s="9"/>
      <c r="BP918" s="9"/>
      <c r="BQ918" s="9"/>
      <c r="BR918" s="9"/>
      <c r="BS918" s="9"/>
      <c r="BT918" s="9"/>
      <c r="BU918" s="9"/>
      <c r="BV918" s="9"/>
      <c r="BW918" s="9"/>
      <c r="BX918" s="9"/>
      <c r="BY918" s="9"/>
      <c r="BZ918" s="9"/>
    </row>
    <row r="919" spans="4:78" ht="18" customHeight="1" x14ac:dyDescent="0.25"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S919" s="9"/>
      <c r="T919" s="9"/>
      <c r="U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  <c r="AH919" s="9"/>
      <c r="AI919" s="9"/>
      <c r="AJ919" s="9"/>
      <c r="AK919" s="9"/>
      <c r="AL919" s="9"/>
      <c r="AM919" s="9"/>
      <c r="AN919" s="9"/>
      <c r="AO919" s="9"/>
      <c r="AP919" s="9"/>
      <c r="AQ919" s="9"/>
      <c r="AR919" s="9"/>
      <c r="AS919" s="9"/>
      <c r="AT919" s="9"/>
      <c r="AU919" s="9"/>
      <c r="AV919" s="9"/>
      <c r="AW919" s="9"/>
      <c r="AX919" s="9"/>
      <c r="AY919" s="9"/>
      <c r="AZ919" s="9"/>
      <c r="BA919" s="9"/>
      <c r="BB919" s="9"/>
      <c r="BC919" s="9"/>
      <c r="BD919" s="9"/>
      <c r="BE919" s="9"/>
      <c r="BF919" s="9"/>
      <c r="BG919" s="9"/>
      <c r="BH919" s="9"/>
      <c r="BI919" s="9"/>
      <c r="BJ919" s="9"/>
      <c r="BK919" s="9"/>
      <c r="BL919" s="9"/>
      <c r="BM919" s="9"/>
      <c r="BN919" s="9"/>
      <c r="BO919" s="9"/>
      <c r="BP919" s="9"/>
      <c r="BQ919" s="9"/>
      <c r="BR919" s="9"/>
      <c r="BS919" s="9"/>
      <c r="BT919" s="9"/>
      <c r="BU919" s="9"/>
      <c r="BV919" s="9"/>
      <c r="BW919" s="9"/>
      <c r="BX919" s="9"/>
      <c r="BY919" s="9"/>
      <c r="BZ919" s="9"/>
    </row>
    <row r="920" spans="4:78" ht="18" customHeight="1" x14ac:dyDescent="0.25"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S920" s="9"/>
      <c r="T920" s="9"/>
      <c r="U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  <c r="AH920" s="9"/>
      <c r="AI920" s="9"/>
      <c r="AJ920" s="9"/>
      <c r="AK920" s="9"/>
      <c r="AL920" s="9"/>
      <c r="AM920" s="9"/>
      <c r="AN920" s="9"/>
      <c r="AO920" s="9"/>
      <c r="AP920" s="9"/>
      <c r="AQ920" s="9"/>
      <c r="AR920" s="9"/>
      <c r="AS920" s="9"/>
      <c r="AT920" s="9"/>
      <c r="AU920" s="9"/>
      <c r="AV920" s="9"/>
      <c r="AW920" s="9"/>
      <c r="AX920" s="9"/>
      <c r="AY920" s="9"/>
      <c r="AZ920" s="9"/>
      <c r="BA920" s="9"/>
      <c r="BB920" s="9"/>
      <c r="BC920" s="9"/>
      <c r="BD920" s="9"/>
      <c r="BE920" s="9"/>
      <c r="BF920" s="9"/>
      <c r="BG920" s="9"/>
      <c r="BH920" s="9"/>
      <c r="BI920" s="9"/>
      <c r="BJ920" s="9"/>
      <c r="BK920" s="9"/>
      <c r="BL920" s="9"/>
      <c r="BM920" s="9"/>
      <c r="BN920" s="9"/>
      <c r="BO920" s="9"/>
      <c r="BP920" s="9"/>
      <c r="BQ920" s="9"/>
      <c r="BR920" s="9"/>
      <c r="BS920" s="9"/>
      <c r="BT920" s="9"/>
      <c r="BU920" s="9"/>
      <c r="BV920" s="9"/>
      <c r="BW920" s="9"/>
      <c r="BX920" s="9"/>
      <c r="BY920" s="9"/>
      <c r="BZ920" s="9"/>
    </row>
    <row r="921" spans="4:78" ht="18" customHeight="1" x14ac:dyDescent="0.25"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S921" s="9"/>
      <c r="T921" s="9"/>
      <c r="U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  <c r="AH921" s="9"/>
      <c r="AI921" s="9"/>
      <c r="AJ921" s="9"/>
      <c r="AK921" s="9"/>
      <c r="AL921" s="9"/>
      <c r="AM921" s="9"/>
      <c r="AN921" s="9"/>
      <c r="AO921" s="9"/>
      <c r="AP921" s="9"/>
      <c r="AQ921" s="9"/>
      <c r="AR921" s="9"/>
      <c r="AS921" s="9"/>
      <c r="AT921" s="9"/>
      <c r="AU921" s="9"/>
      <c r="AV921" s="9"/>
      <c r="AW921" s="9"/>
      <c r="AX921" s="9"/>
      <c r="AY921" s="9"/>
      <c r="AZ921" s="9"/>
      <c r="BA921" s="9"/>
      <c r="BB921" s="9"/>
      <c r="BC921" s="9"/>
      <c r="BD921" s="9"/>
      <c r="BE921" s="9"/>
      <c r="BF921" s="9"/>
      <c r="BG921" s="9"/>
      <c r="BH921" s="9"/>
      <c r="BI921" s="9"/>
      <c r="BJ921" s="9"/>
      <c r="BK921" s="9"/>
      <c r="BL921" s="9"/>
      <c r="BM921" s="9"/>
      <c r="BN921" s="9"/>
      <c r="BO921" s="9"/>
      <c r="BP921" s="9"/>
      <c r="BQ921" s="9"/>
      <c r="BR921" s="9"/>
      <c r="BS921" s="9"/>
      <c r="BT921" s="9"/>
      <c r="BU921" s="9"/>
      <c r="BV921" s="9"/>
      <c r="BW921" s="9"/>
      <c r="BX921" s="9"/>
      <c r="BY921" s="9"/>
      <c r="BZ921" s="9"/>
    </row>
    <row r="922" spans="4:78" ht="18" customHeight="1" x14ac:dyDescent="0.25"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S922" s="9"/>
      <c r="T922" s="9"/>
      <c r="U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  <c r="AH922" s="9"/>
      <c r="AI922" s="9"/>
      <c r="AJ922" s="9"/>
      <c r="AK922" s="9"/>
      <c r="AL922" s="9"/>
      <c r="AM922" s="9"/>
      <c r="AN922" s="9"/>
      <c r="AO922" s="9"/>
      <c r="AP922" s="9"/>
      <c r="AQ922" s="9"/>
      <c r="AR922" s="9"/>
      <c r="AS922" s="9"/>
      <c r="AT922" s="9"/>
      <c r="AU922" s="9"/>
      <c r="AV922" s="9"/>
      <c r="AW922" s="9"/>
      <c r="AX922" s="9"/>
      <c r="AY922" s="9"/>
      <c r="AZ922" s="9"/>
      <c r="BA922" s="9"/>
      <c r="BB922" s="9"/>
      <c r="BC922" s="9"/>
      <c r="BD922" s="9"/>
      <c r="BE922" s="9"/>
      <c r="BF922" s="9"/>
      <c r="BG922" s="9"/>
      <c r="BH922" s="9"/>
      <c r="BI922" s="9"/>
      <c r="BJ922" s="9"/>
      <c r="BK922" s="9"/>
      <c r="BL922" s="9"/>
      <c r="BM922" s="9"/>
      <c r="BN922" s="9"/>
      <c r="BO922" s="9"/>
      <c r="BP922" s="9"/>
      <c r="BQ922" s="9"/>
      <c r="BR922" s="9"/>
      <c r="BS922" s="9"/>
      <c r="BT922" s="9"/>
      <c r="BU922" s="9"/>
      <c r="BV922" s="9"/>
      <c r="BW922" s="9"/>
      <c r="BX922" s="9"/>
      <c r="BY922" s="9"/>
      <c r="BZ922" s="9"/>
    </row>
    <row r="923" spans="4:78" ht="18" customHeight="1" x14ac:dyDescent="0.25"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S923" s="9"/>
      <c r="T923" s="9"/>
      <c r="U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  <c r="AH923" s="9"/>
      <c r="AI923" s="9"/>
      <c r="AJ923" s="9"/>
      <c r="AK923" s="9"/>
      <c r="AL923" s="9"/>
      <c r="AM923" s="9"/>
      <c r="AN923" s="9"/>
      <c r="AO923" s="9"/>
      <c r="AP923" s="9"/>
      <c r="AQ923" s="9"/>
      <c r="AR923" s="9"/>
      <c r="AS923" s="9"/>
      <c r="AT923" s="9"/>
      <c r="AU923" s="9"/>
      <c r="AV923" s="9"/>
      <c r="AW923" s="9"/>
      <c r="AX923" s="9"/>
      <c r="AY923" s="9"/>
      <c r="AZ923" s="9"/>
      <c r="BA923" s="9"/>
      <c r="BB923" s="9"/>
      <c r="BC923" s="9"/>
      <c r="BD923" s="9"/>
      <c r="BE923" s="9"/>
      <c r="BF923" s="9"/>
      <c r="BG923" s="9"/>
      <c r="BH923" s="9"/>
      <c r="BI923" s="9"/>
      <c r="BJ923" s="9"/>
      <c r="BK923" s="9"/>
      <c r="BL923" s="9"/>
      <c r="BM923" s="9"/>
      <c r="BN923" s="9"/>
      <c r="BO923" s="9"/>
      <c r="BP923" s="9"/>
      <c r="BQ923" s="9"/>
      <c r="BR923" s="9"/>
      <c r="BS923" s="9"/>
      <c r="BT923" s="9"/>
      <c r="BU923" s="9"/>
      <c r="BV923" s="9"/>
      <c r="BW923" s="9"/>
      <c r="BX923" s="9"/>
      <c r="BY923" s="9"/>
      <c r="BZ923" s="9"/>
    </row>
    <row r="924" spans="4:78" ht="18" customHeight="1" x14ac:dyDescent="0.25"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S924" s="9"/>
      <c r="T924" s="9"/>
      <c r="U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  <c r="AH924" s="9"/>
      <c r="AI924" s="9"/>
      <c r="AJ924" s="9"/>
      <c r="AK924" s="9"/>
      <c r="AL924" s="9"/>
      <c r="AM924" s="9"/>
      <c r="AN924" s="9"/>
      <c r="AO924" s="9"/>
      <c r="AP924" s="9"/>
      <c r="AQ924" s="9"/>
      <c r="AR924" s="9"/>
      <c r="AS924" s="9"/>
      <c r="AT924" s="9"/>
      <c r="AU924" s="9"/>
      <c r="AV924" s="9"/>
      <c r="AW924" s="9"/>
      <c r="AX924" s="9"/>
      <c r="AY924" s="9"/>
      <c r="AZ924" s="9"/>
      <c r="BA924" s="9"/>
      <c r="BB924" s="9"/>
      <c r="BC924" s="9"/>
      <c r="BD924" s="9"/>
      <c r="BE924" s="9"/>
      <c r="BF924" s="9"/>
      <c r="BG924" s="9"/>
      <c r="BH924" s="9"/>
      <c r="BI924" s="9"/>
      <c r="BJ924" s="9"/>
      <c r="BK924" s="9"/>
      <c r="BL924" s="9"/>
      <c r="BM924" s="9"/>
      <c r="BN924" s="9"/>
      <c r="BO924" s="9"/>
      <c r="BP924" s="9"/>
      <c r="BQ924" s="9"/>
      <c r="BR924" s="9"/>
      <c r="BS924" s="9"/>
      <c r="BT924" s="9"/>
      <c r="BU924" s="9"/>
      <c r="BV924" s="9"/>
      <c r="BW924" s="9"/>
      <c r="BX924" s="9"/>
      <c r="BY924" s="9"/>
      <c r="BZ924" s="9"/>
    </row>
    <row r="925" spans="4:78" ht="18" customHeight="1" x14ac:dyDescent="0.25"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S925" s="9"/>
      <c r="T925" s="9"/>
      <c r="U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  <c r="AH925" s="9"/>
      <c r="AI925" s="9"/>
      <c r="AJ925" s="9"/>
      <c r="AK925" s="9"/>
      <c r="AL925" s="9"/>
      <c r="AM925" s="9"/>
      <c r="AN925" s="9"/>
      <c r="AO925" s="9"/>
      <c r="AP925" s="9"/>
      <c r="AQ925" s="9"/>
      <c r="AR925" s="9"/>
      <c r="AS925" s="9"/>
      <c r="AT925" s="9"/>
      <c r="AU925" s="9"/>
      <c r="AV925" s="9"/>
      <c r="AW925" s="9"/>
      <c r="AX925" s="9"/>
      <c r="AY925" s="9"/>
      <c r="AZ925" s="9"/>
      <c r="BA925" s="9"/>
      <c r="BB925" s="9"/>
      <c r="BC925" s="9"/>
      <c r="BD925" s="9"/>
      <c r="BE925" s="9"/>
      <c r="BF925" s="9"/>
      <c r="BG925" s="9"/>
      <c r="BH925" s="9"/>
      <c r="BI925" s="9"/>
      <c r="BJ925" s="9"/>
      <c r="BK925" s="9"/>
      <c r="BL925" s="9"/>
      <c r="BM925" s="9"/>
      <c r="BN925" s="9"/>
      <c r="BO925" s="9"/>
      <c r="BP925" s="9"/>
      <c r="BQ925" s="9"/>
      <c r="BR925" s="9"/>
      <c r="BS925" s="9"/>
      <c r="BT925" s="9"/>
      <c r="BU925" s="9"/>
      <c r="BV925" s="9"/>
      <c r="BW925" s="9"/>
      <c r="BX925" s="9"/>
      <c r="BY925" s="9"/>
      <c r="BZ925" s="9"/>
    </row>
    <row r="926" spans="4:78" ht="18" customHeight="1" x14ac:dyDescent="0.25"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S926" s="9"/>
      <c r="T926" s="9"/>
      <c r="U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  <c r="AH926" s="9"/>
      <c r="AI926" s="9"/>
      <c r="AJ926" s="9"/>
      <c r="AK926" s="9"/>
      <c r="AL926" s="9"/>
      <c r="AM926" s="9"/>
      <c r="AN926" s="9"/>
      <c r="AO926" s="9"/>
      <c r="AP926" s="9"/>
      <c r="AQ926" s="9"/>
      <c r="AR926" s="9"/>
      <c r="AS926" s="9"/>
      <c r="AT926" s="9"/>
      <c r="AU926" s="9"/>
      <c r="AV926" s="9"/>
      <c r="AW926" s="9"/>
      <c r="AX926" s="9"/>
      <c r="AY926" s="9"/>
      <c r="AZ926" s="9"/>
      <c r="BA926" s="9"/>
      <c r="BB926" s="9"/>
      <c r="BC926" s="9"/>
      <c r="BD926" s="9"/>
      <c r="BE926" s="9"/>
      <c r="BF926" s="9"/>
      <c r="BG926" s="9"/>
      <c r="BH926" s="9"/>
      <c r="BI926" s="9"/>
      <c r="BJ926" s="9"/>
      <c r="BK926" s="9"/>
      <c r="BL926" s="9"/>
      <c r="BM926" s="9"/>
      <c r="BN926" s="9"/>
      <c r="BO926" s="9"/>
      <c r="BP926" s="9"/>
      <c r="BQ926" s="9"/>
      <c r="BR926" s="9"/>
      <c r="BS926" s="9"/>
      <c r="BT926" s="9"/>
      <c r="BU926" s="9"/>
      <c r="BV926" s="9"/>
      <c r="BW926" s="9"/>
      <c r="BX926" s="9"/>
      <c r="BY926" s="9"/>
      <c r="BZ926" s="9"/>
    </row>
    <row r="927" spans="4:78" ht="18" customHeight="1" x14ac:dyDescent="0.25"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S927" s="9"/>
      <c r="T927" s="9"/>
      <c r="U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  <c r="AH927" s="9"/>
      <c r="AI927" s="9"/>
      <c r="AJ927" s="9"/>
      <c r="AK927" s="9"/>
      <c r="AL927" s="9"/>
      <c r="AM927" s="9"/>
      <c r="AN927" s="9"/>
      <c r="AO927" s="9"/>
      <c r="AP927" s="9"/>
      <c r="AQ927" s="9"/>
      <c r="AR927" s="9"/>
      <c r="AS927" s="9"/>
      <c r="AT927" s="9"/>
      <c r="AU927" s="9"/>
      <c r="AV927" s="9"/>
      <c r="AW927" s="9"/>
      <c r="AX927" s="9"/>
      <c r="AY927" s="9"/>
      <c r="AZ927" s="9"/>
      <c r="BA927" s="9"/>
      <c r="BB927" s="9"/>
      <c r="BC927" s="9"/>
      <c r="BD927" s="9"/>
      <c r="BE927" s="9"/>
      <c r="BF927" s="9"/>
      <c r="BG927" s="9"/>
      <c r="BH927" s="9"/>
      <c r="BI927" s="9"/>
      <c r="BJ927" s="9"/>
      <c r="BK927" s="9"/>
      <c r="BL927" s="9"/>
      <c r="BM927" s="9"/>
      <c r="BN927" s="9"/>
      <c r="BO927" s="9"/>
      <c r="BP927" s="9"/>
      <c r="BQ927" s="9"/>
      <c r="BR927" s="9"/>
      <c r="BS927" s="9"/>
      <c r="BT927" s="9"/>
      <c r="BU927" s="9"/>
      <c r="BV927" s="9"/>
      <c r="BW927" s="9"/>
      <c r="BX927" s="9"/>
      <c r="BY927" s="9"/>
      <c r="BZ927" s="9"/>
    </row>
    <row r="928" spans="4:78" ht="18" customHeight="1" x14ac:dyDescent="0.25"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S928" s="9"/>
      <c r="T928" s="9"/>
      <c r="U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  <c r="AH928" s="9"/>
      <c r="AI928" s="9"/>
      <c r="AJ928" s="9"/>
      <c r="AK928" s="9"/>
      <c r="AL928" s="9"/>
      <c r="AM928" s="9"/>
      <c r="AN928" s="9"/>
      <c r="AO928" s="9"/>
      <c r="AP928" s="9"/>
      <c r="AQ928" s="9"/>
      <c r="AR928" s="9"/>
      <c r="AS928" s="9"/>
      <c r="AT928" s="9"/>
      <c r="AU928" s="9"/>
      <c r="AV928" s="9"/>
      <c r="AW928" s="9"/>
      <c r="AX928" s="9"/>
      <c r="AY928" s="9"/>
      <c r="AZ928" s="9"/>
      <c r="BA928" s="9"/>
      <c r="BB928" s="9"/>
      <c r="BC928" s="9"/>
      <c r="BD928" s="9"/>
      <c r="BE928" s="9"/>
      <c r="BF928" s="9"/>
      <c r="BG928" s="9"/>
      <c r="BH928" s="9"/>
      <c r="BI928" s="9"/>
      <c r="BJ928" s="9"/>
      <c r="BK928" s="9"/>
      <c r="BL928" s="9"/>
      <c r="BM928" s="9"/>
      <c r="BN928" s="9"/>
      <c r="BO928" s="9"/>
      <c r="BP928" s="9"/>
      <c r="BQ928" s="9"/>
      <c r="BR928" s="9"/>
      <c r="BS928" s="9"/>
      <c r="BT928" s="9"/>
      <c r="BU928" s="9"/>
      <c r="BV928" s="9"/>
      <c r="BW928" s="9"/>
      <c r="BX928" s="9"/>
      <c r="BY928" s="9"/>
      <c r="BZ928" s="9"/>
    </row>
    <row r="929" spans="4:78" ht="18" customHeight="1" x14ac:dyDescent="0.25"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S929" s="9"/>
      <c r="T929" s="9"/>
      <c r="U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  <c r="AH929" s="9"/>
      <c r="AI929" s="9"/>
      <c r="AJ929" s="9"/>
      <c r="AK929" s="9"/>
      <c r="AL929" s="9"/>
      <c r="AM929" s="9"/>
      <c r="AN929" s="9"/>
      <c r="AO929" s="9"/>
      <c r="AP929" s="9"/>
      <c r="AQ929" s="9"/>
      <c r="AR929" s="9"/>
      <c r="AS929" s="9"/>
      <c r="AT929" s="9"/>
      <c r="AU929" s="9"/>
      <c r="AV929" s="9"/>
      <c r="AW929" s="9"/>
      <c r="AX929" s="9"/>
      <c r="AY929" s="9"/>
      <c r="AZ929" s="9"/>
      <c r="BA929" s="9"/>
      <c r="BB929" s="9"/>
      <c r="BC929" s="9"/>
      <c r="BD929" s="9"/>
      <c r="BE929" s="9"/>
      <c r="BF929" s="9"/>
      <c r="BG929" s="9"/>
      <c r="BH929" s="9"/>
      <c r="BI929" s="9"/>
      <c r="BJ929" s="9"/>
      <c r="BK929" s="9"/>
      <c r="BL929" s="9"/>
      <c r="BM929" s="9"/>
      <c r="BN929" s="9"/>
      <c r="BO929" s="9"/>
      <c r="BP929" s="9"/>
      <c r="BQ929" s="9"/>
      <c r="BR929" s="9"/>
      <c r="BS929" s="9"/>
      <c r="BT929" s="9"/>
      <c r="BU929" s="9"/>
      <c r="BV929" s="9"/>
      <c r="BW929" s="9"/>
      <c r="BX929" s="9"/>
      <c r="BY929" s="9"/>
      <c r="BZ929" s="9"/>
    </row>
    <row r="930" spans="4:78" ht="18" customHeight="1" x14ac:dyDescent="0.25"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S930" s="9"/>
      <c r="T930" s="9"/>
      <c r="U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  <c r="AH930" s="9"/>
      <c r="AI930" s="9"/>
      <c r="AJ930" s="9"/>
      <c r="AK930" s="9"/>
      <c r="AL930" s="9"/>
      <c r="AM930" s="9"/>
      <c r="AN930" s="9"/>
      <c r="AO930" s="9"/>
      <c r="AP930" s="9"/>
      <c r="AQ930" s="9"/>
      <c r="AR930" s="9"/>
      <c r="AS930" s="9"/>
      <c r="AT930" s="9"/>
      <c r="AU930" s="9"/>
      <c r="AV930" s="9"/>
      <c r="AW930" s="9"/>
      <c r="AX930" s="9"/>
      <c r="AY930" s="9"/>
      <c r="AZ930" s="9"/>
      <c r="BA930" s="9"/>
      <c r="BB930" s="9"/>
      <c r="BC930" s="9"/>
      <c r="BD930" s="9"/>
      <c r="BE930" s="9"/>
      <c r="BF930" s="9"/>
      <c r="BG930" s="9"/>
      <c r="BH930" s="9"/>
      <c r="BI930" s="9"/>
      <c r="BJ930" s="9"/>
      <c r="BK930" s="9"/>
      <c r="BL930" s="9"/>
      <c r="BM930" s="9"/>
      <c r="BN930" s="9"/>
      <c r="BO930" s="9"/>
      <c r="BP930" s="9"/>
      <c r="BQ930" s="9"/>
      <c r="BR930" s="9"/>
      <c r="BS930" s="9"/>
      <c r="BT930" s="9"/>
      <c r="BU930" s="9"/>
      <c r="BV930" s="9"/>
      <c r="BW930" s="9"/>
      <c r="BX930" s="9"/>
      <c r="BY930" s="9"/>
      <c r="BZ930" s="9"/>
    </row>
    <row r="931" spans="4:78" ht="18" customHeight="1" x14ac:dyDescent="0.25"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S931" s="9"/>
      <c r="T931" s="9"/>
      <c r="U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  <c r="AH931" s="9"/>
      <c r="AI931" s="9"/>
      <c r="AJ931" s="9"/>
      <c r="AK931" s="9"/>
      <c r="AL931" s="9"/>
      <c r="AM931" s="9"/>
      <c r="AN931" s="9"/>
      <c r="AO931" s="9"/>
      <c r="AP931" s="9"/>
      <c r="AQ931" s="9"/>
      <c r="AR931" s="9"/>
      <c r="AS931" s="9"/>
      <c r="AT931" s="9"/>
      <c r="AU931" s="9"/>
      <c r="AV931" s="9"/>
      <c r="AW931" s="9"/>
      <c r="AX931" s="9"/>
      <c r="AY931" s="9"/>
      <c r="AZ931" s="9"/>
      <c r="BA931" s="9"/>
      <c r="BB931" s="9"/>
      <c r="BC931" s="9"/>
      <c r="BD931" s="9"/>
      <c r="BE931" s="9"/>
      <c r="BF931" s="9"/>
      <c r="BG931" s="9"/>
      <c r="BH931" s="9"/>
      <c r="BI931" s="9"/>
      <c r="BJ931" s="9"/>
      <c r="BK931" s="9"/>
      <c r="BL931" s="9"/>
      <c r="BM931" s="9"/>
      <c r="BN931" s="9"/>
      <c r="BO931" s="9"/>
      <c r="BP931" s="9"/>
      <c r="BQ931" s="9"/>
      <c r="BR931" s="9"/>
      <c r="BS931" s="9"/>
      <c r="BT931" s="9"/>
      <c r="BU931" s="9"/>
      <c r="BV931" s="9"/>
      <c r="BW931" s="9"/>
      <c r="BX931" s="9"/>
      <c r="BY931" s="9"/>
      <c r="BZ931" s="9"/>
    </row>
    <row r="932" spans="4:78" ht="18" customHeight="1" x14ac:dyDescent="0.25"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S932" s="9"/>
      <c r="T932" s="9"/>
      <c r="U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  <c r="AH932" s="9"/>
      <c r="AI932" s="9"/>
      <c r="AJ932" s="9"/>
      <c r="AK932" s="9"/>
      <c r="AL932" s="9"/>
      <c r="AM932" s="9"/>
      <c r="AN932" s="9"/>
      <c r="AO932" s="9"/>
      <c r="AP932" s="9"/>
      <c r="AQ932" s="9"/>
      <c r="AR932" s="9"/>
      <c r="AS932" s="9"/>
      <c r="AT932" s="9"/>
      <c r="AU932" s="9"/>
      <c r="AV932" s="9"/>
      <c r="AW932" s="9"/>
      <c r="AX932" s="9"/>
      <c r="AY932" s="9"/>
      <c r="AZ932" s="9"/>
      <c r="BA932" s="9"/>
      <c r="BB932" s="9"/>
      <c r="BC932" s="9"/>
      <c r="BD932" s="9"/>
      <c r="BE932" s="9"/>
      <c r="BF932" s="9"/>
      <c r="BG932" s="9"/>
      <c r="BH932" s="9"/>
      <c r="BI932" s="9"/>
      <c r="BJ932" s="9"/>
      <c r="BK932" s="9"/>
      <c r="BL932" s="9"/>
      <c r="BM932" s="9"/>
      <c r="BN932" s="9"/>
      <c r="BO932" s="9"/>
      <c r="BP932" s="9"/>
      <c r="BQ932" s="9"/>
      <c r="BR932" s="9"/>
      <c r="BS932" s="9"/>
      <c r="BT932" s="9"/>
      <c r="BU932" s="9"/>
      <c r="BV932" s="9"/>
      <c r="BW932" s="9"/>
      <c r="BX932" s="9"/>
      <c r="BY932" s="9"/>
      <c r="BZ932" s="9"/>
    </row>
    <row r="933" spans="4:78" ht="18" customHeight="1" x14ac:dyDescent="0.25"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S933" s="9"/>
      <c r="T933" s="9"/>
      <c r="U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  <c r="AH933" s="9"/>
      <c r="AI933" s="9"/>
      <c r="AJ933" s="9"/>
      <c r="AK933" s="9"/>
      <c r="AL933" s="9"/>
      <c r="AM933" s="9"/>
      <c r="AN933" s="9"/>
      <c r="AO933" s="9"/>
      <c r="AP933" s="9"/>
      <c r="AQ933" s="9"/>
      <c r="AR933" s="9"/>
      <c r="AS933" s="9"/>
      <c r="AT933" s="9"/>
      <c r="AU933" s="9"/>
      <c r="AV933" s="9"/>
      <c r="AW933" s="9"/>
      <c r="AX933" s="9"/>
      <c r="AY933" s="9"/>
      <c r="AZ933" s="9"/>
      <c r="BA933" s="9"/>
      <c r="BB933" s="9"/>
      <c r="BC933" s="9"/>
      <c r="BD933" s="9"/>
      <c r="BE933" s="9"/>
      <c r="BF933" s="9"/>
      <c r="BG933" s="9"/>
      <c r="BH933" s="9"/>
      <c r="BI933" s="9"/>
      <c r="BJ933" s="9"/>
      <c r="BK933" s="9"/>
      <c r="BL933" s="9"/>
      <c r="BM933" s="9"/>
      <c r="BN933" s="9"/>
      <c r="BO933" s="9"/>
      <c r="BP933" s="9"/>
      <c r="BQ933" s="9"/>
      <c r="BR933" s="9"/>
      <c r="BS933" s="9"/>
      <c r="BT933" s="9"/>
      <c r="BU933" s="9"/>
      <c r="BV933" s="9"/>
      <c r="BW933" s="9"/>
      <c r="BX933" s="9"/>
      <c r="BY933" s="9"/>
      <c r="BZ933" s="9"/>
    </row>
    <row r="934" spans="4:78" ht="18" customHeight="1" x14ac:dyDescent="0.25"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S934" s="9"/>
      <c r="T934" s="9"/>
      <c r="U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  <c r="AH934" s="9"/>
      <c r="AI934" s="9"/>
      <c r="AJ934" s="9"/>
      <c r="AK934" s="9"/>
      <c r="AL934" s="9"/>
      <c r="AM934" s="9"/>
      <c r="AN934" s="9"/>
      <c r="AO934" s="9"/>
      <c r="AP934" s="9"/>
      <c r="AQ934" s="9"/>
      <c r="AR934" s="9"/>
      <c r="AS934" s="9"/>
      <c r="AT934" s="9"/>
      <c r="AU934" s="9"/>
      <c r="AV934" s="9"/>
      <c r="AW934" s="9"/>
      <c r="AX934" s="9"/>
      <c r="AY934" s="9"/>
      <c r="AZ934" s="9"/>
      <c r="BA934" s="9"/>
      <c r="BB934" s="9"/>
      <c r="BC934" s="9"/>
      <c r="BD934" s="9"/>
      <c r="BE934" s="9"/>
      <c r="BF934" s="9"/>
      <c r="BG934" s="9"/>
      <c r="BH934" s="9"/>
      <c r="BI934" s="9"/>
      <c r="BJ934" s="9"/>
      <c r="BK934" s="9"/>
      <c r="BL934" s="9"/>
      <c r="BM934" s="9"/>
      <c r="BN934" s="9"/>
      <c r="BO934" s="9"/>
      <c r="BP934" s="9"/>
      <c r="BQ934" s="9"/>
      <c r="BR934" s="9"/>
      <c r="BS934" s="9"/>
      <c r="BT934" s="9"/>
      <c r="BU934" s="9"/>
      <c r="BV934" s="9"/>
      <c r="BW934" s="9"/>
      <c r="BX934" s="9"/>
      <c r="BY934" s="9"/>
      <c r="BZ934" s="9"/>
    </row>
    <row r="935" spans="4:78" ht="18" customHeight="1" x14ac:dyDescent="0.25"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S935" s="9"/>
      <c r="T935" s="9"/>
      <c r="U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  <c r="AH935" s="9"/>
      <c r="AI935" s="9"/>
      <c r="AJ935" s="9"/>
      <c r="AK935" s="9"/>
      <c r="AL935" s="9"/>
      <c r="AM935" s="9"/>
      <c r="AN935" s="9"/>
      <c r="AO935" s="9"/>
      <c r="AP935" s="9"/>
      <c r="AQ935" s="9"/>
      <c r="AR935" s="9"/>
      <c r="AS935" s="9"/>
      <c r="AT935" s="9"/>
      <c r="AU935" s="9"/>
      <c r="AV935" s="9"/>
      <c r="AW935" s="9"/>
      <c r="AX935" s="9"/>
      <c r="AY935" s="9"/>
      <c r="AZ935" s="9"/>
      <c r="BA935" s="9"/>
      <c r="BB935" s="9"/>
      <c r="BC935" s="9"/>
      <c r="BD935" s="9"/>
      <c r="BE935" s="9"/>
      <c r="BF935" s="9"/>
      <c r="BG935" s="9"/>
      <c r="BH935" s="9"/>
      <c r="BI935" s="9"/>
      <c r="BJ935" s="9"/>
      <c r="BK935" s="9"/>
      <c r="BL935" s="9"/>
      <c r="BM935" s="9"/>
      <c r="BN935" s="9"/>
      <c r="BO935" s="9"/>
      <c r="BP935" s="9"/>
      <c r="BQ935" s="9"/>
      <c r="BR935" s="9"/>
      <c r="BS935" s="9"/>
      <c r="BT935" s="9"/>
      <c r="BU935" s="9"/>
      <c r="BV935" s="9"/>
      <c r="BW935" s="9"/>
      <c r="BX935" s="9"/>
      <c r="BY935" s="9"/>
      <c r="BZ935" s="9"/>
    </row>
    <row r="936" spans="4:78" ht="18" customHeight="1" x14ac:dyDescent="0.25"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S936" s="9"/>
      <c r="T936" s="9"/>
      <c r="U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  <c r="AH936" s="9"/>
      <c r="AI936" s="9"/>
      <c r="AJ936" s="9"/>
      <c r="AK936" s="9"/>
      <c r="AL936" s="9"/>
      <c r="AM936" s="9"/>
      <c r="AN936" s="9"/>
      <c r="AO936" s="9"/>
      <c r="AP936" s="9"/>
      <c r="AQ936" s="9"/>
      <c r="AR936" s="9"/>
      <c r="AS936" s="9"/>
      <c r="AT936" s="9"/>
      <c r="AU936" s="9"/>
      <c r="AV936" s="9"/>
      <c r="AW936" s="9"/>
      <c r="AX936" s="9"/>
      <c r="AY936" s="9"/>
      <c r="AZ936" s="9"/>
      <c r="BA936" s="9"/>
      <c r="BB936" s="9"/>
      <c r="BC936" s="9"/>
      <c r="BD936" s="9"/>
      <c r="BE936" s="9"/>
      <c r="BF936" s="9"/>
      <c r="BG936" s="9"/>
      <c r="BH936" s="9"/>
      <c r="BI936" s="9"/>
      <c r="BJ936" s="9"/>
      <c r="BK936" s="9"/>
      <c r="BL936" s="9"/>
      <c r="BM936" s="9"/>
      <c r="BN936" s="9"/>
      <c r="BO936" s="9"/>
      <c r="BP936" s="9"/>
      <c r="BQ936" s="9"/>
      <c r="BR936" s="9"/>
      <c r="BS936" s="9"/>
      <c r="BT936" s="9"/>
      <c r="BU936" s="9"/>
      <c r="BV936" s="9"/>
      <c r="BW936" s="9"/>
      <c r="BX936" s="9"/>
      <c r="BY936" s="9"/>
      <c r="BZ936" s="9"/>
    </row>
    <row r="937" spans="4:78" ht="18" customHeight="1" x14ac:dyDescent="0.25"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S937" s="9"/>
      <c r="T937" s="9"/>
      <c r="U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  <c r="AH937" s="9"/>
      <c r="AI937" s="9"/>
      <c r="AJ937" s="9"/>
      <c r="AK937" s="9"/>
      <c r="AL937" s="9"/>
      <c r="AM937" s="9"/>
      <c r="AN937" s="9"/>
      <c r="AO937" s="9"/>
      <c r="AP937" s="9"/>
      <c r="AQ937" s="9"/>
      <c r="AR937" s="9"/>
      <c r="AS937" s="9"/>
      <c r="AT937" s="9"/>
      <c r="AU937" s="9"/>
      <c r="AV937" s="9"/>
      <c r="AW937" s="9"/>
      <c r="AX937" s="9"/>
      <c r="AY937" s="9"/>
      <c r="AZ937" s="9"/>
      <c r="BA937" s="9"/>
      <c r="BB937" s="9"/>
      <c r="BC937" s="9"/>
      <c r="BD937" s="9"/>
      <c r="BE937" s="9"/>
      <c r="BF937" s="9"/>
      <c r="BG937" s="9"/>
      <c r="BH937" s="9"/>
      <c r="BI937" s="9"/>
      <c r="BJ937" s="9"/>
      <c r="BK937" s="9"/>
      <c r="BL937" s="9"/>
      <c r="BM937" s="9"/>
      <c r="BN937" s="9"/>
      <c r="BO937" s="9"/>
      <c r="BP937" s="9"/>
      <c r="BQ937" s="9"/>
      <c r="BR937" s="9"/>
      <c r="BS937" s="9"/>
      <c r="BT937" s="9"/>
      <c r="BU937" s="9"/>
      <c r="BV937" s="9"/>
      <c r="BW937" s="9"/>
      <c r="BX937" s="9"/>
      <c r="BY937" s="9"/>
      <c r="BZ937" s="9"/>
    </row>
    <row r="938" spans="4:78" ht="18" customHeight="1" x14ac:dyDescent="0.25"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S938" s="9"/>
      <c r="T938" s="9"/>
      <c r="U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  <c r="AH938" s="9"/>
      <c r="AI938" s="9"/>
      <c r="AJ938" s="9"/>
      <c r="AK938" s="9"/>
      <c r="AL938" s="9"/>
      <c r="AM938" s="9"/>
      <c r="AN938" s="9"/>
      <c r="AO938" s="9"/>
      <c r="AP938" s="9"/>
      <c r="AQ938" s="9"/>
      <c r="AR938" s="9"/>
      <c r="AS938" s="9"/>
      <c r="AT938" s="9"/>
      <c r="AU938" s="9"/>
      <c r="AV938" s="9"/>
      <c r="AW938" s="9"/>
      <c r="AX938" s="9"/>
      <c r="AY938" s="9"/>
      <c r="AZ938" s="9"/>
      <c r="BA938" s="9"/>
      <c r="BB938" s="9"/>
      <c r="BC938" s="9"/>
      <c r="BD938" s="9"/>
      <c r="BE938" s="9"/>
      <c r="BF938" s="9"/>
      <c r="BG938" s="9"/>
      <c r="BH938" s="9"/>
      <c r="BI938" s="9"/>
      <c r="BJ938" s="9"/>
      <c r="BK938" s="9"/>
      <c r="BL938" s="9"/>
      <c r="BM938" s="9"/>
      <c r="BN938" s="9"/>
      <c r="BO938" s="9"/>
      <c r="BP938" s="9"/>
      <c r="BQ938" s="9"/>
      <c r="BR938" s="9"/>
      <c r="BS938" s="9"/>
      <c r="BT938" s="9"/>
      <c r="BU938" s="9"/>
      <c r="BV938" s="9"/>
      <c r="BW938" s="9"/>
      <c r="BX938" s="9"/>
      <c r="BY938" s="9"/>
      <c r="BZ938" s="9"/>
    </row>
    <row r="939" spans="4:78" ht="18" customHeight="1" x14ac:dyDescent="0.25"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S939" s="9"/>
      <c r="T939" s="9"/>
      <c r="U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  <c r="AH939" s="9"/>
      <c r="AI939" s="9"/>
      <c r="AJ939" s="9"/>
      <c r="AK939" s="9"/>
      <c r="AL939" s="9"/>
      <c r="AM939" s="9"/>
      <c r="AN939" s="9"/>
      <c r="AO939" s="9"/>
      <c r="AP939" s="9"/>
      <c r="AQ939" s="9"/>
      <c r="AR939" s="9"/>
      <c r="AS939" s="9"/>
      <c r="AT939" s="9"/>
      <c r="AU939" s="9"/>
      <c r="AV939" s="9"/>
      <c r="AW939" s="9"/>
      <c r="AX939" s="9"/>
      <c r="AY939" s="9"/>
      <c r="AZ939" s="9"/>
      <c r="BA939" s="9"/>
      <c r="BB939" s="9"/>
      <c r="BC939" s="9"/>
      <c r="BD939" s="9"/>
      <c r="BE939" s="9"/>
      <c r="BF939" s="9"/>
      <c r="BG939" s="9"/>
      <c r="BH939" s="9"/>
      <c r="BI939" s="9"/>
      <c r="BJ939" s="9"/>
      <c r="BK939" s="9"/>
      <c r="BL939" s="9"/>
      <c r="BM939" s="9"/>
      <c r="BN939" s="9"/>
      <c r="BO939" s="9"/>
      <c r="BP939" s="9"/>
      <c r="BQ939" s="9"/>
      <c r="BR939" s="9"/>
      <c r="BS939" s="9"/>
      <c r="BT939" s="9"/>
      <c r="BU939" s="9"/>
      <c r="BV939" s="9"/>
      <c r="BW939" s="9"/>
      <c r="BX939" s="9"/>
      <c r="BY939" s="9"/>
      <c r="BZ939" s="9"/>
    </row>
    <row r="940" spans="4:78" ht="18" customHeight="1" x14ac:dyDescent="0.25"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S940" s="9"/>
      <c r="T940" s="9"/>
      <c r="U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  <c r="AH940" s="9"/>
      <c r="AI940" s="9"/>
      <c r="AJ940" s="9"/>
      <c r="AK940" s="9"/>
      <c r="AL940" s="9"/>
      <c r="AM940" s="9"/>
      <c r="AN940" s="9"/>
      <c r="AO940" s="9"/>
      <c r="AP940" s="9"/>
      <c r="AQ940" s="9"/>
      <c r="AR940" s="9"/>
      <c r="AS940" s="9"/>
      <c r="AT940" s="9"/>
      <c r="AU940" s="9"/>
      <c r="AV940" s="9"/>
      <c r="AW940" s="9"/>
      <c r="AX940" s="9"/>
      <c r="AY940" s="9"/>
      <c r="AZ940" s="9"/>
      <c r="BA940" s="9"/>
      <c r="BB940" s="9"/>
      <c r="BC940" s="9"/>
      <c r="BD940" s="9"/>
      <c r="BE940" s="9"/>
      <c r="BF940" s="9"/>
      <c r="BG940" s="9"/>
      <c r="BH940" s="9"/>
      <c r="BI940" s="9"/>
      <c r="BJ940" s="9"/>
      <c r="BK940" s="9"/>
      <c r="BL940" s="9"/>
      <c r="BM940" s="9"/>
      <c r="BN940" s="9"/>
      <c r="BO940" s="9"/>
      <c r="BP940" s="9"/>
      <c r="BQ940" s="9"/>
      <c r="BR940" s="9"/>
      <c r="BS940" s="9"/>
      <c r="BT940" s="9"/>
      <c r="BU940" s="9"/>
      <c r="BV940" s="9"/>
      <c r="BW940" s="9"/>
      <c r="BX940" s="9"/>
      <c r="BY940" s="9"/>
      <c r="BZ940" s="9"/>
    </row>
    <row r="941" spans="4:78" ht="18" customHeight="1" x14ac:dyDescent="0.25"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S941" s="9"/>
      <c r="T941" s="9"/>
      <c r="U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  <c r="AH941" s="9"/>
      <c r="AI941" s="9"/>
      <c r="AJ941" s="9"/>
      <c r="AK941" s="9"/>
      <c r="AL941" s="9"/>
      <c r="AM941" s="9"/>
      <c r="AN941" s="9"/>
      <c r="AO941" s="9"/>
      <c r="AP941" s="9"/>
      <c r="AQ941" s="9"/>
      <c r="AR941" s="9"/>
      <c r="AS941" s="9"/>
      <c r="AT941" s="9"/>
      <c r="AU941" s="9"/>
      <c r="AV941" s="9"/>
      <c r="AW941" s="9"/>
      <c r="AX941" s="9"/>
      <c r="AY941" s="9"/>
      <c r="AZ941" s="9"/>
      <c r="BA941" s="9"/>
      <c r="BB941" s="9"/>
      <c r="BC941" s="9"/>
      <c r="BD941" s="9"/>
      <c r="BE941" s="9"/>
      <c r="BF941" s="9"/>
      <c r="BG941" s="9"/>
      <c r="BH941" s="9"/>
      <c r="BI941" s="9"/>
      <c r="BJ941" s="9"/>
      <c r="BK941" s="9"/>
      <c r="BL941" s="9"/>
      <c r="BM941" s="9"/>
      <c r="BN941" s="9"/>
      <c r="BO941" s="9"/>
      <c r="BP941" s="9"/>
      <c r="BQ941" s="9"/>
      <c r="BR941" s="9"/>
      <c r="BS941" s="9"/>
      <c r="BT941" s="9"/>
      <c r="BU941" s="9"/>
      <c r="BV941" s="9"/>
      <c r="BW941" s="9"/>
      <c r="BX941" s="9"/>
      <c r="BY941" s="9"/>
      <c r="BZ941" s="9"/>
    </row>
    <row r="942" spans="4:78" ht="18" customHeight="1" x14ac:dyDescent="0.25"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S942" s="9"/>
      <c r="T942" s="9"/>
      <c r="U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  <c r="AH942" s="9"/>
      <c r="AI942" s="9"/>
      <c r="AJ942" s="9"/>
      <c r="AK942" s="9"/>
      <c r="AL942" s="9"/>
      <c r="AM942" s="9"/>
      <c r="AN942" s="9"/>
      <c r="AO942" s="9"/>
      <c r="AP942" s="9"/>
      <c r="AQ942" s="9"/>
      <c r="AR942" s="9"/>
      <c r="AS942" s="9"/>
      <c r="AT942" s="9"/>
      <c r="AU942" s="9"/>
      <c r="AV942" s="9"/>
      <c r="AW942" s="9"/>
      <c r="AX942" s="9"/>
      <c r="AY942" s="9"/>
      <c r="AZ942" s="9"/>
      <c r="BA942" s="9"/>
      <c r="BB942" s="9"/>
      <c r="BC942" s="9"/>
      <c r="BD942" s="9"/>
      <c r="BE942" s="9"/>
      <c r="BF942" s="9"/>
      <c r="BG942" s="9"/>
      <c r="BH942" s="9"/>
      <c r="BI942" s="9"/>
      <c r="BJ942" s="9"/>
      <c r="BK942" s="9"/>
      <c r="BL942" s="9"/>
      <c r="BM942" s="9"/>
      <c r="BN942" s="9"/>
      <c r="BO942" s="9"/>
      <c r="BP942" s="9"/>
      <c r="BQ942" s="9"/>
      <c r="BR942" s="9"/>
      <c r="BS942" s="9"/>
      <c r="BT942" s="9"/>
      <c r="BU942" s="9"/>
      <c r="BV942" s="9"/>
      <c r="BW942" s="9"/>
      <c r="BX942" s="9"/>
      <c r="BY942" s="9"/>
      <c r="BZ942" s="9"/>
    </row>
    <row r="943" spans="4:78" ht="18" customHeight="1" x14ac:dyDescent="0.25"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S943" s="9"/>
      <c r="T943" s="9"/>
      <c r="U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  <c r="AH943" s="9"/>
      <c r="AI943" s="9"/>
      <c r="AJ943" s="9"/>
      <c r="AK943" s="9"/>
      <c r="AL943" s="9"/>
      <c r="AM943" s="9"/>
      <c r="AN943" s="9"/>
      <c r="AO943" s="9"/>
      <c r="AP943" s="9"/>
      <c r="AQ943" s="9"/>
      <c r="AR943" s="9"/>
      <c r="AS943" s="9"/>
      <c r="AT943" s="9"/>
      <c r="AU943" s="9"/>
      <c r="AV943" s="9"/>
      <c r="AW943" s="9"/>
      <c r="AX943" s="9"/>
      <c r="AY943" s="9"/>
      <c r="AZ943" s="9"/>
      <c r="BA943" s="9"/>
      <c r="BB943" s="9"/>
      <c r="BC943" s="9"/>
      <c r="BD943" s="9"/>
      <c r="BE943" s="9"/>
      <c r="BF943" s="9"/>
      <c r="BG943" s="9"/>
      <c r="BH943" s="9"/>
      <c r="BI943" s="9"/>
      <c r="BJ943" s="9"/>
      <c r="BK943" s="9"/>
      <c r="BL943" s="9"/>
      <c r="BM943" s="9"/>
      <c r="BN943" s="9"/>
      <c r="BO943" s="9"/>
      <c r="BP943" s="9"/>
      <c r="BQ943" s="9"/>
      <c r="BR943" s="9"/>
      <c r="BS943" s="9"/>
      <c r="BT943" s="9"/>
      <c r="BU943" s="9"/>
      <c r="BV943" s="9"/>
      <c r="BW943" s="9"/>
      <c r="BX943" s="9"/>
      <c r="BY943" s="9"/>
      <c r="BZ943" s="9"/>
    </row>
    <row r="944" spans="4:78" ht="18" customHeight="1" x14ac:dyDescent="0.25"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S944" s="9"/>
      <c r="T944" s="9"/>
      <c r="U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  <c r="AH944" s="9"/>
      <c r="AI944" s="9"/>
      <c r="AJ944" s="9"/>
      <c r="AK944" s="9"/>
      <c r="AL944" s="9"/>
      <c r="AM944" s="9"/>
      <c r="AN944" s="9"/>
      <c r="AO944" s="9"/>
      <c r="AP944" s="9"/>
      <c r="AQ944" s="9"/>
      <c r="AR944" s="9"/>
      <c r="AS944" s="9"/>
      <c r="AT944" s="9"/>
      <c r="AU944" s="9"/>
      <c r="AV944" s="9"/>
      <c r="AW944" s="9"/>
      <c r="AX944" s="9"/>
      <c r="AY944" s="9"/>
      <c r="AZ944" s="9"/>
      <c r="BA944" s="9"/>
      <c r="BB944" s="9"/>
      <c r="BC944" s="9"/>
      <c r="BD944" s="9"/>
      <c r="BE944" s="9"/>
      <c r="BF944" s="9"/>
      <c r="BG944" s="9"/>
      <c r="BH944" s="9"/>
      <c r="BI944" s="9"/>
      <c r="BJ944" s="9"/>
      <c r="BK944" s="9"/>
      <c r="BL944" s="9"/>
      <c r="BM944" s="9"/>
      <c r="BN944" s="9"/>
      <c r="BO944" s="9"/>
      <c r="BP944" s="9"/>
      <c r="BQ944" s="9"/>
      <c r="BR944" s="9"/>
      <c r="BS944" s="9"/>
      <c r="BT944" s="9"/>
      <c r="BU944" s="9"/>
      <c r="BV944" s="9"/>
      <c r="BW944" s="9"/>
      <c r="BX944" s="9"/>
      <c r="BY944" s="9"/>
      <c r="BZ944" s="9"/>
    </row>
    <row r="945" spans="4:78" ht="18" customHeight="1" x14ac:dyDescent="0.25"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S945" s="9"/>
      <c r="T945" s="9"/>
      <c r="U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  <c r="AH945" s="9"/>
      <c r="AI945" s="9"/>
      <c r="AJ945" s="9"/>
      <c r="AK945" s="9"/>
      <c r="AL945" s="9"/>
      <c r="AM945" s="9"/>
      <c r="AN945" s="9"/>
      <c r="AO945" s="9"/>
      <c r="AP945" s="9"/>
      <c r="AQ945" s="9"/>
      <c r="AR945" s="9"/>
      <c r="AS945" s="9"/>
      <c r="AT945" s="9"/>
      <c r="AU945" s="9"/>
      <c r="AV945" s="9"/>
      <c r="AW945" s="9"/>
      <c r="AX945" s="9"/>
      <c r="AY945" s="9"/>
      <c r="AZ945" s="9"/>
      <c r="BA945" s="9"/>
      <c r="BB945" s="9"/>
      <c r="BC945" s="9"/>
      <c r="BD945" s="9"/>
      <c r="BE945" s="9"/>
      <c r="BF945" s="9"/>
      <c r="BG945" s="9"/>
      <c r="BH945" s="9"/>
      <c r="BI945" s="9"/>
      <c r="BJ945" s="9"/>
      <c r="BK945" s="9"/>
      <c r="BL945" s="9"/>
      <c r="BM945" s="9"/>
      <c r="BN945" s="9"/>
      <c r="BO945" s="9"/>
      <c r="BP945" s="9"/>
      <c r="BQ945" s="9"/>
      <c r="BR945" s="9"/>
      <c r="BS945" s="9"/>
      <c r="BT945" s="9"/>
      <c r="BU945" s="9"/>
      <c r="BV945" s="9"/>
      <c r="BW945" s="9"/>
      <c r="BX945" s="9"/>
      <c r="BY945" s="9"/>
      <c r="BZ945" s="9"/>
    </row>
    <row r="946" spans="4:78" ht="18" customHeight="1" x14ac:dyDescent="0.25"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S946" s="9"/>
      <c r="T946" s="9"/>
      <c r="U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  <c r="AH946" s="9"/>
      <c r="AI946" s="9"/>
      <c r="AJ946" s="9"/>
      <c r="AK946" s="9"/>
      <c r="AL946" s="9"/>
      <c r="AM946" s="9"/>
      <c r="AN946" s="9"/>
      <c r="AO946" s="9"/>
      <c r="AP946" s="9"/>
      <c r="AQ946" s="9"/>
      <c r="AR946" s="9"/>
      <c r="AS946" s="9"/>
      <c r="AT946" s="9"/>
      <c r="AU946" s="9"/>
      <c r="AV946" s="9"/>
      <c r="AW946" s="9"/>
      <c r="AX946" s="9"/>
      <c r="AY946" s="9"/>
      <c r="AZ946" s="9"/>
      <c r="BA946" s="9"/>
      <c r="BB946" s="9"/>
      <c r="BC946" s="9"/>
      <c r="BD946" s="9"/>
      <c r="BE946" s="9"/>
      <c r="BF946" s="9"/>
      <c r="BG946" s="9"/>
      <c r="BH946" s="9"/>
      <c r="BI946" s="9"/>
      <c r="BJ946" s="9"/>
      <c r="BK946" s="9"/>
      <c r="BL946" s="9"/>
      <c r="BM946" s="9"/>
      <c r="BN946" s="9"/>
      <c r="BO946" s="9"/>
      <c r="BP946" s="9"/>
      <c r="BQ946" s="9"/>
      <c r="BR946" s="9"/>
      <c r="BS946" s="9"/>
      <c r="BT946" s="9"/>
      <c r="BU946" s="9"/>
      <c r="BV946" s="9"/>
      <c r="BW946" s="9"/>
      <c r="BX946" s="9"/>
      <c r="BY946" s="9"/>
      <c r="BZ946" s="9"/>
    </row>
    <row r="947" spans="4:78" ht="18" customHeight="1" x14ac:dyDescent="0.25"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S947" s="9"/>
      <c r="T947" s="9"/>
      <c r="U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  <c r="AH947" s="9"/>
      <c r="AI947" s="9"/>
      <c r="AJ947" s="9"/>
      <c r="AK947" s="9"/>
      <c r="AL947" s="9"/>
      <c r="AM947" s="9"/>
      <c r="AN947" s="9"/>
      <c r="AO947" s="9"/>
      <c r="AP947" s="9"/>
      <c r="AQ947" s="9"/>
      <c r="AR947" s="9"/>
      <c r="AS947" s="9"/>
      <c r="AT947" s="9"/>
      <c r="AU947" s="9"/>
      <c r="AV947" s="9"/>
      <c r="AW947" s="9"/>
      <c r="AX947" s="9"/>
      <c r="AY947" s="9"/>
      <c r="AZ947" s="9"/>
      <c r="BA947" s="9"/>
      <c r="BB947" s="9"/>
      <c r="BC947" s="9"/>
      <c r="BD947" s="9"/>
      <c r="BE947" s="9"/>
      <c r="BF947" s="9"/>
      <c r="BG947" s="9"/>
      <c r="BH947" s="9"/>
      <c r="BI947" s="9"/>
      <c r="BJ947" s="9"/>
      <c r="BK947" s="9"/>
      <c r="BL947" s="9"/>
      <c r="BM947" s="9"/>
      <c r="BN947" s="9"/>
      <c r="BO947" s="9"/>
      <c r="BP947" s="9"/>
      <c r="BQ947" s="9"/>
      <c r="BR947" s="9"/>
      <c r="BS947" s="9"/>
      <c r="BT947" s="9"/>
      <c r="BU947" s="9"/>
      <c r="BV947" s="9"/>
      <c r="BW947" s="9"/>
      <c r="BX947" s="9"/>
      <c r="BY947" s="9"/>
      <c r="BZ947" s="9"/>
    </row>
    <row r="948" spans="4:78" ht="18" customHeight="1" x14ac:dyDescent="0.25"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S948" s="9"/>
      <c r="T948" s="9"/>
      <c r="U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  <c r="AH948" s="9"/>
      <c r="AI948" s="9"/>
      <c r="AJ948" s="9"/>
      <c r="AK948" s="9"/>
      <c r="AL948" s="9"/>
      <c r="AM948" s="9"/>
      <c r="AN948" s="9"/>
      <c r="AO948" s="9"/>
      <c r="AP948" s="9"/>
      <c r="AQ948" s="9"/>
      <c r="AR948" s="9"/>
      <c r="AS948" s="9"/>
      <c r="AT948" s="9"/>
      <c r="AU948" s="9"/>
      <c r="AV948" s="9"/>
      <c r="AW948" s="9"/>
      <c r="AX948" s="9"/>
      <c r="AY948" s="9"/>
      <c r="AZ948" s="9"/>
      <c r="BA948" s="9"/>
      <c r="BB948" s="9"/>
      <c r="BC948" s="9"/>
      <c r="BD948" s="9"/>
      <c r="BE948" s="9"/>
      <c r="BF948" s="9"/>
      <c r="BG948" s="9"/>
      <c r="BH948" s="9"/>
      <c r="BI948" s="9"/>
      <c r="BJ948" s="9"/>
      <c r="BK948" s="9"/>
      <c r="BL948" s="9"/>
      <c r="BM948" s="9"/>
      <c r="BN948" s="9"/>
      <c r="BO948" s="9"/>
      <c r="BP948" s="9"/>
      <c r="BQ948" s="9"/>
      <c r="BR948" s="9"/>
      <c r="BS948" s="9"/>
      <c r="BT948" s="9"/>
      <c r="BU948" s="9"/>
      <c r="BV948" s="9"/>
      <c r="BW948" s="9"/>
      <c r="BX948" s="9"/>
      <c r="BY948" s="9"/>
      <c r="BZ948" s="9"/>
    </row>
    <row r="949" spans="4:78" ht="18" customHeight="1" x14ac:dyDescent="0.25"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S949" s="9"/>
      <c r="T949" s="9"/>
      <c r="U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  <c r="AH949" s="9"/>
      <c r="AI949" s="9"/>
      <c r="AJ949" s="9"/>
      <c r="AK949" s="9"/>
      <c r="AL949" s="9"/>
      <c r="AM949" s="9"/>
      <c r="AN949" s="9"/>
      <c r="AO949" s="9"/>
      <c r="AP949" s="9"/>
      <c r="AQ949" s="9"/>
      <c r="AR949" s="9"/>
      <c r="AS949" s="9"/>
      <c r="AT949" s="9"/>
      <c r="AU949" s="9"/>
      <c r="AV949" s="9"/>
      <c r="AW949" s="9"/>
      <c r="AX949" s="9"/>
      <c r="AY949" s="9"/>
      <c r="AZ949" s="9"/>
      <c r="BA949" s="9"/>
      <c r="BB949" s="9"/>
      <c r="BC949" s="9"/>
      <c r="BD949" s="9"/>
      <c r="BE949" s="9"/>
      <c r="BF949" s="9"/>
      <c r="BG949" s="9"/>
      <c r="BH949" s="9"/>
      <c r="BI949" s="9"/>
      <c r="BJ949" s="9"/>
      <c r="BK949" s="9"/>
      <c r="BL949" s="9"/>
      <c r="BM949" s="9"/>
      <c r="BN949" s="9"/>
      <c r="BO949" s="9"/>
      <c r="BP949" s="9"/>
      <c r="BQ949" s="9"/>
      <c r="BR949" s="9"/>
      <c r="BS949" s="9"/>
      <c r="BT949" s="9"/>
      <c r="BU949" s="9"/>
      <c r="BV949" s="9"/>
      <c r="BW949" s="9"/>
      <c r="BX949" s="9"/>
      <c r="BY949" s="9"/>
      <c r="BZ949" s="9"/>
    </row>
    <row r="950" spans="4:78" ht="18" customHeight="1" x14ac:dyDescent="0.25"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S950" s="9"/>
      <c r="T950" s="9"/>
      <c r="U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  <c r="AH950" s="9"/>
      <c r="AI950" s="9"/>
      <c r="AJ950" s="9"/>
      <c r="AK950" s="9"/>
      <c r="AL950" s="9"/>
      <c r="AM950" s="9"/>
      <c r="AN950" s="9"/>
      <c r="AO950" s="9"/>
      <c r="AP950" s="9"/>
      <c r="AQ950" s="9"/>
      <c r="AR950" s="9"/>
      <c r="AS950" s="9"/>
      <c r="AT950" s="9"/>
      <c r="AU950" s="9"/>
      <c r="AV950" s="9"/>
      <c r="AW950" s="9"/>
      <c r="AX950" s="9"/>
      <c r="AY950" s="9"/>
      <c r="AZ950" s="9"/>
      <c r="BA950" s="9"/>
      <c r="BB950" s="9"/>
      <c r="BC950" s="9"/>
      <c r="BD950" s="9"/>
      <c r="BE950" s="9"/>
      <c r="BF950" s="9"/>
      <c r="BG950" s="9"/>
      <c r="BH950" s="9"/>
      <c r="BI950" s="9"/>
      <c r="BJ950" s="9"/>
      <c r="BK950" s="9"/>
      <c r="BL950" s="9"/>
      <c r="BM950" s="9"/>
      <c r="BN950" s="9"/>
      <c r="BO950" s="9"/>
      <c r="BP950" s="9"/>
      <c r="BQ950" s="9"/>
      <c r="BR950" s="9"/>
      <c r="BS950" s="9"/>
      <c r="BT950" s="9"/>
      <c r="BU950" s="9"/>
      <c r="BV950" s="9"/>
      <c r="BW950" s="9"/>
      <c r="BX950" s="9"/>
      <c r="BY950" s="9"/>
      <c r="BZ950" s="9"/>
    </row>
    <row r="951" spans="4:78" ht="18" customHeight="1" x14ac:dyDescent="0.25"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S951" s="9"/>
      <c r="T951" s="9"/>
      <c r="U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  <c r="AH951" s="9"/>
      <c r="AI951" s="9"/>
      <c r="AJ951" s="9"/>
      <c r="AK951" s="9"/>
      <c r="AL951" s="9"/>
      <c r="AM951" s="9"/>
      <c r="AN951" s="9"/>
      <c r="AO951" s="9"/>
      <c r="AP951" s="9"/>
      <c r="AQ951" s="9"/>
      <c r="AR951" s="9"/>
      <c r="AS951" s="9"/>
      <c r="AT951" s="9"/>
      <c r="AU951" s="9"/>
      <c r="AV951" s="9"/>
      <c r="AW951" s="9"/>
      <c r="AX951" s="9"/>
      <c r="AY951" s="9"/>
      <c r="AZ951" s="9"/>
      <c r="BA951" s="9"/>
      <c r="BB951" s="9"/>
      <c r="BC951" s="9"/>
      <c r="BD951" s="9"/>
      <c r="BE951" s="9"/>
      <c r="BF951" s="9"/>
      <c r="BG951" s="9"/>
      <c r="BH951" s="9"/>
      <c r="BI951" s="9"/>
      <c r="BJ951" s="9"/>
      <c r="BK951" s="9"/>
      <c r="BL951" s="9"/>
      <c r="BM951" s="9"/>
      <c r="BN951" s="9"/>
      <c r="BO951" s="9"/>
      <c r="BP951" s="9"/>
      <c r="BQ951" s="9"/>
      <c r="BR951" s="9"/>
      <c r="BS951" s="9"/>
      <c r="BT951" s="9"/>
      <c r="BU951" s="9"/>
      <c r="BV951" s="9"/>
      <c r="BW951" s="9"/>
      <c r="BX951" s="9"/>
      <c r="BY951" s="9"/>
      <c r="BZ951" s="9"/>
    </row>
    <row r="952" spans="4:78" ht="18" customHeight="1" x14ac:dyDescent="0.25"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S952" s="9"/>
      <c r="T952" s="9"/>
      <c r="U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  <c r="AH952" s="9"/>
      <c r="AI952" s="9"/>
      <c r="AJ952" s="9"/>
      <c r="AK952" s="9"/>
      <c r="AL952" s="9"/>
      <c r="AM952" s="9"/>
      <c r="AN952" s="9"/>
      <c r="AO952" s="9"/>
      <c r="AP952" s="9"/>
      <c r="AQ952" s="9"/>
      <c r="AR952" s="9"/>
      <c r="AS952" s="9"/>
      <c r="AT952" s="9"/>
      <c r="AU952" s="9"/>
      <c r="AV952" s="9"/>
      <c r="AW952" s="9"/>
      <c r="AX952" s="9"/>
      <c r="AY952" s="9"/>
      <c r="AZ952" s="9"/>
      <c r="BA952" s="9"/>
      <c r="BB952" s="9"/>
      <c r="BC952" s="9"/>
      <c r="BD952" s="9"/>
      <c r="BE952" s="9"/>
      <c r="BF952" s="9"/>
      <c r="BG952" s="9"/>
      <c r="BH952" s="9"/>
      <c r="BI952" s="9"/>
      <c r="BJ952" s="9"/>
      <c r="BK952" s="9"/>
      <c r="BL952" s="9"/>
      <c r="BM952" s="9"/>
      <c r="BN952" s="9"/>
      <c r="BO952" s="9"/>
      <c r="BP952" s="9"/>
      <c r="BQ952" s="9"/>
      <c r="BR952" s="9"/>
      <c r="BS952" s="9"/>
      <c r="BT952" s="9"/>
      <c r="BU952" s="9"/>
      <c r="BV952" s="9"/>
      <c r="BW952" s="9"/>
      <c r="BX952" s="9"/>
      <c r="BY952" s="9"/>
      <c r="BZ952" s="9"/>
    </row>
    <row r="953" spans="4:78" ht="18" customHeight="1" x14ac:dyDescent="0.25"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S953" s="9"/>
      <c r="T953" s="9"/>
      <c r="U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  <c r="AH953" s="9"/>
      <c r="AI953" s="9"/>
      <c r="AJ953" s="9"/>
      <c r="AK953" s="9"/>
      <c r="AL953" s="9"/>
      <c r="AM953" s="9"/>
      <c r="AN953" s="9"/>
      <c r="AO953" s="9"/>
      <c r="AP953" s="9"/>
      <c r="AQ953" s="9"/>
      <c r="AR953" s="9"/>
      <c r="AS953" s="9"/>
      <c r="AT953" s="9"/>
      <c r="AU953" s="9"/>
      <c r="AV953" s="9"/>
      <c r="AW953" s="9"/>
      <c r="AX953" s="9"/>
      <c r="AY953" s="9"/>
      <c r="AZ953" s="9"/>
      <c r="BA953" s="9"/>
      <c r="BB953" s="9"/>
      <c r="BC953" s="9"/>
      <c r="BD953" s="9"/>
      <c r="BE953" s="9"/>
      <c r="BF953" s="9"/>
      <c r="BG953" s="9"/>
      <c r="BH953" s="9"/>
      <c r="BI953" s="9"/>
      <c r="BJ953" s="9"/>
      <c r="BK953" s="9"/>
      <c r="BL953" s="9"/>
      <c r="BM953" s="9"/>
      <c r="BN953" s="9"/>
      <c r="BO953" s="9"/>
      <c r="BP953" s="9"/>
      <c r="BQ953" s="9"/>
      <c r="BR953" s="9"/>
      <c r="BS953" s="9"/>
      <c r="BT953" s="9"/>
      <c r="BU953" s="9"/>
      <c r="BV953" s="9"/>
      <c r="BW953" s="9"/>
      <c r="BX953" s="9"/>
      <c r="BY953" s="9"/>
      <c r="BZ953" s="9"/>
    </row>
    <row r="954" spans="4:78" ht="18" customHeight="1" x14ac:dyDescent="0.25"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S954" s="9"/>
      <c r="T954" s="9"/>
      <c r="U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  <c r="AH954" s="9"/>
      <c r="AI954" s="9"/>
      <c r="AJ954" s="9"/>
      <c r="AK954" s="9"/>
      <c r="AL954" s="9"/>
      <c r="AM954" s="9"/>
      <c r="AN954" s="9"/>
      <c r="AO954" s="9"/>
      <c r="AP954" s="9"/>
      <c r="AQ954" s="9"/>
      <c r="AR954" s="9"/>
      <c r="AS954" s="9"/>
      <c r="AT954" s="9"/>
      <c r="AU954" s="9"/>
      <c r="AV954" s="9"/>
      <c r="AW954" s="9"/>
      <c r="AX954" s="9"/>
      <c r="AY954" s="9"/>
      <c r="AZ954" s="9"/>
      <c r="BA954" s="9"/>
      <c r="BB954" s="9"/>
      <c r="BC954" s="9"/>
      <c r="BD954" s="9"/>
      <c r="BE954" s="9"/>
      <c r="BF954" s="9"/>
      <c r="BG954" s="9"/>
      <c r="BH954" s="9"/>
      <c r="BI954" s="9"/>
      <c r="BJ954" s="9"/>
      <c r="BK954" s="9"/>
      <c r="BL954" s="9"/>
      <c r="BM954" s="9"/>
      <c r="BN954" s="9"/>
      <c r="BO954" s="9"/>
      <c r="BP954" s="9"/>
      <c r="BQ954" s="9"/>
      <c r="BR954" s="9"/>
      <c r="BS954" s="9"/>
      <c r="BT954" s="9"/>
      <c r="BU954" s="9"/>
      <c r="BV954" s="9"/>
      <c r="BW954" s="9"/>
      <c r="BX954" s="9"/>
      <c r="BY954" s="9"/>
      <c r="BZ954" s="9"/>
    </row>
    <row r="955" spans="4:78" ht="18" customHeight="1" x14ac:dyDescent="0.25"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S955" s="9"/>
      <c r="T955" s="9"/>
      <c r="U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  <c r="AH955" s="9"/>
      <c r="AI955" s="9"/>
      <c r="AJ955" s="9"/>
      <c r="AK955" s="9"/>
      <c r="AL955" s="9"/>
      <c r="AM955" s="9"/>
      <c r="AN955" s="9"/>
      <c r="AO955" s="9"/>
      <c r="AP955" s="9"/>
      <c r="AQ955" s="9"/>
      <c r="AR955" s="9"/>
      <c r="AS955" s="9"/>
      <c r="AT955" s="9"/>
      <c r="AU955" s="9"/>
      <c r="AV955" s="9"/>
      <c r="AW955" s="9"/>
      <c r="AX955" s="9"/>
      <c r="AY955" s="9"/>
      <c r="AZ955" s="9"/>
      <c r="BA955" s="9"/>
      <c r="BB955" s="9"/>
      <c r="BC955" s="9"/>
      <c r="BD955" s="9"/>
      <c r="BE955" s="9"/>
      <c r="BF955" s="9"/>
      <c r="BG955" s="9"/>
      <c r="BH955" s="9"/>
      <c r="BI955" s="9"/>
      <c r="BJ955" s="9"/>
      <c r="BK955" s="9"/>
      <c r="BL955" s="9"/>
      <c r="BM955" s="9"/>
      <c r="BN955" s="9"/>
      <c r="BO955" s="9"/>
      <c r="BP955" s="9"/>
      <c r="BQ955" s="9"/>
      <c r="BR955" s="9"/>
      <c r="BS955" s="9"/>
      <c r="BT955" s="9"/>
      <c r="BU955" s="9"/>
      <c r="BV955" s="9"/>
      <c r="BW955" s="9"/>
      <c r="BX955" s="9"/>
      <c r="BY955" s="9"/>
      <c r="BZ955" s="9"/>
    </row>
    <row r="956" spans="4:78" ht="18" customHeight="1" x14ac:dyDescent="0.25"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S956" s="9"/>
      <c r="T956" s="9"/>
      <c r="U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  <c r="AH956" s="9"/>
      <c r="AI956" s="9"/>
      <c r="AJ956" s="9"/>
      <c r="AK956" s="9"/>
      <c r="AL956" s="9"/>
      <c r="AM956" s="9"/>
      <c r="AN956" s="9"/>
      <c r="AO956" s="9"/>
      <c r="AP956" s="9"/>
      <c r="AQ956" s="9"/>
      <c r="AR956" s="9"/>
      <c r="AS956" s="9"/>
      <c r="AT956" s="9"/>
      <c r="AU956" s="9"/>
      <c r="AV956" s="9"/>
      <c r="AW956" s="9"/>
      <c r="AX956" s="9"/>
      <c r="AY956" s="9"/>
      <c r="AZ956" s="9"/>
      <c r="BA956" s="9"/>
      <c r="BB956" s="9"/>
      <c r="BC956" s="9"/>
      <c r="BD956" s="9"/>
      <c r="BE956" s="9"/>
      <c r="BF956" s="9"/>
      <c r="BG956" s="9"/>
      <c r="BH956" s="9"/>
      <c r="BI956" s="9"/>
      <c r="BJ956" s="9"/>
      <c r="BK956" s="9"/>
      <c r="BL956" s="9"/>
      <c r="BM956" s="9"/>
      <c r="BN956" s="9"/>
      <c r="BO956" s="9"/>
      <c r="BP956" s="9"/>
      <c r="BQ956" s="9"/>
      <c r="BR956" s="9"/>
      <c r="BS956" s="9"/>
      <c r="BT956" s="9"/>
      <c r="BU956" s="9"/>
      <c r="BV956" s="9"/>
      <c r="BW956" s="9"/>
      <c r="BX956" s="9"/>
      <c r="BY956" s="9"/>
      <c r="BZ956" s="9"/>
    </row>
    <row r="957" spans="4:78" ht="18" customHeight="1" x14ac:dyDescent="0.25"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S957" s="9"/>
      <c r="T957" s="9"/>
      <c r="U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  <c r="AH957" s="9"/>
      <c r="AI957" s="9"/>
      <c r="AJ957" s="9"/>
      <c r="AK957" s="9"/>
      <c r="AL957" s="9"/>
      <c r="AM957" s="9"/>
      <c r="AN957" s="9"/>
      <c r="AO957" s="9"/>
      <c r="AP957" s="9"/>
      <c r="AQ957" s="9"/>
      <c r="AR957" s="9"/>
      <c r="AS957" s="9"/>
      <c r="AT957" s="9"/>
      <c r="AU957" s="9"/>
      <c r="AV957" s="9"/>
      <c r="AW957" s="9"/>
      <c r="AX957" s="9"/>
      <c r="AY957" s="9"/>
      <c r="AZ957" s="9"/>
      <c r="BA957" s="9"/>
      <c r="BB957" s="9"/>
      <c r="BC957" s="9"/>
      <c r="BD957" s="9"/>
      <c r="BE957" s="9"/>
      <c r="BF957" s="9"/>
      <c r="BG957" s="9"/>
      <c r="BH957" s="9"/>
      <c r="BI957" s="9"/>
      <c r="BJ957" s="9"/>
      <c r="BK957" s="9"/>
      <c r="BL957" s="9"/>
      <c r="BM957" s="9"/>
      <c r="BN957" s="9"/>
      <c r="BO957" s="9"/>
      <c r="BP957" s="9"/>
      <c r="BQ957" s="9"/>
      <c r="BR957" s="9"/>
      <c r="BS957" s="9"/>
      <c r="BT957" s="9"/>
      <c r="BU957" s="9"/>
      <c r="BV957" s="9"/>
      <c r="BW957" s="9"/>
      <c r="BX957" s="9"/>
      <c r="BY957" s="9"/>
      <c r="BZ957" s="9"/>
    </row>
    <row r="958" spans="4:78" ht="18" customHeight="1" x14ac:dyDescent="0.25"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S958" s="9"/>
      <c r="T958" s="9"/>
      <c r="U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  <c r="AH958" s="9"/>
      <c r="AI958" s="9"/>
      <c r="AJ958" s="9"/>
      <c r="AK958" s="9"/>
      <c r="AL958" s="9"/>
      <c r="AM958" s="9"/>
      <c r="AN958" s="9"/>
      <c r="AO958" s="9"/>
      <c r="AP958" s="9"/>
      <c r="AQ958" s="9"/>
      <c r="AR958" s="9"/>
      <c r="AS958" s="9"/>
      <c r="AT958" s="9"/>
      <c r="AU958" s="9"/>
      <c r="AV958" s="9"/>
      <c r="AW958" s="9"/>
      <c r="AX958" s="9"/>
      <c r="AY958" s="9"/>
      <c r="AZ958" s="9"/>
      <c r="BA958" s="9"/>
      <c r="BB958" s="9"/>
      <c r="BC958" s="9"/>
      <c r="BD958" s="9"/>
      <c r="BE958" s="9"/>
      <c r="BF958" s="9"/>
      <c r="BG958" s="9"/>
      <c r="BH958" s="9"/>
      <c r="BI958" s="9"/>
      <c r="BJ958" s="9"/>
      <c r="BK958" s="9"/>
      <c r="BL958" s="9"/>
      <c r="BM958" s="9"/>
      <c r="BN958" s="9"/>
      <c r="BO958" s="9"/>
      <c r="BP958" s="9"/>
      <c r="BQ958" s="9"/>
      <c r="BR958" s="9"/>
      <c r="BS958" s="9"/>
      <c r="BT958" s="9"/>
      <c r="BU958" s="9"/>
      <c r="BV958" s="9"/>
      <c r="BW958" s="9"/>
      <c r="BX958" s="9"/>
      <c r="BY958" s="9"/>
      <c r="BZ958" s="9"/>
    </row>
    <row r="959" spans="4:78" ht="18" customHeight="1" x14ac:dyDescent="0.25"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S959" s="9"/>
      <c r="T959" s="9"/>
      <c r="U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  <c r="AH959" s="9"/>
      <c r="AI959" s="9"/>
      <c r="AJ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  <c r="BL959" s="9"/>
      <c r="BM959" s="9"/>
      <c r="BN959" s="9"/>
      <c r="BO959" s="9"/>
      <c r="BP959" s="9"/>
      <c r="BQ959" s="9"/>
      <c r="BR959" s="9"/>
      <c r="BS959" s="9"/>
      <c r="BT959" s="9"/>
      <c r="BU959" s="9"/>
      <c r="BV959" s="9"/>
      <c r="BW959" s="9"/>
      <c r="BX959" s="9"/>
      <c r="BY959" s="9"/>
      <c r="BZ959" s="9"/>
    </row>
    <row r="960" spans="4:78" ht="18" customHeight="1" x14ac:dyDescent="0.25"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S960" s="9"/>
      <c r="T960" s="9"/>
      <c r="U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  <c r="AH960" s="9"/>
      <c r="AI960" s="9"/>
      <c r="AJ960" s="9"/>
      <c r="AK960" s="9"/>
      <c r="AL960" s="9"/>
      <c r="AM960" s="9"/>
      <c r="AN960" s="9"/>
      <c r="AO960" s="9"/>
      <c r="AP960" s="9"/>
      <c r="AQ960" s="9"/>
      <c r="AR960" s="9"/>
      <c r="AS960" s="9"/>
      <c r="AT960" s="9"/>
      <c r="AU960" s="9"/>
      <c r="AV960" s="9"/>
      <c r="AW960" s="9"/>
      <c r="AX960" s="9"/>
      <c r="AY960" s="9"/>
      <c r="AZ960" s="9"/>
      <c r="BA960" s="9"/>
      <c r="BB960" s="9"/>
      <c r="BC960" s="9"/>
      <c r="BD960" s="9"/>
      <c r="BE960" s="9"/>
      <c r="BF960" s="9"/>
      <c r="BG960" s="9"/>
      <c r="BH960" s="9"/>
      <c r="BI960" s="9"/>
      <c r="BJ960" s="9"/>
      <c r="BK960" s="9"/>
      <c r="BL960" s="9"/>
      <c r="BM960" s="9"/>
      <c r="BN960" s="9"/>
      <c r="BO960" s="9"/>
      <c r="BP960" s="9"/>
      <c r="BQ960" s="9"/>
      <c r="BR960" s="9"/>
      <c r="BS960" s="9"/>
      <c r="BT960" s="9"/>
      <c r="BU960" s="9"/>
      <c r="BV960" s="9"/>
      <c r="BW960" s="9"/>
      <c r="BX960" s="9"/>
      <c r="BY960" s="9"/>
      <c r="BZ960" s="9"/>
    </row>
    <row r="961" spans="4:78" ht="18" customHeight="1" x14ac:dyDescent="0.25"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S961" s="9"/>
      <c r="T961" s="9"/>
      <c r="U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  <c r="AH961" s="9"/>
      <c r="AI961" s="9"/>
      <c r="AJ961" s="9"/>
      <c r="AK961" s="9"/>
      <c r="AL961" s="9"/>
      <c r="AM961" s="9"/>
      <c r="AN961" s="9"/>
      <c r="AO961" s="9"/>
      <c r="AP961" s="9"/>
      <c r="AQ961" s="9"/>
      <c r="AR961" s="9"/>
      <c r="AS961" s="9"/>
      <c r="AT961" s="9"/>
      <c r="AU961" s="9"/>
      <c r="AV961" s="9"/>
      <c r="AW961" s="9"/>
      <c r="AX961" s="9"/>
      <c r="AY961" s="9"/>
      <c r="AZ961" s="9"/>
      <c r="BA961" s="9"/>
      <c r="BB961" s="9"/>
      <c r="BC961" s="9"/>
      <c r="BD961" s="9"/>
      <c r="BE961" s="9"/>
      <c r="BF961" s="9"/>
      <c r="BG961" s="9"/>
      <c r="BH961" s="9"/>
      <c r="BI961" s="9"/>
      <c r="BJ961" s="9"/>
      <c r="BK961" s="9"/>
      <c r="BL961" s="9"/>
      <c r="BM961" s="9"/>
      <c r="BN961" s="9"/>
      <c r="BO961" s="9"/>
      <c r="BP961" s="9"/>
      <c r="BQ961" s="9"/>
      <c r="BR961" s="9"/>
      <c r="BS961" s="9"/>
      <c r="BT961" s="9"/>
      <c r="BU961" s="9"/>
      <c r="BV961" s="9"/>
      <c r="BW961" s="9"/>
      <c r="BX961" s="9"/>
      <c r="BY961" s="9"/>
      <c r="BZ961" s="9"/>
    </row>
    <row r="962" spans="4:78" ht="18" customHeight="1" x14ac:dyDescent="0.25"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S962" s="9"/>
      <c r="T962" s="9"/>
      <c r="U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  <c r="AH962" s="9"/>
      <c r="AI962" s="9"/>
      <c r="AJ962" s="9"/>
      <c r="AK962" s="9"/>
      <c r="AL962" s="9"/>
      <c r="AM962" s="9"/>
      <c r="AN962" s="9"/>
      <c r="AO962" s="9"/>
      <c r="AP962" s="9"/>
      <c r="AQ962" s="9"/>
      <c r="AR962" s="9"/>
      <c r="AS962" s="9"/>
      <c r="AT962" s="9"/>
      <c r="AU962" s="9"/>
      <c r="AV962" s="9"/>
      <c r="AW962" s="9"/>
      <c r="AX962" s="9"/>
      <c r="AY962" s="9"/>
      <c r="AZ962" s="9"/>
      <c r="BA962" s="9"/>
      <c r="BB962" s="9"/>
      <c r="BC962" s="9"/>
      <c r="BD962" s="9"/>
      <c r="BE962" s="9"/>
      <c r="BF962" s="9"/>
      <c r="BG962" s="9"/>
      <c r="BH962" s="9"/>
      <c r="BI962" s="9"/>
      <c r="BJ962" s="9"/>
      <c r="BK962" s="9"/>
      <c r="BL962" s="9"/>
      <c r="BM962" s="9"/>
      <c r="BN962" s="9"/>
      <c r="BO962" s="9"/>
      <c r="BP962" s="9"/>
      <c r="BQ962" s="9"/>
      <c r="BR962" s="9"/>
      <c r="BS962" s="9"/>
      <c r="BT962" s="9"/>
      <c r="BU962" s="9"/>
      <c r="BV962" s="9"/>
      <c r="BW962" s="9"/>
      <c r="BX962" s="9"/>
      <c r="BY962" s="9"/>
      <c r="BZ962" s="9"/>
    </row>
    <row r="963" spans="4:78" ht="18" customHeight="1" x14ac:dyDescent="0.25"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S963" s="9"/>
      <c r="T963" s="9"/>
      <c r="U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  <c r="AH963" s="9"/>
      <c r="AI963" s="9"/>
      <c r="AJ963" s="9"/>
      <c r="AK963" s="9"/>
      <c r="AL963" s="9"/>
      <c r="AM963" s="9"/>
      <c r="AN963" s="9"/>
      <c r="AO963" s="9"/>
      <c r="AP963" s="9"/>
      <c r="AQ963" s="9"/>
      <c r="AR963" s="9"/>
      <c r="AS963" s="9"/>
      <c r="AT963" s="9"/>
      <c r="AU963" s="9"/>
      <c r="AV963" s="9"/>
      <c r="AW963" s="9"/>
      <c r="AX963" s="9"/>
      <c r="AY963" s="9"/>
      <c r="AZ963" s="9"/>
      <c r="BA963" s="9"/>
      <c r="BB963" s="9"/>
      <c r="BC963" s="9"/>
      <c r="BD963" s="9"/>
      <c r="BE963" s="9"/>
      <c r="BF963" s="9"/>
      <c r="BG963" s="9"/>
      <c r="BH963" s="9"/>
      <c r="BI963" s="9"/>
      <c r="BJ963" s="9"/>
      <c r="BK963" s="9"/>
      <c r="BL963" s="9"/>
      <c r="BM963" s="9"/>
      <c r="BN963" s="9"/>
      <c r="BO963" s="9"/>
      <c r="BP963" s="9"/>
      <c r="BQ963" s="9"/>
      <c r="BR963" s="9"/>
      <c r="BS963" s="9"/>
      <c r="BT963" s="9"/>
      <c r="BU963" s="9"/>
      <c r="BV963" s="9"/>
      <c r="BW963" s="9"/>
      <c r="BX963" s="9"/>
      <c r="BY963" s="9"/>
      <c r="BZ963" s="9"/>
    </row>
    <row r="964" spans="4:78" ht="18" customHeight="1" x14ac:dyDescent="0.25"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S964" s="9"/>
      <c r="T964" s="9"/>
      <c r="U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  <c r="AH964" s="9"/>
      <c r="AI964" s="9"/>
      <c r="AJ964" s="9"/>
      <c r="AK964" s="9"/>
      <c r="AL964" s="9"/>
      <c r="AM964" s="9"/>
      <c r="AN964" s="9"/>
      <c r="AO964" s="9"/>
      <c r="AP964" s="9"/>
      <c r="AQ964" s="9"/>
      <c r="AR964" s="9"/>
      <c r="AS964" s="9"/>
      <c r="AT964" s="9"/>
      <c r="AU964" s="9"/>
      <c r="AV964" s="9"/>
      <c r="AW964" s="9"/>
      <c r="AX964" s="9"/>
      <c r="AY964" s="9"/>
      <c r="AZ964" s="9"/>
      <c r="BA964" s="9"/>
      <c r="BB964" s="9"/>
      <c r="BC964" s="9"/>
      <c r="BD964" s="9"/>
      <c r="BE964" s="9"/>
      <c r="BF964" s="9"/>
      <c r="BG964" s="9"/>
      <c r="BH964" s="9"/>
      <c r="BI964" s="9"/>
      <c r="BJ964" s="9"/>
      <c r="BK964" s="9"/>
      <c r="BL964" s="9"/>
      <c r="BM964" s="9"/>
      <c r="BN964" s="9"/>
      <c r="BO964" s="9"/>
      <c r="BP964" s="9"/>
      <c r="BQ964" s="9"/>
      <c r="BR964" s="9"/>
      <c r="BS964" s="9"/>
      <c r="BT964" s="9"/>
      <c r="BU964" s="9"/>
      <c r="BV964" s="9"/>
      <c r="BW964" s="9"/>
      <c r="BX964" s="9"/>
      <c r="BY964" s="9"/>
      <c r="BZ964" s="9"/>
    </row>
    <row r="965" spans="4:78" ht="18" customHeight="1" x14ac:dyDescent="0.25"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S965" s="9"/>
      <c r="T965" s="9"/>
      <c r="U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  <c r="AH965" s="9"/>
      <c r="AI965" s="9"/>
      <c r="AJ965" s="9"/>
      <c r="AK965" s="9"/>
      <c r="AL965" s="9"/>
      <c r="AM965" s="9"/>
      <c r="AN965" s="9"/>
      <c r="AO965" s="9"/>
      <c r="AP965" s="9"/>
      <c r="AQ965" s="9"/>
      <c r="AR965" s="9"/>
      <c r="AS965" s="9"/>
      <c r="AT965" s="9"/>
      <c r="AU965" s="9"/>
      <c r="AV965" s="9"/>
      <c r="AW965" s="9"/>
      <c r="AX965" s="9"/>
      <c r="AY965" s="9"/>
      <c r="AZ965" s="9"/>
      <c r="BA965" s="9"/>
      <c r="BB965" s="9"/>
      <c r="BC965" s="9"/>
      <c r="BD965" s="9"/>
      <c r="BE965" s="9"/>
      <c r="BF965" s="9"/>
      <c r="BG965" s="9"/>
      <c r="BH965" s="9"/>
      <c r="BI965" s="9"/>
      <c r="BJ965" s="9"/>
      <c r="BK965" s="9"/>
      <c r="BL965" s="9"/>
      <c r="BM965" s="9"/>
      <c r="BN965" s="9"/>
      <c r="BO965" s="9"/>
      <c r="BP965" s="9"/>
      <c r="BQ965" s="9"/>
      <c r="BR965" s="9"/>
      <c r="BS965" s="9"/>
      <c r="BT965" s="9"/>
      <c r="BU965" s="9"/>
      <c r="BV965" s="9"/>
      <c r="BW965" s="9"/>
      <c r="BX965" s="9"/>
      <c r="BY965" s="9"/>
      <c r="BZ965" s="9"/>
    </row>
    <row r="966" spans="4:78" ht="18" customHeight="1" x14ac:dyDescent="0.25"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S966" s="9"/>
      <c r="T966" s="9"/>
      <c r="U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  <c r="AH966" s="9"/>
      <c r="AI966" s="9"/>
      <c r="AJ966" s="9"/>
      <c r="AK966" s="9"/>
      <c r="AL966" s="9"/>
      <c r="AM966" s="9"/>
      <c r="AN966" s="9"/>
      <c r="AO966" s="9"/>
      <c r="AP966" s="9"/>
      <c r="AQ966" s="9"/>
      <c r="AR966" s="9"/>
      <c r="AS966" s="9"/>
      <c r="AT966" s="9"/>
      <c r="AU966" s="9"/>
      <c r="AV966" s="9"/>
      <c r="AW966" s="9"/>
      <c r="AX966" s="9"/>
      <c r="AY966" s="9"/>
      <c r="AZ966" s="9"/>
      <c r="BA966" s="9"/>
      <c r="BB966" s="9"/>
      <c r="BC966" s="9"/>
      <c r="BD966" s="9"/>
      <c r="BE966" s="9"/>
      <c r="BF966" s="9"/>
      <c r="BG966" s="9"/>
      <c r="BH966" s="9"/>
      <c r="BI966" s="9"/>
      <c r="BJ966" s="9"/>
      <c r="BK966" s="9"/>
      <c r="BL966" s="9"/>
      <c r="BM966" s="9"/>
      <c r="BN966" s="9"/>
      <c r="BO966" s="9"/>
      <c r="BP966" s="9"/>
      <c r="BQ966" s="9"/>
      <c r="BR966" s="9"/>
      <c r="BS966" s="9"/>
      <c r="BT966" s="9"/>
      <c r="BU966" s="9"/>
      <c r="BV966" s="9"/>
      <c r="BW966" s="9"/>
      <c r="BX966" s="9"/>
      <c r="BY966" s="9"/>
      <c r="BZ966" s="9"/>
    </row>
    <row r="967" spans="4:78" ht="18" customHeight="1" x14ac:dyDescent="0.25"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S967" s="9"/>
      <c r="T967" s="9"/>
      <c r="U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  <c r="AH967" s="9"/>
      <c r="AI967" s="9"/>
      <c r="AJ967" s="9"/>
      <c r="AK967" s="9"/>
      <c r="AL967" s="9"/>
      <c r="AM967" s="9"/>
      <c r="AN967" s="9"/>
      <c r="AO967" s="9"/>
      <c r="AP967" s="9"/>
      <c r="AQ967" s="9"/>
      <c r="AR967" s="9"/>
      <c r="AS967" s="9"/>
      <c r="AT967" s="9"/>
      <c r="AU967" s="9"/>
      <c r="AV967" s="9"/>
      <c r="AW967" s="9"/>
      <c r="AX967" s="9"/>
      <c r="AY967" s="9"/>
      <c r="AZ967" s="9"/>
      <c r="BA967" s="9"/>
      <c r="BB967" s="9"/>
      <c r="BC967" s="9"/>
      <c r="BD967" s="9"/>
      <c r="BE967" s="9"/>
      <c r="BF967" s="9"/>
      <c r="BG967" s="9"/>
      <c r="BH967" s="9"/>
      <c r="BI967" s="9"/>
      <c r="BJ967" s="9"/>
      <c r="BK967" s="9"/>
      <c r="BL967" s="9"/>
      <c r="BM967" s="9"/>
      <c r="BN967" s="9"/>
      <c r="BO967" s="9"/>
      <c r="BP967" s="9"/>
      <c r="BQ967" s="9"/>
      <c r="BR967" s="9"/>
      <c r="BS967" s="9"/>
      <c r="BT967" s="9"/>
      <c r="BU967" s="9"/>
      <c r="BV967" s="9"/>
      <c r="BW967" s="9"/>
      <c r="BX967" s="9"/>
      <c r="BY967" s="9"/>
      <c r="BZ967" s="9"/>
    </row>
    <row r="968" spans="4:78" ht="18" customHeight="1" x14ac:dyDescent="0.25"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S968" s="9"/>
      <c r="T968" s="9"/>
      <c r="U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  <c r="AH968" s="9"/>
      <c r="AI968" s="9"/>
      <c r="AJ968" s="9"/>
      <c r="AK968" s="9"/>
      <c r="AL968" s="9"/>
      <c r="AM968" s="9"/>
      <c r="AN968" s="9"/>
      <c r="AO968" s="9"/>
      <c r="AP968" s="9"/>
      <c r="AQ968" s="9"/>
      <c r="AR968" s="9"/>
      <c r="AS968" s="9"/>
      <c r="AT968" s="9"/>
      <c r="AU968" s="9"/>
      <c r="AV968" s="9"/>
      <c r="AW968" s="9"/>
      <c r="AX968" s="9"/>
      <c r="AY968" s="9"/>
      <c r="AZ968" s="9"/>
      <c r="BA968" s="9"/>
      <c r="BB968" s="9"/>
      <c r="BC968" s="9"/>
      <c r="BD968" s="9"/>
      <c r="BE968" s="9"/>
      <c r="BF968" s="9"/>
      <c r="BG968" s="9"/>
      <c r="BH968" s="9"/>
      <c r="BI968" s="9"/>
      <c r="BJ968" s="9"/>
      <c r="BK968" s="9"/>
      <c r="BL968" s="9"/>
      <c r="BM968" s="9"/>
      <c r="BN968" s="9"/>
      <c r="BO968" s="9"/>
      <c r="BP968" s="9"/>
      <c r="BQ968" s="9"/>
      <c r="BR968" s="9"/>
      <c r="BS968" s="9"/>
      <c r="BT968" s="9"/>
      <c r="BU968" s="9"/>
      <c r="BV968" s="9"/>
      <c r="BW968" s="9"/>
      <c r="BX968" s="9"/>
      <c r="BY968" s="9"/>
      <c r="BZ968" s="9"/>
    </row>
    <row r="969" spans="4:78" ht="18" customHeight="1" x14ac:dyDescent="0.25"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S969" s="9"/>
      <c r="T969" s="9"/>
      <c r="U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  <c r="AH969" s="9"/>
      <c r="AI969" s="9"/>
      <c r="AJ969" s="9"/>
      <c r="AK969" s="9"/>
      <c r="AL969" s="9"/>
      <c r="AM969" s="9"/>
      <c r="AN969" s="9"/>
      <c r="AO969" s="9"/>
      <c r="AP969" s="9"/>
      <c r="AQ969" s="9"/>
      <c r="AR969" s="9"/>
      <c r="AS969" s="9"/>
      <c r="AT969" s="9"/>
      <c r="AU969" s="9"/>
      <c r="AV969" s="9"/>
      <c r="AW969" s="9"/>
      <c r="AX969" s="9"/>
      <c r="AY969" s="9"/>
      <c r="AZ969" s="9"/>
      <c r="BA969" s="9"/>
      <c r="BB969" s="9"/>
      <c r="BC969" s="9"/>
      <c r="BD969" s="9"/>
      <c r="BE969" s="9"/>
      <c r="BF969" s="9"/>
      <c r="BG969" s="9"/>
      <c r="BH969" s="9"/>
      <c r="BI969" s="9"/>
      <c r="BJ969" s="9"/>
      <c r="BK969" s="9"/>
      <c r="BL969" s="9"/>
      <c r="BM969" s="9"/>
      <c r="BN969" s="9"/>
      <c r="BO969" s="9"/>
      <c r="BP969" s="9"/>
      <c r="BQ969" s="9"/>
      <c r="BR969" s="9"/>
      <c r="BS969" s="9"/>
      <c r="BT969" s="9"/>
      <c r="BU969" s="9"/>
      <c r="BV969" s="9"/>
      <c r="BW969" s="9"/>
      <c r="BX969" s="9"/>
      <c r="BY969" s="9"/>
      <c r="BZ969" s="9"/>
    </row>
    <row r="970" spans="4:78" ht="18" customHeight="1" x14ac:dyDescent="0.25"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S970" s="9"/>
      <c r="T970" s="9"/>
      <c r="U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  <c r="AH970" s="9"/>
      <c r="AI970" s="9"/>
      <c r="AJ970" s="9"/>
      <c r="AK970" s="9"/>
      <c r="AL970" s="9"/>
      <c r="AM970" s="9"/>
      <c r="AN970" s="9"/>
      <c r="AO970" s="9"/>
      <c r="AP970" s="9"/>
      <c r="AQ970" s="9"/>
      <c r="AR970" s="9"/>
      <c r="AS970" s="9"/>
      <c r="AT970" s="9"/>
      <c r="AU970" s="9"/>
      <c r="AV970" s="9"/>
      <c r="AW970" s="9"/>
      <c r="AX970" s="9"/>
      <c r="AY970" s="9"/>
      <c r="AZ970" s="9"/>
      <c r="BA970" s="9"/>
      <c r="BB970" s="9"/>
      <c r="BC970" s="9"/>
      <c r="BD970" s="9"/>
      <c r="BE970" s="9"/>
      <c r="BF970" s="9"/>
      <c r="BG970" s="9"/>
      <c r="BH970" s="9"/>
      <c r="BI970" s="9"/>
      <c r="BJ970" s="9"/>
      <c r="BK970" s="9"/>
      <c r="BL970" s="9"/>
      <c r="BM970" s="9"/>
      <c r="BN970" s="9"/>
      <c r="BO970" s="9"/>
      <c r="BP970" s="9"/>
      <c r="BQ970" s="9"/>
      <c r="BR970" s="9"/>
      <c r="BS970" s="9"/>
      <c r="BT970" s="9"/>
      <c r="BU970" s="9"/>
      <c r="BV970" s="9"/>
      <c r="BW970" s="9"/>
      <c r="BX970" s="9"/>
      <c r="BY970" s="9"/>
      <c r="BZ970" s="9"/>
    </row>
    <row r="971" spans="4:78" ht="18" customHeight="1" x14ac:dyDescent="0.25"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S971" s="9"/>
      <c r="T971" s="9"/>
      <c r="U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  <c r="AH971" s="9"/>
      <c r="AI971" s="9"/>
      <c r="AJ971" s="9"/>
      <c r="AK971" s="9"/>
      <c r="AL971" s="9"/>
      <c r="AM971" s="9"/>
      <c r="AN971" s="9"/>
      <c r="AO971" s="9"/>
      <c r="AP971" s="9"/>
      <c r="AQ971" s="9"/>
      <c r="AR971" s="9"/>
      <c r="AS971" s="9"/>
      <c r="AT971" s="9"/>
      <c r="AU971" s="9"/>
      <c r="AV971" s="9"/>
      <c r="AW971" s="9"/>
      <c r="AX971" s="9"/>
      <c r="AY971" s="9"/>
      <c r="AZ971" s="9"/>
      <c r="BA971" s="9"/>
      <c r="BB971" s="9"/>
      <c r="BC971" s="9"/>
      <c r="BD971" s="9"/>
      <c r="BE971" s="9"/>
      <c r="BF971" s="9"/>
      <c r="BG971" s="9"/>
      <c r="BH971" s="9"/>
      <c r="BI971" s="9"/>
      <c r="BJ971" s="9"/>
      <c r="BK971" s="9"/>
      <c r="BL971" s="9"/>
      <c r="BM971" s="9"/>
      <c r="BN971" s="9"/>
      <c r="BO971" s="9"/>
      <c r="BP971" s="9"/>
      <c r="BQ971" s="9"/>
      <c r="BR971" s="9"/>
      <c r="BS971" s="9"/>
      <c r="BT971" s="9"/>
      <c r="BU971" s="9"/>
      <c r="BV971" s="9"/>
      <c r="BW971" s="9"/>
      <c r="BX971" s="9"/>
      <c r="BY971" s="9"/>
      <c r="BZ971" s="9"/>
    </row>
    <row r="972" spans="4:78" ht="18" customHeight="1" x14ac:dyDescent="0.25"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S972" s="9"/>
      <c r="T972" s="9"/>
      <c r="U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  <c r="AH972" s="9"/>
      <c r="AI972" s="9"/>
      <c r="AJ972" s="9"/>
      <c r="AK972" s="9"/>
      <c r="AL972" s="9"/>
      <c r="AM972" s="9"/>
      <c r="AN972" s="9"/>
      <c r="AO972" s="9"/>
      <c r="AP972" s="9"/>
      <c r="AQ972" s="9"/>
      <c r="AR972" s="9"/>
      <c r="AS972" s="9"/>
      <c r="AT972" s="9"/>
      <c r="AU972" s="9"/>
      <c r="AV972" s="9"/>
      <c r="AW972" s="9"/>
      <c r="AX972" s="9"/>
      <c r="AY972" s="9"/>
      <c r="AZ972" s="9"/>
      <c r="BA972" s="9"/>
      <c r="BB972" s="9"/>
      <c r="BC972" s="9"/>
      <c r="BD972" s="9"/>
      <c r="BE972" s="9"/>
      <c r="BF972" s="9"/>
      <c r="BG972" s="9"/>
      <c r="BH972" s="9"/>
      <c r="BI972" s="9"/>
      <c r="BJ972" s="9"/>
      <c r="BK972" s="9"/>
      <c r="BL972" s="9"/>
      <c r="BM972" s="9"/>
      <c r="BN972" s="9"/>
      <c r="BO972" s="9"/>
      <c r="BP972" s="9"/>
      <c r="BQ972" s="9"/>
      <c r="BR972" s="9"/>
      <c r="BS972" s="9"/>
      <c r="BT972" s="9"/>
      <c r="BU972" s="9"/>
      <c r="BV972" s="9"/>
      <c r="BW972" s="9"/>
      <c r="BX972" s="9"/>
      <c r="BY972" s="9"/>
      <c r="BZ972" s="9"/>
    </row>
    <row r="973" spans="4:78" ht="18" customHeight="1" x14ac:dyDescent="0.25"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S973" s="9"/>
      <c r="T973" s="9"/>
      <c r="U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  <c r="AH973" s="9"/>
      <c r="AI973" s="9"/>
      <c r="AJ973" s="9"/>
      <c r="AK973" s="9"/>
      <c r="AL973" s="9"/>
      <c r="AM973" s="9"/>
      <c r="AN973" s="9"/>
      <c r="AO973" s="9"/>
      <c r="AP973" s="9"/>
      <c r="AQ973" s="9"/>
      <c r="AR973" s="9"/>
      <c r="AS973" s="9"/>
      <c r="AT973" s="9"/>
      <c r="AU973" s="9"/>
      <c r="AV973" s="9"/>
      <c r="AW973" s="9"/>
      <c r="AX973" s="9"/>
      <c r="AY973" s="9"/>
      <c r="AZ973" s="9"/>
      <c r="BA973" s="9"/>
      <c r="BB973" s="9"/>
      <c r="BC973" s="9"/>
      <c r="BD973" s="9"/>
      <c r="BE973" s="9"/>
      <c r="BF973" s="9"/>
      <c r="BG973" s="9"/>
      <c r="BH973" s="9"/>
      <c r="BI973" s="9"/>
      <c r="BJ973" s="9"/>
      <c r="BK973" s="9"/>
      <c r="BL973" s="9"/>
      <c r="BM973" s="9"/>
      <c r="BN973" s="9"/>
      <c r="BO973" s="9"/>
      <c r="BP973" s="9"/>
      <c r="BQ973" s="9"/>
      <c r="BR973" s="9"/>
      <c r="BS973" s="9"/>
      <c r="BT973" s="9"/>
      <c r="BU973" s="9"/>
      <c r="BV973" s="9"/>
      <c r="BW973" s="9"/>
      <c r="BX973" s="9"/>
      <c r="BY973" s="9"/>
      <c r="BZ973" s="9"/>
    </row>
    <row r="974" spans="4:78" ht="18" customHeight="1" x14ac:dyDescent="0.25"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S974" s="9"/>
      <c r="T974" s="9"/>
      <c r="U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  <c r="AH974" s="9"/>
      <c r="AI974" s="9"/>
      <c r="AJ974" s="9"/>
      <c r="AK974" s="9"/>
      <c r="AL974" s="9"/>
      <c r="AM974" s="9"/>
      <c r="AN974" s="9"/>
      <c r="AO974" s="9"/>
      <c r="AP974" s="9"/>
      <c r="AQ974" s="9"/>
      <c r="AR974" s="9"/>
      <c r="AS974" s="9"/>
      <c r="AT974" s="9"/>
      <c r="AU974" s="9"/>
      <c r="AV974" s="9"/>
      <c r="AW974" s="9"/>
      <c r="AX974" s="9"/>
      <c r="AY974" s="9"/>
      <c r="AZ974" s="9"/>
      <c r="BA974" s="9"/>
      <c r="BB974" s="9"/>
      <c r="BC974" s="9"/>
      <c r="BD974" s="9"/>
      <c r="BE974" s="9"/>
      <c r="BF974" s="9"/>
      <c r="BG974" s="9"/>
      <c r="BH974" s="9"/>
      <c r="BI974" s="9"/>
      <c r="BJ974" s="9"/>
      <c r="BK974" s="9"/>
      <c r="BL974" s="9"/>
      <c r="BM974" s="9"/>
      <c r="BN974" s="9"/>
      <c r="BO974" s="9"/>
      <c r="BP974" s="9"/>
      <c r="BQ974" s="9"/>
      <c r="BR974" s="9"/>
      <c r="BS974" s="9"/>
      <c r="BT974" s="9"/>
      <c r="BU974" s="9"/>
      <c r="BV974" s="9"/>
      <c r="BW974" s="9"/>
      <c r="BX974" s="9"/>
      <c r="BY974" s="9"/>
      <c r="BZ974" s="9"/>
    </row>
    <row r="975" spans="4:78" ht="18" customHeight="1" x14ac:dyDescent="0.25"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S975" s="9"/>
      <c r="T975" s="9"/>
      <c r="U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  <c r="AH975" s="9"/>
      <c r="AI975" s="9"/>
      <c r="AJ975" s="9"/>
      <c r="AK975" s="9"/>
      <c r="AL975" s="9"/>
      <c r="AM975" s="9"/>
      <c r="AN975" s="9"/>
      <c r="AO975" s="9"/>
      <c r="AP975" s="9"/>
      <c r="AQ975" s="9"/>
      <c r="AR975" s="9"/>
      <c r="AS975" s="9"/>
      <c r="AT975" s="9"/>
      <c r="AU975" s="9"/>
      <c r="AV975" s="9"/>
      <c r="AW975" s="9"/>
      <c r="AX975" s="9"/>
      <c r="AY975" s="9"/>
      <c r="AZ975" s="9"/>
      <c r="BA975" s="9"/>
      <c r="BB975" s="9"/>
      <c r="BC975" s="9"/>
      <c r="BD975" s="9"/>
      <c r="BE975" s="9"/>
      <c r="BF975" s="9"/>
      <c r="BG975" s="9"/>
      <c r="BH975" s="9"/>
      <c r="BI975" s="9"/>
      <c r="BJ975" s="9"/>
      <c r="BK975" s="9"/>
      <c r="BL975" s="9"/>
      <c r="BM975" s="9"/>
      <c r="BN975" s="9"/>
      <c r="BO975" s="9"/>
      <c r="BP975" s="9"/>
      <c r="BQ975" s="9"/>
      <c r="BR975" s="9"/>
      <c r="BS975" s="9"/>
      <c r="BT975" s="9"/>
      <c r="BU975" s="9"/>
      <c r="BV975" s="9"/>
      <c r="BW975" s="9"/>
      <c r="BX975" s="9"/>
      <c r="BY975" s="9"/>
      <c r="BZ975" s="9"/>
    </row>
    <row r="976" spans="4:78" ht="18" customHeight="1" x14ac:dyDescent="0.25"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S976" s="9"/>
      <c r="T976" s="9"/>
      <c r="U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  <c r="AH976" s="9"/>
      <c r="AI976" s="9"/>
      <c r="AJ976" s="9"/>
      <c r="AK976" s="9"/>
      <c r="AL976" s="9"/>
      <c r="AM976" s="9"/>
      <c r="AN976" s="9"/>
      <c r="AO976" s="9"/>
      <c r="AP976" s="9"/>
      <c r="AQ976" s="9"/>
      <c r="AR976" s="9"/>
      <c r="AS976" s="9"/>
      <c r="AT976" s="9"/>
      <c r="AU976" s="9"/>
      <c r="AV976" s="9"/>
      <c r="AW976" s="9"/>
      <c r="AX976" s="9"/>
      <c r="AY976" s="9"/>
      <c r="AZ976" s="9"/>
      <c r="BA976" s="9"/>
      <c r="BB976" s="9"/>
      <c r="BC976" s="9"/>
      <c r="BD976" s="9"/>
      <c r="BE976" s="9"/>
      <c r="BF976" s="9"/>
      <c r="BG976" s="9"/>
      <c r="BH976" s="9"/>
      <c r="BI976" s="9"/>
      <c r="BJ976" s="9"/>
      <c r="BK976" s="9"/>
      <c r="BL976" s="9"/>
      <c r="BM976" s="9"/>
      <c r="BN976" s="9"/>
      <c r="BO976" s="9"/>
      <c r="BP976" s="9"/>
      <c r="BQ976" s="9"/>
      <c r="BR976" s="9"/>
      <c r="BS976" s="9"/>
      <c r="BT976" s="9"/>
      <c r="BU976" s="9"/>
      <c r="BV976" s="9"/>
      <c r="BW976" s="9"/>
      <c r="BX976" s="9"/>
      <c r="BY976" s="9"/>
      <c r="BZ976" s="9"/>
    </row>
    <row r="977" spans="4:78" ht="18" customHeight="1" x14ac:dyDescent="0.25"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S977" s="9"/>
      <c r="T977" s="9"/>
      <c r="U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  <c r="AH977" s="9"/>
      <c r="AI977" s="9"/>
      <c r="AJ977" s="9"/>
      <c r="AK977" s="9"/>
      <c r="AL977" s="9"/>
      <c r="AM977" s="9"/>
      <c r="AN977" s="9"/>
      <c r="AO977" s="9"/>
      <c r="AP977" s="9"/>
      <c r="AQ977" s="9"/>
      <c r="AR977" s="9"/>
      <c r="AS977" s="9"/>
      <c r="AT977" s="9"/>
      <c r="AU977" s="9"/>
      <c r="AV977" s="9"/>
      <c r="AW977" s="9"/>
      <c r="AX977" s="9"/>
      <c r="AY977" s="9"/>
      <c r="AZ977" s="9"/>
      <c r="BA977" s="9"/>
      <c r="BB977" s="9"/>
      <c r="BC977" s="9"/>
      <c r="BD977" s="9"/>
      <c r="BE977" s="9"/>
      <c r="BF977" s="9"/>
      <c r="BG977" s="9"/>
      <c r="BH977" s="9"/>
      <c r="BI977" s="9"/>
      <c r="BJ977" s="9"/>
      <c r="BK977" s="9"/>
      <c r="BL977" s="9"/>
      <c r="BM977" s="9"/>
      <c r="BN977" s="9"/>
      <c r="BO977" s="9"/>
      <c r="BP977" s="9"/>
      <c r="BQ977" s="9"/>
      <c r="BR977" s="9"/>
      <c r="BS977" s="9"/>
      <c r="BT977" s="9"/>
      <c r="BU977" s="9"/>
      <c r="BV977" s="9"/>
      <c r="BW977" s="9"/>
      <c r="BX977" s="9"/>
      <c r="BY977" s="9"/>
      <c r="BZ977" s="9"/>
    </row>
    <row r="978" spans="4:78" ht="18" customHeight="1" x14ac:dyDescent="0.25"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S978" s="9"/>
      <c r="T978" s="9"/>
      <c r="U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  <c r="AH978" s="9"/>
      <c r="AI978" s="9"/>
      <c r="AJ978" s="9"/>
      <c r="AK978" s="9"/>
      <c r="AL978" s="9"/>
      <c r="AM978" s="9"/>
      <c r="AN978" s="9"/>
      <c r="AO978" s="9"/>
      <c r="AP978" s="9"/>
      <c r="AQ978" s="9"/>
      <c r="AR978" s="9"/>
      <c r="AS978" s="9"/>
      <c r="AT978" s="9"/>
      <c r="AU978" s="9"/>
      <c r="AV978" s="9"/>
      <c r="AW978" s="9"/>
      <c r="AX978" s="9"/>
      <c r="AY978" s="9"/>
      <c r="AZ978" s="9"/>
      <c r="BA978" s="9"/>
      <c r="BB978" s="9"/>
      <c r="BC978" s="9"/>
      <c r="BD978" s="9"/>
      <c r="BE978" s="9"/>
      <c r="BF978" s="9"/>
      <c r="BG978" s="9"/>
      <c r="BH978" s="9"/>
      <c r="BI978" s="9"/>
      <c r="BJ978" s="9"/>
      <c r="BK978" s="9"/>
      <c r="BL978" s="9"/>
      <c r="BM978" s="9"/>
      <c r="BN978" s="9"/>
      <c r="BO978" s="9"/>
      <c r="BP978" s="9"/>
      <c r="BQ978" s="9"/>
      <c r="BR978" s="9"/>
      <c r="BS978" s="9"/>
      <c r="BT978" s="9"/>
      <c r="BU978" s="9"/>
      <c r="BV978" s="9"/>
      <c r="BW978" s="9"/>
      <c r="BX978" s="9"/>
      <c r="BY978" s="9"/>
      <c r="BZ978" s="9"/>
    </row>
    <row r="979" spans="4:78" ht="18" customHeight="1" x14ac:dyDescent="0.25"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S979" s="9"/>
      <c r="T979" s="9"/>
      <c r="U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  <c r="AH979" s="9"/>
      <c r="AI979" s="9"/>
      <c r="AJ979" s="9"/>
      <c r="AK979" s="9"/>
      <c r="AL979" s="9"/>
      <c r="AM979" s="9"/>
      <c r="AN979" s="9"/>
      <c r="AO979" s="9"/>
      <c r="AP979" s="9"/>
      <c r="AQ979" s="9"/>
      <c r="AR979" s="9"/>
      <c r="AS979" s="9"/>
      <c r="AT979" s="9"/>
      <c r="AU979" s="9"/>
      <c r="AV979" s="9"/>
      <c r="AW979" s="9"/>
      <c r="AX979" s="9"/>
      <c r="AY979" s="9"/>
      <c r="AZ979" s="9"/>
      <c r="BA979" s="9"/>
      <c r="BB979" s="9"/>
      <c r="BC979" s="9"/>
      <c r="BD979" s="9"/>
      <c r="BE979" s="9"/>
      <c r="BF979" s="9"/>
      <c r="BG979" s="9"/>
      <c r="BH979" s="9"/>
      <c r="BI979" s="9"/>
      <c r="BJ979" s="9"/>
      <c r="BK979" s="9"/>
      <c r="BL979" s="9"/>
      <c r="BM979" s="9"/>
      <c r="BN979" s="9"/>
      <c r="BO979" s="9"/>
      <c r="BP979" s="9"/>
      <c r="BQ979" s="9"/>
      <c r="BR979" s="9"/>
      <c r="BS979" s="9"/>
      <c r="BT979" s="9"/>
      <c r="BU979" s="9"/>
      <c r="BV979" s="9"/>
      <c r="BW979" s="9"/>
      <c r="BX979" s="9"/>
      <c r="BY979" s="9"/>
      <c r="BZ979" s="9"/>
    </row>
    <row r="980" spans="4:78" ht="18" customHeight="1" x14ac:dyDescent="0.25"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S980" s="9"/>
      <c r="T980" s="9"/>
      <c r="U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  <c r="AH980" s="9"/>
      <c r="AI980" s="9"/>
      <c r="AJ980" s="9"/>
      <c r="AK980" s="9"/>
      <c r="AL980" s="9"/>
      <c r="AM980" s="9"/>
      <c r="AN980" s="9"/>
      <c r="AO980" s="9"/>
      <c r="AP980" s="9"/>
      <c r="AQ980" s="9"/>
      <c r="AR980" s="9"/>
      <c r="AS980" s="9"/>
      <c r="AT980" s="9"/>
      <c r="AU980" s="9"/>
      <c r="AV980" s="9"/>
      <c r="AW980" s="9"/>
      <c r="AX980" s="9"/>
      <c r="AY980" s="9"/>
      <c r="AZ980" s="9"/>
      <c r="BA980" s="9"/>
      <c r="BB980" s="9"/>
      <c r="BC980" s="9"/>
      <c r="BD980" s="9"/>
      <c r="BE980" s="9"/>
      <c r="BF980" s="9"/>
      <c r="BG980" s="9"/>
      <c r="BH980" s="9"/>
      <c r="BI980" s="9"/>
      <c r="BJ980" s="9"/>
      <c r="BK980" s="9"/>
      <c r="BL980" s="9"/>
      <c r="BM980" s="9"/>
      <c r="BN980" s="9"/>
      <c r="BO980" s="9"/>
      <c r="BP980" s="9"/>
      <c r="BQ980" s="9"/>
      <c r="BR980" s="9"/>
      <c r="BS980" s="9"/>
      <c r="BT980" s="9"/>
      <c r="BU980" s="9"/>
      <c r="BV980" s="9"/>
      <c r="BW980" s="9"/>
      <c r="BX980" s="9"/>
      <c r="BY980" s="9"/>
      <c r="BZ980" s="9"/>
    </row>
    <row r="981" spans="4:78" ht="18" customHeight="1" x14ac:dyDescent="0.25"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S981" s="9"/>
      <c r="T981" s="9"/>
      <c r="U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  <c r="AH981" s="9"/>
      <c r="AI981" s="9"/>
      <c r="AJ981" s="9"/>
      <c r="AK981" s="9"/>
      <c r="AL981" s="9"/>
      <c r="AM981" s="9"/>
      <c r="AN981" s="9"/>
      <c r="AO981" s="9"/>
      <c r="AP981" s="9"/>
      <c r="AQ981" s="9"/>
      <c r="AR981" s="9"/>
      <c r="AS981" s="9"/>
      <c r="AT981" s="9"/>
      <c r="AU981" s="9"/>
      <c r="AV981" s="9"/>
      <c r="AW981" s="9"/>
      <c r="AX981" s="9"/>
      <c r="AY981" s="9"/>
      <c r="AZ981" s="9"/>
      <c r="BA981" s="9"/>
      <c r="BB981" s="9"/>
      <c r="BC981" s="9"/>
      <c r="BD981" s="9"/>
      <c r="BE981" s="9"/>
      <c r="BF981" s="9"/>
      <c r="BG981" s="9"/>
      <c r="BH981" s="9"/>
      <c r="BI981" s="9"/>
      <c r="BJ981" s="9"/>
      <c r="BK981" s="9"/>
      <c r="BL981" s="9"/>
      <c r="BM981" s="9"/>
      <c r="BN981" s="9"/>
      <c r="BO981" s="9"/>
      <c r="BP981" s="9"/>
      <c r="BQ981" s="9"/>
      <c r="BR981" s="9"/>
      <c r="BS981" s="9"/>
      <c r="BT981" s="9"/>
      <c r="BU981" s="9"/>
      <c r="BV981" s="9"/>
      <c r="BW981" s="9"/>
      <c r="BX981" s="9"/>
      <c r="BY981" s="9"/>
      <c r="BZ981" s="9"/>
    </row>
    <row r="982" spans="4:78" ht="18" customHeight="1" x14ac:dyDescent="0.25"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S982" s="9"/>
      <c r="T982" s="9"/>
      <c r="U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  <c r="AH982" s="9"/>
      <c r="AI982" s="9"/>
      <c r="AJ982" s="9"/>
      <c r="AK982" s="9"/>
      <c r="AL982" s="9"/>
      <c r="AM982" s="9"/>
      <c r="AN982" s="9"/>
      <c r="AO982" s="9"/>
      <c r="AP982" s="9"/>
      <c r="AQ982" s="9"/>
      <c r="AR982" s="9"/>
      <c r="AS982" s="9"/>
      <c r="AT982" s="9"/>
      <c r="AU982" s="9"/>
      <c r="AV982" s="9"/>
      <c r="AW982" s="9"/>
      <c r="AX982" s="9"/>
      <c r="AY982" s="9"/>
      <c r="AZ982" s="9"/>
      <c r="BA982" s="9"/>
      <c r="BB982" s="9"/>
      <c r="BC982" s="9"/>
      <c r="BD982" s="9"/>
      <c r="BE982" s="9"/>
      <c r="BF982" s="9"/>
      <c r="BG982" s="9"/>
      <c r="BH982" s="9"/>
      <c r="BI982" s="9"/>
      <c r="BJ982" s="9"/>
      <c r="BK982" s="9"/>
      <c r="BL982" s="9"/>
      <c r="BM982" s="9"/>
      <c r="BN982" s="9"/>
      <c r="BO982" s="9"/>
      <c r="BP982" s="9"/>
      <c r="BQ982" s="9"/>
      <c r="BR982" s="9"/>
      <c r="BS982" s="9"/>
      <c r="BT982" s="9"/>
      <c r="BU982" s="9"/>
      <c r="BV982" s="9"/>
      <c r="BW982" s="9"/>
      <c r="BX982" s="9"/>
      <c r="BY982" s="9"/>
      <c r="BZ982" s="9"/>
    </row>
    <row r="983" spans="4:78" ht="18" customHeight="1" x14ac:dyDescent="0.25"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S983" s="9"/>
      <c r="T983" s="9"/>
      <c r="U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  <c r="AH983" s="9"/>
      <c r="AI983" s="9"/>
      <c r="AJ983" s="9"/>
      <c r="AK983" s="9"/>
      <c r="AL983" s="9"/>
      <c r="AM983" s="9"/>
      <c r="AN983" s="9"/>
      <c r="AO983" s="9"/>
      <c r="AP983" s="9"/>
      <c r="AQ983" s="9"/>
      <c r="AR983" s="9"/>
      <c r="AS983" s="9"/>
      <c r="AT983" s="9"/>
      <c r="AU983" s="9"/>
      <c r="AV983" s="9"/>
      <c r="AW983" s="9"/>
      <c r="AX983" s="9"/>
      <c r="AY983" s="9"/>
      <c r="AZ983" s="9"/>
      <c r="BA983" s="9"/>
      <c r="BB983" s="9"/>
      <c r="BC983" s="9"/>
      <c r="BD983" s="9"/>
      <c r="BE983" s="9"/>
      <c r="BF983" s="9"/>
      <c r="BG983" s="9"/>
      <c r="BH983" s="9"/>
      <c r="BI983" s="9"/>
      <c r="BJ983" s="9"/>
      <c r="BK983" s="9"/>
      <c r="BL983" s="9"/>
      <c r="BM983" s="9"/>
      <c r="BN983" s="9"/>
      <c r="BO983" s="9"/>
      <c r="BP983" s="9"/>
      <c r="BQ983" s="9"/>
      <c r="BR983" s="9"/>
      <c r="BS983" s="9"/>
      <c r="BT983" s="9"/>
      <c r="BU983" s="9"/>
      <c r="BV983" s="9"/>
      <c r="BW983" s="9"/>
      <c r="BX983" s="9"/>
      <c r="BY983" s="9"/>
      <c r="BZ983" s="9"/>
    </row>
    <row r="984" spans="4:78" ht="18" customHeight="1" x14ac:dyDescent="0.25"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S984" s="9"/>
      <c r="T984" s="9"/>
      <c r="U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  <c r="AH984" s="9"/>
      <c r="AI984" s="9"/>
      <c r="AJ984" s="9"/>
      <c r="AK984" s="9"/>
      <c r="AL984" s="9"/>
      <c r="AM984" s="9"/>
      <c r="AN984" s="9"/>
      <c r="AO984" s="9"/>
      <c r="AP984" s="9"/>
      <c r="AQ984" s="9"/>
      <c r="AR984" s="9"/>
      <c r="AS984" s="9"/>
      <c r="AT984" s="9"/>
      <c r="AU984" s="9"/>
      <c r="AV984" s="9"/>
      <c r="AW984" s="9"/>
      <c r="AX984" s="9"/>
      <c r="AY984" s="9"/>
      <c r="AZ984" s="9"/>
      <c r="BA984" s="9"/>
      <c r="BB984" s="9"/>
      <c r="BC984" s="9"/>
      <c r="BD984" s="9"/>
      <c r="BE984" s="9"/>
      <c r="BF984" s="9"/>
      <c r="BG984" s="9"/>
      <c r="BH984" s="9"/>
      <c r="BI984" s="9"/>
      <c r="BJ984" s="9"/>
      <c r="BK984" s="9"/>
      <c r="BL984" s="9"/>
      <c r="BM984" s="9"/>
      <c r="BN984" s="9"/>
      <c r="BO984" s="9"/>
      <c r="BP984" s="9"/>
      <c r="BQ984" s="9"/>
      <c r="BR984" s="9"/>
      <c r="BS984" s="9"/>
      <c r="BT984" s="9"/>
      <c r="BU984" s="9"/>
      <c r="BV984" s="9"/>
      <c r="BW984" s="9"/>
      <c r="BX984" s="9"/>
      <c r="BY984" s="9"/>
      <c r="BZ984" s="9"/>
    </row>
    <row r="985" spans="4:78" ht="18" customHeight="1" x14ac:dyDescent="0.25"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S985" s="9"/>
      <c r="T985" s="9"/>
      <c r="U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  <c r="AH985" s="9"/>
      <c r="AI985" s="9"/>
      <c r="AJ985" s="9"/>
      <c r="AK985" s="9"/>
      <c r="AL985" s="9"/>
      <c r="AM985" s="9"/>
      <c r="AN985" s="9"/>
      <c r="AO985" s="9"/>
      <c r="AP985" s="9"/>
      <c r="AQ985" s="9"/>
      <c r="AR985" s="9"/>
      <c r="AS985" s="9"/>
      <c r="AT985" s="9"/>
      <c r="AU985" s="9"/>
      <c r="AV985" s="9"/>
      <c r="AW985" s="9"/>
      <c r="AX985" s="9"/>
      <c r="AY985" s="9"/>
      <c r="AZ985" s="9"/>
      <c r="BA985" s="9"/>
      <c r="BB985" s="9"/>
      <c r="BC985" s="9"/>
      <c r="BD985" s="9"/>
      <c r="BE985" s="9"/>
      <c r="BF985" s="9"/>
      <c r="BG985" s="9"/>
      <c r="BH985" s="9"/>
      <c r="BI985" s="9"/>
      <c r="BJ985" s="9"/>
      <c r="BK985" s="9"/>
      <c r="BL985" s="9"/>
      <c r="BM985" s="9"/>
      <c r="BN985" s="9"/>
      <c r="BO985" s="9"/>
      <c r="BP985" s="9"/>
      <c r="BQ985" s="9"/>
      <c r="BR985" s="9"/>
      <c r="BS985" s="9"/>
      <c r="BT985" s="9"/>
      <c r="BU985" s="9"/>
      <c r="BV985" s="9"/>
      <c r="BW985" s="9"/>
      <c r="BX985" s="9"/>
      <c r="BY985" s="9"/>
      <c r="BZ985" s="9"/>
    </row>
    <row r="986" spans="4:78" ht="18" customHeight="1" x14ac:dyDescent="0.25"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S986" s="9"/>
      <c r="T986" s="9"/>
      <c r="U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  <c r="AH986" s="9"/>
      <c r="AI986" s="9"/>
      <c r="AJ986" s="9"/>
      <c r="AK986" s="9"/>
      <c r="AL986" s="9"/>
      <c r="AM986" s="9"/>
      <c r="AN986" s="9"/>
      <c r="AO986" s="9"/>
      <c r="AP986" s="9"/>
      <c r="AQ986" s="9"/>
      <c r="AR986" s="9"/>
      <c r="AS986" s="9"/>
      <c r="AT986" s="9"/>
      <c r="AU986" s="9"/>
      <c r="AV986" s="9"/>
      <c r="AW986" s="9"/>
      <c r="AX986" s="9"/>
      <c r="AY986" s="9"/>
      <c r="AZ986" s="9"/>
      <c r="BA986" s="9"/>
      <c r="BB986" s="9"/>
      <c r="BC986" s="9"/>
      <c r="BD986" s="9"/>
      <c r="BE986" s="9"/>
      <c r="BF986" s="9"/>
      <c r="BG986" s="9"/>
      <c r="BH986" s="9"/>
      <c r="BI986" s="9"/>
      <c r="BJ986" s="9"/>
      <c r="BK986" s="9"/>
      <c r="BL986" s="9"/>
      <c r="BM986" s="9"/>
      <c r="BN986" s="9"/>
      <c r="BO986" s="9"/>
      <c r="BP986" s="9"/>
      <c r="BQ986" s="9"/>
      <c r="BR986" s="9"/>
      <c r="BS986" s="9"/>
      <c r="BT986" s="9"/>
      <c r="BU986" s="9"/>
      <c r="BV986" s="9"/>
      <c r="BW986" s="9"/>
      <c r="BX986" s="9"/>
      <c r="BY986" s="9"/>
      <c r="BZ986" s="9"/>
    </row>
    <row r="987" spans="4:78" ht="18" customHeight="1" x14ac:dyDescent="0.25"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S987" s="9"/>
      <c r="T987" s="9"/>
      <c r="U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  <c r="AH987" s="9"/>
      <c r="AI987" s="9"/>
      <c r="AJ987" s="9"/>
      <c r="AK987" s="9"/>
      <c r="AL987" s="9"/>
      <c r="AM987" s="9"/>
      <c r="AN987" s="9"/>
      <c r="AO987" s="9"/>
      <c r="AP987" s="9"/>
      <c r="AQ987" s="9"/>
      <c r="AR987" s="9"/>
      <c r="AS987" s="9"/>
      <c r="AT987" s="9"/>
      <c r="AU987" s="9"/>
      <c r="AV987" s="9"/>
      <c r="AW987" s="9"/>
      <c r="AX987" s="9"/>
      <c r="AY987" s="9"/>
      <c r="AZ987" s="9"/>
      <c r="BA987" s="9"/>
      <c r="BB987" s="9"/>
      <c r="BC987" s="9"/>
      <c r="BD987" s="9"/>
      <c r="BE987" s="9"/>
      <c r="BF987" s="9"/>
      <c r="BG987" s="9"/>
      <c r="BH987" s="9"/>
      <c r="BI987" s="9"/>
      <c r="BJ987" s="9"/>
      <c r="BK987" s="9"/>
      <c r="BL987" s="9"/>
      <c r="BM987" s="9"/>
      <c r="BN987" s="9"/>
      <c r="BO987" s="9"/>
      <c r="BP987" s="9"/>
      <c r="BQ987" s="9"/>
      <c r="BR987" s="9"/>
      <c r="BS987" s="9"/>
      <c r="BT987" s="9"/>
      <c r="BU987" s="9"/>
      <c r="BV987" s="9"/>
      <c r="BW987" s="9"/>
      <c r="BX987" s="9"/>
      <c r="BY987" s="9"/>
      <c r="BZ987" s="9"/>
    </row>
    <row r="988" spans="4:78" ht="18" customHeight="1" x14ac:dyDescent="0.25"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S988" s="9"/>
      <c r="T988" s="9"/>
      <c r="U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  <c r="AH988" s="9"/>
      <c r="AI988" s="9"/>
      <c r="AJ988" s="9"/>
      <c r="AK988" s="9"/>
      <c r="AL988" s="9"/>
      <c r="AM988" s="9"/>
      <c r="AN988" s="9"/>
      <c r="AO988" s="9"/>
      <c r="AP988" s="9"/>
      <c r="AQ988" s="9"/>
      <c r="AR988" s="9"/>
      <c r="AS988" s="9"/>
      <c r="AT988" s="9"/>
      <c r="AU988" s="9"/>
      <c r="AV988" s="9"/>
      <c r="AW988" s="9"/>
      <c r="AX988" s="9"/>
      <c r="AY988" s="9"/>
      <c r="AZ988" s="9"/>
      <c r="BA988" s="9"/>
      <c r="BB988" s="9"/>
      <c r="BC988" s="9"/>
      <c r="BD988" s="9"/>
      <c r="BE988" s="9"/>
      <c r="BF988" s="9"/>
      <c r="BG988" s="9"/>
      <c r="BH988" s="9"/>
      <c r="BI988" s="9"/>
      <c r="BJ988" s="9"/>
      <c r="BK988" s="9"/>
      <c r="BL988" s="9"/>
      <c r="BM988" s="9"/>
      <c r="BN988" s="9"/>
      <c r="BO988" s="9"/>
      <c r="BP988" s="9"/>
      <c r="BQ988" s="9"/>
      <c r="BR988" s="9"/>
      <c r="BS988" s="9"/>
      <c r="BT988" s="9"/>
      <c r="BU988" s="9"/>
      <c r="BV988" s="9"/>
      <c r="BW988" s="9"/>
      <c r="BX988" s="9"/>
      <c r="BY988" s="9"/>
      <c r="BZ988" s="9"/>
    </row>
    <row r="989" spans="4:78" ht="18" customHeight="1" x14ac:dyDescent="0.25"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S989" s="9"/>
      <c r="T989" s="9"/>
      <c r="U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  <c r="AH989" s="9"/>
      <c r="AI989" s="9"/>
      <c r="AJ989" s="9"/>
      <c r="AK989" s="9"/>
      <c r="AL989" s="9"/>
      <c r="AM989" s="9"/>
      <c r="AN989" s="9"/>
      <c r="AO989" s="9"/>
      <c r="AP989" s="9"/>
      <c r="AQ989" s="9"/>
      <c r="AR989" s="9"/>
      <c r="AS989" s="9"/>
      <c r="AT989" s="9"/>
      <c r="AU989" s="9"/>
      <c r="AV989" s="9"/>
      <c r="AW989" s="9"/>
      <c r="AX989" s="9"/>
      <c r="AY989" s="9"/>
      <c r="AZ989" s="9"/>
      <c r="BA989" s="9"/>
      <c r="BB989" s="9"/>
      <c r="BC989" s="9"/>
      <c r="BD989" s="9"/>
      <c r="BE989" s="9"/>
      <c r="BF989" s="9"/>
      <c r="BG989" s="9"/>
      <c r="BH989" s="9"/>
      <c r="BI989" s="9"/>
      <c r="BJ989" s="9"/>
      <c r="BK989" s="9"/>
      <c r="BL989" s="9"/>
      <c r="BM989" s="9"/>
      <c r="BN989" s="9"/>
      <c r="BO989" s="9"/>
      <c r="BP989" s="9"/>
      <c r="BQ989" s="9"/>
      <c r="BR989" s="9"/>
      <c r="BS989" s="9"/>
      <c r="BT989" s="9"/>
      <c r="BU989" s="9"/>
      <c r="BV989" s="9"/>
      <c r="BW989" s="9"/>
      <c r="BX989" s="9"/>
      <c r="BY989" s="9"/>
      <c r="BZ989" s="9"/>
    </row>
    <row r="990" spans="4:78" ht="18" customHeight="1" x14ac:dyDescent="0.25"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S990" s="9"/>
      <c r="T990" s="9"/>
      <c r="U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  <c r="AH990" s="9"/>
      <c r="AI990" s="9"/>
      <c r="AJ990" s="9"/>
      <c r="AK990" s="9"/>
      <c r="AL990" s="9"/>
      <c r="AM990" s="9"/>
      <c r="AN990" s="9"/>
      <c r="AO990" s="9"/>
      <c r="AP990" s="9"/>
      <c r="AQ990" s="9"/>
      <c r="AR990" s="9"/>
      <c r="AS990" s="9"/>
      <c r="AT990" s="9"/>
      <c r="AU990" s="9"/>
      <c r="AV990" s="9"/>
      <c r="AW990" s="9"/>
      <c r="AX990" s="9"/>
      <c r="AY990" s="9"/>
      <c r="AZ990" s="9"/>
      <c r="BA990" s="9"/>
      <c r="BB990" s="9"/>
      <c r="BC990" s="9"/>
      <c r="BD990" s="9"/>
      <c r="BE990" s="9"/>
      <c r="BF990" s="9"/>
      <c r="BG990" s="9"/>
      <c r="BH990" s="9"/>
      <c r="BI990" s="9"/>
      <c r="BJ990" s="9"/>
      <c r="BK990" s="9"/>
      <c r="BL990" s="9"/>
      <c r="BM990" s="9"/>
      <c r="BN990" s="9"/>
      <c r="BO990" s="9"/>
      <c r="BP990" s="9"/>
      <c r="BQ990" s="9"/>
      <c r="BR990" s="9"/>
      <c r="BS990" s="9"/>
      <c r="BT990" s="9"/>
      <c r="BU990" s="9"/>
      <c r="BV990" s="9"/>
      <c r="BW990" s="9"/>
      <c r="BX990" s="9"/>
      <c r="BY990" s="9"/>
      <c r="BZ990" s="9"/>
    </row>
    <row r="991" spans="4:78" ht="18" customHeight="1" x14ac:dyDescent="0.25"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S991" s="9"/>
      <c r="T991" s="9"/>
      <c r="U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  <c r="AH991" s="9"/>
      <c r="AI991" s="9"/>
      <c r="AJ991" s="9"/>
      <c r="AK991" s="9"/>
      <c r="AL991" s="9"/>
      <c r="AM991" s="9"/>
      <c r="AN991" s="9"/>
      <c r="AO991" s="9"/>
      <c r="AP991" s="9"/>
      <c r="AQ991" s="9"/>
      <c r="AR991" s="9"/>
      <c r="AS991" s="9"/>
      <c r="AT991" s="9"/>
      <c r="AU991" s="9"/>
      <c r="AV991" s="9"/>
      <c r="AW991" s="9"/>
      <c r="AX991" s="9"/>
      <c r="AY991" s="9"/>
      <c r="AZ991" s="9"/>
      <c r="BA991" s="9"/>
      <c r="BB991" s="9"/>
      <c r="BC991" s="9"/>
      <c r="BD991" s="9"/>
      <c r="BE991" s="9"/>
      <c r="BF991" s="9"/>
      <c r="BG991" s="9"/>
      <c r="BH991" s="9"/>
      <c r="BI991" s="9"/>
      <c r="BJ991" s="9"/>
      <c r="BK991" s="9"/>
      <c r="BL991" s="9"/>
      <c r="BM991" s="9"/>
      <c r="BN991" s="9"/>
      <c r="BO991" s="9"/>
      <c r="BP991" s="9"/>
      <c r="BQ991" s="9"/>
      <c r="BR991" s="9"/>
      <c r="BS991" s="9"/>
      <c r="BT991" s="9"/>
      <c r="BU991" s="9"/>
      <c r="BV991" s="9"/>
      <c r="BW991" s="9"/>
      <c r="BX991" s="9"/>
      <c r="BY991" s="9"/>
      <c r="BZ991" s="9"/>
    </row>
    <row r="992" spans="4:78" ht="18" customHeight="1" x14ac:dyDescent="0.25"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S992" s="9"/>
      <c r="T992" s="9"/>
      <c r="U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  <c r="AH992" s="9"/>
      <c r="AI992" s="9"/>
      <c r="AJ992" s="9"/>
      <c r="AK992" s="9"/>
      <c r="AL992" s="9"/>
      <c r="AM992" s="9"/>
      <c r="AN992" s="9"/>
      <c r="AO992" s="9"/>
      <c r="AP992" s="9"/>
      <c r="AQ992" s="9"/>
      <c r="AR992" s="9"/>
      <c r="AS992" s="9"/>
      <c r="AT992" s="9"/>
      <c r="AU992" s="9"/>
      <c r="AV992" s="9"/>
      <c r="AW992" s="9"/>
      <c r="AX992" s="9"/>
      <c r="AY992" s="9"/>
      <c r="AZ992" s="9"/>
      <c r="BA992" s="9"/>
      <c r="BB992" s="9"/>
      <c r="BC992" s="9"/>
      <c r="BD992" s="9"/>
      <c r="BE992" s="9"/>
      <c r="BF992" s="9"/>
      <c r="BG992" s="9"/>
      <c r="BH992" s="9"/>
      <c r="BI992" s="9"/>
      <c r="BJ992" s="9"/>
      <c r="BK992" s="9"/>
      <c r="BL992" s="9"/>
      <c r="BM992" s="9"/>
      <c r="BN992" s="9"/>
      <c r="BO992" s="9"/>
      <c r="BP992" s="9"/>
      <c r="BQ992" s="9"/>
      <c r="BR992" s="9"/>
      <c r="BS992" s="9"/>
      <c r="BT992" s="9"/>
      <c r="BU992" s="9"/>
      <c r="BV992" s="9"/>
      <c r="BW992" s="9"/>
      <c r="BX992" s="9"/>
      <c r="BY992" s="9"/>
      <c r="BZ992" s="9"/>
    </row>
    <row r="993" spans="4:78" ht="18" customHeight="1" x14ac:dyDescent="0.25"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S993" s="9"/>
      <c r="T993" s="9"/>
      <c r="U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  <c r="AH993" s="9"/>
      <c r="AI993" s="9"/>
      <c r="AJ993" s="9"/>
      <c r="AK993" s="9"/>
      <c r="AL993" s="9"/>
      <c r="AM993" s="9"/>
      <c r="AN993" s="9"/>
      <c r="AO993" s="9"/>
      <c r="AP993" s="9"/>
      <c r="AQ993" s="9"/>
      <c r="AR993" s="9"/>
      <c r="AS993" s="9"/>
      <c r="AT993" s="9"/>
      <c r="AU993" s="9"/>
      <c r="AV993" s="9"/>
      <c r="AW993" s="9"/>
      <c r="AX993" s="9"/>
      <c r="AY993" s="9"/>
      <c r="AZ993" s="9"/>
      <c r="BA993" s="9"/>
      <c r="BB993" s="9"/>
      <c r="BC993" s="9"/>
      <c r="BD993" s="9"/>
      <c r="BE993" s="9"/>
      <c r="BF993" s="9"/>
      <c r="BG993" s="9"/>
      <c r="BH993" s="9"/>
      <c r="BI993" s="9"/>
      <c r="BJ993" s="9"/>
      <c r="BK993" s="9"/>
      <c r="BL993" s="9"/>
      <c r="BM993" s="9"/>
      <c r="BN993" s="9"/>
      <c r="BO993" s="9"/>
      <c r="BP993" s="9"/>
      <c r="BQ993" s="9"/>
      <c r="BR993" s="9"/>
      <c r="BS993" s="9"/>
      <c r="BT993" s="9"/>
      <c r="BU993" s="9"/>
      <c r="BV993" s="9"/>
      <c r="BW993" s="9"/>
      <c r="BX993" s="9"/>
      <c r="BY993" s="9"/>
      <c r="BZ993" s="9"/>
    </row>
    <row r="994" spans="4:78" ht="18" customHeight="1" x14ac:dyDescent="0.25"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S994" s="9"/>
      <c r="T994" s="9"/>
      <c r="U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  <c r="AH994" s="9"/>
      <c r="AI994" s="9"/>
      <c r="AJ994" s="9"/>
      <c r="AK994" s="9"/>
      <c r="AL994" s="9"/>
      <c r="AM994" s="9"/>
      <c r="AN994" s="9"/>
      <c r="AO994" s="9"/>
      <c r="AP994" s="9"/>
      <c r="AQ994" s="9"/>
      <c r="AR994" s="9"/>
      <c r="AS994" s="9"/>
      <c r="AT994" s="9"/>
      <c r="AU994" s="9"/>
      <c r="AV994" s="9"/>
      <c r="AW994" s="9"/>
      <c r="AX994" s="9"/>
      <c r="AY994" s="9"/>
      <c r="AZ994" s="9"/>
      <c r="BA994" s="9"/>
      <c r="BB994" s="9"/>
      <c r="BC994" s="9"/>
      <c r="BD994" s="9"/>
      <c r="BE994" s="9"/>
      <c r="BF994" s="9"/>
      <c r="BG994" s="9"/>
      <c r="BH994" s="9"/>
      <c r="BI994" s="9"/>
      <c r="BJ994" s="9"/>
      <c r="BK994" s="9"/>
      <c r="BL994" s="9"/>
      <c r="BM994" s="9"/>
      <c r="BN994" s="9"/>
      <c r="BO994" s="9"/>
      <c r="BP994" s="9"/>
      <c r="BQ994" s="9"/>
      <c r="BR994" s="9"/>
      <c r="BS994" s="9"/>
      <c r="BT994" s="9"/>
      <c r="BU994" s="9"/>
      <c r="BV994" s="9"/>
      <c r="BW994" s="9"/>
      <c r="BX994" s="9"/>
      <c r="BY994" s="9"/>
      <c r="BZ994" s="9"/>
    </row>
    <row r="995" spans="4:78" ht="18" customHeight="1" x14ac:dyDescent="0.25"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S995" s="9"/>
      <c r="T995" s="9"/>
      <c r="U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  <c r="AH995" s="9"/>
      <c r="AI995" s="9"/>
      <c r="AJ995" s="9"/>
      <c r="AK995" s="9"/>
      <c r="AL995" s="9"/>
      <c r="AM995" s="9"/>
      <c r="AN995" s="9"/>
      <c r="AO995" s="9"/>
      <c r="AP995" s="9"/>
      <c r="AQ995" s="9"/>
      <c r="AR995" s="9"/>
      <c r="AS995" s="9"/>
      <c r="AT995" s="9"/>
      <c r="AU995" s="9"/>
      <c r="AV995" s="9"/>
      <c r="AW995" s="9"/>
      <c r="AX995" s="9"/>
      <c r="AY995" s="9"/>
      <c r="AZ995" s="9"/>
      <c r="BA995" s="9"/>
      <c r="BB995" s="9"/>
      <c r="BC995" s="9"/>
      <c r="BD995" s="9"/>
      <c r="BE995" s="9"/>
      <c r="BF995" s="9"/>
      <c r="BG995" s="9"/>
      <c r="BH995" s="9"/>
      <c r="BI995" s="9"/>
      <c r="BJ995" s="9"/>
      <c r="BK995" s="9"/>
      <c r="BL995" s="9"/>
      <c r="BM995" s="9"/>
      <c r="BN995" s="9"/>
      <c r="BO995" s="9"/>
      <c r="BP995" s="9"/>
      <c r="BQ995" s="9"/>
      <c r="BR995" s="9"/>
      <c r="BS995" s="9"/>
      <c r="BT995" s="9"/>
      <c r="BU995" s="9"/>
      <c r="BV995" s="9"/>
      <c r="BW995" s="9"/>
      <c r="BX995" s="9"/>
      <c r="BY995" s="9"/>
      <c r="BZ995" s="9"/>
    </row>
    <row r="996" spans="4:78" ht="18" customHeight="1" x14ac:dyDescent="0.25"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S996" s="9"/>
      <c r="T996" s="9"/>
      <c r="U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  <c r="AH996" s="9"/>
      <c r="AI996" s="9"/>
      <c r="AJ996" s="9"/>
      <c r="AK996" s="9"/>
      <c r="AL996" s="9"/>
      <c r="AM996" s="9"/>
      <c r="AN996" s="9"/>
      <c r="AO996" s="9"/>
      <c r="AP996" s="9"/>
      <c r="AQ996" s="9"/>
      <c r="AR996" s="9"/>
      <c r="AS996" s="9"/>
      <c r="AT996" s="9"/>
      <c r="AU996" s="9"/>
      <c r="AV996" s="9"/>
      <c r="AW996" s="9"/>
      <c r="AX996" s="9"/>
      <c r="AY996" s="9"/>
      <c r="AZ996" s="9"/>
      <c r="BA996" s="9"/>
      <c r="BB996" s="9"/>
      <c r="BC996" s="9"/>
      <c r="BD996" s="9"/>
      <c r="BE996" s="9"/>
      <c r="BF996" s="9"/>
      <c r="BG996" s="9"/>
      <c r="BH996" s="9"/>
      <c r="BI996" s="9"/>
      <c r="BJ996" s="9"/>
      <c r="BK996" s="9"/>
      <c r="BL996" s="9"/>
      <c r="BM996" s="9"/>
      <c r="BN996" s="9"/>
      <c r="BO996" s="9"/>
      <c r="BP996" s="9"/>
      <c r="BQ996" s="9"/>
      <c r="BR996" s="9"/>
      <c r="BS996" s="9"/>
      <c r="BT996" s="9"/>
      <c r="BU996" s="9"/>
      <c r="BV996" s="9"/>
      <c r="BW996" s="9"/>
      <c r="BX996" s="9"/>
      <c r="BY996" s="9"/>
      <c r="BZ996" s="9"/>
    </row>
    <row r="997" spans="4:78" ht="18" customHeight="1" x14ac:dyDescent="0.25"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S997" s="9"/>
      <c r="T997" s="9"/>
      <c r="U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  <c r="AH997" s="9"/>
      <c r="AI997" s="9"/>
      <c r="AJ997" s="9"/>
      <c r="AK997" s="9"/>
      <c r="AL997" s="9"/>
      <c r="AM997" s="9"/>
      <c r="AN997" s="9"/>
      <c r="AO997" s="9"/>
      <c r="AP997" s="9"/>
      <c r="AQ997" s="9"/>
      <c r="AR997" s="9"/>
      <c r="AS997" s="9"/>
      <c r="AT997" s="9"/>
      <c r="AU997" s="9"/>
      <c r="AV997" s="9"/>
      <c r="AW997" s="9"/>
      <c r="AX997" s="9"/>
      <c r="AY997" s="9"/>
      <c r="AZ997" s="9"/>
      <c r="BA997" s="9"/>
      <c r="BB997" s="9"/>
      <c r="BC997" s="9"/>
      <c r="BD997" s="9"/>
      <c r="BE997" s="9"/>
      <c r="BF997" s="9"/>
      <c r="BG997" s="9"/>
      <c r="BH997" s="9"/>
      <c r="BI997" s="9"/>
      <c r="BJ997" s="9"/>
      <c r="BK997" s="9"/>
      <c r="BL997" s="9"/>
      <c r="BM997" s="9"/>
      <c r="BN997" s="9"/>
      <c r="BO997" s="9"/>
      <c r="BP997" s="9"/>
      <c r="BQ997" s="9"/>
      <c r="BR997" s="9"/>
      <c r="BS997" s="9"/>
      <c r="BT997" s="9"/>
      <c r="BU997" s="9"/>
      <c r="BV997" s="9"/>
      <c r="BW997" s="9"/>
      <c r="BX997" s="9"/>
      <c r="BY997" s="9"/>
      <c r="BZ997" s="9"/>
    </row>
    <row r="998" spans="4:78" ht="18" customHeight="1" x14ac:dyDescent="0.25"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S998" s="9"/>
      <c r="T998" s="9"/>
      <c r="U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  <c r="AH998" s="9"/>
      <c r="AI998" s="9"/>
      <c r="AJ998" s="9"/>
      <c r="AK998" s="9"/>
      <c r="AL998" s="9"/>
      <c r="AM998" s="9"/>
      <c r="AN998" s="9"/>
      <c r="AO998" s="9"/>
      <c r="AP998" s="9"/>
      <c r="AQ998" s="9"/>
      <c r="AR998" s="9"/>
      <c r="AS998" s="9"/>
      <c r="AT998" s="9"/>
      <c r="AU998" s="9"/>
      <c r="AV998" s="9"/>
      <c r="AW998" s="9"/>
      <c r="AX998" s="9"/>
      <c r="AY998" s="9"/>
      <c r="AZ998" s="9"/>
      <c r="BA998" s="9"/>
      <c r="BB998" s="9"/>
      <c r="BC998" s="9"/>
      <c r="BD998" s="9"/>
      <c r="BE998" s="9"/>
      <c r="BF998" s="9"/>
      <c r="BG998" s="9"/>
      <c r="BH998" s="9"/>
      <c r="BI998" s="9"/>
      <c r="BJ998" s="9"/>
      <c r="BK998" s="9"/>
      <c r="BL998" s="9"/>
      <c r="BM998" s="9"/>
      <c r="BN998" s="9"/>
      <c r="BO998" s="9"/>
      <c r="BP998" s="9"/>
      <c r="BQ998" s="9"/>
      <c r="BR998" s="9"/>
      <c r="BS998" s="9"/>
      <c r="BT998" s="9"/>
      <c r="BU998" s="9"/>
      <c r="BV998" s="9"/>
      <c r="BW998" s="9"/>
      <c r="BX998" s="9"/>
      <c r="BY998" s="9"/>
      <c r="BZ998" s="9"/>
    </row>
    <row r="999" spans="4:78" ht="18" customHeight="1" x14ac:dyDescent="0.25"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S999" s="9"/>
      <c r="T999" s="9"/>
      <c r="U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  <c r="AH999" s="9"/>
      <c r="AI999" s="9"/>
      <c r="AJ999" s="9"/>
      <c r="AK999" s="9"/>
      <c r="AL999" s="9"/>
      <c r="AM999" s="9"/>
      <c r="AN999" s="9"/>
      <c r="AO999" s="9"/>
      <c r="AP999" s="9"/>
      <c r="AQ999" s="9"/>
      <c r="AR999" s="9"/>
      <c r="AS999" s="9"/>
      <c r="AT999" s="9"/>
      <c r="AU999" s="9"/>
      <c r="AV999" s="9"/>
      <c r="AW999" s="9"/>
      <c r="AX999" s="9"/>
      <c r="AY999" s="9"/>
      <c r="AZ999" s="9"/>
      <c r="BA999" s="9"/>
      <c r="BB999" s="9"/>
      <c r="BC999" s="9"/>
      <c r="BD999" s="9"/>
      <c r="BE999" s="9"/>
      <c r="BF999" s="9"/>
      <c r="BG999" s="9"/>
      <c r="BH999" s="9"/>
      <c r="BI999" s="9"/>
      <c r="BJ999" s="9"/>
      <c r="BK999" s="9"/>
      <c r="BL999" s="9"/>
      <c r="BM999" s="9"/>
      <c r="BN999" s="9"/>
      <c r="BO999" s="9"/>
      <c r="BP999" s="9"/>
      <c r="BQ999" s="9"/>
      <c r="BR999" s="9"/>
      <c r="BS999" s="9"/>
      <c r="BT999" s="9"/>
      <c r="BU999" s="9"/>
      <c r="BV999" s="9"/>
      <c r="BW999" s="9"/>
      <c r="BX999" s="9"/>
      <c r="BY999" s="9"/>
      <c r="BZ999" s="9"/>
    </row>
    <row r="1000" spans="4:78" ht="18" customHeight="1" x14ac:dyDescent="0.25"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S1000" s="9"/>
      <c r="T1000" s="9"/>
      <c r="U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  <c r="AH1000" s="9"/>
      <c r="AI1000" s="9"/>
      <c r="AJ1000" s="9"/>
      <c r="AK1000" s="9"/>
      <c r="AL1000" s="9"/>
      <c r="AM1000" s="9"/>
      <c r="AN1000" s="9"/>
      <c r="AO1000" s="9"/>
      <c r="AP1000" s="9"/>
      <c r="AQ1000" s="9"/>
      <c r="AR1000" s="9"/>
      <c r="AS1000" s="9"/>
      <c r="AT1000" s="9"/>
      <c r="AU1000" s="9"/>
      <c r="AV1000" s="9"/>
      <c r="AW1000" s="9"/>
      <c r="AX1000" s="9"/>
      <c r="AY1000" s="9"/>
      <c r="AZ1000" s="9"/>
      <c r="BA1000" s="9"/>
      <c r="BB1000" s="9"/>
      <c r="BC1000" s="9"/>
      <c r="BD1000" s="9"/>
      <c r="BE1000" s="9"/>
      <c r="BF1000" s="9"/>
      <c r="BG1000" s="9"/>
      <c r="BH1000" s="9"/>
      <c r="BI1000" s="9"/>
      <c r="BJ1000" s="9"/>
      <c r="BK1000" s="9"/>
      <c r="BL1000" s="9"/>
      <c r="BM1000" s="9"/>
      <c r="BN1000" s="9"/>
      <c r="BO1000" s="9"/>
      <c r="BP1000" s="9"/>
      <c r="BQ1000" s="9"/>
      <c r="BR1000" s="9"/>
      <c r="BS1000" s="9"/>
      <c r="BT1000" s="9"/>
      <c r="BU1000" s="9"/>
      <c r="BV1000" s="9"/>
      <c r="BW1000" s="9"/>
      <c r="BX1000" s="9"/>
      <c r="BY1000" s="9"/>
      <c r="BZ1000" s="9"/>
    </row>
    <row r="1001" spans="4:78" ht="18" customHeight="1" x14ac:dyDescent="0.25"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S1001" s="9"/>
      <c r="T1001" s="9"/>
      <c r="U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9"/>
      <c r="AG1001" s="9"/>
      <c r="AH1001" s="9"/>
      <c r="AI1001" s="9"/>
      <c r="AJ1001" s="9"/>
      <c r="AK1001" s="9"/>
      <c r="AL1001" s="9"/>
      <c r="AM1001" s="9"/>
      <c r="AN1001" s="9"/>
      <c r="AO1001" s="9"/>
      <c r="AP1001" s="9"/>
      <c r="AQ1001" s="9"/>
      <c r="AR1001" s="9"/>
      <c r="AS1001" s="9"/>
      <c r="AT1001" s="9"/>
      <c r="AU1001" s="9"/>
      <c r="AV1001" s="9"/>
      <c r="AW1001" s="9"/>
      <c r="AX1001" s="9"/>
      <c r="AY1001" s="9"/>
      <c r="AZ1001" s="9"/>
      <c r="BA1001" s="9"/>
      <c r="BB1001" s="9"/>
      <c r="BC1001" s="9"/>
      <c r="BD1001" s="9"/>
      <c r="BE1001" s="9"/>
      <c r="BF1001" s="9"/>
      <c r="BG1001" s="9"/>
      <c r="BH1001" s="9"/>
      <c r="BI1001" s="9"/>
      <c r="BJ1001" s="9"/>
      <c r="BK1001" s="9"/>
      <c r="BL1001" s="9"/>
      <c r="BM1001" s="9"/>
      <c r="BN1001" s="9"/>
      <c r="BO1001" s="9"/>
      <c r="BP1001" s="9"/>
      <c r="BQ1001" s="9"/>
      <c r="BR1001" s="9"/>
      <c r="BS1001" s="9"/>
      <c r="BT1001" s="9"/>
      <c r="BU1001" s="9"/>
      <c r="BV1001" s="9"/>
      <c r="BW1001" s="9"/>
      <c r="BX1001" s="9"/>
      <c r="BY1001" s="9"/>
      <c r="BZ1001" s="9"/>
    </row>
    <row r="1002" spans="4:78" ht="18" customHeight="1" x14ac:dyDescent="0.25"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S1002" s="9"/>
      <c r="T1002" s="9"/>
      <c r="U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9"/>
      <c r="AG1002" s="9"/>
      <c r="AH1002" s="9"/>
      <c r="AI1002" s="9"/>
      <c r="AJ1002" s="9"/>
      <c r="AK1002" s="9"/>
      <c r="AL1002" s="9"/>
      <c r="AM1002" s="9"/>
      <c r="AN1002" s="9"/>
      <c r="AO1002" s="9"/>
      <c r="AP1002" s="9"/>
      <c r="AQ1002" s="9"/>
      <c r="AR1002" s="9"/>
      <c r="AS1002" s="9"/>
      <c r="AT1002" s="9"/>
      <c r="AU1002" s="9"/>
      <c r="AV1002" s="9"/>
      <c r="AW1002" s="9"/>
      <c r="AX1002" s="9"/>
      <c r="AY1002" s="9"/>
      <c r="AZ1002" s="9"/>
      <c r="BA1002" s="9"/>
      <c r="BB1002" s="9"/>
      <c r="BC1002" s="9"/>
      <c r="BD1002" s="9"/>
      <c r="BE1002" s="9"/>
      <c r="BF1002" s="9"/>
      <c r="BG1002" s="9"/>
      <c r="BH1002" s="9"/>
      <c r="BI1002" s="9"/>
      <c r="BJ1002" s="9"/>
      <c r="BK1002" s="9"/>
      <c r="BL1002" s="9"/>
      <c r="BM1002" s="9"/>
      <c r="BN1002" s="9"/>
      <c r="BO1002" s="9"/>
      <c r="BP1002" s="9"/>
      <c r="BQ1002" s="9"/>
      <c r="BR1002" s="9"/>
      <c r="BS1002" s="9"/>
      <c r="BT1002" s="9"/>
      <c r="BU1002" s="9"/>
      <c r="BV1002" s="9"/>
      <c r="BW1002" s="9"/>
      <c r="BX1002" s="9"/>
      <c r="BY1002" s="9"/>
      <c r="BZ1002" s="9"/>
    </row>
    <row r="1003" spans="4:78" ht="18" customHeight="1" x14ac:dyDescent="0.25"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S1003" s="9"/>
      <c r="T1003" s="9"/>
      <c r="U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9"/>
      <c r="AG1003" s="9"/>
      <c r="AH1003" s="9"/>
      <c r="AI1003" s="9"/>
      <c r="AJ1003" s="9"/>
      <c r="AK1003" s="9"/>
      <c r="AL1003" s="9"/>
      <c r="AM1003" s="9"/>
      <c r="AN1003" s="9"/>
      <c r="AO1003" s="9"/>
      <c r="AP1003" s="9"/>
      <c r="AQ1003" s="9"/>
      <c r="AR1003" s="9"/>
      <c r="AS1003" s="9"/>
      <c r="AT1003" s="9"/>
      <c r="AU1003" s="9"/>
      <c r="AV1003" s="9"/>
      <c r="AW1003" s="9"/>
      <c r="AX1003" s="9"/>
      <c r="AY1003" s="9"/>
      <c r="AZ1003" s="9"/>
      <c r="BA1003" s="9"/>
      <c r="BB1003" s="9"/>
      <c r="BC1003" s="9"/>
      <c r="BD1003" s="9"/>
      <c r="BE1003" s="9"/>
      <c r="BF1003" s="9"/>
      <c r="BG1003" s="9"/>
      <c r="BH1003" s="9"/>
      <c r="BI1003" s="9"/>
      <c r="BJ1003" s="9"/>
      <c r="BK1003" s="9"/>
      <c r="BL1003" s="9"/>
      <c r="BM1003" s="9"/>
      <c r="BN1003" s="9"/>
      <c r="BO1003" s="9"/>
      <c r="BP1003" s="9"/>
      <c r="BQ1003" s="9"/>
      <c r="BR1003" s="9"/>
      <c r="BS1003" s="9"/>
      <c r="BT1003" s="9"/>
      <c r="BU1003" s="9"/>
      <c r="BV1003" s="9"/>
      <c r="BW1003" s="9"/>
      <c r="BX1003" s="9"/>
      <c r="BY1003" s="9"/>
      <c r="BZ1003" s="9"/>
    </row>
    <row r="1004" spans="4:78" ht="18" customHeight="1" x14ac:dyDescent="0.25"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S1004" s="9"/>
      <c r="T1004" s="9"/>
      <c r="U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9"/>
      <c r="AG1004" s="9"/>
      <c r="AH1004" s="9"/>
      <c r="AI1004" s="9"/>
      <c r="AJ1004" s="9"/>
      <c r="AK1004" s="9"/>
      <c r="AL1004" s="9"/>
      <c r="AM1004" s="9"/>
      <c r="AN1004" s="9"/>
      <c r="AO1004" s="9"/>
      <c r="AP1004" s="9"/>
      <c r="AQ1004" s="9"/>
      <c r="AR1004" s="9"/>
      <c r="AS1004" s="9"/>
      <c r="AT1004" s="9"/>
      <c r="AU1004" s="9"/>
      <c r="AV1004" s="9"/>
      <c r="AW1004" s="9"/>
      <c r="AX1004" s="9"/>
      <c r="AY1004" s="9"/>
      <c r="AZ1004" s="9"/>
      <c r="BA1004" s="9"/>
      <c r="BB1004" s="9"/>
      <c r="BC1004" s="9"/>
      <c r="BD1004" s="9"/>
      <c r="BE1004" s="9"/>
      <c r="BF1004" s="9"/>
      <c r="BG1004" s="9"/>
      <c r="BH1004" s="9"/>
      <c r="BI1004" s="9"/>
      <c r="BJ1004" s="9"/>
      <c r="BK1004" s="9"/>
      <c r="BL1004" s="9"/>
      <c r="BM1004" s="9"/>
      <c r="BN1004" s="9"/>
      <c r="BO1004" s="9"/>
      <c r="BP1004" s="9"/>
      <c r="BQ1004" s="9"/>
      <c r="BR1004" s="9"/>
      <c r="BS1004" s="9"/>
      <c r="BT1004" s="9"/>
      <c r="BU1004" s="9"/>
      <c r="BV1004" s="9"/>
      <c r="BW1004" s="9"/>
      <c r="BX1004" s="9"/>
      <c r="BY1004" s="9"/>
      <c r="BZ1004" s="9"/>
    </row>
    <row r="1005" spans="4:78" ht="18" customHeight="1" x14ac:dyDescent="0.25"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S1005" s="9"/>
      <c r="T1005" s="9"/>
      <c r="U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9"/>
      <c r="AG1005" s="9"/>
      <c r="AH1005" s="9"/>
      <c r="AI1005" s="9"/>
      <c r="AJ1005" s="9"/>
      <c r="AK1005" s="9"/>
      <c r="AL1005" s="9"/>
      <c r="AM1005" s="9"/>
      <c r="AN1005" s="9"/>
      <c r="AO1005" s="9"/>
      <c r="AP1005" s="9"/>
      <c r="AQ1005" s="9"/>
      <c r="AR1005" s="9"/>
      <c r="AS1005" s="9"/>
      <c r="AT1005" s="9"/>
      <c r="AU1005" s="9"/>
      <c r="AV1005" s="9"/>
      <c r="AW1005" s="9"/>
      <c r="AX1005" s="9"/>
      <c r="AY1005" s="9"/>
      <c r="AZ1005" s="9"/>
      <c r="BA1005" s="9"/>
      <c r="BB1005" s="9"/>
      <c r="BC1005" s="9"/>
      <c r="BD1005" s="9"/>
      <c r="BE1005" s="9"/>
      <c r="BF1005" s="9"/>
      <c r="BG1005" s="9"/>
      <c r="BH1005" s="9"/>
      <c r="BI1005" s="9"/>
      <c r="BJ1005" s="9"/>
      <c r="BK1005" s="9"/>
      <c r="BL1005" s="9"/>
      <c r="BM1005" s="9"/>
      <c r="BN1005" s="9"/>
      <c r="BO1005" s="9"/>
      <c r="BP1005" s="9"/>
      <c r="BQ1005" s="9"/>
      <c r="BR1005" s="9"/>
      <c r="BS1005" s="9"/>
      <c r="BT1005" s="9"/>
      <c r="BU1005" s="9"/>
      <c r="BV1005" s="9"/>
      <c r="BW1005" s="9"/>
      <c r="BX1005" s="9"/>
      <c r="BY1005" s="9"/>
      <c r="BZ1005" s="9"/>
    </row>
    <row r="1006" spans="4:78" ht="18" customHeight="1" x14ac:dyDescent="0.25"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S1006" s="9"/>
      <c r="T1006" s="9"/>
      <c r="U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9"/>
      <c r="AG1006" s="9"/>
      <c r="AH1006" s="9"/>
      <c r="AI1006" s="9"/>
      <c r="AJ1006" s="9"/>
      <c r="AK1006" s="9"/>
      <c r="AL1006" s="9"/>
      <c r="AM1006" s="9"/>
      <c r="AN1006" s="9"/>
      <c r="AO1006" s="9"/>
      <c r="AP1006" s="9"/>
      <c r="AQ1006" s="9"/>
      <c r="AR1006" s="9"/>
      <c r="AS1006" s="9"/>
      <c r="AT1006" s="9"/>
      <c r="AU1006" s="9"/>
      <c r="AV1006" s="9"/>
      <c r="AW1006" s="9"/>
      <c r="AX1006" s="9"/>
      <c r="AY1006" s="9"/>
      <c r="AZ1006" s="9"/>
      <c r="BA1006" s="9"/>
      <c r="BB1006" s="9"/>
      <c r="BC1006" s="9"/>
      <c r="BD1006" s="9"/>
      <c r="BE1006" s="9"/>
      <c r="BF1006" s="9"/>
      <c r="BG1006" s="9"/>
      <c r="BH1006" s="9"/>
      <c r="BI1006" s="9"/>
      <c r="BJ1006" s="9"/>
      <c r="BK1006" s="9"/>
      <c r="BL1006" s="9"/>
      <c r="BM1006" s="9"/>
      <c r="BN1006" s="9"/>
      <c r="BO1006" s="9"/>
      <c r="BP1006" s="9"/>
      <c r="BQ1006" s="9"/>
      <c r="BR1006" s="9"/>
      <c r="BS1006" s="9"/>
      <c r="BT1006" s="9"/>
      <c r="BU1006" s="9"/>
      <c r="BV1006" s="9"/>
      <c r="BW1006" s="9"/>
      <c r="BX1006" s="9"/>
      <c r="BY1006" s="9"/>
      <c r="BZ1006" s="9"/>
    </row>
    <row r="1007" spans="4:78" ht="18" customHeight="1" x14ac:dyDescent="0.25"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S1007" s="9"/>
      <c r="T1007" s="9"/>
      <c r="U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</row>
    <row r="1008" spans="4:78" ht="18" customHeight="1" x14ac:dyDescent="0.25"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S1008" s="9"/>
      <c r="T1008" s="9"/>
      <c r="U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9"/>
      <c r="AG1008" s="9"/>
      <c r="AH1008" s="9"/>
      <c r="AI1008" s="9"/>
      <c r="AJ1008" s="9"/>
      <c r="AK1008" s="9"/>
      <c r="AL1008" s="9"/>
      <c r="AM1008" s="9"/>
      <c r="AN1008" s="9"/>
      <c r="AO1008" s="9"/>
      <c r="AP1008" s="9"/>
      <c r="AQ1008" s="9"/>
      <c r="AR1008" s="9"/>
      <c r="AS1008" s="9"/>
      <c r="AT1008" s="9"/>
      <c r="AU1008" s="9"/>
      <c r="AV1008" s="9"/>
      <c r="AW1008" s="9"/>
      <c r="AX1008" s="9"/>
      <c r="AY1008" s="9"/>
      <c r="AZ1008" s="9"/>
      <c r="BA1008" s="9"/>
      <c r="BB1008" s="9"/>
      <c r="BC1008" s="9"/>
      <c r="BD1008" s="9"/>
      <c r="BE1008" s="9"/>
      <c r="BF1008" s="9"/>
      <c r="BG1008" s="9"/>
      <c r="BH1008" s="9"/>
      <c r="BI1008" s="9"/>
      <c r="BJ1008" s="9"/>
      <c r="BK1008" s="9"/>
      <c r="BL1008" s="9"/>
      <c r="BM1008" s="9"/>
      <c r="BN1008" s="9"/>
      <c r="BO1008" s="9"/>
      <c r="BP1008" s="9"/>
      <c r="BQ1008" s="9"/>
      <c r="BR1008" s="9"/>
      <c r="BS1008" s="9"/>
      <c r="BT1008" s="9"/>
      <c r="BU1008" s="9"/>
      <c r="BV1008" s="9"/>
      <c r="BW1008" s="9"/>
      <c r="BX1008" s="9"/>
      <c r="BY1008" s="9"/>
      <c r="BZ1008" s="9"/>
    </row>
    <row r="1009" spans="4:78" ht="18" customHeight="1" x14ac:dyDescent="0.25"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S1009" s="9"/>
      <c r="T1009" s="9"/>
      <c r="U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9"/>
      <c r="AG1009" s="9"/>
      <c r="AH1009" s="9"/>
      <c r="AI1009" s="9"/>
      <c r="AJ1009" s="9"/>
      <c r="AK1009" s="9"/>
      <c r="AL1009" s="9"/>
      <c r="AM1009" s="9"/>
      <c r="AN1009" s="9"/>
      <c r="AO1009" s="9"/>
      <c r="AP1009" s="9"/>
      <c r="AQ1009" s="9"/>
      <c r="AR1009" s="9"/>
      <c r="AS1009" s="9"/>
      <c r="AT1009" s="9"/>
      <c r="AU1009" s="9"/>
      <c r="AV1009" s="9"/>
      <c r="AW1009" s="9"/>
      <c r="AX1009" s="9"/>
      <c r="AY1009" s="9"/>
      <c r="AZ1009" s="9"/>
      <c r="BA1009" s="9"/>
      <c r="BB1009" s="9"/>
      <c r="BC1009" s="9"/>
      <c r="BD1009" s="9"/>
      <c r="BE1009" s="9"/>
      <c r="BF1009" s="9"/>
      <c r="BG1009" s="9"/>
      <c r="BH1009" s="9"/>
      <c r="BI1009" s="9"/>
      <c r="BJ1009" s="9"/>
      <c r="BK1009" s="9"/>
      <c r="BL1009" s="9"/>
      <c r="BM1009" s="9"/>
      <c r="BN1009" s="9"/>
      <c r="BO1009" s="9"/>
      <c r="BP1009" s="9"/>
      <c r="BQ1009" s="9"/>
      <c r="BR1009" s="9"/>
      <c r="BS1009" s="9"/>
      <c r="BT1009" s="9"/>
      <c r="BU1009" s="9"/>
      <c r="BV1009" s="9"/>
      <c r="BW1009" s="9"/>
      <c r="BX1009" s="9"/>
      <c r="BY1009" s="9"/>
      <c r="BZ1009" s="9"/>
    </row>
    <row r="1010" spans="4:78" ht="18" customHeight="1" x14ac:dyDescent="0.25"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S1010" s="9"/>
      <c r="T1010" s="9"/>
      <c r="U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9"/>
      <c r="AG1010" s="9"/>
      <c r="AH1010" s="9"/>
      <c r="AI1010" s="9"/>
      <c r="AJ1010" s="9"/>
      <c r="AK1010" s="9"/>
      <c r="AL1010" s="9"/>
      <c r="AM1010" s="9"/>
      <c r="AN1010" s="9"/>
      <c r="AO1010" s="9"/>
      <c r="AP1010" s="9"/>
      <c r="AQ1010" s="9"/>
      <c r="AR1010" s="9"/>
      <c r="AS1010" s="9"/>
      <c r="AT1010" s="9"/>
      <c r="AU1010" s="9"/>
      <c r="AV1010" s="9"/>
      <c r="AW1010" s="9"/>
      <c r="AX1010" s="9"/>
      <c r="AY1010" s="9"/>
      <c r="AZ1010" s="9"/>
      <c r="BA1010" s="9"/>
      <c r="BB1010" s="9"/>
      <c r="BC1010" s="9"/>
      <c r="BD1010" s="9"/>
      <c r="BE1010" s="9"/>
      <c r="BF1010" s="9"/>
      <c r="BG1010" s="9"/>
      <c r="BH1010" s="9"/>
      <c r="BI1010" s="9"/>
      <c r="BJ1010" s="9"/>
      <c r="BK1010" s="9"/>
      <c r="BL1010" s="9"/>
      <c r="BM1010" s="9"/>
      <c r="BN1010" s="9"/>
      <c r="BO1010" s="9"/>
      <c r="BP1010" s="9"/>
      <c r="BQ1010" s="9"/>
      <c r="BR1010" s="9"/>
      <c r="BS1010" s="9"/>
      <c r="BT1010" s="9"/>
      <c r="BU1010" s="9"/>
      <c r="BV1010" s="9"/>
      <c r="BW1010" s="9"/>
      <c r="BX1010" s="9"/>
      <c r="BY1010" s="9"/>
      <c r="BZ1010" s="9"/>
    </row>
    <row r="1011" spans="4:78" ht="18" customHeight="1" x14ac:dyDescent="0.25"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S1011" s="9"/>
      <c r="T1011" s="9"/>
      <c r="U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9"/>
      <c r="AG1011" s="9"/>
      <c r="AH1011" s="9"/>
      <c r="AI1011" s="9"/>
      <c r="AJ1011" s="9"/>
      <c r="AK1011" s="9"/>
      <c r="AL1011" s="9"/>
      <c r="AM1011" s="9"/>
      <c r="AN1011" s="9"/>
      <c r="AO1011" s="9"/>
      <c r="AP1011" s="9"/>
      <c r="AQ1011" s="9"/>
      <c r="AR1011" s="9"/>
      <c r="AS1011" s="9"/>
      <c r="AT1011" s="9"/>
      <c r="AU1011" s="9"/>
      <c r="AV1011" s="9"/>
      <c r="AW1011" s="9"/>
      <c r="AX1011" s="9"/>
      <c r="AY1011" s="9"/>
      <c r="AZ1011" s="9"/>
      <c r="BA1011" s="9"/>
      <c r="BB1011" s="9"/>
      <c r="BC1011" s="9"/>
      <c r="BD1011" s="9"/>
      <c r="BE1011" s="9"/>
      <c r="BF1011" s="9"/>
      <c r="BG1011" s="9"/>
      <c r="BH1011" s="9"/>
      <c r="BI1011" s="9"/>
      <c r="BJ1011" s="9"/>
      <c r="BK1011" s="9"/>
      <c r="BL1011" s="9"/>
      <c r="BM1011" s="9"/>
      <c r="BN1011" s="9"/>
      <c r="BO1011" s="9"/>
      <c r="BP1011" s="9"/>
      <c r="BQ1011" s="9"/>
      <c r="BR1011" s="9"/>
      <c r="BS1011" s="9"/>
      <c r="BT1011" s="9"/>
      <c r="BU1011" s="9"/>
      <c r="BV1011" s="9"/>
      <c r="BW1011" s="9"/>
      <c r="BX1011" s="9"/>
      <c r="BY1011" s="9"/>
      <c r="BZ1011" s="9"/>
    </row>
    <row r="1012" spans="4:78" ht="18" customHeight="1" x14ac:dyDescent="0.25"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S1012" s="9"/>
      <c r="T1012" s="9"/>
      <c r="U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9"/>
      <c r="AG1012" s="9"/>
      <c r="AH1012" s="9"/>
      <c r="AI1012" s="9"/>
      <c r="AJ1012" s="9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  <c r="BL1012" s="9"/>
      <c r="BM1012" s="9"/>
      <c r="BN1012" s="9"/>
      <c r="BO1012" s="9"/>
      <c r="BP1012" s="9"/>
      <c r="BQ1012" s="9"/>
      <c r="BR1012" s="9"/>
      <c r="BS1012" s="9"/>
      <c r="BT1012" s="9"/>
      <c r="BU1012" s="9"/>
      <c r="BV1012" s="9"/>
      <c r="BW1012" s="9"/>
      <c r="BX1012" s="9"/>
      <c r="BY1012" s="9"/>
      <c r="BZ1012" s="9"/>
    </row>
    <row r="1013" spans="4:78" ht="18" customHeight="1" x14ac:dyDescent="0.25"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S1013" s="9"/>
      <c r="T1013" s="9"/>
      <c r="U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9"/>
      <c r="AG1013" s="9"/>
      <c r="AH1013" s="9"/>
      <c r="AI1013" s="9"/>
      <c r="AJ1013" s="9"/>
      <c r="AK1013" s="9"/>
      <c r="AL1013" s="9"/>
      <c r="AM1013" s="9"/>
      <c r="AN1013" s="9"/>
      <c r="AO1013" s="9"/>
      <c r="AP1013" s="9"/>
      <c r="AQ1013" s="9"/>
      <c r="AR1013" s="9"/>
      <c r="AS1013" s="9"/>
      <c r="AT1013" s="9"/>
      <c r="AU1013" s="9"/>
      <c r="AV1013" s="9"/>
      <c r="AW1013" s="9"/>
      <c r="AX1013" s="9"/>
      <c r="AY1013" s="9"/>
      <c r="AZ1013" s="9"/>
      <c r="BA1013" s="9"/>
      <c r="BB1013" s="9"/>
      <c r="BC1013" s="9"/>
      <c r="BD1013" s="9"/>
      <c r="BE1013" s="9"/>
      <c r="BF1013" s="9"/>
      <c r="BG1013" s="9"/>
      <c r="BH1013" s="9"/>
      <c r="BI1013" s="9"/>
      <c r="BJ1013" s="9"/>
      <c r="BK1013" s="9"/>
      <c r="BL1013" s="9"/>
      <c r="BM1013" s="9"/>
      <c r="BN1013" s="9"/>
      <c r="BO1013" s="9"/>
      <c r="BP1013" s="9"/>
      <c r="BQ1013" s="9"/>
      <c r="BR1013" s="9"/>
      <c r="BS1013" s="9"/>
      <c r="BT1013" s="9"/>
      <c r="BU1013" s="9"/>
      <c r="BV1013" s="9"/>
      <c r="BW1013" s="9"/>
      <c r="BX1013" s="9"/>
      <c r="BY1013" s="9"/>
      <c r="BZ1013" s="9"/>
    </row>
    <row r="1014" spans="4:78" ht="18" customHeight="1" x14ac:dyDescent="0.25"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S1014" s="9"/>
      <c r="T1014" s="9"/>
      <c r="U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9"/>
      <c r="AG1014" s="9"/>
      <c r="AH1014" s="9"/>
      <c r="AI1014" s="9"/>
      <c r="AJ1014" s="9"/>
      <c r="AK1014" s="9"/>
      <c r="AL1014" s="9"/>
      <c r="AM1014" s="9"/>
      <c r="AN1014" s="9"/>
      <c r="AO1014" s="9"/>
      <c r="AP1014" s="9"/>
      <c r="AQ1014" s="9"/>
      <c r="AR1014" s="9"/>
      <c r="AS1014" s="9"/>
      <c r="AT1014" s="9"/>
      <c r="AU1014" s="9"/>
      <c r="AV1014" s="9"/>
      <c r="AW1014" s="9"/>
      <c r="AX1014" s="9"/>
      <c r="AY1014" s="9"/>
      <c r="AZ1014" s="9"/>
      <c r="BA1014" s="9"/>
      <c r="BB1014" s="9"/>
      <c r="BC1014" s="9"/>
      <c r="BD1014" s="9"/>
      <c r="BE1014" s="9"/>
      <c r="BF1014" s="9"/>
      <c r="BG1014" s="9"/>
      <c r="BH1014" s="9"/>
      <c r="BI1014" s="9"/>
      <c r="BJ1014" s="9"/>
      <c r="BK1014" s="9"/>
      <c r="BL1014" s="9"/>
      <c r="BM1014" s="9"/>
      <c r="BN1014" s="9"/>
      <c r="BO1014" s="9"/>
      <c r="BP1014" s="9"/>
      <c r="BQ1014" s="9"/>
      <c r="BR1014" s="9"/>
      <c r="BS1014" s="9"/>
      <c r="BT1014" s="9"/>
      <c r="BU1014" s="9"/>
      <c r="BV1014" s="9"/>
      <c r="BW1014" s="9"/>
      <c r="BX1014" s="9"/>
      <c r="BY1014" s="9"/>
      <c r="BZ1014" s="9"/>
    </row>
    <row r="1015" spans="4:78" ht="18" customHeight="1" x14ac:dyDescent="0.25"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S1015" s="9"/>
      <c r="T1015" s="9"/>
      <c r="U1015" s="9"/>
      <c r="W1015" s="9"/>
      <c r="X1015" s="9"/>
      <c r="Y1015" s="9"/>
      <c r="Z1015" s="9"/>
      <c r="AA1015" s="9"/>
      <c r="AB1015" s="9"/>
      <c r="AC1015" s="9"/>
      <c r="AD1015" s="9"/>
      <c r="AE1015" s="9"/>
      <c r="AF1015" s="9"/>
      <c r="AG1015" s="9"/>
      <c r="AH1015" s="9"/>
      <c r="AI1015" s="9"/>
      <c r="AJ1015" s="9"/>
      <c r="AK1015" s="9"/>
      <c r="AL1015" s="9"/>
      <c r="AM1015" s="9"/>
      <c r="AN1015" s="9"/>
      <c r="AO1015" s="9"/>
      <c r="AP1015" s="9"/>
      <c r="AQ1015" s="9"/>
      <c r="AR1015" s="9"/>
      <c r="AS1015" s="9"/>
      <c r="AT1015" s="9"/>
      <c r="AU1015" s="9"/>
      <c r="AV1015" s="9"/>
      <c r="AW1015" s="9"/>
      <c r="AX1015" s="9"/>
      <c r="AY1015" s="9"/>
      <c r="AZ1015" s="9"/>
      <c r="BA1015" s="9"/>
      <c r="BB1015" s="9"/>
      <c r="BC1015" s="9"/>
      <c r="BD1015" s="9"/>
      <c r="BE1015" s="9"/>
      <c r="BF1015" s="9"/>
      <c r="BG1015" s="9"/>
      <c r="BH1015" s="9"/>
      <c r="BI1015" s="9"/>
      <c r="BJ1015" s="9"/>
      <c r="BK1015" s="9"/>
      <c r="BL1015" s="9"/>
      <c r="BM1015" s="9"/>
      <c r="BN1015" s="9"/>
      <c r="BO1015" s="9"/>
      <c r="BP1015" s="9"/>
      <c r="BQ1015" s="9"/>
      <c r="BR1015" s="9"/>
      <c r="BS1015" s="9"/>
      <c r="BT1015" s="9"/>
      <c r="BU1015" s="9"/>
      <c r="BV1015" s="9"/>
      <c r="BW1015" s="9"/>
      <c r="BX1015" s="9"/>
      <c r="BY1015" s="9"/>
      <c r="BZ1015" s="9"/>
    </row>
    <row r="1016" spans="4:78" ht="18" customHeight="1" x14ac:dyDescent="0.25"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S1016" s="9"/>
      <c r="T1016" s="9"/>
      <c r="U1016" s="9"/>
      <c r="W1016" s="9"/>
      <c r="X1016" s="9"/>
      <c r="Y1016" s="9"/>
      <c r="Z1016" s="9"/>
      <c r="AA1016" s="9"/>
      <c r="AB1016" s="9"/>
      <c r="AC1016" s="9"/>
      <c r="AD1016" s="9"/>
      <c r="AE1016" s="9"/>
      <c r="AF1016" s="9"/>
      <c r="AG1016" s="9"/>
      <c r="AH1016" s="9"/>
      <c r="AI1016" s="9"/>
      <c r="AJ1016" s="9"/>
      <c r="AK1016" s="9"/>
      <c r="AL1016" s="9"/>
      <c r="AM1016" s="9"/>
      <c r="AN1016" s="9"/>
      <c r="AO1016" s="9"/>
      <c r="AP1016" s="9"/>
      <c r="AQ1016" s="9"/>
      <c r="AR1016" s="9"/>
      <c r="AS1016" s="9"/>
      <c r="AT1016" s="9"/>
      <c r="AU1016" s="9"/>
      <c r="AV1016" s="9"/>
      <c r="AW1016" s="9"/>
      <c r="AX1016" s="9"/>
      <c r="AY1016" s="9"/>
      <c r="AZ1016" s="9"/>
      <c r="BA1016" s="9"/>
      <c r="BB1016" s="9"/>
      <c r="BC1016" s="9"/>
      <c r="BD1016" s="9"/>
      <c r="BE1016" s="9"/>
      <c r="BF1016" s="9"/>
      <c r="BG1016" s="9"/>
      <c r="BH1016" s="9"/>
      <c r="BI1016" s="9"/>
      <c r="BJ1016" s="9"/>
      <c r="BK1016" s="9"/>
      <c r="BL1016" s="9"/>
      <c r="BM1016" s="9"/>
      <c r="BN1016" s="9"/>
      <c r="BO1016" s="9"/>
      <c r="BP1016" s="9"/>
      <c r="BQ1016" s="9"/>
      <c r="BR1016" s="9"/>
      <c r="BS1016" s="9"/>
      <c r="BT1016" s="9"/>
      <c r="BU1016" s="9"/>
      <c r="BV1016" s="9"/>
      <c r="BW1016" s="9"/>
      <c r="BX1016" s="9"/>
      <c r="BY1016" s="9"/>
      <c r="BZ1016" s="9"/>
    </row>
    <row r="1017" spans="4:78" ht="18" customHeight="1" x14ac:dyDescent="0.25"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S1017" s="9"/>
      <c r="T1017" s="9"/>
      <c r="U1017" s="9"/>
      <c r="W1017" s="9"/>
      <c r="X1017" s="9"/>
      <c r="Y1017" s="9"/>
      <c r="Z1017" s="9"/>
      <c r="AA1017" s="9"/>
      <c r="AB1017" s="9"/>
      <c r="AC1017" s="9"/>
      <c r="AD1017" s="9"/>
      <c r="AE1017" s="9"/>
      <c r="AF1017" s="9"/>
      <c r="AG1017" s="9"/>
      <c r="AH1017" s="9"/>
      <c r="AI1017" s="9"/>
      <c r="AJ1017" s="9"/>
      <c r="AK1017" s="9"/>
      <c r="AL1017" s="9"/>
      <c r="AM1017" s="9"/>
      <c r="AN1017" s="9"/>
      <c r="AO1017" s="9"/>
      <c r="AP1017" s="9"/>
      <c r="AQ1017" s="9"/>
      <c r="AR1017" s="9"/>
      <c r="AS1017" s="9"/>
      <c r="AT1017" s="9"/>
      <c r="AU1017" s="9"/>
      <c r="AV1017" s="9"/>
      <c r="AW1017" s="9"/>
      <c r="AX1017" s="9"/>
      <c r="AY1017" s="9"/>
      <c r="AZ1017" s="9"/>
      <c r="BA1017" s="9"/>
      <c r="BB1017" s="9"/>
      <c r="BC1017" s="9"/>
      <c r="BD1017" s="9"/>
      <c r="BE1017" s="9"/>
      <c r="BF1017" s="9"/>
      <c r="BG1017" s="9"/>
      <c r="BH1017" s="9"/>
      <c r="BI1017" s="9"/>
      <c r="BJ1017" s="9"/>
      <c r="BK1017" s="9"/>
      <c r="BL1017" s="9"/>
      <c r="BM1017" s="9"/>
      <c r="BN1017" s="9"/>
      <c r="BO1017" s="9"/>
      <c r="BP1017" s="9"/>
      <c r="BQ1017" s="9"/>
      <c r="BR1017" s="9"/>
      <c r="BS1017" s="9"/>
      <c r="BT1017" s="9"/>
      <c r="BU1017" s="9"/>
      <c r="BV1017" s="9"/>
      <c r="BW1017" s="9"/>
      <c r="BX1017" s="9"/>
      <c r="BY1017" s="9"/>
      <c r="BZ1017" s="9"/>
    </row>
    <row r="1018" spans="4:78" ht="18" customHeight="1" x14ac:dyDescent="0.25"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S1018" s="9"/>
      <c r="T1018" s="9"/>
      <c r="U1018" s="9"/>
      <c r="W1018" s="9"/>
      <c r="X1018" s="9"/>
      <c r="Y1018" s="9"/>
      <c r="Z1018" s="9"/>
      <c r="AA1018" s="9"/>
      <c r="AB1018" s="9"/>
      <c r="AC1018" s="9"/>
      <c r="AD1018" s="9"/>
      <c r="AE1018" s="9"/>
      <c r="AF1018" s="9"/>
      <c r="AG1018" s="9"/>
      <c r="AH1018" s="9"/>
      <c r="AI1018" s="9"/>
      <c r="AJ1018" s="9"/>
      <c r="AK1018" s="9"/>
      <c r="AL1018" s="9"/>
      <c r="AM1018" s="9"/>
      <c r="AN1018" s="9"/>
      <c r="AO1018" s="9"/>
      <c r="AP1018" s="9"/>
      <c r="AQ1018" s="9"/>
      <c r="AR1018" s="9"/>
      <c r="AS1018" s="9"/>
      <c r="AT1018" s="9"/>
      <c r="AU1018" s="9"/>
      <c r="AV1018" s="9"/>
      <c r="AW1018" s="9"/>
      <c r="AX1018" s="9"/>
      <c r="AY1018" s="9"/>
      <c r="AZ1018" s="9"/>
      <c r="BA1018" s="9"/>
      <c r="BB1018" s="9"/>
      <c r="BC1018" s="9"/>
      <c r="BD1018" s="9"/>
      <c r="BE1018" s="9"/>
      <c r="BF1018" s="9"/>
      <c r="BG1018" s="9"/>
      <c r="BH1018" s="9"/>
      <c r="BI1018" s="9"/>
      <c r="BJ1018" s="9"/>
      <c r="BK1018" s="9"/>
      <c r="BL1018" s="9"/>
      <c r="BM1018" s="9"/>
      <c r="BN1018" s="9"/>
      <c r="BO1018" s="9"/>
      <c r="BP1018" s="9"/>
      <c r="BQ1018" s="9"/>
      <c r="BR1018" s="9"/>
      <c r="BS1018" s="9"/>
      <c r="BT1018" s="9"/>
      <c r="BU1018" s="9"/>
      <c r="BV1018" s="9"/>
      <c r="BW1018" s="9"/>
      <c r="BX1018" s="9"/>
      <c r="BY1018" s="9"/>
      <c r="BZ1018" s="9"/>
    </row>
    <row r="1019" spans="4:78" ht="18" customHeight="1" x14ac:dyDescent="0.25"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S1019" s="9"/>
      <c r="T1019" s="9"/>
      <c r="U1019" s="9"/>
      <c r="W1019" s="9"/>
      <c r="X1019" s="9"/>
      <c r="Y1019" s="9"/>
      <c r="Z1019" s="9"/>
      <c r="AA1019" s="9"/>
      <c r="AB1019" s="9"/>
      <c r="AC1019" s="9"/>
      <c r="AD1019" s="9"/>
      <c r="AE1019" s="9"/>
      <c r="AF1019" s="9"/>
      <c r="AG1019" s="9"/>
      <c r="AH1019" s="9"/>
      <c r="AI1019" s="9"/>
      <c r="AJ1019" s="9"/>
      <c r="AK1019" s="9"/>
      <c r="AL1019" s="9"/>
      <c r="AM1019" s="9"/>
      <c r="AN1019" s="9"/>
      <c r="AO1019" s="9"/>
      <c r="AP1019" s="9"/>
      <c r="AQ1019" s="9"/>
      <c r="AR1019" s="9"/>
      <c r="AS1019" s="9"/>
      <c r="AT1019" s="9"/>
      <c r="AU1019" s="9"/>
      <c r="AV1019" s="9"/>
      <c r="AW1019" s="9"/>
      <c r="AX1019" s="9"/>
      <c r="AY1019" s="9"/>
      <c r="AZ1019" s="9"/>
      <c r="BA1019" s="9"/>
      <c r="BB1019" s="9"/>
      <c r="BC1019" s="9"/>
      <c r="BD1019" s="9"/>
      <c r="BE1019" s="9"/>
      <c r="BF1019" s="9"/>
      <c r="BG1019" s="9"/>
      <c r="BH1019" s="9"/>
      <c r="BI1019" s="9"/>
      <c r="BJ1019" s="9"/>
      <c r="BK1019" s="9"/>
      <c r="BL1019" s="9"/>
      <c r="BM1019" s="9"/>
      <c r="BN1019" s="9"/>
      <c r="BO1019" s="9"/>
      <c r="BP1019" s="9"/>
      <c r="BQ1019" s="9"/>
      <c r="BR1019" s="9"/>
      <c r="BS1019" s="9"/>
      <c r="BT1019" s="9"/>
      <c r="BU1019" s="9"/>
      <c r="BV1019" s="9"/>
      <c r="BW1019" s="9"/>
      <c r="BX1019" s="9"/>
      <c r="BY1019" s="9"/>
      <c r="BZ1019" s="9"/>
    </row>
    <row r="1020" spans="4:78" ht="18" customHeight="1" x14ac:dyDescent="0.25"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S1020" s="9"/>
      <c r="T1020" s="9"/>
      <c r="U1020" s="9"/>
      <c r="W1020" s="9"/>
      <c r="X1020" s="9"/>
      <c r="Y1020" s="9"/>
      <c r="Z1020" s="9"/>
      <c r="AA1020" s="9"/>
      <c r="AB1020" s="9"/>
      <c r="AC1020" s="9"/>
      <c r="AD1020" s="9"/>
      <c r="AE1020" s="9"/>
      <c r="AF1020" s="9"/>
      <c r="AG1020" s="9"/>
      <c r="AH1020" s="9"/>
      <c r="AI1020" s="9"/>
      <c r="AJ1020" s="9"/>
      <c r="AK1020" s="9"/>
      <c r="AL1020" s="9"/>
      <c r="AM1020" s="9"/>
      <c r="AN1020" s="9"/>
      <c r="AO1020" s="9"/>
      <c r="AP1020" s="9"/>
      <c r="AQ1020" s="9"/>
      <c r="AR1020" s="9"/>
      <c r="AS1020" s="9"/>
      <c r="AT1020" s="9"/>
      <c r="AU1020" s="9"/>
      <c r="AV1020" s="9"/>
      <c r="AW1020" s="9"/>
      <c r="AX1020" s="9"/>
      <c r="AY1020" s="9"/>
      <c r="AZ1020" s="9"/>
      <c r="BA1020" s="9"/>
      <c r="BB1020" s="9"/>
      <c r="BC1020" s="9"/>
      <c r="BD1020" s="9"/>
      <c r="BE1020" s="9"/>
      <c r="BF1020" s="9"/>
      <c r="BG1020" s="9"/>
      <c r="BH1020" s="9"/>
      <c r="BI1020" s="9"/>
      <c r="BJ1020" s="9"/>
      <c r="BK1020" s="9"/>
      <c r="BL1020" s="9"/>
      <c r="BM1020" s="9"/>
      <c r="BN1020" s="9"/>
      <c r="BO1020" s="9"/>
      <c r="BP1020" s="9"/>
      <c r="BQ1020" s="9"/>
      <c r="BR1020" s="9"/>
      <c r="BS1020" s="9"/>
      <c r="BT1020" s="9"/>
      <c r="BU1020" s="9"/>
      <c r="BV1020" s="9"/>
      <c r="BW1020" s="9"/>
      <c r="BX1020" s="9"/>
      <c r="BY1020" s="9"/>
      <c r="BZ1020" s="9"/>
    </row>
    <row r="1021" spans="4:78" ht="18" customHeight="1" x14ac:dyDescent="0.25"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S1021" s="9"/>
      <c r="T1021" s="9"/>
      <c r="U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9"/>
      <c r="AG1021" s="9"/>
      <c r="AH1021" s="9"/>
      <c r="AI1021" s="9"/>
      <c r="AJ1021" s="9"/>
      <c r="AK1021" s="9"/>
      <c r="AL1021" s="9"/>
      <c r="AM1021" s="9"/>
      <c r="AN1021" s="9"/>
      <c r="AO1021" s="9"/>
      <c r="AP1021" s="9"/>
      <c r="AQ1021" s="9"/>
      <c r="AR1021" s="9"/>
      <c r="AS1021" s="9"/>
      <c r="AT1021" s="9"/>
      <c r="AU1021" s="9"/>
      <c r="AV1021" s="9"/>
      <c r="AW1021" s="9"/>
      <c r="AX1021" s="9"/>
      <c r="AY1021" s="9"/>
      <c r="AZ1021" s="9"/>
      <c r="BA1021" s="9"/>
      <c r="BB1021" s="9"/>
      <c r="BC1021" s="9"/>
      <c r="BD1021" s="9"/>
      <c r="BE1021" s="9"/>
      <c r="BF1021" s="9"/>
      <c r="BG1021" s="9"/>
      <c r="BH1021" s="9"/>
      <c r="BI1021" s="9"/>
      <c r="BJ1021" s="9"/>
      <c r="BK1021" s="9"/>
      <c r="BL1021" s="9"/>
      <c r="BM1021" s="9"/>
      <c r="BN1021" s="9"/>
      <c r="BO1021" s="9"/>
      <c r="BP1021" s="9"/>
      <c r="BQ1021" s="9"/>
      <c r="BR1021" s="9"/>
      <c r="BS1021" s="9"/>
      <c r="BT1021" s="9"/>
      <c r="BU1021" s="9"/>
      <c r="BV1021" s="9"/>
      <c r="BW1021" s="9"/>
      <c r="BX1021" s="9"/>
      <c r="BY1021" s="9"/>
      <c r="BZ1021" s="9"/>
    </row>
    <row r="1022" spans="4:78" ht="18" customHeight="1" x14ac:dyDescent="0.25"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S1022" s="9"/>
      <c r="T1022" s="9"/>
      <c r="U1022" s="9"/>
      <c r="W1022" s="9"/>
      <c r="X1022" s="9"/>
      <c r="Y1022" s="9"/>
      <c r="Z1022" s="9"/>
      <c r="AA1022" s="9"/>
      <c r="AB1022" s="9"/>
      <c r="AC1022" s="9"/>
      <c r="AD1022" s="9"/>
      <c r="AE1022" s="9"/>
      <c r="AF1022" s="9"/>
      <c r="AG1022" s="9"/>
      <c r="AH1022" s="9"/>
      <c r="AI1022" s="9"/>
      <c r="AJ1022" s="9"/>
      <c r="AK1022" s="9"/>
      <c r="AL1022" s="9"/>
      <c r="AM1022" s="9"/>
      <c r="AN1022" s="9"/>
      <c r="AO1022" s="9"/>
      <c r="AP1022" s="9"/>
      <c r="AQ1022" s="9"/>
      <c r="AR1022" s="9"/>
      <c r="AS1022" s="9"/>
      <c r="AT1022" s="9"/>
      <c r="AU1022" s="9"/>
      <c r="AV1022" s="9"/>
      <c r="AW1022" s="9"/>
      <c r="AX1022" s="9"/>
      <c r="AY1022" s="9"/>
      <c r="AZ1022" s="9"/>
      <c r="BA1022" s="9"/>
      <c r="BB1022" s="9"/>
      <c r="BC1022" s="9"/>
      <c r="BD1022" s="9"/>
      <c r="BE1022" s="9"/>
      <c r="BF1022" s="9"/>
      <c r="BG1022" s="9"/>
      <c r="BH1022" s="9"/>
      <c r="BI1022" s="9"/>
      <c r="BJ1022" s="9"/>
      <c r="BK1022" s="9"/>
      <c r="BL1022" s="9"/>
      <c r="BM1022" s="9"/>
      <c r="BN1022" s="9"/>
      <c r="BO1022" s="9"/>
      <c r="BP1022" s="9"/>
      <c r="BQ1022" s="9"/>
      <c r="BR1022" s="9"/>
      <c r="BS1022" s="9"/>
      <c r="BT1022" s="9"/>
      <c r="BU1022" s="9"/>
      <c r="BV1022" s="9"/>
      <c r="BW1022" s="9"/>
      <c r="BX1022" s="9"/>
      <c r="BY1022" s="9"/>
      <c r="BZ1022" s="9"/>
    </row>
    <row r="1023" spans="4:78" ht="18" customHeight="1" x14ac:dyDescent="0.25"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S1023" s="9"/>
      <c r="T1023" s="9"/>
      <c r="U1023" s="9"/>
      <c r="W1023" s="9"/>
      <c r="X1023" s="9"/>
      <c r="Y1023" s="9"/>
      <c r="Z1023" s="9"/>
      <c r="AA1023" s="9"/>
      <c r="AB1023" s="9"/>
      <c r="AC1023" s="9"/>
      <c r="AD1023" s="9"/>
      <c r="AE1023" s="9"/>
      <c r="AF1023" s="9"/>
      <c r="AG1023" s="9"/>
      <c r="AH1023" s="9"/>
      <c r="AI1023" s="9"/>
      <c r="AJ1023" s="9"/>
      <c r="AK1023" s="9"/>
      <c r="AL1023" s="9"/>
      <c r="AM1023" s="9"/>
      <c r="AN1023" s="9"/>
      <c r="AO1023" s="9"/>
      <c r="AP1023" s="9"/>
      <c r="AQ1023" s="9"/>
      <c r="AR1023" s="9"/>
      <c r="AS1023" s="9"/>
      <c r="AT1023" s="9"/>
      <c r="AU1023" s="9"/>
      <c r="AV1023" s="9"/>
      <c r="AW1023" s="9"/>
      <c r="AX1023" s="9"/>
      <c r="AY1023" s="9"/>
      <c r="AZ1023" s="9"/>
      <c r="BA1023" s="9"/>
      <c r="BB1023" s="9"/>
      <c r="BC1023" s="9"/>
      <c r="BD1023" s="9"/>
      <c r="BE1023" s="9"/>
      <c r="BF1023" s="9"/>
      <c r="BG1023" s="9"/>
      <c r="BH1023" s="9"/>
      <c r="BI1023" s="9"/>
      <c r="BJ1023" s="9"/>
      <c r="BK1023" s="9"/>
      <c r="BL1023" s="9"/>
      <c r="BM1023" s="9"/>
      <c r="BN1023" s="9"/>
      <c r="BO1023" s="9"/>
      <c r="BP1023" s="9"/>
      <c r="BQ1023" s="9"/>
      <c r="BR1023" s="9"/>
      <c r="BS1023" s="9"/>
      <c r="BT1023" s="9"/>
      <c r="BU1023" s="9"/>
      <c r="BV1023" s="9"/>
      <c r="BW1023" s="9"/>
      <c r="BX1023" s="9"/>
      <c r="BY1023" s="9"/>
      <c r="BZ1023" s="9"/>
    </row>
    <row r="1024" spans="4:78" ht="18" customHeight="1" x14ac:dyDescent="0.25"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S1024" s="9"/>
      <c r="T1024" s="9"/>
      <c r="U1024" s="9"/>
      <c r="W1024" s="9"/>
      <c r="X1024" s="9"/>
      <c r="Y1024" s="9"/>
      <c r="Z1024" s="9"/>
      <c r="AA1024" s="9"/>
      <c r="AB1024" s="9"/>
      <c r="AC1024" s="9"/>
      <c r="AD1024" s="9"/>
      <c r="AE1024" s="9"/>
      <c r="AF1024" s="9"/>
      <c r="AG1024" s="9"/>
      <c r="AH1024" s="9"/>
      <c r="AI1024" s="9"/>
      <c r="AJ1024" s="9"/>
      <c r="AK1024" s="9"/>
      <c r="AL1024" s="9"/>
      <c r="AM1024" s="9"/>
      <c r="AN1024" s="9"/>
      <c r="AO1024" s="9"/>
      <c r="AP1024" s="9"/>
      <c r="AQ1024" s="9"/>
      <c r="AR1024" s="9"/>
      <c r="AS1024" s="9"/>
      <c r="AT1024" s="9"/>
      <c r="AU1024" s="9"/>
      <c r="AV1024" s="9"/>
      <c r="AW1024" s="9"/>
      <c r="AX1024" s="9"/>
      <c r="AY1024" s="9"/>
      <c r="AZ1024" s="9"/>
      <c r="BA1024" s="9"/>
      <c r="BB1024" s="9"/>
      <c r="BC1024" s="9"/>
      <c r="BD1024" s="9"/>
      <c r="BE1024" s="9"/>
      <c r="BF1024" s="9"/>
      <c r="BG1024" s="9"/>
      <c r="BH1024" s="9"/>
      <c r="BI1024" s="9"/>
      <c r="BJ1024" s="9"/>
      <c r="BK1024" s="9"/>
      <c r="BL1024" s="9"/>
      <c r="BM1024" s="9"/>
      <c r="BN1024" s="9"/>
      <c r="BO1024" s="9"/>
      <c r="BP1024" s="9"/>
      <c r="BQ1024" s="9"/>
      <c r="BR1024" s="9"/>
      <c r="BS1024" s="9"/>
      <c r="BT1024" s="9"/>
      <c r="BU1024" s="9"/>
      <c r="BV1024" s="9"/>
      <c r="BW1024" s="9"/>
      <c r="BX1024" s="9"/>
      <c r="BY1024" s="9"/>
      <c r="BZ1024" s="9"/>
    </row>
    <row r="1025" spans="4:78" ht="18" customHeight="1" x14ac:dyDescent="0.25"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S1025" s="9"/>
      <c r="T1025" s="9"/>
      <c r="U1025" s="9"/>
      <c r="W1025" s="9"/>
      <c r="X1025" s="9"/>
      <c r="Y1025" s="9"/>
      <c r="Z1025" s="9"/>
      <c r="AA1025" s="9"/>
      <c r="AB1025" s="9"/>
      <c r="AC1025" s="9"/>
      <c r="AD1025" s="9"/>
      <c r="AE1025" s="9"/>
      <c r="AF1025" s="9"/>
      <c r="AG1025" s="9"/>
      <c r="AH1025" s="9"/>
      <c r="AI1025" s="9"/>
      <c r="AJ1025" s="9"/>
      <c r="AK1025" s="9"/>
      <c r="AL1025" s="9"/>
      <c r="AM1025" s="9"/>
      <c r="AN1025" s="9"/>
      <c r="AO1025" s="9"/>
      <c r="AP1025" s="9"/>
      <c r="AQ1025" s="9"/>
      <c r="AR1025" s="9"/>
      <c r="AS1025" s="9"/>
      <c r="AT1025" s="9"/>
      <c r="AU1025" s="9"/>
      <c r="AV1025" s="9"/>
      <c r="AW1025" s="9"/>
      <c r="AX1025" s="9"/>
      <c r="AY1025" s="9"/>
      <c r="AZ1025" s="9"/>
      <c r="BA1025" s="9"/>
      <c r="BB1025" s="9"/>
      <c r="BC1025" s="9"/>
      <c r="BD1025" s="9"/>
      <c r="BE1025" s="9"/>
      <c r="BF1025" s="9"/>
      <c r="BG1025" s="9"/>
      <c r="BH1025" s="9"/>
      <c r="BI1025" s="9"/>
      <c r="BJ1025" s="9"/>
      <c r="BK1025" s="9"/>
      <c r="BL1025" s="9"/>
      <c r="BM1025" s="9"/>
      <c r="BN1025" s="9"/>
      <c r="BO1025" s="9"/>
      <c r="BP1025" s="9"/>
      <c r="BQ1025" s="9"/>
      <c r="BR1025" s="9"/>
      <c r="BS1025" s="9"/>
      <c r="BT1025" s="9"/>
      <c r="BU1025" s="9"/>
      <c r="BV1025" s="9"/>
      <c r="BW1025" s="9"/>
      <c r="BX1025" s="9"/>
      <c r="BY1025" s="9"/>
      <c r="BZ1025" s="9"/>
    </row>
    <row r="1026" spans="4:78" ht="18" customHeight="1" x14ac:dyDescent="0.25"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S1026" s="9"/>
      <c r="T1026" s="9"/>
      <c r="U1026" s="9"/>
      <c r="W1026" s="9"/>
      <c r="X1026" s="9"/>
      <c r="Y1026" s="9"/>
      <c r="Z1026" s="9"/>
      <c r="AA1026" s="9"/>
      <c r="AB1026" s="9"/>
      <c r="AC1026" s="9"/>
      <c r="AD1026" s="9"/>
      <c r="AE1026" s="9"/>
      <c r="AF1026" s="9"/>
      <c r="AG1026" s="9"/>
      <c r="AH1026" s="9"/>
      <c r="AI1026" s="9"/>
      <c r="AJ1026" s="9"/>
      <c r="AK1026" s="9"/>
      <c r="AL1026" s="9"/>
      <c r="AM1026" s="9"/>
      <c r="AN1026" s="9"/>
      <c r="AO1026" s="9"/>
      <c r="AP1026" s="9"/>
      <c r="AQ1026" s="9"/>
      <c r="AR1026" s="9"/>
      <c r="AS1026" s="9"/>
      <c r="AT1026" s="9"/>
      <c r="AU1026" s="9"/>
      <c r="AV1026" s="9"/>
      <c r="AW1026" s="9"/>
      <c r="AX1026" s="9"/>
      <c r="AY1026" s="9"/>
      <c r="AZ1026" s="9"/>
      <c r="BA1026" s="9"/>
      <c r="BB1026" s="9"/>
      <c r="BC1026" s="9"/>
      <c r="BD1026" s="9"/>
      <c r="BE1026" s="9"/>
      <c r="BF1026" s="9"/>
      <c r="BG1026" s="9"/>
      <c r="BH1026" s="9"/>
      <c r="BI1026" s="9"/>
      <c r="BJ1026" s="9"/>
      <c r="BK1026" s="9"/>
      <c r="BL1026" s="9"/>
      <c r="BM1026" s="9"/>
      <c r="BN1026" s="9"/>
      <c r="BO1026" s="9"/>
      <c r="BP1026" s="9"/>
      <c r="BQ1026" s="9"/>
      <c r="BR1026" s="9"/>
      <c r="BS1026" s="9"/>
      <c r="BT1026" s="9"/>
      <c r="BU1026" s="9"/>
      <c r="BV1026" s="9"/>
      <c r="BW1026" s="9"/>
      <c r="BX1026" s="9"/>
      <c r="BY1026" s="9"/>
      <c r="BZ1026" s="9"/>
    </row>
    <row r="1027" spans="4:78" ht="18" customHeight="1" x14ac:dyDescent="0.25"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S1027" s="9"/>
      <c r="T1027" s="9"/>
      <c r="U1027" s="9"/>
      <c r="W1027" s="9"/>
      <c r="X1027" s="9"/>
      <c r="Y1027" s="9"/>
      <c r="Z1027" s="9"/>
      <c r="AA1027" s="9"/>
      <c r="AB1027" s="9"/>
      <c r="AC1027" s="9"/>
      <c r="AD1027" s="9"/>
      <c r="AE1027" s="9"/>
      <c r="AF1027" s="9"/>
      <c r="AG1027" s="9"/>
      <c r="AH1027" s="9"/>
      <c r="AI1027" s="9"/>
      <c r="AJ1027" s="9"/>
      <c r="AK1027" s="9"/>
      <c r="AL1027" s="9"/>
      <c r="AM1027" s="9"/>
      <c r="AN1027" s="9"/>
      <c r="AO1027" s="9"/>
      <c r="AP1027" s="9"/>
      <c r="AQ1027" s="9"/>
      <c r="AR1027" s="9"/>
      <c r="AS1027" s="9"/>
      <c r="AT1027" s="9"/>
      <c r="AU1027" s="9"/>
      <c r="AV1027" s="9"/>
      <c r="AW1027" s="9"/>
      <c r="AX1027" s="9"/>
      <c r="AY1027" s="9"/>
      <c r="AZ1027" s="9"/>
      <c r="BA1027" s="9"/>
      <c r="BB1027" s="9"/>
      <c r="BC1027" s="9"/>
      <c r="BD1027" s="9"/>
      <c r="BE1027" s="9"/>
      <c r="BF1027" s="9"/>
      <c r="BG1027" s="9"/>
      <c r="BH1027" s="9"/>
      <c r="BI1027" s="9"/>
      <c r="BJ1027" s="9"/>
      <c r="BK1027" s="9"/>
      <c r="BL1027" s="9"/>
      <c r="BM1027" s="9"/>
      <c r="BN1027" s="9"/>
      <c r="BO1027" s="9"/>
      <c r="BP1027" s="9"/>
      <c r="BQ1027" s="9"/>
      <c r="BR1027" s="9"/>
      <c r="BS1027" s="9"/>
      <c r="BT1027" s="9"/>
      <c r="BU1027" s="9"/>
      <c r="BV1027" s="9"/>
      <c r="BW1027" s="9"/>
      <c r="BX1027" s="9"/>
      <c r="BY1027" s="9"/>
      <c r="BZ1027" s="9"/>
    </row>
    <row r="1028" spans="4:78" ht="18" customHeight="1" x14ac:dyDescent="0.25"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S1028" s="9"/>
      <c r="T1028" s="9"/>
      <c r="U1028" s="9"/>
      <c r="W1028" s="9"/>
      <c r="X1028" s="9"/>
      <c r="Y1028" s="9"/>
      <c r="Z1028" s="9"/>
      <c r="AA1028" s="9"/>
      <c r="AB1028" s="9"/>
      <c r="AC1028" s="9"/>
      <c r="AD1028" s="9"/>
      <c r="AE1028" s="9"/>
      <c r="AF1028" s="9"/>
      <c r="AG1028" s="9"/>
      <c r="AH1028" s="9"/>
      <c r="AI1028" s="9"/>
      <c r="AJ1028" s="9"/>
      <c r="AK1028" s="9"/>
      <c r="AL1028" s="9"/>
      <c r="AM1028" s="9"/>
      <c r="AN1028" s="9"/>
      <c r="AO1028" s="9"/>
      <c r="AP1028" s="9"/>
      <c r="AQ1028" s="9"/>
      <c r="AR1028" s="9"/>
      <c r="AS1028" s="9"/>
      <c r="AT1028" s="9"/>
      <c r="AU1028" s="9"/>
      <c r="AV1028" s="9"/>
      <c r="AW1028" s="9"/>
      <c r="AX1028" s="9"/>
      <c r="AY1028" s="9"/>
      <c r="AZ1028" s="9"/>
      <c r="BA1028" s="9"/>
      <c r="BB1028" s="9"/>
      <c r="BC1028" s="9"/>
      <c r="BD1028" s="9"/>
      <c r="BE1028" s="9"/>
      <c r="BF1028" s="9"/>
      <c r="BG1028" s="9"/>
      <c r="BH1028" s="9"/>
      <c r="BI1028" s="9"/>
      <c r="BJ1028" s="9"/>
      <c r="BK1028" s="9"/>
      <c r="BL1028" s="9"/>
      <c r="BM1028" s="9"/>
      <c r="BN1028" s="9"/>
      <c r="BO1028" s="9"/>
      <c r="BP1028" s="9"/>
      <c r="BQ1028" s="9"/>
      <c r="BR1028" s="9"/>
      <c r="BS1028" s="9"/>
      <c r="BT1028" s="9"/>
      <c r="BU1028" s="9"/>
      <c r="BV1028" s="9"/>
      <c r="BW1028" s="9"/>
      <c r="BX1028" s="9"/>
      <c r="BY1028" s="9"/>
      <c r="BZ1028" s="9"/>
    </row>
    <row r="1029" spans="4:78" ht="18" customHeight="1" x14ac:dyDescent="0.25"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S1029" s="9"/>
      <c r="T1029" s="9"/>
      <c r="U1029" s="9"/>
      <c r="W1029" s="9"/>
      <c r="X1029" s="9"/>
      <c r="Y1029" s="9"/>
      <c r="Z1029" s="9"/>
      <c r="AA1029" s="9"/>
      <c r="AB1029" s="9"/>
      <c r="AC1029" s="9"/>
      <c r="AD1029" s="9"/>
      <c r="AE1029" s="9"/>
      <c r="AF1029" s="9"/>
      <c r="AG1029" s="9"/>
      <c r="AH1029" s="9"/>
      <c r="AI1029" s="9"/>
      <c r="AJ1029" s="9"/>
      <c r="AK1029" s="9"/>
      <c r="AL1029" s="9"/>
      <c r="AM1029" s="9"/>
      <c r="AN1029" s="9"/>
      <c r="AO1029" s="9"/>
      <c r="AP1029" s="9"/>
      <c r="AQ1029" s="9"/>
      <c r="AR1029" s="9"/>
      <c r="AS1029" s="9"/>
      <c r="AT1029" s="9"/>
      <c r="AU1029" s="9"/>
      <c r="AV1029" s="9"/>
      <c r="AW1029" s="9"/>
      <c r="AX1029" s="9"/>
      <c r="AY1029" s="9"/>
      <c r="AZ1029" s="9"/>
      <c r="BA1029" s="9"/>
      <c r="BB1029" s="9"/>
      <c r="BC1029" s="9"/>
      <c r="BD1029" s="9"/>
      <c r="BE1029" s="9"/>
      <c r="BF1029" s="9"/>
      <c r="BG1029" s="9"/>
      <c r="BH1029" s="9"/>
      <c r="BI1029" s="9"/>
      <c r="BJ1029" s="9"/>
      <c r="BK1029" s="9"/>
      <c r="BL1029" s="9"/>
      <c r="BM1029" s="9"/>
      <c r="BN1029" s="9"/>
      <c r="BO1029" s="9"/>
      <c r="BP1029" s="9"/>
      <c r="BQ1029" s="9"/>
      <c r="BR1029" s="9"/>
      <c r="BS1029" s="9"/>
      <c r="BT1029" s="9"/>
      <c r="BU1029" s="9"/>
      <c r="BV1029" s="9"/>
      <c r="BW1029" s="9"/>
      <c r="BX1029" s="9"/>
      <c r="BY1029" s="9"/>
      <c r="BZ1029" s="9"/>
    </row>
    <row r="1030" spans="4:78" ht="18" customHeight="1" x14ac:dyDescent="0.25"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S1030" s="9"/>
      <c r="T1030" s="9"/>
      <c r="U1030" s="9"/>
      <c r="W1030" s="9"/>
      <c r="X1030" s="9"/>
      <c r="Y1030" s="9"/>
      <c r="Z1030" s="9"/>
      <c r="AA1030" s="9"/>
      <c r="AB1030" s="9"/>
      <c r="AC1030" s="9"/>
      <c r="AD1030" s="9"/>
      <c r="AE1030" s="9"/>
      <c r="AF1030" s="9"/>
      <c r="AG1030" s="9"/>
      <c r="AH1030" s="9"/>
      <c r="AI1030" s="9"/>
      <c r="AJ1030" s="9"/>
      <c r="AK1030" s="9"/>
      <c r="AL1030" s="9"/>
      <c r="AM1030" s="9"/>
      <c r="AN1030" s="9"/>
      <c r="AO1030" s="9"/>
      <c r="AP1030" s="9"/>
      <c r="AQ1030" s="9"/>
      <c r="AR1030" s="9"/>
      <c r="AS1030" s="9"/>
      <c r="AT1030" s="9"/>
      <c r="AU1030" s="9"/>
      <c r="AV1030" s="9"/>
      <c r="AW1030" s="9"/>
      <c r="AX1030" s="9"/>
      <c r="AY1030" s="9"/>
      <c r="AZ1030" s="9"/>
      <c r="BA1030" s="9"/>
      <c r="BB1030" s="9"/>
      <c r="BC1030" s="9"/>
      <c r="BD1030" s="9"/>
      <c r="BE1030" s="9"/>
      <c r="BF1030" s="9"/>
      <c r="BG1030" s="9"/>
      <c r="BH1030" s="9"/>
      <c r="BI1030" s="9"/>
      <c r="BJ1030" s="9"/>
      <c r="BK1030" s="9"/>
      <c r="BL1030" s="9"/>
      <c r="BM1030" s="9"/>
      <c r="BN1030" s="9"/>
      <c r="BO1030" s="9"/>
      <c r="BP1030" s="9"/>
      <c r="BQ1030" s="9"/>
      <c r="BR1030" s="9"/>
      <c r="BS1030" s="9"/>
      <c r="BT1030" s="9"/>
      <c r="BU1030" s="9"/>
      <c r="BV1030" s="9"/>
      <c r="BW1030" s="9"/>
      <c r="BX1030" s="9"/>
      <c r="BY1030" s="9"/>
      <c r="BZ1030" s="9"/>
    </row>
    <row r="1031" spans="4:78" ht="18" customHeight="1" x14ac:dyDescent="0.25"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S1031" s="9"/>
      <c r="T1031" s="9"/>
      <c r="U1031" s="9"/>
      <c r="W1031" s="9"/>
      <c r="X1031" s="9"/>
      <c r="Y1031" s="9"/>
      <c r="Z1031" s="9"/>
      <c r="AA1031" s="9"/>
      <c r="AB1031" s="9"/>
      <c r="AC1031" s="9"/>
      <c r="AD1031" s="9"/>
      <c r="AE1031" s="9"/>
      <c r="AF1031" s="9"/>
      <c r="AG1031" s="9"/>
      <c r="AH1031" s="9"/>
      <c r="AI1031" s="9"/>
      <c r="AJ1031" s="9"/>
      <c r="AK1031" s="9"/>
      <c r="AL1031" s="9"/>
      <c r="AM1031" s="9"/>
      <c r="AN1031" s="9"/>
      <c r="AO1031" s="9"/>
      <c r="AP1031" s="9"/>
      <c r="AQ1031" s="9"/>
      <c r="AR1031" s="9"/>
      <c r="AS1031" s="9"/>
      <c r="AT1031" s="9"/>
      <c r="AU1031" s="9"/>
      <c r="AV1031" s="9"/>
      <c r="AW1031" s="9"/>
      <c r="AX1031" s="9"/>
      <c r="AY1031" s="9"/>
      <c r="AZ1031" s="9"/>
      <c r="BA1031" s="9"/>
      <c r="BB1031" s="9"/>
      <c r="BC1031" s="9"/>
      <c r="BD1031" s="9"/>
      <c r="BE1031" s="9"/>
      <c r="BF1031" s="9"/>
      <c r="BG1031" s="9"/>
      <c r="BH1031" s="9"/>
      <c r="BI1031" s="9"/>
      <c r="BJ1031" s="9"/>
      <c r="BK1031" s="9"/>
      <c r="BL1031" s="9"/>
      <c r="BM1031" s="9"/>
      <c r="BN1031" s="9"/>
      <c r="BO1031" s="9"/>
      <c r="BP1031" s="9"/>
      <c r="BQ1031" s="9"/>
      <c r="BR1031" s="9"/>
      <c r="BS1031" s="9"/>
      <c r="BT1031" s="9"/>
      <c r="BU1031" s="9"/>
      <c r="BV1031" s="9"/>
      <c r="BW1031" s="9"/>
      <c r="BX1031" s="9"/>
      <c r="BY1031" s="9"/>
      <c r="BZ1031" s="9"/>
    </row>
    <row r="1032" spans="4:78" ht="18" customHeight="1" x14ac:dyDescent="0.25"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S1032" s="9"/>
      <c r="T1032" s="9"/>
      <c r="U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9"/>
      <c r="AG1032" s="9"/>
      <c r="AH1032" s="9"/>
      <c r="AI1032" s="9"/>
      <c r="AJ1032" s="9"/>
      <c r="AK1032" s="9"/>
      <c r="AL1032" s="9"/>
      <c r="AM1032" s="9"/>
      <c r="AN1032" s="9"/>
      <c r="AO1032" s="9"/>
      <c r="AP1032" s="9"/>
      <c r="AQ1032" s="9"/>
      <c r="AR1032" s="9"/>
      <c r="AS1032" s="9"/>
      <c r="AT1032" s="9"/>
      <c r="AU1032" s="9"/>
      <c r="AV1032" s="9"/>
      <c r="AW1032" s="9"/>
      <c r="AX1032" s="9"/>
      <c r="AY1032" s="9"/>
      <c r="AZ1032" s="9"/>
      <c r="BA1032" s="9"/>
      <c r="BB1032" s="9"/>
      <c r="BC1032" s="9"/>
      <c r="BD1032" s="9"/>
      <c r="BE1032" s="9"/>
      <c r="BF1032" s="9"/>
      <c r="BG1032" s="9"/>
      <c r="BH1032" s="9"/>
      <c r="BI1032" s="9"/>
      <c r="BJ1032" s="9"/>
      <c r="BK1032" s="9"/>
      <c r="BL1032" s="9"/>
      <c r="BM1032" s="9"/>
      <c r="BN1032" s="9"/>
      <c r="BO1032" s="9"/>
      <c r="BP1032" s="9"/>
      <c r="BQ1032" s="9"/>
      <c r="BR1032" s="9"/>
      <c r="BS1032" s="9"/>
      <c r="BT1032" s="9"/>
      <c r="BU1032" s="9"/>
      <c r="BV1032" s="9"/>
      <c r="BW1032" s="9"/>
      <c r="BX1032" s="9"/>
      <c r="BY1032" s="9"/>
      <c r="BZ1032" s="9"/>
    </row>
    <row r="1033" spans="4:78" ht="18" customHeight="1" x14ac:dyDescent="0.25"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S1033" s="9"/>
      <c r="T1033" s="9"/>
      <c r="U1033" s="9"/>
      <c r="W1033" s="9"/>
      <c r="X1033" s="9"/>
      <c r="Y1033" s="9"/>
      <c r="Z1033" s="9"/>
      <c r="AA1033" s="9"/>
      <c r="AB1033" s="9"/>
      <c r="AC1033" s="9"/>
      <c r="AD1033" s="9"/>
      <c r="AE1033" s="9"/>
      <c r="AF1033" s="9"/>
      <c r="AG1033" s="9"/>
      <c r="AH1033" s="9"/>
      <c r="AI1033" s="9"/>
      <c r="AJ1033" s="9"/>
      <c r="AK1033" s="9"/>
      <c r="AL1033" s="9"/>
      <c r="AM1033" s="9"/>
      <c r="AN1033" s="9"/>
      <c r="AO1033" s="9"/>
      <c r="AP1033" s="9"/>
      <c r="AQ1033" s="9"/>
      <c r="AR1033" s="9"/>
      <c r="AS1033" s="9"/>
      <c r="AT1033" s="9"/>
      <c r="AU1033" s="9"/>
      <c r="AV1033" s="9"/>
      <c r="AW1033" s="9"/>
      <c r="AX1033" s="9"/>
      <c r="AY1033" s="9"/>
      <c r="AZ1033" s="9"/>
      <c r="BA1033" s="9"/>
      <c r="BB1033" s="9"/>
      <c r="BC1033" s="9"/>
      <c r="BD1033" s="9"/>
      <c r="BE1033" s="9"/>
      <c r="BF1033" s="9"/>
      <c r="BG1033" s="9"/>
      <c r="BH1033" s="9"/>
      <c r="BI1033" s="9"/>
      <c r="BJ1033" s="9"/>
      <c r="BK1033" s="9"/>
      <c r="BL1033" s="9"/>
      <c r="BM1033" s="9"/>
      <c r="BN1033" s="9"/>
      <c r="BO1033" s="9"/>
      <c r="BP1033" s="9"/>
      <c r="BQ1033" s="9"/>
      <c r="BR1033" s="9"/>
      <c r="BS1033" s="9"/>
      <c r="BT1033" s="9"/>
      <c r="BU1033" s="9"/>
      <c r="BV1033" s="9"/>
      <c r="BW1033" s="9"/>
      <c r="BX1033" s="9"/>
      <c r="BY1033" s="9"/>
      <c r="BZ1033" s="9"/>
    </row>
    <row r="1034" spans="4:78" ht="18" customHeight="1" x14ac:dyDescent="0.25"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S1034" s="9"/>
      <c r="T1034" s="9"/>
      <c r="U1034" s="9"/>
      <c r="W1034" s="9"/>
      <c r="X1034" s="9"/>
      <c r="Y1034" s="9"/>
      <c r="Z1034" s="9"/>
      <c r="AA1034" s="9"/>
      <c r="AB1034" s="9"/>
      <c r="AC1034" s="9"/>
      <c r="AD1034" s="9"/>
      <c r="AE1034" s="9"/>
      <c r="AF1034" s="9"/>
      <c r="AG1034" s="9"/>
      <c r="AH1034" s="9"/>
      <c r="AI1034" s="9"/>
      <c r="AJ1034" s="9"/>
      <c r="AK1034" s="9"/>
      <c r="AL1034" s="9"/>
      <c r="AM1034" s="9"/>
      <c r="AN1034" s="9"/>
      <c r="AO1034" s="9"/>
      <c r="AP1034" s="9"/>
      <c r="AQ1034" s="9"/>
      <c r="AR1034" s="9"/>
      <c r="AS1034" s="9"/>
      <c r="AT1034" s="9"/>
      <c r="AU1034" s="9"/>
      <c r="AV1034" s="9"/>
      <c r="AW1034" s="9"/>
      <c r="AX1034" s="9"/>
      <c r="AY1034" s="9"/>
      <c r="AZ1034" s="9"/>
      <c r="BA1034" s="9"/>
      <c r="BB1034" s="9"/>
      <c r="BC1034" s="9"/>
      <c r="BD1034" s="9"/>
      <c r="BE1034" s="9"/>
      <c r="BF1034" s="9"/>
      <c r="BG1034" s="9"/>
      <c r="BH1034" s="9"/>
      <c r="BI1034" s="9"/>
      <c r="BJ1034" s="9"/>
      <c r="BK1034" s="9"/>
      <c r="BL1034" s="9"/>
      <c r="BM1034" s="9"/>
      <c r="BN1034" s="9"/>
      <c r="BO1034" s="9"/>
      <c r="BP1034" s="9"/>
      <c r="BQ1034" s="9"/>
      <c r="BR1034" s="9"/>
      <c r="BS1034" s="9"/>
      <c r="BT1034" s="9"/>
      <c r="BU1034" s="9"/>
      <c r="BV1034" s="9"/>
      <c r="BW1034" s="9"/>
      <c r="BX1034" s="9"/>
      <c r="BY1034" s="9"/>
      <c r="BZ1034" s="9"/>
    </row>
    <row r="1035" spans="4:78" ht="18" customHeight="1" x14ac:dyDescent="0.25"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S1035" s="9"/>
      <c r="T1035" s="9"/>
      <c r="U1035" s="9"/>
      <c r="W1035" s="9"/>
      <c r="X1035" s="9"/>
      <c r="Y1035" s="9"/>
      <c r="Z1035" s="9"/>
      <c r="AA1035" s="9"/>
      <c r="AB1035" s="9"/>
      <c r="AC1035" s="9"/>
      <c r="AD1035" s="9"/>
      <c r="AE1035" s="9"/>
      <c r="AF1035" s="9"/>
      <c r="AG1035" s="9"/>
      <c r="AH1035" s="9"/>
      <c r="AI1035" s="9"/>
      <c r="AJ1035" s="9"/>
      <c r="AK1035" s="9"/>
      <c r="AL1035" s="9"/>
      <c r="AM1035" s="9"/>
      <c r="AN1035" s="9"/>
      <c r="AO1035" s="9"/>
      <c r="AP1035" s="9"/>
      <c r="AQ1035" s="9"/>
      <c r="AR1035" s="9"/>
      <c r="AS1035" s="9"/>
      <c r="AT1035" s="9"/>
      <c r="AU1035" s="9"/>
      <c r="AV1035" s="9"/>
      <c r="AW1035" s="9"/>
      <c r="AX1035" s="9"/>
      <c r="AY1035" s="9"/>
      <c r="AZ1035" s="9"/>
      <c r="BA1035" s="9"/>
      <c r="BB1035" s="9"/>
      <c r="BC1035" s="9"/>
      <c r="BD1035" s="9"/>
      <c r="BE1035" s="9"/>
      <c r="BF1035" s="9"/>
      <c r="BG1035" s="9"/>
      <c r="BH1035" s="9"/>
      <c r="BI1035" s="9"/>
      <c r="BJ1035" s="9"/>
      <c r="BK1035" s="9"/>
      <c r="BL1035" s="9"/>
      <c r="BM1035" s="9"/>
      <c r="BN1035" s="9"/>
      <c r="BO1035" s="9"/>
      <c r="BP1035" s="9"/>
      <c r="BQ1035" s="9"/>
      <c r="BR1035" s="9"/>
      <c r="BS1035" s="9"/>
      <c r="BT1035" s="9"/>
      <c r="BU1035" s="9"/>
      <c r="BV1035" s="9"/>
      <c r="BW1035" s="9"/>
      <c r="BX1035" s="9"/>
      <c r="BY1035" s="9"/>
      <c r="BZ1035" s="9"/>
    </row>
    <row r="1036" spans="4:78" ht="18" customHeight="1" x14ac:dyDescent="0.25"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S1036" s="9"/>
      <c r="T1036" s="9"/>
      <c r="U1036" s="9"/>
      <c r="W1036" s="9"/>
      <c r="X1036" s="9"/>
      <c r="Y1036" s="9"/>
      <c r="Z1036" s="9"/>
      <c r="AA1036" s="9"/>
      <c r="AB1036" s="9"/>
      <c r="AC1036" s="9"/>
      <c r="AD1036" s="9"/>
      <c r="AE1036" s="9"/>
      <c r="AF1036" s="9"/>
      <c r="AG1036" s="9"/>
      <c r="AH1036" s="9"/>
      <c r="AI1036" s="9"/>
      <c r="AJ1036" s="9"/>
      <c r="AK1036" s="9"/>
      <c r="AL1036" s="9"/>
      <c r="AM1036" s="9"/>
      <c r="AN1036" s="9"/>
      <c r="AO1036" s="9"/>
      <c r="AP1036" s="9"/>
      <c r="AQ1036" s="9"/>
      <c r="AR1036" s="9"/>
      <c r="AS1036" s="9"/>
      <c r="AT1036" s="9"/>
      <c r="AU1036" s="9"/>
      <c r="AV1036" s="9"/>
      <c r="AW1036" s="9"/>
      <c r="AX1036" s="9"/>
      <c r="AY1036" s="9"/>
      <c r="AZ1036" s="9"/>
      <c r="BA1036" s="9"/>
      <c r="BB1036" s="9"/>
      <c r="BC1036" s="9"/>
      <c r="BD1036" s="9"/>
      <c r="BE1036" s="9"/>
      <c r="BF1036" s="9"/>
      <c r="BG1036" s="9"/>
      <c r="BH1036" s="9"/>
      <c r="BI1036" s="9"/>
      <c r="BJ1036" s="9"/>
      <c r="BK1036" s="9"/>
      <c r="BL1036" s="9"/>
      <c r="BM1036" s="9"/>
      <c r="BN1036" s="9"/>
      <c r="BO1036" s="9"/>
      <c r="BP1036" s="9"/>
      <c r="BQ1036" s="9"/>
      <c r="BR1036" s="9"/>
      <c r="BS1036" s="9"/>
      <c r="BT1036" s="9"/>
      <c r="BU1036" s="9"/>
      <c r="BV1036" s="9"/>
      <c r="BW1036" s="9"/>
      <c r="BX1036" s="9"/>
      <c r="BY1036" s="9"/>
      <c r="BZ1036" s="9"/>
    </row>
    <row r="1037" spans="4:78" ht="18" customHeight="1" x14ac:dyDescent="0.25"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S1037" s="9"/>
      <c r="T1037" s="9"/>
      <c r="U1037" s="9"/>
      <c r="W1037" s="9"/>
      <c r="X1037" s="9"/>
      <c r="Y1037" s="9"/>
      <c r="Z1037" s="9"/>
      <c r="AA1037" s="9"/>
      <c r="AB1037" s="9"/>
      <c r="AC1037" s="9"/>
      <c r="AD1037" s="9"/>
      <c r="AE1037" s="9"/>
      <c r="AF1037" s="9"/>
      <c r="AG1037" s="9"/>
      <c r="AH1037" s="9"/>
      <c r="AI1037" s="9"/>
      <c r="AJ1037" s="9"/>
      <c r="AK1037" s="9"/>
      <c r="AL1037" s="9"/>
      <c r="AM1037" s="9"/>
      <c r="AN1037" s="9"/>
      <c r="AO1037" s="9"/>
      <c r="AP1037" s="9"/>
      <c r="AQ1037" s="9"/>
      <c r="AR1037" s="9"/>
      <c r="AS1037" s="9"/>
      <c r="AT1037" s="9"/>
      <c r="AU1037" s="9"/>
      <c r="AV1037" s="9"/>
      <c r="AW1037" s="9"/>
      <c r="AX1037" s="9"/>
      <c r="AY1037" s="9"/>
      <c r="AZ1037" s="9"/>
      <c r="BA1037" s="9"/>
      <c r="BB1037" s="9"/>
      <c r="BC1037" s="9"/>
      <c r="BD1037" s="9"/>
      <c r="BE1037" s="9"/>
      <c r="BF1037" s="9"/>
      <c r="BG1037" s="9"/>
      <c r="BH1037" s="9"/>
      <c r="BI1037" s="9"/>
      <c r="BJ1037" s="9"/>
      <c r="BK1037" s="9"/>
      <c r="BL1037" s="9"/>
      <c r="BM1037" s="9"/>
      <c r="BN1037" s="9"/>
      <c r="BO1037" s="9"/>
      <c r="BP1037" s="9"/>
      <c r="BQ1037" s="9"/>
      <c r="BR1037" s="9"/>
      <c r="BS1037" s="9"/>
      <c r="BT1037" s="9"/>
      <c r="BU1037" s="9"/>
      <c r="BV1037" s="9"/>
      <c r="BW1037" s="9"/>
      <c r="BX1037" s="9"/>
      <c r="BY1037" s="9"/>
      <c r="BZ1037" s="9"/>
    </row>
    <row r="1038" spans="4:78" ht="18" customHeight="1" x14ac:dyDescent="0.25"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S1038" s="9"/>
      <c r="T1038" s="9"/>
      <c r="U1038" s="9"/>
      <c r="W1038" s="9"/>
      <c r="X1038" s="9"/>
      <c r="Y1038" s="9"/>
      <c r="Z1038" s="9"/>
      <c r="AA1038" s="9"/>
      <c r="AB1038" s="9"/>
      <c r="AC1038" s="9"/>
      <c r="AD1038" s="9"/>
      <c r="AE1038" s="9"/>
      <c r="AF1038" s="9"/>
      <c r="AG1038" s="9"/>
      <c r="AH1038" s="9"/>
      <c r="AI1038" s="9"/>
      <c r="AJ1038" s="9"/>
      <c r="AK1038" s="9"/>
      <c r="AL1038" s="9"/>
      <c r="AM1038" s="9"/>
      <c r="AN1038" s="9"/>
      <c r="AO1038" s="9"/>
      <c r="AP1038" s="9"/>
      <c r="AQ1038" s="9"/>
      <c r="AR1038" s="9"/>
      <c r="AS1038" s="9"/>
      <c r="AT1038" s="9"/>
      <c r="AU1038" s="9"/>
      <c r="AV1038" s="9"/>
      <c r="AW1038" s="9"/>
      <c r="AX1038" s="9"/>
      <c r="AY1038" s="9"/>
      <c r="AZ1038" s="9"/>
      <c r="BA1038" s="9"/>
      <c r="BB1038" s="9"/>
      <c r="BC1038" s="9"/>
      <c r="BD1038" s="9"/>
      <c r="BE1038" s="9"/>
      <c r="BF1038" s="9"/>
      <c r="BG1038" s="9"/>
      <c r="BH1038" s="9"/>
      <c r="BI1038" s="9"/>
      <c r="BJ1038" s="9"/>
      <c r="BK1038" s="9"/>
      <c r="BL1038" s="9"/>
      <c r="BM1038" s="9"/>
      <c r="BN1038" s="9"/>
      <c r="BO1038" s="9"/>
      <c r="BP1038" s="9"/>
      <c r="BQ1038" s="9"/>
      <c r="BR1038" s="9"/>
      <c r="BS1038" s="9"/>
      <c r="BT1038" s="9"/>
      <c r="BU1038" s="9"/>
      <c r="BV1038" s="9"/>
      <c r="BW1038" s="9"/>
      <c r="BX1038" s="9"/>
      <c r="BY1038" s="9"/>
      <c r="BZ1038" s="9"/>
    </row>
    <row r="1039" spans="4:78" ht="18" customHeight="1" x14ac:dyDescent="0.25"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S1039" s="9"/>
      <c r="T1039" s="9"/>
      <c r="U1039" s="9"/>
      <c r="W1039" s="9"/>
      <c r="X1039" s="9"/>
      <c r="Y1039" s="9"/>
      <c r="Z1039" s="9"/>
      <c r="AA1039" s="9"/>
      <c r="AB1039" s="9"/>
      <c r="AC1039" s="9"/>
      <c r="AD1039" s="9"/>
      <c r="AE1039" s="9"/>
      <c r="AF1039" s="9"/>
      <c r="AG1039" s="9"/>
      <c r="AH1039" s="9"/>
      <c r="AI1039" s="9"/>
      <c r="AJ1039" s="9"/>
      <c r="AK1039" s="9"/>
      <c r="AL1039" s="9"/>
      <c r="AM1039" s="9"/>
      <c r="AN1039" s="9"/>
      <c r="AO1039" s="9"/>
      <c r="AP1039" s="9"/>
      <c r="AQ1039" s="9"/>
      <c r="AR1039" s="9"/>
      <c r="AS1039" s="9"/>
      <c r="AT1039" s="9"/>
      <c r="AU1039" s="9"/>
      <c r="AV1039" s="9"/>
      <c r="AW1039" s="9"/>
      <c r="AX1039" s="9"/>
      <c r="AY1039" s="9"/>
      <c r="AZ1039" s="9"/>
      <c r="BA1039" s="9"/>
      <c r="BB1039" s="9"/>
      <c r="BC1039" s="9"/>
      <c r="BD1039" s="9"/>
      <c r="BE1039" s="9"/>
      <c r="BF1039" s="9"/>
      <c r="BG1039" s="9"/>
      <c r="BH1039" s="9"/>
      <c r="BI1039" s="9"/>
      <c r="BJ1039" s="9"/>
      <c r="BK1039" s="9"/>
      <c r="BL1039" s="9"/>
      <c r="BM1039" s="9"/>
      <c r="BN1039" s="9"/>
      <c r="BO1039" s="9"/>
      <c r="BP1039" s="9"/>
      <c r="BQ1039" s="9"/>
      <c r="BR1039" s="9"/>
      <c r="BS1039" s="9"/>
      <c r="BT1039" s="9"/>
      <c r="BU1039" s="9"/>
      <c r="BV1039" s="9"/>
      <c r="BW1039" s="9"/>
      <c r="BX1039" s="9"/>
      <c r="BY1039" s="9"/>
      <c r="BZ1039" s="9"/>
    </row>
    <row r="1040" spans="4:78" ht="18" customHeight="1" x14ac:dyDescent="0.25"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S1040" s="9"/>
      <c r="T1040" s="9"/>
      <c r="U1040" s="9"/>
      <c r="W1040" s="9"/>
      <c r="X1040" s="9"/>
      <c r="Y1040" s="9"/>
      <c r="Z1040" s="9"/>
      <c r="AA1040" s="9"/>
      <c r="AB1040" s="9"/>
      <c r="AC1040" s="9"/>
      <c r="AD1040" s="9"/>
      <c r="AE1040" s="9"/>
      <c r="AF1040" s="9"/>
      <c r="AG1040" s="9"/>
      <c r="AH1040" s="9"/>
      <c r="AI1040" s="9"/>
      <c r="AJ1040" s="9"/>
      <c r="AK1040" s="9"/>
      <c r="AL1040" s="9"/>
      <c r="AM1040" s="9"/>
      <c r="AN1040" s="9"/>
      <c r="AO1040" s="9"/>
      <c r="AP1040" s="9"/>
      <c r="AQ1040" s="9"/>
      <c r="AR1040" s="9"/>
      <c r="AS1040" s="9"/>
      <c r="AT1040" s="9"/>
      <c r="AU1040" s="9"/>
      <c r="AV1040" s="9"/>
      <c r="AW1040" s="9"/>
      <c r="AX1040" s="9"/>
      <c r="AY1040" s="9"/>
      <c r="AZ1040" s="9"/>
      <c r="BA1040" s="9"/>
      <c r="BB1040" s="9"/>
      <c r="BC1040" s="9"/>
      <c r="BD1040" s="9"/>
      <c r="BE1040" s="9"/>
      <c r="BF1040" s="9"/>
      <c r="BG1040" s="9"/>
      <c r="BH1040" s="9"/>
      <c r="BI1040" s="9"/>
      <c r="BJ1040" s="9"/>
      <c r="BK1040" s="9"/>
      <c r="BL1040" s="9"/>
      <c r="BM1040" s="9"/>
      <c r="BN1040" s="9"/>
      <c r="BO1040" s="9"/>
      <c r="BP1040" s="9"/>
      <c r="BQ1040" s="9"/>
      <c r="BR1040" s="9"/>
      <c r="BS1040" s="9"/>
      <c r="BT1040" s="9"/>
      <c r="BU1040" s="9"/>
      <c r="BV1040" s="9"/>
      <c r="BW1040" s="9"/>
      <c r="BX1040" s="9"/>
      <c r="BY1040" s="9"/>
      <c r="BZ1040" s="9"/>
    </row>
    <row r="1041" spans="4:78" ht="18" customHeight="1" x14ac:dyDescent="0.25"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S1041" s="9"/>
      <c r="T1041" s="9"/>
      <c r="U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9"/>
      <c r="AG1041" s="9"/>
      <c r="AH1041" s="9"/>
      <c r="AI1041" s="9"/>
      <c r="AJ1041" s="9"/>
      <c r="AK1041" s="9"/>
      <c r="AL1041" s="9"/>
      <c r="AM1041" s="9"/>
      <c r="AN1041" s="9"/>
      <c r="AO1041" s="9"/>
      <c r="AP1041" s="9"/>
      <c r="AQ1041" s="9"/>
      <c r="AR1041" s="9"/>
      <c r="AS1041" s="9"/>
      <c r="AT1041" s="9"/>
      <c r="AU1041" s="9"/>
      <c r="AV1041" s="9"/>
      <c r="AW1041" s="9"/>
      <c r="AX1041" s="9"/>
      <c r="AY1041" s="9"/>
      <c r="AZ1041" s="9"/>
      <c r="BA1041" s="9"/>
      <c r="BB1041" s="9"/>
      <c r="BC1041" s="9"/>
      <c r="BD1041" s="9"/>
      <c r="BE1041" s="9"/>
      <c r="BF1041" s="9"/>
      <c r="BG1041" s="9"/>
      <c r="BH1041" s="9"/>
      <c r="BI1041" s="9"/>
      <c r="BJ1041" s="9"/>
      <c r="BK1041" s="9"/>
      <c r="BL1041" s="9"/>
      <c r="BM1041" s="9"/>
      <c r="BN1041" s="9"/>
      <c r="BO1041" s="9"/>
      <c r="BP1041" s="9"/>
      <c r="BQ1041" s="9"/>
      <c r="BR1041" s="9"/>
      <c r="BS1041" s="9"/>
      <c r="BT1041" s="9"/>
      <c r="BU1041" s="9"/>
      <c r="BV1041" s="9"/>
      <c r="BW1041" s="9"/>
      <c r="BX1041" s="9"/>
      <c r="BY1041" s="9"/>
      <c r="BZ1041" s="9"/>
    </row>
    <row r="1042" spans="4:78" ht="18" customHeight="1" x14ac:dyDescent="0.25"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S1042" s="9"/>
      <c r="T1042" s="9"/>
      <c r="U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9"/>
      <c r="AG1042" s="9"/>
      <c r="AH1042" s="9"/>
      <c r="AI1042" s="9"/>
      <c r="AJ1042" s="9"/>
      <c r="AK1042" s="9"/>
      <c r="AL1042" s="9"/>
      <c r="AM1042" s="9"/>
      <c r="AN1042" s="9"/>
      <c r="AO1042" s="9"/>
      <c r="AP1042" s="9"/>
      <c r="AQ1042" s="9"/>
      <c r="AR1042" s="9"/>
      <c r="AS1042" s="9"/>
      <c r="AT1042" s="9"/>
      <c r="AU1042" s="9"/>
      <c r="AV1042" s="9"/>
      <c r="AW1042" s="9"/>
      <c r="AX1042" s="9"/>
      <c r="AY1042" s="9"/>
      <c r="AZ1042" s="9"/>
      <c r="BA1042" s="9"/>
      <c r="BB1042" s="9"/>
      <c r="BC1042" s="9"/>
      <c r="BD1042" s="9"/>
      <c r="BE1042" s="9"/>
      <c r="BF1042" s="9"/>
      <c r="BG1042" s="9"/>
      <c r="BH1042" s="9"/>
      <c r="BI1042" s="9"/>
      <c r="BJ1042" s="9"/>
      <c r="BK1042" s="9"/>
      <c r="BL1042" s="9"/>
      <c r="BM1042" s="9"/>
      <c r="BN1042" s="9"/>
      <c r="BO1042" s="9"/>
      <c r="BP1042" s="9"/>
      <c r="BQ1042" s="9"/>
      <c r="BR1042" s="9"/>
      <c r="BS1042" s="9"/>
      <c r="BT1042" s="9"/>
      <c r="BU1042" s="9"/>
      <c r="BV1042" s="9"/>
      <c r="BW1042" s="9"/>
      <c r="BX1042" s="9"/>
      <c r="BY1042" s="9"/>
      <c r="BZ1042" s="9"/>
    </row>
    <row r="1043" spans="4:78" ht="18" customHeight="1" x14ac:dyDescent="0.25"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S1043" s="9"/>
      <c r="T1043" s="9"/>
      <c r="U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9"/>
      <c r="AG1043" s="9"/>
      <c r="AH1043" s="9"/>
      <c r="AI1043" s="9"/>
      <c r="AJ1043" s="9"/>
      <c r="AK1043" s="9"/>
      <c r="AL1043" s="9"/>
      <c r="AM1043" s="9"/>
      <c r="AN1043" s="9"/>
      <c r="AO1043" s="9"/>
      <c r="AP1043" s="9"/>
      <c r="AQ1043" s="9"/>
      <c r="AR1043" s="9"/>
      <c r="AS1043" s="9"/>
      <c r="AT1043" s="9"/>
      <c r="AU1043" s="9"/>
      <c r="AV1043" s="9"/>
      <c r="AW1043" s="9"/>
      <c r="AX1043" s="9"/>
      <c r="AY1043" s="9"/>
      <c r="AZ1043" s="9"/>
      <c r="BA1043" s="9"/>
      <c r="BB1043" s="9"/>
      <c r="BC1043" s="9"/>
      <c r="BD1043" s="9"/>
      <c r="BE1043" s="9"/>
      <c r="BF1043" s="9"/>
      <c r="BG1043" s="9"/>
      <c r="BH1043" s="9"/>
      <c r="BI1043" s="9"/>
      <c r="BJ1043" s="9"/>
      <c r="BK1043" s="9"/>
      <c r="BL1043" s="9"/>
      <c r="BM1043" s="9"/>
      <c r="BN1043" s="9"/>
      <c r="BO1043" s="9"/>
      <c r="BP1043" s="9"/>
      <c r="BQ1043" s="9"/>
      <c r="BR1043" s="9"/>
      <c r="BS1043" s="9"/>
      <c r="BT1043" s="9"/>
      <c r="BU1043" s="9"/>
      <c r="BV1043" s="9"/>
      <c r="BW1043" s="9"/>
      <c r="BX1043" s="9"/>
      <c r="BY1043" s="9"/>
      <c r="BZ1043" s="9"/>
    </row>
    <row r="1044" spans="4:78" ht="18" customHeight="1" x14ac:dyDescent="0.25"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S1044" s="9"/>
      <c r="T1044" s="9"/>
      <c r="U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9"/>
      <c r="AG1044" s="9"/>
      <c r="AH1044" s="9"/>
      <c r="AI1044" s="9"/>
      <c r="AJ1044" s="9"/>
      <c r="AK1044" s="9"/>
      <c r="AL1044" s="9"/>
      <c r="AM1044" s="9"/>
      <c r="AN1044" s="9"/>
      <c r="AO1044" s="9"/>
      <c r="AP1044" s="9"/>
      <c r="AQ1044" s="9"/>
      <c r="AR1044" s="9"/>
      <c r="AS1044" s="9"/>
      <c r="AT1044" s="9"/>
      <c r="AU1044" s="9"/>
      <c r="AV1044" s="9"/>
      <c r="AW1044" s="9"/>
      <c r="AX1044" s="9"/>
      <c r="AY1044" s="9"/>
      <c r="AZ1044" s="9"/>
      <c r="BA1044" s="9"/>
      <c r="BB1044" s="9"/>
      <c r="BC1044" s="9"/>
      <c r="BD1044" s="9"/>
      <c r="BE1044" s="9"/>
      <c r="BF1044" s="9"/>
      <c r="BG1044" s="9"/>
      <c r="BH1044" s="9"/>
      <c r="BI1044" s="9"/>
      <c r="BJ1044" s="9"/>
      <c r="BK1044" s="9"/>
      <c r="BL1044" s="9"/>
      <c r="BM1044" s="9"/>
      <c r="BN1044" s="9"/>
      <c r="BO1044" s="9"/>
      <c r="BP1044" s="9"/>
      <c r="BQ1044" s="9"/>
      <c r="BR1044" s="9"/>
      <c r="BS1044" s="9"/>
      <c r="BT1044" s="9"/>
      <c r="BU1044" s="9"/>
      <c r="BV1044" s="9"/>
      <c r="BW1044" s="9"/>
      <c r="BX1044" s="9"/>
      <c r="BY1044" s="9"/>
      <c r="BZ1044" s="9"/>
    </row>
    <row r="1045" spans="4:78" ht="18" customHeight="1" x14ac:dyDescent="0.25"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S1045" s="9"/>
      <c r="T1045" s="9"/>
      <c r="U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9"/>
      <c r="AG1045" s="9"/>
      <c r="AH1045" s="9"/>
      <c r="AI1045" s="9"/>
      <c r="AJ1045" s="9"/>
      <c r="AK1045" s="9"/>
      <c r="AL1045" s="9"/>
      <c r="AM1045" s="9"/>
      <c r="AN1045" s="9"/>
      <c r="AO1045" s="9"/>
      <c r="AP1045" s="9"/>
      <c r="AQ1045" s="9"/>
      <c r="AR1045" s="9"/>
      <c r="AS1045" s="9"/>
      <c r="AT1045" s="9"/>
      <c r="AU1045" s="9"/>
      <c r="AV1045" s="9"/>
      <c r="AW1045" s="9"/>
      <c r="AX1045" s="9"/>
      <c r="AY1045" s="9"/>
      <c r="AZ1045" s="9"/>
      <c r="BA1045" s="9"/>
      <c r="BB1045" s="9"/>
      <c r="BC1045" s="9"/>
      <c r="BD1045" s="9"/>
      <c r="BE1045" s="9"/>
      <c r="BF1045" s="9"/>
      <c r="BG1045" s="9"/>
      <c r="BH1045" s="9"/>
      <c r="BI1045" s="9"/>
      <c r="BJ1045" s="9"/>
      <c r="BK1045" s="9"/>
      <c r="BL1045" s="9"/>
      <c r="BM1045" s="9"/>
      <c r="BN1045" s="9"/>
      <c r="BO1045" s="9"/>
      <c r="BP1045" s="9"/>
      <c r="BQ1045" s="9"/>
      <c r="BR1045" s="9"/>
      <c r="BS1045" s="9"/>
      <c r="BT1045" s="9"/>
      <c r="BU1045" s="9"/>
      <c r="BV1045" s="9"/>
      <c r="BW1045" s="9"/>
      <c r="BX1045" s="9"/>
      <c r="BY1045" s="9"/>
      <c r="BZ1045" s="9"/>
    </row>
    <row r="1046" spans="4:78" ht="18" customHeight="1" x14ac:dyDescent="0.25"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S1046" s="9"/>
      <c r="T1046" s="9"/>
      <c r="U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9"/>
      <c r="AG1046" s="9"/>
      <c r="AH1046" s="9"/>
      <c r="AI1046" s="9"/>
      <c r="AJ1046" s="9"/>
      <c r="AK1046" s="9"/>
      <c r="AL1046" s="9"/>
      <c r="AM1046" s="9"/>
      <c r="AN1046" s="9"/>
      <c r="AO1046" s="9"/>
      <c r="AP1046" s="9"/>
      <c r="AQ1046" s="9"/>
      <c r="AR1046" s="9"/>
      <c r="AS1046" s="9"/>
      <c r="AT1046" s="9"/>
      <c r="AU1046" s="9"/>
      <c r="AV1046" s="9"/>
      <c r="AW1046" s="9"/>
      <c r="AX1046" s="9"/>
      <c r="AY1046" s="9"/>
      <c r="AZ1046" s="9"/>
      <c r="BA1046" s="9"/>
      <c r="BB1046" s="9"/>
      <c r="BC1046" s="9"/>
      <c r="BD1046" s="9"/>
      <c r="BE1046" s="9"/>
      <c r="BF1046" s="9"/>
      <c r="BG1046" s="9"/>
      <c r="BH1046" s="9"/>
      <c r="BI1046" s="9"/>
      <c r="BJ1046" s="9"/>
      <c r="BK1046" s="9"/>
      <c r="BL1046" s="9"/>
      <c r="BM1046" s="9"/>
      <c r="BN1046" s="9"/>
      <c r="BO1046" s="9"/>
      <c r="BP1046" s="9"/>
      <c r="BQ1046" s="9"/>
      <c r="BR1046" s="9"/>
      <c r="BS1046" s="9"/>
      <c r="BT1046" s="9"/>
      <c r="BU1046" s="9"/>
      <c r="BV1046" s="9"/>
      <c r="BW1046" s="9"/>
      <c r="BX1046" s="9"/>
      <c r="BY1046" s="9"/>
      <c r="BZ1046" s="9"/>
    </row>
    <row r="1047" spans="4:78" ht="18" customHeight="1" x14ac:dyDescent="0.25"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S1047" s="9"/>
      <c r="T1047" s="9"/>
      <c r="U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9"/>
      <c r="AG1047" s="9"/>
      <c r="AH1047" s="9"/>
      <c r="AI1047" s="9"/>
      <c r="AJ1047" s="9"/>
      <c r="AK1047" s="9"/>
      <c r="AL1047" s="9"/>
      <c r="AM1047" s="9"/>
      <c r="AN1047" s="9"/>
      <c r="AO1047" s="9"/>
      <c r="AP1047" s="9"/>
      <c r="AQ1047" s="9"/>
      <c r="AR1047" s="9"/>
      <c r="AS1047" s="9"/>
      <c r="AT1047" s="9"/>
      <c r="AU1047" s="9"/>
      <c r="AV1047" s="9"/>
      <c r="AW1047" s="9"/>
      <c r="AX1047" s="9"/>
      <c r="AY1047" s="9"/>
      <c r="AZ1047" s="9"/>
      <c r="BA1047" s="9"/>
      <c r="BB1047" s="9"/>
      <c r="BC1047" s="9"/>
      <c r="BD1047" s="9"/>
      <c r="BE1047" s="9"/>
      <c r="BF1047" s="9"/>
      <c r="BG1047" s="9"/>
      <c r="BH1047" s="9"/>
      <c r="BI1047" s="9"/>
      <c r="BJ1047" s="9"/>
      <c r="BK1047" s="9"/>
      <c r="BL1047" s="9"/>
      <c r="BM1047" s="9"/>
      <c r="BN1047" s="9"/>
      <c r="BO1047" s="9"/>
      <c r="BP1047" s="9"/>
      <c r="BQ1047" s="9"/>
      <c r="BR1047" s="9"/>
      <c r="BS1047" s="9"/>
      <c r="BT1047" s="9"/>
      <c r="BU1047" s="9"/>
      <c r="BV1047" s="9"/>
      <c r="BW1047" s="9"/>
      <c r="BX1047" s="9"/>
      <c r="BY1047" s="9"/>
      <c r="BZ1047" s="9"/>
    </row>
    <row r="1048" spans="4:78" ht="18" customHeight="1" x14ac:dyDescent="0.25"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S1048" s="9"/>
      <c r="T1048" s="9"/>
      <c r="U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9"/>
      <c r="AG1048" s="9"/>
      <c r="AH1048" s="9"/>
      <c r="AI1048" s="9"/>
      <c r="AJ1048" s="9"/>
      <c r="AK1048" s="9"/>
      <c r="AL1048" s="9"/>
      <c r="AM1048" s="9"/>
      <c r="AN1048" s="9"/>
      <c r="AO1048" s="9"/>
      <c r="AP1048" s="9"/>
      <c r="AQ1048" s="9"/>
      <c r="AR1048" s="9"/>
      <c r="AS1048" s="9"/>
      <c r="AT1048" s="9"/>
      <c r="AU1048" s="9"/>
      <c r="AV1048" s="9"/>
      <c r="AW1048" s="9"/>
      <c r="AX1048" s="9"/>
      <c r="AY1048" s="9"/>
      <c r="AZ1048" s="9"/>
      <c r="BA1048" s="9"/>
      <c r="BB1048" s="9"/>
      <c r="BC1048" s="9"/>
      <c r="BD1048" s="9"/>
      <c r="BE1048" s="9"/>
      <c r="BF1048" s="9"/>
      <c r="BG1048" s="9"/>
      <c r="BH1048" s="9"/>
      <c r="BI1048" s="9"/>
      <c r="BJ1048" s="9"/>
      <c r="BK1048" s="9"/>
      <c r="BL1048" s="9"/>
      <c r="BM1048" s="9"/>
      <c r="BN1048" s="9"/>
      <c r="BO1048" s="9"/>
      <c r="BP1048" s="9"/>
      <c r="BQ1048" s="9"/>
      <c r="BR1048" s="9"/>
      <c r="BS1048" s="9"/>
      <c r="BT1048" s="9"/>
      <c r="BU1048" s="9"/>
      <c r="BV1048" s="9"/>
      <c r="BW1048" s="9"/>
      <c r="BX1048" s="9"/>
      <c r="BY1048" s="9"/>
      <c r="BZ1048" s="9"/>
    </row>
    <row r="1049" spans="4:78" ht="18" customHeight="1" x14ac:dyDescent="0.25"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S1049" s="9"/>
      <c r="T1049" s="9"/>
      <c r="U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9"/>
      <c r="AG1049" s="9"/>
      <c r="AH1049" s="9"/>
      <c r="AI1049" s="9"/>
      <c r="AJ1049" s="9"/>
      <c r="AK1049" s="9"/>
      <c r="AL1049" s="9"/>
      <c r="AM1049" s="9"/>
      <c r="AN1049" s="9"/>
      <c r="AO1049" s="9"/>
      <c r="AP1049" s="9"/>
      <c r="AQ1049" s="9"/>
      <c r="AR1049" s="9"/>
      <c r="AS1049" s="9"/>
      <c r="AT1049" s="9"/>
      <c r="AU1049" s="9"/>
      <c r="AV1049" s="9"/>
      <c r="AW1049" s="9"/>
      <c r="AX1049" s="9"/>
      <c r="AY1049" s="9"/>
      <c r="AZ1049" s="9"/>
      <c r="BA1049" s="9"/>
      <c r="BB1049" s="9"/>
      <c r="BC1049" s="9"/>
      <c r="BD1049" s="9"/>
      <c r="BE1049" s="9"/>
      <c r="BF1049" s="9"/>
      <c r="BG1049" s="9"/>
      <c r="BH1049" s="9"/>
      <c r="BI1049" s="9"/>
      <c r="BJ1049" s="9"/>
      <c r="BK1049" s="9"/>
      <c r="BL1049" s="9"/>
      <c r="BM1049" s="9"/>
      <c r="BN1049" s="9"/>
      <c r="BO1049" s="9"/>
      <c r="BP1049" s="9"/>
      <c r="BQ1049" s="9"/>
      <c r="BR1049" s="9"/>
      <c r="BS1049" s="9"/>
      <c r="BT1049" s="9"/>
      <c r="BU1049" s="9"/>
      <c r="BV1049" s="9"/>
      <c r="BW1049" s="9"/>
      <c r="BX1049" s="9"/>
      <c r="BY1049" s="9"/>
      <c r="BZ1049" s="9"/>
    </row>
    <row r="1050" spans="4:78" ht="18" customHeight="1" x14ac:dyDescent="0.25"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S1050" s="9"/>
      <c r="T1050" s="9"/>
      <c r="U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9"/>
      <c r="AG1050" s="9"/>
      <c r="AH1050" s="9"/>
      <c r="AI1050" s="9"/>
      <c r="AJ1050" s="9"/>
      <c r="AK1050" s="9"/>
      <c r="AL1050" s="9"/>
      <c r="AM1050" s="9"/>
      <c r="AN1050" s="9"/>
      <c r="AO1050" s="9"/>
      <c r="AP1050" s="9"/>
      <c r="AQ1050" s="9"/>
      <c r="AR1050" s="9"/>
      <c r="AS1050" s="9"/>
      <c r="AT1050" s="9"/>
      <c r="AU1050" s="9"/>
      <c r="AV1050" s="9"/>
      <c r="AW1050" s="9"/>
      <c r="AX1050" s="9"/>
      <c r="AY1050" s="9"/>
      <c r="AZ1050" s="9"/>
      <c r="BA1050" s="9"/>
      <c r="BB1050" s="9"/>
      <c r="BC1050" s="9"/>
      <c r="BD1050" s="9"/>
      <c r="BE1050" s="9"/>
      <c r="BF1050" s="9"/>
      <c r="BG1050" s="9"/>
      <c r="BH1050" s="9"/>
      <c r="BI1050" s="9"/>
      <c r="BJ1050" s="9"/>
      <c r="BK1050" s="9"/>
      <c r="BL1050" s="9"/>
      <c r="BM1050" s="9"/>
      <c r="BN1050" s="9"/>
      <c r="BO1050" s="9"/>
      <c r="BP1050" s="9"/>
      <c r="BQ1050" s="9"/>
      <c r="BR1050" s="9"/>
      <c r="BS1050" s="9"/>
      <c r="BT1050" s="9"/>
      <c r="BU1050" s="9"/>
      <c r="BV1050" s="9"/>
      <c r="BW1050" s="9"/>
      <c r="BX1050" s="9"/>
      <c r="BY1050" s="9"/>
      <c r="BZ1050" s="9"/>
    </row>
    <row r="1051" spans="4:78" ht="18" customHeight="1" x14ac:dyDescent="0.25"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S1051" s="9"/>
      <c r="T1051" s="9"/>
      <c r="U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9"/>
      <c r="AG1051" s="9"/>
      <c r="AH1051" s="9"/>
      <c r="AI1051" s="9"/>
      <c r="AJ1051" s="9"/>
      <c r="AK1051" s="9"/>
      <c r="AL1051" s="9"/>
      <c r="AM1051" s="9"/>
      <c r="AN1051" s="9"/>
      <c r="AO1051" s="9"/>
      <c r="AP1051" s="9"/>
      <c r="AQ1051" s="9"/>
      <c r="AR1051" s="9"/>
      <c r="AS1051" s="9"/>
      <c r="AT1051" s="9"/>
      <c r="AU1051" s="9"/>
      <c r="AV1051" s="9"/>
      <c r="AW1051" s="9"/>
      <c r="AX1051" s="9"/>
      <c r="AY1051" s="9"/>
      <c r="AZ1051" s="9"/>
      <c r="BA1051" s="9"/>
      <c r="BB1051" s="9"/>
      <c r="BC1051" s="9"/>
      <c r="BD1051" s="9"/>
      <c r="BE1051" s="9"/>
      <c r="BF1051" s="9"/>
      <c r="BG1051" s="9"/>
      <c r="BH1051" s="9"/>
      <c r="BI1051" s="9"/>
      <c r="BJ1051" s="9"/>
      <c r="BK1051" s="9"/>
      <c r="BL1051" s="9"/>
      <c r="BM1051" s="9"/>
      <c r="BN1051" s="9"/>
      <c r="BO1051" s="9"/>
      <c r="BP1051" s="9"/>
      <c r="BQ1051" s="9"/>
      <c r="BR1051" s="9"/>
      <c r="BS1051" s="9"/>
      <c r="BT1051" s="9"/>
      <c r="BU1051" s="9"/>
      <c r="BV1051" s="9"/>
      <c r="BW1051" s="9"/>
      <c r="BX1051" s="9"/>
      <c r="BY1051" s="9"/>
      <c r="BZ1051" s="9"/>
    </row>
    <row r="1052" spans="4:78" ht="18" customHeight="1" x14ac:dyDescent="0.25"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S1052" s="9"/>
      <c r="T1052" s="9"/>
      <c r="U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9"/>
      <c r="AG1052" s="9"/>
      <c r="AH1052" s="9"/>
      <c r="AI1052" s="9"/>
      <c r="AJ1052" s="9"/>
      <c r="AK1052" s="9"/>
      <c r="AL1052" s="9"/>
      <c r="AM1052" s="9"/>
      <c r="AN1052" s="9"/>
      <c r="AO1052" s="9"/>
      <c r="AP1052" s="9"/>
      <c r="AQ1052" s="9"/>
      <c r="AR1052" s="9"/>
      <c r="AS1052" s="9"/>
      <c r="AT1052" s="9"/>
      <c r="AU1052" s="9"/>
      <c r="AV1052" s="9"/>
      <c r="AW1052" s="9"/>
      <c r="AX1052" s="9"/>
      <c r="AY1052" s="9"/>
      <c r="AZ1052" s="9"/>
      <c r="BA1052" s="9"/>
      <c r="BB1052" s="9"/>
      <c r="BC1052" s="9"/>
      <c r="BD1052" s="9"/>
      <c r="BE1052" s="9"/>
      <c r="BF1052" s="9"/>
      <c r="BG1052" s="9"/>
      <c r="BH1052" s="9"/>
      <c r="BI1052" s="9"/>
      <c r="BJ1052" s="9"/>
      <c r="BK1052" s="9"/>
      <c r="BL1052" s="9"/>
      <c r="BM1052" s="9"/>
      <c r="BN1052" s="9"/>
      <c r="BO1052" s="9"/>
      <c r="BP1052" s="9"/>
      <c r="BQ1052" s="9"/>
      <c r="BR1052" s="9"/>
      <c r="BS1052" s="9"/>
      <c r="BT1052" s="9"/>
      <c r="BU1052" s="9"/>
      <c r="BV1052" s="9"/>
      <c r="BW1052" s="9"/>
      <c r="BX1052" s="9"/>
      <c r="BY1052" s="9"/>
      <c r="BZ1052" s="9"/>
    </row>
    <row r="1053" spans="4:78" ht="18" customHeight="1" x14ac:dyDescent="0.25"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S1053" s="9"/>
      <c r="T1053" s="9"/>
      <c r="U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9"/>
      <c r="AG1053" s="9"/>
      <c r="AH1053" s="9"/>
      <c r="AI1053" s="9"/>
      <c r="AJ1053" s="9"/>
      <c r="AK1053" s="9"/>
      <c r="AL1053" s="9"/>
      <c r="AM1053" s="9"/>
      <c r="AN1053" s="9"/>
      <c r="AO1053" s="9"/>
      <c r="AP1053" s="9"/>
      <c r="AQ1053" s="9"/>
      <c r="AR1053" s="9"/>
      <c r="AS1053" s="9"/>
      <c r="AT1053" s="9"/>
      <c r="AU1053" s="9"/>
      <c r="AV1053" s="9"/>
      <c r="AW1053" s="9"/>
      <c r="AX1053" s="9"/>
      <c r="AY1053" s="9"/>
      <c r="AZ1053" s="9"/>
      <c r="BA1053" s="9"/>
      <c r="BB1053" s="9"/>
      <c r="BC1053" s="9"/>
      <c r="BD1053" s="9"/>
      <c r="BE1053" s="9"/>
      <c r="BF1053" s="9"/>
      <c r="BG1053" s="9"/>
      <c r="BH1053" s="9"/>
      <c r="BI1053" s="9"/>
      <c r="BJ1053" s="9"/>
      <c r="BK1053" s="9"/>
      <c r="BL1053" s="9"/>
      <c r="BM1053" s="9"/>
      <c r="BN1053" s="9"/>
      <c r="BO1053" s="9"/>
      <c r="BP1053" s="9"/>
      <c r="BQ1053" s="9"/>
      <c r="BR1053" s="9"/>
      <c r="BS1053" s="9"/>
      <c r="BT1053" s="9"/>
      <c r="BU1053" s="9"/>
      <c r="BV1053" s="9"/>
      <c r="BW1053" s="9"/>
      <c r="BX1053" s="9"/>
      <c r="BY1053" s="9"/>
      <c r="BZ1053" s="9"/>
    </row>
    <row r="1054" spans="4:78" ht="18" customHeight="1" x14ac:dyDescent="0.25"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S1054" s="9"/>
      <c r="T1054" s="9"/>
      <c r="U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9"/>
      <c r="AG1054" s="9"/>
      <c r="AH1054" s="9"/>
      <c r="AI1054" s="9"/>
      <c r="AJ1054" s="9"/>
      <c r="AK1054" s="9"/>
      <c r="AL1054" s="9"/>
      <c r="AM1054" s="9"/>
      <c r="AN1054" s="9"/>
      <c r="AO1054" s="9"/>
      <c r="AP1054" s="9"/>
      <c r="AQ1054" s="9"/>
      <c r="AR1054" s="9"/>
      <c r="AS1054" s="9"/>
      <c r="AT1054" s="9"/>
      <c r="AU1054" s="9"/>
      <c r="AV1054" s="9"/>
      <c r="AW1054" s="9"/>
      <c r="AX1054" s="9"/>
      <c r="AY1054" s="9"/>
      <c r="AZ1054" s="9"/>
      <c r="BA1054" s="9"/>
      <c r="BB1054" s="9"/>
      <c r="BC1054" s="9"/>
      <c r="BD1054" s="9"/>
      <c r="BE1054" s="9"/>
      <c r="BF1054" s="9"/>
      <c r="BG1054" s="9"/>
      <c r="BH1054" s="9"/>
      <c r="BI1054" s="9"/>
      <c r="BJ1054" s="9"/>
      <c r="BK1054" s="9"/>
      <c r="BL1054" s="9"/>
      <c r="BM1054" s="9"/>
      <c r="BN1054" s="9"/>
      <c r="BO1054" s="9"/>
      <c r="BP1054" s="9"/>
      <c r="BQ1054" s="9"/>
      <c r="BR1054" s="9"/>
      <c r="BS1054" s="9"/>
      <c r="BT1054" s="9"/>
      <c r="BU1054" s="9"/>
      <c r="BV1054" s="9"/>
      <c r="BW1054" s="9"/>
      <c r="BX1054" s="9"/>
      <c r="BY1054" s="9"/>
      <c r="BZ1054" s="9"/>
    </row>
    <row r="1055" spans="4:78" ht="18" customHeight="1" x14ac:dyDescent="0.25"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S1055" s="9"/>
      <c r="T1055" s="9"/>
      <c r="U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9"/>
      <c r="AG1055" s="9"/>
      <c r="AH1055" s="9"/>
      <c r="AI1055" s="9"/>
      <c r="AJ1055" s="9"/>
      <c r="AK1055" s="9"/>
      <c r="AL1055" s="9"/>
      <c r="AM1055" s="9"/>
      <c r="AN1055" s="9"/>
      <c r="AO1055" s="9"/>
      <c r="AP1055" s="9"/>
      <c r="AQ1055" s="9"/>
      <c r="AR1055" s="9"/>
      <c r="AS1055" s="9"/>
      <c r="AT1055" s="9"/>
      <c r="AU1055" s="9"/>
      <c r="AV1055" s="9"/>
      <c r="AW1055" s="9"/>
      <c r="AX1055" s="9"/>
      <c r="AY1055" s="9"/>
      <c r="AZ1055" s="9"/>
      <c r="BA1055" s="9"/>
      <c r="BB1055" s="9"/>
      <c r="BC1055" s="9"/>
      <c r="BD1055" s="9"/>
      <c r="BE1055" s="9"/>
      <c r="BF1055" s="9"/>
      <c r="BG1055" s="9"/>
      <c r="BH1055" s="9"/>
      <c r="BI1055" s="9"/>
      <c r="BJ1055" s="9"/>
      <c r="BK1055" s="9"/>
      <c r="BL1055" s="9"/>
      <c r="BM1055" s="9"/>
      <c r="BN1055" s="9"/>
      <c r="BO1055" s="9"/>
      <c r="BP1055" s="9"/>
      <c r="BQ1055" s="9"/>
      <c r="BR1055" s="9"/>
      <c r="BS1055" s="9"/>
      <c r="BT1055" s="9"/>
      <c r="BU1055" s="9"/>
      <c r="BV1055" s="9"/>
      <c r="BW1055" s="9"/>
      <c r="BX1055" s="9"/>
      <c r="BY1055" s="9"/>
      <c r="BZ1055" s="9"/>
    </row>
    <row r="1056" spans="4:78" ht="18" customHeight="1" x14ac:dyDescent="0.25"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S1056" s="9"/>
      <c r="T1056" s="9"/>
      <c r="U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9"/>
      <c r="AG1056" s="9"/>
      <c r="AH1056" s="9"/>
      <c r="AI1056" s="9"/>
      <c r="AJ1056" s="9"/>
      <c r="AK1056" s="9"/>
      <c r="AL1056" s="9"/>
      <c r="AM1056" s="9"/>
      <c r="AN1056" s="9"/>
      <c r="AO1056" s="9"/>
      <c r="AP1056" s="9"/>
      <c r="AQ1056" s="9"/>
      <c r="AR1056" s="9"/>
      <c r="AS1056" s="9"/>
      <c r="AT1056" s="9"/>
      <c r="AU1056" s="9"/>
      <c r="AV1056" s="9"/>
      <c r="AW1056" s="9"/>
      <c r="AX1056" s="9"/>
      <c r="AY1056" s="9"/>
      <c r="AZ1056" s="9"/>
      <c r="BA1056" s="9"/>
      <c r="BB1056" s="9"/>
      <c r="BC1056" s="9"/>
      <c r="BD1056" s="9"/>
      <c r="BE1056" s="9"/>
      <c r="BF1056" s="9"/>
      <c r="BG1056" s="9"/>
      <c r="BH1056" s="9"/>
      <c r="BI1056" s="9"/>
      <c r="BJ1056" s="9"/>
      <c r="BK1056" s="9"/>
      <c r="BL1056" s="9"/>
      <c r="BM1056" s="9"/>
      <c r="BN1056" s="9"/>
      <c r="BO1056" s="9"/>
      <c r="BP1056" s="9"/>
      <c r="BQ1056" s="9"/>
      <c r="BR1056" s="9"/>
      <c r="BS1056" s="9"/>
      <c r="BT1056" s="9"/>
      <c r="BU1056" s="9"/>
      <c r="BV1056" s="9"/>
      <c r="BW1056" s="9"/>
      <c r="BX1056" s="9"/>
      <c r="BY1056" s="9"/>
      <c r="BZ1056" s="9"/>
    </row>
    <row r="1057" spans="4:78" ht="18" customHeight="1" x14ac:dyDescent="0.25"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S1057" s="9"/>
      <c r="T1057" s="9"/>
      <c r="U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9"/>
      <c r="AG1057" s="9"/>
      <c r="AH1057" s="9"/>
      <c r="AI1057" s="9"/>
      <c r="AJ1057" s="9"/>
      <c r="AK1057" s="9"/>
      <c r="AL1057" s="9"/>
      <c r="AM1057" s="9"/>
      <c r="AN1057" s="9"/>
      <c r="AO1057" s="9"/>
      <c r="AP1057" s="9"/>
      <c r="AQ1057" s="9"/>
      <c r="AR1057" s="9"/>
      <c r="AS1057" s="9"/>
      <c r="AT1057" s="9"/>
      <c r="AU1057" s="9"/>
      <c r="AV1057" s="9"/>
      <c r="AW1057" s="9"/>
      <c r="AX1057" s="9"/>
      <c r="AY1057" s="9"/>
      <c r="AZ1057" s="9"/>
      <c r="BA1057" s="9"/>
      <c r="BB1057" s="9"/>
      <c r="BC1057" s="9"/>
      <c r="BD1057" s="9"/>
      <c r="BE1057" s="9"/>
      <c r="BF1057" s="9"/>
      <c r="BG1057" s="9"/>
      <c r="BH1057" s="9"/>
      <c r="BI1057" s="9"/>
      <c r="BJ1057" s="9"/>
      <c r="BK1057" s="9"/>
      <c r="BL1057" s="9"/>
      <c r="BM1057" s="9"/>
      <c r="BN1057" s="9"/>
      <c r="BO1057" s="9"/>
      <c r="BP1057" s="9"/>
      <c r="BQ1057" s="9"/>
      <c r="BR1057" s="9"/>
      <c r="BS1057" s="9"/>
      <c r="BT1057" s="9"/>
      <c r="BU1057" s="9"/>
      <c r="BV1057" s="9"/>
      <c r="BW1057" s="9"/>
      <c r="BX1057" s="9"/>
      <c r="BY1057" s="9"/>
      <c r="BZ1057" s="9"/>
    </row>
    <row r="1058" spans="4:78" ht="18" customHeight="1" x14ac:dyDescent="0.25"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S1058" s="9"/>
      <c r="T1058" s="9"/>
      <c r="U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9"/>
      <c r="AG1058" s="9"/>
      <c r="AH1058" s="9"/>
      <c r="AI1058" s="9"/>
      <c r="AJ1058" s="9"/>
      <c r="AK1058" s="9"/>
      <c r="AL1058" s="9"/>
      <c r="AM1058" s="9"/>
      <c r="AN1058" s="9"/>
      <c r="AO1058" s="9"/>
      <c r="AP1058" s="9"/>
      <c r="AQ1058" s="9"/>
      <c r="AR1058" s="9"/>
      <c r="AS1058" s="9"/>
      <c r="AT1058" s="9"/>
      <c r="AU1058" s="9"/>
      <c r="AV1058" s="9"/>
      <c r="AW1058" s="9"/>
      <c r="AX1058" s="9"/>
      <c r="AY1058" s="9"/>
      <c r="AZ1058" s="9"/>
      <c r="BA1058" s="9"/>
      <c r="BB1058" s="9"/>
      <c r="BC1058" s="9"/>
      <c r="BD1058" s="9"/>
      <c r="BE1058" s="9"/>
      <c r="BF1058" s="9"/>
      <c r="BG1058" s="9"/>
      <c r="BH1058" s="9"/>
      <c r="BI1058" s="9"/>
      <c r="BJ1058" s="9"/>
      <c r="BK1058" s="9"/>
      <c r="BL1058" s="9"/>
      <c r="BM1058" s="9"/>
      <c r="BN1058" s="9"/>
      <c r="BO1058" s="9"/>
      <c r="BP1058" s="9"/>
      <c r="BQ1058" s="9"/>
      <c r="BR1058" s="9"/>
      <c r="BS1058" s="9"/>
      <c r="BT1058" s="9"/>
      <c r="BU1058" s="9"/>
      <c r="BV1058" s="9"/>
      <c r="BW1058" s="9"/>
      <c r="BX1058" s="9"/>
      <c r="BY1058" s="9"/>
      <c r="BZ1058" s="9"/>
    </row>
    <row r="1059" spans="4:78" ht="18" customHeight="1" x14ac:dyDescent="0.25"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S1059" s="9"/>
      <c r="T1059" s="9"/>
      <c r="U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9"/>
      <c r="AG1059" s="9"/>
      <c r="AH1059" s="9"/>
      <c r="AI1059" s="9"/>
      <c r="AJ1059" s="9"/>
      <c r="AK1059" s="9"/>
      <c r="AL1059" s="9"/>
      <c r="AM1059" s="9"/>
      <c r="AN1059" s="9"/>
      <c r="AO1059" s="9"/>
      <c r="AP1059" s="9"/>
      <c r="AQ1059" s="9"/>
      <c r="AR1059" s="9"/>
      <c r="AS1059" s="9"/>
      <c r="AT1059" s="9"/>
      <c r="AU1059" s="9"/>
      <c r="AV1059" s="9"/>
      <c r="AW1059" s="9"/>
      <c r="AX1059" s="9"/>
      <c r="AY1059" s="9"/>
      <c r="AZ1059" s="9"/>
      <c r="BA1059" s="9"/>
      <c r="BB1059" s="9"/>
      <c r="BC1059" s="9"/>
      <c r="BD1059" s="9"/>
      <c r="BE1059" s="9"/>
      <c r="BF1059" s="9"/>
      <c r="BG1059" s="9"/>
      <c r="BH1059" s="9"/>
      <c r="BI1059" s="9"/>
      <c r="BJ1059" s="9"/>
      <c r="BK1059" s="9"/>
      <c r="BL1059" s="9"/>
      <c r="BM1059" s="9"/>
      <c r="BN1059" s="9"/>
      <c r="BO1059" s="9"/>
      <c r="BP1059" s="9"/>
      <c r="BQ1059" s="9"/>
      <c r="BR1059" s="9"/>
      <c r="BS1059" s="9"/>
      <c r="BT1059" s="9"/>
      <c r="BU1059" s="9"/>
      <c r="BV1059" s="9"/>
      <c r="BW1059" s="9"/>
      <c r="BX1059" s="9"/>
      <c r="BY1059" s="9"/>
      <c r="BZ1059" s="9"/>
    </row>
    <row r="1060" spans="4:78" ht="18" customHeight="1" x14ac:dyDescent="0.25"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S1060" s="9"/>
      <c r="T1060" s="9"/>
      <c r="U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9"/>
      <c r="AG1060" s="9"/>
      <c r="AH1060" s="9"/>
      <c r="AI1060" s="9"/>
      <c r="AJ1060" s="9"/>
      <c r="AK1060" s="9"/>
      <c r="AL1060" s="9"/>
      <c r="AM1060" s="9"/>
      <c r="AN1060" s="9"/>
      <c r="AO1060" s="9"/>
      <c r="AP1060" s="9"/>
      <c r="AQ1060" s="9"/>
      <c r="AR1060" s="9"/>
      <c r="AS1060" s="9"/>
      <c r="AT1060" s="9"/>
      <c r="AU1060" s="9"/>
      <c r="AV1060" s="9"/>
      <c r="AW1060" s="9"/>
      <c r="AX1060" s="9"/>
      <c r="AY1060" s="9"/>
      <c r="AZ1060" s="9"/>
      <c r="BA1060" s="9"/>
      <c r="BB1060" s="9"/>
      <c r="BC1060" s="9"/>
      <c r="BD1060" s="9"/>
      <c r="BE1060" s="9"/>
      <c r="BF1060" s="9"/>
      <c r="BG1060" s="9"/>
      <c r="BH1060" s="9"/>
      <c r="BI1060" s="9"/>
      <c r="BJ1060" s="9"/>
      <c r="BK1060" s="9"/>
      <c r="BL1060" s="9"/>
      <c r="BM1060" s="9"/>
      <c r="BN1060" s="9"/>
      <c r="BO1060" s="9"/>
      <c r="BP1060" s="9"/>
      <c r="BQ1060" s="9"/>
      <c r="BR1060" s="9"/>
      <c r="BS1060" s="9"/>
      <c r="BT1060" s="9"/>
      <c r="BU1060" s="9"/>
      <c r="BV1060" s="9"/>
      <c r="BW1060" s="9"/>
      <c r="BX1060" s="9"/>
      <c r="BY1060" s="9"/>
      <c r="BZ1060" s="9"/>
    </row>
    <row r="1061" spans="4:78" ht="18" customHeight="1" x14ac:dyDescent="0.25"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S1061" s="9"/>
      <c r="T1061" s="9"/>
      <c r="U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9"/>
      <c r="AG1061" s="9"/>
      <c r="AH1061" s="9"/>
      <c r="AI1061" s="9"/>
      <c r="AJ1061" s="9"/>
      <c r="AK1061" s="9"/>
      <c r="AL1061" s="9"/>
      <c r="AM1061" s="9"/>
      <c r="AN1061" s="9"/>
      <c r="AO1061" s="9"/>
      <c r="AP1061" s="9"/>
      <c r="AQ1061" s="9"/>
      <c r="AR1061" s="9"/>
      <c r="AS1061" s="9"/>
      <c r="AT1061" s="9"/>
      <c r="AU1061" s="9"/>
      <c r="AV1061" s="9"/>
      <c r="AW1061" s="9"/>
      <c r="AX1061" s="9"/>
      <c r="AY1061" s="9"/>
      <c r="AZ1061" s="9"/>
      <c r="BA1061" s="9"/>
      <c r="BB1061" s="9"/>
      <c r="BC1061" s="9"/>
      <c r="BD1061" s="9"/>
      <c r="BE1061" s="9"/>
      <c r="BF1061" s="9"/>
      <c r="BG1061" s="9"/>
      <c r="BH1061" s="9"/>
      <c r="BI1061" s="9"/>
      <c r="BJ1061" s="9"/>
      <c r="BK1061" s="9"/>
      <c r="BL1061" s="9"/>
      <c r="BM1061" s="9"/>
      <c r="BN1061" s="9"/>
      <c r="BO1061" s="9"/>
      <c r="BP1061" s="9"/>
      <c r="BQ1061" s="9"/>
      <c r="BR1061" s="9"/>
      <c r="BS1061" s="9"/>
      <c r="BT1061" s="9"/>
      <c r="BU1061" s="9"/>
      <c r="BV1061" s="9"/>
      <c r="BW1061" s="9"/>
      <c r="BX1061" s="9"/>
      <c r="BY1061" s="9"/>
      <c r="BZ1061" s="9"/>
    </row>
    <row r="1062" spans="4:78" ht="18" customHeight="1" x14ac:dyDescent="0.25"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S1062" s="9"/>
      <c r="T1062" s="9"/>
      <c r="U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9"/>
      <c r="AG1062" s="9"/>
      <c r="AH1062" s="9"/>
      <c r="AI1062" s="9"/>
      <c r="AJ1062" s="9"/>
      <c r="AK1062" s="9"/>
      <c r="AL1062" s="9"/>
      <c r="AM1062" s="9"/>
      <c r="AN1062" s="9"/>
      <c r="AO1062" s="9"/>
      <c r="AP1062" s="9"/>
      <c r="AQ1062" s="9"/>
      <c r="AR1062" s="9"/>
      <c r="AS1062" s="9"/>
      <c r="AT1062" s="9"/>
      <c r="AU1062" s="9"/>
      <c r="AV1062" s="9"/>
      <c r="AW1062" s="9"/>
      <c r="AX1062" s="9"/>
      <c r="AY1062" s="9"/>
      <c r="AZ1062" s="9"/>
      <c r="BA1062" s="9"/>
      <c r="BB1062" s="9"/>
      <c r="BC1062" s="9"/>
      <c r="BD1062" s="9"/>
      <c r="BE1062" s="9"/>
      <c r="BF1062" s="9"/>
      <c r="BG1062" s="9"/>
      <c r="BH1062" s="9"/>
      <c r="BI1062" s="9"/>
      <c r="BJ1062" s="9"/>
      <c r="BK1062" s="9"/>
      <c r="BL1062" s="9"/>
      <c r="BM1062" s="9"/>
      <c r="BN1062" s="9"/>
      <c r="BO1062" s="9"/>
      <c r="BP1062" s="9"/>
      <c r="BQ1062" s="9"/>
      <c r="BR1062" s="9"/>
      <c r="BS1062" s="9"/>
      <c r="BT1062" s="9"/>
      <c r="BU1062" s="9"/>
      <c r="BV1062" s="9"/>
      <c r="BW1062" s="9"/>
      <c r="BX1062" s="9"/>
      <c r="BY1062" s="9"/>
      <c r="BZ1062" s="9"/>
    </row>
    <row r="1063" spans="4:78" ht="18" customHeight="1" x14ac:dyDescent="0.25"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S1063" s="9"/>
      <c r="T1063" s="9"/>
      <c r="U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9"/>
      <c r="AG1063" s="9"/>
      <c r="AH1063" s="9"/>
      <c r="AI1063" s="9"/>
      <c r="AJ1063" s="9"/>
      <c r="AK1063" s="9"/>
      <c r="AL1063" s="9"/>
      <c r="AM1063" s="9"/>
      <c r="AN1063" s="9"/>
      <c r="AO1063" s="9"/>
      <c r="AP1063" s="9"/>
      <c r="AQ1063" s="9"/>
      <c r="AR1063" s="9"/>
      <c r="AS1063" s="9"/>
      <c r="AT1063" s="9"/>
      <c r="AU1063" s="9"/>
      <c r="AV1063" s="9"/>
      <c r="AW1063" s="9"/>
      <c r="AX1063" s="9"/>
      <c r="AY1063" s="9"/>
      <c r="AZ1063" s="9"/>
      <c r="BA1063" s="9"/>
      <c r="BB1063" s="9"/>
      <c r="BC1063" s="9"/>
      <c r="BD1063" s="9"/>
      <c r="BE1063" s="9"/>
      <c r="BF1063" s="9"/>
      <c r="BG1063" s="9"/>
      <c r="BH1063" s="9"/>
      <c r="BI1063" s="9"/>
      <c r="BJ1063" s="9"/>
      <c r="BK1063" s="9"/>
      <c r="BL1063" s="9"/>
      <c r="BM1063" s="9"/>
      <c r="BN1063" s="9"/>
      <c r="BO1063" s="9"/>
      <c r="BP1063" s="9"/>
      <c r="BQ1063" s="9"/>
      <c r="BR1063" s="9"/>
      <c r="BS1063" s="9"/>
      <c r="BT1063" s="9"/>
      <c r="BU1063" s="9"/>
      <c r="BV1063" s="9"/>
      <c r="BW1063" s="9"/>
      <c r="BX1063" s="9"/>
      <c r="BY1063" s="9"/>
      <c r="BZ1063" s="9"/>
    </row>
    <row r="1064" spans="4:78" ht="18" customHeight="1" x14ac:dyDescent="0.25"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S1064" s="9"/>
      <c r="T1064" s="9"/>
      <c r="U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9"/>
      <c r="AG1064" s="9"/>
      <c r="AH1064" s="9"/>
      <c r="AI1064" s="9"/>
      <c r="AJ1064" s="9"/>
      <c r="AK1064" s="9"/>
      <c r="AL1064" s="9"/>
      <c r="AM1064" s="9"/>
      <c r="AN1064" s="9"/>
      <c r="AO1064" s="9"/>
      <c r="AP1064" s="9"/>
      <c r="AQ1064" s="9"/>
      <c r="AR1064" s="9"/>
      <c r="AS1064" s="9"/>
      <c r="AT1064" s="9"/>
      <c r="AU1064" s="9"/>
      <c r="AV1064" s="9"/>
      <c r="AW1064" s="9"/>
      <c r="AX1064" s="9"/>
      <c r="AY1064" s="9"/>
      <c r="AZ1064" s="9"/>
      <c r="BA1064" s="9"/>
      <c r="BB1064" s="9"/>
      <c r="BC1064" s="9"/>
      <c r="BD1064" s="9"/>
      <c r="BE1064" s="9"/>
      <c r="BF1064" s="9"/>
      <c r="BG1064" s="9"/>
      <c r="BH1064" s="9"/>
      <c r="BI1064" s="9"/>
      <c r="BJ1064" s="9"/>
      <c r="BK1064" s="9"/>
      <c r="BL1064" s="9"/>
      <c r="BM1064" s="9"/>
      <c r="BN1064" s="9"/>
      <c r="BO1064" s="9"/>
      <c r="BP1064" s="9"/>
      <c r="BQ1064" s="9"/>
      <c r="BR1064" s="9"/>
      <c r="BS1064" s="9"/>
      <c r="BT1064" s="9"/>
      <c r="BU1064" s="9"/>
      <c r="BV1064" s="9"/>
      <c r="BW1064" s="9"/>
      <c r="BX1064" s="9"/>
      <c r="BY1064" s="9"/>
      <c r="BZ1064" s="9"/>
    </row>
    <row r="1065" spans="4:78" ht="18" customHeight="1" x14ac:dyDescent="0.25"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S1065" s="9"/>
      <c r="T1065" s="9"/>
      <c r="U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9"/>
      <c r="AG1065" s="9"/>
      <c r="AH1065" s="9"/>
      <c r="AI1065" s="9"/>
      <c r="AJ1065" s="9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  <c r="BL1065" s="9"/>
      <c r="BM1065" s="9"/>
      <c r="BN1065" s="9"/>
      <c r="BO1065" s="9"/>
      <c r="BP1065" s="9"/>
      <c r="BQ1065" s="9"/>
      <c r="BR1065" s="9"/>
      <c r="BS1065" s="9"/>
      <c r="BT1065" s="9"/>
      <c r="BU1065" s="9"/>
      <c r="BV1065" s="9"/>
      <c r="BW1065" s="9"/>
      <c r="BX1065" s="9"/>
      <c r="BY1065" s="9"/>
      <c r="BZ1065" s="9"/>
    </row>
    <row r="1066" spans="4:78" ht="18" customHeight="1" x14ac:dyDescent="0.25"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S1066" s="9"/>
      <c r="T1066" s="9"/>
      <c r="U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9"/>
      <c r="AG1066" s="9"/>
      <c r="AH1066" s="9"/>
      <c r="AI1066" s="9"/>
      <c r="AJ1066" s="9"/>
      <c r="AK1066" s="9"/>
      <c r="AL1066" s="9"/>
      <c r="AM1066" s="9"/>
      <c r="AN1066" s="9"/>
      <c r="AO1066" s="9"/>
      <c r="AP1066" s="9"/>
      <c r="AQ1066" s="9"/>
      <c r="AR1066" s="9"/>
      <c r="AS1066" s="9"/>
      <c r="AT1066" s="9"/>
      <c r="AU1066" s="9"/>
      <c r="AV1066" s="9"/>
      <c r="AW1066" s="9"/>
      <c r="AX1066" s="9"/>
      <c r="AY1066" s="9"/>
      <c r="AZ1066" s="9"/>
      <c r="BA1066" s="9"/>
      <c r="BB1066" s="9"/>
      <c r="BC1066" s="9"/>
      <c r="BD1066" s="9"/>
      <c r="BE1066" s="9"/>
      <c r="BF1066" s="9"/>
      <c r="BG1066" s="9"/>
      <c r="BH1066" s="9"/>
      <c r="BI1066" s="9"/>
      <c r="BJ1066" s="9"/>
      <c r="BK1066" s="9"/>
      <c r="BL1066" s="9"/>
      <c r="BM1066" s="9"/>
      <c r="BN1066" s="9"/>
      <c r="BO1066" s="9"/>
      <c r="BP1066" s="9"/>
      <c r="BQ1066" s="9"/>
      <c r="BR1066" s="9"/>
      <c r="BS1066" s="9"/>
      <c r="BT1066" s="9"/>
      <c r="BU1066" s="9"/>
      <c r="BV1066" s="9"/>
      <c r="BW1066" s="9"/>
      <c r="BX1066" s="9"/>
      <c r="BY1066" s="9"/>
      <c r="BZ1066" s="9"/>
    </row>
    <row r="1067" spans="4:78" ht="18" customHeight="1" x14ac:dyDescent="0.25"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S1067" s="9"/>
      <c r="T1067" s="9"/>
      <c r="U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9"/>
      <c r="AG1067" s="9"/>
      <c r="AH1067" s="9"/>
      <c r="AI1067" s="9"/>
      <c r="AJ1067" s="9"/>
      <c r="AK1067" s="9"/>
      <c r="AL1067" s="9"/>
      <c r="AM1067" s="9"/>
      <c r="AN1067" s="9"/>
      <c r="AO1067" s="9"/>
      <c r="AP1067" s="9"/>
      <c r="AQ1067" s="9"/>
      <c r="AR1067" s="9"/>
      <c r="AS1067" s="9"/>
      <c r="AT1067" s="9"/>
      <c r="AU1067" s="9"/>
      <c r="AV1067" s="9"/>
      <c r="AW1067" s="9"/>
      <c r="AX1067" s="9"/>
      <c r="AY1067" s="9"/>
      <c r="AZ1067" s="9"/>
      <c r="BA1067" s="9"/>
      <c r="BB1067" s="9"/>
      <c r="BC1067" s="9"/>
      <c r="BD1067" s="9"/>
      <c r="BE1067" s="9"/>
      <c r="BF1067" s="9"/>
      <c r="BG1067" s="9"/>
      <c r="BH1067" s="9"/>
      <c r="BI1067" s="9"/>
      <c r="BJ1067" s="9"/>
      <c r="BK1067" s="9"/>
      <c r="BL1067" s="9"/>
      <c r="BM1067" s="9"/>
      <c r="BN1067" s="9"/>
      <c r="BO1067" s="9"/>
      <c r="BP1067" s="9"/>
      <c r="BQ1067" s="9"/>
      <c r="BR1067" s="9"/>
      <c r="BS1067" s="9"/>
      <c r="BT1067" s="9"/>
      <c r="BU1067" s="9"/>
      <c r="BV1067" s="9"/>
      <c r="BW1067" s="9"/>
      <c r="BX1067" s="9"/>
      <c r="BY1067" s="9"/>
      <c r="BZ1067" s="9"/>
    </row>
    <row r="1068" spans="4:78" ht="18" customHeight="1" x14ac:dyDescent="0.25"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S1068" s="9"/>
      <c r="T1068" s="9"/>
      <c r="U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9"/>
      <c r="AG1068" s="9"/>
      <c r="AH1068" s="9"/>
      <c r="AI1068" s="9"/>
      <c r="AJ1068" s="9"/>
      <c r="AK1068" s="9"/>
      <c r="AL1068" s="9"/>
      <c r="AM1068" s="9"/>
      <c r="AN1068" s="9"/>
      <c r="AO1068" s="9"/>
      <c r="AP1068" s="9"/>
      <c r="AQ1068" s="9"/>
      <c r="AR1068" s="9"/>
      <c r="AS1068" s="9"/>
      <c r="AT1068" s="9"/>
      <c r="AU1068" s="9"/>
      <c r="AV1068" s="9"/>
      <c r="AW1068" s="9"/>
      <c r="AX1068" s="9"/>
      <c r="AY1068" s="9"/>
      <c r="AZ1068" s="9"/>
      <c r="BA1068" s="9"/>
      <c r="BB1068" s="9"/>
      <c r="BC1068" s="9"/>
      <c r="BD1068" s="9"/>
      <c r="BE1068" s="9"/>
      <c r="BF1068" s="9"/>
      <c r="BG1068" s="9"/>
      <c r="BH1068" s="9"/>
      <c r="BI1068" s="9"/>
      <c r="BJ1068" s="9"/>
      <c r="BK1068" s="9"/>
      <c r="BL1068" s="9"/>
      <c r="BM1068" s="9"/>
      <c r="BN1068" s="9"/>
      <c r="BO1068" s="9"/>
      <c r="BP1068" s="9"/>
      <c r="BQ1068" s="9"/>
      <c r="BR1068" s="9"/>
      <c r="BS1068" s="9"/>
      <c r="BT1068" s="9"/>
      <c r="BU1068" s="9"/>
      <c r="BV1068" s="9"/>
      <c r="BW1068" s="9"/>
      <c r="BX1068" s="9"/>
      <c r="BY1068" s="9"/>
      <c r="BZ1068" s="9"/>
    </row>
    <row r="1069" spans="4:78" ht="18" customHeight="1" x14ac:dyDescent="0.25"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S1069" s="9"/>
      <c r="T1069" s="9"/>
      <c r="U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9"/>
      <c r="AG1069" s="9"/>
      <c r="AH1069" s="9"/>
      <c r="AI1069" s="9"/>
      <c r="AJ1069" s="9"/>
      <c r="AK1069" s="9"/>
      <c r="AL1069" s="9"/>
      <c r="AM1069" s="9"/>
      <c r="AN1069" s="9"/>
      <c r="AO1069" s="9"/>
      <c r="AP1069" s="9"/>
      <c r="AQ1069" s="9"/>
      <c r="AR1069" s="9"/>
      <c r="AS1069" s="9"/>
      <c r="AT1069" s="9"/>
      <c r="AU1069" s="9"/>
      <c r="AV1069" s="9"/>
      <c r="AW1069" s="9"/>
      <c r="AX1069" s="9"/>
      <c r="AY1069" s="9"/>
      <c r="AZ1069" s="9"/>
      <c r="BA1069" s="9"/>
      <c r="BB1069" s="9"/>
      <c r="BC1069" s="9"/>
      <c r="BD1069" s="9"/>
      <c r="BE1069" s="9"/>
      <c r="BF1069" s="9"/>
      <c r="BG1069" s="9"/>
      <c r="BH1069" s="9"/>
      <c r="BI1069" s="9"/>
      <c r="BJ1069" s="9"/>
      <c r="BK1069" s="9"/>
      <c r="BL1069" s="9"/>
      <c r="BM1069" s="9"/>
      <c r="BN1069" s="9"/>
      <c r="BO1069" s="9"/>
      <c r="BP1069" s="9"/>
      <c r="BQ1069" s="9"/>
      <c r="BR1069" s="9"/>
      <c r="BS1069" s="9"/>
      <c r="BT1069" s="9"/>
      <c r="BU1069" s="9"/>
      <c r="BV1069" s="9"/>
      <c r="BW1069" s="9"/>
      <c r="BX1069" s="9"/>
      <c r="BY1069" s="9"/>
      <c r="BZ1069" s="9"/>
    </row>
    <row r="1070" spans="4:78" ht="18" customHeight="1" x14ac:dyDescent="0.25"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S1070" s="9"/>
      <c r="T1070" s="9"/>
      <c r="U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9"/>
      <c r="AG1070" s="9"/>
      <c r="AH1070" s="9"/>
      <c r="AI1070" s="9"/>
      <c r="AJ1070" s="9"/>
      <c r="AK1070" s="9"/>
      <c r="AL1070" s="9"/>
      <c r="AM1070" s="9"/>
      <c r="AN1070" s="9"/>
      <c r="AO1070" s="9"/>
      <c r="AP1070" s="9"/>
      <c r="AQ1070" s="9"/>
      <c r="AR1070" s="9"/>
      <c r="AS1070" s="9"/>
      <c r="AT1070" s="9"/>
      <c r="AU1070" s="9"/>
      <c r="AV1070" s="9"/>
      <c r="AW1070" s="9"/>
      <c r="AX1070" s="9"/>
      <c r="AY1070" s="9"/>
      <c r="AZ1070" s="9"/>
      <c r="BA1070" s="9"/>
      <c r="BB1070" s="9"/>
      <c r="BC1070" s="9"/>
      <c r="BD1070" s="9"/>
      <c r="BE1070" s="9"/>
      <c r="BF1070" s="9"/>
      <c r="BG1070" s="9"/>
      <c r="BH1070" s="9"/>
      <c r="BI1070" s="9"/>
      <c r="BJ1070" s="9"/>
      <c r="BK1070" s="9"/>
      <c r="BL1070" s="9"/>
      <c r="BM1070" s="9"/>
      <c r="BN1070" s="9"/>
      <c r="BO1070" s="9"/>
      <c r="BP1070" s="9"/>
      <c r="BQ1070" s="9"/>
      <c r="BR1070" s="9"/>
      <c r="BS1070" s="9"/>
      <c r="BT1070" s="9"/>
      <c r="BU1070" s="9"/>
      <c r="BV1070" s="9"/>
      <c r="BW1070" s="9"/>
      <c r="BX1070" s="9"/>
      <c r="BY1070" s="9"/>
      <c r="BZ1070" s="9"/>
    </row>
    <row r="1071" spans="4:78" ht="18" customHeight="1" x14ac:dyDescent="0.25"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S1071" s="9"/>
      <c r="T1071" s="9"/>
      <c r="U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9"/>
      <c r="AG1071" s="9"/>
      <c r="AH1071" s="9"/>
      <c r="AI1071" s="9"/>
      <c r="AJ1071" s="9"/>
      <c r="AK1071" s="9"/>
      <c r="AL1071" s="9"/>
      <c r="AM1071" s="9"/>
      <c r="AN1071" s="9"/>
      <c r="AO1071" s="9"/>
      <c r="AP1071" s="9"/>
      <c r="AQ1071" s="9"/>
      <c r="AR1071" s="9"/>
      <c r="AS1071" s="9"/>
      <c r="AT1071" s="9"/>
      <c r="AU1071" s="9"/>
      <c r="AV1071" s="9"/>
      <c r="AW1071" s="9"/>
      <c r="AX1071" s="9"/>
      <c r="AY1071" s="9"/>
      <c r="AZ1071" s="9"/>
      <c r="BA1071" s="9"/>
      <c r="BB1071" s="9"/>
      <c r="BC1071" s="9"/>
      <c r="BD1071" s="9"/>
      <c r="BE1071" s="9"/>
      <c r="BF1071" s="9"/>
      <c r="BG1071" s="9"/>
      <c r="BH1071" s="9"/>
      <c r="BI1071" s="9"/>
      <c r="BJ1071" s="9"/>
      <c r="BK1071" s="9"/>
      <c r="BL1071" s="9"/>
      <c r="BM1071" s="9"/>
      <c r="BN1071" s="9"/>
      <c r="BO1071" s="9"/>
      <c r="BP1071" s="9"/>
      <c r="BQ1071" s="9"/>
      <c r="BR1071" s="9"/>
      <c r="BS1071" s="9"/>
      <c r="BT1071" s="9"/>
      <c r="BU1071" s="9"/>
      <c r="BV1071" s="9"/>
      <c r="BW1071" s="9"/>
      <c r="BX1071" s="9"/>
      <c r="BY1071" s="9"/>
      <c r="BZ1071" s="9"/>
    </row>
    <row r="1072" spans="4:78" ht="18" customHeight="1" x14ac:dyDescent="0.25"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S1072" s="9"/>
      <c r="T1072" s="9"/>
      <c r="U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9"/>
      <c r="AG1072" s="9"/>
      <c r="AH1072" s="9"/>
      <c r="AI1072" s="9"/>
      <c r="AJ1072" s="9"/>
      <c r="AK1072" s="9"/>
      <c r="AL1072" s="9"/>
      <c r="AM1072" s="9"/>
      <c r="AN1072" s="9"/>
      <c r="AO1072" s="9"/>
      <c r="AP1072" s="9"/>
      <c r="AQ1072" s="9"/>
      <c r="AR1072" s="9"/>
      <c r="AS1072" s="9"/>
      <c r="AT1072" s="9"/>
      <c r="AU1072" s="9"/>
      <c r="AV1072" s="9"/>
      <c r="AW1072" s="9"/>
      <c r="AX1072" s="9"/>
      <c r="AY1072" s="9"/>
      <c r="AZ1072" s="9"/>
      <c r="BA1072" s="9"/>
      <c r="BB1072" s="9"/>
      <c r="BC1072" s="9"/>
      <c r="BD1072" s="9"/>
      <c r="BE1072" s="9"/>
      <c r="BF1072" s="9"/>
      <c r="BG1072" s="9"/>
      <c r="BH1072" s="9"/>
      <c r="BI1072" s="9"/>
      <c r="BJ1072" s="9"/>
      <c r="BK1072" s="9"/>
      <c r="BL1072" s="9"/>
      <c r="BM1072" s="9"/>
      <c r="BN1072" s="9"/>
      <c r="BO1072" s="9"/>
      <c r="BP1072" s="9"/>
      <c r="BQ1072" s="9"/>
      <c r="BR1072" s="9"/>
      <c r="BS1072" s="9"/>
      <c r="BT1072" s="9"/>
      <c r="BU1072" s="9"/>
      <c r="BV1072" s="9"/>
      <c r="BW1072" s="9"/>
      <c r="BX1072" s="9"/>
      <c r="BY1072" s="9"/>
      <c r="BZ1072" s="9"/>
    </row>
    <row r="1073" spans="4:78" ht="18" customHeight="1" x14ac:dyDescent="0.25"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S1073" s="9"/>
      <c r="T1073" s="9"/>
      <c r="U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9"/>
      <c r="AG1073" s="9"/>
      <c r="AH1073" s="9"/>
      <c r="AI1073" s="9"/>
      <c r="AJ1073" s="9"/>
      <c r="AK1073" s="9"/>
      <c r="AL1073" s="9"/>
      <c r="AM1073" s="9"/>
      <c r="AN1073" s="9"/>
      <c r="AO1073" s="9"/>
      <c r="AP1073" s="9"/>
      <c r="AQ1073" s="9"/>
      <c r="AR1073" s="9"/>
      <c r="AS1073" s="9"/>
      <c r="AT1073" s="9"/>
      <c r="AU1073" s="9"/>
      <c r="AV1073" s="9"/>
      <c r="AW1073" s="9"/>
      <c r="AX1073" s="9"/>
      <c r="AY1073" s="9"/>
      <c r="AZ1073" s="9"/>
      <c r="BA1073" s="9"/>
      <c r="BB1073" s="9"/>
      <c r="BC1073" s="9"/>
      <c r="BD1073" s="9"/>
      <c r="BE1073" s="9"/>
      <c r="BF1073" s="9"/>
      <c r="BG1073" s="9"/>
      <c r="BH1073" s="9"/>
      <c r="BI1073" s="9"/>
      <c r="BJ1073" s="9"/>
      <c r="BK1073" s="9"/>
      <c r="BL1073" s="9"/>
      <c r="BM1073" s="9"/>
      <c r="BN1073" s="9"/>
      <c r="BO1073" s="9"/>
      <c r="BP1073" s="9"/>
      <c r="BQ1073" s="9"/>
      <c r="BR1073" s="9"/>
      <c r="BS1073" s="9"/>
      <c r="BT1073" s="9"/>
      <c r="BU1073" s="9"/>
      <c r="BV1073" s="9"/>
      <c r="BW1073" s="9"/>
      <c r="BX1073" s="9"/>
      <c r="BY1073" s="9"/>
      <c r="BZ1073" s="9"/>
    </row>
    <row r="1074" spans="4:78" ht="18" customHeight="1" x14ac:dyDescent="0.25"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S1074" s="9"/>
      <c r="T1074" s="9"/>
      <c r="U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9"/>
      <c r="AG1074" s="9"/>
      <c r="AH1074" s="9"/>
      <c r="AI1074" s="9"/>
      <c r="AJ1074" s="9"/>
      <c r="AK1074" s="9"/>
      <c r="AL1074" s="9"/>
      <c r="AM1074" s="9"/>
      <c r="AN1074" s="9"/>
      <c r="AO1074" s="9"/>
      <c r="AP1074" s="9"/>
      <c r="AQ1074" s="9"/>
      <c r="AR1074" s="9"/>
      <c r="AS1074" s="9"/>
      <c r="AT1074" s="9"/>
      <c r="AU1074" s="9"/>
      <c r="AV1074" s="9"/>
      <c r="AW1074" s="9"/>
      <c r="AX1074" s="9"/>
      <c r="AY1074" s="9"/>
      <c r="AZ1074" s="9"/>
      <c r="BA1074" s="9"/>
      <c r="BB1074" s="9"/>
      <c r="BC1074" s="9"/>
      <c r="BD1074" s="9"/>
      <c r="BE1074" s="9"/>
      <c r="BF1074" s="9"/>
      <c r="BG1074" s="9"/>
      <c r="BH1074" s="9"/>
      <c r="BI1074" s="9"/>
      <c r="BJ1074" s="9"/>
      <c r="BK1074" s="9"/>
      <c r="BL1074" s="9"/>
      <c r="BM1074" s="9"/>
      <c r="BN1074" s="9"/>
      <c r="BO1074" s="9"/>
      <c r="BP1074" s="9"/>
      <c r="BQ1074" s="9"/>
      <c r="BR1074" s="9"/>
      <c r="BS1074" s="9"/>
      <c r="BT1074" s="9"/>
      <c r="BU1074" s="9"/>
      <c r="BV1074" s="9"/>
      <c r="BW1074" s="9"/>
      <c r="BX1074" s="9"/>
      <c r="BY1074" s="9"/>
      <c r="BZ1074" s="9"/>
    </row>
    <row r="1075" spans="4:78" ht="18" customHeight="1" x14ac:dyDescent="0.25"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S1075" s="9"/>
      <c r="T1075" s="9"/>
      <c r="U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9"/>
      <c r="AG1075" s="9"/>
      <c r="AH1075" s="9"/>
      <c r="AI1075" s="9"/>
      <c r="AJ1075" s="9"/>
      <c r="AK1075" s="9"/>
      <c r="AL1075" s="9"/>
      <c r="AM1075" s="9"/>
      <c r="AN1075" s="9"/>
      <c r="AO1075" s="9"/>
      <c r="AP1075" s="9"/>
      <c r="AQ1075" s="9"/>
      <c r="AR1075" s="9"/>
      <c r="AS1075" s="9"/>
      <c r="AT1075" s="9"/>
      <c r="AU1075" s="9"/>
      <c r="AV1075" s="9"/>
      <c r="AW1075" s="9"/>
      <c r="AX1075" s="9"/>
      <c r="AY1075" s="9"/>
      <c r="AZ1075" s="9"/>
      <c r="BA1075" s="9"/>
      <c r="BB1075" s="9"/>
      <c r="BC1075" s="9"/>
      <c r="BD1075" s="9"/>
      <c r="BE1075" s="9"/>
      <c r="BF1075" s="9"/>
      <c r="BG1075" s="9"/>
      <c r="BH1075" s="9"/>
      <c r="BI1075" s="9"/>
      <c r="BJ1075" s="9"/>
      <c r="BK1075" s="9"/>
      <c r="BL1075" s="9"/>
      <c r="BM1075" s="9"/>
      <c r="BN1075" s="9"/>
      <c r="BO1075" s="9"/>
      <c r="BP1075" s="9"/>
      <c r="BQ1075" s="9"/>
      <c r="BR1075" s="9"/>
      <c r="BS1075" s="9"/>
      <c r="BT1075" s="9"/>
      <c r="BU1075" s="9"/>
      <c r="BV1075" s="9"/>
      <c r="BW1075" s="9"/>
      <c r="BX1075" s="9"/>
      <c r="BY1075" s="9"/>
      <c r="BZ1075" s="9"/>
    </row>
    <row r="1076" spans="4:78" ht="18" customHeight="1" x14ac:dyDescent="0.25"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S1076" s="9"/>
      <c r="T1076" s="9"/>
      <c r="U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9"/>
      <c r="AG1076" s="9"/>
      <c r="AH1076" s="9"/>
      <c r="AI1076" s="9"/>
      <c r="AJ1076" s="9"/>
      <c r="AK1076" s="9"/>
      <c r="AL1076" s="9"/>
      <c r="AM1076" s="9"/>
      <c r="AN1076" s="9"/>
      <c r="AO1076" s="9"/>
      <c r="AP1076" s="9"/>
      <c r="AQ1076" s="9"/>
      <c r="AR1076" s="9"/>
      <c r="AS1076" s="9"/>
      <c r="AT1076" s="9"/>
      <c r="AU1076" s="9"/>
      <c r="AV1076" s="9"/>
      <c r="AW1076" s="9"/>
      <c r="AX1076" s="9"/>
      <c r="AY1076" s="9"/>
      <c r="AZ1076" s="9"/>
      <c r="BA1076" s="9"/>
      <c r="BB1076" s="9"/>
      <c r="BC1076" s="9"/>
      <c r="BD1076" s="9"/>
      <c r="BE1076" s="9"/>
      <c r="BF1076" s="9"/>
      <c r="BG1076" s="9"/>
      <c r="BH1076" s="9"/>
      <c r="BI1076" s="9"/>
      <c r="BJ1076" s="9"/>
      <c r="BK1076" s="9"/>
      <c r="BL1076" s="9"/>
      <c r="BM1076" s="9"/>
      <c r="BN1076" s="9"/>
      <c r="BO1076" s="9"/>
      <c r="BP1076" s="9"/>
      <c r="BQ1076" s="9"/>
      <c r="BR1076" s="9"/>
      <c r="BS1076" s="9"/>
      <c r="BT1076" s="9"/>
      <c r="BU1076" s="9"/>
      <c r="BV1076" s="9"/>
      <c r="BW1076" s="9"/>
      <c r="BX1076" s="9"/>
      <c r="BY1076" s="9"/>
      <c r="BZ1076" s="9"/>
    </row>
    <row r="1077" spans="4:78" ht="18" customHeight="1" x14ac:dyDescent="0.25"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S1077" s="9"/>
      <c r="T1077" s="9"/>
      <c r="U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9"/>
      <c r="AG1077" s="9"/>
      <c r="AH1077" s="9"/>
      <c r="AI1077" s="9"/>
      <c r="AJ1077" s="9"/>
      <c r="AK1077" s="9"/>
      <c r="AL1077" s="9"/>
      <c r="AM1077" s="9"/>
      <c r="AN1077" s="9"/>
      <c r="AO1077" s="9"/>
      <c r="AP1077" s="9"/>
      <c r="AQ1077" s="9"/>
      <c r="AR1077" s="9"/>
      <c r="AS1077" s="9"/>
      <c r="AT1077" s="9"/>
      <c r="AU1077" s="9"/>
      <c r="AV1077" s="9"/>
      <c r="AW1077" s="9"/>
      <c r="AX1077" s="9"/>
      <c r="AY1077" s="9"/>
      <c r="AZ1077" s="9"/>
      <c r="BA1077" s="9"/>
      <c r="BB1077" s="9"/>
      <c r="BC1077" s="9"/>
      <c r="BD1077" s="9"/>
      <c r="BE1077" s="9"/>
      <c r="BF1077" s="9"/>
      <c r="BG1077" s="9"/>
      <c r="BH1077" s="9"/>
      <c r="BI1077" s="9"/>
      <c r="BJ1077" s="9"/>
      <c r="BK1077" s="9"/>
      <c r="BL1077" s="9"/>
      <c r="BM1077" s="9"/>
      <c r="BN1077" s="9"/>
      <c r="BO1077" s="9"/>
      <c r="BP1077" s="9"/>
      <c r="BQ1077" s="9"/>
      <c r="BR1077" s="9"/>
      <c r="BS1077" s="9"/>
      <c r="BT1077" s="9"/>
      <c r="BU1077" s="9"/>
      <c r="BV1077" s="9"/>
      <c r="BW1077" s="9"/>
      <c r="BX1077" s="9"/>
      <c r="BY1077" s="9"/>
      <c r="BZ1077" s="9"/>
    </row>
    <row r="1078" spans="4:78" ht="18" customHeight="1" x14ac:dyDescent="0.25"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S1078" s="9"/>
      <c r="T1078" s="9"/>
      <c r="U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9"/>
      <c r="AG1078" s="9"/>
      <c r="AH1078" s="9"/>
      <c r="AI1078" s="9"/>
      <c r="AJ1078" s="9"/>
      <c r="AK1078" s="9"/>
      <c r="AL1078" s="9"/>
      <c r="AM1078" s="9"/>
      <c r="AN1078" s="9"/>
      <c r="AO1078" s="9"/>
      <c r="AP1078" s="9"/>
      <c r="AQ1078" s="9"/>
      <c r="AR1078" s="9"/>
      <c r="AS1078" s="9"/>
      <c r="AT1078" s="9"/>
      <c r="AU1078" s="9"/>
      <c r="AV1078" s="9"/>
      <c r="AW1078" s="9"/>
      <c r="AX1078" s="9"/>
      <c r="AY1078" s="9"/>
      <c r="AZ1078" s="9"/>
      <c r="BA1078" s="9"/>
      <c r="BB1078" s="9"/>
      <c r="BC1078" s="9"/>
      <c r="BD1078" s="9"/>
      <c r="BE1078" s="9"/>
      <c r="BF1078" s="9"/>
      <c r="BG1078" s="9"/>
      <c r="BH1078" s="9"/>
      <c r="BI1078" s="9"/>
      <c r="BJ1078" s="9"/>
      <c r="BK1078" s="9"/>
      <c r="BL1078" s="9"/>
      <c r="BM1078" s="9"/>
      <c r="BN1078" s="9"/>
      <c r="BO1078" s="9"/>
      <c r="BP1078" s="9"/>
      <c r="BQ1078" s="9"/>
      <c r="BR1078" s="9"/>
      <c r="BS1078" s="9"/>
      <c r="BT1078" s="9"/>
      <c r="BU1078" s="9"/>
      <c r="BV1078" s="9"/>
      <c r="BW1078" s="9"/>
      <c r="BX1078" s="9"/>
      <c r="BY1078" s="9"/>
      <c r="BZ1078" s="9"/>
    </row>
    <row r="1079" spans="4:78" ht="18" customHeight="1" x14ac:dyDescent="0.25"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S1079" s="9"/>
      <c r="T1079" s="9"/>
      <c r="U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9"/>
      <c r="AG1079" s="9"/>
      <c r="AH1079" s="9"/>
      <c r="AI1079" s="9"/>
      <c r="AJ1079" s="9"/>
      <c r="AK1079" s="9"/>
      <c r="AL1079" s="9"/>
      <c r="AM1079" s="9"/>
      <c r="AN1079" s="9"/>
      <c r="AO1079" s="9"/>
      <c r="AP1079" s="9"/>
      <c r="AQ1079" s="9"/>
      <c r="AR1079" s="9"/>
      <c r="AS1079" s="9"/>
      <c r="AT1079" s="9"/>
      <c r="AU1079" s="9"/>
      <c r="AV1079" s="9"/>
      <c r="AW1079" s="9"/>
      <c r="AX1079" s="9"/>
      <c r="AY1079" s="9"/>
      <c r="AZ1079" s="9"/>
      <c r="BA1079" s="9"/>
      <c r="BB1079" s="9"/>
      <c r="BC1079" s="9"/>
      <c r="BD1079" s="9"/>
      <c r="BE1079" s="9"/>
      <c r="BF1079" s="9"/>
      <c r="BG1079" s="9"/>
      <c r="BH1079" s="9"/>
      <c r="BI1079" s="9"/>
      <c r="BJ1079" s="9"/>
      <c r="BK1079" s="9"/>
      <c r="BL1079" s="9"/>
      <c r="BM1079" s="9"/>
      <c r="BN1079" s="9"/>
      <c r="BO1079" s="9"/>
      <c r="BP1079" s="9"/>
      <c r="BQ1079" s="9"/>
      <c r="BR1079" s="9"/>
      <c r="BS1079" s="9"/>
      <c r="BT1079" s="9"/>
      <c r="BU1079" s="9"/>
      <c r="BV1079" s="9"/>
      <c r="BW1079" s="9"/>
      <c r="BX1079" s="9"/>
      <c r="BY1079" s="9"/>
      <c r="BZ1079" s="9"/>
    </row>
    <row r="1080" spans="4:78" ht="18" customHeight="1" x14ac:dyDescent="0.25"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S1080" s="9"/>
      <c r="T1080" s="9"/>
      <c r="U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9"/>
      <c r="AG1080" s="9"/>
      <c r="AH1080" s="9"/>
      <c r="AI1080" s="9"/>
      <c r="AJ1080" s="9"/>
      <c r="AK1080" s="9"/>
      <c r="AL1080" s="9"/>
      <c r="AM1080" s="9"/>
      <c r="AN1080" s="9"/>
      <c r="AO1080" s="9"/>
      <c r="AP1080" s="9"/>
      <c r="AQ1080" s="9"/>
      <c r="AR1080" s="9"/>
      <c r="AS1080" s="9"/>
      <c r="AT1080" s="9"/>
      <c r="AU1080" s="9"/>
      <c r="AV1080" s="9"/>
      <c r="AW1080" s="9"/>
      <c r="AX1080" s="9"/>
      <c r="AY1080" s="9"/>
      <c r="AZ1080" s="9"/>
      <c r="BA1080" s="9"/>
      <c r="BB1080" s="9"/>
      <c r="BC1080" s="9"/>
      <c r="BD1080" s="9"/>
      <c r="BE1080" s="9"/>
      <c r="BF1080" s="9"/>
      <c r="BG1080" s="9"/>
      <c r="BH1080" s="9"/>
      <c r="BI1080" s="9"/>
      <c r="BJ1080" s="9"/>
      <c r="BK1080" s="9"/>
      <c r="BL1080" s="9"/>
      <c r="BM1080" s="9"/>
      <c r="BN1080" s="9"/>
      <c r="BO1080" s="9"/>
      <c r="BP1080" s="9"/>
      <c r="BQ1080" s="9"/>
      <c r="BR1080" s="9"/>
      <c r="BS1080" s="9"/>
      <c r="BT1080" s="9"/>
      <c r="BU1080" s="9"/>
      <c r="BV1080" s="9"/>
      <c r="BW1080" s="9"/>
      <c r="BX1080" s="9"/>
      <c r="BY1080" s="9"/>
      <c r="BZ1080" s="9"/>
    </row>
    <row r="1081" spans="4:78" ht="18" customHeight="1" x14ac:dyDescent="0.25"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S1081" s="9"/>
      <c r="T1081" s="9"/>
      <c r="U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9"/>
      <c r="AG1081" s="9"/>
      <c r="AH1081" s="9"/>
      <c r="AI1081" s="9"/>
      <c r="AJ1081" s="9"/>
      <c r="AK1081" s="9"/>
      <c r="AL1081" s="9"/>
      <c r="AM1081" s="9"/>
      <c r="AN1081" s="9"/>
      <c r="AO1081" s="9"/>
      <c r="AP1081" s="9"/>
      <c r="AQ1081" s="9"/>
      <c r="AR1081" s="9"/>
      <c r="AS1081" s="9"/>
      <c r="AT1081" s="9"/>
      <c r="AU1081" s="9"/>
      <c r="AV1081" s="9"/>
      <c r="AW1081" s="9"/>
      <c r="AX1081" s="9"/>
      <c r="AY1081" s="9"/>
      <c r="AZ1081" s="9"/>
      <c r="BA1081" s="9"/>
      <c r="BB1081" s="9"/>
      <c r="BC1081" s="9"/>
      <c r="BD1081" s="9"/>
      <c r="BE1081" s="9"/>
      <c r="BF1081" s="9"/>
      <c r="BG1081" s="9"/>
      <c r="BH1081" s="9"/>
      <c r="BI1081" s="9"/>
      <c r="BJ1081" s="9"/>
      <c r="BK1081" s="9"/>
      <c r="BL1081" s="9"/>
      <c r="BM1081" s="9"/>
      <c r="BN1081" s="9"/>
      <c r="BO1081" s="9"/>
      <c r="BP1081" s="9"/>
      <c r="BQ1081" s="9"/>
      <c r="BR1081" s="9"/>
      <c r="BS1081" s="9"/>
      <c r="BT1081" s="9"/>
      <c r="BU1081" s="9"/>
      <c r="BV1081" s="9"/>
      <c r="BW1081" s="9"/>
      <c r="BX1081" s="9"/>
      <c r="BY1081" s="9"/>
      <c r="BZ1081" s="9"/>
    </row>
    <row r="1082" spans="4:78" ht="18" customHeight="1" x14ac:dyDescent="0.25"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S1082" s="9"/>
      <c r="T1082" s="9"/>
      <c r="U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9"/>
      <c r="AG1082" s="9"/>
      <c r="AH1082" s="9"/>
      <c r="AI1082" s="9"/>
      <c r="AJ1082" s="9"/>
      <c r="AK1082" s="9"/>
      <c r="AL1082" s="9"/>
      <c r="AM1082" s="9"/>
      <c r="AN1082" s="9"/>
      <c r="AO1082" s="9"/>
      <c r="AP1082" s="9"/>
      <c r="AQ1082" s="9"/>
      <c r="AR1082" s="9"/>
      <c r="AS1082" s="9"/>
      <c r="AT1082" s="9"/>
      <c r="AU1082" s="9"/>
      <c r="AV1082" s="9"/>
      <c r="AW1082" s="9"/>
      <c r="AX1082" s="9"/>
      <c r="AY1082" s="9"/>
      <c r="AZ1082" s="9"/>
      <c r="BA1082" s="9"/>
      <c r="BB1082" s="9"/>
      <c r="BC1082" s="9"/>
      <c r="BD1082" s="9"/>
      <c r="BE1082" s="9"/>
      <c r="BF1082" s="9"/>
      <c r="BG1082" s="9"/>
      <c r="BH1082" s="9"/>
      <c r="BI1082" s="9"/>
      <c r="BJ1082" s="9"/>
      <c r="BK1082" s="9"/>
      <c r="BL1082" s="9"/>
      <c r="BM1082" s="9"/>
      <c r="BN1082" s="9"/>
      <c r="BO1082" s="9"/>
      <c r="BP1082" s="9"/>
      <c r="BQ1082" s="9"/>
      <c r="BR1082" s="9"/>
      <c r="BS1082" s="9"/>
      <c r="BT1082" s="9"/>
      <c r="BU1082" s="9"/>
      <c r="BV1082" s="9"/>
      <c r="BW1082" s="9"/>
      <c r="BX1082" s="9"/>
      <c r="BY1082" s="9"/>
      <c r="BZ1082" s="9"/>
    </row>
    <row r="1083" spans="4:78" ht="18" customHeight="1" x14ac:dyDescent="0.25"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S1083" s="9"/>
      <c r="T1083" s="9"/>
      <c r="U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9"/>
      <c r="AG1083" s="9"/>
      <c r="AH1083" s="9"/>
      <c r="AI1083" s="9"/>
      <c r="AJ1083" s="9"/>
      <c r="AK1083" s="9"/>
      <c r="AL1083" s="9"/>
      <c r="AM1083" s="9"/>
      <c r="AN1083" s="9"/>
      <c r="AO1083" s="9"/>
      <c r="AP1083" s="9"/>
      <c r="AQ1083" s="9"/>
      <c r="AR1083" s="9"/>
      <c r="AS1083" s="9"/>
      <c r="AT1083" s="9"/>
      <c r="AU1083" s="9"/>
      <c r="AV1083" s="9"/>
      <c r="AW1083" s="9"/>
      <c r="AX1083" s="9"/>
      <c r="AY1083" s="9"/>
      <c r="AZ1083" s="9"/>
      <c r="BA1083" s="9"/>
      <c r="BB1083" s="9"/>
      <c r="BC1083" s="9"/>
      <c r="BD1083" s="9"/>
      <c r="BE1083" s="9"/>
      <c r="BF1083" s="9"/>
      <c r="BG1083" s="9"/>
      <c r="BH1083" s="9"/>
      <c r="BI1083" s="9"/>
      <c r="BJ1083" s="9"/>
      <c r="BK1083" s="9"/>
      <c r="BL1083" s="9"/>
      <c r="BM1083" s="9"/>
      <c r="BN1083" s="9"/>
      <c r="BO1083" s="9"/>
      <c r="BP1083" s="9"/>
      <c r="BQ1083" s="9"/>
      <c r="BR1083" s="9"/>
      <c r="BS1083" s="9"/>
      <c r="BT1083" s="9"/>
      <c r="BU1083" s="9"/>
      <c r="BV1083" s="9"/>
      <c r="BW1083" s="9"/>
      <c r="BX1083" s="9"/>
      <c r="BY1083" s="9"/>
      <c r="BZ1083" s="9"/>
    </row>
    <row r="1084" spans="4:78" ht="18" customHeight="1" x14ac:dyDescent="0.25"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S1084" s="9"/>
      <c r="T1084" s="9"/>
      <c r="U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9"/>
      <c r="AG1084" s="9"/>
      <c r="AH1084" s="9"/>
      <c r="AI1084" s="9"/>
      <c r="AJ1084" s="9"/>
      <c r="AK1084" s="9"/>
      <c r="AL1084" s="9"/>
      <c r="AM1084" s="9"/>
      <c r="AN1084" s="9"/>
      <c r="AO1084" s="9"/>
      <c r="AP1084" s="9"/>
      <c r="AQ1084" s="9"/>
      <c r="AR1084" s="9"/>
      <c r="AS1084" s="9"/>
      <c r="AT1084" s="9"/>
      <c r="AU1084" s="9"/>
      <c r="AV1084" s="9"/>
      <c r="AW1084" s="9"/>
      <c r="AX1084" s="9"/>
      <c r="AY1084" s="9"/>
      <c r="AZ1084" s="9"/>
      <c r="BA1084" s="9"/>
      <c r="BB1084" s="9"/>
      <c r="BC1084" s="9"/>
      <c r="BD1084" s="9"/>
      <c r="BE1084" s="9"/>
      <c r="BF1084" s="9"/>
      <c r="BG1084" s="9"/>
      <c r="BH1084" s="9"/>
      <c r="BI1084" s="9"/>
      <c r="BJ1084" s="9"/>
      <c r="BK1084" s="9"/>
      <c r="BL1084" s="9"/>
      <c r="BM1084" s="9"/>
      <c r="BN1084" s="9"/>
      <c r="BO1084" s="9"/>
      <c r="BP1084" s="9"/>
      <c r="BQ1084" s="9"/>
      <c r="BR1084" s="9"/>
      <c r="BS1084" s="9"/>
      <c r="BT1084" s="9"/>
      <c r="BU1084" s="9"/>
      <c r="BV1084" s="9"/>
      <c r="BW1084" s="9"/>
      <c r="BX1084" s="9"/>
      <c r="BY1084" s="9"/>
      <c r="BZ1084" s="9"/>
    </row>
    <row r="1085" spans="4:78" ht="18" customHeight="1" x14ac:dyDescent="0.25"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S1085" s="9"/>
      <c r="T1085" s="9"/>
      <c r="U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9"/>
      <c r="AG1085" s="9"/>
      <c r="AH1085" s="9"/>
      <c r="AI1085" s="9"/>
      <c r="AJ1085" s="9"/>
      <c r="AK1085" s="9"/>
      <c r="AL1085" s="9"/>
      <c r="AM1085" s="9"/>
      <c r="AN1085" s="9"/>
      <c r="AO1085" s="9"/>
      <c r="AP1085" s="9"/>
      <c r="AQ1085" s="9"/>
      <c r="AR1085" s="9"/>
      <c r="AS1085" s="9"/>
      <c r="AT1085" s="9"/>
      <c r="AU1085" s="9"/>
      <c r="AV1085" s="9"/>
      <c r="AW1085" s="9"/>
      <c r="AX1085" s="9"/>
      <c r="AY1085" s="9"/>
      <c r="AZ1085" s="9"/>
      <c r="BA1085" s="9"/>
      <c r="BB1085" s="9"/>
      <c r="BC1085" s="9"/>
      <c r="BD1085" s="9"/>
      <c r="BE1085" s="9"/>
      <c r="BF1085" s="9"/>
      <c r="BG1085" s="9"/>
      <c r="BH1085" s="9"/>
      <c r="BI1085" s="9"/>
      <c r="BJ1085" s="9"/>
      <c r="BK1085" s="9"/>
      <c r="BL1085" s="9"/>
      <c r="BM1085" s="9"/>
      <c r="BN1085" s="9"/>
      <c r="BO1085" s="9"/>
      <c r="BP1085" s="9"/>
      <c r="BQ1085" s="9"/>
      <c r="BR1085" s="9"/>
      <c r="BS1085" s="9"/>
      <c r="BT1085" s="9"/>
      <c r="BU1085" s="9"/>
      <c r="BV1085" s="9"/>
      <c r="BW1085" s="9"/>
      <c r="BX1085" s="9"/>
      <c r="BY1085" s="9"/>
      <c r="BZ1085" s="9"/>
    </row>
    <row r="1086" spans="4:78" ht="18" customHeight="1" x14ac:dyDescent="0.25"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S1086" s="9"/>
      <c r="T1086" s="9"/>
      <c r="U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9"/>
      <c r="AG1086" s="9"/>
      <c r="AH1086" s="9"/>
      <c r="AI1086" s="9"/>
      <c r="AJ1086" s="9"/>
      <c r="AK1086" s="9"/>
      <c r="AL1086" s="9"/>
      <c r="AM1086" s="9"/>
      <c r="AN1086" s="9"/>
      <c r="AO1086" s="9"/>
      <c r="AP1086" s="9"/>
      <c r="AQ1086" s="9"/>
      <c r="AR1086" s="9"/>
      <c r="AS1086" s="9"/>
      <c r="AT1086" s="9"/>
      <c r="AU1086" s="9"/>
      <c r="AV1086" s="9"/>
      <c r="AW1086" s="9"/>
      <c r="AX1086" s="9"/>
      <c r="AY1086" s="9"/>
      <c r="AZ1086" s="9"/>
      <c r="BA1086" s="9"/>
      <c r="BB1086" s="9"/>
      <c r="BC1086" s="9"/>
      <c r="BD1086" s="9"/>
      <c r="BE1086" s="9"/>
      <c r="BF1086" s="9"/>
      <c r="BG1086" s="9"/>
      <c r="BH1086" s="9"/>
      <c r="BI1086" s="9"/>
      <c r="BJ1086" s="9"/>
      <c r="BK1086" s="9"/>
      <c r="BL1086" s="9"/>
      <c r="BM1086" s="9"/>
      <c r="BN1086" s="9"/>
      <c r="BO1086" s="9"/>
      <c r="BP1086" s="9"/>
      <c r="BQ1086" s="9"/>
      <c r="BR1086" s="9"/>
      <c r="BS1086" s="9"/>
      <c r="BT1086" s="9"/>
      <c r="BU1086" s="9"/>
      <c r="BV1086" s="9"/>
      <c r="BW1086" s="9"/>
      <c r="BX1086" s="9"/>
      <c r="BY1086" s="9"/>
      <c r="BZ1086" s="9"/>
    </row>
    <row r="1087" spans="4:78" ht="18" customHeight="1" x14ac:dyDescent="0.25"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S1087" s="9"/>
      <c r="T1087" s="9"/>
      <c r="U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9"/>
      <c r="AG1087" s="9"/>
      <c r="AH1087" s="9"/>
      <c r="AI1087" s="9"/>
      <c r="AJ1087" s="9"/>
      <c r="AK1087" s="9"/>
      <c r="AL1087" s="9"/>
      <c r="AM1087" s="9"/>
      <c r="AN1087" s="9"/>
      <c r="AO1087" s="9"/>
      <c r="AP1087" s="9"/>
      <c r="AQ1087" s="9"/>
      <c r="AR1087" s="9"/>
      <c r="AS1087" s="9"/>
      <c r="AT1087" s="9"/>
      <c r="AU1087" s="9"/>
      <c r="AV1087" s="9"/>
      <c r="AW1087" s="9"/>
      <c r="AX1087" s="9"/>
      <c r="AY1087" s="9"/>
      <c r="AZ1087" s="9"/>
      <c r="BA1087" s="9"/>
      <c r="BB1087" s="9"/>
      <c r="BC1087" s="9"/>
      <c r="BD1087" s="9"/>
      <c r="BE1087" s="9"/>
      <c r="BF1087" s="9"/>
      <c r="BG1087" s="9"/>
      <c r="BH1087" s="9"/>
      <c r="BI1087" s="9"/>
      <c r="BJ1087" s="9"/>
      <c r="BK1087" s="9"/>
      <c r="BL1087" s="9"/>
      <c r="BM1087" s="9"/>
      <c r="BN1087" s="9"/>
      <c r="BO1087" s="9"/>
      <c r="BP1087" s="9"/>
      <c r="BQ1087" s="9"/>
      <c r="BR1087" s="9"/>
      <c r="BS1087" s="9"/>
      <c r="BT1087" s="9"/>
      <c r="BU1087" s="9"/>
      <c r="BV1087" s="9"/>
      <c r="BW1087" s="9"/>
      <c r="BX1087" s="9"/>
      <c r="BY1087" s="9"/>
      <c r="BZ1087" s="9"/>
    </row>
    <row r="1088" spans="4:78" ht="18" customHeight="1" x14ac:dyDescent="0.25"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S1088" s="9"/>
      <c r="T1088" s="9"/>
      <c r="U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9"/>
      <c r="AG1088" s="9"/>
      <c r="AH1088" s="9"/>
      <c r="AI1088" s="9"/>
      <c r="AJ1088" s="9"/>
      <c r="AK1088" s="9"/>
      <c r="AL1088" s="9"/>
      <c r="AM1088" s="9"/>
      <c r="AN1088" s="9"/>
      <c r="AO1088" s="9"/>
      <c r="AP1088" s="9"/>
      <c r="AQ1088" s="9"/>
      <c r="AR1088" s="9"/>
      <c r="AS1088" s="9"/>
      <c r="AT1088" s="9"/>
      <c r="AU1088" s="9"/>
      <c r="AV1088" s="9"/>
      <c r="AW1088" s="9"/>
      <c r="AX1088" s="9"/>
      <c r="AY1088" s="9"/>
      <c r="AZ1088" s="9"/>
      <c r="BA1088" s="9"/>
      <c r="BB1088" s="9"/>
      <c r="BC1088" s="9"/>
      <c r="BD1088" s="9"/>
      <c r="BE1088" s="9"/>
      <c r="BF1088" s="9"/>
      <c r="BG1088" s="9"/>
      <c r="BH1088" s="9"/>
      <c r="BI1088" s="9"/>
      <c r="BJ1088" s="9"/>
      <c r="BK1088" s="9"/>
      <c r="BL1088" s="9"/>
      <c r="BM1088" s="9"/>
      <c r="BN1088" s="9"/>
      <c r="BO1088" s="9"/>
      <c r="BP1088" s="9"/>
      <c r="BQ1088" s="9"/>
      <c r="BR1088" s="9"/>
      <c r="BS1088" s="9"/>
      <c r="BT1088" s="9"/>
      <c r="BU1088" s="9"/>
      <c r="BV1088" s="9"/>
      <c r="BW1088" s="9"/>
      <c r="BX1088" s="9"/>
      <c r="BY1088" s="9"/>
      <c r="BZ1088" s="9"/>
    </row>
    <row r="1089" spans="4:78" ht="18" customHeight="1" x14ac:dyDescent="0.25"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S1089" s="9"/>
      <c r="T1089" s="9"/>
      <c r="U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9"/>
      <c r="AG1089" s="9"/>
      <c r="AH1089" s="9"/>
      <c r="AI1089" s="9"/>
      <c r="AJ1089" s="9"/>
      <c r="AK1089" s="9"/>
      <c r="AL1089" s="9"/>
      <c r="AM1089" s="9"/>
      <c r="AN1089" s="9"/>
      <c r="AO1089" s="9"/>
      <c r="AP1089" s="9"/>
      <c r="AQ1089" s="9"/>
      <c r="AR1089" s="9"/>
      <c r="AS1089" s="9"/>
      <c r="AT1089" s="9"/>
      <c r="AU1089" s="9"/>
      <c r="AV1089" s="9"/>
      <c r="AW1089" s="9"/>
      <c r="AX1089" s="9"/>
      <c r="AY1089" s="9"/>
      <c r="AZ1089" s="9"/>
      <c r="BA1089" s="9"/>
      <c r="BB1089" s="9"/>
      <c r="BC1089" s="9"/>
      <c r="BD1089" s="9"/>
      <c r="BE1089" s="9"/>
      <c r="BF1089" s="9"/>
      <c r="BG1089" s="9"/>
      <c r="BH1089" s="9"/>
      <c r="BI1089" s="9"/>
      <c r="BJ1089" s="9"/>
      <c r="BK1089" s="9"/>
      <c r="BL1089" s="9"/>
      <c r="BM1089" s="9"/>
      <c r="BN1089" s="9"/>
      <c r="BO1089" s="9"/>
      <c r="BP1089" s="9"/>
      <c r="BQ1089" s="9"/>
      <c r="BR1089" s="9"/>
      <c r="BS1089" s="9"/>
      <c r="BT1089" s="9"/>
      <c r="BU1089" s="9"/>
      <c r="BV1089" s="9"/>
      <c r="BW1089" s="9"/>
      <c r="BX1089" s="9"/>
      <c r="BY1089" s="9"/>
      <c r="BZ1089" s="9"/>
    </row>
    <row r="1090" spans="4:78" ht="18" customHeight="1" x14ac:dyDescent="0.25"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S1090" s="9"/>
      <c r="T1090" s="9"/>
      <c r="U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9"/>
      <c r="AG1090" s="9"/>
      <c r="AH1090" s="9"/>
      <c r="AI1090" s="9"/>
      <c r="AJ1090" s="9"/>
      <c r="AK1090" s="9"/>
      <c r="AL1090" s="9"/>
      <c r="AM1090" s="9"/>
      <c r="AN1090" s="9"/>
      <c r="AO1090" s="9"/>
      <c r="AP1090" s="9"/>
      <c r="AQ1090" s="9"/>
      <c r="AR1090" s="9"/>
      <c r="AS1090" s="9"/>
      <c r="AT1090" s="9"/>
      <c r="AU1090" s="9"/>
      <c r="AV1090" s="9"/>
      <c r="AW1090" s="9"/>
      <c r="AX1090" s="9"/>
      <c r="AY1090" s="9"/>
      <c r="AZ1090" s="9"/>
      <c r="BA1090" s="9"/>
      <c r="BB1090" s="9"/>
      <c r="BC1090" s="9"/>
      <c r="BD1090" s="9"/>
      <c r="BE1090" s="9"/>
      <c r="BF1090" s="9"/>
      <c r="BG1090" s="9"/>
      <c r="BH1090" s="9"/>
      <c r="BI1090" s="9"/>
      <c r="BJ1090" s="9"/>
      <c r="BK1090" s="9"/>
      <c r="BL1090" s="9"/>
      <c r="BM1090" s="9"/>
      <c r="BN1090" s="9"/>
      <c r="BO1090" s="9"/>
      <c r="BP1090" s="9"/>
      <c r="BQ1090" s="9"/>
      <c r="BR1090" s="9"/>
      <c r="BS1090" s="9"/>
      <c r="BT1090" s="9"/>
      <c r="BU1090" s="9"/>
      <c r="BV1090" s="9"/>
      <c r="BW1090" s="9"/>
      <c r="BX1090" s="9"/>
      <c r="BY1090" s="9"/>
      <c r="BZ1090" s="9"/>
    </row>
    <row r="1091" spans="4:78" ht="18" customHeight="1" x14ac:dyDescent="0.25"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S1091" s="9"/>
      <c r="T1091" s="9"/>
      <c r="U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9"/>
      <c r="AG1091" s="9"/>
      <c r="AH1091" s="9"/>
      <c r="AI1091" s="9"/>
      <c r="AJ1091" s="9"/>
      <c r="AK1091" s="9"/>
      <c r="AL1091" s="9"/>
      <c r="AM1091" s="9"/>
      <c r="AN1091" s="9"/>
      <c r="AO1091" s="9"/>
      <c r="AP1091" s="9"/>
      <c r="AQ1091" s="9"/>
      <c r="AR1091" s="9"/>
      <c r="AS1091" s="9"/>
      <c r="AT1091" s="9"/>
      <c r="AU1091" s="9"/>
      <c r="AV1091" s="9"/>
      <c r="AW1091" s="9"/>
      <c r="AX1091" s="9"/>
      <c r="AY1091" s="9"/>
      <c r="AZ1091" s="9"/>
      <c r="BA1091" s="9"/>
      <c r="BB1091" s="9"/>
      <c r="BC1091" s="9"/>
      <c r="BD1091" s="9"/>
      <c r="BE1091" s="9"/>
      <c r="BF1091" s="9"/>
      <c r="BG1091" s="9"/>
      <c r="BH1091" s="9"/>
      <c r="BI1091" s="9"/>
      <c r="BJ1091" s="9"/>
      <c r="BK1091" s="9"/>
      <c r="BL1091" s="9"/>
      <c r="BM1091" s="9"/>
      <c r="BN1091" s="9"/>
      <c r="BO1091" s="9"/>
      <c r="BP1091" s="9"/>
      <c r="BQ1091" s="9"/>
      <c r="BR1091" s="9"/>
      <c r="BS1091" s="9"/>
      <c r="BT1091" s="9"/>
      <c r="BU1091" s="9"/>
      <c r="BV1091" s="9"/>
      <c r="BW1091" s="9"/>
      <c r="BX1091" s="9"/>
      <c r="BY1091" s="9"/>
      <c r="BZ1091" s="9"/>
    </row>
    <row r="1092" spans="4:78" ht="18" customHeight="1" x14ac:dyDescent="0.25"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S1092" s="9"/>
      <c r="T1092" s="9"/>
      <c r="U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9"/>
      <c r="AG1092" s="9"/>
      <c r="AH1092" s="9"/>
      <c r="AI1092" s="9"/>
      <c r="AJ1092" s="9"/>
      <c r="AK1092" s="9"/>
      <c r="AL1092" s="9"/>
      <c r="AM1092" s="9"/>
      <c r="AN1092" s="9"/>
      <c r="AO1092" s="9"/>
      <c r="AP1092" s="9"/>
      <c r="AQ1092" s="9"/>
      <c r="AR1092" s="9"/>
      <c r="AS1092" s="9"/>
      <c r="AT1092" s="9"/>
      <c r="AU1092" s="9"/>
      <c r="AV1092" s="9"/>
      <c r="AW1092" s="9"/>
      <c r="AX1092" s="9"/>
      <c r="AY1092" s="9"/>
      <c r="AZ1092" s="9"/>
      <c r="BA1092" s="9"/>
      <c r="BB1092" s="9"/>
      <c r="BC1092" s="9"/>
      <c r="BD1092" s="9"/>
      <c r="BE1092" s="9"/>
      <c r="BF1092" s="9"/>
      <c r="BG1092" s="9"/>
      <c r="BH1092" s="9"/>
      <c r="BI1092" s="9"/>
      <c r="BJ1092" s="9"/>
      <c r="BK1092" s="9"/>
      <c r="BL1092" s="9"/>
      <c r="BM1092" s="9"/>
      <c r="BN1092" s="9"/>
      <c r="BO1092" s="9"/>
      <c r="BP1092" s="9"/>
      <c r="BQ1092" s="9"/>
      <c r="BR1092" s="9"/>
      <c r="BS1092" s="9"/>
      <c r="BT1092" s="9"/>
      <c r="BU1092" s="9"/>
      <c r="BV1092" s="9"/>
      <c r="BW1092" s="9"/>
      <c r="BX1092" s="9"/>
      <c r="BY1092" s="9"/>
      <c r="BZ1092" s="9"/>
    </row>
    <row r="1093" spans="4:78" ht="18" customHeight="1" x14ac:dyDescent="0.25"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S1093" s="9"/>
      <c r="T1093" s="9"/>
      <c r="U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9"/>
      <c r="AG1093" s="9"/>
      <c r="AH1093" s="9"/>
      <c r="AI1093" s="9"/>
      <c r="AJ1093" s="9"/>
      <c r="AK1093" s="9"/>
      <c r="AL1093" s="9"/>
      <c r="AM1093" s="9"/>
      <c r="AN1093" s="9"/>
      <c r="AO1093" s="9"/>
      <c r="AP1093" s="9"/>
      <c r="AQ1093" s="9"/>
      <c r="AR1093" s="9"/>
      <c r="AS1093" s="9"/>
      <c r="AT1093" s="9"/>
      <c r="AU1093" s="9"/>
      <c r="AV1093" s="9"/>
      <c r="AW1093" s="9"/>
      <c r="AX1093" s="9"/>
      <c r="AY1093" s="9"/>
      <c r="AZ1093" s="9"/>
      <c r="BA1093" s="9"/>
      <c r="BB1093" s="9"/>
      <c r="BC1093" s="9"/>
      <c r="BD1093" s="9"/>
      <c r="BE1093" s="9"/>
      <c r="BF1093" s="9"/>
      <c r="BG1093" s="9"/>
      <c r="BH1093" s="9"/>
      <c r="BI1093" s="9"/>
      <c r="BJ1093" s="9"/>
      <c r="BK1093" s="9"/>
      <c r="BL1093" s="9"/>
      <c r="BM1093" s="9"/>
      <c r="BN1093" s="9"/>
      <c r="BO1093" s="9"/>
      <c r="BP1093" s="9"/>
      <c r="BQ1093" s="9"/>
      <c r="BR1093" s="9"/>
      <c r="BS1093" s="9"/>
      <c r="BT1093" s="9"/>
      <c r="BU1093" s="9"/>
      <c r="BV1093" s="9"/>
      <c r="BW1093" s="9"/>
      <c r="BX1093" s="9"/>
      <c r="BY1093" s="9"/>
      <c r="BZ1093" s="9"/>
    </row>
    <row r="1094" spans="4:78" ht="18" customHeight="1" x14ac:dyDescent="0.25"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S1094" s="9"/>
      <c r="T1094" s="9"/>
      <c r="U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9"/>
      <c r="AG1094" s="9"/>
      <c r="AH1094" s="9"/>
      <c r="AI1094" s="9"/>
      <c r="AJ1094" s="9"/>
      <c r="AK1094" s="9"/>
      <c r="AL1094" s="9"/>
      <c r="AM1094" s="9"/>
      <c r="AN1094" s="9"/>
      <c r="AO1094" s="9"/>
      <c r="AP1094" s="9"/>
      <c r="AQ1094" s="9"/>
      <c r="AR1094" s="9"/>
      <c r="AS1094" s="9"/>
      <c r="AT1094" s="9"/>
      <c r="AU1094" s="9"/>
      <c r="AV1094" s="9"/>
      <c r="AW1094" s="9"/>
      <c r="AX1094" s="9"/>
      <c r="AY1094" s="9"/>
      <c r="AZ1094" s="9"/>
      <c r="BA1094" s="9"/>
      <c r="BB1094" s="9"/>
      <c r="BC1094" s="9"/>
      <c r="BD1094" s="9"/>
      <c r="BE1094" s="9"/>
      <c r="BF1094" s="9"/>
      <c r="BG1094" s="9"/>
      <c r="BH1094" s="9"/>
      <c r="BI1094" s="9"/>
      <c r="BJ1094" s="9"/>
      <c r="BK1094" s="9"/>
      <c r="BL1094" s="9"/>
      <c r="BM1094" s="9"/>
      <c r="BN1094" s="9"/>
      <c r="BO1094" s="9"/>
      <c r="BP1094" s="9"/>
      <c r="BQ1094" s="9"/>
      <c r="BR1094" s="9"/>
      <c r="BS1094" s="9"/>
      <c r="BT1094" s="9"/>
      <c r="BU1094" s="9"/>
      <c r="BV1094" s="9"/>
      <c r="BW1094" s="9"/>
      <c r="BX1094" s="9"/>
      <c r="BY1094" s="9"/>
      <c r="BZ1094" s="9"/>
    </row>
    <row r="1095" spans="4:78" ht="18" customHeight="1" x14ac:dyDescent="0.25"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S1095" s="9"/>
      <c r="T1095" s="9"/>
      <c r="U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9"/>
      <c r="AG1095" s="9"/>
      <c r="AH1095" s="9"/>
      <c r="AI1095" s="9"/>
      <c r="AJ1095" s="9"/>
      <c r="AK1095" s="9"/>
      <c r="AL1095" s="9"/>
      <c r="AM1095" s="9"/>
      <c r="AN1095" s="9"/>
      <c r="AO1095" s="9"/>
      <c r="AP1095" s="9"/>
      <c r="AQ1095" s="9"/>
      <c r="AR1095" s="9"/>
      <c r="AS1095" s="9"/>
      <c r="AT1095" s="9"/>
      <c r="AU1095" s="9"/>
      <c r="AV1095" s="9"/>
      <c r="AW1095" s="9"/>
      <c r="AX1095" s="9"/>
      <c r="AY1095" s="9"/>
      <c r="AZ1095" s="9"/>
      <c r="BA1095" s="9"/>
      <c r="BB1095" s="9"/>
      <c r="BC1095" s="9"/>
      <c r="BD1095" s="9"/>
      <c r="BE1095" s="9"/>
      <c r="BF1095" s="9"/>
      <c r="BG1095" s="9"/>
      <c r="BH1095" s="9"/>
      <c r="BI1095" s="9"/>
      <c r="BJ1095" s="9"/>
      <c r="BK1095" s="9"/>
      <c r="BL1095" s="9"/>
      <c r="BM1095" s="9"/>
      <c r="BN1095" s="9"/>
      <c r="BO1095" s="9"/>
      <c r="BP1095" s="9"/>
      <c r="BQ1095" s="9"/>
      <c r="BR1095" s="9"/>
      <c r="BS1095" s="9"/>
      <c r="BT1095" s="9"/>
      <c r="BU1095" s="9"/>
      <c r="BV1095" s="9"/>
      <c r="BW1095" s="9"/>
      <c r="BX1095" s="9"/>
      <c r="BY1095" s="9"/>
      <c r="BZ1095" s="9"/>
    </row>
    <row r="1096" spans="4:78" ht="18" customHeight="1" x14ac:dyDescent="0.25"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S1096" s="9"/>
      <c r="T1096" s="9"/>
      <c r="U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9"/>
      <c r="AG1096" s="9"/>
      <c r="AH1096" s="9"/>
      <c r="AI1096" s="9"/>
      <c r="AJ1096" s="9"/>
      <c r="AK1096" s="9"/>
      <c r="AL1096" s="9"/>
      <c r="AM1096" s="9"/>
      <c r="AN1096" s="9"/>
      <c r="AO1096" s="9"/>
      <c r="AP1096" s="9"/>
      <c r="AQ1096" s="9"/>
      <c r="AR1096" s="9"/>
      <c r="AS1096" s="9"/>
      <c r="AT1096" s="9"/>
      <c r="AU1096" s="9"/>
      <c r="AV1096" s="9"/>
      <c r="AW1096" s="9"/>
      <c r="AX1096" s="9"/>
      <c r="AY1096" s="9"/>
      <c r="AZ1096" s="9"/>
      <c r="BA1096" s="9"/>
      <c r="BB1096" s="9"/>
      <c r="BC1096" s="9"/>
      <c r="BD1096" s="9"/>
      <c r="BE1096" s="9"/>
      <c r="BF1096" s="9"/>
      <c r="BG1096" s="9"/>
      <c r="BH1096" s="9"/>
      <c r="BI1096" s="9"/>
      <c r="BJ1096" s="9"/>
      <c r="BK1096" s="9"/>
      <c r="BL1096" s="9"/>
      <c r="BM1096" s="9"/>
      <c r="BN1096" s="9"/>
      <c r="BO1096" s="9"/>
      <c r="BP1096" s="9"/>
      <c r="BQ1096" s="9"/>
      <c r="BR1096" s="9"/>
      <c r="BS1096" s="9"/>
      <c r="BT1096" s="9"/>
      <c r="BU1096" s="9"/>
      <c r="BV1096" s="9"/>
      <c r="BW1096" s="9"/>
      <c r="BX1096" s="9"/>
      <c r="BY1096" s="9"/>
      <c r="BZ1096" s="9"/>
    </row>
    <row r="1097" spans="4:78" ht="18" customHeight="1" x14ac:dyDescent="0.25"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S1097" s="9"/>
      <c r="T1097" s="9"/>
      <c r="U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9"/>
      <c r="AG1097" s="9"/>
      <c r="AH1097" s="9"/>
      <c r="AI1097" s="9"/>
      <c r="AJ1097" s="9"/>
      <c r="AK1097" s="9"/>
      <c r="AL1097" s="9"/>
      <c r="AM1097" s="9"/>
      <c r="AN1097" s="9"/>
      <c r="AO1097" s="9"/>
      <c r="AP1097" s="9"/>
      <c r="AQ1097" s="9"/>
      <c r="AR1097" s="9"/>
      <c r="AS1097" s="9"/>
      <c r="AT1097" s="9"/>
      <c r="AU1097" s="9"/>
      <c r="AV1097" s="9"/>
      <c r="AW1097" s="9"/>
      <c r="AX1097" s="9"/>
      <c r="AY1097" s="9"/>
      <c r="AZ1097" s="9"/>
      <c r="BA1097" s="9"/>
      <c r="BB1097" s="9"/>
      <c r="BC1097" s="9"/>
      <c r="BD1097" s="9"/>
      <c r="BE1097" s="9"/>
      <c r="BF1097" s="9"/>
      <c r="BG1097" s="9"/>
      <c r="BH1097" s="9"/>
      <c r="BI1097" s="9"/>
      <c r="BJ1097" s="9"/>
      <c r="BK1097" s="9"/>
      <c r="BL1097" s="9"/>
      <c r="BM1097" s="9"/>
      <c r="BN1097" s="9"/>
      <c r="BO1097" s="9"/>
      <c r="BP1097" s="9"/>
      <c r="BQ1097" s="9"/>
      <c r="BR1097" s="9"/>
      <c r="BS1097" s="9"/>
      <c r="BT1097" s="9"/>
      <c r="BU1097" s="9"/>
      <c r="BV1097" s="9"/>
      <c r="BW1097" s="9"/>
      <c r="BX1097" s="9"/>
      <c r="BY1097" s="9"/>
      <c r="BZ1097" s="9"/>
    </row>
    <row r="1098" spans="4:78" ht="18" customHeight="1" x14ac:dyDescent="0.25"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S1098" s="9"/>
      <c r="T1098" s="9"/>
      <c r="U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9"/>
      <c r="AG1098" s="9"/>
      <c r="AH1098" s="9"/>
      <c r="AI1098" s="9"/>
      <c r="AJ1098" s="9"/>
      <c r="AK1098" s="9"/>
      <c r="AL1098" s="9"/>
      <c r="AM1098" s="9"/>
      <c r="AN1098" s="9"/>
      <c r="AO1098" s="9"/>
      <c r="AP1098" s="9"/>
      <c r="AQ1098" s="9"/>
      <c r="AR1098" s="9"/>
      <c r="AS1098" s="9"/>
      <c r="AT1098" s="9"/>
      <c r="AU1098" s="9"/>
      <c r="AV1098" s="9"/>
      <c r="AW1098" s="9"/>
      <c r="AX1098" s="9"/>
      <c r="AY1098" s="9"/>
      <c r="AZ1098" s="9"/>
      <c r="BA1098" s="9"/>
      <c r="BB1098" s="9"/>
      <c r="BC1098" s="9"/>
      <c r="BD1098" s="9"/>
      <c r="BE1098" s="9"/>
      <c r="BF1098" s="9"/>
      <c r="BG1098" s="9"/>
      <c r="BH1098" s="9"/>
      <c r="BI1098" s="9"/>
      <c r="BJ1098" s="9"/>
      <c r="BK1098" s="9"/>
      <c r="BL1098" s="9"/>
      <c r="BM1098" s="9"/>
      <c r="BN1098" s="9"/>
      <c r="BO1098" s="9"/>
      <c r="BP1098" s="9"/>
      <c r="BQ1098" s="9"/>
      <c r="BR1098" s="9"/>
      <c r="BS1098" s="9"/>
      <c r="BT1098" s="9"/>
      <c r="BU1098" s="9"/>
      <c r="BV1098" s="9"/>
      <c r="BW1098" s="9"/>
      <c r="BX1098" s="9"/>
      <c r="BY1098" s="9"/>
      <c r="BZ1098" s="9"/>
    </row>
    <row r="1099" spans="4:78" ht="18" customHeight="1" x14ac:dyDescent="0.25"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S1099" s="9"/>
      <c r="T1099" s="9"/>
      <c r="U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9"/>
      <c r="AG1099" s="9"/>
      <c r="AH1099" s="9"/>
      <c r="AI1099" s="9"/>
      <c r="AJ1099" s="9"/>
      <c r="AK1099" s="9"/>
      <c r="AL1099" s="9"/>
      <c r="AM1099" s="9"/>
      <c r="AN1099" s="9"/>
      <c r="AO1099" s="9"/>
      <c r="AP1099" s="9"/>
      <c r="AQ1099" s="9"/>
      <c r="AR1099" s="9"/>
      <c r="AS1099" s="9"/>
      <c r="AT1099" s="9"/>
      <c r="AU1099" s="9"/>
      <c r="AV1099" s="9"/>
      <c r="AW1099" s="9"/>
      <c r="AX1099" s="9"/>
      <c r="AY1099" s="9"/>
      <c r="AZ1099" s="9"/>
      <c r="BA1099" s="9"/>
      <c r="BB1099" s="9"/>
      <c r="BC1099" s="9"/>
      <c r="BD1099" s="9"/>
      <c r="BE1099" s="9"/>
      <c r="BF1099" s="9"/>
      <c r="BG1099" s="9"/>
      <c r="BH1099" s="9"/>
      <c r="BI1099" s="9"/>
      <c r="BJ1099" s="9"/>
      <c r="BK1099" s="9"/>
      <c r="BL1099" s="9"/>
      <c r="BM1099" s="9"/>
      <c r="BN1099" s="9"/>
      <c r="BO1099" s="9"/>
      <c r="BP1099" s="9"/>
      <c r="BQ1099" s="9"/>
      <c r="BR1099" s="9"/>
      <c r="BS1099" s="9"/>
      <c r="BT1099" s="9"/>
      <c r="BU1099" s="9"/>
      <c r="BV1099" s="9"/>
      <c r="BW1099" s="9"/>
      <c r="BX1099" s="9"/>
      <c r="BY1099" s="9"/>
      <c r="BZ1099" s="9"/>
    </row>
    <row r="1100" spans="4:78" ht="18" customHeight="1" x14ac:dyDescent="0.25"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S1100" s="9"/>
      <c r="T1100" s="9"/>
      <c r="U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9"/>
      <c r="AG1100" s="9"/>
      <c r="AH1100" s="9"/>
      <c r="AI1100" s="9"/>
      <c r="AJ1100" s="9"/>
      <c r="AK1100" s="9"/>
      <c r="AL1100" s="9"/>
      <c r="AM1100" s="9"/>
      <c r="AN1100" s="9"/>
      <c r="AO1100" s="9"/>
      <c r="AP1100" s="9"/>
      <c r="AQ1100" s="9"/>
      <c r="AR1100" s="9"/>
      <c r="AS1100" s="9"/>
      <c r="AT1100" s="9"/>
      <c r="AU1100" s="9"/>
      <c r="AV1100" s="9"/>
      <c r="AW1100" s="9"/>
      <c r="AX1100" s="9"/>
      <c r="AY1100" s="9"/>
      <c r="AZ1100" s="9"/>
      <c r="BA1100" s="9"/>
      <c r="BB1100" s="9"/>
      <c r="BC1100" s="9"/>
      <c r="BD1100" s="9"/>
      <c r="BE1100" s="9"/>
      <c r="BF1100" s="9"/>
      <c r="BG1100" s="9"/>
      <c r="BH1100" s="9"/>
      <c r="BI1100" s="9"/>
      <c r="BJ1100" s="9"/>
      <c r="BK1100" s="9"/>
      <c r="BL1100" s="9"/>
      <c r="BM1100" s="9"/>
      <c r="BN1100" s="9"/>
      <c r="BO1100" s="9"/>
      <c r="BP1100" s="9"/>
      <c r="BQ1100" s="9"/>
      <c r="BR1100" s="9"/>
      <c r="BS1100" s="9"/>
      <c r="BT1100" s="9"/>
      <c r="BU1100" s="9"/>
      <c r="BV1100" s="9"/>
      <c r="BW1100" s="9"/>
      <c r="BX1100" s="9"/>
      <c r="BY1100" s="9"/>
      <c r="BZ1100" s="9"/>
    </row>
    <row r="1101" spans="4:78" ht="18" customHeight="1" x14ac:dyDescent="0.25"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S1101" s="9"/>
      <c r="T1101" s="9"/>
      <c r="U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9"/>
      <c r="AG1101" s="9"/>
      <c r="AH1101" s="9"/>
      <c r="AI1101" s="9"/>
      <c r="AJ1101" s="9"/>
      <c r="AK1101" s="9"/>
      <c r="AL1101" s="9"/>
      <c r="AM1101" s="9"/>
      <c r="AN1101" s="9"/>
      <c r="AO1101" s="9"/>
      <c r="AP1101" s="9"/>
      <c r="AQ1101" s="9"/>
      <c r="AR1101" s="9"/>
      <c r="AS1101" s="9"/>
      <c r="AT1101" s="9"/>
      <c r="AU1101" s="9"/>
      <c r="AV1101" s="9"/>
      <c r="AW1101" s="9"/>
      <c r="AX1101" s="9"/>
      <c r="AY1101" s="9"/>
      <c r="AZ1101" s="9"/>
      <c r="BA1101" s="9"/>
      <c r="BB1101" s="9"/>
      <c r="BC1101" s="9"/>
      <c r="BD1101" s="9"/>
      <c r="BE1101" s="9"/>
      <c r="BF1101" s="9"/>
      <c r="BG1101" s="9"/>
      <c r="BH1101" s="9"/>
      <c r="BI1101" s="9"/>
      <c r="BJ1101" s="9"/>
      <c r="BK1101" s="9"/>
      <c r="BL1101" s="9"/>
      <c r="BM1101" s="9"/>
      <c r="BN1101" s="9"/>
      <c r="BO1101" s="9"/>
      <c r="BP1101" s="9"/>
      <c r="BQ1101" s="9"/>
      <c r="BR1101" s="9"/>
      <c r="BS1101" s="9"/>
      <c r="BT1101" s="9"/>
      <c r="BU1101" s="9"/>
      <c r="BV1101" s="9"/>
      <c r="BW1101" s="9"/>
      <c r="BX1101" s="9"/>
      <c r="BY1101" s="9"/>
      <c r="BZ1101" s="9"/>
    </row>
    <row r="1102" spans="4:78" ht="18" customHeight="1" x14ac:dyDescent="0.25"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S1102" s="9"/>
      <c r="T1102" s="9"/>
      <c r="U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9"/>
      <c r="AG1102" s="9"/>
      <c r="AH1102" s="9"/>
      <c r="AI1102" s="9"/>
      <c r="AJ1102" s="9"/>
      <c r="AK1102" s="9"/>
      <c r="AL1102" s="9"/>
      <c r="AM1102" s="9"/>
      <c r="AN1102" s="9"/>
      <c r="AO1102" s="9"/>
      <c r="AP1102" s="9"/>
      <c r="AQ1102" s="9"/>
      <c r="AR1102" s="9"/>
      <c r="AS1102" s="9"/>
      <c r="AT1102" s="9"/>
      <c r="AU1102" s="9"/>
      <c r="AV1102" s="9"/>
      <c r="AW1102" s="9"/>
      <c r="AX1102" s="9"/>
      <c r="AY1102" s="9"/>
      <c r="AZ1102" s="9"/>
      <c r="BA1102" s="9"/>
      <c r="BB1102" s="9"/>
      <c r="BC1102" s="9"/>
      <c r="BD1102" s="9"/>
      <c r="BE1102" s="9"/>
      <c r="BF1102" s="9"/>
      <c r="BG1102" s="9"/>
      <c r="BH1102" s="9"/>
      <c r="BI1102" s="9"/>
      <c r="BJ1102" s="9"/>
      <c r="BK1102" s="9"/>
      <c r="BL1102" s="9"/>
      <c r="BM1102" s="9"/>
      <c r="BN1102" s="9"/>
      <c r="BO1102" s="9"/>
      <c r="BP1102" s="9"/>
      <c r="BQ1102" s="9"/>
      <c r="BR1102" s="9"/>
      <c r="BS1102" s="9"/>
      <c r="BT1102" s="9"/>
      <c r="BU1102" s="9"/>
      <c r="BV1102" s="9"/>
      <c r="BW1102" s="9"/>
      <c r="BX1102" s="9"/>
      <c r="BY1102" s="9"/>
      <c r="BZ1102" s="9"/>
    </row>
    <row r="1103" spans="4:78" ht="18" customHeight="1" x14ac:dyDescent="0.25"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S1103" s="9"/>
      <c r="T1103" s="9"/>
      <c r="U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9"/>
      <c r="AG1103" s="9"/>
      <c r="AH1103" s="9"/>
      <c r="AI1103" s="9"/>
      <c r="AJ1103" s="9"/>
      <c r="AK1103" s="9"/>
      <c r="AL1103" s="9"/>
      <c r="AM1103" s="9"/>
      <c r="AN1103" s="9"/>
      <c r="AO1103" s="9"/>
      <c r="AP1103" s="9"/>
      <c r="AQ1103" s="9"/>
      <c r="AR1103" s="9"/>
      <c r="AS1103" s="9"/>
      <c r="AT1103" s="9"/>
      <c r="AU1103" s="9"/>
      <c r="AV1103" s="9"/>
      <c r="AW1103" s="9"/>
      <c r="AX1103" s="9"/>
      <c r="AY1103" s="9"/>
      <c r="AZ1103" s="9"/>
      <c r="BA1103" s="9"/>
      <c r="BB1103" s="9"/>
      <c r="BC1103" s="9"/>
      <c r="BD1103" s="9"/>
      <c r="BE1103" s="9"/>
      <c r="BF1103" s="9"/>
      <c r="BG1103" s="9"/>
      <c r="BH1103" s="9"/>
      <c r="BI1103" s="9"/>
      <c r="BJ1103" s="9"/>
      <c r="BK1103" s="9"/>
      <c r="BL1103" s="9"/>
      <c r="BM1103" s="9"/>
      <c r="BN1103" s="9"/>
      <c r="BO1103" s="9"/>
      <c r="BP1103" s="9"/>
      <c r="BQ1103" s="9"/>
      <c r="BR1103" s="9"/>
      <c r="BS1103" s="9"/>
      <c r="BT1103" s="9"/>
      <c r="BU1103" s="9"/>
      <c r="BV1103" s="9"/>
      <c r="BW1103" s="9"/>
      <c r="BX1103" s="9"/>
      <c r="BY1103" s="9"/>
      <c r="BZ1103" s="9"/>
    </row>
    <row r="1104" spans="4:78" ht="18" customHeight="1" x14ac:dyDescent="0.25"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S1104" s="9"/>
      <c r="T1104" s="9"/>
      <c r="U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9"/>
      <c r="AG1104" s="9"/>
      <c r="AH1104" s="9"/>
      <c r="AI1104" s="9"/>
      <c r="AJ1104" s="9"/>
      <c r="AK1104" s="9"/>
      <c r="AL1104" s="9"/>
      <c r="AM1104" s="9"/>
      <c r="AN1104" s="9"/>
      <c r="AO1104" s="9"/>
      <c r="AP1104" s="9"/>
      <c r="AQ1104" s="9"/>
      <c r="AR1104" s="9"/>
      <c r="AS1104" s="9"/>
      <c r="AT1104" s="9"/>
      <c r="AU1104" s="9"/>
      <c r="AV1104" s="9"/>
      <c r="AW1104" s="9"/>
      <c r="AX1104" s="9"/>
      <c r="AY1104" s="9"/>
      <c r="AZ1104" s="9"/>
      <c r="BA1104" s="9"/>
      <c r="BB1104" s="9"/>
      <c r="BC1104" s="9"/>
      <c r="BD1104" s="9"/>
      <c r="BE1104" s="9"/>
      <c r="BF1104" s="9"/>
      <c r="BG1104" s="9"/>
      <c r="BH1104" s="9"/>
      <c r="BI1104" s="9"/>
      <c r="BJ1104" s="9"/>
      <c r="BK1104" s="9"/>
      <c r="BL1104" s="9"/>
      <c r="BM1104" s="9"/>
      <c r="BN1104" s="9"/>
      <c r="BO1104" s="9"/>
      <c r="BP1104" s="9"/>
      <c r="BQ1104" s="9"/>
      <c r="BR1104" s="9"/>
      <c r="BS1104" s="9"/>
      <c r="BT1104" s="9"/>
      <c r="BU1104" s="9"/>
      <c r="BV1104" s="9"/>
      <c r="BW1104" s="9"/>
      <c r="BX1104" s="9"/>
      <c r="BY1104" s="9"/>
      <c r="BZ1104" s="9"/>
    </row>
    <row r="1105" spans="4:78" ht="18" customHeight="1" x14ac:dyDescent="0.25"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S1105" s="9"/>
      <c r="T1105" s="9"/>
      <c r="U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9"/>
      <c r="AG1105" s="9"/>
      <c r="AH1105" s="9"/>
      <c r="AI1105" s="9"/>
      <c r="AJ1105" s="9"/>
      <c r="AK1105" s="9"/>
      <c r="AL1105" s="9"/>
      <c r="AM1105" s="9"/>
      <c r="AN1105" s="9"/>
      <c r="AO1105" s="9"/>
      <c r="AP1105" s="9"/>
      <c r="AQ1105" s="9"/>
      <c r="AR1105" s="9"/>
      <c r="AS1105" s="9"/>
      <c r="AT1105" s="9"/>
      <c r="AU1105" s="9"/>
      <c r="AV1105" s="9"/>
      <c r="AW1105" s="9"/>
      <c r="AX1105" s="9"/>
      <c r="AY1105" s="9"/>
      <c r="AZ1105" s="9"/>
      <c r="BA1105" s="9"/>
      <c r="BB1105" s="9"/>
      <c r="BC1105" s="9"/>
      <c r="BD1105" s="9"/>
      <c r="BE1105" s="9"/>
      <c r="BF1105" s="9"/>
      <c r="BG1105" s="9"/>
      <c r="BH1105" s="9"/>
      <c r="BI1105" s="9"/>
      <c r="BJ1105" s="9"/>
      <c r="BK1105" s="9"/>
      <c r="BL1105" s="9"/>
      <c r="BM1105" s="9"/>
      <c r="BN1105" s="9"/>
      <c r="BO1105" s="9"/>
      <c r="BP1105" s="9"/>
      <c r="BQ1105" s="9"/>
      <c r="BR1105" s="9"/>
      <c r="BS1105" s="9"/>
      <c r="BT1105" s="9"/>
      <c r="BU1105" s="9"/>
      <c r="BV1105" s="9"/>
      <c r="BW1105" s="9"/>
      <c r="BX1105" s="9"/>
      <c r="BY1105" s="9"/>
      <c r="BZ1105" s="9"/>
    </row>
    <row r="1106" spans="4:78" ht="18" customHeight="1" x14ac:dyDescent="0.25"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S1106" s="9"/>
      <c r="T1106" s="9"/>
      <c r="U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9"/>
      <c r="AG1106" s="9"/>
      <c r="AH1106" s="9"/>
      <c r="AI1106" s="9"/>
      <c r="AJ1106" s="9"/>
      <c r="AK1106" s="9"/>
      <c r="AL1106" s="9"/>
      <c r="AM1106" s="9"/>
      <c r="AN1106" s="9"/>
      <c r="AO1106" s="9"/>
      <c r="AP1106" s="9"/>
      <c r="AQ1106" s="9"/>
      <c r="AR1106" s="9"/>
      <c r="AS1106" s="9"/>
      <c r="AT1106" s="9"/>
      <c r="AU1106" s="9"/>
      <c r="AV1106" s="9"/>
      <c r="AW1106" s="9"/>
      <c r="AX1106" s="9"/>
      <c r="AY1106" s="9"/>
      <c r="AZ1106" s="9"/>
      <c r="BA1106" s="9"/>
      <c r="BB1106" s="9"/>
      <c r="BC1106" s="9"/>
      <c r="BD1106" s="9"/>
      <c r="BE1106" s="9"/>
      <c r="BF1106" s="9"/>
      <c r="BG1106" s="9"/>
      <c r="BH1106" s="9"/>
      <c r="BI1106" s="9"/>
      <c r="BJ1106" s="9"/>
      <c r="BK1106" s="9"/>
      <c r="BL1106" s="9"/>
      <c r="BM1106" s="9"/>
      <c r="BN1106" s="9"/>
      <c r="BO1106" s="9"/>
      <c r="BP1106" s="9"/>
      <c r="BQ1106" s="9"/>
      <c r="BR1106" s="9"/>
      <c r="BS1106" s="9"/>
      <c r="BT1106" s="9"/>
      <c r="BU1106" s="9"/>
      <c r="BV1106" s="9"/>
      <c r="BW1106" s="9"/>
      <c r="BX1106" s="9"/>
      <c r="BY1106" s="9"/>
      <c r="BZ1106" s="9"/>
    </row>
    <row r="1107" spans="4:78" ht="18" customHeight="1" x14ac:dyDescent="0.25"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S1107" s="9"/>
      <c r="T1107" s="9"/>
      <c r="U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9"/>
      <c r="AG1107" s="9"/>
      <c r="AH1107" s="9"/>
      <c r="AI1107" s="9"/>
      <c r="AJ1107" s="9"/>
      <c r="AK1107" s="9"/>
      <c r="AL1107" s="9"/>
      <c r="AM1107" s="9"/>
      <c r="AN1107" s="9"/>
      <c r="AO1107" s="9"/>
      <c r="AP1107" s="9"/>
      <c r="AQ1107" s="9"/>
      <c r="AR1107" s="9"/>
      <c r="AS1107" s="9"/>
      <c r="AT1107" s="9"/>
      <c r="AU1107" s="9"/>
      <c r="AV1107" s="9"/>
      <c r="AW1107" s="9"/>
      <c r="AX1107" s="9"/>
      <c r="AY1107" s="9"/>
      <c r="AZ1107" s="9"/>
      <c r="BA1107" s="9"/>
      <c r="BB1107" s="9"/>
      <c r="BC1107" s="9"/>
      <c r="BD1107" s="9"/>
      <c r="BE1107" s="9"/>
      <c r="BF1107" s="9"/>
      <c r="BG1107" s="9"/>
      <c r="BH1107" s="9"/>
      <c r="BI1107" s="9"/>
      <c r="BJ1107" s="9"/>
      <c r="BK1107" s="9"/>
      <c r="BL1107" s="9"/>
      <c r="BM1107" s="9"/>
      <c r="BN1107" s="9"/>
      <c r="BO1107" s="9"/>
      <c r="BP1107" s="9"/>
      <c r="BQ1107" s="9"/>
      <c r="BR1107" s="9"/>
      <c r="BS1107" s="9"/>
      <c r="BT1107" s="9"/>
      <c r="BU1107" s="9"/>
      <c r="BV1107" s="9"/>
      <c r="BW1107" s="9"/>
      <c r="BX1107" s="9"/>
      <c r="BY1107" s="9"/>
      <c r="BZ1107" s="9"/>
    </row>
    <row r="1108" spans="4:78" ht="18" customHeight="1" x14ac:dyDescent="0.25"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S1108" s="9"/>
      <c r="T1108" s="9"/>
      <c r="U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9"/>
      <c r="AG1108" s="9"/>
      <c r="AH1108" s="9"/>
      <c r="AI1108" s="9"/>
      <c r="AJ1108" s="9"/>
      <c r="AK1108" s="9"/>
      <c r="AL1108" s="9"/>
      <c r="AM1108" s="9"/>
      <c r="AN1108" s="9"/>
      <c r="AO1108" s="9"/>
      <c r="AP1108" s="9"/>
      <c r="AQ1108" s="9"/>
      <c r="AR1108" s="9"/>
      <c r="AS1108" s="9"/>
      <c r="AT1108" s="9"/>
      <c r="AU1108" s="9"/>
      <c r="AV1108" s="9"/>
      <c r="AW1108" s="9"/>
      <c r="AX1108" s="9"/>
      <c r="AY1108" s="9"/>
      <c r="AZ1108" s="9"/>
      <c r="BA1108" s="9"/>
      <c r="BB1108" s="9"/>
      <c r="BC1108" s="9"/>
      <c r="BD1108" s="9"/>
      <c r="BE1108" s="9"/>
      <c r="BF1108" s="9"/>
      <c r="BG1108" s="9"/>
      <c r="BH1108" s="9"/>
      <c r="BI1108" s="9"/>
      <c r="BJ1108" s="9"/>
      <c r="BK1108" s="9"/>
      <c r="BL1108" s="9"/>
      <c r="BM1108" s="9"/>
      <c r="BN1108" s="9"/>
      <c r="BO1108" s="9"/>
      <c r="BP1108" s="9"/>
      <c r="BQ1108" s="9"/>
      <c r="BR1108" s="9"/>
      <c r="BS1108" s="9"/>
      <c r="BT1108" s="9"/>
      <c r="BU1108" s="9"/>
      <c r="BV1108" s="9"/>
      <c r="BW1108" s="9"/>
      <c r="BX1108" s="9"/>
      <c r="BY1108" s="9"/>
      <c r="BZ1108" s="9"/>
    </row>
    <row r="1109" spans="4:78" ht="18" customHeight="1" x14ac:dyDescent="0.25"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S1109" s="9"/>
      <c r="T1109" s="9"/>
      <c r="U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9"/>
      <c r="AG1109" s="9"/>
      <c r="AH1109" s="9"/>
      <c r="AI1109" s="9"/>
      <c r="AJ1109" s="9"/>
      <c r="AK1109" s="9"/>
      <c r="AL1109" s="9"/>
      <c r="AM1109" s="9"/>
      <c r="AN1109" s="9"/>
      <c r="AO1109" s="9"/>
      <c r="AP1109" s="9"/>
      <c r="AQ1109" s="9"/>
      <c r="AR1109" s="9"/>
      <c r="AS1109" s="9"/>
      <c r="AT1109" s="9"/>
      <c r="AU1109" s="9"/>
      <c r="AV1109" s="9"/>
      <c r="AW1109" s="9"/>
      <c r="AX1109" s="9"/>
      <c r="AY1109" s="9"/>
      <c r="AZ1109" s="9"/>
      <c r="BA1109" s="9"/>
      <c r="BB1109" s="9"/>
      <c r="BC1109" s="9"/>
      <c r="BD1109" s="9"/>
      <c r="BE1109" s="9"/>
      <c r="BF1109" s="9"/>
      <c r="BG1109" s="9"/>
      <c r="BH1109" s="9"/>
      <c r="BI1109" s="9"/>
      <c r="BJ1109" s="9"/>
      <c r="BK1109" s="9"/>
      <c r="BL1109" s="9"/>
      <c r="BM1109" s="9"/>
      <c r="BN1109" s="9"/>
      <c r="BO1109" s="9"/>
      <c r="BP1109" s="9"/>
      <c r="BQ1109" s="9"/>
      <c r="BR1109" s="9"/>
      <c r="BS1109" s="9"/>
      <c r="BT1109" s="9"/>
      <c r="BU1109" s="9"/>
      <c r="BV1109" s="9"/>
      <c r="BW1109" s="9"/>
      <c r="BX1109" s="9"/>
      <c r="BY1109" s="9"/>
      <c r="BZ1109" s="9"/>
    </row>
    <row r="1110" spans="4:78" ht="18" customHeight="1" x14ac:dyDescent="0.25"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S1110" s="9"/>
      <c r="T1110" s="9"/>
      <c r="U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9"/>
      <c r="AG1110" s="9"/>
      <c r="AH1110" s="9"/>
      <c r="AI1110" s="9"/>
      <c r="AJ1110" s="9"/>
      <c r="AK1110" s="9"/>
      <c r="AL1110" s="9"/>
      <c r="AM1110" s="9"/>
      <c r="AN1110" s="9"/>
      <c r="AO1110" s="9"/>
      <c r="AP1110" s="9"/>
      <c r="AQ1110" s="9"/>
      <c r="AR1110" s="9"/>
      <c r="AS1110" s="9"/>
      <c r="AT1110" s="9"/>
      <c r="AU1110" s="9"/>
      <c r="AV1110" s="9"/>
      <c r="AW1110" s="9"/>
      <c r="AX1110" s="9"/>
      <c r="AY1110" s="9"/>
      <c r="AZ1110" s="9"/>
      <c r="BA1110" s="9"/>
      <c r="BB1110" s="9"/>
      <c r="BC1110" s="9"/>
      <c r="BD1110" s="9"/>
      <c r="BE1110" s="9"/>
      <c r="BF1110" s="9"/>
      <c r="BG1110" s="9"/>
      <c r="BH1110" s="9"/>
      <c r="BI1110" s="9"/>
      <c r="BJ1110" s="9"/>
      <c r="BK1110" s="9"/>
      <c r="BL1110" s="9"/>
      <c r="BM1110" s="9"/>
      <c r="BN1110" s="9"/>
      <c r="BO1110" s="9"/>
      <c r="BP1110" s="9"/>
      <c r="BQ1110" s="9"/>
      <c r="BR1110" s="9"/>
      <c r="BS1110" s="9"/>
      <c r="BT1110" s="9"/>
      <c r="BU1110" s="9"/>
      <c r="BV1110" s="9"/>
      <c r="BW1110" s="9"/>
      <c r="BX1110" s="9"/>
      <c r="BY1110" s="9"/>
      <c r="BZ1110" s="9"/>
    </row>
    <row r="1111" spans="4:78" ht="18" customHeight="1" x14ac:dyDescent="0.25"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S1111" s="9"/>
      <c r="T1111" s="9"/>
      <c r="U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9"/>
      <c r="AG1111" s="9"/>
      <c r="AH1111" s="9"/>
      <c r="AI1111" s="9"/>
      <c r="AJ1111" s="9"/>
      <c r="AK1111" s="9"/>
      <c r="AL1111" s="9"/>
      <c r="AM1111" s="9"/>
      <c r="AN1111" s="9"/>
      <c r="AO1111" s="9"/>
      <c r="AP1111" s="9"/>
      <c r="AQ1111" s="9"/>
      <c r="AR1111" s="9"/>
      <c r="AS1111" s="9"/>
      <c r="AT1111" s="9"/>
      <c r="AU1111" s="9"/>
      <c r="AV1111" s="9"/>
      <c r="AW1111" s="9"/>
      <c r="AX1111" s="9"/>
      <c r="AY1111" s="9"/>
      <c r="AZ1111" s="9"/>
      <c r="BA1111" s="9"/>
      <c r="BB1111" s="9"/>
      <c r="BC1111" s="9"/>
      <c r="BD1111" s="9"/>
      <c r="BE1111" s="9"/>
      <c r="BF1111" s="9"/>
      <c r="BG1111" s="9"/>
      <c r="BH1111" s="9"/>
      <c r="BI1111" s="9"/>
      <c r="BJ1111" s="9"/>
      <c r="BK1111" s="9"/>
      <c r="BL1111" s="9"/>
      <c r="BM1111" s="9"/>
      <c r="BN1111" s="9"/>
      <c r="BO1111" s="9"/>
      <c r="BP1111" s="9"/>
      <c r="BQ1111" s="9"/>
      <c r="BR1111" s="9"/>
      <c r="BS1111" s="9"/>
      <c r="BT1111" s="9"/>
      <c r="BU1111" s="9"/>
      <c r="BV1111" s="9"/>
      <c r="BW1111" s="9"/>
      <c r="BX1111" s="9"/>
      <c r="BY1111" s="9"/>
      <c r="BZ1111" s="9"/>
    </row>
    <row r="1112" spans="4:78" ht="18" customHeight="1" x14ac:dyDescent="0.25"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S1112" s="9"/>
      <c r="T1112" s="9"/>
      <c r="U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9"/>
      <c r="AG1112" s="9"/>
      <c r="AH1112" s="9"/>
      <c r="AI1112" s="9"/>
      <c r="AJ1112" s="9"/>
      <c r="AK1112" s="9"/>
      <c r="AL1112" s="9"/>
      <c r="AM1112" s="9"/>
      <c r="AN1112" s="9"/>
      <c r="AO1112" s="9"/>
      <c r="AP1112" s="9"/>
      <c r="AQ1112" s="9"/>
      <c r="AR1112" s="9"/>
      <c r="AS1112" s="9"/>
      <c r="AT1112" s="9"/>
      <c r="AU1112" s="9"/>
      <c r="AV1112" s="9"/>
      <c r="AW1112" s="9"/>
      <c r="AX1112" s="9"/>
      <c r="AY1112" s="9"/>
      <c r="AZ1112" s="9"/>
      <c r="BA1112" s="9"/>
      <c r="BB1112" s="9"/>
      <c r="BC1112" s="9"/>
      <c r="BD1112" s="9"/>
      <c r="BE1112" s="9"/>
      <c r="BF1112" s="9"/>
      <c r="BG1112" s="9"/>
      <c r="BH1112" s="9"/>
      <c r="BI1112" s="9"/>
      <c r="BJ1112" s="9"/>
      <c r="BK1112" s="9"/>
      <c r="BL1112" s="9"/>
      <c r="BM1112" s="9"/>
      <c r="BN1112" s="9"/>
      <c r="BO1112" s="9"/>
      <c r="BP1112" s="9"/>
      <c r="BQ1112" s="9"/>
      <c r="BR1112" s="9"/>
      <c r="BS1112" s="9"/>
      <c r="BT1112" s="9"/>
      <c r="BU1112" s="9"/>
      <c r="BV1112" s="9"/>
      <c r="BW1112" s="9"/>
      <c r="BX1112" s="9"/>
      <c r="BY1112" s="9"/>
      <c r="BZ1112" s="9"/>
    </row>
    <row r="1113" spans="4:78" ht="18" customHeight="1" x14ac:dyDescent="0.25"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S1113" s="9"/>
      <c r="T1113" s="9"/>
      <c r="U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9"/>
      <c r="AG1113" s="9"/>
      <c r="AH1113" s="9"/>
      <c r="AI1113" s="9"/>
      <c r="AJ1113" s="9"/>
      <c r="AK1113" s="9"/>
      <c r="AL1113" s="9"/>
      <c r="AM1113" s="9"/>
      <c r="AN1113" s="9"/>
      <c r="AO1113" s="9"/>
      <c r="AP1113" s="9"/>
      <c r="AQ1113" s="9"/>
      <c r="AR1113" s="9"/>
      <c r="AS1113" s="9"/>
      <c r="AT1113" s="9"/>
      <c r="AU1113" s="9"/>
      <c r="AV1113" s="9"/>
      <c r="AW1113" s="9"/>
      <c r="AX1113" s="9"/>
      <c r="AY1113" s="9"/>
      <c r="AZ1113" s="9"/>
      <c r="BA1113" s="9"/>
      <c r="BB1113" s="9"/>
      <c r="BC1113" s="9"/>
      <c r="BD1113" s="9"/>
      <c r="BE1113" s="9"/>
      <c r="BF1113" s="9"/>
      <c r="BG1113" s="9"/>
      <c r="BH1113" s="9"/>
      <c r="BI1113" s="9"/>
      <c r="BJ1113" s="9"/>
      <c r="BK1113" s="9"/>
      <c r="BL1113" s="9"/>
      <c r="BM1113" s="9"/>
      <c r="BN1113" s="9"/>
      <c r="BO1113" s="9"/>
      <c r="BP1113" s="9"/>
      <c r="BQ1113" s="9"/>
      <c r="BR1113" s="9"/>
      <c r="BS1113" s="9"/>
      <c r="BT1113" s="9"/>
      <c r="BU1113" s="9"/>
      <c r="BV1113" s="9"/>
      <c r="BW1113" s="9"/>
      <c r="BX1113" s="9"/>
      <c r="BY1113" s="9"/>
      <c r="BZ1113" s="9"/>
    </row>
    <row r="1114" spans="4:78" ht="18" customHeight="1" x14ac:dyDescent="0.25"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S1114" s="9"/>
      <c r="T1114" s="9"/>
      <c r="U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9"/>
      <c r="AG1114" s="9"/>
      <c r="AH1114" s="9"/>
      <c r="AI1114" s="9"/>
      <c r="AJ1114" s="9"/>
      <c r="AK1114" s="9"/>
      <c r="AL1114" s="9"/>
      <c r="AM1114" s="9"/>
      <c r="AN1114" s="9"/>
      <c r="AO1114" s="9"/>
      <c r="AP1114" s="9"/>
      <c r="AQ1114" s="9"/>
      <c r="AR1114" s="9"/>
      <c r="AS1114" s="9"/>
      <c r="AT1114" s="9"/>
      <c r="AU1114" s="9"/>
      <c r="AV1114" s="9"/>
      <c r="AW1114" s="9"/>
      <c r="AX1114" s="9"/>
      <c r="AY1114" s="9"/>
      <c r="AZ1114" s="9"/>
      <c r="BA1114" s="9"/>
      <c r="BB1114" s="9"/>
      <c r="BC1114" s="9"/>
      <c r="BD1114" s="9"/>
      <c r="BE1114" s="9"/>
      <c r="BF1114" s="9"/>
      <c r="BG1114" s="9"/>
      <c r="BH1114" s="9"/>
      <c r="BI1114" s="9"/>
      <c r="BJ1114" s="9"/>
      <c r="BK1114" s="9"/>
      <c r="BL1114" s="9"/>
      <c r="BM1114" s="9"/>
      <c r="BN1114" s="9"/>
      <c r="BO1114" s="9"/>
      <c r="BP1114" s="9"/>
      <c r="BQ1114" s="9"/>
      <c r="BR1114" s="9"/>
      <c r="BS1114" s="9"/>
      <c r="BT1114" s="9"/>
      <c r="BU1114" s="9"/>
      <c r="BV1114" s="9"/>
      <c r="BW1114" s="9"/>
      <c r="BX1114" s="9"/>
      <c r="BY1114" s="9"/>
      <c r="BZ1114" s="9"/>
    </row>
    <row r="1115" spans="4:78" ht="18" customHeight="1" x14ac:dyDescent="0.25"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S1115" s="9"/>
      <c r="T1115" s="9"/>
      <c r="U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9"/>
      <c r="AG1115" s="9"/>
      <c r="AH1115" s="9"/>
      <c r="AI1115" s="9"/>
      <c r="AJ1115" s="9"/>
      <c r="AK1115" s="9"/>
      <c r="AL1115" s="9"/>
      <c r="AM1115" s="9"/>
      <c r="AN1115" s="9"/>
      <c r="AO1115" s="9"/>
      <c r="AP1115" s="9"/>
      <c r="AQ1115" s="9"/>
      <c r="AR1115" s="9"/>
      <c r="AS1115" s="9"/>
      <c r="AT1115" s="9"/>
      <c r="AU1115" s="9"/>
      <c r="AV1115" s="9"/>
      <c r="AW1115" s="9"/>
      <c r="AX1115" s="9"/>
      <c r="AY1115" s="9"/>
      <c r="AZ1115" s="9"/>
      <c r="BA1115" s="9"/>
      <c r="BB1115" s="9"/>
      <c r="BC1115" s="9"/>
      <c r="BD1115" s="9"/>
      <c r="BE1115" s="9"/>
      <c r="BF1115" s="9"/>
      <c r="BG1115" s="9"/>
      <c r="BH1115" s="9"/>
      <c r="BI1115" s="9"/>
      <c r="BJ1115" s="9"/>
      <c r="BK1115" s="9"/>
      <c r="BL1115" s="9"/>
      <c r="BM1115" s="9"/>
      <c r="BN1115" s="9"/>
      <c r="BO1115" s="9"/>
      <c r="BP1115" s="9"/>
      <c r="BQ1115" s="9"/>
      <c r="BR1115" s="9"/>
      <c r="BS1115" s="9"/>
      <c r="BT1115" s="9"/>
      <c r="BU1115" s="9"/>
      <c r="BV1115" s="9"/>
      <c r="BW1115" s="9"/>
      <c r="BX1115" s="9"/>
      <c r="BY1115" s="9"/>
      <c r="BZ1115" s="9"/>
    </row>
    <row r="1116" spans="4:78" ht="18" customHeight="1" x14ac:dyDescent="0.25"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S1116" s="9"/>
      <c r="T1116" s="9"/>
      <c r="U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9"/>
      <c r="AG1116" s="9"/>
      <c r="AH1116" s="9"/>
      <c r="AI1116" s="9"/>
      <c r="AJ1116" s="9"/>
      <c r="AK1116" s="9"/>
      <c r="AL1116" s="9"/>
      <c r="AM1116" s="9"/>
      <c r="AN1116" s="9"/>
      <c r="AO1116" s="9"/>
      <c r="AP1116" s="9"/>
      <c r="AQ1116" s="9"/>
      <c r="AR1116" s="9"/>
      <c r="AS1116" s="9"/>
      <c r="AT1116" s="9"/>
      <c r="AU1116" s="9"/>
      <c r="AV1116" s="9"/>
      <c r="AW1116" s="9"/>
      <c r="AX1116" s="9"/>
      <c r="AY1116" s="9"/>
      <c r="AZ1116" s="9"/>
      <c r="BA1116" s="9"/>
      <c r="BB1116" s="9"/>
      <c r="BC1116" s="9"/>
      <c r="BD1116" s="9"/>
      <c r="BE1116" s="9"/>
      <c r="BF1116" s="9"/>
      <c r="BG1116" s="9"/>
      <c r="BH1116" s="9"/>
      <c r="BI1116" s="9"/>
      <c r="BJ1116" s="9"/>
      <c r="BK1116" s="9"/>
      <c r="BL1116" s="9"/>
      <c r="BM1116" s="9"/>
      <c r="BN1116" s="9"/>
      <c r="BO1116" s="9"/>
      <c r="BP1116" s="9"/>
      <c r="BQ1116" s="9"/>
      <c r="BR1116" s="9"/>
      <c r="BS1116" s="9"/>
      <c r="BT1116" s="9"/>
      <c r="BU1116" s="9"/>
      <c r="BV1116" s="9"/>
      <c r="BW1116" s="9"/>
      <c r="BX1116" s="9"/>
      <c r="BY1116" s="9"/>
      <c r="BZ1116" s="9"/>
    </row>
    <row r="1117" spans="4:78" ht="18" customHeight="1" x14ac:dyDescent="0.25"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S1117" s="9"/>
      <c r="T1117" s="9"/>
      <c r="U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9"/>
      <c r="AG1117" s="9"/>
      <c r="AH1117" s="9"/>
      <c r="AI1117" s="9"/>
      <c r="AJ1117" s="9"/>
      <c r="AK1117" s="9"/>
      <c r="AL1117" s="9"/>
      <c r="AM1117" s="9"/>
      <c r="AN1117" s="9"/>
      <c r="AO1117" s="9"/>
      <c r="AP1117" s="9"/>
      <c r="AQ1117" s="9"/>
      <c r="AR1117" s="9"/>
      <c r="AS1117" s="9"/>
      <c r="AT1117" s="9"/>
      <c r="AU1117" s="9"/>
      <c r="AV1117" s="9"/>
      <c r="AW1117" s="9"/>
      <c r="AX1117" s="9"/>
      <c r="AY1117" s="9"/>
      <c r="AZ1117" s="9"/>
      <c r="BA1117" s="9"/>
      <c r="BB1117" s="9"/>
      <c r="BC1117" s="9"/>
      <c r="BD1117" s="9"/>
      <c r="BE1117" s="9"/>
      <c r="BF1117" s="9"/>
      <c r="BG1117" s="9"/>
      <c r="BH1117" s="9"/>
      <c r="BI1117" s="9"/>
      <c r="BJ1117" s="9"/>
      <c r="BK1117" s="9"/>
      <c r="BL1117" s="9"/>
      <c r="BM1117" s="9"/>
      <c r="BN1117" s="9"/>
      <c r="BO1117" s="9"/>
      <c r="BP1117" s="9"/>
      <c r="BQ1117" s="9"/>
      <c r="BR1117" s="9"/>
      <c r="BS1117" s="9"/>
      <c r="BT1117" s="9"/>
      <c r="BU1117" s="9"/>
      <c r="BV1117" s="9"/>
      <c r="BW1117" s="9"/>
      <c r="BX1117" s="9"/>
      <c r="BY1117" s="9"/>
      <c r="BZ1117" s="9"/>
    </row>
    <row r="1118" spans="4:78" ht="18" customHeight="1" x14ac:dyDescent="0.25"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S1118" s="9"/>
      <c r="T1118" s="9"/>
      <c r="U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9"/>
      <c r="AG1118" s="9"/>
      <c r="AH1118" s="9"/>
      <c r="AI1118" s="9"/>
      <c r="AJ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  <c r="BL1118" s="9"/>
      <c r="BM1118" s="9"/>
      <c r="BN1118" s="9"/>
      <c r="BO1118" s="9"/>
      <c r="BP1118" s="9"/>
      <c r="BQ1118" s="9"/>
      <c r="BR1118" s="9"/>
      <c r="BS1118" s="9"/>
      <c r="BT1118" s="9"/>
      <c r="BU1118" s="9"/>
      <c r="BV1118" s="9"/>
      <c r="BW1118" s="9"/>
      <c r="BX1118" s="9"/>
      <c r="BY1118" s="9"/>
      <c r="BZ1118" s="9"/>
    </row>
    <row r="1119" spans="4:78" ht="18" customHeight="1" x14ac:dyDescent="0.25"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S1119" s="9"/>
      <c r="T1119" s="9"/>
      <c r="U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9"/>
      <c r="AG1119" s="9"/>
      <c r="AH1119" s="9"/>
      <c r="AI1119" s="9"/>
      <c r="AJ1119" s="9"/>
      <c r="AK1119" s="9"/>
      <c r="AL1119" s="9"/>
      <c r="AM1119" s="9"/>
      <c r="AN1119" s="9"/>
      <c r="AO1119" s="9"/>
      <c r="AP1119" s="9"/>
      <c r="AQ1119" s="9"/>
      <c r="AR1119" s="9"/>
      <c r="AS1119" s="9"/>
      <c r="AT1119" s="9"/>
      <c r="AU1119" s="9"/>
      <c r="AV1119" s="9"/>
      <c r="AW1119" s="9"/>
      <c r="AX1119" s="9"/>
      <c r="AY1119" s="9"/>
      <c r="AZ1119" s="9"/>
      <c r="BA1119" s="9"/>
      <c r="BB1119" s="9"/>
      <c r="BC1119" s="9"/>
      <c r="BD1119" s="9"/>
      <c r="BE1119" s="9"/>
      <c r="BF1119" s="9"/>
      <c r="BG1119" s="9"/>
      <c r="BH1119" s="9"/>
      <c r="BI1119" s="9"/>
      <c r="BJ1119" s="9"/>
      <c r="BK1119" s="9"/>
      <c r="BL1119" s="9"/>
      <c r="BM1119" s="9"/>
      <c r="BN1119" s="9"/>
      <c r="BO1119" s="9"/>
      <c r="BP1119" s="9"/>
      <c r="BQ1119" s="9"/>
      <c r="BR1119" s="9"/>
      <c r="BS1119" s="9"/>
      <c r="BT1119" s="9"/>
      <c r="BU1119" s="9"/>
      <c r="BV1119" s="9"/>
      <c r="BW1119" s="9"/>
      <c r="BX1119" s="9"/>
      <c r="BY1119" s="9"/>
      <c r="BZ1119" s="9"/>
    </row>
    <row r="1120" spans="4:78" ht="18" customHeight="1" x14ac:dyDescent="0.25"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S1120" s="9"/>
      <c r="T1120" s="9"/>
      <c r="U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9"/>
      <c r="AG1120" s="9"/>
      <c r="AH1120" s="9"/>
      <c r="AI1120" s="9"/>
      <c r="AJ1120" s="9"/>
      <c r="AK1120" s="9"/>
      <c r="AL1120" s="9"/>
      <c r="AM1120" s="9"/>
      <c r="AN1120" s="9"/>
      <c r="AO1120" s="9"/>
      <c r="AP1120" s="9"/>
      <c r="AQ1120" s="9"/>
      <c r="AR1120" s="9"/>
      <c r="AS1120" s="9"/>
      <c r="AT1120" s="9"/>
      <c r="AU1120" s="9"/>
      <c r="AV1120" s="9"/>
      <c r="AW1120" s="9"/>
      <c r="AX1120" s="9"/>
      <c r="AY1120" s="9"/>
      <c r="AZ1120" s="9"/>
      <c r="BA1120" s="9"/>
      <c r="BB1120" s="9"/>
      <c r="BC1120" s="9"/>
      <c r="BD1120" s="9"/>
      <c r="BE1120" s="9"/>
      <c r="BF1120" s="9"/>
      <c r="BG1120" s="9"/>
      <c r="BH1120" s="9"/>
      <c r="BI1120" s="9"/>
      <c r="BJ1120" s="9"/>
      <c r="BK1120" s="9"/>
      <c r="BL1120" s="9"/>
      <c r="BM1120" s="9"/>
      <c r="BN1120" s="9"/>
      <c r="BO1120" s="9"/>
      <c r="BP1120" s="9"/>
      <c r="BQ1120" s="9"/>
      <c r="BR1120" s="9"/>
      <c r="BS1120" s="9"/>
      <c r="BT1120" s="9"/>
      <c r="BU1120" s="9"/>
      <c r="BV1120" s="9"/>
      <c r="BW1120" s="9"/>
      <c r="BX1120" s="9"/>
      <c r="BY1120" s="9"/>
      <c r="BZ1120" s="9"/>
    </row>
    <row r="1121" spans="4:78" ht="18" customHeight="1" x14ac:dyDescent="0.25"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S1121" s="9"/>
      <c r="T1121" s="9"/>
      <c r="U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9"/>
      <c r="AG1121" s="9"/>
      <c r="AH1121" s="9"/>
      <c r="AI1121" s="9"/>
      <c r="AJ1121" s="9"/>
      <c r="AK1121" s="9"/>
      <c r="AL1121" s="9"/>
      <c r="AM1121" s="9"/>
      <c r="AN1121" s="9"/>
      <c r="AO1121" s="9"/>
      <c r="AP1121" s="9"/>
      <c r="AQ1121" s="9"/>
      <c r="AR1121" s="9"/>
      <c r="AS1121" s="9"/>
      <c r="AT1121" s="9"/>
      <c r="AU1121" s="9"/>
      <c r="AV1121" s="9"/>
      <c r="AW1121" s="9"/>
      <c r="AX1121" s="9"/>
      <c r="AY1121" s="9"/>
      <c r="AZ1121" s="9"/>
      <c r="BA1121" s="9"/>
      <c r="BB1121" s="9"/>
      <c r="BC1121" s="9"/>
      <c r="BD1121" s="9"/>
      <c r="BE1121" s="9"/>
      <c r="BF1121" s="9"/>
      <c r="BG1121" s="9"/>
      <c r="BH1121" s="9"/>
      <c r="BI1121" s="9"/>
      <c r="BJ1121" s="9"/>
      <c r="BK1121" s="9"/>
      <c r="BL1121" s="9"/>
      <c r="BM1121" s="9"/>
      <c r="BN1121" s="9"/>
      <c r="BO1121" s="9"/>
      <c r="BP1121" s="9"/>
      <c r="BQ1121" s="9"/>
      <c r="BR1121" s="9"/>
      <c r="BS1121" s="9"/>
      <c r="BT1121" s="9"/>
      <c r="BU1121" s="9"/>
      <c r="BV1121" s="9"/>
      <c r="BW1121" s="9"/>
      <c r="BX1121" s="9"/>
      <c r="BY1121" s="9"/>
      <c r="BZ1121" s="9"/>
    </row>
    <row r="1122" spans="4:78" ht="18" customHeight="1" x14ac:dyDescent="0.25"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S1122" s="9"/>
      <c r="T1122" s="9"/>
      <c r="U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9"/>
      <c r="AG1122" s="9"/>
      <c r="AH1122" s="9"/>
      <c r="AI1122" s="9"/>
      <c r="AJ1122" s="9"/>
      <c r="AK1122" s="9"/>
      <c r="AL1122" s="9"/>
      <c r="AM1122" s="9"/>
      <c r="AN1122" s="9"/>
      <c r="AO1122" s="9"/>
      <c r="AP1122" s="9"/>
      <c r="AQ1122" s="9"/>
      <c r="AR1122" s="9"/>
      <c r="AS1122" s="9"/>
      <c r="AT1122" s="9"/>
      <c r="AU1122" s="9"/>
      <c r="AV1122" s="9"/>
      <c r="AW1122" s="9"/>
      <c r="AX1122" s="9"/>
      <c r="AY1122" s="9"/>
      <c r="AZ1122" s="9"/>
      <c r="BA1122" s="9"/>
      <c r="BB1122" s="9"/>
      <c r="BC1122" s="9"/>
      <c r="BD1122" s="9"/>
      <c r="BE1122" s="9"/>
      <c r="BF1122" s="9"/>
      <c r="BG1122" s="9"/>
      <c r="BH1122" s="9"/>
      <c r="BI1122" s="9"/>
      <c r="BJ1122" s="9"/>
      <c r="BK1122" s="9"/>
      <c r="BL1122" s="9"/>
      <c r="BM1122" s="9"/>
      <c r="BN1122" s="9"/>
      <c r="BO1122" s="9"/>
      <c r="BP1122" s="9"/>
      <c r="BQ1122" s="9"/>
      <c r="BR1122" s="9"/>
      <c r="BS1122" s="9"/>
      <c r="BT1122" s="9"/>
      <c r="BU1122" s="9"/>
      <c r="BV1122" s="9"/>
      <c r="BW1122" s="9"/>
      <c r="BX1122" s="9"/>
      <c r="BY1122" s="9"/>
      <c r="BZ1122" s="9"/>
    </row>
    <row r="1123" spans="4:78" ht="18" customHeight="1" x14ac:dyDescent="0.25"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S1123" s="9"/>
      <c r="T1123" s="9"/>
      <c r="U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9"/>
      <c r="AG1123" s="9"/>
      <c r="AH1123" s="9"/>
      <c r="AI1123" s="9"/>
      <c r="AJ1123" s="9"/>
      <c r="AK1123" s="9"/>
      <c r="AL1123" s="9"/>
      <c r="AM1123" s="9"/>
      <c r="AN1123" s="9"/>
      <c r="AO1123" s="9"/>
      <c r="AP1123" s="9"/>
      <c r="AQ1123" s="9"/>
      <c r="AR1123" s="9"/>
      <c r="AS1123" s="9"/>
      <c r="AT1123" s="9"/>
      <c r="AU1123" s="9"/>
      <c r="AV1123" s="9"/>
      <c r="AW1123" s="9"/>
      <c r="AX1123" s="9"/>
      <c r="AY1123" s="9"/>
      <c r="AZ1123" s="9"/>
      <c r="BA1123" s="9"/>
      <c r="BB1123" s="9"/>
      <c r="BC1123" s="9"/>
      <c r="BD1123" s="9"/>
      <c r="BE1123" s="9"/>
      <c r="BF1123" s="9"/>
      <c r="BG1123" s="9"/>
      <c r="BH1123" s="9"/>
      <c r="BI1123" s="9"/>
      <c r="BJ1123" s="9"/>
      <c r="BK1123" s="9"/>
      <c r="BL1123" s="9"/>
      <c r="BM1123" s="9"/>
      <c r="BN1123" s="9"/>
      <c r="BO1123" s="9"/>
      <c r="BP1123" s="9"/>
      <c r="BQ1123" s="9"/>
      <c r="BR1123" s="9"/>
      <c r="BS1123" s="9"/>
      <c r="BT1123" s="9"/>
      <c r="BU1123" s="9"/>
      <c r="BV1123" s="9"/>
      <c r="BW1123" s="9"/>
      <c r="BX1123" s="9"/>
      <c r="BY1123" s="9"/>
      <c r="BZ1123" s="9"/>
    </row>
    <row r="1124" spans="4:78" ht="18" customHeight="1" x14ac:dyDescent="0.25"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S1124" s="9"/>
      <c r="T1124" s="9"/>
      <c r="U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9"/>
      <c r="AG1124" s="9"/>
      <c r="AH1124" s="9"/>
      <c r="AI1124" s="9"/>
      <c r="AJ1124" s="9"/>
      <c r="AK1124" s="9"/>
      <c r="AL1124" s="9"/>
      <c r="AM1124" s="9"/>
      <c r="AN1124" s="9"/>
      <c r="AO1124" s="9"/>
      <c r="AP1124" s="9"/>
      <c r="AQ1124" s="9"/>
      <c r="AR1124" s="9"/>
      <c r="AS1124" s="9"/>
      <c r="AT1124" s="9"/>
      <c r="AU1124" s="9"/>
      <c r="AV1124" s="9"/>
      <c r="AW1124" s="9"/>
      <c r="AX1124" s="9"/>
      <c r="AY1124" s="9"/>
      <c r="AZ1124" s="9"/>
      <c r="BA1124" s="9"/>
      <c r="BB1124" s="9"/>
      <c r="BC1124" s="9"/>
      <c r="BD1124" s="9"/>
      <c r="BE1124" s="9"/>
      <c r="BF1124" s="9"/>
      <c r="BG1124" s="9"/>
      <c r="BH1124" s="9"/>
      <c r="BI1124" s="9"/>
      <c r="BJ1124" s="9"/>
      <c r="BK1124" s="9"/>
      <c r="BL1124" s="9"/>
      <c r="BM1124" s="9"/>
      <c r="BN1124" s="9"/>
      <c r="BO1124" s="9"/>
      <c r="BP1124" s="9"/>
      <c r="BQ1124" s="9"/>
      <c r="BR1124" s="9"/>
      <c r="BS1124" s="9"/>
      <c r="BT1124" s="9"/>
      <c r="BU1124" s="9"/>
      <c r="BV1124" s="9"/>
      <c r="BW1124" s="9"/>
      <c r="BX1124" s="9"/>
      <c r="BY1124" s="9"/>
      <c r="BZ1124" s="9"/>
    </row>
    <row r="1125" spans="4:78" ht="18" customHeight="1" x14ac:dyDescent="0.25"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S1125" s="9"/>
      <c r="T1125" s="9"/>
      <c r="U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9"/>
      <c r="AG1125" s="9"/>
      <c r="AH1125" s="9"/>
      <c r="AI1125" s="9"/>
      <c r="AJ1125" s="9"/>
      <c r="AK1125" s="9"/>
      <c r="AL1125" s="9"/>
      <c r="AM1125" s="9"/>
      <c r="AN1125" s="9"/>
      <c r="AO1125" s="9"/>
      <c r="AP1125" s="9"/>
      <c r="AQ1125" s="9"/>
      <c r="AR1125" s="9"/>
      <c r="AS1125" s="9"/>
      <c r="AT1125" s="9"/>
      <c r="AU1125" s="9"/>
      <c r="AV1125" s="9"/>
      <c r="AW1125" s="9"/>
      <c r="AX1125" s="9"/>
      <c r="AY1125" s="9"/>
      <c r="AZ1125" s="9"/>
      <c r="BA1125" s="9"/>
      <c r="BB1125" s="9"/>
      <c r="BC1125" s="9"/>
      <c r="BD1125" s="9"/>
      <c r="BE1125" s="9"/>
      <c r="BF1125" s="9"/>
      <c r="BG1125" s="9"/>
      <c r="BH1125" s="9"/>
      <c r="BI1125" s="9"/>
      <c r="BJ1125" s="9"/>
      <c r="BK1125" s="9"/>
      <c r="BL1125" s="9"/>
      <c r="BM1125" s="9"/>
      <c r="BN1125" s="9"/>
      <c r="BO1125" s="9"/>
      <c r="BP1125" s="9"/>
      <c r="BQ1125" s="9"/>
      <c r="BR1125" s="9"/>
      <c r="BS1125" s="9"/>
      <c r="BT1125" s="9"/>
      <c r="BU1125" s="9"/>
      <c r="BV1125" s="9"/>
      <c r="BW1125" s="9"/>
      <c r="BX1125" s="9"/>
      <c r="BY1125" s="9"/>
      <c r="BZ1125" s="9"/>
    </row>
    <row r="1126" spans="4:78" ht="18" customHeight="1" x14ac:dyDescent="0.25"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S1126" s="9"/>
      <c r="T1126" s="9"/>
      <c r="U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9"/>
      <c r="AG1126" s="9"/>
      <c r="AH1126" s="9"/>
      <c r="AI1126" s="9"/>
      <c r="AJ1126" s="9"/>
      <c r="AK1126" s="9"/>
      <c r="AL1126" s="9"/>
      <c r="AM1126" s="9"/>
      <c r="AN1126" s="9"/>
      <c r="AO1126" s="9"/>
      <c r="AP1126" s="9"/>
      <c r="AQ1126" s="9"/>
      <c r="AR1126" s="9"/>
      <c r="AS1126" s="9"/>
      <c r="AT1126" s="9"/>
      <c r="AU1126" s="9"/>
      <c r="AV1126" s="9"/>
      <c r="AW1126" s="9"/>
      <c r="AX1126" s="9"/>
      <c r="AY1126" s="9"/>
      <c r="AZ1126" s="9"/>
      <c r="BA1126" s="9"/>
      <c r="BB1126" s="9"/>
      <c r="BC1126" s="9"/>
      <c r="BD1126" s="9"/>
      <c r="BE1126" s="9"/>
      <c r="BF1126" s="9"/>
      <c r="BG1126" s="9"/>
      <c r="BH1126" s="9"/>
      <c r="BI1126" s="9"/>
      <c r="BJ1126" s="9"/>
      <c r="BK1126" s="9"/>
      <c r="BL1126" s="9"/>
      <c r="BM1126" s="9"/>
      <c r="BN1126" s="9"/>
      <c r="BO1126" s="9"/>
      <c r="BP1126" s="9"/>
      <c r="BQ1126" s="9"/>
      <c r="BR1126" s="9"/>
      <c r="BS1126" s="9"/>
      <c r="BT1126" s="9"/>
      <c r="BU1126" s="9"/>
      <c r="BV1126" s="9"/>
      <c r="BW1126" s="9"/>
      <c r="BX1126" s="9"/>
      <c r="BY1126" s="9"/>
      <c r="BZ1126" s="9"/>
    </row>
    <row r="1127" spans="4:78" ht="18" customHeight="1" x14ac:dyDescent="0.25"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S1127" s="9"/>
      <c r="T1127" s="9"/>
      <c r="U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9"/>
      <c r="AG1127" s="9"/>
      <c r="AH1127" s="9"/>
      <c r="AI1127" s="9"/>
      <c r="AJ1127" s="9"/>
      <c r="AK1127" s="9"/>
      <c r="AL1127" s="9"/>
      <c r="AM1127" s="9"/>
      <c r="AN1127" s="9"/>
      <c r="AO1127" s="9"/>
      <c r="AP1127" s="9"/>
      <c r="AQ1127" s="9"/>
      <c r="AR1127" s="9"/>
      <c r="AS1127" s="9"/>
      <c r="AT1127" s="9"/>
      <c r="AU1127" s="9"/>
      <c r="AV1127" s="9"/>
      <c r="AW1127" s="9"/>
      <c r="AX1127" s="9"/>
      <c r="AY1127" s="9"/>
      <c r="AZ1127" s="9"/>
      <c r="BA1127" s="9"/>
      <c r="BB1127" s="9"/>
      <c r="BC1127" s="9"/>
      <c r="BD1127" s="9"/>
      <c r="BE1127" s="9"/>
      <c r="BF1127" s="9"/>
      <c r="BG1127" s="9"/>
      <c r="BH1127" s="9"/>
      <c r="BI1127" s="9"/>
      <c r="BJ1127" s="9"/>
      <c r="BK1127" s="9"/>
      <c r="BL1127" s="9"/>
      <c r="BM1127" s="9"/>
      <c r="BN1127" s="9"/>
      <c r="BO1127" s="9"/>
      <c r="BP1127" s="9"/>
      <c r="BQ1127" s="9"/>
      <c r="BR1127" s="9"/>
      <c r="BS1127" s="9"/>
      <c r="BT1127" s="9"/>
      <c r="BU1127" s="9"/>
      <c r="BV1127" s="9"/>
      <c r="BW1127" s="9"/>
      <c r="BX1127" s="9"/>
      <c r="BY1127" s="9"/>
      <c r="BZ1127" s="9"/>
    </row>
    <row r="1128" spans="4:78" ht="18" customHeight="1" x14ac:dyDescent="0.25"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S1128" s="9"/>
      <c r="T1128" s="9"/>
      <c r="U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9"/>
      <c r="AG1128" s="9"/>
      <c r="AH1128" s="9"/>
      <c r="AI1128" s="9"/>
      <c r="AJ1128" s="9"/>
      <c r="AK1128" s="9"/>
      <c r="AL1128" s="9"/>
      <c r="AM1128" s="9"/>
      <c r="AN1128" s="9"/>
      <c r="AO1128" s="9"/>
      <c r="AP1128" s="9"/>
      <c r="AQ1128" s="9"/>
      <c r="AR1128" s="9"/>
      <c r="AS1128" s="9"/>
      <c r="AT1128" s="9"/>
      <c r="AU1128" s="9"/>
      <c r="AV1128" s="9"/>
      <c r="AW1128" s="9"/>
      <c r="AX1128" s="9"/>
      <c r="AY1128" s="9"/>
      <c r="AZ1128" s="9"/>
      <c r="BA1128" s="9"/>
      <c r="BB1128" s="9"/>
      <c r="BC1128" s="9"/>
      <c r="BD1128" s="9"/>
      <c r="BE1128" s="9"/>
      <c r="BF1128" s="9"/>
      <c r="BG1128" s="9"/>
      <c r="BH1128" s="9"/>
      <c r="BI1128" s="9"/>
      <c r="BJ1128" s="9"/>
      <c r="BK1128" s="9"/>
      <c r="BL1128" s="9"/>
      <c r="BM1128" s="9"/>
      <c r="BN1128" s="9"/>
      <c r="BO1128" s="9"/>
      <c r="BP1128" s="9"/>
      <c r="BQ1128" s="9"/>
      <c r="BR1128" s="9"/>
      <c r="BS1128" s="9"/>
      <c r="BT1128" s="9"/>
      <c r="BU1128" s="9"/>
      <c r="BV1128" s="9"/>
      <c r="BW1128" s="9"/>
      <c r="BX1128" s="9"/>
      <c r="BY1128" s="9"/>
      <c r="BZ1128" s="9"/>
    </row>
    <row r="1129" spans="4:78" ht="18" customHeight="1" x14ac:dyDescent="0.25"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S1129" s="9"/>
      <c r="T1129" s="9"/>
      <c r="U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9"/>
      <c r="AG1129" s="9"/>
      <c r="AH1129" s="9"/>
      <c r="AI1129" s="9"/>
      <c r="AJ1129" s="9"/>
      <c r="AK1129" s="9"/>
      <c r="AL1129" s="9"/>
      <c r="AM1129" s="9"/>
      <c r="AN1129" s="9"/>
      <c r="AO1129" s="9"/>
      <c r="AP1129" s="9"/>
      <c r="AQ1129" s="9"/>
      <c r="AR1129" s="9"/>
      <c r="AS1129" s="9"/>
      <c r="AT1129" s="9"/>
      <c r="AU1129" s="9"/>
      <c r="AV1129" s="9"/>
      <c r="AW1129" s="9"/>
      <c r="AX1129" s="9"/>
      <c r="AY1129" s="9"/>
      <c r="AZ1129" s="9"/>
      <c r="BA1129" s="9"/>
      <c r="BB1129" s="9"/>
      <c r="BC1129" s="9"/>
      <c r="BD1129" s="9"/>
      <c r="BE1129" s="9"/>
      <c r="BF1129" s="9"/>
      <c r="BG1129" s="9"/>
      <c r="BH1129" s="9"/>
      <c r="BI1129" s="9"/>
      <c r="BJ1129" s="9"/>
      <c r="BK1129" s="9"/>
      <c r="BL1129" s="9"/>
      <c r="BM1129" s="9"/>
      <c r="BN1129" s="9"/>
      <c r="BO1129" s="9"/>
      <c r="BP1129" s="9"/>
      <c r="BQ1129" s="9"/>
      <c r="BR1129" s="9"/>
      <c r="BS1129" s="9"/>
      <c r="BT1129" s="9"/>
      <c r="BU1129" s="9"/>
      <c r="BV1129" s="9"/>
      <c r="BW1129" s="9"/>
      <c r="BX1129" s="9"/>
      <c r="BY1129" s="9"/>
      <c r="BZ1129" s="9"/>
    </row>
    <row r="1130" spans="4:78" ht="18" customHeight="1" x14ac:dyDescent="0.25"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S1130" s="9"/>
      <c r="T1130" s="9"/>
      <c r="U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9"/>
      <c r="AG1130" s="9"/>
      <c r="AH1130" s="9"/>
      <c r="AI1130" s="9"/>
      <c r="AJ1130" s="9"/>
      <c r="AK1130" s="9"/>
      <c r="AL1130" s="9"/>
      <c r="AM1130" s="9"/>
      <c r="AN1130" s="9"/>
      <c r="AO1130" s="9"/>
      <c r="AP1130" s="9"/>
      <c r="AQ1130" s="9"/>
      <c r="AR1130" s="9"/>
      <c r="AS1130" s="9"/>
      <c r="AT1130" s="9"/>
      <c r="AU1130" s="9"/>
      <c r="AV1130" s="9"/>
      <c r="AW1130" s="9"/>
      <c r="AX1130" s="9"/>
      <c r="AY1130" s="9"/>
      <c r="AZ1130" s="9"/>
      <c r="BA1130" s="9"/>
      <c r="BB1130" s="9"/>
      <c r="BC1130" s="9"/>
      <c r="BD1130" s="9"/>
      <c r="BE1130" s="9"/>
      <c r="BF1130" s="9"/>
      <c r="BG1130" s="9"/>
      <c r="BH1130" s="9"/>
      <c r="BI1130" s="9"/>
      <c r="BJ1130" s="9"/>
      <c r="BK1130" s="9"/>
      <c r="BL1130" s="9"/>
      <c r="BM1130" s="9"/>
      <c r="BN1130" s="9"/>
      <c r="BO1130" s="9"/>
      <c r="BP1130" s="9"/>
      <c r="BQ1130" s="9"/>
      <c r="BR1130" s="9"/>
      <c r="BS1130" s="9"/>
      <c r="BT1130" s="9"/>
      <c r="BU1130" s="9"/>
      <c r="BV1130" s="9"/>
      <c r="BW1130" s="9"/>
      <c r="BX1130" s="9"/>
      <c r="BY1130" s="9"/>
      <c r="BZ1130" s="9"/>
    </row>
    <row r="1131" spans="4:78" ht="18" customHeight="1" x14ac:dyDescent="0.25"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S1131" s="9"/>
      <c r="T1131" s="9"/>
      <c r="U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9"/>
      <c r="AG1131" s="9"/>
      <c r="AH1131" s="9"/>
      <c r="AI1131" s="9"/>
      <c r="AJ1131" s="9"/>
      <c r="AK1131" s="9"/>
      <c r="AL1131" s="9"/>
      <c r="AM1131" s="9"/>
      <c r="AN1131" s="9"/>
      <c r="AO1131" s="9"/>
      <c r="AP1131" s="9"/>
      <c r="AQ1131" s="9"/>
      <c r="AR1131" s="9"/>
      <c r="AS1131" s="9"/>
      <c r="AT1131" s="9"/>
      <c r="AU1131" s="9"/>
      <c r="AV1131" s="9"/>
      <c r="AW1131" s="9"/>
      <c r="AX1131" s="9"/>
      <c r="AY1131" s="9"/>
      <c r="AZ1131" s="9"/>
      <c r="BA1131" s="9"/>
      <c r="BB1131" s="9"/>
      <c r="BC1131" s="9"/>
      <c r="BD1131" s="9"/>
      <c r="BE1131" s="9"/>
      <c r="BF1131" s="9"/>
      <c r="BG1131" s="9"/>
      <c r="BH1131" s="9"/>
      <c r="BI1131" s="9"/>
      <c r="BJ1131" s="9"/>
      <c r="BK1131" s="9"/>
      <c r="BL1131" s="9"/>
      <c r="BM1131" s="9"/>
      <c r="BN1131" s="9"/>
      <c r="BO1131" s="9"/>
      <c r="BP1131" s="9"/>
      <c r="BQ1131" s="9"/>
      <c r="BR1131" s="9"/>
      <c r="BS1131" s="9"/>
      <c r="BT1131" s="9"/>
      <c r="BU1131" s="9"/>
      <c r="BV1131" s="9"/>
      <c r="BW1131" s="9"/>
      <c r="BX1131" s="9"/>
      <c r="BY1131" s="9"/>
      <c r="BZ1131" s="9"/>
    </row>
    <row r="1132" spans="4:78" ht="18" customHeight="1" x14ac:dyDescent="0.25"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S1132" s="9"/>
      <c r="T1132" s="9"/>
      <c r="U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9"/>
      <c r="AG1132" s="9"/>
      <c r="AH1132" s="9"/>
      <c r="AI1132" s="9"/>
      <c r="AJ1132" s="9"/>
      <c r="AK1132" s="9"/>
      <c r="AL1132" s="9"/>
      <c r="AM1132" s="9"/>
      <c r="AN1132" s="9"/>
      <c r="AO1132" s="9"/>
      <c r="AP1132" s="9"/>
      <c r="AQ1132" s="9"/>
      <c r="AR1132" s="9"/>
      <c r="AS1132" s="9"/>
      <c r="AT1132" s="9"/>
      <c r="AU1132" s="9"/>
      <c r="AV1132" s="9"/>
      <c r="AW1132" s="9"/>
      <c r="AX1132" s="9"/>
      <c r="AY1132" s="9"/>
      <c r="AZ1132" s="9"/>
      <c r="BA1132" s="9"/>
      <c r="BB1132" s="9"/>
      <c r="BC1132" s="9"/>
      <c r="BD1132" s="9"/>
      <c r="BE1132" s="9"/>
      <c r="BF1132" s="9"/>
      <c r="BG1132" s="9"/>
      <c r="BH1132" s="9"/>
      <c r="BI1132" s="9"/>
      <c r="BJ1132" s="9"/>
      <c r="BK1132" s="9"/>
      <c r="BL1132" s="9"/>
      <c r="BM1132" s="9"/>
      <c r="BN1132" s="9"/>
      <c r="BO1132" s="9"/>
      <c r="BP1132" s="9"/>
      <c r="BQ1132" s="9"/>
      <c r="BR1132" s="9"/>
      <c r="BS1132" s="9"/>
      <c r="BT1132" s="9"/>
      <c r="BU1132" s="9"/>
      <c r="BV1132" s="9"/>
      <c r="BW1132" s="9"/>
      <c r="BX1132" s="9"/>
      <c r="BY1132" s="9"/>
      <c r="BZ1132" s="9"/>
    </row>
    <row r="1133" spans="4:78" ht="18" customHeight="1" x14ac:dyDescent="0.25"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S1133" s="9"/>
      <c r="T1133" s="9"/>
      <c r="U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9"/>
      <c r="AG1133" s="9"/>
      <c r="AH1133" s="9"/>
      <c r="AI1133" s="9"/>
      <c r="AJ1133" s="9"/>
      <c r="AK1133" s="9"/>
      <c r="AL1133" s="9"/>
      <c r="AM1133" s="9"/>
      <c r="AN1133" s="9"/>
      <c r="AO1133" s="9"/>
      <c r="AP1133" s="9"/>
      <c r="AQ1133" s="9"/>
      <c r="AR1133" s="9"/>
      <c r="AS1133" s="9"/>
      <c r="AT1133" s="9"/>
      <c r="AU1133" s="9"/>
      <c r="AV1133" s="9"/>
      <c r="AW1133" s="9"/>
      <c r="AX1133" s="9"/>
      <c r="AY1133" s="9"/>
      <c r="AZ1133" s="9"/>
      <c r="BA1133" s="9"/>
      <c r="BB1133" s="9"/>
      <c r="BC1133" s="9"/>
      <c r="BD1133" s="9"/>
      <c r="BE1133" s="9"/>
      <c r="BF1133" s="9"/>
      <c r="BG1133" s="9"/>
      <c r="BH1133" s="9"/>
      <c r="BI1133" s="9"/>
      <c r="BJ1133" s="9"/>
      <c r="BK1133" s="9"/>
      <c r="BL1133" s="9"/>
      <c r="BM1133" s="9"/>
      <c r="BN1133" s="9"/>
      <c r="BO1133" s="9"/>
      <c r="BP1133" s="9"/>
      <c r="BQ1133" s="9"/>
      <c r="BR1133" s="9"/>
      <c r="BS1133" s="9"/>
      <c r="BT1133" s="9"/>
      <c r="BU1133" s="9"/>
      <c r="BV1133" s="9"/>
      <c r="BW1133" s="9"/>
      <c r="BX1133" s="9"/>
      <c r="BY1133" s="9"/>
      <c r="BZ1133" s="9"/>
    </row>
    <row r="1134" spans="4:78" ht="18" customHeight="1" x14ac:dyDescent="0.25"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S1134" s="9"/>
      <c r="T1134" s="9"/>
      <c r="U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9"/>
      <c r="AG1134" s="9"/>
      <c r="AH1134" s="9"/>
      <c r="AI1134" s="9"/>
      <c r="AJ1134" s="9"/>
      <c r="AK1134" s="9"/>
      <c r="AL1134" s="9"/>
      <c r="AM1134" s="9"/>
      <c r="AN1134" s="9"/>
      <c r="AO1134" s="9"/>
      <c r="AP1134" s="9"/>
      <c r="AQ1134" s="9"/>
      <c r="AR1134" s="9"/>
      <c r="AS1134" s="9"/>
      <c r="AT1134" s="9"/>
      <c r="AU1134" s="9"/>
      <c r="AV1134" s="9"/>
      <c r="AW1134" s="9"/>
      <c r="AX1134" s="9"/>
      <c r="AY1134" s="9"/>
      <c r="AZ1134" s="9"/>
      <c r="BA1134" s="9"/>
      <c r="BB1134" s="9"/>
      <c r="BC1134" s="9"/>
      <c r="BD1134" s="9"/>
      <c r="BE1134" s="9"/>
      <c r="BF1134" s="9"/>
      <c r="BG1134" s="9"/>
      <c r="BH1134" s="9"/>
      <c r="BI1134" s="9"/>
      <c r="BJ1134" s="9"/>
      <c r="BK1134" s="9"/>
      <c r="BL1134" s="9"/>
      <c r="BM1134" s="9"/>
      <c r="BN1134" s="9"/>
      <c r="BO1134" s="9"/>
      <c r="BP1134" s="9"/>
      <c r="BQ1134" s="9"/>
      <c r="BR1134" s="9"/>
      <c r="BS1134" s="9"/>
      <c r="BT1134" s="9"/>
      <c r="BU1134" s="9"/>
      <c r="BV1134" s="9"/>
      <c r="BW1134" s="9"/>
      <c r="BX1134" s="9"/>
      <c r="BY1134" s="9"/>
      <c r="BZ1134" s="9"/>
    </row>
    <row r="1135" spans="4:78" ht="18" customHeight="1" x14ac:dyDescent="0.25"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S1135" s="9"/>
      <c r="T1135" s="9"/>
      <c r="U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9"/>
      <c r="AG1135" s="9"/>
      <c r="AH1135" s="9"/>
      <c r="AI1135" s="9"/>
      <c r="AJ1135" s="9"/>
      <c r="AK1135" s="9"/>
      <c r="AL1135" s="9"/>
      <c r="AM1135" s="9"/>
      <c r="AN1135" s="9"/>
      <c r="AO1135" s="9"/>
      <c r="AP1135" s="9"/>
      <c r="AQ1135" s="9"/>
      <c r="AR1135" s="9"/>
      <c r="AS1135" s="9"/>
      <c r="AT1135" s="9"/>
      <c r="AU1135" s="9"/>
      <c r="AV1135" s="9"/>
      <c r="AW1135" s="9"/>
      <c r="AX1135" s="9"/>
      <c r="AY1135" s="9"/>
      <c r="AZ1135" s="9"/>
      <c r="BA1135" s="9"/>
      <c r="BB1135" s="9"/>
      <c r="BC1135" s="9"/>
      <c r="BD1135" s="9"/>
      <c r="BE1135" s="9"/>
      <c r="BF1135" s="9"/>
      <c r="BG1135" s="9"/>
      <c r="BH1135" s="9"/>
      <c r="BI1135" s="9"/>
      <c r="BJ1135" s="9"/>
      <c r="BK1135" s="9"/>
      <c r="BL1135" s="9"/>
      <c r="BM1135" s="9"/>
      <c r="BN1135" s="9"/>
      <c r="BO1135" s="9"/>
      <c r="BP1135" s="9"/>
      <c r="BQ1135" s="9"/>
      <c r="BR1135" s="9"/>
      <c r="BS1135" s="9"/>
      <c r="BT1135" s="9"/>
      <c r="BU1135" s="9"/>
      <c r="BV1135" s="9"/>
      <c r="BW1135" s="9"/>
      <c r="BX1135" s="9"/>
      <c r="BY1135" s="9"/>
      <c r="BZ1135" s="9"/>
    </row>
    <row r="1136" spans="4:78" ht="18" customHeight="1" x14ac:dyDescent="0.25"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S1136" s="9"/>
      <c r="T1136" s="9"/>
      <c r="U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9"/>
      <c r="AG1136" s="9"/>
      <c r="AH1136" s="9"/>
      <c r="AI1136" s="9"/>
      <c r="AJ1136" s="9"/>
      <c r="AK1136" s="9"/>
      <c r="AL1136" s="9"/>
      <c r="AM1136" s="9"/>
      <c r="AN1136" s="9"/>
      <c r="AO1136" s="9"/>
      <c r="AP1136" s="9"/>
      <c r="AQ1136" s="9"/>
      <c r="AR1136" s="9"/>
      <c r="AS1136" s="9"/>
      <c r="AT1136" s="9"/>
      <c r="AU1136" s="9"/>
      <c r="AV1136" s="9"/>
      <c r="AW1136" s="9"/>
      <c r="AX1136" s="9"/>
      <c r="AY1136" s="9"/>
      <c r="AZ1136" s="9"/>
      <c r="BA1136" s="9"/>
      <c r="BB1136" s="9"/>
      <c r="BC1136" s="9"/>
      <c r="BD1136" s="9"/>
      <c r="BE1136" s="9"/>
      <c r="BF1136" s="9"/>
      <c r="BG1136" s="9"/>
      <c r="BH1136" s="9"/>
      <c r="BI1136" s="9"/>
      <c r="BJ1136" s="9"/>
      <c r="BK1136" s="9"/>
      <c r="BL1136" s="9"/>
      <c r="BM1136" s="9"/>
      <c r="BN1136" s="9"/>
      <c r="BO1136" s="9"/>
      <c r="BP1136" s="9"/>
      <c r="BQ1136" s="9"/>
      <c r="BR1136" s="9"/>
      <c r="BS1136" s="9"/>
      <c r="BT1136" s="9"/>
      <c r="BU1136" s="9"/>
      <c r="BV1136" s="9"/>
      <c r="BW1136" s="9"/>
      <c r="BX1136" s="9"/>
      <c r="BY1136" s="9"/>
      <c r="BZ1136" s="9"/>
    </row>
    <row r="1137" spans="4:78" ht="18" customHeight="1" x14ac:dyDescent="0.25"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S1137" s="9"/>
      <c r="T1137" s="9"/>
      <c r="U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9"/>
      <c r="AG1137" s="9"/>
      <c r="AH1137" s="9"/>
      <c r="AI1137" s="9"/>
      <c r="AJ1137" s="9"/>
      <c r="AK1137" s="9"/>
      <c r="AL1137" s="9"/>
      <c r="AM1137" s="9"/>
      <c r="AN1137" s="9"/>
      <c r="AO1137" s="9"/>
      <c r="AP1137" s="9"/>
      <c r="AQ1137" s="9"/>
      <c r="AR1137" s="9"/>
      <c r="AS1137" s="9"/>
      <c r="AT1137" s="9"/>
      <c r="AU1137" s="9"/>
      <c r="AV1137" s="9"/>
      <c r="AW1137" s="9"/>
      <c r="AX1137" s="9"/>
      <c r="AY1137" s="9"/>
      <c r="AZ1137" s="9"/>
      <c r="BA1137" s="9"/>
      <c r="BB1137" s="9"/>
      <c r="BC1137" s="9"/>
      <c r="BD1137" s="9"/>
      <c r="BE1137" s="9"/>
      <c r="BF1137" s="9"/>
      <c r="BG1137" s="9"/>
      <c r="BH1137" s="9"/>
      <c r="BI1137" s="9"/>
      <c r="BJ1137" s="9"/>
      <c r="BK1137" s="9"/>
      <c r="BL1137" s="9"/>
      <c r="BM1137" s="9"/>
      <c r="BN1137" s="9"/>
      <c r="BO1137" s="9"/>
      <c r="BP1137" s="9"/>
      <c r="BQ1137" s="9"/>
      <c r="BR1137" s="9"/>
      <c r="BS1137" s="9"/>
      <c r="BT1137" s="9"/>
      <c r="BU1137" s="9"/>
      <c r="BV1137" s="9"/>
      <c r="BW1137" s="9"/>
      <c r="BX1137" s="9"/>
      <c r="BY1137" s="9"/>
      <c r="BZ1137" s="9"/>
    </row>
    <row r="1138" spans="4:78" ht="18" customHeight="1" x14ac:dyDescent="0.25"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S1138" s="9"/>
      <c r="T1138" s="9"/>
      <c r="U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9"/>
      <c r="AG1138" s="9"/>
      <c r="AH1138" s="9"/>
      <c r="AI1138" s="9"/>
      <c r="AJ1138" s="9"/>
      <c r="AK1138" s="9"/>
      <c r="AL1138" s="9"/>
      <c r="AM1138" s="9"/>
      <c r="AN1138" s="9"/>
      <c r="AO1138" s="9"/>
      <c r="AP1138" s="9"/>
      <c r="AQ1138" s="9"/>
      <c r="AR1138" s="9"/>
      <c r="AS1138" s="9"/>
      <c r="AT1138" s="9"/>
      <c r="AU1138" s="9"/>
      <c r="AV1138" s="9"/>
      <c r="AW1138" s="9"/>
      <c r="AX1138" s="9"/>
      <c r="AY1138" s="9"/>
      <c r="AZ1138" s="9"/>
      <c r="BA1138" s="9"/>
      <c r="BB1138" s="9"/>
      <c r="BC1138" s="9"/>
      <c r="BD1138" s="9"/>
      <c r="BE1138" s="9"/>
      <c r="BF1138" s="9"/>
      <c r="BG1138" s="9"/>
      <c r="BH1138" s="9"/>
      <c r="BI1138" s="9"/>
      <c r="BJ1138" s="9"/>
      <c r="BK1138" s="9"/>
      <c r="BL1138" s="9"/>
      <c r="BM1138" s="9"/>
      <c r="BN1138" s="9"/>
      <c r="BO1138" s="9"/>
      <c r="BP1138" s="9"/>
      <c r="BQ1138" s="9"/>
      <c r="BR1138" s="9"/>
      <c r="BS1138" s="9"/>
      <c r="BT1138" s="9"/>
      <c r="BU1138" s="9"/>
      <c r="BV1138" s="9"/>
      <c r="BW1138" s="9"/>
      <c r="BX1138" s="9"/>
      <c r="BY1138" s="9"/>
      <c r="BZ1138" s="9"/>
    </row>
    <row r="1139" spans="4:78" ht="18" customHeight="1" x14ac:dyDescent="0.25"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S1139" s="9"/>
      <c r="T1139" s="9"/>
      <c r="U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9"/>
      <c r="AG1139" s="9"/>
      <c r="AH1139" s="9"/>
      <c r="AI1139" s="9"/>
      <c r="AJ1139" s="9"/>
      <c r="AK1139" s="9"/>
      <c r="AL1139" s="9"/>
      <c r="AM1139" s="9"/>
      <c r="AN1139" s="9"/>
      <c r="AO1139" s="9"/>
      <c r="AP1139" s="9"/>
      <c r="AQ1139" s="9"/>
      <c r="AR1139" s="9"/>
      <c r="AS1139" s="9"/>
      <c r="AT1139" s="9"/>
      <c r="AU1139" s="9"/>
      <c r="AV1139" s="9"/>
      <c r="AW1139" s="9"/>
      <c r="AX1139" s="9"/>
      <c r="AY1139" s="9"/>
      <c r="AZ1139" s="9"/>
      <c r="BA1139" s="9"/>
      <c r="BB1139" s="9"/>
      <c r="BC1139" s="9"/>
      <c r="BD1139" s="9"/>
      <c r="BE1139" s="9"/>
      <c r="BF1139" s="9"/>
      <c r="BG1139" s="9"/>
      <c r="BH1139" s="9"/>
      <c r="BI1139" s="9"/>
      <c r="BJ1139" s="9"/>
      <c r="BK1139" s="9"/>
      <c r="BL1139" s="9"/>
      <c r="BM1139" s="9"/>
      <c r="BN1139" s="9"/>
      <c r="BO1139" s="9"/>
      <c r="BP1139" s="9"/>
      <c r="BQ1139" s="9"/>
      <c r="BR1139" s="9"/>
      <c r="BS1139" s="9"/>
      <c r="BT1139" s="9"/>
      <c r="BU1139" s="9"/>
      <c r="BV1139" s="9"/>
      <c r="BW1139" s="9"/>
      <c r="BX1139" s="9"/>
      <c r="BY1139" s="9"/>
      <c r="BZ1139" s="9"/>
    </row>
    <row r="1140" spans="4:78" ht="18" customHeight="1" x14ac:dyDescent="0.25"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S1140" s="9"/>
      <c r="T1140" s="9"/>
      <c r="U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9"/>
      <c r="AG1140" s="9"/>
      <c r="AH1140" s="9"/>
      <c r="AI1140" s="9"/>
      <c r="AJ1140" s="9"/>
      <c r="AK1140" s="9"/>
      <c r="AL1140" s="9"/>
      <c r="AM1140" s="9"/>
      <c r="AN1140" s="9"/>
      <c r="AO1140" s="9"/>
      <c r="AP1140" s="9"/>
      <c r="AQ1140" s="9"/>
      <c r="AR1140" s="9"/>
      <c r="AS1140" s="9"/>
      <c r="AT1140" s="9"/>
      <c r="AU1140" s="9"/>
      <c r="AV1140" s="9"/>
      <c r="AW1140" s="9"/>
      <c r="AX1140" s="9"/>
      <c r="AY1140" s="9"/>
      <c r="AZ1140" s="9"/>
      <c r="BA1140" s="9"/>
      <c r="BB1140" s="9"/>
      <c r="BC1140" s="9"/>
      <c r="BD1140" s="9"/>
      <c r="BE1140" s="9"/>
      <c r="BF1140" s="9"/>
      <c r="BG1140" s="9"/>
      <c r="BH1140" s="9"/>
      <c r="BI1140" s="9"/>
      <c r="BJ1140" s="9"/>
      <c r="BK1140" s="9"/>
      <c r="BL1140" s="9"/>
      <c r="BM1140" s="9"/>
      <c r="BN1140" s="9"/>
      <c r="BO1140" s="9"/>
      <c r="BP1140" s="9"/>
      <c r="BQ1140" s="9"/>
      <c r="BR1140" s="9"/>
      <c r="BS1140" s="9"/>
      <c r="BT1140" s="9"/>
      <c r="BU1140" s="9"/>
      <c r="BV1140" s="9"/>
      <c r="BW1140" s="9"/>
      <c r="BX1140" s="9"/>
      <c r="BY1140" s="9"/>
      <c r="BZ1140" s="9"/>
    </row>
    <row r="1141" spans="4:78" ht="18" customHeight="1" x14ac:dyDescent="0.25"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S1141" s="9"/>
      <c r="T1141" s="9"/>
      <c r="U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9"/>
      <c r="AG1141" s="9"/>
      <c r="AH1141" s="9"/>
      <c r="AI1141" s="9"/>
      <c r="AJ1141" s="9"/>
      <c r="AK1141" s="9"/>
      <c r="AL1141" s="9"/>
      <c r="AM1141" s="9"/>
      <c r="AN1141" s="9"/>
      <c r="AO1141" s="9"/>
      <c r="AP1141" s="9"/>
      <c r="AQ1141" s="9"/>
      <c r="AR1141" s="9"/>
      <c r="AS1141" s="9"/>
      <c r="AT1141" s="9"/>
      <c r="AU1141" s="9"/>
      <c r="AV1141" s="9"/>
      <c r="AW1141" s="9"/>
      <c r="AX1141" s="9"/>
      <c r="AY1141" s="9"/>
      <c r="AZ1141" s="9"/>
      <c r="BA1141" s="9"/>
      <c r="BB1141" s="9"/>
      <c r="BC1141" s="9"/>
      <c r="BD1141" s="9"/>
      <c r="BE1141" s="9"/>
      <c r="BF1141" s="9"/>
      <c r="BG1141" s="9"/>
      <c r="BH1141" s="9"/>
      <c r="BI1141" s="9"/>
      <c r="BJ1141" s="9"/>
      <c r="BK1141" s="9"/>
      <c r="BL1141" s="9"/>
      <c r="BM1141" s="9"/>
      <c r="BN1141" s="9"/>
      <c r="BO1141" s="9"/>
      <c r="BP1141" s="9"/>
      <c r="BQ1141" s="9"/>
      <c r="BR1141" s="9"/>
      <c r="BS1141" s="9"/>
      <c r="BT1141" s="9"/>
      <c r="BU1141" s="9"/>
      <c r="BV1141" s="9"/>
      <c r="BW1141" s="9"/>
      <c r="BX1141" s="9"/>
      <c r="BY1141" s="9"/>
      <c r="BZ1141" s="9"/>
    </row>
    <row r="1142" spans="4:78" ht="18" customHeight="1" x14ac:dyDescent="0.25"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S1142" s="9"/>
      <c r="T1142" s="9"/>
      <c r="U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9"/>
      <c r="AG1142" s="9"/>
      <c r="AH1142" s="9"/>
      <c r="AI1142" s="9"/>
      <c r="AJ1142" s="9"/>
      <c r="AK1142" s="9"/>
      <c r="AL1142" s="9"/>
      <c r="AM1142" s="9"/>
      <c r="AN1142" s="9"/>
      <c r="AO1142" s="9"/>
      <c r="AP1142" s="9"/>
      <c r="AQ1142" s="9"/>
      <c r="AR1142" s="9"/>
      <c r="AS1142" s="9"/>
      <c r="AT1142" s="9"/>
      <c r="AU1142" s="9"/>
      <c r="AV1142" s="9"/>
      <c r="AW1142" s="9"/>
      <c r="AX1142" s="9"/>
      <c r="AY1142" s="9"/>
      <c r="AZ1142" s="9"/>
      <c r="BA1142" s="9"/>
      <c r="BB1142" s="9"/>
      <c r="BC1142" s="9"/>
      <c r="BD1142" s="9"/>
      <c r="BE1142" s="9"/>
      <c r="BF1142" s="9"/>
      <c r="BG1142" s="9"/>
      <c r="BH1142" s="9"/>
      <c r="BI1142" s="9"/>
      <c r="BJ1142" s="9"/>
      <c r="BK1142" s="9"/>
      <c r="BL1142" s="9"/>
      <c r="BM1142" s="9"/>
      <c r="BN1142" s="9"/>
      <c r="BO1142" s="9"/>
      <c r="BP1142" s="9"/>
      <c r="BQ1142" s="9"/>
      <c r="BR1142" s="9"/>
      <c r="BS1142" s="9"/>
      <c r="BT1142" s="9"/>
      <c r="BU1142" s="9"/>
      <c r="BV1142" s="9"/>
      <c r="BW1142" s="9"/>
      <c r="BX1142" s="9"/>
      <c r="BY1142" s="9"/>
      <c r="BZ1142" s="9"/>
    </row>
    <row r="1143" spans="4:78" ht="18" customHeight="1" x14ac:dyDescent="0.25"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S1143" s="9"/>
      <c r="T1143" s="9"/>
      <c r="U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9"/>
      <c r="AG1143" s="9"/>
      <c r="AH1143" s="9"/>
      <c r="AI1143" s="9"/>
      <c r="AJ1143" s="9"/>
      <c r="AK1143" s="9"/>
      <c r="AL1143" s="9"/>
      <c r="AM1143" s="9"/>
      <c r="AN1143" s="9"/>
      <c r="AO1143" s="9"/>
      <c r="AP1143" s="9"/>
      <c r="AQ1143" s="9"/>
      <c r="AR1143" s="9"/>
      <c r="AS1143" s="9"/>
      <c r="AT1143" s="9"/>
      <c r="AU1143" s="9"/>
      <c r="AV1143" s="9"/>
      <c r="AW1143" s="9"/>
      <c r="AX1143" s="9"/>
      <c r="AY1143" s="9"/>
      <c r="AZ1143" s="9"/>
      <c r="BA1143" s="9"/>
      <c r="BB1143" s="9"/>
      <c r="BC1143" s="9"/>
      <c r="BD1143" s="9"/>
      <c r="BE1143" s="9"/>
      <c r="BF1143" s="9"/>
      <c r="BG1143" s="9"/>
      <c r="BH1143" s="9"/>
      <c r="BI1143" s="9"/>
      <c r="BJ1143" s="9"/>
      <c r="BK1143" s="9"/>
      <c r="BL1143" s="9"/>
      <c r="BM1143" s="9"/>
      <c r="BN1143" s="9"/>
      <c r="BO1143" s="9"/>
      <c r="BP1143" s="9"/>
      <c r="BQ1143" s="9"/>
      <c r="BR1143" s="9"/>
      <c r="BS1143" s="9"/>
      <c r="BT1143" s="9"/>
      <c r="BU1143" s="9"/>
      <c r="BV1143" s="9"/>
      <c r="BW1143" s="9"/>
      <c r="BX1143" s="9"/>
      <c r="BY1143" s="9"/>
      <c r="BZ1143" s="9"/>
    </row>
    <row r="1144" spans="4:78" ht="18" customHeight="1" x14ac:dyDescent="0.25"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S1144" s="9"/>
      <c r="T1144" s="9"/>
      <c r="U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9"/>
      <c r="AG1144" s="9"/>
      <c r="AH1144" s="9"/>
      <c r="AI1144" s="9"/>
      <c r="AJ1144" s="9"/>
      <c r="AK1144" s="9"/>
      <c r="AL1144" s="9"/>
      <c r="AM1144" s="9"/>
      <c r="AN1144" s="9"/>
      <c r="AO1144" s="9"/>
      <c r="AP1144" s="9"/>
      <c r="AQ1144" s="9"/>
      <c r="AR1144" s="9"/>
      <c r="AS1144" s="9"/>
      <c r="AT1144" s="9"/>
      <c r="AU1144" s="9"/>
      <c r="AV1144" s="9"/>
      <c r="AW1144" s="9"/>
      <c r="AX1144" s="9"/>
      <c r="AY1144" s="9"/>
      <c r="AZ1144" s="9"/>
      <c r="BA1144" s="9"/>
      <c r="BB1144" s="9"/>
      <c r="BC1144" s="9"/>
      <c r="BD1144" s="9"/>
      <c r="BE1144" s="9"/>
      <c r="BF1144" s="9"/>
      <c r="BG1144" s="9"/>
      <c r="BH1144" s="9"/>
      <c r="BI1144" s="9"/>
      <c r="BJ1144" s="9"/>
      <c r="BK1144" s="9"/>
      <c r="BL1144" s="9"/>
      <c r="BM1144" s="9"/>
      <c r="BN1144" s="9"/>
      <c r="BO1144" s="9"/>
      <c r="BP1144" s="9"/>
      <c r="BQ1144" s="9"/>
      <c r="BR1144" s="9"/>
      <c r="BS1144" s="9"/>
      <c r="BT1144" s="9"/>
      <c r="BU1144" s="9"/>
      <c r="BV1144" s="9"/>
      <c r="BW1144" s="9"/>
      <c r="BX1144" s="9"/>
      <c r="BY1144" s="9"/>
      <c r="BZ1144" s="9"/>
    </row>
    <row r="1145" spans="4:78" ht="18" customHeight="1" x14ac:dyDescent="0.25"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S1145" s="9"/>
      <c r="T1145" s="9"/>
      <c r="U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9"/>
      <c r="AG1145" s="9"/>
      <c r="AH1145" s="9"/>
      <c r="AI1145" s="9"/>
      <c r="AJ1145" s="9"/>
      <c r="AK1145" s="9"/>
      <c r="AL1145" s="9"/>
      <c r="AM1145" s="9"/>
      <c r="AN1145" s="9"/>
      <c r="AO1145" s="9"/>
      <c r="AP1145" s="9"/>
      <c r="AQ1145" s="9"/>
      <c r="AR1145" s="9"/>
      <c r="AS1145" s="9"/>
      <c r="AT1145" s="9"/>
      <c r="AU1145" s="9"/>
      <c r="AV1145" s="9"/>
      <c r="AW1145" s="9"/>
      <c r="AX1145" s="9"/>
      <c r="AY1145" s="9"/>
      <c r="AZ1145" s="9"/>
      <c r="BA1145" s="9"/>
      <c r="BB1145" s="9"/>
      <c r="BC1145" s="9"/>
      <c r="BD1145" s="9"/>
      <c r="BE1145" s="9"/>
      <c r="BF1145" s="9"/>
      <c r="BG1145" s="9"/>
      <c r="BH1145" s="9"/>
      <c r="BI1145" s="9"/>
      <c r="BJ1145" s="9"/>
      <c r="BK1145" s="9"/>
      <c r="BL1145" s="9"/>
      <c r="BM1145" s="9"/>
      <c r="BN1145" s="9"/>
      <c r="BO1145" s="9"/>
      <c r="BP1145" s="9"/>
      <c r="BQ1145" s="9"/>
      <c r="BR1145" s="9"/>
      <c r="BS1145" s="9"/>
      <c r="BT1145" s="9"/>
      <c r="BU1145" s="9"/>
      <c r="BV1145" s="9"/>
      <c r="BW1145" s="9"/>
      <c r="BX1145" s="9"/>
      <c r="BY1145" s="9"/>
      <c r="BZ1145" s="9"/>
    </row>
    <row r="1146" spans="4:78" ht="18" customHeight="1" x14ac:dyDescent="0.25"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S1146" s="9"/>
      <c r="T1146" s="9"/>
      <c r="U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9"/>
      <c r="AG1146" s="9"/>
      <c r="AH1146" s="9"/>
      <c r="AI1146" s="9"/>
      <c r="AJ1146" s="9"/>
      <c r="AK1146" s="9"/>
      <c r="AL1146" s="9"/>
      <c r="AM1146" s="9"/>
      <c r="AN1146" s="9"/>
      <c r="AO1146" s="9"/>
      <c r="AP1146" s="9"/>
      <c r="AQ1146" s="9"/>
      <c r="AR1146" s="9"/>
      <c r="AS1146" s="9"/>
      <c r="AT1146" s="9"/>
      <c r="AU1146" s="9"/>
      <c r="AV1146" s="9"/>
      <c r="AW1146" s="9"/>
      <c r="AX1146" s="9"/>
      <c r="AY1146" s="9"/>
      <c r="AZ1146" s="9"/>
      <c r="BA1146" s="9"/>
      <c r="BB1146" s="9"/>
      <c r="BC1146" s="9"/>
      <c r="BD1146" s="9"/>
      <c r="BE1146" s="9"/>
      <c r="BF1146" s="9"/>
      <c r="BG1146" s="9"/>
      <c r="BH1146" s="9"/>
      <c r="BI1146" s="9"/>
      <c r="BJ1146" s="9"/>
      <c r="BK1146" s="9"/>
      <c r="BL1146" s="9"/>
      <c r="BM1146" s="9"/>
      <c r="BN1146" s="9"/>
      <c r="BO1146" s="9"/>
      <c r="BP1146" s="9"/>
      <c r="BQ1146" s="9"/>
      <c r="BR1146" s="9"/>
      <c r="BS1146" s="9"/>
      <c r="BT1146" s="9"/>
      <c r="BU1146" s="9"/>
      <c r="BV1146" s="9"/>
      <c r="BW1146" s="9"/>
      <c r="BX1146" s="9"/>
      <c r="BY1146" s="9"/>
      <c r="BZ1146" s="9"/>
    </row>
    <row r="1147" spans="4:78" ht="18" customHeight="1" x14ac:dyDescent="0.25"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S1147" s="9"/>
      <c r="T1147" s="9"/>
      <c r="U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9"/>
      <c r="AG1147" s="9"/>
      <c r="AH1147" s="9"/>
      <c r="AI1147" s="9"/>
      <c r="AJ1147" s="9"/>
      <c r="AK1147" s="9"/>
      <c r="AL1147" s="9"/>
      <c r="AM1147" s="9"/>
      <c r="AN1147" s="9"/>
      <c r="AO1147" s="9"/>
      <c r="AP1147" s="9"/>
      <c r="AQ1147" s="9"/>
      <c r="AR1147" s="9"/>
      <c r="AS1147" s="9"/>
      <c r="AT1147" s="9"/>
      <c r="AU1147" s="9"/>
      <c r="AV1147" s="9"/>
      <c r="AW1147" s="9"/>
      <c r="AX1147" s="9"/>
      <c r="AY1147" s="9"/>
      <c r="AZ1147" s="9"/>
      <c r="BA1147" s="9"/>
      <c r="BB1147" s="9"/>
      <c r="BC1147" s="9"/>
      <c r="BD1147" s="9"/>
      <c r="BE1147" s="9"/>
      <c r="BF1147" s="9"/>
      <c r="BG1147" s="9"/>
      <c r="BH1147" s="9"/>
      <c r="BI1147" s="9"/>
      <c r="BJ1147" s="9"/>
      <c r="BK1147" s="9"/>
      <c r="BL1147" s="9"/>
      <c r="BM1147" s="9"/>
      <c r="BN1147" s="9"/>
      <c r="BO1147" s="9"/>
      <c r="BP1147" s="9"/>
      <c r="BQ1147" s="9"/>
      <c r="BR1147" s="9"/>
      <c r="BS1147" s="9"/>
      <c r="BT1147" s="9"/>
      <c r="BU1147" s="9"/>
      <c r="BV1147" s="9"/>
      <c r="BW1147" s="9"/>
      <c r="BX1147" s="9"/>
      <c r="BY1147" s="9"/>
      <c r="BZ1147" s="9"/>
    </row>
    <row r="1148" spans="4:78" ht="18" customHeight="1" x14ac:dyDescent="0.25"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S1148" s="9"/>
      <c r="T1148" s="9"/>
      <c r="U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9"/>
      <c r="AG1148" s="9"/>
      <c r="AH1148" s="9"/>
      <c r="AI1148" s="9"/>
      <c r="AJ1148" s="9"/>
      <c r="AK1148" s="9"/>
      <c r="AL1148" s="9"/>
      <c r="AM1148" s="9"/>
      <c r="AN1148" s="9"/>
      <c r="AO1148" s="9"/>
      <c r="AP1148" s="9"/>
      <c r="AQ1148" s="9"/>
      <c r="AR1148" s="9"/>
      <c r="AS1148" s="9"/>
      <c r="AT1148" s="9"/>
      <c r="AU1148" s="9"/>
      <c r="AV1148" s="9"/>
      <c r="AW1148" s="9"/>
      <c r="AX1148" s="9"/>
      <c r="AY1148" s="9"/>
      <c r="AZ1148" s="9"/>
      <c r="BA1148" s="9"/>
      <c r="BB1148" s="9"/>
      <c r="BC1148" s="9"/>
      <c r="BD1148" s="9"/>
      <c r="BE1148" s="9"/>
      <c r="BF1148" s="9"/>
      <c r="BG1148" s="9"/>
      <c r="BH1148" s="9"/>
      <c r="BI1148" s="9"/>
      <c r="BJ1148" s="9"/>
      <c r="BK1148" s="9"/>
      <c r="BL1148" s="9"/>
      <c r="BM1148" s="9"/>
      <c r="BN1148" s="9"/>
      <c r="BO1148" s="9"/>
      <c r="BP1148" s="9"/>
      <c r="BQ1148" s="9"/>
      <c r="BR1148" s="9"/>
      <c r="BS1148" s="9"/>
      <c r="BT1148" s="9"/>
      <c r="BU1148" s="9"/>
      <c r="BV1148" s="9"/>
      <c r="BW1148" s="9"/>
      <c r="BX1148" s="9"/>
      <c r="BY1148" s="9"/>
      <c r="BZ1148" s="9"/>
    </row>
    <row r="1149" spans="4:78" ht="18" customHeight="1" x14ac:dyDescent="0.25"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S1149" s="9"/>
      <c r="T1149" s="9"/>
      <c r="U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9"/>
      <c r="AG1149" s="9"/>
      <c r="AH1149" s="9"/>
      <c r="AI1149" s="9"/>
      <c r="AJ1149" s="9"/>
      <c r="AK1149" s="9"/>
      <c r="AL1149" s="9"/>
      <c r="AM1149" s="9"/>
      <c r="AN1149" s="9"/>
      <c r="AO1149" s="9"/>
      <c r="AP1149" s="9"/>
      <c r="AQ1149" s="9"/>
      <c r="AR1149" s="9"/>
      <c r="AS1149" s="9"/>
      <c r="AT1149" s="9"/>
      <c r="AU1149" s="9"/>
      <c r="AV1149" s="9"/>
      <c r="AW1149" s="9"/>
      <c r="AX1149" s="9"/>
      <c r="AY1149" s="9"/>
      <c r="AZ1149" s="9"/>
      <c r="BA1149" s="9"/>
      <c r="BB1149" s="9"/>
      <c r="BC1149" s="9"/>
      <c r="BD1149" s="9"/>
      <c r="BE1149" s="9"/>
      <c r="BF1149" s="9"/>
      <c r="BG1149" s="9"/>
      <c r="BH1149" s="9"/>
      <c r="BI1149" s="9"/>
      <c r="BJ1149" s="9"/>
      <c r="BK1149" s="9"/>
      <c r="BL1149" s="9"/>
      <c r="BM1149" s="9"/>
      <c r="BN1149" s="9"/>
      <c r="BO1149" s="9"/>
      <c r="BP1149" s="9"/>
      <c r="BQ1149" s="9"/>
      <c r="BR1149" s="9"/>
      <c r="BS1149" s="9"/>
      <c r="BT1149" s="9"/>
      <c r="BU1149" s="9"/>
      <c r="BV1149" s="9"/>
      <c r="BW1149" s="9"/>
      <c r="BX1149" s="9"/>
      <c r="BY1149" s="9"/>
      <c r="BZ1149" s="9"/>
    </row>
    <row r="1150" spans="4:78" ht="18" customHeight="1" x14ac:dyDescent="0.25"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S1150" s="9"/>
      <c r="T1150" s="9"/>
      <c r="U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9"/>
      <c r="AG1150" s="9"/>
      <c r="AH1150" s="9"/>
      <c r="AI1150" s="9"/>
      <c r="AJ1150" s="9"/>
      <c r="AK1150" s="9"/>
      <c r="AL1150" s="9"/>
      <c r="AM1150" s="9"/>
      <c r="AN1150" s="9"/>
      <c r="AO1150" s="9"/>
      <c r="AP1150" s="9"/>
      <c r="AQ1150" s="9"/>
      <c r="AR1150" s="9"/>
      <c r="AS1150" s="9"/>
      <c r="AT1150" s="9"/>
      <c r="AU1150" s="9"/>
      <c r="AV1150" s="9"/>
      <c r="AW1150" s="9"/>
      <c r="AX1150" s="9"/>
      <c r="AY1150" s="9"/>
      <c r="AZ1150" s="9"/>
      <c r="BA1150" s="9"/>
      <c r="BB1150" s="9"/>
      <c r="BC1150" s="9"/>
      <c r="BD1150" s="9"/>
      <c r="BE1150" s="9"/>
      <c r="BF1150" s="9"/>
      <c r="BG1150" s="9"/>
      <c r="BH1150" s="9"/>
      <c r="BI1150" s="9"/>
      <c r="BJ1150" s="9"/>
      <c r="BK1150" s="9"/>
      <c r="BL1150" s="9"/>
      <c r="BM1150" s="9"/>
      <c r="BN1150" s="9"/>
      <c r="BO1150" s="9"/>
      <c r="BP1150" s="9"/>
      <c r="BQ1150" s="9"/>
      <c r="BR1150" s="9"/>
      <c r="BS1150" s="9"/>
      <c r="BT1150" s="9"/>
      <c r="BU1150" s="9"/>
      <c r="BV1150" s="9"/>
      <c r="BW1150" s="9"/>
      <c r="BX1150" s="9"/>
      <c r="BY1150" s="9"/>
      <c r="BZ1150" s="9"/>
    </row>
    <row r="1151" spans="4:78" ht="18" customHeight="1" x14ac:dyDescent="0.25"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S1151" s="9"/>
      <c r="T1151" s="9"/>
      <c r="U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9"/>
      <c r="AG1151" s="9"/>
      <c r="AH1151" s="9"/>
      <c r="AI1151" s="9"/>
      <c r="AJ1151" s="9"/>
      <c r="AK1151" s="9"/>
      <c r="AL1151" s="9"/>
      <c r="AM1151" s="9"/>
      <c r="AN1151" s="9"/>
      <c r="AO1151" s="9"/>
      <c r="AP1151" s="9"/>
      <c r="AQ1151" s="9"/>
      <c r="AR1151" s="9"/>
      <c r="AS1151" s="9"/>
      <c r="AT1151" s="9"/>
      <c r="AU1151" s="9"/>
      <c r="AV1151" s="9"/>
      <c r="AW1151" s="9"/>
      <c r="AX1151" s="9"/>
      <c r="AY1151" s="9"/>
      <c r="AZ1151" s="9"/>
      <c r="BA1151" s="9"/>
      <c r="BB1151" s="9"/>
      <c r="BC1151" s="9"/>
      <c r="BD1151" s="9"/>
      <c r="BE1151" s="9"/>
      <c r="BF1151" s="9"/>
      <c r="BG1151" s="9"/>
      <c r="BH1151" s="9"/>
      <c r="BI1151" s="9"/>
      <c r="BJ1151" s="9"/>
      <c r="BK1151" s="9"/>
      <c r="BL1151" s="9"/>
      <c r="BM1151" s="9"/>
      <c r="BN1151" s="9"/>
      <c r="BO1151" s="9"/>
      <c r="BP1151" s="9"/>
      <c r="BQ1151" s="9"/>
      <c r="BR1151" s="9"/>
      <c r="BS1151" s="9"/>
      <c r="BT1151" s="9"/>
      <c r="BU1151" s="9"/>
      <c r="BV1151" s="9"/>
      <c r="BW1151" s="9"/>
      <c r="BX1151" s="9"/>
      <c r="BY1151" s="9"/>
      <c r="BZ1151" s="9"/>
    </row>
    <row r="1152" spans="4:78" ht="18" customHeight="1" x14ac:dyDescent="0.25"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S1152" s="9"/>
      <c r="T1152" s="9"/>
      <c r="U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9"/>
      <c r="AG1152" s="9"/>
      <c r="AH1152" s="9"/>
      <c r="AI1152" s="9"/>
      <c r="AJ1152" s="9"/>
      <c r="AK1152" s="9"/>
      <c r="AL1152" s="9"/>
      <c r="AM1152" s="9"/>
      <c r="AN1152" s="9"/>
      <c r="AO1152" s="9"/>
      <c r="AP1152" s="9"/>
      <c r="AQ1152" s="9"/>
      <c r="AR1152" s="9"/>
      <c r="AS1152" s="9"/>
      <c r="AT1152" s="9"/>
      <c r="AU1152" s="9"/>
      <c r="AV1152" s="9"/>
      <c r="AW1152" s="9"/>
      <c r="AX1152" s="9"/>
      <c r="AY1152" s="9"/>
      <c r="AZ1152" s="9"/>
      <c r="BA1152" s="9"/>
      <c r="BB1152" s="9"/>
      <c r="BC1152" s="9"/>
      <c r="BD1152" s="9"/>
      <c r="BE1152" s="9"/>
      <c r="BF1152" s="9"/>
      <c r="BG1152" s="9"/>
      <c r="BH1152" s="9"/>
      <c r="BI1152" s="9"/>
      <c r="BJ1152" s="9"/>
      <c r="BK1152" s="9"/>
      <c r="BL1152" s="9"/>
      <c r="BM1152" s="9"/>
      <c r="BN1152" s="9"/>
      <c r="BO1152" s="9"/>
      <c r="BP1152" s="9"/>
      <c r="BQ1152" s="9"/>
      <c r="BR1152" s="9"/>
      <c r="BS1152" s="9"/>
      <c r="BT1152" s="9"/>
      <c r="BU1152" s="9"/>
      <c r="BV1152" s="9"/>
      <c r="BW1152" s="9"/>
      <c r="BX1152" s="9"/>
      <c r="BY1152" s="9"/>
      <c r="BZ1152" s="9"/>
    </row>
    <row r="1153" spans="4:78" ht="18" customHeight="1" x14ac:dyDescent="0.25"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S1153" s="9"/>
      <c r="T1153" s="9"/>
      <c r="U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9"/>
      <c r="AG1153" s="9"/>
      <c r="AH1153" s="9"/>
      <c r="AI1153" s="9"/>
      <c r="AJ1153" s="9"/>
      <c r="AK1153" s="9"/>
      <c r="AL1153" s="9"/>
      <c r="AM1153" s="9"/>
      <c r="AN1153" s="9"/>
      <c r="AO1153" s="9"/>
      <c r="AP1153" s="9"/>
      <c r="AQ1153" s="9"/>
      <c r="AR1153" s="9"/>
      <c r="AS1153" s="9"/>
      <c r="AT1153" s="9"/>
      <c r="AU1153" s="9"/>
      <c r="AV1153" s="9"/>
      <c r="AW1153" s="9"/>
      <c r="AX1153" s="9"/>
      <c r="AY1153" s="9"/>
      <c r="AZ1153" s="9"/>
      <c r="BA1153" s="9"/>
      <c r="BB1153" s="9"/>
      <c r="BC1153" s="9"/>
      <c r="BD1153" s="9"/>
      <c r="BE1153" s="9"/>
      <c r="BF1153" s="9"/>
      <c r="BG1153" s="9"/>
      <c r="BH1153" s="9"/>
      <c r="BI1153" s="9"/>
      <c r="BJ1153" s="9"/>
      <c r="BK1153" s="9"/>
      <c r="BL1153" s="9"/>
      <c r="BM1153" s="9"/>
      <c r="BN1153" s="9"/>
      <c r="BO1153" s="9"/>
      <c r="BP1153" s="9"/>
      <c r="BQ1153" s="9"/>
      <c r="BR1153" s="9"/>
      <c r="BS1153" s="9"/>
      <c r="BT1153" s="9"/>
      <c r="BU1153" s="9"/>
      <c r="BV1153" s="9"/>
      <c r="BW1153" s="9"/>
      <c r="BX1153" s="9"/>
      <c r="BY1153" s="9"/>
      <c r="BZ1153" s="9"/>
    </row>
    <row r="1154" spans="4:78" ht="18" customHeight="1" x14ac:dyDescent="0.25"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S1154" s="9"/>
      <c r="T1154" s="9"/>
      <c r="U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9"/>
      <c r="AG1154" s="9"/>
      <c r="AH1154" s="9"/>
      <c r="AI1154" s="9"/>
      <c r="AJ1154" s="9"/>
      <c r="AK1154" s="9"/>
      <c r="AL1154" s="9"/>
      <c r="AM1154" s="9"/>
      <c r="AN1154" s="9"/>
      <c r="AO1154" s="9"/>
      <c r="AP1154" s="9"/>
      <c r="AQ1154" s="9"/>
      <c r="AR1154" s="9"/>
      <c r="AS1154" s="9"/>
      <c r="AT1154" s="9"/>
      <c r="AU1154" s="9"/>
      <c r="AV1154" s="9"/>
      <c r="AW1154" s="9"/>
      <c r="AX1154" s="9"/>
      <c r="AY1154" s="9"/>
      <c r="AZ1154" s="9"/>
      <c r="BA1154" s="9"/>
      <c r="BB1154" s="9"/>
      <c r="BC1154" s="9"/>
      <c r="BD1154" s="9"/>
      <c r="BE1154" s="9"/>
      <c r="BF1154" s="9"/>
      <c r="BG1154" s="9"/>
      <c r="BH1154" s="9"/>
      <c r="BI1154" s="9"/>
      <c r="BJ1154" s="9"/>
      <c r="BK1154" s="9"/>
      <c r="BL1154" s="9"/>
      <c r="BM1154" s="9"/>
      <c r="BN1154" s="9"/>
      <c r="BO1154" s="9"/>
      <c r="BP1154" s="9"/>
      <c r="BQ1154" s="9"/>
      <c r="BR1154" s="9"/>
      <c r="BS1154" s="9"/>
      <c r="BT1154" s="9"/>
      <c r="BU1154" s="9"/>
      <c r="BV1154" s="9"/>
      <c r="BW1154" s="9"/>
      <c r="BX1154" s="9"/>
      <c r="BY1154" s="9"/>
      <c r="BZ1154" s="9"/>
    </row>
    <row r="1155" spans="4:78" ht="18" customHeight="1" x14ac:dyDescent="0.25"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S1155" s="9"/>
      <c r="T1155" s="9"/>
      <c r="U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9"/>
      <c r="AG1155" s="9"/>
      <c r="AH1155" s="9"/>
      <c r="AI1155" s="9"/>
      <c r="AJ1155" s="9"/>
      <c r="AK1155" s="9"/>
      <c r="AL1155" s="9"/>
      <c r="AM1155" s="9"/>
      <c r="AN1155" s="9"/>
      <c r="AO1155" s="9"/>
      <c r="AP1155" s="9"/>
      <c r="AQ1155" s="9"/>
      <c r="AR1155" s="9"/>
      <c r="AS1155" s="9"/>
      <c r="AT1155" s="9"/>
      <c r="AU1155" s="9"/>
      <c r="AV1155" s="9"/>
      <c r="AW1155" s="9"/>
      <c r="AX1155" s="9"/>
      <c r="AY1155" s="9"/>
      <c r="AZ1155" s="9"/>
      <c r="BA1155" s="9"/>
      <c r="BB1155" s="9"/>
      <c r="BC1155" s="9"/>
      <c r="BD1155" s="9"/>
      <c r="BE1155" s="9"/>
      <c r="BF1155" s="9"/>
      <c r="BG1155" s="9"/>
      <c r="BH1155" s="9"/>
      <c r="BI1155" s="9"/>
      <c r="BJ1155" s="9"/>
      <c r="BK1155" s="9"/>
      <c r="BL1155" s="9"/>
      <c r="BM1155" s="9"/>
      <c r="BN1155" s="9"/>
      <c r="BO1155" s="9"/>
      <c r="BP1155" s="9"/>
      <c r="BQ1155" s="9"/>
      <c r="BR1155" s="9"/>
      <c r="BS1155" s="9"/>
      <c r="BT1155" s="9"/>
      <c r="BU1155" s="9"/>
      <c r="BV1155" s="9"/>
      <c r="BW1155" s="9"/>
      <c r="BX1155" s="9"/>
      <c r="BY1155" s="9"/>
      <c r="BZ1155" s="9"/>
    </row>
    <row r="1156" spans="4:78" ht="18" customHeight="1" x14ac:dyDescent="0.25"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S1156" s="9"/>
      <c r="T1156" s="9"/>
      <c r="U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9"/>
      <c r="AG1156" s="9"/>
      <c r="AH1156" s="9"/>
      <c r="AI1156" s="9"/>
      <c r="AJ1156" s="9"/>
      <c r="AK1156" s="9"/>
      <c r="AL1156" s="9"/>
      <c r="AM1156" s="9"/>
      <c r="AN1156" s="9"/>
      <c r="AO1156" s="9"/>
      <c r="AP1156" s="9"/>
      <c r="AQ1156" s="9"/>
      <c r="AR1156" s="9"/>
      <c r="AS1156" s="9"/>
      <c r="AT1156" s="9"/>
      <c r="AU1156" s="9"/>
      <c r="AV1156" s="9"/>
      <c r="AW1156" s="9"/>
      <c r="AX1156" s="9"/>
      <c r="AY1156" s="9"/>
      <c r="AZ1156" s="9"/>
      <c r="BA1156" s="9"/>
      <c r="BB1156" s="9"/>
      <c r="BC1156" s="9"/>
      <c r="BD1156" s="9"/>
      <c r="BE1156" s="9"/>
      <c r="BF1156" s="9"/>
      <c r="BG1156" s="9"/>
      <c r="BH1156" s="9"/>
      <c r="BI1156" s="9"/>
      <c r="BJ1156" s="9"/>
      <c r="BK1156" s="9"/>
      <c r="BL1156" s="9"/>
      <c r="BM1156" s="9"/>
      <c r="BN1156" s="9"/>
      <c r="BO1156" s="9"/>
      <c r="BP1156" s="9"/>
      <c r="BQ1156" s="9"/>
      <c r="BR1156" s="9"/>
      <c r="BS1156" s="9"/>
      <c r="BT1156" s="9"/>
      <c r="BU1156" s="9"/>
      <c r="BV1156" s="9"/>
      <c r="BW1156" s="9"/>
      <c r="BX1156" s="9"/>
      <c r="BY1156" s="9"/>
      <c r="BZ1156" s="9"/>
    </row>
    <row r="1157" spans="4:78" ht="18" customHeight="1" x14ac:dyDescent="0.25"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S1157" s="9"/>
      <c r="T1157" s="9"/>
      <c r="U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9"/>
      <c r="AG1157" s="9"/>
      <c r="AH1157" s="9"/>
      <c r="AI1157" s="9"/>
      <c r="AJ1157" s="9"/>
      <c r="AK1157" s="9"/>
      <c r="AL1157" s="9"/>
      <c r="AM1157" s="9"/>
      <c r="AN1157" s="9"/>
      <c r="AO1157" s="9"/>
      <c r="AP1157" s="9"/>
      <c r="AQ1157" s="9"/>
      <c r="AR1157" s="9"/>
      <c r="AS1157" s="9"/>
      <c r="AT1157" s="9"/>
      <c r="AU1157" s="9"/>
      <c r="AV1157" s="9"/>
      <c r="AW1157" s="9"/>
      <c r="AX1157" s="9"/>
      <c r="AY1157" s="9"/>
      <c r="AZ1157" s="9"/>
      <c r="BA1157" s="9"/>
      <c r="BB1157" s="9"/>
      <c r="BC1157" s="9"/>
      <c r="BD1157" s="9"/>
      <c r="BE1157" s="9"/>
      <c r="BF1157" s="9"/>
      <c r="BG1157" s="9"/>
      <c r="BH1157" s="9"/>
      <c r="BI1157" s="9"/>
      <c r="BJ1157" s="9"/>
      <c r="BK1157" s="9"/>
      <c r="BL1157" s="9"/>
      <c r="BM1157" s="9"/>
      <c r="BN1157" s="9"/>
      <c r="BO1157" s="9"/>
      <c r="BP1157" s="9"/>
      <c r="BQ1157" s="9"/>
      <c r="BR1157" s="9"/>
      <c r="BS1157" s="9"/>
      <c r="BT1157" s="9"/>
      <c r="BU1157" s="9"/>
      <c r="BV1157" s="9"/>
      <c r="BW1157" s="9"/>
      <c r="BX1157" s="9"/>
      <c r="BY1157" s="9"/>
      <c r="BZ1157" s="9"/>
    </row>
    <row r="1158" spans="4:78" ht="18" customHeight="1" x14ac:dyDescent="0.25"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S1158" s="9"/>
      <c r="T1158" s="9"/>
      <c r="U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9"/>
      <c r="AG1158" s="9"/>
      <c r="AH1158" s="9"/>
      <c r="AI1158" s="9"/>
      <c r="AJ1158" s="9"/>
      <c r="AK1158" s="9"/>
      <c r="AL1158" s="9"/>
      <c r="AM1158" s="9"/>
      <c r="AN1158" s="9"/>
      <c r="AO1158" s="9"/>
      <c r="AP1158" s="9"/>
      <c r="AQ1158" s="9"/>
      <c r="AR1158" s="9"/>
      <c r="AS1158" s="9"/>
      <c r="AT1158" s="9"/>
      <c r="AU1158" s="9"/>
      <c r="AV1158" s="9"/>
      <c r="AW1158" s="9"/>
      <c r="AX1158" s="9"/>
      <c r="AY1158" s="9"/>
      <c r="AZ1158" s="9"/>
      <c r="BA1158" s="9"/>
      <c r="BB1158" s="9"/>
      <c r="BC1158" s="9"/>
      <c r="BD1158" s="9"/>
      <c r="BE1158" s="9"/>
      <c r="BF1158" s="9"/>
      <c r="BG1158" s="9"/>
      <c r="BH1158" s="9"/>
      <c r="BI1158" s="9"/>
      <c r="BJ1158" s="9"/>
      <c r="BK1158" s="9"/>
      <c r="BL1158" s="9"/>
      <c r="BM1158" s="9"/>
      <c r="BN1158" s="9"/>
      <c r="BO1158" s="9"/>
      <c r="BP1158" s="9"/>
      <c r="BQ1158" s="9"/>
      <c r="BR1158" s="9"/>
      <c r="BS1158" s="9"/>
      <c r="BT1158" s="9"/>
      <c r="BU1158" s="9"/>
      <c r="BV1158" s="9"/>
      <c r="BW1158" s="9"/>
      <c r="BX1158" s="9"/>
      <c r="BY1158" s="9"/>
      <c r="BZ1158" s="9"/>
    </row>
    <row r="1159" spans="4:78" ht="18" customHeight="1" x14ac:dyDescent="0.25"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S1159" s="9"/>
      <c r="T1159" s="9"/>
      <c r="U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9"/>
      <c r="AG1159" s="9"/>
      <c r="AH1159" s="9"/>
      <c r="AI1159" s="9"/>
      <c r="AJ1159" s="9"/>
      <c r="AK1159" s="9"/>
      <c r="AL1159" s="9"/>
      <c r="AM1159" s="9"/>
      <c r="AN1159" s="9"/>
      <c r="AO1159" s="9"/>
      <c r="AP1159" s="9"/>
      <c r="AQ1159" s="9"/>
      <c r="AR1159" s="9"/>
      <c r="AS1159" s="9"/>
      <c r="AT1159" s="9"/>
      <c r="AU1159" s="9"/>
      <c r="AV1159" s="9"/>
      <c r="AW1159" s="9"/>
      <c r="AX1159" s="9"/>
      <c r="AY1159" s="9"/>
      <c r="AZ1159" s="9"/>
      <c r="BA1159" s="9"/>
      <c r="BB1159" s="9"/>
      <c r="BC1159" s="9"/>
      <c r="BD1159" s="9"/>
      <c r="BE1159" s="9"/>
      <c r="BF1159" s="9"/>
      <c r="BG1159" s="9"/>
      <c r="BH1159" s="9"/>
      <c r="BI1159" s="9"/>
      <c r="BJ1159" s="9"/>
      <c r="BK1159" s="9"/>
      <c r="BL1159" s="9"/>
      <c r="BM1159" s="9"/>
      <c r="BN1159" s="9"/>
      <c r="BO1159" s="9"/>
      <c r="BP1159" s="9"/>
      <c r="BQ1159" s="9"/>
      <c r="BR1159" s="9"/>
      <c r="BS1159" s="9"/>
      <c r="BT1159" s="9"/>
      <c r="BU1159" s="9"/>
      <c r="BV1159" s="9"/>
      <c r="BW1159" s="9"/>
      <c r="BX1159" s="9"/>
      <c r="BY1159" s="9"/>
      <c r="BZ1159" s="9"/>
    </row>
    <row r="1160" spans="4:78" ht="18" customHeight="1" x14ac:dyDescent="0.25"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S1160" s="9"/>
      <c r="T1160" s="9"/>
      <c r="U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9"/>
      <c r="AG1160" s="9"/>
      <c r="AH1160" s="9"/>
      <c r="AI1160" s="9"/>
      <c r="AJ1160" s="9"/>
      <c r="AK1160" s="9"/>
      <c r="AL1160" s="9"/>
      <c r="AM1160" s="9"/>
      <c r="AN1160" s="9"/>
      <c r="AO1160" s="9"/>
      <c r="AP1160" s="9"/>
      <c r="AQ1160" s="9"/>
      <c r="AR1160" s="9"/>
      <c r="AS1160" s="9"/>
      <c r="AT1160" s="9"/>
      <c r="AU1160" s="9"/>
      <c r="AV1160" s="9"/>
      <c r="AW1160" s="9"/>
      <c r="AX1160" s="9"/>
      <c r="AY1160" s="9"/>
      <c r="AZ1160" s="9"/>
      <c r="BA1160" s="9"/>
      <c r="BB1160" s="9"/>
      <c r="BC1160" s="9"/>
      <c r="BD1160" s="9"/>
      <c r="BE1160" s="9"/>
      <c r="BF1160" s="9"/>
      <c r="BG1160" s="9"/>
      <c r="BH1160" s="9"/>
      <c r="BI1160" s="9"/>
      <c r="BJ1160" s="9"/>
      <c r="BK1160" s="9"/>
      <c r="BL1160" s="9"/>
      <c r="BM1160" s="9"/>
      <c r="BN1160" s="9"/>
      <c r="BO1160" s="9"/>
      <c r="BP1160" s="9"/>
      <c r="BQ1160" s="9"/>
      <c r="BR1160" s="9"/>
      <c r="BS1160" s="9"/>
      <c r="BT1160" s="9"/>
      <c r="BU1160" s="9"/>
      <c r="BV1160" s="9"/>
      <c r="BW1160" s="9"/>
      <c r="BX1160" s="9"/>
      <c r="BY1160" s="9"/>
      <c r="BZ1160" s="9"/>
    </row>
    <row r="1161" spans="4:78" ht="18" customHeight="1" x14ac:dyDescent="0.25"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S1161" s="9"/>
      <c r="T1161" s="9"/>
      <c r="U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9"/>
      <c r="AG1161" s="9"/>
      <c r="AH1161" s="9"/>
      <c r="AI1161" s="9"/>
      <c r="AJ1161" s="9"/>
      <c r="AK1161" s="9"/>
      <c r="AL1161" s="9"/>
      <c r="AM1161" s="9"/>
      <c r="AN1161" s="9"/>
      <c r="AO1161" s="9"/>
      <c r="AP1161" s="9"/>
      <c r="AQ1161" s="9"/>
      <c r="AR1161" s="9"/>
      <c r="AS1161" s="9"/>
      <c r="AT1161" s="9"/>
      <c r="AU1161" s="9"/>
      <c r="AV1161" s="9"/>
      <c r="AW1161" s="9"/>
      <c r="AX1161" s="9"/>
      <c r="AY1161" s="9"/>
      <c r="AZ1161" s="9"/>
      <c r="BA1161" s="9"/>
      <c r="BB1161" s="9"/>
      <c r="BC1161" s="9"/>
      <c r="BD1161" s="9"/>
      <c r="BE1161" s="9"/>
      <c r="BF1161" s="9"/>
      <c r="BG1161" s="9"/>
      <c r="BH1161" s="9"/>
      <c r="BI1161" s="9"/>
      <c r="BJ1161" s="9"/>
      <c r="BK1161" s="9"/>
      <c r="BL1161" s="9"/>
      <c r="BM1161" s="9"/>
      <c r="BN1161" s="9"/>
      <c r="BO1161" s="9"/>
      <c r="BP1161" s="9"/>
      <c r="BQ1161" s="9"/>
      <c r="BR1161" s="9"/>
      <c r="BS1161" s="9"/>
      <c r="BT1161" s="9"/>
      <c r="BU1161" s="9"/>
      <c r="BV1161" s="9"/>
      <c r="BW1161" s="9"/>
      <c r="BX1161" s="9"/>
      <c r="BY1161" s="9"/>
      <c r="BZ1161" s="9"/>
    </row>
    <row r="1162" spans="4:78" ht="18" customHeight="1" x14ac:dyDescent="0.25"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S1162" s="9"/>
      <c r="T1162" s="9"/>
      <c r="U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9"/>
      <c r="AG1162" s="9"/>
      <c r="AH1162" s="9"/>
      <c r="AI1162" s="9"/>
      <c r="AJ1162" s="9"/>
      <c r="AK1162" s="9"/>
      <c r="AL1162" s="9"/>
      <c r="AM1162" s="9"/>
      <c r="AN1162" s="9"/>
      <c r="AO1162" s="9"/>
      <c r="AP1162" s="9"/>
      <c r="AQ1162" s="9"/>
      <c r="AR1162" s="9"/>
      <c r="AS1162" s="9"/>
      <c r="AT1162" s="9"/>
      <c r="AU1162" s="9"/>
      <c r="AV1162" s="9"/>
      <c r="AW1162" s="9"/>
      <c r="AX1162" s="9"/>
      <c r="AY1162" s="9"/>
      <c r="AZ1162" s="9"/>
      <c r="BA1162" s="9"/>
      <c r="BB1162" s="9"/>
      <c r="BC1162" s="9"/>
      <c r="BD1162" s="9"/>
      <c r="BE1162" s="9"/>
      <c r="BF1162" s="9"/>
      <c r="BG1162" s="9"/>
      <c r="BH1162" s="9"/>
      <c r="BI1162" s="9"/>
      <c r="BJ1162" s="9"/>
      <c r="BK1162" s="9"/>
      <c r="BL1162" s="9"/>
      <c r="BM1162" s="9"/>
      <c r="BN1162" s="9"/>
      <c r="BO1162" s="9"/>
      <c r="BP1162" s="9"/>
      <c r="BQ1162" s="9"/>
      <c r="BR1162" s="9"/>
      <c r="BS1162" s="9"/>
      <c r="BT1162" s="9"/>
      <c r="BU1162" s="9"/>
      <c r="BV1162" s="9"/>
      <c r="BW1162" s="9"/>
      <c r="BX1162" s="9"/>
      <c r="BY1162" s="9"/>
      <c r="BZ1162" s="9"/>
    </row>
    <row r="1163" spans="4:78" ht="18" customHeight="1" x14ac:dyDescent="0.25"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S1163" s="9"/>
      <c r="T1163" s="9"/>
      <c r="U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9"/>
      <c r="AG1163" s="9"/>
      <c r="AH1163" s="9"/>
      <c r="AI1163" s="9"/>
      <c r="AJ1163" s="9"/>
      <c r="AK1163" s="9"/>
      <c r="AL1163" s="9"/>
      <c r="AM1163" s="9"/>
      <c r="AN1163" s="9"/>
      <c r="AO1163" s="9"/>
      <c r="AP1163" s="9"/>
      <c r="AQ1163" s="9"/>
      <c r="AR1163" s="9"/>
      <c r="AS1163" s="9"/>
      <c r="AT1163" s="9"/>
      <c r="AU1163" s="9"/>
      <c r="AV1163" s="9"/>
      <c r="AW1163" s="9"/>
      <c r="AX1163" s="9"/>
      <c r="AY1163" s="9"/>
      <c r="AZ1163" s="9"/>
      <c r="BA1163" s="9"/>
      <c r="BB1163" s="9"/>
      <c r="BC1163" s="9"/>
      <c r="BD1163" s="9"/>
      <c r="BE1163" s="9"/>
      <c r="BF1163" s="9"/>
      <c r="BG1163" s="9"/>
      <c r="BH1163" s="9"/>
      <c r="BI1163" s="9"/>
      <c r="BJ1163" s="9"/>
      <c r="BK1163" s="9"/>
      <c r="BL1163" s="9"/>
      <c r="BM1163" s="9"/>
      <c r="BN1163" s="9"/>
      <c r="BO1163" s="9"/>
      <c r="BP1163" s="9"/>
      <c r="BQ1163" s="9"/>
      <c r="BR1163" s="9"/>
      <c r="BS1163" s="9"/>
      <c r="BT1163" s="9"/>
      <c r="BU1163" s="9"/>
      <c r="BV1163" s="9"/>
      <c r="BW1163" s="9"/>
      <c r="BX1163" s="9"/>
      <c r="BY1163" s="9"/>
      <c r="BZ1163" s="9"/>
    </row>
    <row r="1164" spans="4:78" ht="18" customHeight="1" x14ac:dyDescent="0.25"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S1164" s="9"/>
      <c r="T1164" s="9"/>
      <c r="U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9"/>
      <c r="AG1164" s="9"/>
      <c r="AH1164" s="9"/>
      <c r="AI1164" s="9"/>
      <c r="AJ1164" s="9"/>
      <c r="AK1164" s="9"/>
      <c r="AL1164" s="9"/>
      <c r="AM1164" s="9"/>
      <c r="AN1164" s="9"/>
      <c r="AO1164" s="9"/>
      <c r="AP1164" s="9"/>
      <c r="AQ1164" s="9"/>
      <c r="AR1164" s="9"/>
      <c r="AS1164" s="9"/>
      <c r="AT1164" s="9"/>
      <c r="AU1164" s="9"/>
      <c r="AV1164" s="9"/>
      <c r="AW1164" s="9"/>
      <c r="AX1164" s="9"/>
      <c r="AY1164" s="9"/>
      <c r="AZ1164" s="9"/>
      <c r="BA1164" s="9"/>
      <c r="BB1164" s="9"/>
      <c r="BC1164" s="9"/>
      <c r="BD1164" s="9"/>
      <c r="BE1164" s="9"/>
      <c r="BF1164" s="9"/>
      <c r="BG1164" s="9"/>
      <c r="BH1164" s="9"/>
      <c r="BI1164" s="9"/>
      <c r="BJ1164" s="9"/>
      <c r="BK1164" s="9"/>
      <c r="BL1164" s="9"/>
      <c r="BM1164" s="9"/>
      <c r="BN1164" s="9"/>
      <c r="BO1164" s="9"/>
      <c r="BP1164" s="9"/>
      <c r="BQ1164" s="9"/>
      <c r="BR1164" s="9"/>
      <c r="BS1164" s="9"/>
      <c r="BT1164" s="9"/>
      <c r="BU1164" s="9"/>
      <c r="BV1164" s="9"/>
      <c r="BW1164" s="9"/>
      <c r="BX1164" s="9"/>
      <c r="BY1164" s="9"/>
      <c r="BZ1164" s="9"/>
    </row>
    <row r="1165" spans="4:78" ht="18" customHeight="1" x14ac:dyDescent="0.25"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S1165" s="9"/>
      <c r="T1165" s="9"/>
      <c r="U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9"/>
      <c r="AG1165" s="9"/>
      <c r="AH1165" s="9"/>
      <c r="AI1165" s="9"/>
      <c r="AJ1165" s="9"/>
      <c r="AK1165" s="9"/>
      <c r="AL1165" s="9"/>
      <c r="AM1165" s="9"/>
      <c r="AN1165" s="9"/>
      <c r="AO1165" s="9"/>
      <c r="AP1165" s="9"/>
      <c r="AQ1165" s="9"/>
      <c r="AR1165" s="9"/>
      <c r="AS1165" s="9"/>
      <c r="AT1165" s="9"/>
      <c r="AU1165" s="9"/>
      <c r="AV1165" s="9"/>
      <c r="AW1165" s="9"/>
      <c r="AX1165" s="9"/>
      <c r="AY1165" s="9"/>
      <c r="AZ1165" s="9"/>
      <c r="BA1165" s="9"/>
      <c r="BB1165" s="9"/>
      <c r="BC1165" s="9"/>
      <c r="BD1165" s="9"/>
      <c r="BE1165" s="9"/>
      <c r="BF1165" s="9"/>
      <c r="BG1165" s="9"/>
      <c r="BH1165" s="9"/>
      <c r="BI1165" s="9"/>
      <c r="BJ1165" s="9"/>
      <c r="BK1165" s="9"/>
      <c r="BL1165" s="9"/>
      <c r="BM1165" s="9"/>
      <c r="BN1165" s="9"/>
      <c r="BO1165" s="9"/>
      <c r="BP1165" s="9"/>
      <c r="BQ1165" s="9"/>
      <c r="BR1165" s="9"/>
      <c r="BS1165" s="9"/>
      <c r="BT1165" s="9"/>
      <c r="BU1165" s="9"/>
      <c r="BV1165" s="9"/>
      <c r="BW1165" s="9"/>
      <c r="BX1165" s="9"/>
      <c r="BY1165" s="9"/>
      <c r="BZ1165" s="9"/>
    </row>
    <row r="1166" spans="4:78" ht="18" customHeight="1" x14ac:dyDescent="0.25"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S1166" s="9"/>
      <c r="T1166" s="9"/>
      <c r="U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9"/>
      <c r="AG1166" s="9"/>
      <c r="AH1166" s="9"/>
      <c r="AI1166" s="9"/>
      <c r="AJ1166" s="9"/>
      <c r="AK1166" s="9"/>
      <c r="AL1166" s="9"/>
      <c r="AM1166" s="9"/>
      <c r="AN1166" s="9"/>
      <c r="AO1166" s="9"/>
      <c r="AP1166" s="9"/>
      <c r="AQ1166" s="9"/>
      <c r="AR1166" s="9"/>
      <c r="AS1166" s="9"/>
      <c r="AT1166" s="9"/>
      <c r="AU1166" s="9"/>
      <c r="AV1166" s="9"/>
      <c r="AW1166" s="9"/>
      <c r="AX1166" s="9"/>
      <c r="AY1166" s="9"/>
      <c r="AZ1166" s="9"/>
      <c r="BA1166" s="9"/>
      <c r="BB1166" s="9"/>
      <c r="BC1166" s="9"/>
      <c r="BD1166" s="9"/>
      <c r="BE1166" s="9"/>
      <c r="BF1166" s="9"/>
      <c r="BG1166" s="9"/>
      <c r="BH1166" s="9"/>
      <c r="BI1166" s="9"/>
      <c r="BJ1166" s="9"/>
      <c r="BK1166" s="9"/>
      <c r="BL1166" s="9"/>
      <c r="BM1166" s="9"/>
      <c r="BN1166" s="9"/>
      <c r="BO1166" s="9"/>
      <c r="BP1166" s="9"/>
      <c r="BQ1166" s="9"/>
      <c r="BR1166" s="9"/>
      <c r="BS1166" s="9"/>
      <c r="BT1166" s="9"/>
      <c r="BU1166" s="9"/>
      <c r="BV1166" s="9"/>
      <c r="BW1166" s="9"/>
      <c r="BX1166" s="9"/>
      <c r="BY1166" s="9"/>
      <c r="BZ1166" s="9"/>
    </row>
    <row r="1167" spans="4:78" ht="18" customHeight="1" x14ac:dyDescent="0.25"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S1167" s="9"/>
      <c r="T1167" s="9"/>
      <c r="U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9"/>
      <c r="AG1167" s="9"/>
      <c r="AH1167" s="9"/>
      <c r="AI1167" s="9"/>
      <c r="AJ1167" s="9"/>
      <c r="AK1167" s="9"/>
      <c r="AL1167" s="9"/>
      <c r="AM1167" s="9"/>
      <c r="AN1167" s="9"/>
      <c r="AO1167" s="9"/>
      <c r="AP1167" s="9"/>
      <c r="AQ1167" s="9"/>
      <c r="AR1167" s="9"/>
      <c r="AS1167" s="9"/>
      <c r="AT1167" s="9"/>
      <c r="AU1167" s="9"/>
      <c r="AV1167" s="9"/>
      <c r="AW1167" s="9"/>
      <c r="AX1167" s="9"/>
      <c r="AY1167" s="9"/>
      <c r="AZ1167" s="9"/>
      <c r="BA1167" s="9"/>
      <c r="BB1167" s="9"/>
      <c r="BC1167" s="9"/>
      <c r="BD1167" s="9"/>
      <c r="BE1167" s="9"/>
      <c r="BF1167" s="9"/>
      <c r="BG1167" s="9"/>
      <c r="BH1167" s="9"/>
      <c r="BI1167" s="9"/>
      <c r="BJ1167" s="9"/>
      <c r="BK1167" s="9"/>
      <c r="BL1167" s="9"/>
      <c r="BM1167" s="9"/>
      <c r="BN1167" s="9"/>
      <c r="BO1167" s="9"/>
      <c r="BP1167" s="9"/>
      <c r="BQ1167" s="9"/>
      <c r="BR1167" s="9"/>
      <c r="BS1167" s="9"/>
      <c r="BT1167" s="9"/>
      <c r="BU1167" s="9"/>
      <c r="BV1167" s="9"/>
      <c r="BW1167" s="9"/>
      <c r="BX1167" s="9"/>
      <c r="BY1167" s="9"/>
      <c r="BZ1167" s="9"/>
    </row>
    <row r="1168" spans="4:78" ht="18" customHeight="1" x14ac:dyDescent="0.25"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S1168" s="9"/>
      <c r="T1168" s="9"/>
      <c r="U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9"/>
      <c r="AG1168" s="9"/>
      <c r="AH1168" s="9"/>
      <c r="AI1168" s="9"/>
      <c r="AJ1168" s="9"/>
      <c r="AK1168" s="9"/>
      <c r="AL1168" s="9"/>
      <c r="AM1168" s="9"/>
      <c r="AN1168" s="9"/>
      <c r="AO1168" s="9"/>
      <c r="AP1168" s="9"/>
      <c r="AQ1168" s="9"/>
      <c r="AR1168" s="9"/>
      <c r="AS1168" s="9"/>
      <c r="AT1168" s="9"/>
      <c r="AU1168" s="9"/>
      <c r="AV1168" s="9"/>
      <c r="AW1168" s="9"/>
      <c r="AX1168" s="9"/>
      <c r="AY1168" s="9"/>
      <c r="AZ1168" s="9"/>
      <c r="BA1168" s="9"/>
      <c r="BB1168" s="9"/>
      <c r="BC1168" s="9"/>
      <c r="BD1168" s="9"/>
      <c r="BE1168" s="9"/>
      <c r="BF1168" s="9"/>
      <c r="BG1168" s="9"/>
      <c r="BH1168" s="9"/>
      <c r="BI1168" s="9"/>
      <c r="BJ1168" s="9"/>
      <c r="BK1168" s="9"/>
      <c r="BL1168" s="9"/>
      <c r="BM1168" s="9"/>
      <c r="BN1168" s="9"/>
      <c r="BO1168" s="9"/>
      <c r="BP1168" s="9"/>
      <c r="BQ1168" s="9"/>
      <c r="BR1168" s="9"/>
      <c r="BS1168" s="9"/>
      <c r="BT1168" s="9"/>
      <c r="BU1168" s="9"/>
      <c r="BV1168" s="9"/>
      <c r="BW1168" s="9"/>
      <c r="BX1168" s="9"/>
      <c r="BY1168" s="9"/>
      <c r="BZ1168" s="9"/>
    </row>
    <row r="1169" spans="4:78" ht="18" customHeight="1" x14ac:dyDescent="0.25"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S1169" s="9"/>
      <c r="T1169" s="9"/>
      <c r="U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9"/>
      <c r="AG1169" s="9"/>
      <c r="AH1169" s="9"/>
      <c r="AI1169" s="9"/>
      <c r="AJ1169" s="9"/>
      <c r="AK1169" s="9"/>
      <c r="AL1169" s="9"/>
      <c r="AM1169" s="9"/>
      <c r="AN1169" s="9"/>
      <c r="AO1169" s="9"/>
      <c r="AP1169" s="9"/>
      <c r="AQ1169" s="9"/>
      <c r="AR1169" s="9"/>
      <c r="AS1169" s="9"/>
      <c r="AT1169" s="9"/>
      <c r="AU1169" s="9"/>
      <c r="AV1169" s="9"/>
      <c r="AW1169" s="9"/>
      <c r="AX1169" s="9"/>
      <c r="AY1169" s="9"/>
      <c r="AZ1169" s="9"/>
      <c r="BA1169" s="9"/>
      <c r="BB1169" s="9"/>
      <c r="BC1169" s="9"/>
      <c r="BD1169" s="9"/>
      <c r="BE1169" s="9"/>
      <c r="BF1169" s="9"/>
      <c r="BG1169" s="9"/>
      <c r="BH1169" s="9"/>
      <c r="BI1169" s="9"/>
      <c r="BJ1169" s="9"/>
      <c r="BK1169" s="9"/>
      <c r="BL1169" s="9"/>
      <c r="BM1169" s="9"/>
      <c r="BN1169" s="9"/>
      <c r="BO1169" s="9"/>
      <c r="BP1169" s="9"/>
      <c r="BQ1169" s="9"/>
      <c r="BR1169" s="9"/>
      <c r="BS1169" s="9"/>
      <c r="BT1169" s="9"/>
      <c r="BU1169" s="9"/>
      <c r="BV1169" s="9"/>
      <c r="BW1169" s="9"/>
      <c r="BX1169" s="9"/>
      <c r="BY1169" s="9"/>
      <c r="BZ1169" s="9"/>
    </row>
    <row r="1170" spans="4:78" ht="18" customHeight="1" x14ac:dyDescent="0.25"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S1170" s="9"/>
      <c r="T1170" s="9"/>
      <c r="U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9"/>
      <c r="AG1170" s="9"/>
      <c r="AH1170" s="9"/>
      <c r="AI1170" s="9"/>
      <c r="AJ1170" s="9"/>
      <c r="AK1170" s="9"/>
      <c r="AL1170" s="9"/>
      <c r="AM1170" s="9"/>
      <c r="AN1170" s="9"/>
      <c r="AO1170" s="9"/>
      <c r="AP1170" s="9"/>
      <c r="AQ1170" s="9"/>
      <c r="AR1170" s="9"/>
      <c r="AS1170" s="9"/>
      <c r="AT1170" s="9"/>
      <c r="AU1170" s="9"/>
      <c r="AV1170" s="9"/>
      <c r="AW1170" s="9"/>
      <c r="AX1170" s="9"/>
      <c r="AY1170" s="9"/>
      <c r="AZ1170" s="9"/>
      <c r="BA1170" s="9"/>
      <c r="BB1170" s="9"/>
      <c r="BC1170" s="9"/>
      <c r="BD1170" s="9"/>
      <c r="BE1170" s="9"/>
      <c r="BF1170" s="9"/>
      <c r="BG1170" s="9"/>
      <c r="BH1170" s="9"/>
      <c r="BI1170" s="9"/>
      <c r="BJ1170" s="9"/>
      <c r="BK1170" s="9"/>
      <c r="BL1170" s="9"/>
      <c r="BM1170" s="9"/>
      <c r="BN1170" s="9"/>
      <c r="BO1170" s="9"/>
      <c r="BP1170" s="9"/>
      <c r="BQ1170" s="9"/>
      <c r="BR1170" s="9"/>
      <c r="BS1170" s="9"/>
      <c r="BT1170" s="9"/>
      <c r="BU1170" s="9"/>
      <c r="BV1170" s="9"/>
      <c r="BW1170" s="9"/>
      <c r="BX1170" s="9"/>
      <c r="BY1170" s="9"/>
      <c r="BZ1170" s="9"/>
    </row>
    <row r="1171" spans="4:78" ht="18" customHeight="1" x14ac:dyDescent="0.25"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S1171" s="9"/>
      <c r="T1171" s="9"/>
      <c r="U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9"/>
      <c r="AG1171" s="9"/>
      <c r="AH1171" s="9"/>
      <c r="AI1171" s="9"/>
      <c r="AJ1171" s="9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  <c r="BL1171" s="9"/>
      <c r="BM1171" s="9"/>
      <c r="BN1171" s="9"/>
      <c r="BO1171" s="9"/>
      <c r="BP1171" s="9"/>
      <c r="BQ1171" s="9"/>
      <c r="BR1171" s="9"/>
      <c r="BS1171" s="9"/>
      <c r="BT1171" s="9"/>
      <c r="BU1171" s="9"/>
      <c r="BV1171" s="9"/>
      <c r="BW1171" s="9"/>
      <c r="BX1171" s="9"/>
      <c r="BY1171" s="9"/>
      <c r="BZ1171" s="9"/>
    </row>
    <row r="1172" spans="4:78" ht="18" customHeight="1" x14ac:dyDescent="0.25"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S1172" s="9"/>
      <c r="T1172" s="9"/>
      <c r="U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9"/>
      <c r="AG1172" s="9"/>
      <c r="AH1172" s="9"/>
      <c r="AI1172" s="9"/>
      <c r="AJ1172" s="9"/>
      <c r="AK1172" s="9"/>
      <c r="AL1172" s="9"/>
      <c r="AM1172" s="9"/>
      <c r="AN1172" s="9"/>
      <c r="AO1172" s="9"/>
      <c r="AP1172" s="9"/>
      <c r="AQ1172" s="9"/>
      <c r="AR1172" s="9"/>
      <c r="AS1172" s="9"/>
      <c r="AT1172" s="9"/>
      <c r="AU1172" s="9"/>
      <c r="AV1172" s="9"/>
      <c r="AW1172" s="9"/>
      <c r="AX1172" s="9"/>
      <c r="AY1172" s="9"/>
      <c r="AZ1172" s="9"/>
      <c r="BA1172" s="9"/>
      <c r="BB1172" s="9"/>
      <c r="BC1172" s="9"/>
      <c r="BD1172" s="9"/>
      <c r="BE1172" s="9"/>
      <c r="BF1172" s="9"/>
      <c r="BG1172" s="9"/>
      <c r="BH1172" s="9"/>
      <c r="BI1172" s="9"/>
      <c r="BJ1172" s="9"/>
      <c r="BK1172" s="9"/>
      <c r="BL1172" s="9"/>
      <c r="BM1172" s="9"/>
      <c r="BN1172" s="9"/>
      <c r="BO1172" s="9"/>
      <c r="BP1172" s="9"/>
      <c r="BQ1172" s="9"/>
      <c r="BR1172" s="9"/>
      <c r="BS1172" s="9"/>
      <c r="BT1172" s="9"/>
      <c r="BU1172" s="9"/>
      <c r="BV1172" s="9"/>
      <c r="BW1172" s="9"/>
      <c r="BX1172" s="9"/>
      <c r="BY1172" s="9"/>
      <c r="BZ1172" s="9"/>
    </row>
    <row r="1173" spans="4:78" ht="18" customHeight="1" x14ac:dyDescent="0.25"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S1173" s="9"/>
      <c r="T1173" s="9"/>
      <c r="U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9"/>
      <c r="AG1173" s="9"/>
      <c r="AH1173" s="9"/>
      <c r="AI1173" s="9"/>
      <c r="AJ1173" s="9"/>
      <c r="AK1173" s="9"/>
      <c r="AL1173" s="9"/>
      <c r="AM1173" s="9"/>
      <c r="AN1173" s="9"/>
      <c r="AO1173" s="9"/>
      <c r="AP1173" s="9"/>
      <c r="AQ1173" s="9"/>
      <c r="AR1173" s="9"/>
      <c r="AS1173" s="9"/>
      <c r="AT1173" s="9"/>
      <c r="AU1173" s="9"/>
      <c r="AV1173" s="9"/>
      <c r="AW1173" s="9"/>
      <c r="AX1173" s="9"/>
      <c r="AY1173" s="9"/>
      <c r="AZ1173" s="9"/>
      <c r="BA1173" s="9"/>
      <c r="BB1173" s="9"/>
      <c r="BC1173" s="9"/>
      <c r="BD1173" s="9"/>
      <c r="BE1173" s="9"/>
      <c r="BF1173" s="9"/>
      <c r="BG1173" s="9"/>
      <c r="BH1173" s="9"/>
      <c r="BI1173" s="9"/>
      <c r="BJ1173" s="9"/>
      <c r="BK1173" s="9"/>
      <c r="BL1173" s="9"/>
      <c r="BM1173" s="9"/>
      <c r="BN1173" s="9"/>
      <c r="BO1173" s="9"/>
      <c r="BP1173" s="9"/>
      <c r="BQ1173" s="9"/>
      <c r="BR1173" s="9"/>
      <c r="BS1173" s="9"/>
      <c r="BT1173" s="9"/>
      <c r="BU1173" s="9"/>
      <c r="BV1173" s="9"/>
      <c r="BW1173" s="9"/>
      <c r="BX1173" s="9"/>
      <c r="BY1173" s="9"/>
      <c r="BZ1173" s="9"/>
    </row>
    <row r="1174" spans="4:78" ht="18" customHeight="1" x14ac:dyDescent="0.25"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S1174" s="9"/>
      <c r="T1174" s="9"/>
      <c r="U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9"/>
      <c r="AG1174" s="9"/>
      <c r="AH1174" s="9"/>
      <c r="AI1174" s="9"/>
      <c r="AJ1174" s="9"/>
      <c r="AK1174" s="9"/>
      <c r="AL1174" s="9"/>
      <c r="AM1174" s="9"/>
      <c r="AN1174" s="9"/>
      <c r="AO1174" s="9"/>
      <c r="AP1174" s="9"/>
      <c r="AQ1174" s="9"/>
      <c r="AR1174" s="9"/>
      <c r="AS1174" s="9"/>
      <c r="AT1174" s="9"/>
      <c r="AU1174" s="9"/>
      <c r="AV1174" s="9"/>
      <c r="AW1174" s="9"/>
      <c r="AX1174" s="9"/>
      <c r="AY1174" s="9"/>
      <c r="AZ1174" s="9"/>
      <c r="BA1174" s="9"/>
      <c r="BB1174" s="9"/>
      <c r="BC1174" s="9"/>
      <c r="BD1174" s="9"/>
      <c r="BE1174" s="9"/>
      <c r="BF1174" s="9"/>
      <c r="BG1174" s="9"/>
      <c r="BH1174" s="9"/>
      <c r="BI1174" s="9"/>
      <c r="BJ1174" s="9"/>
      <c r="BK1174" s="9"/>
      <c r="BL1174" s="9"/>
      <c r="BM1174" s="9"/>
      <c r="BN1174" s="9"/>
      <c r="BO1174" s="9"/>
      <c r="BP1174" s="9"/>
      <c r="BQ1174" s="9"/>
      <c r="BR1174" s="9"/>
      <c r="BS1174" s="9"/>
      <c r="BT1174" s="9"/>
      <c r="BU1174" s="9"/>
      <c r="BV1174" s="9"/>
      <c r="BW1174" s="9"/>
      <c r="BX1174" s="9"/>
      <c r="BY1174" s="9"/>
      <c r="BZ1174" s="9"/>
    </row>
    <row r="1175" spans="4:78" ht="18" customHeight="1" x14ac:dyDescent="0.25"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S1175" s="9"/>
      <c r="T1175" s="9"/>
      <c r="U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9"/>
      <c r="AG1175" s="9"/>
      <c r="AH1175" s="9"/>
      <c r="AI1175" s="9"/>
      <c r="AJ1175" s="9"/>
      <c r="AK1175" s="9"/>
      <c r="AL1175" s="9"/>
      <c r="AM1175" s="9"/>
      <c r="AN1175" s="9"/>
      <c r="AO1175" s="9"/>
      <c r="AP1175" s="9"/>
      <c r="AQ1175" s="9"/>
      <c r="AR1175" s="9"/>
      <c r="AS1175" s="9"/>
      <c r="AT1175" s="9"/>
      <c r="AU1175" s="9"/>
      <c r="AV1175" s="9"/>
      <c r="AW1175" s="9"/>
      <c r="AX1175" s="9"/>
      <c r="AY1175" s="9"/>
      <c r="AZ1175" s="9"/>
      <c r="BA1175" s="9"/>
      <c r="BB1175" s="9"/>
      <c r="BC1175" s="9"/>
      <c r="BD1175" s="9"/>
      <c r="BE1175" s="9"/>
      <c r="BF1175" s="9"/>
      <c r="BG1175" s="9"/>
      <c r="BH1175" s="9"/>
      <c r="BI1175" s="9"/>
      <c r="BJ1175" s="9"/>
      <c r="BK1175" s="9"/>
      <c r="BL1175" s="9"/>
      <c r="BM1175" s="9"/>
      <c r="BN1175" s="9"/>
      <c r="BO1175" s="9"/>
      <c r="BP1175" s="9"/>
      <c r="BQ1175" s="9"/>
      <c r="BR1175" s="9"/>
      <c r="BS1175" s="9"/>
      <c r="BT1175" s="9"/>
      <c r="BU1175" s="9"/>
      <c r="BV1175" s="9"/>
      <c r="BW1175" s="9"/>
      <c r="BX1175" s="9"/>
      <c r="BY1175" s="9"/>
      <c r="BZ1175" s="9"/>
    </row>
    <row r="1176" spans="4:78" ht="18" customHeight="1" x14ac:dyDescent="0.25"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S1176" s="9"/>
      <c r="T1176" s="9"/>
      <c r="U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9"/>
      <c r="AG1176" s="9"/>
      <c r="AH1176" s="9"/>
      <c r="AI1176" s="9"/>
      <c r="AJ1176" s="9"/>
      <c r="AK1176" s="9"/>
      <c r="AL1176" s="9"/>
      <c r="AM1176" s="9"/>
      <c r="AN1176" s="9"/>
      <c r="AO1176" s="9"/>
      <c r="AP1176" s="9"/>
      <c r="AQ1176" s="9"/>
      <c r="AR1176" s="9"/>
      <c r="AS1176" s="9"/>
      <c r="AT1176" s="9"/>
      <c r="AU1176" s="9"/>
      <c r="AV1176" s="9"/>
      <c r="AW1176" s="9"/>
      <c r="AX1176" s="9"/>
      <c r="AY1176" s="9"/>
      <c r="AZ1176" s="9"/>
      <c r="BA1176" s="9"/>
      <c r="BB1176" s="9"/>
      <c r="BC1176" s="9"/>
      <c r="BD1176" s="9"/>
      <c r="BE1176" s="9"/>
      <c r="BF1176" s="9"/>
      <c r="BG1176" s="9"/>
      <c r="BH1176" s="9"/>
      <c r="BI1176" s="9"/>
      <c r="BJ1176" s="9"/>
      <c r="BK1176" s="9"/>
      <c r="BL1176" s="9"/>
      <c r="BM1176" s="9"/>
      <c r="BN1176" s="9"/>
      <c r="BO1176" s="9"/>
      <c r="BP1176" s="9"/>
      <c r="BQ1176" s="9"/>
      <c r="BR1176" s="9"/>
      <c r="BS1176" s="9"/>
      <c r="BT1176" s="9"/>
      <c r="BU1176" s="9"/>
      <c r="BV1176" s="9"/>
      <c r="BW1176" s="9"/>
      <c r="BX1176" s="9"/>
      <c r="BY1176" s="9"/>
      <c r="BZ1176" s="9"/>
    </row>
    <row r="1177" spans="4:78" ht="18" customHeight="1" x14ac:dyDescent="0.25"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S1177" s="9"/>
      <c r="T1177" s="9"/>
      <c r="U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9"/>
      <c r="AG1177" s="9"/>
      <c r="AH1177" s="9"/>
      <c r="AI1177" s="9"/>
      <c r="AJ1177" s="9"/>
      <c r="AK1177" s="9"/>
      <c r="AL1177" s="9"/>
      <c r="AM1177" s="9"/>
      <c r="AN1177" s="9"/>
      <c r="AO1177" s="9"/>
      <c r="AP1177" s="9"/>
      <c r="AQ1177" s="9"/>
      <c r="AR1177" s="9"/>
      <c r="AS1177" s="9"/>
      <c r="AT1177" s="9"/>
      <c r="AU1177" s="9"/>
      <c r="AV1177" s="9"/>
      <c r="AW1177" s="9"/>
      <c r="AX1177" s="9"/>
      <c r="AY1177" s="9"/>
      <c r="AZ1177" s="9"/>
      <c r="BA1177" s="9"/>
      <c r="BB1177" s="9"/>
      <c r="BC1177" s="9"/>
      <c r="BD1177" s="9"/>
      <c r="BE1177" s="9"/>
      <c r="BF1177" s="9"/>
      <c r="BG1177" s="9"/>
      <c r="BH1177" s="9"/>
      <c r="BI1177" s="9"/>
      <c r="BJ1177" s="9"/>
      <c r="BK1177" s="9"/>
      <c r="BL1177" s="9"/>
      <c r="BM1177" s="9"/>
      <c r="BN1177" s="9"/>
      <c r="BO1177" s="9"/>
      <c r="BP1177" s="9"/>
      <c r="BQ1177" s="9"/>
      <c r="BR1177" s="9"/>
      <c r="BS1177" s="9"/>
      <c r="BT1177" s="9"/>
      <c r="BU1177" s="9"/>
      <c r="BV1177" s="9"/>
      <c r="BW1177" s="9"/>
      <c r="BX1177" s="9"/>
      <c r="BY1177" s="9"/>
      <c r="BZ1177" s="9"/>
    </row>
    <row r="1178" spans="4:78" ht="18" customHeight="1" x14ac:dyDescent="0.25"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S1178" s="9"/>
      <c r="T1178" s="9"/>
      <c r="U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9"/>
      <c r="AG1178" s="9"/>
      <c r="AH1178" s="9"/>
      <c r="AI1178" s="9"/>
      <c r="AJ1178" s="9"/>
      <c r="AK1178" s="9"/>
      <c r="AL1178" s="9"/>
      <c r="AM1178" s="9"/>
      <c r="AN1178" s="9"/>
      <c r="AO1178" s="9"/>
      <c r="AP1178" s="9"/>
      <c r="AQ1178" s="9"/>
      <c r="AR1178" s="9"/>
      <c r="AS1178" s="9"/>
      <c r="AT1178" s="9"/>
      <c r="AU1178" s="9"/>
      <c r="AV1178" s="9"/>
      <c r="AW1178" s="9"/>
      <c r="AX1178" s="9"/>
      <c r="AY1178" s="9"/>
      <c r="AZ1178" s="9"/>
      <c r="BA1178" s="9"/>
      <c r="BB1178" s="9"/>
      <c r="BC1178" s="9"/>
      <c r="BD1178" s="9"/>
      <c r="BE1178" s="9"/>
      <c r="BF1178" s="9"/>
      <c r="BG1178" s="9"/>
      <c r="BH1178" s="9"/>
      <c r="BI1178" s="9"/>
      <c r="BJ1178" s="9"/>
      <c r="BK1178" s="9"/>
      <c r="BL1178" s="9"/>
      <c r="BM1178" s="9"/>
      <c r="BN1178" s="9"/>
      <c r="BO1178" s="9"/>
      <c r="BP1178" s="9"/>
      <c r="BQ1178" s="9"/>
      <c r="BR1178" s="9"/>
      <c r="BS1178" s="9"/>
      <c r="BT1178" s="9"/>
      <c r="BU1178" s="9"/>
      <c r="BV1178" s="9"/>
      <c r="BW1178" s="9"/>
      <c r="BX1178" s="9"/>
      <c r="BY1178" s="9"/>
      <c r="BZ1178" s="9"/>
    </row>
    <row r="1179" spans="4:78" ht="18" customHeight="1" x14ac:dyDescent="0.25"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S1179" s="9"/>
      <c r="T1179" s="9"/>
      <c r="U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9"/>
      <c r="AG1179" s="9"/>
      <c r="AH1179" s="9"/>
      <c r="AI1179" s="9"/>
      <c r="AJ1179" s="9"/>
      <c r="AK1179" s="9"/>
      <c r="AL1179" s="9"/>
      <c r="AM1179" s="9"/>
      <c r="AN1179" s="9"/>
      <c r="AO1179" s="9"/>
      <c r="AP1179" s="9"/>
      <c r="AQ1179" s="9"/>
      <c r="AR1179" s="9"/>
      <c r="AS1179" s="9"/>
      <c r="AT1179" s="9"/>
      <c r="AU1179" s="9"/>
      <c r="AV1179" s="9"/>
      <c r="AW1179" s="9"/>
      <c r="AX1179" s="9"/>
      <c r="AY1179" s="9"/>
      <c r="AZ1179" s="9"/>
      <c r="BA1179" s="9"/>
      <c r="BB1179" s="9"/>
      <c r="BC1179" s="9"/>
      <c r="BD1179" s="9"/>
      <c r="BE1179" s="9"/>
      <c r="BF1179" s="9"/>
      <c r="BG1179" s="9"/>
      <c r="BH1179" s="9"/>
      <c r="BI1179" s="9"/>
      <c r="BJ1179" s="9"/>
      <c r="BK1179" s="9"/>
      <c r="BL1179" s="9"/>
      <c r="BM1179" s="9"/>
      <c r="BN1179" s="9"/>
      <c r="BO1179" s="9"/>
      <c r="BP1179" s="9"/>
      <c r="BQ1179" s="9"/>
      <c r="BR1179" s="9"/>
      <c r="BS1179" s="9"/>
      <c r="BT1179" s="9"/>
      <c r="BU1179" s="9"/>
      <c r="BV1179" s="9"/>
      <c r="BW1179" s="9"/>
      <c r="BX1179" s="9"/>
      <c r="BY1179" s="9"/>
      <c r="BZ1179" s="9"/>
    </row>
    <row r="1180" spans="4:78" ht="18" customHeight="1" x14ac:dyDescent="0.25"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S1180" s="9"/>
      <c r="T1180" s="9"/>
      <c r="U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9"/>
      <c r="AG1180" s="9"/>
      <c r="AH1180" s="9"/>
      <c r="AI1180" s="9"/>
      <c r="AJ1180" s="9"/>
      <c r="AK1180" s="9"/>
      <c r="AL1180" s="9"/>
      <c r="AM1180" s="9"/>
      <c r="AN1180" s="9"/>
      <c r="AO1180" s="9"/>
      <c r="AP1180" s="9"/>
      <c r="AQ1180" s="9"/>
      <c r="AR1180" s="9"/>
      <c r="AS1180" s="9"/>
      <c r="AT1180" s="9"/>
      <c r="AU1180" s="9"/>
      <c r="AV1180" s="9"/>
      <c r="AW1180" s="9"/>
      <c r="AX1180" s="9"/>
      <c r="AY1180" s="9"/>
      <c r="AZ1180" s="9"/>
      <c r="BA1180" s="9"/>
      <c r="BB1180" s="9"/>
      <c r="BC1180" s="9"/>
      <c r="BD1180" s="9"/>
      <c r="BE1180" s="9"/>
      <c r="BF1180" s="9"/>
      <c r="BG1180" s="9"/>
      <c r="BH1180" s="9"/>
      <c r="BI1180" s="9"/>
      <c r="BJ1180" s="9"/>
      <c r="BK1180" s="9"/>
      <c r="BL1180" s="9"/>
      <c r="BM1180" s="9"/>
      <c r="BN1180" s="9"/>
      <c r="BO1180" s="9"/>
      <c r="BP1180" s="9"/>
      <c r="BQ1180" s="9"/>
      <c r="BR1180" s="9"/>
      <c r="BS1180" s="9"/>
      <c r="BT1180" s="9"/>
      <c r="BU1180" s="9"/>
      <c r="BV1180" s="9"/>
      <c r="BW1180" s="9"/>
      <c r="BX1180" s="9"/>
      <c r="BY1180" s="9"/>
      <c r="BZ1180" s="9"/>
    </row>
    <row r="1181" spans="4:78" ht="18" customHeight="1" x14ac:dyDescent="0.25"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S1181" s="9"/>
      <c r="T1181" s="9"/>
      <c r="U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9"/>
      <c r="AG1181" s="9"/>
      <c r="AH1181" s="9"/>
      <c r="AI1181" s="9"/>
      <c r="AJ1181" s="9"/>
      <c r="AK1181" s="9"/>
      <c r="AL1181" s="9"/>
      <c r="AM1181" s="9"/>
      <c r="AN1181" s="9"/>
      <c r="AO1181" s="9"/>
      <c r="AP1181" s="9"/>
      <c r="AQ1181" s="9"/>
      <c r="AR1181" s="9"/>
      <c r="AS1181" s="9"/>
      <c r="AT1181" s="9"/>
      <c r="AU1181" s="9"/>
      <c r="AV1181" s="9"/>
      <c r="AW1181" s="9"/>
      <c r="AX1181" s="9"/>
      <c r="AY1181" s="9"/>
      <c r="AZ1181" s="9"/>
      <c r="BA1181" s="9"/>
      <c r="BB1181" s="9"/>
      <c r="BC1181" s="9"/>
      <c r="BD1181" s="9"/>
      <c r="BE1181" s="9"/>
      <c r="BF1181" s="9"/>
      <c r="BG1181" s="9"/>
      <c r="BH1181" s="9"/>
      <c r="BI1181" s="9"/>
      <c r="BJ1181" s="9"/>
      <c r="BK1181" s="9"/>
      <c r="BL1181" s="9"/>
      <c r="BM1181" s="9"/>
      <c r="BN1181" s="9"/>
      <c r="BO1181" s="9"/>
      <c r="BP1181" s="9"/>
      <c r="BQ1181" s="9"/>
      <c r="BR1181" s="9"/>
      <c r="BS1181" s="9"/>
      <c r="BT1181" s="9"/>
      <c r="BU1181" s="9"/>
      <c r="BV1181" s="9"/>
      <c r="BW1181" s="9"/>
      <c r="BX1181" s="9"/>
      <c r="BY1181" s="9"/>
      <c r="BZ1181" s="9"/>
    </row>
    <row r="1182" spans="4:78" ht="18" customHeight="1" x14ac:dyDescent="0.25"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S1182" s="9"/>
      <c r="T1182" s="9"/>
      <c r="U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9"/>
      <c r="AG1182" s="9"/>
      <c r="AH1182" s="9"/>
      <c r="AI1182" s="9"/>
      <c r="AJ1182" s="9"/>
      <c r="AK1182" s="9"/>
      <c r="AL1182" s="9"/>
      <c r="AM1182" s="9"/>
      <c r="AN1182" s="9"/>
      <c r="AO1182" s="9"/>
      <c r="AP1182" s="9"/>
      <c r="AQ1182" s="9"/>
      <c r="AR1182" s="9"/>
      <c r="AS1182" s="9"/>
      <c r="AT1182" s="9"/>
      <c r="AU1182" s="9"/>
      <c r="AV1182" s="9"/>
      <c r="AW1182" s="9"/>
      <c r="AX1182" s="9"/>
      <c r="AY1182" s="9"/>
      <c r="AZ1182" s="9"/>
      <c r="BA1182" s="9"/>
      <c r="BB1182" s="9"/>
      <c r="BC1182" s="9"/>
      <c r="BD1182" s="9"/>
      <c r="BE1182" s="9"/>
      <c r="BF1182" s="9"/>
      <c r="BG1182" s="9"/>
      <c r="BH1182" s="9"/>
      <c r="BI1182" s="9"/>
      <c r="BJ1182" s="9"/>
      <c r="BK1182" s="9"/>
      <c r="BL1182" s="9"/>
      <c r="BM1182" s="9"/>
      <c r="BN1182" s="9"/>
      <c r="BO1182" s="9"/>
      <c r="BP1182" s="9"/>
      <c r="BQ1182" s="9"/>
      <c r="BR1182" s="9"/>
      <c r="BS1182" s="9"/>
      <c r="BT1182" s="9"/>
      <c r="BU1182" s="9"/>
      <c r="BV1182" s="9"/>
      <c r="BW1182" s="9"/>
      <c r="BX1182" s="9"/>
      <c r="BY1182" s="9"/>
      <c r="BZ1182" s="9"/>
    </row>
    <row r="1183" spans="4:78" ht="18" customHeight="1" x14ac:dyDescent="0.25"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S1183" s="9"/>
      <c r="T1183" s="9"/>
      <c r="U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9"/>
      <c r="AG1183" s="9"/>
      <c r="AH1183" s="9"/>
      <c r="AI1183" s="9"/>
      <c r="AJ1183" s="9"/>
      <c r="AK1183" s="9"/>
      <c r="AL1183" s="9"/>
      <c r="AM1183" s="9"/>
      <c r="AN1183" s="9"/>
      <c r="AO1183" s="9"/>
      <c r="AP1183" s="9"/>
      <c r="AQ1183" s="9"/>
      <c r="AR1183" s="9"/>
      <c r="AS1183" s="9"/>
      <c r="AT1183" s="9"/>
      <c r="AU1183" s="9"/>
      <c r="AV1183" s="9"/>
      <c r="AW1183" s="9"/>
      <c r="AX1183" s="9"/>
      <c r="AY1183" s="9"/>
      <c r="AZ1183" s="9"/>
      <c r="BA1183" s="9"/>
      <c r="BB1183" s="9"/>
      <c r="BC1183" s="9"/>
      <c r="BD1183" s="9"/>
      <c r="BE1183" s="9"/>
      <c r="BF1183" s="9"/>
      <c r="BG1183" s="9"/>
      <c r="BH1183" s="9"/>
      <c r="BI1183" s="9"/>
      <c r="BJ1183" s="9"/>
      <c r="BK1183" s="9"/>
      <c r="BL1183" s="9"/>
      <c r="BM1183" s="9"/>
      <c r="BN1183" s="9"/>
      <c r="BO1183" s="9"/>
      <c r="BP1183" s="9"/>
      <c r="BQ1183" s="9"/>
      <c r="BR1183" s="9"/>
      <c r="BS1183" s="9"/>
      <c r="BT1183" s="9"/>
      <c r="BU1183" s="9"/>
      <c r="BV1183" s="9"/>
      <c r="BW1183" s="9"/>
      <c r="BX1183" s="9"/>
      <c r="BY1183" s="9"/>
      <c r="BZ1183" s="9"/>
    </row>
    <row r="1184" spans="4:78" ht="18" customHeight="1" x14ac:dyDescent="0.25"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S1184" s="9"/>
      <c r="T1184" s="9"/>
      <c r="U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9"/>
      <c r="AG1184" s="9"/>
      <c r="AH1184" s="9"/>
      <c r="AI1184" s="9"/>
      <c r="AJ1184" s="9"/>
      <c r="AK1184" s="9"/>
      <c r="AL1184" s="9"/>
      <c r="AM1184" s="9"/>
      <c r="AN1184" s="9"/>
      <c r="AO1184" s="9"/>
      <c r="AP1184" s="9"/>
      <c r="AQ1184" s="9"/>
      <c r="AR1184" s="9"/>
      <c r="AS1184" s="9"/>
      <c r="AT1184" s="9"/>
      <c r="AU1184" s="9"/>
      <c r="AV1184" s="9"/>
      <c r="AW1184" s="9"/>
      <c r="AX1184" s="9"/>
      <c r="AY1184" s="9"/>
      <c r="AZ1184" s="9"/>
      <c r="BA1184" s="9"/>
      <c r="BB1184" s="9"/>
      <c r="BC1184" s="9"/>
      <c r="BD1184" s="9"/>
      <c r="BE1184" s="9"/>
      <c r="BF1184" s="9"/>
      <c r="BG1184" s="9"/>
      <c r="BH1184" s="9"/>
      <c r="BI1184" s="9"/>
      <c r="BJ1184" s="9"/>
      <c r="BK1184" s="9"/>
      <c r="BL1184" s="9"/>
      <c r="BM1184" s="9"/>
      <c r="BN1184" s="9"/>
      <c r="BO1184" s="9"/>
      <c r="BP1184" s="9"/>
      <c r="BQ1184" s="9"/>
      <c r="BR1184" s="9"/>
      <c r="BS1184" s="9"/>
      <c r="BT1184" s="9"/>
      <c r="BU1184" s="9"/>
      <c r="BV1184" s="9"/>
      <c r="BW1184" s="9"/>
      <c r="BX1184" s="9"/>
      <c r="BY1184" s="9"/>
      <c r="BZ1184" s="9"/>
    </row>
    <row r="1185" spans="4:78" ht="18" customHeight="1" x14ac:dyDescent="0.25"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S1185" s="9"/>
      <c r="T1185" s="9"/>
      <c r="U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9"/>
      <c r="AG1185" s="9"/>
      <c r="AH1185" s="9"/>
      <c r="AI1185" s="9"/>
      <c r="AJ1185" s="9"/>
      <c r="AK1185" s="9"/>
      <c r="AL1185" s="9"/>
      <c r="AM1185" s="9"/>
      <c r="AN1185" s="9"/>
      <c r="AO1185" s="9"/>
      <c r="AP1185" s="9"/>
      <c r="AQ1185" s="9"/>
      <c r="AR1185" s="9"/>
      <c r="AS1185" s="9"/>
      <c r="AT1185" s="9"/>
      <c r="AU1185" s="9"/>
      <c r="AV1185" s="9"/>
      <c r="AW1185" s="9"/>
      <c r="AX1185" s="9"/>
      <c r="AY1185" s="9"/>
      <c r="AZ1185" s="9"/>
      <c r="BA1185" s="9"/>
      <c r="BB1185" s="9"/>
      <c r="BC1185" s="9"/>
      <c r="BD1185" s="9"/>
      <c r="BE1185" s="9"/>
      <c r="BF1185" s="9"/>
      <c r="BG1185" s="9"/>
      <c r="BH1185" s="9"/>
      <c r="BI1185" s="9"/>
      <c r="BJ1185" s="9"/>
      <c r="BK1185" s="9"/>
      <c r="BL1185" s="9"/>
      <c r="BM1185" s="9"/>
      <c r="BN1185" s="9"/>
      <c r="BO1185" s="9"/>
      <c r="BP1185" s="9"/>
      <c r="BQ1185" s="9"/>
      <c r="BR1185" s="9"/>
      <c r="BS1185" s="9"/>
      <c r="BT1185" s="9"/>
      <c r="BU1185" s="9"/>
      <c r="BV1185" s="9"/>
      <c r="BW1185" s="9"/>
      <c r="BX1185" s="9"/>
      <c r="BY1185" s="9"/>
      <c r="BZ1185" s="9"/>
    </row>
    <row r="1186" spans="4:78" ht="18" customHeight="1" x14ac:dyDescent="0.25"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S1186" s="9"/>
      <c r="T1186" s="9"/>
      <c r="U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9"/>
      <c r="AG1186" s="9"/>
      <c r="AH1186" s="9"/>
      <c r="AI1186" s="9"/>
      <c r="AJ1186" s="9"/>
      <c r="AK1186" s="9"/>
      <c r="AL1186" s="9"/>
      <c r="AM1186" s="9"/>
      <c r="AN1186" s="9"/>
      <c r="AO1186" s="9"/>
      <c r="AP1186" s="9"/>
      <c r="AQ1186" s="9"/>
      <c r="AR1186" s="9"/>
      <c r="AS1186" s="9"/>
      <c r="AT1186" s="9"/>
      <c r="AU1186" s="9"/>
      <c r="AV1186" s="9"/>
      <c r="AW1186" s="9"/>
      <c r="AX1186" s="9"/>
      <c r="AY1186" s="9"/>
      <c r="AZ1186" s="9"/>
      <c r="BA1186" s="9"/>
      <c r="BB1186" s="9"/>
      <c r="BC1186" s="9"/>
      <c r="BD1186" s="9"/>
      <c r="BE1186" s="9"/>
      <c r="BF1186" s="9"/>
      <c r="BG1186" s="9"/>
      <c r="BH1186" s="9"/>
      <c r="BI1186" s="9"/>
      <c r="BJ1186" s="9"/>
      <c r="BK1186" s="9"/>
      <c r="BL1186" s="9"/>
      <c r="BM1186" s="9"/>
      <c r="BN1186" s="9"/>
      <c r="BO1186" s="9"/>
      <c r="BP1186" s="9"/>
      <c r="BQ1186" s="9"/>
      <c r="BR1186" s="9"/>
      <c r="BS1186" s="9"/>
      <c r="BT1186" s="9"/>
      <c r="BU1186" s="9"/>
      <c r="BV1186" s="9"/>
      <c r="BW1186" s="9"/>
      <c r="BX1186" s="9"/>
      <c r="BY1186" s="9"/>
      <c r="BZ1186" s="9"/>
    </row>
    <row r="1187" spans="4:78" ht="18" customHeight="1" x14ac:dyDescent="0.25"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S1187" s="9"/>
      <c r="T1187" s="9"/>
      <c r="U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9"/>
      <c r="AG1187" s="9"/>
      <c r="AH1187" s="9"/>
      <c r="AI1187" s="9"/>
      <c r="AJ1187" s="9"/>
      <c r="AK1187" s="9"/>
      <c r="AL1187" s="9"/>
      <c r="AM1187" s="9"/>
      <c r="AN1187" s="9"/>
      <c r="AO1187" s="9"/>
      <c r="AP1187" s="9"/>
      <c r="AQ1187" s="9"/>
      <c r="AR1187" s="9"/>
      <c r="AS1187" s="9"/>
      <c r="AT1187" s="9"/>
      <c r="AU1187" s="9"/>
      <c r="AV1187" s="9"/>
      <c r="AW1187" s="9"/>
      <c r="AX1187" s="9"/>
      <c r="AY1187" s="9"/>
      <c r="AZ1187" s="9"/>
      <c r="BA1187" s="9"/>
      <c r="BB1187" s="9"/>
      <c r="BC1187" s="9"/>
      <c r="BD1187" s="9"/>
      <c r="BE1187" s="9"/>
      <c r="BF1187" s="9"/>
      <c r="BG1187" s="9"/>
      <c r="BH1187" s="9"/>
      <c r="BI1187" s="9"/>
      <c r="BJ1187" s="9"/>
      <c r="BK1187" s="9"/>
      <c r="BL1187" s="9"/>
      <c r="BM1187" s="9"/>
      <c r="BN1187" s="9"/>
      <c r="BO1187" s="9"/>
      <c r="BP1187" s="9"/>
      <c r="BQ1187" s="9"/>
      <c r="BR1187" s="9"/>
      <c r="BS1187" s="9"/>
      <c r="BT1187" s="9"/>
      <c r="BU1187" s="9"/>
      <c r="BV1187" s="9"/>
      <c r="BW1187" s="9"/>
      <c r="BX1187" s="9"/>
      <c r="BY1187" s="9"/>
      <c r="BZ1187" s="9"/>
    </row>
    <row r="1188" spans="4:78" ht="18" customHeight="1" x14ac:dyDescent="0.25"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S1188" s="9"/>
      <c r="T1188" s="9"/>
      <c r="U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9"/>
      <c r="AG1188" s="9"/>
      <c r="AH1188" s="9"/>
      <c r="AI1188" s="9"/>
      <c r="AJ1188" s="9"/>
      <c r="AK1188" s="9"/>
      <c r="AL1188" s="9"/>
      <c r="AM1188" s="9"/>
      <c r="AN1188" s="9"/>
      <c r="AO1188" s="9"/>
      <c r="AP1188" s="9"/>
      <c r="AQ1188" s="9"/>
      <c r="AR1188" s="9"/>
      <c r="AS1188" s="9"/>
      <c r="AT1188" s="9"/>
      <c r="AU1188" s="9"/>
      <c r="AV1188" s="9"/>
      <c r="AW1188" s="9"/>
      <c r="AX1188" s="9"/>
      <c r="AY1188" s="9"/>
      <c r="AZ1188" s="9"/>
      <c r="BA1188" s="9"/>
      <c r="BB1188" s="9"/>
      <c r="BC1188" s="9"/>
      <c r="BD1188" s="9"/>
      <c r="BE1188" s="9"/>
      <c r="BF1188" s="9"/>
      <c r="BG1188" s="9"/>
      <c r="BH1188" s="9"/>
      <c r="BI1188" s="9"/>
      <c r="BJ1188" s="9"/>
      <c r="BK1188" s="9"/>
      <c r="BL1188" s="9"/>
      <c r="BM1188" s="9"/>
      <c r="BN1188" s="9"/>
      <c r="BO1188" s="9"/>
      <c r="BP1188" s="9"/>
      <c r="BQ1188" s="9"/>
      <c r="BR1188" s="9"/>
      <c r="BS1188" s="9"/>
      <c r="BT1188" s="9"/>
      <c r="BU1188" s="9"/>
      <c r="BV1188" s="9"/>
      <c r="BW1188" s="9"/>
      <c r="BX1188" s="9"/>
      <c r="BY1188" s="9"/>
      <c r="BZ1188" s="9"/>
    </row>
    <row r="1189" spans="4:78" ht="18" customHeight="1" x14ac:dyDescent="0.25"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S1189" s="9"/>
      <c r="T1189" s="9"/>
      <c r="U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9"/>
      <c r="AG1189" s="9"/>
      <c r="AH1189" s="9"/>
      <c r="AI1189" s="9"/>
      <c r="AJ1189" s="9"/>
      <c r="AK1189" s="9"/>
      <c r="AL1189" s="9"/>
      <c r="AM1189" s="9"/>
      <c r="AN1189" s="9"/>
      <c r="AO1189" s="9"/>
      <c r="AP1189" s="9"/>
      <c r="AQ1189" s="9"/>
      <c r="AR1189" s="9"/>
      <c r="AS1189" s="9"/>
      <c r="AT1189" s="9"/>
      <c r="AU1189" s="9"/>
      <c r="AV1189" s="9"/>
      <c r="AW1189" s="9"/>
      <c r="AX1189" s="9"/>
      <c r="AY1189" s="9"/>
      <c r="AZ1189" s="9"/>
      <c r="BA1189" s="9"/>
      <c r="BB1189" s="9"/>
      <c r="BC1189" s="9"/>
      <c r="BD1189" s="9"/>
      <c r="BE1189" s="9"/>
      <c r="BF1189" s="9"/>
      <c r="BG1189" s="9"/>
      <c r="BH1189" s="9"/>
      <c r="BI1189" s="9"/>
      <c r="BJ1189" s="9"/>
      <c r="BK1189" s="9"/>
      <c r="BL1189" s="9"/>
      <c r="BM1189" s="9"/>
      <c r="BN1189" s="9"/>
      <c r="BO1189" s="9"/>
      <c r="BP1189" s="9"/>
      <c r="BQ1189" s="9"/>
      <c r="BR1189" s="9"/>
      <c r="BS1189" s="9"/>
      <c r="BT1189" s="9"/>
      <c r="BU1189" s="9"/>
      <c r="BV1189" s="9"/>
      <c r="BW1189" s="9"/>
      <c r="BX1189" s="9"/>
      <c r="BY1189" s="9"/>
      <c r="BZ1189" s="9"/>
    </row>
    <row r="1190" spans="4:78" ht="18" customHeight="1" x14ac:dyDescent="0.25"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S1190" s="9"/>
      <c r="T1190" s="9"/>
      <c r="U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9"/>
      <c r="AG1190" s="9"/>
      <c r="AH1190" s="9"/>
      <c r="AI1190" s="9"/>
      <c r="AJ1190" s="9"/>
      <c r="AK1190" s="9"/>
      <c r="AL1190" s="9"/>
      <c r="AM1190" s="9"/>
      <c r="AN1190" s="9"/>
      <c r="AO1190" s="9"/>
      <c r="AP1190" s="9"/>
      <c r="AQ1190" s="9"/>
      <c r="AR1190" s="9"/>
      <c r="AS1190" s="9"/>
      <c r="AT1190" s="9"/>
      <c r="AU1190" s="9"/>
      <c r="AV1190" s="9"/>
      <c r="AW1190" s="9"/>
      <c r="AX1190" s="9"/>
      <c r="AY1190" s="9"/>
      <c r="AZ1190" s="9"/>
      <c r="BA1190" s="9"/>
      <c r="BB1190" s="9"/>
      <c r="BC1190" s="9"/>
      <c r="BD1190" s="9"/>
      <c r="BE1190" s="9"/>
      <c r="BF1190" s="9"/>
      <c r="BG1190" s="9"/>
      <c r="BH1190" s="9"/>
      <c r="BI1190" s="9"/>
      <c r="BJ1190" s="9"/>
      <c r="BK1190" s="9"/>
      <c r="BL1190" s="9"/>
      <c r="BM1190" s="9"/>
      <c r="BN1190" s="9"/>
      <c r="BO1190" s="9"/>
      <c r="BP1190" s="9"/>
      <c r="BQ1190" s="9"/>
      <c r="BR1190" s="9"/>
      <c r="BS1190" s="9"/>
      <c r="BT1190" s="9"/>
      <c r="BU1190" s="9"/>
      <c r="BV1190" s="9"/>
      <c r="BW1190" s="9"/>
      <c r="BX1190" s="9"/>
      <c r="BY1190" s="9"/>
      <c r="BZ1190" s="9"/>
    </row>
    <row r="1191" spans="4:78" ht="18" customHeight="1" x14ac:dyDescent="0.25"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S1191" s="9"/>
      <c r="T1191" s="9"/>
      <c r="U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9"/>
      <c r="AG1191" s="9"/>
      <c r="AH1191" s="9"/>
      <c r="AI1191" s="9"/>
      <c r="AJ1191" s="9"/>
      <c r="AK1191" s="9"/>
      <c r="AL1191" s="9"/>
      <c r="AM1191" s="9"/>
      <c r="AN1191" s="9"/>
      <c r="AO1191" s="9"/>
      <c r="AP1191" s="9"/>
      <c r="AQ1191" s="9"/>
      <c r="AR1191" s="9"/>
      <c r="AS1191" s="9"/>
      <c r="AT1191" s="9"/>
      <c r="AU1191" s="9"/>
      <c r="AV1191" s="9"/>
      <c r="AW1191" s="9"/>
      <c r="AX1191" s="9"/>
      <c r="AY1191" s="9"/>
      <c r="AZ1191" s="9"/>
      <c r="BA1191" s="9"/>
      <c r="BB1191" s="9"/>
      <c r="BC1191" s="9"/>
      <c r="BD1191" s="9"/>
      <c r="BE1191" s="9"/>
      <c r="BF1191" s="9"/>
      <c r="BG1191" s="9"/>
      <c r="BH1191" s="9"/>
      <c r="BI1191" s="9"/>
      <c r="BJ1191" s="9"/>
      <c r="BK1191" s="9"/>
      <c r="BL1191" s="9"/>
      <c r="BM1191" s="9"/>
      <c r="BN1191" s="9"/>
      <c r="BO1191" s="9"/>
      <c r="BP1191" s="9"/>
      <c r="BQ1191" s="9"/>
      <c r="BR1191" s="9"/>
      <c r="BS1191" s="9"/>
      <c r="BT1191" s="9"/>
      <c r="BU1191" s="9"/>
      <c r="BV1191" s="9"/>
      <c r="BW1191" s="9"/>
      <c r="BX1191" s="9"/>
      <c r="BY1191" s="9"/>
      <c r="BZ1191" s="9"/>
    </row>
    <row r="1192" spans="4:78" ht="18" customHeight="1" x14ac:dyDescent="0.25"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S1192" s="9"/>
      <c r="T1192" s="9"/>
      <c r="U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9"/>
      <c r="AG1192" s="9"/>
      <c r="AH1192" s="9"/>
      <c r="AI1192" s="9"/>
      <c r="AJ1192" s="9"/>
      <c r="AK1192" s="9"/>
      <c r="AL1192" s="9"/>
      <c r="AM1192" s="9"/>
      <c r="AN1192" s="9"/>
      <c r="AO1192" s="9"/>
      <c r="AP1192" s="9"/>
      <c r="AQ1192" s="9"/>
      <c r="AR1192" s="9"/>
      <c r="AS1192" s="9"/>
      <c r="AT1192" s="9"/>
      <c r="AU1192" s="9"/>
      <c r="AV1192" s="9"/>
      <c r="AW1192" s="9"/>
      <c r="AX1192" s="9"/>
      <c r="AY1192" s="9"/>
      <c r="AZ1192" s="9"/>
      <c r="BA1192" s="9"/>
      <c r="BB1192" s="9"/>
      <c r="BC1192" s="9"/>
      <c r="BD1192" s="9"/>
      <c r="BE1192" s="9"/>
      <c r="BF1192" s="9"/>
      <c r="BG1192" s="9"/>
      <c r="BH1192" s="9"/>
      <c r="BI1192" s="9"/>
      <c r="BJ1192" s="9"/>
      <c r="BK1192" s="9"/>
      <c r="BL1192" s="9"/>
      <c r="BM1192" s="9"/>
      <c r="BN1192" s="9"/>
      <c r="BO1192" s="9"/>
      <c r="BP1192" s="9"/>
      <c r="BQ1192" s="9"/>
      <c r="BR1192" s="9"/>
      <c r="BS1192" s="9"/>
      <c r="BT1192" s="9"/>
      <c r="BU1192" s="9"/>
      <c r="BV1192" s="9"/>
      <c r="BW1192" s="9"/>
      <c r="BX1192" s="9"/>
      <c r="BY1192" s="9"/>
      <c r="BZ1192" s="9"/>
    </row>
    <row r="1193" spans="4:78" ht="18" customHeight="1" x14ac:dyDescent="0.25"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S1193" s="9"/>
      <c r="T1193" s="9"/>
      <c r="U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9"/>
      <c r="AG1193" s="9"/>
      <c r="AH1193" s="9"/>
      <c r="AI1193" s="9"/>
      <c r="AJ1193" s="9"/>
      <c r="AK1193" s="9"/>
      <c r="AL1193" s="9"/>
      <c r="AM1193" s="9"/>
      <c r="AN1193" s="9"/>
      <c r="AO1193" s="9"/>
      <c r="AP1193" s="9"/>
      <c r="AQ1193" s="9"/>
      <c r="AR1193" s="9"/>
      <c r="AS1193" s="9"/>
      <c r="AT1193" s="9"/>
      <c r="AU1193" s="9"/>
      <c r="AV1193" s="9"/>
      <c r="AW1193" s="9"/>
      <c r="AX1193" s="9"/>
      <c r="AY1193" s="9"/>
      <c r="AZ1193" s="9"/>
      <c r="BA1193" s="9"/>
      <c r="BB1193" s="9"/>
      <c r="BC1193" s="9"/>
      <c r="BD1193" s="9"/>
      <c r="BE1193" s="9"/>
      <c r="BF1193" s="9"/>
      <c r="BG1193" s="9"/>
      <c r="BH1193" s="9"/>
      <c r="BI1193" s="9"/>
      <c r="BJ1193" s="9"/>
      <c r="BK1193" s="9"/>
      <c r="BL1193" s="9"/>
      <c r="BM1193" s="9"/>
      <c r="BN1193" s="9"/>
      <c r="BO1193" s="9"/>
      <c r="BP1193" s="9"/>
      <c r="BQ1193" s="9"/>
      <c r="BR1193" s="9"/>
      <c r="BS1193" s="9"/>
      <c r="BT1193" s="9"/>
      <c r="BU1193" s="9"/>
      <c r="BV1193" s="9"/>
      <c r="BW1193" s="9"/>
      <c r="BX1193" s="9"/>
      <c r="BY1193" s="9"/>
      <c r="BZ1193" s="9"/>
    </row>
    <row r="1194" spans="4:78" ht="18" customHeight="1" x14ac:dyDescent="0.25"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S1194" s="9"/>
      <c r="T1194" s="9"/>
      <c r="U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9"/>
      <c r="AG1194" s="9"/>
      <c r="AH1194" s="9"/>
      <c r="AI1194" s="9"/>
      <c r="AJ1194" s="9"/>
      <c r="AK1194" s="9"/>
      <c r="AL1194" s="9"/>
      <c r="AM1194" s="9"/>
      <c r="AN1194" s="9"/>
      <c r="AO1194" s="9"/>
      <c r="AP1194" s="9"/>
      <c r="AQ1194" s="9"/>
      <c r="AR1194" s="9"/>
      <c r="AS1194" s="9"/>
      <c r="AT1194" s="9"/>
      <c r="AU1194" s="9"/>
      <c r="AV1194" s="9"/>
      <c r="AW1194" s="9"/>
      <c r="AX1194" s="9"/>
      <c r="AY1194" s="9"/>
      <c r="AZ1194" s="9"/>
      <c r="BA1194" s="9"/>
      <c r="BB1194" s="9"/>
      <c r="BC1194" s="9"/>
      <c r="BD1194" s="9"/>
      <c r="BE1194" s="9"/>
      <c r="BF1194" s="9"/>
      <c r="BG1194" s="9"/>
      <c r="BH1194" s="9"/>
      <c r="BI1194" s="9"/>
      <c r="BJ1194" s="9"/>
      <c r="BK1194" s="9"/>
      <c r="BL1194" s="9"/>
      <c r="BM1194" s="9"/>
      <c r="BN1194" s="9"/>
      <c r="BO1194" s="9"/>
      <c r="BP1194" s="9"/>
      <c r="BQ1194" s="9"/>
      <c r="BR1194" s="9"/>
      <c r="BS1194" s="9"/>
      <c r="BT1194" s="9"/>
      <c r="BU1194" s="9"/>
      <c r="BV1194" s="9"/>
      <c r="BW1194" s="9"/>
      <c r="BX1194" s="9"/>
      <c r="BY1194" s="9"/>
      <c r="BZ1194" s="9"/>
    </row>
    <row r="1195" spans="4:78" ht="18" customHeight="1" x14ac:dyDescent="0.25"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S1195" s="9"/>
      <c r="T1195" s="9"/>
      <c r="U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9"/>
      <c r="AG1195" s="9"/>
      <c r="AH1195" s="9"/>
      <c r="AI1195" s="9"/>
      <c r="AJ1195" s="9"/>
      <c r="AK1195" s="9"/>
      <c r="AL1195" s="9"/>
      <c r="AM1195" s="9"/>
      <c r="AN1195" s="9"/>
      <c r="AO1195" s="9"/>
      <c r="AP1195" s="9"/>
      <c r="AQ1195" s="9"/>
      <c r="AR1195" s="9"/>
      <c r="AS1195" s="9"/>
      <c r="AT1195" s="9"/>
      <c r="AU1195" s="9"/>
      <c r="AV1195" s="9"/>
      <c r="AW1195" s="9"/>
      <c r="AX1195" s="9"/>
      <c r="AY1195" s="9"/>
      <c r="AZ1195" s="9"/>
      <c r="BA1195" s="9"/>
      <c r="BB1195" s="9"/>
      <c r="BC1195" s="9"/>
      <c r="BD1195" s="9"/>
      <c r="BE1195" s="9"/>
      <c r="BF1195" s="9"/>
      <c r="BG1195" s="9"/>
      <c r="BH1195" s="9"/>
      <c r="BI1195" s="9"/>
      <c r="BJ1195" s="9"/>
      <c r="BK1195" s="9"/>
      <c r="BL1195" s="9"/>
      <c r="BM1195" s="9"/>
      <c r="BN1195" s="9"/>
      <c r="BO1195" s="9"/>
      <c r="BP1195" s="9"/>
      <c r="BQ1195" s="9"/>
      <c r="BR1195" s="9"/>
      <c r="BS1195" s="9"/>
      <c r="BT1195" s="9"/>
      <c r="BU1195" s="9"/>
      <c r="BV1195" s="9"/>
      <c r="BW1195" s="9"/>
      <c r="BX1195" s="9"/>
      <c r="BY1195" s="9"/>
      <c r="BZ1195" s="9"/>
    </row>
    <row r="1196" spans="4:78" ht="18" customHeight="1" x14ac:dyDescent="0.25"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S1196" s="9"/>
      <c r="T1196" s="9"/>
      <c r="U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9"/>
      <c r="AG1196" s="9"/>
      <c r="AH1196" s="9"/>
      <c r="AI1196" s="9"/>
      <c r="AJ1196" s="9"/>
      <c r="AK1196" s="9"/>
      <c r="AL1196" s="9"/>
      <c r="AM1196" s="9"/>
      <c r="AN1196" s="9"/>
      <c r="AO1196" s="9"/>
      <c r="AP1196" s="9"/>
      <c r="AQ1196" s="9"/>
      <c r="AR1196" s="9"/>
      <c r="AS1196" s="9"/>
      <c r="AT1196" s="9"/>
      <c r="AU1196" s="9"/>
      <c r="AV1196" s="9"/>
      <c r="AW1196" s="9"/>
      <c r="AX1196" s="9"/>
      <c r="AY1196" s="9"/>
      <c r="AZ1196" s="9"/>
      <c r="BA1196" s="9"/>
      <c r="BB1196" s="9"/>
      <c r="BC1196" s="9"/>
      <c r="BD1196" s="9"/>
      <c r="BE1196" s="9"/>
      <c r="BF1196" s="9"/>
      <c r="BG1196" s="9"/>
      <c r="BH1196" s="9"/>
      <c r="BI1196" s="9"/>
      <c r="BJ1196" s="9"/>
      <c r="BK1196" s="9"/>
      <c r="BL1196" s="9"/>
      <c r="BM1196" s="9"/>
      <c r="BN1196" s="9"/>
      <c r="BO1196" s="9"/>
      <c r="BP1196" s="9"/>
      <c r="BQ1196" s="9"/>
      <c r="BR1196" s="9"/>
      <c r="BS1196" s="9"/>
      <c r="BT1196" s="9"/>
      <c r="BU1196" s="9"/>
      <c r="BV1196" s="9"/>
      <c r="BW1196" s="9"/>
      <c r="BX1196" s="9"/>
      <c r="BY1196" s="9"/>
      <c r="BZ1196" s="9"/>
    </row>
    <row r="1197" spans="4:78" ht="18" customHeight="1" x14ac:dyDescent="0.25"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S1197" s="9"/>
      <c r="T1197" s="9"/>
      <c r="U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9"/>
      <c r="AG1197" s="9"/>
      <c r="AH1197" s="9"/>
      <c r="AI1197" s="9"/>
      <c r="AJ1197" s="9"/>
      <c r="AK1197" s="9"/>
      <c r="AL1197" s="9"/>
      <c r="AM1197" s="9"/>
      <c r="AN1197" s="9"/>
      <c r="AO1197" s="9"/>
      <c r="AP1197" s="9"/>
      <c r="AQ1197" s="9"/>
      <c r="AR1197" s="9"/>
      <c r="AS1197" s="9"/>
      <c r="AT1197" s="9"/>
      <c r="AU1197" s="9"/>
      <c r="AV1197" s="9"/>
      <c r="AW1197" s="9"/>
      <c r="AX1197" s="9"/>
      <c r="AY1197" s="9"/>
      <c r="AZ1197" s="9"/>
      <c r="BA1197" s="9"/>
      <c r="BB1197" s="9"/>
      <c r="BC1197" s="9"/>
      <c r="BD1197" s="9"/>
      <c r="BE1197" s="9"/>
      <c r="BF1197" s="9"/>
      <c r="BG1197" s="9"/>
      <c r="BH1197" s="9"/>
      <c r="BI1197" s="9"/>
      <c r="BJ1197" s="9"/>
      <c r="BK1197" s="9"/>
      <c r="BL1197" s="9"/>
      <c r="BM1197" s="9"/>
      <c r="BN1197" s="9"/>
      <c r="BO1197" s="9"/>
      <c r="BP1197" s="9"/>
      <c r="BQ1197" s="9"/>
      <c r="BR1197" s="9"/>
      <c r="BS1197" s="9"/>
      <c r="BT1197" s="9"/>
      <c r="BU1197" s="9"/>
      <c r="BV1197" s="9"/>
      <c r="BW1197" s="9"/>
      <c r="BX1197" s="9"/>
      <c r="BY1197" s="9"/>
      <c r="BZ1197" s="9"/>
    </row>
    <row r="1198" spans="4:78" ht="18" customHeight="1" x14ac:dyDescent="0.25"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S1198" s="9"/>
      <c r="T1198" s="9"/>
      <c r="U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9"/>
      <c r="AG1198" s="9"/>
      <c r="AH1198" s="9"/>
      <c r="AI1198" s="9"/>
      <c r="AJ1198" s="9"/>
      <c r="AK1198" s="9"/>
      <c r="AL1198" s="9"/>
      <c r="AM1198" s="9"/>
      <c r="AN1198" s="9"/>
      <c r="AO1198" s="9"/>
      <c r="AP1198" s="9"/>
      <c r="AQ1198" s="9"/>
      <c r="AR1198" s="9"/>
      <c r="AS1198" s="9"/>
      <c r="AT1198" s="9"/>
      <c r="AU1198" s="9"/>
      <c r="AV1198" s="9"/>
      <c r="AW1198" s="9"/>
      <c r="AX1198" s="9"/>
      <c r="AY1198" s="9"/>
      <c r="AZ1198" s="9"/>
      <c r="BA1198" s="9"/>
      <c r="BB1198" s="9"/>
      <c r="BC1198" s="9"/>
      <c r="BD1198" s="9"/>
      <c r="BE1198" s="9"/>
      <c r="BF1198" s="9"/>
      <c r="BG1198" s="9"/>
      <c r="BH1198" s="9"/>
      <c r="BI1198" s="9"/>
      <c r="BJ1198" s="9"/>
      <c r="BK1198" s="9"/>
      <c r="BL1198" s="9"/>
      <c r="BM1198" s="9"/>
      <c r="BN1198" s="9"/>
      <c r="BO1198" s="9"/>
      <c r="BP1198" s="9"/>
      <c r="BQ1198" s="9"/>
      <c r="BR1198" s="9"/>
      <c r="BS1198" s="9"/>
      <c r="BT1198" s="9"/>
      <c r="BU1198" s="9"/>
      <c r="BV1198" s="9"/>
      <c r="BW1198" s="9"/>
      <c r="BX1198" s="9"/>
      <c r="BY1198" s="9"/>
      <c r="BZ1198" s="9"/>
    </row>
    <row r="1199" spans="4:78" ht="18" customHeight="1" x14ac:dyDescent="0.25"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S1199" s="9"/>
      <c r="T1199" s="9"/>
      <c r="U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9"/>
      <c r="AG1199" s="9"/>
      <c r="AH1199" s="9"/>
      <c r="AI1199" s="9"/>
      <c r="AJ1199" s="9"/>
      <c r="AK1199" s="9"/>
      <c r="AL1199" s="9"/>
      <c r="AM1199" s="9"/>
      <c r="AN1199" s="9"/>
      <c r="AO1199" s="9"/>
      <c r="AP1199" s="9"/>
      <c r="AQ1199" s="9"/>
      <c r="AR1199" s="9"/>
      <c r="AS1199" s="9"/>
      <c r="AT1199" s="9"/>
      <c r="AU1199" s="9"/>
      <c r="AV1199" s="9"/>
      <c r="AW1199" s="9"/>
      <c r="AX1199" s="9"/>
      <c r="AY1199" s="9"/>
      <c r="AZ1199" s="9"/>
      <c r="BA1199" s="9"/>
      <c r="BB1199" s="9"/>
      <c r="BC1199" s="9"/>
      <c r="BD1199" s="9"/>
      <c r="BE1199" s="9"/>
      <c r="BF1199" s="9"/>
      <c r="BG1199" s="9"/>
      <c r="BH1199" s="9"/>
      <c r="BI1199" s="9"/>
      <c r="BJ1199" s="9"/>
      <c r="BK1199" s="9"/>
      <c r="BL1199" s="9"/>
      <c r="BM1199" s="9"/>
      <c r="BN1199" s="9"/>
      <c r="BO1199" s="9"/>
      <c r="BP1199" s="9"/>
      <c r="BQ1199" s="9"/>
      <c r="BR1199" s="9"/>
      <c r="BS1199" s="9"/>
      <c r="BT1199" s="9"/>
      <c r="BU1199" s="9"/>
      <c r="BV1199" s="9"/>
      <c r="BW1199" s="9"/>
      <c r="BX1199" s="9"/>
      <c r="BY1199" s="9"/>
      <c r="BZ1199" s="9"/>
    </row>
    <row r="1200" spans="4:78" ht="18" customHeight="1" x14ac:dyDescent="0.25"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S1200" s="9"/>
      <c r="T1200" s="9"/>
      <c r="U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9"/>
      <c r="AG1200" s="9"/>
      <c r="AH1200" s="9"/>
      <c r="AI1200" s="9"/>
      <c r="AJ1200" s="9"/>
      <c r="AK1200" s="9"/>
      <c r="AL1200" s="9"/>
      <c r="AM1200" s="9"/>
      <c r="AN1200" s="9"/>
      <c r="AO1200" s="9"/>
      <c r="AP1200" s="9"/>
      <c r="AQ1200" s="9"/>
      <c r="AR1200" s="9"/>
      <c r="AS1200" s="9"/>
      <c r="AT1200" s="9"/>
      <c r="AU1200" s="9"/>
      <c r="AV1200" s="9"/>
      <c r="AW1200" s="9"/>
      <c r="AX1200" s="9"/>
      <c r="AY1200" s="9"/>
      <c r="AZ1200" s="9"/>
      <c r="BA1200" s="9"/>
      <c r="BB1200" s="9"/>
      <c r="BC1200" s="9"/>
      <c r="BD1200" s="9"/>
      <c r="BE1200" s="9"/>
      <c r="BF1200" s="9"/>
      <c r="BG1200" s="9"/>
      <c r="BH1200" s="9"/>
      <c r="BI1200" s="9"/>
      <c r="BJ1200" s="9"/>
      <c r="BK1200" s="9"/>
      <c r="BL1200" s="9"/>
      <c r="BM1200" s="9"/>
      <c r="BN1200" s="9"/>
      <c r="BO1200" s="9"/>
      <c r="BP1200" s="9"/>
      <c r="BQ1200" s="9"/>
      <c r="BR1200" s="9"/>
      <c r="BS1200" s="9"/>
      <c r="BT1200" s="9"/>
      <c r="BU1200" s="9"/>
      <c r="BV1200" s="9"/>
      <c r="BW1200" s="9"/>
      <c r="BX1200" s="9"/>
      <c r="BY1200" s="9"/>
      <c r="BZ1200" s="9"/>
    </row>
    <row r="1201" spans="4:78" ht="18" customHeight="1" x14ac:dyDescent="0.25"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S1201" s="9"/>
      <c r="T1201" s="9"/>
      <c r="U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9"/>
      <c r="AG1201" s="9"/>
      <c r="AH1201" s="9"/>
      <c r="AI1201" s="9"/>
      <c r="AJ1201" s="9"/>
      <c r="AK1201" s="9"/>
      <c r="AL1201" s="9"/>
      <c r="AM1201" s="9"/>
      <c r="AN1201" s="9"/>
      <c r="AO1201" s="9"/>
      <c r="AP1201" s="9"/>
      <c r="AQ1201" s="9"/>
      <c r="AR1201" s="9"/>
      <c r="AS1201" s="9"/>
      <c r="AT1201" s="9"/>
      <c r="AU1201" s="9"/>
      <c r="AV1201" s="9"/>
      <c r="AW1201" s="9"/>
      <c r="AX1201" s="9"/>
      <c r="AY1201" s="9"/>
      <c r="AZ1201" s="9"/>
      <c r="BA1201" s="9"/>
      <c r="BB1201" s="9"/>
      <c r="BC1201" s="9"/>
      <c r="BD1201" s="9"/>
      <c r="BE1201" s="9"/>
      <c r="BF1201" s="9"/>
      <c r="BG1201" s="9"/>
      <c r="BH1201" s="9"/>
      <c r="BI1201" s="9"/>
      <c r="BJ1201" s="9"/>
      <c r="BK1201" s="9"/>
      <c r="BL1201" s="9"/>
      <c r="BM1201" s="9"/>
      <c r="BN1201" s="9"/>
      <c r="BO1201" s="9"/>
      <c r="BP1201" s="9"/>
      <c r="BQ1201" s="9"/>
      <c r="BR1201" s="9"/>
      <c r="BS1201" s="9"/>
      <c r="BT1201" s="9"/>
      <c r="BU1201" s="9"/>
      <c r="BV1201" s="9"/>
      <c r="BW1201" s="9"/>
      <c r="BX1201" s="9"/>
      <c r="BY1201" s="9"/>
      <c r="BZ1201" s="9"/>
    </row>
    <row r="1202" spans="4:78" ht="18" customHeight="1" x14ac:dyDescent="0.25"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S1202" s="9"/>
      <c r="T1202" s="9"/>
      <c r="U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9"/>
      <c r="AG1202" s="9"/>
      <c r="AH1202" s="9"/>
      <c r="AI1202" s="9"/>
      <c r="AJ1202" s="9"/>
      <c r="AK1202" s="9"/>
      <c r="AL1202" s="9"/>
      <c r="AM1202" s="9"/>
      <c r="AN1202" s="9"/>
      <c r="AO1202" s="9"/>
      <c r="AP1202" s="9"/>
      <c r="AQ1202" s="9"/>
      <c r="AR1202" s="9"/>
      <c r="AS1202" s="9"/>
      <c r="AT1202" s="9"/>
      <c r="AU1202" s="9"/>
      <c r="AV1202" s="9"/>
      <c r="AW1202" s="9"/>
      <c r="AX1202" s="9"/>
      <c r="AY1202" s="9"/>
      <c r="AZ1202" s="9"/>
      <c r="BA1202" s="9"/>
      <c r="BB1202" s="9"/>
      <c r="BC1202" s="9"/>
      <c r="BD1202" s="9"/>
      <c r="BE1202" s="9"/>
      <c r="BF1202" s="9"/>
      <c r="BG1202" s="9"/>
      <c r="BH1202" s="9"/>
      <c r="BI1202" s="9"/>
      <c r="BJ1202" s="9"/>
      <c r="BK1202" s="9"/>
      <c r="BL1202" s="9"/>
      <c r="BM1202" s="9"/>
      <c r="BN1202" s="9"/>
      <c r="BO1202" s="9"/>
      <c r="BP1202" s="9"/>
      <c r="BQ1202" s="9"/>
      <c r="BR1202" s="9"/>
      <c r="BS1202" s="9"/>
      <c r="BT1202" s="9"/>
      <c r="BU1202" s="9"/>
      <c r="BV1202" s="9"/>
      <c r="BW1202" s="9"/>
      <c r="BX1202" s="9"/>
      <c r="BY1202" s="9"/>
      <c r="BZ1202" s="9"/>
    </row>
    <row r="1203" spans="4:78" ht="18" customHeight="1" x14ac:dyDescent="0.25"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S1203" s="9"/>
      <c r="T1203" s="9"/>
      <c r="U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9"/>
      <c r="AG1203" s="9"/>
      <c r="AH1203" s="9"/>
      <c r="AI1203" s="9"/>
      <c r="AJ1203" s="9"/>
      <c r="AK1203" s="9"/>
      <c r="AL1203" s="9"/>
      <c r="AM1203" s="9"/>
      <c r="AN1203" s="9"/>
      <c r="AO1203" s="9"/>
      <c r="AP1203" s="9"/>
      <c r="AQ1203" s="9"/>
      <c r="AR1203" s="9"/>
      <c r="AS1203" s="9"/>
      <c r="AT1203" s="9"/>
      <c r="AU1203" s="9"/>
      <c r="AV1203" s="9"/>
      <c r="AW1203" s="9"/>
      <c r="AX1203" s="9"/>
      <c r="AY1203" s="9"/>
      <c r="AZ1203" s="9"/>
      <c r="BA1203" s="9"/>
      <c r="BB1203" s="9"/>
      <c r="BC1203" s="9"/>
      <c r="BD1203" s="9"/>
      <c r="BE1203" s="9"/>
      <c r="BF1203" s="9"/>
      <c r="BG1203" s="9"/>
      <c r="BH1203" s="9"/>
      <c r="BI1203" s="9"/>
      <c r="BJ1203" s="9"/>
      <c r="BK1203" s="9"/>
      <c r="BL1203" s="9"/>
      <c r="BM1203" s="9"/>
      <c r="BN1203" s="9"/>
      <c r="BO1203" s="9"/>
      <c r="BP1203" s="9"/>
      <c r="BQ1203" s="9"/>
      <c r="BR1203" s="9"/>
      <c r="BS1203" s="9"/>
      <c r="BT1203" s="9"/>
      <c r="BU1203" s="9"/>
      <c r="BV1203" s="9"/>
      <c r="BW1203" s="9"/>
      <c r="BX1203" s="9"/>
      <c r="BY1203" s="9"/>
      <c r="BZ1203" s="9"/>
    </row>
    <row r="1204" spans="4:78" ht="18" customHeight="1" x14ac:dyDescent="0.25"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S1204" s="9"/>
      <c r="T1204" s="9"/>
      <c r="U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9"/>
      <c r="AG1204" s="9"/>
      <c r="AH1204" s="9"/>
      <c r="AI1204" s="9"/>
      <c r="AJ1204" s="9"/>
      <c r="AK1204" s="9"/>
      <c r="AL1204" s="9"/>
      <c r="AM1204" s="9"/>
      <c r="AN1204" s="9"/>
      <c r="AO1204" s="9"/>
      <c r="AP1204" s="9"/>
      <c r="AQ1204" s="9"/>
      <c r="AR1204" s="9"/>
      <c r="AS1204" s="9"/>
      <c r="AT1204" s="9"/>
      <c r="AU1204" s="9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  <c r="BH1204" s="9"/>
      <c r="BI1204" s="9"/>
      <c r="BJ1204" s="9"/>
      <c r="BK1204" s="9"/>
      <c r="BL1204" s="9"/>
      <c r="BM1204" s="9"/>
      <c r="BN1204" s="9"/>
      <c r="BO1204" s="9"/>
      <c r="BP1204" s="9"/>
      <c r="BQ1204" s="9"/>
      <c r="BR1204" s="9"/>
      <c r="BS1204" s="9"/>
      <c r="BT1204" s="9"/>
      <c r="BU1204" s="9"/>
      <c r="BV1204" s="9"/>
      <c r="BW1204" s="9"/>
      <c r="BX1204" s="9"/>
      <c r="BY1204" s="9"/>
      <c r="BZ1204" s="9"/>
    </row>
    <row r="1205" spans="4:78" ht="18" customHeight="1" x14ac:dyDescent="0.25"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S1205" s="9"/>
      <c r="T1205" s="9"/>
      <c r="U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9"/>
      <c r="AG1205" s="9"/>
      <c r="AH1205" s="9"/>
      <c r="AI1205" s="9"/>
      <c r="AJ1205" s="9"/>
      <c r="AK1205" s="9"/>
      <c r="AL1205" s="9"/>
      <c r="AM1205" s="9"/>
      <c r="AN1205" s="9"/>
      <c r="AO1205" s="9"/>
      <c r="AP1205" s="9"/>
      <c r="AQ1205" s="9"/>
      <c r="AR1205" s="9"/>
      <c r="AS1205" s="9"/>
      <c r="AT1205" s="9"/>
      <c r="AU1205" s="9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  <c r="BH1205" s="9"/>
      <c r="BI1205" s="9"/>
      <c r="BJ1205" s="9"/>
      <c r="BK1205" s="9"/>
      <c r="BL1205" s="9"/>
      <c r="BM1205" s="9"/>
      <c r="BN1205" s="9"/>
      <c r="BO1205" s="9"/>
      <c r="BP1205" s="9"/>
      <c r="BQ1205" s="9"/>
      <c r="BR1205" s="9"/>
      <c r="BS1205" s="9"/>
      <c r="BT1205" s="9"/>
      <c r="BU1205" s="9"/>
      <c r="BV1205" s="9"/>
      <c r="BW1205" s="9"/>
      <c r="BX1205" s="9"/>
      <c r="BY1205" s="9"/>
      <c r="BZ1205" s="9"/>
    </row>
    <row r="1206" spans="4:78" ht="18" customHeight="1" x14ac:dyDescent="0.25"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S1206" s="9"/>
      <c r="T1206" s="9"/>
      <c r="U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9"/>
      <c r="AG1206" s="9"/>
      <c r="AH1206" s="9"/>
      <c r="AI1206" s="9"/>
      <c r="AJ1206" s="9"/>
      <c r="AK1206" s="9"/>
      <c r="AL1206" s="9"/>
      <c r="AM1206" s="9"/>
      <c r="AN1206" s="9"/>
      <c r="AO1206" s="9"/>
      <c r="AP1206" s="9"/>
      <c r="AQ1206" s="9"/>
      <c r="AR1206" s="9"/>
      <c r="AS1206" s="9"/>
      <c r="AT1206" s="9"/>
      <c r="AU1206" s="9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  <c r="BH1206" s="9"/>
      <c r="BI1206" s="9"/>
      <c r="BJ1206" s="9"/>
      <c r="BK1206" s="9"/>
      <c r="BL1206" s="9"/>
      <c r="BM1206" s="9"/>
      <c r="BN1206" s="9"/>
      <c r="BO1206" s="9"/>
      <c r="BP1206" s="9"/>
      <c r="BQ1206" s="9"/>
      <c r="BR1206" s="9"/>
      <c r="BS1206" s="9"/>
      <c r="BT1206" s="9"/>
      <c r="BU1206" s="9"/>
      <c r="BV1206" s="9"/>
      <c r="BW1206" s="9"/>
      <c r="BX1206" s="9"/>
      <c r="BY1206" s="9"/>
      <c r="BZ1206" s="9"/>
    </row>
    <row r="1207" spans="4:78" ht="18" customHeight="1" x14ac:dyDescent="0.25"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S1207" s="9"/>
      <c r="T1207" s="9"/>
      <c r="U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9"/>
      <c r="AG1207" s="9"/>
      <c r="AH1207" s="9"/>
      <c r="AI1207" s="9"/>
      <c r="AJ1207" s="9"/>
      <c r="AK1207" s="9"/>
      <c r="AL1207" s="9"/>
      <c r="AM1207" s="9"/>
      <c r="AN1207" s="9"/>
      <c r="AO1207" s="9"/>
      <c r="AP1207" s="9"/>
      <c r="AQ1207" s="9"/>
      <c r="AR1207" s="9"/>
      <c r="AS1207" s="9"/>
      <c r="AT1207" s="9"/>
      <c r="AU1207" s="9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  <c r="BH1207" s="9"/>
      <c r="BI1207" s="9"/>
      <c r="BJ1207" s="9"/>
      <c r="BK1207" s="9"/>
      <c r="BL1207" s="9"/>
      <c r="BM1207" s="9"/>
      <c r="BN1207" s="9"/>
      <c r="BO1207" s="9"/>
      <c r="BP1207" s="9"/>
      <c r="BQ1207" s="9"/>
      <c r="BR1207" s="9"/>
      <c r="BS1207" s="9"/>
      <c r="BT1207" s="9"/>
      <c r="BU1207" s="9"/>
      <c r="BV1207" s="9"/>
      <c r="BW1207" s="9"/>
      <c r="BX1207" s="9"/>
      <c r="BY1207" s="9"/>
      <c r="BZ1207" s="9"/>
    </row>
    <row r="1208" spans="4:78" ht="18" customHeight="1" x14ac:dyDescent="0.25"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S1208" s="9"/>
      <c r="T1208" s="9"/>
      <c r="U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9"/>
      <c r="AG1208" s="9"/>
      <c r="AH1208" s="9"/>
      <c r="AI1208" s="9"/>
      <c r="AJ1208" s="9"/>
      <c r="AK1208" s="9"/>
      <c r="AL1208" s="9"/>
      <c r="AM1208" s="9"/>
      <c r="AN1208" s="9"/>
      <c r="AO1208" s="9"/>
      <c r="AP1208" s="9"/>
      <c r="AQ1208" s="9"/>
      <c r="AR1208" s="9"/>
      <c r="AS1208" s="9"/>
      <c r="AT1208" s="9"/>
      <c r="AU1208" s="9"/>
      <c r="AV1208" s="9"/>
      <c r="AW1208" s="9"/>
      <c r="AX1208" s="9"/>
      <c r="AY1208" s="9"/>
      <c r="AZ1208" s="9"/>
      <c r="BA1208" s="9"/>
      <c r="BB1208" s="9"/>
      <c r="BC1208" s="9"/>
      <c r="BD1208" s="9"/>
      <c r="BE1208" s="9"/>
      <c r="BF1208" s="9"/>
      <c r="BG1208" s="9"/>
      <c r="BH1208" s="9"/>
      <c r="BI1208" s="9"/>
      <c r="BJ1208" s="9"/>
      <c r="BK1208" s="9"/>
      <c r="BL1208" s="9"/>
      <c r="BM1208" s="9"/>
      <c r="BN1208" s="9"/>
      <c r="BO1208" s="9"/>
      <c r="BP1208" s="9"/>
      <c r="BQ1208" s="9"/>
      <c r="BR1208" s="9"/>
      <c r="BS1208" s="9"/>
      <c r="BT1208" s="9"/>
      <c r="BU1208" s="9"/>
      <c r="BV1208" s="9"/>
      <c r="BW1208" s="9"/>
      <c r="BX1208" s="9"/>
      <c r="BY1208" s="9"/>
      <c r="BZ1208" s="9"/>
    </row>
    <row r="1209" spans="4:78" ht="18" customHeight="1" x14ac:dyDescent="0.25"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S1209" s="9"/>
      <c r="T1209" s="9"/>
      <c r="U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9"/>
      <c r="AG1209" s="9"/>
      <c r="AH1209" s="9"/>
      <c r="AI1209" s="9"/>
      <c r="AJ1209" s="9"/>
      <c r="AK1209" s="9"/>
      <c r="AL1209" s="9"/>
      <c r="AM1209" s="9"/>
      <c r="AN1209" s="9"/>
      <c r="AO1209" s="9"/>
      <c r="AP1209" s="9"/>
      <c r="AQ1209" s="9"/>
      <c r="AR1209" s="9"/>
      <c r="AS1209" s="9"/>
      <c r="AT1209" s="9"/>
      <c r="AU1209" s="9"/>
      <c r="AV1209" s="9"/>
      <c r="AW1209" s="9"/>
      <c r="AX1209" s="9"/>
      <c r="AY1209" s="9"/>
      <c r="AZ1209" s="9"/>
      <c r="BA1209" s="9"/>
      <c r="BB1209" s="9"/>
      <c r="BC1209" s="9"/>
      <c r="BD1209" s="9"/>
      <c r="BE1209" s="9"/>
      <c r="BF1209" s="9"/>
      <c r="BG1209" s="9"/>
      <c r="BH1209" s="9"/>
      <c r="BI1209" s="9"/>
      <c r="BJ1209" s="9"/>
      <c r="BK1209" s="9"/>
      <c r="BL1209" s="9"/>
      <c r="BM1209" s="9"/>
      <c r="BN1209" s="9"/>
      <c r="BO1209" s="9"/>
      <c r="BP1209" s="9"/>
      <c r="BQ1209" s="9"/>
      <c r="BR1209" s="9"/>
      <c r="BS1209" s="9"/>
      <c r="BT1209" s="9"/>
      <c r="BU1209" s="9"/>
      <c r="BV1209" s="9"/>
      <c r="BW1209" s="9"/>
      <c r="BX1209" s="9"/>
      <c r="BY1209" s="9"/>
      <c r="BZ1209" s="9"/>
    </row>
    <row r="1210" spans="4:78" ht="18" customHeight="1" x14ac:dyDescent="0.25"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S1210" s="9"/>
      <c r="T1210" s="9"/>
      <c r="U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9"/>
      <c r="AG1210" s="9"/>
      <c r="AH1210" s="9"/>
      <c r="AI1210" s="9"/>
      <c r="AJ1210" s="9"/>
      <c r="AK1210" s="9"/>
      <c r="AL1210" s="9"/>
      <c r="AM1210" s="9"/>
      <c r="AN1210" s="9"/>
      <c r="AO1210" s="9"/>
      <c r="AP1210" s="9"/>
      <c r="AQ1210" s="9"/>
      <c r="AR1210" s="9"/>
      <c r="AS1210" s="9"/>
      <c r="AT1210" s="9"/>
      <c r="AU1210" s="9"/>
      <c r="AV1210" s="9"/>
      <c r="AW1210" s="9"/>
      <c r="AX1210" s="9"/>
      <c r="AY1210" s="9"/>
      <c r="AZ1210" s="9"/>
      <c r="BA1210" s="9"/>
      <c r="BB1210" s="9"/>
      <c r="BC1210" s="9"/>
      <c r="BD1210" s="9"/>
      <c r="BE1210" s="9"/>
      <c r="BF1210" s="9"/>
      <c r="BG1210" s="9"/>
      <c r="BH1210" s="9"/>
      <c r="BI1210" s="9"/>
      <c r="BJ1210" s="9"/>
      <c r="BK1210" s="9"/>
      <c r="BL1210" s="9"/>
      <c r="BM1210" s="9"/>
      <c r="BN1210" s="9"/>
      <c r="BO1210" s="9"/>
      <c r="BP1210" s="9"/>
      <c r="BQ1210" s="9"/>
      <c r="BR1210" s="9"/>
      <c r="BS1210" s="9"/>
      <c r="BT1210" s="9"/>
      <c r="BU1210" s="9"/>
      <c r="BV1210" s="9"/>
      <c r="BW1210" s="9"/>
      <c r="BX1210" s="9"/>
      <c r="BY1210" s="9"/>
      <c r="BZ1210" s="9"/>
    </row>
    <row r="1211" spans="4:78" ht="18" customHeight="1" x14ac:dyDescent="0.25"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S1211" s="9"/>
      <c r="T1211" s="9"/>
      <c r="U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9"/>
      <c r="AG1211" s="9"/>
      <c r="AH1211" s="9"/>
      <c r="AI1211" s="9"/>
      <c r="AJ1211" s="9"/>
      <c r="AK1211" s="9"/>
      <c r="AL1211" s="9"/>
      <c r="AM1211" s="9"/>
      <c r="AN1211" s="9"/>
      <c r="AO1211" s="9"/>
      <c r="AP1211" s="9"/>
      <c r="AQ1211" s="9"/>
      <c r="AR1211" s="9"/>
      <c r="AS1211" s="9"/>
      <c r="AT1211" s="9"/>
      <c r="AU1211" s="9"/>
      <c r="AV1211" s="9"/>
      <c r="AW1211" s="9"/>
      <c r="AX1211" s="9"/>
      <c r="AY1211" s="9"/>
      <c r="AZ1211" s="9"/>
      <c r="BA1211" s="9"/>
      <c r="BB1211" s="9"/>
      <c r="BC1211" s="9"/>
      <c r="BD1211" s="9"/>
      <c r="BE1211" s="9"/>
      <c r="BF1211" s="9"/>
      <c r="BG1211" s="9"/>
      <c r="BH1211" s="9"/>
      <c r="BI1211" s="9"/>
      <c r="BJ1211" s="9"/>
      <c r="BK1211" s="9"/>
      <c r="BL1211" s="9"/>
      <c r="BM1211" s="9"/>
      <c r="BN1211" s="9"/>
      <c r="BO1211" s="9"/>
      <c r="BP1211" s="9"/>
      <c r="BQ1211" s="9"/>
      <c r="BR1211" s="9"/>
      <c r="BS1211" s="9"/>
      <c r="BT1211" s="9"/>
      <c r="BU1211" s="9"/>
      <c r="BV1211" s="9"/>
      <c r="BW1211" s="9"/>
      <c r="BX1211" s="9"/>
      <c r="BY1211" s="9"/>
      <c r="BZ1211" s="9"/>
    </row>
    <row r="1212" spans="4:78" ht="18" customHeight="1" x14ac:dyDescent="0.25"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S1212" s="9"/>
      <c r="T1212" s="9"/>
      <c r="U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9"/>
      <c r="AG1212" s="9"/>
      <c r="AH1212" s="9"/>
      <c r="AI1212" s="9"/>
      <c r="AJ1212" s="9"/>
      <c r="AK1212" s="9"/>
      <c r="AL1212" s="9"/>
      <c r="AM1212" s="9"/>
      <c r="AN1212" s="9"/>
      <c r="AO1212" s="9"/>
      <c r="AP1212" s="9"/>
      <c r="AQ1212" s="9"/>
      <c r="AR1212" s="9"/>
      <c r="AS1212" s="9"/>
      <c r="AT1212" s="9"/>
      <c r="AU1212" s="9"/>
      <c r="AV1212" s="9"/>
      <c r="AW1212" s="9"/>
      <c r="AX1212" s="9"/>
      <c r="AY1212" s="9"/>
      <c r="AZ1212" s="9"/>
      <c r="BA1212" s="9"/>
      <c r="BB1212" s="9"/>
      <c r="BC1212" s="9"/>
      <c r="BD1212" s="9"/>
      <c r="BE1212" s="9"/>
      <c r="BF1212" s="9"/>
      <c r="BG1212" s="9"/>
      <c r="BH1212" s="9"/>
      <c r="BI1212" s="9"/>
      <c r="BJ1212" s="9"/>
      <c r="BK1212" s="9"/>
      <c r="BL1212" s="9"/>
      <c r="BM1212" s="9"/>
      <c r="BN1212" s="9"/>
      <c r="BO1212" s="9"/>
      <c r="BP1212" s="9"/>
      <c r="BQ1212" s="9"/>
      <c r="BR1212" s="9"/>
      <c r="BS1212" s="9"/>
      <c r="BT1212" s="9"/>
      <c r="BU1212" s="9"/>
      <c r="BV1212" s="9"/>
      <c r="BW1212" s="9"/>
      <c r="BX1212" s="9"/>
      <c r="BY1212" s="9"/>
      <c r="BZ1212" s="9"/>
    </row>
    <row r="1213" spans="4:78" ht="18" customHeight="1" x14ac:dyDescent="0.25"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S1213" s="9"/>
      <c r="T1213" s="9"/>
      <c r="U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9"/>
      <c r="AG1213" s="9"/>
      <c r="AH1213" s="9"/>
      <c r="AI1213" s="9"/>
      <c r="AJ1213" s="9"/>
      <c r="AK1213" s="9"/>
      <c r="AL1213" s="9"/>
      <c r="AM1213" s="9"/>
      <c r="AN1213" s="9"/>
      <c r="AO1213" s="9"/>
      <c r="AP1213" s="9"/>
      <c r="AQ1213" s="9"/>
      <c r="AR1213" s="9"/>
      <c r="AS1213" s="9"/>
      <c r="AT1213" s="9"/>
      <c r="AU1213" s="9"/>
      <c r="AV1213" s="9"/>
      <c r="AW1213" s="9"/>
      <c r="AX1213" s="9"/>
      <c r="AY1213" s="9"/>
      <c r="AZ1213" s="9"/>
      <c r="BA1213" s="9"/>
      <c r="BB1213" s="9"/>
      <c r="BC1213" s="9"/>
      <c r="BD1213" s="9"/>
      <c r="BE1213" s="9"/>
      <c r="BF1213" s="9"/>
      <c r="BG1213" s="9"/>
      <c r="BH1213" s="9"/>
      <c r="BI1213" s="9"/>
      <c r="BJ1213" s="9"/>
      <c r="BK1213" s="9"/>
      <c r="BL1213" s="9"/>
      <c r="BM1213" s="9"/>
      <c r="BN1213" s="9"/>
      <c r="BO1213" s="9"/>
      <c r="BP1213" s="9"/>
      <c r="BQ1213" s="9"/>
      <c r="BR1213" s="9"/>
      <c r="BS1213" s="9"/>
      <c r="BT1213" s="9"/>
      <c r="BU1213" s="9"/>
      <c r="BV1213" s="9"/>
      <c r="BW1213" s="9"/>
      <c r="BX1213" s="9"/>
      <c r="BY1213" s="9"/>
      <c r="BZ1213" s="9"/>
    </row>
    <row r="1214" spans="4:78" ht="18" customHeight="1" x14ac:dyDescent="0.25"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S1214" s="9"/>
      <c r="T1214" s="9"/>
      <c r="U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9"/>
      <c r="AG1214" s="9"/>
      <c r="AH1214" s="9"/>
      <c r="AI1214" s="9"/>
      <c r="AJ1214" s="9"/>
      <c r="AK1214" s="9"/>
      <c r="AL1214" s="9"/>
      <c r="AM1214" s="9"/>
      <c r="AN1214" s="9"/>
      <c r="AO1214" s="9"/>
      <c r="AP1214" s="9"/>
      <c r="AQ1214" s="9"/>
      <c r="AR1214" s="9"/>
      <c r="AS1214" s="9"/>
      <c r="AT1214" s="9"/>
      <c r="AU1214" s="9"/>
      <c r="AV1214" s="9"/>
      <c r="AW1214" s="9"/>
      <c r="AX1214" s="9"/>
      <c r="AY1214" s="9"/>
      <c r="AZ1214" s="9"/>
      <c r="BA1214" s="9"/>
      <c r="BB1214" s="9"/>
      <c r="BC1214" s="9"/>
      <c r="BD1214" s="9"/>
      <c r="BE1214" s="9"/>
      <c r="BF1214" s="9"/>
      <c r="BG1214" s="9"/>
      <c r="BH1214" s="9"/>
      <c r="BI1214" s="9"/>
      <c r="BJ1214" s="9"/>
      <c r="BK1214" s="9"/>
      <c r="BL1214" s="9"/>
      <c r="BM1214" s="9"/>
      <c r="BN1214" s="9"/>
      <c r="BO1214" s="9"/>
      <c r="BP1214" s="9"/>
      <c r="BQ1214" s="9"/>
      <c r="BR1214" s="9"/>
      <c r="BS1214" s="9"/>
      <c r="BT1214" s="9"/>
      <c r="BU1214" s="9"/>
      <c r="BV1214" s="9"/>
      <c r="BW1214" s="9"/>
      <c r="BX1214" s="9"/>
      <c r="BY1214" s="9"/>
      <c r="BZ1214" s="9"/>
    </row>
    <row r="1215" spans="4:78" ht="18" customHeight="1" x14ac:dyDescent="0.25"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S1215" s="9"/>
      <c r="T1215" s="9"/>
      <c r="U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9"/>
      <c r="AG1215" s="9"/>
      <c r="AH1215" s="9"/>
      <c r="AI1215" s="9"/>
      <c r="AJ1215" s="9"/>
      <c r="AK1215" s="9"/>
      <c r="AL1215" s="9"/>
      <c r="AM1215" s="9"/>
      <c r="AN1215" s="9"/>
      <c r="AO1215" s="9"/>
      <c r="AP1215" s="9"/>
      <c r="AQ1215" s="9"/>
      <c r="AR1215" s="9"/>
      <c r="AS1215" s="9"/>
      <c r="AT1215" s="9"/>
      <c r="AU1215" s="9"/>
      <c r="AV1215" s="9"/>
      <c r="AW1215" s="9"/>
      <c r="AX1215" s="9"/>
      <c r="AY1215" s="9"/>
      <c r="AZ1215" s="9"/>
      <c r="BA1215" s="9"/>
      <c r="BB1215" s="9"/>
      <c r="BC1215" s="9"/>
      <c r="BD1215" s="9"/>
      <c r="BE1215" s="9"/>
      <c r="BF1215" s="9"/>
      <c r="BG1215" s="9"/>
      <c r="BH1215" s="9"/>
      <c r="BI1215" s="9"/>
      <c r="BJ1215" s="9"/>
      <c r="BK1215" s="9"/>
      <c r="BL1215" s="9"/>
      <c r="BM1215" s="9"/>
      <c r="BN1215" s="9"/>
      <c r="BO1215" s="9"/>
      <c r="BP1215" s="9"/>
      <c r="BQ1215" s="9"/>
      <c r="BR1215" s="9"/>
      <c r="BS1215" s="9"/>
      <c r="BT1215" s="9"/>
      <c r="BU1215" s="9"/>
      <c r="BV1215" s="9"/>
      <c r="BW1215" s="9"/>
      <c r="BX1215" s="9"/>
      <c r="BY1215" s="9"/>
      <c r="BZ1215" s="9"/>
    </row>
    <row r="1216" spans="4:78" ht="18" customHeight="1" x14ac:dyDescent="0.25"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S1216" s="9"/>
      <c r="T1216" s="9"/>
      <c r="U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9"/>
      <c r="AG1216" s="9"/>
      <c r="AH1216" s="9"/>
      <c r="AI1216" s="9"/>
      <c r="AJ1216" s="9"/>
      <c r="AK1216" s="9"/>
      <c r="AL1216" s="9"/>
      <c r="AM1216" s="9"/>
      <c r="AN1216" s="9"/>
      <c r="AO1216" s="9"/>
      <c r="AP1216" s="9"/>
      <c r="AQ1216" s="9"/>
      <c r="AR1216" s="9"/>
      <c r="AS1216" s="9"/>
      <c r="AT1216" s="9"/>
      <c r="AU1216" s="9"/>
      <c r="AV1216" s="9"/>
      <c r="AW1216" s="9"/>
      <c r="AX1216" s="9"/>
      <c r="AY1216" s="9"/>
      <c r="AZ1216" s="9"/>
      <c r="BA1216" s="9"/>
      <c r="BB1216" s="9"/>
      <c r="BC1216" s="9"/>
      <c r="BD1216" s="9"/>
      <c r="BE1216" s="9"/>
      <c r="BF1216" s="9"/>
      <c r="BG1216" s="9"/>
      <c r="BH1216" s="9"/>
      <c r="BI1216" s="9"/>
      <c r="BJ1216" s="9"/>
      <c r="BK1216" s="9"/>
      <c r="BL1216" s="9"/>
      <c r="BM1216" s="9"/>
      <c r="BN1216" s="9"/>
      <c r="BO1216" s="9"/>
      <c r="BP1216" s="9"/>
      <c r="BQ1216" s="9"/>
      <c r="BR1216" s="9"/>
      <c r="BS1216" s="9"/>
      <c r="BT1216" s="9"/>
      <c r="BU1216" s="9"/>
      <c r="BV1216" s="9"/>
      <c r="BW1216" s="9"/>
      <c r="BX1216" s="9"/>
      <c r="BY1216" s="9"/>
      <c r="BZ1216" s="9"/>
    </row>
    <row r="1217" spans="4:78" ht="18" customHeight="1" x14ac:dyDescent="0.25"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S1217" s="9"/>
      <c r="T1217" s="9"/>
      <c r="U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9"/>
      <c r="AG1217" s="9"/>
      <c r="AH1217" s="9"/>
      <c r="AI1217" s="9"/>
      <c r="AJ1217" s="9"/>
      <c r="AK1217" s="9"/>
      <c r="AL1217" s="9"/>
      <c r="AM1217" s="9"/>
      <c r="AN1217" s="9"/>
      <c r="AO1217" s="9"/>
      <c r="AP1217" s="9"/>
      <c r="AQ1217" s="9"/>
      <c r="AR1217" s="9"/>
      <c r="AS1217" s="9"/>
      <c r="AT1217" s="9"/>
      <c r="AU1217" s="9"/>
      <c r="AV1217" s="9"/>
      <c r="AW1217" s="9"/>
      <c r="AX1217" s="9"/>
      <c r="AY1217" s="9"/>
      <c r="AZ1217" s="9"/>
      <c r="BA1217" s="9"/>
      <c r="BB1217" s="9"/>
      <c r="BC1217" s="9"/>
      <c r="BD1217" s="9"/>
      <c r="BE1217" s="9"/>
      <c r="BF1217" s="9"/>
      <c r="BG1217" s="9"/>
      <c r="BH1217" s="9"/>
      <c r="BI1217" s="9"/>
      <c r="BJ1217" s="9"/>
      <c r="BK1217" s="9"/>
      <c r="BL1217" s="9"/>
      <c r="BM1217" s="9"/>
      <c r="BN1217" s="9"/>
      <c r="BO1217" s="9"/>
      <c r="BP1217" s="9"/>
      <c r="BQ1217" s="9"/>
      <c r="BR1217" s="9"/>
      <c r="BS1217" s="9"/>
      <c r="BT1217" s="9"/>
      <c r="BU1217" s="9"/>
      <c r="BV1217" s="9"/>
      <c r="BW1217" s="9"/>
      <c r="BX1217" s="9"/>
      <c r="BY1217" s="9"/>
      <c r="BZ1217" s="9"/>
    </row>
    <row r="1218" spans="4:78" ht="18" customHeight="1" x14ac:dyDescent="0.25"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S1218" s="9"/>
      <c r="T1218" s="9"/>
      <c r="U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9"/>
      <c r="AG1218" s="9"/>
      <c r="AH1218" s="9"/>
      <c r="AI1218" s="9"/>
      <c r="AJ1218" s="9"/>
      <c r="AK1218" s="9"/>
      <c r="AL1218" s="9"/>
      <c r="AM1218" s="9"/>
      <c r="AN1218" s="9"/>
      <c r="AO1218" s="9"/>
      <c r="AP1218" s="9"/>
      <c r="AQ1218" s="9"/>
      <c r="AR1218" s="9"/>
      <c r="AS1218" s="9"/>
      <c r="AT1218" s="9"/>
      <c r="AU1218" s="9"/>
      <c r="AV1218" s="9"/>
      <c r="AW1218" s="9"/>
      <c r="AX1218" s="9"/>
      <c r="AY1218" s="9"/>
      <c r="AZ1218" s="9"/>
      <c r="BA1218" s="9"/>
      <c r="BB1218" s="9"/>
      <c r="BC1218" s="9"/>
      <c r="BD1218" s="9"/>
      <c r="BE1218" s="9"/>
      <c r="BF1218" s="9"/>
      <c r="BG1218" s="9"/>
      <c r="BH1218" s="9"/>
      <c r="BI1218" s="9"/>
      <c r="BJ1218" s="9"/>
      <c r="BK1218" s="9"/>
      <c r="BL1218" s="9"/>
      <c r="BM1218" s="9"/>
      <c r="BN1218" s="9"/>
      <c r="BO1218" s="9"/>
      <c r="BP1218" s="9"/>
      <c r="BQ1218" s="9"/>
      <c r="BR1218" s="9"/>
      <c r="BS1218" s="9"/>
      <c r="BT1218" s="9"/>
      <c r="BU1218" s="9"/>
      <c r="BV1218" s="9"/>
      <c r="BW1218" s="9"/>
      <c r="BX1218" s="9"/>
      <c r="BY1218" s="9"/>
      <c r="BZ1218" s="9"/>
    </row>
    <row r="1219" spans="4:78" ht="18" customHeight="1" x14ac:dyDescent="0.25"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S1219" s="9"/>
      <c r="T1219" s="9"/>
      <c r="U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9"/>
      <c r="AG1219" s="9"/>
      <c r="AH1219" s="9"/>
      <c r="AI1219" s="9"/>
      <c r="AJ1219" s="9"/>
      <c r="AK1219" s="9"/>
      <c r="AL1219" s="9"/>
      <c r="AM1219" s="9"/>
      <c r="AN1219" s="9"/>
      <c r="AO1219" s="9"/>
      <c r="AP1219" s="9"/>
      <c r="AQ1219" s="9"/>
      <c r="AR1219" s="9"/>
      <c r="AS1219" s="9"/>
      <c r="AT1219" s="9"/>
      <c r="AU1219" s="9"/>
      <c r="AV1219" s="9"/>
      <c r="AW1219" s="9"/>
      <c r="AX1219" s="9"/>
      <c r="AY1219" s="9"/>
      <c r="AZ1219" s="9"/>
      <c r="BA1219" s="9"/>
      <c r="BB1219" s="9"/>
      <c r="BC1219" s="9"/>
      <c r="BD1219" s="9"/>
      <c r="BE1219" s="9"/>
      <c r="BF1219" s="9"/>
      <c r="BG1219" s="9"/>
      <c r="BH1219" s="9"/>
      <c r="BI1219" s="9"/>
      <c r="BJ1219" s="9"/>
      <c r="BK1219" s="9"/>
      <c r="BL1219" s="9"/>
      <c r="BM1219" s="9"/>
      <c r="BN1219" s="9"/>
      <c r="BO1219" s="9"/>
      <c r="BP1219" s="9"/>
      <c r="BQ1219" s="9"/>
      <c r="BR1219" s="9"/>
      <c r="BS1219" s="9"/>
      <c r="BT1219" s="9"/>
      <c r="BU1219" s="9"/>
      <c r="BV1219" s="9"/>
      <c r="BW1219" s="9"/>
      <c r="BX1219" s="9"/>
      <c r="BY1219" s="9"/>
      <c r="BZ1219" s="9"/>
    </row>
    <row r="1220" spans="4:78" ht="18" customHeight="1" x14ac:dyDescent="0.25"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S1220" s="9"/>
      <c r="T1220" s="9"/>
      <c r="U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9"/>
      <c r="AG1220" s="9"/>
      <c r="AH1220" s="9"/>
      <c r="AI1220" s="9"/>
      <c r="AJ1220" s="9"/>
      <c r="AK1220" s="9"/>
      <c r="AL1220" s="9"/>
      <c r="AM1220" s="9"/>
      <c r="AN1220" s="9"/>
      <c r="AO1220" s="9"/>
      <c r="AP1220" s="9"/>
      <c r="AQ1220" s="9"/>
      <c r="AR1220" s="9"/>
      <c r="AS1220" s="9"/>
      <c r="AT1220" s="9"/>
      <c r="AU1220" s="9"/>
      <c r="AV1220" s="9"/>
      <c r="AW1220" s="9"/>
      <c r="AX1220" s="9"/>
      <c r="AY1220" s="9"/>
      <c r="AZ1220" s="9"/>
      <c r="BA1220" s="9"/>
      <c r="BB1220" s="9"/>
      <c r="BC1220" s="9"/>
      <c r="BD1220" s="9"/>
      <c r="BE1220" s="9"/>
      <c r="BF1220" s="9"/>
      <c r="BG1220" s="9"/>
      <c r="BH1220" s="9"/>
      <c r="BI1220" s="9"/>
      <c r="BJ1220" s="9"/>
      <c r="BK1220" s="9"/>
      <c r="BL1220" s="9"/>
      <c r="BM1220" s="9"/>
      <c r="BN1220" s="9"/>
      <c r="BO1220" s="9"/>
      <c r="BP1220" s="9"/>
      <c r="BQ1220" s="9"/>
      <c r="BR1220" s="9"/>
      <c r="BS1220" s="9"/>
      <c r="BT1220" s="9"/>
      <c r="BU1220" s="9"/>
      <c r="BV1220" s="9"/>
      <c r="BW1220" s="9"/>
      <c r="BX1220" s="9"/>
      <c r="BY1220" s="9"/>
      <c r="BZ1220" s="9"/>
    </row>
    <row r="1221" spans="4:78" ht="18" customHeight="1" x14ac:dyDescent="0.25"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S1221" s="9"/>
      <c r="T1221" s="9"/>
      <c r="U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9"/>
      <c r="AG1221" s="9"/>
      <c r="AH1221" s="9"/>
      <c r="AI1221" s="9"/>
      <c r="AJ1221" s="9"/>
      <c r="AK1221" s="9"/>
      <c r="AL1221" s="9"/>
      <c r="AM1221" s="9"/>
      <c r="AN1221" s="9"/>
      <c r="AO1221" s="9"/>
      <c r="AP1221" s="9"/>
      <c r="AQ1221" s="9"/>
      <c r="AR1221" s="9"/>
      <c r="AS1221" s="9"/>
      <c r="AT1221" s="9"/>
      <c r="AU1221" s="9"/>
      <c r="AV1221" s="9"/>
      <c r="AW1221" s="9"/>
      <c r="AX1221" s="9"/>
      <c r="AY1221" s="9"/>
      <c r="AZ1221" s="9"/>
      <c r="BA1221" s="9"/>
      <c r="BB1221" s="9"/>
      <c r="BC1221" s="9"/>
      <c r="BD1221" s="9"/>
      <c r="BE1221" s="9"/>
      <c r="BF1221" s="9"/>
      <c r="BG1221" s="9"/>
      <c r="BH1221" s="9"/>
      <c r="BI1221" s="9"/>
      <c r="BJ1221" s="9"/>
      <c r="BK1221" s="9"/>
      <c r="BL1221" s="9"/>
      <c r="BM1221" s="9"/>
      <c r="BN1221" s="9"/>
      <c r="BO1221" s="9"/>
      <c r="BP1221" s="9"/>
      <c r="BQ1221" s="9"/>
      <c r="BR1221" s="9"/>
      <c r="BS1221" s="9"/>
      <c r="BT1221" s="9"/>
      <c r="BU1221" s="9"/>
      <c r="BV1221" s="9"/>
      <c r="BW1221" s="9"/>
      <c r="BX1221" s="9"/>
      <c r="BY1221" s="9"/>
      <c r="BZ1221" s="9"/>
    </row>
    <row r="1222" spans="4:78" ht="18" customHeight="1" x14ac:dyDescent="0.25"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S1222" s="9"/>
      <c r="T1222" s="9"/>
      <c r="U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9"/>
      <c r="AG1222" s="9"/>
      <c r="AH1222" s="9"/>
      <c r="AI1222" s="9"/>
      <c r="AJ1222" s="9"/>
      <c r="AK1222" s="9"/>
      <c r="AL1222" s="9"/>
      <c r="AM1222" s="9"/>
      <c r="AN1222" s="9"/>
      <c r="AO1222" s="9"/>
      <c r="AP1222" s="9"/>
      <c r="AQ1222" s="9"/>
      <c r="AR1222" s="9"/>
      <c r="AS1222" s="9"/>
      <c r="AT1222" s="9"/>
      <c r="AU1222" s="9"/>
      <c r="AV1222" s="9"/>
      <c r="AW1222" s="9"/>
      <c r="AX1222" s="9"/>
      <c r="AY1222" s="9"/>
      <c r="AZ1222" s="9"/>
      <c r="BA1222" s="9"/>
      <c r="BB1222" s="9"/>
      <c r="BC1222" s="9"/>
      <c r="BD1222" s="9"/>
      <c r="BE1222" s="9"/>
      <c r="BF1222" s="9"/>
      <c r="BG1222" s="9"/>
      <c r="BH1222" s="9"/>
      <c r="BI1222" s="9"/>
      <c r="BJ1222" s="9"/>
      <c r="BK1222" s="9"/>
      <c r="BL1222" s="9"/>
      <c r="BM1222" s="9"/>
      <c r="BN1222" s="9"/>
      <c r="BO1222" s="9"/>
      <c r="BP1222" s="9"/>
      <c r="BQ1222" s="9"/>
      <c r="BR1222" s="9"/>
      <c r="BS1222" s="9"/>
      <c r="BT1222" s="9"/>
      <c r="BU1222" s="9"/>
      <c r="BV1222" s="9"/>
      <c r="BW1222" s="9"/>
      <c r="BX1222" s="9"/>
      <c r="BY1222" s="9"/>
      <c r="BZ1222" s="9"/>
    </row>
    <row r="1223" spans="4:78" ht="18" customHeight="1" x14ac:dyDescent="0.25"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S1223" s="9"/>
      <c r="T1223" s="9"/>
      <c r="U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9"/>
      <c r="AG1223" s="9"/>
      <c r="AH1223" s="9"/>
      <c r="AI1223" s="9"/>
      <c r="AJ1223" s="9"/>
      <c r="AK1223" s="9"/>
      <c r="AL1223" s="9"/>
      <c r="AM1223" s="9"/>
      <c r="AN1223" s="9"/>
      <c r="AO1223" s="9"/>
      <c r="AP1223" s="9"/>
      <c r="AQ1223" s="9"/>
      <c r="AR1223" s="9"/>
      <c r="AS1223" s="9"/>
      <c r="AT1223" s="9"/>
      <c r="AU1223" s="9"/>
      <c r="AV1223" s="9"/>
      <c r="AW1223" s="9"/>
      <c r="AX1223" s="9"/>
      <c r="AY1223" s="9"/>
      <c r="AZ1223" s="9"/>
      <c r="BA1223" s="9"/>
      <c r="BB1223" s="9"/>
      <c r="BC1223" s="9"/>
      <c r="BD1223" s="9"/>
      <c r="BE1223" s="9"/>
      <c r="BF1223" s="9"/>
      <c r="BG1223" s="9"/>
      <c r="BH1223" s="9"/>
      <c r="BI1223" s="9"/>
      <c r="BJ1223" s="9"/>
      <c r="BK1223" s="9"/>
      <c r="BL1223" s="9"/>
      <c r="BM1223" s="9"/>
      <c r="BN1223" s="9"/>
      <c r="BO1223" s="9"/>
      <c r="BP1223" s="9"/>
      <c r="BQ1223" s="9"/>
      <c r="BR1223" s="9"/>
      <c r="BS1223" s="9"/>
      <c r="BT1223" s="9"/>
      <c r="BU1223" s="9"/>
      <c r="BV1223" s="9"/>
      <c r="BW1223" s="9"/>
      <c r="BX1223" s="9"/>
      <c r="BY1223" s="9"/>
      <c r="BZ1223" s="9"/>
    </row>
    <row r="1224" spans="4:78" ht="18" customHeight="1" x14ac:dyDescent="0.25"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S1224" s="9"/>
      <c r="T1224" s="9"/>
      <c r="U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9"/>
      <c r="AG1224" s="9"/>
      <c r="AH1224" s="9"/>
      <c r="AI1224" s="9"/>
      <c r="AJ1224" s="9"/>
      <c r="AK1224" s="9"/>
      <c r="AL1224" s="9"/>
      <c r="AM1224" s="9"/>
      <c r="AN1224" s="9"/>
      <c r="AO1224" s="9"/>
      <c r="AP1224" s="9"/>
      <c r="AQ1224" s="9"/>
      <c r="AR1224" s="9"/>
      <c r="AS1224" s="9"/>
      <c r="AT1224" s="9"/>
      <c r="AU1224" s="9"/>
      <c r="AV1224" s="9"/>
      <c r="AW1224" s="9"/>
      <c r="AX1224" s="9"/>
      <c r="AY1224" s="9"/>
      <c r="AZ1224" s="9"/>
      <c r="BA1224" s="9"/>
      <c r="BB1224" s="9"/>
      <c r="BC1224" s="9"/>
      <c r="BD1224" s="9"/>
      <c r="BE1224" s="9"/>
      <c r="BF1224" s="9"/>
      <c r="BG1224" s="9"/>
      <c r="BH1224" s="9"/>
      <c r="BI1224" s="9"/>
      <c r="BJ1224" s="9"/>
      <c r="BK1224" s="9"/>
      <c r="BL1224" s="9"/>
      <c r="BM1224" s="9"/>
      <c r="BN1224" s="9"/>
      <c r="BO1224" s="9"/>
      <c r="BP1224" s="9"/>
      <c r="BQ1224" s="9"/>
      <c r="BR1224" s="9"/>
      <c r="BS1224" s="9"/>
      <c r="BT1224" s="9"/>
      <c r="BU1224" s="9"/>
      <c r="BV1224" s="9"/>
      <c r="BW1224" s="9"/>
      <c r="BX1224" s="9"/>
      <c r="BY1224" s="9"/>
      <c r="BZ1224" s="9"/>
    </row>
    <row r="1225" spans="4:78" ht="18" customHeight="1" x14ac:dyDescent="0.25"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S1225" s="9"/>
      <c r="T1225" s="9"/>
      <c r="U1225" s="9"/>
      <c r="W1225" s="9"/>
      <c r="X1225" s="9"/>
      <c r="Y1225" s="9"/>
      <c r="Z1225" s="9"/>
      <c r="AA1225" s="9"/>
      <c r="AB1225" s="9"/>
      <c r="AC1225" s="9"/>
      <c r="AD1225" s="9"/>
      <c r="AE1225" s="9"/>
      <c r="AF1225" s="9"/>
      <c r="AG1225" s="9"/>
      <c r="AH1225" s="9"/>
      <c r="AI1225" s="9"/>
      <c r="AJ1225" s="9"/>
      <c r="AK1225" s="9"/>
      <c r="AL1225" s="9"/>
      <c r="AM1225" s="9"/>
      <c r="AN1225" s="9"/>
      <c r="AO1225" s="9"/>
      <c r="AP1225" s="9"/>
      <c r="AQ1225" s="9"/>
      <c r="AR1225" s="9"/>
      <c r="AS1225" s="9"/>
      <c r="AT1225" s="9"/>
      <c r="AU1225" s="9"/>
      <c r="AV1225" s="9"/>
      <c r="AW1225" s="9"/>
      <c r="AX1225" s="9"/>
      <c r="AY1225" s="9"/>
      <c r="AZ1225" s="9"/>
      <c r="BA1225" s="9"/>
      <c r="BB1225" s="9"/>
      <c r="BC1225" s="9"/>
      <c r="BD1225" s="9"/>
      <c r="BE1225" s="9"/>
      <c r="BF1225" s="9"/>
      <c r="BG1225" s="9"/>
      <c r="BH1225" s="9"/>
      <c r="BI1225" s="9"/>
      <c r="BJ1225" s="9"/>
      <c r="BK1225" s="9"/>
      <c r="BL1225" s="9"/>
      <c r="BM1225" s="9"/>
      <c r="BN1225" s="9"/>
      <c r="BO1225" s="9"/>
      <c r="BP1225" s="9"/>
      <c r="BQ1225" s="9"/>
      <c r="BR1225" s="9"/>
      <c r="BS1225" s="9"/>
      <c r="BT1225" s="9"/>
      <c r="BU1225" s="9"/>
      <c r="BV1225" s="9"/>
      <c r="BW1225" s="9"/>
      <c r="BX1225" s="9"/>
      <c r="BY1225" s="9"/>
      <c r="BZ1225" s="9"/>
    </row>
    <row r="1226" spans="4:78" ht="18" customHeight="1" x14ac:dyDescent="0.25"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S1226" s="9"/>
      <c r="T1226" s="9"/>
      <c r="U1226" s="9"/>
      <c r="W1226" s="9"/>
      <c r="X1226" s="9"/>
      <c r="Y1226" s="9"/>
      <c r="Z1226" s="9"/>
      <c r="AA1226" s="9"/>
      <c r="AB1226" s="9"/>
      <c r="AC1226" s="9"/>
      <c r="AD1226" s="9"/>
      <c r="AE1226" s="9"/>
      <c r="AF1226" s="9"/>
      <c r="AG1226" s="9"/>
      <c r="AH1226" s="9"/>
      <c r="AI1226" s="9"/>
      <c r="AJ1226" s="9"/>
      <c r="AK1226" s="9"/>
      <c r="AL1226" s="9"/>
      <c r="AM1226" s="9"/>
      <c r="AN1226" s="9"/>
      <c r="AO1226" s="9"/>
      <c r="AP1226" s="9"/>
      <c r="AQ1226" s="9"/>
      <c r="AR1226" s="9"/>
      <c r="AS1226" s="9"/>
      <c r="AT1226" s="9"/>
      <c r="AU1226" s="9"/>
      <c r="AV1226" s="9"/>
      <c r="AW1226" s="9"/>
      <c r="AX1226" s="9"/>
      <c r="AY1226" s="9"/>
      <c r="AZ1226" s="9"/>
      <c r="BA1226" s="9"/>
      <c r="BB1226" s="9"/>
      <c r="BC1226" s="9"/>
      <c r="BD1226" s="9"/>
      <c r="BE1226" s="9"/>
      <c r="BF1226" s="9"/>
      <c r="BG1226" s="9"/>
      <c r="BH1226" s="9"/>
      <c r="BI1226" s="9"/>
      <c r="BJ1226" s="9"/>
      <c r="BK1226" s="9"/>
      <c r="BL1226" s="9"/>
      <c r="BM1226" s="9"/>
      <c r="BN1226" s="9"/>
      <c r="BO1226" s="9"/>
      <c r="BP1226" s="9"/>
      <c r="BQ1226" s="9"/>
      <c r="BR1226" s="9"/>
      <c r="BS1226" s="9"/>
      <c r="BT1226" s="9"/>
      <c r="BU1226" s="9"/>
      <c r="BV1226" s="9"/>
      <c r="BW1226" s="9"/>
      <c r="BX1226" s="9"/>
      <c r="BY1226" s="9"/>
      <c r="BZ1226" s="9"/>
    </row>
    <row r="1227" spans="4:78" ht="18" customHeight="1" x14ac:dyDescent="0.25"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S1227" s="9"/>
      <c r="T1227" s="9"/>
      <c r="U1227" s="9"/>
      <c r="W1227" s="9"/>
      <c r="X1227" s="9"/>
      <c r="Y1227" s="9"/>
      <c r="Z1227" s="9"/>
      <c r="AA1227" s="9"/>
      <c r="AB1227" s="9"/>
      <c r="AC1227" s="9"/>
      <c r="AD1227" s="9"/>
      <c r="AE1227" s="9"/>
      <c r="AF1227" s="9"/>
      <c r="AG1227" s="9"/>
      <c r="AH1227" s="9"/>
      <c r="AI1227" s="9"/>
      <c r="AJ1227" s="9"/>
      <c r="AK1227" s="9"/>
      <c r="AL1227" s="9"/>
      <c r="AM1227" s="9"/>
      <c r="AN1227" s="9"/>
      <c r="AO1227" s="9"/>
      <c r="AP1227" s="9"/>
      <c r="AQ1227" s="9"/>
      <c r="AR1227" s="9"/>
      <c r="AS1227" s="9"/>
      <c r="AT1227" s="9"/>
      <c r="AU1227" s="9"/>
      <c r="AV1227" s="9"/>
      <c r="AW1227" s="9"/>
      <c r="AX1227" s="9"/>
      <c r="AY1227" s="9"/>
      <c r="AZ1227" s="9"/>
      <c r="BA1227" s="9"/>
      <c r="BB1227" s="9"/>
      <c r="BC1227" s="9"/>
      <c r="BD1227" s="9"/>
      <c r="BE1227" s="9"/>
      <c r="BF1227" s="9"/>
      <c r="BG1227" s="9"/>
      <c r="BH1227" s="9"/>
      <c r="BI1227" s="9"/>
      <c r="BJ1227" s="9"/>
      <c r="BK1227" s="9"/>
      <c r="BL1227" s="9"/>
      <c r="BM1227" s="9"/>
      <c r="BN1227" s="9"/>
      <c r="BO1227" s="9"/>
      <c r="BP1227" s="9"/>
      <c r="BQ1227" s="9"/>
      <c r="BR1227" s="9"/>
      <c r="BS1227" s="9"/>
      <c r="BT1227" s="9"/>
      <c r="BU1227" s="9"/>
      <c r="BV1227" s="9"/>
      <c r="BW1227" s="9"/>
      <c r="BX1227" s="9"/>
      <c r="BY1227" s="9"/>
      <c r="BZ1227" s="9"/>
    </row>
    <row r="1228" spans="4:78" ht="18" customHeight="1" x14ac:dyDescent="0.25"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S1228" s="9"/>
      <c r="T1228" s="9"/>
      <c r="U1228" s="9"/>
      <c r="W1228" s="9"/>
      <c r="X1228" s="9"/>
      <c r="Y1228" s="9"/>
      <c r="Z1228" s="9"/>
      <c r="AA1228" s="9"/>
      <c r="AB1228" s="9"/>
      <c r="AC1228" s="9"/>
      <c r="AD1228" s="9"/>
      <c r="AE1228" s="9"/>
      <c r="AF1228" s="9"/>
      <c r="AG1228" s="9"/>
      <c r="AH1228" s="9"/>
      <c r="AI1228" s="9"/>
      <c r="AJ1228" s="9"/>
      <c r="AK1228" s="9"/>
      <c r="AL1228" s="9"/>
      <c r="AM1228" s="9"/>
      <c r="AN1228" s="9"/>
      <c r="AO1228" s="9"/>
      <c r="AP1228" s="9"/>
      <c r="AQ1228" s="9"/>
      <c r="AR1228" s="9"/>
      <c r="AS1228" s="9"/>
      <c r="AT1228" s="9"/>
      <c r="AU1228" s="9"/>
      <c r="AV1228" s="9"/>
      <c r="AW1228" s="9"/>
      <c r="AX1228" s="9"/>
      <c r="AY1228" s="9"/>
      <c r="AZ1228" s="9"/>
      <c r="BA1228" s="9"/>
      <c r="BB1228" s="9"/>
      <c r="BC1228" s="9"/>
      <c r="BD1228" s="9"/>
      <c r="BE1228" s="9"/>
      <c r="BF1228" s="9"/>
      <c r="BG1228" s="9"/>
      <c r="BH1228" s="9"/>
      <c r="BI1228" s="9"/>
      <c r="BJ1228" s="9"/>
      <c r="BK1228" s="9"/>
      <c r="BL1228" s="9"/>
      <c r="BM1228" s="9"/>
      <c r="BN1228" s="9"/>
      <c r="BO1228" s="9"/>
      <c r="BP1228" s="9"/>
      <c r="BQ1228" s="9"/>
      <c r="BR1228" s="9"/>
      <c r="BS1228" s="9"/>
      <c r="BT1228" s="9"/>
      <c r="BU1228" s="9"/>
      <c r="BV1228" s="9"/>
      <c r="BW1228" s="9"/>
      <c r="BX1228" s="9"/>
      <c r="BY1228" s="9"/>
      <c r="BZ1228" s="9"/>
    </row>
    <row r="1229" spans="4:78" ht="18" customHeight="1" x14ac:dyDescent="0.25"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S1229" s="9"/>
      <c r="T1229" s="9"/>
      <c r="U1229" s="9"/>
      <c r="W1229" s="9"/>
      <c r="X1229" s="9"/>
      <c r="Y1229" s="9"/>
      <c r="Z1229" s="9"/>
      <c r="AA1229" s="9"/>
      <c r="AB1229" s="9"/>
      <c r="AC1229" s="9"/>
      <c r="AD1229" s="9"/>
      <c r="AE1229" s="9"/>
      <c r="AF1229" s="9"/>
      <c r="AG1229" s="9"/>
      <c r="AH1229" s="9"/>
      <c r="AI1229" s="9"/>
      <c r="AJ1229" s="9"/>
      <c r="AK1229" s="9"/>
      <c r="AL1229" s="9"/>
      <c r="AM1229" s="9"/>
      <c r="AN1229" s="9"/>
      <c r="AO1229" s="9"/>
      <c r="AP1229" s="9"/>
      <c r="AQ1229" s="9"/>
      <c r="AR1229" s="9"/>
      <c r="AS1229" s="9"/>
      <c r="AT1229" s="9"/>
      <c r="AU1229" s="9"/>
      <c r="AV1229" s="9"/>
      <c r="AW1229" s="9"/>
      <c r="AX1229" s="9"/>
      <c r="AY1229" s="9"/>
      <c r="AZ1229" s="9"/>
      <c r="BA1229" s="9"/>
      <c r="BB1229" s="9"/>
      <c r="BC1229" s="9"/>
      <c r="BD1229" s="9"/>
      <c r="BE1229" s="9"/>
      <c r="BF1229" s="9"/>
      <c r="BG1229" s="9"/>
      <c r="BH1229" s="9"/>
      <c r="BI1229" s="9"/>
      <c r="BJ1229" s="9"/>
      <c r="BK1229" s="9"/>
      <c r="BL1229" s="9"/>
      <c r="BM1229" s="9"/>
      <c r="BN1229" s="9"/>
      <c r="BO1229" s="9"/>
      <c r="BP1229" s="9"/>
      <c r="BQ1229" s="9"/>
      <c r="BR1229" s="9"/>
      <c r="BS1229" s="9"/>
      <c r="BT1229" s="9"/>
      <c r="BU1229" s="9"/>
      <c r="BV1229" s="9"/>
      <c r="BW1229" s="9"/>
      <c r="BX1229" s="9"/>
      <c r="BY1229" s="9"/>
      <c r="BZ1229" s="9"/>
    </row>
    <row r="1230" spans="4:78" ht="18" customHeight="1" x14ac:dyDescent="0.25"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S1230" s="9"/>
      <c r="T1230" s="9"/>
      <c r="U1230" s="9"/>
      <c r="W1230" s="9"/>
      <c r="X1230" s="9"/>
      <c r="Y1230" s="9"/>
      <c r="Z1230" s="9"/>
      <c r="AA1230" s="9"/>
      <c r="AB1230" s="9"/>
      <c r="AC1230" s="9"/>
      <c r="AD1230" s="9"/>
      <c r="AE1230" s="9"/>
      <c r="AF1230" s="9"/>
      <c r="AG1230" s="9"/>
      <c r="AH1230" s="9"/>
      <c r="AI1230" s="9"/>
      <c r="AJ1230" s="9"/>
      <c r="AK1230" s="9"/>
      <c r="AL1230" s="9"/>
      <c r="AM1230" s="9"/>
      <c r="AN1230" s="9"/>
      <c r="AO1230" s="9"/>
      <c r="AP1230" s="9"/>
      <c r="AQ1230" s="9"/>
      <c r="AR1230" s="9"/>
      <c r="AS1230" s="9"/>
      <c r="AT1230" s="9"/>
      <c r="AU1230" s="9"/>
      <c r="AV1230" s="9"/>
      <c r="AW1230" s="9"/>
      <c r="AX1230" s="9"/>
      <c r="AY1230" s="9"/>
      <c r="AZ1230" s="9"/>
      <c r="BA1230" s="9"/>
      <c r="BB1230" s="9"/>
      <c r="BC1230" s="9"/>
      <c r="BD1230" s="9"/>
      <c r="BE1230" s="9"/>
      <c r="BF1230" s="9"/>
      <c r="BG1230" s="9"/>
      <c r="BH1230" s="9"/>
      <c r="BI1230" s="9"/>
      <c r="BJ1230" s="9"/>
      <c r="BK1230" s="9"/>
      <c r="BL1230" s="9"/>
      <c r="BM1230" s="9"/>
      <c r="BN1230" s="9"/>
      <c r="BO1230" s="9"/>
      <c r="BP1230" s="9"/>
      <c r="BQ1230" s="9"/>
      <c r="BR1230" s="9"/>
      <c r="BS1230" s="9"/>
      <c r="BT1230" s="9"/>
      <c r="BU1230" s="9"/>
      <c r="BV1230" s="9"/>
      <c r="BW1230" s="9"/>
      <c r="BX1230" s="9"/>
      <c r="BY1230" s="9"/>
      <c r="BZ1230" s="9"/>
    </row>
    <row r="1231" spans="4:78" ht="18" customHeight="1" x14ac:dyDescent="0.25"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S1231" s="9"/>
      <c r="T1231" s="9"/>
      <c r="U1231" s="9"/>
      <c r="W1231" s="9"/>
      <c r="X1231" s="9"/>
      <c r="Y1231" s="9"/>
      <c r="Z1231" s="9"/>
      <c r="AA1231" s="9"/>
      <c r="AB1231" s="9"/>
      <c r="AC1231" s="9"/>
      <c r="AD1231" s="9"/>
      <c r="AE1231" s="9"/>
      <c r="AF1231" s="9"/>
      <c r="AG1231" s="9"/>
      <c r="AH1231" s="9"/>
      <c r="AI1231" s="9"/>
      <c r="AJ1231" s="9"/>
      <c r="AK1231" s="9"/>
      <c r="AL1231" s="9"/>
      <c r="AM1231" s="9"/>
      <c r="AN1231" s="9"/>
      <c r="AO1231" s="9"/>
      <c r="AP1231" s="9"/>
      <c r="AQ1231" s="9"/>
      <c r="AR1231" s="9"/>
      <c r="AS1231" s="9"/>
      <c r="AT1231" s="9"/>
      <c r="AU1231" s="9"/>
      <c r="AV1231" s="9"/>
      <c r="AW1231" s="9"/>
      <c r="AX1231" s="9"/>
      <c r="AY1231" s="9"/>
      <c r="AZ1231" s="9"/>
      <c r="BA1231" s="9"/>
      <c r="BB1231" s="9"/>
      <c r="BC1231" s="9"/>
      <c r="BD1231" s="9"/>
      <c r="BE1231" s="9"/>
      <c r="BF1231" s="9"/>
      <c r="BG1231" s="9"/>
      <c r="BH1231" s="9"/>
      <c r="BI1231" s="9"/>
      <c r="BJ1231" s="9"/>
      <c r="BK1231" s="9"/>
      <c r="BL1231" s="9"/>
      <c r="BM1231" s="9"/>
      <c r="BN1231" s="9"/>
      <c r="BO1231" s="9"/>
      <c r="BP1231" s="9"/>
      <c r="BQ1231" s="9"/>
      <c r="BR1231" s="9"/>
      <c r="BS1231" s="9"/>
      <c r="BT1231" s="9"/>
      <c r="BU1231" s="9"/>
      <c r="BV1231" s="9"/>
      <c r="BW1231" s="9"/>
      <c r="BX1231" s="9"/>
      <c r="BY1231" s="9"/>
      <c r="BZ1231" s="9"/>
    </row>
    <row r="1232" spans="4:78" ht="18" customHeight="1" x14ac:dyDescent="0.25"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S1232" s="9"/>
      <c r="T1232" s="9"/>
      <c r="U1232" s="9"/>
      <c r="W1232" s="9"/>
      <c r="X1232" s="9"/>
      <c r="Y1232" s="9"/>
      <c r="Z1232" s="9"/>
      <c r="AA1232" s="9"/>
      <c r="AB1232" s="9"/>
      <c r="AC1232" s="9"/>
      <c r="AD1232" s="9"/>
      <c r="AE1232" s="9"/>
      <c r="AF1232" s="9"/>
      <c r="AG1232" s="9"/>
      <c r="AH1232" s="9"/>
      <c r="AI1232" s="9"/>
      <c r="AJ1232" s="9"/>
      <c r="AK1232" s="9"/>
      <c r="AL1232" s="9"/>
      <c r="AM1232" s="9"/>
      <c r="AN1232" s="9"/>
      <c r="AO1232" s="9"/>
      <c r="AP1232" s="9"/>
      <c r="AQ1232" s="9"/>
      <c r="AR1232" s="9"/>
      <c r="AS1232" s="9"/>
      <c r="AT1232" s="9"/>
      <c r="AU1232" s="9"/>
      <c r="AV1232" s="9"/>
      <c r="AW1232" s="9"/>
      <c r="AX1232" s="9"/>
      <c r="AY1232" s="9"/>
      <c r="AZ1232" s="9"/>
      <c r="BA1232" s="9"/>
      <c r="BB1232" s="9"/>
      <c r="BC1232" s="9"/>
      <c r="BD1232" s="9"/>
      <c r="BE1232" s="9"/>
      <c r="BF1232" s="9"/>
      <c r="BG1232" s="9"/>
      <c r="BH1232" s="9"/>
      <c r="BI1232" s="9"/>
      <c r="BJ1232" s="9"/>
      <c r="BK1232" s="9"/>
      <c r="BL1232" s="9"/>
      <c r="BM1232" s="9"/>
      <c r="BN1232" s="9"/>
      <c r="BO1232" s="9"/>
      <c r="BP1232" s="9"/>
      <c r="BQ1232" s="9"/>
      <c r="BR1232" s="9"/>
      <c r="BS1232" s="9"/>
      <c r="BT1232" s="9"/>
      <c r="BU1232" s="9"/>
      <c r="BV1232" s="9"/>
      <c r="BW1232" s="9"/>
      <c r="BX1232" s="9"/>
      <c r="BY1232" s="9"/>
      <c r="BZ1232" s="9"/>
    </row>
    <row r="1233" spans="4:78" ht="18" customHeight="1" x14ac:dyDescent="0.25"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S1233" s="9"/>
      <c r="T1233" s="9"/>
      <c r="U1233" s="9"/>
      <c r="W1233" s="9"/>
      <c r="X1233" s="9"/>
      <c r="Y1233" s="9"/>
      <c r="Z1233" s="9"/>
      <c r="AA1233" s="9"/>
      <c r="AB1233" s="9"/>
      <c r="AC1233" s="9"/>
      <c r="AD1233" s="9"/>
      <c r="AE1233" s="9"/>
      <c r="AF1233" s="9"/>
      <c r="AG1233" s="9"/>
      <c r="AH1233" s="9"/>
      <c r="AI1233" s="9"/>
      <c r="AJ1233" s="9"/>
      <c r="AK1233" s="9"/>
      <c r="AL1233" s="9"/>
      <c r="AM1233" s="9"/>
      <c r="AN1233" s="9"/>
      <c r="AO1233" s="9"/>
      <c r="AP1233" s="9"/>
      <c r="AQ1233" s="9"/>
      <c r="AR1233" s="9"/>
      <c r="AS1233" s="9"/>
      <c r="AT1233" s="9"/>
      <c r="AU1233" s="9"/>
      <c r="AV1233" s="9"/>
      <c r="AW1233" s="9"/>
      <c r="AX1233" s="9"/>
      <c r="AY1233" s="9"/>
      <c r="AZ1233" s="9"/>
      <c r="BA1233" s="9"/>
      <c r="BB1233" s="9"/>
      <c r="BC1233" s="9"/>
      <c r="BD1233" s="9"/>
      <c r="BE1233" s="9"/>
      <c r="BF1233" s="9"/>
      <c r="BG1233" s="9"/>
      <c r="BH1233" s="9"/>
      <c r="BI1233" s="9"/>
      <c r="BJ1233" s="9"/>
      <c r="BK1233" s="9"/>
      <c r="BL1233" s="9"/>
      <c r="BM1233" s="9"/>
      <c r="BN1233" s="9"/>
      <c r="BO1233" s="9"/>
      <c r="BP1233" s="9"/>
      <c r="BQ1233" s="9"/>
      <c r="BR1233" s="9"/>
      <c r="BS1233" s="9"/>
      <c r="BT1233" s="9"/>
      <c r="BU1233" s="9"/>
      <c r="BV1233" s="9"/>
      <c r="BW1233" s="9"/>
      <c r="BX1233" s="9"/>
      <c r="BY1233" s="9"/>
      <c r="BZ1233" s="9"/>
    </row>
    <row r="1234" spans="4:78" ht="18" customHeight="1" x14ac:dyDescent="0.25"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S1234" s="9"/>
      <c r="T1234" s="9"/>
      <c r="U1234" s="9"/>
      <c r="W1234" s="9"/>
      <c r="X1234" s="9"/>
      <c r="Y1234" s="9"/>
      <c r="Z1234" s="9"/>
      <c r="AA1234" s="9"/>
      <c r="AB1234" s="9"/>
      <c r="AC1234" s="9"/>
      <c r="AD1234" s="9"/>
      <c r="AE1234" s="9"/>
      <c r="AF1234" s="9"/>
      <c r="AG1234" s="9"/>
      <c r="AH1234" s="9"/>
      <c r="AI1234" s="9"/>
      <c r="AJ1234" s="9"/>
      <c r="AK1234" s="9"/>
      <c r="AL1234" s="9"/>
      <c r="AM1234" s="9"/>
      <c r="AN1234" s="9"/>
      <c r="AO1234" s="9"/>
      <c r="AP1234" s="9"/>
      <c r="AQ1234" s="9"/>
      <c r="AR1234" s="9"/>
      <c r="AS1234" s="9"/>
      <c r="AT1234" s="9"/>
      <c r="AU1234" s="9"/>
      <c r="AV1234" s="9"/>
      <c r="AW1234" s="9"/>
      <c r="AX1234" s="9"/>
      <c r="AY1234" s="9"/>
      <c r="AZ1234" s="9"/>
      <c r="BA1234" s="9"/>
      <c r="BB1234" s="9"/>
      <c r="BC1234" s="9"/>
      <c r="BD1234" s="9"/>
      <c r="BE1234" s="9"/>
      <c r="BF1234" s="9"/>
      <c r="BG1234" s="9"/>
      <c r="BH1234" s="9"/>
      <c r="BI1234" s="9"/>
      <c r="BJ1234" s="9"/>
      <c r="BK1234" s="9"/>
      <c r="BL1234" s="9"/>
      <c r="BM1234" s="9"/>
      <c r="BN1234" s="9"/>
      <c r="BO1234" s="9"/>
      <c r="BP1234" s="9"/>
      <c r="BQ1234" s="9"/>
      <c r="BR1234" s="9"/>
      <c r="BS1234" s="9"/>
      <c r="BT1234" s="9"/>
      <c r="BU1234" s="9"/>
      <c r="BV1234" s="9"/>
      <c r="BW1234" s="9"/>
      <c r="BX1234" s="9"/>
      <c r="BY1234" s="9"/>
      <c r="BZ1234" s="9"/>
    </row>
    <row r="1235" spans="4:78" ht="18" customHeight="1" x14ac:dyDescent="0.25"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S1235" s="9"/>
      <c r="T1235" s="9"/>
      <c r="U1235" s="9"/>
      <c r="W1235" s="9"/>
      <c r="X1235" s="9"/>
      <c r="Y1235" s="9"/>
      <c r="Z1235" s="9"/>
      <c r="AA1235" s="9"/>
      <c r="AB1235" s="9"/>
      <c r="AC1235" s="9"/>
      <c r="AD1235" s="9"/>
      <c r="AE1235" s="9"/>
      <c r="AF1235" s="9"/>
      <c r="AG1235" s="9"/>
      <c r="AH1235" s="9"/>
      <c r="AI1235" s="9"/>
      <c r="AJ1235" s="9"/>
      <c r="AK1235" s="9"/>
      <c r="AL1235" s="9"/>
      <c r="AM1235" s="9"/>
      <c r="AN1235" s="9"/>
      <c r="AO1235" s="9"/>
      <c r="AP1235" s="9"/>
      <c r="AQ1235" s="9"/>
      <c r="AR1235" s="9"/>
      <c r="AS1235" s="9"/>
      <c r="AT1235" s="9"/>
      <c r="AU1235" s="9"/>
      <c r="AV1235" s="9"/>
      <c r="AW1235" s="9"/>
      <c r="AX1235" s="9"/>
      <c r="AY1235" s="9"/>
      <c r="AZ1235" s="9"/>
      <c r="BA1235" s="9"/>
      <c r="BB1235" s="9"/>
      <c r="BC1235" s="9"/>
      <c r="BD1235" s="9"/>
      <c r="BE1235" s="9"/>
      <c r="BF1235" s="9"/>
      <c r="BG1235" s="9"/>
      <c r="BH1235" s="9"/>
      <c r="BI1235" s="9"/>
      <c r="BJ1235" s="9"/>
      <c r="BK1235" s="9"/>
      <c r="BL1235" s="9"/>
      <c r="BM1235" s="9"/>
      <c r="BN1235" s="9"/>
      <c r="BO1235" s="9"/>
      <c r="BP1235" s="9"/>
      <c r="BQ1235" s="9"/>
      <c r="BR1235" s="9"/>
      <c r="BS1235" s="9"/>
      <c r="BT1235" s="9"/>
      <c r="BU1235" s="9"/>
      <c r="BV1235" s="9"/>
      <c r="BW1235" s="9"/>
      <c r="BX1235" s="9"/>
      <c r="BY1235" s="9"/>
      <c r="BZ1235" s="9"/>
    </row>
    <row r="1236" spans="4:78" ht="18" customHeight="1" x14ac:dyDescent="0.25"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S1236" s="9"/>
      <c r="T1236" s="9"/>
      <c r="U1236" s="9"/>
      <c r="W1236" s="9"/>
      <c r="X1236" s="9"/>
      <c r="Y1236" s="9"/>
      <c r="Z1236" s="9"/>
      <c r="AA1236" s="9"/>
      <c r="AB1236" s="9"/>
      <c r="AC1236" s="9"/>
      <c r="AD1236" s="9"/>
      <c r="AE1236" s="9"/>
      <c r="AF1236" s="9"/>
      <c r="AG1236" s="9"/>
      <c r="AH1236" s="9"/>
      <c r="AI1236" s="9"/>
      <c r="AJ1236" s="9"/>
      <c r="AK1236" s="9"/>
      <c r="AL1236" s="9"/>
      <c r="AM1236" s="9"/>
      <c r="AN1236" s="9"/>
      <c r="AO1236" s="9"/>
      <c r="AP1236" s="9"/>
      <c r="AQ1236" s="9"/>
      <c r="AR1236" s="9"/>
      <c r="AS1236" s="9"/>
      <c r="AT1236" s="9"/>
      <c r="AU1236" s="9"/>
      <c r="AV1236" s="9"/>
      <c r="AW1236" s="9"/>
      <c r="AX1236" s="9"/>
      <c r="AY1236" s="9"/>
      <c r="AZ1236" s="9"/>
      <c r="BA1236" s="9"/>
      <c r="BB1236" s="9"/>
      <c r="BC1236" s="9"/>
      <c r="BD1236" s="9"/>
      <c r="BE1236" s="9"/>
      <c r="BF1236" s="9"/>
      <c r="BG1236" s="9"/>
      <c r="BH1236" s="9"/>
      <c r="BI1236" s="9"/>
      <c r="BJ1236" s="9"/>
      <c r="BK1236" s="9"/>
      <c r="BL1236" s="9"/>
      <c r="BM1236" s="9"/>
      <c r="BN1236" s="9"/>
      <c r="BO1236" s="9"/>
      <c r="BP1236" s="9"/>
      <c r="BQ1236" s="9"/>
      <c r="BR1236" s="9"/>
      <c r="BS1236" s="9"/>
      <c r="BT1236" s="9"/>
      <c r="BU1236" s="9"/>
      <c r="BV1236" s="9"/>
      <c r="BW1236" s="9"/>
      <c r="BX1236" s="9"/>
      <c r="BY1236" s="9"/>
      <c r="BZ1236" s="9"/>
    </row>
    <row r="1237" spans="4:78" ht="18" customHeight="1" x14ac:dyDescent="0.25"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S1237" s="9"/>
      <c r="T1237" s="9"/>
      <c r="U1237" s="9"/>
      <c r="W1237" s="9"/>
      <c r="X1237" s="9"/>
      <c r="Y1237" s="9"/>
      <c r="Z1237" s="9"/>
      <c r="AA1237" s="9"/>
      <c r="AB1237" s="9"/>
      <c r="AC1237" s="9"/>
      <c r="AD1237" s="9"/>
      <c r="AE1237" s="9"/>
      <c r="AF1237" s="9"/>
      <c r="AG1237" s="9"/>
      <c r="AH1237" s="9"/>
      <c r="AI1237" s="9"/>
      <c r="AJ1237" s="9"/>
      <c r="AK1237" s="9"/>
      <c r="AL1237" s="9"/>
      <c r="AM1237" s="9"/>
      <c r="AN1237" s="9"/>
      <c r="AO1237" s="9"/>
      <c r="AP1237" s="9"/>
      <c r="AQ1237" s="9"/>
      <c r="AR1237" s="9"/>
      <c r="AS1237" s="9"/>
      <c r="AT1237" s="9"/>
      <c r="AU1237" s="9"/>
      <c r="AV1237" s="9"/>
      <c r="AW1237" s="9"/>
      <c r="AX1237" s="9"/>
      <c r="AY1237" s="9"/>
      <c r="AZ1237" s="9"/>
      <c r="BA1237" s="9"/>
      <c r="BB1237" s="9"/>
      <c r="BC1237" s="9"/>
      <c r="BD1237" s="9"/>
      <c r="BE1237" s="9"/>
      <c r="BF1237" s="9"/>
      <c r="BG1237" s="9"/>
      <c r="BH1237" s="9"/>
      <c r="BI1237" s="9"/>
      <c r="BJ1237" s="9"/>
      <c r="BK1237" s="9"/>
      <c r="BL1237" s="9"/>
      <c r="BM1237" s="9"/>
      <c r="BN1237" s="9"/>
      <c r="BO1237" s="9"/>
      <c r="BP1237" s="9"/>
      <c r="BQ1237" s="9"/>
      <c r="BR1237" s="9"/>
      <c r="BS1237" s="9"/>
      <c r="BT1237" s="9"/>
      <c r="BU1237" s="9"/>
      <c r="BV1237" s="9"/>
      <c r="BW1237" s="9"/>
      <c r="BX1237" s="9"/>
      <c r="BY1237" s="9"/>
      <c r="BZ1237" s="9"/>
    </row>
    <row r="1238" spans="4:78" ht="18" customHeight="1" x14ac:dyDescent="0.25"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S1238" s="9"/>
      <c r="T1238" s="9"/>
      <c r="U1238" s="9"/>
      <c r="W1238" s="9"/>
      <c r="X1238" s="9"/>
      <c r="Y1238" s="9"/>
      <c r="Z1238" s="9"/>
      <c r="AA1238" s="9"/>
      <c r="AB1238" s="9"/>
      <c r="AC1238" s="9"/>
      <c r="AD1238" s="9"/>
      <c r="AE1238" s="9"/>
      <c r="AF1238" s="9"/>
      <c r="AG1238" s="9"/>
      <c r="AH1238" s="9"/>
      <c r="AI1238" s="9"/>
      <c r="AJ1238" s="9"/>
      <c r="AK1238" s="9"/>
      <c r="AL1238" s="9"/>
      <c r="AM1238" s="9"/>
      <c r="AN1238" s="9"/>
      <c r="AO1238" s="9"/>
      <c r="AP1238" s="9"/>
      <c r="AQ1238" s="9"/>
      <c r="AR1238" s="9"/>
      <c r="AS1238" s="9"/>
      <c r="AT1238" s="9"/>
      <c r="AU1238" s="9"/>
      <c r="AV1238" s="9"/>
      <c r="AW1238" s="9"/>
      <c r="AX1238" s="9"/>
      <c r="AY1238" s="9"/>
      <c r="AZ1238" s="9"/>
      <c r="BA1238" s="9"/>
      <c r="BB1238" s="9"/>
      <c r="BC1238" s="9"/>
      <c r="BD1238" s="9"/>
      <c r="BE1238" s="9"/>
      <c r="BF1238" s="9"/>
      <c r="BG1238" s="9"/>
      <c r="BH1238" s="9"/>
      <c r="BI1238" s="9"/>
      <c r="BJ1238" s="9"/>
      <c r="BK1238" s="9"/>
      <c r="BL1238" s="9"/>
      <c r="BM1238" s="9"/>
      <c r="BN1238" s="9"/>
      <c r="BO1238" s="9"/>
      <c r="BP1238" s="9"/>
      <c r="BQ1238" s="9"/>
      <c r="BR1238" s="9"/>
      <c r="BS1238" s="9"/>
      <c r="BT1238" s="9"/>
      <c r="BU1238" s="9"/>
      <c r="BV1238" s="9"/>
      <c r="BW1238" s="9"/>
      <c r="BX1238" s="9"/>
      <c r="BY1238" s="9"/>
      <c r="BZ1238" s="9"/>
    </row>
    <row r="1239" spans="4:78" ht="18" customHeight="1" x14ac:dyDescent="0.25"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S1239" s="9"/>
      <c r="T1239" s="9"/>
      <c r="U1239" s="9"/>
      <c r="W1239" s="9"/>
      <c r="X1239" s="9"/>
      <c r="Y1239" s="9"/>
      <c r="Z1239" s="9"/>
      <c r="AA1239" s="9"/>
      <c r="AB1239" s="9"/>
      <c r="AC1239" s="9"/>
      <c r="AD1239" s="9"/>
      <c r="AE1239" s="9"/>
      <c r="AF1239" s="9"/>
      <c r="AG1239" s="9"/>
      <c r="AH1239" s="9"/>
      <c r="AI1239" s="9"/>
      <c r="AJ1239" s="9"/>
      <c r="AK1239" s="9"/>
      <c r="AL1239" s="9"/>
      <c r="AM1239" s="9"/>
      <c r="AN1239" s="9"/>
      <c r="AO1239" s="9"/>
      <c r="AP1239" s="9"/>
      <c r="AQ1239" s="9"/>
      <c r="AR1239" s="9"/>
      <c r="AS1239" s="9"/>
      <c r="AT1239" s="9"/>
      <c r="AU1239" s="9"/>
      <c r="AV1239" s="9"/>
      <c r="AW1239" s="9"/>
      <c r="AX1239" s="9"/>
      <c r="AY1239" s="9"/>
      <c r="AZ1239" s="9"/>
      <c r="BA1239" s="9"/>
      <c r="BB1239" s="9"/>
      <c r="BC1239" s="9"/>
      <c r="BD1239" s="9"/>
      <c r="BE1239" s="9"/>
      <c r="BF1239" s="9"/>
      <c r="BG1239" s="9"/>
      <c r="BH1239" s="9"/>
      <c r="BI1239" s="9"/>
      <c r="BJ1239" s="9"/>
      <c r="BK1239" s="9"/>
      <c r="BL1239" s="9"/>
      <c r="BM1239" s="9"/>
      <c r="BN1239" s="9"/>
      <c r="BO1239" s="9"/>
      <c r="BP1239" s="9"/>
      <c r="BQ1239" s="9"/>
      <c r="BR1239" s="9"/>
      <c r="BS1239" s="9"/>
      <c r="BT1239" s="9"/>
      <c r="BU1239" s="9"/>
      <c r="BV1239" s="9"/>
      <c r="BW1239" s="9"/>
      <c r="BX1239" s="9"/>
      <c r="BY1239" s="9"/>
      <c r="BZ1239" s="9"/>
    </row>
    <row r="1240" spans="4:78" ht="18" customHeight="1" x14ac:dyDescent="0.25"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S1240" s="9"/>
      <c r="T1240" s="9"/>
      <c r="U1240" s="9"/>
      <c r="W1240" s="9"/>
      <c r="X1240" s="9"/>
      <c r="Y1240" s="9"/>
      <c r="Z1240" s="9"/>
      <c r="AA1240" s="9"/>
      <c r="AB1240" s="9"/>
      <c r="AC1240" s="9"/>
      <c r="AD1240" s="9"/>
      <c r="AE1240" s="9"/>
      <c r="AF1240" s="9"/>
      <c r="AG1240" s="9"/>
      <c r="AH1240" s="9"/>
      <c r="AI1240" s="9"/>
      <c r="AJ1240" s="9"/>
      <c r="AK1240" s="9"/>
      <c r="AL1240" s="9"/>
      <c r="AM1240" s="9"/>
      <c r="AN1240" s="9"/>
      <c r="AO1240" s="9"/>
      <c r="AP1240" s="9"/>
      <c r="AQ1240" s="9"/>
      <c r="AR1240" s="9"/>
      <c r="AS1240" s="9"/>
      <c r="AT1240" s="9"/>
      <c r="AU1240" s="9"/>
      <c r="AV1240" s="9"/>
      <c r="AW1240" s="9"/>
      <c r="AX1240" s="9"/>
      <c r="AY1240" s="9"/>
      <c r="AZ1240" s="9"/>
      <c r="BA1240" s="9"/>
      <c r="BB1240" s="9"/>
      <c r="BC1240" s="9"/>
      <c r="BD1240" s="9"/>
      <c r="BE1240" s="9"/>
      <c r="BF1240" s="9"/>
      <c r="BG1240" s="9"/>
      <c r="BH1240" s="9"/>
      <c r="BI1240" s="9"/>
      <c r="BJ1240" s="9"/>
      <c r="BK1240" s="9"/>
      <c r="BL1240" s="9"/>
      <c r="BM1240" s="9"/>
      <c r="BN1240" s="9"/>
      <c r="BO1240" s="9"/>
      <c r="BP1240" s="9"/>
      <c r="BQ1240" s="9"/>
      <c r="BR1240" s="9"/>
      <c r="BS1240" s="9"/>
      <c r="BT1240" s="9"/>
      <c r="BU1240" s="9"/>
      <c r="BV1240" s="9"/>
      <c r="BW1240" s="9"/>
      <c r="BX1240" s="9"/>
      <c r="BY1240" s="9"/>
      <c r="BZ1240" s="9"/>
    </row>
    <row r="1241" spans="4:78" ht="18" customHeight="1" x14ac:dyDescent="0.25"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S1241" s="9"/>
      <c r="T1241" s="9"/>
      <c r="U1241" s="9"/>
      <c r="W1241" s="9"/>
      <c r="X1241" s="9"/>
      <c r="Y1241" s="9"/>
      <c r="Z1241" s="9"/>
      <c r="AA1241" s="9"/>
      <c r="AB1241" s="9"/>
      <c r="AC1241" s="9"/>
      <c r="AD1241" s="9"/>
      <c r="AE1241" s="9"/>
      <c r="AF1241" s="9"/>
      <c r="AG1241" s="9"/>
      <c r="AH1241" s="9"/>
      <c r="AI1241" s="9"/>
      <c r="AJ1241" s="9"/>
      <c r="AK1241" s="9"/>
      <c r="AL1241" s="9"/>
      <c r="AM1241" s="9"/>
      <c r="AN1241" s="9"/>
      <c r="AO1241" s="9"/>
      <c r="AP1241" s="9"/>
      <c r="AQ1241" s="9"/>
      <c r="AR1241" s="9"/>
      <c r="AS1241" s="9"/>
      <c r="AT1241" s="9"/>
      <c r="AU1241" s="9"/>
      <c r="AV1241" s="9"/>
      <c r="AW1241" s="9"/>
      <c r="AX1241" s="9"/>
      <c r="AY1241" s="9"/>
      <c r="AZ1241" s="9"/>
      <c r="BA1241" s="9"/>
      <c r="BB1241" s="9"/>
      <c r="BC1241" s="9"/>
      <c r="BD1241" s="9"/>
      <c r="BE1241" s="9"/>
      <c r="BF1241" s="9"/>
      <c r="BG1241" s="9"/>
      <c r="BH1241" s="9"/>
      <c r="BI1241" s="9"/>
      <c r="BJ1241" s="9"/>
      <c r="BK1241" s="9"/>
      <c r="BL1241" s="9"/>
      <c r="BM1241" s="9"/>
      <c r="BN1241" s="9"/>
      <c r="BO1241" s="9"/>
      <c r="BP1241" s="9"/>
      <c r="BQ1241" s="9"/>
      <c r="BR1241" s="9"/>
      <c r="BS1241" s="9"/>
      <c r="BT1241" s="9"/>
      <c r="BU1241" s="9"/>
      <c r="BV1241" s="9"/>
      <c r="BW1241" s="9"/>
      <c r="BX1241" s="9"/>
      <c r="BY1241" s="9"/>
      <c r="BZ1241" s="9"/>
    </row>
    <row r="1242" spans="4:78" ht="18" customHeight="1" x14ac:dyDescent="0.25"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S1242" s="9"/>
      <c r="T1242" s="9"/>
      <c r="U1242" s="9"/>
      <c r="W1242" s="9"/>
      <c r="X1242" s="9"/>
      <c r="Y1242" s="9"/>
      <c r="Z1242" s="9"/>
      <c r="AA1242" s="9"/>
      <c r="AB1242" s="9"/>
      <c r="AC1242" s="9"/>
      <c r="AD1242" s="9"/>
      <c r="AE1242" s="9"/>
      <c r="AF1242" s="9"/>
      <c r="AG1242" s="9"/>
      <c r="AH1242" s="9"/>
      <c r="AI1242" s="9"/>
      <c r="AJ1242" s="9"/>
      <c r="AK1242" s="9"/>
      <c r="AL1242" s="9"/>
      <c r="AM1242" s="9"/>
      <c r="AN1242" s="9"/>
      <c r="AO1242" s="9"/>
      <c r="AP1242" s="9"/>
      <c r="AQ1242" s="9"/>
      <c r="AR1242" s="9"/>
      <c r="AS1242" s="9"/>
      <c r="AT1242" s="9"/>
      <c r="AU1242" s="9"/>
      <c r="AV1242" s="9"/>
      <c r="AW1242" s="9"/>
      <c r="AX1242" s="9"/>
      <c r="AY1242" s="9"/>
      <c r="AZ1242" s="9"/>
      <c r="BA1242" s="9"/>
      <c r="BB1242" s="9"/>
      <c r="BC1242" s="9"/>
      <c r="BD1242" s="9"/>
      <c r="BE1242" s="9"/>
      <c r="BF1242" s="9"/>
      <c r="BG1242" s="9"/>
      <c r="BH1242" s="9"/>
      <c r="BI1242" s="9"/>
      <c r="BJ1242" s="9"/>
      <c r="BK1242" s="9"/>
      <c r="BL1242" s="9"/>
      <c r="BM1242" s="9"/>
      <c r="BN1242" s="9"/>
      <c r="BO1242" s="9"/>
      <c r="BP1242" s="9"/>
      <c r="BQ1242" s="9"/>
      <c r="BR1242" s="9"/>
      <c r="BS1242" s="9"/>
      <c r="BT1242" s="9"/>
      <c r="BU1242" s="9"/>
      <c r="BV1242" s="9"/>
      <c r="BW1242" s="9"/>
      <c r="BX1242" s="9"/>
      <c r="BY1242" s="9"/>
      <c r="BZ1242" s="9"/>
    </row>
    <row r="1243" spans="4:78" ht="18" customHeight="1" x14ac:dyDescent="0.25"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S1243" s="9"/>
      <c r="T1243" s="9"/>
      <c r="U1243" s="9"/>
      <c r="W1243" s="9"/>
      <c r="X1243" s="9"/>
      <c r="Y1243" s="9"/>
      <c r="Z1243" s="9"/>
      <c r="AA1243" s="9"/>
      <c r="AB1243" s="9"/>
      <c r="AC1243" s="9"/>
      <c r="AD1243" s="9"/>
      <c r="AE1243" s="9"/>
      <c r="AF1243" s="9"/>
      <c r="AG1243" s="9"/>
      <c r="AH1243" s="9"/>
      <c r="AI1243" s="9"/>
      <c r="AJ1243" s="9"/>
      <c r="AK1243" s="9"/>
      <c r="AL1243" s="9"/>
      <c r="AM1243" s="9"/>
      <c r="AN1243" s="9"/>
      <c r="AO1243" s="9"/>
      <c r="AP1243" s="9"/>
      <c r="AQ1243" s="9"/>
      <c r="AR1243" s="9"/>
      <c r="AS1243" s="9"/>
      <c r="AT1243" s="9"/>
      <c r="AU1243" s="9"/>
      <c r="AV1243" s="9"/>
      <c r="AW1243" s="9"/>
      <c r="AX1243" s="9"/>
      <c r="AY1243" s="9"/>
      <c r="AZ1243" s="9"/>
      <c r="BA1243" s="9"/>
      <c r="BB1243" s="9"/>
      <c r="BC1243" s="9"/>
      <c r="BD1243" s="9"/>
      <c r="BE1243" s="9"/>
      <c r="BF1243" s="9"/>
      <c r="BG1243" s="9"/>
      <c r="BH1243" s="9"/>
      <c r="BI1243" s="9"/>
      <c r="BJ1243" s="9"/>
      <c r="BK1243" s="9"/>
      <c r="BL1243" s="9"/>
      <c r="BM1243" s="9"/>
      <c r="BN1243" s="9"/>
      <c r="BO1243" s="9"/>
      <c r="BP1243" s="9"/>
      <c r="BQ1243" s="9"/>
      <c r="BR1243" s="9"/>
      <c r="BS1243" s="9"/>
      <c r="BT1243" s="9"/>
      <c r="BU1243" s="9"/>
      <c r="BV1243" s="9"/>
      <c r="BW1243" s="9"/>
      <c r="BX1243" s="9"/>
      <c r="BY1243" s="9"/>
      <c r="BZ1243" s="9"/>
    </row>
    <row r="1244" spans="4:78" ht="18" customHeight="1" x14ac:dyDescent="0.25"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S1244" s="9"/>
      <c r="T1244" s="9"/>
      <c r="U1244" s="9"/>
      <c r="W1244" s="9"/>
      <c r="X1244" s="9"/>
      <c r="Y1244" s="9"/>
      <c r="Z1244" s="9"/>
      <c r="AA1244" s="9"/>
      <c r="AB1244" s="9"/>
      <c r="AC1244" s="9"/>
      <c r="AD1244" s="9"/>
      <c r="AE1244" s="9"/>
      <c r="AF1244" s="9"/>
      <c r="AG1244" s="9"/>
      <c r="AH1244" s="9"/>
      <c r="AI1244" s="9"/>
      <c r="AJ1244" s="9"/>
      <c r="AK1244" s="9"/>
      <c r="AL1244" s="9"/>
      <c r="AM1244" s="9"/>
      <c r="AN1244" s="9"/>
      <c r="AO1244" s="9"/>
      <c r="AP1244" s="9"/>
      <c r="AQ1244" s="9"/>
      <c r="AR1244" s="9"/>
      <c r="AS1244" s="9"/>
      <c r="AT1244" s="9"/>
      <c r="AU1244" s="9"/>
      <c r="AV1244" s="9"/>
      <c r="AW1244" s="9"/>
      <c r="AX1244" s="9"/>
      <c r="AY1244" s="9"/>
      <c r="AZ1244" s="9"/>
      <c r="BA1244" s="9"/>
      <c r="BB1244" s="9"/>
      <c r="BC1244" s="9"/>
      <c r="BD1244" s="9"/>
      <c r="BE1244" s="9"/>
      <c r="BF1244" s="9"/>
      <c r="BG1244" s="9"/>
      <c r="BH1244" s="9"/>
      <c r="BI1244" s="9"/>
      <c r="BJ1244" s="9"/>
      <c r="BK1244" s="9"/>
      <c r="BL1244" s="9"/>
      <c r="BM1244" s="9"/>
      <c r="BN1244" s="9"/>
      <c r="BO1244" s="9"/>
      <c r="BP1244" s="9"/>
      <c r="BQ1244" s="9"/>
      <c r="BR1244" s="9"/>
      <c r="BS1244" s="9"/>
      <c r="BT1244" s="9"/>
      <c r="BU1244" s="9"/>
      <c r="BV1244" s="9"/>
      <c r="BW1244" s="9"/>
      <c r="BX1244" s="9"/>
      <c r="BY1244" s="9"/>
      <c r="BZ1244" s="9"/>
    </row>
    <row r="1245" spans="4:78" ht="18" customHeight="1" x14ac:dyDescent="0.25"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S1245" s="9"/>
      <c r="T1245" s="9"/>
      <c r="U1245" s="9"/>
      <c r="W1245" s="9"/>
      <c r="X1245" s="9"/>
      <c r="Y1245" s="9"/>
      <c r="Z1245" s="9"/>
      <c r="AA1245" s="9"/>
      <c r="AB1245" s="9"/>
      <c r="AC1245" s="9"/>
      <c r="AD1245" s="9"/>
      <c r="AE1245" s="9"/>
      <c r="AF1245" s="9"/>
      <c r="AG1245" s="9"/>
      <c r="AH1245" s="9"/>
      <c r="AI1245" s="9"/>
      <c r="AJ1245" s="9"/>
      <c r="AK1245" s="9"/>
      <c r="AL1245" s="9"/>
      <c r="AM1245" s="9"/>
      <c r="AN1245" s="9"/>
      <c r="AO1245" s="9"/>
      <c r="AP1245" s="9"/>
      <c r="AQ1245" s="9"/>
      <c r="AR1245" s="9"/>
      <c r="AS1245" s="9"/>
      <c r="AT1245" s="9"/>
      <c r="AU1245" s="9"/>
      <c r="AV1245" s="9"/>
      <c r="AW1245" s="9"/>
      <c r="AX1245" s="9"/>
      <c r="AY1245" s="9"/>
      <c r="AZ1245" s="9"/>
      <c r="BA1245" s="9"/>
      <c r="BB1245" s="9"/>
      <c r="BC1245" s="9"/>
      <c r="BD1245" s="9"/>
      <c r="BE1245" s="9"/>
      <c r="BF1245" s="9"/>
      <c r="BG1245" s="9"/>
      <c r="BH1245" s="9"/>
      <c r="BI1245" s="9"/>
      <c r="BJ1245" s="9"/>
      <c r="BK1245" s="9"/>
      <c r="BL1245" s="9"/>
      <c r="BM1245" s="9"/>
      <c r="BN1245" s="9"/>
      <c r="BO1245" s="9"/>
      <c r="BP1245" s="9"/>
      <c r="BQ1245" s="9"/>
      <c r="BR1245" s="9"/>
      <c r="BS1245" s="9"/>
      <c r="BT1245" s="9"/>
      <c r="BU1245" s="9"/>
      <c r="BV1245" s="9"/>
      <c r="BW1245" s="9"/>
      <c r="BX1245" s="9"/>
      <c r="BY1245" s="9"/>
      <c r="BZ1245" s="9"/>
    </row>
    <row r="1246" spans="4:78" ht="18" customHeight="1" x14ac:dyDescent="0.25"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S1246" s="9"/>
      <c r="T1246" s="9"/>
      <c r="U1246" s="9"/>
      <c r="W1246" s="9"/>
      <c r="X1246" s="9"/>
      <c r="Y1246" s="9"/>
      <c r="Z1246" s="9"/>
      <c r="AA1246" s="9"/>
      <c r="AB1246" s="9"/>
      <c r="AC1246" s="9"/>
      <c r="AD1246" s="9"/>
      <c r="AE1246" s="9"/>
      <c r="AF1246" s="9"/>
      <c r="AG1246" s="9"/>
      <c r="AH1246" s="9"/>
      <c r="AI1246" s="9"/>
      <c r="AJ1246" s="9"/>
      <c r="AK1246" s="9"/>
      <c r="AL1246" s="9"/>
      <c r="AM1246" s="9"/>
      <c r="AN1246" s="9"/>
      <c r="AO1246" s="9"/>
      <c r="AP1246" s="9"/>
      <c r="AQ1246" s="9"/>
      <c r="AR1246" s="9"/>
      <c r="AS1246" s="9"/>
      <c r="AT1246" s="9"/>
      <c r="AU1246" s="9"/>
      <c r="AV1246" s="9"/>
      <c r="AW1246" s="9"/>
      <c r="AX1246" s="9"/>
      <c r="AY1246" s="9"/>
      <c r="AZ1246" s="9"/>
      <c r="BA1246" s="9"/>
      <c r="BB1246" s="9"/>
      <c r="BC1246" s="9"/>
      <c r="BD1246" s="9"/>
      <c r="BE1246" s="9"/>
      <c r="BF1246" s="9"/>
      <c r="BG1246" s="9"/>
      <c r="BH1246" s="9"/>
      <c r="BI1246" s="9"/>
      <c r="BJ1246" s="9"/>
      <c r="BK1246" s="9"/>
      <c r="BL1246" s="9"/>
      <c r="BM1246" s="9"/>
      <c r="BN1246" s="9"/>
      <c r="BO1246" s="9"/>
      <c r="BP1246" s="9"/>
      <c r="BQ1246" s="9"/>
      <c r="BR1246" s="9"/>
      <c r="BS1246" s="9"/>
      <c r="BT1246" s="9"/>
      <c r="BU1246" s="9"/>
      <c r="BV1246" s="9"/>
      <c r="BW1246" s="9"/>
      <c r="BX1246" s="9"/>
      <c r="BY1246" s="9"/>
      <c r="BZ1246" s="9"/>
    </row>
    <row r="1247" spans="4:78" ht="18" customHeight="1" x14ac:dyDescent="0.25"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S1247" s="9"/>
      <c r="T1247" s="9"/>
      <c r="U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9"/>
      <c r="AG1247" s="9"/>
      <c r="AH1247" s="9"/>
      <c r="AI1247" s="9"/>
      <c r="AJ1247" s="9"/>
      <c r="AK1247" s="9"/>
      <c r="AL1247" s="9"/>
      <c r="AM1247" s="9"/>
      <c r="AN1247" s="9"/>
      <c r="AO1247" s="9"/>
      <c r="AP1247" s="9"/>
      <c r="AQ1247" s="9"/>
      <c r="AR1247" s="9"/>
      <c r="AS1247" s="9"/>
      <c r="AT1247" s="9"/>
      <c r="AU1247" s="9"/>
      <c r="AV1247" s="9"/>
      <c r="AW1247" s="9"/>
      <c r="AX1247" s="9"/>
      <c r="AY1247" s="9"/>
      <c r="AZ1247" s="9"/>
      <c r="BA1247" s="9"/>
      <c r="BB1247" s="9"/>
      <c r="BC1247" s="9"/>
      <c r="BD1247" s="9"/>
      <c r="BE1247" s="9"/>
      <c r="BF1247" s="9"/>
      <c r="BG1247" s="9"/>
      <c r="BH1247" s="9"/>
      <c r="BI1247" s="9"/>
      <c r="BJ1247" s="9"/>
      <c r="BK1247" s="9"/>
      <c r="BL1247" s="9"/>
      <c r="BM1247" s="9"/>
      <c r="BN1247" s="9"/>
      <c r="BO1247" s="9"/>
      <c r="BP1247" s="9"/>
      <c r="BQ1247" s="9"/>
      <c r="BR1247" s="9"/>
      <c r="BS1247" s="9"/>
      <c r="BT1247" s="9"/>
      <c r="BU1247" s="9"/>
      <c r="BV1247" s="9"/>
      <c r="BW1247" s="9"/>
      <c r="BX1247" s="9"/>
      <c r="BY1247" s="9"/>
      <c r="BZ1247" s="9"/>
    </row>
    <row r="1248" spans="4:78" ht="18" customHeight="1" x14ac:dyDescent="0.25"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S1248" s="9"/>
      <c r="T1248" s="9"/>
      <c r="U1248" s="9"/>
      <c r="W1248" s="9"/>
      <c r="X1248" s="9"/>
      <c r="Y1248" s="9"/>
      <c r="Z1248" s="9"/>
      <c r="AA1248" s="9"/>
      <c r="AB1248" s="9"/>
      <c r="AC1248" s="9"/>
      <c r="AD1248" s="9"/>
      <c r="AE1248" s="9"/>
      <c r="AF1248" s="9"/>
      <c r="AG1248" s="9"/>
      <c r="AH1248" s="9"/>
      <c r="AI1248" s="9"/>
      <c r="AJ1248" s="9"/>
      <c r="AK1248" s="9"/>
      <c r="AL1248" s="9"/>
      <c r="AM1248" s="9"/>
      <c r="AN1248" s="9"/>
      <c r="AO1248" s="9"/>
      <c r="AP1248" s="9"/>
      <c r="AQ1248" s="9"/>
      <c r="AR1248" s="9"/>
      <c r="AS1248" s="9"/>
      <c r="AT1248" s="9"/>
      <c r="AU1248" s="9"/>
      <c r="AV1248" s="9"/>
      <c r="AW1248" s="9"/>
      <c r="AX1248" s="9"/>
      <c r="AY1248" s="9"/>
      <c r="AZ1248" s="9"/>
      <c r="BA1248" s="9"/>
      <c r="BB1248" s="9"/>
      <c r="BC1248" s="9"/>
      <c r="BD1248" s="9"/>
      <c r="BE1248" s="9"/>
      <c r="BF1248" s="9"/>
      <c r="BG1248" s="9"/>
      <c r="BH1248" s="9"/>
      <c r="BI1248" s="9"/>
      <c r="BJ1248" s="9"/>
      <c r="BK1248" s="9"/>
      <c r="BL1248" s="9"/>
      <c r="BM1248" s="9"/>
      <c r="BN1248" s="9"/>
      <c r="BO1248" s="9"/>
      <c r="BP1248" s="9"/>
      <c r="BQ1248" s="9"/>
      <c r="BR1248" s="9"/>
      <c r="BS1248" s="9"/>
      <c r="BT1248" s="9"/>
      <c r="BU1248" s="9"/>
      <c r="BV1248" s="9"/>
      <c r="BW1248" s="9"/>
      <c r="BX1248" s="9"/>
      <c r="BY1248" s="9"/>
      <c r="BZ1248" s="9"/>
    </row>
    <row r="1249" spans="4:78" ht="18" customHeight="1" x14ac:dyDescent="0.25"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S1249" s="9"/>
      <c r="T1249" s="9"/>
      <c r="U1249" s="9"/>
      <c r="W1249" s="9"/>
      <c r="X1249" s="9"/>
      <c r="Y1249" s="9"/>
      <c r="Z1249" s="9"/>
      <c r="AA1249" s="9"/>
      <c r="AB1249" s="9"/>
      <c r="AC1249" s="9"/>
      <c r="AD1249" s="9"/>
      <c r="AE1249" s="9"/>
      <c r="AF1249" s="9"/>
      <c r="AG1249" s="9"/>
      <c r="AH1249" s="9"/>
      <c r="AI1249" s="9"/>
      <c r="AJ1249" s="9"/>
      <c r="AK1249" s="9"/>
      <c r="AL1249" s="9"/>
      <c r="AM1249" s="9"/>
      <c r="AN1249" s="9"/>
      <c r="AO1249" s="9"/>
      <c r="AP1249" s="9"/>
      <c r="AQ1249" s="9"/>
      <c r="AR1249" s="9"/>
      <c r="AS1249" s="9"/>
      <c r="AT1249" s="9"/>
      <c r="AU1249" s="9"/>
      <c r="AV1249" s="9"/>
      <c r="AW1249" s="9"/>
      <c r="AX1249" s="9"/>
      <c r="AY1249" s="9"/>
      <c r="AZ1249" s="9"/>
      <c r="BA1249" s="9"/>
      <c r="BB1249" s="9"/>
      <c r="BC1249" s="9"/>
      <c r="BD1249" s="9"/>
      <c r="BE1249" s="9"/>
      <c r="BF1249" s="9"/>
      <c r="BG1249" s="9"/>
      <c r="BH1249" s="9"/>
      <c r="BI1249" s="9"/>
      <c r="BJ1249" s="9"/>
      <c r="BK1249" s="9"/>
      <c r="BL1249" s="9"/>
      <c r="BM1249" s="9"/>
      <c r="BN1249" s="9"/>
      <c r="BO1249" s="9"/>
      <c r="BP1249" s="9"/>
      <c r="BQ1249" s="9"/>
      <c r="BR1249" s="9"/>
      <c r="BS1249" s="9"/>
      <c r="BT1249" s="9"/>
      <c r="BU1249" s="9"/>
      <c r="BV1249" s="9"/>
      <c r="BW1249" s="9"/>
      <c r="BX1249" s="9"/>
      <c r="BY1249" s="9"/>
      <c r="BZ1249" s="9"/>
    </row>
    <row r="1250" spans="4:78" ht="18" customHeight="1" x14ac:dyDescent="0.25"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S1250" s="9"/>
      <c r="T1250" s="9"/>
      <c r="U1250" s="9"/>
      <c r="W1250" s="9"/>
      <c r="X1250" s="9"/>
      <c r="Y1250" s="9"/>
      <c r="Z1250" s="9"/>
      <c r="AA1250" s="9"/>
      <c r="AB1250" s="9"/>
      <c r="AC1250" s="9"/>
      <c r="AD1250" s="9"/>
      <c r="AE1250" s="9"/>
      <c r="AF1250" s="9"/>
      <c r="AG1250" s="9"/>
      <c r="AH1250" s="9"/>
      <c r="AI1250" s="9"/>
      <c r="AJ1250" s="9"/>
      <c r="AK1250" s="9"/>
      <c r="AL1250" s="9"/>
      <c r="AM1250" s="9"/>
      <c r="AN1250" s="9"/>
      <c r="AO1250" s="9"/>
      <c r="AP1250" s="9"/>
      <c r="AQ1250" s="9"/>
      <c r="AR1250" s="9"/>
      <c r="AS1250" s="9"/>
      <c r="AT1250" s="9"/>
      <c r="AU1250" s="9"/>
      <c r="AV1250" s="9"/>
      <c r="AW1250" s="9"/>
      <c r="AX1250" s="9"/>
      <c r="AY1250" s="9"/>
      <c r="AZ1250" s="9"/>
      <c r="BA1250" s="9"/>
      <c r="BB1250" s="9"/>
      <c r="BC1250" s="9"/>
      <c r="BD1250" s="9"/>
      <c r="BE1250" s="9"/>
      <c r="BF1250" s="9"/>
      <c r="BG1250" s="9"/>
      <c r="BH1250" s="9"/>
      <c r="BI1250" s="9"/>
      <c r="BJ1250" s="9"/>
      <c r="BK1250" s="9"/>
      <c r="BL1250" s="9"/>
      <c r="BM1250" s="9"/>
      <c r="BN1250" s="9"/>
      <c r="BO1250" s="9"/>
      <c r="BP1250" s="9"/>
      <c r="BQ1250" s="9"/>
      <c r="BR1250" s="9"/>
      <c r="BS1250" s="9"/>
      <c r="BT1250" s="9"/>
      <c r="BU1250" s="9"/>
      <c r="BV1250" s="9"/>
      <c r="BW1250" s="9"/>
      <c r="BX1250" s="9"/>
      <c r="BY1250" s="9"/>
      <c r="BZ1250" s="9"/>
    </row>
    <row r="1251" spans="4:78" ht="18" customHeight="1" x14ac:dyDescent="0.25"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S1251" s="9"/>
      <c r="T1251" s="9"/>
      <c r="U1251" s="9"/>
      <c r="W1251" s="9"/>
      <c r="X1251" s="9"/>
      <c r="Y1251" s="9"/>
      <c r="Z1251" s="9"/>
      <c r="AA1251" s="9"/>
      <c r="AB1251" s="9"/>
      <c r="AC1251" s="9"/>
      <c r="AD1251" s="9"/>
      <c r="AE1251" s="9"/>
      <c r="AF1251" s="9"/>
      <c r="AG1251" s="9"/>
      <c r="AH1251" s="9"/>
      <c r="AI1251" s="9"/>
      <c r="AJ1251" s="9"/>
      <c r="AK1251" s="9"/>
      <c r="AL1251" s="9"/>
      <c r="AM1251" s="9"/>
      <c r="AN1251" s="9"/>
      <c r="AO1251" s="9"/>
      <c r="AP1251" s="9"/>
      <c r="AQ1251" s="9"/>
      <c r="AR1251" s="9"/>
      <c r="AS1251" s="9"/>
      <c r="AT1251" s="9"/>
      <c r="AU1251" s="9"/>
      <c r="AV1251" s="9"/>
      <c r="AW1251" s="9"/>
      <c r="AX1251" s="9"/>
      <c r="AY1251" s="9"/>
      <c r="AZ1251" s="9"/>
      <c r="BA1251" s="9"/>
      <c r="BB1251" s="9"/>
      <c r="BC1251" s="9"/>
      <c r="BD1251" s="9"/>
      <c r="BE1251" s="9"/>
      <c r="BF1251" s="9"/>
      <c r="BG1251" s="9"/>
      <c r="BH1251" s="9"/>
      <c r="BI1251" s="9"/>
      <c r="BJ1251" s="9"/>
      <c r="BK1251" s="9"/>
      <c r="BL1251" s="9"/>
      <c r="BM1251" s="9"/>
      <c r="BN1251" s="9"/>
      <c r="BO1251" s="9"/>
      <c r="BP1251" s="9"/>
      <c r="BQ1251" s="9"/>
      <c r="BR1251" s="9"/>
      <c r="BS1251" s="9"/>
      <c r="BT1251" s="9"/>
      <c r="BU1251" s="9"/>
      <c r="BV1251" s="9"/>
      <c r="BW1251" s="9"/>
      <c r="BX1251" s="9"/>
      <c r="BY1251" s="9"/>
      <c r="BZ1251" s="9"/>
    </row>
    <row r="1252" spans="4:78" ht="18" customHeight="1" x14ac:dyDescent="0.25"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S1252" s="9"/>
      <c r="T1252" s="9"/>
      <c r="U1252" s="9"/>
      <c r="W1252" s="9"/>
      <c r="X1252" s="9"/>
      <c r="Y1252" s="9"/>
      <c r="Z1252" s="9"/>
      <c r="AA1252" s="9"/>
      <c r="AB1252" s="9"/>
      <c r="AC1252" s="9"/>
      <c r="AD1252" s="9"/>
      <c r="AE1252" s="9"/>
      <c r="AF1252" s="9"/>
      <c r="AG1252" s="9"/>
      <c r="AH1252" s="9"/>
      <c r="AI1252" s="9"/>
      <c r="AJ1252" s="9"/>
      <c r="AK1252" s="9"/>
      <c r="AL1252" s="9"/>
      <c r="AM1252" s="9"/>
      <c r="AN1252" s="9"/>
      <c r="AO1252" s="9"/>
      <c r="AP1252" s="9"/>
      <c r="AQ1252" s="9"/>
      <c r="AR1252" s="9"/>
      <c r="AS1252" s="9"/>
      <c r="AT1252" s="9"/>
      <c r="AU1252" s="9"/>
      <c r="AV1252" s="9"/>
      <c r="AW1252" s="9"/>
      <c r="AX1252" s="9"/>
      <c r="AY1252" s="9"/>
      <c r="AZ1252" s="9"/>
      <c r="BA1252" s="9"/>
      <c r="BB1252" s="9"/>
      <c r="BC1252" s="9"/>
      <c r="BD1252" s="9"/>
      <c r="BE1252" s="9"/>
      <c r="BF1252" s="9"/>
      <c r="BG1252" s="9"/>
      <c r="BH1252" s="9"/>
      <c r="BI1252" s="9"/>
      <c r="BJ1252" s="9"/>
      <c r="BK1252" s="9"/>
      <c r="BL1252" s="9"/>
      <c r="BM1252" s="9"/>
      <c r="BN1252" s="9"/>
      <c r="BO1252" s="9"/>
      <c r="BP1252" s="9"/>
      <c r="BQ1252" s="9"/>
      <c r="BR1252" s="9"/>
      <c r="BS1252" s="9"/>
      <c r="BT1252" s="9"/>
      <c r="BU1252" s="9"/>
      <c r="BV1252" s="9"/>
      <c r="BW1252" s="9"/>
      <c r="BX1252" s="9"/>
      <c r="BY1252" s="9"/>
      <c r="BZ1252" s="9"/>
    </row>
    <row r="1253" spans="4:78" ht="18" customHeight="1" x14ac:dyDescent="0.25"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S1253" s="9"/>
      <c r="T1253" s="9"/>
      <c r="U1253" s="9"/>
      <c r="W1253" s="9"/>
      <c r="X1253" s="9"/>
      <c r="Y1253" s="9"/>
      <c r="Z1253" s="9"/>
      <c r="AA1253" s="9"/>
      <c r="AB1253" s="9"/>
      <c r="AC1253" s="9"/>
      <c r="AD1253" s="9"/>
      <c r="AE1253" s="9"/>
      <c r="AF1253" s="9"/>
      <c r="AG1253" s="9"/>
      <c r="AH1253" s="9"/>
      <c r="AI1253" s="9"/>
      <c r="AJ1253" s="9"/>
      <c r="AK1253" s="9"/>
      <c r="AL1253" s="9"/>
      <c r="AM1253" s="9"/>
      <c r="AN1253" s="9"/>
      <c r="AO1253" s="9"/>
      <c r="AP1253" s="9"/>
      <c r="AQ1253" s="9"/>
      <c r="AR1253" s="9"/>
      <c r="AS1253" s="9"/>
      <c r="AT1253" s="9"/>
      <c r="AU1253" s="9"/>
      <c r="AV1253" s="9"/>
      <c r="AW1253" s="9"/>
      <c r="AX1253" s="9"/>
      <c r="AY1253" s="9"/>
      <c r="AZ1253" s="9"/>
      <c r="BA1253" s="9"/>
      <c r="BB1253" s="9"/>
      <c r="BC1253" s="9"/>
      <c r="BD1253" s="9"/>
      <c r="BE1253" s="9"/>
      <c r="BF1253" s="9"/>
      <c r="BG1253" s="9"/>
      <c r="BH1253" s="9"/>
      <c r="BI1253" s="9"/>
      <c r="BJ1253" s="9"/>
      <c r="BK1253" s="9"/>
      <c r="BL1253" s="9"/>
      <c r="BM1253" s="9"/>
      <c r="BN1253" s="9"/>
      <c r="BO1253" s="9"/>
      <c r="BP1253" s="9"/>
      <c r="BQ1253" s="9"/>
      <c r="BR1253" s="9"/>
      <c r="BS1253" s="9"/>
      <c r="BT1253" s="9"/>
      <c r="BU1253" s="9"/>
      <c r="BV1253" s="9"/>
      <c r="BW1253" s="9"/>
      <c r="BX1253" s="9"/>
      <c r="BY1253" s="9"/>
      <c r="BZ1253" s="9"/>
    </row>
    <row r="1254" spans="4:78" ht="18" customHeight="1" x14ac:dyDescent="0.25"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S1254" s="9"/>
      <c r="T1254" s="9"/>
      <c r="U1254" s="9"/>
      <c r="W1254" s="9"/>
      <c r="X1254" s="9"/>
      <c r="Y1254" s="9"/>
      <c r="Z1254" s="9"/>
      <c r="AA1254" s="9"/>
      <c r="AB1254" s="9"/>
      <c r="AC1254" s="9"/>
      <c r="AD1254" s="9"/>
      <c r="AE1254" s="9"/>
      <c r="AF1254" s="9"/>
      <c r="AG1254" s="9"/>
      <c r="AH1254" s="9"/>
      <c r="AI1254" s="9"/>
      <c r="AJ1254" s="9"/>
      <c r="AK1254" s="9"/>
      <c r="AL1254" s="9"/>
      <c r="AM1254" s="9"/>
      <c r="AN1254" s="9"/>
      <c r="AO1254" s="9"/>
      <c r="AP1254" s="9"/>
      <c r="AQ1254" s="9"/>
      <c r="AR1254" s="9"/>
      <c r="AS1254" s="9"/>
      <c r="AT1254" s="9"/>
      <c r="AU1254" s="9"/>
      <c r="AV1254" s="9"/>
      <c r="AW1254" s="9"/>
      <c r="AX1254" s="9"/>
      <c r="AY1254" s="9"/>
      <c r="AZ1254" s="9"/>
      <c r="BA1254" s="9"/>
      <c r="BB1254" s="9"/>
      <c r="BC1254" s="9"/>
      <c r="BD1254" s="9"/>
      <c r="BE1254" s="9"/>
      <c r="BF1254" s="9"/>
      <c r="BG1254" s="9"/>
      <c r="BH1254" s="9"/>
      <c r="BI1254" s="9"/>
      <c r="BJ1254" s="9"/>
      <c r="BK1254" s="9"/>
      <c r="BL1254" s="9"/>
      <c r="BM1254" s="9"/>
      <c r="BN1254" s="9"/>
      <c r="BO1254" s="9"/>
      <c r="BP1254" s="9"/>
      <c r="BQ1254" s="9"/>
      <c r="BR1254" s="9"/>
      <c r="BS1254" s="9"/>
      <c r="BT1254" s="9"/>
      <c r="BU1254" s="9"/>
      <c r="BV1254" s="9"/>
      <c r="BW1254" s="9"/>
      <c r="BX1254" s="9"/>
      <c r="BY1254" s="9"/>
      <c r="BZ1254" s="9"/>
    </row>
    <row r="1255" spans="4:78" ht="18" customHeight="1" x14ac:dyDescent="0.25"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S1255" s="9"/>
      <c r="T1255" s="9"/>
      <c r="U1255" s="9"/>
      <c r="W1255" s="9"/>
      <c r="X1255" s="9"/>
      <c r="Y1255" s="9"/>
      <c r="Z1255" s="9"/>
      <c r="AA1255" s="9"/>
      <c r="AB1255" s="9"/>
      <c r="AC1255" s="9"/>
      <c r="AD1255" s="9"/>
      <c r="AE1255" s="9"/>
      <c r="AF1255" s="9"/>
      <c r="AG1255" s="9"/>
      <c r="AH1255" s="9"/>
      <c r="AI1255" s="9"/>
      <c r="AJ1255" s="9"/>
      <c r="AK1255" s="9"/>
      <c r="AL1255" s="9"/>
      <c r="AM1255" s="9"/>
      <c r="AN1255" s="9"/>
      <c r="AO1255" s="9"/>
      <c r="AP1255" s="9"/>
      <c r="AQ1255" s="9"/>
      <c r="AR1255" s="9"/>
      <c r="AS1255" s="9"/>
      <c r="AT1255" s="9"/>
      <c r="AU1255" s="9"/>
      <c r="AV1255" s="9"/>
      <c r="AW1255" s="9"/>
      <c r="AX1255" s="9"/>
      <c r="AY1255" s="9"/>
      <c r="AZ1255" s="9"/>
      <c r="BA1255" s="9"/>
      <c r="BB1255" s="9"/>
      <c r="BC1255" s="9"/>
      <c r="BD1255" s="9"/>
      <c r="BE1255" s="9"/>
      <c r="BF1255" s="9"/>
      <c r="BG1255" s="9"/>
      <c r="BH1255" s="9"/>
      <c r="BI1255" s="9"/>
      <c r="BJ1255" s="9"/>
      <c r="BK1255" s="9"/>
      <c r="BL1255" s="9"/>
      <c r="BM1255" s="9"/>
      <c r="BN1255" s="9"/>
      <c r="BO1255" s="9"/>
      <c r="BP1255" s="9"/>
      <c r="BQ1255" s="9"/>
      <c r="BR1255" s="9"/>
      <c r="BS1255" s="9"/>
      <c r="BT1255" s="9"/>
      <c r="BU1255" s="9"/>
      <c r="BV1255" s="9"/>
      <c r="BW1255" s="9"/>
      <c r="BX1255" s="9"/>
      <c r="BY1255" s="9"/>
      <c r="BZ1255" s="9"/>
    </row>
    <row r="1256" spans="4:78" ht="18" customHeight="1" x14ac:dyDescent="0.25"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S1256" s="9"/>
      <c r="T1256" s="9"/>
      <c r="U1256" s="9"/>
      <c r="W1256" s="9"/>
      <c r="X1256" s="9"/>
      <c r="Y1256" s="9"/>
      <c r="Z1256" s="9"/>
      <c r="AA1256" s="9"/>
      <c r="AB1256" s="9"/>
      <c r="AC1256" s="9"/>
      <c r="AD1256" s="9"/>
      <c r="AE1256" s="9"/>
      <c r="AF1256" s="9"/>
      <c r="AG1256" s="9"/>
      <c r="AH1256" s="9"/>
      <c r="AI1256" s="9"/>
      <c r="AJ1256" s="9"/>
      <c r="AK1256" s="9"/>
      <c r="AL1256" s="9"/>
      <c r="AM1256" s="9"/>
      <c r="AN1256" s="9"/>
      <c r="AO1256" s="9"/>
      <c r="AP1256" s="9"/>
      <c r="AQ1256" s="9"/>
      <c r="AR1256" s="9"/>
      <c r="AS1256" s="9"/>
      <c r="AT1256" s="9"/>
      <c r="AU1256" s="9"/>
      <c r="AV1256" s="9"/>
      <c r="AW1256" s="9"/>
      <c r="AX1256" s="9"/>
      <c r="AY1256" s="9"/>
      <c r="AZ1256" s="9"/>
      <c r="BA1256" s="9"/>
      <c r="BB1256" s="9"/>
      <c r="BC1256" s="9"/>
      <c r="BD1256" s="9"/>
      <c r="BE1256" s="9"/>
      <c r="BF1256" s="9"/>
      <c r="BG1256" s="9"/>
      <c r="BH1256" s="9"/>
      <c r="BI1256" s="9"/>
      <c r="BJ1256" s="9"/>
      <c r="BK1256" s="9"/>
      <c r="BL1256" s="9"/>
      <c r="BM1256" s="9"/>
      <c r="BN1256" s="9"/>
      <c r="BO1256" s="9"/>
      <c r="BP1256" s="9"/>
      <c r="BQ1256" s="9"/>
      <c r="BR1256" s="9"/>
      <c r="BS1256" s="9"/>
      <c r="BT1256" s="9"/>
      <c r="BU1256" s="9"/>
      <c r="BV1256" s="9"/>
      <c r="BW1256" s="9"/>
      <c r="BX1256" s="9"/>
      <c r="BY1256" s="9"/>
      <c r="BZ1256" s="9"/>
    </row>
    <row r="1257" spans="4:78" ht="18" customHeight="1" x14ac:dyDescent="0.25"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S1257" s="9"/>
      <c r="T1257" s="9"/>
      <c r="U1257" s="9"/>
      <c r="W1257" s="9"/>
      <c r="X1257" s="9"/>
      <c r="Y1257" s="9"/>
      <c r="Z1257" s="9"/>
      <c r="AA1257" s="9"/>
      <c r="AB1257" s="9"/>
      <c r="AC1257" s="9"/>
      <c r="AD1257" s="9"/>
      <c r="AE1257" s="9"/>
      <c r="AF1257" s="9"/>
      <c r="AG1257" s="9"/>
      <c r="AH1257" s="9"/>
      <c r="AI1257" s="9"/>
      <c r="AJ1257" s="9"/>
      <c r="AK1257" s="9"/>
      <c r="AL1257" s="9"/>
      <c r="AM1257" s="9"/>
      <c r="AN1257" s="9"/>
      <c r="AO1257" s="9"/>
      <c r="AP1257" s="9"/>
      <c r="AQ1257" s="9"/>
      <c r="AR1257" s="9"/>
      <c r="AS1257" s="9"/>
      <c r="AT1257" s="9"/>
      <c r="AU1257" s="9"/>
      <c r="AV1257" s="9"/>
      <c r="AW1257" s="9"/>
      <c r="AX1257" s="9"/>
      <c r="AY1257" s="9"/>
      <c r="AZ1257" s="9"/>
      <c r="BA1257" s="9"/>
      <c r="BB1257" s="9"/>
      <c r="BC1257" s="9"/>
      <c r="BD1257" s="9"/>
      <c r="BE1257" s="9"/>
      <c r="BF1257" s="9"/>
      <c r="BG1257" s="9"/>
      <c r="BH1257" s="9"/>
      <c r="BI1257" s="9"/>
      <c r="BJ1257" s="9"/>
      <c r="BK1257" s="9"/>
      <c r="BL1257" s="9"/>
      <c r="BM1257" s="9"/>
      <c r="BN1257" s="9"/>
      <c r="BO1257" s="9"/>
      <c r="BP1257" s="9"/>
      <c r="BQ1257" s="9"/>
      <c r="BR1257" s="9"/>
      <c r="BS1257" s="9"/>
      <c r="BT1257" s="9"/>
      <c r="BU1257" s="9"/>
      <c r="BV1257" s="9"/>
      <c r="BW1257" s="9"/>
      <c r="BX1257" s="9"/>
      <c r="BY1257" s="9"/>
      <c r="BZ1257" s="9"/>
    </row>
    <row r="1258" spans="4:78" ht="18" customHeight="1" x14ac:dyDescent="0.25"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S1258" s="9"/>
      <c r="T1258" s="9"/>
      <c r="U1258" s="9"/>
      <c r="W1258" s="9"/>
      <c r="X1258" s="9"/>
      <c r="Y1258" s="9"/>
      <c r="Z1258" s="9"/>
      <c r="AA1258" s="9"/>
      <c r="AB1258" s="9"/>
      <c r="AC1258" s="9"/>
      <c r="AD1258" s="9"/>
      <c r="AE1258" s="9"/>
      <c r="AF1258" s="9"/>
      <c r="AG1258" s="9"/>
      <c r="AH1258" s="9"/>
      <c r="AI1258" s="9"/>
      <c r="AJ1258" s="9"/>
      <c r="AK1258" s="9"/>
      <c r="AL1258" s="9"/>
      <c r="AM1258" s="9"/>
      <c r="AN1258" s="9"/>
      <c r="AO1258" s="9"/>
      <c r="AP1258" s="9"/>
      <c r="AQ1258" s="9"/>
      <c r="AR1258" s="9"/>
      <c r="AS1258" s="9"/>
      <c r="AT1258" s="9"/>
      <c r="AU1258" s="9"/>
      <c r="AV1258" s="9"/>
      <c r="AW1258" s="9"/>
      <c r="AX1258" s="9"/>
      <c r="AY1258" s="9"/>
      <c r="AZ1258" s="9"/>
      <c r="BA1258" s="9"/>
      <c r="BB1258" s="9"/>
      <c r="BC1258" s="9"/>
      <c r="BD1258" s="9"/>
      <c r="BE1258" s="9"/>
      <c r="BF1258" s="9"/>
      <c r="BG1258" s="9"/>
      <c r="BH1258" s="9"/>
      <c r="BI1258" s="9"/>
      <c r="BJ1258" s="9"/>
      <c r="BK1258" s="9"/>
      <c r="BL1258" s="9"/>
      <c r="BM1258" s="9"/>
      <c r="BN1258" s="9"/>
      <c r="BO1258" s="9"/>
      <c r="BP1258" s="9"/>
      <c r="BQ1258" s="9"/>
      <c r="BR1258" s="9"/>
      <c r="BS1258" s="9"/>
      <c r="BT1258" s="9"/>
      <c r="BU1258" s="9"/>
      <c r="BV1258" s="9"/>
      <c r="BW1258" s="9"/>
      <c r="BX1258" s="9"/>
      <c r="BY1258" s="9"/>
      <c r="BZ1258" s="9"/>
    </row>
    <row r="1259" spans="4:78" ht="18" customHeight="1" x14ac:dyDescent="0.25"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S1259" s="9"/>
      <c r="T1259" s="9"/>
      <c r="U1259" s="9"/>
      <c r="W1259" s="9"/>
      <c r="X1259" s="9"/>
      <c r="Y1259" s="9"/>
      <c r="Z1259" s="9"/>
      <c r="AA1259" s="9"/>
      <c r="AB1259" s="9"/>
      <c r="AC1259" s="9"/>
      <c r="AD1259" s="9"/>
      <c r="AE1259" s="9"/>
      <c r="AF1259" s="9"/>
      <c r="AG1259" s="9"/>
      <c r="AH1259" s="9"/>
      <c r="AI1259" s="9"/>
      <c r="AJ1259" s="9"/>
      <c r="AK1259" s="9"/>
      <c r="AL1259" s="9"/>
      <c r="AM1259" s="9"/>
      <c r="AN1259" s="9"/>
      <c r="AO1259" s="9"/>
      <c r="AP1259" s="9"/>
      <c r="AQ1259" s="9"/>
      <c r="AR1259" s="9"/>
      <c r="AS1259" s="9"/>
      <c r="AT1259" s="9"/>
      <c r="AU1259" s="9"/>
      <c r="AV1259" s="9"/>
      <c r="AW1259" s="9"/>
      <c r="AX1259" s="9"/>
      <c r="AY1259" s="9"/>
      <c r="AZ1259" s="9"/>
      <c r="BA1259" s="9"/>
      <c r="BB1259" s="9"/>
      <c r="BC1259" s="9"/>
      <c r="BD1259" s="9"/>
      <c r="BE1259" s="9"/>
      <c r="BF1259" s="9"/>
      <c r="BG1259" s="9"/>
      <c r="BH1259" s="9"/>
      <c r="BI1259" s="9"/>
      <c r="BJ1259" s="9"/>
      <c r="BK1259" s="9"/>
      <c r="BL1259" s="9"/>
      <c r="BM1259" s="9"/>
      <c r="BN1259" s="9"/>
      <c r="BO1259" s="9"/>
      <c r="BP1259" s="9"/>
      <c r="BQ1259" s="9"/>
      <c r="BR1259" s="9"/>
      <c r="BS1259" s="9"/>
      <c r="BT1259" s="9"/>
      <c r="BU1259" s="9"/>
      <c r="BV1259" s="9"/>
      <c r="BW1259" s="9"/>
      <c r="BX1259" s="9"/>
      <c r="BY1259" s="9"/>
      <c r="BZ1259" s="9"/>
    </row>
    <row r="1260" spans="4:78" ht="18" customHeight="1" x14ac:dyDescent="0.25"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S1260" s="9"/>
      <c r="T1260" s="9"/>
      <c r="U1260" s="9"/>
      <c r="W1260" s="9"/>
      <c r="X1260" s="9"/>
      <c r="Y1260" s="9"/>
      <c r="Z1260" s="9"/>
      <c r="AA1260" s="9"/>
      <c r="AB1260" s="9"/>
      <c r="AC1260" s="9"/>
      <c r="AD1260" s="9"/>
      <c r="AE1260" s="9"/>
      <c r="AF1260" s="9"/>
      <c r="AG1260" s="9"/>
      <c r="AH1260" s="9"/>
      <c r="AI1260" s="9"/>
      <c r="AJ1260" s="9"/>
      <c r="AK1260" s="9"/>
      <c r="AL1260" s="9"/>
      <c r="AM1260" s="9"/>
      <c r="AN1260" s="9"/>
      <c r="AO1260" s="9"/>
      <c r="AP1260" s="9"/>
      <c r="AQ1260" s="9"/>
      <c r="AR1260" s="9"/>
      <c r="AS1260" s="9"/>
      <c r="AT1260" s="9"/>
      <c r="AU1260" s="9"/>
      <c r="AV1260" s="9"/>
      <c r="AW1260" s="9"/>
      <c r="AX1260" s="9"/>
      <c r="AY1260" s="9"/>
      <c r="AZ1260" s="9"/>
      <c r="BA1260" s="9"/>
      <c r="BB1260" s="9"/>
      <c r="BC1260" s="9"/>
      <c r="BD1260" s="9"/>
      <c r="BE1260" s="9"/>
      <c r="BF1260" s="9"/>
      <c r="BG1260" s="9"/>
      <c r="BH1260" s="9"/>
      <c r="BI1260" s="9"/>
      <c r="BJ1260" s="9"/>
      <c r="BK1260" s="9"/>
      <c r="BL1260" s="9"/>
      <c r="BM1260" s="9"/>
      <c r="BN1260" s="9"/>
      <c r="BO1260" s="9"/>
      <c r="BP1260" s="9"/>
      <c r="BQ1260" s="9"/>
      <c r="BR1260" s="9"/>
      <c r="BS1260" s="9"/>
      <c r="BT1260" s="9"/>
      <c r="BU1260" s="9"/>
      <c r="BV1260" s="9"/>
      <c r="BW1260" s="9"/>
      <c r="BX1260" s="9"/>
      <c r="BY1260" s="9"/>
      <c r="BZ1260" s="9"/>
    </row>
    <row r="1261" spans="4:78" ht="18" customHeight="1" x14ac:dyDescent="0.25"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S1261" s="9"/>
      <c r="T1261" s="9"/>
      <c r="U1261" s="9"/>
      <c r="W1261" s="9"/>
      <c r="X1261" s="9"/>
      <c r="Y1261" s="9"/>
      <c r="Z1261" s="9"/>
      <c r="AA1261" s="9"/>
      <c r="AB1261" s="9"/>
      <c r="AC1261" s="9"/>
      <c r="AD1261" s="9"/>
      <c r="AE1261" s="9"/>
      <c r="AF1261" s="9"/>
      <c r="AG1261" s="9"/>
      <c r="AH1261" s="9"/>
      <c r="AI1261" s="9"/>
      <c r="AJ1261" s="9"/>
      <c r="AK1261" s="9"/>
      <c r="AL1261" s="9"/>
      <c r="AM1261" s="9"/>
      <c r="AN1261" s="9"/>
      <c r="AO1261" s="9"/>
      <c r="AP1261" s="9"/>
      <c r="AQ1261" s="9"/>
      <c r="AR1261" s="9"/>
      <c r="AS1261" s="9"/>
      <c r="AT1261" s="9"/>
      <c r="AU1261" s="9"/>
      <c r="AV1261" s="9"/>
      <c r="AW1261" s="9"/>
      <c r="AX1261" s="9"/>
      <c r="AY1261" s="9"/>
      <c r="AZ1261" s="9"/>
      <c r="BA1261" s="9"/>
      <c r="BB1261" s="9"/>
      <c r="BC1261" s="9"/>
      <c r="BD1261" s="9"/>
      <c r="BE1261" s="9"/>
      <c r="BF1261" s="9"/>
      <c r="BG1261" s="9"/>
      <c r="BH1261" s="9"/>
      <c r="BI1261" s="9"/>
      <c r="BJ1261" s="9"/>
      <c r="BK1261" s="9"/>
      <c r="BL1261" s="9"/>
      <c r="BM1261" s="9"/>
      <c r="BN1261" s="9"/>
      <c r="BO1261" s="9"/>
      <c r="BP1261" s="9"/>
      <c r="BQ1261" s="9"/>
      <c r="BR1261" s="9"/>
      <c r="BS1261" s="9"/>
      <c r="BT1261" s="9"/>
      <c r="BU1261" s="9"/>
      <c r="BV1261" s="9"/>
      <c r="BW1261" s="9"/>
      <c r="BX1261" s="9"/>
      <c r="BY1261" s="9"/>
      <c r="BZ1261" s="9"/>
    </row>
    <row r="1262" spans="4:78" ht="18" customHeight="1" x14ac:dyDescent="0.25"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S1262" s="9"/>
      <c r="T1262" s="9"/>
      <c r="U1262" s="9"/>
      <c r="W1262" s="9"/>
      <c r="X1262" s="9"/>
      <c r="Y1262" s="9"/>
      <c r="Z1262" s="9"/>
      <c r="AA1262" s="9"/>
      <c r="AB1262" s="9"/>
      <c r="AC1262" s="9"/>
      <c r="AD1262" s="9"/>
      <c r="AE1262" s="9"/>
      <c r="AF1262" s="9"/>
      <c r="AG1262" s="9"/>
      <c r="AH1262" s="9"/>
      <c r="AI1262" s="9"/>
      <c r="AJ1262" s="9"/>
      <c r="AK1262" s="9"/>
      <c r="AL1262" s="9"/>
      <c r="AM1262" s="9"/>
      <c r="AN1262" s="9"/>
      <c r="AO1262" s="9"/>
      <c r="AP1262" s="9"/>
      <c r="AQ1262" s="9"/>
      <c r="AR1262" s="9"/>
      <c r="AS1262" s="9"/>
      <c r="AT1262" s="9"/>
      <c r="AU1262" s="9"/>
      <c r="AV1262" s="9"/>
      <c r="AW1262" s="9"/>
      <c r="AX1262" s="9"/>
      <c r="AY1262" s="9"/>
      <c r="AZ1262" s="9"/>
      <c r="BA1262" s="9"/>
      <c r="BB1262" s="9"/>
      <c r="BC1262" s="9"/>
      <c r="BD1262" s="9"/>
      <c r="BE1262" s="9"/>
      <c r="BF1262" s="9"/>
      <c r="BG1262" s="9"/>
      <c r="BH1262" s="9"/>
      <c r="BI1262" s="9"/>
      <c r="BJ1262" s="9"/>
      <c r="BK1262" s="9"/>
      <c r="BL1262" s="9"/>
      <c r="BM1262" s="9"/>
      <c r="BN1262" s="9"/>
      <c r="BO1262" s="9"/>
      <c r="BP1262" s="9"/>
      <c r="BQ1262" s="9"/>
      <c r="BR1262" s="9"/>
      <c r="BS1262" s="9"/>
      <c r="BT1262" s="9"/>
      <c r="BU1262" s="9"/>
      <c r="BV1262" s="9"/>
      <c r="BW1262" s="9"/>
      <c r="BX1262" s="9"/>
      <c r="BY1262" s="9"/>
      <c r="BZ1262" s="9"/>
    </row>
    <row r="1263" spans="4:78" ht="18" customHeight="1" x14ac:dyDescent="0.25"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S1263" s="9"/>
      <c r="T1263" s="9"/>
      <c r="U1263" s="9"/>
      <c r="W1263" s="9"/>
      <c r="X1263" s="9"/>
      <c r="Y1263" s="9"/>
      <c r="Z1263" s="9"/>
      <c r="AA1263" s="9"/>
      <c r="AB1263" s="9"/>
      <c r="AC1263" s="9"/>
      <c r="AD1263" s="9"/>
      <c r="AE1263" s="9"/>
      <c r="AF1263" s="9"/>
      <c r="AG1263" s="9"/>
      <c r="AH1263" s="9"/>
      <c r="AI1263" s="9"/>
      <c r="AJ1263" s="9"/>
      <c r="AK1263" s="9"/>
      <c r="AL1263" s="9"/>
      <c r="AM1263" s="9"/>
      <c r="AN1263" s="9"/>
      <c r="AO1263" s="9"/>
      <c r="AP1263" s="9"/>
      <c r="AQ1263" s="9"/>
      <c r="AR1263" s="9"/>
      <c r="AS1263" s="9"/>
      <c r="AT1263" s="9"/>
      <c r="AU1263" s="9"/>
      <c r="AV1263" s="9"/>
      <c r="AW1263" s="9"/>
      <c r="AX1263" s="9"/>
      <c r="AY1263" s="9"/>
      <c r="AZ1263" s="9"/>
      <c r="BA1263" s="9"/>
      <c r="BB1263" s="9"/>
      <c r="BC1263" s="9"/>
      <c r="BD1263" s="9"/>
      <c r="BE1263" s="9"/>
      <c r="BF1263" s="9"/>
      <c r="BG1263" s="9"/>
      <c r="BH1263" s="9"/>
      <c r="BI1263" s="9"/>
      <c r="BJ1263" s="9"/>
      <c r="BK1263" s="9"/>
      <c r="BL1263" s="9"/>
      <c r="BM1263" s="9"/>
      <c r="BN1263" s="9"/>
      <c r="BO1263" s="9"/>
      <c r="BP1263" s="9"/>
      <c r="BQ1263" s="9"/>
      <c r="BR1263" s="9"/>
      <c r="BS1263" s="9"/>
      <c r="BT1263" s="9"/>
      <c r="BU1263" s="9"/>
      <c r="BV1263" s="9"/>
      <c r="BW1263" s="9"/>
      <c r="BX1263" s="9"/>
      <c r="BY1263" s="9"/>
      <c r="BZ1263" s="9"/>
    </row>
    <row r="1264" spans="4:78" ht="18" customHeight="1" x14ac:dyDescent="0.25"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S1264" s="9"/>
      <c r="T1264" s="9"/>
      <c r="U1264" s="9"/>
      <c r="W1264" s="9"/>
      <c r="X1264" s="9"/>
      <c r="Y1264" s="9"/>
      <c r="Z1264" s="9"/>
      <c r="AA1264" s="9"/>
      <c r="AB1264" s="9"/>
      <c r="AC1264" s="9"/>
      <c r="AD1264" s="9"/>
      <c r="AE1264" s="9"/>
      <c r="AF1264" s="9"/>
      <c r="AG1264" s="9"/>
      <c r="AH1264" s="9"/>
      <c r="AI1264" s="9"/>
      <c r="AJ1264" s="9"/>
      <c r="AK1264" s="9"/>
      <c r="AL1264" s="9"/>
      <c r="AM1264" s="9"/>
      <c r="AN1264" s="9"/>
      <c r="AO1264" s="9"/>
      <c r="AP1264" s="9"/>
      <c r="AQ1264" s="9"/>
      <c r="AR1264" s="9"/>
      <c r="AS1264" s="9"/>
      <c r="AT1264" s="9"/>
      <c r="AU1264" s="9"/>
      <c r="AV1264" s="9"/>
      <c r="AW1264" s="9"/>
      <c r="AX1264" s="9"/>
      <c r="AY1264" s="9"/>
      <c r="AZ1264" s="9"/>
      <c r="BA1264" s="9"/>
      <c r="BB1264" s="9"/>
      <c r="BC1264" s="9"/>
      <c r="BD1264" s="9"/>
      <c r="BE1264" s="9"/>
      <c r="BF1264" s="9"/>
      <c r="BG1264" s="9"/>
      <c r="BH1264" s="9"/>
      <c r="BI1264" s="9"/>
      <c r="BJ1264" s="9"/>
      <c r="BK1264" s="9"/>
      <c r="BL1264" s="9"/>
      <c r="BM1264" s="9"/>
      <c r="BN1264" s="9"/>
      <c r="BO1264" s="9"/>
      <c r="BP1264" s="9"/>
      <c r="BQ1264" s="9"/>
      <c r="BR1264" s="9"/>
      <c r="BS1264" s="9"/>
      <c r="BT1264" s="9"/>
      <c r="BU1264" s="9"/>
      <c r="BV1264" s="9"/>
      <c r="BW1264" s="9"/>
      <c r="BX1264" s="9"/>
      <c r="BY1264" s="9"/>
      <c r="BZ1264" s="9"/>
    </row>
    <row r="1265" spans="4:78" ht="18" customHeight="1" x14ac:dyDescent="0.25"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S1265" s="9"/>
      <c r="T1265" s="9"/>
      <c r="U1265" s="9"/>
      <c r="W1265" s="9"/>
      <c r="X1265" s="9"/>
      <c r="Y1265" s="9"/>
      <c r="Z1265" s="9"/>
      <c r="AA1265" s="9"/>
      <c r="AB1265" s="9"/>
      <c r="AC1265" s="9"/>
      <c r="AD1265" s="9"/>
      <c r="AE1265" s="9"/>
      <c r="AF1265" s="9"/>
      <c r="AG1265" s="9"/>
      <c r="AH1265" s="9"/>
      <c r="AI1265" s="9"/>
      <c r="AJ1265" s="9"/>
      <c r="AK1265" s="9"/>
      <c r="AL1265" s="9"/>
      <c r="AM1265" s="9"/>
      <c r="AN1265" s="9"/>
      <c r="AO1265" s="9"/>
      <c r="AP1265" s="9"/>
      <c r="AQ1265" s="9"/>
      <c r="AR1265" s="9"/>
      <c r="AS1265" s="9"/>
      <c r="AT1265" s="9"/>
      <c r="AU1265" s="9"/>
      <c r="AV1265" s="9"/>
      <c r="AW1265" s="9"/>
      <c r="AX1265" s="9"/>
      <c r="AY1265" s="9"/>
      <c r="AZ1265" s="9"/>
      <c r="BA1265" s="9"/>
      <c r="BB1265" s="9"/>
      <c r="BC1265" s="9"/>
      <c r="BD1265" s="9"/>
      <c r="BE1265" s="9"/>
      <c r="BF1265" s="9"/>
      <c r="BG1265" s="9"/>
      <c r="BH1265" s="9"/>
      <c r="BI1265" s="9"/>
      <c r="BJ1265" s="9"/>
      <c r="BK1265" s="9"/>
      <c r="BL1265" s="9"/>
      <c r="BM1265" s="9"/>
      <c r="BN1265" s="9"/>
      <c r="BO1265" s="9"/>
      <c r="BP1265" s="9"/>
      <c r="BQ1265" s="9"/>
      <c r="BR1265" s="9"/>
      <c r="BS1265" s="9"/>
      <c r="BT1265" s="9"/>
      <c r="BU1265" s="9"/>
      <c r="BV1265" s="9"/>
      <c r="BW1265" s="9"/>
      <c r="BX1265" s="9"/>
      <c r="BY1265" s="9"/>
      <c r="BZ1265" s="9"/>
    </row>
    <row r="1266" spans="4:78" ht="18" customHeight="1" x14ac:dyDescent="0.25"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S1266" s="9"/>
      <c r="T1266" s="9"/>
      <c r="U1266" s="9"/>
      <c r="W1266" s="9"/>
      <c r="X1266" s="9"/>
      <c r="Y1266" s="9"/>
      <c r="Z1266" s="9"/>
      <c r="AA1266" s="9"/>
      <c r="AB1266" s="9"/>
      <c r="AC1266" s="9"/>
      <c r="AD1266" s="9"/>
      <c r="AE1266" s="9"/>
      <c r="AF1266" s="9"/>
      <c r="AG1266" s="9"/>
      <c r="AH1266" s="9"/>
      <c r="AI1266" s="9"/>
      <c r="AJ1266" s="9"/>
      <c r="AK1266" s="9"/>
      <c r="AL1266" s="9"/>
      <c r="AM1266" s="9"/>
      <c r="AN1266" s="9"/>
      <c r="AO1266" s="9"/>
      <c r="AP1266" s="9"/>
      <c r="AQ1266" s="9"/>
      <c r="AR1266" s="9"/>
      <c r="AS1266" s="9"/>
      <c r="AT1266" s="9"/>
      <c r="AU1266" s="9"/>
      <c r="AV1266" s="9"/>
      <c r="AW1266" s="9"/>
      <c r="AX1266" s="9"/>
      <c r="AY1266" s="9"/>
      <c r="AZ1266" s="9"/>
      <c r="BA1266" s="9"/>
      <c r="BB1266" s="9"/>
      <c r="BC1266" s="9"/>
      <c r="BD1266" s="9"/>
      <c r="BE1266" s="9"/>
      <c r="BF1266" s="9"/>
      <c r="BG1266" s="9"/>
      <c r="BH1266" s="9"/>
      <c r="BI1266" s="9"/>
      <c r="BJ1266" s="9"/>
      <c r="BK1266" s="9"/>
      <c r="BL1266" s="9"/>
      <c r="BM1266" s="9"/>
      <c r="BN1266" s="9"/>
      <c r="BO1266" s="9"/>
      <c r="BP1266" s="9"/>
      <c r="BQ1266" s="9"/>
      <c r="BR1266" s="9"/>
      <c r="BS1266" s="9"/>
      <c r="BT1266" s="9"/>
      <c r="BU1266" s="9"/>
      <c r="BV1266" s="9"/>
      <c r="BW1266" s="9"/>
      <c r="BX1266" s="9"/>
      <c r="BY1266" s="9"/>
      <c r="BZ1266" s="9"/>
    </row>
    <row r="1267" spans="4:78" ht="18" customHeight="1" x14ac:dyDescent="0.25"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S1267" s="9"/>
      <c r="T1267" s="9"/>
      <c r="U1267" s="9"/>
      <c r="W1267" s="9"/>
      <c r="X1267" s="9"/>
      <c r="Y1267" s="9"/>
      <c r="Z1267" s="9"/>
      <c r="AA1267" s="9"/>
      <c r="AB1267" s="9"/>
      <c r="AC1267" s="9"/>
      <c r="AD1267" s="9"/>
      <c r="AE1267" s="9"/>
      <c r="AF1267" s="9"/>
      <c r="AG1267" s="9"/>
      <c r="AH1267" s="9"/>
      <c r="AI1267" s="9"/>
      <c r="AJ1267" s="9"/>
      <c r="AK1267" s="9"/>
      <c r="AL1267" s="9"/>
      <c r="AM1267" s="9"/>
      <c r="AN1267" s="9"/>
      <c r="AO1267" s="9"/>
      <c r="AP1267" s="9"/>
      <c r="AQ1267" s="9"/>
      <c r="AR1267" s="9"/>
      <c r="AS1267" s="9"/>
      <c r="AT1267" s="9"/>
      <c r="AU1267" s="9"/>
      <c r="AV1267" s="9"/>
      <c r="AW1267" s="9"/>
      <c r="AX1267" s="9"/>
      <c r="AY1267" s="9"/>
      <c r="AZ1267" s="9"/>
      <c r="BA1267" s="9"/>
      <c r="BB1267" s="9"/>
      <c r="BC1267" s="9"/>
      <c r="BD1267" s="9"/>
      <c r="BE1267" s="9"/>
      <c r="BF1267" s="9"/>
      <c r="BG1267" s="9"/>
      <c r="BH1267" s="9"/>
      <c r="BI1267" s="9"/>
      <c r="BJ1267" s="9"/>
      <c r="BK1267" s="9"/>
      <c r="BL1267" s="9"/>
      <c r="BM1267" s="9"/>
      <c r="BN1267" s="9"/>
      <c r="BO1267" s="9"/>
      <c r="BP1267" s="9"/>
      <c r="BQ1267" s="9"/>
      <c r="BR1267" s="9"/>
      <c r="BS1267" s="9"/>
      <c r="BT1267" s="9"/>
      <c r="BU1267" s="9"/>
      <c r="BV1267" s="9"/>
      <c r="BW1267" s="9"/>
      <c r="BX1267" s="9"/>
      <c r="BY1267" s="9"/>
      <c r="BZ1267" s="9"/>
    </row>
    <row r="1268" spans="4:78" ht="18" customHeight="1" x14ac:dyDescent="0.25"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S1268" s="9"/>
      <c r="T1268" s="9"/>
      <c r="U1268" s="9"/>
      <c r="W1268" s="9"/>
      <c r="X1268" s="9"/>
      <c r="Y1268" s="9"/>
      <c r="Z1268" s="9"/>
      <c r="AA1268" s="9"/>
      <c r="AB1268" s="9"/>
      <c r="AC1268" s="9"/>
      <c r="AD1268" s="9"/>
      <c r="AE1268" s="9"/>
      <c r="AF1268" s="9"/>
      <c r="AG1268" s="9"/>
      <c r="AH1268" s="9"/>
      <c r="AI1268" s="9"/>
      <c r="AJ1268" s="9"/>
      <c r="AK1268" s="9"/>
      <c r="AL1268" s="9"/>
      <c r="AM1268" s="9"/>
      <c r="AN1268" s="9"/>
      <c r="AO1268" s="9"/>
      <c r="AP1268" s="9"/>
      <c r="AQ1268" s="9"/>
      <c r="AR1268" s="9"/>
      <c r="AS1268" s="9"/>
      <c r="AT1268" s="9"/>
      <c r="AU1268" s="9"/>
      <c r="AV1268" s="9"/>
      <c r="AW1268" s="9"/>
      <c r="AX1268" s="9"/>
      <c r="AY1268" s="9"/>
      <c r="AZ1268" s="9"/>
      <c r="BA1268" s="9"/>
      <c r="BB1268" s="9"/>
      <c r="BC1268" s="9"/>
      <c r="BD1268" s="9"/>
      <c r="BE1268" s="9"/>
      <c r="BF1268" s="9"/>
      <c r="BG1268" s="9"/>
      <c r="BH1268" s="9"/>
      <c r="BI1268" s="9"/>
      <c r="BJ1268" s="9"/>
      <c r="BK1268" s="9"/>
      <c r="BL1268" s="9"/>
      <c r="BM1268" s="9"/>
      <c r="BN1268" s="9"/>
      <c r="BO1268" s="9"/>
      <c r="BP1268" s="9"/>
      <c r="BQ1268" s="9"/>
      <c r="BR1268" s="9"/>
      <c r="BS1268" s="9"/>
      <c r="BT1268" s="9"/>
      <c r="BU1268" s="9"/>
      <c r="BV1268" s="9"/>
      <c r="BW1268" s="9"/>
      <c r="BX1268" s="9"/>
      <c r="BY1268" s="9"/>
      <c r="BZ1268" s="9"/>
    </row>
    <row r="1269" spans="4:78" ht="18" customHeight="1" x14ac:dyDescent="0.25"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S1269" s="9"/>
      <c r="T1269" s="9"/>
      <c r="U1269" s="9"/>
      <c r="W1269" s="9"/>
      <c r="X1269" s="9"/>
      <c r="Y1269" s="9"/>
      <c r="Z1269" s="9"/>
      <c r="AA1269" s="9"/>
      <c r="AB1269" s="9"/>
      <c r="AC1269" s="9"/>
      <c r="AD1269" s="9"/>
      <c r="AE1269" s="9"/>
      <c r="AF1269" s="9"/>
      <c r="AG1269" s="9"/>
      <c r="AH1269" s="9"/>
      <c r="AI1269" s="9"/>
      <c r="AJ1269" s="9"/>
      <c r="AK1269" s="9"/>
      <c r="AL1269" s="9"/>
      <c r="AM1269" s="9"/>
      <c r="AN1269" s="9"/>
      <c r="AO1269" s="9"/>
      <c r="AP1269" s="9"/>
      <c r="AQ1269" s="9"/>
      <c r="AR1269" s="9"/>
      <c r="AS1269" s="9"/>
      <c r="AT1269" s="9"/>
      <c r="AU1269" s="9"/>
      <c r="AV1269" s="9"/>
      <c r="AW1269" s="9"/>
      <c r="AX1269" s="9"/>
      <c r="AY1269" s="9"/>
      <c r="AZ1269" s="9"/>
      <c r="BA1269" s="9"/>
      <c r="BB1269" s="9"/>
      <c r="BC1269" s="9"/>
      <c r="BD1269" s="9"/>
      <c r="BE1269" s="9"/>
      <c r="BF1269" s="9"/>
      <c r="BG1269" s="9"/>
      <c r="BH1269" s="9"/>
      <c r="BI1269" s="9"/>
      <c r="BJ1269" s="9"/>
      <c r="BK1269" s="9"/>
      <c r="BL1269" s="9"/>
      <c r="BM1269" s="9"/>
      <c r="BN1269" s="9"/>
      <c r="BO1269" s="9"/>
      <c r="BP1269" s="9"/>
      <c r="BQ1269" s="9"/>
      <c r="BR1269" s="9"/>
      <c r="BS1269" s="9"/>
      <c r="BT1269" s="9"/>
      <c r="BU1269" s="9"/>
      <c r="BV1269" s="9"/>
      <c r="BW1269" s="9"/>
      <c r="BX1269" s="9"/>
      <c r="BY1269" s="9"/>
      <c r="BZ1269" s="9"/>
    </row>
    <row r="1270" spans="4:78" ht="18" customHeight="1" x14ac:dyDescent="0.25"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S1270" s="9"/>
      <c r="T1270" s="9"/>
      <c r="U1270" s="9"/>
      <c r="W1270" s="9"/>
      <c r="X1270" s="9"/>
      <c r="Y1270" s="9"/>
      <c r="Z1270" s="9"/>
      <c r="AA1270" s="9"/>
      <c r="AB1270" s="9"/>
      <c r="AC1270" s="9"/>
      <c r="AD1270" s="9"/>
      <c r="AE1270" s="9"/>
      <c r="AF1270" s="9"/>
      <c r="AG1270" s="9"/>
      <c r="AH1270" s="9"/>
      <c r="AI1270" s="9"/>
      <c r="AJ1270" s="9"/>
      <c r="AK1270" s="9"/>
      <c r="AL1270" s="9"/>
      <c r="AM1270" s="9"/>
      <c r="AN1270" s="9"/>
      <c r="AO1270" s="9"/>
      <c r="AP1270" s="9"/>
      <c r="AQ1270" s="9"/>
      <c r="AR1270" s="9"/>
      <c r="AS1270" s="9"/>
      <c r="AT1270" s="9"/>
      <c r="AU1270" s="9"/>
      <c r="AV1270" s="9"/>
      <c r="AW1270" s="9"/>
      <c r="AX1270" s="9"/>
      <c r="AY1270" s="9"/>
      <c r="AZ1270" s="9"/>
      <c r="BA1270" s="9"/>
      <c r="BB1270" s="9"/>
      <c r="BC1270" s="9"/>
      <c r="BD1270" s="9"/>
      <c r="BE1270" s="9"/>
      <c r="BF1270" s="9"/>
      <c r="BG1270" s="9"/>
      <c r="BH1270" s="9"/>
      <c r="BI1270" s="9"/>
      <c r="BJ1270" s="9"/>
      <c r="BK1270" s="9"/>
      <c r="BL1270" s="9"/>
      <c r="BM1270" s="9"/>
      <c r="BN1270" s="9"/>
      <c r="BO1270" s="9"/>
      <c r="BP1270" s="9"/>
      <c r="BQ1270" s="9"/>
      <c r="BR1270" s="9"/>
      <c r="BS1270" s="9"/>
      <c r="BT1270" s="9"/>
      <c r="BU1270" s="9"/>
      <c r="BV1270" s="9"/>
      <c r="BW1270" s="9"/>
      <c r="BX1270" s="9"/>
      <c r="BY1270" s="9"/>
      <c r="BZ1270" s="9"/>
    </row>
    <row r="1271" spans="4:78" ht="18" customHeight="1" x14ac:dyDescent="0.25"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S1271" s="9"/>
      <c r="T1271" s="9"/>
      <c r="U1271" s="9"/>
      <c r="W1271" s="9"/>
      <c r="X1271" s="9"/>
      <c r="Y1271" s="9"/>
      <c r="Z1271" s="9"/>
      <c r="AA1271" s="9"/>
      <c r="AB1271" s="9"/>
      <c r="AC1271" s="9"/>
      <c r="AD1271" s="9"/>
      <c r="AE1271" s="9"/>
      <c r="AF1271" s="9"/>
      <c r="AG1271" s="9"/>
      <c r="AH1271" s="9"/>
      <c r="AI1271" s="9"/>
      <c r="AJ1271" s="9"/>
      <c r="AK1271" s="9"/>
      <c r="AL1271" s="9"/>
      <c r="AM1271" s="9"/>
      <c r="AN1271" s="9"/>
      <c r="AO1271" s="9"/>
      <c r="AP1271" s="9"/>
      <c r="AQ1271" s="9"/>
      <c r="AR1271" s="9"/>
      <c r="AS1271" s="9"/>
      <c r="AT1271" s="9"/>
      <c r="AU1271" s="9"/>
      <c r="AV1271" s="9"/>
      <c r="AW1271" s="9"/>
      <c r="AX1271" s="9"/>
      <c r="AY1271" s="9"/>
      <c r="AZ1271" s="9"/>
      <c r="BA1271" s="9"/>
      <c r="BB1271" s="9"/>
      <c r="BC1271" s="9"/>
      <c r="BD1271" s="9"/>
      <c r="BE1271" s="9"/>
      <c r="BF1271" s="9"/>
      <c r="BG1271" s="9"/>
      <c r="BH1271" s="9"/>
      <c r="BI1271" s="9"/>
      <c r="BJ1271" s="9"/>
      <c r="BK1271" s="9"/>
      <c r="BL1271" s="9"/>
      <c r="BM1271" s="9"/>
      <c r="BN1271" s="9"/>
      <c r="BO1271" s="9"/>
      <c r="BP1271" s="9"/>
      <c r="BQ1271" s="9"/>
      <c r="BR1271" s="9"/>
      <c r="BS1271" s="9"/>
      <c r="BT1271" s="9"/>
      <c r="BU1271" s="9"/>
      <c r="BV1271" s="9"/>
      <c r="BW1271" s="9"/>
      <c r="BX1271" s="9"/>
      <c r="BY1271" s="9"/>
      <c r="BZ1271" s="9"/>
    </row>
    <row r="1272" spans="4:78" ht="18" customHeight="1" x14ac:dyDescent="0.25"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S1272" s="9"/>
      <c r="T1272" s="9"/>
      <c r="U1272" s="9"/>
      <c r="W1272" s="9"/>
      <c r="X1272" s="9"/>
      <c r="Y1272" s="9"/>
      <c r="Z1272" s="9"/>
      <c r="AA1272" s="9"/>
      <c r="AB1272" s="9"/>
      <c r="AC1272" s="9"/>
      <c r="AD1272" s="9"/>
      <c r="AE1272" s="9"/>
      <c r="AF1272" s="9"/>
      <c r="AG1272" s="9"/>
      <c r="AH1272" s="9"/>
      <c r="AI1272" s="9"/>
      <c r="AJ1272" s="9"/>
      <c r="AK1272" s="9"/>
      <c r="AL1272" s="9"/>
      <c r="AM1272" s="9"/>
      <c r="AN1272" s="9"/>
      <c r="AO1272" s="9"/>
      <c r="AP1272" s="9"/>
      <c r="AQ1272" s="9"/>
      <c r="AR1272" s="9"/>
      <c r="AS1272" s="9"/>
      <c r="AT1272" s="9"/>
      <c r="AU1272" s="9"/>
      <c r="AV1272" s="9"/>
      <c r="AW1272" s="9"/>
      <c r="AX1272" s="9"/>
      <c r="AY1272" s="9"/>
      <c r="AZ1272" s="9"/>
      <c r="BA1272" s="9"/>
      <c r="BB1272" s="9"/>
      <c r="BC1272" s="9"/>
      <c r="BD1272" s="9"/>
      <c r="BE1272" s="9"/>
      <c r="BF1272" s="9"/>
      <c r="BG1272" s="9"/>
      <c r="BH1272" s="9"/>
      <c r="BI1272" s="9"/>
      <c r="BJ1272" s="9"/>
      <c r="BK1272" s="9"/>
      <c r="BL1272" s="9"/>
      <c r="BM1272" s="9"/>
      <c r="BN1272" s="9"/>
      <c r="BO1272" s="9"/>
      <c r="BP1272" s="9"/>
      <c r="BQ1272" s="9"/>
      <c r="BR1272" s="9"/>
      <c r="BS1272" s="9"/>
      <c r="BT1272" s="9"/>
      <c r="BU1272" s="9"/>
      <c r="BV1272" s="9"/>
      <c r="BW1272" s="9"/>
      <c r="BX1272" s="9"/>
      <c r="BY1272" s="9"/>
      <c r="BZ1272" s="9"/>
    </row>
    <row r="1273" spans="4:78" ht="18" customHeight="1" x14ac:dyDescent="0.25"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S1273" s="9"/>
      <c r="T1273" s="9"/>
      <c r="U1273" s="9"/>
      <c r="W1273" s="9"/>
      <c r="X1273" s="9"/>
      <c r="Y1273" s="9"/>
      <c r="Z1273" s="9"/>
      <c r="AA1273" s="9"/>
      <c r="AB1273" s="9"/>
      <c r="AC1273" s="9"/>
      <c r="AD1273" s="9"/>
      <c r="AE1273" s="9"/>
      <c r="AF1273" s="9"/>
      <c r="AG1273" s="9"/>
      <c r="AH1273" s="9"/>
      <c r="AI1273" s="9"/>
      <c r="AJ1273" s="9"/>
      <c r="AK1273" s="9"/>
      <c r="AL1273" s="9"/>
      <c r="AM1273" s="9"/>
      <c r="AN1273" s="9"/>
      <c r="AO1273" s="9"/>
      <c r="AP1273" s="9"/>
      <c r="AQ1273" s="9"/>
      <c r="AR1273" s="9"/>
      <c r="AS1273" s="9"/>
      <c r="AT1273" s="9"/>
      <c r="AU1273" s="9"/>
      <c r="AV1273" s="9"/>
      <c r="AW1273" s="9"/>
      <c r="AX1273" s="9"/>
      <c r="AY1273" s="9"/>
      <c r="AZ1273" s="9"/>
      <c r="BA1273" s="9"/>
      <c r="BB1273" s="9"/>
      <c r="BC1273" s="9"/>
      <c r="BD1273" s="9"/>
      <c r="BE1273" s="9"/>
      <c r="BF1273" s="9"/>
      <c r="BG1273" s="9"/>
      <c r="BH1273" s="9"/>
      <c r="BI1273" s="9"/>
      <c r="BJ1273" s="9"/>
      <c r="BK1273" s="9"/>
      <c r="BL1273" s="9"/>
      <c r="BM1273" s="9"/>
      <c r="BN1273" s="9"/>
      <c r="BO1273" s="9"/>
      <c r="BP1273" s="9"/>
      <c r="BQ1273" s="9"/>
      <c r="BR1273" s="9"/>
      <c r="BS1273" s="9"/>
      <c r="BT1273" s="9"/>
      <c r="BU1273" s="9"/>
      <c r="BV1273" s="9"/>
      <c r="BW1273" s="9"/>
      <c r="BX1273" s="9"/>
      <c r="BY1273" s="9"/>
      <c r="BZ1273" s="9"/>
    </row>
    <row r="1274" spans="4:78" ht="18" customHeight="1" x14ac:dyDescent="0.25"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S1274" s="9"/>
      <c r="T1274" s="9"/>
      <c r="U1274" s="9"/>
      <c r="W1274" s="9"/>
      <c r="X1274" s="9"/>
      <c r="Y1274" s="9"/>
      <c r="Z1274" s="9"/>
      <c r="AA1274" s="9"/>
      <c r="AB1274" s="9"/>
      <c r="AC1274" s="9"/>
      <c r="AD1274" s="9"/>
      <c r="AE1274" s="9"/>
      <c r="AF1274" s="9"/>
      <c r="AG1274" s="9"/>
      <c r="AH1274" s="9"/>
      <c r="AI1274" s="9"/>
      <c r="AJ1274" s="9"/>
      <c r="AK1274" s="9"/>
      <c r="AL1274" s="9"/>
      <c r="AM1274" s="9"/>
      <c r="AN1274" s="9"/>
      <c r="AO1274" s="9"/>
      <c r="AP1274" s="9"/>
      <c r="AQ1274" s="9"/>
      <c r="AR1274" s="9"/>
      <c r="AS1274" s="9"/>
      <c r="AT1274" s="9"/>
      <c r="AU1274" s="9"/>
      <c r="AV1274" s="9"/>
      <c r="AW1274" s="9"/>
      <c r="AX1274" s="9"/>
      <c r="AY1274" s="9"/>
      <c r="AZ1274" s="9"/>
      <c r="BA1274" s="9"/>
      <c r="BB1274" s="9"/>
      <c r="BC1274" s="9"/>
      <c r="BD1274" s="9"/>
      <c r="BE1274" s="9"/>
      <c r="BF1274" s="9"/>
      <c r="BG1274" s="9"/>
      <c r="BH1274" s="9"/>
      <c r="BI1274" s="9"/>
      <c r="BJ1274" s="9"/>
      <c r="BK1274" s="9"/>
      <c r="BL1274" s="9"/>
      <c r="BM1274" s="9"/>
      <c r="BN1274" s="9"/>
      <c r="BO1274" s="9"/>
      <c r="BP1274" s="9"/>
      <c r="BQ1274" s="9"/>
      <c r="BR1274" s="9"/>
      <c r="BS1274" s="9"/>
      <c r="BT1274" s="9"/>
      <c r="BU1274" s="9"/>
      <c r="BV1274" s="9"/>
      <c r="BW1274" s="9"/>
      <c r="BX1274" s="9"/>
      <c r="BY1274" s="9"/>
      <c r="BZ1274" s="9"/>
    </row>
    <row r="1275" spans="4:78" ht="18" customHeight="1" x14ac:dyDescent="0.25"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S1275" s="9"/>
      <c r="T1275" s="9"/>
      <c r="U1275" s="9"/>
      <c r="W1275" s="9"/>
      <c r="X1275" s="9"/>
      <c r="Y1275" s="9"/>
      <c r="Z1275" s="9"/>
      <c r="AA1275" s="9"/>
      <c r="AB1275" s="9"/>
      <c r="AC1275" s="9"/>
      <c r="AD1275" s="9"/>
      <c r="AE1275" s="9"/>
      <c r="AF1275" s="9"/>
      <c r="AG1275" s="9"/>
      <c r="AH1275" s="9"/>
      <c r="AI1275" s="9"/>
      <c r="AJ1275" s="9"/>
      <c r="AK1275" s="9"/>
      <c r="AL1275" s="9"/>
      <c r="AM1275" s="9"/>
      <c r="AN1275" s="9"/>
      <c r="AO1275" s="9"/>
      <c r="AP1275" s="9"/>
      <c r="AQ1275" s="9"/>
      <c r="AR1275" s="9"/>
      <c r="AS1275" s="9"/>
      <c r="AT1275" s="9"/>
      <c r="AU1275" s="9"/>
      <c r="AV1275" s="9"/>
      <c r="AW1275" s="9"/>
      <c r="AX1275" s="9"/>
      <c r="AY1275" s="9"/>
      <c r="AZ1275" s="9"/>
      <c r="BA1275" s="9"/>
      <c r="BB1275" s="9"/>
      <c r="BC1275" s="9"/>
      <c r="BD1275" s="9"/>
      <c r="BE1275" s="9"/>
      <c r="BF1275" s="9"/>
      <c r="BG1275" s="9"/>
      <c r="BH1275" s="9"/>
      <c r="BI1275" s="9"/>
      <c r="BJ1275" s="9"/>
      <c r="BK1275" s="9"/>
      <c r="BL1275" s="9"/>
      <c r="BM1275" s="9"/>
      <c r="BN1275" s="9"/>
      <c r="BO1275" s="9"/>
      <c r="BP1275" s="9"/>
      <c r="BQ1275" s="9"/>
      <c r="BR1275" s="9"/>
      <c r="BS1275" s="9"/>
      <c r="BT1275" s="9"/>
      <c r="BU1275" s="9"/>
      <c r="BV1275" s="9"/>
      <c r="BW1275" s="9"/>
      <c r="BX1275" s="9"/>
      <c r="BY1275" s="9"/>
      <c r="BZ1275" s="9"/>
    </row>
    <row r="1276" spans="4:78" ht="18" customHeight="1" x14ac:dyDescent="0.25"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S1276" s="9"/>
      <c r="T1276" s="9"/>
      <c r="U1276" s="9"/>
      <c r="W1276" s="9"/>
      <c r="X1276" s="9"/>
      <c r="Y1276" s="9"/>
      <c r="Z1276" s="9"/>
      <c r="AA1276" s="9"/>
      <c r="AB1276" s="9"/>
      <c r="AC1276" s="9"/>
      <c r="AD1276" s="9"/>
      <c r="AE1276" s="9"/>
      <c r="AF1276" s="9"/>
      <c r="AG1276" s="9"/>
      <c r="AH1276" s="9"/>
      <c r="AI1276" s="9"/>
      <c r="AJ1276" s="9"/>
      <c r="AK1276" s="9"/>
      <c r="AL1276" s="9"/>
      <c r="AM1276" s="9"/>
      <c r="AN1276" s="9"/>
      <c r="AO1276" s="9"/>
      <c r="AP1276" s="9"/>
      <c r="AQ1276" s="9"/>
      <c r="AR1276" s="9"/>
      <c r="AS1276" s="9"/>
      <c r="AT1276" s="9"/>
      <c r="AU1276" s="9"/>
      <c r="AV1276" s="9"/>
      <c r="AW1276" s="9"/>
      <c r="AX1276" s="9"/>
      <c r="AY1276" s="9"/>
      <c r="AZ1276" s="9"/>
      <c r="BA1276" s="9"/>
      <c r="BB1276" s="9"/>
      <c r="BC1276" s="9"/>
      <c r="BD1276" s="9"/>
      <c r="BE1276" s="9"/>
      <c r="BF1276" s="9"/>
      <c r="BG1276" s="9"/>
      <c r="BH1276" s="9"/>
      <c r="BI1276" s="9"/>
      <c r="BJ1276" s="9"/>
      <c r="BK1276" s="9"/>
      <c r="BL1276" s="9"/>
      <c r="BM1276" s="9"/>
      <c r="BN1276" s="9"/>
      <c r="BO1276" s="9"/>
      <c r="BP1276" s="9"/>
      <c r="BQ1276" s="9"/>
      <c r="BR1276" s="9"/>
      <c r="BS1276" s="9"/>
      <c r="BT1276" s="9"/>
      <c r="BU1276" s="9"/>
      <c r="BV1276" s="9"/>
      <c r="BW1276" s="9"/>
      <c r="BX1276" s="9"/>
      <c r="BY1276" s="9"/>
      <c r="BZ1276" s="9"/>
    </row>
    <row r="1277" spans="4:78" ht="18" customHeight="1" x14ac:dyDescent="0.25"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S1277" s="9"/>
      <c r="T1277" s="9"/>
      <c r="U1277" s="9"/>
      <c r="W1277" s="9"/>
      <c r="X1277" s="9"/>
      <c r="Y1277" s="9"/>
      <c r="Z1277" s="9"/>
      <c r="AA1277" s="9"/>
      <c r="AB1277" s="9"/>
      <c r="AC1277" s="9"/>
      <c r="AD1277" s="9"/>
      <c r="AE1277" s="9"/>
      <c r="AF1277" s="9"/>
      <c r="AG1277" s="9"/>
      <c r="AH1277" s="9"/>
      <c r="AI1277" s="9"/>
      <c r="AJ1277" s="9"/>
      <c r="AK1277" s="9"/>
      <c r="AL1277" s="9"/>
      <c r="AM1277" s="9"/>
      <c r="AN1277" s="9"/>
      <c r="AO1277" s="9"/>
      <c r="AP1277" s="9"/>
      <c r="AQ1277" s="9"/>
      <c r="AR1277" s="9"/>
      <c r="AS1277" s="9"/>
      <c r="AT1277" s="9"/>
      <c r="AU1277" s="9"/>
      <c r="AV1277" s="9"/>
      <c r="AW1277" s="9"/>
      <c r="AX1277" s="9"/>
      <c r="AY1277" s="9"/>
      <c r="AZ1277" s="9"/>
      <c r="BA1277" s="9"/>
      <c r="BB1277" s="9"/>
      <c r="BC1277" s="9"/>
      <c r="BD1277" s="9"/>
      <c r="BE1277" s="9"/>
      <c r="BF1277" s="9"/>
      <c r="BG1277" s="9"/>
      <c r="BH1277" s="9"/>
      <c r="BI1277" s="9"/>
      <c r="BJ1277" s="9"/>
      <c r="BK1277" s="9"/>
      <c r="BL1277" s="9"/>
      <c r="BM1277" s="9"/>
      <c r="BN1277" s="9"/>
      <c r="BO1277" s="9"/>
      <c r="BP1277" s="9"/>
      <c r="BQ1277" s="9"/>
      <c r="BR1277" s="9"/>
      <c r="BS1277" s="9"/>
      <c r="BT1277" s="9"/>
      <c r="BU1277" s="9"/>
      <c r="BV1277" s="9"/>
      <c r="BW1277" s="9"/>
      <c r="BX1277" s="9"/>
      <c r="BY1277" s="9"/>
      <c r="BZ1277" s="9"/>
    </row>
    <row r="1278" spans="4:78" ht="18" customHeight="1" x14ac:dyDescent="0.25"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S1278" s="9"/>
      <c r="T1278" s="9"/>
      <c r="U1278" s="9"/>
      <c r="W1278" s="9"/>
      <c r="X1278" s="9"/>
      <c r="Y1278" s="9"/>
      <c r="Z1278" s="9"/>
      <c r="AA1278" s="9"/>
      <c r="AB1278" s="9"/>
      <c r="AC1278" s="9"/>
      <c r="AD1278" s="9"/>
      <c r="AE1278" s="9"/>
      <c r="AF1278" s="9"/>
      <c r="AG1278" s="9"/>
      <c r="AH1278" s="9"/>
      <c r="AI1278" s="9"/>
      <c r="AJ1278" s="9"/>
      <c r="AK1278" s="9"/>
      <c r="AL1278" s="9"/>
      <c r="AM1278" s="9"/>
      <c r="AN1278" s="9"/>
      <c r="AO1278" s="9"/>
      <c r="AP1278" s="9"/>
      <c r="AQ1278" s="9"/>
      <c r="AR1278" s="9"/>
      <c r="AS1278" s="9"/>
      <c r="AT1278" s="9"/>
      <c r="AU1278" s="9"/>
      <c r="AV1278" s="9"/>
      <c r="AW1278" s="9"/>
      <c r="AX1278" s="9"/>
      <c r="AY1278" s="9"/>
      <c r="AZ1278" s="9"/>
      <c r="BA1278" s="9"/>
      <c r="BB1278" s="9"/>
      <c r="BC1278" s="9"/>
      <c r="BD1278" s="9"/>
      <c r="BE1278" s="9"/>
      <c r="BF1278" s="9"/>
      <c r="BG1278" s="9"/>
      <c r="BH1278" s="9"/>
      <c r="BI1278" s="9"/>
      <c r="BJ1278" s="9"/>
      <c r="BK1278" s="9"/>
      <c r="BL1278" s="9"/>
      <c r="BM1278" s="9"/>
      <c r="BN1278" s="9"/>
      <c r="BO1278" s="9"/>
      <c r="BP1278" s="9"/>
      <c r="BQ1278" s="9"/>
      <c r="BR1278" s="9"/>
      <c r="BS1278" s="9"/>
      <c r="BT1278" s="9"/>
      <c r="BU1278" s="9"/>
      <c r="BV1278" s="9"/>
      <c r="BW1278" s="9"/>
      <c r="BX1278" s="9"/>
      <c r="BY1278" s="9"/>
      <c r="BZ1278" s="9"/>
    </row>
    <row r="1279" spans="4:78" ht="18" customHeight="1" x14ac:dyDescent="0.25"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S1279" s="9"/>
      <c r="T1279" s="9"/>
      <c r="U1279" s="9"/>
      <c r="W1279" s="9"/>
      <c r="X1279" s="9"/>
      <c r="Y1279" s="9"/>
      <c r="Z1279" s="9"/>
      <c r="AA1279" s="9"/>
      <c r="AB1279" s="9"/>
      <c r="AC1279" s="9"/>
      <c r="AD1279" s="9"/>
      <c r="AE1279" s="9"/>
      <c r="AF1279" s="9"/>
      <c r="AG1279" s="9"/>
      <c r="AH1279" s="9"/>
      <c r="AI1279" s="9"/>
      <c r="AJ1279" s="9"/>
      <c r="AK1279" s="9"/>
      <c r="AL1279" s="9"/>
      <c r="AM1279" s="9"/>
      <c r="AN1279" s="9"/>
      <c r="AO1279" s="9"/>
      <c r="AP1279" s="9"/>
      <c r="AQ1279" s="9"/>
      <c r="AR1279" s="9"/>
      <c r="AS1279" s="9"/>
      <c r="AT1279" s="9"/>
      <c r="AU1279" s="9"/>
      <c r="AV1279" s="9"/>
      <c r="AW1279" s="9"/>
      <c r="AX1279" s="9"/>
      <c r="AY1279" s="9"/>
      <c r="AZ1279" s="9"/>
      <c r="BA1279" s="9"/>
      <c r="BB1279" s="9"/>
      <c r="BC1279" s="9"/>
      <c r="BD1279" s="9"/>
      <c r="BE1279" s="9"/>
      <c r="BF1279" s="9"/>
      <c r="BG1279" s="9"/>
      <c r="BH1279" s="9"/>
      <c r="BI1279" s="9"/>
      <c r="BJ1279" s="9"/>
      <c r="BK1279" s="9"/>
      <c r="BL1279" s="9"/>
      <c r="BM1279" s="9"/>
      <c r="BN1279" s="9"/>
      <c r="BO1279" s="9"/>
      <c r="BP1279" s="9"/>
      <c r="BQ1279" s="9"/>
      <c r="BR1279" s="9"/>
      <c r="BS1279" s="9"/>
      <c r="BT1279" s="9"/>
      <c r="BU1279" s="9"/>
      <c r="BV1279" s="9"/>
      <c r="BW1279" s="9"/>
      <c r="BX1279" s="9"/>
      <c r="BY1279" s="9"/>
      <c r="BZ1279" s="9"/>
    </row>
    <row r="1280" spans="4:78" ht="18" customHeight="1" x14ac:dyDescent="0.25"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S1280" s="9"/>
      <c r="T1280" s="9"/>
      <c r="U1280" s="9"/>
      <c r="W1280" s="9"/>
      <c r="X1280" s="9"/>
      <c r="Y1280" s="9"/>
      <c r="Z1280" s="9"/>
      <c r="AA1280" s="9"/>
      <c r="AB1280" s="9"/>
      <c r="AC1280" s="9"/>
      <c r="AD1280" s="9"/>
      <c r="AE1280" s="9"/>
      <c r="AF1280" s="9"/>
      <c r="AG1280" s="9"/>
      <c r="AH1280" s="9"/>
      <c r="AI1280" s="9"/>
      <c r="AJ1280" s="9"/>
      <c r="AK1280" s="9"/>
      <c r="AL1280" s="9"/>
      <c r="AM1280" s="9"/>
      <c r="AN1280" s="9"/>
      <c r="AO1280" s="9"/>
      <c r="AP1280" s="9"/>
      <c r="AQ1280" s="9"/>
      <c r="AR1280" s="9"/>
      <c r="AS1280" s="9"/>
      <c r="AT1280" s="9"/>
      <c r="AU1280" s="9"/>
      <c r="AV1280" s="9"/>
      <c r="AW1280" s="9"/>
      <c r="AX1280" s="9"/>
      <c r="AY1280" s="9"/>
      <c r="AZ1280" s="9"/>
      <c r="BA1280" s="9"/>
      <c r="BB1280" s="9"/>
      <c r="BC1280" s="9"/>
      <c r="BD1280" s="9"/>
      <c r="BE1280" s="9"/>
      <c r="BF1280" s="9"/>
      <c r="BG1280" s="9"/>
      <c r="BH1280" s="9"/>
      <c r="BI1280" s="9"/>
      <c r="BJ1280" s="9"/>
      <c r="BK1280" s="9"/>
      <c r="BL1280" s="9"/>
      <c r="BM1280" s="9"/>
      <c r="BN1280" s="9"/>
      <c r="BO1280" s="9"/>
      <c r="BP1280" s="9"/>
      <c r="BQ1280" s="9"/>
      <c r="BR1280" s="9"/>
      <c r="BS1280" s="9"/>
      <c r="BT1280" s="9"/>
      <c r="BU1280" s="9"/>
      <c r="BV1280" s="9"/>
      <c r="BW1280" s="9"/>
      <c r="BX1280" s="9"/>
      <c r="BY1280" s="9"/>
      <c r="BZ1280" s="9"/>
    </row>
    <row r="1281" spans="4:78" ht="18" customHeight="1" x14ac:dyDescent="0.25"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S1281" s="9"/>
      <c r="T1281" s="9"/>
      <c r="U1281" s="9"/>
      <c r="W1281" s="9"/>
      <c r="X1281" s="9"/>
      <c r="Y1281" s="9"/>
      <c r="Z1281" s="9"/>
      <c r="AA1281" s="9"/>
      <c r="AB1281" s="9"/>
      <c r="AC1281" s="9"/>
      <c r="AD1281" s="9"/>
      <c r="AE1281" s="9"/>
      <c r="AF1281" s="9"/>
      <c r="AG1281" s="9"/>
      <c r="AH1281" s="9"/>
      <c r="AI1281" s="9"/>
      <c r="AJ1281" s="9"/>
      <c r="AK1281" s="9"/>
      <c r="AL1281" s="9"/>
      <c r="AM1281" s="9"/>
      <c r="AN1281" s="9"/>
      <c r="AO1281" s="9"/>
      <c r="AP1281" s="9"/>
      <c r="AQ1281" s="9"/>
      <c r="AR1281" s="9"/>
      <c r="AS1281" s="9"/>
      <c r="AT1281" s="9"/>
      <c r="AU1281" s="9"/>
      <c r="AV1281" s="9"/>
      <c r="AW1281" s="9"/>
      <c r="AX1281" s="9"/>
      <c r="AY1281" s="9"/>
      <c r="AZ1281" s="9"/>
      <c r="BA1281" s="9"/>
      <c r="BB1281" s="9"/>
      <c r="BC1281" s="9"/>
      <c r="BD1281" s="9"/>
      <c r="BE1281" s="9"/>
      <c r="BF1281" s="9"/>
      <c r="BG1281" s="9"/>
      <c r="BH1281" s="9"/>
      <c r="BI1281" s="9"/>
      <c r="BJ1281" s="9"/>
      <c r="BK1281" s="9"/>
      <c r="BL1281" s="9"/>
      <c r="BM1281" s="9"/>
      <c r="BN1281" s="9"/>
      <c r="BO1281" s="9"/>
      <c r="BP1281" s="9"/>
      <c r="BQ1281" s="9"/>
      <c r="BR1281" s="9"/>
      <c r="BS1281" s="9"/>
      <c r="BT1281" s="9"/>
      <c r="BU1281" s="9"/>
      <c r="BV1281" s="9"/>
      <c r="BW1281" s="9"/>
      <c r="BX1281" s="9"/>
      <c r="BY1281" s="9"/>
      <c r="BZ1281" s="9"/>
    </row>
    <row r="1282" spans="4:78" ht="18" customHeight="1" x14ac:dyDescent="0.25"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S1282" s="9"/>
      <c r="T1282" s="9"/>
      <c r="U1282" s="9"/>
      <c r="W1282" s="9"/>
      <c r="X1282" s="9"/>
      <c r="Y1282" s="9"/>
      <c r="Z1282" s="9"/>
      <c r="AA1282" s="9"/>
      <c r="AB1282" s="9"/>
      <c r="AC1282" s="9"/>
      <c r="AD1282" s="9"/>
      <c r="AE1282" s="9"/>
      <c r="AF1282" s="9"/>
      <c r="AG1282" s="9"/>
      <c r="AH1282" s="9"/>
      <c r="AI1282" s="9"/>
      <c r="AJ1282" s="9"/>
      <c r="AK1282" s="9"/>
      <c r="AL1282" s="9"/>
      <c r="AM1282" s="9"/>
      <c r="AN1282" s="9"/>
      <c r="AO1282" s="9"/>
      <c r="AP1282" s="9"/>
      <c r="AQ1282" s="9"/>
      <c r="AR1282" s="9"/>
      <c r="AS1282" s="9"/>
      <c r="AT1282" s="9"/>
      <c r="AU1282" s="9"/>
      <c r="AV1282" s="9"/>
      <c r="AW1282" s="9"/>
      <c r="AX1282" s="9"/>
      <c r="AY1282" s="9"/>
      <c r="AZ1282" s="9"/>
      <c r="BA1282" s="9"/>
      <c r="BB1282" s="9"/>
      <c r="BC1282" s="9"/>
      <c r="BD1282" s="9"/>
      <c r="BE1282" s="9"/>
      <c r="BF1282" s="9"/>
      <c r="BG1282" s="9"/>
      <c r="BH1282" s="9"/>
      <c r="BI1282" s="9"/>
      <c r="BJ1282" s="9"/>
      <c r="BK1282" s="9"/>
      <c r="BL1282" s="9"/>
      <c r="BM1282" s="9"/>
      <c r="BN1282" s="9"/>
      <c r="BO1282" s="9"/>
      <c r="BP1282" s="9"/>
      <c r="BQ1282" s="9"/>
      <c r="BR1282" s="9"/>
      <c r="BS1282" s="9"/>
      <c r="BT1282" s="9"/>
      <c r="BU1282" s="9"/>
      <c r="BV1282" s="9"/>
      <c r="BW1282" s="9"/>
      <c r="BX1282" s="9"/>
      <c r="BY1282" s="9"/>
      <c r="BZ1282" s="9"/>
    </row>
    <row r="1283" spans="4:78" ht="18" customHeight="1" x14ac:dyDescent="0.25"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S1283" s="9"/>
      <c r="T1283" s="9"/>
      <c r="U1283" s="9"/>
      <c r="W1283" s="9"/>
      <c r="X1283" s="9"/>
      <c r="Y1283" s="9"/>
      <c r="Z1283" s="9"/>
      <c r="AA1283" s="9"/>
      <c r="AB1283" s="9"/>
      <c r="AC1283" s="9"/>
      <c r="AD1283" s="9"/>
      <c r="AE1283" s="9"/>
      <c r="AF1283" s="9"/>
      <c r="AG1283" s="9"/>
      <c r="AH1283" s="9"/>
      <c r="AI1283" s="9"/>
      <c r="AJ1283" s="9"/>
      <c r="AK1283" s="9"/>
      <c r="AL1283" s="9"/>
      <c r="AM1283" s="9"/>
      <c r="AN1283" s="9"/>
      <c r="AO1283" s="9"/>
      <c r="AP1283" s="9"/>
      <c r="AQ1283" s="9"/>
      <c r="AR1283" s="9"/>
      <c r="AS1283" s="9"/>
      <c r="AT1283" s="9"/>
      <c r="AU1283" s="9"/>
      <c r="AV1283" s="9"/>
      <c r="AW1283" s="9"/>
      <c r="AX1283" s="9"/>
      <c r="AY1283" s="9"/>
      <c r="AZ1283" s="9"/>
      <c r="BA1283" s="9"/>
      <c r="BB1283" s="9"/>
      <c r="BC1283" s="9"/>
      <c r="BD1283" s="9"/>
      <c r="BE1283" s="9"/>
      <c r="BF1283" s="9"/>
      <c r="BG1283" s="9"/>
      <c r="BH1283" s="9"/>
      <c r="BI1283" s="9"/>
      <c r="BJ1283" s="9"/>
      <c r="BK1283" s="9"/>
      <c r="BL1283" s="9"/>
      <c r="BM1283" s="9"/>
      <c r="BN1283" s="9"/>
      <c r="BO1283" s="9"/>
      <c r="BP1283" s="9"/>
      <c r="BQ1283" s="9"/>
      <c r="BR1283" s="9"/>
      <c r="BS1283" s="9"/>
      <c r="BT1283" s="9"/>
      <c r="BU1283" s="9"/>
      <c r="BV1283" s="9"/>
      <c r="BW1283" s="9"/>
      <c r="BX1283" s="9"/>
      <c r="BY1283" s="9"/>
      <c r="BZ1283" s="9"/>
    </row>
    <row r="1284" spans="4:78" ht="18" customHeight="1" x14ac:dyDescent="0.25"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S1284" s="9"/>
      <c r="T1284" s="9"/>
      <c r="U1284" s="9"/>
      <c r="W1284" s="9"/>
      <c r="X1284" s="9"/>
      <c r="Y1284" s="9"/>
      <c r="Z1284" s="9"/>
      <c r="AA1284" s="9"/>
      <c r="AB1284" s="9"/>
      <c r="AC1284" s="9"/>
      <c r="AD1284" s="9"/>
      <c r="AE1284" s="9"/>
      <c r="AF1284" s="9"/>
      <c r="AG1284" s="9"/>
      <c r="AH1284" s="9"/>
      <c r="AI1284" s="9"/>
      <c r="AJ1284" s="9"/>
      <c r="AK1284" s="9"/>
      <c r="AL1284" s="9"/>
      <c r="AM1284" s="9"/>
      <c r="AN1284" s="9"/>
      <c r="AO1284" s="9"/>
      <c r="AP1284" s="9"/>
      <c r="AQ1284" s="9"/>
      <c r="AR1284" s="9"/>
      <c r="AS1284" s="9"/>
      <c r="AT1284" s="9"/>
      <c r="AU1284" s="9"/>
      <c r="AV1284" s="9"/>
      <c r="AW1284" s="9"/>
      <c r="AX1284" s="9"/>
      <c r="AY1284" s="9"/>
      <c r="AZ1284" s="9"/>
      <c r="BA1284" s="9"/>
      <c r="BB1284" s="9"/>
      <c r="BC1284" s="9"/>
      <c r="BD1284" s="9"/>
      <c r="BE1284" s="9"/>
      <c r="BF1284" s="9"/>
      <c r="BG1284" s="9"/>
      <c r="BH1284" s="9"/>
      <c r="BI1284" s="9"/>
      <c r="BJ1284" s="9"/>
      <c r="BK1284" s="9"/>
      <c r="BL1284" s="9"/>
      <c r="BM1284" s="9"/>
      <c r="BN1284" s="9"/>
      <c r="BO1284" s="9"/>
      <c r="BP1284" s="9"/>
      <c r="BQ1284" s="9"/>
      <c r="BR1284" s="9"/>
      <c r="BS1284" s="9"/>
      <c r="BT1284" s="9"/>
      <c r="BU1284" s="9"/>
      <c r="BV1284" s="9"/>
      <c r="BW1284" s="9"/>
      <c r="BX1284" s="9"/>
      <c r="BY1284" s="9"/>
      <c r="BZ1284" s="9"/>
    </row>
    <row r="1285" spans="4:78" ht="18" customHeight="1" x14ac:dyDescent="0.25"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S1285" s="9"/>
      <c r="T1285" s="9"/>
      <c r="U1285" s="9"/>
      <c r="W1285" s="9"/>
      <c r="X1285" s="9"/>
      <c r="Y1285" s="9"/>
      <c r="Z1285" s="9"/>
      <c r="AA1285" s="9"/>
      <c r="AB1285" s="9"/>
      <c r="AC1285" s="9"/>
      <c r="AD1285" s="9"/>
      <c r="AE1285" s="9"/>
      <c r="AF1285" s="9"/>
      <c r="AG1285" s="9"/>
      <c r="AH1285" s="9"/>
      <c r="AI1285" s="9"/>
      <c r="AJ1285" s="9"/>
      <c r="AK1285" s="9"/>
      <c r="AL1285" s="9"/>
      <c r="AM1285" s="9"/>
      <c r="AN1285" s="9"/>
      <c r="AO1285" s="9"/>
      <c r="AP1285" s="9"/>
      <c r="AQ1285" s="9"/>
      <c r="AR1285" s="9"/>
      <c r="AS1285" s="9"/>
      <c r="AT1285" s="9"/>
      <c r="AU1285" s="9"/>
      <c r="AV1285" s="9"/>
      <c r="AW1285" s="9"/>
      <c r="AX1285" s="9"/>
      <c r="AY1285" s="9"/>
      <c r="AZ1285" s="9"/>
      <c r="BA1285" s="9"/>
      <c r="BB1285" s="9"/>
      <c r="BC1285" s="9"/>
      <c r="BD1285" s="9"/>
      <c r="BE1285" s="9"/>
      <c r="BF1285" s="9"/>
      <c r="BG1285" s="9"/>
      <c r="BH1285" s="9"/>
      <c r="BI1285" s="9"/>
      <c r="BJ1285" s="9"/>
      <c r="BK1285" s="9"/>
      <c r="BL1285" s="9"/>
      <c r="BM1285" s="9"/>
      <c r="BN1285" s="9"/>
      <c r="BO1285" s="9"/>
      <c r="BP1285" s="9"/>
      <c r="BQ1285" s="9"/>
      <c r="BR1285" s="9"/>
      <c r="BS1285" s="9"/>
      <c r="BT1285" s="9"/>
      <c r="BU1285" s="9"/>
      <c r="BV1285" s="9"/>
      <c r="BW1285" s="9"/>
      <c r="BX1285" s="9"/>
      <c r="BY1285" s="9"/>
      <c r="BZ1285" s="9"/>
    </row>
    <row r="1286" spans="4:78" ht="18" customHeight="1" x14ac:dyDescent="0.25"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S1286" s="9"/>
      <c r="T1286" s="9"/>
      <c r="U1286" s="9"/>
      <c r="W1286" s="9"/>
      <c r="X1286" s="9"/>
      <c r="Y1286" s="9"/>
      <c r="Z1286" s="9"/>
      <c r="AA1286" s="9"/>
      <c r="AB1286" s="9"/>
      <c r="AC1286" s="9"/>
      <c r="AD1286" s="9"/>
      <c r="AE1286" s="9"/>
      <c r="AF1286" s="9"/>
      <c r="AG1286" s="9"/>
      <c r="AH1286" s="9"/>
      <c r="AI1286" s="9"/>
      <c r="AJ1286" s="9"/>
      <c r="AK1286" s="9"/>
      <c r="AL1286" s="9"/>
      <c r="AM1286" s="9"/>
      <c r="AN1286" s="9"/>
      <c r="AO1286" s="9"/>
      <c r="AP1286" s="9"/>
      <c r="AQ1286" s="9"/>
      <c r="AR1286" s="9"/>
      <c r="AS1286" s="9"/>
      <c r="AT1286" s="9"/>
      <c r="AU1286" s="9"/>
      <c r="AV1286" s="9"/>
      <c r="AW1286" s="9"/>
      <c r="AX1286" s="9"/>
      <c r="AY1286" s="9"/>
      <c r="AZ1286" s="9"/>
      <c r="BA1286" s="9"/>
      <c r="BB1286" s="9"/>
      <c r="BC1286" s="9"/>
      <c r="BD1286" s="9"/>
      <c r="BE1286" s="9"/>
      <c r="BF1286" s="9"/>
      <c r="BG1286" s="9"/>
      <c r="BH1286" s="9"/>
      <c r="BI1286" s="9"/>
      <c r="BJ1286" s="9"/>
      <c r="BK1286" s="9"/>
      <c r="BL1286" s="9"/>
      <c r="BM1286" s="9"/>
      <c r="BN1286" s="9"/>
      <c r="BO1286" s="9"/>
      <c r="BP1286" s="9"/>
      <c r="BQ1286" s="9"/>
      <c r="BR1286" s="9"/>
      <c r="BS1286" s="9"/>
      <c r="BT1286" s="9"/>
      <c r="BU1286" s="9"/>
      <c r="BV1286" s="9"/>
      <c r="BW1286" s="9"/>
      <c r="BX1286" s="9"/>
      <c r="BY1286" s="9"/>
      <c r="BZ1286" s="9"/>
    </row>
    <row r="1287" spans="4:78" ht="18" customHeight="1" x14ac:dyDescent="0.25"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S1287" s="9"/>
      <c r="T1287" s="9"/>
      <c r="U1287" s="9"/>
      <c r="W1287" s="9"/>
      <c r="X1287" s="9"/>
      <c r="Y1287" s="9"/>
      <c r="Z1287" s="9"/>
      <c r="AA1287" s="9"/>
      <c r="AB1287" s="9"/>
      <c r="AC1287" s="9"/>
      <c r="AD1287" s="9"/>
      <c r="AE1287" s="9"/>
      <c r="AF1287" s="9"/>
      <c r="AG1287" s="9"/>
      <c r="AH1287" s="9"/>
      <c r="AI1287" s="9"/>
      <c r="AJ1287" s="9"/>
      <c r="AK1287" s="9"/>
      <c r="AL1287" s="9"/>
      <c r="AM1287" s="9"/>
      <c r="AN1287" s="9"/>
      <c r="AO1287" s="9"/>
      <c r="AP1287" s="9"/>
      <c r="AQ1287" s="9"/>
      <c r="AR1287" s="9"/>
      <c r="AS1287" s="9"/>
      <c r="AT1287" s="9"/>
      <c r="AU1287" s="9"/>
      <c r="AV1287" s="9"/>
      <c r="AW1287" s="9"/>
      <c r="AX1287" s="9"/>
      <c r="AY1287" s="9"/>
      <c r="AZ1287" s="9"/>
      <c r="BA1287" s="9"/>
      <c r="BB1287" s="9"/>
      <c r="BC1287" s="9"/>
      <c r="BD1287" s="9"/>
      <c r="BE1287" s="9"/>
      <c r="BF1287" s="9"/>
      <c r="BG1287" s="9"/>
      <c r="BH1287" s="9"/>
      <c r="BI1287" s="9"/>
      <c r="BJ1287" s="9"/>
      <c r="BK1287" s="9"/>
      <c r="BL1287" s="9"/>
      <c r="BM1287" s="9"/>
      <c r="BN1287" s="9"/>
      <c r="BO1287" s="9"/>
      <c r="BP1287" s="9"/>
      <c r="BQ1287" s="9"/>
      <c r="BR1287" s="9"/>
      <c r="BS1287" s="9"/>
      <c r="BT1287" s="9"/>
      <c r="BU1287" s="9"/>
      <c r="BV1287" s="9"/>
      <c r="BW1287" s="9"/>
      <c r="BX1287" s="9"/>
      <c r="BY1287" s="9"/>
      <c r="BZ1287" s="9"/>
    </row>
    <row r="1288" spans="4:78" ht="18" customHeight="1" x14ac:dyDescent="0.25"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S1288" s="9"/>
      <c r="T1288" s="9"/>
      <c r="U1288" s="9"/>
      <c r="W1288" s="9"/>
      <c r="X1288" s="9"/>
      <c r="Y1288" s="9"/>
      <c r="Z1288" s="9"/>
      <c r="AA1288" s="9"/>
      <c r="AB1288" s="9"/>
      <c r="AC1288" s="9"/>
      <c r="AD1288" s="9"/>
      <c r="AE1288" s="9"/>
      <c r="AF1288" s="9"/>
      <c r="AG1288" s="9"/>
      <c r="AH1288" s="9"/>
      <c r="AI1288" s="9"/>
      <c r="AJ1288" s="9"/>
      <c r="AK1288" s="9"/>
      <c r="AL1288" s="9"/>
      <c r="AM1288" s="9"/>
      <c r="AN1288" s="9"/>
      <c r="AO1288" s="9"/>
      <c r="AP1288" s="9"/>
      <c r="AQ1288" s="9"/>
      <c r="AR1288" s="9"/>
      <c r="AS1288" s="9"/>
      <c r="AT1288" s="9"/>
      <c r="AU1288" s="9"/>
      <c r="AV1288" s="9"/>
      <c r="AW1288" s="9"/>
      <c r="AX1288" s="9"/>
      <c r="AY1288" s="9"/>
      <c r="AZ1288" s="9"/>
      <c r="BA1288" s="9"/>
      <c r="BB1288" s="9"/>
      <c r="BC1288" s="9"/>
      <c r="BD1288" s="9"/>
      <c r="BE1288" s="9"/>
      <c r="BF1288" s="9"/>
      <c r="BG1288" s="9"/>
      <c r="BH1288" s="9"/>
      <c r="BI1288" s="9"/>
      <c r="BJ1288" s="9"/>
      <c r="BK1288" s="9"/>
      <c r="BL1288" s="9"/>
      <c r="BM1288" s="9"/>
      <c r="BN1288" s="9"/>
      <c r="BO1288" s="9"/>
      <c r="BP1288" s="9"/>
      <c r="BQ1288" s="9"/>
      <c r="BR1288" s="9"/>
      <c r="BS1288" s="9"/>
      <c r="BT1288" s="9"/>
      <c r="BU1288" s="9"/>
      <c r="BV1288" s="9"/>
      <c r="BW1288" s="9"/>
      <c r="BX1288" s="9"/>
      <c r="BY1288" s="9"/>
      <c r="BZ1288" s="9"/>
    </row>
    <row r="1289" spans="4:78" ht="18" customHeight="1" x14ac:dyDescent="0.25"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S1289" s="9"/>
      <c r="T1289" s="9"/>
      <c r="U1289" s="9"/>
      <c r="W1289" s="9"/>
      <c r="X1289" s="9"/>
      <c r="Y1289" s="9"/>
      <c r="Z1289" s="9"/>
      <c r="AA1289" s="9"/>
      <c r="AB1289" s="9"/>
      <c r="AC1289" s="9"/>
      <c r="AD1289" s="9"/>
      <c r="AE1289" s="9"/>
      <c r="AF1289" s="9"/>
      <c r="AG1289" s="9"/>
      <c r="AH1289" s="9"/>
      <c r="AI1289" s="9"/>
      <c r="AJ1289" s="9"/>
      <c r="AK1289" s="9"/>
      <c r="AL1289" s="9"/>
      <c r="AM1289" s="9"/>
      <c r="AN1289" s="9"/>
      <c r="AO1289" s="9"/>
      <c r="AP1289" s="9"/>
      <c r="AQ1289" s="9"/>
      <c r="AR1289" s="9"/>
      <c r="AS1289" s="9"/>
      <c r="AT1289" s="9"/>
      <c r="AU1289" s="9"/>
      <c r="AV1289" s="9"/>
      <c r="AW1289" s="9"/>
      <c r="AX1289" s="9"/>
      <c r="AY1289" s="9"/>
      <c r="AZ1289" s="9"/>
      <c r="BA1289" s="9"/>
      <c r="BB1289" s="9"/>
      <c r="BC1289" s="9"/>
      <c r="BD1289" s="9"/>
      <c r="BE1289" s="9"/>
      <c r="BF1289" s="9"/>
      <c r="BG1289" s="9"/>
      <c r="BH1289" s="9"/>
      <c r="BI1289" s="9"/>
      <c r="BJ1289" s="9"/>
      <c r="BK1289" s="9"/>
      <c r="BL1289" s="9"/>
      <c r="BM1289" s="9"/>
      <c r="BN1289" s="9"/>
      <c r="BO1289" s="9"/>
      <c r="BP1289" s="9"/>
      <c r="BQ1289" s="9"/>
      <c r="BR1289" s="9"/>
      <c r="BS1289" s="9"/>
      <c r="BT1289" s="9"/>
      <c r="BU1289" s="9"/>
      <c r="BV1289" s="9"/>
      <c r="BW1289" s="9"/>
      <c r="BX1289" s="9"/>
      <c r="BY1289" s="9"/>
      <c r="BZ1289" s="9"/>
    </row>
    <row r="1290" spans="4:78" ht="18" customHeight="1" x14ac:dyDescent="0.25"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S1290" s="9"/>
      <c r="T1290" s="9"/>
      <c r="U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9"/>
      <c r="AG1290" s="9"/>
      <c r="AH1290" s="9"/>
      <c r="AI1290" s="9"/>
      <c r="AJ1290" s="9"/>
      <c r="AK1290" s="9"/>
      <c r="AL1290" s="9"/>
      <c r="AM1290" s="9"/>
      <c r="AN1290" s="9"/>
      <c r="AO1290" s="9"/>
      <c r="AP1290" s="9"/>
      <c r="AQ1290" s="9"/>
      <c r="AR1290" s="9"/>
      <c r="AS1290" s="9"/>
      <c r="AT1290" s="9"/>
      <c r="AU1290" s="9"/>
      <c r="AV1290" s="9"/>
      <c r="AW1290" s="9"/>
      <c r="AX1290" s="9"/>
      <c r="AY1290" s="9"/>
      <c r="AZ1290" s="9"/>
      <c r="BA1290" s="9"/>
      <c r="BB1290" s="9"/>
      <c r="BC1290" s="9"/>
      <c r="BD1290" s="9"/>
      <c r="BE1290" s="9"/>
      <c r="BF1290" s="9"/>
      <c r="BG1290" s="9"/>
      <c r="BH1290" s="9"/>
      <c r="BI1290" s="9"/>
      <c r="BJ1290" s="9"/>
      <c r="BK1290" s="9"/>
      <c r="BL1290" s="9"/>
      <c r="BM1290" s="9"/>
      <c r="BN1290" s="9"/>
      <c r="BO1290" s="9"/>
      <c r="BP1290" s="9"/>
      <c r="BQ1290" s="9"/>
      <c r="BR1290" s="9"/>
      <c r="BS1290" s="9"/>
      <c r="BT1290" s="9"/>
      <c r="BU1290" s="9"/>
      <c r="BV1290" s="9"/>
      <c r="BW1290" s="9"/>
      <c r="BX1290" s="9"/>
      <c r="BY1290" s="9"/>
      <c r="BZ1290" s="9"/>
    </row>
    <row r="1291" spans="4:78" ht="18" customHeight="1" x14ac:dyDescent="0.25"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S1291" s="9"/>
      <c r="T1291" s="9"/>
      <c r="U1291" s="9"/>
      <c r="W1291" s="9"/>
      <c r="X1291" s="9"/>
      <c r="Y1291" s="9"/>
      <c r="Z1291" s="9"/>
      <c r="AA1291" s="9"/>
      <c r="AB1291" s="9"/>
      <c r="AC1291" s="9"/>
      <c r="AD1291" s="9"/>
      <c r="AE1291" s="9"/>
      <c r="AF1291" s="9"/>
      <c r="AG1291" s="9"/>
      <c r="AH1291" s="9"/>
      <c r="AI1291" s="9"/>
      <c r="AJ1291" s="9"/>
      <c r="AK1291" s="9"/>
      <c r="AL1291" s="9"/>
      <c r="AM1291" s="9"/>
      <c r="AN1291" s="9"/>
      <c r="AO1291" s="9"/>
      <c r="AP1291" s="9"/>
      <c r="AQ1291" s="9"/>
      <c r="AR1291" s="9"/>
      <c r="AS1291" s="9"/>
      <c r="AT1291" s="9"/>
      <c r="AU1291" s="9"/>
      <c r="AV1291" s="9"/>
      <c r="AW1291" s="9"/>
      <c r="AX1291" s="9"/>
      <c r="AY1291" s="9"/>
      <c r="AZ1291" s="9"/>
      <c r="BA1291" s="9"/>
      <c r="BB1291" s="9"/>
      <c r="BC1291" s="9"/>
      <c r="BD1291" s="9"/>
      <c r="BE1291" s="9"/>
      <c r="BF1291" s="9"/>
      <c r="BG1291" s="9"/>
      <c r="BH1291" s="9"/>
      <c r="BI1291" s="9"/>
      <c r="BJ1291" s="9"/>
      <c r="BK1291" s="9"/>
      <c r="BL1291" s="9"/>
      <c r="BM1291" s="9"/>
      <c r="BN1291" s="9"/>
      <c r="BO1291" s="9"/>
      <c r="BP1291" s="9"/>
      <c r="BQ1291" s="9"/>
      <c r="BR1291" s="9"/>
      <c r="BS1291" s="9"/>
      <c r="BT1291" s="9"/>
      <c r="BU1291" s="9"/>
      <c r="BV1291" s="9"/>
      <c r="BW1291" s="9"/>
      <c r="BX1291" s="9"/>
      <c r="BY1291" s="9"/>
      <c r="BZ1291" s="9"/>
    </row>
    <row r="1292" spans="4:78" ht="18" customHeight="1" x14ac:dyDescent="0.25"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S1292" s="9"/>
      <c r="T1292" s="9"/>
      <c r="U1292" s="9"/>
      <c r="W1292" s="9"/>
      <c r="X1292" s="9"/>
      <c r="Y1292" s="9"/>
      <c r="Z1292" s="9"/>
      <c r="AA1292" s="9"/>
      <c r="AB1292" s="9"/>
      <c r="AC1292" s="9"/>
      <c r="AD1292" s="9"/>
      <c r="AE1292" s="9"/>
      <c r="AF1292" s="9"/>
      <c r="AG1292" s="9"/>
      <c r="AH1292" s="9"/>
      <c r="AI1292" s="9"/>
      <c r="AJ1292" s="9"/>
      <c r="AK1292" s="9"/>
      <c r="AL1292" s="9"/>
      <c r="AM1292" s="9"/>
      <c r="AN1292" s="9"/>
      <c r="AO1292" s="9"/>
      <c r="AP1292" s="9"/>
      <c r="AQ1292" s="9"/>
      <c r="AR1292" s="9"/>
      <c r="AS1292" s="9"/>
      <c r="AT1292" s="9"/>
      <c r="AU1292" s="9"/>
      <c r="AV1292" s="9"/>
      <c r="AW1292" s="9"/>
      <c r="AX1292" s="9"/>
      <c r="AY1292" s="9"/>
      <c r="AZ1292" s="9"/>
      <c r="BA1292" s="9"/>
      <c r="BB1292" s="9"/>
      <c r="BC1292" s="9"/>
      <c r="BD1292" s="9"/>
      <c r="BE1292" s="9"/>
      <c r="BF1292" s="9"/>
      <c r="BG1292" s="9"/>
      <c r="BH1292" s="9"/>
      <c r="BI1292" s="9"/>
      <c r="BJ1292" s="9"/>
      <c r="BK1292" s="9"/>
      <c r="BL1292" s="9"/>
      <c r="BM1292" s="9"/>
      <c r="BN1292" s="9"/>
      <c r="BO1292" s="9"/>
      <c r="BP1292" s="9"/>
      <c r="BQ1292" s="9"/>
      <c r="BR1292" s="9"/>
      <c r="BS1292" s="9"/>
      <c r="BT1292" s="9"/>
      <c r="BU1292" s="9"/>
      <c r="BV1292" s="9"/>
      <c r="BW1292" s="9"/>
      <c r="BX1292" s="9"/>
      <c r="BY1292" s="9"/>
      <c r="BZ1292" s="9"/>
    </row>
    <row r="1293" spans="4:78" ht="18" customHeight="1" x14ac:dyDescent="0.25"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S1293" s="9"/>
      <c r="T1293" s="9"/>
      <c r="U1293" s="9"/>
      <c r="W1293" s="9"/>
      <c r="X1293" s="9"/>
      <c r="Y1293" s="9"/>
      <c r="Z1293" s="9"/>
      <c r="AA1293" s="9"/>
      <c r="AB1293" s="9"/>
      <c r="AC1293" s="9"/>
      <c r="AD1293" s="9"/>
      <c r="AE1293" s="9"/>
      <c r="AF1293" s="9"/>
      <c r="AG1293" s="9"/>
      <c r="AH1293" s="9"/>
      <c r="AI1293" s="9"/>
      <c r="AJ1293" s="9"/>
      <c r="AK1293" s="9"/>
      <c r="AL1293" s="9"/>
      <c r="AM1293" s="9"/>
      <c r="AN1293" s="9"/>
      <c r="AO1293" s="9"/>
      <c r="AP1293" s="9"/>
      <c r="AQ1293" s="9"/>
      <c r="AR1293" s="9"/>
      <c r="AS1293" s="9"/>
      <c r="AT1293" s="9"/>
      <c r="AU1293" s="9"/>
      <c r="AV1293" s="9"/>
      <c r="AW1293" s="9"/>
      <c r="AX1293" s="9"/>
      <c r="AY1293" s="9"/>
      <c r="AZ1293" s="9"/>
      <c r="BA1293" s="9"/>
      <c r="BB1293" s="9"/>
      <c r="BC1293" s="9"/>
      <c r="BD1293" s="9"/>
      <c r="BE1293" s="9"/>
      <c r="BF1293" s="9"/>
      <c r="BG1293" s="9"/>
      <c r="BH1293" s="9"/>
      <c r="BI1293" s="9"/>
      <c r="BJ1293" s="9"/>
      <c r="BK1293" s="9"/>
      <c r="BL1293" s="9"/>
      <c r="BM1293" s="9"/>
      <c r="BN1293" s="9"/>
      <c r="BO1293" s="9"/>
      <c r="BP1293" s="9"/>
      <c r="BQ1293" s="9"/>
      <c r="BR1293" s="9"/>
      <c r="BS1293" s="9"/>
      <c r="BT1293" s="9"/>
      <c r="BU1293" s="9"/>
      <c r="BV1293" s="9"/>
      <c r="BW1293" s="9"/>
      <c r="BX1293" s="9"/>
      <c r="BY1293" s="9"/>
      <c r="BZ1293" s="9"/>
    </row>
    <row r="1294" spans="4:78" ht="18" customHeight="1" x14ac:dyDescent="0.25"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S1294" s="9"/>
      <c r="T1294" s="9"/>
      <c r="U1294" s="9"/>
      <c r="W1294" s="9"/>
      <c r="X1294" s="9"/>
      <c r="Y1294" s="9"/>
      <c r="Z1294" s="9"/>
      <c r="AA1294" s="9"/>
      <c r="AB1294" s="9"/>
      <c r="AC1294" s="9"/>
      <c r="AD1294" s="9"/>
      <c r="AE1294" s="9"/>
      <c r="AF1294" s="9"/>
      <c r="AG1294" s="9"/>
      <c r="AH1294" s="9"/>
      <c r="AI1294" s="9"/>
      <c r="AJ1294" s="9"/>
      <c r="AK1294" s="9"/>
      <c r="AL1294" s="9"/>
      <c r="AM1294" s="9"/>
      <c r="AN1294" s="9"/>
      <c r="AO1294" s="9"/>
      <c r="AP1294" s="9"/>
      <c r="AQ1294" s="9"/>
      <c r="AR1294" s="9"/>
      <c r="AS1294" s="9"/>
      <c r="AT1294" s="9"/>
      <c r="AU1294" s="9"/>
      <c r="AV1294" s="9"/>
      <c r="AW1294" s="9"/>
      <c r="AX1294" s="9"/>
      <c r="AY1294" s="9"/>
      <c r="AZ1294" s="9"/>
      <c r="BA1294" s="9"/>
      <c r="BB1294" s="9"/>
      <c r="BC1294" s="9"/>
      <c r="BD1294" s="9"/>
      <c r="BE1294" s="9"/>
      <c r="BF1294" s="9"/>
      <c r="BG1294" s="9"/>
      <c r="BH1294" s="9"/>
      <c r="BI1294" s="9"/>
      <c r="BJ1294" s="9"/>
      <c r="BK1294" s="9"/>
      <c r="BL1294" s="9"/>
      <c r="BM1294" s="9"/>
      <c r="BN1294" s="9"/>
      <c r="BO1294" s="9"/>
      <c r="BP1294" s="9"/>
      <c r="BQ1294" s="9"/>
      <c r="BR1294" s="9"/>
      <c r="BS1294" s="9"/>
      <c r="BT1294" s="9"/>
      <c r="BU1294" s="9"/>
      <c r="BV1294" s="9"/>
      <c r="BW1294" s="9"/>
      <c r="BX1294" s="9"/>
      <c r="BY1294" s="9"/>
      <c r="BZ1294" s="9"/>
    </row>
    <row r="1295" spans="4:78" ht="18" customHeight="1" x14ac:dyDescent="0.25"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S1295" s="9"/>
      <c r="T1295" s="9"/>
      <c r="U1295" s="9"/>
      <c r="W1295" s="9"/>
      <c r="X1295" s="9"/>
      <c r="Y1295" s="9"/>
      <c r="Z1295" s="9"/>
      <c r="AA1295" s="9"/>
      <c r="AB1295" s="9"/>
      <c r="AC1295" s="9"/>
      <c r="AD1295" s="9"/>
      <c r="AE1295" s="9"/>
      <c r="AF1295" s="9"/>
      <c r="AG1295" s="9"/>
      <c r="AH1295" s="9"/>
      <c r="AI1295" s="9"/>
      <c r="AJ1295" s="9"/>
      <c r="AK1295" s="9"/>
      <c r="AL1295" s="9"/>
      <c r="AM1295" s="9"/>
      <c r="AN1295" s="9"/>
      <c r="AO1295" s="9"/>
      <c r="AP1295" s="9"/>
      <c r="AQ1295" s="9"/>
      <c r="AR1295" s="9"/>
      <c r="AS1295" s="9"/>
      <c r="AT1295" s="9"/>
      <c r="AU1295" s="9"/>
      <c r="AV1295" s="9"/>
      <c r="AW1295" s="9"/>
      <c r="AX1295" s="9"/>
      <c r="AY1295" s="9"/>
      <c r="AZ1295" s="9"/>
      <c r="BA1295" s="9"/>
      <c r="BB1295" s="9"/>
      <c r="BC1295" s="9"/>
      <c r="BD1295" s="9"/>
      <c r="BE1295" s="9"/>
      <c r="BF1295" s="9"/>
      <c r="BG1295" s="9"/>
      <c r="BH1295" s="9"/>
      <c r="BI1295" s="9"/>
      <c r="BJ1295" s="9"/>
      <c r="BK1295" s="9"/>
      <c r="BL1295" s="9"/>
      <c r="BM1295" s="9"/>
      <c r="BN1295" s="9"/>
      <c r="BO1295" s="9"/>
      <c r="BP1295" s="9"/>
      <c r="BQ1295" s="9"/>
      <c r="BR1295" s="9"/>
      <c r="BS1295" s="9"/>
      <c r="BT1295" s="9"/>
      <c r="BU1295" s="9"/>
      <c r="BV1295" s="9"/>
      <c r="BW1295" s="9"/>
      <c r="BX1295" s="9"/>
      <c r="BY1295" s="9"/>
      <c r="BZ1295" s="9"/>
    </row>
    <row r="1296" spans="4:78" ht="18" customHeight="1" x14ac:dyDescent="0.25"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S1296" s="9"/>
      <c r="T1296" s="9"/>
      <c r="U1296" s="9"/>
      <c r="W1296" s="9"/>
      <c r="X1296" s="9"/>
      <c r="Y1296" s="9"/>
      <c r="Z1296" s="9"/>
      <c r="AA1296" s="9"/>
      <c r="AB1296" s="9"/>
      <c r="AC1296" s="9"/>
      <c r="AD1296" s="9"/>
      <c r="AE1296" s="9"/>
      <c r="AF1296" s="9"/>
      <c r="AG1296" s="9"/>
      <c r="AH1296" s="9"/>
      <c r="AI1296" s="9"/>
      <c r="AJ1296" s="9"/>
      <c r="AK1296" s="9"/>
      <c r="AL1296" s="9"/>
      <c r="AM1296" s="9"/>
      <c r="AN1296" s="9"/>
      <c r="AO1296" s="9"/>
      <c r="AP1296" s="9"/>
      <c r="AQ1296" s="9"/>
      <c r="AR1296" s="9"/>
      <c r="AS1296" s="9"/>
      <c r="AT1296" s="9"/>
      <c r="AU1296" s="9"/>
      <c r="AV1296" s="9"/>
      <c r="AW1296" s="9"/>
      <c r="AX1296" s="9"/>
      <c r="AY1296" s="9"/>
      <c r="AZ1296" s="9"/>
      <c r="BA1296" s="9"/>
      <c r="BB1296" s="9"/>
      <c r="BC1296" s="9"/>
      <c r="BD1296" s="9"/>
      <c r="BE1296" s="9"/>
      <c r="BF1296" s="9"/>
      <c r="BG1296" s="9"/>
      <c r="BH1296" s="9"/>
      <c r="BI1296" s="9"/>
      <c r="BJ1296" s="9"/>
      <c r="BK1296" s="9"/>
      <c r="BL1296" s="9"/>
      <c r="BM1296" s="9"/>
      <c r="BN1296" s="9"/>
      <c r="BO1296" s="9"/>
      <c r="BP1296" s="9"/>
      <c r="BQ1296" s="9"/>
      <c r="BR1296" s="9"/>
      <c r="BS1296" s="9"/>
      <c r="BT1296" s="9"/>
      <c r="BU1296" s="9"/>
      <c r="BV1296" s="9"/>
      <c r="BW1296" s="9"/>
      <c r="BX1296" s="9"/>
      <c r="BY1296" s="9"/>
      <c r="BZ1296" s="9"/>
    </row>
    <row r="1297" spans="4:78" ht="18" customHeight="1" x14ac:dyDescent="0.25"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S1297" s="9"/>
      <c r="T1297" s="9"/>
      <c r="U1297" s="9"/>
      <c r="W1297" s="9"/>
      <c r="X1297" s="9"/>
      <c r="Y1297" s="9"/>
      <c r="Z1297" s="9"/>
      <c r="AA1297" s="9"/>
      <c r="AB1297" s="9"/>
      <c r="AC1297" s="9"/>
      <c r="AD1297" s="9"/>
      <c r="AE1297" s="9"/>
      <c r="AF1297" s="9"/>
      <c r="AG1297" s="9"/>
      <c r="AH1297" s="9"/>
      <c r="AI1297" s="9"/>
      <c r="AJ1297" s="9"/>
      <c r="AK1297" s="9"/>
      <c r="AL1297" s="9"/>
      <c r="AM1297" s="9"/>
      <c r="AN1297" s="9"/>
      <c r="AO1297" s="9"/>
      <c r="AP1297" s="9"/>
      <c r="AQ1297" s="9"/>
      <c r="AR1297" s="9"/>
      <c r="AS1297" s="9"/>
      <c r="AT1297" s="9"/>
      <c r="AU1297" s="9"/>
      <c r="AV1297" s="9"/>
      <c r="AW1297" s="9"/>
      <c r="AX1297" s="9"/>
      <c r="AY1297" s="9"/>
      <c r="AZ1297" s="9"/>
      <c r="BA1297" s="9"/>
      <c r="BB1297" s="9"/>
      <c r="BC1297" s="9"/>
      <c r="BD1297" s="9"/>
      <c r="BE1297" s="9"/>
      <c r="BF1297" s="9"/>
      <c r="BG1297" s="9"/>
      <c r="BH1297" s="9"/>
      <c r="BI1297" s="9"/>
      <c r="BJ1297" s="9"/>
      <c r="BK1297" s="9"/>
      <c r="BL1297" s="9"/>
      <c r="BM1297" s="9"/>
      <c r="BN1297" s="9"/>
      <c r="BO1297" s="9"/>
      <c r="BP1297" s="9"/>
      <c r="BQ1297" s="9"/>
      <c r="BR1297" s="9"/>
      <c r="BS1297" s="9"/>
      <c r="BT1297" s="9"/>
      <c r="BU1297" s="9"/>
      <c r="BV1297" s="9"/>
      <c r="BW1297" s="9"/>
      <c r="BX1297" s="9"/>
      <c r="BY1297" s="9"/>
      <c r="BZ1297" s="9"/>
    </row>
    <row r="1298" spans="4:78" ht="18" customHeight="1" x14ac:dyDescent="0.25"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S1298" s="9"/>
      <c r="T1298" s="9"/>
      <c r="U1298" s="9"/>
      <c r="W1298" s="9"/>
      <c r="X1298" s="9"/>
      <c r="Y1298" s="9"/>
      <c r="Z1298" s="9"/>
      <c r="AA1298" s="9"/>
      <c r="AB1298" s="9"/>
      <c r="AC1298" s="9"/>
      <c r="AD1298" s="9"/>
      <c r="AE1298" s="9"/>
      <c r="AF1298" s="9"/>
      <c r="AG1298" s="9"/>
      <c r="AH1298" s="9"/>
      <c r="AI1298" s="9"/>
      <c r="AJ1298" s="9"/>
      <c r="AK1298" s="9"/>
      <c r="AL1298" s="9"/>
      <c r="AM1298" s="9"/>
      <c r="AN1298" s="9"/>
      <c r="AO1298" s="9"/>
      <c r="AP1298" s="9"/>
      <c r="AQ1298" s="9"/>
      <c r="AR1298" s="9"/>
      <c r="AS1298" s="9"/>
      <c r="AT1298" s="9"/>
      <c r="AU1298" s="9"/>
      <c r="AV1298" s="9"/>
      <c r="AW1298" s="9"/>
      <c r="AX1298" s="9"/>
      <c r="AY1298" s="9"/>
      <c r="AZ1298" s="9"/>
      <c r="BA1298" s="9"/>
      <c r="BB1298" s="9"/>
      <c r="BC1298" s="9"/>
      <c r="BD1298" s="9"/>
      <c r="BE1298" s="9"/>
      <c r="BF1298" s="9"/>
      <c r="BG1298" s="9"/>
      <c r="BH1298" s="9"/>
      <c r="BI1298" s="9"/>
      <c r="BJ1298" s="9"/>
      <c r="BK1298" s="9"/>
      <c r="BL1298" s="9"/>
      <c r="BM1298" s="9"/>
      <c r="BN1298" s="9"/>
      <c r="BO1298" s="9"/>
      <c r="BP1298" s="9"/>
      <c r="BQ1298" s="9"/>
      <c r="BR1298" s="9"/>
      <c r="BS1298" s="9"/>
      <c r="BT1298" s="9"/>
      <c r="BU1298" s="9"/>
      <c r="BV1298" s="9"/>
      <c r="BW1298" s="9"/>
      <c r="BX1298" s="9"/>
      <c r="BY1298" s="9"/>
      <c r="BZ1298" s="9"/>
    </row>
    <row r="1299" spans="4:78" ht="18" customHeight="1" x14ac:dyDescent="0.25"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S1299" s="9"/>
      <c r="T1299" s="9"/>
      <c r="U1299" s="9"/>
      <c r="W1299" s="9"/>
      <c r="X1299" s="9"/>
      <c r="Y1299" s="9"/>
      <c r="Z1299" s="9"/>
      <c r="AA1299" s="9"/>
      <c r="AB1299" s="9"/>
      <c r="AC1299" s="9"/>
      <c r="AD1299" s="9"/>
      <c r="AE1299" s="9"/>
      <c r="AF1299" s="9"/>
      <c r="AG1299" s="9"/>
      <c r="AH1299" s="9"/>
      <c r="AI1299" s="9"/>
      <c r="AJ1299" s="9"/>
      <c r="AK1299" s="9"/>
      <c r="AL1299" s="9"/>
      <c r="AM1299" s="9"/>
      <c r="AN1299" s="9"/>
      <c r="AO1299" s="9"/>
      <c r="AP1299" s="9"/>
      <c r="AQ1299" s="9"/>
      <c r="AR1299" s="9"/>
      <c r="AS1299" s="9"/>
      <c r="AT1299" s="9"/>
      <c r="AU1299" s="9"/>
      <c r="AV1299" s="9"/>
      <c r="AW1299" s="9"/>
      <c r="AX1299" s="9"/>
      <c r="AY1299" s="9"/>
      <c r="AZ1299" s="9"/>
      <c r="BA1299" s="9"/>
      <c r="BB1299" s="9"/>
      <c r="BC1299" s="9"/>
      <c r="BD1299" s="9"/>
      <c r="BE1299" s="9"/>
      <c r="BF1299" s="9"/>
      <c r="BG1299" s="9"/>
      <c r="BH1299" s="9"/>
      <c r="BI1299" s="9"/>
      <c r="BJ1299" s="9"/>
      <c r="BK1299" s="9"/>
      <c r="BL1299" s="9"/>
      <c r="BM1299" s="9"/>
      <c r="BN1299" s="9"/>
      <c r="BO1299" s="9"/>
      <c r="BP1299" s="9"/>
      <c r="BQ1299" s="9"/>
      <c r="BR1299" s="9"/>
      <c r="BS1299" s="9"/>
      <c r="BT1299" s="9"/>
      <c r="BU1299" s="9"/>
      <c r="BV1299" s="9"/>
      <c r="BW1299" s="9"/>
      <c r="BX1299" s="9"/>
      <c r="BY1299" s="9"/>
      <c r="BZ1299" s="9"/>
    </row>
    <row r="1300" spans="4:78" ht="18" customHeight="1" x14ac:dyDescent="0.25"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S1300" s="9"/>
      <c r="T1300" s="9"/>
      <c r="U1300" s="9"/>
      <c r="W1300" s="9"/>
      <c r="X1300" s="9"/>
      <c r="Y1300" s="9"/>
      <c r="Z1300" s="9"/>
      <c r="AA1300" s="9"/>
      <c r="AB1300" s="9"/>
      <c r="AC1300" s="9"/>
      <c r="AD1300" s="9"/>
      <c r="AE1300" s="9"/>
      <c r="AF1300" s="9"/>
      <c r="AG1300" s="9"/>
      <c r="AH1300" s="9"/>
      <c r="AI1300" s="9"/>
      <c r="AJ1300" s="9"/>
      <c r="AK1300" s="9"/>
      <c r="AL1300" s="9"/>
      <c r="AM1300" s="9"/>
      <c r="AN1300" s="9"/>
      <c r="AO1300" s="9"/>
      <c r="AP1300" s="9"/>
      <c r="AQ1300" s="9"/>
      <c r="AR1300" s="9"/>
      <c r="AS1300" s="9"/>
      <c r="AT1300" s="9"/>
      <c r="AU1300" s="9"/>
      <c r="AV1300" s="9"/>
      <c r="AW1300" s="9"/>
      <c r="AX1300" s="9"/>
      <c r="AY1300" s="9"/>
      <c r="AZ1300" s="9"/>
      <c r="BA1300" s="9"/>
      <c r="BB1300" s="9"/>
      <c r="BC1300" s="9"/>
      <c r="BD1300" s="9"/>
      <c r="BE1300" s="9"/>
      <c r="BF1300" s="9"/>
      <c r="BG1300" s="9"/>
      <c r="BH1300" s="9"/>
      <c r="BI1300" s="9"/>
      <c r="BJ1300" s="9"/>
      <c r="BK1300" s="9"/>
      <c r="BL1300" s="9"/>
      <c r="BM1300" s="9"/>
      <c r="BN1300" s="9"/>
      <c r="BO1300" s="9"/>
      <c r="BP1300" s="9"/>
      <c r="BQ1300" s="9"/>
      <c r="BR1300" s="9"/>
      <c r="BS1300" s="9"/>
      <c r="BT1300" s="9"/>
      <c r="BU1300" s="9"/>
      <c r="BV1300" s="9"/>
      <c r="BW1300" s="9"/>
      <c r="BX1300" s="9"/>
      <c r="BY1300" s="9"/>
      <c r="BZ1300" s="9"/>
    </row>
    <row r="1301" spans="4:78" ht="18" customHeight="1" x14ac:dyDescent="0.25"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S1301" s="9"/>
      <c r="T1301" s="9"/>
      <c r="U1301" s="9"/>
      <c r="W1301" s="9"/>
      <c r="X1301" s="9"/>
      <c r="Y1301" s="9"/>
      <c r="Z1301" s="9"/>
      <c r="AA1301" s="9"/>
      <c r="AB1301" s="9"/>
      <c r="AC1301" s="9"/>
      <c r="AD1301" s="9"/>
      <c r="AE1301" s="9"/>
      <c r="AF1301" s="9"/>
      <c r="AG1301" s="9"/>
      <c r="AH1301" s="9"/>
      <c r="AI1301" s="9"/>
      <c r="AJ1301" s="9"/>
      <c r="AK1301" s="9"/>
      <c r="AL1301" s="9"/>
      <c r="AM1301" s="9"/>
      <c r="AN1301" s="9"/>
      <c r="AO1301" s="9"/>
      <c r="AP1301" s="9"/>
      <c r="AQ1301" s="9"/>
      <c r="AR1301" s="9"/>
      <c r="AS1301" s="9"/>
      <c r="AT1301" s="9"/>
      <c r="AU1301" s="9"/>
      <c r="AV1301" s="9"/>
      <c r="AW1301" s="9"/>
      <c r="AX1301" s="9"/>
      <c r="AY1301" s="9"/>
      <c r="AZ1301" s="9"/>
      <c r="BA1301" s="9"/>
      <c r="BB1301" s="9"/>
      <c r="BC1301" s="9"/>
      <c r="BD1301" s="9"/>
      <c r="BE1301" s="9"/>
      <c r="BF1301" s="9"/>
      <c r="BG1301" s="9"/>
      <c r="BH1301" s="9"/>
      <c r="BI1301" s="9"/>
      <c r="BJ1301" s="9"/>
      <c r="BK1301" s="9"/>
      <c r="BL1301" s="9"/>
      <c r="BM1301" s="9"/>
      <c r="BN1301" s="9"/>
      <c r="BO1301" s="9"/>
      <c r="BP1301" s="9"/>
      <c r="BQ1301" s="9"/>
      <c r="BR1301" s="9"/>
      <c r="BS1301" s="9"/>
      <c r="BT1301" s="9"/>
      <c r="BU1301" s="9"/>
      <c r="BV1301" s="9"/>
      <c r="BW1301" s="9"/>
      <c r="BX1301" s="9"/>
      <c r="BY1301" s="9"/>
      <c r="BZ1301" s="9"/>
    </row>
    <row r="1302" spans="4:78" ht="18" customHeight="1" x14ac:dyDescent="0.25"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S1302" s="9"/>
      <c r="T1302" s="9"/>
      <c r="U1302" s="9"/>
      <c r="W1302" s="9"/>
      <c r="X1302" s="9"/>
      <c r="Y1302" s="9"/>
      <c r="Z1302" s="9"/>
      <c r="AA1302" s="9"/>
      <c r="AB1302" s="9"/>
      <c r="AC1302" s="9"/>
      <c r="AD1302" s="9"/>
      <c r="AE1302" s="9"/>
      <c r="AF1302" s="9"/>
      <c r="AG1302" s="9"/>
      <c r="AH1302" s="9"/>
      <c r="AI1302" s="9"/>
      <c r="AJ1302" s="9"/>
      <c r="AK1302" s="9"/>
      <c r="AL1302" s="9"/>
      <c r="AM1302" s="9"/>
      <c r="AN1302" s="9"/>
      <c r="AO1302" s="9"/>
      <c r="AP1302" s="9"/>
      <c r="AQ1302" s="9"/>
      <c r="AR1302" s="9"/>
      <c r="AS1302" s="9"/>
      <c r="AT1302" s="9"/>
      <c r="AU1302" s="9"/>
      <c r="AV1302" s="9"/>
      <c r="AW1302" s="9"/>
      <c r="AX1302" s="9"/>
      <c r="AY1302" s="9"/>
      <c r="AZ1302" s="9"/>
      <c r="BA1302" s="9"/>
      <c r="BB1302" s="9"/>
      <c r="BC1302" s="9"/>
      <c r="BD1302" s="9"/>
      <c r="BE1302" s="9"/>
      <c r="BF1302" s="9"/>
      <c r="BG1302" s="9"/>
      <c r="BH1302" s="9"/>
      <c r="BI1302" s="9"/>
      <c r="BJ1302" s="9"/>
      <c r="BK1302" s="9"/>
      <c r="BL1302" s="9"/>
      <c r="BM1302" s="9"/>
      <c r="BN1302" s="9"/>
      <c r="BO1302" s="9"/>
      <c r="BP1302" s="9"/>
      <c r="BQ1302" s="9"/>
      <c r="BR1302" s="9"/>
      <c r="BS1302" s="9"/>
      <c r="BT1302" s="9"/>
      <c r="BU1302" s="9"/>
      <c r="BV1302" s="9"/>
      <c r="BW1302" s="9"/>
      <c r="BX1302" s="9"/>
      <c r="BY1302" s="9"/>
      <c r="BZ1302" s="9"/>
    </row>
    <row r="1303" spans="4:78" ht="18" customHeight="1" x14ac:dyDescent="0.25"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S1303" s="9"/>
      <c r="T1303" s="9"/>
      <c r="U1303" s="9"/>
      <c r="W1303" s="9"/>
      <c r="X1303" s="9"/>
      <c r="Y1303" s="9"/>
      <c r="Z1303" s="9"/>
      <c r="AA1303" s="9"/>
      <c r="AB1303" s="9"/>
      <c r="AC1303" s="9"/>
      <c r="AD1303" s="9"/>
      <c r="AE1303" s="9"/>
      <c r="AF1303" s="9"/>
      <c r="AG1303" s="9"/>
      <c r="AH1303" s="9"/>
      <c r="AI1303" s="9"/>
      <c r="AJ1303" s="9"/>
      <c r="AK1303" s="9"/>
      <c r="AL1303" s="9"/>
      <c r="AM1303" s="9"/>
      <c r="AN1303" s="9"/>
      <c r="AO1303" s="9"/>
      <c r="AP1303" s="9"/>
      <c r="AQ1303" s="9"/>
      <c r="AR1303" s="9"/>
      <c r="AS1303" s="9"/>
      <c r="AT1303" s="9"/>
      <c r="AU1303" s="9"/>
      <c r="AV1303" s="9"/>
      <c r="AW1303" s="9"/>
      <c r="AX1303" s="9"/>
      <c r="AY1303" s="9"/>
      <c r="AZ1303" s="9"/>
      <c r="BA1303" s="9"/>
      <c r="BB1303" s="9"/>
      <c r="BC1303" s="9"/>
      <c r="BD1303" s="9"/>
      <c r="BE1303" s="9"/>
      <c r="BF1303" s="9"/>
      <c r="BG1303" s="9"/>
      <c r="BH1303" s="9"/>
      <c r="BI1303" s="9"/>
      <c r="BJ1303" s="9"/>
      <c r="BK1303" s="9"/>
      <c r="BL1303" s="9"/>
      <c r="BM1303" s="9"/>
      <c r="BN1303" s="9"/>
      <c r="BO1303" s="9"/>
      <c r="BP1303" s="9"/>
      <c r="BQ1303" s="9"/>
      <c r="BR1303" s="9"/>
      <c r="BS1303" s="9"/>
      <c r="BT1303" s="9"/>
      <c r="BU1303" s="9"/>
      <c r="BV1303" s="9"/>
      <c r="BW1303" s="9"/>
      <c r="BX1303" s="9"/>
      <c r="BY1303" s="9"/>
      <c r="BZ1303" s="9"/>
    </row>
    <row r="1304" spans="4:78" ht="18" customHeight="1" x14ac:dyDescent="0.25"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S1304" s="9"/>
      <c r="T1304" s="9"/>
      <c r="U1304" s="9"/>
      <c r="W1304" s="9"/>
      <c r="X1304" s="9"/>
      <c r="Y1304" s="9"/>
      <c r="Z1304" s="9"/>
      <c r="AA1304" s="9"/>
      <c r="AB1304" s="9"/>
      <c r="AC1304" s="9"/>
      <c r="AD1304" s="9"/>
      <c r="AE1304" s="9"/>
      <c r="AF1304" s="9"/>
      <c r="AG1304" s="9"/>
      <c r="AH1304" s="9"/>
      <c r="AI1304" s="9"/>
      <c r="AJ1304" s="9"/>
      <c r="AK1304" s="9"/>
      <c r="AL1304" s="9"/>
      <c r="AM1304" s="9"/>
      <c r="AN1304" s="9"/>
      <c r="AO1304" s="9"/>
      <c r="AP1304" s="9"/>
      <c r="AQ1304" s="9"/>
      <c r="AR1304" s="9"/>
      <c r="AS1304" s="9"/>
      <c r="AT1304" s="9"/>
      <c r="AU1304" s="9"/>
      <c r="AV1304" s="9"/>
      <c r="AW1304" s="9"/>
      <c r="AX1304" s="9"/>
      <c r="AY1304" s="9"/>
      <c r="AZ1304" s="9"/>
      <c r="BA1304" s="9"/>
      <c r="BB1304" s="9"/>
      <c r="BC1304" s="9"/>
      <c r="BD1304" s="9"/>
      <c r="BE1304" s="9"/>
      <c r="BF1304" s="9"/>
      <c r="BG1304" s="9"/>
      <c r="BH1304" s="9"/>
      <c r="BI1304" s="9"/>
      <c r="BJ1304" s="9"/>
      <c r="BK1304" s="9"/>
      <c r="BL1304" s="9"/>
      <c r="BM1304" s="9"/>
      <c r="BN1304" s="9"/>
      <c r="BO1304" s="9"/>
      <c r="BP1304" s="9"/>
      <c r="BQ1304" s="9"/>
      <c r="BR1304" s="9"/>
      <c r="BS1304" s="9"/>
      <c r="BT1304" s="9"/>
      <c r="BU1304" s="9"/>
      <c r="BV1304" s="9"/>
      <c r="BW1304" s="9"/>
      <c r="BX1304" s="9"/>
      <c r="BY1304" s="9"/>
      <c r="BZ1304" s="9"/>
    </row>
    <row r="1305" spans="4:78" ht="18" customHeight="1" x14ac:dyDescent="0.25"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S1305" s="9"/>
      <c r="T1305" s="9"/>
      <c r="U1305" s="9"/>
      <c r="W1305" s="9"/>
      <c r="X1305" s="9"/>
      <c r="Y1305" s="9"/>
      <c r="Z1305" s="9"/>
      <c r="AA1305" s="9"/>
      <c r="AB1305" s="9"/>
      <c r="AC1305" s="9"/>
      <c r="AD1305" s="9"/>
      <c r="AE1305" s="9"/>
      <c r="AF1305" s="9"/>
      <c r="AG1305" s="9"/>
      <c r="AH1305" s="9"/>
      <c r="AI1305" s="9"/>
      <c r="AJ1305" s="9"/>
      <c r="AK1305" s="9"/>
      <c r="AL1305" s="9"/>
      <c r="AM1305" s="9"/>
      <c r="AN1305" s="9"/>
      <c r="AO1305" s="9"/>
      <c r="AP1305" s="9"/>
      <c r="AQ1305" s="9"/>
      <c r="AR1305" s="9"/>
      <c r="AS1305" s="9"/>
      <c r="AT1305" s="9"/>
      <c r="AU1305" s="9"/>
      <c r="AV1305" s="9"/>
      <c r="AW1305" s="9"/>
      <c r="AX1305" s="9"/>
      <c r="AY1305" s="9"/>
      <c r="AZ1305" s="9"/>
      <c r="BA1305" s="9"/>
      <c r="BB1305" s="9"/>
      <c r="BC1305" s="9"/>
      <c r="BD1305" s="9"/>
      <c r="BE1305" s="9"/>
      <c r="BF1305" s="9"/>
      <c r="BG1305" s="9"/>
      <c r="BH1305" s="9"/>
      <c r="BI1305" s="9"/>
      <c r="BJ1305" s="9"/>
      <c r="BK1305" s="9"/>
      <c r="BL1305" s="9"/>
      <c r="BM1305" s="9"/>
      <c r="BN1305" s="9"/>
      <c r="BO1305" s="9"/>
      <c r="BP1305" s="9"/>
      <c r="BQ1305" s="9"/>
      <c r="BR1305" s="9"/>
      <c r="BS1305" s="9"/>
      <c r="BT1305" s="9"/>
      <c r="BU1305" s="9"/>
      <c r="BV1305" s="9"/>
      <c r="BW1305" s="9"/>
      <c r="BX1305" s="9"/>
      <c r="BY1305" s="9"/>
      <c r="BZ1305" s="9"/>
    </row>
    <row r="1306" spans="4:78" ht="18" customHeight="1" x14ac:dyDescent="0.25"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S1306" s="9"/>
      <c r="T1306" s="9"/>
      <c r="U1306" s="9"/>
      <c r="W1306" s="9"/>
      <c r="X1306" s="9"/>
      <c r="Y1306" s="9"/>
      <c r="Z1306" s="9"/>
      <c r="AA1306" s="9"/>
      <c r="AB1306" s="9"/>
      <c r="AC1306" s="9"/>
      <c r="AD1306" s="9"/>
      <c r="AE1306" s="9"/>
      <c r="AF1306" s="9"/>
      <c r="AG1306" s="9"/>
      <c r="AH1306" s="9"/>
      <c r="AI1306" s="9"/>
      <c r="AJ1306" s="9"/>
      <c r="AK1306" s="9"/>
      <c r="AL1306" s="9"/>
      <c r="AM1306" s="9"/>
      <c r="AN1306" s="9"/>
      <c r="AO1306" s="9"/>
      <c r="AP1306" s="9"/>
      <c r="AQ1306" s="9"/>
      <c r="AR1306" s="9"/>
      <c r="AS1306" s="9"/>
      <c r="AT1306" s="9"/>
      <c r="AU1306" s="9"/>
      <c r="AV1306" s="9"/>
      <c r="AW1306" s="9"/>
      <c r="AX1306" s="9"/>
      <c r="AY1306" s="9"/>
      <c r="AZ1306" s="9"/>
      <c r="BA1306" s="9"/>
      <c r="BB1306" s="9"/>
      <c r="BC1306" s="9"/>
      <c r="BD1306" s="9"/>
      <c r="BE1306" s="9"/>
      <c r="BF1306" s="9"/>
      <c r="BG1306" s="9"/>
      <c r="BH1306" s="9"/>
      <c r="BI1306" s="9"/>
      <c r="BJ1306" s="9"/>
      <c r="BK1306" s="9"/>
      <c r="BL1306" s="9"/>
      <c r="BM1306" s="9"/>
      <c r="BN1306" s="9"/>
      <c r="BO1306" s="9"/>
      <c r="BP1306" s="9"/>
      <c r="BQ1306" s="9"/>
      <c r="BR1306" s="9"/>
      <c r="BS1306" s="9"/>
      <c r="BT1306" s="9"/>
      <c r="BU1306" s="9"/>
      <c r="BV1306" s="9"/>
      <c r="BW1306" s="9"/>
      <c r="BX1306" s="9"/>
      <c r="BY1306" s="9"/>
      <c r="BZ1306" s="9"/>
    </row>
    <row r="1307" spans="4:78" ht="18" customHeight="1" x14ac:dyDescent="0.25"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S1307" s="9"/>
      <c r="T1307" s="9"/>
      <c r="U1307" s="9"/>
      <c r="W1307" s="9"/>
      <c r="X1307" s="9"/>
      <c r="Y1307" s="9"/>
      <c r="Z1307" s="9"/>
      <c r="AA1307" s="9"/>
      <c r="AB1307" s="9"/>
      <c r="AC1307" s="9"/>
      <c r="AD1307" s="9"/>
      <c r="AE1307" s="9"/>
      <c r="AF1307" s="9"/>
      <c r="AG1307" s="9"/>
      <c r="AH1307" s="9"/>
      <c r="AI1307" s="9"/>
      <c r="AJ1307" s="9"/>
      <c r="AK1307" s="9"/>
      <c r="AL1307" s="9"/>
      <c r="AM1307" s="9"/>
      <c r="AN1307" s="9"/>
      <c r="AO1307" s="9"/>
      <c r="AP1307" s="9"/>
      <c r="AQ1307" s="9"/>
      <c r="AR1307" s="9"/>
      <c r="AS1307" s="9"/>
      <c r="AT1307" s="9"/>
      <c r="AU1307" s="9"/>
      <c r="AV1307" s="9"/>
      <c r="AW1307" s="9"/>
      <c r="AX1307" s="9"/>
      <c r="AY1307" s="9"/>
      <c r="AZ1307" s="9"/>
      <c r="BA1307" s="9"/>
      <c r="BB1307" s="9"/>
      <c r="BC1307" s="9"/>
      <c r="BD1307" s="9"/>
      <c r="BE1307" s="9"/>
      <c r="BF1307" s="9"/>
      <c r="BG1307" s="9"/>
      <c r="BH1307" s="9"/>
      <c r="BI1307" s="9"/>
      <c r="BJ1307" s="9"/>
      <c r="BK1307" s="9"/>
      <c r="BL1307" s="9"/>
      <c r="BM1307" s="9"/>
      <c r="BN1307" s="9"/>
      <c r="BO1307" s="9"/>
      <c r="BP1307" s="9"/>
      <c r="BQ1307" s="9"/>
      <c r="BR1307" s="9"/>
      <c r="BS1307" s="9"/>
      <c r="BT1307" s="9"/>
      <c r="BU1307" s="9"/>
      <c r="BV1307" s="9"/>
      <c r="BW1307" s="9"/>
      <c r="BX1307" s="9"/>
      <c r="BY1307" s="9"/>
      <c r="BZ1307" s="9"/>
    </row>
    <row r="1308" spans="4:78" ht="18" customHeight="1" x14ac:dyDescent="0.25"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S1308" s="9"/>
      <c r="T1308" s="9"/>
      <c r="U1308" s="9"/>
      <c r="W1308" s="9"/>
      <c r="X1308" s="9"/>
      <c r="Y1308" s="9"/>
      <c r="Z1308" s="9"/>
      <c r="AA1308" s="9"/>
      <c r="AB1308" s="9"/>
      <c r="AC1308" s="9"/>
      <c r="AD1308" s="9"/>
      <c r="AE1308" s="9"/>
      <c r="AF1308" s="9"/>
      <c r="AG1308" s="9"/>
      <c r="AH1308" s="9"/>
      <c r="AI1308" s="9"/>
      <c r="AJ1308" s="9"/>
      <c r="AK1308" s="9"/>
      <c r="AL1308" s="9"/>
      <c r="AM1308" s="9"/>
      <c r="AN1308" s="9"/>
      <c r="AO1308" s="9"/>
      <c r="AP1308" s="9"/>
      <c r="AQ1308" s="9"/>
      <c r="AR1308" s="9"/>
      <c r="AS1308" s="9"/>
      <c r="AT1308" s="9"/>
      <c r="AU1308" s="9"/>
      <c r="AV1308" s="9"/>
      <c r="AW1308" s="9"/>
      <c r="AX1308" s="9"/>
      <c r="AY1308" s="9"/>
      <c r="AZ1308" s="9"/>
      <c r="BA1308" s="9"/>
      <c r="BB1308" s="9"/>
      <c r="BC1308" s="9"/>
      <c r="BD1308" s="9"/>
      <c r="BE1308" s="9"/>
      <c r="BF1308" s="9"/>
      <c r="BG1308" s="9"/>
      <c r="BH1308" s="9"/>
      <c r="BI1308" s="9"/>
      <c r="BJ1308" s="9"/>
      <c r="BK1308" s="9"/>
      <c r="BL1308" s="9"/>
      <c r="BM1308" s="9"/>
      <c r="BN1308" s="9"/>
      <c r="BO1308" s="9"/>
      <c r="BP1308" s="9"/>
      <c r="BQ1308" s="9"/>
      <c r="BR1308" s="9"/>
      <c r="BS1308" s="9"/>
      <c r="BT1308" s="9"/>
      <c r="BU1308" s="9"/>
      <c r="BV1308" s="9"/>
      <c r="BW1308" s="9"/>
      <c r="BX1308" s="9"/>
      <c r="BY1308" s="9"/>
      <c r="BZ1308" s="9"/>
    </row>
    <row r="1309" spans="4:78" ht="18" customHeight="1" x14ac:dyDescent="0.25"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S1309" s="9"/>
      <c r="T1309" s="9"/>
      <c r="U1309" s="9"/>
      <c r="W1309" s="9"/>
      <c r="X1309" s="9"/>
      <c r="Y1309" s="9"/>
      <c r="Z1309" s="9"/>
      <c r="AA1309" s="9"/>
      <c r="AB1309" s="9"/>
      <c r="AC1309" s="9"/>
      <c r="AD1309" s="9"/>
      <c r="AE1309" s="9"/>
      <c r="AF1309" s="9"/>
      <c r="AG1309" s="9"/>
      <c r="AH1309" s="9"/>
      <c r="AI1309" s="9"/>
      <c r="AJ1309" s="9"/>
      <c r="AK1309" s="9"/>
      <c r="AL1309" s="9"/>
      <c r="AM1309" s="9"/>
      <c r="AN1309" s="9"/>
      <c r="AO1309" s="9"/>
      <c r="AP1309" s="9"/>
      <c r="AQ1309" s="9"/>
      <c r="AR1309" s="9"/>
      <c r="AS1309" s="9"/>
      <c r="AT1309" s="9"/>
      <c r="AU1309" s="9"/>
      <c r="AV1309" s="9"/>
      <c r="AW1309" s="9"/>
      <c r="AX1309" s="9"/>
      <c r="AY1309" s="9"/>
      <c r="AZ1309" s="9"/>
      <c r="BA1309" s="9"/>
      <c r="BB1309" s="9"/>
      <c r="BC1309" s="9"/>
      <c r="BD1309" s="9"/>
      <c r="BE1309" s="9"/>
      <c r="BF1309" s="9"/>
      <c r="BG1309" s="9"/>
      <c r="BH1309" s="9"/>
      <c r="BI1309" s="9"/>
      <c r="BJ1309" s="9"/>
      <c r="BK1309" s="9"/>
      <c r="BL1309" s="9"/>
      <c r="BM1309" s="9"/>
      <c r="BN1309" s="9"/>
      <c r="BO1309" s="9"/>
      <c r="BP1309" s="9"/>
      <c r="BQ1309" s="9"/>
      <c r="BR1309" s="9"/>
      <c r="BS1309" s="9"/>
      <c r="BT1309" s="9"/>
      <c r="BU1309" s="9"/>
      <c r="BV1309" s="9"/>
      <c r="BW1309" s="9"/>
      <c r="BX1309" s="9"/>
      <c r="BY1309" s="9"/>
      <c r="BZ1309" s="9"/>
    </row>
    <row r="1310" spans="4:78" ht="18" customHeight="1" x14ac:dyDescent="0.25"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S1310" s="9"/>
      <c r="T1310" s="9"/>
      <c r="U1310" s="9"/>
      <c r="W1310" s="9"/>
      <c r="X1310" s="9"/>
      <c r="Y1310" s="9"/>
      <c r="Z1310" s="9"/>
      <c r="AA1310" s="9"/>
      <c r="AB1310" s="9"/>
      <c r="AC1310" s="9"/>
      <c r="AD1310" s="9"/>
      <c r="AE1310" s="9"/>
      <c r="AF1310" s="9"/>
      <c r="AG1310" s="9"/>
      <c r="AH1310" s="9"/>
      <c r="AI1310" s="9"/>
      <c r="AJ1310" s="9"/>
      <c r="AK1310" s="9"/>
      <c r="AL1310" s="9"/>
      <c r="AM1310" s="9"/>
      <c r="AN1310" s="9"/>
      <c r="AO1310" s="9"/>
      <c r="AP1310" s="9"/>
      <c r="AQ1310" s="9"/>
      <c r="AR1310" s="9"/>
      <c r="AS1310" s="9"/>
      <c r="AT1310" s="9"/>
      <c r="AU1310" s="9"/>
      <c r="AV1310" s="9"/>
      <c r="AW1310" s="9"/>
      <c r="AX1310" s="9"/>
      <c r="AY1310" s="9"/>
      <c r="AZ1310" s="9"/>
      <c r="BA1310" s="9"/>
      <c r="BB1310" s="9"/>
      <c r="BC1310" s="9"/>
      <c r="BD1310" s="9"/>
      <c r="BE1310" s="9"/>
      <c r="BF1310" s="9"/>
      <c r="BG1310" s="9"/>
      <c r="BH1310" s="9"/>
      <c r="BI1310" s="9"/>
      <c r="BJ1310" s="9"/>
      <c r="BK1310" s="9"/>
      <c r="BL1310" s="9"/>
      <c r="BM1310" s="9"/>
      <c r="BN1310" s="9"/>
      <c r="BO1310" s="9"/>
      <c r="BP1310" s="9"/>
      <c r="BQ1310" s="9"/>
      <c r="BR1310" s="9"/>
      <c r="BS1310" s="9"/>
      <c r="BT1310" s="9"/>
      <c r="BU1310" s="9"/>
      <c r="BV1310" s="9"/>
      <c r="BW1310" s="9"/>
      <c r="BX1310" s="9"/>
      <c r="BY1310" s="9"/>
      <c r="BZ1310" s="9"/>
    </row>
    <row r="1311" spans="4:78" ht="18" customHeight="1" x14ac:dyDescent="0.25"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S1311" s="9"/>
      <c r="T1311" s="9"/>
      <c r="U1311" s="9"/>
      <c r="W1311" s="9"/>
      <c r="X1311" s="9"/>
      <c r="Y1311" s="9"/>
      <c r="Z1311" s="9"/>
      <c r="AA1311" s="9"/>
      <c r="AB1311" s="9"/>
      <c r="AC1311" s="9"/>
      <c r="AD1311" s="9"/>
      <c r="AE1311" s="9"/>
      <c r="AF1311" s="9"/>
      <c r="AG1311" s="9"/>
      <c r="AH1311" s="9"/>
      <c r="AI1311" s="9"/>
      <c r="AJ1311" s="9"/>
      <c r="AK1311" s="9"/>
      <c r="AL1311" s="9"/>
      <c r="AM1311" s="9"/>
      <c r="AN1311" s="9"/>
      <c r="AO1311" s="9"/>
      <c r="AP1311" s="9"/>
      <c r="AQ1311" s="9"/>
      <c r="AR1311" s="9"/>
      <c r="AS1311" s="9"/>
      <c r="AT1311" s="9"/>
      <c r="AU1311" s="9"/>
      <c r="AV1311" s="9"/>
      <c r="AW1311" s="9"/>
      <c r="AX1311" s="9"/>
      <c r="AY1311" s="9"/>
      <c r="AZ1311" s="9"/>
      <c r="BA1311" s="9"/>
      <c r="BB1311" s="9"/>
      <c r="BC1311" s="9"/>
      <c r="BD1311" s="9"/>
      <c r="BE1311" s="9"/>
      <c r="BF1311" s="9"/>
      <c r="BG1311" s="9"/>
      <c r="BH1311" s="9"/>
      <c r="BI1311" s="9"/>
      <c r="BJ1311" s="9"/>
      <c r="BK1311" s="9"/>
      <c r="BL1311" s="9"/>
      <c r="BM1311" s="9"/>
      <c r="BN1311" s="9"/>
      <c r="BO1311" s="9"/>
      <c r="BP1311" s="9"/>
      <c r="BQ1311" s="9"/>
      <c r="BR1311" s="9"/>
      <c r="BS1311" s="9"/>
      <c r="BT1311" s="9"/>
      <c r="BU1311" s="9"/>
      <c r="BV1311" s="9"/>
      <c r="BW1311" s="9"/>
      <c r="BX1311" s="9"/>
      <c r="BY1311" s="9"/>
      <c r="BZ1311" s="9"/>
    </row>
    <row r="1312" spans="4:78" ht="18" customHeight="1" x14ac:dyDescent="0.25"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S1312" s="9"/>
      <c r="T1312" s="9"/>
      <c r="U1312" s="9"/>
      <c r="W1312" s="9"/>
      <c r="X1312" s="9"/>
      <c r="Y1312" s="9"/>
      <c r="Z1312" s="9"/>
      <c r="AA1312" s="9"/>
      <c r="AB1312" s="9"/>
      <c r="AC1312" s="9"/>
      <c r="AD1312" s="9"/>
      <c r="AE1312" s="9"/>
      <c r="AF1312" s="9"/>
      <c r="AG1312" s="9"/>
      <c r="AH1312" s="9"/>
      <c r="AI1312" s="9"/>
      <c r="AJ1312" s="9"/>
      <c r="AK1312" s="9"/>
      <c r="AL1312" s="9"/>
      <c r="AM1312" s="9"/>
      <c r="AN1312" s="9"/>
      <c r="AO1312" s="9"/>
      <c r="AP1312" s="9"/>
      <c r="AQ1312" s="9"/>
      <c r="AR1312" s="9"/>
      <c r="AS1312" s="9"/>
      <c r="AT1312" s="9"/>
      <c r="AU1312" s="9"/>
      <c r="AV1312" s="9"/>
      <c r="AW1312" s="9"/>
      <c r="AX1312" s="9"/>
      <c r="AY1312" s="9"/>
      <c r="AZ1312" s="9"/>
      <c r="BA1312" s="9"/>
      <c r="BB1312" s="9"/>
      <c r="BC1312" s="9"/>
      <c r="BD1312" s="9"/>
      <c r="BE1312" s="9"/>
      <c r="BF1312" s="9"/>
      <c r="BG1312" s="9"/>
      <c r="BH1312" s="9"/>
      <c r="BI1312" s="9"/>
      <c r="BJ1312" s="9"/>
      <c r="BK1312" s="9"/>
      <c r="BL1312" s="9"/>
      <c r="BM1312" s="9"/>
      <c r="BN1312" s="9"/>
      <c r="BO1312" s="9"/>
      <c r="BP1312" s="9"/>
      <c r="BQ1312" s="9"/>
      <c r="BR1312" s="9"/>
      <c r="BS1312" s="9"/>
      <c r="BT1312" s="9"/>
      <c r="BU1312" s="9"/>
      <c r="BV1312" s="9"/>
      <c r="BW1312" s="9"/>
      <c r="BX1312" s="9"/>
      <c r="BY1312" s="9"/>
      <c r="BZ1312" s="9"/>
    </row>
    <row r="1313" spans="4:78" ht="18" customHeight="1" x14ac:dyDescent="0.25"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S1313" s="9"/>
      <c r="T1313" s="9"/>
      <c r="U1313" s="9"/>
      <c r="W1313" s="9"/>
      <c r="X1313" s="9"/>
      <c r="Y1313" s="9"/>
      <c r="Z1313" s="9"/>
      <c r="AA1313" s="9"/>
      <c r="AB1313" s="9"/>
      <c r="AC1313" s="9"/>
      <c r="AD1313" s="9"/>
      <c r="AE1313" s="9"/>
      <c r="AF1313" s="9"/>
      <c r="AG1313" s="9"/>
      <c r="AH1313" s="9"/>
      <c r="AI1313" s="9"/>
      <c r="AJ1313" s="9"/>
      <c r="AK1313" s="9"/>
      <c r="AL1313" s="9"/>
      <c r="AM1313" s="9"/>
      <c r="AN1313" s="9"/>
      <c r="AO1313" s="9"/>
      <c r="AP1313" s="9"/>
      <c r="AQ1313" s="9"/>
      <c r="AR1313" s="9"/>
      <c r="AS1313" s="9"/>
      <c r="AT1313" s="9"/>
      <c r="AU1313" s="9"/>
      <c r="AV1313" s="9"/>
      <c r="AW1313" s="9"/>
      <c r="AX1313" s="9"/>
      <c r="AY1313" s="9"/>
      <c r="AZ1313" s="9"/>
      <c r="BA1313" s="9"/>
      <c r="BB1313" s="9"/>
      <c r="BC1313" s="9"/>
      <c r="BD1313" s="9"/>
      <c r="BE1313" s="9"/>
      <c r="BF1313" s="9"/>
      <c r="BG1313" s="9"/>
      <c r="BH1313" s="9"/>
      <c r="BI1313" s="9"/>
      <c r="BJ1313" s="9"/>
      <c r="BK1313" s="9"/>
      <c r="BL1313" s="9"/>
      <c r="BM1313" s="9"/>
      <c r="BN1313" s="9"/>
      <c r="BO1313" s="9"/>
      <c r="BP1313" s="9"/>
      <c r="BQ1313" s="9"/>
      <c r="BR1313" s="9"/>
      <c r="BS1313" s="9"/>
      <c r="BT1313" s="9"/>
      <c r="BU1313" s="9"/>
      <c r="BV1313" s="9"/>
      <c r="BW1313" s="9"/>
      <c r="BX1313" s="9"/>
      <c r="BY1313" s="9"/>
      <c r="BZ1313" s="9"/>
    </row>
    <row r="1314" spans="4:78" ht="18" customHeight="1" x14ac:dyDescent="0.25"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S1314" s="9"/>
      <c r="T1314" s="9"/>
      <c r="U1314" s="9"/>
      <c r="W1314" s="9"/>
      <c r="X1314" s="9"/>
      <c r="Y1314" s="9"/>
      <c r="Z1314" s="9"/>
      <c r="AA1314" s="9"/>
      <c r="AB1314" s="9"/>
      <c r="AC1314" s="9"/>
      <c r="AD1314" s="9"/>
      <c r="AE1314" s="9"/>
      <c r="AF1314" s="9"/>
      <c r="AG1314" s="9"/>
      <c r="AH1314" s="9"/>
      <c r="AI1314" s="9"/>
      <c r="AJ1314" s="9"/>
      <c r="AK1314" s="9"/>
      <c r="AL1314" s="9"/>
      <c r="AM1314" s="9"/>
      <c r="AN1314" s="9"/>
      <c r="AO1314" s="9"/>
      <c r="AP1314" s="9"/>
      <c r="AQ1314" s="9"/>
      <c r="AR1314" s="9"/>
      <c r="AS1314" s="9"/>
      <c r="AT1314" s="9"/>
      <c r="AU1314" s="9"/>
      <c r="AV1314" s="9"/>
      <c r="AW1314" s="9"/>
      <c r="AX1314" s="9"/>
      <c r="AY1314" s="9"/>
      <c r="AZ1314" s="9"/>
      <c r="BA1314" s="9"/>
      <c r="BB1314" s="9"/>
      <c r="BC1314" s="9"/>
      <c r="BD1314" s="9"/>
      <c r="BE1314" s="9"/>
      <c r="BF1314" s="9"/>
      <c r="BG1314" s="9"/>
      <c r="BH1314" s="9"/>
      <c r="BI1314" s="9"/>
      <c r="BJ1314" s="9"/>
      <c r="BK1314" s="9"/>
      <c r="BL1314" s="9"/>
      <c r="BM1314" s="9"/>
      <c r="BN1314" s="9"/>
      <c r="BO1314" s="9"/>
      <c r="BP1314" s="9"/>
      <c r="BQ1314" s="9"/>
      <c r="BR1314" s="9"/>
      <c r="BS1314" s="9"/>
      <c r="BT1314" s="9"/>
      <c r="BU1314" s="9"/>
      <c r="BV1314" s="9"/>
      <c r="BW1314" s="9"/>
      <c r="BX1314" s="9"/>
      <c r="BY1314" s="9"/>
      <c r="BZ1314" s="9"/>
    </row>
    <row r="1315" spans="4:78" ht="18" customHeight="1" x14ac:dyDescent="0.25"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S1315" s="9"/>
      <c r="T1315" s="9"/>
      <c r="U1315" s="9"/>
      <c r="W1315" s="9"/>
      <c r="X1315" s="9"/>
      <c r="Y1315" s="9"/>
      <c r="Z1315" s="9"/>
      <c r="AA1315" s="9"/>
      <c r="AB1315" s="9"/>
      <c r="AC1315" s="9"/>
      <c r="AD1315" s="9"/>
      <c r="AE1315" s="9"/>
      <c r="AF1315" s="9"/>
      <c r="AG1315" s="9"/>
      <c r="AH1315" s="9"/>
      <c r="AI1315" s="9"/>
      <c r="AJ1315" s="9"/>
      <c r="AK1315" s="9"/>
      <c r="AL1315" s="9"/>
      <c r="AM1315" s="9"/>
      <c r="AN1315" s="9"/>
      <c r="AO1315" s="9"/>
      <c r="AP1315" s="9"/>
      <c r="AQ1315" s="9"/>
      <c r="AR1315" s="9"/>
      <c r="AS1315" s="9"/>
      <c r="AT1315" s="9"/>
      <c r="AU1315" s="9"/>
      <c r="AV1315" s="9"/>
      <c r="AW1315" s="9"/>
      <c r="AX1315" s="9"/>
      <c r="AY1315" s="9"/>
      <c r="AZ1315" s="9"/>
      <c r="BA1315" s="9"/>
      <c r="BB1315" s="9"/>
      <c r="BC1315" s="9"/>
      <c r="BD1315" s="9"/>
      <c r="BE1315" s="9"/>
      <c r="BF1315" s="9"/>
      <c r="BG1315" s="9"/>
      <c r="BH1315" s="9"/>
      <c r="BI1315" s="9"/>
      <c r="BJ1315" s="9"/>
      <c r="BK1315" s="9"/>
      <c r="BL1315" s="9"/>
      <c r="BM1315" s="9"/>
      <c r="BN1315" s="9"/>
      <c r="BO1315" s="9"/>
      <c r="BP1315" s="9"/>
      <c r="BQ1315" s="9"/>
      <c r="BR1315" s="9"/>
      <c r="BS1315" s="9"/>
      <c r="BT1315" s="9"/>
      <c r="BU1315" s="9"/>
      <c r="BV1315" s="9"/>
      <c r="BW1315" s="9"/>
      <c r="BX1315" s="9"/>
      <c r="BY1315" s="9"/>
      <c r="BZ1315" s="9"/>
    </row>
    <row r="1316" spans="4:78" ht="18" customHeight="1" x14ac:dyDescent="0.25"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S1316" s="9"/>
      <c r="T1316" s="9"/>
      <c r="U1316" s="9"/>
      <c r="W1316" s="9"/>
      <c r="X1316" s="9"/>
      <c r="Y1316" s="9"/>
      <c r="Z1316" s="9"/>
      <c r="AA1316" s="9"/>
      <c r="AB1316" s="9"/>
      <c r="AC1316" s="9"/>
      <c r="AD1316" s="9"/>
      <c r="AE1316" s="9"/>
      <c r="AF1316" s="9"/>
      <c r="AG1316" s="9"/>
      <c r="AH1316" s="9"/>
      <c r="AI1316" s="9"/>
      <c r="AJ1316" s="9"/>
      <c r="AK1316" s="9"/>
      <c r="AL1316" s="9"/>
      <c r="AM1316" s="9"/>
      <c r="AN1316" s="9"/>
      <c r="AO1316" s="9"/>
      <c r="AP1316" s="9"/>
      <c r="AQ1316" s="9"/>
      <c r="AR1316" s="9"/>
      <c r="AS1316" s="9"/>
      <c r="AT1316" s="9"/>
      <c r="AU1316" s="9"/>
      <c r="AV1316" s="9"/>
      <c r="AW1316" s="9"/>
      <c r="AX1316" s="9"/>
      <c r="AY1316" s="9"/>
      <c r="AZ1316" s="9"/>
      <c r="BA1316" s="9"/>
      <c r="BB1316" s="9"/>
      <c r="BC1316" s="9"/>
      <c r="BD1316" s="9"/>
      <c r="BE1316" s="9"/>
      <c r="BF1316" s="9"/>
      <c r="BG1316" s="9"/>
      <c r="BH1316" s="9"/>
      <c r="BI1316" s="9"/>
      <c r="BJ1316" s="9"/>
      <c r="BK1316" s="9"/>
      <c r="BL1316" s="9"/>
      <c r="BM1316" s="9"/>
      <c r="BN1316" s="9"/>
      <c r="BO1316" s="9"/>
      <c r="BP1316" s="9"/>
      <c r="BQ1316" s="9"/>
      <c r="BR1316" s="9"/>
      <c r="BS1316" s="9"/>
      <c r="BT1316" s="9"/>
      <c r="BU1316" s="9"/>
      <c r="BV1316" s="9"/>
      <c r="BW1316" s="9"/>
      <c r="BX1316" s="9"/>
      <c r="BY1316" s="9"/>
      <c r="BZ1316" s="9"/>
    </row>
    <row r="1317" spans="4:78" ht="18" customHeight="1" x14ac:dyDescent="0.25"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S1317" s="9"/>
      <c r="T1317" s="9"/>
      <c r="U1317" s="9"/>
      <c r="W1317" s="9"/>
      <c r="X1317" s="9"/>
      <c r="Y1317" s="9"/>
      <c r="Z1317" s="9"/>
      <c r="AA1317" s="9"/>
      <c r="AB1317" s="9"/>
      <c r="AC1317" s="9"/>
      <c r="AD1317" s="9"/>
      <c r="AE1317" s="9"/>
      <c r="AF1317" s="9"/>
      <c r="AG1317" s="9"/>
      <c r="AH1317" s="9"/>
      <c r="AI1317" s="9"/>
      <c r="AJ1317" s="9"/>
      <c r="AK1317" s="9"/>
      <c r="AL1317" s="9"/>
      <c r="AM1317" s="9"/>
      <c r="AN1317" s="9"/>
      <c r="AO1317" s="9"/>
      <c r="AP1317" s="9"/>
      <c r="AQ1317" s="9"/>
      <c r="AR1317" s="9"/>
      <c r="AS1317" s="9"/>
      <c r="AT1317" s="9"/>
      <c r="AU1317" s="9"/>
      <c r="AV1317" s="9"/>
      <c r="AW1317" s="9"/>
      <c r="AX1317" s="9"/>
      <c r="AY1317" s="9"/>
      <c r="AZ1317" s="9"/>
      <c r="BA1317" s="9"/>
      <c r="BB1317" s="9"/>
      <c r="BC1317" s="9"/>
      <c r="BD1317" s="9"/>
      <c r="BE1317" s="9"/>
      <c r="BF1317" s="9"/>
      <c r="BG1317" s="9"/>
      <c r="BH1317" s="9"/>
      <c r="BI1317" s="9"/>
      <c r="BJ1317" s="9"/>
      <c r="BK1317" s="9"/>
      <c r="BL1317" s="9"/>
      <c r="BM1317" s="9"/>
      <c r="BN1317" s="9"/>
      <c r="BO1317" s="9"/>
      <c r="BP1317" s="9"/>
      <c r="BQ1317" s="9"/>
      <c r="BR1317" s="9"/>
      <c r="BS1317" s="9"/>
      <c r="BT1317" s="9"/>
      <c r="BU1317" s="9"/>
      <c r="BV1317" s="9"/>
      <c r="BW1317" s="9"/>
      <c r="BX1317" s="9"/>
      <c r="BY1317" s="9"/>
      <c r="BZ1317" s="9"/>
    </row>
    <row r="1318" spans="4:78" ht="18" customHeight="1" x14ac:dyDescent="0.25"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S1318" s="9"/>
      <c r="T1318" s="9"/>
      <c r="U1318" s="9"/>
      <c r="W1318" s="9"/>
      <c r="X1318" s="9"/>
      <c r="Y1318" s="9"/>
      <c r="Z1318" s="9"/>
      <c r="AA1318" s="9"/>
      <c r="AB1318" s="9"/>
      <c r="AC1318" s="9"/>
      <c r="AD1318" s="9"/>
      <c r="AE1318" s="9"/>
      <c r="AF1318" s="9"/>
      <c r="AG1318" s="9"/>
      <c r="AH1318" s="9"/>
      <c r="AI1318" s="9"/>
      <c r="AJ1318" s="9"/>
      <c r="AK1318" s="9"/>
      <c r="AL1318" s="9"/>
      <c r="AM1318" s="9"/>
      <c r="AN1318" s="9"/>
      <c r="AO1318" s="9"/>
      <c r="AP1318" s="9"/>
      <c r="AQ1318" s="9"/>
      <c r="AR1318" s="9"/>
      <c r="AS1318" s="9"/>
      <c r="AT1318" s="9"/>
      <c r="AU1318" s="9"/>
      <c r="AV1318" s="9"/>
      <c r="AW1318" s="9"/>
      <c r="AX1318" s="9"/>
      <c r="AY1318" s="9"/>
      <c r="AZ1318" s="9"/>
      <c r="BA1318" s="9"/>
      <c r="BB1318" s="9"/>
      <c r="BC1318" s="9"/>
      <c r="BD1318" s="9"/>
      <c r="BE1318" s="9"/>
      <c r="BF1318" s="9"/>
      <c r="BG1318" s="9"/>
      <c r="BH1318" s="9"/>
      <c r="BI1318" s="9"/>
      <c r="BJ1318" s="9"/>
      <c r="BK1318" s="9"/>
      <c r="BL1318" s="9"/>
      <c r="BM1318" s="9"/>
      <c r="BN1318" s="9"/>
      <c r="BO1318" s="9"/>
      <c r="BP1318" s="9"/>
      <c r="BQ1318" s="9"/>
      <c r="BR1318" s="9"/>
      <c r="BS1318" s="9"/>
      <c r="BT1318" s="9"/>
      <c r="BU1318" s="9"/>
      <c r="BV1318" s="9"/>
      <c r="BW1318" s="9"/>
      <c r="BX1318" s="9"/>
      <c r="BY1318" s="9"/>
      <c r="BZ1318" s="9"/>
    </row>
    <row r="1319" spans="4:78" ht="18" customHeight="1" x14ac:dyDescent="0.25"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S1319" s="9"/>
      <c r="T1319" s="9"/>
      <c r="U1319" s="9"/>
      <c r="W1319" s="9"/>
      <c r="X1319" s="9"/>
      <c r="Y1319" s="9"/>
      <c r="Z1319" s="9"/>
      <c r="AA1319" s="9"/>
      <c r="AB1319" s="9"/>
      <c r="AC1319" s="9"/>
      <c r="AD1319" s="9"/>
      <c r="AE1319" s="9"/>
      <c r="AF1319" s="9"/>
      <c r="AG1319" s="9"/>
      <c r="AH1319" s="9"/>
      <c r="AI1319" s="9"/>
      <c r="AJ1319" s="9"/>
      <c r="AK1319" s="9"/>
      <c r="AL1319" s="9"/>
      <c r="AM1319" s="9"/>
      <c r="AN1319" s="9"/>
      <c r="AO1319" s="9"/>
      <c r="AP1319" s="9"/>
      <c r="AQ1319" s="9"/>
      <c r="AR1319" s="9"/>
      <c r="AS1319" s="9"/>
      <c r="AT1319" s="9"/>
      <c r="AU1319" s="9"/>
      <c r="AV1319" s="9"/>
      <c r="AW1319" s="9"/>
      <c r="AX1319" s="9"/>
      <c r="AY1319" s="9"/>
      <c r="AZ1319" s="9"/>
      <c r="BA1319" s="9"/>
      <c r="BB1319" s="9"/>
      <c r="BC1319" s="9"/>
      <c r="BD1319" s="9"/>
      <c r="BE1319" s="9"/>
      <c r="BF1319" s="9"/>
      <c r="BG1319" s="9"/>
      <c r="BH1319" s="9"/>
      <c r="BI1319" s="9"/>
      <c r="BJ1319" s="9"/>
      <c r="BK1319" s="9"/>
      <c r="BL1319" s="9"/>
      <c r="BM1319" s="9"/>
      <c r="BN1319" s="9"/>
      <c r="BO1319" s="9"/>
      <c r="BP1319" s="9"/>
      <c r="BQ1319" s="9"/>
      <c r="BR1319" s="9"/>
      <c r="BS1319" s="9"/>
      <c r="BT1319" s="9"/>
      <c r="BU1319" s="9"/>
      <c r="BV1319" s="9"/>
      <c r="BW1319" s="9"/>
      <c r="BX1319" s="9"/>
      <c r="BY1319" s="9"/>
      <c r="BZ1319" s="9"/>
    </row>
    <row r="1320" spans="4:78" ht="18" customHeight="1" x14ac:dyDescent="0.25"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S1320" s="9"/>
      <c r="T1320" s="9"/>
      <c r="U1320" s="9"/>
      <c r="W1320" s="9"/>
      <c r="X1320" s="9"/>
      <c r="Y1320" s="9"/>
      <c r="Z1320" s="9"/>
      <c r="AA1320" s="9"/>
      <c r="AB1320" s="9"/>
      <c r="AC1320" s="9"/>
      <c r="AD1320" s="9"/>
      <c r="AE1320" s="9"/>
      <c r="AF1320" s="9"/>
      <c r="AG1320" s="9"/>
      <c r="AH1320" s="9"/>
      <c r="AI1320" s="9"/>
      <c r="AJ1320" s="9"/>
      <c r="AK1320" s="9"/>
      <c r="AL1320" s="9"/>
      <c r="AM1320" s="9"/>
      <c r="AN1320" s="9"/>
      <c r="AO1320" s="9"/>
      <c r="AP1320" s="9"/>
      <c r="AQ1320" s="9"/>
      <c r="AR1320" s="9"/>
      <c r="AS1320" s="9"/>
      <c r="AT1320" s="9"/>
      <c r="AU1320" s="9"/>
      <c r="AV1320" s="9"/>
      <c r="AW1320" s="9"/>
      <c r="AX1320" s="9"/>
      <c r="AY1320" s="9"/>
      <c r="AZ1320" s="9"/>
      <c r="BA1320" s="9"/>
      <c r="BB1320" s="9"/>
      <c r="BC1320" s="9"/>
      <c r="BD1320" s="9"/>
      <c r="BE1320" s="9"/>
      <c r="BF1320" s="9"/>
      <c r="BG1320" s="9"/>
      <c r="BH1320" s="9"/>
      <c r="BI1320" s="9"/>
      <c r="BJ1320" s="9"/>
      <c r="BK1320" s="9"/>
      <c r="BL1320" s="9"/>
      <c r="BM1320" s="9"/>
      <c r="BN1320" s="9"/>
      <c r="BO1320" s="9"/>
      <c r="BP1320" s="9"/>
      <c r="BQ1320" s="9"/>
      <c r="BR1320" s="9"/>
      <c r="BS1320" s="9"/>
      <c r="BT1320" s="9"/>
      <c r="BU1320" s="9"/>
      <c r="BV1320" s="9"/>
      <c r="BW1320" s="9"/>
      <c r="BX1320" s="9"/>
      <c r="BY1320" s="9"/>
      <c r="BZ1320" s="9"/>
    </row>
    <row r="1321" spans="4:78" ht="18" customHeight="1" x14ac:dyDescent="0.25"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S1321" s="9"/>
      <c r="T1321" s="9"/>
      <c r="U1321" s="9"/>
      <c r="W1321" s="9"/>
      <c r="X1321" s="9"/>
      <c r="Y1321" s="9"/>
      <c r="Z1321" s="9"/>
      <c r="AA1321" s="9"/>
      <c r="AB1321" s="9"/>
      <c r="AC1321" s="9"/>
      <c r="AD1321" s="9"/>
      <c r="AE1321" s="9"/>
      <c r="AF1321" s="9"/>
      <c r="AG1321" s="9"/>
      <c r="AH1321" s="9"/>
      <c r="AI1321" s="9"/>
      <c r="AJ1321" s="9"/>
      <c r="AK1321" s="9"/>
      <c r="AL1321" s="9"/>
      <c r="AM1321" s="9"/>
      <c r="AN1321" s="9"/>
      <c r="AO1321" s="9"/>
      <c r="AP1321" s="9"/>
      <c r="AQ1321" s="9"/>
      <c r="AR1321" s="9"/>
      <c r="AS1321" s="9"/>
      <c r="AT1321" s="9"/>
      <c r="AU1321" s="9"/>
      <c r="AV1321" s="9"/>
      <c r="AW1321" s="9"/>
      <c r="AX1321" s="9"/>
      <c r="AY1321" s="9"/>
      <c r="AZ1321" s="9"/>
      <c r="BA1321" s="9"/>
      <c r="BB1321" s="9"/>
      <c r="BC1321" s="9"/>
      <c r="BD1321" s="9"/>
      <c r="BE1321" s="9"/>
      <c r="BF1321" s="9"/>
      <c r="BG1321" s="9"/>
      <c r="BH1321" s="9"/>
      <c r="BI1321" s="9"/>
      <c r="BJ1321" s="9"/>
      <c r="BK1321" s="9"/>
      <c r="BL1321" s="9"/>
      <c r="BM1321" s="9"/>
      <c r="BN1321" s="9"/>
      <c r="BO1321" s="9"/>
      <c r="BP1321" s="9"/>
      <c r="BQ1321" s="9"/>
      <c r="BR1321" s="9"/>
      <c r="BS1321" s="9"/>
      <c r="BT1321" s="9"/>
      <c r="BU1321" s="9"/>
      <c r="BV1321" s="9"/>
      <c r="BW1321" s="9"/>
      <c r="BX1321" s="9"/>
      <c r="BY1321" s="9"/>
      <c r="BZ1321" s="9"/>
    </row>
    <row r="1322" spans="4:78" ht="18" customHeight="1" x14ac:dyDescent="0.25"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S1322" s="9"/>
      <c r="T1322" s="9"/>
      <c r="U1322" s="9"/>
      <c r="W1322" s="9"/>
      <c r="X1322" s="9"/>
      <c r="Y1322" s="9"/>
      <c r="Z1322" s="9"/>
      <c r="AA1322" s="9"/>
      <c r="AB1322" s="9"/>
      <c r="AC1322" s="9"/>
      <c r="AD1322" s="9"/>
      <c r="AE1322" s="9"/>
      <c r="AF1322" s="9"/>
      <c r="AG1322" s="9"/>
      <c r="AH1322" s="9"/>
      <c r="AI1322" s="9"/>
      <c r="AJ1322" s="9"/>
      <c r="AK1322" s="9"/>
      <c r="AL1322" s="9"/>
      <c r="AM1322" s="9"/>
      <c r="AN1322" s="9"/>
      <c r="AO1322" s="9"/>
      <c r="AP1322" s="9"/>
      <c r="AQ1322" s="9"/>
      <c r="AR1322" s="9"/>
      <c r="AS1322" s="9"/>
      <c r="AT1322" s="9"/>
      <c r="AU1322" s="9"/>
      <c r="AV1322" s="9"/>
      <c r="AW1322" s="9"/>
      <c r="AX1322" s="9"/>
      <c r="AY1322" s="9"/>
      <c r="AZ1322" s="9"/>
      <c r="BA1322" s="9"/>
      <c r="BB1322" s="9"/>
      <c r="BC1322" s="9"/>
      <c r="BD1322" s="9"/>
      <c r="BE1322" s="9"/>
      <c r="BF1322" s="9"/>
      <c r="BG1322" s="9"/>
      <c r="BH1322" s="9"/>
      <c r="BI1322" s="9"/>
      <c r="BJ1322" s="9"/>
      <c r="BK1322" s="9"/>
      <c r="BL1322" s="9"/>
      <c r="BM1322" s="9"/>
      <c r="BN1322" s="9"/>
      <c r="BO1322" s="9"/>
      <c r="BP1322" s="9"/>
      <c r="BQ1322" s="9"/>
      <c r="BR1322" s="9"/>
      <c r="BS1322" s="9"/>
      <c r="BT1322" s="9"/>
      <c r="BU1322" s="9"/>
      <c r="BV1322" s="9"/>
      <c r="BW1322" s="9"/>
      <c r="BX1322" s="9"/>
      <c r="BY1322" s="9"/>
      <c r="BZ1322" s="9"/>
    </row>
    <row r="1323" spans="4:78" ht="18" customHeight="1" x14ac:dyDescent="0.25"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S1323" s="9"/>
      <c r="T1323" s="9"/>
      <c r="U1323" s="9"/>
      <c r="W1323" s="9"/>
      <c r="X1323" s="9"/>
      <c r="Y1323" s="9"/>
      <c r="Z1323" s="9"/>
      <c r="AA1323" s="9"/>
      <c r="AB1323" s="9"/>
      <c r="AC1323" s="9"/>
      <c r="AD1323" s="9"/>
      <c r="AE1323" s="9"/>
      <c r="AF1323" s="9"/>
      <c r="AG1323" s="9"/>
      <c r="AH1323" s="9"/>
      <c r="AI1323" s="9"/>
      <c r="AJ1323" s="9"/>
      <c r="AK1323" s="9"/>
      <c r="AL1323" s="9"/>
      <c r="AM1323" s="9"/>
      <c r="AN1323" s="9"/>
      <c r="AO1323" s="9"/>
      <c r="AP1323" s="9"/>
      <c r="AQ1323" s="9"/>
      <c r="AR1323" s="9"/>
      <c r="AS1323" s="9"/>
      <c r="AT1323" s="9"/>
      <c r="AU1323" s="9"/>
      <c r="AV1323" s="9"/>
      <c r="AW1323" s="9"/>
      <c r="AX1323" s="9"/>
      <c r="AY1323" s="9"/>
      <c r="AZ1323" s="9"/>
      <c r="BA1323" s="9"/>
      <c r="BB1323" s="9"/>
      <c r="BC1323" s="9"/>
      <c r="BD1323" s="9"/>
      <c r="BE1323" s="9"/>
      <c r="BF1323" s="9"/>
      <c r="BG1323" s="9"/>
      <c r="BH1323" s="9"/>
      <c r="BI1323" s="9"/>
      <c r="BJ1323" s="9"/>
      <c r="BK1323" s="9"/>
      <c r="BL1323" s="9"/>
      <c r="BM1323" s="9"/>
      <c r="BN1323" s="9"/>
      <c r="BO1323" s="9"/>
      <c r="BP1323" s="9"/>
      <c r="BQ1323" s="9"/>
      <c r="BR1323" s="9"/>
      <c r="BS1323" s="9"/>
      <c r="BT1323" s="9"/>
      <c r="BU1323" s="9"/>
      <c r="BV1323" s="9"/>
      <c r="BW1323" s="9"/>
      <c r="BX1323" s="9"/>
      <c r="BY1323" s="9"/>
      <c r="BZ1323" s="9"/>
    </row>
    <row r="1324" spans="4:78" ht="18" customHeight="1" x14ac:dyDescent="0.25"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S1324" s="9"/>
      <c r="T1324" s="9"/>
      <c r="U1324" s="9"/>
      <c r="W1324" s="9"/>
      <c r="X1324" s="9"/>
      <c r="Y1324" s="9"/>
      <c r="Z1324" s="9"/>
      <c r="AA1324" s="9"/>
      <c r="AB1324" s="9"/>
      <c r="AC1324" s="9"/>
      <c r="AD1324" s="9"/>
      <c r="AE1324" s="9"/>
      <c r="AF1324" s="9"/>
      <c r="AG1324" s="9"/>
      <c r="AH1324" s="9"/>
      <c r="AI1324" s="9"/>
      <c r="AJ1324" s="9"/>
      <c r="AK1324" s="9"/>
      <c r="AL1324" s="9"/>
      <c r="AM1324" s="9"/>
      <c r="AN1324" s="9"/>
      <c r="AO1324" s="9"/>
      <c r="AP1324" s="9"/>
      <c r="AQ1324" s="9"/>
      <c r="AR1324" s="9"/>
      <c r="AS1324" s="9"/>
      <c r="AT1324" s="9"/>
      <c r="AU1324" s="9"/>
      <c r="AV1324" s="9"/>
      <c r="AW1324" s="9"/>
      <c r="AX1324" s="9"/>
      <c r="AY1324" s="9"/>
      <c r="AZ1324" s="9"/>
      <c r="BA1324" s="9"/>
      <c r="BB1324" s="9"/>
      <c r="BC1324" s="9"/>
      <c r="BD1324" s="9"/>
      <c r="BE1324" s="9"/>
      <c r="BF1324" s="9"/>
      <c r="BG1324" s="9"/>
      <c r="BH1324" s="9"/>
      <c r="BI1324" s="9"/>
      <c r="BJ1324" s="9"/>
      <c r="BK1324" s="9"/>
      <c r="BL1324" s="9"/>
      <c r="BM1324" s="9"/>
      <c r="BN1324" s="9"/>
      <c r="BO1324" s="9"/>
      <c r="BP1324" s="9"/>
      <c r="BQ1324" s="9"/>
      <c r="BR1324" s="9"/>
      <c r="BS1324" s="9"/>
      <c r="BT1324" s="9"/>
      <c r="BU1324" s="9"/>
      <c r="BV1324" s="9"/>
      <c r="BW1324" s="9"/>
      <c r="BX1324" s="9"/>
      <c r="BY1324" s="9"/>
      <c r="BZ1324" s="9"/>
    </row>
    <row r="1325" spans="4:78" ht="18" customHeight="1" x14ac:dyDescent="0.25"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S1325" s="9"/>
      <c r="T1325" s="9"/>
      <c r="U1325" s="9"/>
      <c r="W1325" s="9"/>
      <c r="X1325" s="9"/>
      <c r="Y1325" s="9"/>
      <c r="Z1325" s="9"/>
      <c r="AA1325" s="9"/>
      <c r="AB1325" s="9"/>
      <c r="AC1325" s="9"/>
      <c r="AD1325" s="9"/>
      <c r="AE1325" s="9"/>
      <c r="AF1325" s="9"/>
      <c r="AG1325" s="9"/>
      <c r="AH1325" s="9"/>
      <c r="AI1325" s="9"/>
      <c r="AJ1325" s="9"/>
      <c r="AK1325" s="9"/>
      <c r="AL1325" s="9"/>
      <c r="AM1325" s="9"/>
      <c r="AN1325" s="9"/>
      <c r="AO1325" s="9"/>
      <c r="AP1325" s="9"/>
      <c r="AQ1325" s="9"/>
      <c r="AR1325" s="9"/>
      <c r="AS1325" s="9"/>
      <c r="AT1325" s="9"/>
      <c r="AU1325" s="9"/>
      <c r="AV1325" s="9"/>
      <c r="AW1325" s="9"/>
      <c r="AX1325" s="9"/>
      <c r="AY1325" s="9"/>
      <c r="AZ1325" s="9"/>
      <c r="BA1325" s="9"/>
      <c r="BB1325" s="9"/>
      <c r="BC1325" s="9"/>
      <c r="BD1325" s="9"/>
      <c r="BE1325" s="9"/>
      <c r="BF1325" s="9"/>
      <c r="BG1325" s="9"/>
      <c r="BH1325" s="9"/>
      <c r="BI1325" s="9"/>
      <c r="BJ1325" s="9"/>
      <c r="BK1325" s="9"/>
      <c r="BL1325" s="9"/>
      <c r="BM1325" s="9"/>
      <c r="BN1325" s="9"/>
      <c r="BO1325" s="9"/>
      <c r="BP1325" s="9"/>
      <c r="BQ1325" s="9"/>
      <c r="BR1325" s="9"/>
      <c r="BS1325" s="9"/>
      <c r="BT1325" s="9"/>
      <c r="BU1325" s="9"/>
      <c r="BV1325" s="9"/>
      <c r="BW1325" s="9"/>
      <c r="BX1325" s="9"/>
      <c r="BY1325" s="9"/>
      <c r="BZ1325" s="9"/>
    </row>
    <row r="1326" spans="4:78" ht="18" customHeight="1" x14ac:dyDescent="0.25"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S1326" s="9"/>
      <c r="T1326" s="9"/>
      <c r="U1326" s="9"/>
      <c r="W1326" s="9"/>
      <c r="X1326" s="9"/>
      <c r="Y1326" s="9"/>
      <c r="Z1326" s="9"/>
      <c r="AA1326" s="9"/>
      <c r="AB1326" s="9"/>
      <c r="AC1326" s="9"/>
      <c r="AD1326" s="9"/>
      <c r="AE1326" s="9"/>
      <c r="AF1326" s="9"/>
      <c r="AG1326" s="9"/>
      <c r="AH1326" s="9"/>
      <c r="AI1326" s="9"/>
      <c r="AJ1326" s="9"/>
      <c r="AK1326" s="9"/>
      <c r="AL1326" s="9"/>
      <c r="AM1326" s="9"/>
      <c r="AN1326" s="9"/>
      <c r="AO1326" s="9"/>
      <c r="AP1326" s="9"/>
      <c r="AQ1326" s="9"/>
      <c r="AR1326" s="9"/>
      <c r="AS1326" s="9"/>
      <c r="AT1326" s="9"/>
      <c r="AU1326" s="9"/>
      <c r="AV1326" s="9"/>
      <c r="AW1326" s="9"/>
      <c r="AX1326" s="9"/>
      <c r="AY1326" s="9"/>
      <c r="AZ1326" s="9"/>
      <c r="BA1326" s="9"/>
      <c r="BB1326" s="9"/>
      <c r="BC1326" s="9"/>
      <c r="BD1326" s="9"/>
      <c r="BE1326" s="9"/>
      <c r="BF1326" s="9"/>
      <c r="BG1326" s="9"/>
      <c r="BH1326" s="9"/>
      <c r="BI1326" s="9"/>
      <c r="BJ1326" s="9"/>
      <c r="BK1326" s="9"/>
      <c r="BL1326" s="9"/>
      <c r="BM1326" s="9"/>
      <c r="BN1326" s="9"/>
      <c r="BO1326" s="9"/>
      <c r="BP1326" s="9"/>
      <c r="BQ1326" s="9"/>
      <c r="BR1326" s="9"/>
      <c r="BS1326" s="9"/>
      <c r="BT1326" s="9"/>
      <c r="BU1326" s="9"/>
      <c r="BV1326" s="9"/>
      <c r="BW1326" s="9"/>
      <c r="BX1326" s="9"/>
      <c r="BY1326" s="9"/>
      <c r="BZ1326" s="9"/>
    </row>
    <row r="1327" spans="4:78" ht="18" customHeight="1" x14ac:dyDescent="0.25"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S1327" s="9"/>
      <c r="T1327" s="9"/>
      <c r="U1327" s="9"/>
      <c r="W1327" s="9"/>
      <c r="X1327" s="9"/>
      <c r="Y1327" s="9"/>
      <c r="Z1327" s="9"/>
      <c r="AA1327" s="9"/>
      <c r="AB1327" s="9"/>
      <c r="AC1327" s="9"/>
      <c r="AD1327" s="9"/>
      <c r="AE1327" s="9"/>
      <c r="AF1327" s="9"/>
      <c r="AG1327" s="9"/>
      <c r="AH1327" s="9"/>
      <c r="AI1327" s="9"/>
      <c r="AJ1327" s="9"/>
      <c r="AK1327" s="9"/>
      <c r="AL1327" s="9"/>
      <c r="AM1327" s="9"/>
      <c r="AN1327" s="9"/>
      <c r="AO1327" s="9"/>
      <c r="AP1327" s="9"/>
      <c r="AQ1327" s="9"/>
      <c r="AR1327" s="9"/>
      <c r="AS1327" s="9"/>
      <c r="AT1327" s="9"/>
      <c r="AU1327" s="9"/>
      <c r="AV1327" s="9"/>
      <c r="AW1327" s="9"/>
      <c r="AX1327" s="9"/>
      <c r="AY1327" s="9"/>
      <c r="AZ1327" s="9"/>
      <c r="BA1327" s="9"/>
      <c r="BB1327" s="9"/>
      <c r="BC1327" s="9"/>
      <c r="BD1327" s="9"/>
      <c r="BE1327" s="9"/>
      <c r="BF1327" s="9"/>
      <c r="BG1327" s="9"/>
      <c r="BH1327" s="9"/>
      <c r="BI1327" s="9"/>
      <c r="BJ1327" s="9"/>
      <c r="BK1327" s="9"/>
      <c r="BL1327" s="9"/>
      <c r="BM1327" s="9"/>
      <c r="BN1327" s="9"/>
      <c r="BO1327" s="9"/>
      <c r="BP1327" s="9"/>
      <c r="BQ1327" s="9"/>
      <c r="BR1327" s="9"/>
      <c r="BS1327" s="9"/>
      <c r="BT1327" s="9"/>
      <c r="BU1327" s="9"/>
      <c r="BV1327" s="9"/>
      <c r="BW1327" s="9"/>
      <c r="BX1327" s="9"/>
      <c r="BY1327" s="9"/>
      <c r="BZ1327" s="9"/>
    </row>
    <row r="1328" spans="4:78" ht="18" customHeight="1" x14ac:dyDescent="0.25"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S1328" s="9"/>
      <c r="T1328" s="9"/>
      <c r="U1328" s="9"/>
      <c r="W1328" s="9"/>
      <c r="X1328" s="9"/>
      <c r="Y1328" s="9"/>
      <c r="Z1328" s="9"/>
      <c r="AA1328" s="9"/>
      <c r="AB1328" s="9"/>
      <c r="AC1328" s="9"/>
      <c r="AD1328" s="9"/>
      <c r="AE1328" s="9"/>
      <c r="AF1328" s="9"/>
      <c r="AG1328" s="9"/>
      <c r="AH1328" s="9"/>
      <c r="AI1328" s="9"/>
      <c r="AJ1328" s="9"/>
      <c r="AK1328" s="9"/>
      <c r="AL1328" s="9"/>
      <c r="AM1328" s="9"/>
      <c r="AN1328" s="9"/>
      <c r="AO1328" s="9"/>
      <c r="AP1328" s="9"/>
      <c r="AQ1328" s="9"/>
      <c r="AR1328" s="9"/>
      <c r="AS1328" s="9"/>
      <c r="AT1328" s="9"/>
      <c r="AU1328" s="9"/>
      <c r="AV1328" s="9"/>
      <c r="AW1328" s="9"/>
      <c r="AX1328" s="9"/>
      <c r="AY1328" s="9"/>
      <c r="AZ1328" s="9"/>
      <c r="BA1328" s="9"/>
      <c r="BB1328" s="9"/>
      <c r="BC1328" s="9"/>
      <c r="BD1328" s="9"/>
      <c r="BE1328" s="9"/>
      <c r="BF1328" s="9"/>
      <c r="BG1328" s="9"/>
      <c r="BH1328" s="9"/>
      <c r="BI1328" s="9"/>
      <c r="BJ1328" s="9"/>
      <c r="BK1328" s="9"/>
      <c r="BL1328" s="9"/>
      <c r="BM1328" s="9"/>
      <c r="BN1328" s="9"/>
      <c r="BO1328" s="9"/>
      <c r="BP1328" s="9"/>
      <c r="BQ1328" s="9"/>
      <c r="BR1328" s="9"/>
      <c r="BS1328" s="9"/>
      <c r="BT1328" s="9"/>
      <c r="BU1328" s="9"/>
      <c r="BV1328" s="9"/>
      <c r="BW1328" s="9"/>
      <c r="BX1328" s="9"/>
      <c r="BY1328" s="9"/>
      <c r="BZ1328" s="9"/>
    </row>
    <row r="1329" spans="4:78" ht="18" customHeight="1" x14ac:dyDescent="0.25"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S1329" s="9"/>
      <c r="T1329" s="9"/>
      <c r="U1329" s="9"/>
      <c r="W1329" s="9"/>
      <c r="X1329" s="9"/>
      <c r="Y1329" s="9"/>
      <c r="Z1329" s="9"/>
      <c r="AA1329" s="9"/>
      <c r="AB1329" s="9"/>
      <c r="AC1329" s="9"/>
      <c r="AD1329" s="9"/>
      <c r="AE1329" s="9"/>
      <c r="AF1329" s="9"/>
      <c r="AG1329" s="9"/>
      <c r="AH1329" s="9"/>
      <c r="AI1329" s="9"/>
      <c r="AJ1329" s="9"/>
      <c r="AK1329" s="9"/>
      <c r="AL1329" s="9"/>
      <c r="AM1329" s="9"/>
      <c r="AN1329" s="9"/>
      <c r="AO1329" s="9"/>
      <c r="AP1329" s="9"/>
      <c r="AQ1329" s="9"/>
      <c r="AR1329" s="9"/>
      <c r="AS1329" s="9"/>
      <c r="AT1329" s="9"/>
      <c r="AU1329" s="9"/>
      <c r="AV1329" s="9"/>
      <c r="AW1329" s="9"/>
      <c r="AX1329" s="9"/>
      <c r="AY1329" s="9"/>
      <c r="AZ1329" s="9"/>
      <c r="BA1329" s="9"/>
      <c r="BB1329" s="9"/>
      <c r="BC1329" s="9"/>
      <c r="BD1329" s="9"/>
      <c r="BE1329" s="9"/>
      <c r="BF1329" s="9"/>
      <c r="BG1329" s="9"/>
      <c r="BH1329" s="9"/>
      <c r="BI1329" s="9"/>
      <c r="BJ1329" s="9"/>
      <c r="BK1329" s="9"/>
      <c r="BL1329" s="9"/>
      <c r="BM1329" s="9"/>
      <c r="BN1329" s="9"/>
      <c r="BO1329" s="9"/>
      <c r="BP1329" s="9"/>
      <c r="BQ1329" s="9"/>
      <c r="BR1329" s="9"/>
      <c r="BS1329" s="9"/>
      <c r="BT1329" s="9"/>
      <c r="BU1329" s="9"/>
      <c r="BV1329" s="9"/>
      <c r="BW1329" s="9"/>
      <c r="BX1329" s="9"/>
      <c r="BY1329" s="9"/>
      <c r="BZ1329" s="9"/>
    </row>
    <row r="1330" spans="4:78" ht="18" customHeight="1" x14ac:dyDescent="0.25"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S1330" s="9"/>
      <c r="T1330" s="9"/>
      <c r="U1330" s="9"/>
      <c r="W1330" s="9"/>
      <c r="X1330" s="9"/>
      <c r="Y1330" s="9"/>
      <c r="Z1330" s="9"/>
      <c r="AA1330" s="9"/>
      <c r="AB1330" s="9"/>
      <c r="AC1330" s="9"/>
      <c r="AD1330" s="9"/>
      <c r="AE1330" s="9"/>
      <c r="AF1330" s="9"/>
      <c r="AG1330" s="9"/>
      <c r="AH1330" s="9"/>
      <c r="AI1330" s="9"/>
      <c r="AJ1330" s="9"/>
      <c r="AK1330" s="9"/>
      <c r="AL1330" s="9"/>
      <c r="AM1330" s="9"/>
      <c r="AN1330" s="9"/>
      <c r="AO1330" s="9"/>
      <c r="AP1330" s="9"/>
      <c r="AQ1330" s="9"/>
      <c r="AR1330" s="9"/>
      <c r="AS1330" s="9"/>
      <c r="AT1330" s="9"/>
      <c r="AU1330" s="9"/>
      <c r="AV1330" s="9"/>
      <c r="AW1330" s="9"/>
      <c r="AX1330" s="9"/>
      <c r="AY1330" s="9"/>
      <c r="AZ1330" s="9"/>
      <c r="BA1330" s="9"/>
      <c r="BB1330" s="9"/>
      <c r="BC1330" s="9"/>
      <c r="BD1330" s="9"/>
      <c r="BE1330" s="9"/>
      <c r="BF1330" s="9"/>
      <c r="BG1330" s="9"/>
      <c r="BH1330" s="9"/>
      <c r="BI1330" s="9"/>
      <c r="BJ1330" s="9"/>
      <c r="BK1330" s="9"/>
      <c r="BL1330" s="9"/>
      <c r="BM1330" s="9"/>
      <c r="BN1330" s="9"/>
      <c r="BO1330" s="9"/>
      <c r="BP1330" s="9"/>
      <c r="BQ1330" s="9"/>
      <c r="BR1330" s="9"/>
      <c r="BS1330" s="9"/>
      <c r="BT1330" s="9"/>
      <c r="BU1330" s="9"/>
      <c r="BV1330" s="9"/>
      <c r="BW1330" s="9"/>
      <c r="BX1330" s="9"/>
      <c r="BY1330" s="9"/>
      <c r="BZ1330" s="9"/>
    </row>
    <row r="1331" spans="4:78" ht="18" customHeight="1" x14ac:dyDescent="0.25"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S1331" s="9"/>
      <c r="T1331" s="9"/>
      <c r="U1331" s="9"/>
      <c r="W1331" s="9"/>
      <c r="X1331" s="9"/>
      <c r="Y1331" s="9"/>
      <c r="Z1331" s="9"/>
      <c r="AA1331" s="9"/>
      <c r="AB1331" s="9"/>
      <c r="AC1331" s="9"/>
      <c r="AD1331" s="9"/>
      <c r="AE1331" s="9"/>
      <c r="AF1331" s="9"/>
      <c r="AG1331" s="9"/>
      <c r="AH1331" s="9"/>
      <c r="AI1331" s="9"/>
      <c r="AJ1331" s="9"/>
      <c r="AK1331" s="9"/>
      <c r="AL1331" s="9"/>
      <c r="AM1331" s="9"/>
      <c r="AN1331" s="9"/>
      <c r="AO1331" s="9"/>
      <c r="AP1331" s="9"/>
      <c r="AQ1331" s="9"/>
      <c r="AR1331" s="9"/>
      <c r="AS1331" s="9"/>
      <c r="AT1331" s="9"/>
      <c r="AU1331" s="9"/>
      <c r="AV1331" s="9"/>
      <c r="AW1331" s="9"/>
      <c r="AX1331" s="9"/>
      <c r="AY1331" s="9"/>
      <c r="AZ1331" s="9"/>
      <c r="BA1331" s="9"/>
      <c r="BB1331" s="9"/>
      <c r="BC1331" s="9"/>
      <c r="BD1331" s="9"/>
      <c r="BE1331" s="9"/>
      <c r="BF1331" s="9"/>
      <c r="BG1331" s="9"/>
      <c r="BH1331" s="9"/>
      <c r="BI1331" s="9"/>
      <c r="BJ1331" s="9"/>
      <c r="BK1331" s="9"/>
      <c r="BL1331" s="9"/>
      <c r="BM1331" s="9"/>
      <c r="BN1331" s="9"/>
      <c r="BO1331" s="9"/>
      <c r="BP1331" s="9"/>
      <c r="BQ1331" s="9"/>
      <c r="BR1331" s="9"/>
      <c r="BS1331" s="9"/>
      <c r="BT1331" s="9"/>
      <c r="BU1331" s="9"/>
      <c r="BV1331" s="9"/>
      <c r="BW1331" s="9"/>
      <c r="BX1331" s="9"/>
      <c r="BY1331" s="9"/>
      <c r="BZ1331" s="9"/>
    </row>
    <row r="1332" spans="4:78" ht="18" customHeight="1" x14ac:dyDescent="0.25"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S1332" s="9"/>
      <c r="T1332" s="9"/>
      <c r="U1332" s="9"/>
      <c r="W1332" s="9"/>
      <c r="X1332" s="9"/>
      <c r="Y1332" s="9"/>
      <c r="Z1332" s="9"/>
      <c r="AA1332" s="9"/>
      <c r="AB1332" s="9"/>
      <c r="AC1332" s="9"/>
      <c r="AD1332" s="9"/>
      <c r="AE1332" s="9"/>
      <c r="AF1332" s="9"/>
      <c r="AG1332" s="9"/>
      <c r="AH1332" s="9"/>
      <c r="AI1332" s="9"/>
      <c r="AJ1332" s="9"/>
      <c r="AK1332" s="9"/>
      <c r="AL1332" s="9"/>
      <c r="AM1332" s="9"/>
      <c r="AN1332" s="9"/>
      <c r="AO1332" s="9"/>
      <c r="AP1332" s="9"/>
      <c r="AQ1332" s="9"/>
      <c r="AR1332" s="9"/>
      <c r="AS1332" s="9"/>
      <c r="AT1332" s="9"/>
      <c r="AU1332" s="9"/>
      <c r="AV1332" s="9"/>
      <c r="AW1332" s="9"/>
      <c r="AX1332" s="9"/>
      <c r="AY1332" s="9"/>
      <c r="AZ1332" s="9"/>
      <c r="BA1332" s="9"/>
      <c r="BB1332" s="9"/>
      <c r="BC1332" s="9"/>
      <c r="BD1332" s="9"/>
      <c r="BE1332" s="9"/>
      <c r="BF1332" s="9"/>
      <c r="BG1332" s="9"/>
      <c r="BH1332" s="9"/>
      <c r="BI1332" s="9"/>
      <c r="BJ1332" s="9"/>
      <c r="BK1332" s="9"/>
      <c r="BL1332" s="9"/>
      <c r="BM1332" s="9"/>
      <c r="BN1332" s="9"/>
      <c r="BO1332" s="9"/>
      <c r="BP1332" s="9"/>
      <c r="BQ1332" s="9"/>
      <c r="BR1332" s="9"/>
      <c r="BS1332" s="9"/>
      <c r="BT1332" s="9"/>
      <c r="BU1332" s="9"/>
      <c r="BV1332" s="9"/>
      <c r="BW1332" s="9"/>
      <c r="BX1332" s="9"/>
      <c r="BY1332" s="9"/>
      <c r="BZ1332" s="9"/>
    </row>
    <row r="1333" spans="4:78" ht="18" customHeight="1" x14ac:dyDescent="0.25"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S1333" s="9"/>
      <c r="T1333" s="9"/>
      <c r="U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9"/>
      <c r="AG1333" s="9"/>
      <c r="AH1333" s="9"/>
      <c r="AI1333" s="9"/>
      <c r="AJ1333" s="9"/>
      <c r="AK1333" s="9"/>
      <c r="AL1333" s="9"/>
      <c r="AM1333" s="9"/>
      <c r="AN1333" s="9"/>
      <c r="AO1333" s="9"/>
      <c r="AP1333" s="9"/>
      <c r="AQ1333" s="9"/>
      <c r="AR1333" s="9"/>
      <c r="AS1333" s="9"/>
      <c r="AT1333" s="9"/>
      <c r="AU1333" s="9"/>
      <c r="AV1333" s="9"/>
      <c r="AW1333" s="9"/>
      <c r="AX1333" s="9"/>
      <c r="AY1333" s="9"/>
      <c r="AZ1333" s="9"/>
      <c r="BA1333" s="9"/>
      <c r="BB1333" s="9"/>
      <c r="BC1333" s="9"/>
      <c r="BD1333" s="9"/>
      <c r="BE1333" s="9"/>
      <c r="BF1333" s="9"/>
      <c r="BG1333" s="9"/>
      <c r="BH1333" s="9"/>
      <c r="BI1333" s="9"/>
      <c r="BJ1333" s="9"/>
      <c r="BK1333" s="9"/>
      <c r="BL1333" s="9"/>
      <c r="BM1333" s="9"/>
      <c r="BN1333" s="9"/>
      <c r="BO1333" s="9"/>
      <c r="BP1333" s="9"/>
      <c r="BQ1333" s="9"/>
      <c r="BR1333" s="9"/>
      <c r="BS1333" s="9"/>
      <c r="BT1333" s="9"/>
      <c r="BU1333" s="9"/>
      <c r="BV1333" s="9"/>
      <c r="BW1333" s="9"/>
      <c r="BX1333" s="9"/>
      <c r="BY1333" s="9"/>
      <c r="BZ1333" s="9"/>
    </row>
    <row r="1334" spans="4:78" ht="18" customHeight="1" x14ac:dyDescent="0.25"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S1334" s="9"/>
      <c r="T1334" s="9"/>
      <c r="U1334" s="9"/>
      <c r="W1334" s="9"/>
      <c r="X1334" s="9"/>
      <c r="Y1334" s="9"/>
      <c r="Z1334" s="9"/>
      <c r="AA1334" s="9"/>
      <c r="AB1334" s="9"/>
      <c r="AC1334" s="9"/>
      <c r="AD1334" s="9"/>
      <c r="AE1334" s="9"/>
      <c r="AF1334" s="9"/>
      <c r="AG1334" s="9"/>
      <c r="AH1334" s="9"/>
      <c r="AI1334" s="9"/>
      <c r="AJ1334" s="9"/>
      <c r="AK1334" s="9"/>
      <c r="AL1334" s="9"/>
      <c r="AM1334" s="9"/>
      <c r="AN1334" s="9"/>
      <c r="AO1334" s="9"/>
      <c r="AP1334" s="9"/>
      <c r="AQ1334" s="9"/>
      <c r="AR1334" s="9"/>
      <c r="AS1334" s="9"/>
      <c r="AT1334" s="9"/>
      <c r="AU1334" s="9"/>
      <c r="AV1334" s="9"/>
      <c r="AW1334" s="9"/>
      <c r="AX1334" s="9"/>
      <c r="AY1334" s="9"/>
      <c r="AZ1334" s="9"/>
      <c r="BA1334" s="9"/>
      <c r="BB1334" s="9"/>
      <c r="BC1334" s="9"/>
      <c r="BD1334" s="9"/>
      <c r="BE1334" s="9"/>
      <c r="BF1334" s="9"/>
      <c r="BG1334" s="9"/>
      <c r="BH1334" s="9"/>
      <c r="BI1334" s="9"/>
      <c r="BJ1334" s="9"/>
      <c r="BK1334" s="9"/>
      <c r="BL1334" s="9"/>
      <c r="BM1334" s="9"/>
      <c r="BN1334" s="9"/>
      <c r="BO1334" s="9"/>
      <c r="BP1334" s="9"/>
      <c r="BQ1334" s="9"/>
      <c r="BR1334" s="9"/>
      <c r="BS1334" s="9"/>
      <c r="BT1334" s="9"/>
      <c r="BU1334" s="9"/>
      <c r="BV1334" s="9"/>
      <c r="BW1334" s="9"/>
      <c r="BX1334" s="9"/>
      <c r="BY1334" s="9"/>
      <c r="BZ1334" s="9"/>
    </row>
    <row r="1335" spans="4:78" ht="18" customHeight="1" x14ac:dyDescent="0.25"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S1335" s="9"/>
      <c r="T1335" s="9"/>
      <c r="U1335" s="9"/>
      <c r="W1335" s="9"/>
      <c r="X1335" s="9"/>
      <c r="Y1335" s="9"/>
      <c r="Z1335" s="9"/>
      <c r="AA1335" s="9"/>
      <c r="AB1335" s="9"/>
      <c r="AC1335" s="9"/>
      <c r="AD1335" s="9"/>
      <c r="AE1335" s="9"/>
      <c r="AF1335" s="9"/>
      <c r="AG1335" s="9"/>
      <c r="AH1335" s="9"/>
      <c r="AI1335" s="9"/>
      <c r="AJ1335" s="9"/>
      <c r="AK1335" s="9"/>
      <c r="AL1335" s="9"/>
      <c r="AM1335" s="9"/>
      <c r="AN1335" s="9"/>
      <c r="AO1335" s="9"/>
      <c r="AP1335" s="9"/>
      <c r="AQ1335" s="9"/>
      <c r="AR1335" s="9"/>
      <c r="AS1335" s="9"/>
      <c r="AT1335" s="9"/>
      <c r="AU1335" s="9"/>
      <c r="AV1335" s="9"/>
      <c r="AW1335" s="9"/>
      <c r="AX1335" s="9"/>
      <c r="AY1335" s="9"/>
      <c r="AZ1335" s="9"/>
      <c r="BA1335" s="9"/>
      <c r="BB1335" s="9"/>
      <c r="BC1335" s="9"/>
      <c r="BD1335" s="9"/>
      <c r="BE1335" s="9"/>
      <c r="BF1335" s="9"/>
      <c r="BG1335" s="9"/>
      <c r="BH1335" s="9"/>
      <c r="BI1335" s="9"/>
      <c r="BJ1335" s="9"/>
      <c r="BK1335" s="9"/>
      <c r="BL1335" s="9"/>
      <c r="BM1335" s="9"/>
      <c r="BN1335" s="9"/>
      <c r="BO1335" s="9"/>
      <c r="BP1335" s="9"/>
      <c r="BQ1335" s="9"/>
      <c r="BR1335" s="9"/>
      <c r="BS1335" s="9"/>
      <c r="BT1335" s="9"/>
      <c r="BU1335" s="9"/>
      <c r="BV1335" s="9"/>
      <c r="BW1335" s="9"/>
      <c r="BX1335" s="9"/>
      <c r="BY1335" s="9"/>
      <c r="BZ1335" s="9"/>
    </row>
    <row r="1336" spans="4:78" ht="18" customHeight="1" x14ac:dyDescent="0.25"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S1336" s="9"/>
      <c r="T1336" s="9"/>
      <c r="U1336" s="9"/>
      <c r="W1336" s="9"/>
      <c r="X1336" s="9"/>
      <c r="Y1336" s="9"/>
      <c r="Z1336" s="9"/>
      <c r="AA1336" s="9"/>
      <c r="AB1336" s="9"/>
      <c r="AC1336" s="9"/>
      <c r="AD1336" s="9"/>
      <c r="AE1336" s="9"/>
      <c r="AF1336" s="9"/>
      <c r="AG1336" s="9"/>
      <c r="AH1336" s="9"/>
      <c r="AI1336" s="9"/>
      <c r="AJ1336" s="9"/>
      <c r="AK1336" s="9"/>
      <c r="AL1336" s="9"/>
      <c r="AM1336" s="9"/>
      <c r="AN1336" s="9"/>
      <c r="AO1336" s="9"/>
      <c r="AP1336" s="9"/>
      <c r="AQ1336" s="9"/>
      <c r="AR1336" s="9"/>
      <c r="AS1336" s="9"/>
      <c r="AT1336" s="9"/>
      <c r="AU1336" s="9"/>
      <c r="AV1336" s="9"/>
      <c r="AW1336" s="9"/>
      <c r="AX1336" s="9"/>
      <c r="AY1336" s="9"/>
      <c r="AZ1336" s="9"/>
      <c r="BA1336" s="9"/>
      <c r="BB1336" s="9"/>
      <c r="BC1336" s="9"/>
      <c r="BD1336" s="9"/>
      <c r="BE1336" s="9"/>
      <c r="BF1336" s="9"/>
      <c r="BG1336" s="9"/>
      <c r="BH1336" s="9"/>
      <c r="BI1336" s="9"/>
      <c r="BJ1336" s="9"/>
      <c r="BK1336" s="9"/>
      <c r="BL1336" s="9"/>
      <c r="BM1336" s="9"/>
      <c r="BN1336" s="9"/>
      <c r="BO1336" s="9"/>
      <c r="BP1336" s="9"/>
      <c r="BQ1336" s="9"/>
      <c r="BR1336" s="9"/>
      <c r="BS1336" s="9"/>
      <c r="BT1336" s="9"/>
      <c r="BU1336" s="9"/>
      <c r="BV1336" s="9"/>
      <c r="BW1336" s="9"/>
      <c r="BX1336" s="9"/>
      <c r="BY1336" s="9"/>
      <c r="BZ1336" s="9"/>
    </row>
    <row r="1337" spans="4:78" ht="18" customHeight="1" x14ac:dyDescent="0.25"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S1337" s="9"/>
      <c r="T1337" s="9"/>
      <c r="U1337" s="9"/>
      <c r="W1337" s="9"/>
      <c r="X1337" s="9"/>
      <c r="Y1337" s="9"/>
      <c r="Z1337" s="9"/>
      <c r="AA1337" s="9"/>
      <c r="AB1337" s="9"/>
      <c r="AC1337" s="9"/>
      <c r="AD1337" s="9"/>
      <c r="AE1337" s="9"/>
      <c r="AF1337" s="9"/>
      <c r="AG1337" s="9"/>
      <c r="AH1337" s="9"/>
      <c r="AI1337" s="9"/>
      <c r="AJ1337" s="9"/>
      <c r="AK1337" s="9"/>
      <c r="AL1337" s="9"/>
      <c r="AM1337" s="9"/>
      <c r="AN1337" s="9"/>
      <c r="AO1337" s="9"/>
      <c r="AP1337" s="9"/>
      <c r="AQ1337" s="9"/>
      <c r="AR1337" s="9"/>
      <c r="AS1337" s="9"/>
      <c r="AT1337" s="9"/>
      <c r="AU1337" s="9"/>
      <c r="AV1337" s="9"/>
      <c r="AW1337" s="9"/>
      <c r="AX1337" s="9"/>
      <c r="AY1337" s="9"/>
      <c r="AZ1337" s="9"/>
      <c r="BA1337" s="9"/>
      <c r="BB1337" s="9"/>
      <c r="BC1337" s="9"/>
      <c r="BD1337" s="9"/>
      <c r="BE1337" s="9"/>
      <c r="BF1337" s="9"/>
      <c r="BG1337" s="9"/>
      <c r="BH1337" s="9"/>
      <c r="BI1337" s="9"/>
      <c r="BJ1337" s="9"/>
      <c r="BK1337" s="9"/>
      <c r="BL1337" s="9"/>
      <c r="BM1337" s="9"/>
      <c r="BN1337" s="9"/>
      <c r="BO1337" s="9"/>
      <c r="BP1337" s="9"/>
      <c r="BQ1337" s="9"/>
      <c r="BR1337" s="9"/>
      <c r="BS1337" s="9"/>
      <c r="BT1337" s="9"/>
      <c r="BU1337" s="9"/>
      <c r="BV1337" s="9"/>
      <c r="BW1337" s="9"/>
      <c r="BX1337" s="9"/>
      <c r="BY1337" s="9"/>
      <c r="BZ1337" s="9"/>
    </row>
    <row r="1338" spans="4:78" ht="18" customHeight="1" x14ac:dyDescent="0.25"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S1338" s="9"/>
      <c r="T1338" s="9"/>
      <c r="U1338" s="9"/>
      <c r="W1338" s="9"/>
      <c r="X1338" s="9"/>
      <c r="Y1338" s="9"/>
      <c r="Z1338" s="9"/>
      <c r="AA1338" s="9"/>
      <c r="AB1338" s="9"/>
      <c r="AC1338" s="9"/>
      <c r="AD1338" s="9"/>
      <c r="AE1338" s="9"/>
      <c r="AF1338" s="9"/>
      <c r="AG1338" s="9"/>
      <c r="AH1338" s="9"/>
      <c r="AI1338" s="9"/>
      <c r="AJ1338" s="9"/>
      <c r="AK1338" s="9"/>
      <c r="AL1338" s="9"/>
      <c r="AM1338" s="9"/>
      <c r="AN1338" s="9"/>
      <c r="AO1338" s="9"/>
      <c r="AP1338" s="9"/>
      <c r="AQ1338" s="9"/>
      <c r="AR1338" s="9"/>
      <c r="AS1338" s="9"/>
      <c r="AT1338" s="9"/>
      <c r="AU1338" s="9"/>
      <c r="AV1338" s="9"/>
      <c r="AW1338" s="9"/>
      <c r="AX1338" s="9"/>
      <c r="AY1338" s="9"/>
      <c r="AZ1338" s="9"/>
      <c r="BA1338" s="9"/>
      <c r="BB1338" s="9"/>
      <c r="BC1338" s="9"/>
      <c r="BD1338" s="9"/>
      <c r="BE1338" s="9"/>
      <c r="BF1338" s="9"/>
      <c r="BG1338" s="9"/>
      <c r="BH1338" s="9"/>
      <c r="BI1338" s="9"/>
      <c r="BJ1338" s="9"/>
      <c r="BK1338" s="9"/>
      <c r="BL1338" s="9"/>
      <c r="BM1338" s="9"/>
      <c r="BN1338" s="9"/>
      <c r="BO1338" s="9"/>
      <c r="BP1338" s="9"/>
      <c r="BQ1338" s="9"/>
      <c r="BR1338" s="9"/>
      <c r="BS1338" s="9"/>
      <c r="BT1338" s="9"/>
      <c r="BU1338" s="9"/>
      <c r="BV1338" s="9"/>
      <c r="BW1338" s="9"/>
      <c r="BX1338" s="9"/>
      <c r="BY1338" s="9"/>
      <c r="BZ1338" s="9"/>
    </row>
    <row r="1339" spans="4:78" ht="18" customHeight="1" x14ac:dyDescent="0.25"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S1339" s="9"/>
      <c r="T1339" s="9"/>
      <c r="U1339" s="9"/>
      <c r="W1339" s="9"/>
      <c r="X1339" s="9"/>
      <c r="Y1339" s="9"/>
      <c r="Z1339" s="9"/>
      <c r="AA1339" s="9"/>
      <c r="AB1339" s="9"/>
      <c r="AC1339" s="9"/>
      <c r="AD1339" s="9"/>
      <c r="AE1339" s="9"/>
      <c r="AF1339" s="9"/>
      <c r="AG1339" s="9"/>
      <c r="AH1339" s="9"/>
      <c r="AI1339" s="9"/>
      <c r="AJ1339" s="9"/>
      <c r="AK1339" s="9"/>
      <c r="AL1339" s="9"/>
      <c r="AM1339" s="9"/>
      <c r="AN1339" s="9"/>
      <c r="AO1339" s="9"/>
      <c r="AP1339" s="9"/>
      <c r="AQ1339" s="9"/>
      <c r="AR1339" s="9"/>
      <c r="AS1339" s="9"/>
      <c r="AT1339" s="9"/>
      <c r="AU1339" s="9"/>
      <c r="AV1339" s="9"/>
      <c r="AW1339" s="9"/>
      <c r="AX1339" s="9"/>
      <c r="AY1339" s="9"/>
      <c r="AZ1339" s="9"/>
      <c r="BA1339" s="9"/>
      <c r="BB1339" s="9"/>
      <c r="BC1339" s="9"/>
      <c r="BD1339" s="9"/>
      <c r="BE1339" s="9"/>
      <c r="BF1339" s="9"/>
      <c r="BG1339" s="9"/>
      <c r="BH1339" s="9"/>
      <c r="BI1339" s="9"/>
      <c r="BJ1339" s="9"/>
      <c r="BK1339" s="9"/>
      <c r="BL1339" s="9"/>
      <c r="BM1339" s="9"/>
      <c r="BN1339" s="9"/>
      <c r="BO1339" s="9"/>
      <c r="BP1339" s="9"/>
      <c r="BQ1339" s="9"/>
      <c r="BR1339" s="9"/>
      <c r="BS1339" s="9"/>
      <c r="BT1339" s="9"/>
      <c r="BU1339" s="9"/>
      <c r="BV1339" s="9"/>
      <c r="BW1339" s="9"/>
      <c r="BX1339" s="9"/>
      <c r="BY1339" s="9"/>
      <c r="BZ1339" s="9"/>
    </row>
    <row r="1340" spans="4:78" ht="18" customHeight="1" x14ac:dyDescent="0.25"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S1340" s="9"/>
      <c r="T1340" s="9"/>
      <c r="U1340" s="9"/>
      <c r="W1340" s="9"/>
      <c r="X1340" s="9"/>
      <c r="Y1340" s="9"/>
      <c r="Z1340" s="9"/>
      <c r="AA1340" s="9"/>
      <c r="AB1340" s="9"/>
      <c r="AC1340" s="9"/>
      <c r="AD1340" s="9"/>
      <c r="AE1340" s="9"/>
      <c r="AF1340" s="9"/>
      <c r="AG1340" s="9"/>
      <c r="AH1340" s="9"/>
      <c r="AI1340" s="9"/>
      <c r="AJ1340" s="9"/>
      <c r="AK1340" s="9"/>
      <c r="AL1340" s="9"/>
      <c r="AM1340" s="9"/>
      <c r="AN1340" s="9"/>
      <c r="AO1340" s="9"/>
      <c r="AP1340" s="9"/>
      <c r="AQ1340" s="9"/>
      <c r="AR1340" s="9"/>
      <c r="AS1340" s="9"/>
      <c r="AT1340" s="9"/>
      <c r="AU1340" s="9"/>
      <c r="AV1340" s="9"/>
      <c r="AW1340" s="9"/>
      <c r="AX1340" s="9"/>
      <c r="AY1340" s="9"/>
      <c r="AZ1340" s="9"/>
      <c r="BA1340" s="9"/>
      <c r="BB1340" s="9"/>
      <c r="BC1340" s="9"/>
      <c r="BD1340" s="9"/>
      <c r="BE1340" s="9"/>
      <c r="BF1340" s="9"/>
      <c r="BG1340" s="9"/>
      <c r="BH1340" s="9"/>
      <c r="BI1340" s="9"/>
      <c r="BJ1340" s="9"/>
      <c r="BK1340" s="9"/>
      <c r="BL1340" s="9"/>
      <c r="BM1340" s="9"/>
      <c r="BN1340" s="9"/>
      <c r="BO1340" s="9"/>
      <c r="BP1340" s="9"/>
      <c r="BQ1340" s="9"/>
      <c r="BR1340" s="9"/>
      <c r="BS1340" s="9"/>
      <c r="BT1340" s="9"/>
      <c r="BU1340" s="9"/>
      <c r="BV1340" s="9"/>
      <c r="BW1340" s="9"/>
      <c r="BX1340" s="9"/>
      <c r="BY1340" s="9"/>
      <c r="BZ1340" s="9"/>
    </row>
    <row r="1341" spans="4:78" ht="18" customHeight="1" x14ac:dyDescent="0.25"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S1341" s="9"/>
      <c r="T1341" s="9"/>
      <c r="U1341" s="9"/>
      <c r="W1341" s="9"/>
      <c r="X1341" s="9"/>
      <c r="Y1341" s="9"/>
      <c r="Z1341" s="9"/>
      <c r="AA1341" s="9"/>
      <c r="AB1341" s="9"/>
      <c r="AC1341" s="9"/>
      <c r="AD1341" s="9"/>
      <c r="AE1341" s="9"/>
      <c r="AF1341" s="9"/>
      <c r="AG1341" s="9"/>
      <c r="AH1341" s="9"/>
      <c r="AI1341" s="9"/>
      <c r="AJ1341" s="9"/>
      <c r="AK1341" s="9"/>
      <c r="AL1341" s="9"/>
      <c r="AM1341" s="9"/>
      <c r="AN1341" s="9"/>
      <c r="AO1341" s="9"/>
      <c r="AP1341" s="9"/>
      <c r="AQ1341" s="9"/>
      <c r="AR1341" s="9"/>
      <c r="AS1341" s="9"/>
      <c r="AT1341" s="9"/>
      <c r="AU1341" s="9"/>
      <c r="AV1341" s="9"/>
      <c r="AW1341" s="9"/>
      <c r="AX1341" s="9"/>
      <c r="AY1341" s="9"/>
      <c r="AZ1341" s="9"/>
      <c r="BA1341" s="9"/>
      <c r="BB1341" s="9"/>
      <c r="BC1341" s="9"/>
      <c r="BD1341" s="9"/>
      <c r="BE1341" s="9"/>
      <c r="BF1341" s="9"/>
      <c r="BG1341" s="9"/>
      <c r="BH1341" s="9"/>
      <c r="BI1341" s="9"/>
      <c r="BJ1341" s="9"/>
      <c r="BK1341" s="9"/>
      <c r="BL1341" s="9"/>
      <c r="BM1341" s="9"/>
      <c r="BN1341" s="9"/>
      <c r="BO1341" s="9"/>
      <c r="BP1341" s="9"/>
      <c r="BQ1341" s="9"/>
      <c r="BR1341" s="9"/>
      <c r="BS1341" s="9"/>
      <c r="BT1341" s="9"/>
      <c r="BU1341" s="9"/>
      <c r="BV1341" s="9"/>
      <c r="BW1341" s="9"/>
      <c r="BX1341" s="9"/>
      <c r="BY1341" s="9"/>
      <c r="BZ1341" s="9"/>
    </row>
    <row r="1342" spans="4:78" ht="18" customHeight="1" x14ac:dyDescent="0.25"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S1342" s="9"/>
      <c r="T1342" s="9"/>
      <c r="U1342" s="9"/>
      <c r="W1342" s="9"/>
      <c r="X1342" s="9"/>
      <c r="Y1342" s="9"/>
      <c r="Z1342" s="9"/>
      <c r="AA1342" s="9"/>
      <c r="AB1342" s="9"/>
      <c r="AC1342" s="9"/>
      <c r="AD1342" s="9"/>
      <c r="AE1342" s="9"/>
      <c r="AF1342" s="9"/>
      <c r="AG1342" s="9"/>
      <c r="AH1342" s="9"/>
      <c r="AI1342" s="9"/>
      <c r="AJ1342" s="9"/>
      <c r="AK1342" s="9"/>
      <c r="AL1342" s="9"/>
      <c r="AM1342" s="9"/>
      <c r="AN1342" s="9"/>
      <c r="AO1342" s="9"/>
      <c r="AP1342" s="9"/>
      <c r="AQ1342" s="9"/>
      <c r="AR1342" s="9"/>
      <c r="AS1342" s="9"/>
      <c r="AT1342" s="9"/>
      <c r="AU1342" s="9"/>
      <c r="AV1342" s="9"/>
      <c r="AW1342" s="9"/>
      <c r="AX1342" s="9"/>
      <c r="AY1342" s="9"/>
      <c r="AZ1342" s="9"/>
      <c r="BA1342" s="9"/>
      <c r="BB1342" s="9"/>
      <c r="BC1342" s="9"/>
      <c r="BD1342" s="9"/>
      <c r="BE1342" s="9"/>
      <c r="BF1342" s="9"/>
      <c r="BG1342" s="9"/>
      <c r="BH1342" s="9"/>
      <c r="BI1342" s="9"/>
      <c r="BJ1342" s="9"/>
      <c r="BK1342" s="9"/>
      <c r="BL1342" s="9"/>
      <c r="BM1342" s="9"/>
      <c r="BN1342" s="9"/>
      <c r="BO1342" s="9"/>
      <c r="BP1342" s="9"/>
      <c r="BQ1342" s="9"/>
      <c r="BR1342" s="9"/>
      <c r="BS1342" s="9"/>
      <c r="BT1342" s="9"/>
      <c r="BU1342" s="9"/>
      <c r="BV1342" s="9"/>
      <c r="BW1342" s="9"/>
      <c r="BX1342" s="9"/>
      <c r="BY1342" s="9"/>
      <c r="BZ1342" s="9"/>
    </row>
    <row r="1343" spans="4:78" ht="18" customHeight="1" x14ac:dyDescent="0.25"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S1343" s="9"/>
      <c r="T1343" s="9"/>
      <c r="U1343" s="9"/>
      <c r="W1343" s="9"/>
      <c r="X1343" s="9"/>
      <c r="Y1343" s="9"/>
      <c r="Z1343" s="9"/>
      <c r="AA1343" s="9"/>
      <c r="AB1343" s="9"/>
      <c r="AC1343" s="9"/>
      <c r="AD1343" s="9"/>
      <c r="AE1343" s="9"/>
      <c r="AF1343" s="9"/>
      <c r="AG1343" s="9"/>
      <c r="AH1343" s="9"/>
      <c r="AI1343" s="9"/>
      <c r="AJ1343" s="9"/>
      <c r="AK1343" s="9"/>
      <c r="AL1343" s="9"/>
      <c r="AM1343" s="9"/>
      <c r="AN1343" s="9"/>
      <c r="AO1343" s="9"/>
      <c r="AP1343" s="9"/>
      <c r="AQ1343" s="9"/>
      <c r="AR1343" s="9"/>
      <c r="AS1343" s="9"/>
      <c r="AT1343" s="9"/>
      <c r="AU1343" s="9"/>
      <c r="AV1343" s="9"/>
      <c r="AW1343" s="9"/>
      <c r="AX1343" s="9"/>
      <c r="AY1343" s="9"/>
      <c r="AZ1343" s="9"/>
      <c r="BA1343" s="9"/>
      <c r="BB1343" s="9"/>
      <c r="BC1343" s="9"/>
      <c r="BD1343" s="9"/>
      <c r="BE1343" s="9"/>
      <c r="BF1343" s="9"/>
      <c r="BG1343" s="9"/>
      <c r="BH1343" s="9"/>
      <c r="BI1343" s="9"/>
      <c r="BJ1343" s="9"/>
      <c r="BK1343" s="9"/>
      <c r="BL1343" s="9"/>
      <c r="BM1343" s="9"/>
      <c r="BN1343" s="9"/>
      <c r="BO1343" s="9"/>
      <c r="BP1343" s="9"/>
      <c r="BQ1343" s="9"/>
      <c r="BR1343" s="9"/>
      <c r="BS1343" s="9"/>
      <c r="BT1343" s="9"/>
      <c r="BU1343" s="9"/>
      <c r="BV1343" s="9"/>
      <c r="BW1343" s="9"/>
      <c r="BX1343" s="9"/>
      <c r="BY1343" s="9"/>
      <c r="BZ1343" s="9"/>
    </row>
    <row r="1344" spans="4:78" ht="18" customHeight="1" x14ac:dyDescent="0.25"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S1344" s="9"/>
      <c r="T1344" s="9"/>
      <c r="U1344" s="9"/>
      <c r="W1344" s="9"/>
      <c r="X1344" s="9"/>
      <c r="Y1344" s="9"/>
      <c r="Z1344" s="9"/>
      <c r="AA1344" s="9"/>
      <c r="AB1344" s="9"/>
      <c r="AC1344" s="9"/>
      <c r="AD1344" s="9"/>
      <c r="AE1344" s="9"/>
      <c r="AF1344" s="9"/>
      <c r="AG1344" s="9"/>
      <c r="AH1344" s="9"/>
      <c r="AI1344" s="9"/>
      <c r="AJ1344" s="9"/>
      <c r="AK1344" s="9"/>
      <c r="AL1344" s="9"/>
      <c r="AM1344" s="9"/>
      <c r="AN1344" s="9"/>
      <c r="AO1344" s="9"/>
      <c r="AP1344" s="9"/>
      <c r="AQ1344" s="9"/>
      <c r="AR1344" s="9"/>
      <c r="AS1344" s="9"/>
      <c r="AT1344" s="9"/>
      <c r="AU1344" s="9"/>
      <c r="AV1344" s="9"/>
      <c r="AW1344" s="9"/>
      <c r="AX1344" s="9"/>
      <c r="AY1344" s="9"/>
      <c r="AZ1344" s="9"/>
      <c r="BA1344" s="9"/>
      <c r="BB1344" s="9"/>
      <c r="BC1344" s="9"/>
      <c r="BD1344" s="9"/>
      <c r="BE1344" s="9"/>
      <c r="BF1344" s="9"/>
      <c r="BG1344" s="9"/>
      <c r="BH1344" s="9"/>
      <c r="BI1344" s="9"/>
      <c r="BJ1344" s="9"/>
      <c r="BK1344" s="9"/>
      <c r="BL1344" s="9"/>
      <c r="BM1344" s="9"/>
      <c r="BN1344" s="9"/>
      <c r="BO1344" s="9"/>
      <c r="BP1344" s="9"/>
      <c r="BQ1344" s="9"/>
      <c r="BR1344" s="9"/>
      <c r="BS1344" s="9"/>
      <c r="BT1344" s="9"/>
      <c r="BU1344" s="9"/>
      <c r="BV1344" s="9"/>
      <c r="BW1344" s="9"/>
      <c r="BX1344" s="9"/>
      <c r="BY1344" s="9"/>
      <c r="BZ1344" s="9"/>
    </row>
    <row r="1345" spans="4:78" ht="18" customHeight="1" x14ac:dyDescent="0.25"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S1345" s="9"/>
      <c r="T1345" s="9"/>
      <c r="U1345" s="9"/>
      <c r="W1345" s="9"/>
      <c r="X1345" s="9"/>
      <c r="Y1345" s="9"/>
      <c r="Z1345" s="9"/>
      <c r="AA1345" s="9"/>
      <c r="AB1345" s="9"/>
      <c r="AC1345" s="9"/>
      <c r="AD1345" s="9"/>
      <c r="AE1345" s="9"/>
      <c r="AF1345" s="9"/>
      <c r="AG1345" s="9"/>
      <c r="AH1345" s="9"/>
      <c r="AI1345" s="9"/>
      <c r="AJ1345" s="9"/>
      <c r="AK1345" s="9"/>
      <c r="AL1345" s="9"/>
      <c r="AM1345" s="9"/>
      <c r="AN1345" s="9"/>
      <c r="AO1345" s="9"/>
      <c r="AP1345" s="9"/>
      <c r="AQ1345" s="9"/>
      <c r="AR1345" s="9"/>
      <c r="AS1345" s="9"/>
      <c r="AT1345" s="9"/>
      <c r="AU1345" s="9"/>
      <c r="AV1345" s="9"/>
      <c r="AW1345" s="9"/>
      <c r="AX1345" s="9"/>
      <c r="AY1345" s="9"/>
      <c r="AZ1345" s="9"/>
      <c r="BA1345" s="9"/>
      <c r="BB1345" s="9"/>
      <c r="BC1345" s="9"/>
      <c r="BD1345" s="9"/>
      <c r="BE1345" s="9"/>
      <c r="BF1345" s="9"/>
      <c r="BG1345" s="9"/>
      <c r="BH1345" s="9"/>
      <c r="BI1345" s="9"/>
      <c r="BJ1345" s="9"/>
      <c r="BK1345" s="9"/>
      <c r="BL1345" s="9"/>
      <c r="BM1345" s="9"/>
      <c r="BN1345" s="9"/>
      <c r="BO1345" s="9"/>
      <c r="BP1345" s="9"/>
      <c r="BQ1345" s="9"/>
      <c r="BR1345" s="9"/>
      <c r="BS1345" s="9"/>
      <c r="BT1345" s="9"/>
      <c r="BU1345" s="9"/>
      <c r="BV1345" s="9"/>
      <c r="BW1345" s="9"/>
      <c r="BX1345" s="9"/>
      <c r="BY1345" s="9"/>
      <c r="BZ1345" s="9"/>
    </row>
    <row r="1346" spans="4:78" ht="18" customHeight="1" x14ac:dyDescent="0.25"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S1346" s="9"/>
      <c r="T1346" s="9"/>
      <c r="U1346" s="9"/>
      <c r="W1346" s="9"/>
      <c r="X1346" s="9"/>
      <c r="Y1346" s="9"/>
      <c r="Z1346" s="9"/>
      <c r="AA1346" s="9"/>
      <c r="AB1346" s="9"/>
      <c r="AC1346" s="9"/>
      <c r="AD1346" s="9"/>
      <c r="AE1346" s="9"/>
      <c r="AF1346" s="9"/>
      <c r="AG1346" s="9"/>
      <c r="AH1346" s="9"/>
      <c r="AI1346" s="9"/>
      <c r="AJ1346" s="9"/>
      <c r="AK1346" s="9"/>
      <c r="AL1346" s="9"/>
      <c r="AM1346" s="9"/>
      <c r="AN1346" s="9"/>
      <c r="AO1346" s="9"/>
      <c r="AP1346" s="9"/>
      <c r="AQ1346" s="9"/>
      <c r="AR1346" s="9"/>
      <c r="AS1346" s="9"/>
      <c r="AT1346" s="9"/>
      <c r="AU1346" s="9"/>
      <c r="AV1346" s="9"/>
      <c r="AW1346" s="9"/>
      <c r="AX1346" s="9"/>
      <c r="AY1346" s="9"/>
      <c r="AZ1346" s="9"/>
      <c r="BA1346" s="9"/>
      <c r="BB1346" s="9"/>
      <c r="BC1346" s="9"/>
      <c r="BD1346" s="9"/>
      <c r="BE1346" s="9"/>
      <c r="BF1346" s="9"/>
      <c r="BG1346" s="9"/>
      <c r="BH1346" s="9"/>
      <c r="BI1346" s="9"/>
      <c r="BJ1346" s="9"/>
      <c r="BK1346" s="9"/>
      <c r="BL1346" s="9"/>
      <c r="BM1346" s="9"/>
      <c r="BN1346" s="9"/>
      <c r="BO1346" s="9"/>
      <c r="BP1346" s="9"/>
      <c r="BQ1346" s="9"/>
      <c r="BR1346" s="9"/>
      <c r="BS1346" s="9"/>
      <c r="BT1346" s="9"/>
      <c r="BU1346" s="9"/>
      <c r="BV1346" s="9"/>
      <c r="BW1346" s="9"/>
      <c r="BX1346" s="9"/>
      <c r="BY1346" s="9"/>
      <c r="BZ1346" s="9"/>
    </row>
    <row r="1347" spans="4:78" ht="18" customHeight="1" x14ac:dyDescent="0.25"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S1347" s="9"/>
      <c r="T1347" s="9"/>
      <c r="U1347" s="9"/>
      <c r="W1347" s="9"/>
      <c r="X1347" s="9"/>
      <c r="Y1347" s="9"/>
      <c r="Z1347" s="9"/>
      <c r="AA1347" s="9"/>
      <c r="AB1347" s="9"/>
      <c r="AC1347" s="9"/>
      <c r="AD1347" s="9"/>
      <c r="AE1347" s="9"/>
      <c r="AF1347" s="9"/>
      <c r="AG1347" s="9"/>
      <c r="AH1347" s="9"/>
      <c r="AI1347" s="9"/>
      <c r="AJ1347" s="9"/>
      <c r="AK1347" s="9"/>
      <c r="AL1347" s="9"/>
      <c r="AM1347" s="9"/>
      <c r="AN1347" s="9"/>
      <c r="AO1347" s="9"/>
      <c r="AP1347" s="9"/>
      <c r="AQ1347" s="9"/>
      <c r="AR1347" s="9"/>
      <c r="AS1347" s="9"/>
      <c r="AT1347" s="9"/>
      <c r="AU1347" s="9"/>
      <c r="AV1347" s="9"/>
      <c r="AW1347" s="9"/>
      <c r="AX1347" s="9"/>
      <c r="AY1347" s="9"/>
      <c r="AZ1347" s="9"/>
      <c r="BA1347" s="9"/>
      <c r="BB1347" s="9"/>
      <c r="BC1347" s="9"/>
      <c r="BD1347" s="9"/>
      <c r="BE1347" s="9"/>
      <c r="BF1347" s="9"/>
      <c r="BG1347" s="9"/>
      <c r="BH1347" s="9"/>
      <c r="BI1347" s="9"/>
      <c r="BJ1347" s="9"/>
      <c r="BK1347" s="9"/>
      <c r="BL1347" s="9"/>
      <c r="BM1347" s="9"/>
      <c r="BN1347" s="9"/>
      <c r="BO1347" s="9"/>
      <c r="BP1347" s="9"/>
      <c r="BQ1347" s="9"/>
      <c r="BR1347" s="9"/>
      <c r="BS1347" s="9"/>
      <c r="BT1347" s="9"/>
      <c r="BU1347" s="9"/>
      <c r="BV1347" s="9"/>
      <c r="BW1347" s="9"/>
      <c r="BX1347" s="9"/>
      <c r="BY1347" s="9"/>
      <c r="BZ1347" s="9"/>
    </row>
    <row r="1348" spans="4:78" ht="18" customHeight="1" x14ac:dyDescent="0.25"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S1348" s="9"/>
      <c r="T1348" s="9"/>
      <c r="U1348" s="9"/>
      <c r="W1348" s="9"/>
      <c r="X1348" s="9"/>
      <c r="Y1348" s="9"/>
      <c r="Z1348" s="9"/>
      <c r="AA1348" s="9"/>
      <c r="AB1348" s="9"/>
      <c r="AC1348" s="9"/>
      <c r="AD1348" s="9"/>
      <c r="AE1348" s="9"/>
      <c r="AF1348" s="9"/>
      <c r="AG1348" s="9"/>
      <c r="AH1348" s="9"/>
      <c r="AI1348" s="9"/>
      <c r="AJ1348" s="9"/>
      <c r="AK1348" s="9"/>
      <c r="AL1348" s="9"/>
      <c r="AM1348" s="9"/>
      <c r="AN1348" s="9"/>
      <c r="AO1348" s="9"/>
      <c r="AP1348" s="9"/>
      <c r="AQ1348" s="9"/>
      <c r="AR1348" s="9"/>
      <c r="AS1348" s="9"/>
      <c r="AT1348" s="9"/>
      <c r="AU1348" s="9"/>
      <c r="AV1348" s="9"/>
      <c r="AW1348" s="9"/>
      <c r="AX1348" s="9"/>
      <c r="AY1348" s="9"/>
      <c r="AZ1348" s="9"/>
      <c r="BA1348" s="9"/>
      <c r="BB1348" s="9"/>
      <c r="BC1348" s="9"/>
      <c r="BD1348" s="9"/>
      <c r="BE1348" s="9"/>
      <c r="BF1348" s="9"/>
      <c r="BG1348" s="9"/>
      <c r="BH1348" s="9"/>
      <c r="BI1348" s="9"/>
      <c r="BJ1348" s="9"/>
      <c r="BK1348" s="9"/>
      <c r="BL1348" s="9"/>
      <c r="BM1348" s="9"/>
      <c r="BN1348" s="9"/>
      <c r="BO1348" s="9"/>
      <c r="BP1348" s="9"/>
      <c r="BQ1348" s="9"/>
      <c r="BR1348" s="9"/>
      <c r="BS1348" s="9"/>
      <c r="BT1348" s="9"/>
      <c r="BU1348" s="9"/>
      <c r="BV1348" s="9"/>
      <c r="BW1348" s="9"/>
      <c r="BX1348" s="9"/>
      <c r="BY1348" s="9"/>
      <c r="BZ1348" s="9"/>
    </row>
    <row r="1349" spans="4:78" ht="18" customHeight="1" x14ac:dyDescent="0.25"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S1349" s="9"/>
      <c r="T1349" s="9"/>
      <c r="U1349" s="9"/>
      <c r="W1349" s="9"/>
      <c r="X1349" s="9"/>
      <c r="Y1349" s="9"/>
      <c r="Z1349" s="9"/>
      <c r="AA1349" s="9"/>
      <c r="AB1349" s="9"/>
      <c r="AC1349" s="9"/>
      <c r="AD1349" s="9"/>
      <c r="AE1349" s="9"/>
      <c r="AF1349" s="9"/>
      <c r="AG1349" s="9"/>
      <c r="AH1349" s="9"/>
      <c r="AI1349" s="9"/>
      <c r="AJ1349" s="9"/>
      <c r="AK1349" s="9"/>
      <c r="AL1349" s="9"/>
      <c r="AM1349" s="9"/>
      <c r="AN1349" s="9"/>
      <c r="AO1349" s="9"/>
      <c r="AP1349" s="9"/>
      <c r="AQ1349" s="9"/>
      <c r="AR1349" s="9"/>
      <c r="AS1349" s="9"/>
      <c r="AT1349" s="9"/>
      <c r="AU1349" s="9"/>
      <c r="AV1349" s="9"/>
      <c r="AW1349" s="9"/>
      <c r="AX1349" s="9"/>
      <c r="AY1349" s="9"/>
      <c r="AZ1349" s="9"/>
      <c r="BA1349" s="9"/>
      <c r="BB1349" s="9"/>
      <c r="BC1349" s="9"/>
      <c r="BD1349" s="9"/>
      <c r="BE1349" s="9"/>
      <c r="BF1349" s="9"/>
      <c r="BG1349" s="9"/>
      <c r="BH1349" s="9"/>
      <c r="BI1349" s="9"/>
      <c r="BJ1349" s="9"/>
      <c r="BK1349" s="9"/>
      <c r="BL1349" s="9"/>
      <c r="BM1349" s="9"/>
      <c r="BN1349" s="9"/>
      <c r="BO1349" s="9"/>
      <c r="BP1349" s="9"/>
      <c r="BQ1349" s="9"/>
      <c r="BR1349" s="9"/>
      <c r="BS1349" s="9"/>
      <c r="BT1349" s="9"/>
      <c r="BU1349" s="9"/>
      <c r="BV1349" s="9"/>
      <c r="BW1349" s="9"/>
      <c r="BX1349" s="9"/>
      <c r="BY1349" s="9"/>
      <c r="BZ1349" s="9"/>
    </row>
    <row r="1350" spans="4:78" ht="18" customHeight="1" x14ac:dyDescent="0.25"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S1350" s="9"/>
      <c r="T1350" s="9"/>
      <c r="U1350" s="9"/>
      <c r="W1350" s="9"/>
      <c r="X1350" s="9"/>
      <c r="Y1350" s="9"/>
      <c r="Z1350" s="9"/>
      <c r="AA1350" s="9"/>
      <c r="AB1350" s="9"/>
      <c r="AC1350" s="9"/>
      <c r="AD1350" s="9"/>
      <c r="AE1350" s="9"/>
      <c r="AF1350" s="9"/>
      <c r="AG1350" s="9"/>
      <c r="AH1350" s="9"/>
      <c r="AI1350" s="9"/>
      <c r="AJ1350" s="9"/>
      <c r="AK1350" s="9"/>
      <c r="AL1350" s="9"/>
      <c r="AM1350" s="9"/>
      <c r="AN1350" s="9"/>
      <c r="AO1350" s="9"/>
      <c r="AP1350" s="9"/>
      <c r="AQ1350" s="9"/>
      <c r="AR1350" s="9"/>
      <c r="AS1350" s="9"/>
      <c r="AT1350" s="9"/>
      <c r="AU1350" s="9"/>
      <c r="AV1350" s="9"/>
      <c r="AW1350" s="9"/>
      <c r="AX1350" s="9"/>
      <c r="AY1350" s="9"/>
      <c r="AZ1350" s="9"/>
      <c r="BA1350" s="9"/>
      <c r="BB1350" s="9"/>
      <c r="BC1350" s="9"/>
      <c r="BD1350" s="9"/>
      <c r="BE1350" s="9"/>
      <c r="BF1350" s="9"/>
      <c r="BG1350" s="9"/>
      <c r="BH1350" s="9"/>
      <c r="BI1350" s="9"/>
      <c r="BJ1350" s="9"/>
      <c r="BK1350" s="9"/>
      <c r="BL1350" s="9"/>
      <c r="BM1350" s="9"/>
      <c r="BN1350" s="9"/>
      <c r="BO1350" s="9"/>
      <c r="BP1350" s="9"/>
      <c r="BQ1350" s="9"/>
      <c r="BR1350" s="9"/>
      <c r="BS1350" s="9"/>
      <c r="BT1350" s="9"/>
      <c r="BU1350" s="9"/>
      <c r="BV1350" s="9"/>
      <c r="BW1350" s="9"/>
      <c r="BX1350" s="9"/>
      <c r="BY1350" s="9"/>
      <c r="BZ1350" s="9"/>
    </row>
    <row r="1351" spans="4:78" ht="18" customHeight="1" x14ac:dyDescent="0.25"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S1351" s="9"/>
      <c r="T1351" s="9"/>
      <c r="U1351" s="9"/>
      <c r="W1351" s="9"/>
      <c r="X1351" s="9"/>
      <c r="Y1351" s="9"/>
      <c r="Z1351" s="9"/>
      <c r="AA1351" s="9"/>
      <c r="AB1351" s="9"/>
      <c r="AC1351" s="9"/>
      <c r="AD1351" s="9"/>
      <c r="AE1351" s="9"/>
      <c r="AF1351" s="9"/>
      <c r="AG1351" s="9"/>
      <c r="AH1351" s="9"/>
      <c r="AI1351" s="9"/>
      <c r="AJ1351" s="9"/>
      <c r="AK1351" s="9"/>
      <c r="AL1351" s="9"/>
      <c r="AM1351" s="9"/>
      <c r="AN1351" s="9"/>
      <c r="AO1351" s="9"/>
      <c r="AP1351" s="9"/>
      <c r="AQ1351" s="9"/>
      <c r="AR1351" s="9"/>
      <c r="AS1351" s="9"/>
      <c r="AT1351" s="9"/>
      <c r="AU1351" s="9"/>
      <c r="AV1351" s="9"/>
      <c r="AW1351" s="9"/>
      <c r="AX1351" s="9"/>
      <c r="AY1351" s="9"/>
      <c r="AZ1351" s="9"/>
      <c r="BA1351" s="9"/>
      <c r="BB1351" s="9"/>
      <c r="BC1351" s="9"/>
      <c r="BD1351" s="9"/>
      <c r="BE1351" s="9"/>
      <c r="BF1351" s="9"/>
      <c r="BG1351" s="9"/>
      <c r="BH1351" s="9"/>
      <c r="BI1351" s="9"/>
      <c r="BJ1351" s="9"/>
      <c r="BK1351" s="9"/>
      <c r="BL1351" s="9"/>
      <c r="BM1351" s="9"/>
      <c r="BN1351" s="9"/>
      <c r="BO1351" s="9"/>
      <c r="BP1351" s="9"/>
      <c r="BQ1351" s="9"/>
      <c r="BR1351" s="9"/>
      <c r="BS1351" s="9"/>
      <c r="BT1351" s="9"/>
      <c r="BU1351" s="9"/>
      <c r="BV1351" s="9"/>
      <c r="BW1351" s="9"/>
      <c r="BX1351" s="9"/>
      <c r="BY1351" s="9"/>
      <c r="BZ1351" s="9"/>
    </row>
    <row r="1352" spans="4:78" ht="18" customHeight="1" x14ac:dyDescent="0.25"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S1352" s="9"/>
      <c r="T1352" s="9"/>
      <c r="U1352" s="9"/>
      <c r="W1352" s="9"/>
      <c r="X1352" s="9"/>
      <c r="Y1352" s="9"/>
      <c r="Z1352" s="9"/>
      <c r="AA1352" s="9"/>
      <c r="AB1352" s="9"/>
      <c r="AC1352" s="9"/>
      <c r="AD1352" s="9"/>
      <c r="AE1352" s="9"/>
      <c r="AF1352" s="9"/>
      <c r="AG1352" s="9"/>
      <c r="AH1352" s="9"/>
      <c r="AI1352" s="9"/>
      <c r="AJ1352" s="9"/>
      <c r="AK1352" s="9"/>
      <c r="AL1352" s="9"/>
      <c r="AM1352" s="9"/>
      <c r="AN1352" s="9"/>
      <c r="AO1352" s="9"/>
      <c r="AP1352" s="9"/>
      <c r="AQ1352" s="9"/>
      <c r="AR1352" s="9"/>
      <c r="AS1352" s="9"/>
      <c r="AT1352" s="9"/>
      <c r="AU1352" s="9"/>
      <c r="AV1352" s="9"/>
      <c r="AW1352" s="9"/>
      <c r="AX1352" s="9"/>
      <c r="AY1352" s="9"/>
      <c r="AZ1352" s="9"/>
      <c r="BA1352" s="9"/>
      <c r="BB1352" s="9"/>
      <c r="BC1352" s="9"/>
      <c r="BD1352" s="9"/>
      <c r="BE1352" s="9"/>
      <c r="BF1352" s="9"/>
      <c r="BG1352" s="9"/>
      <c r="BH1352" s="9"/>
      <c r="BI1352" s="9"/>
      <c r="BJ1352" s="9"/>
      <c r="BK1352" s="9"/>
      <c r="BL1352" s="9"/>
      <c r="BM1352" s="9"/>
      <c r="BN1352" s="9"/>
      <c r="BO1352" s="9"/>
      <c r="BP1352" s="9"/>
      <c r="BQ1352" s="9"/>
      <c r="BR1352" s="9"/>
      <c r="BS1352" s="9"/>
      <c r="BT1352" s="9"/>
      <c r="BU1352" s="9"/>
      <c r="BV1352" s="9"/>
      <c r="BW1352" s="9"/>
      <c r="BX1352" s="9"/>
      <c r="BY1352" s="9"/>
      <c r="BZ1352" s="9"/>
    </row>
    <row r="1353" spans="4:78" ht="18" customHeight="1" x14ac:dyDescent="0.25"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S1353" s="9"/>
      <c r="T1353" s="9"/>
      <c r="U1353" s="9"/>
      <c r="W1353" s="9"/>
      <c r="X1353" s="9"/>
      <c r="Y1353" s="9"/>
      <c r="Z1353" s="9"/>
      <c r="AA1353" s="9"/>
      <c r="AB1353" s="9"/>
      <c r="AC1353" s="9"/>
      <c r="AD1353" s="9"/>
      <c r="AE1353" s="9"/>
      <c r="AF1353" s="9"/>
      <c r="AG1353" s="9"/>
      <c r="AH1353" s="9"/>
      <c r="AI1353" s="9"/>
      <c r="AJ1353" s="9"/>
      <c r="AK1353" s="9"/>
      <c r="AL1353" s="9"/>
      <c r="AM1353" s="9"/>
      <c r="AN1353" s="9"/>
      <c r="AO1353" s="9"/>
      <c r="AP1353" s="9"/>
      <c r="AQ1353" s="9"/>
      <c r="AR1353" s="9"/>
      <c r="AS1353" s="9"/>
      <c r="AT1353" s="9"/>
      <c r="AU1353" s="9"/>
      <c r="AV1353" s="9"/>
      <c r="AW1353" s="9"/>
      <c r="AX1353" s="9"/>
      <c r="AY1353" s="9"/>
      <c r="AZ1353" s="9"/>
      <c r="BA1353" s="9"/>
      <c r="BB1353" s="9"/>
      <c r="BC1353" s="9"/>
      <c r="BD1353" s="9"/>
      <c r="BE1353" s="9"/>
      <c r="BF1353" s="9"/>
      <c r="BG1353" s="9"/>
      <c r="BH1353" s="9"/>
      <c r="BI1353" s="9"/>
      <c r="BJ1353" s="9"/>
      <c r="BK1353" s="9"/>
      <c r="BL1353" s="9"/>
      <c r="BM1353" s="9"/>
      <c r="BN1353" s="9"/>
      <c r="BO1353" s="9"/>
      <c r="BP1353" s="9"/>
      <c r="BQ1353" s="9"/>
      <c r="BR1353" s="9"/>
      <c r="BS1353" s="9"/>
      <c r="BT1353" s="9"/>
      <c r="BU1353" s="9"/>
      <c r="BV1353" s="9"/>
      <c r="BW1353" s="9"/>
      <c r="BX1353" s="9"/>
      <c r="BY1353" s="9"/>
      <c r="BZ1353" s="9"/>
    </row>
    <row r="1354" spans="4:78" ht="18" customHeight="1" x14ac:dyDescent="0.25"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S1354" s="9"/>
      <c r="T1354" s="9"/>
      <c r="U1354" s="9"/>
      <c r="W1354" s="9"/>
      <c r="X1354" s="9"/>
      <c r="Y1354" s="9"/>
      <c r="Z1354" s="9"/>
      <c r="AA1354" s="9"/>
      <c r="AB1354" s="9"/>
      <c r="AC1354" s="9"/>
      <c r="AD1354" s="9"/>
      <c r="AE1354" s="9"/>
      <c r="AF1354" s="9"/>
      <c r="AG1354" s="9"/>
      <c r="AH1354" s="9"/>
      <c r="AI1354" s="9"/>
      <c r="AJ1354" s="9"/>
      <c r="AK1354" s="9"/>
      <c r="AL1354" s="9"/>
      <c r="AM1354" s="9"/>
      <c r="AN1354" s="9"/>
      <c r="AO1354" s="9"/>
      <c r="AP1354" s="9"/>
      <c r="AQ1354" s="9"/>
      <c r="AR1354" s="9"/>
      <c r="AS1354" s="9"/>
      <c r="AT1354" s="9"/>
      <c r="AU1354" s="9"/>
      <c r="AV1354" s="9"/>
      <c r="AW1354" s="9"/>
      <c r="AX1354" s="9"/>
      <c r="AY1354" s="9"/>
      <c r="AZ1354" s="9"/>
      <c r="BA1354" s="9"/>
      <c r="BB1354" s="9"/>
      <c r="BC1354" s="9"/>
      <c r="BD1354" s="9"/>
      <c r="BE1354" s="9"/>
      <c r="BF1354" s="9"/>
      <c r="BG1354" s="9"/>
      <c r="BH1354" s="9"/>
      <c r="BI1354" s="9"/>
      <c r="BJ1354" s="9"/>
      <c r="BK1354" s="9"/>
      <c r="BL1354" s="9"/>
      <c r="BM1354" s="9"/>
      <c r="BN1354" s="9"/>
      <c r="BO1354" s="9"/>
      <c r="BP1354" s="9"/>
      <c r="BQ1354" s="9"/>
      <c r="BR1354" s="9"/>
      <c r="BS1354" s="9"/>
      <c r="BT1354" s="9"/>
      <c r="BU1354" s="9"/>
      <c r="BV1354" s="9"/>
      <c r="BW1354" s="9"/>
      <c r="BX1354" s="9"/>
      <c r="BY1354" s="9"/>
      <c r="BZ1354" s="9"/>
    </row>
    <row r="1355" spans="4:78" ht="18" customHeight="1" x14ac:dyDescent="0.25"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S1355" s="9"/>
      <c r="T1355" s="9"/>
      <c r="U1355" s="9"/>
      <c r="W1355" s="9"/>
      <c r="X1355" s="9"/>
      <c r="Y1355" s="9"/>
      <c r="Z1355" s="9"/>
      <c r="AA1355" s="9"/>
      <c r="AB1355" s="9"/>
      <c r="AC1355" s="9"/>
      <c r="AD1355" s="9"/>
      <c r="AE1355" s="9"/>
      <c r="AF1355" s="9"/>
      <c r="AG1355" s="9"/>
      <c r="AH1355" s="9"/>
      <c r="AI1355" s="9"/>
      <c r="AJ1355" s="9"/>
      <c r="AK1355" s="9"/>
      <c r="AL1355" s="9"/>
      <c r="AM1355" s="9"/>
      <c r="AN1355" s="9"/>
      <c r="AO1355" s="9"/>
      <c r="AP1355" s="9"/>
      <c r="AQ1355" s="9"/>
      <c r="AR1355" s="9"/>
      <c r="AS1355" s="9"/>
      <c r="AT1355" s="9"/>
      <c r="AU1355" s="9"/>
      <c r="AV1355" s="9"/>
      <c r="AW1355" s="9"/>
      <c r="AX1355" s="9"/>
      <c r="AY1355" s="9"/>
      <c r="AZ1355" s="9"/>
      <c r="BA1355" s="9"/>
      <c r="BB1355" s="9"/>
      <c r="BC1355" s="9"/>
      <c r="BD1355" s="9"/>
      <c r="BE1355" s="9"/>
      <c r="BF1355" s="9"/>
      <c r="BG1355" s="9"/>
      <c r="BH1355" s="9"/>
      <c r="BI1355" s="9"/>
      <c r="BJ1355" s="9"/>
      <c r="BK1355" s="9"/>
      <c r="BL1355" s="9"/>
      <c r="BM1355" s="9"/>
      <c r="BN1355" s="9"/>
      <c r="BO1355" s="9"/>
      <c r="BP1355" s="9"/>
      <c r="BQ1355" s="9"/>
      <c r="BR1355" s="9"/>
      <c r="BS1355" s="9"/>
      <c r="BT1355" s="9"/>
      <c r="BU1355" s="9"/>
      <c r="BV1355" s="9"/>
      <c r="BW1355" s="9"/>
      <c r="BX1355" s="9"/>
      <c r="BY1355" s="9"/>
      <c r="BZ1355" s="9"/>
    </row>
    <row r="1356" spans="4:78" ht="18" customHeight="1" x14ac:dyDescent="0.25"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S1356" s="9"/>
      <c r="T1356" s="9"/>
      <c r="U1356" s="9"/>
      <c r="W1356" s="9"/>
      <c r="X1356" s="9"/>
      <c r="Y1356" s="9"/>
      <c r="Z1356" s="9"/>
      <c r="AA1356" s="9"/>
      <c r="AB1356" s="9"/>
      <c r="AC1356" s="9"/>
      <c r="AD1356" s="9"/>
      <c r="AE1356" s="9"/>
      <c r="AF1356" s="9"/>
      <c r="AG1356" s="9"/>
      <c r="AH1356" s="9"/>
      <c r="AI1356" s="9"/>
      <c r="AJ1356" s="9"/>
      <c r="AK1356" s="9"/>
      <c r="AL1356" s="9"/>
      <c r="AM1356" s="9"/>
      <c r="AN1356" s="9"/>
      <c r="AO1356" s="9"/>
      <c r="AP1356" s="9"/>
      <c r="AQ1356" s="9"/>
      <c r="AR1356" s="9"/>
      <c r="AS1356" s="9"/>
      <c r="AT1356" s="9"/>
      <c r="AU1356" s="9"/>
      <c r="AV1356" s="9"/>
      <c r="AW1356" s="9"/>
      <c r="AX1356" s="9"/>
      <c r="AY1356" s="9"/>
      <c r="AZ1356" s="9"/>
      <c r="BA1356" s="9"/>
      <c r="BB1356" s="9"/>
      <c r="BC1356" s="9"/>
      <c r="BD1356" s="9"/>
      <c r="BE1356" s="9"/>
      <c r="BF1356" s="9"/>
      <c r="BG1356" s="9"/>
      <c r="BH1356" s="9"/>
      <c r="BI1356" s="9"/>
      <c r="BJ1356" s="9"/>
      <c r="BK1356" s="9"/>
      <c r="BL1356" s="9"/>
      <c r="BM1356" s="9"/>
      <c r="BN1356" s="9"/>
      <c r="BO1356" s="9"/>
      <c r="BP1356" s="9"/>
      <c r="BQ1356" s="9"/>
      <c r="BR1356" s="9"/>
      <c r="BS1356" s="9"/>
      <c r="BT1356" s="9"/>
      <c r="BU1356" s="9"/>
      <c r="BV1356" s="9"/>
      <c r="BW1356" s="9"/>
      <c r="BX1356" s="9"/>
      <c r="BY1356" s="9"/>
      <c r="BZ1356" s="9"/>
    </row>
    <row r="1357" spans="4:78" ht="18" customHeight="1" x14ac:dyDescent="0.25"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S1357" s="9"/>
      <c r="T1357" s="9"/>
      <c r="U1357" s="9"/>
      <c r="W1357" s="9"/>
      <c r="X1357" s="9"/>
      <c r="Y1357" s="9"/>
      <c r="Z1357" s="9"/>
      <c r="AA1357" s="9"/>
      <c r="AB1357" s="9"/>
      <c r="AC1357" s="9"/>
      <c r="AD1357" s="9"/>
      <c r="AE1357" s="9"/>
      <c r="AF1357" s="9"/>
      <c r="AG1357" s="9"/>
      <c r="AH1357" s="9"/>
      <c r="AI1357" s="9"/>
      <c r="AJ1357" s="9"/>
      <c r="AK1357" s="9"/>
      <c r="AL1357" s="9"/>
      <c r="AM1357" s="9"/>
      <c r="AN1357" s="9"/>
      <c r="AO1357" s="9"/>
      <c r="AP1357" s="9"/>
      <c r="AQ1357" s="9"/>
      <c r="AR1357" s="9"/>
      <c r="AS1357" s="9"/>
      <c r="AT1357" s="9"/>
      <c r="AU1357" s="9"/>
      <c r="AV1357" s="9"/>
      <c r="AW1357" s="9"/>
      <c r="AX1357" s="9"/>
      <c r="AY1357" s="9"/>
      <c r="AZ1357" s="9"/>
      <c r="BA1357" s="9"/>
      <c r="BB1357" s="9"/>
      <c r="BC1357" s="9"/>
      <c r="BD1357" s="9"/>
      <c r="BE1357" s="9"/>
      <c r="BF1357" s="9"/>
      <c r="BG1357" s="9"/>
      <c r="BH1357" s="9"/>
      <c r="BI1357" s="9"/>
      <c r="BJ1357" s="9"/>
      <c r="BK1357" s="9"/>
      <c r="BL1357" s="9"/>
      <c r="BM1357" s="9"/>
      <c r="BN1357" s="9"/>
      <c r="BO1357" s="9"/>
      <c r="BP1357" s="9"/>
      <c r="BQ1357" s="9"/>
      <c r="BR1357" s="9"/>
      <c r="BS1357" s="9"/>
      <c r="BT1357" s="9"/>
      <c r="BU1357" s="9"/>
      <c r="BV1357" s="9"/>
      <c r="BW1357" s="9"/>
      <c r="BX1357" s="9"/>
      <c r="BY1357" s="9"/>
      <c r="BZ1357" s="9"/>
    </row>
    <row r="1358" spans="4:78" ht="18" customHeight="1" x14ac:dyDescent="0.25"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S1358" s="9"/>
      <c r="T1358" s="9"/>
      <c r="U1358" s="9"/>
      <c r="W1358" s="9"/>
      <c r="X1358" s="9"/>
      <c r="Y1358" s="9"/>
      <c r="Z1358" s="9"/>
      <c r="AA1358" s="9"/>
      <c r="AB1358" s="9"/>
      <c r="AC1358" s="9"/>
      <c r="AD1358" s="9"/>
      <c r="AE1358" s="9"/>
      <c r="AF1358" s="9"/>
      <c r="AG1358" s="9"/>
      <c r="AH1358" s="9"/>
      <c r="AI1358" s="9"/>
      <c r="AJ1358" s="9"/>
      <c r="AK1358" s="9"/>
      <c r="AL1358" s="9"/>
      <c r="AM1358" s="9"/>
      <c r="AN1358" s="9"/>
      <c r="AO1358" s="9"/>
      <c r="AP1358" s="9"/>
      <c r="AQ1358" s="9"/>
      <c r="AR1358" s="9"/>
      <c r="AS1358" s="9"/>
      <c r="AT1358" s="9"/>
      <c r="AU1358" s="9"/>
      <c r="AV1358" s="9"/>
      <c r="AW1358" s="9"/>
      <c r="AX1358" s="9"/>
      <c r="AY1358" s="9"/>
      <c r="AZ1358" s="9"/>
      <c r="BA1358" s="9"/>
      <c r="BB1358" s="9"/>
      <c r="BC1358" s="9"/>
      <c r="BD1358" s="9"/>
      <c r="BE1358" s="9"/>
      <c r="BF1358" s="9"/>
      <c r="BG1358" s="9"/>
      <c r="BH1358" s="9"/>
      <c r="BI1358" s="9"/>
      <c r="BJ1358" s="9"/>
      <c r="BK1358" s="9"/>
      <c r="BL1358" s="9"/>
      <c r="BM1358" s="9"/>
      <c r="BN1358" s="9"/>
      <c r="BO1358" s="9"/>
      <c r="BP1358" s="9"/>
      <c r="BQ1358" s="9"/>
      <c r="BR1358" s="9"/>
      <c r="BS1358" s="9"/>
      <c r="BT1358" s="9"/>
      <c r="BU1358" s="9"/>
      <c r="BV1358" s="9"/>
      <c r="BW1358" s="9"/>
      <c r="BX1358" s="9"/>
      <c r="BY1358" s="9"/>
      <c r="BZ1358" s="9"/>
    </row>
    <row r="1359" spans="4:78" ht="18" customHeight="1" x14ac:dyDescent="0.25"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S1359" s="9"/>
      <c r="T1359" s="9"/>
      <c r="U1359" s="9"/>
      <c r="W1359" s="9"/>
      <c r="X1359" s="9"/>
      <c r="Y1359" s="9"/>
      <c r="Z1359" s="9"/>
      <c r="AA1359" s="9"/>
      <c r="AB1359" s="9"/>
      <c r="AC1359" s="9"/>
      <c r="AD1359" s="9"/>
      <c r="AE1359" s="9"/>
      <c r="AF1359" s="9"/>
      <c r="AG1359" s="9"/>
      <c r="AH1359" s="9"/>
      <c r="AI1359" s="9"/>
      <c r="AJ1359" s="9"/>
      <c r="AK1359" s="9"/>
      <c r="AL1359" s="9"/>
      <c r="AM1359" s="9"/>
      <c r="AN1359" s="9"/>
      <c r="AO1359" s="9"/>
      <c r="AP1359" s="9"/>
      <c r="AQ1359" s="9"/>
      <c r="AR1359" s="9"/>
      <c r="AS1359" s="9"/>
      <c r="AT1359" s="9"/>
      <c r="AU1359" s="9"/>
      <c r="AV1359" s="9"/>
      <c r="AW1359" s="9"/>
      <c r="AX1359" s="9"/>
      <c r="AY1359" s="9"/>
      <c r="AZ1359" s="9"/>
      <c r="BA1359" s="9"/>
      <c r="BB1359" s="9"/>
      <c r="BC1359" s="9"/>
      <c r="BD1359" s="9"/>
      <c r="BE1359" s="9"/>
      <c r="BF1359" s="9"/>
      <c r="BG1359" s="9"/>
      <c r="BH1359" s="9"/>
      <c r="BI1359" s="9"/>
      <c r="BJ1359" s="9"/>
      <c r="BK1359" s="9"/>
      <c r="BL1359" s="9"/>
      <c r="BM1359" s="9"/>
      <c r="BN1359" s="9"/>
      <c r="BO1359" s="9"/>
      <c r="BP1359" s="9"/>
      <c r="BQ1359" s="9"/>
      <c r="BR1359" s="9"/>
      <c r="BS1359" s="9"/>
      <c r="BT1359" s="9"/>
      <c r="BU1359" s="9"/>
      <c r="BV1359" s="9"/>
      <c r="BW1359" s="9"/>
      <c r="BX1359" s="9"/>
      <c r="BY1359" s="9"/>
      <c r="BZ1359" s="9"/>
    </row>
    <row r="1360" spans="4:78" ht="18" customHeight="1" x14ac:dyDescent="0.25"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S1360" s="9"/>
      <c r="T1360" s="9"/>
      <c r="U1360" s="9"/>
      <c r="W1360" s="9"/>
      <c r="X1360" s="9"/>
      <c r="Y1360" s="9"/>
      <c r="Z1360" s="9"/>
      <c r="AA1360" s="9"/>
      <c r="AB1360" s="9"/>
      <c r="AC1360" s="9"/>
      <c r="AD1360" s="9"/>
      <c r="AE1360" s="9"/>
      <c r="AF1360" s="9"/>
      <c r="AG1360" s="9"/>
      <c r="AH1360" s="9"/>
      <c r="AI1360" s="9"/>
      <c r="AJ1360" s="9"/>
      <c r="AK1360" s="9"/>
      <c r="AL1360" s="9"/>
      <c r="AM1360" s="9"/>
      <c r="AN1360" s="9"/>
      <c r="AO1360" s="9"/>
      <c r="AP1360" s="9"/>
      <c r="AQ1360" s="9"/>
      <c r="AR1360" s="9"/>
      <c r="AS1360" s="9"/>
      <c r="AT1360" s="9"/>
      <c r="AU1360" s="9"/>
      <c r="AV1360" s="9"/>
      <c r="AW1360" s="9"/>
      <c r="AX1360" s="9"/>
      <c r="AY1360" s="9"/>
      <c r="AZ1360" s="9"/>
      <c r="BA1360" s="9"/>
      <c r="BB1360" s="9"/>
      <c r="BC1360" s="9"/>
      <c r="BD1360" s="9"/>
      <c r="BE1360" s="9"/>
      <c r="BF1360" s="9"/>
      <c r="BG1360" s="9"/>
      <c r="BH1360" s="9"/>
      <c r="BI1360" s="9"/>
      <c r="BJ1360" s="9"/>
      <c r="BK1360" s="9"/>
      <c r="BL1360" s="9"/>
      <c r="BM1360" s="9"/>
      <c r="BN1360" s="9"/>
      <c r="BO1360" s="9"/>
      <c r="BP1360" s="9"/>
      <c r="BQ1360" s="9"/>
      <c r="BR1360" s="9"/>
      <c r="BS1360" s="9"/>
      <c r="BT1360" s="9"/>
      <c r="BU1360" s="9"/>
      <c r="BV1360" s="9"/>
      <c r="BW1360" s="9"/>
      <c r="BX1360" s="9"/>
      <c r="BY1360" s="9"/>
      <c r="BZ1360" s="9"/>
    </row>
    <row r="1361" spans="4:78" ht="18" customHeight="1" x14ac:dyDescent="0.25"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S1361" s="9"/>
      <c r="T1361" s="9"/>
      <c r="U1361" s="9"/>
      <c r="W1361" s="9"/>
      <c r="X1361" s="9"/>
      <c r="Y1361" s="9"/>
      <c r="Z1361" s="9"/>
      <c r="AA1361" s="9"/>
      <c r="AB1361" s="9"/>
      <c r="AC1361" s="9"/>
      <c r="AD1361" s="9"/>
      <c r="AE1361" s="9"/>
      <c r="AF1361" s="9"/>
      <c r="AG1361" s="9"/>
      <c r="AH1361" s="9"/>
      <c r="AI1361" s="9"/>
      <c r="AJ1361" s="9"/>
      <c r="AK1361" s="9"/>
      <c r="AL1361" s="9"/>
      <c r="AM1361" s="9"/>
      <c r="AN1361" s="9"/>
      <c r="AO1361" s="9"/>
      <c r="AP1361" s="9"/>
      <c r="AQ1361" s="9"/>
      <c r="AR1361" s="9"/>
      <c r="AS1361" s="9"/>
      <c r="AT1361" s="9"/>
      <c r="AU1361" s="9"/>
      <c r="AV1361" s="9"/>
      <c r="AW1361" s="9"/>
      <c r="AX1361" s="9"/>
      <c r="AY1361" s="9"/>
      <c r="AZ1361" s="9"/>
      <c r="BA1361" s="9"/>
      <c r="BB1361" s="9"/>
      <c r="BC1361" s="9"/>
      <c r="BD1361" s="9"/>
      <c r="BE1361" s="9"/>
      <c r="BF1361" s="9"/>
      <c r="BG1361" s="9"/>
      <c r="BH1361" s="9"/>
      <c r="BI1361" s="9"/>
      <c r="BJ1361" s="9"/>
      <c r="BK1361" s="9"/>
      <c r="BL1361" s="9"/>
      <c r="BM1361" s="9"/>
      <c r="BN1361" s="9"/>
      <c r="BO1361" s="9"/>
      <c r="BP1361" s="9"/>
      <c r="BQ1361" s="9"/>
      <c r="BR1361" s="9"/>
      <c r="BS1361" s="9"/>
      <c r="BT1361" s="9"/>
      <c r="BU1361" s="9"/>
      <c r="BV1361" s="9"/>
      <c r="BW1361" s="9"/>
      <c r="BX1361" s="9"/>
      <c r="BY1361" s="9"/>
      <c r="BZ1361" s="9"/>
    </row>
    <row r="1362" spans="4:78" ht="18" customHeight="1" x14ac:dyDescent="0.25"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S1362" s="9"/>
      <c r="T1362" s="9"/>
      <c r="U1362" s="9"/>
      <c r="W1362" s="9"/>
      <c r="X1362" s="9"/>
      <c r="Y1362" s="9"/>
      <c r="Z1362" s="9"/>
      <c r="AA1362" s="9"/>
      <c r="AB1362" s="9"/>
      <c r="AC1362" s="9"/>
      <c r="AD1362" s="9"/>
      <c r="AE1362" s="9"/>
      <c r="AF1362" s="9"/>
      <c r="AG1362" s="9"/>
      <c r="AH1362" s="9"/>
      <c r="AI1362" s="9"/>
      <c r="AJ1362" s="9"/>
      <c r="AK1362" s="9"/>
      <c r="AL1362" s="9"/>
      <c r="AM1362" s="9"/>
      <c r="AN1362" s="9"/>
      <c r="AO1362" s="9"/>
      <c r="AP1362" s="9"/>
      <c r="AQ1362" s="9"/>
      <c r="AR1362" s="9"/>
      <c r="AS1362" s="9"/>
      <c r="AT1362" s="9"/>
      <c r="AU1362" s="9"/>
      <c r="AV1362" s="9"/>
      <c r="AW1362" s="9"/>
      <c r="AX1362" s="9"/>
      <c r="AY1362" s="9"/>
      <c r="AZ1362" s="9"/>
      <c r="BA1362" s="9"/>
      <c r="BB1362" s="9"/>
      <c r="BC1362" s="9"/>
      <c r="BD1362" s="9"/>
      <c r="BE1362" s="9"/>
      <c r="BF1362" s="9"/>
      <c r="BG1362" s="9"/>
      <c r="BH1362" s="9"/>
      <c r="BI1362" s="9"/>
      <c r="BJ1362" s="9"/>
      <c r="BK1362" s="9"/>
      <c r="BL1362" s="9"/>
      <c r="BM1362" s="9"/>
      <c r="BN1362" s="9"/>
      <c r="BO1362" s="9"/>
      <c r="BP1362" s="9"/>
      <c r="BQ1362" s="9"/>
      <c r="BR1362" s="9"/>
      <c r="BS1362" s="9"/>
      <c r="BT1362" s="9"/>
      <c r="BU1362" s="9"/>
      <c r="BV1362" s="9"/>
      <c r="BW1362" s="9"/>
      <c r="BX1362" s="9"/>
      <c r="BY1362" s="9"/>
      <c r="BZ1362" s="9"/>
    </row>
    <row r="1363" spans="4:78" ht="18" customHeight="1" x14ac:dyDescent="0.25"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S1363" s="9"/>
      <c r="T1363" s="9"/>
      <c r="U1363" s="9"/>
      <c r="W1363" s="9"/>
      <c r="X1363" s="9"/>
      <c r="Y1363" s="9"/>
      <c r="Z1363" s="9"/>
      <c r="AA1363" s="9"/>
      <c r="AB1363" s="9"/>
      <c r="AC1363" s="9"/>
      <c r="AD1363" s="9"/>
      <c r="AE1363" s="9"/>
      <c r="AF1363" s="9"/>
      <c r="AG1363" s="9"/>
      <c r="AH1363" s="9"/>
      <c r="AI1363" s="9"/>
      <c r="AJ1363" s="9"/>
      <c r="AK1363" s="9"/>
      <c r="AL1363" s="9"/>
      <c r="AM1363" s="9"/>
      <c r="AN1363" s="9"/>
      <c r="AO1363" s="9"/>
      <c r="AP1363" s="9"/>
      <c r="AQ1363" s="9"/>
      <c r="AR1363" s="9"/>
      <c r="AS1363" s="9"/>
      <c r="AT1363" s="9"/>
      <c r="AU1363" s="9"/>
      <c r="AV1363" s="9"/>
      <c r="AW1363" s="9"/>
      <c r="AX1363" s="9"/>
      <c r="AY1363" s="9"/>
      <c r="AZ1363" s="9"/>
      <c r="BA1363" s="9"/>
      <c r="BB1363" s="9"/>
      <c r="BC1363" s="9"/>
      <c r="BD1363" s="9"/>
      <c r="BE1363" s="9"/>
      <c r="BF1363" s="9"/>
      <c r="BG1363" s="9"/>
      <c r="BH1363" s="9"/>
      <c r="BI1363" s="9"/>
      <c r="BJ1363" s="9"/>
      <c r="BK1363" s="9"/>
      <c r="BL1363" s="9"/>
      <c r="BM1363" s="9"/>
      <c r="BN1363" s="9"/>
      <c r="BO1363" s="9"/>
      <c r="BP1363" s="9"/>
      <c r="BQ1363" s="9"/>
      <c r="BR1363" s="9"/>
      <c r="BS1363" s="9"/>
      <c r="BT1363" s="9"/>
      <c r="BU1363" s="9"/>
      <c r="BV1363" s="9"/>
      <c r="BW1363" s="9"/>
      <c r="BX1363" s="9"/>
      <c r="BY1363" s="9"/>
      <c r="BZ1363" s="9"/>
    </row>
    <row r="1364" spans="4:78" ht="18" customHeight="1" x14ac:dyDescent="0.25"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S1364" s="9"/>
      <c r="T1364" s="9"/>
      <c r="U1364" s="9"/>
      <c r="W1364" s="9"/>
      <c r="X1364" s="9"/>
      <c r="Y1364" s="9"/>
      <c r="Z1364" s="9"/>
      <c r="AA1364" s="9"/>
      <c r="AB1364" s="9"/>
      <c r="AC1364" s="9"/>
      <c r="AD1364" s="9"/>
      <c r="AE1364" s="9"/>
      <c r="AF1364" s="9"/>
      <c r="AG1364" s="9"/>
      <c r="AH1364" s="9"/>
      <c r="AI1364" s="9"/>
      <c r="AJ1364" s="9"/>
      <c r="AK1364" s="9"/>
      <c r="AL1364" s="9"/>
      <c r="AM1364" s="9"/>
      <c r="AN1364" s="9"/>
      <c r="AO1364" s="9"/>
      <c r="AP1364" s="9"/>
      <c r="AQ1364" s="9"/>
      <c r="AR1364" s="9"/>
      <c r="AS1364" s="9"/>
      <c r="AT1364" s="9"/>
      <c r="AU1364" s="9"/>
      <c r="AV1364" s="9"/>
      <c r="AW1364" s="9"/>
      <c r="AX1364" s="9"/>
      <c r="AY1364" s="9"/>
      <c r="AZ1364" s="9"/>
      <c r="BA1364" s="9"/>
      <c r="BB1364" s="9"/>
      <c r="BC1364" s="9"/>
      <c r="BD1364" s="9"/>
      <c r="BE1364" s="9"/>
      <c r="BF1364" s="9"/>
      <c r="BG1364" s="9"/>
      <c r="BH1364" s="9"/>
      <c r="BI1364" s="9"/>
      <c r="BJ1364" s="9"/>
      <c r="BK1364" s="9"/>
      <c r="BL1364" s="9"/>
      <c r="BM1364" s="9"/>
      <c r="BN1364" s="9"/>
      <c r="BO1364" s="9"/>
      <c r="BP1364" s="9"/>
      <c r="BQ1364" s="9"/>
      <c r="BR1364" s="9"/>
      <c r="BS1364" s="9"/>
      <c r="BT1364" s="9"/>
      <c r="BU1364" s="9"/>
      <c r="BV1364" s="9"/>
      <c r="BW1364" s="9"/>
      <c r="BX1364" s="9"/>
      <c r="BY1364" s="9"/>
      <c r="BZ1364" s="9"/>
    </row>
    <row r="1365" spans="4:78" ht="18" customHeight="1" x14ac:dyDescent="0.25"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S1365" s="9"/>
      <c r="T1365" s="9"/>
      <c r="U1365" s="9"/>
      <c r="W1365" s="9"/>
      <c r="X1365" s="9"/>
      <c r="Y1365" s="9"/>
      <c r="Z1365" s="9"/>
      <c r="AA1365" s="9"/>
      <c r="AB1365" s="9"/>
      <c r="AC1365" s="9"/>
      <c r="AD1365" s="9"/>
      <c r="AE1365" s="9"/>
      <c r="AF1365" s="9"/>
      <c r="AG1365" s="9"/>
      <c r="AH1365" s="9"/>
      <c r="AI1365" s="9"/>
      <c r="AJ1365" s="9"/>
      <c r="AK1365" s="9"/>
      <c r="AL1365" s="9"/>
      <c r="AM1365" s="9"/>
      <c r="AN1365" s="9"/>
      <c r="AO1365" s="9"/>
      <c r="AP1365" s="9"/>
      <c r="AQ1365" s="9"/>
      <c r="AR1365" s="9"/>
      <c r="AS1365" s="9"/>
      <c r="AT1365" s="9"/>
      <c r="AU1365" s="9"/>
      <c r="AV1365" s="9"/>
      <c r="AW1365" s="9"/>
      <c r="AX1365" s="9"/>
      <c r="AY1365" s="9"/>
      <c r="AZ1365" s="9"/>
      <c r="BA1365" s="9"/>
      <c r="BB1365" s="9"/>
      <c r="BC1365" s="9"/>
      <c r="BD1365" s="9"/>
      <c r="BE1365" s="9"/>
      <c r="BF1365" s="9"/>
      <c r="BG1365" s="9"/>
      <c r="BH1365" s="9"/>
      <c r="BI1365" s="9"/>
      <c r="BJ1365" s="9"/>
      <c r="BK1365" s="9"/>
      <c r="BL1365" s="9"/>
      <c r="BM1365" s="9"/>
      <c r="BN1365" s="9"/>
      <c r="BO1365" s="9"/>
      <c r="BP1365" s="9"/>
      <c r="BQ1365" s="9"/>
      <c r="BR1365" s="9"/>
      <c r="BS1365" s="9"/>
      <c r="BT1365" s="9"/>
      <c r="BU1365" s="9"/>
      <c r="BV1365" s="9"/>
      <c r="BW1365" s="9"/>
      <c r="BX1365" s="9"/>
      <c r="BY1365" s="9"/>
      <c r="BZ1365" s="9"/>
    </row>
    <row r="1366" spans="4:78" ht="18" customHeight="1" x14ac:dyDescent="0.25"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S1366" s="9"/>
      <c r="T1366" s="9"/>
      <c r="U1366" s="9"/>
      <c r="W1366" s="9"/>
      <c r="X1366" s="9"/>
      <c r="Y1366" s="9"/>
      <c r="Z1366" s="9"/>
      <c r="AA1366" s="9"/>
      <c r="AB1366" s="9"/>
      <c r="AC1366" s="9"/>
      <c r="AD1366" s="9"/>
      <c r="AE1366" s="9"/>
      <c r="AF1366" s="9"/>
      <c r="AG1366" s="9"/>
      <c r="AH1366" s="9"/>
      <c r="AI1366" s="9"/>
      <c r="AJ1366" s="9"/>
      <c r="AK1366" s="9"/>
      <c r="AL1366" s="9"/>
      <c r="AM1366" s="9"/>
      <c r="AN1366" s="9"/>
      <c r="AO1366" s="9"/>
      <c r="AP1366" s="9"/>
      <c r="AQ1366" s="9"/>
      <c r="AR1366" s="9"/>
      <c r="AS1366" s="9"/>
      <c r="AT1366" s="9"/>
      <c r="AU1366" s="9"/>
      <c r="AV1366" s="9"/>
      <c r="AW1366" s="9"/>
      <c r="AX1366" s="9"/>
      <c r="AY1366" s="9"/>
      <c r="AZ1366" s="9"/>
      <c r="BA1366" s="9"/>
      <c r="BB1366" s="9"/>
      <c r="BC1366" s="9"/>
      <c r="BD1366" s="9"/>
      <c r="BE1366" s="9"/>
      <c r="BF1366" s="9"/>
      <c r="BG1366" s="9"/>
      <c r="BH1366" s="9"/>
      <c r="BI1366" s="9"/>
      <c r="BJ1366" s="9"/>
      <c r="BK1366" s="9"/>
      <c r="BL1366" s="9"/>
      <c r="BM1366" s="9"/>
      <c r="BN1366" s="9"/>
      <c r="BO1366" s="9"/>
      <c r="BP1366" s="9"/>
      <c r="BQ1366" s="9"/>
      <c r="BR1366" s="9"/>
      <c r="BS1366" s="9"/>
      <c r="BT1366" s="9"/>
      <c r="BU1366" s="9"/>
      <c r="BV1366" s="9"/>
      <c r="BW1366" s="9"/>
      <c r="BX1366" s="9"/>
      <c r="BY1366" s="9"/>
      <c r="BZ1366" s="9"/>
    </row>
    <row r="1367" spans="4:78" ht="18" customHeight="1" x14ac:dyDescent="0.25"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S1367" s="9"/>
      <c r="T1367" s="9"/>
      <c r="U1367" s="9"/>
      <c r="W1367" s="9"/>
      <c r="X1367" s="9"/>
      <c r="Y1367" s="9"/>
      <c r="Z1367" s="9"/>
      <c r="AA1367" s="9"/>
      <c r="AB1367" s="9"/>
      <c r="AC1367" s="9"/>
      <c r="AD1367" s="9"/>
      <c r="AE1367" s="9"/>
      <c r="AF1367" s="9"/>
      <c r="AG1367" s="9"/>
      <c r="AH1367" s="9"/>
      <c r="AI1367" s="9"/>
      <c r="AJ1367" s="9"/>
      <c r="AK1367" s="9"/>
      <c r="AL1367" s="9"/>
      <c r="AM1367" s="9"/>
      <c r="AN1367" s="9"/>
      <c r="AO1367" s="9"/>
      <c r="AP1367" s="9"/>
      <c r="AQ1367" s="9"/>
      <c r="AR1367" s="9"/>
      <c r="AS1367" s="9"/>
      <c r="AT1367" s="9"/>
      <c r="AU1367" s="9"/>
      <c r="AV1367" s="9"/>
      <c r="AW1367" s="9"/>
      <c r="AX1367" s="9"/>
      <c r="AY1367" s="9"/>
      <c r="AZ1367" s="9"/>
      <c r="BA1367" s="9"/>
      <c r="BB1367" s="9"/>
      <c r="BC1367" s="9"/>
      <c r="BD1367" s="9"/>
      <c r="BE1367" s="9"/>
      <c r="BF1367" s="9"/>
      <c r="BG1367" s="9"/>
      <c r="BH1367" s="9"/>
      <c r="BI1367" s="9"/>
      <c r="BJ1367" s="9"/>
      <c r="BK1367" s="9"/>
      <c r="BL1367" s="9"/>
      <c r="BM1367" s="9"/>
      <c r="BN1367" s="9"/>
      <c r="BO1367" s="9"/>
      <c r="BP1367" s="9"/>
      <c r="BQ1367" s="9"/>
      <c r="BR1367" s="9"/>
      <c r="BS1367" s="9"/>
      <c r="BT1367" s="9"/>
      <c r="BU1367" s="9"/>
      <c r="BV1367" s="9"/>
      <c r="BW1367" s="9"/>
      <c r="BX1367" s="9"/>
      <c r="BY1367" s="9"/>
      <c r="BZ1367" s="9"/>
    </row>
    <row r="1368" spans="4:78" ht="18" customHeight="1" x14ac:dyDescent="0.25"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S1368" s="9"/>
      <c r="T1368" s="9"/>
      <c r="U1368" s="9"/>
      <c r="W1368" s="9"/>
      <c r="X1368" s="9"/>
      <c r="Y1368" s="9"/>
      <c r="Z1368" s="9"/>
      <c r="AA1368" s="9"/>
      <c r="AB1368" s="9"/>
      <c r="AC1368" s="9"/>
      <c r="AD1368" s="9"/>
      <c r="AE1368" s="9"/>
      <c r="AF1368" s="9"/>
      <c r="AG1368" s="9"/>
      <c r="AH1368" s="9"/>
      <c r="AI1368" s="9"/>
      <c r="AJ1368" s="9"/>
      <c r="AK1368" s="9"/>
      <c r="AL1368" s="9"/>
      <c r="AM1368" s="9"/>
      <c r="AN1368" s="9"/>
      <c r="AO1368" s="9"/>
      <c r="AP1368" s="9"/>
      <c r="AQ1368" s="9"/>
      <c r="AR1368" s="9"/>
      <c r="AS1368" s="9"/>
      <c r="AT1368" s="9"/>
      <c r="AU1368" s="9"/>
      <c r="AV1368" s="9"/>
      <c r="AW1368" s="9"/>
      <c r="AX1368" s="9"/>
      <c r="AY1368" s="9"/>
      <c r="AZ1368" s="9"/>
      <c r="BA1368" s="9"/>
      <c r="BB1368" s="9"/>
      <c r="BC1368" s="9"/>
      <c r="BD1368" s="9"/>
      <c r="BE1368" s="9"/>
      <c r="BF1368" s="9"/>
      <c r="BG1368" s="9"/>
      <c r="BH1368" s="9"/>
      <c r="BI1368" s="9"/>
      <c r="BJ1368" s="9"/>
      <c r="BK1368" s="9"/>
      <c r="BL1368" s="9"/>
      <c r="BM1368" s="9"/>
      <c r="BN1368" s="9"/>
      <c r="BO1368" s="9"/>
      <c r="BP1368" s="9"/>
      <c r="BQ1368" s="9"/>
      <c r="BR1368" s="9"/>
      <c r="BS1368" s="9"/>
      <c r="BT1368" s="9"/>
      <c r="BU1368" s="9"/>
      <c r="BV1368" s="9"/>
      <c r="BW1368" s="9"/>
      <c r="BX1368" s="9"/>
      <c r="BY1368" s="9"/>
      <c r="BZ1368" s="9"/>
    </row>
    <row r="1369" spans="4:78" ht="18" customHeight="1" x14ac:dyDescent="0.25"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S1369" s="9"/>
      <c r="T1369" s="9"/>
      <c r="U1369" s="9"/>
      <c r="W1369" s="9"/>
      <c r="X1369" s="9"/>
      <c r="Y1369" s="9"/>
      <c r="Z1369" s="9"/>
      <c r="AA1369" s="9"/>
      <c r="AB1369" s="9"/>
      <c r="AC1369" s="9"/>
      <c r="AD1369" s="9"/>
      <c r="AE1369" s="9"/>
      <c r="AF1369" s="9"/>
      <c r="AG1369" s="9"/>
      <c r="AH1369" s="9"/>
      <c r="AI1369" s="9"/>
      <c r="AJ1369" s="9"/>
      <c r="AK1369" s="9"/>
      <c r="AL1369" s="9"/>
      <c r="AM1369" s="9"/>
      <c r="AN1369" s="9"/>
      <c r="AO1369" s="9"/>
      <c r="AP1369" s="9"/>
      <c r="AQ1369" s="9"/>
      <c r="AR1369" s="9"/>
      <c r="AS1369" s="9"/>
      <c r="AT1369" s="9"/>
      <c r="AU1369" s="9"/>
      <c r="AV1369" s="9"/>
      <c r="AW1369" s="9"/>
      <c r="AX1369" s="9"/>
      <c r="AY1369" s="9"/>
      <c r="AZ1369" s="9"/>
      <c r="BA1369" s="9"/>
      <c r="BB1369" s="9"/>
      <c r="BC1369" s="9"/>
      <c r="BD1369" s="9"/>
      <c r="BE1369" s="9"/>
      <c r="BF1369" s="9"/>
      <c r="BG1369" s="9"/>
      <c r="BH1369" s="9"/>
      <c r="BI1369" s="9"/>
      <c r="BJ1369" s="9"/>
      <c r="BK1369" s="9"/>
      <c r="BL1369" s="9"/>
      <c r="BM1369" s="9"/>
      <c r="BN1369" s="9"/>
      <c r="BO1369" s="9"/>
      <c r="BP1369" s="9"/>
      <c r="BQ1369" s="9"/>
      <c r="BR1369" s="9"/>
      <c r="BS1369" s="9"/>
      <c r="BT1369" s="9"/>
      <c r="BU1369" s="9"/>
      <c r="BV1369" s="9"/>
      <c r="BW1369" s="9"/>
      <c r="BX1369" s="9"/>
      <c r="BY1369" s="9"/>
      <c r="BZ1369" s="9"/>
    </row>
    <row r="1370" spans="4:78" ht="18" customHeight="1" x14ac:dyDescent="0.25"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S1370" s="9"/>
      <c r="T1370" s="9"/>
      <c r="U1370" s="9"/>
      <c r="W1370" s="9"/>
      <c r="X1370" s="9"/>
      <c r="Y1370" s="9"/>
      <c r="Z1370" s="9"/>
      <c r="AA1370" s="9"/>
      <c r="AB1370" s="9"/>
      <c r="AC1370" s="9"/>
      <c r="AD1370" s="9"/>
      <c r="AE1370" s="9"/>
      <c r="AF1370" s="9"/>
      <c r="AG1370" s="9"/>
      <c r="AH1370" s="9"/>
      <c r="AI1370" s="9"/>
      <c r="AJ1370" s="9"/>
      <c r="AK1370" s="9"/>
      <c r="AL1370" s="9"/>
      <c r="AM1370" s="9"/>
      <c r="AN1370" s="9"/>
      <c r="AO1370" s="9"/>
      <c r="AP1370" s="9"/>
      <c r="AQ1370" s="9"/>
      <c r="AR1370" s="9"/>
      <c r="AS1370" s="9"/>
      <c r="AT1370" s="9"/>
      <c r="AU1370" s="9"/>
      <c r="AV1370" s="9"/>
      <c r="AW1370" s="9"/>
      <c r="AX1370" s="9"/>
      <c r="AY1370" s="9"/>
      <c r="AZ1370" s="9"/>
      <c r="BA1370" s="9"/>
      <c r="BB1370" s="9"/>
      <c r="BC1370" s="9"/>
      <c r="BD1370" s="9"/>
      <c r="BE1370" s="9"/>
      <c r="BF1370" s="9"/>
      <c r="BG1370" s="9"/>
      <c r="BH1370" s="9"/>
      <c r="BI1370" s="9"/>
      <c r="BJ1370" s="9"/>
      <c r="BK1370" s="9"/>
      <c r="BL1370" s="9"/>
      <c r="BM1370" s="9"/>
      <c r="BN1370" s="9"/>
      <c r="BO1370" s="9"/>
      <c r="BP1370" s="9"/>
      <c r="BQ1370" s="9"/>
      <c r="BR1370" s="9"/>
      <c r="BS1370" s="9"/>
      <c r="BT1370" s="9"/>
      <c r="BU1370" s="9"/>
      <c r="BV1370" s="9"/>
      <c r="BW1370" s="9"/>
      <c r="BX1370" s="9"/>
      <c r="BY1370" s="9"/>
      <c r="BZ1370" s="9"/>
    </row>
    <row r="1371" spans="4:78" ht="18" customHeight="1" x14ac:dyDescent="0.25"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S1371" s="9"/>
      <c r="T1371" s="9"/>
      <c r="U1371" s="9"/>
      <c r="W1371" s="9"/>
      <c r="X1371" s="9"/>
      <c r="Y1371" s="9"/>
      <c r="Z1371" s="9"/>
      <c r="AA1371" s="9"/>
      <c r="AB1371" s="9"/>
      <c r="AC1371" s="9"/>
      <c r="AD1371" s="9"/>
      <c r="AE1371" s="9"/>
      <c r="AF1371" s="9"/>
      <c r="AG1371" s="9"/>
      <c r="AH1371" s="9"/>
      <c r="AI1371" s="9"/>
      <c r="AJ1371" s="9"/>
      <c r="AK1371" s="9"/>
      <c r="AL1371" s="9"/>
      <c r="AM1371" s="9"/>
      <c r="AN1371" s="9"/>
      <c r="AO1371" s="9"/>
      <c r="AP1371" s="9"/>
      <c r="AQ1371" s="9"/>
      <c r="AR1371" s="9"/>
      <c r="AS1371" s="9"/>
      <c r="AT1371" s="9"/>
      <c r="AU1371" s="9"/>
      <c r="AV1371" s="9"/>
      <c r="AW1371" s="9"/>
      <c r="AX1371" s="9"/>
      <c r="AY1371" s="9"/>
      <c r="AZ1371" s="9"/>
      <c r="BA1371" s="9"/>
      <c r="BB1371" s="9"/>
      <c r="BC1371" s="9"/>
      <c r="BD1371" s="9"/>
      <c r="BE1371" s="9"/>
      <c r="BF1371" s="9"/>
      <c r="BG1371" s="9"/>
      <c r="BH1371" s="9"/>
      <c r="BI1371" s="9"/>
      <c r="BJ1371" s="9"/>
      <c r="BK1371" s="9"/>
      <c r="BL1371" s="9"/>
      <c r="BM1371" s="9"/>
      <c r="BN1371" s="9"/>
      <c r="BO1371" s="9"/>
      <c r="BP1371" s="9"/>
      <c r="BQ1371" s="9"/>
      <c r="BR1371" s="9"/>
      <c r="BS1371" s="9"/>
      <c r="BT1371" s="9"/>
      <c r="BU1371" s="9"/>
      <c r="BV1371" s="9"/>
      <c r="BW1371" s="9"/>
      <c r="BX1371" s="9"/>
      <c r="BY1371" s="9"/>
      <c r="BZ1371" s="9"/>
    </row>
    <row r="1372" spans="4:78" ht="18" customHeight="1" x14ac:dyDescent="0.25"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S1372" s="9"/>
      <c r="T1372" s="9"/>
      <c r="U1372" s="9"/>
      <c r="W1372" s="9"/>
      <c r="X1372" s="9"/>
      <c r="Y1372" s="9"/>
      <c r="Z1372" s="9"/>
      <c r="AA1372" s="9"/>
      <c r="AB1372" s="9"/>
      <c r="AC1372" s="9"/>
      <c r="AD1372" s="9"/>
      <c r="AE1372" s="9"/>
      <c r="AF1372" s="9"/>
      <c r="AG1372" s="9"/>
      <c r="AH1372" s="9"/>
      <c r="AI1372" s="9"/>
      <c r="AJ1372" s="9"/>
      <c r="AK1372" s="9"/>
      <c r="AL1372" s="9"/>
      <c r="AM1372" s="9"/>
      <c r="AN1372" s="9"/>
      <c r="AO1372" s="9"/>
      <c r="AP1372" s="9"/>
      <c r="AQ1372" s="9"/>
      <c r="AR1372" s="9"/>
      <c r="AS1372" s="9"/>
      <c r="AT1372" s="9"/>
      <c r="AU1372" s="9"/>
      <c r="AV1372" s="9"/>
      <c r="AW1372" s="9"/>
      <c r="AX1372" s="9"/>
      <c r="AY1372" s="9"/>
      <c r="AZ1372" s="9"/>
      <c r="BA1372" s="9"/>
      <c r="BB1372" s="9"/>
      <c r="BC1372" s="9"/>
      <c r="BD1372" s="9"/>
      <c r="BE1372" s="9"/>
      <c r="BF1372" s="9"/>
      <c r="BG1372" s="9"/>
      <c r="BH1372" s="9"/>
      <c r="BI1372" s="9"/>
      <c r="BJ1372" s="9"/>
      <c r="BK1372" s="9"/>
      <c r="BL1372" s="9"/>
      <c r="BM1372" s="9"/>
      <c r="BN1372" s="9"/>
      <c r="BO1372" s="9"/>
      <c r="BP1372" s="9"/>
      <c r="BQ1372" s="9"/>
      <c r="BR1372" s="9"/>
      <c r="BS1372" s="9"/>
      <c r="BT1372" s="9"/>
      <c r="BU1372" s="9"/>
      <c r="BV1372" s="9"/>
      <c r="BW1372" s="9"/>
      <c r="BX1372" s="9"/>
      <c r="BY1372" s="9"/>
      <c r="BZ1372" s="9"/>
    </row>
    <row r="1373" spans="4:78" ht="18" customHeight="1" x14ac:dyDescent="0.25"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S1373" s="9"/>
      <c r="T1373" s="9"/>
      <c r="U1373" s="9"/>
      <c r="W1373" s="9"/>
      <c r="X1373" s="9"/>
      <c r="Y1373" s="9"/>
      <c r="Z1373" s="9"/>
      <c r="AA1373" s="9"/>
      <c r="AB1373" s="9"/>
      <c r="AC1373" s="9"/>
      <c r="AD1373" s="9"/>
      <c r="AE1373" s="9"/>
      <c r="AF1373" s="9"/>
      <c r="AG1373" s="9"/>
      <c r="AH1373" s="9"/>
      <c r="AI1373" s="9"/>
      <c r="AJ1373" s="9"/>
      <c r="AK1373" s="9"/>
      <c r="AL1373" s="9"/>
      <c r="AM1373" s="9"/>
      <c r="AN1373" s="9"/>
      <c r="AO1373" s="9"/>
      <c r="AP1373" s="9"/>
      <c r="AQ1373" s="9"/>
      <c r="AR1373" s="9"/>
      <c r="AS1373" s="9"/>
      <c r="AT1373" s="9"/>
      <c r="AU1373" s="9"/>
      <c r="AV1373" s="9"/>
      <c r="AW1373" s="9"/>
      <c r="AX1373" s="9"/>
      <c r="AY1373" s="9"/>
      <c r="AZ1373" s="9"/>
      <c r="BA1373" s="9"/>
      <c r="BB1373" s="9"/>
      <c r="BC1373" s="9"/>
      <c r="BD1373" s="9"/>
      <c r="BE1373" s="9"/>
      <c r="BF1373" s="9"/>
      <c r="BG1373" s="9"/>
      <c r="BH1373" s="9"/>
      <c r="BI1373" s="9"/>
      <c r="BJ1373" s="9"/>
      <c r="BK1373" s="9"/>
      <c r="BL1373" s="9"/>
      <c r="BM1373" s="9"/>
      <c r="BN1373" s="9"/>
      <c r="BO1373" s="9"/>
      <c r="BP1373" s="9"/>
      <c r="BQ1373" s="9"/>
      <c r="BR1373" s="9"/>
      <c r="BS1373" s="9"/>
      <c r="BT1373" s="9"/>
      <c r="BU1373" s="9"/>
      <c r="BV1373" s="9"/>
      <c r="BW1373" s="9"/>
      <c r="BX1373" s="9"/>
      <c r="BY1373" s="9"/>
      <c r="BZ1373" s="9"/>
    </row>
    <row r="1374" spans="4:78" ht="18" customHeight="1" x14ac:dyDescent="0.25"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S1374" s="9"/>
      <c r="T1374" s="9"/>
      <c r="U1374" s="9"/>
      <c r="W1374" s="9"/>
      <c r="X1374" s="9"/>
      <c r="Y1374" s="9"/>
      <c r="Z1374" s="9"/>
      <c r="AA1374" s="9"/>
      <c r="AB1374" s="9"/>
      <c r="AC1374" s="9"/>
      <c r="AD1374" s="9"/>
      <c r="AE1374" s="9"/>
      <c r="AF1374" s="9"/>
      <c r="AG1374" s="9"/>
      <c r="AH1374" s="9"/>
      <c r="AI1374" s="9"/>
      <c r="AJ1374" s="9"/>
      <c r="AK1374" s="9"/>
      <c r="AL1374" s="9"/>
      <c r="AM1374" s="9"/>
      <c r="AN1374" s="9"/>
      <c r="AO1374" s="9"/>
      <c r="AP1374" s="9"/>
      <c r="AQ1374" s="9"/>
      <c r="AR1374" s="9"/>
      <c r="AS1374" s="9"/>
      <c r="AT1374" s="9"/>
      <c r="AU1374" s="9"/>
      <c r="AV1374" s="9"/>
      <c r="AW1374" s="9"/>
      <c r="AX1374" s="9"/>
      <c r="AY1374" s="9"/>
      <c r="AZ1374" s="9"/>
      <c r="BA1374" s="9"/>
      <c r="BB1374" s="9"/>
      <c r="BC1374" s="9"/>
      <c r="BD1374" s="9"/>
      <c r="BE1374" s="9"/>
      <c r="BF1374" s="9"/>
      <c r="BG1374" s="9"/>
      <c r="BH1374" s="9"/>
      <c r="BI1374" s="9"/>
      <c r="BJ1374" s="9"/>
      <c r="BK1374" s="9"/>
      <c r="BL1374" s="9"/>
      <c r="BM1374" s="9"/>
      <c r="BN1374" s="9"/>
      <c r="BO1374" s="9"/>
      <c r="BP1374" s="9"/>
      <c r="BQ1374" s="9"/>
      <c r="BR1374" s="9"/>
      <c r="BS1374" s="9"/>
      <c r="BT1374" s="9"/>
      <c r="BU1374" s="9"/>
      <c r="BV1374" s="9"/>
      <c r="BW1374" s="9"/>
      <c r="BX1374" s="9"/>
      <c r="BY1374" s="9"/>
      <c r="BZ1374" s="9"/>
    </row>
    <row r="1375" spans="4:78" ht="18" customHeight="1" x14ac:dyDescent="0.25"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S1375" s="9"/>
      <c r="T1375" s="9"/>
      <c r="U1375" s="9"/>
      <c r="W1375" s="9"/>
      <c r="X1375" s="9"/>
      <c r="Y1375" s="9"/>
      <c r="Z1375" s="9"/>
      <c r="AA1375" s="9"/>
      <c r="AB1375" s="9"/>
      <c r="AC1375" s="9"/>
      <c r="AD1375" s="9"/>
      <c r="AE1375" s="9"/>
      <c r="AF1375" s="9"/>
      <c r="AG1375" s="9"/>
      <c r="AH1375" s="9"/>
      <c r="AI1375" s="9"/>
      <c r="AJ1375" s="9"/>
      <c r="AK1375" s="9"/>
      <c r="AL1375" s="9"/>
      <c r="AM1375" s="9"/>
      <c r="AN1375" s="9"/>
      <c r="AO1375" s="9"/>
      <c r="AP1375" s="9"/>
      <c r="AQ1375" s="9"/>
      <c r="AR1375" s="9"/>
      <c r="AS1375" s="9"/>
      <c r="AT1375" s="9"/>
      <c r="AU1375" s="9"/>
      <c r="AV1375" s="9"/>
      <c r="AW1375" s="9"/>
      <c r="AX1375" s="9"/>
      <c r="AY1375" s="9"/>
      <c r="AZ1375" s="9"/>
      <c r="BA1375" s="9"/>
      <c r="BB1375" s="9"/>
      <c r="BC1375" s="9"/>
      <c r="BD1375" s="9"/>
      <c r="BE1375" s="9"/>
      <c r="BF1375" s="9"/>
      <c r="BG1375" s="9"/>
      <c r="BH1375" s="9"/>
      <c r="BI1375" s="9"/>
      <c r="BJ1375" s="9"/>
      <c r="BK1375" s="9"/>
      <c r="BL1375" s="9"/>
      <c r="BM1375" s="9"/>
      <c r="BN1375" s="9"/>
      <c r="BO1375" s="9"/>
      <c r="BP1375" s="9"/>
      <c r="BQ1375" s="9"/>
      <c r="BR1375" s="9"/>
      <c r="BS1375" s="9"/>
      <c r="BT1375" s="9"/>
      <c r="BU1375" s="9"/>
      <c r="BV1375" s="9"/>
      <c r="BW1375" s="9"/>
      <c r="BX1375" s="9"/>
      <c r="BY1375" s="9"/>
      <c r="BZ1375" s="9"/>
    </row>
    <row r="1376" spans="4:78" ht="18" customHeight="1" x14ac:dyDescent="0.25"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S1376" s="9"/>
      <c r="T1376" s="9"/>
      <c r="U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9"/>
      <c r="AG1376" s="9"/>
      <c r="AH1376" s="9"/>
      <c r="AI1376" s="9"/>
      <c r="AJ1376" s="9"/>
      <c r="AK1376" s="9"/>
      <c r="AL1376" s="9"/>
      <c r="AM1376" s="9"/>
      <c r="AN1376" s="9"/>
      <c r="AO1376" s="9"/>
      <c r="AP1376" s="9"/>
      <c r="AQ1376" s="9"/>
      <c r="AR1376" s="9"/>
      <c r="AS1376" s="9"/>
      <c r="AT1376" s="9"/>
      <c r="AU1376" s="9"/>
      <c r="AV1376" s="9"/>
      <c r="AW1376" s="9"/>
      <c r="AX1376" s="9"/>
      <c r="AY1376" s="9"/>
      <c r="AZ1376" s="9"/>
      <c r="BA1376" s="9"/>
      <c r="BB1376" s="9"/>
      <c r="BC1376" s="9"/>
      <c r="BD1376" s="9"/>
      <c r="BE1376" s="9"/>
      <c r="BF1376" s="9"/>
      <c r="BG1376" s="9"/>
      <c r="BH1376" s="9"/>
      <c r="BI1376" s="9"/>
      <c r="BJ1376" s="9"/>
      <c r="BK1376" s="9"/>
      <c r="BL1376" s="9"/>
      <c r="BM1376" s="9"/>
      <c r="BN1376" s="9"/>
      <c r="BO1376" s="9"/>
      <c r="BP1376" s="9"/>
      <c r="BQ1376" s="9"/>
      <c r="BR1376" s="9"/>
      <c r="BS1376" s="9"/>
      <c r="BT1376" s="9"/>
      <c r="BU1376" s="9"/>
      <c r="BV1376" s="9"/>
      <c r="BW1376" s="9"/>
      <c r="BX1376" s="9"/>
      <c r="BY1376" s="9"/>
      <c r="BZ1376" s="9"/>
    </row>
    <row r="1377" spans="4:78" ht="18" customHeight="1" x14ac:dyDescent="0.25"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S1377" s="9"/>
      <c r="T1377" s="9"/>
      <c r="U1377" s="9"/>
      <c r="W1377" s="9"/>
      <c r="X1377" s="9"/>
      <c r="Y1377" s="9"/>
      <c r="Z1377" s="9"/>
      <c r="AA1377" s="9"/>
      <c r="AB1377" s="9"/>
      <c r="AC1377" s="9"/>
      <c r="AD1377" s="9"/>
      <c r="AE1377" s="9"/>
      <c r="AF1377" s="9"/>
      <c r="AG1377" s="9"/>
      <c r="AH1377" s="9"/>
      <c r="AI1377" s="9"/>
      <c r="AJ1377" s="9"/>
      <c r="AK1377" s="9"/>
      <c r="AL1377" s="9"/>
      <c r="AM1377" s="9"/>
      <c r="AN1377" s="9"/>
      <c r="AO1377" s="9"/>
      <c r="AP1377" s="9"/>
      <c r="AQ1377" s="9"/>
      <c r="AR1377" s="9"/>
      <c r="AS1377" s="9"/>
      <c r="AT1377" s="9"/>
      <c r="AU1377" s="9"/>
      <c r="AV1377" s="9"/>
      <c r="AW1377" s="9"/>
      <c r="AX1377" s="9"/>
      <c r="AY1377" s="9"/>
      <c r="AZ1377" s="9"/>
      <c r="BA1377" s="9"/>
      <c r="BB1377" s="9"/>
      <c r="BC1377" s="9"/>
      <c r="BD1377" s="9"/>
      <c r="BE1377" s="9"/>
      <c r="BF1377" s="9"/>
      <c r="BG1377" s="9"/>
      <c r="BH1377" s="9"/>
      <c r="BI1377" s="9"/>
      <c r="BJ1377" s="9"/>
      <c r="BK1377" s="9"/>
      <c r="BL1377" s="9"/>
      <c r="BM1377" s="9"/>
      <c r="BN1377" s="9"/>
      <c r="BO1377" s="9"/>
      <c r="BP1377" s="9"/>
      <c r="BQ1377" s="9"/>
      <c r="BR1377" s="9"/>
      <c r="BS1377" s="9"/>
      <c r="BT1377" s="9"/>
      <c r="BU1377" s="9"/>
      <c r="BV1377" s="9"/>
      <c r="BW1377" s="9"/>
      <c r="BX1377" s="9"/>
      <c r="BY1377" s="9"/>
      <c r="BZ1377" s="9"/>
    </row>
    <row r="1378" spans="4:78" ht="18" customHeight="1" x14ac:dyDescent="0.25"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S1378" s="9"/>
      <c r="T1378" s="9"/>
      <c r="U1378" s="9"/>
      <c r="W1378" s="9"/>
      <c r="X1378" s="9"/>
      <c r="Y1378" s="9"/>
      <c r="Z1378" s="9"/>
      <c r="AA1378" s="9"/>
      <c r="AB1378" s="9"/>
      <c r="AC1378" s="9"/>
      <c r="AD1378" s="9"/>
      <c r="AE1378" s="9"/>
      <c r="AF1378" s="9"/>
      <c r="AG1378" s="9"/>
      <c r="AH1378" s="9"/>
      <c r="AI1378" s="9"/>
      <c r="AJ1378" s="9"/>
      <c r="AK1378" s="9"/>
      <c r="AL1378" s="9"/>
      <c r="AM1378" s="9"/>
      <c r="AN1378" s="9"/>
      <c r="AO1378" s="9"/>
      <c r="AP1378" s="9"/>
      <c r="AQ1378" s="9"/>
      <c r="AR1378" s="9"/>
      <c r="AS1378" s="9"/>
      <c r="AT1378" s="9"/>
      <c r="AU1378" s="9"/>
      <c r="AV1378" s="9"/>
      <c r="AW1378" s="9"/>
      <c r="AX1378" s="9"/>
      <c r="AY1378" s="9"/>
      <c r="AZ1378" s="9"/>
      <c r="BA1378" s="9"/>
      <c r="BB1378" s="9"/>
      <c r="BC1378" s="9"/>
      <c r="BD1378" s="9"/>
      <c r="BE1378" s="9"/>
      <c r="BF1378" s="9"/>
      <c r="BG1378" s="9"/>
      <c r="BH1378" s="9"/>
      <c r="BI1378" s="9"/>
      <c r="BJ1378" s="9"/>
      <c r="BK1378" s="9"/>
      <c r="BL1378" s="9"/>
      <c r="BM1378" s="9"/>
      <c r="BN1378" s="9"/>
      <c r="BO1378" s="9"/>
      <c r="BP1378" s="9"/>
      <c r="BQ1378" s="9"/>
      <c r="BR1378" s="9"/>
      <c r="BS1378" s="9"/>
      <c r="BT1378" s="9"/>
      <c r="BU1378" s="9"/>
      <c r="BV1378" s="9"/>
      <c r="BW1378" s="9"/>
      <c r="BX1378" s="9"/>
      <c r="BY1378" s="9"/>
      <c r="BZ1378" s="9"/>
    </row>
    <row r="1379" spans="4:78" ht="18" customHeight="1" x14ac:dyDescent="0.25"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S1379" s="9"/>
      <c r="T1379" s="9"/>
      <c r="U1379" s="9"/>
      <c r="W1379" s="9"/>
      <c r="X1379" s="9"/>
      <c r="Y1379" s="9"/>
      <c r="Z1379" s="9"/>
      <c r="AA1379" s="9"/>
      <c r="AB1379" s="9"/>
      <c r="AC1379" s="9"/>
      <c r="AD1379" s="9"/>
      <c r="AE1379" s="9"/>
      <c r="AF1379" s="9"/>
      <c r="AG1379" s="9"/>
      <c r="AH1379" s="9"/>
      <c r="AI1379" s="9"/>
      <c r="AJ1379" s="9"/>
      <c r="AK1379" s="9"/>
      <c r="AL1379" s="9"/>
      <c r="AM1379" s="9"/>
      <c r="AN1379" s="9"/>
      <c r="AO1379" s="9"/>
      <c r="AP1379" s="9"/>
      <c r="AQ1379" s="9"/>
      <c r="AR1379" s="9"/>
      <c r="AS1379" s="9"/>
      <c r="AT1379" s="9"/>
      <c r="AU1379" s="9"/>
      <c r="AV1379" s="9"/>
      <c r="AW1379" s="9"/>
      <c r="AX1379" s="9"/>
      <c r="AY1379" s="9"/>
      <c r="AZ1379" s="9"/>
      <c r="BA1379" s="9"/>
      <c r="BB1379" s="9"/>
      <c r="BC1379" s="9"/>
      <c r="BD1379" s="9"/>
      <c r="BE1379" s="9"/>
      <c r="BF1379" s="9"/>
      <c r="BG1379" s="9"/>
      <c r="BH1379" s="9"/>
      <c r="BI1379" s="9"/>
      <c r="BJ1379" s="9"/>
      <c r="BK1379" s="9"/>
      <c r="BL1379" s="9"/>
      <c r="BM1379" s="9"/>
      <c r="BN1379" s="9"/>
      <c r="BO1379" s="9"/>
      <c r="BP1379" s="9"/>
      <c r="BQ1379" s="9"/>
      <c r="BR1379" s="9"/>
      <c r="BS1379" s="9"/>
      <c r="BT1379" s="9"/>
      <c r="BU1379" s="9"/>
      <c r="BV1379" s="9"/>
      <c r="BW1379" s="9"/>
      <c r="BX1379" s="9"/>
      <c r="BY1379" s="9"/>
      <c r="BZ1379" s="9"/>
    </row>
    <row r="1380" spans="4:78" ht="18" customHeight="1" x14ac:dyDescent="0.25"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S1380" s="9"/>
      <c r="T1380" s="9"/>
      <c r="U1380" s="9"/>
      <c r="W1380" s="9"/>
      <c r="X1380" s="9"/>
      <c r="Y1380" s="9"/>
      <c r="Z1380" s="9"/>
      <c r="AA1380" s="9"/>
      <c r="AB1380" s="9"/>
      <c r="AC1380" s="9"/>
      <c r="AD1380" s="9"/>
      <c r="AE1380" s="9"/>
      <c r="AF1380" s="9"/>
      <c r="AG1380" s="9"/>
      <c r="AH1380" s="9"/>
      <c r="AI1380" s="9"/>
      <c r="AJ1380" s="9"/>
      <c r="AK1380" s="9"/>
      <c r="AL1380" s="9"/>
      <c r="AM1380" s="9"/>
      <c r="AN1380" s="9"/>
      <c r="AO1380" s="9"/>
      <c r="AP1380" s="9"/>
      <c r="AQ1380" s="9"/>
      <c r="AR1380" s="9"/>
      <c r="AS1380" s="9"/>
      <c r="AT1380" s="9"/>
      <c r="AU1380" s="9"/>
      <c r="AV1380" s="9"/>
      <c r="AW1380" s="9"/>
      <c r="AX1380" s="9"/>
      <c r="AY1380" s="9"/>
      <c r="AZ1380" s="9"/>
      <c r="BA1380" s="9"/>
      <c r="BB1380" s="9"/>
      <c r="BC1380" s="9"/>
      <c r="BD1380" s="9"/>
      <c r="BE1380" s="9"/>
      <c r="BF1380" s="9"/>
      <c r="BG1380" s="9"/>
      <c r="BH1380" s="9"/>
      <c r="BI1380" s="9"/>
      <c r="BJ1380" s="9"/>
      <c r="BK1380" s="9"/>
      <c r="BL1380" s="9"/>
      <c r="BM1380" s="9"/>
      <c r="BN1380" s="9"/>
      <c r="BO1380" s="9"/>
      <c r="BP1380" s="9"/>
      <c r="BQ1380" s="9"/>
      <c r="BR1380" s="9"/>
      <c r="BS1380" s="9"/>
      <c r="BT1380" s="9"/>
      <c r="BU1380" s="9"/>
      <c r="BV1380" s="9"/>
      <c r="BW1380" s="9"/>
      <c r="BX1380" s="9"/>
      <c r="BY1380" s="9"/>
      <c r="BZ1380" s="9"/>
    </row>
    <row r="1381" spans="4:78" ht="18" customHeight="1" x14ac:dyDescent="0.25"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S1381" s="9"/>
      <c r="T1381" s="9"/>
      <c r="U1381" s="9"/>
      <c r="W1381" s="9"/>
      <c r="X1381" s="9"/>
      <c r="Y1381" s="9"/>
      <c r="Z1381" s="9"/>
      <c r="AA1381" s="9"/>
      <c r="AB1381" s="9"/>
      <c r="AC1381" s="9"/>
      <c r="AD1381" s="9"/>
      <c r="AE1381" s="9"/>
      <c r="AF1381" s="9"/>
      <c r="AG1381" s="9"/>
      <c r="AH1381" s="9"/>
      <c r="AI1381" s="9"/>
      <c r="AJ1381" s="9"/>
      <c r="AK1381" s="9"/>
      <c r="AL1381" s="9"/>
      <c r="AM1381" s="9"/>
      <c r="AN1381" s="9"/>
      <c r="AO1381" s="9"/>
      <c r="AP1381" s="9"/>
      <c r="AQ1381" s="9"/>
      <c r="AR1381" s="9"/>
      <c r="AS1381" s="9"/>
      <c r="AT1381" s="9"/>
      <c r="AU1381" s="9"/>
      <c r="AV1381" s="9"/>
      <c r="AW1381" s="9"/>
      <c r="AX1381" s="9"/>
      <c r="AY1381" s="9"/>
      <c r="AZ1381" s="9"/>
      <c r="BA1381" s="9"/>
      <c r="BB1381" s="9"/>
      <c r="BC1381" s="9"/>
      <c r="BD1381" s="9"/>
      <c r="BE1381" s="9"/>
      <c r="BF1381" s="9"/>
      <c r="BG1381" s="9"/>
      <c r="BH1381" s="9"/>
      <c r="BI1381" s="9"/>
      <c r="BJ1381" s="9"/>
      <c r="BK1381" s="9"/>
      <c r="BL1381" s="9"/>
      <c r="BM1381" s="9"/>
      <c r="BN1381" s="9"/>
      <c r="BO1381" s="9"/>
      <c r="BP1381" s="9"/>
      <c r="BQ1381" s="9"/>
      <c r="BR1381" s="9"/>
      <c r="BS1381" s="9"/>
      <c r="BT1381" s="9"/>
      <c r="BU1381" s="9"/>
      <c r="BV1381" s="9"/>
      <c r="BW1381" s="9"/>
      <c r="BX1381" s="9"/>
      <c r="BY1381" s="9"/>
      <c r="BZ1381" s="9"/>
    </row>
    <row r="1382" spans="4:78" ht="18" customHeight="1" x14ac:dyDescent="0.25"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S1382" s="9"/>
      <c r="T1382" s="9"/>
      <c r="U1382" s="9"/>
      <c r="W1382" s="9"/>
      <c r="X1382" s="9"/>
      <c r="Y1382" s="9"/>
      <c r="Z1382" s="9"/>
      <c r="AA1382" s="9"/>
      <c r="AB1382" s="9"/>
      <c r="AC1382" s="9"/>
      <c r="AD1382" s="9"/>
      <c r="AE1382" s="9"/>
      <c r="AF1382" s="9"/>
      <c r="AG1382" s="9"/>
      <c r="AH1382" s="9"/>
      <c r="AI1382" s="9"/>
      <c r="AJ1382" s="9"/>
      <c r="AK1382" s="9"/>
      <c r="AL1382" s="9"/>
      <c r="AM1382" s="9"/>
      <c r="AN1382" s="9"/>
      <c r="AO1382" s="9"/>
      <c r="AP1382" s="9"/>
      <c r="AQ1382" s="9"/>
      <c r="AR1382" s="9"/>
      <c r="AS1382" s="9"/>
      <c r="AT1382" s="9"/>
      <c r="AU1382" s="9"/>
      <c r="AV1382" s="9"/>
      <c r="AW1382" s="9"/>
      <c r="AX1382" s="9"/>
      <c r="AY1382" s="9"/>
      <c r="AZ1382" s="9"/>
      <c r="BA1382" s="9"/>
      <c r="BB1382" s="9"/>
      <c r="BC1382" s="9"/>
      <c r="BD1382" s="9"/>
      <c r="BE1382" s="9"/>
      <c r="BF1382" s="9"/>
      <c r="BG1382" s="9"/>
      <c r="BH1382" s="9"/>
      <c r="BI1382" s="9"/>
      <c r="BJ1382" s="9"/>
      <c r="BK1382" s="9"/>
      <c r="BL1382" s="9"/>
      <c r="BM1382" s="9"/>
      <c r="BN1382" s="9"/>
      <c r="BO1382" s="9"/>
      <c r="BP1382" s="9"/>
      <c r="BQ1382" s="9"/>
      <c r="BR1382" s="9"/>
      <c r="BS1382" s="9"/>
      <c r="BT1382" s="9"/>
      <c r="BU1382" s="9"/>
      <c r="BV1382" s="9"/>
      <c r="BW1382" s="9"/>
      <c r="BX1382" s="9"/>
      <c r="BY1382" s="9"/>
      <c r="BZ1382" s="9"/>
    </row>
    <row r="1383" spans="4:78" ht="18" customHeight="1" x14ac:dyDescent="0.25"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S1383" s="9"/>
      <c r="T1383" s="9"/>
      <c r="U1383" s="9"/>
      <c r="W1383" s="9"/>
      <c r="X1383" s="9"/>
      <c r="Y1383" s="9"/>
      <c r="Z1383" s="9"/>
      <c r="AA1383" s="9"/>
      <c r="AB1383" s="9"/>
      <c r="AC1383" s="9"/>
      <c r="AD1383" s="9"/>
      <c r="AE1383" s="9"/>
      <c r="AF1383" s="9"/>
      <c r="AG1383" s="9"/>
      <c r="AH1383" s="9"/>
      <c r="AI1383" s="9"/>
      <c r="AJ1383" s="9"/>
      <c r="AK1383" s="9"/>
      <c r="AL1383" s="9"/>
      <c r="AM1383" s="9"/>
      <c r="AN1383" s="9"/>
      <c r="AO1383" s="9"/>
      <c r="AP1383" s="9"/>
      <c r="AQ1383" s="9"/>
      <c r="AR1383" s="9"/>
      <c r="AS1383" s="9"/>
      <c r="AT1383" s="9"/>
      <c r="AU1383" s="9"/>
      <c r="AV1383" s="9"/>
      <c r="AW1383" s="9"/>
      <c r="AX1383" s="9"/>
      <c r="AY1383" s="9"/>
      <c r="AZ1383" s="9"/>
      <c r="BA1383" s="9"/>
      <c r="BB1383" s="9"/>
      <c r="BC1383" s="9"/>
      <c r="BD1383" s="9"/>
      <c r="BE1383" s="9"/>
      <c r="BF1383" s="9"/>
      <c r="BG1383" s="9"/>
      <c r="BH1383" s="9"/>
      <c r="BI1383" s="9"/>
      <c r="BJ1383" s="9"/>
      <c r="BK1383" s="9"/>
      <c r="BL1383" s="9"/>
      <c r="BM1383" s="9"/>
      <c r="BN1383" s="9"/>
      <c r="BO1383" s="9"/>
      <c r="BP1383" s="9"/>
      <c r="BQ1383" s="9"/>
      <c r="BR1383" s="9"/>
      <c r="BS1383" s="9"/>
      <c r="BT1383" s="9"/>
      <c r="BU1383" s="9"/>
      <c r="BV1383" s="9"/>
      <c r="BW1383" s="9"/>
      <c r="BX1383" s="9"/>
      <c r="BY1383" s="9"/>
      <c r="BZ1383" s="9"/>
    </row>
    <row r="1384" spans="4:78" ht="18" customHeight="1" x14ac:dyDescent="0.25"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S1384" s="9"/>
      <c r="T1384" s="9"/>
      <c r="U1384" s="9"/>
      <c r="W1384" s="9"/>
      <c r="X1384" s="9"/>
      <c r="Y1384" s="9"/>
      <c r="Z1384" s="9"/>
      <c r="AA1384" s="9"/>
      <c r="AB1384" s="9"/>
      <c r="AC1384" s="9"/>
      <c r="AD1384" s="9"/>
      <c r="AE1384" s="9"/>
      <c r="AF1384" s="9"/>
      <c r="AG1384" s="9"/>
      <c r="AH1384" s="9"/>
      <c r="AI1384" s="9"/>
      <c r="AJ1384" s="9"/>
      <c r="AK1384" s="9"/>
      <c r="AL1384" s="9"/>
      <c r="AM1384" s="9"/>
      <c r="AN1384" s="9"/>
      <c r="AO1384" s="9"/>
      <c r="AP1384" s="9"/>
      <c r="AQ1384" s="9"/>
      <c r="AR1384" s="9"/>
      <c r="AS1384" s="9"/>
      <c r="AT1384" s="9"/>
      <c r="AU1384" s="9"/>
      <c r="AV1384" s="9"/>
      <c r="AW1384" s="9"/>
      <c r="AX1384" s="9"/>
      <c r="AY1384" s="9"/>
      <c r="AZ1384" s="9"/>
      <c r="BA1384" s="9"/>
      <c r="BB1384" s="9"/>
      <c r="BC1384" s="9"/>
      <c r="BD1384" s="9"/>
      <c r="BE1384" s="9"/>
      <c r="BF1384" s="9"/>
      <c r="BG1384" s="9"/>
      <c r="BH1384" s="9"/>
      <c r="BI1384" s="9"/>
      <c r="BJ1384" s="9"/>
      <c r="BK1384" s="9"/>
      <c r="BL1384" s="9"/>
      <c r="BM1384" s="9"/>
      <c r="BN1384" s="9"/>
      <c r="BO1384" s="9"/>
      <c r="BP1384" s="9"/>
      <c r="BQ1384" s="9"/>
      <c r="BR1384" s="9"/>
      <c r="BS1384" s="9"/>
      <c r="BT1384" s="9"/>
      <c r="BU1384" s="9"/>
      <c r="BV1384" s="9"/>
      <c r="BW1384" s="9"/>
      <c r="BX1384" s="9"/>
      <c r="BY1384" s="9"/>
      <c r="BZ1384" s="9"/>
    </row>
    <row r="1385" spans="4:78" ht="18" customHeight="1" x14ac:dyDescent="0.25"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S1385" s="9"/>
      <c r="T1385" s="9"/>
      <c r="U1385" s="9"/>
      <c r="W1385" s="9"/>
      <c r="X1385" s="9"/>
      <c r="Y1385" s="9"/>
      <c r="Z1385" s="9"/>
      <c r="AA1385" s="9"/>
      <c r="AB1385" s="9"/>
      <c r="AC1385" s="9"/>
      <c r="AD1385" s="9"/>
      <c r="AE1385" s="9"/>
      <c r="AF1385" s="9"/>
      <c r="AG1385" s="9"/>
      <c r="AH1385" s="9"/>
      <c r="AI1385" s="9"/>
      <c r="AJ1385" s="9"/>
      <c r="AK1385" s="9"/>
      <c r="AL1385" s="9"/>
      <c r="AM1385" s="9"/>
      <c r="AN1385" s="9"/>
      <c r="AO1385" s="9"/>
      <c r="AP1385" s="9"/>
      <c r="AQ1385" s="9"/>
      <c r="AR1385" s="9"/>
      <c r="AS1385" s="9"/>
      <c r="AT1385" s="9"/>
      <c r="AU1385" s="9"/>
      <c r="AV1385" s="9"/>
      <c r="AW1385" s="9"/>
      <c r="AX1385" s="9"/>
      <c r="AY1385" s="9"/>
      <c r="AZ1385" s="9"/>
      <c r="BA1385" s="9"/>
      <c r="BB1385" s="9"/>
      <c r="BC1385" s="9"/>
      <c r="BD1385" s="9"/>
      <c r="BE1385" s="9"/>
      <c r="BF1385" s="9"/>
      <c r="BG1385" s="9"/>
      <c r="BH1385" s="9"/>
      <c r="BI1385" s="9"/>
      <c r="BJ1385" s="9"/>
      <c r="BK1385" s="9"/>
      <c r="BL1385" s="9"/>
      <c r="BM1385" s="9"/>
      <c r="BN1385" s="9"/>
      <c r="BO1385" s="9"/>
      <c r="BP1385" s="9"/>
      <c r="BQ1385" s="9"/>
      <c r="BR1385" s="9"/>
      <c r="BS1385" s="9"/>
      <c r="BT1385" s="9"/>
      <c r="BU1385" s="9"/>
      <c r="BV1385" s="9"/>
      <c r="BW1385" s="9"/>
      <c r="BX1385" s="9"/>
      <c r="BY1385" s="9"/>
      <c r="BZ1385" s="9"/>
    </row>
    <row r="1386" spans="4:78" ht="18" customHeight="1" x14ac:dyDescent="0.25"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S1386" s="9"/>
      <c r="T1386" s="9"/>
      <c r="U1386" s="9"/>
      <c r="W1386" s="9"/>
      <c r="X1386" s="9"/>
      <c r="Y1386" s="9"/>
      <c r="Z1386" s="9"/>
      <c r="AA1386" s="9"/>
      <c r="AB1386" s="9"/>
      <c r="AC1386" s="9"/>
      <c r="AD1386" s="9"/>
      <c r="AE1386" s="9"/>
      <c r="AF1386" s="9"/>
      <c r="AG1386" s="9"/>
      <c r="AH1386" s="9"/>
      <c r="AI1386" s="9"/>
      <c r="AJ1386" s="9"/>
      <c r="AK1386" s="9"/>
      <c r="AL1386" s="9"/>
      <c r="AM1386" s="9"/>
      <c r="AN1386" s="9"/>
      <c r="AO1386" s="9"/>
      <c r="AP1386" s="9"/>
      <c r="AQ1386" s="9"/>
      <c r="AR1386" s="9"/>
      <c r="AS1386" s="9"/>
      <c r="AT1386" s="9"/>
      <c r="AU1386" s="9"/>
      <c r="AV1386" s="9"/>
      <c r="AW1386" s="9"/>
      <c r="AX1386" s="9"/>
      <c r="AY1386" s="9"/>
      <c r="AZ1386" s="9"/>
      <c r="BA1386" s="9"/>
      <c r="BB1386" s="9"/>
      <c r="BC1386" s="9"/>
      <c r="BD1386" s="9"/>
      <c r="BE1386" s="9"/>
      <c r="BF1386" s="9"/>
      <c r="BG1386" s="9"/>
      <c r="BH1386" s="9"/>
      <c r="BI1386" s="9"/>
      <c r="BJ1386" s="9"/>
      <c r="BK1386" s="9"/>
      <c r="BL1386" s="9"/>
      <c r="BM1386" s="9"/>
      <c r="BN1386" s="9"/>
      <c r="BO1386" s="9"/>
      <c r="BP1386" s="9"/>
      <c r="BQ1386" s="9"/>
      <c r="BR1386" s="9"/>
      <c r="BS1386" s="9"/>
      <c r="BT1386" s="9"/>
      <c r="BU1386" s="9"/>
      <c r="BV1386" s="9"/>
      <c r="BW1386" s="9"/>
      <c r="BX1386" s="9"/>
      <c r="BY1386" s="9"/>
      <c r="BZ1386" s="9"/>
    </row>
    <row r="1387" spans="4:78" ht="18" customHeight="1" x14ac:dyDescent="0.25"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S1387" s="9"/>
      <c r="T1387" s="9"/>
      <c r="U1387" s="9"/>
      <c r="W1387" s="9"/>
      <c r="X1387" s="9"/>
      <c r="Y1387" s="9"/>
      <c r="Z1387" s="9"/>
      <c r="AA1387" s="9"/>
      <c r="AB1387" s="9"/>
      <c r="AC1387" s="9"/>
      <c r="AD1387" s="9"/>
      <c r="AE1387" s="9"/>
      <c r="AF1387" s="9"/>
      <c r="AG1387" s="9"/>
      <c r="AH1387" s="9"/>
      <c r="AI1387" s="9"/>
      <c r="AJ1387" s="9"/>
      <c r="AK1387" s="9"/>
      <c r="AL1387" s="9"/>
      <c r="AM1387" s="9"/>
      <c r="AN1387" s="9"/>
      <c r="AO1387" s="9"/>
      <c r="AP1387" s="9"/>
      <c r="AQ1387" s="9"/>
      <c r="AR1387" s="9"/>
      <c r="AS1387" s="9"/>
      <c r="AT1387" s="9"/>
      <c r="AU1387" s="9"/>
      <c r="AV1387" s="9"/>
      <c r="AW1387" s="9"/>
      <c r="AX1387" s="9"/>
      <c r="AY1387" s="9"/>
      <c r="AZ1387" s="9"/>
      <c r="BA1387" s="9"/>
      <c r="BB1387" s="9"/>
      <c r="BC1387" s="9"/>
      <c r="BD1387" s="9"/>
      <c r="BE1387" s="9"/>
      <c r="BF1387" s="9"/>
      <c r="BG1387" s="9"/>
      <c r="BH1387" s="9"/>
      <c r="BI1387" s="9"/>
      <c r="BJ1387" s="9"/>
      <c r="BK1387" s="9"/>
      <c r="BL1387" s="9"/>
      <c r="BM1387" s="9"/>
      <c r="BN1387" s="9"/>
      <c r="BO1387" s="9"/>
      <c r="BP1387" s="9"/>
      <c r="BQ1387" s="9"/>
      <c r="BR1387" s="9"/>
      <c r="BS1387" s="9"/>
      <c r="BT1387" s="9"/>
      <c r="BU1387" s="9"/>
      <c r="BV1387" s="9"/>
      <c r="BW1387" s="9"/>
      <c r="BX1387" s="9"/>
      <c r="BY1387" s="9"/>
      <c r="BZ1387" s="9"/>
    </row>
    <row r="1388" spans="4:78" ht="18" customHeight="1" x14ac:dyDescent="0.25"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S1388" s="9"/>
      <c r="T1388" s="9"/>
      <c r="U1388" s="9"/>
      <c r="W1388" s="9"/>
      <c r="X1388" s="9"/>
      <c r="Y1388" s="9"/>
      <c r="Z1388" s="9"/>
      <c r="AA1388" s="9"/>
      <c r="AB1388" s="9"/>
      <c r="AC1388" s="9"/>
      <c r="AD1388" s="9"/>
      <c r="AE1388" s="9"/>
      <c r="AF1388" s="9"/>
      <c r="AG1388" s="9"/>
      <c r="AH1388" s="9"/>
      <c r="AI1388" s="9"/>
      <c r="AJ1388" s="9"/>
      <c r="AK1388" s="9"/>
      <c r="AL1388" s="9"/>
      <c r="AM1388" s="9"/>
      <c r="AN1388" s="9"/>
      <c r="AO1388" s="9"/>
      <c r="AP1388" s="9"/>
      <c r="AQ1388" s="9"/>
      <c r="AR1388" s="9"/>
      <c r="AS1388" s="9"/>
      <c r="AT1388" s="9"/>
      <c r="AU1388" s="9"/>
      <c r="AV1388" s="9"/>
      <c r="AW1388" s="9"/>
      <c r="AX1388" s="9"/>
      <c r="AY1388" s="9"/>
      <c r="AZ1388" s="9"/>
      <c r="BA1388" s="9"/>
      <c r="BB1388" s="9"/>
      <c r="BC1388" s="9"/>
      <c r="BD1388" s="9"/>
      <c r="BE1388" s="9"/>
      <c r="BF1388" s="9"/>
      <c r="BG1388" s="9"/>
      <c r="BH1388" s="9"/>
      <c r="BI1388" s="9"/>
      <c r="BJ1388" s="9"/>
      <c r="BK1388" s="9"/>
      <c r="BL1388" s="9"/>
      <c r="BM1388" s="9"/>
      <c r="BN1388" s="9"/>
      <c r="BO1388" s="9"/>
      <c r="BP1388" s="9"/>
      <c r="BQ1388" s="9"/>
      <c r="BR1388" s="9"/>
      <c r="BS1388" s="9"/>
      <c r="BT1388" s="9"/>
      <c r="BU1388" s="9"/>
      <c r="BV1388" s="9"/>
      <c r="BW1388" s="9"/>
      <c r="BX1388" s="9"/>
      <c r="BY1388" s="9"/>
      <c r="BZ1388" s="9"/>
    </row>
  </sheetData>
  <sheetProtection password="D70F" sheet="1" objects="1" scenarios="1" formatColumns="0" formatRows="0"/>
  <customSheetViews>
    <customSheetView guid="{83BB5152-01BA-42DF-B23D-4001406CC674}" scale="40" fitToPage="1" printArea="1">
      <selection activeCell="E5" sqref="A1:XFD1048576"/>
      <pageMargins left="0.11811023622047245" right="0.11811023622047245" top="0.15748031496062992" bottom="0.15748031496062992" header="0" footer="0"/>
      <printOptions horizontalCentered="1"/>
      <pageSetup paperSize="9" scale="43" orientation="portrait" r:id="rId1"/>
      <headerFooter>
        <oddFooter>&amp;C&amp;9&amp;K01+022PMM - Gross Margin variance breakdown
&amp;D&amp;T</oddFooter>
      </headerFooter>
    </customSheetView>
    <customSheetView guid="{97DA177E-F101-4CD5-8BC6-6997082DB660}" scale="73" showGridLines="0" showRowCol="0" fitToPage="1" printArea="1" hiddenRows="1" hiddenColumns="1" topLeftCell="I11">
      <selection activeCell="M27" sqref="M27"/>
      <pageMargins left="0.11811023622047245" right="0.11811023622047245" top="0.15748031496062992" bottom="0.15748031496062992" header="0" footer="0"/>
      <printOptions horizontalCentered="1"/>
      <pageSetup paperSize="9" scale="43" orientation="portrait" r:id="rId2"/>
      <headerFooter>
        <oddFooter>&amp;C&amp;9&amp;K01+022PMM - Gross Margin variance breakdown
&amp;D&amp;T</oddFooter>
      </headerFooter>
    </customSheetView>
  </customSheetViews>
  <mergeCells count="196">
    <mergeCell ref="M525:T525"/>
    <mergeCell ref="M482:T482"/>
    <mergeCell ref="M546:T546"/>
    <mergeCell ref="M445:O445"/>
    <mergeCell ref="M446:O446"/>
    <mergeCell ref="M448:O448"/>
    <mergeCell ref="M449:O449"/>
    <mergeCell ref="M450:O450"/>
    <mergeCell ref="L392:O392"/>
    <mergeCell ref="M441:X441"/>
    <mergeCell ref="L443:O443"/>
    <mergeCell ref="L444:L454"/>
    <mergeCell ref="M444:O444"/>
    <mergeCell ref="L519:O519"/>
    <mergeCell ref="M517:O517"/>
    <mergeCell ref="M518:O518"/>
    <mergeCell ref="M451:O451"/>
    <mergeCell ref="M452:O452"/>
    <mergeCell ref="M453:O453"/>
    <mergeCell ref="M454:O454"/>
    <mergeCell ref="M504:X504"/>
    <mergeCell ref="M508:O508"/>
    <mergeCell ref="M510:O510"/>
    <mergeCell ref="M512:O512"/>
    <mergeCell ref="M385:O385"/>
    <mergeCell ref="M386:O386"/>
    <mergeCell ref="M387:O387"/>
    <mergeCell ref="M388:O388"/>
    <mergeCell ref="M389:O389"/>
    <mergeCell ref="M390:O390"/>
    <mergeCell ref="M391:O391"/>
    <mergeCell ref="T217:T242"/>
    <mergeCell ref="X217:X242"/>
    <mergeCell ref="L317:O317"/>
    <mergeCell ref="L318:L328"/>
    <mergeCell ref="M318:O318"/>
    <mergeCell ref="M319:O319"/>
    <mergeCell ref="M320:O320"/>
    <mergeCell ref="M322:O322"/>
    <mergeCell ref="M323:O323"/>
    <mergeCell ref="M324:O324"/>
    <mergeCell ref="M325:O325"/>
    <mergeCell ref="M326:O326"/>
    <mergeCell ref="M327:O327"/>
    <mergeCell ref="M328:O328"/>
    <mergeCell ref="K295:S295"/>
    <mergeCell ref="K276:T276"/>
    <mergeCell ref="K246:Q246"/>
    <mergeCell ref="BP29:BR30"/>
    <mergeCell ref="BT29:BV30"/>
    <mergeCell ref="L59:O59"/>
    <mergeCell ref="AB29:AD30"/>
    <mergeCell ref="AF29:AH30"/>
    <mergeCell ref="AJ29:AL30"/>
    <mergeCell ref="AN29:AP30"/>
    <mergeCell ref="AR29:AT30"/>
    <mergeCell ref="AV29:AX30"/>
    <mergeCell ref="AZ29:BB30"/>
    <mergeCell ref="BD29:BF30"/>
    <mergeCell ref="BH29:BJ30"/>
    <mergeCell ref="M28:M29"/>
    <mergeCell ref="L58:O58"/>
    <mergeCell ref="L43:O43"/>
    <mergeCell ref="L44:O44"/>
    <mergeCell ref="L45:O45"/>
    <mergeCell ref="L46:O46"/>
    <mergeCell ref="M513:O513"/>
    <mergeCell ref="M514:O514"/>
    <mergeCell ref="M515:O515"/>
    <mergeCell ref="M516:O516"/>
    <mergeCell ref="L455:O455"/>
    <mergeCell ref="BL29:BN30"/>
    <mergeCell ref="L506:O506"/>
    <mergeCell ref="L507:L518"/>
    <mergeCell ref="M461:T461"/>
    <mergeCell ref="M509:O509"/>
    <mergeCell ref="M507:O507"/>
    <mergeCell ref="M335:T335"/>
    <mergeCell ref="M356:T356"/>
    <mergeCell ref="M398:T398"/>
    <mergeCell ref="M419:T419"/>
    <mergeCell ref="M378:X378"/>
    <mergeCell ref="L380:O380"/>
    <mergeCell ref="L381:L391"/>
    <mergeCell ref="M381:O381"/>
    <mergeCell ref="M382:O382"/>
    <mergeCell ref="M383:O383"/>
    <mergeCell ref="L329:O329"/>
    <mergeCell ref="S125:T125"/>
    <mergeCell ref="W125:X125"/>
    <mergeCell ref="L582:O582"/>
    <mergeCell ref="M576:O576"/>
    <mergeCell ref="M577:O577"/>
    <mergeCell ref="M578:O578"/>
    <mergeCell ref="M579:O579"/>
    <mergeCell ref="M580:O580"/>
    <mergeCell ref="M581:O581"/>
    <mergeCell ref="M568:X568"/>
    <mergeCell ref="L570:O570"/>
    <mergeCell ref="L571:L581"/>
    <mergeCell ref="M571:O571"/>
    <mergeCell ref="M572:O572"/>
    <mergeCell ref="M573:O573"/>
    <mergeCell ref="M575:O575"/>
    <mergeCell ref="L116:O116"/>
    <mergeCell ref="L117:O117"/>
    <mergeCell ref="K111:O111"/>
    <mergeCell ref="L88:O88"/>
    <mergeCell ref="L85:O85"/>
    <mergeCell ref="L86:O86"/>
    <mergeCell ref="L91:O91"/>
    <mergeCell ref="L92:O92"/>
    <mergeCell ref="L93:O93"/>
    <mergeCell ref="L90:O90"/>
    <mergeCell ref="L105:O105"/>
    <mergeCell ref="L106:O106"/>
    <mergeCell ref="L107:O107"/>
    <mergeCell ref="L108:O108"/>
    <mergeCell ref="K7:Y7"/>
    <mergeCell ref="K8:Y8"/>
    <mergeCell ref="L65:O65"/>
    <mergeCell ref="K53:O53"/>
    <mergeCell ref="L63:O63"/>
    <mergeCell ref="Q29:X30"/>
    <mergeCell ref="S32:T32"/>
    <mergeCell ref="W32:X32"/>
    <mergeCell ref="K36:O36"/>
    <mergeCell ref="L37:O37"/>
    <mergeCell ref="L38:O38"/>
    <mergeCell ref="L40:O40"/>
    <mergeCell ref="L41:O41"/>
    <mergeCell ref="L57:O57"/>
    <mergeCell ref="L42:O42"/>
    <mergeCell ref="L47:O47"/>
    <mergeCell ref="L48:O48"/>
    <mergeCell ref="L49:O49"/>
    <mergeCell ref="L50:O50"/>
    <mergeCell ref="L54:O54"/>
    <mergeCell ref="L55:O55"/>
    <mergeCell ref="L56:O56"/>
    <mergeCell ref="K62:O62"/>
    <mergeCell ref="L39:O39"/>
    <mergeCell ref="L68:O68"/>
    <mergeCell ref="L69:O69"/>
    <mergeCell ref="L70:O70"/>
    <mergeCell ref="L73:O73"/>
    <mergeCell ref="L76:O76"/>
    <mergeCell ref="L82:O82"/>
    <mergeCell ref="L83:O83"/>
    <mergeCell ref="L84:O84"/>
    <mergeCell ref="L64:O64"/>
    <mergeCell ref="L77:O77"/>
    <mergeCell ref="L78:O78"/>
    <mergeCell ref="L74:O74"/>
    <mergeCell ref="L72:O72"/>
    <mergeCell ref="L71:O71"/>
    <mergeCell ref="L66:O66"/>
    <mergeCell ref="K81:O81"/>
    <mergeCell ref="L75:O75"/>
    <mergeCell ref="L67:O67"/>
    <mergeCell ref="W210:X210"/>
    <mergeCell ref="K213:O213"/>
    <mergeCell ref="M216:M243"/>
    <mergeCell ref="L87:O87"/>
    <mergeCell ref="L89:O89"/>
    <mergeCell ref="L99:O99"/>
    <mergeCell ref="L104:O104"/>
    <mergeCell ref="L94:O94"/>
    <mergeCell ref="L95:O95"/>
    <mergeCell ref="L101:O101"/>
    <mergeCell ref="L102:O102"/>
    <mergeCell ref="L103:O103"/>
    <mergeCell ref="L100:O100"/>
    <mergeCell ref="L109:O109"/>
    <mergeCell ref="K98:O98"/>
    <mergeCell ref="L163:O163"/>
    <mergeCell ref="L112:O112"/>
    <mergeCell ref="L113:O113"/>
    <mergeCell ref="L114:O114"/>
    <mergeCell ref="L115:O115"/>
    <mergeCell ref="K215:Q215"/>
    <mergeCell ref="L130:O130"/>
    <mergeCell ref="L129:P129"/>
    <mergeCell ref="L161:P161"/>
    <mergeCell ref="L131:O131"/>
    <mergeCell ref="L158:O158"/>
    <mergeCell ref="L159:O159"/>
    <mergeCell ref="L162:O162"/>
    <mergeCell ref="M244:M245"/>
    <mergeCell ref="K120:O120"/>
    <mergeCell ref="L124:O124"/>
    <mergeCell ref="L202:P202"/>
    <mergeCell ref="S210:T210"/>
    <mergeCell ref="L180:P180"/>
    <mergeCell ref="L196:P196"/>
    <mergeCell ref="L209:O209"/>
  </mergeCells>
  <conditionalFormatting sqref="T35">
    <cfRule type="expression" dxfId="557" priority="2025">
      <formula>T35="ì"</formula>
    </cfRule>
    <cfRule type="expression" dxfId="556" priority="2026">
      <formula>T35="î"</formula>
    </cfRule>
    <cfRule type="expression" dxfId="555" priority="2027">
      <formula>T35="è"</formula>
    </cfRule>
  </conditionalFormatting>
  <conditionalFormatting sqref="X35">
    <cfRule type="expression" dxfId="554" priority="2028">
      <formula>X35="ì"</formula>
    </cfRule>
    <cfRule type="expression" dxfId="553" priority="2029">
      <formula>X35="î"</formula>
    </cfRule>
    <cfRule type="expression" dxfId="552" priority="2030">
      <formula>X35="è"</formula>
    </cfRule>
  </conditionalFormatting>
  <conditionalFormatting sqref="T52">
    <cfRule type="expression" dxfId="551" priority="1306">
      <formula>T52="ì"</formula>
    </cfRule>
    <cfRule type="expression" dxfId="550" priority="1307">
      <formula>T52="î"</formula>
    </cfRule>
    <cfRule type="expression" dxfId="549" priority="1308">
      <formula>T52="è"</formula>
    </cfRule>
  </conditionalFormatting>
  <conditionalFormatting sqref="T61">
    <cfRule type="expression" dxfId="548" priority="1300">
      <formula>T61="ì"</formula>
    </cfRule>
    <cfRule type="expression" dxfId="547" priority="1301">
      <formula>T61="î"</formula>
    </cfRule>
    <cfRule type="expression" dxfId="546" priority="1302">
      <formula>T61="è"</formula>
    </cfRule>
  </conditionalFormatting>
  <conditionalFormatting sqref="T80">
    <cfRule type="expression" dxfId="545" priority="1294">
      <formula>T80="ì"</formula>
    </cfRule>
    <cfRule type="expression" dxfId="544" priority="1295">
      <formula>T80="î"</formula>
    </cfRule>
    <cfRule type="expression" dxfId="543" priority="1296">
      <formula>T80="è"</formula>
    </cfRule>
  </conditionalFormatting>
  <conditionalFormatting sqref="T97">
    <cfRule type="expression" dxfId="542" priority="1288">
      <formula>T97="ì"</formula>
    </cfRule>
    <cfRule type="expression" dxfId="541" priority="1289">
      <formula>T97="î"</formula>
    </cfRule>
    <cfRule type="expression" dxfId="540" priority="1290">
      <formula>T97="è"</formula>
    </cfRule>
  </conditionalFormatting>
  <conditionalFormatting sqref="T118">
    <cfRule type="expression" dxfId="539" priority="1282">
      <formula>T118="ì"</formula>
    </cfRule>
    <cfRule type="expression" dxfId="538" priority="1283">
      <formula>T118="î"</formula>
    </cfRule>
    <cfRule type="expression" dxfId="537" priority="1284">
      <formula>T118="è"</formula>
    </cfRule>
  </conditionalFormatting>
  <conditionalFormatting sqref="T36 X57 T57 X64:X73 T64:T73 X99:X100 T99:T100 T102:T104 X102:X104 T130:T137 X130:X137 X142:X159 T142:T159">
    <cfRule type="expression" dxfId="536" priority="1278">
      <formula>T36&gt;0</formula>
    </cfRule>
    <cfRule type="expression" dxfId="535" priority="1281">
      <formula>T36&lt;0</formula>
    </cfRule>
  </conditionalFormatting>
  <conditionalFormatting sqref="T53">
    <cfRule type="expression" dxfId="534" priority="1275">
      <formula>T53&gt;0</formula>
    </cfRule>
    <cfRule type="expression" dxfId="533" priority="1276">
      <formula>T53&lt;0</formula>
    </cfRule>
  </conditionalFormatting>
  <conditionalFormatting sqref="T111">
    <cfRule type="expression" dxfId="532" priority="1265">
      <formula>T111&gt;0</formula>
    </cfRule>
    <cfRule type="expression" dxfId="531" priority="1266">
      <formula>T111&lt;0</formula>
    </cfRule>
  </conditionalFormatting>
  <conditionalFormatting sqref="S125 W125 T37:T39 X37:X39">
    <cfRule type="expression" dxfId="530" priority="1251">
      <formula>S37&lt;0</formula>
    </cfRule>
    <cfRule type="expression" dxfId="529" priority="1252">
      <formula>S37&gt;0</formula>
    </cfRule>
  </conditionalFormatting>
  <conditionalFormatting sqref="S327">
    <cfRule type="expression" dxfId="528" priority="1243">
      <formula>S327&lt;0</formula>
    </cfRule>
    <cfRule type="expression" dxfId="527" priority="1244">
      <formula>S327&gt;0</formula>
    </cfRule>
  </conditionalFormatting>
  <conditionalFormatting sqref="X321">
    <cfRule type="expression" dxfId="526" priority="1240">
      <formula>X321="ì"</formula>
    </cfRule>
    <cfRule type="expression" dxfId="525" priority="1241">
      <formula>X321="î"</formula>
    </cfRule>
    <cfRule type="expression" dxfId="524" priority="1242">
      <formula>X321="è"</formula>
    </cfRule>
  </conditionalFormatting>
  <conditionalFormatting sqref="T321">
    <cfRule type="expression" dxfId="523" priority="1237">
      <formula>T321="ì"</formula>
    </cfRule>
    <cfRule type="expression" dxfId="522" priority="1238">
      <formula>T321="î"</formula>
    </cfRule>
    <cfRule type="expression" dxfId="521" priority="1239">
      <formula>T321="è"</formula>
    </cfRule>
  </conditionalFormatting>
  <conditionalFormatting sqref="W327">
    <cfRule type="expression" dxfId="520" priority="1221">
      <formula>W327&lt;0</formula>
    </cfRule>
    <cfRule type="expression" dxfId="519" priority="1222">
      <formula>W327&gt;0</formula>
    </cfRule>
  </conditionalFormatting>
  <conditionalFormatting sqref="W318:W319">
    <cfRule type="expression" dxfId="518" priority="941">
      <formula>W318&gt;0</formula>
    </cfRule>
    <cfRule type="expression" dxfId="517" priority="942">
      <formula>W318&lt;0</formula>
    </cfRule>
  </conditionalFormatting>
  <conditionalFormatting sqref="W320">
    <cfRule type="expression" dxfId="516" priority="943">
      <formula>W320&lt;0</formula>
    </cfRule>
    <cfRule type="expression" dxfId="515" priority="944">
      <formula>W320&gt;0</formula>
    </cfRule>
  </conditionalFormatting>
  <conditionalFormatting sqref="X318 T318">
    <cfRule type="expression" dxfId="514" priority="939">
      <formula>S318&gt;0</formula>
    </cfRule>
    <cfRule type="expression" dxfId="513" priority="940">
      <formula>S318&lt;0</formula>
    </cfRule>
  </conditionalFormatting>
  <conditionalFormatting sqref="X320 T320">
    <cfRule type="expression" dxfId="512" priority="937">
      <formula>S320&lt;0</formula>
    </cfRule>
    <cfRule type="expression" dxfId="511" priority="938">
      <formula>S320&gt;0</formula>
    </cfRule>
  </conditionalFormatting>
  <conditionalFormatting sqref="S320">
    <cfRule type="expression" dxfId="510" priority="935">
      <formula>S320&lt;0</formula>
    </cfRule>
    <cfRule type="expression" dxfId="509" priority="936">
      <formula>S320&gt;0</formula>
    </cfRule>
  </conditionalFormatting>
  <conditionalFormatting sqref="S318:S319">
    <cfRule type="expression" dxfId="508" priority="933">
      <formula>S318&gt;0</formula>
    </cfRule>
    <cfRule type="expression" dxfId="507" priority="934">
      <formula>S318&lt;0</formula>
    </cfRule>
  </conditionalFormatting>
  <conditionalFormatting sqref="T62">
    <cfRule type="expression" dxfId="506" priority="818">
      <formula>T62&gt;0</formula>
    </cfRule>
    <cfRule type="expression" dxfId="505" priority="819">
      <formula>T62&lt;0</formula>
    </cfRule>
  </conditionalFormatting>
  <conditionalFormatting sqref="T81">
    <cfRule type="expression" dxfId="504" priority="816">
      <formula>T81&gt;0</formula>
    </cfRule>
    <cfRule type="expression" dxfId="503" priority="817">
      <formula>T81&lt;0</formula>
    </cfRule>
  </conditionalFormatting>
  <conditionalFormatting sqref="T98">
    <cfRule type="expression" dxfId="502" priority="814">
      <formula>T98&gt;0</formula>
    </cfRule>
    <cfRule type="expression" dxfId="501" priority="815">
      <formula>T98&lt;0</formula>
    </cfRule>
  </conditionalFormatting>
  <conditionalFormatting sqref="T120">
    <cfRule type="expression" dxfId="500" priority="812">
      <formula>T120&gt;0</formula>
    </cfRule>
    <cfRule type="expression" dxfId="499" priority="813">
      <formula>T120&lt;0</formula>
    </cfRule>
  </conditionalFormatting>
  <conditionalFormatting sqref="X52">
    <cfRule type="expression" dxfId="498" priority="809">
      <formula>X52="ì"</formula>
    </cfRule>
    <cfRule type="expression" dxfId="497" priority="810">
      <formula>X52="î"</formula>
    </cfRule>
    <cfRule type="expression" dxfId="496" priority="811">
      <formula>X52="è"</formula>
    </cfRule>
  </conditionalFormatting>
  <conditionalFormatting sqref="X61">
    <cfRule type="expression" dxfId="495" priority="806">
      <formula>X61="ì"</formula>
    </cfRule>
    <cfRule type="expression" dxfId="494" priority="807">
      <formula>X61="î"</formula>
    </cfRule>
    <cfRule type="expression" dxfId="493" priority="808">
      <formula>X61="è"</formula>
    </cfRule>
  </conditionalFormatting>
  <conditionalFormatting sqref="X80">
    <cfRule type="expression" dxfId="492" priority="803">
      <formula>X80="ì"</formula>
    </cfRule>
    <cfRule type="expression" dxfId="491" priority="804">
      <formula>X80="î"</formula>
    </cfRule>
    <cfRule type="expression" dxfId="490" priority="805">
      <formula>X80="è"</formula>
    </cfRule>
  </conditionalFormatting>
  <conditionalFormatting sqref="X97">
    <cfRule type="expression" dxfId="489" priority="800">
      <formula>X97="ì"</formula>
    </cfRule>
    <cfRule type="expression" dxfId="488" priority="801">
      <formula>X97="î"</formula>
    </cfRule>
    <cfRule type="expression" dxfId="487" priority="802">
      <formula>X97="è"</formula>
    </cfRule>
  </conditionalFormatting>
  <conditionalFormatting sqref="X118">
    <cfRule type="expression" dxfId="486" priority="797">
      <formula>X118="ì"</formula>
    </cfRule>
    <cfRule type="expression" dxfId="485" priority="798">
      <formula>X118="î"</formula>
    </cfRule>
    <cfRule type="expression" dxfId="484" priority="799">
      <formula>X118="è"</formula>
    </cfRule>
  </conditionalFormatting>
  <conditionalFormatting sqref="X36">
    <cfRule type="expression" dxfId="483" priority="795">
      <formula>X36&gt;0</formula>
    </cfRule>
    <cfRule type="expression" dxfId="482" priority="796">
      <formula>X36&lt;0</formula>
    </cfRule>
  </conditionalFormatting>
  <conditionalFormatting sqref="X53">
    <cfRule type="expression" dxfId="481" priority="793">
      <formula>X53&gt;0</formula>
    </cfRule>
    <cfRule type="expression" dxfId="480" priority="794">
      <formula>X53&lt;0</formula>
    </cfRule>
  </conditionalFormatting>
  <conditionalFormatting sqref="X111">
    <cfRule type="expression" dxfId="479" priority="791">
      <formula>X111&gt;0</formula>
    </cfRule>
    <cfRule type="expression" dxfId="478" priority="792">
      <formula>X111&lt;0</formula>
    </cfRule>
  </conditionalFormatting>
  <conditionalFormatting sqref="X62">
    <cfRule type="expression" dxfId="477" priority="789">
      <formula>X62&gt;0</formula>
    </cfRule>
    <cfRule type="expression" dxfId="476" priority="790">
      <formula>X62&lt;0</formula>
    </cfRule>
  </conditionalFormatting>
  <conditionalFormatting sqref="X81">
    <cfRule type="expression" dxfId="475" priority="787">
      <formula>X81&gt;0</formula>
    </cfRule>
    <cfRule type="expression" dxfId="474" priority="788">
      <formula>X81&lt;0</formula>
    </cfRule>
  </conditionalFormatting>
  <conditionalFormatting sqref="X98">
    <cfRule type="expression" dxfId="473" priority="785">
      <formula>X98&gt;0</formula>
    </cfRule>
    <cfRule type="expression" dxfId="472" priority="786">
      <formula>X98&lt;0</formula>
    </cfRule>
  </conditionalFormatting>
  <conditionalFormatting sqref="X120">
    <cfRule type="expression" dxfId="471" priority="783">
      <formula>X120&gt;0</formula>
    </cfRule>
    <cfRule type="expression" dxfId="470" priority="784">
      <formula>X120&lt;0</formula>
    </cfRule>
  </conditionalFormatting>
  <conditionalFormatting sqref="T327">
    <cfRule type="expression" dxfId="469" priority="779">
      <formula>T327&gt;0</formula>
    </cfRule>
    <cfRule type="expression" dxfId="468" priority="780">
      <formula>T327&lt;0</formula>
    </cfRule>
  </conditionalFormatting>
  <conditionalFormatting sqref="X327">
    <cfRule type="expression" dxfId="467" priority="719">
      <formula>X327&gt;0</formula>
    </cfRule>
    <cfRule type="expression" dxfId="466" priority="720">
      <formula>X327&lt;0</formula>
    </cfRule>
  </conditionalFormatting>
  <conditionalFormatting sqref="L334 L336:N355 L335:M335 L357:N377 L356 L398 L420:N440 L419 L461 L483:N503 L482 L525 L547:N567 L546 N334">
    <cfRule type="expression" dxfId="465" priority="657" stopIfTrue="1">
      <formula>$O$330="Non défini"</formula>
    </cfRule>
    <cfRule type="expression" dxfId="464" priority="658" stopIfTrue="1">
      <formula>$O$332="Non défini"</formula>
    </cfRule>
    <cfRule type="expression" dxfId="463" priority="696" stopIfTrue="1">
      <formula>$O$332="Not defined"</formula>
    </cfRule>
    <cfRule type="expression" dxfId="462" priority="697" stopIfTrue="1">
      <formula>$O$330="Not defined"</formula>
    </cfRule>
  </conditionalFormatting>
  <conditionalFormatting sqref="L397:N397">
    <cfRule type="expression" dxfId="461" priority="655" stopIfTrue="1">
      <formula>$O$393="Non défini"</formula>
    </cfRule>
    <cfRule type="expression" dxfId="460" priority="656" stopIfTrue="1">
      <formula>$O$395="Non défini"</formula>
    </cfRule>
    <cfRule type="expression" dxfId="459" priority="694" stopIfTrue="1">
      <formula>$O$393="Not defined"</formula>
    </cfRule>
    <cfRule type="expression" dxfId="458" priority="695" stopIfTrue="1">
      <formula>$O$395="Not defined"</formula>
    </cfRule>
  </conditionalFormatting>
  <conditionalFormatting sqref="L460:N460">
    <cfRule type="expression" dxfId="457" priority="653" stopIfTrue="1">
      <formula>$O$456="Non défini"</formula>
    </cfRule>
    <cfRule type="expression" dxfId="456" priority="654" stopIfTrue="1">
      <formula>$O$458="Non défini"</formula>
    </cfRule>
    <cfRule type="expression" dxfId="455" priority="692" stopIfTrue="1">
      <formula>$O$456="Not defined"</formula>
    </cfRule>
    <cfRule type="expression" dxfId="454" priority="693" stopIfTrue="1">
      <formula>$O$458="Not defined"</formula>
    </cfRule>
  </conditionalFormatting>
  <conditionalFormatting sqref="L524:N524">
    <cfRule type="expression" dxfId="453" priority="651" stopIfTrue="1">
      <formula>$O$520="Non défini"</formula>
    </cfRule>
    <cfRule type="expression" dxfId="452" priority="652" stopIfTrue="1">
      <formula>$O$522="Non défini"</formula>
    </cfRule>
    <cfRule type="expression" dxfId="451" priority="690" stopIfTrue="1">
      <formula>$O$520="Not defined"</formula>
    </cfRule>
    <cfRule type="expression" dxfId="450" priority="691" stopIfTrue="1">
      <formula>$O$522="Not defined"</formula>
    </cfRule>
  </conditionalFormatting>
  <conditionalFormatting sqref="L587:N587">
    <cfRule type="expression" dxfId="449" priority="649" stopIfTrue="1">
      <formula>$O$585="Non défini"</formula>
    </cfRule>
    <cfRule type="expression" dxfId="448" priority="650" stopIfTrue="1">
      <formula>$O$583="Non défini"</formula>
    </cfRule>
    <cfRule type="expression" dxfId="447" priority="684" stopIfTrue="1">
      <formula>$O$583="Not defined"</formula>
    </cfRule>
    <cfRule type="expression" dxfId="446" priority="685" stopIfTrue="1">
      <formula>$O$585="Not defined"</formula>
    </cfRule>
  </conditionalFormatting>
  <conditionalFormatting sqref="O326">
    <cfRule type="expression" dxfId="445" priority="673">
      <formula>T326&lt;&gt;0</formula>
    </cfRule>
  </conditionalFormatting>
  <conditionalFormatting sqref="Q318:T320 V318:X320 Q330:T333 V330:X333 AB330:AD333 AF318:AH320 AJ318:AL320 AN318:AP320 AR318:AT320 AV318:AX320 AZ318:BB320 BD318:BF320 BH318:BJ320 BL318:BN320 BP318:BR320 BT318:BV320 AF330:AH333 AJ330:AL333 AN330:AP333 AR330:AT333 AV330:AX333 AZ330:BB333 BD330:BF333 BH330:BJ333 BL330:BN333 BP330:BR333 BT330:BV333">
    <cfRule type="expression" dxfId="444" priority="667" stopIfTrue="1">
      <formula>$O$330="Non défini"</formula>
    </cfRule>
    <cfRule type="expression" dxfId="443" priority="668" stopIfTrue="1">
      <formula>$O$332="Non défini"</formula>
    </cfRule>
    <cfRule type="expression" dxfId="442" priority="682" stopIfTrue="1">
      <formula>$O$332="Not defined"</formula>
    </cfRule>
    <cfRule type="expression" dxfId="441" priority="683" stopIfTrue="1">
      <formula>$O$330="Not defined"</formula>
    </cfRule>
  </conditionalFormatting>
  <conditionalFormatting sqref="S390">
    <cfRule type="expression" dxfId="440" priority="609">
      <formula>S390&lt;0</formula>
    </cfRule>
    <cfRule type="expression" dxfId="439" priority="610">
      <formula>S390&gt;0</formula>
    </cfRule>
  </conditionalFormatting>
  <conditionalFormatting sqref="X384">
    <cfRule type="expression" dxfId="438" priority="606">
      <formula>X384="ì"</formula>
    </cfRule>
    <cfRule type="expression" dxfId="437" priority="607">
      <formula>X384="î"</formula>
    </cfRule>
    <cfRule type="expression" dxfId="436" priority="608">
      <formula>X384="è"</formula>
    </cfRule>
  </conditionalFormatting>
  <conditionalFormatting sqref="T384">
    <cfRule type="expression" dxfId="435" priority="603">
      <formula>T384="ì"</formula>
    </cfRule>
    <cfRule type="expression" dxfId="434" priority="604">
      <formula>T384="î"</formula>
    </cfRule>
    <cfRule type="expression" dxfId="433" priority="605">
      <formula>T384="è"</formula>
    </cfRule>
  </conditionalFormatting>
  <conditionalFormatting sqref="W390">
    <cfRule type="expression" dxfId="432" priority="596">
      <formula>W390&lt;0</formula>
    </cfRule>
    <cfRule type="expression" dxfId="431" priority="597">
      <formula>W390&gt;0</formula>
    </cfRule>
  </conditionalFormatting>
  <conditionalFormatting sqref="W381:W382">
    <cfRule type="expression" dxfId="430" priority="590">
      <formula>W381&gt;0</formula>
    </cfRule>
    <cfRule type="expression" dxfId="429" priority="591">
      <formula>W381&lt;0</formula>
    </cfRule>
  </conditionalFormatting>
  <conditionalFormatting sqref="W383">
    <cfRule type="expression" dxfId="428" priority="592">
      <formula>W383&lt;0</formula>
    </cfRule>
    <cfRule type="expression" dxfId="427" priority="593">
      <formula>W383&gt;0</formula>
    </cfRule>
  </conditionalFormatting>
  <conditionalFormatting sqref="X381 T381">
    <cfRule type="expression" dxfId="426" priority="588">
      <formula>S381&gt;0</formula>
    </cfRule>
    <cfRule type="expression" dxfId="425" priority="589">
      <formula>S381&lt;0</formula>
    </cfRule>
  </conditionalFormatting>
  <conditionalFormatting sqref="X383 T383">
    <cfRule type="expression" dxfId="424" priority="586">
      <formula>S383&lt;0</formula>
    </cfRule>
    <cfRule type="expression" dxfId="423" priority="587">
      <formula>S383&gt;0</formula>
    </cfRule>
  </conditionalFormatting>
  <conditionalFormatting sqref="S383">
    <cfRule type="expression" dxfId="422" priority="584">
      <formula>S383&lt;0</formula>
    </cfRule>
    <cfRule type="expression" dxfId="421" priority="585">
      <formula>S383&gt;0</formula>
    </cfRule>
  </conditionalFormatting>
  <conditionalFormatting sqref="S381:S382">
    <cfRule type="expression" dxfId="420" priority="582">
      <formula>S381&gt;0</formula>
    </cfRule>
    <cfRule type="expression" dxfId="419" priority="583">
      <formula>S381&lt;0</formula>
    </cfRule>
  </conditionalFormatting>
  <conditionalFormatting sqref="T390">
    <cfRule type="expression" dxfId="418" priority="578">
      <formula>T390&gt;0</formula>
    </cfRule>
    <cfRule type="expression" dxfId="417" priority="579">
      <formula>T390&lt;0</formula>
    </cfRule>
  </conditionalFormatting>
  <conditionalFormatting sqref="X390">
    <cfRule type="expression" dxfId="416" priority="572">
      <formula>X390&gt;0</formula>
    </cfRule>
    <cfRule type="expression" dxfId="415" priority="573">
      <formula>X390&lt;0</formula>
    </cfRule>
  </conditionalFormatting>
  <conditionalFormatting sqref="Q381:T383 V381:X383 Q393:T396 V393:X396 AB393:AD396 AF381:AH383 AJ381:AL383 AN381:AP383 AR381:AT383 AV381:AX383 AZ381:BB383 BD381:BF383 BH381:BJ383 BL381:BN383 BP381:BR383 BT381:BV383 AF393:AH396 AJ393:AL396 AN393:AP396 AR393:AT396 AV393:AX396 AZ393:BB396 BD393:BF396 BH393:BJ396 BL393:BN396 BP393:BR396 BT393:BV396">
    <cfRule type="expression" dxfId="414" priority="567" stopIfTrue="1">
      <formula>$O$393="Non défini"</formula>
    </cfRule>
    <cfRule type="expression" dxfId="413" priority="568" stopIfTrue="1">
      <formula>$O$395="Non défini"</formula>
    </cfRule>
    <cfRule type="expression" dxfId="412" priority="570" stopIfTrue="1">
      <formula>$O$395="Not defined"</formula>
    </cfRule>
    <cfRule type="expression" dxfId="411" priority="571" stopIfTrue="1">
      <formula>$O$393="Not defined"</formula>
    </cfRule>
  </conditionalFormatting>
  <conditionalFormatting sqref="S448:S449">
    <cfRule type="expression" dxfId="410" priority="560">
      <formula>S448&lt;0</formula>
    </cfRule>
    <cfRule type="expression" dxfId="409" priority="561">
      <formula>S448&gt;0</formula>
    </cfRule>
  </conditionalFormatting>
  <conditionalFormatting sqref="S453">
    <cfRule type="expression" dxfId="408" priority="558">
      <formula>S453&lt;0</formula>
    </cfRule>
    <cfRule type="expression" dxfId="407" priority="559">
      <formula>S453&gt;0</formula>
    </cfRule>
  </conditionalFormatting>
  <conditionalFormatting sqref="X447">
    <cfRule type="expression" dxfId="406" priority="555">
      <formula>X447="ì"</formula>
    </cfRule>
    <cfRule type="expression" dxfId="405" priority="556">
      <formula>X447="î"</formula>
    </cfRule>
    <cfRule type="expression" dxfId="404" priority="557">
      <formula>X447="è"</formula>
    </cfRule>
  </conditionalFormatting>
  <conditionalFormatting sqref="T447">
    <cfRule type="expression" dxfId="403" priority="552">
      <formula>T447="ì"</formula>
    </cfRule>
    <cfRule type="expression" dxfId="402" priority="553">
      <formula>T447="î"</formula>
    </cfRule>
    <cfRule type="expression" dxfId="401" priority="554">
      <formula>T447="è"</formula>
    </cfRule>
  </conditionalFormatting>
  <conditionalFormatting sqref="W448:W450">
    <cfRule type="expression" dxfId="400" priority="549">
      <formula>W448&lt;0</formula>
    </cfRule>
    <cfRule type="expression" dxfId="399" priority="550">
      <formula>W448&gt;0</formula>
    </cfRule>
  </conditionalFormatting>
  <conditionalFormatting sqref="X448:X450">
    <cfRule type="expression" dxfId="398" priority="547">
      <formula>X448&lt;0</formula>
    </cfRule>
    <cfRule type="expression" dxfId="397" priority="548">
      <formula>X448&gt;0</formula>
    </cfRule>
  </conditionalFormatting>
  <conditionalFormatting sqref="W453">
    <cfRule type="expression" dxfId="396" priority="545">
      <formula>W453&lt;0</formula>
    </cfRule>
    <cfRule type="expression" dxfId="395" priority="546">
      <formula>W453&gt;0</formula>
    </cfRule>
  </conditionalFormatting>
  <conditionalFormatting sqref="S450">
    <cfRule type="expression" dxfId="394" priority="543">
      <formula>S450&lt;0</formula>
    </cfRule>
    <cfRule type="expression" dxfId="393" priority="544">
      <formula>S450&gt;0</formula>
    </cfRule>
  </conditionalFormatting>
  <conditionalFormatting sqref="W444:W445">
    <cfRule type="expression" dxfId="392" priority="539">
      <formula>W444&gt;0</formula>
    </cfRule>
    <cfRule type="expression" dxfId="391" priority="540">
      <formula>W444&lt;0</formula>
    </cfRule>
  </conditionalFormatting>
  <conditionalFormatting sqref="W446">
    <cfRule type="expression" dxfId="390" priority="541">
      <formula>W446&lt;0</formula>
    </cfRule>
    <cfRule type="expression" dxfId="389" priority="542">
      <formula>W446&gt;0</formula>
    </cfRule>
  </conditionalFormatting>
  <conditionalFormatting sqref="X444 T444">
    <cfRule type="expression" dxfId="388" priority="537">
      <formula>S444&gt;0</formula>
    </cfRule>
    <cfRule type="expression" dxfId="387" priority="538">
      <formula>S444&lt;0</formula>
    </cfRule>
  </conditionalFormatting>
  <conditionalFormatting sqref="X446 T446">
    <cfRule type="expression" dxfId="386" priority="535">
      <formula>S446&lt;0</formula>
    </cfRule>
    <cfRule type="expression" dxfId="385" priority="536">
      <formula>S446&gt;0</formula>
    </cfRule>
  </conditionalFormatting>
  <conditionalFormatting sqref="S446">
    <cfRule type="expression" dxfId="384" priority="533">
      <formula>S446&lt;0</formula>
    </cfRule>
    <cfRule type="expression" dxfId="383" priority="534">
      <formula>S446&gt;0</formula>
    </cfRule>
  </conditionalFormatting>
  <conditionalFormatting sqref="S444:S445">
    <cfRule type="expression" dxfId="382" priority="531">
      <formula>S444&gt;0</formula>
    </cfRule>
    <cfRule type="expression" dxfId="381" priority="532">
      <formula>S444&lt;0</formula>
    </cfRule>
  </conditionalFormatting>
  <conditionalFormatting sqref="T448">
    <cfRule type="expression" dxfId="380" priority="529">
      <formula>T448&lt;0</formula>
    </cfRule>
    <cfRule type="expression" dxfId="379" priority="530">
      <formula>T448&gt;0</formula>
    </cfRule>
  </conditionalFormatting>
  <conditionalFormatting sqref="T453">
    <cfRule type="expression" dxfId="378" priority="527">
      <formula>T453&gt;0</formula>
    </cfRule>
    <cfRule type="expression" dxfId="377" priority="528">
      <formula>T453&lt;0</formula>
    </cfRule>
  </conditionalFormatting>
  <conditionalFormatting sqref="T449">
    <cfRule type="expression" dxfId="376" priority="525">
      <formula>T449&lt;0</formula>
    </cfRule>
    <cfRule type="expression" dxfId="375" priority="526">
      <formula>T449&gt;0</formula>
    </cfRule>
  </conditionalFormatting>
  <conditionalFormatting sqref="T450">
    <cfRule type="expression" dxfId="374" priority="523">
      <formula>T450&lt;0</formula>
    </cfRule>
    <cfRule type="expression" dxfId="373" priority="524">
      <formula>T450&gt;0</formula>
    </cfRule>
  </conditionalFormatting>
  <conditionalFormatting sqref="X453">
    <cfRule type="expression" dxfId="372" priority="521">
      <formula>X453&gt;0</formula>
    </cfRule>
    <cfRule type="expression" dxfId="371" priority="522">
      <formula>S151W0</formula>
    </cfRule>
  </conditionalFormatting>
  <conditionalFormatting sqref="Q444:T446 V444:X446 Q456:T459 V456:X459 S448:T452 W448:X452 AB456:AD459 AF444:AH446 AJ444:AL446 AN444:AP446 AR444:AT446 AV444:AX446 AZ444:BB446 BD444:BF446 BH444:BJ446 BL444:BN446 BP444:BR446 BT444:BV446 AF456:AH459 AJ456:AL459 AN456:AP459 AR456:AT459 AV456:AX459 AZ456:BB459 BD456:BF459 BH456:BJ459 BL456:BN459 BP456:BR459 BT456:BV459 W385:X389 W322:X326">
    <cfRule type="expression" dxfId="370" priority="516" stopIfTrue="1">
      <formula>$O$456="Non défini"</formula>
    </cfRule>
    <cfRule type="expression" dxfId="369" priority="517" stopIfTrue="1">
      <formula>$O$458="Non défini"</formula>
    </cfRule>
    <cfRule type="expression" dxfId="368" priority="519" stopIfTrue="1">
      <formula>$O$458="Not defined"</formula>
    </cfRule>
    <cfRule type="expression" dxfId="367" priority="520" stopIfTrue="1">
      <formula>$O$456="Not defined"</formula>
    </cfRule>
  </conditionalFormatting>
  <conditionalFormatting sqref="S512:S513">
    <cfRule type="expression" dxfId="366" priority="509">
      <formula>S512&lt;0</formula>
    </cfRule>
    <cfRule type="expression" dxfId="365" priority="510">
      <formula>S512&gt;0</formula>
    </cfRule>
  </conditionalFormatting>
  <conditionalFormatting sqref="S517">
    <cfRule type="expression" dxfId="364" priority="507">
      <formula>S517&lt;0</formula>
    </cfRule>
    <cfRule type="expression" dxfId="363" priority="508">
      <formula>S517&gt;0</formula>
    </cfRule>
  </conditionalFormatting>
  <conditionalFormatting sqref="X511">
    <cfRule type="expression" dxfId="362" priority="504">
      <formula>X511="ì"</formula>
    </cfRule>
    <cfRule type="expression" dxfId="361" priority="505">
      <formula>X511="î"</formula>
    </cfRule>
    <cfRule type="expression" dxfId="360" priority="506">
      <formula>X511="è"</formula>
    </cfRule>
  </conditionalFormatting>
  <conditionalFormatting sqref="T511">
    <cfRule type="expression" dxfId="359" priority="501">
      <formula>T511="ì"</formula>
    </cfRule>
    <cfRule type="expression" dxfId="358" priority="502">
      <formula>T511="î"</formula>
    </cfRule>
    <cfRule type="expression" dxfId="357" priority="503">
      <formula>T511="è"</formula>
    </cfRule>
  </conditionalFormatting>
  <conditionalFormatting sqref="W512:W514">
    <cfRule type="expression" dxfId="356" priority="498">
      <formula>W512&lt;0</formula>
    </cfRule>
    <cfRule type="expression" dxfId="355" priority="499">
      <formula>W512&gt;0</formula>
    </cfRule>
  </conditionalFormatting>
  <conditionalFormatting sqref="X512:X514">
    <cfRule type="expression" dxfId="354" priority="496">
      <formula>X512&lt;0</formula>
    </cfRule>
    <cfRule type="expression" dxfId="353" priority="497">
      <formula>X512&gt;0</formula>
    </cfRule>
  </conditionalFormatting>
  <conditionalFormatting sqref="W517">
    <cfRule type="expression" dxfId="352" priority="494">
      <formula>W517&lt;0</formula>
    </cfRule>
    <cfRule type="expression" dxfId="351" priority="495">
      <formula>W517&gt;0</formula>
    </cfRule>
  </conditionalFormatting>
  <conditionalFormatting sqref="S514">
    <cfRule type="expression" dxfId="350" priority="492">
      <formula>S514&lt;0</formula>
    </cfRule>
    <cfRule type="expression" dxfId="349" priority="493">
      <formula>S514&gt;0</formula>
    </cfRule>
  </conditionalFormatting>
  <conditionalFormatting sqref="W507:W508">
    <cfRule type="expression" dxfId="348" priority="488">
      <formula>W507&gt;0</formula>
    </cfRule>
    <cfRule type="expression" dxfId="347" priority="489">
      <formula>W507&lt;0</formula>
    </cfRule>
  </conditionalFormatting>
  <conditionalFormatting sqref="W510">
    <cfRule type="expression" dxfId="346" priority="490">
      <formula>W510&lt;0</formula>
    </cfRule>
    <cfRule type="expression" dxfId="345" priority="491">
      <formula>W510&gt;0</formula>
    </cfRule>
  </conditionalFormatting>
  <conditionalFormatting sqref="X507 T507">
    <cfRule type="expression" dxfId="344" priority="486">
      <formula>S507&gt;0</formula>
    </cfRule>
    <cfRule type="expression" dxfId="343" priority="487">
      <formula>S507&lt;0</formula>
    </cfRule>
  </conditionalFormatting>
  <conditionalFormatting sqref="X510 T510">
    <cfRule type="expression" dxfId="342" priority="484">
      <formula>S510&lt;0</formula>
    </cfRule>
    <cfRule type="expression" dxfId="341" priority="485">
      <formula>S510&gt;0</formula>
    </cfRule>
  </conditionalFormatting>
  <conditionalFormatting sqref="S510">
    <cfRule type="expression" dxfId="340" priority="482">
      <formula>S510&lt;0</formula>
    </cfRule>
    <cfRule type="expression" dxfId="339" priority="483">
      <formula>S510&gt;0</formula>
    </cfRule>
  </conditionalFormatting>
  <conditionalFormatting sqref="S507:S508">
    <cfRule type="expression" dxfId="338" priority="480">
      <formula>S507&gt;0</formula>
    </cfRule>
    <cfRule type="expression" dxfId="337" priority="481">
      <formula>S507&lt;0</formula>
    </cfRule>
  </conditionalFormatting>
  <conditionalFormatting sqref="T512">
    <cfRule type="expression" dxfId="336" priority="478">
      <formula>T512&lt;0</formula>
    </cfRule>
    <cfRule type="expression" dxfId="335" priority="479">
      <formula>T512&gt;0</formula>
    </cfRule>
  </conditionalFormatting>
  <conditionalFormatting sqref="T517">
    <cfRule type="expression" dxfId="334" priority="476">
      <formula>T517&gt;0</formula>
    </cfRule>
    <cfRule type="expression" dxfId="333" priority="477">
      <formula>T517&lt;0</formula>
    </cfRule>
  </conditionalFormatting>
  <conditionalFormatting sqref="T513">
    <cfRule type="expression" dxfId="332" priority="474">
      <formula>T513&lt;0</formula>
    </cfRule>
    <cfRule type="expression" dxfId="331" priority="475">
      <formula>T513&gt;0</formula>
    </cfRule>
  </conditionalFormatting>
  <conditionalFormatting sqref="T514">
    <cfRule type="expression" dxfId="330" priority="472">
      <formula>T514&lt;0</formula>
    </cfRule>
    <cfRule type="expression" dxfId="329" priority="473">
      <formula>T514&gt;0</formula>
    </cfRule>
  </conditionalFormatting>
  <conditionalFormatting sqref="X517">
    <cfRule type="expression" dxfId="328" priority="470">
      <formula>X517&gt;0</formula>
    </cfRule>
    <cfRule type="expression" dxfId="327" priority="471">
      <formula>X517&lt;0</formula>
    </cfRule>
  </conditionalFormatting>
  <conditionalFormatting sqref="Q520:T523 V520:X523 S512:T516 W512:X516 AB520:AD523 AF507:AH510 AJ507:AL510 AN507:AP510 AR507:AT510 AV507:AX510 AZ507:BB510 BD507:BF510 BH507:BJ510 BL507:BN510 BP507:BR510 BT507:BV510 AF520:AH523 AJ520:AL523 AN520:AP523 AR520:AT523 AV520:AX523 AZ520:BB523 BD520:BF523 BH520:BJ523 BL520:BN523 BP520:BR523 BT520:BV523 Q507:T508 V507:X508 Q510:T510 Q509:R509 T509 V510:X510 V509 X509">
    <cfRule type="expression" dxfId="326" priority="465" stopIfTrue="1">
      <formula>$O$520="Non défini"</formula>
    </cfRule>
    <cfRule type="expression" dxfId="325" priority="466" stopIfTrue="1">
      <formula>$O$522="Non défini"</formula>
    </cfRule>
    <cfRule type="expression" dxfId="324" priority="468" stopIfTrue="1">
      <formula>$O$522="Not defined"</formula>
    </cfRule>
    <cfRule type="expression" dxfId="323" priority="469" stopIfTrue="1">
      <formula>$O$520="Not defined"</formula>
    </cfRule>
  </conditionalFormatting>
  <conditionalFormatting sqref="S575:S576">
    <cfRule type="expression" dxfId="322" priority="458">
      <formula>S575&lt;0</formula>
    </cfRule>
    <cfRule type="expression" dxfId="321" priority="459">
      <formula>S575&gt;0</formula>
    </cfRule>
  </conditionalFormatting>
  <conditionalFormatting sqref="S580">
    <cfRule type="expression" dxfId="320" priority="456">
      <formula>S580&lt;0</formula>
    </cfRule>
    <cfRule type="expression" dxfId="319" priority="457">
      <formula>S580&gt;0</formula>
    </cfRule>
  </conditionalFormatting>
  <conditionalFormatting sqref="X574">
    <cfRule type="expression" dxfId="318" priority="453">
      <formula>X574="ì"</formula>
    </cfRule>
    <cfRule type="expression" dxfId="317" priority="454">
      <formula>X574="î"</formula>
    </cfRule>
    <cfRule type="expression" dxfId="316" priority="455">
      <formula>X574="è"</formula>
    </cfRule>
  </conditionalFormatting>
  <conditionalFormatting sqref="T574">
    <cfRule type="expression" dxfId="315" priority="450">
      <formula>T574="ì"</formula>
    </cfRule>
    <cfRule type="expression" dxfId="314" priority="451">
      <formula>T574="î"</formula>
    </cfRule>
    <cfRule type="expression" dxfId="313" priority="452">
      <formula>T574="è"</formula>
    </cfRule>
  </conditionalFormatting>
  <conditionalFormatting sqref="W575:W577">
    <cfRule type="expression" dxfId="312" priority="447">
      <formula>W575&lt;0</formula>
    </cfRule>
    <cfRule type="expression" dxfId="311" priority="448">
      <formula>W575&gt;0</formula>
    </cfRule>
  </conditionalFormatting>
  <conditionalFormatting sqref="X575:X577">
    <cfRule type="expression" dxfId="310" priority="445">
      <formula>X575&lt;0</formula>
    </cfRule>
    <cfRule type="expression" dxfId="309" priority="446">
      <formula>X575&gt;0</formula>
    </cfRule>
  </conditionalFormatting>
  <conditionalFormatting sqref="W580">
    <cfRule type="expression" dxfId="308" priority="443">
      <formula>W580&lt;0</formula>
    </cfRule>
    <cfRule type="expression" dxfId="307" priority="444">
      <formula>W580&gt;0</formula>
    </cfRule>
  </conditionalFormatting>
  <conditionalFormatting sqref="S577">
    <cfRule type="expression" dxfId="306" priority="441">
      <formula>S577&lt;0</formula>
    </cfRule>
    <cfRule type="expression" dxfId="305" priority="442">
      <formula>S577&gt;0</formula>
    </cfRule>
  </conditionalFormatting>
  <conditionalFormatting sqref="W571:W572">
    <cfRule type="expression" dxfId="304" priority="437">
      <formula>W571&gt;0</formula>
    </cfRule>
    <cfRule type="expression" dxfId="303" priority="438">
      <formula>W571&lt;0</formula>
    </cfRule>
  </conditionalFormatting>
  <conditionalFormatting sqref="W573">
    <cfRule type="expression" dxfId="302" priority="439">
      <formula>W573&lt;0</formula>
    </cfRule>
    <cfRule type="expression" dxfId="301" priority="440">
      <formula>W573&gt;0</formula>
    </cfRule>
  </conditionalFormatting>
  <conditionalFormatting sqref="X571 T571">
    <cfRule type="expression" dxfId="300" priority="435">
      <formula>S571&gt;0</formula>
    </cfRule>
    <cfRule type="expression" dxfId="299" priority="436">
      <formula>S571&lt;0</formula>
    </cfRule>
  </conditionalFormatting>
  <conditionalFormatting sqref="X573 T573">
    <cfRule type="expression" dxfId="298" priority="433">
      <formula>S573&lt;0</formula>
    </cfRule>
    <cfRule type="expression" dxfId="297" priority="434">
      <formula>S573&gt;0</formula>
    </cfRule>
  </conditionalFormatting>
  <conditionalFormatting sqref="S573">
    <cfRule type="expression" dxfId="296" priority="431">
      <formula>S573&lt;0</formula>
    </cfRule>
    <cfRule type="expression" dxfId="295" priority="432">
      <formula>S573&gt;0</formula>
    </cfRule>
  </conditionalFormatting>
  <conditionalFormatting sqref="S571:S572">
    <cfRule type="expression" dxfId="294" priority="429">
      <formula>S571&gt;0</formula>
    </cfRule>
    <cfRule type="expression" dxfId="293" priority="430">
      <formula>S571&lt;0</formula>
    </cfRule>
  </conditionalFormatting>
  <conditionalFormatting sqref="T575">
    <cfRule type="expression" dxfId="292" priority="427">
      <formula>T575&lt;0</formula>
    </cfRule>
    <cfRule type="expression" dxfId="291" priority="428">
      <formula>T575&gt;0</formula>
    </cfRule>
  </conditionalFormatting>
  <conditionalFormatting sqref="T580">
    <cfRule type="expression" dxfId="290" priority="425">
      <formula>T580&gt;0</formula>
    </cfRule>
    <cfRule type="expression" dxfId="289" priority="426">
      <formula>T580&lt;0</formula>
    </cfRule>
  </conditionalFormatting>
  <conditionalFormatting sqref="T576">
    <cfRule type="expression" dxfId="288" priority="423">
      <formula>T576&lt;0</formula>
    </cfRule>
    <cfRule type="expression" dxfId="287" priority="424">
      <formula>T576&gt;0</formula>
    </cfRule>
  </conditionalFormatting>
  <conditionalFormatting sqref="T577">
    <cfRule type="expression" dxfId="286" priority="421">
      <formula>T577&lt;0</formula>
    </cfRule>
    <cfRule type="expression" dxfId="285" priority="422">
      <formula>T577&gt;0</formula>
    </cfRule>
  </conditionalFormatting>
  <conditionalFormatting sqref="X580">
    <cfRule type="expression" dxfId="284" priority="419">
      <formula>X580&gt;0</formula>
    </cfRule>
    <cfRule type="expression" dxfId="283" priority="420">
      <formula>X580&lt;0</formula>
    </cfRule>
  </conditionalFormatting>
  <conditionalFormatting sqref="Q571:T573 V571:X573 Q583:T586 V583:X586 S575:T579 W575:X579 AB583:AD586 AF571:AH573 AJ571:AL573 AN571:AP573 AR571:AT573 AV571:AX573 AZ571:BB573 BD571:BF573 BH571:BJ573 BL571:BN573 BP571:BR573 BT571:BV573 AF583:AH586 AJ583:AL586 AN583:AP586 AR583:AT586 AV583:AX586 AZ583:BB586 BD583:BF586 BH583:BJ586 BL583:BN586 BP583:BR586 BT583:BV586">
    <cfRule type="expression" dxfId="282" priority="414" stopIfTrue="1">
      <formula>$O$583="Non défini"</formula>
    </cfRule>
    <cfRule type="expression" dxfId="281" priority="415" stopIfTrue="1">
      <formula>$O$585="Non défini"</formula>
    </cfRule>
    <cfRule type="expression" dxfId="280" priority="417" stopIfTrue="1">
      <formula>$O$585="Not defined"</formula>
    </cfRule>
    <cfRule type="expression" dxfId="279" priority="418" stopIfTrue="1">
      <formula>$O$583="Not defined"</formula>
    </cfRule>
  </conditionalFormatting>
  <conditionalFormatting sqref="T124">
    <cfRule type="expression" dxfId="278" priority="383">
      <formula>T124&gt;0</formula>
    </cfRule>
    <cfRule type="expression" dxfId="277" priority="384">
      <formula>T124&lt;0</formula>
    </cfRule>
  </conditionalFormatting>
  <conditionalFormatting sqref="X124">
    <cfRule type="expression" dxfId="276" priority="377">
      <formula>X124&gt;0</formula>
    </cfRule>
    <cfRule type="expression" dxfId="275" priority="378">
      <formula>X124&lt;0</formula>
    </cfRule>
  </conditionalFormatting>
  <conditionalFormatting sqref="S317">
    <cfRule type="expression" dxfId="274" priority="2031">
      <formula>T317=0</formula>
    </cfRule>
    <cfRule type="expression" dxfId="273" priority="2032">
      <formula>T317&gt;0</formula>
    </cfRule>
    <cfRule type="expression" dxfId="272" priority="2033">
      <formula>T317&lt;0</formula>
    </cfRule>
  </conditionalFormatting>
  <conditionalFormatting sqref="W317">
    <cfRule type="expression" dxfId="271" priority="2034">
      <formula>X317=0</formula>
    </cfRule>
    <cfRule type="expression" dxfId="270" priority="2035">
      <formula>X317&gt;0</formula>
    </cfRule>
    <cfRule type="expression" dxfId="269" priority="2036">
      <formula>X317&lt;0</formula>
    </cfRule>
  </conditionalFormatting>
  <conditionalFormatting sqref="S380">
    <cfRule type="expression" dxfId="268" priority="2037">
      <formula>T380=0</formula>
    </cfRule>
    <cfRule type="expression" dxfId="267" priority="2038">
      <formula>T380&gt;0</formula>
    </cfRule>
    <cfRule type="expression" dxfId="266" priority="2039">
      <formula>T380&lt;0</formula>
    </cfRule>
  </conditionalFormatting>
  <conditionalFormatting sqref="W380">
    <cfRule type="expression" dxfId="265" priority="2040">
      <formula>X380=0</formula>
    </cfRule>
    <cfRule type="expression" dxfId="264" priority="2041">
      <formula>X380&lt;0</formula>
    </cfRule>
    <cfRule type="expression" dxfId="263" priority="2042">
      <formula>X380&gt;0</formula>
    </cfRule>
  </conditionalFormatting>
  <conditionalFormatting sqref="S443">
    <cfRule type="expression" dxfId="262" priority="2043">
      <formula>T443=0</formula>
    </cfRule>
    <cfRule type="expression" dxfId="261" priority="2044">
      <formula>T443&gt;0</formula>
    </cfRule>
    <cfRule type="expression" dxfId="260" priority="2045">
      <formula>T443&lt;0</formula>
    </cfRule>
  </conditionalFormatting>
  <conditionalFormatting sqref="W443">
    <cfRule type="expression" dxfId="259" priority="2046">
      <formula>X443=0</formula>
    </cfRule>
    <cfRule type="expression" dxfId="258" priority="2047">
      <formula>X443&lt;0</formula>
    </cfRule>
    <cfRule type="expression" dxfId="257" priority="2048">
      <formula>X443&gt;0</formula>
    </cfRule>
  </conditionalFormatting>
  <conditionalFormatting sqref="S506">
    <cfRule type="expression" dxfId="256" priority="2049">
      <formula>T506=0</formula>
    </cfRule>
    <cfRule type="expression" dxfId="255" priority="2050">
      <formula>T506&gt;0</formula>
    </cfRule>
    <cfRule type="expression" dxfId="254" priority="2051">
      <formula>T506&lt;0</formula>
    </cfRule>
  </conditionalFormatting>
  <conditionalFormatting sqref="W506">
    <cfRule type="expression" dxfId="253" priority="2052">
      <formula>X506=0</formula>
    </cfRule>
    <cfRule type="expression" dxfId="252" priority="2053">
      <formula>X506&lt;0</formula>
    </cfRule>
    <cfRule type="expression" dxfId="251" priority="2054">
      <formula>X506&gt;0</formula>
    </cfRule>
  </conditionalFormatting>
  <conditionalFormatting sqref="S570">
    <cfRule type="expression" dxfId="250" priority="2055">
      <formula>T570=0</formula>
    </cfRule>
    <cfRule type="expression" dxfId="249" priority="2056">
      <formula>T570&gt;0</formula>
    </cfRule>
    <cfRule type="expression" dxfId="248" priority="2057">
      <formula>T570&lt;0</formula>
    </cfRule>
  </conditionalFormatting>
  <conditionalFormatting sqref="W570">
    <cfRule type="expression" dxfId="247" priority="2058">
      <formula>X570=0</formula>
    </cfRule>
    <cfRule type="expression" dxfId="246" priority="2059">
      <formula>X570&lt;0</formula>
    </cfRule>
    <cfRule type="expression" dxfId="245" priority="2060">
      <formula>X570&gt;0</formula>
    </cfRule>
  </conditionalFormatting>
  <conditionalFormatting sqref="T40:T42 T47:T50">
    <cfRule type="expression" dxfId="244" priority="375">
      <formula>T40&lt;0</formula>
    </cfRule>
    <cfRule type="expression" dxfId="243" priority="376">
      <formula>T40&gt;0</formula>
    </cfRule>
  </conditionalFormatting>
  <conditionalFormatting sqref="X40:X42 X47:X50">
    <cfRule type="expression" dxfId="242" priority="373">
      <formula>X40&lt;0</formula>
    </cfRule>
    <cfRule type="expression" dxfId="241" priority="374">
      <formula>X40&gt;0</formula>
    </cfRule>
  </conditionalFormatting>
  <conditionalFormatting sqref="X54:X56 X63 X82:X86 X112:X116 X91:X94">
    <cfRule type="expression" dxfId="240" priority="369">
      <formula>X54&gt;0</formula>
    </cfRule>
    <cfRule type="expression" dxfId="239" priority="370">
      <formula>X54&lt;0</formula>
    </cfRule>
  </conditionalFormatting>
  <conditionalFormatting sqref="T54:T56 T63 T82:T86 T112:T116 T91:T94">
    <cfRule type="expression" dxfId="238" priority="367">
      <formula>T54&gt;0</formula>
    </cfRule>
    <cfRule type="expression" dxfId="237" priority="368">
      <formula>T54&lt;0</formula>
    </cfRule>
  </conditionalFormatting>
  <conditionalFormatting sqref="T317">
    <cfRule type="expression" dxfId="236" priority="365">
      <formula>T317&lt;0</formula>
    </cfRule>
    <cfRule type="expression" dxfId="235" priority="366">
      <formula>T317&gt;0</formula>
    </cfRule>
  </conditionalFormatting>
  <conditionalFormatting sqref="X317">
    <cfRule type="expression" dxfId="234" priority="363">
      <formula>$X$317&lt;0</formula>
    </cfRule>
    <cfRule type="expression" dxfId="233" priority="364">
      <formula>$X$317&gt;0</formula>
    </cfRule>
  </conditionalFormatting>
  <conditionalFormatting sqref="T380">
    <cfRule type="expression" dxfId="232" priority="361">
      <formula>$T$380&gt;0</formula>
    </cfRule>
    <cfRule type="expression" dxfId="231" priority="362">
      <formula>$T$380&lt;0</formula>
    </cfRule>
  </conditionalFormatting>
  <conditionalFormatting sqref="X380">
    <cfRule type="expression" dxfId="230" priority="359">
      <formula>$X$380&gt;0</formula>
    </cfRule>
    <cfRule type="expression" dxfId="229" priority="360">
      <formula>$X$380&lt;0</formula>
    </cfRule>
  </conditionalFormatting>
  <conditionalFormatting sqref="T443">
    <cfRule type="expression" dxfId="228" priority="357">
      <formula>$T$443&lt;0</formula>
    </cfRule>
    <cfRule type="expression" dxfId="227" priority="358">
      <formula>$T$443&gt;0</formula>
    </cfRule>
  </conditionalFormatting>
  <conditionalFormatting sqref="X443">
    <cfRule type="expression" dxfId="226" priority="355">
      <formula>$X$443&lt;0</formula>
    </cfRule>
    <cfRule type="expression" dxfId="225" priority="356">
      <formula>$X$443&gt;0</formula>
    </cfRule>
  </conditionalFormatting>
  <conditionalFormatting sqref="T506">
    <cfRule type="expression" dxfId="224" priority="353">
      <formula>$T$506&gt;0</formula>
    </cfRule>
    <cfRule type="expression" dxfId="223" priority="354">
      <formula>$T$506&lt;0</formula>
    </cfRule>
  </conditionalFormatting>
  <conditionalFormatting sqref="X506">
    <cfRule type="expression" dxfId="222" priority="351">
      <formula>$X$506&gt;0</formula>
    </cfRule>
    <cfRule type="expression" dxfId="221" priority="352">
      <formula>$X$506&lt;0</formula>
    </cfRule>
  </conditionalFormatting>
  <conditionalFormatting sqref="T570">
    <cfRule type="expression" dxfId="220" priority="349">
      <formula>$T$570&gt;0</formula>
    </cfRule>
    <cfRule type="expression" dxfId="219" priority="350">
      <formula>$T$570&lt;0</formula>
    </cfRule>
  </conditionalFormatting>
  <conditionalFormatting sqref="X570">
    <cfRule type="expression" dxfId="218" priority="347">
      <formula>$X$570&gt;0</formula>
    </cfRule>
    <cfRule type="expression" dxfId="217" priority="348">
      <formula>$X$570&lt;0</formula>
    </cfRule>
  </conditionalFormatting>
  <conditionalFormatting sqref="M326:N326">
    <cfRule type="expression" dxfId="216" priority="2061">
      <formula>S326&lt;&gt;0</formula>
    </cfRule>
  </conditionalFormatting>
  <conditionalFormatting sqref="AB318:AB320">
    <cfRule type="expression" dxfId="215" priority="267" stopIfTrue="1">
      <formula>$O$330="Non défini"</formula>
    </cfRule>
    <cfRule type="expression" dxfId="214" priority="268" stopIfTrue="1">
      <formula>$O$332="Non défini"</formula>
    </cfRule>
    <cfRule type="expression" dxfId="213" priority="269" stopIfTrue="1">
      <formula>$O$332="Not defined"</formula>
    </cfRule>
    <cfRule type="expression" dxfId="212" priority="270" stopIfTrue="1">
      <formula>$O$330="Not defined"</formula>
    </cfRule>
  </conditionalFormatting>
  <conditionalFormatting sqref="AC318:AD320">
    <cfRule type="expression" dxfId="211" priority="263" stopIfTrue="1">
      <formula>$O$330="Non défini"</formula>
    </cfRule>
    <cfRule type="expression" dxfId="210" priority="264" stopIfTrue="1">
      <formula>$O$332="Non défini"</formula>
    </cfRule>
    <cfRule type="expression" dxfId="209" priority="265" stopIfTrue="1">
      <formula>$O$332="Not defined"</formula>
    </cfRule>
    <cfRule type="expression" dxfId="208" priority="266" stopIfTrue="1">
      <formula>$O$330="Not defined"</formula>
    </cfRule>
  </conditionalFormatting>
  <conditionalFormatting sqref="AB381:AD383">
    <cfRule type="expression" dxfId="207" priority="259" stopIfTrue="1">
      <formula>$O$393="Non défini"</formula>
    </cfRule>
    <cfRule type="expression" dxfId="206" priority="260" stopIfTrue="1">
      <formula>$O$395="Non défini"</formula>
    </cfRule>
    <cfRule type="expression" dxfId="205" priority="261" stopIfTrue="1">
      <formula>$O$395="Not defined"</formula>
    </cfRule>
    <cfRule type="expression" dxfId="204" priority="262" stopIfTrue="1">
      <formula>$O$393="Not defined"</formula>
    </cfRule>
  </conditionalFormatting>
  <conditionalFormatting sqref="AB444:AD446">
    <cfRule type="expression" dxfId="203" priority="255" stopIfTrue="1">
      <formula>$O$456="Non défini"</formula>
    </cfRule>
    <cfRule type="expression" dxfId="202" priority="256" stopIfTrue="1">
      <formula>$O$458="Non défini"</formula>
    </cfRule>
    <cfRule type="expression" dxfId="201" priority="257" stopIfTrue="1">
      <formula>$O$458="Not defined"</formula>
    </cfRule>
    <cfRule type="expression" dxfId="200" priority="258" stopIfTrue="1">
      <formula>$O$456="Not defined"</formula>
    </cfRule>
  </conditionalFormatting>
  <conditionalFormatting sqref="AB507:AD510">
    <cfRule type="expression" dxfId="199" priority="251" stopIfTrue="1">
      <formula>$O$520="Non défini"</formula>
    </cfRule>
    <cfRule type="expression" dxfId="198" priority="252" stopIfTrue="1">
      <formula>$O$522="Non défini"</formula>
    </cfRule>
    <cfRule type="expression" dxfId="197" priority="253" stopIfTrue="1">
      <formula>$O$522="Not defined"</formula>
    </cfRule>
    <cfRule type="expression" dxfId="196" priority="254" stopIfTrue="1">
      <formula>$O$520="Not defined"</formula>
    </cfRule>
  </conditionalFormatting>
  <conditionalFormatting sqref="AB571:AD573">
    <cfRule type="expression" dxfId="195" priority="247" stopIfTrue="1">
      <formula>$O$583="Non défini"</formula>
    </cfRule>
    <cfRule type="expression" dxfId="194" priority="248" stopIfTrue="1">
      <formula>$O$585="Non défini"</formula>
    </cfRule>
    <cfRule type="expression" dxfId="193" priority="249" stopIfTrue="1">
      <formula>$O$585="Not defined"</formula>
    </cfRule>
    <cfRule type="expression" dxfId="192" priority="250" stopIfTrue="1">
      <formula>$O$583="Not defined"</formula>
    </cfRule>
  </conditionalFormatting>
  <conditionalFormatting sqref="L399:N418">
    <cfRule type="expression" dxfId="191" priority="243" stopIfTrue="1">
      <formula>$O$330="Non défini"</formula>
    </cfRule>
    <cfRule type="expression" dxfId="190" priority="244" stopIfTrue="1">
      <formula>$O$332="Non défini"</formula>
    </cfRule>
    <cfRule type="expression" dxfId="189" priority="245" stopIfTrue="1">
      <formula>$O$332="Not defined"</formula>
    </cfRule>
    <cfRule type="expression" dxfId="188" priority="246" stopIfTrue="1">
      <formula>$O$330="Not defined"</formula>
    </cfRule>
  </conditionalFormatting>
  <conditionalFormatting sqref="L462:N481">
    <cfRule type="expression" dxfId="187" priority="239" stopIfTrue="1">
      <formula>$O$330="Non défini"</formula>
    </cfRule>
    <cfRule type="expression" dxfId="186" priority="240" stopIfTrue="1">
      <formula>$O$332="Non défini"</formula>
    </cfRule>
    <cfRule type="expression" dxfId="185" priority="241" stopIfTrue="1">
      <formula>$O$332="Not defined"</formula>
    </cfRule>
    <cfRule type="expression" dxfId="184" priority="242" stopIfTrue="1">
      <formula>$O$330="Not defined"</formula>
    </cfRule>
  </conditionalFormatting>
  <conditionalFormatting sqref="L526:N545">
    <cfRule type="expression" dxfId="183" priority="235" stopIfTrue="1">
      <formula>$O$330="Non défini"</formula>
    </cfRule>
    <cfRule type="expression" dxfId="182" priority="236" stopIfTrue="1">
      <formula>$O$332="Non défini"</formula>
    </cfRule>
    <cfRule type="expression" dxfId="181" priority="237" stopIfTrue="1">
      <formula>$O$332="Not defined"</formula>
    </cfRule>
    <cfRule type="expression" dxfId="180" priority="238" stopIfTrue="1">
      <formula>$O$330="Not defined"</formula>
    </cfRule>
  </conditionalFormatting>
  <conditionalFormatting sqref="M356">
    <cfRule type="expression" dxfId="179" priority="231" stopIfTrue="1">
      <formula>$O$330="Non défini"</formula>
    </cfRule>
    <cfRule type="expression" dxfId="178" priority="232" stopIfTrue="1">
      <formula>$O$332="Non défini"</formula>
    </cfRule>
    <cfRule type="expression" dxfId="177" priority="233" stopIfTrue="1">
      <formula>$O$332="Not defined"</formula>
    </cfRule>
    <cfRule type="expression" dxfId="176" priority="234" stopIfTrue="1">
      <formula>$O$330="Not defined"</formula>
    </cfRule>
  </conditionalFormatting>
  <conditionalFormatting sqref="M398">
    <cfRule type="expression" dxfId="175" priority="227" stopIfTrue="1">
      <formula>$O$330="Non défini"</formula>
    </cfRule>
    <cfRule type="expression" dxfId="174" priority="228" stopIfTrue="1">
      <formula>$O$332="Non défini"</formula>
    </cfRule>
    <cfRule type="expression" dxfId="173" priority="229" stopIfTrue="1">
      <formula>$O$332="Not defined"</formula>
    </cfRule>
    <cfRule type="expression" dxfId="172" priority="230" stopIfTrue="1">
      <formula>$O$330="Not defined"</formula>
    </cfRule>
  </conditionalFormatting>
  <conditionalFormatting sqref="M419">
    <cfRule type="expression" dxfId="171" priority="223" stopIfTrue="1">
      <formula>$O$330="Non défini"</formula>
    </cfRule>
    <cfRule type="expression" dxfId="170" priority="224" stopIfTrue="1">
      <formula>$O$332="Non défini"</formula>
    </cfRule>
    <cfRule type="expression" dxfId="169" priority="225" stopIfTrue="1">
      <formula>$O$332="Not defined"</formula>
    </cfRule>
    <cfRule type="expression" dxfId="168" priority="226" stopIfTrue="1">
      <formula>$O$330="Not defined"</formula>
    </cfRule>
  </conditionalFormatting>
  <conditionalFormatting sqref="M461">
    <cfRule type="expression" dxfId="167" priority="219" stopIfTrue="1">
      <formula>$O$330="Non défini"</formula>
    </cfRule>
    <cfRule type="expression" dxfId="166" priority="220" stopIfTrue="1">
      <formula>$O$332="Non défini"</formula>
    </cfRule>
    <cfRule type="expression" dxfId="165" priority="221" stopIfTrue="1">
      <formula>$O$332="Not defined"</formula>
    </cfRule>
    <cfRule type="expression" dxfId="164" priority="222" stopIfTrue="1">
      <formula>$O$330="Not defined"</formula>
    </cfRule>
  </conditionalFormatting>
  <conditionalFormatting sqref="M525">
    <cfRule type="expression" dxfId="163" priority="215" stopIfTrue="1">
      <formula>$O$330="Non défini"</formula>
    </cfRule>
    <cfRule type="expression" dxfId="162" priority="216" stopIfTrue="1">
      <formula>$O$332="Non défini"</formula>
    </cfRule>
    <cfRule type="expression" dxfId="161" priority="217" stopIfTrue="1">
      <formula>$O$332="Not defined"</formula>
    </cfRule>
    <cfRule type="expression" dxfId="160" priority="218" stopIfTrue="1">
      <formula>$O$330="Not defined"</formula>
    </cfRule>
  </conditionalFormatting>
  <conditionalFormatting sqref="M482">
    <cfRule type="expression" dxfId="159" priority="211" stopIfTrue="1">
      <formula>$O$330="Non défini"</formula>
    </cfRule>
    <cfRule type="expression" dxfId="158" priority="212" stopIfTrue="1">
      <formula>$O$332="Non défini"</formula>
    </cfRule>
    <cfRule type="expression" dxfId="157" priority="213" stopIfTrue="1">
      <formula>$O$332="Not defined"</formula>
    </cfRule>
    <cfRule type="expression" dxfId="156" priority="214" stopIfTrue="1">
      <formula>$O$330="Not defined"</formula>
    </cfRule>
  </conditionalFormatting>
  <conditionalFormatting sqref="M546">
    <cfRule type="expression" dxfId="155" priority="207" stopIfTrue="1">
      <formula>$O$330="Non défini"</formula>
    </cfRule>
    <cfRule type="expression" dxfId="154" priority="208" stopIfTrue="1">
      <formula>$O$332="Non défini"</formula>
    </cfRule>
    <cfRule type="expression" dxfId="153" priority="209" stopIfTrue="1">
      <formula>$O$332="Not defined"</formula>
    </cfRule>
    <cfRule type="expression" dxfId="152" priority="210" stopIfTrue="1">
      <formula>$O$330="Not defined"</formula>
    </cfRule>
  </conditionalFormatting>
  <conditionalFormatting sqref="S385:S386">
    <cfRule type="expression" dxfId="151" priority="205">
      <formula>S385&lt;0</formula>
    </cfRule>
    <cfRule type="expression" dxfId="150" priority="206">
      <formula>S385&gt;0</formula>
    </cfRule>
  </conditionalFormatting>
  <conditionalFormatting sqref="W385:W387">
    <cfRule type="expression" dxfId="149" priority="203">
      <formula>W385&lt;0</formula>
    </cfRule>
    <cfRule type="expression" dxfId="148" priority="204">
      <formula>W385&gt;0</formula>
    </cfRule>
  </conditionalFormatting>
  <conditionalFormatting sqref="X385:X387">
    <cfRule type="expression" dxfId="147" priority="201">
      <formula>X385&lt;0</formula>
    </cfRule>
    <cfRule type="expression" dxfId="146" priority="202">
      <formula>X385&gt;0</formula>
    </cfRule>
  </conditionalFormatting>
  <conditionalFormatting sqref="S387">
    <cfRule type="expression" dxfId="145" priority="199">
      <formula>S387&lt;0</formula>
    </cfRule>
    <cfRule type="expression" dxfId="144" priority="200">
      <formula>S387&gt;0</formula>
    </cfRule>
  </conditionalFormatting>
  <conditionalFormatting sqref="T385">
    <cfRule type="expression" dxfId="143" priority="197">
      <formula>T385&lt;0</formula>
    </cfRule>
    <cfRule type="expression" dxfId="142" priority="198">
      <formula>T385&gt;0</formula>
    </cfRule>
  </conditionalFormatting>
  <conditionalFormatting sqref="T386">
    <cfRule type="expression" dxfId="141" priority="195">
      <formula>T386&lt;0</formula>
    </cfRule>
    <cfRule type="expression" dxfId="140" priority="196">
      <formula>T386&gt;0</formula>
    </cfRule>
  </conditionalFormatting>
  <conditionalFormatting sqref="T387">
    <cfRule type="expression" dxfId="139" priority="193">
      <formula>T387&lt;0</formula>
    </cfRule>
    <cfRule type="expression" dxfId="138" priority="194">
      <formula>T387&gt;0</formula>
    </cfRule>
  </conditionalFormatting>
  <conditionalFormatting sqref="S385:T389">
    <cfRule type="expression" dxfId="137" priority="189" stopIfTrue="1">
      <formula>$O$456="Non défini"</formula>
    </cfRule>
    <cfRule type="expression" dxfId="136" priority="190" stopIfTrue="1">
      <formula>$O$458="Non défini"</formula>
    </cfRule>
    <cfRule type="expression" dxfId="135" priority="191" stopIfTrue="1">
      <formula>$O$458="Not defined"</formula>
    </cfRule>
    <cfRule type="expression" dxfId="134" priority="192" stopIfTrue="1">
      <formula>$O$456="Not defined"</formula>
    </cfRule>
  </conditionalFormatting>
  <conditionalFormatting sqref="S322:S323">
    <cfRule type="expression" dxfId="133" priority="187">
      <formula>S322&lt;0</formula>
    </cfRule>
    <cfRule type="expression" dxfId="132" priority="188">
      <formula>S322&gt;0</formula>
    </cfRule>
  </conditionalFormatting>
  <conditionalFormatting sqref="W322:W324">
    <cfRule type="expression" dxfId="131" priority="185">
      <formula>W322&lt;0</formula>
    </cfRule>
    <cfRule type="expression" dxfId="130" priority="186">
      <formula>W322&gt;0</formula>
    </cfRule>
  </conditionalFormatting>
  <conditionalFormatting sqref="X322:X324">
    <cfRule type="expression" dxfId="129" priority="183">
      <formula>X322&lt;0</formula>
    </cfRule>
    <cfRule type="expression" dxfId="128" priority="184">
      <formula>X322&gt;0</formula>
    </cfRule>
  </conditionalFormatting>
  <conditionalFormatting sqref="S324">
    <cfRule type="expression" dxfId="127" priority="181">
      <formula>S324&lt;0</formula>
    </cfRule>
    <cfRule type="expression" dxfId="126" priority="182">
      <formula>S324&gt;0</formula>
    </cfRule>
  </conditionalFormatting>
  <conditionalFormatting sqref="T322">
    <cfRule type="expression" dxfId="125" priority="179">
      <formula>T322&lt;0</formula>
    </cfRule>
    <cfRule type="expression" dxfId="124" priority="180">
      <formula>T322&gt;0</formula>
    </cfRule>
  </conditionalFormatting>
  <conditionalFormatting sqref="T323">
    <cfRule type="expression" dxfId="123" priority="177">
      <formula>T323&lt;0</formula>
    </cfRule>
    <cfRule type="expression" dxfId="122" priority="178">
      <formula>T323&gt;0</formula>
    </cfRule>
  </conditionalFormatting>
  <conditionalFormatting sqref="T324">
    <cfRule type="expression" dxfId="121" priority="175">
      <formula>T324&lt;0</formula>
    </cfRule>
    <cfRule type="expression" dxfId="120" priority="176">
      <formula>T324&gt;0</formula>
    </cfRule>
  </conditionalFormatting>
  <conditionalFormatting sqref="S322:T326">
    <cfRule type="expression" dxfId="119" priority="171" stopIfTrue="1">
      <formula>$O$456="Non défini"</formula>
    </cfRule>
    <cfRule type="expression" dxfId="118" priority="172" stopIfTrue="1">
      <formula>$O$458="Non défini"</formula>
    </cfRule>
    <cfRule type="expression" dxfId="117" priority="173" stopIfTrue="1">
      <formula>$O$458="Not defined"</formula>
    </cfRule>
    <cfRule type="expression" dxfId="116" priority="174" stopIfTrue="1">
      <formula>$O$456="Not defined"</formula>
    </cfRule>
  </conditionalFormatting>
  <conditionalFormatting sqref="S509">
    <cfRule type="expression" dxfId="115" priority="165" stopIfTrue="1">
      <formula>$O$520="Non défini"</formula>
    </cfRule>
    <cfRule type="expression" dxfId="114" priority="166" stopIfTrue="1">
      <formula>$O$522="Non défini"</formula>
    </cfRule>
    <cfRule type="expression" dxfId="113" priority="167" stopIfTrue="1">
      <formula>$O$522="Not defined"</formula>
    </cfRule>
    <cfRule type="expression" dxfId="112" priority="168" stopIfTrue="1">
      <formula>$O$520="Not defined"</formula>
    </cfRule>
  </conditionalFormatting>
  <conditionalFormatting sqref="S509">
    <cfRule type="expression" dxfId="111" priority="169">
      <formula>S509&lt;0</formula>
    </cfRule>
    <cfRule type="expression" dxfId="110" priority="170">
      <formula>S509&gt;0</formula>
    </cfRule>
  </conditionalFormatting>
  <conditionalFormatting sqref="W509">
    <cfRule type="expression" dxfId="109" priority="159" stopIfTrue="1">
      <formula>$O$520="Non défini"</formula>
    </cfRule>
    <cfRule type="expression" dxfId="108" priority="160" stopIfTrue="1">
      <formula>$O$522="Non défini"</formula>
    </cfRule>
    <cfRule type="expression" dxfId="107" priority="161" stopIfTrue="1">
      <formula>$O$522="Not defined"</formula>
    </cfRule>
    <cfRule type="expression" dxfId="106" priority="162" stopIfTrue="1">
      <formula>$O$520="Not defined"</formula>
    </cfRule>
  </conditionalFormatting>
  <conditionalFormatting sqref="W509">
    <cfRule type="expression" dxfId="105" priority="163">
      <formula>W509&lt;0</formula>
    </cfRule>
    <cfRule type="expression" dxfId="104" priority="164">
      <formula>W509&gt;0</formula>
    </cfRule>
  </conditionalFormatting>
  <conditionalFormatting sqref="M334">
    <cfRule type="expression" dxfId="103" priority="151" stopIfTrue="1">
      <formula>$O$330="Non défini"</formula>
    </cfRule>
    <cfRule type="expression" dxfId="102" priority="152" stopIfTrue="1">
      <formula>$O$332="Non défini"</formula>
    </cfRule>
    <cfRule type="expression" dxfId="101" priority="153" stopIfTrue="1">
      <formula>$O$332="Not defined"</formula>
    </cfRule>
    <cfRule type="expression" dxfId="100" priority="154" stopIfTrue="1">
      <formula>$O$330="Not defined"</formula>
    </cfRule>
  </conditionalFormatting>
  <conditionalFormatting sqref="X87 X89">
    <cfRule type="expression" dxfId="99" priority="125">
      <formula>X87&gt;0</formula>
    </cfRule>
    <cfRule type="expression" dxfId="98" priority="126">
      <formula>X87&lt;0</formula>
    </cfRule>
  </conditionalFormatting>
  <conditionalFormatting sqref="T87 T89">
    <cfRule type="expression" dxfId="97" priority="123">
      <formula>T87&gt;0</formula>
    </cfRule>
    <cfRule type="expression" dxfId="96" priority="124">
      <formula>T87&lt;0</formula>
    </cfRule>
  </conditionalFormatting>
  <conditionalFormatting sqref="X78">
    <cfRule type="expression" dxfId="95" priority="113">
      <formula>X78&gt;0</formula>
    </cfRule>
    <cfRule type="expression" dxfId="94" priority="114">
      <formula>X78&lt;0</formula>
    </cfRule>
  </conditionalFormatting>
  <conditionalFormatting sqref="T78">
    <cfRule type="expression" dxfId="93" priority="111">
      <formula>T78&gt;0</formula>
    </cfRule>
    <cfRule type="expression" dxfId="92" priority="112">
      <formula>T78&lt;0</formula>
    </cfRule>
  </conditionalFormatting>
  <conditionalFormatting sqref="X74 T74">
    <cfRule type="expression" dxfId="91" priority="109">
      <formula>T74&gt;0</formula>
    </cfRule>
    <cfRule type="expression" dxfId="90" priority="110">
      <formula>T74&lt;0</formula>
    </cfRule>
  </conditionalFormatting>
  <conditionalFormatting sqref="X75 T75">
    <cfRule type="expression" dxfId="89" priority="107">
      <formula>T75&gt;0</formula>
    </cfRule>
    <cfRule type="expression" dxfId="88" priority="108">
      <formula>T75&lt;0</formula>
    </cfRule>
  </conditionalFormatting>
  <conditionalFormatting sqref="X76:X77 T76:T77">
    <cfRule type="expression" dxfId="87" priority="105">
      <formula>T76&gt;0</formula>
    </cfRule>
    <cfRule type="expression" dxfId="86" priority="106">
      <formula>T76&lt;0</formula>
    </cfRule>
  </conditionalFormatting>
  <conditionalFormatting sqref="X90">
    <cfRule type="expression" dxfId="85" priority="103">
      <formula>X90&gt;0</formula>
    </cfRule>
    <cfRule type="expression" dxfId="84" priority="104">
      <formula>X90&lt;0</formula>
    </cfRule>
  </conditionalFormatting>
  <conditionalFormatting sqref="T90">
    <cfRule type="expression" dxfId="83" priority="101">
      <formula>T90&gt;0</formula>
    </cfRule>
    <cfRule type="expression" dxfId="82" priority="102">
      <formula>T90&lt;0</formula>
    </cfRule>
  </conditionalFormatting>
  <conditionalFormatting sqref="X101 T101">
    <cfRule type="expression" dxfId="81" priority="99">
      <formula>T101&gt;0</formula>
    </cfRule>
    <cfRule type="expression" dxfId="80" priority="100">
      <formula>T101&lt;0</formula>
    </cfRule>
  </conditionalFormatting>
  <conditionalFormatting sqref="X58:X59 T58:T59">
    <cfRule type="expression" dxfId="79" priority="97">
      <formula>T58&gt;0</formula>
    </cfRule>
    <cfRule type="expression" dxfId="78" priority="98">
      <formula>T58&lt;0</formula>
    </cfRule>
  </conditionalFormatting>
  <conditionalFormatting sqref="X95">
    <cfRule type="expression" dxfId="77" priority="95">
      <formula>X95&gt;0</formula>
    </cfRule>
    <cfRule type="expression" dxfId="76" priority="96">
      <formula>X95&lt;0</formula>
    </cfRule>
  </conditionalFormatting>
  <conditionalFormatting sqref="T95">
    <cfRule type="expression" dxfId="75" priority="93">
      <formula>T95&gt;0</formula>
    </cfRule>
    <cfRule type="expression" dxfId="74" priority="94">
      <formula>T95&lt;0</formula>
    </cfRule>
  </conditionalFormatting>
  <conditionalFormatting sqref="X109">
    <cfRule type="expression" dxfId="73" priority="91">
      <formula>X109&gt;0</formula>
    </cfRule>
    <cfRule type="expression" dxfId="72" priority="92">
      <formula>X109&lt;0</formula>
    </cfRule>
  </conditionalFormatting>
  <conditionalFormatting sqref="T109">
    <cfRule type="expression" dxfId="71" priority="89">
      <formula>T109&gt;0</formula>
    </cfRule>
    <cfRule type="expression" dxfId="70" priority="90">
      <formula>T109&lt;0</formula>
    </cfRule>
  </conditionalFormatting>
  <conditionalFormatting sqref="X117">
    <cfRule type="expression" dxfId="69" priority="87">
      <formula>X117&gt;0</formula>
    </cfRule>
    <cfRule type="expression" dxfId="68" priority="88">
      <formula>X117&lt;0</formula>
    </cfRule>
  </conditionalFormatting>
  <conditionalFormatting sqref="T117">
    <cfRule type="expression" dxfId="67" priority="85">
      <formula>T117&gt;0</formula>
    </cfRule>
    <cfRule type="expression" dxfId="66" priority="86">
      <formula>T117&lt;0</formula>
    </cfRule>
  </conditionalFormatting>
  <conditionalFormatting sqref="X88">
    <cfRule type="expression" dxfId="65" priority="83">
      <formula>X88&gt;0</formula>
    </cfRule>
    <cfRule type="expression" dxfId="64" priority="84">
      <formula>X88&lt;0</formula>
    </cfRule>
  </conditionalFormatting>
  <conditionalFormatting sqref="T88">
    <cfRule type="expression" dxfId="63" priority="81">
      <formula>T88&gt;0</formula>
    </cfRule>
    <cfRule type="expression" dxfId="62" priority="82">
      <formula>T88&lt;0</formula>
    </cfRule>
  </conditionalFormatting>
  <conditionalFormatting sqref="T129">
    <cfRule type="expression" dxfId="61" priority="79">
      <formula>T129&gt;0</formula>
    </cfRule>
    <cfRule type="expression" dxfId="60" priority="80">
      <formula>T129&lt;0</formula>
    </cfRule>
  </conditionalFormatting>
  <conditionalFormatting sqref="X129">
    <cfRule type="expression" dxfId="59" priority="77">
      <formula>X129&gt;0</formula>
    </cfRule>
    <cfRule type="expression" dxfId="58" priority="78">
      <formula>X129&lt;0</formula>
    </cfRule>
  </conditionalFormatting>
  <conditionalFormatting sqref="T161">
    <cfRule type="expression" dxfId="57" priority="75">
      <formula>T161&gt;0</formula>
    </cfRule>
    <cfRule type="expression" dxfId="56" priority="76">
      <formula>T161&lt;0</formula>
    </cfRule>
  </conditionalFormatting>
  <conditionalFormatting sqref="X161">
    <cfRule type="expression" dxfId="55" priority="73">
      <formula>X161&gt;0</formula>
    </cfRule>
    <cfRule type="expression" dxfId="54" priority="74">
      <formula>X161&lt;0</formula>
    </cfRule>
  </conditionalFormatting>
  <conditionalFormatting sqref="T180">
    <cfRule type="expression" dxfId="53" priority="71">
      <formula>T180&gt;0</formula>
    </cfRule>
    <cfRule type="expression" dxfId="52" priority="72">
      <formula>T180&lt;0</formula>
    </cfRule>
  </conditionalFormatting>
  <conditionalFormatting sqref="X180">
    <cfRule type="expression" dxfId="51" priority="69">
      <formula>X180&gt;0</formula>
    </cfRule>
    <cfRule type="expression" dxfId="50" priority="70">
      <formula>X180&lt;0</formula>
    </cfRule>
  </conditionalFormatting>
  <conditionalFormatting sqref="T196">
    <cfRule type="expression" dxfId="49" priority="67">
      <formula>T196&gt;0</formula>
    </cfRule>
    <cfRule type="expression" dxfId="48" priority="68">
      <formula>T196&lt;0</formula>
    </cfRule>
  </conditionalFormatting>
  <conditionalFormatting sqref="X196">
    <cfRule type="expression" dxfId="47" priority="65">
      <formula>X196&gt;0</formula>
    </cfRule>
    <cfRule type="expression" dxfId="46" priority="66">
      <formula>X196&lt;0</formula>
    </cfRule>
  </conditionalFormatting>
  <conditionalFormatting sqref="T202">
    <cfRule type="expression" dxfId="45" priority="63">
      <formula>T202&gt;0</formula>
    </cfRule>
    <cfRule type="expression" dxfId="44" priority="64">
      <formula>T202&lt;0</formula>
    </cfRule>
  </conditionalFormatting>
  <conditionalFormatting sqref="X202">
    <cfRule type="expression" dxfId="43" priority="61">
      <formula>X202&gt;0</formula>
    </cfRule>
    <cfRule type="expression" dxfId="42" priority="62">
      <formula>X202&lt;0</formula>
    </cfRule>
  </conditionalFormatting>
  <conditionalFormatting sqref="T209">
    <cfRule type="expression" dxfId="41" priority="59">
      <formula>T209&gt;0</formula>
    </cfRule>
    <cfRule type="expression" dxfId="40" priority="60">
      <formula>T209&lt;0</formula>
    </cfRule>
  </conditionalFormatting>
  <conditionalFormatting sqref="X209">
    <cfRule type="expression" dxfId="39" priority="57">
      <formula>X209&gt;0</formula>
    </cfRule>
    <cfRule type="expression" dxfId="38" priority="58">
      <formula>X209&lt;0</formula>
    </cfRule>
  </conditionalFormatting>
  <conditionalFormatting sqref="S210 W210">
    <cfRule type="expression" dxfId="37" priority="55">
      <formula>S210&lt;0</formula>
    </cfRule>
    <cfRule type="expression" dxfId="36" priority="56">
      <formula>S210&gt;0</formula>
    </cfRule>
  </conditionalFormatting>
  <conditionalFormatting sqref="V217:V241 R243:R245 R217:R241 O243:R243 V243:V245 T217">
    <cfRule type="cellIs" dxfId="35" priority="53" operator="lessThan">
      <formula>0</formula>
    </cfRule>
    <cfRule type="cellIs" dxfId="34" priority="54" operator="greaterThan">
      <formula>0</formula>
    </cfRule>
  </conditionalFormatting>
  <conditionalFormatting sqref="R242">
    <cfRule type="cellIs" dxfId="33" priority="49" operator="lessThan">
      <formula>0</formula>
    </cfRule>
    <cfRule type="cellIs" dxfId="32" priority="50" operator="greaterThan">
      <formula>0</formula>
    </cfRule>
  </conditionalFormatting>
  <conditionalFormatting sqref="V242">
    <cfRule type="cellIs" dxfId="31" priority="47" operator="lessThan">
      <formula>0</formula>
    </cfRule>
    <cfRule type="cellIs" dxfId="30" priority="48" operator="greaterThan">
      <formula>0</formula>
    </cfRule>
  </conditionalFormatting>
  <conditionalFormatting sqref="R216">
    <cfRule type="cellIs" dxfId="29" priority="41" operator="lessThan">
      <formula>0</formula>
    </cfRule>
    <cfRule type="cellIs" dxfId="28" priority="42" operator="greaterThan">
      <formula>0</formula>
    </cfRule>
  </conditionalFormatting>
  <conditionalFormatting sqref="V216">
    <cfRule type="cellIs" dxfId="27" priority="37" operator="lessThan">
      <formula>0</formula>
    </cfRule>
    <cfRule type="cellIs" dxfId="26" priority="38" operator="greaterThan">
      <formula>0</formula>
    </cfRule>
  </conditionalFormatting>
  <conditionalFormatting sqref="X217">
    <cfRule type="cellIs" dxfId="25" priority="31" operator="lessThan">
      <formula>0</formula>
    </cfRule>
    <cfRule type="cellIs" dxfId="24" priority="32" operator="greaterThan">
      <formula>0</formula>
    </cfRule>
  </conditionalFormatting>
  <conditionalFormatting sqref="T138:T141 X138:X141">
    <cfRule type="expression" dxfId="23" priority="25">
      <formula>T138&gt;0</formula>
    </cfRule>
    <cfRule type="expression" dxfId="22" priority="26">
      <formula>T138&lt;0</formula>
    </cfRule>
  </conditionalFormatting>
  <conditionalFormatting sqref="T162 X162">
    <cfRule type="expression" dxfId="21" priority="21">
      <formula>T162&gt;0</formula>
    </cfRule>
    <cfRule type="expression" dxfId="20" priority="22">
      <formula>T162&lt;0</formula>
    </cfRule>
  </conditionalFormatting>
  <conditionalFormatting sqref="T170:T178 X170:X178">
    <cfRule type="expression" dxfId="19" priority="13">
      <formula>T170&gt;0</formula>
    </cfRule>
    <cfRule type="expression" dxfId="18" priority="14">
      <formula>T170&lt;0</formula>
    </cfRule>
  </conditionalFormatting>
  <conditionalFormatting sqref="T163 X163">
    <cfRule type="expression" dxfId="17" priority="19">
      <formula>T163&gt;0</formula>
    </cfRule>
    <cfRule type="expression" dxfId="16" priority="20">
      <formula>T163&lt;0</formula>
    </cfRule>
  </conditionalFormatting>
  <conditionalFormatting sqref="T164 X164">
    <cfRule type="expression" dxfId="15" priority="17">
      <formula>T164&gt;0</formula>
    </cfRule>
    <cfRule type="expression" dxfId="14" priority="18">
      <formula>T164&lt;0</formula>
    </cfRule>
  </conditionalFormatting>
  <conditionalFormatting sqref="T165:T169 X165:X169">
    <cfRule type="expression" dxfId="13" priority="15">
      <formula>T165&gt;0</formula>
    </cfRule>
    <cfRule type="expression" dxfId="12" priority="16">
      <formula>T165&lt;0</formula>
    </cfRule>
  </conditionalFormatting>
  <conditionalFormatting sqref="T181:T194 X181:X194">
    <cfRule type="expression" dxfId="11" priority="11">
      <formula>T181&gt;0</formula>
    </cfRule>
    <cfRule type="expression" dxfId="10" priority="12">
      <formula>T181&lt;0</formula>
    </cfRule>
  </conditionalFormatting>
  <conditionalFormatting sqref="T197:T200 X197:X200">
    <cfRule type="expression" dxfId="9" priority="9">
      <formula>T197&gt;0</formula>
    </cfRule>
    <cfRule type="expression" dxfId="8" priority="10">
      <formula>T197&lt;0</formula>
    </cfRule>
  </conditionalFormatting>
  <conditionalFormatting sqref="T203:T206 X203:X206">
    <cfRule type="expression" dxfId="7" priority="7">
      <formula>T203&gt;0</formula>
    </cfRule>
    <cfRule type="expression" dxfId="6" priority="8">
      <formula>T203&lt;0</formula>
    </cfRule>
  </conditionalFormatting>
  <conditionalFormatting sqref="T43:T46">
    <cfRule type="expression" dxfId="5" priority="5">
      <formula>T43&lt;0</formula>
    </cfRule>
    <cfRule type="expression" dxfId="4" priority="6">
      <formula>T43&gt;0</formula>
    </cfRule>
  </conditionalFormatting>
  <conditionalFormatting sqref="X43:X46">
    <cfRule type="expression" dxfId="3" priority="3">
      <formula>X43&lt;0</formula>
    </cfRule>
    <cfRule type="expression" dxfId="2" priority="4">
      <formula>X43&gt;0</formula>
    </cfRule>
  </conditionalFormatting>
  <conditionalFormatting sqref="T105:T108 X105:X108">
    <cfRule type="expression" dxfId="1" priority="1">
      <formula>T105&gt;0</formula>
    </cfRule>
    <cfRule type="expression" dxfId="0" priority="2">
      <formula>T105&lt;0</formula>
    </cfRule>
  </conditionalFormatting>
  <dataValidations count="3">
    <dataValidation type="list" showInputMessage="1" showErrorMessage="1" sqref="N19">
      <formula1>Languages</formula1>
    </dataValidation>
    <dataValidation type="list" allowBlank="1" showInputMessage="1" showErrorMessage="1" sqref="N12 N20:O20">
      <formula1>LIST_PHASES</formula1>
    </dataValidation>
    <dataValidation type="list" allowBlank="1" showInputMessage="1" showErrorMessage="1" sqref="N21:O21">
      <formula1>LIST_YEARS</formula1>
    </dataValidation>
  </dataValidations>
  <printOptions horizontalCentered="1"/>
  <pageMargins left="0.11811023622047245" right="0.11811023622047245" top="0.15748031496062992" bottom="0.15748031496062992" header="0" footer="0"/>
  <pageSetup paperSize="9" scale="33" orientation="portrait" r:id="rId3"/>
  <headerFooter>
    <oddFooter>&amp;C&amp;9&amp;K01+022PMM - Gross Margin variance breakdown
&amp;D&amp;T</oddFooter>
  </headerFooter>
  <drawing r:id="rId4"/>
  <legacyDrawing r:id="rId5"/>
  <controls>
    <mc:AlternateContent xmlns:mc="http://schemas.openxmlformats.org/markup-compatibility/2006">
      <mc:Choice Requires="x14">
        <control shapeId="1028" r:id="rId6" name="CommandButton2">
          <controlPr defaultSize="0" print="0" autoLine="0" r:id="rId7">
            <anchor moveWithCells="1">
              <from>
                <xdr:col>13</xdr:col>
                <xdr:colOff>590550</xdr:colOff>
                <xdr:row>28</xdr:row>
                <xdr:rowOff>38100</xdr:rowOff>
              </from>
              <to>
                <xdr:col>14</xdr:col>
                <xdr:colOff>1495425</xdr:colOff>
                <xdr:row>31</xdr:row>
                <xdr:rowOff>123825</xdr:rowOff>
              </to>
            </anchor>
          </controlPr>
        </control>
      </mc:Choice>
      <mc:Fallback>
        <control shapeId="1028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print="0" autoLine="0" r:id="rId9">
            <anchor moveWithCells="1">
              <from>
                <xdr:col>12</xdr:col>
                <xdr:colOff>57150</xdr:colOff>
                <xdr:row>28</xdr:row>
                <xdr:rowOff>28575</xdr:rowOff>
              </from>
              <to>
                <xdr:col>12</xdr:col>
                <xdr:colOff>2667000</xdr:colOff>
                <xdr:row>31</xdr:row>
                <xdr:rowOff>57150</xdr:rowOff>
              </to>
            </anchor>
          </controlPr>
        </control>
      </mc:Choice>
      <mc:Fallback>
        <control shapeId="1027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12"/>
  <sheetViews>
    <sheetView workbookViewId="0">
      <selection activeCell="H21" sqref="H21"/>
    </sheetView>
  </sheetViews>
  <sheetFormatPr baseColWidth="10" defaultColWidth="11.42578125" defaultRowHeight="15" x14ac:dyDescent="0.25"/>
  <sheetData>
    <row r="1" spans="1:1" x14ac:dyDescent="0.25">
      <c r="A1" t="s">
        <v>320</v>
      </c>
    </row>
    <row r="2" spans="1:1" x14ac:dyDescent="0.25">
      <c r="A2" t="s">
        <v>308</v>
      </c>
    </row>
    <row r="3" spans="1:1" x14ac:dyDescent="0.25">
      <c r="A3" t="s">
        <v>314</v>
      </c>
    </row>
    <row r="4" spans="1:1" x14ac:dyDescent="0.25">
      <c r="A4" t="s">
        <v>321</v>
      </c>
    </row>
    <row r="5" spans="1:1" x14ac:dyDescent="0.25">
      <c r="A5" t="s">
        <v>322</v>
      </c>
    </row>
    <row r="6" spans="1:1" x14ac:dyDescent="0.25">
      <c r="A6" t="s">
        <v>323</v>
      </c>
    </row>
    <row r="7" spans="1:1" x14ac:dyDescent="0.25">
      <c r="A7" t="s">
        <v>324</v>
      </c>
    </row>
    <row r="8" spans="1:1" x14ac:dyDescent="0.25">
      <c r="A8" t="s">
        <v>325</v>
      </c>
    </row>
    <row r="9" spans="1:1" x14ac:dyDescent="0.25">
      <c r="A9" t="s">
        <v>326</v>
      </c>
    </row>
    <row r="10" spans="1:1" x14ac:dyDescent="0.25">
      <c r="A10" t="s">
        <v>251</v>
      </c>
    </row>
    <row r="11" spans="1:1" x14ac:dyDescent="0.25">
      <c r="A11" t="s">
        <v>252</v>
      </c>
    </row>
    <row r="12" spans="1:1" x14ac:dyDescent="0.25">
      <c r="A12" t="s">
        <v>253</v>
      </c>
    </row>
  </sheetData>
  <customSheetViews>
    <customSheetView guid="{83BB5152-01BA-42DF-B23D-4001406CC674}" state="hidden">
      <pageMargins left="0.7" right="0.7" top="0.75" bottom="0.75" header="0.3" footer="0.3"/>
    </customSheetView>
    <customSheetView guid="{97DA177E-F101-4CD5-8BC6-6997082DB660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  <pageSetUpPr autoPageBreaks="0" fitToPage="1"/>
  </sheetPr>
  <dimension ref="A1:DK101"/>
  <sheetViews>
    <sheetView showGridLines="0" showRowColHeaders="0" topLeftCell="E7" zoomScale="85" zoomScaleNormal="40" workbookViewId="0">
      <selection activeCell="L18" sqref="L18"/>
    </sheetView>
  </sheetViews>
  <sheetFormatPr baseColWidth="10" defaultColWidth="11.42578125" defaultRowHeight="15" x14ac:dyDescent="0.25"/>
  <cols>
    <col min="1" max="4" width="11.42578125" hidden="1" customWidth="1"/>
    <col min="5" max="5" width="9.85546875" customWidth="1"/>
    <col min="6" max="7" width="1.140625" customWidth="1"/>
    <col min="8" max="8" width="6.42578125" customWidth="1"/>
    <col min="9" max="19" width="14.28515625" customWidth="1"/>
    <col min="20" max="20" width="6.42578125" customWidth="1"/>
    <col min="21" max="22" width="1.140625" customWidth="1"/>
    <col min="31" max="31" width="32.7109375" bestFit="1" customWidth="1"/>
    <col min="32" max="40" width="29.28515625" bestFit="1" customWidth="1"/>
    <col min="41" max="46" width="24.7109375" bestFit="1" customWidth="1"/>
    <col min="47" max="47" width="53.28515625" bestFit="1" customWidth="1"/>
    <col min="48" max="48" width="25.85546875" bestFit="1" customWidth="1"/>
    <col min="49" max="50" width="24.7109375" bestFit="1" customWidth="1"/>
    <col min="51" max="51" width="32.7109375" bestFit="1" customWidth="1"/>
    <col min="52" max="52" width="27" bestFit="1" customWidth="1"/>
    <col min="53" max="53" width="25.28515625" bestFit="1" customWidth="1"/>
    <col min="54" max="57" width="27" bestFit="1" customWidth="1"/>
    <col min="58" max="59" width="29.28515625" bestFit="1" customWidth="1"/>
    <col min="60" max="60" width="27" bestFit="1" customWidth="1"/>
    <col min="61" max="63" width="24.7109375" bestFit="1" customWidth="1"/>
    <col min="64" max="65" width="23" bestFit="1" customWidth="1"/>
    <col min="66" max="66" width="24.7109375" bestFit="1" customWidth="1"/>
    <col min="67" max="67" width="53.28515625" bestFit="1" customWidth="1"/>
    <col min="68" max="68" width="25.85546875" bestFit="1" customWidth="1"/>
  </cols>
  <sheetData>
    <row r="1" spans="1:115" ht="3.75" customHeight="1" x14ac:dyDescent="0.25">
      <c r="E1" s="110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4"/>
      <c r="BG1" s="204"/>
      <c r="BH1" s="204"/>
      <c r="BI1" s="204"/>
      <c r="BJ1" s="204"/>
      <c r="BK1" s="204"/>
      <c r="BL1" s="204"/>
      <c r="BM1" s="204"/>
      <c r="BN1" s="204"/>
      <c r="BO1" s="204"/>
      <c r="BP1" s="204"/>
      <c r="BQ1" s="204"/>
      <c r="BR1" s="204"/>
      <c r="BS1" s="204"/>
      <c r="BT1" s="204"/>
      <c r="BU1" s="204"/>
      <c r="BV1" s="204"/>
      <c r="BW1" s="204"/>
      <c r="BX1" s="204"/>
      <c r="BY1" s="204"/>
      <c r="BZ1" s="204"/>
      <c r="CA1" s="204"/>
      <c r="CB1" s="204"/>
      <c r="CC1" s="204"/>
      <c r="CD1" s="204"/>
      <c r="CE1" s="204"/>
      <c r="CF1" s="204"/>
      <c r="CG1" s="204"/>
      <c r="CH1" s="204"/>
      <c r="CI1" s="204"/>
      <c r="CJ1" s="204"/>
      <c r="CK1" s="204"/>
      <c r="CL1" s="204"/>
      <c r="CM1" s="204"/>
      <c r="CN1" s="204"/>
      <c r="CO1" s="204"/>
      <c r="CP1" s="204"/>
      <c r="CQ1" s="204"/>
      <c r="CR1" s="204"/>
      <c r="CS1" s="204"/>
      <c r="CT1" s="204"/>
      <c r="CU1" s="204"/>
      <c r="CV1" s="204"/>
      <c r="CW1" s="204"/>
      <c r="CX1" s="204"/>
      <c r="CY1" s="204"/>
      <c r="CZ1" s="204"/>
      <c r="DA1" s="204"/>
      <c r="DB1" s="204"/>
      <c r="DC1" s="204"/>
      <c r="DD1" s="204"/>
      <c r="DE1" s="204"/>
      <c r="DF1" s="204"/>
      <c r="DG1" s="204"/>
      <c r="DH1" s="204"/>
      <c r="DI1" s="204"/>
      <c r="DJ1" s="204"/>
      <c r="DK1" s="204"/>
    </row>
    <row r="2" spans="1:115" ht="33" customHeight="1" x14ac:dyDescent="0.25">
      <c r="E2" s="110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  <c r="BS2" s="204"/>
      <c r="BT2" s="204"/>
      <c r="BU2" s="204"/>
      <c r="BV2" s="204"/>
      <c r="BW2" s="204"/>
      <c r="BX2" s="204"/>
      <c r="BY2" s="204"/>
      <c r="BZ2" s="204"/>
      <c r="CA2" s="204"/>
      <c r="CB2" s="204"/>
      <c r="CC2" s="204"/>
      <c r="CD2" s="204"/>
      <c r="CE2" s="204"/>
      <c r="CF2" s="204"/>
      <c r="CG2" s="204"/>
      <c r="CH2" s="204"/>
      <c r="CI2" s="204"/>
      <c r="CJ2" s="204"/>
      <c r="CK2" s="204"/>
      <c r="CL2" s="204"/>
      <c r="CM2" s="204"/>
      <c r="CN2" s="204"/>
      <c r="CO2" s="204"/>
      <c r="CP2" s="204"/>
      <c r="CQ2" s="204"/>
      <c r="CR2" s="204"/>
      <c r="CS2" s="204"/>
      <c r="CT2" s="204"/>
      <c r="CU2" s="204"/>
      <c r="CV2" s="204"/>
      <c r="CW2" s="204"/>
      <c r="CX2" s="204"/>
      <c r="CY2" s="204"/>
      <c r="CZ2" s="204"/>
      <c r="DA2" s="204"/>
      <c r="DB2" s="204"/>
      <c r="DC2" s="204"/>
      <c r="DD2" s="204"/>
      <c r="DE2" s="204"/>
      <c r="DF2" s="204"/>
      <c r="DG2" s="204"/>
      <c r="DH2" s="204"/>
      <c r="DI2" s="204"/>
      <c r="DJ2" s="204"/>
      <c r="DK2" s="204"/>
    </row>
    <row r="3" spans="1:115" x14ac:dyDescent="0.25">
      <c r="E3" s="110"/>
      <c r="F3" s="198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200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204"/>
      <c r="BO3" s="204"/>
      <c r="BP3" s="204"/>
      <c r="BQ3" s="204"/>
      <c r="BR3" s="204"/>
      <c r="BS3" s="204"/>
      <c r="BT3" s="204"/>
      <c r="BU3" s="204"/>
      <c r="BV3" s="204"/>
      <c r="BW3" s="204"/>
      <c r="BX3" s="204"/>
      <c r="BY3" s="204"/>
      <c r="BZ3" s="204"/>
      <c r="CA3" s="204"/>
      <c r="CB3" s="204"/>
      <c r="CC3" s="204"/>
      <c r="CD3" s="204"/>
      <c r="CE3" s="204"/>
      <c r="CF3" s="204"/>
      <c r="CG3" s="204"/>
      <c r="CH3" s="204"/>
      <c r="CI3" s="204"/>
      <c r="CJ3" s="204"/>
      <c r="CK3" s="204"/>
      <c r="CL3" s="204"/>
      <c r="CM3" s="204"/>
      <c r="CN3" s="204"/>
      <c r="CO3" s="204"/>
      <c r="CP3" s="204"/>
      <c r="CQ3" s="204"/>
      <c r="CR3" s="204"/>
      <c r="CS3" s="204"/>
      <c r="CT3" s="204"/>
      <c r="CU3" s="204"/>
      <c r="CV3" s="204"/>
      <c r="CW3" s="204"/>
      <c r="CX3" s="204"/>
      <c r="CY3" s="204"/>
      <c r="CZ3" s="204"/>
      <c r="DA3" s="204"/>
      <c r="DB3" s="204"/>
      <c r="DC3" s="204"/>
      <c r="DD3" s="204"/>
      <c r="DE3" s="204"/>
      <c r="DF3" s="204"/>
      <c r="DG3" s="204"/>
      <c r="DH3" s="204"/>
      <c r="DI3" s="204"/>
      <c r="DJ3" s="204"/>
      <c r="DK3" s="204"/>
    </row>
    <row r="4" spans="1:115" x14ac:dyDescent="0.25">
      <c r="E4" s="110"/>
      <c r="F4" s="201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202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  <c r="AK4" s="204"/>
      <c r="AL4" s="204"/>
      <c r="AM4" s="204"/>
      <c r="AN4" s="204"/>
      <c r="AO4" s="204"/>
      <c r="AP4" s="204"/>
      <c r="AQ4" s="204"/>
      <c r="AR4" s="204"/>
      <c r="AS4" s="204"/>
      <c r="AT4" s="204"/>
      <c r="AU4" s="204"/>
      <c r="AV4" s="204"/>
      <c r="AW4" s="204"/>
      <c r="AX4" s="204"/>
      <c r="AY4" s="204"/>
      <c r="AZ4" s="204"/>
      <c r="BA4" s="204"/>
      <c r="BB4" s="204"/>
      <c r="BC4" s="204"/>
      <c r="BD4" s="204"/>
      <c r="BE4" s="204"/>
      <c r="BF4" s="204"/>
      <c r="BG4" s="204"/>
      <c r="BH4" s="204"/>
      <c r="BI4" s="204"/>
      <c r="BJ4" s="204"/>
      <c r="BK4" s="204"/>
      <c r="BL4" s="204"/>
      <c r="BM4" s="204"/>
      <c r="BN4" s="204"/>
      <c r="BO4" s="204"/>
      <c r="BP4" s="204"/>
      <c r="BQ4" s="204"/>
      <c r="BR4" s="204"/>
      <c r="BS4" s="204"/>
      <c r="BT4" s="204"/>
      <c r="BU4" s="204"/>
      <c r="BV4" s="204"/>
      <c r="BW4" s="204"/>
      <c r="BX4" s="204"/>
      <c r="BY4" s="204"/>
      <c r="BZ4" s="204"/>
      <c r="CA4" s="204"/>
      <c r="CB4" s="204"/>
      <c r="CC4" s="204"/>
      <c r="CD4" s="204"/>
      <c r="CE4" s="204"/>
      <c r="CF4" s="204"/>
      <c r="CG4" s="204"/>
      <c r="CH4" s="204"/>
      <c r="CI4" s="204"/>
      <c r="CJ4" s="204"/>
      <c r="CK4" s="204"/>
      <c r="CL4" s="204"/>
      <c r="CM4" s="204"/>
      <c r="CN4" s="204"/>
      <c r="CO4" s="204"/>
      <c r="CP4" s="204"/>
      <c r="CQ4" s="204"/>
      <c r="CR4" s="204"/>
      <c r="CS4" s="204"/>
      <c r="CT4" s="204"/>
      <c r="CU4" s="204"/>
      <c r="CV4" s="204"/>
      <c r="CW4" s="204"/>
      <c r="CX4" s="204"/>
      <c r="CY4" s="204"/>
      <c r="CZ4" s="204"/>
      <c r="DA4" s="204"/>
      <c r="DB4" s="204"/>
      <c r="DC4" s="204"/>
      <c r="DD4" s="204"/>
      <c r="DE4" s="204"/>
      <c r="DF4" s="204"/>
      <c r="DG4" s="204"/>
      <c r="DH4" s="204"/>
      <c r="DI4" s="204"/>
      <c r="DJ4" s="204"/>
      <c r="DK4" s="204"/>
    </row>
    <row r="5" spans="1:115" ht="26.25" x14ac:dyDescent="0.25">
      <c r="E5" s="110"/>
      <c r="F5" s="201"/>
      <c r="G5" s="197"/>
      <c r="H5" s="606" t="str">
        <f ca="1">_xll.DBRA(Server&amp;Context!$B$32,Context!$B$64,'PMM Analysis Report'!$N$19)</f>
        <v>Gross Margin variance - bridge</v>
      </c>
      <c r="I5" s="606"/>
      <c r="J5" s="606"/>
      <c r="K5" s="606"/>
      <c r="L5" s="606"/>
      <c r="M5" s="606"/>
      <c r="N5" s="606"/>
      <c r="O5" s="606"/>
      <c r="P5" s="606"/>
      <c r="Q5" s="606"/>
      <c r="R5" s="606"/>
      <c r="S5" s="606"/>
      <c r="T5" s="606"/>
      <c r="U5" s="197"/>
      <c r="V5" s="202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  <c r="BV5" s="204"/>
      <c r="BW5" s="204"/>
      <c r="BX5" s="204"/>
      <c r="BY5" s="204"/>
      <c r="BZ5" s="204"/>
      <c r="CA5" s="204"/>
      <c r="CB5" s="204"/>
      <c r="CC5" s="204"/>
      <c r="CD5" s="204"/>
      <c r="CE5" s="204"/>
      <c r="CF5" s="204"/>
      <c r="CG5" s="204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204"/>
      <c r="CT5" s="204"/>
      <c r="CU5" s="204"/>
      <c r="CV5" s="204"/>
      <c r="CW5" s="204"/>
      <c r="CX5" s="204"/>
      <c r="CY5" s="204"/>
      <c r="CZ5" s="204"/>
      <c r="DA5" s="204"/>
      <c r="DB5" s="204"/>
      <c r="DC5" s="204"/>
      <c r="DD5" s="204"/>
      <c r="DE5" s="204"/>
      <c r="DF5" s="204"/>
      <c r="DG5" s="204"/>
      <c r="DH5" s="204"/>
      <c r="DI5" s="204"/>
      <c r="DJ5" s="204"/>
      <c r="DK5" s="204"/>
    </row>
    <row r="6" spans="1:115" s="9" customFormat="1" ht="25.5" customHeight="1" x14ac:dyDescent="0.25">
      <c r="C6" s="1"/>
      <c r="D6" s="10"/>
      <c r="E6" s="110"/>
      <c r="F6" s="27"/>
      <c r="H6" s="607" t="str">
        <f ca="1">'PMM Analysis Report'!$K$8</f>
        <v>TRANSDEV All  //  PMM Transit activities  //  Local Currency  //  Local Gaap Management tool</v>
      </c>
      <c r="I6" s="607"/>
      <c r="J6" s="607"/>
      <c r="K6" s="607"/>
      <c r="L6" s="607"/>
      <c r="M6" s="607"/>
      <c r="N6" s="607"/>
      <c r="O6" s="607"/>
      <c r="P6" s="607"/>
      <c r="Q6" s="607"/>
      <c r="R6" s="607"/>
      <c r="S6" s="607"/>
      <c r="T6" s="607"/>
      <c r="U6" s="120"/>
      <c r="V6" s="2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</row>
    <row r="7" spans="1:115" s="34" customFormat="1" ht="57" customHeight="1" x14ac:dyDescent="0.25">
      <c r="B7" s="1"/>
      <c r="C7" s="1"/>
      <c r="D7" s="138"/>
      <c r="E7" s="110"/>
      <c r="F7" s="111"/>
      <c r="G7" s="112"/>
      <c r="H7" s="112"/>
      <c r="I7" s="113"/>
      <c r="J7" s="114"/>
      <c r="K7" s="115"/>
      <c r="L7" s="116"/>
      <c r="M7" s="116"/>
      <c r="N7" s="117"/>
      <c r="O7" s="118"/>
      <c r="P7" s="119"/>
      <c r="Q7" s="116"/>
      <c r="R7" s="117"/>
      <c r="S7" s="117"/>
      <c r="T7" s="118"/>
      <c r="U7" s="120"/>
      <c r="V7" s="2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</row>
    <row r="8" spans="1:115" s="34" customFormat="1" ht="15" hidden="1" customHeight="1" x14ac:dyDescent="0.25">
      <c r="B8" s="1"/>
      <c r="C8" s="1"/>
      <c r="D8" s="138"/>
      <c r="E8" s="110"/>
      <c r="F8" s="111"/>
      <c r="G8" s="112"/>
      <c r="H8" s="112"/>
      <c r="I8" s="150" t="s">
        <v>173</v>
      </c>
      <c r="J8" s="149" t="s">
        <v>171</v>
      </c>
      <c r="K8" s="115"/>
      <c r="L8" s="116"/>
      <c r="M8" s="116"/>
      <c r="N8" s="117"/>
      <c r="O8" s="118"/>
      <c r="P8" s="119"/>
      <c r="Q8" s="116"/>
      <c r="R8" s="117"/>
      <c r="S8" s="117"/>
      <c r="T8" s="118"/>
      <c r="U8" s="120"/>
      <c r="V8" s="2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</row>
    <row r="9" spans="1:115" s="34" customFormat="1" ht="15" hidden="1" customHeight="1" x14ac:dyDescent="0.25">
      <c r="B9" s="1"/>
      <c r="C9" s="1"/>
      <c r="D9" s="138"/>
      <c r="E9" s="110"/>
      <c r="F9" s="111"/>
      <c r="G9" s="112"/>
      <c r="H9" s="112"/>
      <c r="I9" s="150" t="s">
        <v>172</v>
      </c>
      <c r="J9" s="149" t="s">
        <v>171</v>
      </c>
      <c r="K9" s="115"/>
      <c r="L9" s="116"/>
      <c r="M9" s="116"/>
      <c r="N9" s="117"/>
      <c r="O9" s="118"/>
      <c r="P9" s="119"/>
      <c r="Q9" s="116"/>
      <c r="R9" s="117"/>
      <c r="S9" s="117"/>
      <c r="T9" s="118"/>
      <c r="U9" s="120"/>
      <c r="V9" s="2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</row>
    <row r="10" spans="1:115" s="34" customFormat="1" ht="52.5" customHeight="1" x14ac:dyDescent="0.35">
      <c r="B10" s="1"/>
      <c r="C10" s="1"/>
      <c r="D10" s="138"/>
      <c r="E10" s="110"/>
      <c r="F10" s="111"/>
      <c r="G10" s="112"/>
      <c r="H10" s="611" t="str">
        <f ca="1">'PMM Analysis Report'!S32</f>
        <v>Actual / Budget V current N</v>
      </c>
      <c r="I10" s="611"/>
      <c r="J10" s="611"/>
      <c r="K10" s="611"/>
      <c r="L10" s="611"/>
      <c r="M10" s="611"/>
      <c r="N10" s="612" t="str">
        <f ca="1">'PMM Analysis Report'!W32</f>
        <v>Actual / Actual N-1</v>
      </c>
      <c r="O10" s="612"/>
      <c r="P10" s="612"/>
      <c r="Q10" s="612"/>
      <c r="R10" s="612"/>
      <c r="S10" s="612"/>
      <c r="T10" s="612"/>
      <c r="U10" s="120"/>
      <c r="V10" s="28"/>
      <c r="W10" s="8"/>
      <c r="X10" s="8"/>
      <c r="Y10" s="8"/>
      <c r="Z10" s="8"/>
      <c r="AA10" s="203"/>
      <c r="AB10" s="203"/>
      <c r="AC10" s="203"/>
      <c r="AD10" s="203"/>
      <c r="AE10" s="203"/>
      <c r="AF10" s="203"/>
      <c r="AG10" s="203"/>
      <c r="AH10" s="203"/>
      <c r="AI10" s="203"/>
      <c r="AJ10" s="203"/>
      <c r="AK10" s="203"/>
      <c r="AL10" s="203"/>
      <c r="AM10" s="203"/>
      <c r="AN10" s="203"/>
      <c r="AO10" s="203"/>
      <c r="AP10" s="203"/>
      <c r="AQ10" s="203"/>
      <c r="AR10" s="203"/>
      <c r="AS10" s="203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</row>
    <row r="11" spans="1:115" s="34" customFormat="1" ht="38.25" customHeight="1" x14ac:dyDescent="0.25">
      <c r="A11" s="9"/>
      <c r="B11" s="1"/>
      <c r="C11" s="1"/>
      <c r="D11" s="10"/>
      <c r="E11" s="2"/>
      <c r="F11" s="30"/>
      <c r="G11" s="1"/>
      <c r="H11" s="608"/>
      <c r="I11" s="609"/>
      <c r="J11" s="609"/>
      <c r="K11" s="609"/>
      <c r="L11" s="609"/>
      <c r="M11" s="609"/>
      <c r="N11" s="609"/>
      <c r="O11" s="609"/>
      <c r="P11" s="609"/>
      <c r="Q11" s="609"/>
      <c r="R11" s="609"/>
      <c r="S11" s="609"/>
      <c r="T11" s="610"/>
      <c r="U11" s="9"/>
      <c r="V11" s="2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</row>
    <row r="12" spans="1:115" s="34" customFormat="1" ht="267" customHeight="1" x14ac:dyDescent="0.25">
      <c r="A12" s="9"/>
      <c r="B12" s="1"/>
      <c r="C12" s="1"/>
      <c r="D12" s="10"/>
      <c r="E12" s="2"/>
      <c r="F12" s="30"/>
      <c r="G12" s="1"/>
      <c r="H12" s="205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7"/>
      <c r="U12" s="9"/>
      <c r="V12" s="2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</row>
    <row r="13" spans="1:115" s="34" customFormat="1" ht="18" customHeight="1" x14ac:dyDescent="0.25">
      <c r="A13" s="9"/>
      <c r="B13" s="1"/>
      <c r="C13" s="1"/>
      <c r="D13" s="10"/>
      <c r="E13" s="2"/>
      <c r="F13" s="121"/>
      <c r="G13" s="122"/>
      <c r="H13" s="122"/>
      <c r="I13" s="123"/>
      <c r="J13" s="123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5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</row>
    <row r="14" spans="1:115" s="34" customFormat="1" ht="12.75" x14ac:dyDescent="0.25">
      <c r="A14" s="5"/>
      <c r="B14" s="2"/>
      <c r="C14" s="2"/>
      <c r="D14" s="10"/>
      <c r="E14" s="2"/>
      <c r="F14" s="2"/>
      <c r="G14" s="2"/>
      <c r="H14" s="2"/>
      <c r="I14" s="10"/>
      <c r="J14" s="10"/>
      <c r="K14" s="5"/>
      <c r="L14" s="5"/>
      <c r="M14" s="5"/>
      <c r="N14" s="7"/>
      <c r="O14" s="7"/>
      <c r="P14" s="7"/>
      <c r="Q14" s="5"/>
      <c r="R14" s="7"/>
      <c r="S14" s="7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</row>
    <row r="15" spans="1:115" s="34" customFormat="1" ht="12.75" x14ac:dyDescent="0.25">
      <c r="A15" s="5"/>
      <c r="B15" s="2"/>
      <c r="C15" s="2"/>
      <c r="D15" s="10"/>
      <c r="E15" s="2"/>
      <c r="F15" s="2"/>
      <c r="G15" s="2"/>
      <c r="H15" s="2"/>
      <c r="I15" s="10"/>
      <c r="J15" s="10"/>
      <c r="K15" s="5"/>
      <c r="L15" s="5"/>
      <c r="M15" s="5"/>
      <c r="N15" s="7"/>
      <c r="O15" s="7"/>
      <c r="P15" s="7"/>
      <c r="Q15" s="5"/>
      <c r="R15" s="7"/>
      <c r="S15" s="7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</row>
    <row r="16" spans="1:115" s="34" customFormat="1" ht="12.75" x14ac:dyDescent="0.25">
      <c r="A16" s="5"/>
      <c r="B16" s="2"/>
      <c r="C16" s="2"/>
      <c r="D16" s="10"/>
      <c r="E16" s="2"/>
      <c r="F16" s="2"/>
      <c r="G16" s="2"/>
      <c r="H16" s="2"/>
      <c r="I16" s="10"/>
      <c r="J16" s="10"/>
      <c r="K16" s="5"/>
      <c r="L16" s="5"/>
      <c r="M16" s="5"/>
      <c r="N16" s="7"/>
      <c r="O16" s="7"/>
      <c r="P16" s="7"/>
      <c r="Q16" s="5"/>
      <c r="R16" s="7"/>
      <c r="S16" s="7"/>
      <c r="T16" s="8"/>
      <c r="U16" s="8"/>
      <c r="V16" s="8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</row>
    <row r="17" spans="1:115" s="34" customFormat="1" ht="12.75" x14ac:dyDescent="0.25">
      <c r="A17" s="5"/>
      <c r="B17" s="2"/>
      <c r="C17" s="2"/>
      <c r="D17" s="10"/>
      <c r="E17" s="2"/>
      <c r="F17" s="2"/>
      <c r="G17" s="2"/>
      <c r="H17" s="2"/>
      <c r="I17" s="10"/>
      <c r="J17" s="10"/>
      <c r="K17" s="5"/>
      <c r="L17" s="5"/>
      <c r="M17" s="14"/>
      <c r="N17" s="7"/>
      <c r="O17" s="7"/>
      <c r="P17" s="7"/>
      <c r="Q17" s="5"/>
      <c r="R17" s="7"/>
      <c r="S17" s="7"/>
      <c r="T17" s="8"/>
      <c r="U17" s="8"/>
      <c r="V17" s="8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</row>
    <row r="18" spans="1:115" s="34" customFormat="1" ht="18" customHeight="1" x14ac:dyDescent="0.25">
      <c r="A18" s="5"/>
      <c r="B18" s="2"/>
      <c r="C18" s="2"/>
      <c r="D18" s="10"/>
      <c r="E18" s="2"/>
      <c r="F18" s="2"/>
      <c r="G18" s="2"/>
      <c r="H18" s="2"/>
      <c r="I18" s="10"/>
      <c r="J18" s="10"/>
      <c r="K18" s="5"/>
      <c r="L18" s="5"/>
      <c r="M18" s="5"/>
      <c r="N18" s="7"/>
      <c r="O18" s="7"/>
      <c r="P18" s="7"/>
      <c r="Q18" s="5"/>
      <c r="R18" s="7"/>
      <c r="S18" s="7"/>
      <c r="T18" s="8"/>
      <c r="U18" s="8"/>
      <c r="V18" s="8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</row>
    <row r="19" spans="1:115" s="34" customFormat="1" ht="18" customHeight="1" x14ac:dyDescent="0.25">
      <c r="A19" s="5"/>
      <c r="B19" s="2"/>
      <c r="C19" s="2"/>
      <c r="D19" s="10"/>
      <c r="E19" s="2"/>
      <c r="F19" s="2"/>
      <c r="G19" s="2"/>
      <c r="H19" s="2"/>
      <c r="I19" s="10"/>
      <c r="J19" s="10"/>
      <c r="K19" s="5"/>
      <c r="L19" s="5"/>
      <c r="M19" s="5"/>
      <c r="N19" s="7"/>
      <c r="O19" s="7"/>
      <c r="P19" s="7"/>
      <c r="Q19" s="5"/>
      <c r="R19" s="7"/>
      <c r="S19" s="7"/>
      <c r="T19" s="8"/>
      <c r="U19" s="8"/>
      <c r="V19" s="8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</row>
    <row r="20" spans="1:115" s="34" customFormat="1" ht="12.75" x14ac:dyDescent="0.25">
      <c r="A20" s="5"/>
      <c r="B20" s="2"/>
      <c r="C20" s="2"/>
      <c r="D20" s="10"/>
      <c r="E20" s="2"/>
      <c r="F20" s="2"/>
      <c r="G20" s="2"/>
      <c r="H20" s="2"/>
      <c r="I20" s="10"/>
      <c r="J20" s="10"/>
      <c r="K20" s="5"/>
      <c r="L20" s="5"/>
      <c r="M20" s="5"/>
      <c r="N20" s="7"/>
      <c r="O20" s="7"/>
      <c r="P20" s="7"/>
      <c r="Q20" s="5"/>
      <c r="R20" s="7"/>
      <c r="S20" s="7"/>
      <c r="T20" s="8"/>
      <c r="U20" s="8"/>
      <c r="V20" s="8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</row>
    <row r="21" spans="1:115" s="34" customFormat="1" ht="12.75" x14ac:dyDescent="0.25">
      <c r="A21" s="5"/>
      <c r="B21" s="2"/>
      <c r="C21" s="2"/>
      <c r="D21" s="10"/>
      <c r="E21" s="2"/>
      <c r="F21" s="2"/>
      <c r="G21" s="2"/>
      <c r="H21" s="2"/>
      <c r="I21" s="10"/>
      <c r="J21" s="10"/>
      <c r="K21" s="5"/>
      <c r="L21" s="5"/>
      <c r="M21" s="5"/>
      <c r="N21" s="7"/>
      <c r="O21" s="7"/>
      <c r="P21" s="7"/>
      <c r="Q21" s="5"/>
      <c r="R21" s="7"/>
      <c r="S21" s="7"/>
      <c r="T21" s="8"/>
      <c r="U21" s="8"/>
      <c r="V21" s="8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</row>
    <row r="22" spans="1:115" s="34" customFormat="1" ht="12.75" x14ac:dyDescent="0.25">
      <c r="A22" s="5"/>
      <c r="B22" s="2"/>
      <c r="C22" s="2"/>
      <c r="D22" s="10"/>
      <c r="E22" s="2"/>
      <c r="F22" s="2"/>
      <c r="G22" s="2"/>
      <c r="H22" s="2"/>
      <c r="I22" s="10"/>
      <c r="J22" s="10"/>
      <c r="K22" s="5"/>
      <c r="L22" s="5"/>
      <c r="M22" s="5"/>
      <c r="N22" s="7"/>
      <c r="O22" s="7"/>
      <c r="P22" s="7"/>
      <c r="Q22" s="5"/>
      <c r="R22" s="7"/>
      <c r="S22" s="7"/>
      <c r="T22" s="8"/>
      <c r="U22" s="8"/>
      <c r="V22" s="8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176"/>
      <c r="BE22" s="176"/>
      <c r="BF22" s="176"/>
      <c r="BG22" s="176"/>
      <c r="BH22" s="176"/>
      <c r="BI22" s="176"/>
      <c r="BJ22" s="176"/>
      <c r="BK22" s="176"/>
      <c r="BL22" s="176"/>
      <c r="BM22" s="176"/>
      <c r="BN22" s="176"/>
      <c r="BO22" s="176"/>
      <c r="BP22" s="176"/>
      <c r="BQ22" s="176"/>
      <c r="BR22" s="176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</row>
    <row r="23" spans="1:115" s="34" customFormat="1" ht="18.75" x14ac:dyDescent="0.25">
      <c r="A23" s="5"/>
      <c r="B23" s="2"/>
      <c r="C23" s="2"/>
      <c r="D23" s="10"/>
      <c r="E23" s="2"/>
      <c r="F23" s="2"/>
      <c r="G23" s="2"/>
      <c r="H23" s="2"/>
      <c r="I23" s="10"/>
      <c r="J23" s="10"/>
      <c r="K23" s="5"/>
      <c r="L23" s="5"/>
      <c r="M23" s="5"/>
      <c r="N23" s="7"/>
      <c r="O23" s="7"/>
      <c r="P23" s="7"/>
      <c r="Q23" s="5"/>
      <c r="R23" s="7"/>
      <c r="S23" s="7"/>
      <c r="T23" s="8"/>
      <c r="U23" s="8"/>
      <c r="V23" s="8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170" t="s">
        <v>229</v>
      </c>
      <c r="AU23" s="170"/>
      <c r="AV23" s="5"/>
      <c r="AW23" s="172">
        <f ca="1">MAX(AG41:AM41)</f>
        <v>2205872657.4266357</v>
      </c>
      <c r="AX23" s="172"/>
      <c r="AY23" s="170">
        <f ca="1">MAX(BA41:BG41)</f>
        <v>4248995105.423008</v>
      </c>
      <c r="AZ23" s="5"/>
      <c r="BA23" s="170"/>
      <c r="BB23" s="5"/>
      <c r="BC23" s="5"/>
      <c r="BD23" s="176"/>
      <c r="BE23" s="176"/>
      <c r="BF23" s="176"/>
      <c r="BG23" s="176"/>
      <c r="BH23" s="176"/>
      <c r="BI23" s="176"/>
      <c r="BJ23" s="176"/>
      <c r="BK23" s="176"/>
      <c r="BL23" s="176"/>
      <c r="BM23" s="176"/>
      <c r="BN23" s="176"/>
      <c r="BO23" s="176"/>
      <c r="BP23" s="176"/>
      <c r="BQ23" s="176"/>
      <c r="BR23" s="176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</row>
    <row r="24" spans="1:115" s="34" customFormat="1" ht="18.75" x14ac:dyDescent="0.25">
      <c r="A24" s="5"/>
      <c r="B24" s="2"/>
      <c r="C24" s="2"/>
      <c r="D24" s="10"/>
      <c r="E24" s="2"/>
      <c r="F24" s="2"/>
      <c r="G24" s="2"/>
      <c r="H24" s="2"/>
      <c r="I24" s="10"/>
      <c r="J24" s="10"/>
      <c r="K24" s="5"/>
      <c r="L24" s="5"/>
      <c r="M24" s="5"/>
      <c r="N24" s="7"/>
      <c r="O24" s="7"/>
      <c r="P24" s="7"/>
      <c r="Q24" s="5"/>
      <c r="R24" s="7"/>
      <c r="S24" s="7"/>
      <c r="T24" s="8"/>
      <c r="U24" s="8"/>
      <c r="V24" s="8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170" t="s">
        <v>228</v>
      </c>
      <c r="AU24" s="170"/>
      <c r="AV24" s="5"/>
      <c r="AW24" s="172">
        <f ca="1">MIN(AF42:AN42)</f>
        <v>148131474.12851077</v>
      </c>
      <c r="AX24" s="172"/>
      <c r="AY24" s="170">
        <f ca="1">MIN(AZ42:BH42)</f>
        <v>222562676.90886968</v>
      </c>
      <c r="AZ24" s="5"/>
      <c r="BA24" s="170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</row>
    <row r="25" spans="1:115" s="34" customFormat="1" ht="18.75" x14ac:dyDescent="0.25">
      <c r="A25" s="5"/>
      <c r="B25" s="2"/>
      <c r="C25" s="2"/>
      <c r="D25" s="10"/>
      <c r="E25" s="2"/>
      <c r="F25" s="2"/>
      <c r="G25" s="2"/>
      <c r="H25" s="2"/>
      <c r="I25" s="10"/>
      <c r="J25" s="10"/>
      <c r="K25" s="5"/>
      <c r="L25" s="5"/>
      <c r="M25" s="5"/>
      <c r="N25" s="7"/>
      <c r="O25" s="7"/>
      <c r="P25" s="7"/>
      <c r="Q25" s="5"/>
      <c r="R25" s="7"/>
      <c r="S25" s="7"/>
      <c r="T25" s="8"/>
      <c r="U25" s="8"/>
      <c r="V25" s="8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170" t="s">
        <v>227</v>
      </c>
      <c r="AU25" s="170"/>
      <c r="AV25" s="5"/>
      <c r="AW25" s="170">
        <f ca="1">INT(AW24/AW23)</f>
        <v>0</v>
      </c>
      <c r="AX25" s="170"/>
      <c r="AY25" s="170">
        <f ca="1">INT(AY24/AY23)</f>
        <v>0</v>
      </c>
      <c r="AZ25" s="5"/>
      <c r="BA25" s="170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</row>
    <row r="26" spans="1:115" s="34" customFormat="1" ht="18.75" x14ac:dyDescent="0.25">
      <c r="A26" s="5"/>
      <c r="B26" s="2"/>
      <c r="C26" s="2"/>
      <c r="D26" s="10"/>
      <c r="E26" s="2"/>
      <c r="F26" s="2"/>
      <c r="G26" s="2"/>
      <c r="H26" s="2"/>
      <c r="I26" s="10"/>
      <c r="J26" s="10"/>
      <c r="K26" s="5"/>
      <c r="L26" s="5"/>
      <c r="M26" s="5"/>
      <c r="N26" s="7"/>
      <c r="O26" s="7"/>
      <c r="P26" s="7"/>
      <c r="Q26" s="5"/>
      <c r="R26" s="7"/>
      <c r="S26" s="7"/>
      <c r="T26" s="8"/>
      <c r="U26" s="8"/>
      <c r="V26" s="8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170" t="s">
        <v>226</v>
      </c>
      <c r="AU26" s="170"/>
      <c r="AV26" s="5"/>
      <c r="AW26" s="170"/>
      <c r="AX26" s="170">
        <v>1</v>
      </c>
      <c r="AY26" s="170"/>
      <c r="AZ26" s="5"/>
      <c r="BA26" s="170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</row>
    <row r="27" spans="1:115" s="34" customFormat="1" ht="18.75" x14ac:dyDescent="0.25">
      <c r="A27" s="5"/>
      <c r="B27" s="2"/>
      <c r="C27" s="2"/>
      <c r="D27" s="10"/>
      <c r="E27" s="2"/>
      <c r="F27" s="2"/>
      <c r="G27" s="2"/>
      <c r="H27" s="2"/>
      <c r="I27" s="10"/>
      <c r="J27" s="10"/>
      <c r="K27" s="5"/>
      <c r="L27" s="5"/>
      <c r="M27" s="5"/>
      <c r="N27" s="7"/>
      <c r="O27" s="7"/>
      <c r="P27" s="7"/>
      <c r="Q27" s="5"/>
      <c r="R27" s="7"/>
      <c r="S27" s="7"/>
      <c r="T27" s="8"/>
      <c r="U27" s="8"/>
      <c r="V27" s="8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170"/>
      <c r="AU27" s="172"/>
      <c r="AV27" s="170"/>
      <c r="AW27" s="170"/>
      <c r="AX27" s="170"/>
      <c r="AY27" s="170"/>
      <c r="AZ27" s="170"/>
      <c r="BA27" s="172"/>
      <c r="BB27" s="170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</row>
    <row r="28" spans="1:115" s="34" customFormat="1" ht="18.75" x14ac:dyDescent="0.25">
      <c r="A28" s="5"/>
      <c r="B28" s="2"/>
      <c r="C28" s="2"/>
      <c r="D28" s="10"/>
      <c r="E28" s="2"/>
      <c r="F28" s="2"/>
      <c r="G28" s="2"/>
      <c r="H28" s="2"/>
      <c r="I28" s="10"/>
      <c r="J28" s="10"/>
      <c r="K28" s="5"/>
      <c r="L28" s="5"/>
      <c r="M28" s="5"/>
      <c r="N28" s="7"/>
      <c r="O28" s="7"/>
      <c r="P28" s="7"/>
      <c r="Q28" s="5"/>
      <c r="R28" s="7"/>
      <c r="S28" s="7"/>
      <c r="T28" s="8"/>
      <c r="U28" s="8"/>
      <c r="V28" s="8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170" t="s">
        <v>225</v>
      </c>
      <c r="AU28" s="170"/>
      <c r="AV28" s="170"/>
      <c r="AW28" s="170">
        <f ca="1">IF(AW23&lt;100,1,IF(AW23&lt;1000,100,IF(AW23&lt;10000,1000,IF(AW23&lt;100000,10000,IF(AW23&lt;1000000,100000,IF(AW23&lt;10000000,1000000,IF(AW23&lt;100000000,10000000,100000000)))))))</f>
        <v>100000000</v>
      </c>
      <c r="AX28" s="170"/>
      <c r="AY28" s="170">
        <f ca="1">IF(AY23&lt;100,1,IF(AY23&lt;1000,100,IF(AY23&lt;10000,1000,IF(AY23&lt;100000,10000,IF(AY23&lt;1000000,100000,IF(AY23&lt;10000000,1000000,IF(AY23&lt;100000000,10000000,100000000)))))))</f>
        <v>100000000</v>
      </c>
      <c r="AZ28" s="170"/>
      <c r="BA28" s="170"/>
      <c r="BB28" s="170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</row>
    <row r="29" spans="1:115" s="34" customFormat="1" ht="18.75" x14ac:dyDescent="0.25">
      <c r="A29" s="5"/>
      <c r="B29" s="2"/>
      <c r="C29" s="2"/>
      <c r="D29" s="10"/>
      <c r="E29" s="2"/>
      <c r="F29" s="2"/>
      <c r="G29" s="2"/>
      <c r="H29" s="2"/>
      <c r="I29" s="10"/>
      <c r="J29" s="10"/>
      <c r="K29" s="5"/>
      <c r="L29" s="5"/>
      <c r="M29" s="5"/>
      <c r="N29" s="7"/>
      <c r="O29" s="7"/>
      <c r="P29" s="7"/>
      <c r="Q29" s="5"/>
      <c r="R29" s="7"/>
      <c r="S29" s="7"/>
      <c r="T29" s="8"/>
      <c r="U29" s="8"/>
      <c r="V29" s="8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170" t="s">
        <v>224</v>
      </c>
      <c r="AU29" s="170">
        <f ca="1">IF($AX$45="Yes",AX29,AW29)</f>
        <v>0</v>
      </c>
      <c r="AV29" s="170"/>
      <c r="AW29" s="170">
        <f ca="1">IF($AX$42="Yes",IF(AND(AV56&gt;=0,AV57&gt;0),MAX(INT(INT(AW23/AW28)*AW28*(AW25-$AX$26)),0),0),0)</f>
        <v>0</v>
      </c>
      <c r="AX29" s="170">
        <f ca="1">IF(OR(AW29&lt;0,AY29&lt;0),MAX(AW29,AY29),MIN(AW29,AY29))</f>
        <v>0</v>
      </c>
      <c r="AY29" s="170">
        <f ca="1">IF($AX$42="Yes",IF(AND(BP56&gt;=0,BP57&gt;0),MAX(INT(INT(AY23/AY28)*AY28*(AY25-$AX$26)),0),0),0)</f>
        <v>0</v>
      </c>
      <c r="AZ29" s="170"/>
      <c r="BA29" s="170">
        <f ca="1">IF($AX$45="Yes",AX29,AY29)</f>
        <v>0</v>
      </c>
      <c r="BB29" s="170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</row>
    <row r="30" spans="1:115" s="34" customFormat="1" ht="18.75" x14ac:dyDescent="0.25">
      <c r="A30" s="5"/>
      <c r="B30" s="2"/>
      <c r="C30" s="2"/>
      <c r="D30" s="10"/>
      <c r="E30" s="2"/>
      <c r="F30" s="2"/>
      <c r="G30" s="2"/>
      <c r="H30" s="2"/>
      <c r="I30" s="10"/>
      <c r="J30" s="10"/>
      <c r="K30" s="5"/>
      <c r="L30" s="5"/>
      <c r="M30" s="5"/>
      <c r="N30" s="7"/>
      <c r="O30" s="7"/>
      <c r="P30" s="7"/>
      <c r="Q30" s="5"/>
      <c r="R30" s="7"/>
      <c r="S30" s="7"/>
      <c r="T30" s="8"/>
      <c r="U30" s="8"/>
      <c r="V30" s="8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170"/>
      <c r="AL30" s="170"/>
      <c r="AM30" s="5"/>
      <c r="AN30" s="5"/>
      <c r="AO30" s="5"/>
      <c r="AP30" s="5"/>
      <c r="AQ30" s="5"/>
      <c r="AR30" s="5"/>
      <c r="AS30" s="5"/>
      <c r="AT30" s="170" t="s">
        <v>223</v>
      </c>
      <c r="AU30" s="170">
        <f ca="1">IF($AX$45="Yes",AX30,AW30)</f>
        <v>0</v>
      </c>
      <c r="AV30" s="5"/>
      <c r="AW30" s="170">
        <f ca="1">IF(AX42="Yes",0-IF(AND(AV56&lt;=0,AV57&lt;0),MAX(INT(INT(AW23/AW28)*AW28*(AW25-$AX$26)),0),0),0)</f>
        <v>0</v>
      </c>
      <c r="AX30" s="170">
        <f ca="1">IF(OR(AW30&lt;0,AY30&lt;0),MAX(AW30,AY30),MIN(AW30,AY30))</f>
        <v>0</v>
      </c>
      <c r="AY30" s="170">
        <f ca="1">IF(AX42="Yes",0-IF(AND(BP56&lt;=0,BP57&lt;0),MAX(INT(INT(AY23/AY28)*AY28*(AY25-$AX$26)),0),0),0)</f>
        <v>0</v>
      </c>
      <c r="AZ30" s="5"/>
      <c r="BA30" s="170">
        <f ca="1">IF($AX$45="Yes",AX30,AY30)</f>
        <v>0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</row>
    <row r="31" spans="1:115" s="34" customFormat="1" ht="18.75" x14ac:dyDescent="0.25">
      <c r="A31" s="5"/>
      <c r="B31" s="2"/>
      <c r="C31" s="2"/>
      <c r="D31" s="10"/>
      <c r="E31" s="2"/>
      <c r="F31" s="2"/>
      <c r="G31" s="2"/>
      <c r="H31" s="2"/>
      <c r="I31" s="10"/>
      <c r="J31" s="10"/>
      <c r="K31" s="5"/>
      <c r="L31" s="5"/>
      <c r="M31" s="5"/>
      <c r="N31" s="7"/>
      <c r="O31" s="7"/>
      <c r="P31" s="7"/>
      <c r="Q31" s="5"/>
      <c r="R31" s="7"/>
      <c r="S31" s="7"/>
      <c r="T31" s="8"/>
      <c r="U31" s="8"/>
      <c r="V31" s="8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170" t="s">
        <v>222</v>
      </c>
      <c r="AU31" s="177">
        <f ca="1">SUM(AU29:AU30)</f>
        <v>0</v>
      </c>
      <c r="AV31" s="178"/>
      <c r="AW31" s="5"/>
      <c r="AX31" s="5"/>
      <c r="AY31" s="5"/>
      <c r="AZ31" s="5"/>
      <c r="BA31" s="177">
        <f ca="1">SUM(BA29:BA30)</f>
        <v>0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</row>
    <row r="32" spans="1:115" s="34" customFormat="1" ht="18.75" x14ac:dyDescent="0.25">
      <c r="A32" s="5"/>
      <c r="B32" s="2"/>
      <c r="C32" s="2"/>
      <c r="D32" s="10"/>
      <c r="E32" s="2"/>
      <c r="F32" s="2"/>
      <c r="G32" s="2"/>
      <c r="H32" s="2"/>
      <c r="I32" s="10"/>
      <c r="J32" s="10"/>
      <c r="K32" s="5"/>
      <c r="L32" s="5"/>
      <c r="M32" s="5"/>
      <c r="N32" s="7"/>
      <c r="O32" s="7"/>
      <c r="P32" s="7"/>
      <c r="Q32" s="5"/>
      <c r="R32" s="7"/>
      <c r="S32" s="7"/>
      <c r="T32" s="8"/>
      <c r="U32" s="8"/>
      <c r="V32" s="8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170"/>
      <c r="AU32" s="170"/>
      <c r="AV32" s="170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</row>
    <row r="33" spans="1:115" s="34" customFormat="1" ht="12.75" x14ac:dyDescent="0.25">
      <c r="A33" s="5"/>
      <c r="B33" s="2"/>
      <c r="C33" s="2"/>
      <c r="D33" s="10"/>
      <c r="E33" s="2"/>
      <c r="F33" s="2"/>
      <c r="G33" s="2"/>
      <c r="H33" s="2"/>
      <c r="I33" s="10"/>
      <c r="J33" s="10"/>
      <c r="K33" s="5"/>
      <c r="L33" s="5"/>
      <c r="M33" s="5"/>
      <c r="N33" s="7"/>
      <c r="O33" s="7"/>
      <c r="P33" s="7"/>
      <c r="Q33" s="5"/>
      <c r="R33" s="7"/>
      <c r="S33" s="7"/>
      <c r="T33" s="8"/>
      <c r="U33" s="8"/>
      <c r="V33" s="8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</row>
    <row r="34" spans="1:115" s="34" customFormat="1" ht="12.75" x14ac:dyDescent="0.25">
      <c r="A34" s="5"/>
      <c r="B34" s="2"/>
      <c r="C34" s="2"/>
      <c r="D34" s="10"/>
      <c r="E34" s="2"/>
      <c r="F34" s="2"/>
      <c r="G34" s="2"/>
      <c r="H34" s="2"/>
      <c r="I34" s="10"/>
      <c r="J34" s="10"/>
      <c r="K34" s="5"/>
      <c r="L34" s="5"/>
      <c r="M34" s="5"/>
      <c r="N34" s="7"/>
      <c r="O34" s="7"/>
      <c r="P34" s="7"/>
      <c r="Q34" s="5"/>
      <c r="R34" s="7"/>
      <c r="S34" s="7"/>
      <c r="T34" s="8"/>
      <c r="U34" s="8"/>
      <c r="V34" s="8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179">
        <f ca="1">MIN($AF$51:$AN$51)</f>
        <v>148131474.12851077</v>
      </c>
      <c r="AX34" s="179">
        <f ca="1">MIN(AW34,AY34)</f>
        <v>148131474.12851077</v>
      </c>
      <c r="AY34" s="179">
        <f ca="1">MIN($AZ$51:$BH$51)</f>
        <v>222562676.90886968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</row>
    <row r="35" spans="1:115" s="34" customFormat="1" ht="12.75" x14ac:dyDescent="0.25">
      <c r="A35" s="5"/>
      <c r="B35" s="2"/>
      <c r="C35" s="2"/>
      <c r="D35" s="10"/>
      <c r="E35" s="2"/>
      <c r="F35" s="2"/>
      <c r="G35" s="2"/>
      <c r="H35" s="2"/>
      <c r="I35" s="10"/>
      <c r="J35" s="10"/>
      <c r="K35" s="5"/>
      <c r="L35" s="5"/>
      <c r="M35" s="5"/>
      <c r="N35" s="7"/>
      <c r="O35" s="7"/>
      <c r="P35" s="7"/>
      <c r="Q35" s="5"/>
      <c r="R35" s="7"/>
      <c r="S35" s="7"/>
      <c r="T35" s="8"/>
      <c r="U35" s="8"/>
      <c r="V35" s="8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179">
        <f ca="1">MAX($AF$51:$AN$51)</f>
        <v>4660301109.3617516</v>
      </c>
      <c r="AX35" s="179">
        <f ca="1">MAX(AW35,AY35)</f>
        <v>6646219268.8095036</v>
      </c>
      <c r="AY35" s="179">
        <f ca="1">MAX($AZ$51:$BH$51)</f>
        <v>6646219268.8095036</v>
      </c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</row>
    <row r="36" spans="1:115" s="34" customFormat="1" ht="12.75" x14ac:dyDescent="0.25">
      <c r="A36" s="5"/>
      <c r="B36" s="2"/>
      <c r="C36" s="2"/>
      <c r="D36" s="10"/>
      <c r="E36" s="2"/>
      <c r="F36" s="2"/>
      <c r="G36" s="2"/>
      <c r="H36" s="2"/>
      <c r="I36" s="10"/>
      <c r="J36" s="10"/>
      <c r="K36" s="5"/>
      <c r="L36" s="5"/>
      <c r="M36" s="5"/>
      <c r="N36" s="7"/>
      <c r="O36" s="7"/>
      <c r="P36" s="7"/>
      <c r="Q36" s="5"/>
      <c r="R36" s="7"/>
      <c r="S36" s="7"/>
      <c r="T36" s="8"/>
      <c r="U36" s="8"/>
      <c r="V36" s="8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</row>
    <row r="37" spans="1:115" s="34" customFormat="1" ht="12.75" x14ac:dyDescent="0.25">
      <c r="A37" s="5"/>
      <c r="B37" s="2"/>
      <c r="C37" s="2"/>
      <c r="D37" s="10"/>
      <c r="E37" s="2"/>
      <c r="F37" s="2"/>
      <c r="G37" s="2"/>
      <c r="H37" s="2"/>
      <c r="I37" s="10"/>
      <c r="J37" s="10"/>
      <c r="K37" s="5"/>
      <c r="L37" s="5"/>
      <c r="M37" s="5"/>
      <c r="N37" s="7"/>
      <c r="O37" s="7"/>
      <c r="P37" s="7"/>
      <c r="Q37" s="5"/>
      <c r="R37" s="7"/>
      <c r="S37" s="7"/>
      <c r="T37" s="8"/>
      <c r="U37" s="8"/>
      <c r="V37" s="8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</row>
    <row r="38" spans="1:115" s="34" customFormat="1" ht="12.75" x14ac:dyDescent="0.25">
      <c r="A38" s="5"/>
      <c r="B38" s="2"/>
      <c r="C38" s="2"/>
      <c r="D38" s="10"/>
      <c r="E38" s="2"/>
      <c r="F38" s="2"/>
      <c r="G38" s="2"/>
      <c r="H38" s="2"/>
      <c r="I38" s="10"/>
      <c r="J38" s="10"/>
      <c r="K38" s="5"/>
      <c r="L38" s="5"/>
      <c r="M38" s="5"/>
      <c r="N38" s="7"/>
      <c r="O38" s="7"/>
      <c r="P38" s="7"/>
      <c r="Q38" s="5"/>
      <c r="R38" s="7"/>
      <c r="S38" s="7"/>
      <c r="T38" s="8"/>
      <c r="U38" s="8"/>
      <c r="V38" s="8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</row>
    <row r="39" spans="1:115" s="34" customFormat="1" ht="18.75" x14ac:dyDescent="0.25">
      <c r="A39" s="5"/>
      <c r="B39" s="2"/>
      <c r="C39" s="2"/>
      <c r="D39" s="10"/>
      <c r="E39" s="2"/>
      <c r="F39" s="2"/>
      <c r="G39" s="2"/>
      <c r="H39" s="2"/>
      <c r="I39" s="10"/>
      <c r="J39" s="10"/>
      <c r="K39" s="5"/>
      <c r="L39" s="5"/>
      <c r="M39" s="5"/>
      <c r="N39" s="7"/>
      <c r="O39" s="7"/>
      <c r="P39" s="7"/>
      <c r="Q39" s="5"/>
      <c r="R39" s="7"/>
      <c r="S39" s="7"/>
      <c r="T39" s="8"/>
      <c r="U39" s="8"/>
      <c r="V39" s="8"/>
      <c r="W39" s="5"/>
      <c r="X39" s="5"/>
      <c r="Y39" s="5"/>
      <c r="Z39" s="5"/>
      <c r="AA39" s="5"/>
      <c r="AB39" s="5"/>
      <c r="AC39" s="5"/>
      <c r="AD39" s="5"/>
      <c r="AE39" s="175" t="s">
        <v>183</v>
      </c>
      <c r="AF39" s="170">
        <f t="shared" ref="AF39:AN39" ca="1" si="0">IF(AF49&gt;0,AF49,0)</f>
        <v>148131474.12851077</v>
      </c>
      <c r="AG39" s="170">
        <f t="shared" ca="1" si="0"/>
        <v>2205872657.4266357</v>
      </c>
      <c r="AH39" s="170">
        <f t="shared" ca="1" si="0"/>
        <v>717639038.67622352</v>
      </c>
      <c r="AI39" s="170">
        <f t="shared" ca="1" si="0"/>
        <v>67256732.806330919</v>
      </c>
      <c r="AJ39" s="170">
        <f t="shared" ca="1" si="0"/>
        <v>47792591.759666085</v>
      </c>
      <c r="AK39" s="170">
        <f t="shared" ca="1" si="0"/>
        <v>729884528.50687182</v>
      </c>
      <c r="AL39" s="170">
        <f t="shared" ca="1" si="0"/>
        <v>743724086.05751371</v>
      </c>
      <c r="AM39" s="170">
        <f t="shared" ca="1" si="0"/>
        <v>0</v>
      </c>
      <c r="AN39" s="170">
        <f t="shared" ca="1" si="0"/>
        <v>2478501656.3499999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</row>
    <row r="40" spans="1:115" s="34" customFormat="1" ht="18.75" x14ac:dyDescent="0.25">
      <c r="A40" s="5"/>
      <c r="B40" s="2"/>
      <c r="C40" s="2"/>
      <c r="D40" s="10"/>
      <c r="E40" s="2"/>
      <c r="F40" s="2"/>
      <c r="G40" s="2"/>
      <c r="H40" s="2"/>
      <c r="I40" s="10"/>
      <c r="J40" s="140"/>
      <c r="K40" s="5"/>
      <c r="L40" s="5"/>
      <c r="M40" s="5"/>
      <c r="N40" s="7"/>
      <c r="O40" s="7"/>
      <c r="P40" s="7"/>
      <c r="Q40" s="5"/>
      <c r="R40" s="7"/>
      <c r="S40" s="7"/>
      <c r="T40" s="8"/>
      <c r="U40" s="8"/>
      <c r="V40" s="8"/>
      <c r="W40" s="5"/>
      <c r="X40" s="5"/>
      <c r="Y40" s="5"/>
      <c r="Z40" s="5"/>
      <c r="AA40" s="5"/>
      <c r="AB40" s="5"/>
      <c r="AC40" s="5"/>
      <c r="AD40" s="5"/>
      <c r="AE40" s="174" t="s">
        <v>208</v>
      </c>
      <c r="AF40" s="173">
        <f ca="1">'PMM Analysis Report'!$R$124</f>
        <v>148131474.12851077</v>
      </c>
      <c r="AG40" s="173">
        <f ca="1">'PMM Analysis Report'!$S$36</f>
        <v>2205872657.4266357</v>
      </c>
      <c r="AH40" s="173">
        <f ca="1">'PMM Analysis Report'!$S$327</f>
        <v>717639038.67622352</v>
      </c>
      <c r="AI40" s="173">
        <f ca="1">'PMM Analysis Report'!$S$390</f>
        <v>67256732.806330919</v>
      </c>
      <c r="AJ40" s="173">
        <f ca="1">'PMM Analysis Report'!$S$453</f>
        <v>47792591.759666085</v>
      </c>
      <c r="AK40" s="173">
        <f ca="1">'PMM Analysis Report'!$S$517</f>
        <v>729884528.50687182</v>
      </c>
      <c r="AL40" s="173">
        <f ca="1">'PMM Analysis Report'!$S$580</f>
        <v>743724086.05751371</v>
      </c>
      <c r="AM40" s="173">
        <f ca="1">'PMM Analysis Report'!$S$328+'PMM Analysis Report'!$S$391+'PMM Analysis Report'!$S$454+'PMM Analysis Report'!$S$518+'PMM Analysis Report'!$S$581</f>
        <v>-2182037789.9285383</v>
      </c>
      <c r="AN40" s="173">
        <f ca="1">'PMM Analysis Report'!$Q$124</f>
        <v>2478501656.3499999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173">
        <f ca="1">'PMM Analysis Report'!$V$124</f>
        <v>222562676.90886968</v>
      </c>
      <c r="BA40" s="173">
        <f ca="1">'PMM Analysis Report'!$W$36</f>
        <v>4248995105.423008</v>
      </c>
      <c r="BB40" s="173">
        <f ca="1">'PMM Analysis Report'!$W$327</f>
        <v>335018944.81205416</v>
      </c>
      <c r="BC40" s="173">
        <f ca="1">'PMM Analysis Report'!$W$390</f>
        <v>339245357.56435299</v>
      </c>
      <c r="BD40" s="173">
        <f ca="1">'PMM Analysis Report'!$W$453</f>
        <v>406554766.04995537</v>
      </c>
      <c r="BE40" s="173">
        <f ca="1">'PMM Analysis Report'!$W$517</f>
        <v>846052417.05150974</v>
      </c>
      <c r="BF40" s="173">
        <f ca="1">'PMM Analysis Report'!$W$580</f>
        <v>247790000.99975348</v>
      </c>
      <c r="BG40" s="173">
        <f ca="1">'PMM Analysis Report'!$W$328+'PMM Analysis Report'!$W$391+'PMM Analysis Report'!$W$454+'PMM Analysis Report'!$W$518+'PMM Analysis Report'!$W$581</f>
        <v>-4167222957.9911294</v>
      </c>
      <c r="BH40" s="173">
        <f ca="1">'PMM Analysis Report'!$Q$124</f>
        <v>2478501656.3499999</v>
      </c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</row>
    <row r="41" spans="1:115" s="34" customFormat="1" ht="28.5" x14ac:dyDescent="0.25">
      <c r="A41" s="5"/>
      <c r="B41" s="2"/>
      <c r="C41" s="2"/>
      <c r="D41" s="10"/>
      <c r="E41" s="2"/>
      <c r="F41" s="2"/>
      <c r="G41" s="2"/>
      <c r="H41" s="2"/>
      <c r="I41" s="10"/>
      <c r="J41" s="10"/>
      <c r="K41" s="5"/>
      <c r="L41" s="5"/>
      <c r="M41" s="5"/>
      <c r="N41" s="7"/>
      <c r="O41" s="7"/>
      <c r="P41" s="7"/>
      <c r="Q41" s="5"/>
      <c r="R41" s="7"/>
      <c r="S41" s="7"/>
      <c r="T41" s="8"/>
      <c r="U41" s="8"/>
      <c r="V41" s="8"/>
      <c r="W41" s="5"/>
      <c r="X41" s="5"/>
      <c r="Y41" s="5"/>
      <c r="Z41" s="5"/>
      <c r="AA41" s="5"/>
      <c r="AB41" s="5"/>
      <c r="AC41" s="5"/>
      <c r="AD41" s="5"/>
      <c r="AE41" s="170" t="s">
        <v>221</v>
      </c>
      <c r="AF41" s="171"/>
      <c r="AG41" s="172">
        <f t="shared" ref="AG41:AM41" ca="1" si="1">ABS(AG49)</f>
        <v>2205872657.4266357</v>
      </c>
      <c r="AH41" s="171">
        <f t="shared" ca="1" si="1"/>
        <v>717639038.67622352</v>
      </c>
      <c r="AI41" s="171">
        <f t="shared" ca="1" si="1"/>
        <v>67256732.806330919</v>
      </c>
      <c r="AJ41" s="171">
        <f t="shared" ca="1" si="1"/>
        <v>47792591.759666085</v>
      </c>
      <c r="AK41" s="171">
        <f t="shared" ca="1" si="1"/>
        <v>729884528.50687182</v>
      </c>
      <c r="AL41" s="171">
        <f t="shared" ca="1" si="1"/>
        <v>743724086.05751371</v>
      </c>
      <c r="AM41" s="171">
        <f t="shared" ca="1" si="1"/>
        <v>2182037789.9285383</v>
      </c>
      <c r="AN41" s="171"/>
      <c r="AO41" s="5"/>
      <c r="AP41" s="5"/>
      <c r="AQ41" s="5"/>
      <c r="AR41" s="5"/>
      <c r="AS41" s="5"/>
      <c r="AT41" s="5"/>
      <c r="AU41" s="5"/>
      <c r="AV41" s="5"/>
      <c r="AW41" s="5"/>
      <c r="AX41" s="180" t="s">
        <v>220</v>
      </c>
      <c r="AY41" s="5"/>
      <c r="AZ41" s="170"/>
      <c r="BA41" s="170">
        <f t="shared" ref="BA41:BG41" ca="1" si="2">ABS(BA49)</f>
        <v>4248995105.423008</v>
      </c>
      <c r="BB41" s="170">
        <f t="shared" ca="1" si="2"/>
        <v>335018944.81205416</v>
      </c>
      <c r="BC41" s="170">
        <f t="shared" ca="1" si="2"/>
        <v>339245357.56435299</v>
      </c>
      <c r="BD41" s="170">
        <f t="shared" ca="1" si="2"/>
        <v>406554766.04995537</v>
      </c>
      <c r="BE41" s="170">
        <f t="shared" ca="1" si="2"/>
        <v>846052417.05150974</v>
      </c>
      <c r="BF41" s="170">
        <f t="shared" ca="1" si="2"/>
        <v>247790000.99975348</v>
      </c>
      <c r="BG41" s="170">
        <f t="shared" ca="1" si="2"/>
        <v>4167222957.9911294</v>
      </c>
      <c r="BH41" s="170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</row>
    <row r="42" spans="1:115" s="34" customFormat="1" ht="28.5" x14ac:dyDescent="0.25">
      <c r="A42" s="5"/>
      <c r="B42" s="2"/>
      <c r="C42" s="2"/>
      <c r="D42" s="10"/>
      <c r="E42" s="2"/>
      <c r="F42" s="2"/>
      <c r="G42" s="2"/>
      <c r="H42" s="2"/>
      <c r="I42" s="10"/>
      <c r="J42" s="10"/>
      <c r="K42" s="5"/>
      <c r="L42" s="5"/>
      <c r="M42" s="5"/>
      <c r="N42" s="7"/>
      <c r="O42" s="7"/>
      <c r="P42" s="7"/>
      <c r="Q42" s="5"/>
      <c r="R42" s="7"/>
      <c r="S42" s="7"/>
      <c r="T42" s="8"/>
      <c r="U42" s="8"/>
      <c r="V42" s="8"/>
      <c r="W42" s="5"/>
      <c r="X42" s="5"/>
      <c r="Y42" s="5"/>
      <c r="Z42" s="5"/>
      <c r="AA42" s="5"/>
      <c r="AB42" s="5"/>
      <c r="AC42" s="5"/>
      <c r="AD42" s="5"/>
      <c r="AE42" s="170" t="s">
        <v>219</v>
      </c>
      <c r="AF42" s="171">
        <f t="shared" ref="AF42:AN42" ca="1" si="3">ABS(AF51)</f>
        <v>148131474.12851077</v>
      </c>
      <c r="AG42" s="171">
        <f t="shared" ca="1" si="3"/>
        <v>2354004131.5551467</v>
      </c>
      <c r="AH42" s="171">
        <f t="shared" ca="1" si="3"/>
        <v>3071643170.23137</v>
      </c>
      <c r="AI42" s="171">
        <f t="shared" ca="1" si="3"/>
        <v>3138899903.0377007</v>
      </c>
      <c r="AJ42" s="171">
        <f t="shared" ca="1" si="3"/>
        <v>3186692494.7973666</v>
      </c>
      <c r="AK42" s="171">
        <f t="shared" ca="1" si="3"/>
        <v>3916577023.3042383</v>
      </c>
      <c r="AL42" s="171">
        <f t="shared" ca="1" si="3"/>
        <v>4660301109.3617516</v>
      </c>
      <c r="AM42" s="171">
        <f t="shared" ca="1" si="3"/>
        <v>2478263319.4332132</v>
      </c>
      <c r="AN42" s="171">
        <f t="shared" ca="1" si="3"/>
        <v>2478501656.3499999</v>
      </c>
      <c r="AO42" s="5"/>
      <c r="AP42" s="5"/>
      <c r="AQ42" s="5"/>
      <c r="AR42" s="5"/>
      <c r="AS42" s="5"/>
      <c r="AT42" s="5"/>
      <c r="AU42" s="5"/>
      <c r="AV42" s="5"/>
      <c r="AW42" s="5"/>
      <c r="AX42" s="180" t="str">
        <f>'PMM Bridge'!$J$8</f>
        <v>Yes</v>
      </c>
      <c r="AY42" s="5"/>
      <c r="AZ42" s="170">
        <f t="shared" ref="AZ42:BH42" ca="1" si="4">ABS(AZ51)</f>
        <v>222562676.90886968</v>
      </c>
      <c r="BA42" s="170">
        <f t="shared" ca="1" si="4"/>
        <v>4471557782.3318777</v>
      </c>
      <c r="BB42" s="170">
        <f t="shared" ca="1" si="4"/>
        <v>4806576727.1439323</v>
      </c>
      <c r="BC42" s="170">
        <f t="shared" ca="1" si="4"/>
        <v>5145822084.7082853</v>
      </c>
      <c r="BD42" s="170">
        <f t="shared" ca="1" si="4"/>
        <v>5552376850.7582407</v>
      </c>
      <c r="BE42" s="170">
        <f t="shared" ca="1" si="4"/>
        <v>6398429267.8097506</v>
      </c>
      <c r="BF42" s="170">
        <f t="shared" ca="1" si="4"/>
        <v>6646219268.8095036</v>
      </c>
      <c r="BG42" s="170">
        <f t="shared" ca="1" si="4"/>
        <v>2478996310.8183742</v>
      </c>
      <c r="BH42" s="170">
        <f t="shared" ca="1" si="4"/>
        <v>2478501656.3499999</v>
      </c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</row>
    <row r="43" spans="1:115" s="34" customFormat="1" ht="18.75" x14ac:dyDescent="0.25">
      <c r="A43" s="5"/>
      <c r="B43" s="2"/>
      <c r="C43" s="2"/>
      <c r="D43" s="10"/>
      <c r="E43" s="2"/>
      <c r="F43" s="2"/>
      <c r="G43" s="2"/>
      <c r="H43" s="2"/>
      <c r="I43" s="10"/>
      <c r="J43" s="10"/>
      <c r="K43" s="5"/>
      <c r="L43" s="5"/>
      <c r="M43" s="5"/>
      <c r="N43" s="7"/>
      <c r="O43" s="7"/>
      <c r="P43" s="7"/>
      <c r="Q43" s="5"/>
      <c r="R43" s="7"/>
      <c r="S43" s="7"/>
      <c r="T43" s="8"/>
      <c r="U43" s="8"/>
      <c r="V43" s="8"/>
      <c r="W43" s="5"/>
      <c r="X43" s="5"/>
      <c r="Y43" s="5"/>
      <c r="Z43" s="5"/>
      <c r="AA43" s="5"/>
      <c r="AB43" s="5"/>
      <c r="AC43" s="5"/>
      <c r="AD43" s="5"/>
      <c r="AE43" s="5"/>
      <c r="AF43" s="171"/>
      <c r="AG43" s="171"/>
      <c r="AH43" s="171"/>
      <c r="AI43" s="171"/>
      <c r="AJ43" s="171"/>
      <c r="AK43" s="171"/>
      <c r="AL43" s="171"/>
      <c r="AM43" s="171"/>
      <c r="AN43" s="171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170"/>
      <c r="BA43" s="170"/>
      <c r="BB43" s="170"/>
      <c r="BC43" s="170"/>
      <c r="BD43" s="170"/>
      <c r="BE43" s="170"/>
      <c r="BF43" s="170"/>
      <c r="BG43" s="170"/>
      <c r="BH43" s="170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</row>
    <row r="44" spans="1:115" s="34" customFormat="1" ht="28.5" x14ac:dyDescent="0.25">
      <c r="A44" s="5"/>
      <c r="B44" s="2"/>
      <c r="C44" s="2"/>
      <c r="D44" s="10"/>
      <c r="E44" s="2"/>
      <c r="F44" s="2"/>
      <c r="G44" s="2"/>
      <c r="H44" s="2"/>
      <c r="I44" s="10"/>
      <c r="J44" s="10"/>
      <c r="K44" s="5"/>
      <c r="L44" s="5"/>
      <c r="M44" s="5"/>
      <c r="N44" s="7"/>
      <c r="O44" s="7"/>
      <c r="P44" s="7"/>
      <c r="Q44" s="5"/>
      <c r="R44" s="7"/>
      <c r="S44" s="7"/>
      <c r="T44" s="8"/>
      <c r="U44" s="8"/>
      <c r="V44" s="8"/>
      <c r="W44" s="5"/>
      <c r="X44" s="5"/>
      <c r="Y44" s="5"/>
      <c r="Z44" s="5"/>
      <c r="AA44" s="5"/>
      <c r="AB44" s="5"/>
      <c r="AC44" s="5"/>
      <c r="AD44" s="5"/>
      <c r="AE44" s="5"/>
      <c r="AF44" s="171"/>
      <c r="AG44" s="171"/>
      <c r="AH44" s="171"/>
      <c r="AI44" s="171"/>
      <c r="AJ44" s="171"/>
      <c r="AK44" s="171"/>
      <c r="AL44" s="171"/>
      <c r="AM44" s="171"/>
      <c r="AN44" s="171"/>
      <c r="AO44" s="5"/>
      <c r="AP44" s="5"/>
      <c r="AQ44" s="5"/>
      <c r="AR44" s="5"/>
      <c r="AS44" s="5"/>
      <c r="AT44" s="5"/>
      <c r="AU44" s="5"/>
      <c r="AV44" s="5"/>
      <c r="AW44" s="5"/>
      <c r="AX44" s="180" t="s">
        <v>218</v>
      </c>
      <c r="AY44" s="5"/>
      <c r="AZ44" s="170"/>
      <c r="BA44" s="170"/>
      <c r="BB44" s="170"/>
      <c r="BC44" s="170"/>
      <c r="BD44" s="170"/>
      <c r="BE44" s="170"/>
      <c r="BF44" s="170"/>
      <c r="BG44" s="170"/>
      <c r="BH44" s="170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</row>
    <row r="45" spans="1:115" s="34" customFormat="1" ht="28.5" x14ac:dyDescent="0.25">
      <c r="A45" s="5"/>
      <c r="B45" s="2"/>
      <c r="C45" s="2"/>
      <c r="D45" s="10"/>
      <c r="E45" s="2"/>
      <c r="F45" s="2"/>
      <c r="G45" s="2"/>
      <c r="H45" s="2"/>
      <c r="I45" s="10"/>
      <c r="J45" s="10"/>
      <c r="K45" s="5"/>
      <c r="L45" s="5"/>
      <c r="M45" s="5"/>
      <c r="N45" s="7"/>
      <c r="O45" s="7"/>
      <c r="P45" s="7"/>
      <c r="Q45" s="5"/>
      <c r="R45" s="7"/>
      <c r="S45" s="7"/>
      <c r="T45" s="8"/>
      <c r="U45" s="8"/>
      <c r="V45" s="8"/>
      <c r="W45" s="5"/>
      <c r="X45" s="5"/>
      <c r="Y45" s="5"/>
      <c r="Z45" s="5"/>
      <c r="AA45" s="5"/>
      <c r="AB45" s="5"/>
      <c r="AC45" s="5"/>
      <c r="AD45" s="5"/>
      <c r="AE45" s="5"/>
      <c r="AF45" s="170"/>
      <c r="AG45" s="170"/>
      <c r="AH45" s="170"/>
      <c r="AI45" s="170"/>
      <c r="AJ45" s="170"/>
      <c r="AK45" s="170"/>
      <c r="AL45" s="170"/>
      <c r="AM45" s="170"/>
      <c r="AN45" s="175"/>
      <c r="AO45" s="5"/>
      <c r="AP45" s="5"/>
      <c r="AQ45" s="5"/>
      <c r="AR45" s="5"/>
      <c r="AS45" s="5"/>
      <c r="AT45" s="5"/>
      <c r="AU45" s="5"/>
      <c r="AV45" s="5"/>
      <c r="AW45" s="5"/>
      <c r="AX45" s="180" t="str">
        <f>'PMM Bridge'!$J$9</f>
        <v>Yes</v>
      </c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</row>
    <row r="46" spans="1:115" s="34" customFormat="1" ht="19.5" x14ac:dyDescent="0.25">
      <c r="A46" s="5"/>
      <c r="B46" s="2"/>
      <c r="C46" s="2"/>
      <c r="D46" s="10"/>
      <c r="E46" s="2"/>
      <c r="F46" s="2"/>
      <c r="G46" s="2"/>
      <c r="H46" s="2"/>
      <c r="I46" s="10"/>
      <c r="J46" s="10"/>
      <c r="K46" s="5"/>
      <c r="L46" s="5"/>
      <c r="M46" s="5"/>
      <c r="N46" s="7"/>
      <c r="O46" s="7"/>
      <c r="P46" s="7"/>
      <c r="Q46" s="5"/>
      <c r="R46" s="7"/>
      <c r="S46" s="7"/>
      <c r="T46" s="8"/>
      <c r="U46" s="8"/>
      <c r="V46" s="8"/>
      <c r="W46" s="5"/>
      <c r="X46" s="5"/>
      <c r="Y46" s="5"/>
      <c r="Z46" s="5"/>
      <c r="AA46" s="5"/>
      <c r="AB46" s="5"/>
      <c r="AC46" s="5"/>
      <c r="AD46" s="162"/>
      <c r="AE46" s="162"/>
      <c r="AF46" s="161"/>
      <c r="AG46" s="161"/>
      <c r="AH46" s="158"/>
      <c r="AI46" s="158"/>
      <c r="AJ46" s="158"/>
      <c r="AK46" s="158"/>
      <c r="AL46" s="158"/>
      <c r="AM46" s="158"/>
      <c r="AN46" s="158"/>
      <c r="AO46" s="158"/>
      <c r="AP46" s="158"/>
      <c r="AQ46" s="158"/>
      <c r="AR46" s="158"/>
      <c r="AS46" s="158"/>
      <c r="AT46" s="158"/>
      <c r="AU46" s="158"/>
      <c r="AV46" s="158"/>
      <c r="AW46" s="158"/>
      <c r="AX46" s="158"/>
      <c r="AY46" s="162"/>
      <c r="AZ46" s="161"/>
      <c r="BA46" s="161"/>
      <c r="BB46" s="158"/>
      <c r="BC46" s="158"/>
      <c r="BD46" s="158"/>
      <c r="BE46" s="158"/>
      <c r="BF46" s="158"/>
      <c r="BG46" s="158"/>
      <c r="BH46" s="158"/>
      <c r="BI46" s="158"/>
      <c r="BJ46" s="158"/>
      <c r="BK46" s="158"/>
      <c r="BL46" s="158"/>
      <c r="BM46" s="158"/>
      <c r="BN46" s="158"/>
      <c r="BO46" s="158"/>
      <c r="BP46" s="158"/>
      <c r="BQ46" s="158"/>
      <c r="BR46" s="158"/>
      <c r="BS46" s="5"/>
      <c r="BT46" s="5"/>
      <c r="BU46" s="5"/>
      <c r="BV46" s="5"/>
      <c r="BW46" s="5"/>
      <c r="BX46" s="5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</row>
    <row r="47" spans="1:115" s="34" customFormat="1" ht="19.5" x14ac:dyDescent="0.25">
      <c r="A47" s="5"/>
      <c r="B47" s="2"/>
      <c r="C47" s="2"/>
      <c r="D47" s="10"/>
      <c r="E47" s="2"/>
      <c r="F47" s="2"/>
      <c r="G47" s="2"/>
      <c r="H47" s="2"/>
      <c r="I47" s="10"/>
      <c r="J47" s="140"/>
      <c r="K47" s="5"/>
      <c r="L47" s="5"/>
      <c r="M47" s="5"/>
      <c r="N47" s="7"/>
      <c r="O47" s="7"/>
      <c r="P47" s="7"/>
      <c r="Q47" s="5"/>
      <c r="R47" s="7"/>
      <c r="S47" s="7"/>
      <c r="T47" s="8"/>
      <c r="U47" s="8"/>
      <c r="V47" s="8"/>
      <c r="W47" s="5"/>
      <c r="X47" s="5"/>
      <c r="Y47" s="5"/>
      <c r="Z47" s="5"/>
      <c r="AA47" s="5"/>
      <c r="AB47" s="5"/>
      <c r="AC47" s="5"/>
      <c r="AD47" s="158"/>
      <c r="AE47" s="162"/>
      <c r="AF47" s="162" t="str">
        <f ca="1">'PMM Analysis Report'!$R$32</f>
        <v>Budget V current N</v>
      </c>
      <c r="AG47" s="162" t="str">
        <f ca="1">_xll.DBRA(Server&amp;Context!$B$32,Context!$B$67,'PMM Analysis Report'!$N$19)</f>
        <v>ROA</v>
      </c>
      <c r="AH47" s="162" t="s">
        <v>216</v>
      </c>
      <c r="AI47" s="162" t="s">
        <v>215</v>
      </c>
      <c r="AJ47" s="162" t="s">
        <v>214</v>
      </c>
      <c r="AK47" s="162" t="s">
        <v>213</v>
      </c>
      <c r="AL47" s="162" t="s">
        <v>212</v>
      </c>
      <c r="AM47" s="162" t="s">
        <v>211</v>
      </c>
      <c r="AN47" s="162" t="str">
        <f ca="1">'PMM Analysis Report'!$Q$32</f>
        <v>Actual</v>
      </c>
      <c r="AO47" s="158"/>
      <c r="AP47" s="158"/>
      <c r="AQ47" s="158"/>
      <c r="AR47" s="158"/>
      <c r="AS47" s="158"/>
      <c r="AT47" s="158"/>
      <c r="AU47" s="159" t="s">
        <v>210</v>
      </c>
      <c r="AV47" s="181">
        <v>1</v>
      </c>
      <c r="AW47" s="158"/>
      <c r="AX47" s="158"/>
      <c r="AY47" s="162"/>
      <c r="AZ47" s="162" t="str">
        <f ca="1">'PMM Analysis Report'!$V$32</f>
        <v>Actual N-1</v>
      </c>
      <c r="BA47" s="162" t="str">
        <f ca="1">_xll.DBRA(Server&amp;Context!$B$32,Context!$B$67,'PMM Analysis Report'!$N$19)</f>
        <v>ROA</v>
      </c>
      <c r="BB47" s="162" t="s">
        <v>216</v>
      </c>
      <c r="BC47" s="162" t="s">
        <v>215</v>
      </c>
      <c r="BD47" s="208" t="s">
        <v>214</v>
      </c>
      <c r="BE47" s="208" t="s">
        <v>213</v>
      </c>
      <c r="BF47" s="208" t="s">
        <v>212</v>
      </c>
      <c r="BG47" s="208" t="s">
        <v>211</v>
      </c>
      <c r="BH47" s="295" t="str">
        <f ca="1">'PMM Analysis Report'!$Q$32</f>
        <v>Actual</v>
      </c>
      <c r="BI47" s="158"/>
      <c r="BJ47" s="158"/>
      <c r="BK47" s="158"/>
      <c r="BL47" s="158"/>
      <c r="BM47" s="158"/>
      <c r="BN47" s="158"/>
      <c r="BO47" s="159" t="s">
        <v>210</v>
      </c>
      <c r="BP47" s="181">
        <v>1</v>
      </c>
      <c r="BQ47" s="158"/>
      <c r="BR47" s="158"/>
      <c r="BS47" s="5"/>
      <c r="BT47" s="5"/>
      <c r="BU47" s="5"/>
      <c r="BV47" s="5"/>
      <c r="BW47" s="5"/>
      <c r="BX47" s="5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</row>
    <row r="48" spans="1:115" s="34" customFormat="1" ht="19.5" x14ac:dyDescent="0.25">
      <c r="A48" s="5"/>
      <c r="B48" s="2"/>
      <c r="C48" s="2"/>
      <c r="D48" s="10"/>
      <c r="E48" s="2"/>
      <c r="F48" s="2"/>
      <c r="G48" s="2"/>
      <c r="H48" s="2"/>
      <c r="I48" s="10"/>
      <c r="J48" s="10"/>
      <c r="K48" s="5"/>
      <c r="L48" s="5"/>
      <c r="M48" s="5"/>
      <c r="N48" s="7"/>
      <c r="O48" s="7"/>
      <c r="P48" s="7"/>
      <c r="Q48" s="5"/>
      <c r="R48" s="7"/>
      <c r="S48" s="7"/>
      <c r="T48" s="8"/>
      <c r="U48" s="8"/>
      <c r="V48" s="8"/>
      <c r="W48" s="5"/>
      <c r="X48" s="5"/>
      <c r="Y48" s="5"/>
      <c r="Z48" s="5"/>
      <c r="AA48" s="5"/>
      <c r="AB48" s="5"/>
      <c r="AC48" s="5"/>
      <c r="AD48" s="158"/>
      <c r="AE48" s="162"/>
      <c r="AF48" s="162">
        <v>1</v>
      </c>
      <c r="AG48" s="162">
        <v>2</v>
      </c>
      <c r="AH48" s="162">
        <v>3</v>
      </c>
      <c r="AI48" s="162">
        <v>4</v>
      </c>
      <c r="AJ48" s="162">
        <v>5</v>
      </c>
      <c r="AK48" s="162">
        <v>6</v>
      </c>
      <c r="AL48" s="162">
        <v>7</v>
      </c>
      <c r="AM48" s="162">
        <v>8</v>
      </c>
      <c r="AN48" s="162">
        <v>9</v>
      </c>
      <c r="AO48" s="158"/>
      <c r="AP48" s="158"/>
      <c r="AQ48" s="158"/>
      <c r="AR48" s="158"/>
      <c r="AS48" s="158"/>
      <c r="AT48" s="158"/>
      <c r="AU48" s="159" t="s">
        <v>209</v>
      </c>
      <c r="AV48" s="181">
        <f ca="1">IF(AND(AV56&lt;0,AV57&gt;=0),0.3,0.1)</f>
        <v>0.1</v>
      </c>
      <c r="AW48" s="158"/>
      <c r="AX48" s="158"/>
      <c r="AY48" s="162"/>
      <c r="AZ48" s="162">
        <v>1</v>
      </c>
      <c r="BA48" s="162">
        <v>2</v>
      </c>
      <c r="BB48" s="162">
        <v>3</v>
      </c>
      <c r="BC48" s="162">
        <v>4</v>
      </c>
      <c r="BD48" s="208">
        <v>5</v>
      </c>
      <c r="BE48" s="208">
        <v>6</v>
      </c>
      <c r="BF48" s="208">
        <v>7</v>
      </c>
      <c r="BG48" s="208">
        <v>8</v>
      </c>
      <c r="BH48" s="208">
        <v>9</v>
      </c>
      <c r="BI48" s="158"/>
      <c r="BJ48" s="158"/>
      <c r="BK48" s="158"/>
      <c r="BL48" s="158"/>
      <c r="BM48" s="158"/>
      <c r="BN48" s="158"/>
      <c r="BO48" s="159" t="s">
        <v>209</v>
      </c>
      <c r="BP48" s="181">
        <f ca="1">IF(AND(BP56&lt;0,BP57&gt;=0),0.3,0.1)</f>
        <v>0.1</v>
      </c>
      <c r="BQ48" s="158"/>
      <c r="BR48" s="158"/>
      <c r="BS48" s="5"/>
      <c r="BT48" s="5"/>
      <c r="BU48" s="5"/>
      <c r="BV48" s="5"/>
      <c r="BW48" s="5"/>
      <c r="BX48" s="5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</row>
    <row r="49" spans="1:115" s="34" customFormat="1" ht="19.5" x14ac:dyDescent="0.25">
      <c r="A49" s="5"/>
      <c r="B49" s="2"/>
      <c r="C49" s="2"/>
      <c r="D49" s="10"/>
      <c r="E49" s="2"/>
      <c r="F49" s="2"/>
      <c r="G49" s="2"/>
      <c r="H49" s="2"/>
      <c r="I49" s="10"/>
      <c r="J49" s="10"/>
      <c r="K49" s="5"/>
      <c r="L49" s="5"/>
      <c r="M49" s="5"/>
      <c r="N49" s="7"/>
      <c r="O49" s="7"/>
      <c r="P49" s="7"/>
      <c r="Q49" s="5"/>
      <c r="R49" s="7"/>
      <c r="S49" s="7"/>
      <c r="T49" s="8"/>
      <c r="U49" s="8"/>
      <c r="V49" s="8"/>
      <c r="W49" s="5"/>
      <c r="X49" s="5"/>
      <c r="Y49" s="5"/>
      <c r="Z49" s="5"/>
      <c r="AA49" s="5"/>
      <c r="AB49" s="5"/>
      <c r="AC49" s="5"/>
      <c r="AD49" s="158"/>
      <c r="AE49" s="159" t="s">
        <v>208</v>
      </c>
      <c r="AF49" s="169">
        <f ca="1">'PMM Analysis Report'!$R$124</f>
        <v>148131474.12851077</v>
      </c>
      <c r="AG49" s="169">
        <f ca="1">'PMM Analysis Report'!$S$36</f>
        <v>2205872657.4266357</v>
      </c>
      <c r="AH49" s="169">
        <f ca="1">'PMM Analysis Report'!$S$327</f>
        <v>717639038.67622352</v>
      </c>
      <c r="AI49" s="169">
        <f ca="1">'PMM Analysis Report'!$S$390</f>
        <v>67256732.806330919</v>
      </c>
      <c r="AJ49" s="169">
        <f ca="1">'PMM Analysis Report'!$S$453</f>
        <v>47792591.759666085</v>
      </c>
      <c r="AK49" s="169">
        <f ca="1">'PMM Analysis Report'!$S$517</f>
        <v>729884528.50687182</v>
      </c>
      <c r="AL49" s="169">
        <f ca="1">'PMM Analysis Report'!$S$580</f>
        <v>743724086.05751371</v>
      </c>
      <c r="AM49" s="169">
        <f ca="1">'PMM Analysis Report'!$S$328+'PMM Analysis Report'!$S$391+'PMM Analysis Report'!$S$454+'PMM Analysis Report'!$S$518+'PMM Analysis Report'!$S$581</f>
        <v>-2182037789.9285383</v>
      </c>
      <c r="AN49" s="169">
        <f ca="1">'PMM Analysis Report'!$Q$124</f>
        <v>2478501656.3499999</v>
      </c>
      <c r="AO49" s="158"/>
      <c r="AP49" s="158"/>
      <c r="AQ49" s="158"/>
      <c r="AR49" s="158"/>
      <c r="AS49" s="158"/>
      <c r="AT49" s="158"/>
      <c r="AU49" s="159" t="s">
        <v>207</v>
      </c>
      <c r="AV49" s="158">
        <v>1</v>
      </c>
      <c r="AW49" s="158"/>
      <c r="AX49" s="158"/>
      <c r="AY49" s="159" t="s">
        <v>208</v>
      </c>
      <c r="AZ49" s="169">
        <f ca="1">'PMM Analysis Report'!$V$124</f>
        <v>222562676.90886968</v>
      </c>
      <c r="BA49" s="169">
        <f ca="1">'PMM Analysis Report'!$W$36</f>
        <v>4248995105.423008</v>
      </c>
      <c r="BB49" s="169">
        <f ca="1">'PMM Analysis Report'!$W$327</f>
        <v>335018944.81205416</v>
      </c>
      <c r="BC49" s="169">
        <f ca="1">'PMM Analysis Report'!$W$390</f>
        <v>339245357.56435299</v>
      </c>
      <c r="BD49" s="169">
        <f ca="1">'PMM Analysis Report'!$W$453</f>
        <v>406554766.04995537</v>
      </c>
      <c r="BE49" s="169">
        <f ca="1">'PMM Analysis Report'!$W$517</f>
        <v>846052417.05150974</v>
      </c>
      <c r="BF49" s="169">
        <f ca="1">'PMM Analysis Report'!$W$580</f>
        <v>247790000.99975348</v>
      </c>
      <c r="BG49" s="169">
        <f ca="1">'PMM Analysis Report'!$W$328+'PMM Analysis Report'!$W$391+'PMM Analysis Report'!$W$454+'PMM Analysis Report'!$W$518+'PMM Analysis Report'!$W$581</f>
        <v>-4167222957.9911294</v>
      </c>
      <c r="BH49" s="169">
        <f ca="1">'PMM Analysis Report'!$Q$124</f>
        <v>2478501656.3499999</v>
      </c>
      <c r="BI49" s="158"/>
      <c r="BJ49" s="158"/>
      <c r="BK49" s="158"/>
      <c r="BL49" s="158"/>
      <c r="BM49" s="158"/>
      <c r="BN49" s="158"/>
      <c r="BO49" s="159" t="s">
        <v>207</v>
      </c>
      <c r="BP49" s="158">
        <v>1</v>
      </c>
      <c r="BQ49" s="158"/>
      <c r="BR49" s="158"/>
      <c r="BS49" s="5"/>
      <c r="BT49" s="5"/>
      <c r="BU49" s="5"/>
      <c r="BV49" s="5"/>
      <c r="BW49" s="5"/>
      <c r="BX49" s="5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</row>
    <row r="50" spans="1:115" s="34" customFormat="1" ht="19.5" x14ac:dyDescent="0.25">
      <c r="A50" s="5"/>
      <c r="B50" s="2"/>
      <c r="C50" s="2"/>
      <c r="D50" s="10"/>
      <c r="E50" s="2"/>
      <c r="F50" s="2"/>
      <c r="G50" s="2"/>
      <c r="H50" s="2"/>
      <c r="I50" s="10"/>
      <c r="J50" s="10"/>
      <c r="K50" s="5"/>
      <c r="L50" s="5"/>
      <c r="M50" s="5"/>
      <c r="N50" s="7"/>
      <c r="O50" s="7"/>
      <c r="P50" s="7"/>
      <c r="Q50" s="5"/>
      <c r="R50" s="7"/>
      <c r="S50" s="7"/>
      <c r="T50" s="8"/>
      <c r="U50" s="8"/>
      <c r="V50" s="8"/>
      <c r="W50" s="5"/>
      <c r="X50" s="5"/>
      <c r="Y50" s="5"/>
      <c r="Z50" s="5"/>
      <c r="AA50" s="5"/>
      <c r="AB50" s="5"/>
      <c r="AC50" s="5"/>
      <c r="AD50" s="168"/>
      <c r="AE50" s="159" t="s">
        <v>206</v>
      </c>
      <c r="AF50" s="169">
        <f ca="1">AF49-SUM($AU$29:$AU$30)</f>
        <v>148131474.12851077</v>
      </c>
      <c r="AG50" s="169">
        <f t="shared" ref="AG50:AM50" ca="1" si="5">AG49+AF50</f>
        <v>2354004131.5551467</v>
      </c>
      <c r="AH50" s="169">
        <f t="shared" ca="1" si="5"/>
        <v>3071643170.23137</v>
      </c>
      <c r="AI50" s="169">
        <f t="shared" ca="1" si="5"/>
        <v>3138899903.0377007</v>
      </c>
      <c r="AJ50" s="169">
        <f t="shared" ca="1" si="5"/>
        <v>3186692494.7973666</v>
      </c>
      <c r="AK50" s="169">
        <f t="shared" ca="1" si="5"/>
        <v>3916577023.3042383</v>
      </c>
      <c r="AL50" s="169">
        <f t="shared" ca="1" si="5"/>
        <v>4660301109.3617516</v>
      </c>
      <c r="AM50" s="169">
        <f t="shared" ca="1" si="5"/>
        <v>2478263319.4332132</v>
      </c>
      <c r="AN50" s="169">
        <f ca="1">AN49-SUM($AU$29:$AU$30)</f>
        <v>2478501656.3499999</v>
      </c>
      <c r="AO50" s="158"/>
      <c r="AP50" s="158"/>
      <c r="AQ50" s="158"/>
      <c r="AR50" s="158"/>
      <c r="AS50" s="158"/>
      <c r="AT50" s="158"/>
      <c r="AU50" s="159" t="s">
        <v>205</v>
      </c>
      <c r="AV50" s="158">
        <f ca="1">MAX($AV$49,ABS($AV$56+$AV$57-SUM(AU29:AU30)*2)*$AV$48)</f>
        <v>679435074.29380143</v>
      </c>
      <c r="AW50" s="158"/>
      <c r="AX50" s="158"/>
      <c r="AY50" s="159" t="s">
        <v>206</v>
      </c>
      <c r="AZ50" s="169">
        <f ca="1">AZ49-SUM($BA$29:$BA$30)</f>
        <v>222562676.90886968</v>
      </c>
      <c r="BA50" s="169">
        <f ca="1">BA49+AZ50</f>
        <v>4471557782.3318777</v>
      </c>
      <c r="BB50" s="169">
        <f t="shared" ref="BB50:BF50" ca="1" si="6">BB49+BA50</f>
        <v>4806576727.1439323</v>
      </c>
      <c r="BC50" s="169">
        <f t="shared" ca="1" si="6"/>
        <v>5145822084.7082853</v>
      </c>
      <c r="BD50" s="169">
        <f t="shared" ca="1" si="6"/>
        <v>5552376850.7582407</v>
      </c>
      <c r="BE50" s="169">
        <f t="shared" ca="1" si="6"/>
        <v>6398429267.8097506</v>
      </c>
      <c r="BF50" s="169">
        <f t="shared" ca="1" si="6"/>
        <v>6646219268.8095036</v>
      </c>
      <c r="BG50" s="169">
        <f ca="1">BG49+BF50</f>
        <v>2478996310.8183742</v>
      </c>
      <c r="BH50" s="169">
        <f ca="1">BH49-SUM($BA$29:$BA$30)</f>
        <v>2478501656.3499999</v>
      </c>
      <c r="BI50" s="158"/>
      <c r="BJ50" s="158"/>
      <c r="BK50" s="158"/>
      <c r="BL50" s="158"/>
      <c r="BM50" s="158"/>
      <c r="BN50" s="158"/>
      <c r="BO50" s="159" t="s">
        <v>205</v>
      </c>
      <c r="BP50" s="158">
        <f ca="1">MAX($BP$49,ABS($BP$56+$BP$57-SUM(BA29:BA30)*2)*$BP$48)</f>
        <v>679435074.29380143</v>
      </c>
      <c r="BQ50" s="158"/>
      <c r="BR50" s="158"/>
      <c r="BS50" s="5"/>
      <c r="BT50" s="5"/>
      <c r="BU50" s="5"/>
      <c r="BV50" s="5"/>
      <c r="BW50" s="5"/>
      <c r="BX50" s="5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</row>
    <row r="51" spans="1:115" s="34" customFormat="1" ht="19.5" x14ac:dyDescent="0.25">
      <c r="A51" s="5"/>
      <c r="B51" s="2"/>
      <c r="C51" s="2"/>
      <c r="D51" s="10"/>
      <c r="E51" s="2"/>
      <c r="F51" s="2"/>
      <c r="G51" s="2"/>
      <c r="H51" s="2"/>
      <c r="I51" s="10"/>
      <c r="J51" s="10"/>
      <c r="K51" s="5"/>
      <c r="L51" s="5"/>
      <c r="M51" s="5"/>
      <c r="N51" s="7"/>
      <c r="O51" s="7"/>
      <c r="P51" s="7"/>
      <c r="Q51" s="5"/>
      <c r="R51" s="7"/>
      <c r="S51" s="7"/>
      <c r="T51" s="8"/>
      <c r="U51" s="8"/>
      <c r="V51" s="8"/>
      <c r="W51" s="5"/>
      <c r="X51" s="5"/>
      <c r="Y51" s="5"/>
      <c r="Z51" s="5"/>
      <c r="AA51" s="5"/>
      <c r="AB51" s="5"/>
      <c r="AC51" s="5"/>
      <c r="AD51" s="168"/>
      <c r="AE51" s="159" t="s">
        <v>204</v>
      </c>
      <c r="AF51" s="169">
        <f ca="1">AF49</f>
        <v>148131474.12851077</v>
      </c>
      <c r="AG51" s="169">
        <f t="shared" ref="AG51:AM51" ca="1" si="7">AG49+AF51</f>
        <v>2354004131.5551467</v>
      </c>
      <c r="AH51" s="168">
        <f t="shared" ca="1" si="7"/>
        <v>3071643170.23137</v>
      </c>
      <c r="AI51" s="168">
        <f t="shared" ca="1" si="7"/>
        <v>3138899903.0377007</v>
      </c>
      <c r="AJ51" s="168">
        <f t="shared" ca="1" si="7"/>
        <v>3186692494.7973666</v>
      </c>
      <c r="AK51" s="168">
        <f t="shared" ca="1" si="7"/>
        <v>3916577023.3042383</v>
      </c>
      <c r="AL51" s="168">
        <f t="shared" ca="1" si="7"/>
        <v>4660301109.3617516</v>
      </c>
      <c r="AM51" s="168">
        <f t="shared" ca="1" si="7"/>
        <v>2478263319.4332132</v>
      </c>
      <c r="AN51" s="169">
        <f ca="1">AN49</f>
        <v>2478501656.3499999</v>
      </c>
      <c r="AO51" s="158"/>
      <c r="AP51" s="158"/>
      <c r="AQ51" s="158"/>
      <c r="AR51" s="158"/>
      <c r="AS51" s="158"/>
      <c r="AT51" s="158"/>
      <c r="AU51" s="159" t="s">
        <v>203</v>
      </c>
      <c r="AV51" s="182">
        <v>3.5000000000000003E-2</v>
      </c>
      <c r="AW51" s="158"/>
      <c r="AX51" s="158"/>
      <c r="AY51" s="159" t="s">
        <v>204</v>
      </c>
      <c r="AZ51" s="168">
        <f ca="1">AZ49</f>
        <v>222562676.90886968</v>
      </c>
      <c r="BA51" s="168">
        <f t="shared" ref="BA51:BG51" ca="1" si="8">BA49+AZ51</f>
        <v>4471557782.3318777</v>
      </c>
      <c r="BB51" s="168">
        <f t="shared" ca="1" si="8"/>
        <v>4806576727.1439323</v>
      </c>
      <c r="BC51" s="168">
        <f t="shared" ca="1" si="8"/>
        <v>5145822084.7082853</v>
      </c>
      <c r="BD51" s="168">
        <f t="shared" ca="1" si="8"/>
        <v>5552376850.7582407</v>
      </c>
      <c r="BE51" s="168">
        <f t="shared" ca="1" si="8"/>
        <v>6398429267.8097506</v>
      </c>
      <c r="BF51" s="168">
        <f t="shared" ca="1" si="8"/>
        <v>6646219268.8095036</v>
      </c>
      <c r="BG51" s="168">
        <f t="shared" ca="1" si="8"/>
        <v>2478996310.8183742</v>
      </c>
      <c r="BH51" s="168">
        <f ca="1">BH49</f>
        <v>2478501656.3499999</v>
      </c>
      <c r="BI51" s="158"/>
      <c r="BJ51" s="158"/>
      <c r="BK51" s="158"/>
      <c r="BL51" s="158"/>
      <c r="BM51" s="158"/>
      <c r="BN51" s="158"/>
      <c r="BO51" s="159" t="s">
        <v>203</v>
      </c>
      <c r="BP51" s="182">
        <v>3.5000000000000003E-2</v>
      </c>
      <c r="BQ51" s="158"/>
      <c r="BR51" s="158"/>
      <c r="BS51" s="5"/>
      <c r="BT51" s="5"/>
      <c r="BU51" s="5"/>
      <c r="BV51" s="5"/>
      <c r="BW51" s="5"/>
      <c r="BX51" s="5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</row>
    <row r="52" spans="1:115" s="34" customFormat="1" ht="19.5" x14ac:dyDescent="0.25">
      <c r="A52" s="5"/>
      <c r="B52" s="2"/>
      <c r="C52" s="2"/>
      <c r="D52" s="10"/>
      <c r="E52" s="2"/>
      <c r="F52" s="2"/>
      <c r="G52" s="2"/>
      <c r="H52" s="2"/>
      <c r="I52" s="10"/>
      <c r="J52" s="10"/>
      <c r="K52" s="5"/>
      <c r="L52" s="5"/>
      <c r="M52" s="5"/>
      <c r="N52" s="7"/>
      <c r="O52" s="7"/>
      <c r="P52" s="7"/>
      <c r="Q52" s="5"/>
      <c r="R52" s="7"/>
      <c r="S52" s="7"/>
      <c r="T52" s="8"/>
      <c r="U52" s="8"/>
      <c r="V52" s="8"/>
      <c r="W52" s="5"/>
      <c r="X52" s="5"/>
      <c r="Y52" s="5"/>
      <c r="Z52" s="5"/>
      <c r="AA52" s="5"/>
      <c r="AB52" s="5"/>
      <c r="AC52" s="5"/>
      <c r="AD52" s="168"/>
      <c r="AE52" s="159" t="s">
        <v>185</v>
      </c>
      <c r="AF52" s="168">
        <f t="shared" ref="AF52:AN52" ca="1" si="9">$AV$50</f>
        <v>679435074.29380143</v>
      </c>
      <c r="AG52" s="168">
        <f t="shared" ca="1" si="9"/>
        <v>679435074.29380143</v>
      </c>
      <c r="AH52" s="168">
        <f t="shared" ca="1" si="9"/>
        <v>679435074.29380143</v>
      </c>
      <c r="AI52" s="168">
        <f t="shared" ca="1" si="9"/>
        <v>679435074.29380143</v>
      </c>
      <c r="AJ52" s="168">
        <f t="shared" ca="1" si="9"/>
        <v>679435074.29380143</v>
      </c>
      <c r="AK52" s="168">
        <f t="shared" ca="1" si="9"/>
        <v>679435074.29380143</v>
      </c>
      <c r="AL52" s="168">
        <f t="shared" ca="1" si="9"/>
        <v>679435074.29380143</v>
      </c>
      <c r="AM52" s="168">
        <f t="shared" ca="1" si="9"/>
        <v>679435074.29380143</v>
      </c>
      <c r="AN52" s="168">
        <f t="shared" ca="1" si="9"/>
        <v>679435074.29380143</v>
      </c>
      <c r="AO52" s="158"/>
      <c r="AP52" s="158"/>
      <c r="AQ52" s="158"/>
      <c r="AR52" s="158"/>
      <c r="AS52" s="158"/>
      <c r="AT52" s="158"/>
      <c r="AU52" s="159" t="s">
        <v>202</v>
      </c>
      <c r="AV52" s="158">
        <f ca="1">$AV$51*$AV$53</f>
        <v>280178129.60889876</v>
      </c>
      <c r="AW52" s="158"/>
      <c r="AX52" s="158"/>
      <c r="AY52" s="159" t="s">
        <v>185</v>
      </c>
      <c r="AZ52" s="168">
        <f t="shared" ref="AZ52:BH52" ca="1" si="10">$BP$50</f>
        <v>679435074.29380143</v>
      </c>
      <c r="BA52" s="168">
        <f t="shared" ca="1" si="10"/>
        <v>679435074.29380143</v>
      </c>
      <c r="BB52" s="168">
        <f t="shared" ca="1" si="10"/>
        <v>679435074.29380143</v>
      </c>
      <c r="BC52" s="168">
        <f t="shared" ca="1" si="10"/>
        <v>679435074.29380143</v>
      </c>
      <c r="BD52" s="168">
        <f t="shared" ca="1" si="10"/>
        <v>679435074.29380143</v>
      </c>
      <c r="BE52" s="168">
        <f t="shared" ca="1" si="10"/>
        <v>679435074.29380143</v>
      </c>
      <c r="BF52" s="168">
        <f t="shared" ca="1" si="10"/>
        <v>679435074.29380143</v>
      </c>
      <c r="BG52" s="168">
        <f t="shared" ca="1" si="10"/>
        <v>679435074.29380143</v>
      </c>
      <c r="BH52" s="168">
        <f t="shared" ca="1" si="10"/>
        <v>679435074.29380143</v>
      </c>
      <c r="BI52" s="158"/>
      <c r="BJ52" s="158"/>
      <c r="BK52" s="158"/>
      <c r="BL52" s="158"/>
      <c r="BM52" s="158"/>
      <c r="BN52" s="158"/>
      <c r="BO52" s="159" t="s">
        <v>202</v>
      </c>
      <c r="BP52" s="158">
        <f ca="1">$BP$51*$BP$53</f>
        <v>280178129.60889876</v>
      </c>
      <c r="BQ52" s="158"/>
      <c r="BR52" s="158"/>
      <c r="BS52" s="5"/>
      <c r="BT52" s="5"/>
      <c r="BU52" s="5"/>
      <c r="BV52" s="5"/>
      <c r="BW52" s="5"/>
      <c r="BX52" s="5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</row>
    <row r="53" spans="1:115" s="34" customFormat="1" ht="19.5" x14ac:dyDescent="0.25">
      <c r="A53" s="5"/>
      <c r="B53" s="2"/>
      <c r="C53" s="2"/>
      <c r="D53" s="10"/>
      <c r="E53" s="2"/>
      <c r="F53" s="2"/>
      <c r="G53" s="2"/>
      <c r="H53" s="2"/>
      <c r="I53" s="10"/>
      <c r="J53" s="10"/>
      <c r="K53" s="5"/>
      <c r="L53" s="5"/>
      <c r="M53" s="5"/>
      <c r="N53" s="7"/>
      <c r="O53" s="7"/>
      <c r="P53" s="7"/>
      <c r="Q53" s="5"/>
      <c r="R53" s="7"/>
      <c r="S53" s="7"/>
      <c r="T53" s="8"/>
      <c r="U53" s="8"/>
      <c r="V53" s="8"/>
      <c r="W53" s="5"/>
      <c r="X53" s="5"/>
      <c r="Y53" s="5"/>
      <c r="Z53" s="5"/>
      <c r="AA53" s="5"/>
      <c r="AB53" s="5"/>
      <c r="AC53" s="5"/>
      <c r="AD53" s="168"/>
      <c r="AE53" s="159" t="s">
        <v>184</v>
      </c>
      <c r="AF53" s="168">
        <f ca="1">IF(AF49&gt;=0,MAX($AV$57,0)-AF50,MAX($AV$57,0)-AF50+AF49)-SUM($AU$29:$AU$30)</f>
        <v>6498087794.6809931</v>
      </c>
      <c r="AG53" s="168">
        <f t="shared" ref="AG53:AM53" ca="1" si="11">IF(AG49&gt;=0,MAX($AV$57,0)-AG50,MAX($AV$57,0)-AG50+AG49)-$AU$29</f>
        <v>4292215137.2543569</v>
      </c>
      <c r="AH53" s="168">
        <f t="shared" ca="1" si="11"/>
        <v>3574576098.5781336</v>
      </c>
      <c r="AI53" s="168">
        <f t="shared" ca="1" si="11"/>
        <v>3507319365.7718029</v>
      </c>
      <c r="AJ53" s="168">
        <f t="shared" ca="1" si="11"/>
        <v>3459526774.0121369</v>
      </c>
      <c r="AK53" s="168">
        <f t="shared" ca="1" si="11"/>
        <v>2729642245.5052652</v>
      </c>
      <c r="AL53" s="168">
        <f t="shared" ca="1" si="11"/>
        <v>1985918159.447752</v>
      </c>
      <c r="AM53" s="168">
        <f t="shared" ca="1" si="11"/>
        <v>1985918159.447752</v>
      </c>
      <c r="AN53" s="168">
        <f ca="1">IF(AN49&gt;=0,MAX($AV$57,0)-AN50,MAX($AV$57,0)-AN50+AN49)-SUM($AU$29:$AU$30)</f>
        <v>4167717612.4595037</v>
      </c>
      <c r="AO53" s="158"/>
      <c r="AP53" s="158"/>
      <c r="AQ53" s="158"/>
      <c r="AR53" s="158"/>
      <c r="AS53" s="158"/>
      <c r="AT53" s="158"/>
      <c r="AU53" s="159" t="s">
        <v>201</v>
      </c>
      <c r="AV53" s="158">
        <f ca="1">SUM($AV$63:$AV$65)</f>
        <v>8005089417.3971062</v>
      </c>
      <c r="AW53" s="158"/>
      <c r="AX53" s="158"/>
      <c r="AY53" s="159" t="s">
        <v>184</v>
      </c>
      <c r="AZ53" s="168">
        <f ca="1">IF(AZ49&gt;=0,MAX($BP$57,0)-AZ50,MAX($BP$57,0)-AZ50+AZ49)-SUM($BA$29:$BA$30)</f>
        <v>6423656591.9006338</v>
      </c>
      <c r="BA53" s="168">
        <f t="shared" ref="BA53:BG53" ca="1" si="12">IF(BA49&gt;=0,MAX($BP$57,0)-BA50,MAX($BP$57,0)-BA50+BA49)-$BA$29</f>
        <v>2174661486.4776258</v>
      </c>
      <c r="BB53" s="168">
        <f t="shared" ca="1" si="12"/>
        <v>1839642541.6655712</v>
      </c>
      <c r="BC53" s="168">
        <f t="shared" ca="1" si="12"/>
        <v>1500397184.1012182</v>
      </c>
      <c r="BD53" s="168">
        <f t="shared" ca="1" si="12"/>
        <v>1093842418.0512629</v>
      </c>
      <c r="BE53" s="168">
        <f t="shared" ca="1" si="12"/>
        <v>247790000.999753</v>
      </c>
      <c r="BF53" s="168">
        <f t="shared" ca="1" si="12"/>
        <v>0</v>
      </c>
      <c r="BG53" s="168">
        <f t="shared" ca="1" si="12"/>
        <v>0</v>
      </c>
      <c r="BH53" s="168">
        <f ca="1">IF(BH49&gt;=0,MAX($BP$57,0)-BH50,MAX($BP$57,0)-BH50+BH49)-SUM($BA$29:$BA$30)</f>
        <v>4167717612.4595037</v>
      </c>
      <c r="BI53" s="158"/>
      <c r="BJ53" s="158"/>
      <c r="BK53" s="158"/>
      <c r="BL53" s="158"/>
      <c r="BM53" s="158"/>
      <c r="BN53" s="158"/>
      <c r="BO53" s="159" t="s">
        <v>201</v>
      </c>
      <c r="BP53" s="158">
        <f ca="1">SUM($BP$63:$BP$65)</f>
        <v>8005089417.3971062</v>
      </c>
      <c r="BQ53" s="158"/>
      <c r="BR53" s="158"/>
      <c r="BS53" s="5"/>
      <c r="BT53" s="5"/>
      <c r="BU53" s="5"/>
      <c r="BV53" s="5"/>
      <c r="BW53" s="5"/>
      <c r="BX53" s="5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</row>
    <row r="54" spans="1:115" s="34" customFormat="1" ht="19.5" x14ac:dyDescent="0.25">
      <c r="A54" s="5"/>
      <c r="B54" s="2"/>
      <c r="C54" s="2"/>
      <c r="D54" s="10"/>
      <c r="E54" s="2"/>
      <c r="F54" s="2"/>
      <c r="G54" s="2"/>
      <c r="H54" s="2"/>
      <c r="I54" s="10"/>
      <c r="J54" s="10"/>
      <c r="K54" s="5"/>
      <c r="L54" s="5"/>
      <c r="M54" s="5"/>
      <c r="N54" s="7"/>
      <c r="O54" s="7"/>
      <c r="P54" s="7"/>
      <c r="Q54" s="5"/>
      <c r="R54" s="7"/>
      <c r="S54" s="7"/>
      <c r="T54" s="8"/>
      <c r="U54" s="8"/>
      <c r="V54" s="8"/>
      <c r="W54" s="5"/>
      <c r="X54" s="5"/>
      <c r="Y54" s="5"/>
      <c r="Z54" s="5"/>
      <c r="AA54" s="5"/>
      <c r="AB54" s="5"/>
      <c r="AC54" s="5"/>
      <c r="AD54" s="168"/>
      <c r="AE54" s="159" t="s">
        <v>183</v>
      </c>
      <c r="AF54" s="169">
        <f ca="1">IF(AF49&gt;0,AF49,0)-$AU$29+IF(AU29&gt;0,$AV$50,0)</f>
        <v>148131474.12851077</v>
      </c>
      <c r="AG54" s="168">
        <f t="shared" ref="AG54:AM54" ca="1" si="13">IF(AG49&gt;0,AG49,0)</f>
        <v>2205872657.4266357</v>
      </c>
      <c r="AH54" s="168">
        <f t="shared" ca="1" si="13"/>
        <v>717639038.67622352</v>
      </c>
      <c r="AI54" s="168">
        <f t="shared" ca="1" si="13"/>
        <v>67256732.806330919</v>
      </c>
      <c r="AJ54" s="168">
        <f t="shared" ca="1" si="13"/>
        <v>47792591.759666085</v>
      </c>
      <c r="AK54" s="168">
        <f t="shared" ca="1" si="13"/>
        <v>729884528.50687182</v>
      </c>
      <c r="AL54" s="168">
        <f t="shared" ca="1" si="13"/>
        <v>743724086.05751371</v>
      </c>
      <c r="AM54" s="168">
        <f t="shared" ca="1" si="13"/>
        <v>0</v>
      </c>
      <c r="AN54" s="169">
        <f ca="1">IF(AN49&gt;0,AN49,0)-$AU$29+IF(AU29&gt;0,$AV$50,0)</f>
        <v>2478501656.3499999</v>
      </c>
      <c r="AO54" s="158"/>
      <c r="AP54" s="158"/>
      <c r="AQ54" s="158"/>
      <c r="AR54" s="158"/>
      <c r="AS54" s="158"/>
      <c r="AT54" s="158"/>
      <c r="AU54" s="159" t="s">
        <v>200</v>
      </c>
      <c r="AV54" s="181">
        <v>0.25</v>
      </c>
      <c r="AW54" s="158"/>
      <c r="AX54" s="158"/>
      <c r="AY54" s="159" t="s">
        <v>183</v>
      </c>
      <c r="AZ54" s="168">
        <f ca="1">IF(AZ49&gt;0,AZ49,0)-$BA$29+IF($BA$29&gt;0,$BP$50,0)</f>
        <v>222562676.90886968</v>
      </c>
      <c r="BA54" s="168">
        <f t="shared" ref="BA54:BG54" ca="1" si="14">IF(BA49&gt;0,BA49,0)</f>
        <v>4248995105.423008</v>
      </c>
      <c r="BB54" s="168">
        <f t="shared" ca="1" si="14"/>
        <v>335018944.81205416</v>
      </c>
      <c r="BC54" s="168">
        <f t="shared" ca="1" si="14"/>
        <v>339245357.56435299</v>
      </c>
      <c r="BD54" s="168">
        <f t="shared" ca="1" si="14"/>
        <v>406554766.04995537</v>
      </c>
      <c r="BE54" s="168">
        <f t="shared" ca="1" si="14"/>
        <v>846052417.05150974</v>
      </c>
      <c r="BF54" s="168">
        <f t="shared" ca="1" si="14"/>
        <v>247790000.99975348</v>
      </c>
      <c r="BG54" s="168">
        <f t="shared" ca="1" si="14"/>
        <v>0</v>
      </c>
      <c r="BH54" s="168">
        <f ca="1">IF(BH49&gt;0,BH49,0)-$BA$29+IF($BA$29&gt;0,$BP$50,0)</f>
        <v>2478501656.3499999</v>
      </c>
      <c r="BI54" s="158"/>
      <c r="BJ54" s="158"/>
      <c r="BK54" s="158"/>
      <c r="BL54" s="158"/>
      <c r="BM54" s="158"/>
      <c r="BN54" s="158"/>
      <c r="BO54" s="159" t="s">
        <v>200</v>
      </c>
      <c r="BP54" s="181">
        <v>0.25</v>
      </c>
      <c r="BQ54" s="158"/>
      <c r="BR54" s="158"/>
      <c r="BS54" s="5"/>
      <c r="BT54" s="5"/>
      <c r="BU54" s="5"/>
      <c r="BV54" s="5"/>
      <c r="BW54" s="5"/>
      <c r="BX54" s="5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</row>
    <row r="55" spans="1:115" s="34" customFormat="1" ht="19.5" x14ac:dyDescent="0.25">
      <c r="A55" s="5"/>
      <c r="B55" s="2"/>
      <c r="C55" s="2"/>
      <c r="D55" s="10"/>
      <c r="E55" s="2"/>
      <c r="F55" s="2"/>
      <c r="G55" s="2"/>
      <c r="H55" s="2"/>
      <c r="I55" s="10"/>
      <c r="J55" s="10"/>
      <c r="K55" s="5"/>
      <c r="L55" s="5"/>
      <c r="M55" s="5"/>
      <c r="N55" s="7"/>
      <c r="O55" s="7"/>
      <c r="P55" s="7"/>
      <c r="Q55" s="5"/>
      <c r="R55" s="7"/>
      <c r="S55" s="7"/>
      <c r="T55" s="8"/>
      <c r="U55" s="8"/>
      <c r="V55" s="8"/>
      <c r="W55" s="5"/>
      <c r="X55" s="5"/>
      <c r="Y55" s="5"/>
      <c r="Z55" s="5"/>
      <c r="AA55" s="5"/>
      <c r="AB55" s="5"/>
      <c r="AC55" s="5"/>
      <c r="AD55" s="168"/>
      <c r="AE55" s="159" t="s">
        <v>182</v>
      </c>
      <c r="AF55" s="168">
        <f ca="1">IF(AF49&lt;0,ABS(AF49),0)+$AU$30+IF(AU30&lt;0,$AV$50,0)</f>
        <v>0</v>
      </c>
      <c r="AG55" s="168">
        <f t="shared" ref="AG55:AM55" ca="1" si="15">IF(AG49&lt;0,ABS(AG49),0)</f>
        <v>0</v>
      </c>
      <c r="AH55" s="168">
        <f t="shared" ca="1" si="15"/>
        <v>0</v>
      </c>
      <c r="AI55" s="168">
        <f t="shared" ca="1" si="15"/>
        <v>0</v>
      </c>
      <c r="AJ55" s="168">
        <f t="shared" ca="1" si="15"/>
        <v>0</v>
      </c>
      <c r="AK55" s="168">
        <f t="shared" ca="1" si="15"/>
        <v>0</v>
      </c>
      <c r="AL55" s="168">
        <f t="shared" ca="1" si="15"/>
        <v>0</v>
      </c>
      <c r="AM55" s="168">
        <f t="shared" ca="1" si="15"/>
        <v>2182037789.9285383</v>
      </c>
      <c r="AN55" s="168">
        <f ca="1">IF(AN49&lt;0,ABS(AN49),0)+$AU$30+IF(AU30&lt;0,$AV$50,0)</f>
        <v>0</v>
      </c>
      <c r="AO55" s="158"/>
      <c r="AP55" s="158"/>
      <c r="AQ55" s="158"/>
      <c r="AR55" s="158"/>
      <c r="AS55" s="158"/>
      <c r="AT55" s="158"/>
      <c r="AU55" s="159" t="s">
        <v>199</v>
      </c>
      <c r="AV55" s="183">
        <f>1/(AV54+1)/2</f>
        <v>0.4</v>
      </c>
      <c r="AW55" s="158"/>
      <c r="AX55" s="158"/>
      <c r="AY55" s="159" t="s">
        <v>182</v>
      </c>
      <c r="AZ55" s="168">
        <f ca="1">IF(AZ49&lt;0,ABS(AZ49),0)+$BA$30+IF(BA30&lt;0,$AV$50,0)</f>
        <v>0</v>
      </c>
      <c r="BA55" s="168">
        <f t="shared" ref="BA55:BG55" ca="1" si="16">IF(BA49&lt;0,ABS(BA49),0)</f>
        <v>0</v>
      </c>
      <c r="BB55" s="168">
        <f t="shared" ca="1" si="16"/>
        <v>0</v>
      </c>
      <c r="BC55" s="168">
        <f t="shared" ca="1" si="16"/>
        <v>0</v>
      </c>
      <c r="BD55" s="168">
        <f t="shared" ca="1" si="16"/>
        <v>0</v>
      </c>
      <c r="BE55" s="168">
        <f t="shared" ca="1" si="16"/>
        <v>0</v>
      </c>
      <c r="BF55" s="168">
        <f t="shared" ca="1" si="16"/>
        <v>0</v>
      </c>
      <c r="BG55" s="168">
        <f t="shared" ca="1" si="16"/>
        <v>4167222957.9911294</v>
      </c>
      <c r="BH55" s="168">
        <f ca="1">IF(BH49&lt;0,ABS(BH49),0)+$BA$30+IF(BA30&lt;0,$AV$50,0)</f>
        <v>0</v>
      </c>
      <c r="BI55" s="158"/>
      <c r="BJ55" s="158"/>
      <c r="BK55" s="158"/>
      <c r="BL55" s="158"/>
      <c r="BM55" s="158"/>
      <c r="BN55" s="158"/>
      <c r="BO55" s="159" t="s">
        <v>199</v>
      </c>
      <c r="BP55" s="183">
        <f>1/(BP54+1)/2</f>
        <v>0.4</v>
      </c>
      <c r="BQ55" s="158"/>
      <c r="BR55" s="158"/>
      <c r="BS55" s="5"/>
      <c r="BT55" s="5"/>
      <c r="BU55" s="5"/>
      <c r="BV55" s="5"/>
      <c r="BW55" s="5"/>
      <c r="BX55" s="5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</row>
    <row r="56" spans="1:115" s="34" customFormat="1" ht="19.5" x14ac:dyDescent="0.25">
      <c r="A56" s="5"/>
      <c r="B56" s="2"/>
      <c r="C56" s="2"/>
      <c r="D56" s="10"/>
      <c r="E56" s="2"/>
      <c r="F56" s="2"/>
      <c r="G56" s="2"/>
      <c r="H56" s="2"/>
      <c r="I56" s="139"/>
      <c r="J56" s="10"/>
      <c r="K56" s="5"/>
      <c r="L56" s="5"/>
      <c r="M56" s="5"/>
      <c r="N56" s="7"/>
      <c r="O56" s="7"/>
      <c r="P56" s="7"/>
      <c r="Q56" s="5"/>
      <c r="R56" s="7"/>
      <c r="S56" s="7"/>
      <c r="T56" s="8"/>
      <c r="U56" s="8"/>
      <c r="V56" s="8"/>
      <c r="W56" s="5"/>
      <c r="X56" s="5"/>
      <c r="Y56" s="5"/>
      <c r="Z56" s="5"/>
      <c r="AA56" s="5"/>
      <c r="AB56" s="5"/>
      <c r="AC56" s="5"/>
      <c r="AD56" s="168"/>
      <c r="AE56" s="159" t="s">
        <v>181</v>
      </c>
      <c r="AF56" s="169">
        <f ca="1">IF(AF49&lt;0,AF50-MIN(0,$AV$56),ABS(AF50-MIN(0,$AV$56)-AF49))+$AU$30-$AU$29</f>
        <v>0</v>
      </c>
      <c r="AG56" s="169">
        <f t="shared" ref="AG56:AM56" ca="1" si="17">IF(AG49&lt;0,AG50-MIN(0,$AV$56),ABS(AG50-MIN(0,$AV$56)-AG49))+$AU$30</f>
        <v>148131474.12851095</v>
      </c>
      <c r="AH56" s="168">
        <f t="shared" ca="1" si="17"/>
        <v>2354004131.5551462</v>
      </c>
      <c r="AI56" s="168">
        <f t="shared" ca="1" si="17"/>
        <v>3071643170.23137</v>
      </c>
      <c r="AJ56" s="168">
        <f t="shared" ca="1" si="17"/>
        <v>3138899903.0377007</v>
      </c>
      <c r="AK56" s="168">
        <f t="shared" ca="1" si="17"/>
        <v>3186692494.7973666</v>
      </c>
      <c r="AL56" s="168">
        <f t="shared" ca="1" si="17"/>
        <v>3916577023.3042378</v>
      </c>
      <c r="AM56" s="168">
        <f t="shared" ca="1" si="17"/>
        <v>2478263319.4332132</v>
      </c>
      <c r="AN56" s="169">
        <f ca="1">IF(AN49&lt;0,AN50-MIN(0,$AV$56),ABS(AN50-MIN(0,$AV$56)-AN49))+$AU$30-$AU$29</f>
        <v>0</v>
      </c>
      <c r="AO56" s="158"/>
      <c r="AP56" s="158"/>
      <c r="AQ56" s="158"/>
      <c r="AR56" s="158"/>
      <c r="AS56" s="158"/>
      <c r="AT56" s="158"/>
      <c r="AU56" s="159" t="s">
        <v>198</v>
      </c>
      <c r="AV56" s="184">
        <f ca="1">IF($AX$45="Yes",AX34,AW34)</f>
        <v>148131474.12851077</v>
      </c>
      <c r="AW56" s="158"/>
      <c r="AX56" s="158"/>
      <c r="AY56" s="159" t="s">
        <v>181</v>
      </c>
      <c r="AZ56" s="168">
        <f ca="1">IF(AZ49&lt;0,AZ50-MIN(0,$BP$56),ABS(AZ50-MIN(0,$BP$56)-AZ49))+$BA$30-$BA$29</f>
        <v>0</v>
      </c>
      <c r="BA56" s="168">
        <f t="shared" ref="BA56:BG56" ca="1" si="18">IF(BA49&lt;0,BA50-MIN(0,$BP$56),ABS(BA50-MIN(0,$BP$56)-BA49))+$BA$30</f>
        <v>222562676.90886974</v>
      </c>
      <c r="BB56" s="168">
        <f t="shared" ca="1" si="18"/>
        <v>4471557782.3318787</v>
      </c>
      <c r="BC56" s="168">
        <f t="shared" ca="1" si="18"/>
        <v>4806576727.1439323</v>
      </c>
      <c r="BD56" s="168">
        <f t="shared" ca="1" si="18"/>
        <v>5145822084.7082853</v>
      </c>
      <c r="BE56" s="168">
        <f t="shared" ca="1" si="18"/>
        <v>5552376850.7582407</v>
      </c>
      <c r="BF56" s="168">
        <f t="shared" ca="1" si="18"/>
        <v>6398429267.8097496</v>
      </c>
      <c r="BG56" s="168">
        <f t="shared" ca="1" si="18"/>
        <v>2478996310.8183742</v>
      </c>
      <c r="BH56" s="168">
        <f ca="1">IF(BH49&lt;0,BH50-MIN(0,$BP$56),ABS(BH50-MIN(0,$BP$56)-BH49))+$BA$30-$BA$29</f>
        <v>0</v>
      </c>
      <c r="BI56" s="158"/>
      <c r="BJ56" s="158"/>
      <c r="BK56" s="158"/>
      <c r="BL56" s="158"/>
      <c r="BM56" s="158"/>
      <c r="BN56" s="158"/>
      <c r="BO56" s="159" t="s">
        <v>198</v>
      </c>
      <c r="BP56" s="184">
        <f ca="1">IF($AX$45="Yes",AX34,AY34)</f>
        <v>148131474.12851077</v>
      </c>
      <c r="BQ56" s="158"/>
      <c r="BR56" s="158"/>
      <c r="BS56" s="5"/>
      <c r="BT56" s="5"/>
      <c r="BU56" s="5"/>
      <c r="BV56" s="5"/>
      <c r="BW56" s="5"/>
      <c r="BX56" s="5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</row>
    <row r="57" spans="1:115" s="34" customFormat="1" ht="19.5" x14ac:dyDescent="0.25">
      <c r="A57" s="5"/>
      <c r="B57" s="2"/>
      <c r="C57" s="2"/>
      <c r="D57" s="10"/>
      <c r="E57" s="2"/>
      <c r="F57" s="2"/>
      <c r="G57" s="2"/>
      <c r="H57" s="2"/>
      <c r="I57" s="10"/>
      <c r="J57" s="10"/>
      <c r="K57" s="5"/>
      <c r="L57" s="5"/>
      <c r="M57" s="5"/>
      <c r="N57" s="7"/>
      <c r="O57" s="7"/>
      <c r="P57" s="7"/>
      <c r="Q57" s="5"/>
      <c r="R57" s="7"/>
      <c r="S57" s="7"/>
      <c r="T57" s="8"/>
      <c r="U57" s="8"/>
      <c r="V57" s="8"/>
      <c r="W57" s="5"/>
      <c r="X57" s="5"/>
      <c r="Y57" s="5"/>
      <c r="Z57" s="5"/>
      <c r="AA57" s="5"/>
      <c r="AB57" s="5"/>
      <c r="AC57" s="5"/>
      <c r="AD57" s="168"/>
      <c r="AE57" s="159" t="s">
        <v>180</v>
      </c>
      <c r="AF57" s="168">
        <f ca="1">IF($AU$29&gt;0,0,$AV$50)</f>
        <v>679435074.29380143</v>
      </c>
      <c r="AG57" s="168">
        <f t="shared" ref="AG57:AM57" ca="1" si="19">$AV$50</f>
        <v>679435074.29380143</v>
      </c>
      <c r="AH57" s="168">
        <f t="shared" ca="1" si="19"/>
        <v>679435074.29380143</v>
      </c>
      <c r="AI57" s="168">
        <f t="shared" ca="1" si="19"/>
        <v>679435074.29380143</v>
      </c>
      <c r="AJ57" s="168">
        <f t="shared" ca="1" si="19"/>
        <v>679435074.29380143</v>
      </c>
      <c r="AK57" s="168">
        <f t="shared" ca="1" si="19"/>
        <v>679435074.29380143</v>
      </c>
      <c r="AL57" s="168">
        <f t="shared" ca="1" si="19"/>
        <v>679435074.29380143</v>
      </c>
      <c r="AM57" s="168">
        <f t="shared" ca="1" si="19"/>
        <v>679435074.29380143</v>
      </c>
      <c r="AN57" s="168">
        <f ca="1">IF($AU$29&gt;0,0,$AV$50)</f>
        <v>679435074.29380143</v>
      </c>
      <c r="AO57" s="158"/>
      <c r="AP57" s="158"/>
      <c r="AQ57" s="158"/>
      <c r="AR57" s="158"/>
      <c r="AS57" s="158"/>
      <c r="AT57" s="158"/>
      <c r="AU57" s="159" t="s">
        <v>197</v>
      </c>
      <c r="AV57" s="184">
        <f ca="1">IF($AX$45="Yes",AX35,AW35)</f>
        <v>6646219268.8095036</v>
      </c>
      <c r="AW57" s="158"/>
      <c r="AX57" s="158"/>
      <c r="AY57" s="159" t="s">
        <v>180</v>
      </c>
      <c r="AZ57" s="168">
        <f ca="1">IF($BA$29&gt;0,0,$BP$50)</f>
        <v>679435074.29380143</v>
      </c>
      <c r="BA57" s="168">
        <f t="shared" ref="BA57:BG57" ca="1" si="20">$BP$50</f>
        <v>679435074.29380143</v>
      </c>
      <c r="BB57" s="168">
        <f t="shared" ca="1" si="20"/>
        <v>679435074.29380143</v>
      </c>
      <c r="BC57" s="168">
        <f t="shared" ca="1" si="20"/>
        <v>679435074.29380143</v>
      </c>
      <c r="BD57" s="168">
        <f t="shared" ca="1" si="20"/>
        <v>679435074.29380143</v>
      </c>
      <c r="BE57" s="168">
        <f t="shared" ca="1" si="20"/>
        <v>679435074.29380143</v>
      </c>
      <c r="BF57" s="168">
        <f t="shared" ca="1" si="20"/>
        <v>679435074.29380143</v>
      </c>
      <c r="BG57" s="168">
        <f t="shared" ca="1" si="20"/>
        <v>679435074.29380143</v>
      </c>
      <c r="BH57" s="168">
        <f ca="1">IF($BA$29&gt;0,0,$BP$50)</f>
        <v>679435074.29380143</v>
      </c>
      <c r="BI57" s="158"/>
      <c r="BJ57" s="158"/>
      <c r="BK57" s="158"/>
      <c r="BL57" s="158"/>
      <c r="BM57" s="158"/>
      <c r="BN57" s="158"/>
      <c r="BO57" s="159" t="s">
        <v>197</v>
      </c>
      <c r="BP57" s="184">
        <f ca="1">IF($AX$45="Yes",AX35,AY35)</f>
        <v>6646219268.8095036</v>
      </c>
      <c r="BQ57" s="158"/>
      <c r="BR57" s="158"/>
      <c r="BS57" s="5"/>
      <c r="BT57" s="5"/>
      <c r="BU57" s="5"/>
      <c r="BV57" s="5"/>
      <c r="BW57" s="5"/>
      <c r="BX57" s="5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</row>
    <row r="58" spans="1:115" s="34" customFormat="1" ht="19.5" x14ac:dyDescent="0.25">
      <c r="A58" s="5"/>
      <c r="B58" s="2"/>
      <c r="C58" s="2"/>
      <c r="D58" s="10"/>
      <c r="E58" s="2"/>
      <c r="F58" s="2"/>
      <c r="G58" s="2"/>
      <c r="H58" s="2"/>
      <c r="I58" s="10"/>
      <c r="J58" s="10"/>
      <c r="K58" s="5"/>
      <c r="L58" s="5"/>
      <c r="M58" s="5"/>
      <c r="N58" s="7"/>
      <c r="O58" s="7"/>
      <c r="P58" s="7"/>
      <c r="Q58" s="5"/>
      <c r="R58" s="7"/>
      <c r="S58" s="7"/>
      <c r="T58" s="8"/>
      <c r="U58" s="8"/>
      <c r="V58" s="8"/>
      <c r="W58" s="5"/>
      <c r="X58" s="5"/>
      <c r="Y58" s="5"/>
      <c r="Z58" s="5"/>
      <c r="AA58" s="5"/>
      <c r="AB58" s="5"/>
      <c r="AC58" s="5"/>
      <c r="AD58" s="168"/>
      <c r="AE58" s="159"/>
      <c r="AF58" s="168"/>
      <c r="AG58" s="168"/>
      <c r="AH58" s="168"/>
      <c r="AI58" s="168"/>
      <c r="AJ58" s="168"/>
      <c r="AK58" s="168"/>
      <c r="AL58" s="168"/>
      <c r="AM58" s="168"/>
      <c r="AN58" s="168"/>
      <c r="AO58" s="158"/>
      <c r="AP58" s="158"/>
      <c r="AQ58" s="158"/>
      <c r="AR58" s="158"/>
      <c r="AS58" s="158"/>
      <c r="AT58" s="158"/>
      <c r="AU58" s="159"/>
      <c r="AV58" s="158">
        <v>2.5</v>
      </c>
      <c r="AW58" s="158"/>
      <c r="AX58" s="158"/>
      <c r="AY58" s="159"/>
      <c r="AZ58" s="168"/>
      <c r="BA58" s="168"/>
      <c r="BB58" s="168"/>
      <c r="BC58" s="168"/>
      <c r="BD58" s="168"/>
      <c r="BE58" s="168"/>
      <c r="BF58" s="168"/>
      <c r="BG58" s="168"/>
      <c r="BH58" s="168"/>
      <c r="BI58" s="158"/>
      <c r="BJ58" s="158"/>
      <c r="BK58" s="158"/>
      <c r="BL58" s="158"/>
      <c r="BM58" s="158"/>
      <c r="BN58" s="158"/>
      <c r="BO58" s="159"/>
      <c r="BP58" s="158">
        <v>2.5</v>
      </c>
      <c r="BQ58" s="158"/>
      <c r="BR58" s="158"/>
      <c r="BS58" s="5"/>
      <c r="BT58" s="5"/>
      <c r="BU58" s="5"/>
      <c r="BV58" s="5"/>
      <c r="BW58" s="5"/>
      <c r="BX58" s="5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</row>
    <row r="59" spans="1:115" s="34" customFormat="1" ht="19.5" x14ac:dyDescent="0.25">
      <c r="A59" s="5"/>
      <c r="B59" s="2"/>
      <c r="C59" s="2"/>
      <c r="D59" s="10"/>
      <c r="E59" s="2"/>
      <c r="F59" s="2"/>
      <c r="G59" s="2"/>
      <c r="H59" s="2"/>
      <c r="I59" s="10"/>
      <c r="J59" s="10"/>
      <c r="K59" s="5"/>
      <c r="L59" s="5"/>
      <c r="M59" s="5"/>
      <c r="N59" s="7"/>
      <c r="O59" s="7"/>
      <c r="P59" s="7"/>
      <c r="Q59" s="5"/>
      <c r="R59" s="7"/>
      <c r="S59" s="7"/>
      <c r="T59" s="8"/>
      <c r="U59" s="8"/>
      <c r="V59" s="8"/>
      <c r="W59" s="5"/>
      <c r="X59" s="5"/>
      <c r="Y59" s="5"/>
      <c r="Z59" s="5"/>
      <c r="AA59" s="5"/>
      <c r="AB59" s="5"/>
      <c r="AC59" s="5"/>
      <c r="AD59" s="168"/>
      <c r="AE59" s="159" t="s">
        <v>179</v>
      </c>
      <c r="AF59" s="168">
        <f t="shared" ref="AF59:AN59" ca="1" si="21">$AV$63</f>
        <v>7312065641.6174288</v>
      </c>
      <c r="AG59" s="168">
        <f t="shared" ca="1" si="21"/>
        <v>7312065641.6174288</v>
      </c>
      <c r="AH59" s="168">
        <f t="shared" ca="1" si="21"/>
        <v>7312065641.6174288</v>
      </c>
      <c r="AI59" s="168">
        <f t="shared" ca="1" si="21"/>
        <v>7312065641.6174288</v>
      </c>
      <c r="AJ59" s="168">
        <f t="shared" ca="1" si="21"/>
        <v>7312065641.6174288</v>
      </c>
      <c r="AK59" s="168">
        <f t="shared" ca="1" si="21"/>
        <v>7312065641.6174288</v>
      </c>
      <c r="AL59" s="168">
        <f t="shared" ca="1" si="21"/>
        <v>7312065641.6174288</v>
      </c>
      <c r="AM59" s="168">
        <f t="shared" ca="1" si="21"/>
        <v>7312065641.6174288</v>
      </c>
      <c r="AN59" s="168">
        <f t="shared" ca="1" si="21"/>
        <v>7312065641.6174288</v>
      </c>
      <c r="AO59" s="158"/>
      <c r="AP59" s="158"/>
      <c r="AQ59" s="158"/>
      <c r="AR59" s="158"/>
      <c r="AS59" s="158"/>
      <c r="AT59" s="158"/>
      <c r="AU59" s="159" t="s">
        <v>196</v>
      </c>
      <c r="AV59" s="158">
        <f ca="1">MAX(ABS(AV56),ABS(AV57))</f>
        <v>6646219268.8095036</v>
      </c>
      <c r="AW59" s="158"/>
      <c r="AX59" s="158"/>
      <c r="AY59" s="159" t="s">
        <v>179</v>
      </c>
      <c r="AZ59" s="168">
        <f t="shared" ref="AZ59:BH59" ca="1" si="22">$BP$63</f>
        <v>7312065641.6174288</v>
      </c>
      <c r="BA59" s="168">
        <f t="shared" ca="1" si="22"/>
        <v>7312065641.6174288</v>
      </c>
      <c r="BB59" s="168">
        <f t="shared" ca="1" si="22"/>
        <v>7312065641.6174288</v>
      </c>
      <c r="BC59" s="168">
        <f t="shared" ca="1" si="22"/>
        <v>7312065641.6174288</v>
      </c>
      <c r="BD59" s="168">
        <f t="shared" ca="1" si="22"/>
        <v>7312065641.6174288</v>
      </c>
      <c r="BE59" s="168">
        <f t="shared" ca="1" si="22"/>
        <v>7312065641.6174288</v>
      </c>
      <c r="BF59" s="168">
        <f t="shared" ca="1" si="22"/>
        <v>7312065641.6174288</v>
      </c>
      <c r="BG59" s="168">
        <f t="shared" ca="1" si="22"/>
        <v>7312065641.6174288</v>
      </c>
      <c r="BH59" s="168">
        <f t="shared" ca="1" si="22"/>
        <v>7312065641.6174288</v>
      </c>
      <c r="BI59" s="158"/>
      <c r="BJ59" s="158"/>
      <c r="BK59" s="158"/>
      <c r="BL59" s="158"/>
      <c r="BM59" s="158"/>
      <c r="BN59" s="158"/>
      <c r="BO59" s="159" t="s">
        <v>196</v>
      </c>
      <c r="BP59" s="158">
        <f ca="1">MAX(ABS(BP56),ABS(BP57))</f>
        <v>6646219268.8095036</v>
      </c>
      <c r="BQ59" s="158"/>
      <c r="BR59" s="158"/>
      <c r="BS59" s="5"/>
      <c r="BT59" s="5"/>
      <c r="BU59" s="5"/>
      <c r="BV59" s="5"/>
      <c r="BW59" s="5"/>
      <c r="BX59" s="5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</row>
    <row r="60" spans="1:115" s="34" customFormat="1" ht="19.5" x14ac:dyDescent="0.25">
      <c r="A60" s="5"/>
      <c r="B60" s="2"/>
      <c r="C60" s="2"/>
      <c r="D60" s="10"/>
      <c r="E60" s="2"/>
      <c r="F60" s="2"/>
      <c r="G60" s="2"/>
      <c r="H60" s="2"/>
      <c r="I60" s="10"/>
      <c r="J60" s="10"/>
      <c r="K60" s="5"/>
      <c r="L60" s="5"/>
      <c r="M60" s="5"/>
      <c r="N60" s="7"/>
      <c r="O60" s="7"/>
      <c r="P60" s="7"/>
      <c r="Q60" s="5"/>
      <c r="R60" s="7"/>
      <c r="S60" s="7"/>
      <c r="T60" s="8"/>
      <c r="U60" s="8"/>
      <c r="V60" s="8"/>
      <c r="W60" s="5"/>
      <c r="X60" s="5"/>
      <c r="Y60" s="5"/>
      <c r="Z60" s="5"/>
      <c r="AA60" s="5"/>
      <c r="AB60" s="5"/>
      <c r="AC60" s="5"/>
      <c r="AD60" s="168"/>
      <c r="AE60" s="159" t="s">
        <v>178</v>
      </c>
      <c r="AF60" s="168">
        <f t="shared" ref="AF60:AN60" ca="1" si="23">$AV$64</f>
        <v>27177402.971752059</v>
      </c>
      <c r="AG60" s="168">
        <f t="shared" ca="1" si="23"/>
        <v>27177402.971752059</v>
      </c>
      <c r="AH60" s="168">
        <f t="shared" ca="1" si="23"/>
        <v>27177402.971752059</v>
      </c>
      <c r="AI60" s="168">
        <f t="shared" ca="1" si="23"/>
        <v>27177402.971752059</v>
      </c>
      <c r="AJ60" s="168">
        <f t="shared" ca="1" si="23"/>
        <v>27177402.971752059</v>
      </c>
      <c r="AK60" s="168">
        <f t="shared" ca="1" si="23"/>
        <v>27177402.971752059</v>
      </c>
      <c r="AL60" s="168">
        <f t="shared" ca="1" si="23"/>
        <v>27177402.971752059</v>
      </c>
      <c r="AM60" s="168">
        <f t="shared" ca="1" si="23"/>
        <v>27177402.971752059</v>
      </c>
      <c r="AN60" s="168">
        <f t="shared" ca="1" si="23"/>
        <v>27177402.971752059</v>
      </c>
      <c r="AO60" s="158"/>
      <c r="AP60" s="158"/>
      <c r="AQ60" s="158"/>
      <c r="AR60" s="158"/>
      <c r="AS60" s="158"/>
      <c r="AT60" s="158"/>
      <c r="AU60" s="159" t="s">
        <v>195</v>
      </c>
      <c r="AV60" s="158">
        <v>1</v>
      </c>
      <c r="AW60" s="158"/>
      <c r="AX60" s="158"/>
      <c r="AY60" s="159" t="s">
        <v>178</v>
      </c>
      <c r="AZ60" s="168">
        <f t="shared" ref="AZ60:BH60" ca="1" si="24">$BP$64</f>
        <v>27177402.971752059</v>
      </c>
      <c r="BA60" s="168">
        <f t="shared" ca="1" si="24"/>
        <v>27177402.971752059</v>
      </c>
      <c r="BB60" s="168">
        <f t="shared" ca="1" si="24"/>
        <v>27177402.971752059</v>
      </c>
      <c r="BC60" s="168">
        <f t="shared" ca="1" si="24"/>
        <v>27177402.971752059</v>
      </c>
      <c r="BD60" s="168">
        <f t="shared" ca="1" si="24"/>
        <v>27177402.971752059</v>
      </c>
      <c r="BE60" s="168">
        <f t="shared" ca="1" si="24"/>
        <v>27177402.971752059</v>
      </c>
      <c r="BF60" s="168">
        <f t="shared" ca="1" si="24"/>
        <v>27177402.971752059</v>
      </c>
      <c r="BG60" s="168">
        <f t="shared" ca="1" si="24"/>
        <v>27177402.971752059</v>
      </c>
      <c r="BH60" s="168">
        <f t="shared" ca="1" si="24"/>
        <v>27177402.971752059</v>
      </c>
      <c r="BI60" s="158"/>
      <c r="BJ60" s="158"/>
      <c r="BK60" s="158"/>
      <c r="BL60" s="158"/>
      <c r="BM60" s="158"/>
      <c r="BN60" s="158"/>
      <c r="BO60" s="159" t="s">
        <v>195</v>
      </c>
      <c r="BP60" s="158">
        <v>1</v>
      </c>
      <c r="BQ60" s="158"/>
      <c r="BR60" s="158"/>
      <c r="BS60" s="5"/>
      <c r="BT60" s="5"/>
      <c r="BU60" s="5"/>
      <c r="BV60" s="5"/>
      <c r="BW60" s="5"/>
      <c r="BX60" s="5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</row>
    <row r="61" spans="1:115" s="34" customFormat="1" ht="19.5" x14ac:dyDescent="0.25">
      <c r="A61" s="5"/>
      <c r="B61" s="2"/>
      <c r="C61" s="2"/>
      <c r="D61" s="10"/>
      <c r="E61" s="2"/>
      <c r="F61" s="2"/>
      <c r="G61" s="2"/>
      <c r="H61" s="2"/>
      <c r="I61" s="10"/>
      <c r="J61" s="10"/>
      <c r="K61" s="5"/>
      <c r="L61" s="5"/>
      <c r="M61" s="5"/>
      <c r="N61" s="7"/>
      <c r="O61" s="7"/>
      <c r="P61" s="7"/>
      <c r="Q61" s="5"/>
      <c r="R61" s="7"/>
      <c r="S61" s="7"/>
      <c r="T61" s="8"/>
      <c r="U61" s="8"/>
      <c r="V61" s="8"/>
      <c r="W61" s="5"/>
      <c r="X61" s="5"/>
      <c r="Y61" s="5"/>
      <c r="Z61" s="5"/>
      <c r="AA61" s="5"/>
      <c r="AB61" s="5"/>
      <c r="AC61" s="5"/>
      <c r="AD61" s="168"/>
      <c r="AE61" s="159" t="s">
        <v>177</v>
      </c>
      <c r="AF61" s="168">
        <f t="shared" ref="AF61:AN61" ca="1" si="25">$AV$65</f>
        <v>665846372.80792534</v>
      </c>
      <c r="AG61" s="168">
        <f t="shared" ca="1" si="25"/>
        <v>665846372.80792534</v>
      </c>
      <c r="AH61" s="168">
        <f t="shared" ca="1" si="25"/>
        <v>665846372.80792534</v>
      </c>
      <c r="AI61" s="168">
        <f t="shared" ca="1" si="25"/>
        <v>665846372.80792534</v>
      </c>
      <c r="AJ61" s="168">
        <f t="shared" ca="1" si="25"/>
        <v>665846372.80792534</v>
      </c>
      <c r="AK61" s="168">
        <f t="shared" ca="1" si="25"/>
        <v>665846372.80792534</v>
      </c>
      <c r="AL61" s="168">
        <f t="shared" ca="1" si="25"/>
        <v>665846372.80792534</v>
      </c>
      <c r="AM61" s="168">
        <f t="shared" ca="1" si="25"/>
        <v>665846372.80792534</v>
      </c>
      <c r="AN61" s="168">
        <f t="shared" ca="1" si="25"/>
        <v>665846372.80792534</v>
      </c>
      <c r="AO61" s="158"/>
      <c r="AP61" s="158"/>
      <c r="AQ61" s="158"/>
      <c r="AR61" s="158"/>
      <c r="AS61" s="158"/>
      <c r="AT61" s="158"/>
      <c r="AU61" s="159"/>
      <c r="AV61" s="158">
        <f ca="1">IF(AV59&lt;1000,1,IF(AV59&lt;1000000,1000,IF(AV59&lt;1000000000,1000000,1000000000)))</f>
        <v>1000000000</v>
      </c>
      <c r="AW61" s="158"/>
      <c r="AX61" s="158"/>
      <c r="AY61" s="159" t="s">
        <v>177</v>
      </c>
      <c r="AZ61" s="168">
        <f t="shared" ref="AZ61:BH61" ca="1" si="26">$BP$65</f>
        <v>665846372.80792534</v>
      </c>
      <c r="BA61" s="168">
        <f t="shared" ca="1" si="26"/>
        <v>665846372.80792534</v>
      </c>
      <c r="BB61" s="168">
        <f t="shared" ca="1" si="26"/>
        <v>665846372.80792534</v>
      </c>
      <c r="BC61" s="168">
        <f t="shared" ca="1" si="26"/>
        <v>665846372.80792534</v>
      </c>
      <c r="BD61" s="168">
        <f t="shared" ca="1" si="26"/>
        <v>665846372.80792534</v>
      </c>
      <c r="BE61" s="168">
        <f t="shared" ca="1" si="26"/>
        <v>665846372.80792534</v>
      </c>
      <c r="BF61" s="168">
        <f t="shared" ca="1" si="26"/>
        <v>665846372.80792534</v>
      </c>
      <c r="BG61" s="168">
        <f t="shared" ca="1" si="26"/>
        <v>665846372.80792534</v>
      </c>
      <c r="BH61" s="168">
        <f t="shared" ca="1" si="26"/>
        <v>665846372.80792534</v>
      </c>
      <c r="BI61" s="158"/>
      <c r="BJ61" s="158"/>
      <c r="BK61" s="158"/>
      <c r="BL61" s="158"/>
      <c r="BM61" s="158"/>
      <c r="BN61" s="158"/>
      <c r="BO61" s="159"/>
      <c r="BP61" s="158">
        <f ca="1">IF(BP59&lt;1000,1,IF(BP59&lt;1000000,1000,IF(BP59&lt;1000000000,1000000,1000000000)))</f>
        <v>1000000000</v>
      </c>
      <c r="BQ61" s="158"/>
      <c r="BR61" s="158"/>
      <c r="BS61" s="5"/>
      <c r="BT61" s="5"/>
      <c r="BU61" s="5"/>
      <c r="BV61" s="5"/>
      <c r="BW61" s="5"/>
      <c r="BX61" s="5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</row>
    <row r="62" spans="1:115" s="34" customFormat="1" ht="19.5" x14ac:dyDescent="0.25">
      <c r="A62" s="5"/>
      <c r="B62" s="2"/>
      <c r="C62" s="2"/>
      <c r="D62" s="10"/>
      <c r="E62" s="2"/>
      <c r="F62" s="2"/>
      <c r="G62" s="2"/>
      <c r="H62" s="2"/>
      <c r="I62" s="10"/>
      <c r="J62" s="10"/>
      <c r="K62" s="5"/>
      <c r="L62" s="5"/>
      <c r="M62" s="5"/>
      <c r="N62" s="7"/>
      <c r="O62" s="7"/>
      <c r="P62" s="7"/>
      <c r="Q62" s="5"/>
      <c r="R62" s="7"/>
      <c r="S62" s="7"/>
      <c r="T62" s="8"/>
      <c r="U62" s="8"/>
      <c r="V62" s="8"/>
      <c r="W62" s="5"/>
      <c r="X62" s="5"/>
      <c r="Y62" s="5"/>
      <c r="Z62" s="5"/>
      <c r="AA62" s="5"/>
      <c r="AB62" s="5"/>
      <c r="AC62" s="5"/>
      <c r="AD62" s="168"/>
      <c r="AE62" s="159"/>
      <c r="AF62" s="168"/>
      <c r="AG62" s="168"/>
      <c r="AH62" s="168"/>
      <c r="AI62" s="168"/>
      <c r="AJ62" s="168"/>
      <c r="AK62" s="168"/>
      <c r="AL62" s="168"/>
      <c r="AM62" s="168"/>
      <c r="AN62" s="168"/>
      <c r="AO62" s="158"/>
      <c r="AP62" s="158"/>
      <c r="AQ62" s="158"/>
      <c r="AR62" s="158"/>
      <c r="AS62" s="158"/>
      <c r="AT62" s="158"/>
      <c r="AU62" s="159" t="s">
        <v>194</v>
      </c>
      <c r="AV62" s="181">
        <v>0.04</v>
      </c>
      <c r="AW62" s="158"/>
      <c r="AX62" s="158"/>
      <c r="AY62" s="159"/>
      <c r="AZ62" s="168"/>
      <c r="BA62" s="168"/>
      <c r="BB62" s="168"/>
      <c r="BC62" s="168"/>
      <c r="BD62" s="168"/>
      <c r="BE62" s="168"/>
      <c r="BF62" s="168"/>
      <c r="BG62" s="168"/>
      <c r="BH62" s="168"/>
      <c r="BI62" s="158"/>
      <c r="BJ62" s="158"/>
      <c r="BK62" s="158"/>
      <c r="BL62" s="158"/>
      <c r="BM62" s="158"/>
      <c r="BN62" s="158"/>
      <c r="BO62" s="159" t="s">
        <v>194</v>
      </c>
      <c r="BP62" s="181">
        <v>0.04</v>
      </c>
      <c r="BQ62" s="158"/>
      <c r="BR62" s="158"/>
      <c r="BS62" s="5"/>
      <c r="BT62" s="5"/>
      <c r="BU62" s="5"/>
      <c r="BV62" s="5"/>
      <c r="BW62" s="5"/>
      <c r="BX62" s="5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</row>
    <row r="63" spans="1:115" s="34" customFormat="1" ht="19.5" x14ac:dyDescent="0.25">
      <c r="A63" s="5"/>
      <c r="B63" s="2"/>
      <c r="C63" s="2"/>
      <c r="D63" s="10"/>
      <c r="E63" s="2"/>
      <c r="F63" s="2"/>
      <c r="G63" s="2"/>
      <c r="H63" s="2"/>
      <c r="I63" s="10"/>
      <c r="J63" s="10"/>
      <c r="K63" s="5"/>
      <c r="L63" s="5"/>
      <c r="M63" s="5"/>
      <c r="N63" s="7"/>
      <c r="O63" s="7"/>
      <c r="P63" s="7"/>
      <c r="Q63" s="5"/>
      <c r="R63" s="7"/>
      <c r="S63" s="7"/>
      <c r="T63" s="8"/>
      <c r="U63" s="8"/>
      <c r="V63" s="8"/>
      <c r="W63" s="5"/>
      <c r="X63" s="5"/>
      <c r="Y63" s="5"/>
      <c r="Z63" s="5"/>
      <c r="AA63" s="5"/>
      <c r="AB63" s="5"/>
      <c r="AC63" s="5"/>
      <c r="AD63" s="168"/>
      <c r="AE63" s="159" t="s">
        <v>193</v>
      </c>
      <c r="AF63" s="167">
        <f t="shared" ref="AF63:AN63" ca="1" si="27">IF(AF49&gt;0,AF49/$AV$60,IF(AF49=0,0))</f>
        <v>148131474.12851077</v>
      </c>
      <c r="AG63" s="167">
        <f t="shared" ca="1" si="27"/>
        <v>2205872657.4266357</v>
      </c>
      <c r="AH63" s="167">
        <f t="shared" ca="1" si="27"/>
        <v>717639038.67622352</v>
      </c>
      <c r="AI63" s="167">
        <f t="shared" ca="1" si="27"/>
        <v>67256732.806330919</v>
      </c>
      <c r="AJ63" s="167">
        <f t="shared" ca="1" si="27"/>
        <v>47792591.759666085</v>
      </c>
      <c r="AK63" s="167">
        <f t="shared" ca="1" si="27"/>
        <v>729884528.50687182</v>
      </c>
      <c r="AL63" s="167">
        <f t="shared" ca="1" si="27"/>
        <v>743724086.05751371</v>
      </c>
      <c r="AM63" s="167" t="b">
        <f t="shared" ca="1" si="27"/>
        <v>0</v>
      </c>
      <c r="AN63" s="167">
        <f t="shared" ca="1" si="27"/>
        <v>2478501656.3499999</v>
      </c>
      <c r="AO63" s="158"/>
      <c r="AP63" s="158"/>
      <c r="AQ63" s="158"/>
      <c r="AR63" s="158"/>
      <c r="AS63" s="158"/>
      <c r="AT63" s="158"/>
      <c r="AU63" s="159" t="s">
        <v>192</v>
      </c>
      <c r="AV63" s="158">
        <f ca="1">MAX($AV$57-$AU$29,0)-$AV$64/2+$AV$50</f>
        <v>7312065641.6174288</v>
      </c>
      <c r="AW63" s="158"/>
      <c r="AX63" s="158"/>
      <c r="AY63" s="159" t="s">
        <v>193</v>
      </c>
      <c r="AZ63" s="185">
        <f t="shared" ref="AZ63:BH63" ca="1" si="28">IF(AZ49&gt;0,AZ49/$BP$60,IF(AZ49=0,0," "))</f>
        <v>222562676.90886968</v>
      </c>
      <c r="BA63" s="185">
        <f t="shared" ca="1" si="28"/>
        <v>4248995105.423008</v>
      </c>
      <c r="BB63" s="185">
        <f t="shared" ca="1" si="28"/>
        <v>335018944.81205416</v>
      </c>
      <c r="BC63" s="185">
        <f t="shared" ca="1" si="28"/>
        <v>339245357.56435299</v>
      </c>
      <c r="BD63" s="185">
        <f t="shared" ca="1" si="28"/>
        <v>406554766.04995537</v>
      </c>
      <c r="BE63" s="185">
        <f t="shared" ca="1" si="28"/>
        <v>846052417.05150974</v>
      </c>
      <c r="BF63" s="185">
        <f t="shared" ca="1" si="28"/>
        <v>247790000.99975348</v>
      </c>
      <c r="BG63" s="185" t="str">
        <f t="shared" ca="1" si="28"/>
        <v xml:space="preserve"> </v>
      </c>
      <c r="BH63" s="185">
        <f t="shared" ca="1" si="28"/>
        <v>2478501656.3499999</v>
      </c>
      <c r="BI63" s="158"/>
      <c r="BJ63" s="158"/>
      <c r="BK63" s="158"/>
      <c r="BL63" s="158"/>
      <c r="BM63" s="158"/>
      <c r="BN63" s="158"/>
      <c r="BO63" s="159" t="s">
        <v>192</v>
      </c>
      <c r="BP63" s="158">
        <f ca="1">MAX($BP$57-$BA$29,0)-$BP$64/2+$BP$50</f>
        <v>7312065641.6174288</v>
      </c>
      <c r="BQ63" s="158"/>
      <c r="BR63" s="158"/>
      <c r="BS63" s="5"/>
      <c r="BT63" s="5"/>
      <c r="BU63" s="5"/>
      <c r="BV63" s="5"/>
      <c r="BW63" s="5"/>
      <c r="BX63" s="5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</row>
    <row r="64" spans="1:115" s="34" customFormat="1" ht="19.5" x14ac:dyDescent="0.25">
      <c r="A64" s="5"/>
      <c r="B64" s="2"/>
      <c r="C64" s="2"/>
      <c r="D64" s="10"/>
      <c r="E64" s="2"/>
      <c r="F64" s="2"/>
      <c r="G64" s="2"/>
      <c r="H64" s="2"/>
      <c r="I64" s="10"/>
      <c r="J64" s="10"/>
      <c r="K64" s="5"/>
      <c r="L64" s="5"/>
      <c r="M64" s="5"/>
      <c r="N64" s="7"/>
      <c r="O64" s="7"/>
      <c r="P64" s="7"/>
      <c r="Q64" s="5"/>
      <c r="R64" s="7"/>
      <c r="S64" s="7"/>
      <c r="T64" s="8"/>
      <c r="U64" s="8"/>
      <c r="V64" s="8"/>
      <c r="W64" s="5"/>
      <c r="X64" s="5"/>
      <c r="Y64" s="5"/>
      <c r="Z64" s="5"/>
      <c r="AA64" s="5"/>
      <c r="AB64" s="5"/>
      <c r="AC64" s="5"/>
      <c r="AD64" s="168"/>
      <c r="AE64" s="159" t="s">
        <v>191</v>
      </c>
      <c r="AF64" s="167" t="b">
        <f t="shared" ref="AF64:AN64" ca="1" si="29">IF(AF49&lt;0,AF49/$AV$60)</f>
        <v>0</v>
      </c>
      <c r="AG64" s="167" t="b">
        <f t="shared" ca="1" si="29"/>
        <v>0</v>
      </c>
      <c r="AH64" s="167" t="b">
        <f t="shared" ca="1" si="29"/>
        <v>0</v>
      </c>
      <c r="AI64" s="167" t="b">
        <f t="shared" ca="1" si="29"/>
        <v>0</v>
      </c>
      <c r="AJ64" s="167" t="b">
        <f t="shared" ca="1" si="29"/>
        <v>0</v>
      </c>
      <c r="AK64" s="167" t="b">
        <f t="shared" ca="1" si="29"/>
        <v>0</v>
      </c>
      <c r="AL64" s="167" t="b">
        <f t="shared" ca="1" si="29"/>
        <v>0</v>
      </c>
      <c r="AM64" s="167">
        <f t="shared" ca="1" si="29"/>
        <v>-2182037789.9285383</v>
      </c>
      <c r="AN64" s="167" t="b">
        <f t="shared" ca="1" si="29"/>
        <v>0</v>
      </c>
      <c r="AO64" s="158"/>
      <c r="AP64" s="158"/>
      <c r="AQ64" s="158"/>
      <c r="AR64" s="158"/>
      <c r="AS64" s="158"/>
      <c r="AT64" s="158"/>
      <c r="AU64" s="159" t="s">
        <v>190</v>
      </c>
      <c r="AV64" s="158">
        <f ca="1">$AV$62*$AV$50</f>
        <v>27177402.971752059</v>
      </c>
      <c r="AW64" s="158"/>
      <c r="AX64" s="158"/>
      <c r="AY64" s="159" t="s">
        <v>191</v>
      </c>
      <c r="AZ64" s="185" t="str">
        <f t="shared" ref="AZ64:BH64" ca="1" si="30">IF(AZ49&lt;0,AZ49/$BP$60," ")</f>
        <v xml:space="preserve"> </v>
      </c>
      <c r="BA64" s="185" t="str">
        <f t="shared" ca="1" si="30"/>
        <v xml:space="preserve"> </v>
      </c>
      <c r="BB64" s="185" t="str">
        <f t="shared" ca="1" si="30"/>
        <v xml:space="preserve"> </v>
      </c>
      <c r="BC64" s="185" t="str">
        <f t="shared" ca="1" si="30"/>
        <v xml:space="preserve"> </v>
      </c>
      <c r="BD64" s="185" t="str">
        <f t="shared" ca="1" si="30"/>
        <v xml:space="preserve"> </v>
      </c>
      <c r="BE64" s="185" t="str">
        <f t="shared" ca="1" si="30"/>
        <v xml:space="preserve"> </v>
      </c>
      <c r="BF64" s="185" t="str">
        <f t="shared" ca="1" si="30"/>
        <v xml:space="preserve"> </v>
      </c>
      <c r="BG64" s="185">
        <f t="shared" ca="1" si="30"/>
        <v>-4167222957.9911294</v>
      </c>
      <c r="BH64" s="185" t="str">
        <f t="shared" ca="1" si="30"/>
        <v xml:space="preserve"> </v>
      </c>
      <c r="BI64" s="158"/>
      <c r="BJ64" s="158"/>
      <c r="BK64" s="158"/>
      <c r="BL64" s="158"/>
      <c r="BM64" s="158"/>
      <c r="BN64" s="158"/>
      <c r="BO64" s="159" t="s">
        <v>190</v>
      </c>
      <c r="BP64" s="158">
        <f ca="1">$BP$62*$BP$50</f>
        <v>27177402.971752059</v>
      </c>
      <c r="BQ64" s="158"/>
      <c r="BR64" s="158"/>
      <c r="BS64" s="5"/>
      <c r="BT64" s="5"/>
      <c r="BU64" s="5"/>
      <c r="BV64" s="5"/>
      <c r="BW64" s="5"/>
      <c r="BX64" s="5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</row>
    <row r="65" spans="1:115" s="34" customFormat="1" ht="19.5" x14ac:dyDescent="0.25">
      <c r="A65" s="5"/>
      <c r="B65" s="2"/>
      <c r="C65" s="2"/>
      <c r="D65" s="10"/>
      <c r="E65" s="2"/>
      <c r="F65" s="2"/>
      <c r="G65" s="2"/>
      <c r="H65" s="2"/>
      <c r="I65" s="10"/>
      <c r="J65" s="10"/>
      <c r="K65" s="5"/>
      <c r="L65" s="5"/>
      <c r="M65" s="5"/>
      <c r="N65" s="7"/>
      <c r="O65" s="7"/>
      <c r="P65" s="7"/>
      <c r="Q65" s="5"/>
      <c r="R65" s="7"/>
      <c r="S65" s="7"/>
      <c r="T65" s="8"/>
      <c r="U65" s="8"/>
      <c r="V65" s="8"/>
      <c r="W65" s="5"/>
      <c r="X65" s="5"/>
      <c r="Y65" s="5"/>
      <c r="Z65" s="5"/>
      <c r="AA65" s="5"/>
      <c r="AB65" s="5"/>
      <c r="AC65" s="5"/>
      <c r="AD65" s="162"/>
      <c r="AE65" s="159" t="s">
        <v>176</v>
      </c>
      <c r="AF65" s="166">
        <f ca="1">MAX(0,IF(AF49&lt;0,$AF$70-$AV$52,$AF$70+$AV$52))</f>
        <v>1107744678.0312109</v>
      </c>
      <c r="AG65" s="166">
        <f ca="1">MAX(0,IF(AG49&lt;0,$AH$70-$AV$52,$AH$70+$AV$52))</f>
        <v>3313617335.4578466</v>
      </c>
      <c r="AH65" s="166">
        <f ca="1">MAX(0,IF(AH49&lt;0,$AJ$70-$AV$52,$AJ$70+$AV$52))</f>
        <v>4031256374.1340699</v>
      </c>
      <c r="AI65" s="166">
        <f ca="1">MAX(0,IF(AI49&lt;0,$AL$70-$AV$52,$AL$70+$AV$52))</f>
        <v>4098513106.9404006</v>
      </c>
      <c r="AJ65" s="166">
        <f ca="1">MAX(0,IF(AJ49&lt;0,$AN$70-$AV$52,$AN$70+$AV$52))</f>
        <v>4146305698.7000666</v>
      </c>
      <c r="AK65" s="166">
        <f ca="1">MAX(0,IF(AK49&lt;0,$AP$70-$AV$52,$AP$70+$AV$52))</f>
        <v>4876190227.2069387</v>
      </c>
      <c r="AL65" s="166">
        <f ca="1">MAX(0,IF(AL49&lt;0,$AR$70-$AV$52,$AR$70+$AV$52))</f>
        <v>5619914313.264452</v>
      </c>
      <c r="AM65" s="166">
        <f ca="1">MAX(0,IF(AM49&lt;0,$AT$70-$AV$52,$AT$70+$AV$52))</f>
        <v>2877520264.1181159</v>
      </c>
      <c r="AN65" s="166">
        <f ca="1">MAX(0,IF(AN49&lt;0,$AU$70-$AV$52,$AU$70+$AV$52))</f>
        <v>3437876523.3359132</v>
      </c>
      <c r="AO65" s="158"/>
      <c r="AP65" s="158"/>
      <c r="AQ65" s="158"/>
      <c r="AR65" s="158"/>
      <c r="AS65" s="158"/>
      <c r="AT65" s="158"/>
      <c r="AU65" s="159" t="s">
        <v>189</v>
      </c>
      <c r="AV65" s="158">
        <f ca="1">ABS(MIN(0,$AV$56-$AU$30))-$AV$64/2+$AV$50</f>
        <v>665846372.80792534</v>
      </c>
      <c r="AW65" s="158"/>
      <c r="AX65" s="158"/>
      <c r="AY65" s="159" t="s">
        <v>176</v>
      </c>
      <c r="AZ65" s="165">
        <f ca="1">MAX(0,IF(AZ49&lt;0,$AZ$70-$BP$52,$AZ$70+$BP$52))</f>
        <v>1182175880.8115697</v>
      </c>
      <c r="BA65" s="165">
        <f ca="1">MAX(0,IF(BA49&lt;0,$BB$70-$BP$52,$BB$70+$BP$52))</f>
        <v>5431170986.2345781</v>
      </c>
      <c r="BB65" s="165">
        <f ca="1">MAX(0,IF(BB49&lt;0,$BD$70-$BP$52,$BD$70+$BP$52))</f>
        <v>5766189931.0466328</v>
      </c>
      <c r="BC65" s="165">
        <f ca="1">MAX(0,IF(BC49&lt;0,$BF$70-$BP$52,$BF$70+$BP$52))</f>
        <v>6105435288.6109858</v>
      </c>
      <c r="BD65" s="165">
        <f ca="1">MAX(0,IF(BD49&lt;0,$BH$70-$BP$52,$BH$70+$BP$52))</f>
        <v>6511990054.6609411</v>
      </c>
      <c r="BE65" s="165">
        <f ca="1">MAX(0,IF(BE49&lt;0,$BJ$70-$BP$52,$BJ$70+$BP$52))</f>
        <v>7358042471.712451</v>
      </c>
      <c r="BF65" s="165">
        <f ca="1">MAX(0,IF(BF49&lt;0,$BL$70-$BP$52,$BL$70+$BP$52))</f>
        <v>7605832472.712204</v>
      </c>
      <c r="BG65" s="165">
        <f ca="1">MAX(0,IF(BG49&lt;0,$BN$70-$BP$52,$BN$70+$BP$52))</f>
        <v>2878253255.5032768</v>
      </c>
      <c r="BH65" s="165">
        <f ca="1">MAX(0,IF(BH49&lt;0,$BO$70-$BP$52,$BO$70+$BP$52))</f>
        <v>3438609514.7210741</v>
      </c>
      <c r="BI65" s="158"/>
      <c r="BJ65" s="158"/>
      <c r="BK65" s="158"/>
      <c r="BL65" s="158"/>
      <c r="BM65" s="158"/>
      <c r="BN65" s="158"/>
      <c r="BO65" s="159" t="s">
        <v>189</v>
      </c>
      <c r="BP65" s="158">
        <f ca="1">ABS(MIN(0,$BP$56-$BA$30))-$BP$64/2+$BP$50</f>
        <v>665846372.80792534</v>
      </c>
      <c r="BQ65" s="158"/>
      <c r="BR65" s="158"/>
      <c r="BS65" s="5"/>
      <c r="BT65" s="5"/>
      <c r="BU65" s="5"/>
      <c r="BV65" s="5"/>
      <c r="BW65" s="5"/>
      <c r="BX65" s="5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</row>
    <row r="66" spans="1:115" s="34" customFormat="1" ht="19.5" x14ac:dyDescent="0.25">
      <c r="A66" s="5"/>
      <c r="B66" s="2"/>
      <c r="C66" s="2"/>
      <c r="D66" s="10"/>
      <c r="E66" s="2"/>
      <c r="F66" s="2"/>
      <c r="G66" s="2"/>
      <c r="H66" s="2"/>
      <c r="I66" s="10"/>
      <c r="J66" s="10"/>
      <c r="K66" s="5"/>
      <c r="L66" s="5"/>
      <c r="M66" s="5"/>
      <c r="N66" s="7"/>
      <c r="O66" s="7"/>
      <c r="P66" s="7"/>
      <c r="Q66" s="5"/>
      <c r="R66" s="7"/>
      <c r="S66" s="7"/>
      <c r="T66" s="8"/>
      <c r="U66" s="8"/>
      <c r="V66" s="8"/>
      <c r="W66" s="5"/>
      <c r="X66" s="5"/>
      <c r="Y66" s="5"/>
      <c r="Z66" s="5"/>
      <c r="AA66" s="5"/>
      <c r="AB66" s="5"/>
      <c r="AC66" s="5"/>
      <c r="AD66" s="162"/>
      <c r="AE66" s="159" t="s">
        <v>175</v>
      </c>
      <c r="AF66" s="165">
        <f ca="1">MAX($AV$52,IF(AF49&lt;0,$AF$70-$AV$52*$AV$58,$AF$70+$AV$52*$AV$58))</f>
        <v>1528011872.4445591</v>
      </c>
      <c r="AG66" s="165">
        <f ca="1">MAX($AV$52,IF(AG49&lt;0,$AH$70-$AV$52*$AV$58,$AH$70+$AV$52*$AV$58))</f>
        <v>3733884529.8711948</v>
      </c>
      <c r="AH66" s="165">
        <f ca="1">MAX($AV$52,IF(AH49&lt;0,$AJ$70-$AV$52*$AV$58,$AJ$70+$AV$52*$AV$58))</f>
        <v>4451523568.5474186</v>
      </c>
      <c r="AI66" s="165">
        <f ca="1">MAX($AV$52,IF(AI49&lt;0,$AL$70-$AV$52*$AV$58,$AL$70+$AV$52*$AV$58))</f>
        <v>4518780301.3537483</v>
      </c>
      <c r="AJ66" s="165">
        <f ca="1">MAX($AV$52,IF(AJ49&lt;0,$AN$70-$AV$52*$AV$58,$AN$70+$AV$52*$AV$58))</f>
        <v>4566572893.1134148</v>
      </c>
      <c r="AK66" s="165">
        <f ca="1">MAX($AV$52,IF(AK49&lt;0,$AP$70-$AV$52*$AV$58,$AP$70+$AV$52*$AV$58))</f>
        <v>5296457421.6202869</v>
      </c>
      <c r="AL66" s="165">
        <f ca="1">MAX($AV$52,IF(AL49&lt;0,$AR$70-$AV$52*$AV$58,$AR$70+$AV$52*$AV$58))</f>
        <v>6040181507.6777992</v>
      </c>
      <c r="AM66" s="165">
        <f ca="1">MAX($AV$52,IF(AM49&lt;0,$AT$70-$AV$52*$AV$58,$AT$70+$AV$52*$AV$58))</f>
        <v>2457253069.7047677</v>
      </c>
      <c r="AN66" s="165">
        <f ca="1">MAX($AV$52,IF(AN49&lt;0,$AU$70-$AV$52*$AV$58,$AU$70+$AV$52*$AV$58))</f>
        <v>3858143717.7492614</v>
      </c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9" t="s">
        <v>175</v>
      </c>
      <c r="AZ66" s="165">
        <f ca="1">MAX($BP$52,IF(AZ49&lt;0,$AZ$70-$BP$52*$BP$58,$AZ$70+$BP$52*$BP$58))</f>
        <v>1602443075.2249179</v>
      </c>
      <c r="BA66" s="165">
        <f ca="1">MAX($BP$52,IF(BA49&lt;0,$BB$70-$BP$52*$BP$58,$BB$70+$BP$52*$BP$58))</f>
        <v>5851438180.6479263</v>
      </c>
      <c r="BB66" s="165">
        <f ca="1">MAX($BP$52,IF(BB49&lt;0,$BD$70-$BP$52*$BP$58,$BD$70+$BP$52*$BP$58))</f>
        <v>6186457125.45998</v>
      </c>
      <c r="BC66" s="165">
        <f ca="1">MAX($BP$52,IF(BC49&lt;0,$BF$70-$BP$52*$BP$58,$BF$70+$BP$52*$BP$58))</f>
        <v>6525702483.024334</v>
      </c>
      <c r="BD66" s="165">
        <f ca="1">MAX($BP$52,IF(BD49&lt;0,$BH$70-$BP$52*$BP$58,$BH$70+$BP$52*$BP$58))</f>
        <v>6932257249.0742893</v>
      </c>
      <c r="BE66" s="165">
        <f ca="1">MAX($BP$52,IF(BE49&lt;0,$BJ$70-$BP$52*$BP$58,$BJ$70+$BP$52*$BP$58))</f>
        <v>7778309666.1257992</v>
      </c>
      <c r="BF66" s="165">
        <f ca="1">MAX($BP$52,IF(BF49&lt;0,$BL$70-$BP$52*$BP$58,$BL$70+$BP$52*$BP$58))</f>
        <v>8026099667.1255512</v>
      </c>
      <c r="BG66" s="165">
        <f ca="1">MAX($BP$52,IF(BG49&lt;0,$BN$70-$BP$52*$BP$58,$BN$70+$BP$52*$BP$58))</f>
        <v>2457986061.0899286</v>
      </c>
      <c r="BH66" s="165">
        <f ca="1">MAX($BP$52,IF(BH49&lt;0,$BO$70-$BP$52*$BP$58,$BO$70+$BP$52*$BP$58))</f>
        <v>3858876709.1344223</v>
      </c>
      <c r="BI66" s="158"/>
      <c r="BJ66" s="158"/>
      <c r="BK66" s="158"/>
      <c r="BL66" s="158"/>
      <c r="BM66" s="158"/>
      <c r="BN66" s="158"/>
      <c r="BO66" s="158"/>
      <c r="BP66" s="158"/>
      <c r="BQ66" s="158"/>
      <c r="BR66" s="158"/>
      <c r="BS66" s="5"/>
      <c r="BT66" s="5"/>
      <c r="BU66" s="5"/>
      <c r="BV66" s="5"/>
      <c r="BW66" s="5"/>
      <c r="BX66" s="5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</row>
    <row r="67" spans="1:115" s="34" customFormat="1" ht="19.5" x14ac:dyDescent="0.25">
      <c r="A67" s="5"/>
      <c r="B67" s="2"/>
      <c r="C67" s="2"/>
      <c r="D67" s="10"/>
      <c r="E67" s="2"/>
      <c r="F67" s="2"/>
      <c r="G67" s="2"/>
      <c r="H67" s="2"/>
      <c r="I67" s="10"/>
      <c r="J67" s="10"/>
      <c r="K67" s="5"/>
      <c r="L67" s="5"/>
      <c r="M67" s="5"/>
      <c r="N67" s="7"/>
      <c r="O67" s="7"/>
      <c r="P67" s="7"/>
      <c r="Q67" s="5"/>
      <c r="R67" s="7"/>
      <c r="S67" s="7"/>
      <c r="T67" s="8"/>
      <c r="U67" s="8"/>
      <c r="V67" s="8"/>
      <c r="W67" s="5"/>
      <c r="X67" s="5"/>
      <c r="Y67" s="5"/>
      <c r="Z67" s="5"/>
      <c r="AA67" s="5"/>
      <c r="AB67" s="5"/>
      <c r="AC67" s="5"/>
      <c r="AD67" s="162"/>
      <c r="AE67" s="162"/>
      <c r="AF67" s="165"/>
      <c r="AG67" s="165"/>
      <c r="AH67" s="165"/>
      <c r="AI67" s="165"/>
      <c r="AJ67" s="165"/>
      <c r="AK67" s="165"/>
      <c r="AL67" s="165"/>
      <c r="AM67" s="165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62"/>
      <c r="AZ67" s="165"/>
      <c r="BA67" s="165"/>
      <c r="BB67" s="165"/>
      <c r="BC67" s="165"/>
      <c r="BD67" s="165"/>
      <c r="BE67" s="165"/>
      <c r="BF67" s="165"/>
      <c r="BG67" s="165"/>
      <c r="BH67" s="158"/>
      <c r="BI67" s="158"/>
      <c r="BJ67" s="158"/>
      <c r="BK67" s="158"/>
      <c r="BL67" s="158"/>
      <c r="BM67" s="158"/>
      <c r="BN67" s="158"/>
      <c r="BO67" s="158"/>
      <c r="BP67" s="158"/>
      <c r="BQ67" s="158"/>
      <c r="BR67" s="158"/>
      <c r="BS67" s="5"/>
      <c r="BT67" s="5"/>
      <c r="BU67" s="5"/>
      <c r="BV67" s="5"/>
      <c r="BW67" s="5"/>
      <c r="BX67" s="5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</row>
    <row r="68" spans="1:115" s="34" customFormat="1" ht="19.5" x14ac:dyDescent="0.25">
      <c r="A68" s="5"/>
      <c r="B68" s="2"/>
      <c r="C68" s="2"/>
      <c r="D68" s="10"/>
      <c r="E68" s="2"/>
      <c r="F68" s="2"/>
      <c r="G68" s="2"/>
      <c r="H68" s="2"/>
      <c r="I68" s="10"/>
      <c r="J68" s="10"/>
      <c r="K68" s="5"/>
      <c r="L68" s="5"/>
      <c r="M68" s="5"/>
      <c r="N68" s="7"/>
      <c r="O68" s="7"/>
      <c r="P68" s="7"/>
      <c r="Q68" s="5"/>
      <c r="R68" s="7"/>
      <c r="S68" s="7"/>
      <c r="T68" s="8"/>
      <c r="U68" s="8"/>
      <c r="V68" s="8"/>
      <c r="W68" s="5"/>
      <c r="X68" s="5"/>
      <c r="Y68" s="5"/>
      <c r="Z68" s="5"/>
      <c r="AA68" s="5"/>
      <c r="AB68" s="5"/>
      <c r="AC68" s="5"/>
      <c r="AD68" s="162"/>
      <c r="AE68" s="159" t="s">
        <v>188</v>
      </c>
      <c r="AF68" s="605" t="str">
        <f>$AF$48&amp;"-&gt;"&amp;$AG$48</f>
        <v>1-&gt;2</v>
      </c>
      <c r="AG68" s="605"/>
      <c r="AH68" s="160" t="str">
        <f>$AG$48&amp;"-&gt;"&amp;$AH$48</f>
        <v>2-&gt;3</v>
      </c>
      <c r="AI68" s="160"/>
      <c r="AJ68" s="605" t="str">
        <f>$AH$48&amp;"-&gt;"&amp;$AI$48</f>
        <v>3-&gt;4</v>
      </c>
      <c r="AK68" s="605"/>
      <c r="AL68" s="605" t="str">
        <f>$AI$48&amp;"-&gt;"&amp;$AJ$48</f>
        <v>4-&gt;5</v>
      </c>
      <c r="AM68" s="605"/>
      <c r="AN68" s="605" t="str">
        <f>$AJ$48&amp;"-&gt;"&amp;$AK$48</f>
        <v>5-&gt;6</v>
      </c>
      <c r="AO68" s="605"/>
      <c r="AP68" s="605" t="str">
        <f>$AK$48&amp;"-&gt;"&amp;$AL$48</f>
        <v>6-&gt;7</v>
      </c>
      <c r="AQ68" s="605"/>
      <c r="AR68" s="605" t="str">
        <f>$AL$48&amp;"-&gt;"&amp;$AM$48</f>
        <v>7-&gt;8</v>
      </c>
      <c r="AS68" s="605"/>
      <c r="AT68" s="605" t="str">
        <f>$AM$48&amp;"-&gt;"&amp;$AN$48</f>
        <v>8-&gt;9</v>
      </c>
      <c r="AU68" s="605"/>
      <c r="AV68" s="160"/>
      <c r="AW68" s="160"/>
      <c r="AX68" s="160"/>
      <c r="AY68" s="159" t="s">
        <v>188</v>
      </c>
      <c r="AZ68" s="605" t="str">
        <f>$AF$48&amp;"-&gt;"&amp;$AG$48</f>
        <v>1-&gt;2</v>
      </c>
      <c r="BA68" s="605"/>
      <c r="BB68" s="605" t="str">
        <f>$AG$48&amp;"-&gt;"&amp;$AH$48</f>
        <v>2-&gt;3</v>
      </c>
      <c r="BC68" s="605"/>
      <c r="BD68" s="605" t="str">
        <f>$AH$48&amp;"-&gt;"&amp;$AI$48</f>
        <v>3-&gt;4</v>
      </c>
      <c r="BE68" s="605"/>
      <c r="BF68" s="605" t="str">
        <f>$AI$48&amp;"-&gt;"&amp;$AJ$48</f>
        <v>4-&gt;5</v>
      </c>
      <c r="BG68" s="605"/>
      <c r="BH68" s="605" t="str">
        <f>$AJ$48&amp;"-&gt;"&amp;$AK$48</f>
        <v>5-&gt;6</v>
      </c>
      <c r="BI68" s="605"/>
      <c r="BJ68" s="605" t="str">
        <f>$AK$48&amp;"-&gt;"&amp;$AL$48</f>
        <v>6-&gt;7</v>
      </c>
      <c r="BK68" s="605"/>
      <c r="BL68" s="605" t="str">
        <f>$AL$48&amp;"-&gt;"&amp;$AM$48</f>
        <v>7-&gt;8</v>
      </c>
      <c r="BM68" s="605"/>
      <c r="BN68" s="605" t="str">
        <f>$AM$48&amp;"-&gt;"&amp;$AN$48</f>
        <v>8-&gt;9</v>
      </c>
      <c r="BO68" s="605"/>
      <c r="BP68" s="160"/>
      <c r="BQ68" s="160"/>
      <c r="BR68" s="160"/>
      <c r="BS68" s="5"/>
      <c r="BT68" s="5"/>
      <c r="BU68" s="5"/>
      <c r="BV68" s="5"/>
      <c r="BW68" s="5"/>
      <c r="BX68" s="5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</row>
    <row r="69" spans="1:115" s="34" customFormat="1" ht="51.75" customHeight="1" x14ac:dyDescent="0.25">
      <c r="A69" s="5"/>
      <c r="B69" s="2"/>
      <c r="C69" s="2"/>
      <c r="D69" s="10"/>
      <c r="E69" s="2"/>
      <c r="F69" s="2"/>
      <c r="G69" s="2"/>
      <c r="H69" s="2"/>
      <c r="I69" s="10"/>
      <c r="J69" s="10"/>
      <c r="K69" s="5"/>
      <c r="L69" s="5"/>
      <c r="M69" s="5"/>
      <c r="N69" s="7"/>
      <c r="O69" s="7"/>
      <c r="P69" s="7"/>
      <c r="Q69" s="5"/>
      <c r="R69" s="7"/>
      <c r="S69" s="7"/>
      <c r="T69" s="8"/>
      <c r="U69" s="8"/>
      <c r="V69" s="8"/>
      <c r="W69" s="5"/>
      <c r="X69" s="5"/>
      <c r="Y69" s="5"/>
      <c r="Z69" s="5"/>
      <c r="AA69" s="5"/>
      <c r="AB69" s="5"/>
      <c r="AC69" s="5"/>
      <c r="AD69" s="162"/>
      <c r="AE69" s="159" t="s">
        <v>187</v>
      </c>
      <c r="AF69" s="164">
        <f>$AF$48-$AV$55</f>
        <v>0.6</v>
      </c>
      <c r="AG69" s="164">
        <f>AF69+1</f>
        <v>1.6</v>
      </c>
      <c r="AH69" s="164">
        <f>$AG$48-$AV$55</f>
        <v>1.6</v>
      </c>
      <c r="AI69" s="164">
        <f>AH69+1</f>
        <v>2.6</v>
      </c>
      <c r="AJ69" s="164">
        <f>$AH$48-$AV$55</f>
        <v>2.6</v>
      </c>
      <c r="AK69" s="164">
        <f>AJ69+1</f>
        <v>3.6</v>
      </c>
      <c r="AL69" s="164">
        <f>$AI$48-$AV$55</f>
        <v>3.6</v>
      </c>
      <c r="AM69" s="164">
        <f>AL69+1</f>
        <v>4.5999999999999996</v>
      </c>
      <c r="AN69" s="164">
        <f>$AJ$48-$AV$55</f>
        <v>4.5999999999999996</v>
      </c>
      <c r="AO69" s="164">
        <f>AN69+1</f>
        <v>5.6</v>
      </c>
      <c r="AP69" s="164">
        <f>$AK$48-$AV$55</f>
        <v>5.6</v>
      </c>
      <c r="AQ69" s="164">
        <f>AP69+1</f>
        <v>6.6</v>
      </c>
      <c r="AR69" s="164">
        <f>$AL$48-$AV$55</f>
        <v>6.6</v>
      </c>
      <c r="AS69" s="164">
        <f>AR69+1</f>
        <v>7.6</v>
      </c>
      <c r="AT69" s="164">
        <f>$AM$48-$AV$55</f>
        <v>7.6</v>
      </c>
      <c r="AU69" s="164">
        <f>AT69+1</f>
        <v>8.6</v>
      </c>
      <c r="AV69" s="158"/>
      <c r="AW69" s="158"/>
      <c r="AX69" s="158"/>
      <c r="AY69" s="159" t="s">
        <v>187</v>
      </c>
      <c r="AZ69" s="164">
        <f>$AZ$48-$BP$55</f>
        <v>0.6</v>
      </c>
      <c r="BA69" s="164">
        <f>AZ69+1</f>
        <v>1.6</v>
      </c>
      <c r="BB69" s="164">
        <f>$BA$48-$BP$55</f>
        <v>1.6</v>
      </c>
      <c r="BC69" s="164">
        <f>BB69+1</f>
        <v>2.6</v>
      </c>
      <c r="BD69" s="164">
        <f>$BB$48-$BP$55</f>
        <v>2.6</v>
      </c>
      <c r="BE69" s="164">
        <f>BD69+1</f>
        <v>3.6</v>
      </c>
      <c r="BF69" s="164">
        <f>$BC$48-$BP$55</f>
        <v>3.6</v>
      </c>
      <c r="BG69" s="164">
        <f>BF69+1</f>
        <v>4.5999999999999996</v>
      </c>
      <c r="BH69" s="164">
        <f>$BD$48-$BP$55</f>
        <v>4.5999999999999996</v>
      </c>
      <c r="BI69" s="164">
        <f>BH69+1</f>
        <v>5.6</v>
      </c>
      <c r="BJ69" s="164">
        <f>$BE$48-$BP$55</f>
        <v>5.6</v>
      </c>
      <c r="BK69" s="164">
        <f>BJ69+1</f>
        <v>6.6</v>
      </c>
      <c r="BL69" s="164">
        <f>$BF$48-$BP$55</f>
        <v>6.6</v>
      </c>
      <c r="BM69" s="164">
        <f>BL69+1</f>
        <v>7.6</v>
      </c>
      <c r="BN69" s="164">
        <f>$BG$48-$BP$55</f>
        <v>7.6</v>
      </c>
      <c r="BO69" s="164">
        <f>BN69+1</f>
        <v>8.6</v>
      </c>
      <c r="BP69" s="158"/>
      <c r="BQ69" s="158"/>
      <c r="BR69" s="158"/>
      <c r="BS69" s="5"/>
      <c r="BT69" s="5"/>
      <c r="BU69" s="5"/>
      <c r="BV69" s="5"/>
      <c r="BW69" s="5"/>
      <c r="BX69" s="5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</row>
    <row r="70" spans="1:115" s="34" customFormat="1" ht="19.5" x14ac:dyDescent="0.25">
      <c r="A70" s="5"/>
      <c r="B70" s="2"/>
      <c r="C70" s="2"/>
      <c r="D70" s="10"/>
      <c r="E70" s="2"/>
      <c r="F70" s="2"/>
      <c r="G70" s="2"/>
      <c r="H70" s="2"/>
      <c r="I70" s="10"/>
      <c r="J70" s="10"/>
      <c r="K70" s="5"/>
      <c r="L70" s="5"/>
      <c r="M70" s="5"/>
      <c r="N70" s="7"/>
      <c r="O70" s="7"/>
      <c r="P70" s="7"/>
      <c r="Q70" s="5"/>
      <c r="R70" s="7"/>
      <c r="S70" s="7"/>
      <c r="T70" s="8"/>
      <c r="U70" s="8"/>
      <c r="V70" s="8"/>
      <c r="W70" s="5"/>
      <c r="X70" s="5"/>
      <c r="Y70" s="5"/>
      <c r="Z70" s="5"/>
      <c r="AA70" s="5"/>
      <c r="AB70" s="5"/>
      <c r="AC70" s="5"/>
      <c r="AD70" s="162"/>
      <c r="AE70" s="159" t="s">
        <v>174</v>
      </c>
      <c r="AF70" s="163">
        <f ca="1">$AF$50-MIN(0,$AV$56-$AU$30)+$AV$50</f>
        <v>827566548.42231226</v>
      </c>
      <c r="AG70" s="163">
        <f ca="1">AF70</f>
        <v>827566548.42231226</v>
      </c>
      <c r="AH70" s="163">
        <f ca="1">$AG$50-MIN(0,$AV$56-$AU$30)+$AV$50</f>
        <v>3033439205.848948</v>
      </c>
      <c r="AI70" s="163">
        <f ca="1">AH70</f>
        <v>3033439205.848948</v>
      </c>
      <c r="AJ70" s="163">
        <f ca="1">$AH$50-MIN(0,$AV$56-$AU$30)+$AV$50</f>
        <v>3751078244.5251713</v>
      </c>
      <c r="AK70" s="163">
        <f ca="1">AJ70</f>
        <v>3751078244.5251713</v>
      </c>
      <c r="AL70" s="163">
        <f ca="1">$AI$50-MIN(0,$AV$56-$AU$30)+$AV$50</f>
        <v>3818334977.331502</v>
      </c>
      <c r="AM70" s="163">
        <f ca="1">AL70</f>
        <v>3818334977.331502</v>
      </c>
      <c r="AN70" s="163">
        <f ca="1">$AJ$50-MIN(0,$AV$56-$AU$30)+$AV$50</f>
        <v>3866127569.0911679</v>
      </c>
      <c r="AO70" s="163">
        <f ca="1">AN70</f>
        <v>3866127569.0911679</v>
      </c>
      <c r="AP70" s="163">
        <f ca="1">$AK$50-MIN(0,$AV$56-$AU$30)+$AV$50</f>
        <v>4596012097.5980396</v>
      </c>
      <c r="AQ70" s="163">
        <f ca="1">AP70</f>
        <v>4596012097.5980396</v>
      </c>
      <c r="AR70" s="163">
        <f ca="1">$AL$50-MIN(0,$AV$56-$AU$30)+$AV$50</f>
        <v>5339736183.6555529</v>
      </c>
      <c r="AS70" s="163">
        <f ca="1">AR70</f>
        <v>5339736183.6555529</v>
      </c>
      <c r="AT70" s="163">
        <f ca="1">$AM$50-MIN(0,$AV$56-$AU$30)+$AV$50</f>
        <v>3157698393.7270145</v>
      </c>
      <c r="AU70" s="163">
        <f ca="1">AT70</f>
        <v>3157698393.7270145</v>
      </c>
      <c r="AV70" s="158"/>
      <c r="AW70" s="158"/>
      <c r="AX70" s="158"/>
      <c r="AY70" s="159" t="s">
        <v>174</v>
      </c>
      <c r="AZ70" s="163">
        <f ca="1">$AZ$50-MIN(0,$BP$56-$BA$30)+$BP$50</f>
        <v>901997751.20267105</v>
      </c>
      <c r="BA70" s="163">
        <f ca="1">AZ70</f>
        <v>901997751.20267105</v>
      </c>
      <c r="BB70" s="163">
        <f ca="1">$BA$50-MIN(0,$BP$56-$BA$30)+$BP$50</f>
        <v>5150992856.625679</v>
      </c>
      <c r="BC70" s="163">
        <f ca="1">BB70</f>
        <v>5150992856.625679</v>
      </c>
      <c r="BD70" s="163">
        <f ca="1">$BB$50-MIN(0,$BP$56-$BA$30)+$BP$50</f>
        <v>5486011801.4377337</v>
      </c>
      <c r="BE70" s="163">
        <f ca="1">BD70</f>
        <v>5486011801.4377337</v>
      </c>
      <c r="BF70" s="163">
        <f ca="1">$BC$50-MIN(0,$BP$56-$BA$30)+$BP$50</f>
        <v>5825257159.0020866</v>
      </c>
      <c r="BG70" s="163">
        <f ca="1">BF70</f>
        <v>5825257159.0020866</v>
      </c>
      <c r="BH70" s="163">
        <f ca="1">$BD$50-MIN(0,$BP$56-$BA$30)+$BP$50</f>
        <v>6231811925.052042</v>
      </c>
      <c r="BI70" s="163">
        <f ca="1">BH70</f>
        <v>6231811925.052042</v>
      </c>
      <c r="BJ70" s="163">
        <f ca="1">$BE$50-MIN(0,$BP$56-$BA$30)+$BP$50</f>
        <v>7077864342.1035519</v>
      </c>
      <c r="BK70" s="163">
        <f ca="1">BJ70</f>
        <v>7077864342.1035519</v>
      </c>
      <c r="BL70" s="163">
        <f ca="1">$BF$50-MIN(0,$BP$56-$BA$30)+$BP$50</f>
        <v>7325654343.1033049</v>
      </c>
      <c r="BM70" s="163">
        <f ca="1">BL70</f>
        <v>7325654343.1033049</v>
      </c>
      <c r="BN70" s="163">
        <f ca="1">$BG$50-MIN(0,$BP$56-$BA$30)+$BP$50</f>
        <v>3158431385.1121755</v>
      </c>
      <c r="BO70" s="163">
        <f ca="1">BN70</f>
        <v>3158431385.1121755</v>
      </c>
      <c r="BP70" s="158"/>
      <c r="BQ70" s="158"/>
      <c r="BR70" s="158"/>
      <c r="BS70" s="5"/>
      <c r="BT70" s="5"/>
      <c r="BU70" s="5"/>
      <c r="BV70" s="5"/>
      <c r="BW70" s="5"/>
      <c r="BX70" s="5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</row>
    <row r="71" spans="1:115" s="34" customFormat="1" ht="19.5" x14ac:dyDescent="0.25">
      <c r="A71" s="5"/>
      <c r="B71" s="2"/>
      <c r="C71" s="2"/>
      <c r="D71" s="10"/>
      <c r="E71" s="2"/>
      <c r="F71" s="2"/>
      <c r="G71" s="2"/>
      <c r="H71" s="2"/>
      <c r="I71" s="10"/>
      <c r="J71" s="10"/>
      <c r="K71" s="5"/>
      <c r="L71" s="5"/>
      <c r="M71" s="5"/>
      <c r="N71" s="7"/>
      <c r="O71" s="7"/>
      <c r="P71" s="7"/>
      <c r="Q71" s="5"/>
      <c r="R71" s="7"/>
      <c r="S71" s="7"/>
      <c r="T71" s="8"/>
      <c r="U71" s="8"/>
      <c r="V71" s="8"/>
      <c r="W71" s="5"/>
      <c r="X71" s="5"/>
      <c r="Y71" s="5"/>
      <c r="Z71" s="5"/>
      <c r="AA71" s="5"/>
      <c r="AB71" s="5"/>
      <c r="AC71" s="5"/>
      <c r="AD71" s="162"/>
      <c r="AE71" s="162"/>
      <c r="AF71" s="161"/>
      <c r="AG71" s="161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62"/>
      <c r="AZ71" s="161"/>
      <c r="BA71" s="161"/>
      <c r="BB71" s="158"/>
      <c r="BC71" s="158"/>
      <c r="BD71" s="158"/>
      <c r="BE71" s="158"/>
      <c r="BF71" s="158"/>
      <c r="BG71" s="158"/>
      <c r="BH71" s="158"/>
      <c r="BI71" s="158"/>
      <c r="BJ71" s="158"/>
      <c r="BK71" s="158"/>
      <c r="BL71" s="158"/>
      <c r="BM71" s="158"/>
      <c r="BN71" s="158"/>
      <c r="BO71" s="158"/>
      <c r="BP71" s="158"/>
      <c r="BQ71" s="158"/>
      <c r="BR71" s="158"/>
      <c r="BS71" s="5"/>
      <c r="BT71" s="5"/>
      <c r="BU71" s="5"/>
      <c r="BV71" s="5"/>
      <c r="BW71" s="5"/>
      <c r="BX71" s="5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</row>
    <row r="72" spans="1:115" s="34" customFormat="1" ht="19.5" x14ac:dyDescent="0.25">
      <c r="A72" s="5"/>
      <c r="B72" s="2"/>
      <c r="C72" s="2"/>
      <c r="D72" s="10"/>
      <c r="E72" s="2"/>
      <c r="F72" s="2"/>
      <c r="G72" s="2"/>
      <c r="H72" s="2"/>
      <c r="I72" s="10"/>
      <c r="J72" s="10"/>
      <c r="K72" s="5"/>
      <c r="L72" s="5"/>
      <c r="M72" s="5"/>
      <c r="N72" s="7"/>
      <c r="O72" s="7"/>
      <c r="P72" s="7"/>
      <c r="Q72" s="5"/>
      <c r="R72" s="7"/>
      <c r="S72" s="7"/>
      <c r="T72" s="8"/>
      <c r="U72" s="8"/>
      <c r="V72" s="8"/>
      <c r="W72" s="5"/>
      <c r="X72" s="5"/>
      <c r="Y72" s="5"/>
      <c r="Z72" s="5"/>
      <c r="AA72" s="5"/>
      <c r="AB72" s="5"/>
      <c r="AC72" s="5"/>
      <c r="AD72" s="162"/>
      <c r="AE72" s="162"/>
      <c r="AF72" s="161"/>
      <c r="AG72" s="161"/>
      <c r="AH72" s="158"/>
      <c r="AI72" s="158"/>
      <c r="AJ72" s="158"/>
      <c r="AK72" s="158"/>
      <c r="AL72" s="158"/>
      <c r="AM72" s="158"/>
      <c r="AN72" s="158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62"/>
      <c r="AZ72" s="161"/>
      <c r="BA72" s="161"/>
      <c r="BB72" s="158"/>
      <c r="BC72" s="158"/>
      <c r="BD72" s="158"/>
      <c r="BE72" s="158"/>
      <c r="BF72" s="158"/>
      <c r="BG72" s="158"/>
      <c r="BH72" s="158"/>
      <c r="BI72" s="158"/>
      <c r="BJ72" s="158"/>
      <c r="BK72" s="158"/>
      <c r="BL72" s="158"/>
      <c r="BM72" s="158"/>
      <c r="BN72" s="158"/>
      <c r="BO72" s="158"/>
      <c r="BP72" s="158"/>
      <c r="BQ72" s="158"/>
      <c r="BR72" s="158"/>
      <c r="BS72" s="5"/>
      <c r="BT72" s="5"/>
      <c r="BU72" s="5"/>
      <c r="BV72" s="5"/>
      <c r="BW72" s="5"/>
      <c r="BX72" s="5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</row>
    <row r="73" spans="1:115" s="34" customFormat="1" ht="19.5" x14ac:dyDescent="0.25">
      <c r="A73" s="5"/>
      <c r="B73" s="2"/>
      <c r="C73" s="2"/>
      <c r="D73" s="10"/>
      <c r="E73" s="2"/>
      <c r="F73" s="2"/>
      <c r="G73" s="2"/>
      <c r="H73" s="2"/>
      <c r="I73" s="10"/>
      <c r="J73" s="10"/>
      <c r="K73" s="5"/>
      <c r="L73" s="5"/>
      <c r="M73" s="5"/>
      <c r="N73" s="7"/>
      <c r="O73" s="7"/>
      <c r="P73" s="7"/>
      <c r="Q73" s="5"/>
      <c r="R73" s="7"/>
      <c r="S73" s="7"/>
      <c r="T73" s="8"/>
      <c r="U73" s="8"/>
      <c r="V73" s="8"/>
      <c r="W73" s="5"/>
      <c r="X73" s="5"/>
      <c r="Y73" s="5"/>
      <c r="Z73" s="5"/>
      <c r="AA73" s="5"/>
      <c r="AB73" s="5"/>
      <c r="AC73" s="5"/>
      <c r="AD73" s="158"/>
      <c r="AE73" s="160" t="s">
        <v>186</v>
      </c>
      <c r="AF73" s="158"/>
      <c r="AG73" s="158"/>
      <c r="AH73" s="158"/>
      <c r="AI73" s="158"/>
      <c r="AJ73" s="158"/>
      <c r="AK73" s="158"/>
      <c r="AL73" s="158"/>
      <c r="AM73" s="158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  <c r="AY73" s="160" t="s">
        <v>186</v>
      </c>
      <c r="AZ73" s="158"/>
      <c r="BA73" s="158"/>
      <c r="BB73" s="158"/>
      <c r="BC73" s="158"/>
      <c r="BD73" s="158"/>
      <c r="BE73" s="158"/>
      <c r="BF73" s="158"/>
      <c r="BG73" s="158"/>
      <c r="BH73" s="158"/>
      <c r="BI73" s="158"/>
      <c r="BJ73" s="158"/>
      <c r="BK73" s="158"/>
      <c r="BL73" s="158"/>
      <c r="BM73" s="158"/>
      <c r="BN73" s="158"/>
      <c r="BO73" s="158"/>
      <c r="BP73" s="158"/>
      <c r="BQ73" s="158"/>
      <c r="BR73" s="158"/>
      <c r="BS73" s="5"/>
      <c r="BT73" s="5"/>
      <c r="BU73" s="5"/>
      <c r="BV73" s="5"/>
      <c r="BW73" s="5"/>
      <c r="BX73" s="5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</row>
    <row r="74" spans="1:115" s="34" customFormat="1" ht="19.5" x14ac:dyDescent="0.25">
      <c r="A74" s="5"/>
      <c r="B74" s="2"/>
      <c r="C74" s="2"/>
      <c r="D74" s="10"/>
      <c r="E74" s="2"/>
      <c r="F74" s="2"/>
      <c r="G74" s="2"/>
      <c r="H74" s="2"/>
      <c r="I74" s="10"/>
      <c r="J74" s="10"/>
      <c r="K74" s="5"/>
      <c r="L74" s="5"/>
      <c r="M74" s="5"/>
      <c r="N74" s="7"/>
      <c r="O74" s="7"/>
      <c r="P74" s="7"/>
      <c r="Q74" s="5"/>
      <c r="R74" s="7"/>
      <c r="S74" s="7"/>
      <c r="T74" s="8"/>
      <c r="U74" s="8"/>
      <c r="V74" s="8"/>
      <c r="W74" s="5"/>
      <c r="X74" s="5"/>
      <c r="Y74" s="5"/>
      <c r="Z74" s="5"/>
      <c r="AA74" s="5"/>
      <c r="AB74" s="5"/>
      <c r="AC74" s="5"/>
      <c r="AD74" s="158"/>
      <c r="AE74" s="158"/>
      <c r="AF74" s="158"/>
      <c r="AG74" s="158"/>
      <c r="AH74" s="158"/>
      <c r="AI74" s="158"/>
      <c r="AJ74" s="158"/>
      <c r="AK74" s="158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  <c r="AY74" s="158"/>
      <c r="AZ74" s="158"/>
      <c r="BA74" s="158"/>
      <c r="BB74" s="158"/>
      <c r="BC74" s="158"/>
      <c r="BD74" s="158"/>
      <c r="BE74" s="158"/>
      <c r="BF74" s="158"/>
      <c r="BG74" s="158"/>
      <c r="BH74" s="158"/>
      <c r="BI74" s="158"/>
      <c r="BJ74" s="158"/>
      <c r="BK74" s="158"/>
      <c r="BL74" s="158"/>
      <c r="BM74" s="158"/>
      <c r="BN74" s="158"/>
      <c r="BO74" s="158"/>
      <c r="BP74" s="158"/>
      <c r="BQ74" s="158"/>
      <c r="BR74" s="158"/>
      <c r="BS74" s="5"/>
      <c r="BT74" s="5"/>
      <c r="BU74" s="5"/>
      <c r="BV74" s="5"/>
      <c r="BW74" s="5"/>
      <c r="BX74" s="5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</row>
    <row r="75" spans="1:115" s="34" customFormat="1" ht="19.5" x14ac:dyDescent="0.25">
      <c r="A75" s="5"/>
      <c r="B75" s="2"/>
      <c r="C75" s="2"/>
      <c r="D75" s="10"/>
      <c r="E75" s="2"/>
      <c r="F75" s="2"/>
      <c r="G75" s="2"/>
      <c r="H75" s="2"/>
      <c r="I75" s="10"/>
      <c r="J75" s="10"/>
      <c r="K75" s="5"/>
      <c r="L75" s="5"/>
      <c r="M75" s="5"/>
      <c r="N75" s="7"/>
      <c r="O75" s="7"/>
      <c r="P75" s="7"/>
      <c r="Q75" s="5"/>
      <c r="R75" s="7"/>
      <c r="S75" s="7"/>
      <c r="T75" s="8"/>
      <c r="U75" s="8"/>
      <c r="V75" s="8"/>
      <c r="W75" s="5"/>
      <c r="X75" s="5"/>
      <c r="Y75" s="5"/>
      <c r="Z75" s="5"/>
      <c r="AA75" s="5"/>
      <c r="AB75" s="5"/>
      <c r="AC75" s="5"/>
      <c r="AD75" s="158"/>
      <c r="AE75" s="159" t="s">
        <v>185</v>
      </c>
      <c r="AF75" s="158">
        <f t="shared" ref="AF75:AN75" ca="1" si="31">AF52/$AV$53*$AV$47*100</f>
        <v>8.4875388501871729</v>
      </c>
      <c r="AG75" s="158">
        <f t="shared" ca="1" si="31"/>
        <v>8.4875388501871729</v>
      </c>
      <c r="AH75" s="158">
        <f t="shared" ca="1" si="31"/>
        <v>8.4875388501871729</v>
      </c>
      <c r="AI75" s="158">
        <f t="shared" ca="1" si="31"/>
        <v>8.4875388501871729</v>
      </c>
      <c r="AJ75" s="158">
        <f t="shared" ca="1" si="31"/>
        <v>8.4875388501871729</v>
      </c>
      <c r="AK75" s="158">
        <f t="shared" ca="1" si="31"/>
        <v>8.4875388501871729</v>
      </c>
      <c r="AL75" s="158">
        <f t="shared" ca="1" si="31"/>
        <v>8.4875388501871729</v>
      </c>
      <c r="AM75" s="158">
        <f t="shared" ca="1" si="31"/>
        <v>8.4875388501871729</v>
      </c>
      <c r="AN75" s="158">
        <f t="shared" ca="1" si="31"/>
        <v>8.4875388501871729</v>
      </c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  <c r="AY75" s="159" t="s">
        <v>185</v>
      </c>
      <c r="AZ75" s="158">
        <f t="shared" ref="AZ75:BH75" ca="1" si="32">AZ52/$BP$53*$BP$47*100</f>
        <v>8.4875388501871729</v>
      </c>
      <c r="BA75" s="158">
        <f t="shared" ca="1" si="32"/>
        <v>8.4875388501871729</v>
      </c>
      <c r="BB75" s="158">
        <f t="shared" ca="1" si="32"/>
        <v>8.4875388501871729</v>
      </c>
      <c r="BC75" s="158">
        <f t="shared" ca="1" si="32"/>
        <v>8.4875388501871729</v>
      </c>
      <c r="BD75" s="158">
        <f t="shared" ca="1" si="32"/>
        <v>8.4875388501871729</v>
      </c>
      <c r="BE75" s="158">
        <f t="shared" ca="1" si="32"/>
        <v>8.4875388501871729</v>
      </c>
      <c r="BF75" s="158">
        <f t="shared" ca="1" si="32"/>
        <v>8.4875388501871729</v>
      </c>
      <c r="BG75" s="158">
        <f t="shared" ca="1" si="32"/>
        <v>8.4875388501871729</v>
      </c>
      <c r="BH75" s="158">
        <f t="shared" ca="1" si="32"/>
        <v>8.4875388501871729</v>
      </c>
      <c r="BI75" s="158"/>
      <c r="BJ75" s="158"/>
      <c r="BK75" s="158"/>
      <c r="BL75" s="158"/>
      <c r="BM75" s="158"/>
      <c r="BN75" s="158"/>
      <c r="BO75" s="158"/>
      <c r="BP75" s="158"/>
      <c r="BQ75" s="158"/>
      <c r="BR75" s="158"/>
      <c r="BS75" s="5"/>
      <c r="BT75" s="5"/>
      <c r="BU75" s="5"/>
      <c r="BV75" s="5"/>
      <c r="BW75" s="5"/>
      <c r="BX75" s="5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</row>
    <row r="76" spans="1:115" s="34" customFormat="1" ht="19.5" x14ac:dyDescent="0.25">
      <c r="A76" s="5"/>
      <c r="B76" s="2"/>
      <c r="C76" s="2"/>
      <c r="D76" s="10"/>
      <c r="E76" s="2"/>
      <c r="F76" s="2"/>
      <c r="G76" s="2"/>
      <c r="H76" s="2"/>
      <c r="I76" s="10"/>
      <c r="J76" s="10"/>
      <c r="K76" s="5"/>
      <c r="L76" s="5"/>
      <c r="M76" s="5"/>
      <c r="N76" s="7"/>
      <c r="O76" s="7"/>
      <c r="P76" s="7"/>
      <c r="Q76" s="5"/>
      <c r="R76" s="7"/>
      <c r="S76" s="7"/>
      <c r="T76" s="8"/>
      <c r="U76" s="8"/>
      <c r="V76" s="8"/>
      <c r="W76" s="5"/>
      <c r="X76" s="5"/>
      <c r="Y76" s="5"/>
      <c r="Z76" s="5"/>
      <c r="AA76" s="5"/>
      <c r="AB76" s="5"/>
      <c r="AC76" s="5"/>
      <c r="AD76" s="158"/>
      <c r="AE76" s="159" t="s">
        <v>184</v>
      </c>
      <c r="AF76" s="158">
        <f t="shared" ref="AF76:AN76" ca="1" si="33">AF53/$AV$53*$AV$47*100</f>
        <v>81.17445609737959</v>
      </c>
      <c r="AG76" s="158">
        <f t="shared" ca="1" si="33"/>
        <v>53.618578300028432</v>
      </c>
      <c r="AH76" s="158">
        <f t="shared" ca="1" si="33"/>
        <v>44.653793508035847</v>
      </c>
      <c r="AI76" s="158">
        <f t="shared" ca="1" si="33"/>
        <v>43.813618847898198</v>
      </c>
      <c r="AJ76" s="158">
        <f t="shared" ca="1" si="33"/>
        <v>43.216591266222473</v>
      </c>
      <c r="AK76" s="158">
        <f t="shared" ca="1" si="33"/>
        <v>34.098835168200054</v>
      </c>
      <c r="AL76" s="158">
        <f t="shared" ca="1" si="33"/>
        <v>24.808194585957331</v>
      </c>
      <c r="AM76" s="158">
        <f t="shared" ca="1" si="33"/>
        <v>24.808194585957331</v>
      </c>
      <c r="AN76" s="158">
        <f t="shared" ca="1" si="33"/>
        <v>52.06334864170271</v>
      </c>
      <c r="AO76" s="158"/>
      <c r="AP76" s="158"/>
      <c r="AQ76" s="158"/>
      <c r="AR76" s="158"/>
      <c r="AS76" s="158"/>
      <c r="AT76" s="158"/>
      <c r="AU76" s="158"/>
      <c r="AV76" s="158">
        <f ca="1">IF(AU31&lt;&gt;0,(AV65+AV64/2)/$AV$53*$AV$47*100,0-(AV65+AV64/2)/$AV$53*$AV$47*100)</f>
        <v>-8.4875388501871729</v>
      </c>
      <c r="AW76" s="158"/>
      <c r="AX76" s="158"/>
      <c r="AY76" s="159" t="s">
        <v>184</v>
      </c>
      <c r="AZ76" s="158">
        <f t="shared" ref="AZ76:BH76" ca="1" si="34">AZ53/$BP$53*$BP$47*100</f>
        <v>80.244657579219364</v>
      </c>
      <c r="BA76" s="158">
        <f t="shared" ca="1" si="34"/>
        <v>27.16598620062295</v>
      </c>
      <c r="BB76" s="158">
        <f t="shared" ca="1" si="34"/>
        <v>22.980911839255132</v>
      </c>
      <c r="BC76" s="158">
        <f t="shared" ca="1" si="34"/>
        <v>18.743040906457228</v>
      </c>
      <c r="BD76" s="158">
        <f t="shared" ca="1" si="34"/>
        <v>13.664337286152778</v>
      </c>
      <c r="BE76" s="158">
        <f t="shared" ca="1" si="34"/>
        <v>3.0954057859896227</v>
      </c>
      <c r="BF76" s="158">
        <f t="shared" ca="1" si="34"/>
        <v>0</v>
      </c>
      <c r="BG76" s="158">
        <f t="shared" ca="1" si="34"/>
        <v>0</v>
      </c>
      <c r="BH76" s="158">
        <f t="shared" ca="1" si="34"/>
        <v>52.06334864170271</v>
      </c>
      <c r="BI76" s="158"/>
      <c r="BJ76" s="158"/>
      <c r="BK76" s="158"/>
      <c r="BL76" s="158"/>
      <c r="BM76" s="158"/>
      <c r="BN76" s="158"/>
      <c r="BO76" s="158"/>
      <c r="BP76" s="158">
        <f ca="1">IF(AU31&lt;&gt;0,(BP65+BP64/2)/$BP$53*$BP$47*100,0-(BP65+BP64/2)/$BP$53*$BP$47*100)</f>
        <v>-8.4875388501871729</v>
      </c>
      <c r="BQ76" s="158"/>
      <c r="BR76" s="158"/>
      <c r="BS76" s="5"/>
      <c r="BT76" s="5"/>
      <c r="BU76" s="5"/>
      <c r="BV76" s="5"/>
      <c r="BW76" s="5"/>
      <c r="BX76" s="5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</row>
    <row r="77" spans="1:115" s="34" customFormat="1" ht="19.5" x14ac:dyDescent="0.25">
      <c r="A77" s="5"/>
      <c r="B77" s="2"/>
      <c r="C77" s="2"/>
      <c r="D77" s="10"/>
      <c r="E77" s="2"/>
      <c r="F77" s="2"/>
      <c r="G77" s="2"/>
      <c r="H77" s="2"/>
      <c r="I77" s="10"/>
      <c r="J77" s="10"/>
      <c r="K77" s="5"/>
      <c r="L77" s="5"/>
      <c r="M77" s="5"/>
      <c r="N77" s="7"/>
      <c r="O77" s="7"/>
      <c r="P77" s="7"/>
      <c r="Q77" s="5"/>
      <c r="R77" s="7"/>
      <c r="S77" s="7"/>
      <c r="T77" s="8"/>
      <c r="U77" s="8"/>
      <c r="V77" s="8"/>
      <c r="W77" s="5"/>
      <c r="X77" s="5"/>
      <c r="Y77" s="5"/>
      <c r="Z77" s="5"/>
      <c r="AA77" s="5"/>
      <c r="AB77" s="5"/>
      <c r="AC77" s="5"/>
      <c r="AD77" s="5"/>
      <c r="AE77" s="159" t="s">
        <v>183</v>
      </c>
      <c r="AF77" s="158">
        <f t="shared" ref="AF77:AN77" ca="1" si="35">AF54/$AV$53*$AV$47*100</f>
        <v>1.8504662022460761</v>
      </c>
      <c r="AG77" s="158">
        <f t="shared" ca="1" si="35"/>
        <v>27.555877797351151</v>
      </c>
      <c r="AH77" s="158">
        <f t="shared" ca="1" si="35"/>
        <v>8.9647847919925852</v>
      </c>
      <c r="AI77" s="158">
        <f t="shared" ca="1" si="35"/>
        <v>0.84017466013764741</v>
      </c>
      <c r="AJ77" s="158">
        <f t="shared" ca="1" si="35"/>
        <v>0.59702758167573444</v>
      </c>
      <c r="AK77" s="158">
        <f t="shared" ca="1" si="35"/>
        <v>9.1177560980224168</v>
      </c>
      <c r="AL77" s="158">
        <f t="shared" ca="1" si="35"/>
        <v>9.2906405822427303</v>
      </c>
      <c r="AM77" s="158">
        <f t="shared" ca="1" si="35"/>
        <v>0</v>
      </c>
      <c r="AN77" s="158">
        <f t="shared" ca="1" si="35"/>
        <v>30.961573657922948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159" t="s">
        <v>183</v>
      </c>
      <c r="AZ77" s="158">
        <f t="shared" ref="AZ77:BH77" ca="1" si="36">AZ54/$BP$53*$BP$47*100</f>
        <v>2.7802647204062962</v>
      </c>
      <c r="BA77" s="158">
        <f t="shared" ca="1" si="36"/>
        <v>53.078671378596411</v>
      </c>
      <c r="BB77" s="158">
        <f t="shared" ca="1" si="36"/>
        <v>4.1850743613678114</v>
      </c>
      <c r="BC77" s="158">
        <f t="shared" ca="1" si="36"/>
        <v>4.2378709327979029</v>
      </c>
      <c r="BD77" s="158">
        <f t="shared" ca="1" si="36"/>
        <v>5.0787036203044522</v>
      </c>
      <c r="BE77" s="158">
        <f t="shared" ca="1" si="36"/>
        <v>10.568931500163153</v>
      </c>
      <c r="BF77" s="158">
        <f t="shared" ca="1" si="36"/>
        <v>3.0954057859896285</v>
      </c>
      <c r="BG77" s="158">
        <f t="shared" ca="1" si="36"/>
        <v>0</v>
      </c>
      <c r="BH77" s="158">
        <f t="shared" ca="1" si="36"/>
        <v>30.961573657922948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</row>
    <row r="78" spans="1:115" s="34" customFormat="1" ht="19.5" x14ac:dyDescent="0.25">
      <c r="A78" s="5"/>
      <c r="B78" s="2"/>
      <c r="C78" s="2"/>
      <c r="D78" s="10"/>
      <c r="E78" s="2"/>
      <c r="F78" s="2"/>
      <c r="G78" s="2"/>
      <c r="H78" s="2"/>
      <c r="I78" s="10"/>
      <c r="J78" s="10"/>
      <c r="K78" s="5"/>
      <c r="L78" s="5"/>
      <c r="M78" s="5"/>
      <c r="N78" s="7"/>
      <c r="O78" s="7"/>
      <c r="P78" s="7"/>
      <c r="Q78" s="5"/>
      <c r="R78" s="7"/>
      <c r="S78" s="7"/>
      <c r="T78" s="8"/>
      <c r="U78" s="8"/>
      <c r="V78" s="8"/>
      <c r="W78" s="5"/>
      <c r="X78" s="5"/>
      <c r="Y78" s="5"/>
      <c r="Z78" s="5"/>
      <c r="AA78" s="5"/>
      <c r="AB78" s="5"/>
      <c r="AC78" s="5"/>
      <c r="AD78" s="5"/>
      <c r="AE78" s="159" t="s">
        <v>182</v>
      </c>
      <c r="AF78" s="158">
        <f t="shared" ref="AF78:AN78" ca="1" si="37">AF55/$AV$53*$AV$47*100</f>
        <v>0</v>
      </c>
      <c r="AG78" s="158">
        <f t="shared" ca="1" si="37"/>
        <v>0</v>
      </c>
      <c r="AH78" s="158">
        <f t="shared" ca="1" si="37"/>
        <v>0</v>
      </c>
      <c r="AI78" s="158">
        <f t="shared" ca="1" si="37"/>
        <v>0</v>
      </c>
      <c r="AJ78" s="158">
        <f t="shared" ca="1" si="37"/>
        <v>0</v>
      </c>
      <c r="AK78" s="158">
        <f t="shared" ca="1" si="37"/>
        <v>0</v>
      </c>
      <c r="AL78" s="158">
        <f t="shared" ca="1" si="37"/>
        <v>0</v>
      </c>
      <c r="AM78" s="158">
        <f t="shared" ca="1" si="37"/>
        <v>27.258131373103865</v>
      </c>
      <c r="AN78" s="158">
        <f t="shared" ca="1" si="37"/>
        <v>0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159" t="s">
        <v>182</v>
      </c>
      <c r="AZ78" s="158">
        <f t="shared" ref="AZ78:BH78" ca="1" si="38">AZ55/$BP$53*$BP$47*100</f>
        <v>0</v>
      </c>
      <c r="BA78" s="158">
        <f t="shared" ca="1" si="38"/>
        <v>0</v>
      </c>
      <c r="BB78" s="158">
        <f t="shared" ca="1" si="38"/>
        <v>0</v>
      </c>
      <c r="BC78" s="158">
        <f t="shared" ca="1" si="38"/>
        <v>0</v>
      </c>
      <c r="BD78" s="158">
        <f t="shared" ca="1" si="38"/>
        <v>0</v>
      </c>
      <c r="BE78" s="158">
        <f t="shared" ca="1" si="38"/>
        <v>0</v>
      </c>
      <c r="BF78" s="158">
        <f t="shared" ca="1" si="38"/>
        <v>0</v>
      </c>
      <c r="BG78" s="158">
        <f t="shared" ca="1" si="38"/>
        <v>52.057169391945678</v>
      </c>
      <c r="BH78" s="158">
        <f t="shared" ca="1" si="38"/>
        <v>0</v>
      </c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</row>
    <row r="79" spans="1:115" s="34" customFormat="1" ht="19.5" x14ac:dyDescent="0.25">
      <c r="A79" s="5"/>
      <c r="B79" s="2"/>
      <c r="C79" s="2"/>
      <c r="D79" s="10"/>
      <c r="E79" s="2"/>
      <c r="F79" s="2"/>
      <c r="G79" s="2"/>
      <c r="H79" s="2"/>
      <c r="I79" s="10"/>
      <c r="J79" s="10"/>
      <c r="K79" s="5"/>
      <c r="L79" s="5"/>
      <c r="M79" s="5"/>
      <c r="N79" s="7"/>
      <c r="O79" s="7"/>
      <c r="P79" s="7"/>
      <c r="Q79" s="5"/>
      <c r="R79" s="7"/>
      <c r="S79" s="7"/>
      <c r="T79" s="8"/>
      <c r="U79" s="8"/>
      <c r="V79" s="8"/>
      <c r="W79" s="5"/>
      <c r="X79" s="5"/>
      <c r="Y79" s="5"/>
      <c r="Z79" s="5"/>
      <c r="AA79" s="5"/>
      <c r="AB79" s="5"/>
      <c r="AC79" s="5"/>
      <c r="AD79" s="5"/>
      <c r="AE79" s="159" t="s">
        <v>181</v>
      </c>
      <c r="AF79" s="158">
        <f t="shared" ref="AF79:AN79" ca="1" si="39">AF56/$AV$53*$AV$47*100</f>
        <v>0</v>
      </c>
      <c r="AG79" s="158">
        <f t="shared" ca="1" si="39"/>
        <v>1.8504662022460785</v>
      </c>
      <c r="AH79" s="158">
        <f t="shared" ca="1" si="39"/>
        <v>29.406343999597222</v>
      </c>
      <c r="AI79" s="158">
        <f t="shared" ca="1" si="39"/>
        <v>38.371128791589811</v>
      </c>
      <c r="AJ79" s="158">
        <f t="shared" ca="1" si="39"/>
        <v>39.211303451727453</v>
      </c>
      <c r="AK79" s="158">
        <f t="shared" ca="1" si="39"/>
        <v>39.808331033403185</v>
      </c>
      <c r="AL79" s="158">
        <f t="shared" ca="1" si="39"/>
        <v>48.926087131425597</v>
      </c>
      <c r="AM79" s="158">
        <f t="shared" ca="1" si="39"/>
        <v>30.958596340564458</v>
      </c>
      <c r="AN79" s="158">
        <f t="shared" ca="1" si="39"/>
        <v>0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159" t="s">
        <v>181</v>
      </c>
      <c r="AZ79" s="158">
        <f t="shared" ref="AZ79:BH79" ca="1" si="40">AZ56/$BP$53*$BP$47*100</f>
        <v>0</v>
      </c>
      <c r="BA79" s="158">
        <f t="shared" ca="1" si="40"/>
        <v>2.7802647204062971</v>
      </c>
      <c r="BB79" s="158">
        <f t="shared" ca="1" si="40"/>
        <v>55.858936099002719</v>
      </c>
      <c r="BC79" s="158">
        <f t="shared" ca="1" si="40"/>
        <v>60.044010460370522</v>
      </c>
      <c r="BD79" s="158">
        <f t="shared" ca="1" si="40"/>
        <v>64.281881393168433</v>
      </c>
      <c r="BE79" s="158">
        <f t="shared" ca="1" si="40"/>
        <v>69.360585013472871</v>
      </c>
      <c r="BF79" s="158">
        <f t="shared" ca="1" si="40"/>
        <v>79.929516513636017</v>
      </c>
      <c r="BG79" s="158">
        <f t="shared" ca="1" si="40"/>
        <v>30.967752907679973</v>
      </c>
      <c r="BH79" s="158">
        <f t="shared" ca="1" si="40"/>
        <v>0</v>
      </c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</row>
    <row r="80" spans="1:115" s="34" customFormat="1" ht="19.5" x14ac:dyDescent="0.25">
      <c r="A80" s="5"/>
      <c r="B80" s="2"/>
      <c r="C80" s="2"/>
      <c r="D80" s="10"/>
      <c r="E80" s="2"/>
      <c r="F80" s="2"/>
      <c r="G80" s="2"/>
      <c r="H80" s="2"/>
      <c r="I80" s="10"/>
      <c r="J80" s="10"/>
      <c r="K80" s="5"/>
      <c r="L80" s="5"/>
      <c r="M80" s="5"/>
      <c r="N80" s="7"/>
      <c r="O80" s="7"/>
      <c r="P80" s="7"/>
      <c r="Q80" s="5"/>
      <c r="R80" s="7"/>
      <c r="S80" s="7"/>
      <c r="T80" s="8"/>
      <c r="U80" s="8"/>
      <c r="V80" s="8"/>
      <c r="W80" s="5"/>
      <c r="X80" s="5"/>
      <c r="Y80" s="5"/>
      <c r="Z80" s="5"/>
      <c r="AA80" s="5"/>
      <c r="AB80" s="5"/>
      <c r="AC80" s="5"/>
      <c r="AD80" s="5"/>
      <c r="AE80" s="159" t="s">
        <v>180</v>
      </c>
      <c r="AF80" s="158">
        <f t="shared" ref="AF80:AN80" ca="1" si="41">AF57/$AV$53*$AV$47*100</f>
        <v>8.4875388501871729</v>
      </c>
      <c r="AG80" s="158">
        <f t="shared" ca="1" si="41"/>
        <v>8.4875388501871729</v>
      </c>
      <c r="AH80" s="158">
        <f t="shared" ca="1" si="41"/>
        <v>8.4875388501871729</v>
      </c>
      <c r="AI80" s="158">
        <f t="shared" ca="1" si="41"/>
        <v>8.4875388501871729</v>
      </c>
      <c r="AJ80" s="158">
        <f t="shared" ca="1" si="41"/>
        <v>8.4875388501871729</v>
      </c>
      <c r="AK80" s="158">
        <f t="shared" ca="1" si="41"/>
        <v>8.4875388501871729</v>
      </c>
      <c r="AL80" s="158">
        <f t="shared" ca="1" si="41"/>
        <v>8.4875388501871729</v>
      </c>
      <c r="AM80" s="158">
        <f t="shared" ca="1" si="41"/>
        <v>8.4875388501871729</v>
      </c>
      <c r="AN80" s="158">
        <f t="shared" ca="1" si="41"/>
        <v>8.4875388501871729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159" t="s">
        <v>180</v>
      </c>
      <c r="AZ80" s="158">
        <f t="shared" ref="AZ80:BH80" ca="1" si="42">AZ57/$BP$53*$AV$47*100</f>
        <v>8.4875388501871729</v>
      </c>
      <c r="BA80" s="158">
        <f t="shared" ca="1" si="42"/>
        <v>8.4875388501871729</v>
      </c>
      <c r="BB80" s="158">
        <f t="shared" ca="1" si="42"/>
        <v>8.4875388501871729</v>
      </c>
      <c r="BC80" s="158">
        <f t="shared" ca="1" si="42"/>
        <v>8.4875388501871729</v>
      </c>
      <c r="BD80" s="158">
        <f t="shared" ca="1" si="42"/>
        <v>8.4875388501871729</v>
      </c>
      <c r="BE80" s="158">
        <f t="shared" ca="1" si="42"/>
        <v>8.4875388501871729</v>
      </c>
      <c r="BF80" s="158">
        <f t="shared" ca="1" si="42"/>
        <v>8.4875388501871729</v>
      </c>
      <c r="BG80" s="158">
        <f t="shared" ca="1" si="42"/>
        <v>8.4875388501871729</v>
      </c>
      <c r="BH80" s="158">
        <f t="shared" ca="1" si="42"/>
        <v>8.4875388501871729</v>
      </c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</row>
    <row r="81" spans="1:115" s="34" customFormat="1" ht="12.75" x14ac:dyDescent="0.25">
      <c r="A81" s="5"/>
      <c r="B81" s="2"/>
      <c r="C81" s="2"/>
      <c r="D81" s="10"/>
      <c r="E81" s="2"/>
      <c r="F81" s="2"/>
      <c r="G81" s="2"/>
      <c r="H81" s="2"/>
      <c r="I81" s="10"/>
      <c r="J81" s="10"/>
      <c r="K81" s="5"/>
      <c r="L81" s="5"/>
      <c r="M81" s="5"/>
      <c r="N81" s="7"/>
      <c r="O81" s="7"/>
      <c r="P81" s="7"/>
      <c r="Q81" s="5"/>
      <c r="R81" s="7"/>
      <c r="S81" s="7"/>
      <c r="T81" s="8"/>
      <c r="U81" s="8"/>
      <c r="V81" s="8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</row>
    <row r="82" spans="1:115" s="34" customFormat="1" ht="19.5" x14ac:dyDescent="0.25">
      <c r="A82" s="5"/>
      <c r="B82" s="2"/>
      <c r="C82" s="2"/>
      <c r="D82" s="10"/>
      <c r="E82" s="2"/>
      <c r="F82" s="2"/>
      <c r="G82" s="2"/>
      <c r="H82" s="2"/>
      <c r="I82" s="10"/>
      <c r="J82" s="10"/>
      <c r="K82" s="5"/>
      <c r="L82" s="5"/>
      <c r="M82" s="5"/>
      <c r="N82" s="7"/>
      <c r="O82" s="7"/>
      <c r="P82" s="7"/>
      <c r="Q82" s="5"/>
      <c r="R82" s="7"/>
      <c r="S82" s="7"/>
      <c r="T82" s="8"/>
      <c r="U82" s="8"/>
      <c r="V82" s="8"/>
      <c r="W82" s="5"/>
      <c r="X82" s="5"/>
      <c r="Y82" s="5"/>
      <c r="Z82" s="5"/>
      <c r="AA82" s="5"/>
      <c r="AB82" s="5"/>
      <c r="AC82" s="5"/>
      <c r="AD82" s="5"/>
      <c r="AE82" s="159" t="s">
        <v>179</v>
      </c>
      <c r="AF82" s="158">
        <f t="shared" ref="AF82:AN82" ca="1" si="43">AF59/$AV$53*$AV$47*100</f>
        <v>91.342710372809094</v>
      </c>
      <c r="AG82" s="158">
        <f t="shared" ca="1" si="43"/>
        <v>91.342710372809094</v>
      </c>
      <c r="AH82" s="158">
        <f t="shared" ca="1" si="43"/>
        <v>91.342710372809094</v>
      </c>
      <c r="AI82" s="158">
        <f t="shared" ca="1" si="43"/>
        <v>91.342710372809094</v>
      </c>
      <c r="AJ82" s="158">
        <f t="shared" ca="1" si="43"/>
        <v>91.342710372809094</v>
      </c>
      <c r="AK82" s="158">
        <f t="shared" ca="1" si="43"/>
        <v>91.342710372809094</v>
      </c>
      <c r="AL82" s="158">
        <f t="shared" ca="1" si="43"/>
        <v>91.342710372809094</v>
      </c>
      <c r="AM82" s="158">
        <f t="shared" ca="1" si="43"/>
        <v>91.342710372809094</v>
      </c>
      <c r="AN82" s="158">
        <f t="shared" ca="1" si="43"/>
        <v>91.342710372809094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159" t="s">
        <v>179</v>
      </c>
      <c r="AZ82" s="158">
        <f t="shared" ref="AZ82:BH82" ca="1" si="44">AZ59/$BP$53*$BP$47*100</f>
        <v>91.342710372809094</v>
      </c>
      <c r="BA82" s="158">
        <f t="shared" ca="1" si="44"/>
        <v>91.342710372809094</v>
      </c>
      <c r="BB82" s="158">
        <f t="shared" ca="1" si="44"/>
        <v>91.342710372809094</v>
      </c>
      <c r="BC82" s="158">
        <f t="shared" ca="1" si="44"/>
        <v>91.342710372809094</v>
      </c>
      <c r="BD82" s="158">
        <f t="shared" ca="1" si="44"/>
        <v>91.342710372809094</v>
      </c>
      <c r="BE82" s="158">
        <f t="shared" ca="1" si="44"/>
        <v>91.342710372809094</v>
      </c>
      <c r="BF82" s="158">
        <f t="shared" ca="1" si="44"/>
        <v>91.342710372809094</v>
      </c>
      <c r="BG82" s="158">
        <f t="shared" ca="1" si="44"/>
        <v>91.342710372809094</v>
      </c>
      <c r="BH82" s="158">
        <f t="shared" ca="1" si="44"/>
        <v>91.342710372809094</v>
      </c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</row>
    <row r="83" spans="1:115" s="34" customFormat="1" ht="19.5" x14ac:dyDescent="0.25">
      <c r="A83" s="5"/>
      <c r="B83" s="2"/>
      <c r="C83" s="2"/>
      <c r="D83" s="10"/>
      <c r="E83" s="2"/>
      <c r="F83" s="2"/>
      <c r="G83" s="2"/>
      <c r="H83" s="2"/>
      <c r="I83" s="10"/>
      <c r="J83" s="10"/>
      <c r="K83" s="5"/>
      <c r="L83" s="5"/>
      <c r="M83" s="5"/>
      <c r="N83" s="7"/>
      <c r="O83" s="7"/>
      <c r="P83" s="7"/>
      <c r="Q83" s="5"/>
      <c r="R83" s="7"/>
      <c r="S83" s="7"/>
      <c r="T83" s="8"/>
      <c r="U83" s="8"/>
      <c r="V83" s="8"/>
      <c r="W83" s="5"/>
      <c r="X83" s="5"/>
      <c r="Y83" s="5"/>
      <c r="Z83" s="5"/>
      <c r="AA83" s="5"/>
      <c r="AB83" s="5"/>
      <c r="AC83" s="5"/>
      <c r="AD83" s="5"/>
      <c r="AE83" s="159" t="s">
        <v>178</v>
      </c>
      <c r="AF83" s="158">
        <f t="shared" ref="AF83:AN83" ca="1" si="45">AF60/$AV$53*$AV$47*100</f>
        <v>0.33950155400748694</v>
      </c>
      <c r="AG83" s="158">
        <f t="shared" ca="1" si="45"/>
        <v>0.33950155400748694</v>
      </c>
      <c r="AH83" s="158">
        <f t="shared" ca="1" si="45"/>
        <v>0.33950155400748694</v>
      </c>
      <c r="AI83" s="158">
        <f t="shared" ca="1" si="45"/>
        <v>0.33950155400748694</v>
      </c>
      <c r="AJ83" s="158">
        <f t="shared" ca="1" si="45"/>
        <v>0.33950155400748694</v>
      </c>
      <c r="AK83" s="158">
        <f t="shared" ca="1" si="45"/>
        <v>0.33950155400748694</v>
      </c>
      <c r="AL83" s="158">
        <f t="shared" ca="1" si="45"/>
        <v>0.33950155400748694</v>
      </c>
      <c r="AM83" s="158">
        <f t="shared" ca="1" si="45"/>
        <v>0.33950155400748694</v>
      </c>
      <c r="AN83" s="158">
        <f t="shared" ca="1" si="45"/>
        <v>0.33950155400748694</v>
      </c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159" t="s">
        <v>178</v>
      </c>
      <c r="AZ83" s="158">
        <f t="shared" ref="AZ83:BH83" ca="1" si="46">AZ60/$BP$53*$BP$47*100</f>
        <v>0.33950155400748694</v>
      </c>
      <c r="BA83" s="158">
        <f t="shared" ca="1" si="46"/>
        <v>0.33950155400748694</v>
      </c>
      <c r="BB83" s="158">
        <f t="shared" ca="1" si="46"/>
        <v>0.33950155400748694</v>
      </c>
      <c r="BC83" s="158">
        <f t="shared" ca="1" si="46"/>
        <v>0.33950155400748694</v>
      </c>
      <c r="BD83" s="158">
        <f t="shared" ca="1" si="46"/>
        <v>0.33950155400748694</v>
      </c>
      <c r="BE83" s="158">
        <f t="shared" ca="1" si="46"/>
        <v>0.33950155400748694</v>
      </c>
      <c r="BF83" s="158">
        <f t="shared" ca="1" si="46"/>
        <v>0.33950155400748694</v>
      </c>
      <c r="BG83" s="158">
        <f t="shared" ca="1" si="46"/>
        <v>0.33950155400748694</v>
      </c>
      <c r="BH83" s="158">
        <f t="shared" ca="1" si="46"/>
        <v>0.33950155400748694</v>
      </c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</row>
    <row r="84" spans="1:115" s="34" customFormat="1" ht="19.5" x14ac:dyDescent="0.25">
      <c r="A84" s="5"/>
      <c r="B84" s="2"/>
      <c r="C84" s="2"/>
      <c r="D84" s="10"/>
      <c r="E84" s="2"/>
      <c r="F84" s="2"/>
      <c r="G84" s="2"/>
      <c r="H84" s="2"/>
      <c r="I84" s="10"/>
      <c r="J84" s="10"/>
      <c r="K84" s="5"/>
      <c r="L84" s="5"/>
      <c r="M84" s="5"/>
      <c r="N84" s="7"/>
      <c r="O84" s="7"/>
      <c r="P84" s="7"/>
      <c r="Q84" s="5"/>
      <c r="R84" s="7"/>
      <c r="S84" s="7"/>
      <c r="T84" s="8"/>
      <c r="U84" s="8"/>
      <c r="V84" s="8"/>
      <c r="W84" s="5"/>
      <c r="X84" s="5"/>
      <c r="Y84" s="5"/>
      <c r="Z84" s="5"/>
      <c r="AA84" s="5"/>
      <c r="AB84" s="5"/>
      <c r="AC84" s="5"/>
      <c r="AD84" s="5"/>
      <c r="AE84" s="159" t="s">
        <v>177</v>
      </c>
      <c r="AF84" s="158">
        <f t="shared" ref="AF84:AN84" ca="1" si="47">AF61/$AV$53*$AV$47*100</f>
        <v>8.3177880731834293</v>
      </c>
      <c r="AG84" s="158">
        <f t="shared" ca="1" si="47"/>
        <v>8.3177880731834293</v>
      </c>
      <c r="AH84" s="158">
        <f t="shared" ca="1" si="47"/>
        <v>8.3177880731834293</v>
      </c>
      <c r="AI84" s="158">
        <f t="shared" ca="1" si="47"/>
        <v>8.3177880731834293</v>
      </c>
      <c r="AJ84" s="158">
        <f t="shared" ca="1" si="47"/>
        <v>8.3177880731834293</v>
      </c>
      <c r="AK84" s="158">
        <f t="shared" ca="1" si="47"/>
        <v>8.3177880731834293</v>
      </c>
      <c r="AL84" s="158">
        <f t="shared" ca="1" si="47"/>
        <v>8.3177880731834293</v>
      </c>
      <c r="AM84" s="158">
        <f t="shared" ca="1" si="47"/>
        <v>8.3177880731834293</v>
      </c>
      <c r="AN84" s="158">
        <f t="shared" ca="1" si="47"/>
        <v>8.3177880731834293</v>
      </c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159" t="s">
        <v>177</v>
      </c>
      <c r="AZ84" s="158">
        <f t="shared" ref="AZ84:BH84" ca="1" si="48">AZ61/$BP$53*$BP$47*100</f>
        <v>8.3177880731834293</v>
      </c>
      <c r="BA84" s="158">
        <f t="shared" ca="1" si="48"/>
        <v>8.3177880731834293</v>
      </c>
      <c r="BB84" s="158">
        <f t="shared" ca="1" si="48"/>
        <v>8.3177880731834293</v>
      </c>
      <c r="BC84" s="158">
        <f t="shared" ca="1" si="48"/>
        <v>8.3177880731834293</v>
      </c>
      <c r="BD84" s="158">
        <f t="shared" ca="1" si="48"/>
        <v>8.3177880731834293</v>
      </c>
      <c r="BE84" s="158">
        <f t="shared" ca="1" si="48"/>
        <v>8.3177880731834293</v>
      </c>
      <c r="BF84" s="158">
        <f t="shared" ca="1" si="48"/>
        <v>8.3177880731834293</v>
      </c>
      <c r="BG84" s="158">
        <f t="shared" ca="1" si="48"/>
        <v>8.3177880731834293</v>
      </c>
      <c r="BH84" s="158">
        <f t="shared" ca="1" si="48"/>
        <v>8.3177880731834293</v>
      </c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</row>
    <row r="85" spans="1:115" s="34" customFormat="1" ht="12.75" x14ac:dyDescent="0.25">
      <c r="A85" s="5"/>
      <c r="B85" s="2"/>
      <c r="C85" s="2"/>
      <c r="D85" s="10"/>
      <c r="E85" s="2"/>
      <c r="F85" s="2"/>
      <c r="G85" s="2"/>
      <c r="H85" s="2"/>
      <c r="I85" s="10"/>
      <c r="J85" s="10"/>
      <c r="K85" s="5"/>
      <c r="L85" s="5"/>
      <c r="M85" s="5"/>
      <c r="N85" s="7"/>
      <c r="O85" s="7"/>
      <c r="P85" s="7"/>
      <c r="Q85" s="5"/>
      <c r="R85" s="7"/>
      <c r="S85" s="7"/>
      <c r="T85" s="8"/>
      <c r="U85" s="8"/>
      <c r="V85" s="8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</row>
    <row r="86" spans="1:115" s="9" customFormat="1" ht="19.5" x14ac:dyDescent="0.25">
      <c r="A86" s="5"/>
      <c r="B86" s="2"/>
      <c r="C86" s="2"/>
      <c r="D86" s="10"/>
      <c r="E86" s="2"/>
      <c r="F86" s="2"/>
      <c r="G86" s="2"/>
      <c r="H86" s="2"/>
      <c r="I86" s="10"/>
      <c r="J86" s="10"/>
      <c r="K86" s="5"/>
      <c r="L86" s="5"/>
      <c r="M86" s="5"/>
      <c r="N86" s="7"/>
      <c r="O86" s="7"/>
      <c r="P86" s="7"/>
      <c r="Q86" s="5"/>
      <c r="R86" s="7"/>
      <c r="S86" s="7"/>
      <c r="T86" s="8"/>
      <c r="U86" s="8"/>
      <c r="V86" s="8"/>
      <c r="W86" s="5"/>
      <c r="X86" s="5"/>
      <c r="Y86" s="5"/>
      <c r="Z86" s="5"/>
      <c r="AA86" s="5"/>
      <c r="AB86" s="5"/>
      <c r="AC86" s="5"/>
      <c r="AD86" s="5"/>
      <c r="AE86" s="159" t="s">
        <v>176</v>
      </c>
      <c r="AF86" s="158">
        <f t="shared" ref="AF86:AN86" ca="1" si="49">AF65/$AV$53*$AV$47*100</f>
        <v>13.83800505243325</v>
      </c>
      <c r="AG86" s="158">
        <f t="shared" ca="1" si="49"/>
        <v>41.393882849784397</v>
      </c>
      <c r="AH86" s="158">
        <f t="shared" ca="1" si="49"/>
        <v>50.358667641776975</v>
      </c>
      <c r="AI86" s="158">
        <f t="shared" ca="1" si="49"/>
        <v>51.198842301914624</v>
      </c>
      <c r="AJ86" s="158">
        <f t="shared" ca="1" si="49"/>
        <v>51.795869883590363</v>
      </c>
      <c r="AK86" s="158">
        <f t="shared" ca="1" si="49"/>
        <v>60.913625981612782</v>
      </c>
      <c r="AL86" s="158">
        <f t="shared" ca="1" si="49"/>
        <v>70.204266563855498</v>
      </c>
      <c r="AM86" s="158">
        <f t="shared" ca="1" si="49"/>
        <v>35.946135190751633</v>
      </c>
      <c r="AN86" s="158">
        <f t="shared" ca="1" si="49"/>
        <v>42.946135190751626</v>
      </c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159" t="s">
        <v>176</v>
      </c>
      <c r="AZ86" s="158">
        <f t="shared" ref="AZ86:BH86" ca="1" si="50">AZ65/$BP$53*$BP$47*100</f>
        <v>14.767803570593468</v>
      </c>
      <c r="BA86" s="158">
        <f t="shared" ca="1" si="50"/>
        <v>67.846474949189883</v>
      </c>
      <c r="BB86" s="158">
        <f t="shared" ca="1" si="50"/>
        <v>72.031549310557693</v>
      </c>
      <c r="BC86" s="158">
        <f t="shared" ca="1" si="50"/>
        <v>76.269420243355597</v>
      </c>
      <c r="BD86" s="158">
        <f t="shared" ca="1" si="50"/>
        <v>81.348123863660064</v>
      </c>
      <c r="BE86" s="158">
        <f t="shared" ca="1" si="50"/>
        <v>91.917055363823209</v>
      </c>
      <c r="BF86" s="158">
        <f t="shared" ca="1" si="50"/>
        <v>95.012461149812836</v>
      </c>
      <c r="BG86" s="158">
        <f t="shared" ca="1" si="50"/>
        <v>35.955291757867144</v>
      </c>
      <c r="BH86" s="158">
        <f t="shared" ca="1" si="50"/>
        <v>42.955291757867144</v>
      </c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</row>
    <row r="87" spans="1:115" s="9" customFormat="1" ht="19.5" x14ac:dyDescent="0.25">
      <c r="A87" s="5"/>
      <c r="B87" s="2"/>
      <c r="C87" s="2"/>
      <c r="D87" s="10"/>
      <c r="E87" s="2"/>
      <c r="F87" s="2"/>
      <c r="G87" s="2"/>
      <c r="H87" s="2"/>
      <c r="I87" s="10"/>
      <c r="J87" s="10"/>
      <c r="K87" s="5"/>
      <c r="L87" s="5"/>
      <c r="M87" s="5"/>
      <c r="N87" s="7"/>
      <c r="O87" s="7"/>
      <c r="P87" s="7"/>
      <c r="Q87" s="5"/>
      <c r="R87" s="7"/>
      <c r="S87" s="7"/>
      <c r="T87" s="8"/>
      <c r="U87" s="8"/>
      <c r="V87" s="8"/>
      <c r="W87" s="5"/>
      <c r="X87" s="5"/>
      <c r="Y87" s="5"/>
      <c r="Z87" s="5"/>
      <c r="AA87" s="5"/>
      <c r="AB87" s="5"/>
      <c r="AC87" s="5"/>
      <c r="AD87" s="5"/>
      <c r="AE87" s="159" t="s">
        <v>175</v>
      </c>
      <c r="AF87" s="158">
        <f t="shared" ref="AF87:AN87" ca="1" si="51">AF66/$AV$53*$AV$47*100</f>
        <v>19.088005052433253</v>
      </c>
      <c r="AG87" s="158">
        <f t="shared" ca="1" si="51"/>
        <v>46.643882849784404</v>
      </c>
      <c r="AH87" s="158">
        <f t="shared" ca="1" si="51"/>
        <v>55.608667641776989</v>
      </c>
      <c r="AI87" s="158">
        <f t="shared" ca="1" si="51"/>
        <v>56.448842301914624</v>
      </c>
      <c r="AJ87" s="158">
        <f t="shared" ca="1" si="51"/>
        <v>57.045869883590363</v>
      </c>
      <c r="AK87" s="158">
        <f t="shared" ca="1" si="51"/>
        <v>66.163625981612782</v>
      </c>
      <c r="AL87" s="158">
        <f t="shared" ca="1" si="51"/>
        <v>75.454266563855498</v>
      </c>
      <c r="AM87" s="158">
        <f t="shared" ca="1" si="51"/>
        <v>30.696135190751626</v>
      </c>
      <c r="AN87" s="158">
        <f t="shared" ca="1" si="51"/>
        <v>48.196135190751633</v>
      </c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159" t="s">
        <v>175</v>
      </c>
      <c r="AZ87" s="158">
        <f t="shared" ref="AZ87:BH87" ca="1" si="52">AZ66/$BP$53*$BP$47*100</f>
        <v>20.017803570593472</v>
      </c>
      <c r="BA87" s="158">
        <f t="shared" ca="1" si="52"/>
        <v>73.096474949189883</v>
      </c>
      <c r="BB87" s="158">
        <f t="shared" ca="1" si="52"/>
        <v>77.281549310557693</v>
      </c>
      <c r="BC87" s="158">
        <f t="shared" ca="1" si="52"/>
        <v>81.519420243355611</v>
      </c>
      <c r="BD87" s="158">
        <f t="shared" ca="1" si="52"/>
        <v>86.598123863660064</v>
      </c>
      <c r="BE87" s="158">
        <f t="shared" ca="1" si="52"/>
        <v>97.167055363823209</v>
      </c>
      <c r="BF87" s="158">
        <f t="shared" ca="1" si="52"/>
        <v>100.26246114981284</v>
      </c>
      <c r="BG87" s="158">
        <f t="shared" ca="1" si="52"/>
        <v>30.705291757867144</v>
      </c>
      <c r="BH87" s="158">
        <f t="shared" ca="1" si="52"/>
        <v>48.205291757867144</v>
      </c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</row>
    <row r="88" spans="1:115" s="9" customFormat="1" ht="18" customHeight="1" x14ac:dyDescent="0.25">
      <c r="A88" s="5"/>
      <c r="B88" s="2"/>
      <c r="C88" s="2"/>
      <c r="D88" s="10"/>
      <c r="E88" s="2"/>
      <c r="F88" s="2"/>
      <c r="G88" s="2"/>
      <c r="H88" s="2"/>
      <c r="I88" s="10"/>
      <c r="J88" s="10"/>
      <c r="K88" s="5"/>
      <c r="L88" s="5"/>
      <c r="M88" s="5"/>
      <c r="N88" s="7"/>
      <c r="O88" s="7"/>
      <c r="P88" s="7"/>
      <c r="Q88" s="5"/>
      <c r="R88" s="7"/>
      <c r="S88" s="7"/>
      <c r="T88" s="8"/>
      <c r="U88" s="8"/>
      <c r="V88" s="8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</row>
    <row r="89" spans="1:115" s="9" customFormat="1" ht="18" customHeight="1" x14ac:dyDescent="0.25">
      <c r="A89" s="5"/>
      <c r="B89" s="2"/>
      <c r="C89" s="2"/>
      <c r="D89" s="10"/>
      <c r="E89" s="2"/>
      <c r="F89" s="2"/>
      <c r="G89" s="2"/>
      <c r="H89" s="2"/>
      <c r="I89" s="10"/>
      <c r="J89" s="10"/>
      <c r="K89" s="5"/>
      <c r="L89" s="5"/>
      <c r="M89" s="5"/>
      <c r="N89" s="7"/>
      <c r="O89" s="7"/>
      <c r="P89" s="7"/>
      <c r="Q89" s="5"/>
      <c r="R89" s="7"/>
      <c r="S89" s="7"/>
      <c r="T89" s="8"/>
      <c r="U89" s="8"/>
      <c r="V89" s="8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</row>
    <row r="90" spans="1:115" s="9" customFormat="1" ht="18" customHeight="1" x14ac:dyDescent="0.25">
      <c r="A90" s="5"/>
      <c r="B90" s="2"/>
      <c r="C90" s="2"/>
      <c r="D90" s="10"/>
      <c r="E90" s="2"/>
      <c r="F90" s="2"/>
      <c r="G90" s="2"/>
      <c r="H90" s="2"/>
      <c r="I90" s="10"/>
      <c r="J90" s="10"/>
      <c r="K90" s="5"/>
      <c r="L90" s="5"/>
      <c r="M90" s="5"/>
      <c r="N90" s="7"/>
      <c r="O90" s="7"/>
      <c r="P90" s="7"/>
      <c r="Q90" s="5"/>
      <c r="R90" s="7"/>
      <c r="S90" s="7"/>
      <c r="T90" s="8"/>
      <c r="U90" s="8"/>
      <c r="V90" s="8"/>
      <c r="W90" s="5"/>
      <c r="X90" s="5"/>
      <c r="Y90" s="5"/>
      <c r="Z90" s="5"/>
      <c r="AA90" s="5"/>
      <c r="AB90" s="5"/>
      <c r="AC90" s="5"/>
      <c r="AD90" s="5"/>
      <c r="AE90" s="159" t="s">
        <v>174</v>
      </c>
      <c r="AF90" s="158">
        <f t="shared" ref="AF90:AU90" ca="1" si="53">AF70/$AV$53*$AV$47*100</f>
        <v>10.33800505243325</v>
      </c>
      <c r="AG90" s="158">
        <f t="shared" ca="1" si="53"/>
        <v>10.33800505243325</v>
      </c>
      <c r="AH90" s="158">
        <f t="shared" ca="1" si="53"/>
        <v>37.893882849784397</v>
      </c>
      <c r="AI90" s="158">
        <f t="shared" ca="1" si="53"/>
        <v>37.893882849784397</v>
      </c>
      <c r="AJ90" s="158">
        <f t="shared" ca="1" si="53"/>
        <v>46.858667641776982</v>
      </c>
      <c r="AK90" s="158">
        <f t="shared" ca="1" si="53"/>
        <v>46.858667641776982</v>
      </c>
      <c r="AL90" s="158">
        <f t="shared" ca="1" si="53"/>
        <v>47.698842301914624</v>
      </c>
      <c r="AM90" s="158">
        <f t="shared" ca="1" si="53"/>
        <v>47.698842301914624</v>
      </c>
      <c r="AN90" s="158">
        <f t="shared" ca="1" si="53"/>
        <v>48.295869883590356</v>
      </c>
      <c r="AO90" s="158">
        <f t="shared" ca="1" si="53"/>
        <v>48.295869883590356</v>
      </c>
      <c r="AP90" s="158">
        <f t="shared" ca="1" si="53"/>
        <v>57.413625981612768</v>
      </c>
      <c r="AQ90" s="158">
        <f t="shared" ca="1" si="53"/>
        <v>57.413625981612768</v>
      </c>
      <c r="AR90" s="158">
        <f t="shared" ca="1" si="53"/>
        <v>66.704266563855498</v>
      </c>
      <c r="AS90" s="158">
        <f t="shared" ca="1" si="53"/>
        <v>66.704266563855498</v>
      </c>
      <c r="AT90" s="158">
        <f t="shared" ca="1" si="53"/>
        <v>39.446135190751633</v>
      </c>
      <c r="AU90" s="158">
        <f t="shared" ca="1" si="53"/>
        <v>39.446135190751633</v>
      </c>
      <c r="AV90" s="5"/>
      <c r="AW90" s="5"/>
      <c r="AX90" s="5"/>
      <c r="AY90" s="159" t="s">
        <v>174</v>
      </c>
      <c r="AZ90" s="158">
        <f t="shared" ref="AZ90:BO90" ca="1" si="54">AZ70/$BP$53*$BP$47*100</f>
        <v>11.26780357059347</v>
      </c>
      <c r="BA90" s="158">
        <f t="shared" ca="1" si="54"/>
        <v>11.26780357059347</v>
      </c>
      <c r="BB90" s="158">
        <f t="shared" ca="1" si="54"/>
        <v>64.346474949189883</v>
      </c>
      <c r="BC90" s="158">
        <f t="shared" ca="1" si="54"/>
        <v>64.346474949189883</v>
      </c>
      <c r="BD90" s="158">
        <f t="shared" ca="1" si="54"/>
        <v>68.531549310557693</v>
      </c>
      <c r="BE90" s="158">
        <f t="shared" ca="1" si="54"/>
        <v>68.531549310557693</v>
      </c>
      <c r="BF90" s="158">
        <f t="shared" ca="1" si="54"/>
        <v>72.769420243355597</v>
      </c>
      <c r="BG90" s="158">
        <f t="shared" ca="1" si="54"/>
        <v>72.769420243355597</v>
      </c>
      <c r="BH90" s="158">
        <f t="shared" ca="1" si="54"/>
        <v>77.848123863660064</v>
      </c>
      <c r="BI90" s="158">
        <f t="shared" ca="1" si="54"/>
        <v>77.848123863660064</v>
      </c>
      <c r="BJ90" s="158">
        <f t="shared" ca="1" si="54"/>
        <v>88.417055363823209</v>
      </c>
      <c r="BK90" s="158">
        <f t="shared" ca="1" si="54"/>
        <v>88.417055363823209</v>
      </c>
      <c r="BL90" s="158">
        <f t="shared" ca="1" si="54"/>
        <v>91.512461149812836</v>
      </c>
      <c r="BM90" s="158">
        <f t="shared" ca="1" si="54"/>
        <v>91.512461149812836</v>
      </c>
      <c r="BN90" s="158">
        <f t="shared" ca="1" si="54"/>
        <v>39.455291757867144</v>
      </c>
      <c r="BO90" s="158">
        <f t="shared" ca="1" si="54"/>
        <v>39.455291757867144</v>
      </c>
      <c r="BP90" s="5"/>
      <c r="BQ90" s="5"/>
      <c r="BR90" s="5"/>
      <c r="BS90" s="5"/>
      <c r="BT90" s="5"/>
      <c r="BU90" s="5"/>
      <c r="BV90" s="5"/>
      <c r="BW90" s="5"/>
      <c r="BX90" s="5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</row>
    <row r="91" spans="1:115" s="9" customFormat="1" ht="18" customHeight="1" x14ac:dyDescent="0.25">
      <c r="A91" s="5"/>
      <c r="B91" s="2"/>
      <c r="C91" s="2"/>
      <c r="D91" s="10"/>
      <c r="E91" s="2"/>
      <c r="F91" s="2"/>
      <c r="G91" s="2"/>
      <c r="H91" s="2"/>
      <c r="I91" s="10"/>
      <c r="J91" s="10"/>
      <c r="K91" s="5"/>
      <c r="L91" s="5"/>
      <c r="M91" s="5"/>
      <c r="N91" s="7"/>
      <c r="O91" s="7"/>
      <c r="P91" s="7"/>
      <c r="Q91" s="5"/>
      <c r="R91" s="7"/>
      <c r="S91" s="7"/>
      <c r="T91" s="8"/>
      <c r="U91" s="8"/>
      <c r="V91" s="8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</row>
    <row r="92" spans="1:115" s="9" customFormat="1" ht="18" customHeight="1" x14ac:dyDescent="0.25">
      <c r="A92" s="5"/>
      <c r="B92" s="2"/>
      <c r="C92" s="2"/>
      <c r="D92" s="10"/>
      <c r="E92" s="2"/>
      <c r="F92" s="2"/>
      <c r="G92" s="2"/>
      <c r="H92" s="2"/>
      <c r="I92" s="10"/>
      <c r="J92" s="10"/>
      <c r="K92" s="5"/>
      <c r="L92" s="5"/>
      <c r="M92" s="5"/>
      <c r="N92" s="7"/>
      <c r="O92" s="7"/>
      <c r="P92" s="7"/>
      <c r="Q92" s="5"/>
      <c r="R92" s="7"/>
      <c r="S92" s="7"/>
      <c r="T92" s="8"/>
      <c r="U92" s="8"/>
      <c r="V92" s="8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</row>
    <row r="93" spans="1:115" s="9" customFormat="1" ht="18" customHeight="1" x14ac:dyDescent="0.25">
      <c r="A93" s="5"/>
      <c r="B93" s="2"/>
      <c r="C93" s="2"/>
      <c r="D93" s="10"/>
      <c r="E93" s="2"/>
      <c r="F93" s="2"/>
      <c r="G93" s="2"/>
      <c r="H93" s="2"/>
      <c r="I93" s="10"/>
      <c r="J93" s="10"/>
      <c r="K93" s="5"/>
      <c r="L93" s="5"/>
      <c r="M93" s="5"/>
      <c r="N93" s="7"/>
      <c r="O93" s="7"/>
      <c r="P93" s="7"/>
      <c r="Q93" s="5"/>
      <c r="R93" s="7"/>
      <c r="S93" s="7"/>
      <c r="T93" s="8"/>
      <c r="U93" s="8"/>
      <c r="V93" s="8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</row>
    <row r="94" spans="1:115" s="9" customFormat="1" ht="18" customHeight="1" x14ac:dyDescent="0.25">
      <c r="A94" s="5"/>
      <c r="B94" s="2"/>
      <c r="C94" s="2"/>
      <c r="D94" s="10"/>
      <c r="E94" s="2"/>
      <c r="F94" s="2"/>
      <c r="G94" s="2"/>
      <c r="H94" s="2"/>
      <c r="I94" s="10"/>
      <c r="J94" s="10"/>
      <c r="K94" s="5"/>
      <c r="L94" s="5"/>
      <c r="M94" s="5"/>
      <c r="N94" s="7"/>
      <c r="O94" s="7"/>
      <c r="P94" s="7"/>
      <c r="Q94" s="5"/>
      <c r="R94" s="7"/>
      <c r="S94" s="7"/>
      <c r="T94" s="8"/>
      <c r="U94" s="8"/>
      <c r="V94" s="8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</row>
    <row r="95" spans="1:115" s="9" customFormat="1" ht="18" customHeight="1" x14ac:dyDescent="0.25">
      <c r="A95" s="5"/>
      <c r="B95" s="2"/>
      <c r="C95" s="2"/>
      <c r="D95" s="10"/>
      <c r="E95" s="2"/>
      <c r="F95" s="2"/>
      <c r="G95" s="2"/>
      <c r="H95" s="2"/>
      <c r="I95" s="10"/>
      <c r="J95" s="10"/>
      <c r="K95" s="5"/>
      <c r="L95" s="5"/>
      <c r="M95" s="5"/>
      <c r="N95" s="7"/>
      <c r="O95" s="7"/>
      <c r="P95" s="7"/>
      <c r="Q95" s="5"/>
      <c r="R95" s="7"/>
      <c r="S95" s="7"/>
      <c r="T95" s="8"/>
      <c r="U95" s="8"/>
      <c r="V95" s="8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</row>
    <row r="96" spans="1:115" s="9" customFormat="1" ht="18" customHeight="1" x14ac:dyDescent="0.25">
      <c r="A96" s="5"/>
      <c r="B96" s="2"/>
      <c r="C96" s="2"/>
      <c r="D96" s="10"/>
      <c r="E96" s="2"/>
      <c r="F96" s="2"/>
      <c r="G96" s="2"/>
      <c r="H96" s="2"/>
      <c r="I96" s="10"/>
      <c r="J96" s="10"/>
      <c r="K96" s="5"/>
      <c r="L96" s="5"/>
      <c r="M96" s="5"/>
      <c r="N96" s="7"/>
      <c r="O96" s="7"/>
      <c r="P96" s="7"/>
      <c r="Q96" s="5"/>
      <c r="R96" s="7"/>
      <c r="S96" s="7"/>
      <c r="T96" s="8"/>
      <c r="U96" s="8"/>
      <c r="V96" s="8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</row>
    <row r="97" spans="1:115" s="9" customFormat="1" ht="18" customHeight="1" x14ac:dyDescent="0.25">
      <c r="A97" s="5"/>
      <c r="B97" s="2"/>
      <c r="C97" s="2"/>
      <c r="D97" s="10"/>
      <c r="E97" s="2"/>
      <c r="F97" s="2"/>
      <c r="G97" s="2"/>
      <c r="H97" s="2"/>
      <c r="I97" s="10"/>
      <c r="J97" s="10"/>
      <c r="K97" s="5"/>
      <c r="L97" s="5"/>
      <c r="M97" s="5"/>
      <c r="N97" s="7"/>
      <c r="O97" s="7"/>
      <c r="P97" s="7"/>
      <c r="Q97" s="5"/>
      <c r="R97" s="7"/>
      <c r="S97" s="7"/>
      <c r="T97" s="8"/>
      <c r="U97" s="8"/>
      <c r="V97" s="8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</row>
    <row r="98" spans="1:115" s="9" customFormat="1" ht="18" customHeight="1" x14ac:dyDescent="0.25">
      <c r="A98" s="5"/>
      <c r="B98" s="2"/>
      <c r="C98" s="2"/>
      <c r="D98" s="10"/>
      <c r="E98" s="2"/>
      <c r="F98" s="2"/>
      <c r="G98" s="2"/>
      <c r="H98" s="2"/>
      <c r="I98" s="10"/>
      <c r="J98" s="10"/>
      <c r="K98" s="5"/>
      <c r="L98" s="5"/>
      <c r="M98" s="5"/>
      <c r="N98" s="7"/>
      <c r="O98" s="7"/>
      <c r="P98" s="7"/>
      <c r="Q98" s="5"/>
      <c r="R98" s="7"/>
      <c r="S98" s="7"/>
      <c r="T98" s="8"/>
      <c r="U98" s="8"/>
      <c r="V98" s="8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</row>
    <row r="99" spans="1:115" s="9" customFormat="1" ht="18" customHeight="1" x14ac:dyDescent="0.25">
      <c r="A99" s="5"/>
      <c r="B99" s="2"/>
      <c r="C99" s="2"/>
      <c r="D99" s="10"/>
      <c r="E99" s="2"/>
      <c r="F99" s="2"/>
      <c r="G99" s="2"/>
      <c r="H99" s="2"/>
      <c r="I99" s="10"/>
      <c r="J99" s="10"/>
      <c r="K99" s="5"/>
      <c r="L99" s="5"/>
      <c r="M99" s="5"/>
      <c r="N99" s="7"/>
      <c r="O99" s="7"/>
      <c r="P99" s="7"/>
      <c r="Q99" s="5"/>
      <c r="R99" s="7"/>
      <c r="S99" s="7"/>
      <c r="T99" s="8"/>
      <c r="U99" s="8"/>
      <c r="V99" s="8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</row>
    <row r="100" spans="1:115" s="9" customFormat="1" ht="18" customHeight="1" x14ac:dyDescent="0.25">
      <c r="A100" s="5"/>
      <c r="B100" s="2"/>
      <c r="C100" s="2"/>
      <c r="D100" s="10"/>
      <c r="E100" s="2"/>
      <c r="F100" s="2"/>
      <c r="G100" s="2"/>
      <c r="H100" s="2"/>
      <c r="I100" s="10"/>
      <c r="J100" s="10"/>
      <c r="K100" s="5"/>
      <c r="L100" s="5"/>
      <c r="M100" s="5"/>
      <c r="N100" s="7"/>
      <c r="O100" s="7"/>
      <c r="P100" s="7"/>
      <c r="Q100" s="5"/>
      <c r="R100" s="7"/>
      <c r="S100" s="7"/>
      <c r="T100" s="8"/>
      <c r="U100" s="8"/>
      <c r="V100" s="8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</row>
    <row r="101" spans="1:115" s="9" customFormat="1" ht="18" customHeight="1" x14ac:dyDescent="0.25">
      <c r="A101" s="5"/>
      <c r="B101" s="2"/>
      <c r="C101" s="2"/>
      <c r="D101" s="10"/>
      <c r="E101" s="2"/>
      <c r="F101" s="2"/>
      <c r="G101" s="2"/>
      <c r="H101" s="2"/>
      <c r="I101" s="10"/>
      <c r="J101" s="10"/>
      <c r="K101" s="5"/>
      <c r="L101" s="5"/>
      <c r="M101" s="5"/>
      <c r="N101" s="7"/>
      <c r="O101" s="7"/>
      <c r="P101" s="7"/>
      <c r="Q101" s="5"/>
      <c r="R101" s="7"/>
      <c r="S101" s="7"/>
      <c r="T101" s="8"/>
      <c r="U101" s="8"/>
      <c r="V101" s="8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</row>
  </sheetData>
  <customSheetViews>
    <customSheetView guid="{83BB5152-01BA-42DF-B23D-4001406CC674}" scale="85" showGridLines="0" showRowCol="0" fitToPage="1" hiddenRows="1" hiddenColumns="1" topLeftCell="E1">
      <selection activeCell="W6" sqref="W6"/>
      <pageMargins left="0.70866141732283472" right="0.70866141732283472" top="0.74803149606299213" bottom="0.74803149606299213" header="0.31496062992125984" footer="0.31496062992125984"/>
      <pageSetup paperSize="9" scale="75" orientation="landscape" r:id="rId1"/>
      <headerFooter>
        <oddFooter>&amp;CPMM Bridge - Gross Margin variance breakdown
&amp;D&amp;T</oddFooter>
      </headerFooter>
    </customSheetView>
    <customSheetView guid="{97DA177E-F101-4CD5-8BC6-6997082DB660}" scale="85" showGridLines="0" showRowCol="0" fitToPage="1" printArea="1" hiddenRows="1" hiddenColumns="1" topLeftCell="E1">
      <selection activeCell="W6" sqref="W6"/>
      <pageMargins left="0.70866141732283472" right="0.70866141732283472" top="0.74803149606299213" bottom="0.74803149606299213" header="0.31496062992125984" footer="0.31496062992125984"/>
      <pageSetup paperSize="9" scale="75" orientation="landscape" r:id="rId2"/>
      <headerFooter>
        <oddFooter>&amp;CPMM Bridge - Gross Margin variance breakdown
&amp;D&amp;T</oddFooter>
      </headerFooter>
    </customSheetView>
  </customSheetViews>
  <mergeCells count="20">
    <mergeCell ref="H5:T5"/>
    <mergeCell ref="H6:T6"/>
    <mergeCell ref="BH68:BI68"/>
    <mergeCell ref="AT68:AU68"/>
    <mergeCell ref="AF68:AG68"/>
    <mergeCell ref="AJ68:AK68"/>
    <mergeCell ref="AL68:AM68"/>
    <mergeCell ref="AN68:AO68"/>
    <mergeCell ref="AP68:AQ68"/>
    <mergeCell ref="H11:T11"/>
    <mergeCell ref="H10:M10"/>
    <mergeCell ref="N10:T10"/>
    <mergeCell ref="BN68:BO68"/>
    <mergeCell ref="BJ68:BK68"/>
    <mergeCell ref="BL68:BM68"/>
    <mergeCell ref="AR68:AS68"/>
    <mergeCell ref="AZ68:BA68"/>
    <mergeCell ref="BB68:BC68"/>
    <mergeCell ref="BD68:BE68"/>
    <mergeCell ref="BF68:BG68"/>
  </mergeCells>
  <dataValidations disablePrompts="1" count="2">
    <dataValidation type="decimal" allowBlank="1" showInputMessage="1" showErrorMessage="1" sqref="AV47 BP47">
      <formula1>0</formula1>
      <formula2>1</formula2>
    </dataValidation>
    <dataValidation type="list" allowBlank="1" showInputMessage="1" showErrorMessage="1" sqref="J8:J9">
      <formula1>"Yes,No"</formula1>
    </dataValidation>
  </dataValidations>
  <pageMargins left="0.70866141732283472" right="0.70866141732283472" top="0.74803149606299213" bottom="0.74803149606299213" header="0.31496062992125984" footer="0.31496062992125984"/>
  <pageSetup paperSize="9" scale="75" orientation="landscape" r:id="rId3"/>
  <headerFooter>
    <oddFooter>&amp;CPMM Bridge - Gross Margin variance breakdown
&amp;D&amp;T</oddFooter>
  </headerFooter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34</vt:i4>
      </vt:variant>
    </vt:vector>
  </HeadingPairs>
  <TitlesOfParts>
    <vt:vector size="38" baseType="lpstr">
      <vt:lpstr>Context</vt:lpstr>
      <vt:lpstr>PMM Analysis Report</vt:lpstr>
      <vt:lpstr>{PL}PickLst</vt:lpstr>
      <vt:lpstr>PMM Bridge</vt:lpstr>
      <vt:lpstr>ActualBudget</vt:lpstr>
      <vt:lpstr>ActualForecast</vt:lpstr>
      <vt:lpstr>ActualMonth</vt:lpstr>
      <vt:lpstr>ActualYear</vt:lpstr>
      <vt:lpstr>Auto_Fit</vt:lpstr>
      <vt:lpstr>Cube1</vt:lpstr>
      <vt:lpstr>Cube2</vt:lpstr>
      <vt:lpstr>Cube3</vt:lpstr>
      <vt:lpstr>DEFAULT_ACTIVITY</vt:lpstr>
      <vt:lpstr>DEFAULT_CURRENCY</vt:lpstr>
      <vt:lpstr>DEFAULT_GAAP</vt:lpstr>
      <vt:lpstr>DEFAULT_INTEGRATION_RATE</vt:lpstr>
      <vt:lpstr>DEFAULT_LEGAL_ORGANIZATION</vt:lpstr>
      <vt:lpstr>DEFAULT_MANAGEMENT_ORGANIZATION</vt:lpstr>
      <vt:lpstr>DEFAULT_PERIOD</vt:lpstr>
      <vt:lpstr>DEFAULT_PHASE</vt:lpstr>
      <vt:lpstr>Desc_Rev_km_E</vt:lpstr>
      <vt:lpstr>Desc_Rev_km_F</vt:lpstr>
      <vt:lpstr>Desc_Tot_Driv_Hours_E</vt:lpstr>
      <vt:lpstr>Desc_Tot_Driv_Hours_F</vt:lpstr>
      <vt:lpstr>Desc_Tot_km_E</vt:lpstr>
      <vt:lpstr>Desc_Tot_km_F</vt:lpstr>
      <vt:lpstr>Desc_Tot_nb_vehicle_E</vt:lpstr>
      <vt:lpstr>Desc_Tot_nb_vehicle_F</vt:lpstr>
      <vt:lpstr>Languages</vt:lpstr>
      <vt:lpstr>LIST_PHASES</vt:lpstr>
      <vt:lpstr>LIST_YEARS</vt:lpstr>
      <vt:lpstr>Locallanguage</vt:lpstr>
      <vt:lpstr>'PMM Analysis Report'!Print_Area</vt:lpstr>
      <vt:lpstr>'PMM Bridge'!Print_Area</vt:lpstr>
      <vt:lpstr>Server</vt:lpstr>
      <vt:lpstr>V_ACTIVITY</vt:lpstr>
      <vt:lpstr>V_LANG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adm-a.pradeilles</dc:creator>
  <cp:lastModifiedBy>de LANGLOIS, Astrid</cp:lastModifiedBy>
  <cp:lastPrinted>2017-03-14T14:48:16Z</cp:lastPrinted>
  <dcterms:created xsi:type="dcterms:W3CDTF">2013-10-22T08:17:57Z</dcterms:created>
  <dcterms:modified xsi:type="dcterms:W3CDTF">2020-03-11T14:56:45Z</dcterms:modified>
</cp:coreProperties>
</file>