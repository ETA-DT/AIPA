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PL!$I$23:$O$97,PL!$N$26:$N$97,PL!#REF!,PL!#REF!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  <definedName name="_xlnm.Print_Area" localSheetId="1">PL!$E$10:$Q$92,PL!$E$94:$Q$139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3" i="66" l="1"/>
  <c r="F18" i="58"/>
  <c r="H5" i="58"/>
  <c r="K1" i="58"/>
  <c r="S23" i="58"/>
  <c r="J92" i="58"/>
  <c r="J90" i="58"/>
  <c r="J88" i="58"/>
  <c r="J86" i="58"/>
  <c r="J85" i="58"/>
  <c r="J83" i="58"/>
  <c r="J81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1" i="58"/>
  <c r="J30" i="58"/>
  <c r="J29" i="58"/>
  <c r="J28" i="58"/>
  <c r="J27" i="58"/>
  <c r="J26" i="58"/>
  <c r="K23" i="58"/>
  <c r="J23" i="58"/>
  <c r="F21" i="58"/>
  <c r="F14" i="58"/>
  <c r="F15" i="58"/>
  <c r="F20" i="58"/>
  <c r="F17" i="58"/>
  <c r="F19" i="58"/>
  <c r="H2" i="58"/>
  <c r="K27" i="58"/>
  <c r="K28" i="58"/>
  <c r="K29" i="58"/>
  <c r="K30" i="58"/>
  <c r="K31" i="58"/>
  <c r="K26" i="58"/>
  <c r="L26" i="58"/>
  <c r="N26" i="58"/>
  <c r="P2" i="58"/>
  <c r="K2" i="58"/>
  <c r="S21" i="58"/>
  <c r="B5" i="66"/>
  <c r="S97" i="58"/>
  <c r="S96" i="58"/>
  <c r="S95" i="58"/>
  <c r="S94" i="58"/>
  <c r="K94" i="58"/>
  <c r="L94" i="58"/>
  <c r="N94" i="58"/>
  <c r="AD11" i="58"/>
  <c r="S92" i="58"/>
  <c r="L92" i="58"/>
  <c r="U92" i="58"/>
  <c r="V92" i="58"/>
  <c r="S90" i="58"/>
  <c r="L90" i="58"/>
  <c r="U90" i="58"/>
  <c r="V90" i="58"/>
  <c r="S88" i="58"/>
  <c r="L88" i="58"/>
  <c r="U88" i="58"/>
  <c r="V88" i="58"/>
  <c r="S86" i="58"/>
  <c r="L86" i="58"/>
  <c r="U86" i="58"/>
  <c r="V86" i="58"/>
  <c r="S85" i="58"/>
  <c r="L85" i="58"/>
  <c r="U85" i="58"/>
  <c r="V85" i="58"/>
  <c r="S83" i="58"/>
  <c r="L83" i="58"/>
  <c r="U83" i="58"/>
  <c r="V83" i="58"/>
  <c r="S81" i="58"/>
  <c r="L81" i="58"/>
  <c r="U81" i="58"/>
  <c r="V81" i="58"/>
  <c r="S80" i="58"/>
  <c r="L80" i="58"/>
  <c r="U80" i="58"/>
  <c r="V80" i="58"/>
  <c r="S79" i="58"/>
  <c r="L79" i="58"/>
  <c r="U79" i="58"/>
  <c r="V79" i="58"/>
  <c r="S78" i="58"/>
  <c r="L78" i="58"/>
  <c r="U78" i="58"/>
  <c r="V78" i="58"/>
  <c r="S77" i="58"/>
  <c r="L77" i="58"/>
  <c r="U77" i="58"/>
  <c r="V77" i="58"/>
  <c r="S76" i="58"/>
  <c r="L76" i="58"/>
  <c r="U76" i="58"/>
  <c r="V76" i="58"/>
  <c r="S75" i="58"/>
  <c r="L75" i="58"/>
  <c r="U75" i="58"/>
  <c r="V75" i="58"/>
  <c r="S74" i="58"/>
  <c r="L74" i="58"/>
  <c r="U74" i="58"/>
  <c r="V74" i="58"/>
  <c r="S73" i="58"/>
  <c r="L73" i="58"/>
  <c r="U73" i="58"/>
  <c r="V73" i="58"/>
  <c r="S72" i="58"/>
  <c r="L72" i="58"/>
  <c r="U72" i="58"/>
  <c r="V72" i="58"/>
  <c r="S71" i="58"/>
  <c r="L71" i="58"/>
  <c r="U71" i="58"/>
  <c r="V71" i="58"/>
  <c r="S70" i="58"/>
  <c r="L70" i="58"/>
  <c r="U70" i="58"/>
  <c r="V70" i="58"/>
  <c r="S69" i="58"/>
  <c r="L69" i="58"/>
  <c r="U69" i="58"/>
  <c r="V69" i="58"/>
  <c r="S68" i="58"/>
  <c r="L68" i="58"/>
  <c r="U68" i="58"/>
  <c r="V68" i="58"/>
  <c r="S67" i="58"/>
  <c r="L67" i="58"/>
  <c r="U67" i="58"/>
  <c r="V67" i="58"/>
  <c r="S66" i="58"/>
  <c r="L66" i="58"/>
  <c r="U66" i="58"/>
  <c r="V66" i="58"/>
  <c r="S65" i="58"/>
  <c r="L65" i="58"/>
  <c r="U65" i="58"/>
  <c r="V65" i="58"/>
  <c r="S64" i="58"/>
  <c r="L64" i="58"/>
  <c r="U64" i="58"/>
  <c r="V64" i="58"/>
  <c r="S63" i="58"/>
  <c r="L63" i="58"/>
  <c r="U63" i="58"/>
  <c r="V63" i="58"/>
  <c r="S62" i="58"/>
  <c r="L62" i="58"/>
  <c r="U62" i="58"/>
  <c r="V62" i="58"/>
  <c r="S61" i="58"/>
  <c r="L61" i="58"/>
  <c r="U61" i="58"/>
  <c r="V61" i="58"/>
  <c r="S60" i="58"/>
  <c r="L60" i="58"/>
  <c r="U60" i="58"/>
  <c r="V60" i="58"/>
  <c r="S59" i="58"/>
  <c r="L59" i="58"/>
  <c r="U59" i="58"/>
  <c r="V59" i="58"/>
  <c r="S58" i="58"/>
  <c r="L58" i="58"/>
  <c r="U58" i="58"/>
  <c r="V58" i="58"/>
  <c r="S57" i="58"/>
  <c r="L57" i="58"/>
  <c r="U57" i="58"/>
  <c r="V57" i="58"/>
  <c r="S56" i="58"/>
  <c r="L56" i="58"/>
  <c r="U56" i="58"/>
  <c r="V56" i="58"/>
  <c r="S55" i="58"/>
  <c r="L55" i="58"/>
  <c r="U55" i="58"/>
  <c r="V55" i="58"/>
  <c r="S54" i="58"/>
  <c r="L54" i="58"/>
  <c r="U54" i="58"/>
  <c r="V54" i="58"/>
  <c r="S53" i="58"/>
  <c r="L53" i="58"/>
  <c r="U53" i="58"/>
  <c r="V53" i="58"/>
  <c r="S52" i="58"/>
  <c r="L52" i="58"/>
  <c r="U52" i="58"/>
  <c r="V52" i="58"/>
  <c r="S51" i="58"/>
  <c r="L51" i="58"/>
  <c r="U51" i="58"/>
  <c r="V51" i="58"/>
  <c r="S50" i="58"/>
  <c r="L50" i="58"/>
  <c r="U50" i="58"/>
  <c r="V50" i="58"/>
  <c r="S49" i="58"/>
  <c r="L49" i="58"/>
  <c r="U49" i="58"/>
  <c r="V49" i="58"/>
  <c r="S48" i="58"/>
  <c r="L48" i="58"/>
  <c r="U48" i="58"/>
  <c r="V48" i="58"/>
  <c r="S47" i="58"/>
  <c r="L47" i="58"/>
  <c r="U47" i="58"/>
  <c r="V47" i="58"/>
  <c r="S46" i="58"/>
  <c r="L46" i="58"/>
  <c r="U46" i="58"/>
  <c r="V46" i="58"/>
  <c r="S45" i="58"/>
  <c r="L45" i="58"/>
  <c r="U45" i="58"/>
  <c r="V45" i="58"/>
  <c r="S44" i="58"/>
  <c r="L44" i="58"/>
  <c r="U44" i="58"/>
  <c r="V44" i="58"/>
  <c r="S43" i="58"/>
  <c r="L43" i="58"/>
  <c r="U43" i="58"/>
  <c r="V43" i="58"/>
  <c r="S42" i="58"/>
  <c r="L42" i="58"/>
  <c r="U42" i="58"/>
  <c r="V42" i="58"/>
  <c r="S41" i="58"/>
  <c r="L41" i="58"/>
  <c r="U41" i="58"/>
  <c r="V41" i="58"/>
  <c r="S40" i="58"/>
  <c r="L40" i="58"/>
  <c r="U40" i="58"/>
  <c r="V40" i="58"/>
  <c r="S39" i="58"/>
  <c r="L39" i="58"/>
  <c r="U39" i="58"/>
  <c r="V39" i="58"/>
  <c r="S38" i="58"/>
  <c r="L38" i="58"/>
  <c r="U38" i="58"/>
  <c r="V38" i="58"/>
  <c r="S37" i="58"/>
  <c r="L37" i="58"/>
  <c r="U37" i="58"/>
  <c r="V37" i="58"/>
  <c r="S36" i="58"/>
  <c r="L36" i="58"/>
  <c r="U36" i="58"/>
  <c r="V36" i="58"/>
  <c r="S35" i="58"/>
  <c r="L35" i="58"/>
  <c r="U35" i="58"/>
  <c r="V35" i="58"/>
  <c r="S34" i="58"/>
  <c r="L34" i="58"/>
  <c r="U34" i="58"/>
  <c r="V34" i="58"/>
  <c r="S31" i="58"/>
  <c r="L31" i="58"/>
  <c r="U31" i="58"/>
  <c r="V31" i="58"/>
  <c r="S30" i="58"/>
  <c r="L30" i="58"/>
  <c r="U30" i="58"/>
  <c r="V30" i="58"/>
  <c r="S29" i="58"/>
  <c r="L29" i="58"/>
  <c r="U29" i="58"/>
  <c r="V29" i="58"/>
  <c r="S33" i="58"/>
  <c r="L33" i="58"/>
  <c r="U33" i="58"/>
  <c r="V33" i="58"/>
  <c r="S28" i="58"/>
  <c r="L28" i="58"/>
  <c r="U28" i="58"/>
  <c r="V28" i="58"/>
  <c r="S27" i="58"/>
  <c r="L27" i="58"/>
  <c r="U27" i="58"/>
  <c r="V27" i="58"/>
  <c r="S26" i="58"/>
  <c r="U26" i="58"/>
  <c r="V26" i="58"/>
  <c r="N27" i="58"/>
  <c r="O27" i="58"/>
  <c r="S91" i="58"/>
  <c r="S89" i="58"/>
  <c r="S87" i="58"/>
  <c r="S84" i="58"/>
  <c r="S82" i="58"/>
  <c r="U82" i="58"/>
  <c r="H3" i="58"/>
  <c r="I94" i="58"/>
  <c r="I81" i="58"/>
  <c r="Q81" i="58"/>
  <c r="K81" i="58"/>
  <c r="N81" i="58"/>
  <c r="O81" i="58"/>
  <c r="P81" i="58"/>
  <c r="E81" i="58"/>
  <c r="N30" i="58"/>
  <c r="O30" i="58"/>
  <c r="I41" i="58"/>
  <c r="Q41" i="58"/>
  <c r="Z93" i="58"/>
  <c r="AC93" i="58"/>
  <c r="I28" i="58"/>
  <c r="Q28" i="58"/>
  <c r="N28" i="58"/>
  <c r="O28" i="58"/>
  <c r="P28" i="58"/>
  <c r="E28" i="58"/>
  <c r="B6" i="66"/>
  <c r="AA99" i="58"/>
  <c r="AA98" i="58"/>
  <c r="AB94" i="58"/>
  <c r="AB98" i="58"/>
  <c r="AB95" i="58"/>
  <c r="AB96" i="58"/>
  <c r="AB99" i="58"/>
  <c r="AE97" i="58"/>
  <c r="AB102" i="58"/>
  <c r="I95" i="58"/>
  <c r="I96" i="58"/>
  <c r="I97" i="58"/>
  <c r="L95" i="58"/>
  <c r="L96" i="58"/>
  <c r="L97" i="58"/>
  <c r="K95" i="58"/>
  <c r="K96" i="58"/>
  <c r="K97" i="58"/>
  <c r="I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0" i="58"/>
  <c r="I29" i="58"/>
  <c r="I33" i="58"/>
  <c r="I27" i="58"/>
  <c r="I31" i="58"/>
  <c r="Q26" i="58"/>
  <c r="K92" i="58"/>
  <c r="K90" i="58"/>
  <c r="K88" i="58"/>
  <c r="K86" i="58"/>
  <c r="K85" i="58"/>
  <c r="K83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6" i="58"/>
  <c r="K35" i="58"/>
  <c r="K34" i="58"/>
  <c r="K33" i="58"/>
  <c r="I23" i="58"/>
  <c r="AG98" i="58"/>
  <c r="AG103" i="58"/>
  <c r="AA118" i="58"/>
  <c r="AG118" i="58"/>
  <c r="AC98" i="58"/>
  <c r="AC103" i="58"/>
  <c r="AC118" i="58"/>
  <c r="AD98" i="58"/>
  <c r="AD103" i="58"/>
  <c r="AD118" i="58"/>
  <c r="AE98" i="58"/>
  <c r="AE103" i="58"/>
  <c r="AE118" i="58"/>
  <c r="AF98" i="58"/>
  <c r="AF103" i="58"/>
  <c r="AF118" i="58"/>
  <c r="AB103" i="58"/>
  <c r="AB118" i="58"/>
  <c r="AA114" i="58"/>
  <c r="AC114" i="58"/>
  <c r="AD114" i="58"/>
  <c r="AE114" i="58"/>
  <c r="AF114" i="58"/>
  <c r="AG114" i="58"/>
  <c r="AB114" i="58"/>
  <c r="AA110" i="58"/>
  <c r="AC110" i="58"/>
  <c r="AD110" i="58"/>
  <c r="AE110" i="58"/>
  <c r="AF110" i="58"/>
  <c r="AG110" i="58"/>
  <c r="AB110" i="58"/>
  <c r="AA106" i="58"/>
  <c r="AC106" i="58"/>
  <c r="AD106" i="58"/>
  <c r="AE106" i="58"/>
  <c r="AF106" i="58"/>
  <c r="AG106" i="58"/>
  <c r="AB106" i="58"/>
  <c r="AA107" i="58"/>
  <c r="AB107" i="58"/>
  <c r="AG99" i="58"/>
  <c r="AG102" i="58"/>
  <c r="AA119" i="58"/>
  <c r="AG119" i="58"/>
  <c r="AF99" i="58"/>
  <c r="AF102" i="58"/>
  <c r="AF119" i="58"/>
  <c r="AE99" i="58"/>
  <c r="AE102" i="58"/>
  <c r="AE119" i="58"/>
  <c r="AD99" i="58"/>
  <c r="AD102" i="58"/>
  <c r="AD119" i="58"/>
  <c r="AC99" i="58"/>
  <c r="AC102" i="58"/>
  <c r="AC119" i="58"/>
  <c r="AG100" i="58"/>
  <c r="AG101" i="58"/>
  <c r="AG117" i="58"/>
  <c r="AF100" i="58"/>
  <c r="AF101" i="58"/>
  <c r="AF117" i="58"/>
  <c r="AE100" i="58"/>
  <c r="AE101" i="58"/>
  <c r="AE117" i="58"/>
  <c r="AD100" i="58"/>
  <c r="AD101" i="58"/>
  <c r="AD117" i="58"/>
  <c r="AC100" i="58"/>
  <c r="AC101" i="58"/>
  <c r="AA117" i="58"/>
  <c r="AC117" i="58"/>
  <c r="AB119" i="58"/>
  <c r="AB100" i="58"/>
  <c r="AB101" i="58"/>
  <c r="AB117" i="58"/>
  <c r="AA115" i="58"/>
  <c r="AG115" i="58"/>
  <c r="AF115" i="58"/>
  <c r="AE115" i="58"/>
  <c r="AD115" i="58"/>
  <c r="AC115" i="58"/>
  <c r="AG113" i="58"/>
  <c r="AF113" i="58"/>
  <c r="AE113" i="58"/>
  <c r="AD113" i="58"/>
  <c r="AA113" i="58"/>
  <c r="AC113" i="58"/>
  <c r="AB115" i="58"/>
  <c r="AB113" i="58"/>
  <c r="AA111" i="58"/>
  <c r="AG111" i="58"/>
  <c r="AF111" i="58"/>
  <c r="AE111" i="58"/>
  <c r="AD111" i="58"/>
  <c r="AC111" i="58"/>
  <c r="AB111" i="58"/>
  <c r="AG109" i="58"/>
  <c r="AF109" i="58"/>
  <c r="AE109" i="58"/>
  <c r="AD109" i="58"/>
  <c r="AA109" i="58"/>
  <c r="AC109" i="58"/>
  <c r="AB109" i="58"/>
  <c r="AG105" i="58"/>
  <c r="AF105" i="58"/>
  <c r="AE105" i="58"/>
  <c r="AD105" i="58"/>
  <c r="AA105" i="58"/>
  <c r="AC105" i="58"/>
  <c r="AB105" i="58"/>
  <c r="AG107" i="58"/>
  <c r="Z105" i="58"/>
  <c r="Q96" i="58"/>
  <c r="Q97" i="58"/>
  <c r="Q95" i="58"/>
  <c r="Q94" i="58"/>
  <c r="N97" i="58"/>
  <c r="O97" i="58"/>
  <c r="N96" i="58"/>
  <c r="O96" i="58"/>
  <c r="N95" i="58"/>
  <c r="O95" i="58"/>
  <c r="O94" i="58"/>
  <c r="Q92" i="58"/>
  <c r="Q90" i="58"/>
  <c r="Q88" i="58"/>
  <c r="Q86" i="58"/>
  <c r="Q85" i="58"/>
  <c r="Q83" i="58"/>
  <c r="Q80" i="58"/>
  <c r="Q79" i="58"/>
  <c r="Q78" i="58"/>
  <c r="Q77" i="58"/>
  <c r="Q76" i="58"/>
  <c r="Q75" i="58"/>
  <c r="Q74" i="58"/>
  <c r="Q73" i="58"/>
  <c r="Q72" i="58"/>
  <c r="Q71" i="58"/>
  <c r="Q70" i="58"/>
  <c r="Q69" i="58"/>
  <c r="Q68" i="58"/>
  <c r="Q67" i="58"/>
  <c r="Q66" i="58"/>
  <c r="Q65" i="58"/>
  <c r="Q64" i="58"/>
  <c r="Q63" i="58"/>
  <c r="Q62" i="58"/>
  <c r="Q61" i="58"/>
  <c r="Q60" i="58"/>
  <c r="Q59" i="58"/>
  <c r="Q58" i="58"/>
  <c r="Q57" i="58"/>
  <c r="Q56" i="58"/>
  <c r="Q55" i="58"/>
  <c r="Q54" i="58"/>
  <c r="Q53" i="58"/>
  <c r="Q52" i="58"/>
  <c r="Q51" i="58"/>
  <c r="Q50" i="58"/>
  <c r="Q49" i="58"/>
  <c r="Q48" i="58"/>
  <c r="Q47" i="58"/>
  <c r="Q46" i="58"/>
  <c r="Q45" i="58"/>
  <c r="Q44" i="58"/>
  <c r="Q43" i="58"/>
  <c r="Q42" i="58"/>
  <c r="Q40" i="58"/>
  <c r="Q39" i="58"/>
  <c r="Q38" i="58"/>
  <c r="Q37" i="58"/>
  <c r="Q36" i="58"/>
  <c r="Q35" i="58"/>
  <c r="Q34" i="58"/>
  <c r="Q30" i="58"/>
  <c r="Q29" i="58"/>
  <c r="Q33" i="58"/>
  <c r="Q27" i="58"/>
  <c r="Q31" i="58"/>
  <c r="N92" i="58"/>
  <c r="O92" i="58"/>
  <c r="N31" i="58"/>
  <c r="N90" i="58"/>
  <c r="O90" i="58"/>
  <c r="N88" i="58"/>
  <c r="O88" i="58"/>
  <c r="N86" i="58"/>
  <c r="O86" i="58"/>
  <c r="N85" i="58"/>
  <c r="O85" i="58"/>
  <c r="N83" i="58"/>
  <c r="O83" i="58"/>
  <c r="N80" i="58"/>
  <c r="O80" i="58"/>
  <c r="N79" i="58"/>
  <c r="O79" i="58"/>
  <c r="N78" i="58"/>
  <c r="O78" i="58"/>
  <c r="N77" i="58"/>
  <c r="O77" i="58"/>
  <c r="N76" i="58"/>
  <c r="O76" i="58"/>
  <c r="N75" i="58"/>
  <c r="O75" i="58"/>
  <c r="N74" i="58"/>
  <c r="O74" i="58"/>
  <c r="N73" i="58"/>
  <c r="O73" i="58"/>
  <c r="N72" i="58"/>
  <c r="O72" i="58"/>
  <c r="N71" i="58"/>
  <c r="O71" i="58"/>
  <c r="N70" i="58"/>
  <c r="O70" i="58"/>
  <c r="N69" i="58"/>
  <c r="O69" i="58"/>
  <c r="N68" i="58"/>
  <c r="O68" i="58"/>
  <c r="N67" i="58"/>
  <c r="O67" i="58"/>
  <c r="N66" i="58"/>
  <c r="O66" i="58"/>
  <c r="N65" i="58"/>
  <c r="O65" i="58"/>
  <c r="N64" i="58"/>
  <c r="O64" i="58"/>
  <c r="N63" i="58"/>
  <c r="O63" i="58"/>
  <c r="N62" i="58"/>
  <c r="O62" i="58"/>
  <c r="N61" i="58"/>
  <c r="O61" i="58"/>
  <c r="N60" i="58"/>
  <c r="O60" i="58"/>
  <c r="N59" i="58"/>
  <c r="O59" i="58"/>
  <c r="N58" i="58"/>
  <c r="O58" i="58"/>
  <c r="N57" i="58"/>
  <c r="O57" i="58"/>
  <c r="N56" i="58"/>
  <c r="O56" i="58"/>
  <c r="N55" i="58"/>
  <c r="O55" i="58"/>
  <c r="N54" i="58"/>
  <c r="O54" i="58"/>
  <c r="N53" i="58"/>
  <c r="O53" i="58"/>
  <c r="N52" i="58"/>
  <c r="O52" i="58"/>
  <c r="N51" i="58"/>
  <c r="O51" i="58"/>
  <c r="N50" i="58"/>
  <c r="O50" i="58"/>
  <c r="N49" i="58"/>
  <c r="O49" i="58"/>
  <c r="N48" i="58"/>
  <c r="O48" i="58"/>
  <c r="N47" i="58"/>
  <c r="O47" i="58"/>
  <c r="N46" i="58"/>
  <c r="O46" i="58"/>
  <c r="N45" i="58"/>
  <c r="O45" i="58"/>
  <c r="N44" i="58"/>
  <c r="O44" i="58"/>
  <c r="N43" i="58"/>
  <c r="O43" i="58"/>
  <c r="N42" i="58"/>
  <c r="O42" i="58"/>
  <c r="N41" i="58"/>
  <c r="O41" i="58"/>
  <c r="N40" i="58"/>
  <c r="O40" i="58"/>
  <c r="N39" i="58"/>
  <c r="O39" i="58"/>
  <c r="N38" i="58"/>
  <c r="O38" i="58"/>
  <c r="N37" i="58"/>
  <c r="O37" i="58"/>
  <c r="N36" i="58"/>
  <c r="O36" i="58"/>
  <c r="N35" i="58"/>
  <c r="O35" i="58"/>
  <c r="N34" i="58"/>
  <c r="O34" i="58"/>
  <c r="N29" i="58"/>
  <c r="O29" i="58"/>
  <c r="N33" i="58"/>
  <c r="O33" i="58"/>
  <c r="O31" i="58"/>
  <c r="O26" i="58"/>
  <c r="L23" i="58"/>
  <c r="Q23" i="58"/>
  <c r="N23" i="58"/>
  <c r="P86" i="58"/>
  <c r="E86" i="58"/>
  <c r="B13" i="66"/>
  <c r="E2" i="58"/>
  <c r="P80" i="58"/>
  <c r="E80" i="58"/>
  <c r="M33" i="58"/>
  <c r="C13" i="66"/>
  <c r="D13" i="66"/>
  <c r="E13" i="66"/>
  <c r="I21" i="58"/>
  <c r="E85" i="58"/>
  <c r="E26" i="58"/>
  <c r="E30" i="58"/>
  <c r="E27" i="58"/>
  <c r="E31" i="58"/>
  <c r="E29" i="58"/>
  <c r="P30" i="58"/>
  <c r="P31" i="58"/>
  <c r="B16" i="66"/>
  <c r="B15" i="66"/>
  <c r="B14" i="66"/>
  <c r="I19" i="58"/>
  <c r="AF104" i="58"/>
  <c r="E135" i="58"/>
  <c r="E134" i="58"/>
  <c r="E133" i="58"/>
  <c r="E132" i="58"/>
  <c r="C16" i="66"/>
  <c r="AE13" i="58"/>
  <c r="E131" i="58"/>
  <c r="AC107" i="58"/>
  <c r="AD107" i="58"/>
  <c r="AE107" i="58"/>
  <c r="AF107" i="58"/>
  <c r="Z104" i="58"/>
  <c r="AG104" i="58"/>
  <c r="AE104" i="58"/>
  <c r="AD104" i="58"/>
  <c r="AC104" i="58"/>
  <c r="AB104" i="58"/>
  <c r="Z116" i="58"/>
  <c r="Z112" i="58"/>
  <c r="Z108" i="58"/>
  <c r="Z119" i="58"/>
  <c r="Z118" i="58"/>
  <c r="Z117" i="58"/>
  <c r="Z114" i="58"/>
  <c r="Z115" i="58"/>
  <c r="Z113" i="58"/>
  <c r="Z109" i="58"/>
  <c r="Z110" i="58"/>
  <c r="Z111" i="58"/>
  <c r="Z106" i="58"/>
  <c r="Z107" i="58"/>
  <c r="AE14" i="58"/>
  <c r="P97" i="58"/>
  <c r="P96" i="58"/>
  <c r="P95" i="58"/>
  <c r="P94" i="58"/>
  <c r="F97" i="58"/>
  <c r="F96" i="58"/>
  <c r="F95" i="58"/>
  <c r="F94" i="58"/>
  <c r="N21" i="58"/>
  <c r="E10" i="58"/>
  <c r="P92" i="58"/>
  <c r="P90" i="58"/>
  <c r="P88" i="58"/>
  <c r="P85" i="58"/>
  <c r="P83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27" i="58"/>
  <c r="P29" i="58"/>
  <c r="P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3" i="58"/>
  <c r="AE15" i="58"/>
  <c r="E17" i="58"/>
  <c r="E24" i="58"/>
  <c r="E16" i="58"/>
  <c r="E15" i="58"/>
  <c r="E14" i="58"/>
  <c r="E21" i="58"/>
  <c r="E20" i="58"/>
  <c r="E19" i="58"/>
  <c r="E18" i="58"/>
  <c r="E13" i="58"/>
  <c r="Z121" i="58"/>
  <c r="Z120" i="58"/>
  <c r="E41" i="58"/>
  <c r="AK21" i="58"/>
  <c r="E34" i="58"/>
  <c r="E35" i="58"/>
</calcChain>
</file>

<file path=xl/sharedStrings.xml><?xml version="1.0" encoding="utf-8"?>
<sst xmlns="http://schemas.openxmlformats.org/spreadsheetml/2006/main" count="213" uniqueCount="188">
  <si>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</si>
  <si>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</si>
  <si>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</si>
  <si>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</si>
  <si>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</si>
  <si>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</si>
  <si>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</si>
  <si>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</si>
  <si>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</si>
  <si>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</si>
  <si>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</si>
  <si>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</si>
  <si>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</si>
  <si>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</si>
  <si>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</si>
  <si>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</si>
  <si>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</si>
  <si>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</si>
  <si>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</si>
  <si>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</si>
  <si>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</si>
  <si>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</si>
  <si>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</si>
  <si>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</si>
  <si>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</si>
  <si>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</si>
  <si>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</si>
  <si>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</si>
  <si>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</si>
  <si>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</si>
  <si>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</si>
  <si>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</si>
  <si>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</si>
  <si>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</si>
  <si>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</si>
  <si>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</si>
  <si>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</si>
  <si>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</si>
  <si>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</si>
  <si>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</si>
  <si>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</si>
  <si>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</si>
  <si>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</si>
  <si>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</si>
  <si>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</si>
  <si>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</si>
  <si>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</si>
  <si>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</si>
  <si>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</si>
  <si>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</si>
  <si>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</si>
  <si>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</si>
  <si>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</si>
  <si>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</si>
  <si>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</si>
  <si>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</si>
  <si>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</si>
  <si>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</si>
  <si>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</si>
  <si>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</si>
  <si>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</si>
  <si>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</si>
  <si>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</si>
  <si>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</si>
  <si>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</si>
  <si>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</si>
  <si>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</si>
  <si>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</si>
  <si>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</si>
  <si>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</si>
  <si>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</si>
  <si>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</si>
  <si>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</si>
  <si>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</si>
  <si>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</si>
  <si>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</si>
  <si>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</si>
  <si>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</si>
  <si>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</si>
  <si>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</si>
  <si>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</si>
  <si>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</si>
  <si>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</si>
  <si>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</si>
  <si>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</si>
  <si>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</si>
  <si>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</si>
  <si>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</si>
  <si>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</si>
  <si>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</si>
  <si>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</si>
  <si>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</si>
  <si>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</si>
  <si>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</si>
  <si>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</si>
  <si>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</si>
  <si>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</si>
  <si>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</si>
  <si>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</si>
  <si>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</si>
  <si>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</si>
  <si>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</si>
  <si>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</si>
  <si>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</si>
  <si>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</si>
  <si>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</si>
  <si>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</si>
  <si>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</si>
  <si>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</si>
  <si>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</si>
  <si>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</si>
  <si>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</si>
  <si>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</si>
  <si>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</si>
  <si>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</si>
  <si>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</si>
  <si>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</si>
  <si>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</si>
  <si>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</si>
  <si>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</si>
  <si>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</si>
  <si>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</si>
  <si>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</si>
  <si>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</si>
  <si>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</si>
  <si>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</si>
  <si>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</si>
  <si>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</si>
  <si>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</si>
  <si>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</si>
  <si>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</si>
  <si>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</si>
  <si>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</si>
  <si>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</si>
  <si>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</si>
  <si>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</si>
  <si>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</si>
  <si>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</si>
  <si>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</si>
  <si>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</si>
  <si>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</si>
  <si>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</si>
  <si>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</si>
  <si>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</si>
  <si>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</si>
  <si>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</si>
  <si>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</si>
  <si>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</si>
  <si>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</si>
  <si>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</si>
  <si>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</si>
  <si>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</si>
  <si>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</si>
  <si>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</si>
  <si>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</si>
  <si>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</si>
  <si>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</si>
  <si>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</si>
  <si>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</si>
  <si>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</si>
  <si>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</si>
  <si>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</si>
  <si>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</si>
  <si>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</si>
  <si>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</si>
  <si>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</si>
  <si>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</si>
  <si>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</si>
  <si>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</si>
  <si>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</si>
  <si>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</si>
  <si>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</si>
  <si>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</si>
  <si>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</si>
  <si>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</si>
  <si>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</si>
  <si>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</si>
  <si>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</si>
  <si>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</si>
  <si>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</si>
  <si>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</si>
  <si>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</si>
  <si>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</si>
  <si>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</si>
  <si>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</si>
  <si>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</si>
  <si>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</si>
  <si>
    <t>Estimé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</si>
</sst>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93" fillId="44" borderId="0" xfId="0" applyFont="1" applyFill="1" applyBorder="1" applyAlignment="1" applyProtection="1">
      <alignment horizontal="center" vertical="center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  <xf numFmtId="0" fontId="8" fillId="43" borderId="0" xfId="0" applyFont="1" applyFill="1" applyBorder="1" applyAlignment="1">
      <alignment horizontal="left" vertical="center"/>
    </xf>
    <xf numFmtId="2" fontId="51" fillId="29" borderId="0" xfId="222" applyNumberFormat="1" applyFont="1" applyFill="1" applyBorder="1" applyAlignment="1">
      <alignment horizontal="left" vertical="center" indent="1"/>
    </xf>
    <xf numFmtId="0" fontId="75" fillId="29" borderId="0" xfId="222" applyFont="1" applyFill="1" applyBorder="1" applyAlignment="1" applyProtection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29" borderId="0" xfId="222" applyFont="1" applyFill="1" applyBorder="1" applyAlignment="1">
      <alignment horizontal="left" vertical="center" wrapText="1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PL!$Z$104</c:f>
          <c:strCache>
            <c:ptCount val="1"/>
            <c:pt idx="0">
              <c:v>Coûts externes (Cumulé)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PL!$AB$105:$AG$105</c:f>
              <c:numCache>
                <c:formatCode>#,##0</c:formatCode>
                <c:ptCount val="6"/>
                <c:pt idx="0">
                  <c:v>-634.53551999999991</c:v>
                </c:pt>
                <c:pt idx="1">
                  <c:v>-4052.9516800000001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5071488"/>
        <c:axId val="194408448"/>
      </c:barChart>
      <c:lineChart>
        <c:grouping val="standard"/>
        <c:varyColors val="0"/>
        <c:ser>
          <c:idx val="2"/>
          <c:order val="1"/>
          <c:tx>
            <c:strRef>
              <c:f>PL!$Z$106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PL!$AB$106:$AG$106</c:f>
              <c:numCache>
                <c:formatCode>#,##0</c:formatCode>
                <c:ptCount val="6"/>
                <c:pt idx="0">
                  <c:v>-906.68861000000004</c:v>
                </c:pt>
                <c:pt idx="1">
                  <c:v>-4163.03971</c:v>
                </c:pt>
                <c:pt idx="2">
                  <c:v>-7650.1073900000029</c:v>
                </c:pt>
                <c:pt idx="3">
                  <c:v>-10099.0515</c:v>
                </c:pt>
                <c:pt idx="4">
                  <c:v>-11758.936460000003</c:v>
                </c:pt>
                <c:pt idx="5">
                  <c:v>-14354.875210000007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63-4843-BBDC-015802AAEE0E}"/>
            </c:ext>
          </c:extLst>
        </c:ser>
        <c:ser>
          <c:idx val="3"/>
          <c:order val="2"/>
          <c:tx>
            <c:strRef>
              <c:f>PL!$Z$107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PL!$AB$107:$AG$107</c:f>
              <c:numCache>
                <c:formatCode>#,##0</c:formatCode>
                <c:ptCount val="6"/>
                <c:pt idx="0">
                  <c:v>-2654.268</c:v>
                </c:pt>
                <c:pt idx="1">
                  <c:v>-5309.5349999999999</c:v>
                </c:pt>
                <c:pt idx="2">
                  <c:v>-7969.06</c:v>
                </c:pt>
                <c:pt idx="3">
                  <c:v>-10622.009</c:v>
                </c:pt>
                <c:pt idx="4">
                  <c:v>-13275.005000000001</c:v>
                </c:pt>
                <c:pt idx="5">
                  <c:v>-15930.79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71488"/>
        <c:axId val="194408448"/>
      </c:lineChart>
      <c:catAx>
        <c:axId val="18507148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94408448"/>
        <c:crosses val="autoZero"/>
        <c:auto val="1"/>
        <c:lblAlgn val="ctr"/>
        <c:lblOffset val="100"/>
        <c:noMultiLvlLbl val="0"/>
      </c:catAx>
      <c:valAx>
        <c:axId val="19440844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850714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PL!$AB$109:$AG$109</c:f>
              <c:numCache>
                <c:formatCode>#,##0</c:formatCode>
                <c:ptCount val="6"/>
                <c:pt idx="0">
                  <c:v>-3877.4366200000013</c:v>
                </c:pt>
                <c:pt idx="1">
                  <c:v>-8063.5878500000035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24228096"/>
        <c:axId val="224230016"/>
      </c:barChart>
      <c:lineChart>
        <c:grouping val="standard"/>
        <c:varyColors val="0"/>
        <c:ser>
          <c:idx val="2"/>
          <c:order val="1"/>
          <c:tx>
            <c:strRef>
              <c:f>PL!$Z$110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PL!$AB$110:$AG$110</c:f>
              <c:numCache>
                <c:formatCode>#,##0</c:formatCode>
                <c:ptCount val="6"/>
                <c:pt idx="0">
                  <c:v>-4005.6622800000009</c:v>
                </c:pt>
                <c:pt idx="1">
                  <c:v>-8611.7969499999981</c:v>
                </c:pt>
                <c:pt idx="2">
                  <c:v>-13775.634769999999</c:v>
                </c:pt>
                <c:pt idx="3">
                  <c:v>-16721.391080000005</c:v>
                </c:pt>
                <c:pt idx="4">
                  <c:v>-21002.963820000001</c:v>
                </c:pt>
                <c:pt idx="5">
                  <c:v>-25967.960660000004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BB9-4528-BE9F-200A805FE955}"/>
            </c:ext>
          </c:extLst>
        </c:ser>
        <c:ser>
          <c:idx val="3"/>
          <c:order val="2"/>
          <c:tx>
            <c:strRef>
              <c:f>PL!$Z$111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PL!$AB$111:$AG$111</c:f>
              <c:numCache>
                <c:formatCode>#,##0</c:formatCode>
                <c:ptCount val="6"/>
                <c:pt idx="0">
                  <c:v>-4272.8457126894509</c:v>
                </c:pt>
                <c:pt idx="1">
                  <c:v>-8527.6035156735597</c:v>
                </c:pt>
                <c:pt idx="2">
                  <c:v>-12774.413597769772</c:v>
                </c:pt>
                <c:pt idx="3">
                  <c:v>-16990.720835805678</c:v>
                </c:pt>
                <c:pt idx="4">
                  <c:v>-21200.527954752975</c:v>
                </c:pt>
                <c:pt idx="5">
                  <c:v>-25398.330209766864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28096"/>
        <c:axId val="224230016"/>
      </c:lineChart>
      <c:catAx>
        <c:axId val="2242280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24230016"/>
        <c:crosses val="autoZero"/>
        <c:auto val="1"/>
        <c:lblAlgn val="ctr"/>
        <c:lblOffset val="100"/>
        <c:noMultiLvlLbl val="0"/>
      </c:catAx>
      <c:valAx>
        <c:axId val="22423001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242280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PL!$Z$112</c:f>
          <c:strCache>
            <c:ptCount val="1"/>
            <c:pt idx="0">
              <c:v>Frais de déplacement (Cumulé)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PL!$AB$113:$AG$113</c:f>
              <c:numCache>
                <c:formatCode>#,##0</c:formatCode>
                <c:ptCount val="6"/>
                <c:pt idx="0">
                  <c:v>-36.482030000000009</c:v>
                </c:pt>
                <c:pt idx="1">
                  <c:v>-96.78267000000001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78211584"/>
        <c:axId val="278377600"/>
      </c:barChart>
      <c:lineChart>
        <c:grouping val="standard"/>
        <c:varyColors val="0"/>
        <c:ser>
          <c:idx val="2"/>
          <c:order val="1"/>
          <c:tx>
            <c:strRef>
              <c:f>PL!$Z$114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PL!$AB$114:$AG$114</c:f>
              <c:numCache>
                <c:formatCode>#,##0</c:formatCode>
                <c:ptCount val="6"/>
                <c:pt idx="0">
                  <c:v>-141.60033999999999</c:v>
                </c:pt>
                <c:pt idx="1">
                  <c:v>-506.60768000000013</c:v>
                </c:pt>
                <c:pt idx="2">
                  <c:v>-462.3768300000001</c:v>
                </c:pt>
                <c:pt idx="3">
                  <c:v>-484.86414999999988</c:v>
                </c:pt>
                <c:pt idx="4">
                  <c:v>-499.48433999999997</c:v>
                </c:pt>
                <c:pt idx="5">
                  <c:v>-543.31457000000012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B0-4F1F-BFE4-EF9561DD6273}"/>
            </c:ext>
          </c:extLst>
        </c:ser>
        <c:ser>
          <c:idx val="3"/>
          <c:order val="2"/>
          <c:tx>
            <c:strRef>
              <c:f>PL!$Z$115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PL!$AB$115:$AG$115</c:f>
              <c:numCache>
                <c:formatCode>#,##0</c:formatCode>
                <c:ptCount val="6"/>
                <c:pt idx="0">
                  <c:v>-146.995</c:v>
                </c:pt>
                <c:pt idx="1">
                  <c:v>-293.99</c:v>
                </c:pt>
                <c:pt idx="2">
                  <c:v>-440.98500000000001</c:v>
                </c:pt>
                <c:pt idx="3">
                  <c:v>-587.98</c:v>
                </c:pt>
                <c:pt idx="4">
                  <c:v>-734.97500000000002</c:v>
                </c:pt>
                <c:pt idx="5">
                  <c:v>-881.97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11584"/>
        <c:axId val="278377600"/>
      </c:lineChart>
      <c:catAx>
        <c:axId val="2782115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78377600"/>
        <c:crosses val="autoZero"/>
        <c:auto val="1"/>
        <c:lblAlgn val="ctr"/>
        <c:lblOffset val="100"/>
        <c:noMultiLvlLbl val="0"/>
      </c:catAx>
      <c:valAx>
        <c:axId val="27837760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782115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PL!$AB$117:$AG$117</c:f>
              <c:numCache>
                <c:formatCode>#,##0</c:formatCode>
                <c:ptCount val="6"/>
                <c:pt idx="0">
                  <c:v>-5137.099000000002</c:v>
                </c:pt>
                <c:pt idx="1">
                  <c:v>-145.56840999999818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0365696"/>
        <c:axId val="282866432"/>
      </c:barChart>
      <c:lineChart>
        <c:grouping val="standard"/>
        <c:varyColors val="0"/>
        <c:ser>
          <c:idx val="2"/>
          <c:order val="1"/>
          <c:tx>
            <c:strRef>
              <c:f>PL!$Z$118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PL!$AB$118:$AG$118</c:f>
              <c:numCache>
                <c:formatCode>#,##0</c:formatCode>
                <c:ptCount val="6"/>
                <c:pt idx="0">
                  <c:v>-5549.9345100000019</c:v>
                </c:pt>
                <c:pt idx="1">
                  <c:v>-1009.6295999999974</c:v>
                </c:pt>
                <c:pt idx="2">
                  <c:v>-4273.333270000001</c:v>
                </c:pt>
                <c:pt idx="3">
                  <c:v>-3535.4252400000023</c:v>
                </c:pt>
                <c:pt idx="4">
                  <c:v>-3225.2735700000035</c:v>
                </c:pt>
                <c:pt idx="5">
                  <c:v>-4410.7250199999944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33-47EE-AA6B-73EE7FF05559}"/>
            </c:ext>
          </c:extLst>
        </c:ser>
        <c:ser>
          <c:idx val="3"/>
          <c:order val="2"/>
          <c:tx>
            <c:strRef>
              <c:f>PL!$Z$119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PL!$AB$119:$AG$119</c:f>
              <c:numCache>
                <c:formatCode>#,##0</c:formatCode>
                <c:ptCount val="6"/>
                <c:pt idx="0">
                  <c:v>-1043.804712689451</c:v>
                </c:pt>
                <c:pt idx="1">
                  <c:v>-2073.5285156735572</c:v>
                </c:pt>
                <c:pt idx="2">
                  <c:v>-3087.7715977697708</c:v>
                </c:pt>
                <c:pt idx="3">
                  <c:v>-4075.5878358056771</c:v>
                </c:pt>
                <c:pt idx="4">
                  <c:v>-5052.4939547529739</c:v>
                </c:pt>
                <c:pt idx="5">
                  <c:v>-6020.1452097668653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365696"/>
        <c:axId val="282866432"/>
      </c:lineChart>
      <c:catAx>
        <c:axId val="2803656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82866432"/>
        <c:crosses val="autoZero"/>
        <c:auto val="1"/>
        <c:lblAlgn val="ctr"/>
        <c:lblOffset val="100"/>
        <c:noMultiLvlLbl val="0"/>
      </c:catAx>
      <c:valAx>
        <c:axId val="28286643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803656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85725</xdr:colOff>
      <xdr:row>8</xdr:row>
      <xdr:rowOff>68024</xdr:rowOff>
    </xdr:from>
    <xdr:to>
      <xdr:col>22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51955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112567</xdr:colOff>
      <xdr:row>128</xdr:row>
      <xdr:rowOff>24740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779813</xdr:colOff>
      <xdr:row>104</xdr:row>
      <xdr:rowOff>126174</xdr:rowOff>
    </xdr:from>
    <xdr:to>
      <xdr:col>16</xdr:col>
      <xdr:colOff>646955</xdr:colOff>
      <xdr:row>127</xdr:row>
      <xdr:rowOff>181841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1171451</xdr:colOff>
      <xdr:row>104</xdr:row>
      <xdr:rowOff>43296</xdr:rowOff>
    </xdr:from>
    <xdr:to>
      <xdr:col>21</xdr:col>
      <xdr:colOff>1060119</xdr:colOff>
      <xdr:row>127</xdr:row>
      <xdr:rowOff>108859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238125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F13" sqref="F13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2021.09</v>
      </c>
      <c r="C13" s="94" t="str">
        <f ca="1">RIGHT($B$13,2)</f>
        <v>09</v>
      </c>
      <c r="D13" s="96">
        <f ca="1">IF($C$13="01","1",$C$13-1)</f>
        <v>8</v>
      </c>
      <c r="E13" s="17" t="str">
        <f ca="1">IF(OR($D$13= 10,$D$13= 11,$D$13= 12),$D$13,"0"&amp;D13)</f>
        <v>08</v>
      </c>
      <c r="F13" s="17" t="str">
        <f ca="1">$B$13&amp;"_YTD"</f>
        <v>2021.09_YTD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French</v>
      </c>
      <c r="C16" s="17" t="str">
        <f ca="1">IF(LocalLanguage="French","Français",LocalLanguage)</f>
        <v>Français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W207"/>
  <sheetViews>
    <sheetView showGridLines="0" tabSelected="1" topLeftCell="D8" zoomScale="55" zoomScaleNormal="55" zoomScaleSheetLayoutView="70" workbookViewId="0">
      <selection activeCell="K29" sqref="K29"/>
    </sheetView>
  </sheetViews>
  <sheetFormatPr baseColWidth="10" defaultColWidth="11.42578125" defaultRowHeight="12.75" outlineLevelRow="1" outlineLevelCol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0" width="19.85546875" style="1" customWidth="1" outlineLevel="1"/>
    <col min="11" max="12" width="19.5703125" style="1" customWidth="1"/>
    <col min="13" max="13" width="0.85546875" style="3" customWidth="1"/>
    <col min="14" max="14" width="19.5703125" style="3" customWidth="1"/>
    <col min="15" max="15" width="13.5703125" style="3" customWidth="1"/>
    <col min="16" max="16" width="6.85546875" style="3" bestFit="1" customWidth="1"/>
    <col min="17" max="17" width="19.85546875" style="3" customWidth="1"/>
    <col min="18" max="18" width="3.42578125" style="23" customWidth="1"/>
    <col min="19" max="19" width="16.5703125" style="52" customWidth="1"/>
    <col min="20" max="20" width="0.7109375" style="52" customWidth="1"/>
    <col min="21" max="22" width="19" style="52" customWidth="1"/>
    <col min="23" max="23" width="14.5703125" style="23" customWidth="1"/>
    <col min="24" max="24" width="9" style="23" customWidth="1"/>
    <col min="25" max="25" width="9" style="23" hidden="1" customWidth="1"/>
    <col min="26" max="26" width="71" style="23" hidden="1" customWidth="1"/>
    <col min="27" max="27" width="29.42578125" style="23" hidden="1" customWidth="1"/>
    <col min="28" max="33" width="16.7109375" style="23" hidden="1" customWidth="1"/>
    <col min="34" max="34" width="14.42578125" style="23" hidden="1" customWidth="1"/>
    <col min="35" max="35" width="16.28515625" style="23" customWidth="1"/>
    <col min="36" max="36" width="16.7109375" style="23" customWidth="1"/>
    <col min="37" max="37" width="43.7109375" style="23" customWidth="1"/>
    <col min="38" max="38" width="10.140625" style="23" customWidth="1"/>
    <col min="39" max="39" width="6.5703125" style="23" customWidth="1"/>
    <col min="40" max="40" width="6.140625" style="23" customWidth="1"/>
    <col min="41" max="41" width="6.5703125" style="23" customWidth="1"/>
    <col min="42" max="48" width="6.5703125" style="1" customWidth="1"/>
    <col min="49" max="50" width="6.42578125" style="1" customWidth="1"/>
    <col min="51" max="52" width="11.42578125" style="1" customWidth="1"/>
    <col min="53" max="16384" width="11.42578125" style="1"/>
  </cols>
  <sheetData>
    <row r="1" spans="1:41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tr">
        <f ca="1">IF($H$5=$AD$24,"BUDG_TOT",IF($H$5=$AD$25,"FC_1_TOT","FC_2_TOT"))</f>
        <v>FC_2_TOT</v>
      </c>
      <c r="L1" s="48" t="s">
        <v>78</v>
      </c>
      <c r="M1" s="52"/>
      <c r="O1" s="52"/>
      <c r="P1" s="244" t="s">
        <v>153</v>
      </c>
      <c r="Q1" s="245"/>
      <c r="R1" s="246"/>
      <c r="S1" s="216"/>
      <c r="T1" s="216"/>
      <c r="U1" s="216"/>
      <c r="V1" s="216"/>
    </row>
    <row r="2" spans="1:41" ht="16.5" hidden="1" thickBot="1" x14ac:dyDescent="0.3">
      <c r="E2" s="52" t="str">
        <f ca="1">_xll.SUBNM(Server&amp;"z_translate_report","",F24,"")</f>
        <v>Forecast_2</v>
      </c>
      <c r="F2" s="57"/>
      <c r="G2" s="46" t="s">
        <v>52</v>
      </c>
      <c r="H2" s="97" t="str">
        <f ca="1">_xll.SUBNM(Server&amp;"Period","",$F$18,"")</f>
        <v>2021.02_YTD</v>
      </c>
      <c r="I2" s="205"/>
      <c r="J2" s="205"/>
      <c r="K2" s="205" t="str">
        <f ca="1">LEFT(H2,4)</f>
        <v>2021</v>
      </c>
      <c r="L2" s="205"/>
      <c r="M2" s="52"/>
      <c r="O2" s="52"/>
      <c r="P2" s="139" t="str">
        <f ca="1">IF($H$5=$AD$24,"BUDG_TOT",IF($H$5=$AD$25,"FC_1_TOT","FC_2_TOT"))</f>
        <v>FC_2_TOT</v>
      </c>
      <c r="Q2" s="137"/>
      <c r="R2" s="138"/>
      <c r="S2" s="213"/>
      <c r="T2" s="213"/>
      <c r="U2" s="213"/>
      <c r="V2" s="213"/>
    </row>
    <row r="3" spans="1:41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2020.02_YTD</v>
      </c>
      <c r="I3" s="205"/>
      <c r="J3" s="205"/>
      <c r="K3" s="205"/>
      <c r="L3" s="205"/>
      <c r="M3" s="52"/>
      <c r="O3" s="52"/>
      <c r="P3" s="212"/>
      <c r="Q3" s="213"/>
      <c r="R3" s="213"/>
      <c r="S3" s="213"/>
      <c r="T3" s="213"/>
      <c r="U3" s="213"/>
      <c r="V3" s="213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</row>
    <row r="4" spans="1:41" hidden="1" x14ac:dyDescent="0.2">
      <c r="C4" s="52"/>
      <c r="E4" s="52"/>
      <c r="F4" s="52"/>
      <c r="G4" s="145" t="s">
        <v>154</v>
      </c>
      <c r="H4" s="97" t="s">
        <v>133</v>
      </c>
      <c r="I4" s="59"/>
      <c r="J4" s="59"/>
      <c r="K4" s="52"/>
      <c r="L4" s="52"/>
      <c r="M4" s="52"/>
      <c r="N4" s="52"/>
      <c r="O4" s="52"/>
      <c r="P4" s="52"/>
      <c r="Q4" s="52"/>
    </row>
    <row r="5" spans="1:41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Forecast_2</v>
      </c>
      <c r="K5" s="25"/>
      <c r="L5" s="25"/>
      <c r="M5" s="25"/>
      <c r="N5" s="25"/>
      <c r="O5" s="25"/>
      <c r="P5" s="25"/>
      <c r="Q5" s="25"/>
    </row>
    <row r="6" spans="1:41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</row>
    <row r="7" spans="1:41" hidden="1" x14ac:dyDescent="0.2">
      <c r="B7" s="52"/>
      <c r="C7" s="52"/>
      <c r="D7" s="107"/>
      <c r="E7" s="25"/>
      <c r="F7" s="25"/>
      <c r="G7" s="52"/>
      <c r="H7" s="25"/>
      <c r="I7" s="52"/>
      <c r="J7" s="52"/>
      <c r="K7" s="25"/>
      <c r="L7" s="52"/>
      <c r="M7" s="52"/>
      <c r="N7" s="52"/>
      <c r="O7" s="52"/>
      <c r="P7" s="52"/>
      <c r="Q7" s="52"/>
    </row>
    <row r="8" spans="1:41" x14ac:dyDescent="0.2">
      <c r="B8" s="52"/>
      <c r="C8" s="109"/>
      <c r="D8" s="25"/>
      <c r="E8" s="25"/>
      <c r="F8" s="25"/>
      <c r="G8" s="52"/>
      <c r="H8" s="25"/>
      <c r="I8" s="52"/>
      <c r="J8" s="52"/>
      <c r="K8" s="25"/>
      <c r="L8" s="52"/>
      <c r="M8" s="52"/>
      <c r="N8" s="52"/>
      <c r="O8" s="52"/>
      <c r="P8" s="52"/>
      <c r="Q8" s="52"/>
      <c r="AG8" s="52"/>
      <c r="AH8" s="52"/>
      <c r="AI8" s="52"/>
      <c r="AJ8" s="52"/>
      <c r="AK8" s="52"/>
    </row>
    <row r="9" spans="1:41" ht="13.5" thickBot="1" x14ac:dyDescent="0.25">
      <c r="B9" s="52"/>
      <c r="C9" s="109"/>
      <c r="D9" s="25"/>
      <c r="G9" s="28"/>
      <c r="AF9" s="52"/>
      <c r="AG9" s="52"/>
      <c r="AH9" s="52"/>
      <c r="AI9" s="52"/>
      <c r="AJ9" s="52"/>
      <c r="AK9" s="52"/>
    </row>
    <row r="10" spans="1:41" ht="16.5" thickBot="1" x14ac:dyDescent="0.3">
      <c r="B10" s="52"/>
      <c r="C10" s="109"/>
      <c r="D10" s="25"/>
      <c r="E10" s="219" t="str">
        <f ca="1">_xll.DBRA(Server&amp;$AD$12,AD27,$AD$11)</f>
        <v>Compte de résultat Corporate (suivi du réalisé)</v>
      </c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AD10" s="91" t="s">
        <v>66</v>
      </c>
      <c r="AF10" s="52"/>
      <c r="AG10" s="52"/>
      <c r="AH10" s="52"/>
      <c r="AI10" s="52"/>
      <c r="AJ10" s="52"/>
      <c r="AK10" s="52"/>
    </row>
    <row r="11" spans="1:41" ht="16.5" thickBot="1" x14ac:dyDescent="0.3">
      <c r="A11" s="52"/>
      <c r="B11" s="52"/>
      <c r="C11" s="109"/>
      <c r="D11" s="25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AD11" s="92" t="str">
        <f>IF($F$16="Français","French","English")</f>
        <v>French</v>
      </c>
      <c r="AE11" s="90" t="s">
        <v>58</v>
      </c>
      <c r="AF11" s="52"/>
      <c r="AG11" s="52"/>
      <c r="AH11" s="52"/>
      <c r="AI11" s="52"/>
      <c r="AJ11" s="52"/>
      <c r="AK11" s="52"/>
    </row>
    <row r="12" spans="1:41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Q12" s="29"/>
      <c r="AD12" s="69" t="s">
        <v>29</v>
      </c>
      <c r="AE12" s="79" t="s">
        <v>0</v>
      </c>
      <c r="AF12" s="52"/>
      <c r="AG12" s="52"/>
      <c r="AH12" s="52"/>
      <c r="AI12" s="52"/>
      <c r="AJ12" s="52"/>
      <c r="AK12" s="52"/>
    </row>
    <row r="13" spans="1:41" ht="24" thickBot="1" x14ac:dyDescent="0.25">
      <c r="A13" s="52"/>
      <c r="B13" s="52"/>
      <c r="C13" s="109"/>
      <c r="D13" s="25"/>
      <c r="E13" s="191" t="str">
        <f ca="1">_xll.DBRA(Server&amp;$AD$12,AD13,$AD$11)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Q13" s="29"/>
      <c r="AD13" s="70" t="s">
        <v>25</v>
      </c>
      <c r="AE13" s="108" t="str">
        <f ca="1">_xll.DBRA(Server&amp;$AD$12,AD24,$AD$11)</f>
        <v>Budget</v>
      </c>
      <c r="AF13" s="52"/>
      <c r="AG13" s="52"/>
      <c r="AH13" s="52"/>
      <c r="AI13" s="52"/>
      <c r="AJ13" s="52"/>
      <c r="AK13" s="52"/>
    </row>
    <row r="14" spans="1:41" ht="18.75" hidden="1" outlineLevel="1" x14ac:dyDescent="0.2">
      <c r="A14" s="52"/>
      <c r="B14" s="52"/>
      <c r="C14" s="109"/>
      <c r="D14" s="25"/>
      <c r="E14" s="30" t="str">
        <f ca="1">_xll.DBRA(Server&amp;$AD$12,AD14,$AD$11)</f>
        <v>Gaap</v>
      </c>
      <c r="F14" s="60" t="str">
        <f ca="1">_xll.SUBNM(Server&amp;"GAAP","Corp_FR","Local_Gaap",$AD$11)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29"/>
      <c r="R14" s="52"/>
      <c r="W14" s="52"/>
      <c r="X14" s="52"/>
      <c r="Y14" s="52"/>
      <c r="Z14" s="52"/>
      <c r="AA14" s="52"/>
      <c r="AB14" s="52"/>
      <c r="AC14" s="52"/>
      <c r="AD14" s="72" t="s">
        <v>10</v>
      </c>
      <c r="AE14" s="109" t="str">
        <f ca="1">_xll.DBRA(Server&amp;$AD$12,AD25,$AD$11)</f>
        <v>Estimé 1</v>
      </c>
      <c r="AF14" s="52"/>
      <c r="AG14" s="52"/>
      <c r="AH14" s="52"/>
      <c r="AI14" s="52"/>
      <c r="AJ14" s="52"/>
      <c r="AK14" s="52"/>
      <c r="AL14" s="52"/>
      <c r="AM14" s="52"/>
      <c r="AN14" s="52"/>
      <c r="AO14" s="52"/>
    </row>
    <row r="15" spans="1:41" ht="18.75" hidden="1" outlineLevel="1" x14ac:dyDescent="0.2">
      <c r="A15" s="52"/>
      <c r="B15" s="52"/>
      <c r="C15" s="109"/>
      <c r="D15" s="25"/>
      <c r="E15" s="30" t="str">
        <f ca="1">_xll.DBRA(Server&amp;$AD$12,AD15,$AD$11)</f>
        <v>Taux d'intégration</v>
      </c>
      <c r="F15" s="60" t="str">
        <f ca="1">_xll.SUBNM(Server&amp;"Integration_Rate","Corp_FR","NO_APP",$AD$11)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29"/>
      <c r="R15" s="52"/>
      <c r="W15" s="52"/>
      <c r="X15" s="52"/>
      <c r="Y15" s="52"/>
      <c r="Z15" s="52"/>
      <c r="AA15" s="52"/>
      <c r="AB15" s="52"/>
      <c r="AC15" s="52"/>
      <c r="AD15" s="72" t="s">
        <v>30</v>
      </c>
      <c r="AE15" s="109" t="str">
        <f ca="1">_xll.DBRA(Server&amp;$AD$12,AD26,$AD$11)</f>
        <v>Estimé 2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</row>
    <row r="16" spans="1:41" ht="18.75" hidden="1" outlineLevel="1" x14ac:dyDescent="0.2">
      <c r="A16" s="52"/>
      <c r="B16" s="52"/>
      <c r="C16" s="109"/>
      <c r="D16" s="25"/>
      <c r="E16" s="30" t="str">
        <f ca="1">_xll.DBRA(Server&amp;$AD$12,AD16,$AD$11)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29"/>
      <c r="R16" s="52"/>
      <c r="W16" s="52"/>
      <c r="X16" s="52"/>
      <c r="Y16" s="52"/>
      <c r="Z16" s="52"/>
      <c r="AA16" s="52"/>
      <c r="AB16" s="52"/>
      <c r="AC16" s="52"/>
      <c r="AD16" s="66" t="s">
        <v>31</v>
      </c>
      <c r="AE16" s="109"/>
      <c r="AF16" s="52"/>
      <c r="AG16" s="52"/>
      <c r="AH16" s="52"/>
      <c r="AI16" s="52"/>
      <c r="AJ16" s="52"/>
      <c r="AK16" s="52"/>
      <c r="AL16" s="52"/>
      <c r="AM16" s="52"/>
      <c r="AN16" s="52"/>
      <c r="AO16" s="52"/>
    </row>
    <row r="17" spans="1:49" ht="19.5" hidden="1" outlineLevel="1" thickBot="1" x14ac:dyDescent="0.25">
      <c r="A17" s="52"/>
      <c r="B17" s="52"/>
      <c r="C17" s="109"/>
      <c r="D17" s="25"/>
      <c r="E17" s="30" t="str">
        <f ca="1">_xll.DBRA(Server&amp;$AD$12,AD17,$AD$11)</f>
        <v>Organisation légale</v>
      </c>
      <c r="F17" s="60" t="str">
        <f ca="1">_xll.SUBNM(Server&amp;"Legal_Organization_Corp","Corp_FR",_xll.DBR(Server&amp;"z_Client_Properties","Default_Legal_Organization_Corp",_xll.TM1USER(xServer)),$F$16)</f>
        <v>TRANSDEV All</v>
      </c>
      <c r="H17" s="28"/>
      <c r="I17" s="29"/>
      <c r="J17" s="29"/>
      <c r="K17" s="29"/>
      <c r="L17" s="29"/>
      <c r="M17" s="29"/>
      <c r="N17" s="29"/>
      <c r="O17" s="29"/>
      <c r="P17" s="29"/>
      <c r="Q17" s="29"/>
      <c r="R17" s="52"/>
      <c r="W17" s="52"/>
      <c r="X17" s="52"/>
      <c r="Y17" s="52"/>
      <c r="Z17" s="52"/>
      <c r="AA17" s="52"/>
      <c r="AB17" s="52"/>
      <c r="AC17" s="52"/>
      <c r="AD17" s="72" t="s">
        <v>27</v>
      </c>
      <c r="AE17" s="1"/>
      <c r="AF17" s="52"/>
      <c r="AG17" s="52"/>
      <c r="AH17" s="52"/>
      <c r="AI17" s="52"/>
      <c r="AJ17" s="52"/>
      <c r="AK17" s="52"/>
      <c r="AL17" s="52"/>
      <c r="AM17" s="52"/>
      <c r="AN17" s="52"/>
      <c r="AO17" s="52"/>
    </row>
    <row r="18" spans="1:49" ht="18.75" collapsed="1" x14ac:dyDescent="0.25">
      <c r="A18" s="25"/>
      <c r="B18" s="140" t="s">
        <v>136</v>
      </c>
      <c r="C18" s="109" t="s">
        <v>137</v>
      </c>
      <c r="D18" s="25"/>
      <c r="E18" s="71" t="str">
        <f ca="1">_xll.DBRA(Server&amp;$AD$12,AD18,$AD$11)</f>
        <v>Période</v>
      </c>
      <c r="F18" s="204" t="str">
        <f ca="1">_xll.SUBNM(Server&amp;"Period","",ActualMonthYTD,"French")</f>
        <v>Cumul Août 2021</v>
      </c>
      <c r="H18" s="28"/>
      <c r="M18" s="29"/>
      <c r="N18" s="29"/>
      <c r="O18" s="29"/>
      <c r="P18" s="29"/>
      <c r="Q18" s="29"/>
      <c r="AD18" s="64" t="s">
        <v>52</v>
      </c>
      <c r="AE18" s="109"/>
      <c r="AF18" s="52"/>
      <c r="AG18" s="52"/>
      <c r="AH18" s="52"/>
      <c r="AI18" s="52"/>
      <c r="AJ18" s="52"/>
      <c r="AK18" s="52"/>
    </row>
    <row r="19" spans="1:49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_xll.DBRA(Server&amp;$AD$12,$AD$19,$AD$11)</f>
        <v>Organisation managériale</v>
      </c>
      <c r="F19" s="61" t="str">
        <f ca="1">_xll.SUBNM(Server&amp;"Management_Organization_Corp","","VTD","Français")</f>
        <v>Transdev Group</v>
      </c>
      <c r="H19" s="28"/>
      <c r="I19" s="224" t="str">
        <f ca="1">_xll.DBRA(Server&amp;$AD$12,AD34,$AD$11)</f>
        <v>A date</v>
      </c>
      <c r="J19" s="224"/>
      <c r="K19" s="224"/>
      <c r="L19" s="224"/>
      <c r="M19" s="224"/>
      <c r="N19" s="224"/>
      <c r="O19" s="224"/>
      <c r="P19" s="224"/>
      <c r="Q19" s="224"/>
      <c r="S19" s="224" t="s">
        <v>184</v>
      </c>
      <c r="T19" s="224"/>
      <c r="U19" s="224"/>
      <c r="V19" s="224"/>
      <c r="AD19" s="72" t="s">
        <v>26</v>
      </c>
      <c r="AE19" s="109"/>
      <c r="AF19" s="52"/>
      <c r="AG19" s="80"/>
      <c r="AH19" s="52"/>
      <c r="AI19" s="52"/>
      <c r="AJ19" s="52"/>
      <c r="AK19" s="52"/>
    </row>
    <row r="20" spans="1:49" ht="18.75" x14ac:dyDescent="0.2">
      <c r="A20" s="52"/>
      <c r="B20" s="52"/>
      <c r="C20" s="109"/>
      <c r="D20" s="25"/>
      <c r="E20" s="30" t="str">
        <f ca="1">_xll.DBRA(Server&amp;$AD$12,AD20,$AD$11)</f>
        <v>Projets</v>
      </c>
      <c r="F20" s="60" t="str">
        <f ca="1">_xll.SUBNM(Server&amp;"Projets","Corp_FR","Tot_proj",$F$16)</f>
        <v>Total Projets</v>
      </c>
      <c r="H20" s="28"/>
      <c r="M20" s="29"/>
      <c r="N20" s="29"/>
      <c r="O20" s="29"/>
      <c r="P20" s="29"/>
      <c r="Q20" s="29"/>
      <c r="R20" s="52"/>
      <c r="W20" s="52"/>
      <c r="X20" s="52"/>
      <c r="Y20" s="52"/>
      <c r="Z20" s="52"/>
      <c r="AA20" s="52"/>
      <c r="AB20" s="52"/>
      <c r="AC20" s="52"/>
      <c r="AD20" s="93" t="s">
        <v>68</v>
      </c>
      <c r="AE20" s="109"/>
      <c r="AF20" s="52"/>
      <c r="AG20" s="80"/>
      <c r="AH20" s="52"/>
      <c r="AI20" s="52"/>
      <c r="AJ20" s="52"/>
      <c r="AK20" s="81"/>
      <c r="AL20" s="52"/>
      <c r="AM20" s="52"/>
      <c r="AN20" s="52"/>
      <c r="AO20" s="52"/>
    </row>
    <row r="21" spans="1:49" ht="18.75" x14ac:dyDescent="0.2">
      <c r="A21" s="52"/>
      <c r="B21" s="52"/>
      <c r="C21" s="109"/>
      <c r="D21" s="25"/>
      <c r="E21" s="30" t="str">
        <f ca="1">_xll.DBRA(Server&amp;$AD$12,AD21,$AD$11)</f>
        <v>Devise</v>
      </c>
      <c r="F21" s="60" t="str">
        <f ca="1">_xll.SUBNM(Server&amp;"Currency","Corp_FR","KEUR",$AD$11)</f>
        <v>K€</v>
      </c>
      <c r="H21" s="28"/>
      <c r="I21" s="224" t="str">
        <f ca="1">$F$18</f>
        <v>Cumul Février 2021</v>
      </c>
      <c r="J21" s="224"/>
      <c r="K21" s="224"/>
      <c r="L21" s="224"/>
      <c r="M21" s="29"/>
      <c r="N21" s="224" t="str">
        <f ca="1">_xll.DBRA(Server&amp;$AD$12,AD29,$AD$11)</f>
        <v>Variances</v>
      </c>
      <c r="O21" s="224"/>
      <c r="P21" s="224"/>
      <c r="Q21" s="224"/>
      <c r="R21" s="52"/>
      <c r="S21" s="224" t="str">
        <f ca="1">K2</f>
        <v>2021</v>
      </c>
      <c r="U21" s="224" t="s">
        <v>185</v>
      </c>
      <c r="V21" s="224"/>
      <c r="W21" s="52"/>
      <c r="X21" s="52"/>
      <c r="Y21" s="52"/>
      <c r="Z21" s="52"/>
      <c r="AA21" s="52"/>
      <c r="AB21" s="52"/>
      <c r="AC21" s="52"/>
      <c r="AD21" s="72" t="s">
        <v>9</v>
      </c>
      <c r="AE21" s="109"/>
      <c r="AF21" s="52"/>
      <c r="AG21" s="80"/>
      <c r="AH21" s="52"/>
      <c r="AI21" s="52"/>
      <c r="AJ21" s="52"/>
      <c r="AK21" s="52" t="str">
        <f>RIGHT(AH6)</f>
        <v/>
      </c>
      <c r="AL21" s="52"/>
      <c r="AM21" s="52"/>
      <c r="AN21" s="52"/>
      <c r="AO21" s="52"/>
    </row>
    <row r="22" spans="1:49" ht="27" thickBot="1" x14ac:dyDescent="0.25">
      <c r="B22" s="52"/>
      <c r="C22" s="109"/>
      <c r="D22" s="25"/>
      <c r="E22" s="1"/>
      <c r="F22" s="1"/>
      <c r="I22" s="225"/>
      <c r="J22" s="225"/>
      <c r="K22" s="225"/>
      <c r="L22" s="225"/>
      <c r="M22" s="31"/>
      <c r="N22" s="225"/>
      <c r="O22" s="225"/>
      <c r="P22" s="225"/>
      <c r="Q22" s="225"/>
      <c r="S22" s="225"/>
      <c r="U22" s="225"/>
      <c r="V22" s="225"/>
      <c r="AD22" s="1"/>
      <c r="AE22" s="109"/>
      <c r="AF22" s="52"/>
      <c r="AG22" s="80"/>
      <c r="AH22" s="52"/>
      <c r="AI22" s="52"/>
      <c r="AJ22" s="52"/>
      <c r="AK22" s="52"/>
    </row>
    <row r="23" spans="1:49" ht="25.5" customHeight="1" thickTop="1" x14ac:dyDescent="0.2">
      <c r="B23" s="52"/>
      <c r="C23" s="110"/>
      <c r="D23" s="25"/>
      <c r="E23" s="32"/>
      <c r="F23" s="32"/>
      <c r="H23" s="5"/>
      <c r="I23" s="221" t="str">
        <f ca="1">_xll.DBRA(Server&amp;$AD$12,$AD$61,$AD$11)</f>
        <v>Réalisé N-1</v>
      </c>
      <c r="J23" s="221" t="str">
        <f ca="1">_xll.DBRA(Server&amp;$G$1,$J$1,$AD$11)</f>
        <v>Budget</v>
      </c>
      <c r="K23" s="221" t="str">
        <f ca="1">_xll.DBRA(Server&amp;$G$1,$K$1,$AD$11)</f>
        <v>Estimé 2</v>
      </c>
      <c r="L23" s="221" t="str">
        <f ca="1">_xll.DBRA(Server&amp;$G$1,$L$1,$AD$11)</f>
        <v>Réalisé</v>
      </c>
      <c r="M23" s="33"/>
      <c r="N23" s="220" t="str">
        <f ca="1">$L$23&amp;" / "&amp;$K$23</f>
        <v>Réalisé / Estimé 2</v>
      </c>
      <c r="O23" s="221"/>
      <c r="P23" s="226"/>
      <c r="Q23" s="220" t="str">
        <f ca="1">$L$23&amp;" / "&amp;$I$23</f>
        <v>Réalisé / Réalisé N-1</v>
      </c>
      <c r="S23" s="228" t="str">
        <f ca="1">_xll.DBRA(Server&amp;$G$1,$K$1,$AD$11)</f>
        <v>Estimé 2</v>
      </c>
      <c r="T23" s="217"/>
      <c r="U23" s="220" t="s">
        <v>185</v>
      </c>
      <c r="V23" s="221" t="s">
        <v>186</v>
      </c>
      <c r="AD23" s="64" t="s">
        <v>0</v>
      </c>
      <c r="AE23" s="109"/>
      <c r="AF23" s="52"/>
      <c r="AG23" s="80"/>
      <c r="AH23" s="52"/>
      <c r="AI23" s="52"/>
      <c r="AJ23" s="52"/>
      <c r="AK23" s="52"/>
      <c r="AP23" s="6"/>
      <c r="AQ23" s="6"/>
      <c r="AR23" s="6"/>
      <c r="AS23" s="6"/>
      <c r="AT23" s="6"/>
      <c r="AU23" s="6"/>
      <c r="AV23" s="6"/>
      <c r="AW23" s="6"/>
    </row>
    <row r="24" spans="1:49" s="7" customFormat="1" ht="25.5" customHeight="1" thickBot="1" x14ac:dyDescent="0.25">
      <c r="A24" s="23"/>
      <c r="B24" s="52"/>
      <c r="C24" s="111"/>
      <c r="D24" s="1"/>
      <c r="E24" s="30" t="str">
        <f ca="1">_xll.DBRA(Server&amp;$AD$12,$AD$23,$AD$11)</f>
        <v>Phase</v>
      </c>
      <c r="F24" s="61" t="s">
        <v>187</v>
      </c>
      <c r="H24" s="34"/>
      <c r="I24" s="223"/>
      <c r="J24" s="223"/>
      <c r="K24" s="223"/>
      <c r="L24" s="223"/>
      <c r="M24" s="35"/>
      <c r="N24" s="222"/>
      <c r="O24" s="223"/>
      <c r="P24" s="227"/>
      <c r="Q24" s="222"/>
      <c r="R24" s="23"/>
      <c r="S24" s="229"/>
      <c r="T24" s="217"/>
      <c r="U24" s="222"/>
      <c r="V24" s="223"/>
      <c r="W24" s="23"/>
      <c r="X24" s="23"/>
      <c r="Y24" s="23"/>
      <c r="Z24" s="23"/>
      <c r="AA24" s="23"/>
      <c r="AB24" s="23"/>
      <c r="AC24" s="23"/>
      <c r="AD24" s="65" t="s">
        <v>53</v>
      </c>
      <c r="AE24" s="82"/>
      <c r="AF24" s="52"/>
      <c r="AG24" s="83"/>
      <c r="AK24" s="52"/>
      <c r="AL24" s="23"/>
      <c r="AM24" s="23"/>
      <c r="AN24" s="23"/>
      <c r="AO24" s="23"/>
    </row>
    <row r="25" spans="1:49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8"/>
      <c r="M25" s="35"/>
      <c r="N25" s="35"/>
      <c r="O25" s="35"/>
      <c r="P25" s="35"/>
      <c r="Q25" s="35"/>
      <c r="R25" s="23"/>
      <c r="S25" s="52"/>
      <c r="T25" s="52"/>
      <c r="U25" s="52"/>
      <c r="V25" s="52"/>
      <c r="W25" s="23"/>
      <c r="X25" s="23"/>
      <c r="Y25" s="23"/>
      <c r="Z25" s="23"/>
      <c r="AA25" s="23"/>
      <c r="AB25" s="23"/>
      <c r="AC25" s="23"/>
      <c r="AD25" s="65" t="s">
        <v>54</v>
      </c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</row>
    <row r="26" spans="1:49" s="9" customFormat="1" ht="24" thickBot="1" x14ac:dyDescent="0.4">
      <c r="A26" s="23"/>
      <c r="B26" s="52"/>
      <c r="C26" s="206" t="s">
        <v>175</v>
      </c>
      <c r="D26" s="1"/>
      <c r="E26" s="230" t="str">
        <f ca="1">_xll.DBRA(Server&amp;$C$25,$C26,$F$16)</f>
        <v>PRODUITS OPERATIONNELS</v>
      </c>
      <c r="F26" s="230"/>
      <c r="G26" s="230"/>
      <c r="H26" s="39"/>
      <c r="I26" s="186">
        <f ca="1">_xll.DBRW(Server&amp;Cube1,$F$21,$F$14,$F$15,$F$20,$C$18,$F$17,$F$19,$C$19,$H$3,I$1,$C26)</f>
        <v>2734.8256100000008</v>
      </c>
      <c r="J26" s="186" t="str">
        <f>_xll.DBRW(Server&amp;Cube1,$F$21,$F$14,$F$15,$F$20,$C$18,$F$17,$F$19,$C$19,$H$2,J$23,$C26)</f>
        <v/>
      </c>
      <c r="K26" s="186">
        <f ca="1">_xll.DBRW(Server&amp;Cube1,$F$21,$F$14,$F$15,$F$20,$C$18,$F$17,$F$19,$C$19,$H$2,K$23,$C26)</f>
        <v>2523.91012</v>
      </c>
      <c r="L26" s="187">
        <f ca="1">_xll.DBRW(Server&amp;Cube1,$F$21,$F$14,$F$15,$F$20,$C$18,$F$17,$F$19,$C$19,$H$2,L$1,$C26)</f>
        <v>2537.3414800000005</v>
      </c>
      <c r="M26" s="188"/>
      <c r="N26" s="185">
        <f t="shared" ref="N26:N31" ca="1" si="0">L26-K26</f>
        <v>13.431360000000495</v>
      </c>
      <c r="O26" s="189">
        <f t="shared" ref="O26:O31" ca="1" si="1">IF(K26=0,0,IF(K26&lt;0,N26/-K26,N26/K26))</f>
        <v>5.3216475077965519E-3</v>
      </c>
      <c r="P26" s="202" t="str">
        <f t="shared" ref="P26:P31" ca="1" si="2">IF(O26&gt;0.01,$AF$27,IF(O26&lt;-0.01,$AG$27,$AH$27))</f>
        <v>è</v>
      </c>
      <c r="Q26" s="185">
        <f t="shared" ref="Q26:Q31" ca="1" si="3">L26-I26</f>
        <v>-197.48413000000028</v>
      </c>
      <c r="R26" s="23"/>
      <c r="S26" s="185">
        <f ca="1">_xll.DBRW(Server&amp;Cube1,$F$21,$F$14,$F$15,$F$20,$C$18,$F$17,$F$19,$C$19,$K$2,K$1,$C26)</f>
        <v>16160.405322746114</v>
      </c>
      <c r="T26" s="52"/>
      <c r="U26" s="185">
        <f ca="1">S26-L26</f>
        <v>13623.063842746113</v>
      </c>
      <c r="V26" s="189">
        <f ca="1">IF(S26=0,0,U26/S26)</f>
        <v>0.84299023265037554</v>
      </c>
      <c r="W26" s="23"/>
      <c r="X26" s="23"/>
      <c r="Y26" s="23"/>
      <c r="Z26" s="23"/>
      <c r="AA26" s="23"/>
      <c r="AB26" s="23"/>
      <c r="AC26" s="23"/>
      <c r="AD26" s="65" t="s">
        <v>55</v>
      </c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</row>
    <row r="27" spans="1:49" s="9" customFormat="1" ht="24" thickBot="1" x14ac:dyDescent="0.4">
      <c r="A27" s="23"/>
      <c r="B27" s="52"/>
      <c r="C27" s="114" t="s">
        <v>181</v>
      </c>
      <c r="D27" s="1"/>
      <c r="E27" s="231" t="str">
        <f ca="1">_xll.DBRA(Server&amp;$C$25,$C27,$F$16)</f>
        <v>Ventes de services</v>
      </c>
      <c r="F27" s="231"/>
      <c r="G27" s="231"/>
      <c r="H27" s="39"/>
      <c r="I27" s="172">
        <f ca="1">_xll.DBRW(Server&amp;Cube1,$F$21,$F$14,$F$15,$F$20,$C$18,$F$17,$F$19,$C$19,$H$3,I$1,$C27)</f>
        <v>-2.5997500000000002</v>
      </c>
      <c r="J27" s="172" t="str">
        <f>_xll.DBRW(Server&amp;Cube1,$F$21,$F$14,$F$15,$F$20,$C$18,$F$17,$F$19,$C$19,$H$2,J$1,$C27)</f>
        <v/>
      </c>
      <c r="K27" s="172">
        <f ca="1">_xll.DBRW(Server&amp;Cube1,$F$21,$F$14,$F$15,$F$20,$C$18,$F$17,$F$19,$C$19,$H$2,K$1,$C27)</f>
        <v>3.1E-4</v>
      </c>
      <c r="L27" s="173">
        <f ca="1">_xll.DBRW(Server&amp;Cube1,$F$21,$F$14,$F$15,$F$20,$C$18,$F$17,$F$19,$C$19,$H$2,L$1,$C27)</f>
        <v>3.1E-4</v>
      </c>
      <c r="M27" s="150"/>
      <c r="N27" s="177">
        <f t="shared" ca="1" si="0"/>
        <v>0</v>
      </c>
      <c r="O27" s="162">
        <f t="shared" ca="1" si="1"/>
        <v>0</v>
      </c>
      <c r="P27" s="180" t="str">
        <f t="shared" ca="1" si="2"/>
        <v>è</v>
      </c>
      <c r="Q27" s="177">
        <f t="shared" ca="1" si="3"/>
        <v>2.60006</v>
      </c>
      <c r="R27" s="23"/>
      <c r="S27" s="177">
        <f ca="1">_xll.DBRW(Server&amp;Cube1,$F$21,$F$14,$F$15,$F$20,$C$18,$F$17,$F$19,$C$19,$K$2,K$1,$C27)</f>
        <v>43.991030000000002</v>
      </c>
      <c r="T27" s="52"/>
      <c r="U27" s="177">
        <f t="shared" ref="U27:U28" ca="1" si="4">S27-L27</f>
        <v>43.990720000000003</v>
      </c>
      <c r="V27" s="162">
        <f t="shared" ref="V27:V28" ca="1" si="5">IF(S27=0,0,U27/S27)</f>
        <v>0.99999295310884972</v>
      </c>
      <c r="W27" s="23"/>
      <c r="X27" s="23"/>
      <c r="Y27" s="23"/>
      <c r="Z27" s="23"/>
      <c r="AA27" s="23"/>
      <c r="AB27" s="23"/>
      <c r="AC27" s="23"/>
      <c r="AD27" s="64" t="s">
        <v>139</v>
      </c>
      <c r="AE27" s="23"/>
      <c r="AF27" s="84" t="s">
        <v>60</v>
      </c>
      <c r="AG27" s="84" t="s">
        <v>61</v>
      </c>
      <c r="AH27" s="84" t="s">
        <v>62</v>
      </c>
      <c r="AI27" s="23"/>
      <c r="AJ27" s="23"/>
      <c r="AK27" s="23"/>
      <c r="AL27" s="23"/>
      <c r="AM27" s="23"/>
      <c r="AN27" s="23"/>
      <c r="AO27" s="23"/>
    </row>
    <row r="28" spans="1:49" s="9" customFormat="1" ht="24" thickBot="1" x14ac:dyDescent="0.4">
      <c r="A28" s="52"/>
      <c r="B28" s="52"/>
      <c r="C28" s="114" t="s">
        <v>182</v>
      </c>
      <c r="D28" s="1"/>
      <c r="E28" s="231" t="str">
        <f ca="1">_xll.DBRA(Server&amp;$C$25,$C28,$F$16)</f>
        <v>Subventions d'exploitation</v>
      </c>
      <c r="F28" s="231"/>
      <c r="G28" s="231"/>
      <c r="H28" s="39"/>
      <c r="I28" s="172">
        <f ca="1">_xll.DBRW(Server&amp;Cube1,$F$21,$F$14,$F$15,$F$20,$C$18,$F$17,$F$19,$C$19,$H$3,I$1,$C28)</f>
        <v>0</v>
      </c>
      <c r="J28" s="172" t="str">
        <f>_xll.DBRW(Server&amp;Cube1,$F$21,$F$14,$F$15,$F$20,$C$18,$F$17,$F$19,$C$19,$H$2,J$1,$C28)</f>
        <v/>
      </c>
      <c r="K28" s="172">
        <f ca="1">_xll.DBRW(Server&amp;Cube1,$F$21,$F$14,$F$15,$F$20,$C$18,$F$17,$F$19,$C$19,$H$2,K$1,$C28)</f>
        <v>0</v>
      </c>
      <c r="L28" s="173">
        <f ca="1">_xll.DBRW(Server&amp;Cube1,$F$21,$F$14,$F$15,$F$20,$C$18,$F$17,$F$19,$C$19,$H$2,L$1,$C28)</f>
        <v>0</v>
      </c>
      <c r="M28" s="150"/>
      <c r="N28" s="177">
        <f t="shared" ca="1" si="0"/>
        <v>0</v>
      </c>
      <c r="O28" s="162">
        <f t="shared" ca="1" si="1"/>
        <v>0</v>
      </c>
      <c r="P28" s="180" t="str">
        <f t="shared" ca="1" si="2"/>
        <v>è</v>
      </c>
      <c r="Q28" s="177">
        <f t="shared" ca="1" si="3"/>
        <v>0</v>
      </c>
      <c r="R28" s="52"/>
      <c r="S28" s="177">
        <f ca="1">_xll.DBRW(Server&amp;Cube1,$F$21,$F$14,$F$15,$F$20,$C$18,$F$17,$F$19,$C$19,$K$2,K$1,$C28)</f>
        <v>525</v>
      </c>
      <c r="T28" s="52"/>
      <c r="U28" s="177">
        <f t="shared" ca="1" si="4"/>
        <v>525</v>
      </c>
      <c r="V28" s="162">
        <f t="shared" ca="1" si="5"/>
        <v>1</v>
      </c>
      <c r="W28" s="52"/>
      <c r="X28" s="52"/>
      <c r="Y28" s="52"/>
      <c r="Z28" s="52"/>
      <c r="AA28" s="52"/>
      <c r="AB28" s="52"/>
      <c r="AC28" s="52"/>
      <c r="AD28" s="66"/>
      <c r="AE28" s="52"/>
      <c r="AF28" s="214"/>
      <c r="AG28" s="214"/>
      <c r="AH28" s="214"/>
      <c r="AI28" s="52"/>
      <c r="AJ28" s="52"/>
      <c r="AK28" s="52"/>
      <c r="AL28" s="52"/>
      <c r="AM28" s="52"/>
      <c r="AN28" s="52"/>
      <c r="AO28" s="52"/>
    </row>
    <row r="29" spans="1:49" s="9" customFormat="1" ht="24" thickBot="1" x14ac:dyDescent="0.4">
      <c r="A29" s="23"/>
      <c r="B29" s="52"/>
      <c r="C29" s="113" t="s">
        <v>170</v>
      </c>
      <c r="D29" s="1"/>
      <c r="E29" s="231" t="str">
        <f ca="1">_xll.DBRA(Server&amp;$C$25,$C29,$F$16)</f>
        <v>Facturation PMAD</v>
      </c>
      <c r="F29" s="231"/>
      <c r="G29" s="231"/>
      <c r="H29" s="39"/>
      <c r="I29" s="172">
        <f ca="1">_xll.DBRW(Server&amp;Cube1,$F$21,$F$14,$F$15,$F$20,$C$18,$F$17,$F$19,$C$19,$H$3,I$1,$C29)</f>
        <v>1041.54494</v>
      </c>
      <c r="J29" s="172" t="str">
        <f>_xll.DBRW(Server&amp;Cube1,$F$21,$F$14,$F$15,$F$20,$C$18,$F$17,$F$19,$C$19,$H$2,J$1,$C29)</f>
        <v/>
      </c>
      <c r="K29" s="172">
        <f ca="1">_xll.DBRW(Server&amp;Cube1,$F$21,$F$14,$F$15,$F$20,$C$18,$F$17,$F$19,$C$19,$H$2,K$1,$C29)</f>
        <v>1210.9970000000001</v>
      </c>
      <c r="L29" s="173">
        <f ca="1">_xll.DBRW(Server&amp;Cube1,$F$21,$F$14,$F$15,$F$20,$C$18,$F$17,$F$19,$C$19,$H$2,L$1,$C29)</f>
        <v>1204.1559999999999</v>
      </c>
      <c r="M29" s="150"/>
      <c r="N29" s="177">
        <f t="shared" ca="1" si="0"/>
        <v>-6.8410000000001219</v>
      </c>
      <c r="O29" s="162">
        <f t="shared" ca="1" si="1"/>
        <v>-5.6490643659729313E-3</v>
      </c>
      <c r="P29" s="180" t="str">
        <f t="shared" ca="1" si="2"/>
        <v>è</v>
      </c>
      <c r="Q29" s="177">
        <f t="shared" ca="1" si="3"/>
        <v>162.61105999999995</v>
      </c>
      <c r="R29" s="23"/>
      <c r="S29" s="177">
        <f ca="1">_xll.DBRW(Server&amp;Cube1,$F$21,$F$14,$F$15,$F$20,$C$18,$F$17,$F$19,$C$19,$K$2,K$1,$C29)</f>
        <v>6047.5688027461119</v>
      </c>
      <c r="T29" s="52"/>
      <c r="U29" s="177">
        <f ca="1">S29-L29</f>
        <v>4843.412802746112</v>
      </c>
      <c r="V29" s="162">
        <f ca="1">IF(S29=0,0,U29/S29)</f>
        <v>0.80088593627025617</v>
      </c>
      <c r="W29" s="23"/>
      <c r="X29" s="23"/>
      <c r="Y29" s="23"/>
      <c r="Z29" s="23"/>
      <c r="AA29" s="23"/>
      <c r="AB29" s="23"/>
      <c r="AC29" s="23"/>
      <c r="AD29" s="67" t="s">
        <v>28</v>
      </c>
      <c r="AE29" s="23"/>
      <c r="AF29" s="237" t="s">
        <v>59</v>
      </c>
      <c r="AG29" s="238"/>
      <c r="AH29" s="239"/>
      <c r="AI29" s="23"/>
      <c r="AJ29" s="23"/>
      <c r="AK29" s="23"/>
      <c r="AL29" s="23"/>
      <c r="AM29" s="23"/>
      <c r="AN29" s="23"/>
      <c r="AO29" s="23"/>
    </row>
    <row r="30" spans="1:49" s="9" customFormat="1" ht="24" thickBot="1" x14ac:dyDescent="0.4">
      <c r="A30" s="52"/>
      <c r="B30" s="52"/>
      <c r="C30" s="113" t="s">
        <v>171</v>
      </c>
      <c r="D30" s="1"/>
      <c r="E30" s="231" t="str">
        <f ca="1">_xll.DBRA(Server&amp;$C$25,$C30,$F$16)</f>
        <v>Prestations de service intra-groupe (hors PMAD)</v>
      </c>
      <c r="F30" s="231"/>
      <c r="G30" s="231"/>
      <c r="H30" s="39"/>
      <c r="I30" s="172">
        <f ca="1">_xll.DBRW(Server&amp;Cube1,$F$21,$F$14,$F$15,$F$20,$C$18,$F$17,$F$19,$C$19,$H$3,I$1,$C30)</f>
        <v>957.83841999999993</v>
      </c>
      <c r="J30" s="172" t="str">
        <f>_xll.DBRW(Server&amp;Cube1,$F$21,$F$14,$F$15,$F$20,$C$18,$F$17,$F$19,$C$19,$H$2,J$1,$C30)</f>
        <v/>
      </c>
      <c r="K30" s="172">
        <f ca="1">_xll.DBRW(Server&amp;Cube1,$F$21,$F$14,$F$15,$F$20,$C$18,$F$17,$F$19,$C$19,$H$2,K$1,$C30)</f>
        <v>562.02881000000002</v>
      </c>
      <c r="L30" s="173">
        <f ca="1">_xll.DBRW(Server&amp;Cube1,$F$21,$F$14,$F$15,$F$20,$C$18,$F$17,$F$19,$C$19,$H$2,L$1,$C30)</f>
        <v>582.30116999999996</v>
      </c>
      <c r="M30" s="149"/>
      <c r="N30" s="177">
        <f t="shared" ca="1" si="0"/>
        <v>20.272359999999935</v>
      </c>
      <c r="O30" s="162">
        <f t="shared" ca="1" si="1"/>
        <v>3.6069965879507018E-2</v>
      </c>
      <c r="P30" s="180" t="str">
        <f t="shared" ca="1" si="2"/>
        <v>ì</v>
      </c>
      <c r="Q30" s="177">
        <f t="shared" ca="1" si="3"/>
        <v>-375.53724999999997</v>
      </c>
      <c r="R30" s="52"/>
      <c r="S30" s="177">
        <f ca="1">_xll.DBRW(Server&amp;Cube1,$F$21,$F$14,$F$15,$F$20,$C$18,$F$17,$F$19,$C$19,$K$2,K$1,$C30)</f>
        <v>5195.55249</v>
      </c>
      <c r="T30" s="52"/>
      <c r="U30" s="177">
        <f ca="1">S30-L30</f>
        <v>4613.2513200000003</v>
      </c>
      <c r="V30" s="162">
        <f ca="1">IF(S30=0,0,U30/S30)</f>
        <v>0.88792314751496237</v>
      </c>
      <c r="W30" s="52"/>
      <c r="X30" s="52"/>
      <c r="Y30" s="52"/>
      <c r="Z30" s="52"/>
      <c r="AA30" s="52"/>
      <c r="AB30" s="52"/>
      <c r="AC30" s="52"/>
      <c r="AD30" s="74" t="s">
        <v>50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</row>
    <row r="31" spans="1:49" s="9" customFormat="1" ht="24" thickBot="1" x14ac:dyDescent="0.4">
      <c r="A31" s="52"/>
      <c r="B31" s="52"/>
      <c r="C31" s="114" t="s">
        <v>180</v>
      </c>
      <c r="D31" s="1"/>
      <c r="E31" s="231" t="str">
        <f ca="1">_xll.DBRA(Server&amp;$C$25,$C31,$F$16)</f>
        <v>Refacturation des charges de loyer</v>
      </c>
      <c r="F31" s="231"/>
      <c r="G31" s="231"/>
      <c r="H31" s="39"/>
      <c r="I31" s="172">
        <f ca="1">_xll.DBRW(Server&amp;Cube1,$F$21,$F$14,$F$15,$F$20,$C$18,$F$17,$F$19,$C$19,$H$3,I$1,$C31)</f>
        <v>738.04200000000003</v>
      </c>
      <c r="J31" s="172" t="str">
        <f>_xll.DBRW(Server&amp;Cube1,$F$21,$F$14,$F$15,$F$20,$C$18,$F$17,$F$19,$C$19,$H$2,J$1,$C31)</f>
        <v/>
      </c>
      <c r="K31" s="172">
        <f ca="1">_xll.DBRW(Server&amp;Cube1,$F$21,$F$14,$F$15,$F$20,$C$18,$F$17,$F$19,$C$19,$H$2,K$1,$C31)</f>
        <v>750.88400000000001</v>
      </c>
      <c r="L31" s="173">
        <f ca="1">_xll.DBRW(Server&amp;Cube1,$F$21,$F$14,$F$15,$F$20,$C$18,$F$17,$F$19,$C$19,$H$2,L$1,$C31)</f>
        <v>750.88400000000001</v>
      </c>
      <c r="M31" s="150"/>
      <c r="N31" s="177">
        <f t="shared" ca="1" si="0"/>
        <v>0</v>
      </c>
      <c r="O31" s="162">
        <f t="shared" ca="1" si="1"/>
        <v>0</v>
      </c>
      <c r="P31" s="180" t="str">
        <f t="shared" ca="1" si="2"/>
        <v>è</v>
      </c>
      <c r="Q31" s="177">
        <f t="shared" ca="1" si="3"/>
        <v>12.841999999999985</v>
      </c>
      <c r="R31" s="52"/>
      <c r="S31" s="177">
        <f ca="1">_xll.DBRW(Server&amp;Cube1,$F$21,$F$14,$F$15,$F$20,$C$18,$F$17,$F$19,$C$19,$K$2,K$1,$C31)</f>
        <v>4348.2929999999997</v>
      </c>
      <c r="T31" s="52"/>
      <c r="U31" s="177">
        <f ca="1">S31-L31</f>
        <v>3597.4089999999997</v>
      </c>
      <c r="V31" s="162">
        <f ca="1">IF(S31=0,0,U31/S31)</f>
        <v>0.8273152246180282</v>
      </c>
      <c r="W31" s="52"/>
      <c r="X31" s="52"/>
      <c r="Y31" s="52"/>
      <c r="Z31" s="52"/>
      <c r="AA31" s="52"/>
      <c r="AB31" s="52"/>
      <c r="AC31" s="52"/>
      <c r="AD31" s="64" t="s">
        <v>139</v>
      </c>
      <c r="AE31" s="52"/>
      <c r="AF31" s="84" t="s">
        <v>60</v>
      </c>
      <c r="AG31" s="84" t="s">
        <v>61</v>
      </c>
      <c r="AH31" s="84" t="s">
        <v>62</v>
      </c>
      <c r="AI31" s="52"/>
      <c r="AJ31" s="52"/>
      <c r="AK31" s="52"/>
      <c r="AL31" s="52"/>
      <c r="AM31" s="52"/>
      <c r="AN31" s="52"/>
      <c r="AO31" s="52"/>
    </row>
    <row r="32" spans="1:49" s="9" customFormat="1" ht="24" thickBot="1" x14ac:dyDescent="0.4">
      <c r="A32" s="23"/>
      <c r="B32" s="52"/>
      <c r="C32" s="115"/>
      <c r="D32" s="99"/>
      <c r="E32" s="233"/>
      <c r="F32" s="233"/>
      <c r="G32" s="233"/>
      <c r="H32" s="100"/>
      <c r="I32" s="151"/>
      <c r="J32" s="151"/>
      <c r="K32" s="151"/>
      <c r="L32" s="151"/>
      <c r="M32" s="151"/>
      <c r="N32" s="122"/>
      <c r="O32" s="163"/>
      <c r="P32" s="181"/>
      <c r="Q32" s="152"/>
      <c r="R32" s="23"/>
      <c r="S32" s="152"/>
      <c r="T32" s="52"/>
      <c r="U32" s="122"/>
      <c r="V32" s="163"/>
      <c r="W32" s="23"/>
      <c r="X32" s="23"/>
      <c r="Y32" s="23"/>
      <c r="Z32" s="23"/>
      <c r="AA32" s="23"/>
      <c r="AB32" s="23"/>
      <c r="AC32" s="23"/>
      <c r="AD32" s="67" t="s">
        <v>49</v>
      </c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</row>
    <row r="33" spans="1:41" s="9" customFormat="1" ht="23.25" x14ac:dyDescent="0.35">
      <c r="A33" s="23"/>
      <c r="B33" s="52"/>
      <c r="C33" s="113" t="s">
        <v>83</v>
      </c>
      <c r="E33" s="230" t="str">
        <f ca="1">_xll.DBRA(Server&amp;$C$25,$C33,$F$16)</f>
        <v>CHARGES OPERATIONNELLES</v>
      </c>
      <c r="F33" s="230"/>
      <c r="G33" s="230"/>
      <c r="H33" s="39"/>
      <c r="I33" s="186">
        <f ca="1">_xll.DBRW(Server&amp;Cube1,$F$21,$F$14,$F$15,$F$20,$C$18,$F$17,$F$19,$C$19,$H$3,I$1,$C33)</f>
        <v>-15071.937790000004</v>
      </c>
      <c r="J33" s="186" t="str">
        <f>_xll.DBRW(Server&amp;Cube1,$F$21,$F$14,$F$15,$F$20,$C$18,$F$17,$F$19,$C$19,$H$2,J$1,$C33)</f>
        <v/>
      </c>
      <c r="K33" s="186">
        <f ca="1">_xll.DBRW(Server&amp;Cube1,$F$21,$F$14,$F$15,$F$20,$C$18,$F$17,$F$19,$C$19,$H$2,K$1,$C33)</f>
        <v>-13517.096640000003</v>
      </c>
      <c r="L33" s="187">
        <f ca="1">_xll.DBRW(Server&amp;Cube1,$F$21,$F$14,$F$15,$F$20,$C$18,$F$17,$F$19,$C$19,$H$2,L$1,$C33)</f>
        <v>-13784.609890000005</v>
      </c>
      <c r="M33" s="188">
        <f t="shared" ref="M33" si="6">+M34+M51+M55+M58</f>
        <v>0</v>
      </c>
      <c r="N33" s="185">
        <f t="shared" ref="N33:N64" ca="1" si="7">L33-K33</f>
        <v>-267.51325000000179</v>
      </c>
      <c r="O33" s="189">
        <f t="shared" ref="O33:O64" ca="1" si="8">IF(K33=0,0,IF(K33&lt;0,N33/-K33,N33/K33))</f>
        <v>-1.9790732960240323E-2</v>
      </c>
      <c r="P33" s="202" t="str">
        <f t="shared" ref="P33:P61" ca="1" si="9">IF(O33&gt;0.01,$AF$27,IF(O33&lt;-0.01,$AG$27,$AH$27))</f>
        <v>î</v>
      </c>
      <c r="Q33" s="185">
        <f t="shared" ref="Q33:Q64" ca="1" si="10">L33-I33</f>
        <v>1287.3278999999984</v>
      </c>
      <c r="R33" s="23"/>
      <c r="S33" s="185">
        <f ca="1">_xll.DBRW(Server&amp;Cube1,$F$21,$F$14,$F$15,$F$20,$C$18,$F$17,$F$19,$C$19,$K$2,K$1,$C33)</f>
        <v>-88307.029426052963</v>
      </c>
      <c r="T33" s="52"/>
      <c r="U33" s="185">
        <f t="shared" ref="U33:U90" ca="1" si="11">S33-L33</f>
        <v>-74522.419536052956</v>
      </c>
      <c r="V33" s="189">
        <f t="shared" ref="V33" ca="1" si="12">IF(S33=0,0,U33/S33)</f>
        <v>0.843901329491068</v>
      </c>
      <c r="W33" s="23"/>
      <c r="X33" s="23"/>
      <c r="Y33" s="23"/>
      <c r="Z33" s="23"/>
      <c r="AA33" s="23"/>
      <c r="AB33" s="23"/>
      <c r="AC33" s="23"/>
      <c r="AD33" s="75" t="s">
        <v>69</v>
      </c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</row>
    <row r="34" spans="1:41" s="9" customFormat="1" ht="24" thickBot="1" x14ac:dyDescent="0.4">
      <c r="A34" s="23"/>
      <c r="B34" s="52"/>
      <c r="C34" s="113" t="s">
        <v>84</v>
      </c>
      <c r="E34" s="234" t="str">
        <f ca="1">_xll.DBRA(Server&amp;$C$25,$C34,$F$16)</f>
        <v>Coûts externes</v>
      </c>
      <c r="F34" s="234"/>
      <c r="G34" s="234"/>
      <c r="H34" s="190"/>
      <c r="I34" s="192">
        <f ca="1">_xll.DBRW(Server&amp;Cube1,$F$21,$F$14,$F$15,$F$20,$C$18,$F$17,$F$19,$C$19,$H$3,I$1,$C34)</f>
        <v>-4163.03971</v>
      </c>
      <c r="J34" s="192" t="str">
        <f>_xll.DBRW(Server&amp;Cube1,$F$21,$F$14,$F$15,$F$20,$C$18,$F$17,$F$19,$C$19,$H$2,J$1,$C34)</f>
        <v/>
      </c>
      <c r="K34" s="192">
        <f ca="1">_xll.DBRW(Server&amp;Cube1,$F$21,$F$14,$F$15,$F$20,$C$18,$F$17,$F$19,$C$19,$H$2,K$1,$C34)</f>
        <v>-3823.2039800000011</v>
      </c>
      <c r="L34" s="192">
        <f ca="1">_xll.DBRW(Server&amp;Cube1,$F$21,$F$14,$F$15,$F$20,$C$18,$F$17,$F$19,$C$19,$H$2,L$1,$C34)</f>
        <v>-4052.9516800000001</v>
      </c>
      <c r="M34" s="193"/>
      <c r="N34" s="194">
        <f t="shared" ca="1" si="7"/>
        <v>-229.74769999999899</v>
      </c>
      <c r="O34" s="195">
        <f t="shared" ca="1" si="8"/>
        <v>-6.0092974688731864E-2</v>
      </c>
      <c r="P34" s="196" t="str">
        <f t="shared" ca="1" si="9"/>
        <v>î</v>
      </c>
      <c r="Q34" s="194">
        <f t="shared" ca="1" si="10"/>
        <v>110.08802999999989</v>
      </c>
      <c r="R34" s="23"/>
      <c r="S34" s="194">
        <f ca="1">_xll.DBRW(Server&amp;Cube1,$F$21,$F$14,$F$15,$F$20,$C$18,$F$17,$F$19,$C$19,$K$2,K$1,$C34)</f>
        <v>-31805.083950000018</v>
      </c>
      <c r="T34" s="52"/>
      <c r="U34" s="194">
        <f t="shared" ca="1" si="11"/>
        <v>-27752.132270000016</v>
      </c>
      <c r="V34" s="195">
        <f ca="1">IF(S34=0,0,U34/S34)</f>
        <v>0.87256906202883955</v>
      </c>
      <c r="W34" s="23"/>
      <c r="X34" s="23"/>
      <c r="Y34" s="23"/>
      <c r="Z34" s="23"/>
      <c r="AA34" s="23"/>
      <c r="AB34" s="23"/>
      <c r="AC34" s="23"/>
      <c r="AD34" s="75" t="s">
        <v>70</v>
      </c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</row>
    <row r="35" spans="1:41" s="9" customFormat="1" ht="24" thickBot="1" x14ac:dyDescent="0.4">
      <c r="A35" s="23"/>
      <c r="B35" s="52"/>
      <c r="C35" s="113" t="s">
        <v>85</v>
      </c>
      <c r="E35" s="232" t="str">
        <f ca="1">_xll.DBRA(Server&amp;$C$25,$C35,$F$16)</f>
        <v>Coûts admin. et informatique</v>
      </c>
      <c r="F35" s="232"/>
      <c r="G35" s="232"/>
      <c r="H35" s="39"/>
      <c r="I35" s="174">
        <f ca="1">_xll.DBRW(Server&amp;Cube1,$F$21,$F$14,$F$15,$F$20,$C$18,$F$17,$F$19,$C$19,$H$3,I$1,$C35)</f>
        <v>-222.79170000000002</v>
      </c>
      <c r="J35" s="174" t="str">
        <f>_xll.DBRW(Server&amp;Cube1,$F$21,$F$14,$F$15,$F$20,$C$18,$F$17,$F$19,$C$19,$H$2,J$1,$C35)</f>
        <v/>
      </c>
      <c r="K35" s="174">
        <f ca="1">_xll.DBRW(Server&amp;Cube1,$F$21,$F$14,$F$15,$F$20,$C$18,$F$17,$F$19,$C$19,$H$2,K$1,$C35)</f>
        <v>-139.70982000000004</v>
      </c>
      <c r="L35" s="173">
        <f ca="1">_xll.DBRW(Server&amp;Cube1,$F$21,$F$14,$F$15,$F$20,$C$18,$F$17,$F$19,$C$19,$H$2,L$1,$C35)</f>
        <v>-143.22970000000001</v>
      </c>
      <c r="M35" s="149"/>
      <c r="N35" s="178">
        <f t="shared" ca="1" si="7"/>
        <v>-3.5198799999999721</v>
      </c>
      <c r="O35" s="164">
        <f t="shared" ca="1" si="8"/>
        <v>-2.5194220420582971E-2</v>
      </c>
      <c r="P35" s="180" t="str">
        <f t="shared" ca="1" si="9"/>
        <v>î</v>
      </c>
      <c r="Q35" s="178">
        <f t="shared" ca="1" si="10"/>
        <v>79.562000000000012</v>
      </c>
      <c r="R35" s="23"/>
      <c r="S35" s="178">
        <f ca="1">_xll.DBRW(Server&amp;Cube1,$F$21,$F$14,$F$15,$F$20,$C$18,$F$17,$F$19,$C$19,$K$2,K$1,$C35)</f>
        <v>-652.97418999999979</v>
      </c>
      <c r="T35" s="52"/>
      <c r="U35" s="178">
        <f t="shared" ca="1" si="11"/>
        <v>-509.74448999999981</v>
      </c>
      <c r="V35" s="164">
        <f t="shared" ref="V35:V81" ca="1" si="13">IF(S35=0,0,U35/S35)</f>
        <v>0.78065028879625387</v>
      </c>
      <c r="W35" s="23"/>
      <c r="X35" s="23"/>
      <c r="Y35" s="23"/>
      <c r="Z35" s="23"/>
      <c r="AA35" s="23"/>
      <c r="AB35" s="23"/>
      <c r="AC35" s="23"/>
      <c r="AD35" s="98" t="s">
        <v>79</v>
      </c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</row>
    <row r="36" spans="1:41" s="9" customFormat="1" ht="24" hidden="1" outlineLevel="1" thickBot="1" x14ac:dyDescent="0.4">
      <c r="A36" s="23"/>
      <c r="B36" s="52"/>
      <c r="C36" s="114" t="s">
        <v>90</v>
      </c>
      <c r="E36" s="240" t="str">
        <f ca="1">_xll.DBRA(Server&amp;$C$25,$C36,$F$16)</f>
        <v>Documentation</v>
      </c>
      <c r="F36" s="240"/>
      <c r="G36" s="240"/>
      <c r="H36" s="39"/>
      <c r="I36" s="175">
        <f ca="1">_xll.DBRW(Server&amp;Cube1,$F$21,$F$14,$F$15,$F$20,$C$18,$F$17,$F$19,$C$19,$H$3,I$1,$C36)</f>
        <v>-25.712809999999998</v>
      </c>
      <c r="J36" s="175" t="str">
        <f>_xll.DBRW(Server&amp;Cube1,$F$21,$F$14,$F$15,$F$20,$C$18,$F$17,$F$19,$C$19,$H$2,J$1,$C36)</f>
        <v/>
      </c>
      <c r="K36" s="175">
        <f ca="1">_xll.DBRW(Server&amp;Cube1,$F$21,$F$14,$F$15,$F$20,$C$18,$F$17,$F$19,$C$19,$H$2,K$1,$C36)</f>
        <v>-14.618040000000001</v>
      </c>
      <c r="L36" s="173">
        <f ca="1">_xll.DBRW(Server&amp;Cube1,$F$21,$F$14,$F$15,$F$20,$C$18,$F$17,$F$19,$C$19,$H$2,L$1,$C36)</f>
        <v>-14.618039999999997</v>
      </c>
      <c r="M36" s="149"/>
      <c r="N36" s="179">
        <f t="shared" ca="1" si="7"/>
        <v>0</v>
      </c>
      <c r="O36" s="165">
        <f t="shared" ca="1" si="8"/>
        <v>0</v>
      </c>
      <c r="P36" s="180" t="str">
        <f t="shared" ca="1" si="9"/>
        <v>è</v>
      </c>
      <c r="Q36" s="179">
        <f t="shared" ca="1" si="10"/>
        <v>11.09477</v>
      </c>
      <c r="R36" s="23"/>
      <c r="S36" s="179">
        <f ca="1">_xll.DBRW(Server&amp;Cube1,$F$21,$F$14,$F$15,$F$20,$C$18,$F$17,$F$19,$C$19,$K$2,K$1,$C36)</f>
        <v>-28.094759999999994</v>
      </c>
      <c r="T36" s="52"/>
      <c r="U36" s="179">
        <f t="shared" ca="1" si="11"/>
        <v>-13.476719999999997</v>
      </c>
      <c r="V36" s="165">
        <f t="shared" ca="1" si="13"/>
        <v>0.47968802723354814</v>
      </c>
      <c r="W36" s="23"/>
      <c r="X36" s="23"/>
      <c r="Y36" s="23"/>
      <c r="Z36" s="23"/>
      <c r="AA36" s="23"/>
      <c r="AB36" s="23"/>
      <c r="AC36" s="23"/>
      <c r="AD36" s="75" t="s">
        <v>80</v>
      </c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</row>
    <row r="37" spans="1:41" s="9" customFormat="1" ht="24" hidden="1" outlineLevel="1" thickBot="1" x14ac:dyDescent="0.4">
      <c r="A37" s="23"/>
      <c r="B37" s="52"/>
      <c r="C37" s="114" t="s">
        <v>87</v>
      </c>
      <c r="E37" s="240" t="str">
        <f ca="1">_xll.DBRA(Server&amp;$C$25,$C37,$F$16)</f>
        <v>Fournitures de bureau et autres consommables</v>
      </c>
      <c r="F37" s="240"/>
      <c r="G37" s="240"/>
      <c r="H37" s="39"/>
      <c r="I37" s="175">
        <f ca="1">_xll.DBRW(Server&amp;Cube1,$F$21,$F$14,$F$15,$F$20,$C$18,$F$17,$F$19,$C$19,$H$3,I$1,$C37)</f>
        <v>-51.334900000000005</v>
      </c>
      <c r="J37" s="175" t="str">
        <f>_xll.DBRW(Server&amp;Cube1,$F$21,$F$14,$F$15,$F$20,$C$18,$F$17,$F$19,$C$19,$H$2,J$1,$C37)</f>
        <v/>
      </c>
      <c r="K37" s="175">
        <f ca="1">_xll.DBRW(Server&amp;Cube1,$F$21,$F$14,$F$15,$F$20,$C$18,$F$17,$F$19,$C$19,$H$2,K$1,$C37)</f>
        <v>-50.003599999999999</v>
      </c>
      <c r="L37" s="173">
        <f ca="1">_xll.DBRW(Server&amp;Cube1,$F$21,$F$14,$F$15,$F$20,$C$18,$F$17,$F$19,$C$19,$H$2,L$1,$C37)</f>
        <v>-53.33599000000001</v>
      </c>
      <c r="M37" s="149"/>
      <c r="N37" s="179">
        <f t="shared" ca="1" si="7"/>
        <v>-3.3323900000000108</v>
      </c>
      <c r="O37" s="165">
        <f t="shared" ca="1" si="8"/>
        <v>-6.6643001703877533E-2</v>
      </c>
      <c r="P37" s="180" t="str">
        <f t="shared" ca="1" si="9"/>
        <v>î</v>
      </c>
      <c r="Q37" s="179">
        <f t="shared" ca="1" si="10"/>
        <v>-2.0010900000000049</v>
      </c>
      <c r="R37" s="23"/>
      <c r="S37" s="179">
        <f ca="1">_xll.DBRW(Server&amp;Cube1,$F$21,$F$14,$F$15,$F$20,$C$18,$F$17,$F$19,$C$19,$K$2,K$1,$C37)</f>
        <v>-198.51808000000005</v>
      </c>
      <c r="T37" s="52"/>
      <c r="U37" s="179">
        <f t="shared" ca="1" si="11"/>
        <v>-145.18209000000004</v>
      </c>
      <c r="V37" s="165">
        <f t="shared" ca="1" si="13"/>
        <v>0.73132930763787363</v>
      </c>
      <c r="W37" s="23"/>
      <c r="X37" s="23"/>
      <c r="Y37" s="23"/>
      <c r="Z37" s="23"/>
      <c r="AA37" s="23"/>
      <c r="AB37" s="23"/>
      <c r="AC37" s="23"/>
      <c r="AD37" s="76" t="s">
        <v>81</v>
      </c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</row>
    <row r="38" spans="1:41" s="9" customFormat="1" ht="24" hidden="1" outlineLevel="1" thickBot="1" x14ac:dyDescent="0.4">
      <c r="A38" s="23"/>
      <c r="B38" s="52"/>
      <c r="C38" s="114" t="s">
        <v>88</v>
      </c>
      <c r="E38" s="240" t="str">
        <f ca="1">_xll.DBRA(Server&amp;$C$25,$C38,$F$16)</f>
        <v>Location et entretien de matériel de bureau et informatique</v>
      </c>
      <c r="F38" s="240"/>
      <c r="G38" s="240"/>
      <c r="H38" s="39"/>
      <c r="I38" s="175">
        <f ca="1">_xll.DBRW(Server&amp;Cube1,$F$21,$F$14,$F$15,$F$20,$C$18,$F$17,$F$19,$C$19,$H$3,I$1,$C38)</f>
        <v>-91.121739999999988</v>
      </c>
      <c r="J38" s="175" t="str">
        <f>_xll.DBRW(Server&amp;Cube1,$F$21,$F$14,$F$15,$F$20,$C$18,$F$17,$F$19,$C$19,$H$2,J$1,$C38)</f>
        <v/>
      </c>
      <c r="K38" s="175">
        <f ca="1">_xll.DBRW(Server&amp;Cube1,$F$21,$F$14,$F$15,$F$20,$C$18,$F$17,$F$19,$C$19,$H$2,K$1,$C38)</f>
        <v>-27.387969999999999</v>
      </c>
      <c r="L38" s="173">
        <f ca="1">_xll.DBRW(Server&amp;Cube1,$F$21,$F$14,$F$15,$F$20,$C$18,$F$17,$F$19,$C$19,$H$2,L$1,$C38)</f>
        <v>-21.013339999999999</v>
      </c>
      <c r="M38" s="149"/>
      <c r="N38" s="179">
        <f t="shared" ca="1" si="7"/>
        <v>6.3746299999999998</v>
      </c>
      <c r="O38" s="165">
        <f t="shared" ca="1" si="8"/>
        <v>0.23275292035152659</v>
      </c>
      <c r="P38" s="180" t="str">
        <f t="shared" ca="1" si="9"/>
        <v>ì</v>
      </c>
      <c r="Q38" s="179">
        <f t="shared" ca="1" si="10"/>
        <v>70.108399999999989</v>
      </c>
      <c r="R38" s="23"/>
      <c r="S38" s="179">
        <f ca="1">_xll.DBRW(Server&amp;Cube1,$F$21,$F$14,$F$15,$F$20,$C$18,$F$17,$F$19,$C$19,$K$2,K$1,$C38)</f>
        <v>-227.82263999999995</v>
      </c>
      <c r="T38" s="52"/>
      <c r="U38" s="179">
        <f t="shared" ca="1" si="11"/>
        <v>-206.80929999999995</v>
      </c>
      <c r="V38" s="165">
        <f t="shared" ca="1" si="13"/>
        <v>0.90776447854348452</v>
      </c>
      <c r="W38" s="23"/>
      <c r="X38" s="23"/>
      <c r="Y38" s="23"/>
      <c r="Z38" s="23"/>
      <c r="AA38" s="23"/>
      <c r="AB38" s="23"/>
      <c r="AC38" s="23"/>
      <c r="AD38" s="64" t="s">
        <v>47</v>
      </c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</row>
    <row r="39" spans="1:41" ht="21.75" hidden="1" outlineLevel="1" thickBot="1" x14ac:dyDescent="0.35">
      <c r="B39" s="52"/>
      <c r="C39" s="114" t="s">
        <v>89</v>
      </c>
      <c r="D39" s="25"/>
      <c r="E39" s="240" t="str">
        <f ca="1">_xll.DBRA(Server&amp;$C$25,$C39,$F$16)</f>
        <v>Entretien et Réparation Immobilier</v>
      </c>
      <c r="F39" s="240"/>
      <c r="G39" s="240"/>
      <c r="H39" s="58"/>
      <c r="I39" s="175">
        <f ca="1">_xll.DBRW(Server&amp;Cube1,$F$21,$F$14,$F$15,$F$20,$C$18,$F$17,$F$19,$C$19,$H$3,I$1,$C39)</f>
        <v>-46.316720000000004</v>
      </c>
      <c r="J39" s="175" t="str">
        <f>_xll.DBRW(Server&amp;Cube1,$F$21,$F$14,$F$15,$F$20,$C$18,$F$17,$F$19,$C$19,$H$2,J$1,$C39)</f>
        <v/>
      </c>
      <c r="K39" s="175">
        <f ca="1">_xll.DBRW(Server&amp;Cube1,$F$21,$F$14,$F$15,$F$20,$C$18,$F$17,$F$19,$C$19,$H$2,K$1,$C39)</f>
        <v>-41.499540000000003</v>
      </c>
      <c r="L39" s="173">
        <f ca="1">_xll.DBRW(Server&amp;Cube1,$F$21,$F$14,$F$15,$F$20,$C$18,$F$17,$F$19,$C$19,$H$2,L$1,$C39)</f>
        <v>-47.313660000000006</v>
      </c>
      <c r="M39" s="149"/>
      <c r="N39" s="179">
        <f t="shared" ca="1" si="7"/>
        <v>-5.8141200000000026</v>
      </c>
      <c r="O39" s="165">
        <f t="shared" ca="1" si="8"/>
        <v>-0.14010083003329682</v>
      </c>
      <c r="P39" s="180" t="str">
        <f t="shared" ca="1" si="9"/>
        <v>î</v>
      </c>
      <c r="Q39" s="179">
        <f t="shared" ca="1" si="10"/>
        <v>-0.99694000000000216</v>
      </c>
      <c r="S39" s="179">
        <f ca="1">_xll.DBRW(Server&amp;Cube1,$F$21,$F$14,$F$15,$F$20,$C$18,$F$17,$F$19,$C$19,$K$2,K$1,$C39)</f>
        <v>-168.23276999999999</v>
      </c>
      <c r="U39" s="179">
        <f t="shared" ca="1" si="11"/>
        <v>-120.91910999999999</v>
      </c>
      <c r="V39" s="165">
        <f t="shared" ca="1" si="13"/>
        <v>0.71876073846968103</v>
      </c>
      <c r="AD39" s="66" t="s">
        <v>48</v>
      </c>
    </row>
    <row r="40" spans="1:41" ht="21.75" hidden="1" outlineLevel="1" thickBot="1" x14ac:dyDescent="0.35">
      <c r="A40" s="52"/>
      <c r="B40" s="52"/>
      <c r="C40" s="114" t="s">
        <v>86</v>
      </c>
      <c r="D40" s="25"/>
      <c r="E40" s="240" t="str">
        <f ca="1">_xll.DBRA(Server&amp;$C$25,$C40,$F$16)</f>
        <v>Frais postaux</v>
      </c>
      <c r="F40" s="240"/>
      <c r="G40" s="240"/>
      <c r="H40" s="42"/>
      <c r="I40" s="175">
        <f ca="1">_xll.DBRW(Server&amp;Cube1,$F$21,$F$14,$F$15,$F$20,$C$18,$F$17,$F$19,$C$19,$H$3,I$1,$C40)</f>
        <v>-8.305530000000001</v>
      </c>
      <c r="J40" s="175" t="str">
        <f>_xll.DBRW(Server&amp;Cube1,$F$21,$F$14,$F$15,$F$20,$C$18,$F$17,$F$19,$C$19,$H$2,J$1,$C40)</f>
        <v/>
      </c>
      <c r="K40" s="175">
        <f ca="1">_xll.DBRW(Server&amp;Cube1,$F$21,$F$14,$F$15,$F$20,$C$18,$F$17,$F$19,$C$19,$H$2,K$1,$C40)</f>
        <v>-6.2006700000000006</v>
      </c>
      <c r="L40" s="173">
        <f ca="1">_xll.DBRW(Server&amp;Cube1,$F$21,$F$14,$F$15,$F$20,$C$18,$F$17,$F$19,$C$19,$H$2,L$1,$C40)</f>
        <v>-6.9486699999999999</v>
      </c>
      <c r="M40" s="149"/>
      <c r="N40" s="179">
        <f t="shared" ca="1" si="7"/>
        <v>-0.74799999999999933</v>
      </c>
      <c r="O40" s="165">
        <f t="shared" ca="1" si="8"/>
        <v>-0.12063212523807899</v>
      </c>
      <c r="P40" s="180" t="str">
        <f t="shared" ca="1" si="9"/>
        <v>î</v>
      </c>
      <c r="Q40" s="179">
        <f t="shared" ca="1" si="10"/>
        <v>1.3568600000000011</v>
      </c>
      <c r="R40" s="52"/>
      <c r="S40" s="179">
        <f ca="1">_xll.DBRW(Server&amp;Cube1,$F$21,$F$14,$F$15,$F$20,$C$18,$F$17,$F$19,$C$19,$K$2,K$1,$C40)</f>
        <v>-30.305940000000003</v>
      </c>
      <c r="U40" s="179">
        <f t="shared" ca="1" si="11"/>
        <v>-23.357270000000003</v>
      </c>
      <c r="V40" s="165">
        <f t="shared" ca="1" si="13"/>
        <v>0.77071590585871952</v>
      </c>
      <c r="W40" s="52"/>
      <c r="X40" s="52"/>
      <c r="Y40" s="52"/>
      <c r="Z40" s="52"/>
      <c r="AA40" s="52"/>
      <c r="AB40" s="52"/>
      <c r="AC40" s="52"/>
      <c r="AD40" s="67" t="s">
        <v>144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</row>
    <row r="41" spans="1:41" s="9" customFormat="1" ht="23.25" collapsed="1" x14ac:dyDescent="0.35">
      <c r="A41" s="52"/>
      <c r="B41" s="52"/>
      <c r="C41" s="113" t="s">
        <v>91</v>
      </c>
      <c r="E41" s="232" t="str">
        <f ca="1">_xll.DBRA(Server&amp;$C$25,$C41,$F$16)</f>
        <v>Coûts externes de la Direction</v>
      </c>
      <c r="F41" s="232"/>
      <c r="G41" s="232"/>
      <c r="H41" s="39"/>
      <c r="I41" s="174">
        <f ca="1">_xll.DBRW(Server&amp;Cube1,$F$21,$F$14,$F$15,$F$20,$C$18,$F$17,$F$19,$C$19,$H$3,I$1,$C41)</f>
        <v>-3940.2480099999993</v>
      </c>
      <c r="J41" s="174" t="str">
        <f>_xll.DBRW(Server&amp;Cube1,$F$21,$F$14,$F$15,$F$20,$C$18,$F$17,$F$19,$C$19,$H$2,J$1,$C41)</f>
        <v/>
      </c>
      <c r="K41" s="174">
        <f ca="1">_xll.DBRW(Server&amp;Cube1,$F$21,$F$14,$F$15,$F$20,$C$18,$F$17,$F$19,$C$19,$H$2,K$1,$C41)</f>
        <v>-3683.4941600000006</v>
      </c>
      <c r="L41" s="173">
        <f ca="1">_xll.DBRW(Server&amp;Cube1,$F$21,$F$14,$F$15,$F$20,$C$18,$F$17,$F$19,$C$19,$H$2,L$1,$C41)</f>
        <v>-3909.7219800000012</v>
      </c>
      <c r="M41" s="149"/>
      <c r="N41" s="178">
        <f t="shared" ca="1" si="7"/>
        <v>-226.22782000000052</v>
      </c>
      <c r="O41" s="164">
        <f t="shared" ca="1" si="8"/>
        <v>-6.1416635991083116E-2</v>
      </c>
      <c r="P41" s="180" t="str">
        <f t="shared" ca="1" si="9"/>
        <v>î</v>
      </c>
      <c r="Q41" s="178">
        <f t="shared" ca="1" si="10"/>
        <v>30.526029999998173</v>
      </c>
      <c r="R41" s="52"/>
      <c r="S41" s="178">
        <f ca="1">_xll.DBRW(Server&amp;Cube1,$F$21,$F$14,$F$15,$F$20,$C$18,$F$17,$F$19,$C$19,$K$2,K$1,$C41)</f>
        <v>-31152.109760000007</v>
      </c>
      <c r="T41" s="52"/>
      <c r="U41" s="178">
        <f t="shared" ca="1" si="11"/>
        <v>-27242.387780000005</v>
      </c>
      <c r="V41" s="164">
        <f t="shared" ca="1" si="13"/>
        <v>0.87449575614232811</v>
      </c>
      <c r="W41" s="52"/>
      <c r="X41" s="52"/>
      <c r="Y41" s="52"/>
      <c r="Z41" s="52"/>
      <c r="AA41" s="52"/>
      <c r="AB41" s="52"/>
      <c r="AC41" s="52"/>
      <c r="AD41" s="68" t="s">
        <v>34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</row>
    <row r="42" spans="1:41" s="9" customFormat="1" ht="23.25" hidden="1" outlineLevel="1" x14ac:dyDescent="0.35">
      <c r="A42" s="52"/>
      <c r="B42" s="52"/>
      <c r="C42" s="114" t="s">
        <v>92</v>
      </c>
      <c r="E42" s="240" t="str">
        <f ca="1">_xll.DBRA(Server&amp;$C$25,$C42,$F$16)</f>
        <v>Honoraires &amp; Conseil</v>
      </c>
      <c r="F42" s="240"/>
      <c r="G42" s="240"/>
      <c r="H42" s="39"/>
      <c r="I42" s="175">
        <f ca="1">_xll.DBRW(Server&amp;Cube1,$F$21,$F$14,$F$15,$F$20,$C$18,$F$17,$F$19,$C$19,$H$3,I$1,$C42)</f>
        <v>-2696.2902999999997</v>
      </c>
      <c r="J42" s="175" t="str">
        <f>_xll.DBRW(Server&amp;Cube1,$F$21,$F$14,$F$15,$F$20,$C$18,$F$17,$F$19,$C$19,$H$2,J$1,$C42)</f>
        <v/>
      </c>
      <c r="K42" s="175">
        <f ca="1">_xll.DBRW(Server&amp;Cube1,$F$21,$F$14,$F$15,$F$20,$C$18,$F$17,$F$19,$C$19,$H$2,K$1,$C42)</f>
        <v>-2894.6228000000001</v>
      </c>
      <c r="L42" s="173">
        <f ca="1">_xll.DBRW(Server&amp;Cube1,$F$21,$F$14,$F$15,$F$20,$C$18,$F$17,$F$19,$C$19,$H$2,L$1,$C42)</f>
        <v>-3027.7179700000006</v>
      </c>
      <c r="M42" s="149"/>
      <c r="N42" s="179">
        <f t="shared" ca="1" si="7"/>
        <v>-133.09517000000051</v>
      </c>
      <c r="O42" s="165">
        <f t="shared" ca="1" si="8"/>
        <v>-4.5980142904975561E-2</v>
      </c>
      <c r="P42" s="180" t="str">
        <f t="shared" ca="1" si="9"/>
        <v>î</v>
      </c>
      <c r="Q42" s="179">
        <f t="shared" ca="1" si="10"/>
        <v>-331.42767000000094</v>
      </c>
      <c r="R42" s="52"/>
      <c r="S42" s="179">
        <f ca="1">_xll.DBRW(Server&amp;Cube1,$F$21,$F$14,$F$15,$F$20,$C$18,$F$17,$F$19,$C$19,$K$2,K$1,$C42)</f>
        <v>-25104.253459999989</v>
      </c>
      <c r="T42" s="52"/>
      <c r="U42" s="179">
        <f t="shared" ca="1" si="11"/>
        <v>-22076.535489999987</v>
      </c>
      <c r="V42" s="165">
        <f t="shared" ca="1" si="13"/>
        <v>0.87939422397785161</v>
      </c>
      <c r="W42" s="52"/>
      <c r="X42" s="52"/>
      <c r="Y42" s="52"/>
      <c r="Z42" s="52"/>
      <c r="AA42" s="52"/>
      <c r="AB42" s="52"/>
      <c r="AC42" s="52"/>
      <c r="AD42" s="77" t="s">
        <v>35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</row>
    <row r="43" spans="1:41" s="9" customFormat="1" ht="23.25" hidden="1" outlineLevel="1" x14ac:dyDescent="0.35">
      <c r="A43" s="52"/>
      <c r="B43" s="52"/>
      <c r="C43" s="114" t="s">
        <v>93</v>
      </c>
      <c r="E43" s="240" t="str">
        <f ca="1">_xll.DBRA(Server&amp;$C$25,$C43,$F$16)</f>
        <v>Honoraires &amp; Conseil Abonnés</v>
      </c>
      <c r="F43" s="240"/>
      <c r="G43" s="240"/>
      <c r="H43" s="39"/>
      <c r="I43" s="175">
        <f ca="1">_xll.DBRW(Server&amp;Cube1,$F$21,$F$14,$F$15,$F$20,$C$18,$F$17,$F$19,$C$19,$H$3,I$1,$C43)</f>
        <v>-98.333320000000015</v>
      </c>
      <c r="J43" s="175" t="str">
        <f>_xll.DBRW(Server&amp;Cube1,$F$21,$F$14,$F$15,$F$20,$C$18,$F$17,$F$19,$C$19,$H$2,J$1,$C43)</f>
        <v/>
      </c>
      <c r="K43" s="175">
        <f ca="1">_xll.DBRW(Server&amp;Cube1,$F$21,$F$14,$F$15,$F$20,$C$18,$F$17,$F$19,$C$19,$H$2,K$1,$C43)</f>
        <v>0</v>
      </c>
      <c r="L43" s="173">
        <f ca="1">_xll.DBRW(Server&amp;Cube1,$F$21,$F$14,$F$15,$F$20,$C$18,$F$17,$F$19,$C$19,$H$2,L$1,$C43)</f>
        <v>-75.582799999999992</v>
      </c>
      <c r="M43" s="149"/>
      <c r="N43" s="179">
        <f t="shared" ca="1" si="7"/>
        <v>-75.582799999999992</v>
      </c>
      <c r="O43" s="165">
        <f t="shared" ca="1" si="8"/>
        <v>0</v>
      </c>
      <c r="P43" s="180" t="str">
        <f t="shared" ca="1" si="9"/>
        <v>è</v>
      </c>
      <c r="Q43" s="179">
        <f t="shared" ca="1" si="10"/>
        <v>22.750520000000023</v>
      </c>
      <c r="R43" s="52"/>
      <c r="S43" s="179">
        <f ca="1">_xll.DBRW(Server&amp;Cube1,$F$21,$F$14,$F$15,$F$20,$C$18,$F$17,$F$19,$C$19,$K$2,K$1,$C43)</f>
        <v>0</v>
      </c>
      <c r="T43" s="52"/>
      <c r="U43" s="179">
        <f t="shared" ca="1" si="11"/>
        <v>75.582799999999992</v>
      </c>
      <c r="V43" s="165">
        <f t="shared" ca="1" si="13"/>
        <v>0</v>
      </c>
      <c r="W43" s="52"/>
      <c r="X43" s="52"/>
      <c r="Y43" s="52"/>
      <c r="Z43" s="52"/>
      <c r="AA43" s="52"/>
      <c r="AB43" s="52"/>
      <c r="AC43" s="52"/>
      <c r="AD43" s="77" t="s">
        <v>36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</row>
    <row r="44" spans="1:41" s="9" customFormat="1" ht="23.25" hidden="1" outlineLevel="1" x14ac:dyDescent="0.35">
      <c r="A44" s="52"/>
      <c r="B44" s="52"/>
      <c r="C44" s="114" t="s">
        <v>94</v>
      </c>
      <c r="E44" s="240" t="str">
        <f ca="1">_xll.DBRA(Server&amp;$C$25,$C44,$F$16)</f>
        <v>Publication, Sponsoring, cadeaux, Publicité et promotion</v>
      </c>
      <c r="F44" s="240"/>
      <c r="G44" s="240"/>
      <c r="H44" s="39"/>
      <c r="I44" s="175">
        <f ca="1">_xll.DBRW(Server&amp;Cube1,$F$21,$F$14,$F$15,$F$20,$C$18,$F$17,$F$19,$C$19,$H$3,I$1,$C44)</f>
        <v>-5.9948999999999995</v>
      </c>
      <c r="J44" s="175" t="str">
        <f>_xll.DBRW(Server&amp;Cube1,$F$21,$F$14,$F$15,$F$20,$C$18,$F$17,$F$19,$C$19,$H$2,J$1,$C44)</f>
        <v/>
      </c>
      <c r="K44" s="175">
        <f ca="1">_xll.DBRW(Server&amp;Cube1,$F$21,$F$14,$F$15,$F$20,$C$18,$F$17,$F$19,$C$19,$H$2,K$1,$C44)</f>
        <v>-0.70000000000000018</v>
      </c>
      <c r="L44" s="173">
        <f ca="1">_xll.DBRW(Server&amp;Cube1,$F$21,$F$14,$F$15,$F$20,$C$18,$F$17,$F$19,$C$19,$H$2,L$1,$C44)</f>
        <v>-0.70000000000000007</v>
      </c>
      <c r="M44" s="149"/>
      <c r="N44" s="179">
        <f t="shared" ca="1" si="7"/>
        <v>0</v>
      </c>
      <c r="O44" s="165">
        <f t="shared" ca="1" si="8"/>
        <v>0</v>
      </c>
      <c r="P44" s="180" t="str">
        <f t="shared" ca="1" si="9"/>
        <v>è</v>
      </c>
      <c r="Q44" s="179">
        <f t="shared" ca="1" si="10"/>
        <v>5.2948999999999993</v>
      </c>
      <c r="R44" s="52"/>
      <c r="S44" s="179">
        <f ca="1">_xll.DBRW(Server&amp;Cube1,$F$21,$F$14,$F$15,$F$20,$C$18,$F$17,$F$19,$C$19,$K$2,K$1,$C44)</f>
        <v>-11.52675</v>
      </c>
      <c r="T44" s="52"/>
      <c r="U44" s="179">
        <f t="shared" ca="1" si="11"/>
        <v>-10.826750000000001</v>
      </c>
      <c r="V44" s="165">
        <f t="shared" ca="1" si="13"/>
        <v>0.93927169410284783</v>
      </c>
      <c r="W44" s="52"/>
      <c r="X44" s="52"/>
      <c r="Y44" s="52"/>
      <c r="Z44" s="52"/>
      <c r="AA44" s="52"/>
      <c r="AB44" s="52"/>
      <c r="AC44" s="52"/>
      <c r="AD44" s="77" t="s">
        <v>37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</row>
    <row r="45" spans="1:41" ht="21" hidden="1" outlineLevel="1" x14ac:dyDescent="0.3">
      <c r="B45" s="52"/>
      <c r="C45" s="114" t="s">
        <v>95</v>
      </c>
      <c r="D45" s="25"/>
      <c r="E45" s="240" t="str">
        <f ca="1">_xll.DBRA(Server&amp;$C$25,$C45,$F$16)</f>
        <v>Réception, Séminaires</v>
      </c>
      <c r="F45" s="240"/>
      <c r="G45" s="240"/>
      <c r="H45" s="42"/>
      <c r="I45" s="175">
        <f ca="1">_xll.DBRW(Server&amp;Cube1,$F$21,$F$14,$F$15,$F$20,$C$18,$F$17,$F$19,$C$19,$H$3,I$1,$C45)</f>
        <v>-85.348390000000009</v>
      </c>
      <c r="J45" s="175" t="str">
        <f>_xll.DBRW(Server&amp;Cube1,$F$21,$F$14,$F$15,$F$20,$C$18,$F$17,$F$19,$C$19,$H$2,J$1,$C45)</f>
        <v/>
      </c>
      <c r="K45" s="175">
        <f ca="1">_xll.DBRW(Server&amp;Cube1,$F$21,$F$14,$F$15,$F$20,$C$18,$F$17,$F$19,$C$19,$H$2,K$1,$C45)</f>
        <v>-8.7164699999999993</v>
      </c>
      <c r="L45" s="173">
        <f ca="1">_xll.DBRW(Server&amp;Cube1,$F$21,$F$14,$F$15,$F$20,$C$18,$F$17,$F$19,$C$19,$H$2,L$1,$C45)</f>
        <v>-8.7358200000000004</v>
      </c>
      <c r="M45" s="149"/>
      <c r="N45" s="179">
        <f t="shared" ca="1" si="7"/>
        <v>-1.9350000000001089E-2</v>
      </c>
      <c r="O45" s="165">
        <f t="shared" ca="1" si="8"/>
        <v>-2.2199353637425575E-3</v>
      </c>
      <c r="P45" s="180" t="str">
        <f t="shared" ca="1" si="9"/>
        <v>è</v>
      </c>
      <c r="Q45" s="179">
        <f t="shared" ca="1" si="10"/>
        <v>76.612570000000005</v>
      </c>
      <c r="S45" s="179">
        <f ca="1">_xll.DBRW(Server&amp;Cube1,$F$21,$F$14,$F$15,$F$20,$C$18,$F$17,$F$19,$C$19,$K$2,K$1,$C45)</f>
        <v>-27.952969999999997</v>
      </c>
      <c r="U45" s="179">
        <f t="shared" ca="1" si="11"/>
        <v>-19.217149999999997</v>
      </c>
      <c r="V45" s="165">
        <f t="shared" ca="1" si="13"/>
        <v>0.68748150912049766</v>
      </c>
      <c r="AD45" s="77" t="s">
        <v>38</v>
      </c>
    </row>
    <row r="46" spans="1:41" s="9" customFormat="1" ht="23.25" hidden="1" outlineLevel="1" x14ac:dyDescent="0.35">
      <c r="A46" s="52"/>
      <c r="B46" s="52"/>
      <c r="C46" s="114" t="s">
        <v>96</v>
      </c>
      <c r="E46" s="240" t="str">
        <f ca="1">_xll.DBRA(Server&amp;$C$25,$C46,$F$16)</f>
        <v>Autres assistance externe</v>
      </c>
      <c r="F46" s="240"/>
      <c r="G46" s="240"/>
      <c r="H46" s="39"/>
      <c r="I46" s="175">
        <f ca="1">_xll.DBRW(Server&amp;Cube1,$F$21,$F$14,$F$15,$F$20,$C$18,$F$17,$F$19,$C$19,$H$3,I$1,$C46)</f>
        <v>-889.35093000000018</v>
      </c>
      <c r="J46" s="175" t="str">
        <f>_xll.DBRW(Server&amp;Cube1,$F$21,$F$14,$F$15,$F$20,$C$18,$F$17,$F$19,$C$19,$H$2,J$1,$C46)</f>
        <v/>
      </c>
      <c r="K46" s="175">
        <f ca="1">_xll.DBRW(Server&amp;Cube1,$F$21,$F$14,$F$15,$F$20,$C$18,$F$17,$F$19,$C$19,$H$2,K$1,$C46)</f>
        <v>-721.91805000000011</v>
      </c>
      <c r="L46" s="173">
        <f ca="1">_xll.DBRW(Server&amp;Cube1,$F$21,$F$14,$F$15,$F$20,$C$18,$F$17,$F$19,$C$19,$H$2,L$1,$C46)</f>
        <v>-730.98612999999989</v>
      </c>
      <c r="M46" s="149"/>
      <c r="N46" s="179">
        <f t="shared" ca="1" si="7"/>
        <v>-9.0680799999997816</v>
      </c>
      <c r="O46" s="165">
        <f t="shared" ca="1" si="8"/>
        <v>-1.2561093326312842E-2</v>
      </c>
      <c r="P46" s="180" t="str">
        <f t="shared" ca="1" si="9"/>
        <v>î</v>
      </c>
      <c r="Q46" s="179">
        <f t="shared" ca="1" si="10"/>
        <v>158.36480000000029</v>
      </c>
      <c r="R46" s="52"/>
      <c r="S46" s="179">
        <f ca="1">_xll.DBRW(Server&amp;Cube1,$F$21,$F$14,$F$15,$F$20,$C$18,$F$17,$F$19,$C$19,$K$2,K$1,$C46)</f>
        <v>-4907.8224800000007</v>
      </c>
      <c r="T46" s="52"/>
      <c r="U46" s="179">
        <f t="shared" ca="1" si="11"/>
        <v>-4176.8363500000005</v>
      </c>
      <c r="V46" s="165">
        <f t="shared" ca="1" si="13"/>
        <v>0.85105693350180012</v>
      </c>
      <c r="W46" s="52"/>
      <c r="X46" s="52"/>
      <c r="Y46" s="52"/>
      <c r="Z46" s="52"/>
      <c r="AA46" s="52"/>
      <c r="AB46" s="52"/>
      <c r="AC46" s="52"/>
      <c r="AD46" s="77" t="s">
        <v>39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</row>
    <row r="47" spans="1:41" s="9" customFormat="1" ht="23.25" hidden="1" outlineLevel="1" x14ac:dyDescent="0.35">
      <c r="A47" s="52"/>
      <c r="B47" s="52"/>
      <c r="C47" s="114" t="s">
        <v>97</v>
      </c>
      <c r="E47" s="240" t="str">
        <f ca="1">_xll.DBRA(Server&amp;$C$25,$C47,$F$16)</f>
        <v>Dépenses de formation</v>
      </c>
      <c r="F47" s="240"/>
      <c r="G47" s="240"/>
      <c r="H47" s="39"/>
      <c r="I47" s="175">
        <f ca="1">_xll.DBRW(Server&amp;Cube1,$F$21,$F$14,$F$15,$F$20,$C$18,$F$17,$F$19,$C$19,$H$3,I$1,$C47)</f>
        <v>-69.275410000000008</v>
      </c>
      <c r="J47" s="175" t="str">
        <f>_xll.DBRW(Server&amp;Cube1,$F$21,$F$14,$F$15,$F$20,$C$18,$F$17,$F$19,$C$19,$H$2,J$1,$C47)</f>
        <v/>
      </c>
      <c r="K47" s="175">
        <f ca="1">_xll.DBRW(Server&amp;Cube1,$F$21,$F$14,$F$15,$F$20,$C$18,$F$17,$F$19,$C$19,$H$2,K$1,$C47)</f>
        <v>-1.25786</v>
      </c>
      <c r="L47" s="173">
        <f ca="1">_xll.DBRW(Server&amp;Cube1,$F$21,$F$14,$F$15,$F$20,$C$18,$F$17,$F$19,$C$19,$H$2,L$1,$C47)</f>
        <v>-9.6207600000000006</v>
      </c>
      <c r="M47" s="149"/>
      <c r="N47" s="179">
        <f t="shared" ca="1" si="7"/>
        <v>-8.3628999999999998</v>
      </c>
      <c r="O47" s="165">
        <f t="shared" ca="1" si="8"/>
        <v>-6.6485141430683861</v>
      </c>
      <c r="P47" s="180" t="str">
        <f t="shared" ca="1" si="9"/>
        <v>î</v>
      </c>
      <c r="Q47" s="179">
        <f t="shared" ca="1" si="10"/>
        <v>59.654650000000004</v>
      </c>
      <c r="R47" s="52"/>
      <c r="S47" s="179">
        <f ca="1">_xll.DBRW(Server&amp;Cube1,$F$21,$F$14,$F$15,$F$20,$C$18,$F$17,$F$19,$C$19,$K$2,K$1,$C47)</f>
        <v>-305.24127000000004</v>
      </c>
      <c r="T47" s="52"/>
      <c r="U47" s="179">
        <f t="shared" ca="1" si="11"/>
        <v>-295.62051000000002</v>
      </c>
      <c r="V47" s="165">
        <f t="shared" ca="1" si="13"/>
        <v>0.96848145730752588</v>
      </c>
      <c r="W47" s="52"/>
      <c r="X47" s="52"/>
      <c r="Y47" s="52"/>
      <c r="Z47" s="52"/>
      <c r="AA47" s="52"/>
      <c r="AB47" s="52"/>
      <c r="AC47" s="52"/>
      <c r="AD47" s="77" t="s">
        <v>40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</row>
    <row r="48" spans="1:41" s="9" customFormat="1" ht="23.25" hidden="1" outlineLevel="1" x14ac:dyDescent="0.35">
      <c r="A48" s="52"/>
      <c r="B48" s="52"/>
      <c r="C48" s="114" t="s">
        <v>98</v>
      </c>
      <c r="E48" s="240" t="str">
        <f ca="1">_xll.DBRA(Server&amp;$C$25,$C48,$F$16)</f>
        <v>Assurances</v>
      </c>
      <c r="F48" s="240"/>
      <c r="G48" s="240"/>
      <c r="H48" s="39"/>
      <c r="I48" s="175">
        <f ca="1">_xll.DBRW(Server&amp;Cube1,$F$21,$F$14,$F$15,$F$20,$C$18,$F$17,$F$19,$C$19,$H$3,I$1,$C48)</f>
        <v>0</v>
      </c>
      <c r="J48" s="175" t="str">
        <f>_xll.DBRW(Server&amp;Cube1,$F$21,$F$14,$F$15,$F$20,$C$18,$F$17,$F$19,$C$19,$H$2,J$1,$C48)</f>
        <v/>
      </c>
      <c r="K48" s="175">
        <f ca="1">_xll.DBRW(Server&amp;Cube1,$F$21,$F$14,$F$15,$F$20,$C$18,$F$17,$F$19,$C$19,$H$2,K$1,$C48)</f>
        <v>0</v>
      </c>
      <c r="L48" s="173">
        <f ca="1">_xll.DBRW(Server&amp;Cube1,$F$21,$F$14,$F$15,$F$20,$C$18,$F$17,$F$19,$C$19,$H$2,L$1,$C48)</f>
        <v>0</v>
      </c>
      <c r="M48" s="149"/>
      <c r="N48" s="179">
        <f t="shared" ca="1" si="7"/>
        <v>0</v>
      </c>
      <c r="O48" s="165">
        <f t="shared" ca="1" si="8"/>
        <v>0</v>
      </c>
      <c r="P48" s="180" t="str">
        <f t="shared" ca="1" si="9"/>
        <v>è</v>
      </c>
      <c r="Q48" s="179">
        <f t="shared" ca="1" si="10"/>
        <v>0</v>
      </c>
      <c r="R48" s="52"/>
      <c r="S48" s="179">
        <f ca="1">_xll.DBRW(Server&amp;Cube1,$F$21,$F$14,$F$15,$F$20,$C$18,$F$17,$F$19,$C$19,$K$2,K$1,$C48)</f>
        <v>0</v>
      </c>
      <c r="T48" s="52"/>
      <c r="U48" s="179">
        <f t="shared" ca="1" si="11"/>
        <v>0</v>
      </c>
      <c r="V48" s="165">
        <f t="shared" ca="1" si="13"/>
        <v>0</v>
      </c>
      <c r="W48" s="52"/>
      <c r="X48" s="52"/>
      <c r="Y48" s="52"/>
      <c r="Z48" s="52"/>
      <c r="AA48" s="52"/>
      <c r="AB48" s="52"/>
      <c r="AC48" s="52"/>
      <c r="AD48" s="77" t="s">
        <v>41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</row>
    <row r="49" spans="1:41" s="9" customFormat="1" ht="23.25" hidden="1" outlineLevel="1" x14ac:dyDescent="0.35">
      <c r="A49" s="52"/>
      <c r="B49" s="52"/>
      <c r="C49" s="114" t="s">
        <v>99</v>
      </c>
      <c r="E49" s="240" t="str">
        <f ca="1">_xll.DBRA(Server&amp;$C$25,$C49,$F$16)</f>
        <v>Services bancaires</v>
      </c>
      <c r="F49" s="240"/>
      <c r="G49" s="240"/>
      <c r="H49" s="39"/>
      <c r="I49" s="175">
        <f ca="1">_xll.DBRW(Server&amp;Cube1,$F$21,$F$14,$F$15,$F$20,$C$18,$F$17,$F$19,$C$19,$H$3,I$1,$C49)</f>
        <v>-95.654759999999996</v>
      </c>
      <c r="J49" s="175" t="str">
        <f>_xll.DBRW(Server&amp;Cube1,$F$21,$F$14,$F$15,$F$20,$C$18,$F$17,$F$19,$C$19,$H$2,J$1,$C49)</f>
        <v/>
      </c>
      <c r="K49" s="175">
        <f ca="1">_xll.DBRW(Server&amp;Cube1,$F$21,$F$14,$F$15,$F$20,$C$18,$F$17,$F$19,$C$19,$H$2,K$1,$C49)</f>
        <v>-56.278979999999997</v>
      </c>
      <c r="L49" s="173">
        <f ca="1">_xll.DBRW(Server&amp;Cube1,$F$21,$F$14,$F$15,$F$20,$C$18,$F$17,$F$19,$C$19,$H$2,L$1,$C49)</f>
        <v>-56.378499999999995</v>
      </c>
      <c r="M49" s="149"/>
      <c r="N49" s="179">
        <f t="shared" ca="1" si="7"/>
        <v>-9.9519999999998277E-2</v>
      </c>
      <c r="O49" s="165">
        <f t="shared" ca="1" si="8"/>
        <v>-1.7683333990772094E-3</v>
      </c>
      <c r="P49" s="180" t="str">
        <f t="shared" ca="1" si="9"/>
        <v>è</v>
      </c>
      <c r="Q49" s="179">
        <f t="shared" ca="1" si="10"/>
        <v>39.276260000000001</v>
      </c>
      <c r="R49" s="52"/>
      <c r="S49" s="179">
        <f ca="1">_xll.DBRW(Server&amp;Cube1,$F$21,$F$14,$F$15,$F$20,$C$18,$F$17,$F$19,$C$19,$K$2,K$1,$C49)</f>
        <v>-795.31282999999996</v>
      </c>
      <c r="T49" s="52"/>
      <c r="U49" s="179">
        <f t="shared" ca="1" si="11"/>
        <v>-738.93432999999993</v>
      </c>
      <c r="V49" s="165">
        <f t="shared" ca="1" si="13"/>
        <v>0.92911154218397307</v>
      </c>
      <c r="W49" s="52"/>
      <c r="X49" s="52"/>
      <c r="Y49" s="52"/>
      <c r="Z49" s="52"/>
      <c r="AA49" s="52"/>
      <c r="AB49" s="52"/>
      <c r="AC49" s="52"/>
      <c r="AD49" s="77" t="s">
        <v>42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</row>
    <row r="50" spans="1:41" s="9" customFormat="1" ht="23.25" hidden="1" outlineLevel="1" x14ac:dyDescent="0.35">
      <c r="A50" s="52"/>
      <c r="B50" s="52"/>
      <c r="C50" s="114" t="s">
        <v>100</v>
      </c>
      <c r="E50" s="240" t="str">
        <f ca="1">_xll.DBRA(Server&amp;$C$25,$C50,$F$16)</f>
        <v>Frais de Siège</v>
      </c>
      <c r="F50" s="240"/>
      <c r="G50" s="240"/>
      <c r="H50" s="39"/>
      <c r="I50" s="175">
        <f ca="1">_xll.DBRW(Server&amp;Cube1,$F$21,$F$14,$F$15,$F$20,$C$18,$F$17,$F$19,$C$19,$H$3,I$1,$C50)</f>
        <v>0</v>
      </c>
      <c r="J50" s="175" t="str">
        <f>_xll.DBRW(Server&amp;Cube1,$F$21,$F$14,$F$15,$F$20,$C$18,$F$17,$F$19,$C$19,$H$2,J$1,$C50)</f>
        <v/>
      </c>
      <c r="K50" s="175">
        <f ca="1">_xll.DBRW(Server&amp;Cube1,$F$21,$F$14,$F$15,$F$20,$C$18,$F$17,$F$19,$C$19,$H$2,K$1,$C50)</f>
        <v>0</v>
      </c>
      <c r="L50" s="173">
        <f ca="1">_xll.DBRW(Server&amp;Cube1,$F$21,$F$14,$F$15,$F$20,$C$18,$F$17,$F$19,$C$19,$H$2,L$1,$C50)</f>
        <v>0</v>
      </c>
      <c r="M50" s="149"/>
      <c r="N50" s="179">
        <f t="shared" ca="1" si="7"/>
        <v>0</v>
      </c>
      <c r="O50" s="165">
        <f t="shared" ca="1" si="8"/>
        <v>0</v>
      </c>
      <c r="P50" s="180" t="str">
        <f t="shared" ca="1" si="9"/>
        <v>è</v>
      </c>
      <c r="Q50" s="179">
        <f t="shared" ca="1" si="10"/>
        <v>0</v>
      </c>
      <c r="R50" s="52"/>
      <c r="S50" s="179">
        <f ca="1">_xll.DBRW(Server&amp;Cube1,$F$21,$F$14,$F$15,$F$20,$C$18,$F$17,$F$19,$C$19,$K$2,K$1,$C50)</f>
        <v>0</v>
      </c>
      <c r="T50" s="52"/>
      <c r="U50" s="179">
        <f t="shared" ca="1" si="11"/>
        <v>0</v>
      </c>
      <c r="V50" s="165">
        <f t="shared" ca="1" si="13"/>
        <v>0</v>
      </c>
      <c r="W50" s="52"/>
      <c r="X50" s="52"/>
      <c r="Y50" s="52"/>
      <c r="Z50" s="52"/>
      <c r="AA50" s="52"/>
      <c r="AB50" s="52"/>
      <c r="AC50" s="52"/>
      <c r="AD50" s="77" t="s">
        <v>43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</row>
    <row r="51" spans="1:41" s="9" customFormat="1" ht="24" collapsed="1" thickBot="1" x14ac:dyDescent="0.4">
      <c r="A51" s="52"/>
      <c r="B51" s="52"/>
      <c r="C51" s="113" t="s">
        <v>102</v>
      </c>
      <c r="E51" s="234" t="str">
        <f ca="1">_xll.DBRA(Server&amp;$C$25,$C51,$F$16)</f>
        <v>Frais de personnel et Assimilés</v>
      </c>
      <c r="F51" s="234"/>
      <c r="G51" s="234"/>
      <c r="H51" s="190"/>
      <c r="I51" s="192">
        <f ca="1">_xll.DBRW(Server&amp;Cube1,$F$21,$F$14,$F$15,$F$20,$C$18,$F$17,$F$19,$C$19,$H$3,I$1,$C51)</f>
        <v>-8611.7969499999981</v>
      </c>
      <c r="J51" s="192" t="str">
        <f>_xll.DBRW(Server&amp;Cube1,$F$21,$F$14,$F$15,$F$20,$C$18,$F$17,$F$19,$C$19,$H$2,J$1,$C51)</f>
        <v/>
      </c>
      <c r="K51" s="192">
        <f ca="1">_xll.DBRW(Server&amp;Cube1,$F$21,$F$14,$F$15,$F$20,$C$18,$F$17,$F$19,$C$19,$H$2,K$1,$C51)</f>
        <v>-8045.3372700000036</v>
      </c>
      <c r="L51" s="192">
        <f ca="1">_xll.DBRW(Server&amp;Cube1,$F$21,$F$14,$F$15,$F$20,$C$18,$F$17,$F$19,$C$19,$H$2,L$1,$C51)</f>
        <v>-8063.5878500000035</v>
      </c>
      <c r="M51" s="203"/>
      <c r="N51" s="194">
        <f t="shared" ca="1" si="7"/>
        <v>-18.2505799999999</v>
      </c>
      <c r="O51" s="195">
        <f t="shared" ca="1" si="8"/>
        <v>-2.2684667388717058E-3</v>
      </c>
      <c r="P51" s="196" t="str">
        <f t="shared" ca="1" si="9"/>
        <v>è</v>
      </c>
      <c r="Q51" s="194">
        <f t="shared" ca="1" si="10"/>
        <v>548.20909999999458</v>
      </c>
      <c r="R51" s="52"/>
      <c r="S51" s="194">
        <f ca="1">_xll.DBRW(Server&amp;Cube1,$F$21,$F$14,$F$15,$F$20,$C$18,$F$17,$F$19,$C$19,$K$2,K$1,$C51)</f>
        <v>-45066.533165068453</v>
      </c>
      <c r="T51" s="52"/>
      <c r="U51" s="194">
        <f t="shared" ca="1" si="11"/>
        <v>-37002.945315068449</v>
      </c>
      <c r="V51" s="195">
        <f t="shared" ca="1" si="13"/>
        <v>0.82107370406183855</v>
      </c>
      <c r="W51" s="52"/>
      <c r="X51" s="52"/>
      <c r="Y51" s="52"/>
      <c r="Z51" s="52"/>
      <c r="AA51" s="52"/>
      <c r="AB51" s="52"/>
      <c r="AC51" s="52"/>
      <c r="AD51" s="77" t="s">
        <v>44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</row>
    <row r="52" spans="1:41" s="9" customFormat="1" ht="23.25" hidden="1" outlineLevel="1" x14ac:dyDescent="0.35">
      <c r="A52" s="52"/>
      <c r="B52" s="52"/>
      <c r="C52" s="114" t="s">
        <v>103</v>
      </c>
      <c r="E52" s="240" t="str">
        <f ca="1">_xll.DBRA(Server&amp;$C$25,$C52,$F$16)</f>
        <v>Frais de personnel</v>
      </c>
      <c r="F52" s="240"/>
      <c r="G52" s="240"/>
      <c r="H52" s="39"/>
      <c r="I52" s="175">
        <f ca="1">_xll.DBRW(Server&amp;Cube1,$F$21,$F$14,$F$15,$F$20,$C$18,$F$17,$F$19,$C$19,$H$3,I$1,$C52)</f>
        <v>-8289.5614299999961</v>
      </c>
      <c r="J52" s="175" t="str">
        <f>_xll.DBRW(Server&amp;Cube1,$F$21,$F$14,$F$15,$F$20,$C$18,$F$17,$F$19,$C$19,$H$2,J$1,$C52)</f>
        <v/>
      </c>
      <c r="K52" s="175">
        <f ca="1">_xll.DBRW(Server&amp;Cube1,$F$21,$F$14,$F$15,$F$20,$C$18,$F$17,$F$19,$C$19,$H$2,K$1,$C52)</f>
        <v>-7698.7005800000024</v>
      </c>
      <c r="L52" s="173">
        <f ca="1">_xll.DBRW(Server&amp;Cube1,$F$21,$F$14,$F$15,$F$20,$C$18,$F$17,$F$19,$C$19,$H$2,L$1,$C52)</f>
        <v>-7716.2505200000014</v>
      </c>
      <c r="M52" s="150"/>
      <c r="N52" s="179">
        <f t="shared" ca="1" si="7"/>
        <v>-17.549939999998969</v>
      </c>
      <c r="O52" s="165">
        <f t="shared" ca="1" si="8"/>
        <v>-2.279597682444089E-3</v>
      </c>
      <c r="P52" s="180" t="str">
        <f t="shared" ca="1" si="9"/>
        <v>è</v>
      </c>
      <c r="Q52" s="179">
        <f t="shared" ca="1" si="10"/>
        <v>573.31090999999469</v>
      </c>
      <c r="R52" s="52"/>
      <c r="S52" s="179">
        <f ca="1">_xll.DBRW(Server&amp;Cube1,$F$21,$F$14,$F$15,$F$20,$C$18,$F$17,$F$19,$C$19,$K$2,K$1,$C52)</f>
        <v>-42284.84900659624</v>
      </c>
      <c r="T52" s="52"/>
      <c r="U52" s="179">
        <f t="shared" ca="1" si="11"/>
        <v>-34568.598486596238</v>
      </c>
      <c r="V52" s="165">
        <f t="shared" ca="1" si="13"/>
        <v>0.8175173684835364</v>
      </c>
      <c r="W52" s="52"/>
      <c r="X52" s="52"/>
      <c r="Y52" s="52"/>
      <c r="Z52" s="52"/>
      <c r="AA52" s="52"/>
      <c r="AB52" s="52"/>
      <c r="AC52" s="52"/>
      <c r="AD52" s="77" t="s">
        <v>45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</row>
    <row r="53" spans="1:41" s="9" customFormat="1" ht="24" hidden="1" outlineLevel="1" thickBot="1" x14ac:dyDescent="0.4">
      <c r="A53" s="52"/>
      <c r="B53" s="52"/>
      <c r="C53" s="114" t="s">
        <v>105</v>
      </c>
      <c r="E53" s="240" t="str">
        <f ca="1">_xll.DBRA(Server&amp;$C$25,$C53,$F$16)</f>
        <v>Personnel Intérimaire</v>
      </c>
      <c r="F53" s="240"/>
      <c r="G53" s="240"/>
      <c r="H53" s="39"/>
      <c r="I53" s="175">
        <f ca="1">_xll.DBRW(Server&amp;Cube1,$F$21,$F$14,$F$15,$F$20,$C$18,$F$17,$F$19,$C$19,$H$3,I$1,$C53)</f>
        <v>-57.176000000000002</v>
      </c>
      <c r="J53" s="175" t="str">
        <f>_xll.DBRW(Server&amp;Cube1,$F$21,$F$14,$F$15,$F$20,$C$18,$F$17,$F$19,$C$19,$H$2,J$1,$C53)</f>
        <v/>
      </c>
      <c r="K53" s="175">
        <f ca="1">_xll.DBRW(Server&amp;Cube1,$F$21,$F$14,$F$15,$F$20,$C$18,$F$17,$F$19,$C$19,$H$2,K$1,$C53)</f>
        <v>-18.011659999999999</v>
      </c>
      <c r="L53" s="173">
        <f ca="1">_xll.DBRW(Server&amp;Cube1,$F$21,$F$14,$F$15,$F$20,$C$18,$F$17,$F$19,$C$19,$H$2,L$1,$C53)</f>
        <v>-18.712299999999999</v>
      </c>
      <c r="M53" s="150"/>
      <c r="N53" s="179">
        <f t="shared" ca="1" si="7"/>
        <v>-0.70063999999999993</v>
      </c>
      <c r="O53" s="165">
        <f t="shared" ca="1" si="8"/>
        <v>-3.8899246377069076E-2</v>
      </c>
      <c r="P53" s="180" t="str">
        <f t="shared" ca="1" si="9"/>
        <v>î</v>
      </c>
      <c r="Q53" s="179">
        <f t="shared" ca="1" si="10"/>
        <v>38.463700000000003</v>
      </c>
      <c r="R53" s="52"/>
      <c r="S53" s="179">
        <f ca="1">_xll.DBRW(Server&amp;Cube1,$F$21,$F$14,$F$15,$F$20,$C$18,$F$17,$F$19,$C$19,$K$2,K$1,$C53)</f>
        <v>-199.99252000000004</v>
      </c>
      <c r="T53" s="52"/>
      <c r="U53" s="179">
        <f t="shared" ca="1" si="11"/>
        <v>-181.28022000000004</v>
      </c>
      <c r="V53" s="165">
        <f t="shared" ca="1" si="13"/>
        <v>0.90643500066902505</v>
      </c>
      <c r="W53" s="52"/>
      <c r="X53" s="52"/>
      <c r="Y53" s="52"/>
      <c r="Z53" s="52"/>
      <c r="AA53" s="52"/>
      <c r="AB53" s="52"/>
      <c r="AC53" s="52"/>
      <c r="AD53" s="78" t="s">
        <v>46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</row>
    <row r="54" spans="1:41" s="9" customFormat="1" ht="23.25" hidden="1" outlineLevel="1" x14ac:dyDescent="0.35">
      <c r="A54" s="52"/>
      <c r="B54" s="52"/>
      <c r="C54" s="114" t="s">
        <v>104</v>
      </c>
      <c r="E54" s="240" t="str">
        <f ca="1">_xll.DBRA(Server&amp;$C$25,$C54,$F$16)</f>
        <v>Personnel Mis à Disposition</v>
      </c>
      <c r="F54" s="240"/>
      <c r="G54" s="240"/>
      <c r="H54" s="39"/>
      <c r="I54" s="175">
        <f ca="1">_xll.DBRW(Server&amp;Cube1,$F$21,$F$14,$F$15,$F$20,$C$18,$F$17,$F$19,$C$19,$H$3,I$1,$C54)</f>
        <v>-265.05952000000002</v>
      </c>
      <c r="J54" s="175" t="str">
        <f>_xll.DBRW(Server&amp;Cube1,$F$21,$F$14,$F$15,$F$20,$C$18,$F$17,$F$19,$C$19,$H$2,J$1,$C54)</f>
        <v/>
      </c>
      <c r="K54" s="175">
        <f ca="1">_xll.DBRW(Server&amp;Cube1,$F$21,$F$14,$F$15,$F$20,$C$18,$F$17,$F$19,$C$19,$H$2,K$1,$C54)</f>
        <v>-328.62502999999998</v>
      </c>
      <c r="L54" s="173">
        <f ca="1">_xll.DBRW(Server&amp;Cube1,$F$21,$F$14,$F$15,$F$20,$C$18,$F$17,$F$19,$C$19,$H$2,L$1,$C54)</f>
        <v>-328.62502999999998</v>
      </c>
      <c r="M54" s="150"/>
      <c r="N54" s="179">
        <f t="shared" ca="1" si="7"/>
        <v>0</v>
      </c>
      <c r="O54" s="165">
        <f t="shared" ca="1" si="8"/>
        <v>0</v>
      </c>
      <c r="P54" s="180" t="str">
        <f t="shared" ca="1" si="9"/>
        <v>è</v>
      </c>
      <c r="Q54" s="179">
        <f t="shared" ca="1" si="10"/>
        <v>-63.565509999999961</v>
      </c>
      <c r="R54" s="52"/>
      <c r="S54" s="179">
        <f ca="1">_xll.DBRW(Server&amp;Cube1,$F$21,$F$14,$F$15,$F$20,$C$18,$F$17,$F$19,$C$19,$K$2,K$1,$C54)</f>
        <v>-2581.6916384722226</v>
      </c>
      <c r="T54" s="52"/>
      <c r="U54" s="179">
        <f t="shared" ca="1" si="11"/>
        <v>-2253.0666084722225</v>
      </c>
      <c r="V54" s="165">
        <f t="shared" ca="1" si="13"/>
        <v>0.87270941846700489</v>
      </c>
      <c r="W54" s="52"/>
      <c r="X54" s="52"/>
      <c r="Y54" s="52"/>
      <c r="Z54" s="52"/>
      <c r="AA54" s="52"/>
      <c r="AB54" s="52"/>
      <c r="AC54" s="52"/>
      <c r="AD54" s="68" t="s">
        <v>51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</row>
    <row r="55" spans="1:41" s="9" customFormat="1" ht="24" collapsed="1" thickBot="1" x14ac:dyDescent="0.4">
      <c r="A55" s="52"/>
      <c r="B55" s="52"/>
      <c r="C55" s="113" t="s">
        <v>106</v>
      </c>
      <c r="E55" s="234" t="str">
        <f ca="1">_xll.DBRA(Server&amp;$C$25,$C55,$F$16)</f>
        <v>Frais de déplacement</v>
      </c>
      <c r="F55" s="234"/>
      <c r="G55" s="234"/>
      <c r="H55" s="190"/>
      <c r="I55" s="192">
        <f ca="1">_xll.DBRW(Server&amp;Cube1,$F$21,$F$14,$F$15,$F$20,$C$18,$F$17,$F$19,$C$19,$H$3,I$1,$C55)</f>
        <v>-506.60768000000013</v>
      </c>
      <c r="J55" s="192" t="str">
        <f>_xll.DBRW(Server&amp;Cube1,$F$21,$F$14,$F$15,$F$20,$C$18,$F$17,$F$19,$C$19,$H$2,J$1,$C55)</f>
        <v/>
      </c>
      <c r="K55" s="192">
        <f ca="1">_xll.DBRW(Server&amp;Cube1,$F$21,$F$14,$F$15,$F$20,$C$18,$F$17,$F$19,$C$19,$H$2,K$1,$C55)</f>
        <v>-96.66267000000002</v>
      </c>
      <c r="L55" s="192">
        <f ca="1">_xll.DBRW(Server&amp;Cube1,$F$21,$F$14,$F$15,$F$20,$C$18,$F$17,$F$19,$C$19,$H$2,L$1,$C55)</f>
        <v>-96.78267000000001</v>
      </c>
      <c r="M55" s="203"/>
      <c r="N55" s="194">
        <f t="shared" ca="1" si="7"/>
        <v>-0.11999999999999034</v>
      </c>
      <c r="O55" s="195">
        <f t="shared" ca="1" si="8"/>
        <v>-1.2414306370803778E-3</v>
      </c>
      <c r="P55" s="196" t="str">
        <f t="shared" ca="1" si="9"/>
        <v>è</v>
      </c>
      <c r="Q55" s="194">
        <f t="shared" ca="1" si="10"/>
        <v>409.82501000000013</v>
      </c>
      <c r="R55" s="52"/>
      <c r="S55" s="194">
        <f ca="1">_xll.DBRW(Server&amp;Cube1,$F$21,$F$14,$F$15,$F$20,$C$18,$F$17,$F$19,$C$19,$K$2,K$1,$C55)</f>
        <v>-1231.8672300000003</v>
      </c>
      <c r="T55" s="52"/>
      <c r="U55" s="194">
        <f t="shared" ca="1" si="11"/>
        <v>-1135.0845600000002</v>
      </c>
      <c r="V55" s="195">
        <f t="shared" ca="1" si="13"/>
        <v>0.92143417111598946</v>
      </c>
      <c r="W55" s="52"/>
      <c r="X55" s="52"/>
      <c r="Y55" s="52"/>
      <c r="Z55" s="52"/>
      <c r="AA55" s="52"/>
      <c r="AB55" s="52"/>
      <c r="AC55" s="52"/>
      <c r="AD55" s="75" t="s">
        <v>56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</row>
    <row r="56" spans="1:41" s="9" customFormat="1" ht="24" hidden="1" outlineLevel="1" thickBot="1" x14ac:dyDescent="0.4">
      <c r="A56" s="52"/>
      <c r="B56" s="52"/>
      <c r="C56" s="114" t="s">
        <v>107</v>
      </c>
      <c r="E56" s="240" t="str">
        <f ca="1">_xll.DBRA(Server&amp;$C$25,$C56,$F$16)</f>
        <v>Notes de Frais</v>
      </c>
      <c r="F56" s="240"/>
      <c r="G56" s="240"/>
      <c r="H56" s="39"/>
      <c r="I56" s="175">
        <f ca="1">_xll.DBRW(Server&amp;Cube1,$F$21,$F$14,$F$15,$F$20,$C$18,$F$17,$F$19,$C$19,$H$3,I$1,$C56)</f>
        <v>-81.14839000000002</v>
      </c>
      <c r="J56" s="175" t="str">
        <f>_xll.DBRW(Server&amp;Cube1,$F$21,$F$14,$F$15,$F$20,$C$18,$F$17,$F$19,$C$19,$H$2,J$1,$C56)</f>
        <v/>
      </c>
      <c r="K56" s="175">
        <f ca="1">_xll.DBRW(Server&amp;Cube1,$F$21,$F$14,$F$15,$F$20,$C$18,$F$17,$F$19,$C$19,$H$2,K$1,$C56)</f>
        <v>-44.167230000000004</v>
      </c>
      <c r="L56" s="148">
        <f ca="1">_xll.DBRW(Server&amp;Cube1,$F$21,$F$14,$F$15,$F$20,$C$18,$F$17,$F$19,$C$19,$H$2,L$1,$C56)</f>
        <v>-44.287230000000001</v>
      </c>
      <c r="M56" s="150"/>
      <c r="N56" s="179">
        <f t="shared" ca="1" si="7"/>
        <v>-0.11999999999999744</v>
      </c>
      <c r="O56" s="165">
        <f t="shared" ca="1" si="8"/>
        <v>-2.7169464781920311E-3</v>
      </c>
      <c r="P56" s="180" t="str">
        <f t="shared" ca="1" si="9"/>
        <v>è</v>
      </c>
      <c r="Q56" s="179">
        <f t="shared" ca="1" si="10"/>
        <v>36.861160000000019</v>
      </c>
      <c r="R56" s="52"/>
      <c r="S56" s="179">
        <f ca="1">_xll.DBRW(Server&amp;Cube1,$F$21,$F$14,$F$15,$F$20,$C$18,$F$17,$F$19,$C$19,$K$2,K$1,$C56)</f>
        <v>-395.67559000000006</v>
      </c>
      <c r="T56" s="52"/>
      <c r="U56" s="179">
        <f t="shared" ca="1" si="11"/>
        <v>-351.38836000000003</v>
      </c>
      <c r="V56" s="165">
        <f t="shared" ca="1" si="13"/>
        <v>0.88807186715763786</v>
      </c>
      <c r="W56" s="52"/>
      <c r="X56" s="52"/>
      <c r="Y56" s="52"/>
      <c r="Z56" s="52"/>
      <c r="AA56" s="52"/>
      <c r="AB56" s="52"/>
      <c r="AC56" s="52"/>
      <c r="AD56" s="76" t="s">
        <v>57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</row>
    <row r="57" spans="1:41" s="9" customFormat="1" ht="23.25" hidden="1" outlineLevel="1" x14ac:dyDescent="0.35">
      <c r="A57" s="52"/>
      <c r="B57" s="52"/>
      <c r="C57" s="114" t="s">
        <v>108</v>
      </c>
      <c r="E57" s="240" t="str">
        <f ca="1">_xll.DBRA(Server&amp;$C$25,$C57,$F$16)</f>
        <v>Déplacements</v>
      </c>
      <c r="F57" s="240"/>
      <c r="G57" s="240"/>
      <c r="H57" s="39"/>
      <c r="I57" s="175">
        <f ca="1">_xll.DBRW(Server&amp;Cube1,$F$21,$F$14,$F$15,$F$20,$C$18,$F$17,$F$19,$C$19,$H$3,I$1,$C57)</f>
        <v>-425.45929000000007</v>
      </c>
      <c r="J57" s="175" t="str">
        <f>_xll.DBRW(Server&amp;Cube1,$F$21,$F$14,$F$15,$F$20,$C$18,$F$17,$F$19,$C$19,$H$2,J$1,$C57)</f>
        <v/>
      </c>
      <c r="K57" s="175">
        <f ca="1">_xll.DBRW(Server&amp;Cube1,$F$21,$F$14,$F$15,$F$20,$C$18,$F$17,$F$19,$C$19,$H$2,K$1,$C57)</f>
        <v>-52.495440000000002</v>
      </c>
      <c r="L57" s="148">
        <f ca="1">_xll.DBRW(Server&amp;Cube1,$F$21,$F$14,$F$15,$F$20,$C$18,$F$17,$F$19,$C$19,$H$2,L$1,$C57)</f>
        <v>-52.495440000000002</v>
      </c>
      <c r="M57" s="150"/>
      <c r="N57" s="179">
        <f t="shared" ca="1" si="7"/>
        <v>0</v>
      </c>
      <c r="O57" s="165">
        <f t="shared" ca="1" si="8"/>
        <v>0</v>
      </c>
      <c r="P57" s="180" t="str">
        <f t="shared" ca="1" si="9"/>
        <v>è</v>
      </c>
      <c r="Q57" s="179">
        <f t="shared" ca="1" si="10"/>
        <v>372.96385000000009</v>
      </c>
      <c r="R57" s="52"/>
      <c r="S57" s="179">
        <f ca="1">_xll.DBRW(Server&amp;Cube1,$F$21,$F$14,$F$15,$F$20,$C$18,$F$17,$F$19,$C$19,$K$2,K$1,$C57)</f>
        <v>-836.19163999999989</v>
      </c>
      <c r="T57" s="52"/>
      <c r="U57" s="179">
        <f t="shared" ca="1" si="11"/>
        <v>-783.69619999999986</v>
      </c>
      <c r="V57" s="165">
        <f t="shared" ca="1" si="13"/>
        <v>0.93722080263801721</v>
      </c>
      <c r="W57" s="52"/>
      <c r="X57" s="52"/>
      <c r="Y57" s="52"/>
      <c r="Z57" s="52"/>
      <c r="AA57" s="52"/>
      <c r="AB57" s="52"/>
      <c r="AC57" s="52"/>
      <c r="AD57" s="88" t="s">
        <v>63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</row>
    <row r="58" spans="1:41" s="9" customFormat="1" ht="24" collapsed="1" thickBot="1" x14ac:dyDescent="0.4">
      <c r="A58" s="52"/>
      <c r="B58" s="52"/>
      <c r="C58" s="113" t="s">
        <v>109</v>
      </c>
      <c r="E58" s="234" t="str">
        <f ca="1">_xll.DBRA(Server&amp;$C$25,$C58,$F$16)</f>
        <v>Coûts d'environnement, Taxes et dotations</v>
      </c>
      <c r="F58" s="234"/>
      <c r="G58" s="234"/>
      <c r="H58" s="190"/>
      <c r="I58" s="192">
        <f ca="1">_xll.DBRW(Server&amp;Cube1,$F$21,$F$14,$F$15,$F$20,$C$18,$F$17,$F$19,$C$19,$H$3,I$1,$C58)</f>
        <v>-1790.4934500000002</v>
      </c>
      <c r="J58" s="192" t="str">
        <f>_xll.DBRW(Server&amp;Cube1,$F$21,$F$14,$F$15,$F$20,$C$18,$F$17,$F$19,$C$19,$H$2,J$1,$C58)</f>
        <v/>
      </c>
      <c r="K58" s="192">
        <f ca="1">_xll.DBRW(Server&amp;Cube1,$F$21,$F$14,$F$15,$F$20,$C$18,$F$17,$F$19,$C$19,$H$2,K$1,$C58)</f>
        <v>-1551.8927200000001</v>
      </c>
      <c r="L58" s="192">
        <f ca="1">_xll.DBRW(Server&amp;Cube1,$F$21,$F$14,$F$15,$F$20,$C$18,$F$17,$F$19,$C$19,$H$2,L$1,$C58)</f>
        <v>-1571.2876900000001</v>
      </c>
      <c r="M58" s="203"/>
      <c r="N58" s="194">
        <f t="shared" ca="1" si="7"/>
        <v>-19.394970000000058</v>
      </c>
      <c r="O58" s="195">
        <f t="shared" ca="1" si="8"/>
        <v>-1.2497622902696558E-2</v>
      </c>
      <c r="P58" s="196" t="str">
        <f t="shared" ca="1" si="9"/>
        <v>î</v>
      </c>
      <c r="Q58" s="194">
        <f t="shared" ca="1" si="10"/>
        <v>219.20576000000005</v>
      </c>
      <c r="R58" s="52"/>
      <c r="S58" s="194">
        <f ca="1">_xll.DBRW(Server&amp;Cube1,$F$21,$F$14,$F$15,$F$20,$C$18,$F$17,$F$19,$C$19,$K$2,K$1,$C58)</f>
        <v>-10203.545080984501</v>
      </c>
      <c r="T58" s="52"/>
      <c r="U58" s="194">
        <f t="shared" ca="1" si="11"/>
        <v>-8632.2573909845014</v>
      </c>
      <c r="V58" s="195">
        <f t="shared" ca="1" si="13"/>
        <v>0.84600570904241135</v>
      </c>
      <c r="W58" s="52"/>
      <c r="X58" s="52"/>
      <c r="Y58" s="52"/>
      <c r="Z58" s="52"/>
      <c r="AA58" s="52"/>
      <c r="AB58" s="52"/>
      <c r="AC58" s="52"/>
      <c r="AD58" s="89" t="s">
        <v>64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</row>
    <row r="59" spans="1:41" s="9" customFormat="1" ht="24" thickBot="1" x14ac:dyDescent="0.4">
      <c r="A59" s="52"/>
      <c r="B59" s="52"/>
      <c r="C59" s="116" t="s">
        <v>110</v>
      </c>
      <c r="E59" s="232" t="str">
        <f ca="1">_xll.DBRA(Server&amp;$C$25,$C59,$F$16)</f>
        <v>Coûts d'environnement</v>
      </c>
      <c r="F59" s="232"/>
      <c r="G59" s="232"/>
      <c r="H59" s="39"/>
      <c r="I59" s="174">
        <f ca="1">_xll.DBRW(Server&amp;Cube1,$F$21,$F$14,$F$15,$F$20,$C$18,$F$17,$F$19,$C$19,$H$3,I$1,$C59)</f>
        <v>-748.38504</v>
      </c>
      <c r="J59" s="174" t="str">
        <f>_xll.DBRW(Server&amp;Cube1,$F$21,$F$14,$F$15,$F$20,$C$18,$F$17,$F$19,$C$19,$H$2,J$1,$C59)</f>
        <v/>
      </c>
      <c r="K59" s="174">
        <f ca="1">_xll.DBRW(Server&amp;Cube1,$F$21,$F$14,$F$15,$F$20,$C$18,$F$17,$F$19,$C$19,$H$2,K$1,$C59)</f>
        <v>-545.85076000000004</v>
      </c>
      <c r="L59" s="173">
        <f ca="1">_xll.DBRW(Server&amp;Cube1,$F$21,$F$14,$F$15,$F$20,$C$18,$F$17,$F$19,$C$19,$H$2,L$1,$C59)</f>
        <v>-546.63316000000009</v>
      </c>
      <c r="M59" s="149"/>
      <c r="N59" s="178">
        <f t="shared" ca="1" si="7"/>
        <v>-0.78240000000005239</v>
      </c>
      <c r="O59" s="164">
        <f t="shared" ca="1" si="8"/>
        <v>-1.4333588177106364E-3</v>
      </c>
      <c r="P59" s="180" t="str">
        <f t="shared" ca="1" si="9"/>
        <v>è</v>
      </c>
      <c r="Q59" s="178">
        <f t="shared" ca="1" si="10"/>
        <v>201.75187999999991</v>
      </c>
      <c r="R59" s="52"/>
      <c r="S59" s="178">
        <f ca="1">_xll.DBRW(Server&amp;Cube1,$F$21,$F$14,$F$15,$F$20,$C$18,$F$17,$F$19,$C$19,$K$2,K$1,$C59)</f>
        <v>-4497.61085</v>
      </c>
      <c r="T59" s="52"/>
      <c r="U59" s="178">
        <f t="shared" ca="1" si="11"/>
        <v>-3950.9776899999997</v>
      </c>
      <c r="V59" s="164">
        <f t="shared" ca="1" si="13"/>
        <v>0.87846143692044854</v>
      </c>
      <c r="W59" s="52"/>
      <c r="X59" s="52"/>
      <c r="Y59" s="52"/>
      <c r="Z59" s="52"/>
      <c r="AA59" s="52"/>
      <c r="AB59" s="52"/>
      <c r="AC59" s="52"/>
      <c r="AD59" s="73" t="s">
        <v>65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</row>
    <row r="60" spans="1:41" s="9" customFormat="1" ht="23.25" hidden="1" outlineLevel="1" x14ac:dyDescent="0.35">
      <c r="A60" s="52"/>
      <c r="B60" s="52"/>
      <c r="C60" s="114" t="s">
        <v>111</v>
      </c>
      <c r="E60" s="240" t="str">
        <f ca="1">_xll.DBRA(Server&amp;$C$25,$C60,$F$16)</f>
        <v>Coûts bureautique</v>
      </c>
      <c r="F60" s="240"/>
      <c r="G60" s="240"/>
      <c r="H60" s="39"/>
      <c r="I60" s="175">
        <f ca="1">_xll.DBRW(Server&amp;Cube1,$F$21,$F$14,$F$15,$F$20,$C$18,$F$17,$F$19,$C$19,$H$3,I$1,$C60)</f>
        <v>-2.0409999999999999</v>
      </c>
      <c r="J60" s="175" t="str">
        <f>_xll.DBRW(Server&amp;Cube1,$F$21,$F$14,$F$15,$F$20,$C$18,$F$17,$F$19,$C$19,$H$2,J$1,$C60)</f>
        <v/>
      </c>
      <c r="K60" s="175">
        <f ca="1">_xll.DBRW(Server&amp;Cube1,$F$21,$F$14,$F$15,$F$20,$C$18,$F$17,$F$19,$C$19,$H$2,K$1,$C60)</f>
        <v>0</v>
      </c>
      <c r="L60" s="173">
        <f ca="1">_xll.DBRW(Server&amp;Cube1,$F$21,$F$14,$F$15,$F$20,$C$18,$F$17,$F$19,$C$19,$H$2,L$1,$C60)</f>
        <v>-0.78239999999999998</v>
      </c>
      <c r="M60" s="149"/>
      <c r="N60" s="179">
        <f t="shared" ca="1" si="7"/>
        <v>-0.78239999999999998</v>
      </c>
      <c r="O60" s="165">
        <f t="shared" ca="1" si="8"/>
        <v>0</v>
      </c>
      <c r="P60" s="180" t="str">
        <f t="shared" ca="1" si="9"/>
        <v>è</v>
      </c>
      <c r="Q60" s="179">
        <f t="shared" ca="1" si="10"/>
        <v>1.2585999999999999</v>
      </c>
      <c r="R60" s="52"/>
      <c r="S60" s="179">
        <f ca="1">_xll.DBRW(Server&amp;Cube1,$F$21,$F$14,$F$15,$F$20,$C$18,$F$17,$F$19,$C$19,$K$2,K$1,$C60)</f>
        <v>-0.5</v>
      </c>
      <c r="T60" s="52"/>
      <c r="U60" s="179">
        <f t="shared" ca="1" si="11"/>
        <v>0.28239999999999998</v>
      </c>
      <c r="V60" s="165">
        <f t="shared" ca="1" si="13"/>
        <v>-0.56479999999999997</v>
      </c>
      <c r="W60" s="52"/>
      <c r="X60" s="52"/>
      <c r="Y60" s="52"/>
      <c r="Z60" s="52"/>
      <c r="AA60" s="52"/>
      <c r="AB60" s="52"/>
      <c r="AC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</row>
    <row r="61" spans="1:41" s="9" customFormat="1" ht="23.25" hidden="1" outlineLevel="1" x14ac:dyDescent="0.35">
      <c r="A61" s="52"/>
      <c r="B61" s="52"/>
      <c r="C61" s="114" t="s">
        <v>112</v>
      </c>
      <c r="E61" s="240" t="str">
        <f ca="1">_xll.DBRA(Server&amp;$C$25,$C61,$F$16)</f>
        <v>Location Bâtiment</v>
      </c>
      <c r="F61" s="240"/>
      <c r="G61" s="240"/>
      <c r="H61" s="39"/>
      <c r="I61" s="175">
        <f ca="1">_xll.DBRW(Server&amp;Cube1,$F$21,$F$14,$F$15,$F$20,$C$18,$F$17,$F$19,$C$19,$H$3,I$1,$C61)</f>
        <v>-746.34404000000006</v>
      </c>
      <c r="J61" s="175" t="str">
        <f>_xll.DBRW(Server&amp;Cube1,$F$21,$F$14,$F$15,$F$20,$C$18,$F$17,$F$19,$C$19,$H$2,J$1,$C61)</f>
        <v/>
      </c>
      <c r="K61" s="175">
        <f ca="1">_xll.DBRW(Server&amp;Cube1,$F$21,$F$14,$F$15,$F$20,$C$18,$F$17,$F$19,$C$19,$H$2,K$1,$C61)</f>
        <v>-545.85076000000004</v>
      </c>
      <c r="L61" s="173">
        <f ca="1">_xll.DBRW(Server&amp;Cube1,$F$21,$F$14,$F$15,$F$20,$C$18,$F$17,$F$19,$C$19,$H$2,L$1,$C61)</f>
        <v>-545.85076000000004</v>
      </c>
      <c r="M61" s="149"/>
      <c r="N61" s="179">
        <f t="shared" ca="1" si="7"/>
        <v>0</v>
      </c>
      <c r="O61" s="165">
        <f t="shared" ca="1" si="8"/>
        <v>0</v>
      </c>
      <c r="P61" s="180" t="str">
        <f t="shared" ca="1" si="9"/>
        <v>è</v>
      </c>
      <c r="Q61" s="179">
        <f t="shared" ca="1" si="10"/>
        <v>200.49328000000003</v>
      </c>
      <c r="R61" s="52"/>
      <c r="S61" s="179">
        <f ca="1">_xll.DBRW(Server&amp;Cube1,$F$21,$F$14,$F$15,$F$20,$C$18,$F$17,$F$19,$C$19,$K$2,K$1,$C61)</f>
        <v>-4497.11085</v>
      </c>
      <c r="T61" s="52"/>
      <c r="U61" s="179">
        <f t="shared" ca="1" si="11"/>
        <v>-3951.2600899999998</v>
      </c>
      <c r="V61" s="165">
        <f t="shared" ca="1" si="13"/>
        <v>0.87862190232646808</v>
      </c>
      <c r="W61" s="52"/>
      <c r="X61" s="52"/>
      <c r="Y61" s="52"/>
      <c r="Z61" s="52"/>
      <c r="AA61" s="52"/>
      <c r="AB61" s="52"/>
      <c r="AC61" s="52"/>
      <c r="AD61" s="9" t="s">
        <v>174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</row>
    <row r="62" spans="1:41" s="9" customFormat="1" ht="23.25" collapsed="1" x14ac:dyDescent="0.35">
      <c r="A62" s="52"/>
      <c r="B62" s="52"/>
      <c r="C62" s="116" t="s">
        <v>113</v>
      </c>
      <c r="E62" s="232" t="str">
        <f ca="1">_xll.DBRA(Server&amp;$C$25,$C62,$F$16)</f>
        <v>Autres coûts liés au personnel</v>
      </c>
      <c r="F62" s="232"/>
      <c r="G62" s="232"/>
      <c r="H62" s="39"/>
      <c r="I62" s="174">
        <f ca="1">_xll.DBRW(Server&amp;Cube1,$F$21,$F$14,$F$15,$F$20,$C$18,$F$17,$F$19,$C$19,$H$3,I$1,$C62)</f>
        <v>-184.04301999999998</v>
      </c>
      <c r="J62" s="174" t="str">
        <f>_xll.DBRW(Server&amp;Cube1,$F$21,$F$14,$F$15,$F$20,$C$18,$F$17,$F$19,$C$19,$H$2,J$1,$C62)</f>
        <v/>
      </c>
      <c r="K62" s="174">
        <f ca="1">_xll.DBRW(Server&amp;Cube1,$F$21,$F$14,$F$15,$F$20,$C$18,$F$17,$F$19,$C$19,$H$2,K$1,$C62)</f>
        <v>-140.52625999999995</v>
      </c>
      <c r="L62" s="173">
        <f ca="1">_xll.DBRW(Server&amp;Cube1,$F$21,$F$14,$F$15,$F$20,$C$18,$F$17,$F$19,$C$19,$H$2,L$1,$C62)</f>
        <v>-144.20460000000003</v>
      </c>
      <c r="M62" s="149"/>
      <c r="N62" s="178">
        <f t="shared" ca="1" si="7"/>
        <v>-3.6783400000000768</v>
      </c>
      <c r="O62" s="164">
        <f t="shared" ca="1" si="8"/>
        <v>-2.6175463575278231E-2</v>
      </c>
      <c r="P62" s="180" t="str">
        <f t="shared" ref="P62:P81" ca="1" si="14">IF(O62&gt;0.01,$AF$27,IF(O62&lt;-0.01,$AG$27,$AH$27))</f>
        <v>î</v>
      </c>
      <c r="Q62" s="178">
        <f t="shared" ca="1" si="10"/>
        <v>39.838419999999957</v>
      </c>
      <c r="R62" s="52"/>
      <c r="S62" s="178">
        <f ca="1">_xll.DBRW(Server&amp;Cube1,$F$21,$F$14,$F$15,$F$20,$C$18,$F$17,$F$19,$C$19,$K$2,K$1,$C62)</f>
        <v>-916.49170000000004</v>
      </c>
      <c r="T62" s="52"/>
      <c r="U62" s="178">
        <f t="shared" ca="1" si="11"/>
        <v>-772.28710000000001</v>
      </c>
      <c r="V62" s="164">
        <f t="shared" ca="1" si="13"/>
        <v>0.84265585820362587</v>
      </c>
      <c r="W62" s="52"/>
      <c r="X62" s="52"/>
      <c r="Y62" s="52"/>
      <c r="Z62" s="52"/>
      <c r="AA62" s="52"/>
      <c r="AB62" s="52"/>
      <c r="AC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</row>
    <row r="63" spans="1:41" s="9" customFormat="1" ht="23.25" hidden="1" outlineLevel="1" x14ac:dyDescent="0.35">
      <c r="A63" s="52"/>
      <c r="B63" s="52"/>
      <c r="C63" s="114" t="s">
        <v>114</v>
      </c>
      <c r="E63" s="240" t="str">
        <f ca="1">_xll.DBRA(Server&amp;$C$25,$C63,$F$16)</f>
        <v>Cout véhicules de fonction</v>
      </c>
      <c r="F63" s="240"/>
      <c r="G63" s="240"/>
      <c r="H63" s="39"/>
      <c r="I63" s="175">
        <f ca="1">_xll.DBRW(Server&amp;Cube1,$F$21,$F$14,$F$15,$F$20,$C$18,$F$17,$F$19,$C$19,$H$3,I$1,$C63)</f>
        <v>-153.24156999999997</v>
      </c>
      <c r="J63" s="175" t="str">
        <f>_xll.DBRW(Server&amp;Cube1,$F$21,$F$14,$F$15,$F$20,$C$18,$F$17,$F$19,$C$19,$H$2,J$1,$C63)</f>
        <v/>
      </c>
      <c r="K63" s="175">
        <f ca="1">_xll.DBRW(Server&amp;Cube1,$F$21,$F$14,$F$15,$F$20,$C$18,$F$17,$F$19,$C$19,$H$2,K$1,$C63)</f>
        <v>-107.25022</v>
      </c>
      <c r="L63" s="173">
        <f ca="1">_xll.DBRW(Server&amp;Cube1,$F$21,$F$14,$F$15,$F$20,$C$18,$F$17,$F$19,$C$19,$H$2,L$1,$C63)</f>
        <v>-109.55343000000005</v>
      </c>
      <c r="M63" s="149"/>
      <c r="N63" s="179">
        <f t="shared" ca="1" si="7"/>
        <v>-2.3032100000000497</v>
      </c>
      <c r="O63" s="165">
        <f t="shared" ca="1" si="8"/>
        <v>-2.1475107463649491E-2</v>
      </c>
      <c r="P63" s="180" t="str">
        <f t="shared" ca="1" si="14"/>
        <v>î</v>
      </c>
      <c r="Q63" s="179">
        <f t="shared" ca="1" si="10"/>
        <v>43.688139999999919</v>
      </c>
      <c r="R63" s="52"/>
      <c r="S63" s="179">
        <f ca="1">_xll.DBRW(Server&amp;Cube1,$F$21,$F$14,$F$15,$F$20,$C$18,$F$17,$F$19,$C$19,$K$2,K$1,$C63)</f>
        <v>-672.54416000000003</v>
      </c>
      <c r="T63" s="52"/>
      <c r="U63" s="179">
        <f t="shared" ca="1" si="11"/>
        <v>-562.99072999999999</v>
      </c>
      <c r="V63" s="165">
        <f t="shared" ca="1" si="13"/>
        <v>0.83710596788172242</v>
      </c>
      <c r="W63" s="52"/>
      <c r="X63" s="52"/>
      <c r="Y63" s="52"/>
      <c r="Z63" s="52"/>
      <c r="AA63" s="52"/>
      <c r="AB63" s="52"/>
      <c r="AC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</row>
    <row r="64" spans="1:41" s="9" customFormat="1" ht="23.25" hidden="1" outlineLevel="1" x14ac:dyDescent="0.35">
      <c r="A64" s="52"/>
      <c r="B64" s="52"/>
      <c r="C64" s="114" t="s">
        <v>115</v>
      </c>
      <c r="E64" s="240" t="str">
        <f ca="1">_xll.DBRA(Server&amp;$C$25,$C64,$F$16)</f>
        <v>Location Appartement de fonction</v>
      </c>
      <c r="F64" s="240"/>
      <c r="G64" s="240"/>
      <c r="H64" s="39"/>
      <c r="I64" s="175">
        <f ca="1">_xll.DBRW(Server&amp;Cube1,$F$21,$F$14,$F$15,$F$20,$C$18,$F$17,$F$19,$C$19,$H$3,I$1,$C64)</f>
        <v>-13.996589999999999</v>
      </c>
      <c r="J64" s="175" t="str">
        <f>_xll.DBRW(Server&amp;Cube1,$F$21,$F$14,$F$15,$F$20,$C$18,$F$17,$F$19,$C$19,$H$2,J$1,$C64)</f>
        <v/>
      </c>
      <c r="K64" s="175">
        <f ca="1">_xll.DBRW(Server&amp;Cube1,$F$21,$F$14,$F$15,$F$20,$C$18,$F$17,$F$19,$C$19,$H$2,K$1,$C64)</f>
        <v>-16.395480000000003</v>
      </c>
      <c r="L64" s="173">
        <f ca="1">_xll.DBRW(Server&amp;Cube1,$F$21,$F$14,$F$15,$F$20,$C$18,$F$17,$F$19,$C$19,$H$2,L$1,$C64)</f>
        <v>-16.395479999999999</v>
      </c>
      <c r="M64" s="149"/>
      <c r="N64" s="179">
        <f t="shared" ca="1" si="7"/>
        <v>0</v>
      </c>
      <c r="O64" s="165">
        <f t="shared" ca="1" si="8"/>
        <v>0</v>
      </c>
      <c r="P64" s="180" t="str">
        <f t="shared" ca="1" si="14"/>
        <v>è</v>
      </c>
      <c r="Q64" s="179">
        <f t="shared" ca="1" si="10"/>
        <v>-2.3988899999999997</v>
      </c>
      <c r="R64" s="52"/>
      <c r="S64" s="179">
        <f ca="1">_xll.DBRW(Server&amp;Cube1,$F$21,$F$14,$F$15,$F$20,$C$18,$F$17,$F$19,$C$19,$K$2,K$1,$C64)</f>
        <v>-68.242359999999991</v>
      </c>
      <c r="T64" s="52"/>
      <c r="U64" s="179">
        <f t="shared" ca="1" si="11"/>
        <v>-51.846879999999992</v>
      </c>
      <c r="V64" s="165">
        <f t="shared" ca="1" si="13"/>
        <v>0.75974629247874781</v>
      </c>
      <c r="W64" s="52"/>
      <c r="X64" s="52"/>
      <c r="Y64" s="52"/>
      <c r="Z64" s="52"/>
      <c r="AA64" s="52"/>
      <c r="AB64" s="52"/>
      <c r="AC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</row>
    <row r="65" spans="1:41" s="9" customFormat="1" ht="23.25" hidden="1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>
        <f ca="1">_xll.DBRW(Server&amp;Cube1,$F$21,$F$14,$F$15,$F$20,$C$18,$F$17,$F$19,$C$19,$H$3,I$1,$C65)</f>
        <v>-16.804860000000044</v>
      </c>
      <c r="J65" s="175" t="str">
        <f>_xll.DBRW(Server&amp;Cube1,$F$21,$F$14,$F$15,$F$20,$C$18,$F$17,$F$19,$C$19,$H$2,J$1,$C65)</f>
        <v/>
      </c>
      <c r="K65" s="175">
        <f ca="1">_xll.DBRW(Server&amp;Cube1,$F$21,$F$14,$F$15,$F$20,$C$18,$F$17,$F$19,$C$19,$H$2,K$1,$C65)</f>
        <v>-16.880559999999999</v>
      </c>
      <c r="L65" s="173">
        <f ca="1">_xll.DBRW(Server&amp;Cube1,$F$21,$F$14,$F$15,$F$20,$C$18,$F$17,$F$19,$C$19,$H$2,L$1,$C65)</f>
        <v>-18.255690000000037</v>
      </c>
      <c r="M65" s="149"/>
      <c r="N65" s="178">
        <f t="shared" ref="N65:N81" ca="1" si="15">L65-K65</f>
        <v>-1.3751300000000377</v>
      </c>
      <c r="O65" s="165">
        <f t="shared" ref="O65:O81" ca="1" si="16">IF(K65=0,0,IF(K65&lt;0,N65/-K65,N65/K65))</f>
        <v>-8.1462344851120916E-2</v>
      </c>
      <c r="P65" s="180" t="str">
        <f t="shared" ca="1" si="14"/>
        <v>î</v>
      </c>
      <c r="Q65" s="179">
        <f t="shared" ref="Q65:Q81" ca="1" si="17">L65-I65</f>
        <v>-1.4508299999999927</v>
      </c>
      <c r="R65" s="52"/>
      <c r="S65" s="179">
        <f ca="1">_xll.DBRW(Server&amp;Cube1,$F$21,$F$14,$F$15,$F$20,$C$18,$F$17,$F$19,$C$19,$K$2,K$1,$C65)</f>
        <v>-175.70518000000001</v>
      </c>
      <c r="T65" s="52"/>
      <c r="U65" s="178">
        <f t="shared" ca="1" si="11"/>
        <v>-157.44948999999997</v>
      </c>
      <c r="V65" s="165">
        <f t="shared" ca="1" si="13"/>
        <v>0.89610044507509656</v>
      </c>
      <c r="W65" s="52"/>
      <c r="X65" s="52"/>
      <c r="Y65" s="52"/>
      <c r="Z65" s="52"/>
      <c r="AA65" s="52"/>
      <c r="AB65" s="52"/>
      <c r="AC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</row>
    <row r="66" spans="1:41" s="9" customFormat="1" ht="23.25" collapsed="1" x14ac:dyDescent="0.35">
      <c r="A66" s="52"/>
      <c r="B66" s="52"/>
      <c r="C66" s="116" t="s">
        <v>117</v>
      </c>
      <c r="E66" s="232" t="str">
        <f ca="1">_xll.DBRA(Server&amp;$C$25,$C66,$F$16)</f>
        <v>Autres impôts et taxes</v>
      </c>
      <c r="F66" s="232"/>
      <c r="G66" s="232"/>
      <c r="H66" s="39"/>
      <c r="I66" s="174">
        <f ca="1">_xll.DBRW(Server&amp;Cube1,$F$21,$F$14,$F$15,$F$20,$C$18,$F$17,$F$19,$C$19,$H$3,I$1,$C66)</f>
        <v>-298.05862000000002</v>
      </c>
      <c r="J66" s="174" t="str">
        <f>_xll.DBRW(Server&amp;Cube1,$F$21,$F$14,$F$15,$F$20,$C$18,$F$17,$F$19,$C$19,$H$2,J$1,$C66)</f>
        <v/>
      </c>
      <c r="K66" s="174">
        <f ca="1">_xll.DBRW(Server&amp;Cube1,$F$21,$F$14,$F$15,$F$20,$C$18,$F$17,$F$19,$C$19,$H$2,K$1,$C66)</f>
        <v>-281.86866000000003</v>
      </c>
      <c r="L66" s="173">
        <f ca="1">_xll.DBRW(Server&amp;Cube1,$F$21,$F$14,$F$15,$F$20,$C$18,$F$17,$F$19,$C$19,$H$2,L$1,$C66)</f>
        <v>-286.48766000000006</v>
      </c>
      <c r="M66" s="149"/>
      <c r="N66" s="178">
        <f t="shared" ca="1" si="15"/>
        <v>-4.6190000000000282</v>
      </c>
      <c r="O66" s="164">
        <f t="shared" ca="1" si="16"/>
        <v>-1.6387064812384704E-2</v>
      </c>
      <c r="P66" s="180" t="str">
        <f t="shared" ca="1" si="14"/>
        <v>î</v>
      </c>
      <c r="Q66" s="178">
        <f t="shared" ca="1" si="17"/>
        <v>11.570959999999957</v>
      </c>
      <c r="R66" s="52"/>
      <c r="S66" s="178">
        <f ca="1">_xll.DBRW(Server&amp;Cube1,$F$21,$F$14,$F$15,$F$20,$C$18,$F$17,$F$19,$C$19,$K$2,K$1,$C66)</f>
        <v>-1774.5</v>
      </c>
      <c r="T66" s="52"/>
      <c r="U66" s="178">
        <f t="shared" ca="1" si="11"/>
        <v>-1488.01234</v>
      </c>
      <c r="V66" s="164">
        <f t="shared" ca="1" si="13"/>
        <v>0.83855302338686954</v>
      </c>
      <c r="W66" s="52"/>
      <c r="X66" s="52"/>
      <c r="Y66" s="52"/>
      <c r="Z66" s="52"/>
      <c r="AA66" s="52"/>
      <c r="AB66" s="52"/>
      <c r="AC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</row>
    <row r="67" spans="1:41" s="9" customFormat="1" ht="23.25" hidden="1" outlineLevel="1" x14ac:dyDescent="0.35">
      <c r="A67" s="52"/>
      <c r="B67" s="52"/>
      <c r="C67" s="114" t="s">
        <v>118</v>
      </c>
      <c r="E67" s="240" t="str">
        <f ca="1">_xll.DBRA(Server&amp;$C$25,$C67,$F$16)</f>
        <v>CET - CVAE</v>
      </c>
      <c r="F67" s="240"/>
      <c r="G67" s="240"/>
      <c r="H67" s="39"/>
      <c r="I67" s="175">
        <f ca="1">_xll.DBRW(Server&amp;Cube1,$F$21,$F$14,$F$15,$F$20,$C$18,$F$17,$F$19,$C$19,$H$3,I$1,$C67)</f>
        <v>-150</v>
      </c>
      <c r="J67" s="175" t="str">
        <f>_xll.DBRW(Server&amp;Cube1,$F$21,$F$14,$F$15,$F$20,$C$18,$F$17,$F$19,$C$19,$H$2,J$1,$C67)</f>
        <v/>
      </c>
      <c r="K67" s="175">
        <f ca="1">_xll.DBRW(Server&amp;Cube1,$F$21,$F$14,$F$15,$F$20,$C$18,$F$17,$F$19,$C$19,$H$2,K$1,$C67)</f>
        <v>-150</v>
      </c>
      <c r="L67" s="173">
        <f ca="1">_xll.DBRW(Server&amp;Cube1,$F$21,$F$14,$F$15,$F$20,$C$18,$F$17,$F$19,$C$19,$H$2,L$1,$C67)</f>
        <v>-150</v>
      </c>
      <c r="M67" s="149"/>
      <c r="N67" s="179">
        <f t="shared" ca="1" si="15"/>
        <v>0</v>
      </c>
      <c r="O67" s="165">
        <f t="shared" ca="1" si="16"/>
        <v>0</v>
      </c>
      <c r="P67" s="180" t="str">
        <f t="shared" ca="1" si="14"/>
        <v>è</v>
      </c>
      <c r="Q67" s="179">
        <f t="shared" ca="1" si="17"/>
        <v>0</v>
      </c>
      <c r="R67" s="52"/>
      <c r="S67" s="179">
        <f ca="1">_xll.DBRW(Server&amp;Cube1,$F$21,$F$14,$F$15,$F$20,$C$18,$F$17,$F$19,$C$19,$K$2,K$1,$C67)</f>
        <v>-900</v>
      </c>
      <c r="T67" s="52"/>
      <c r="U67" s="179">
        <f t="shared" ca="1" si="11"/>
        <v>-750</v>
      </c>
      <c r="V67" s="165">
        <f t="shared" ca="1" si="13"/>
        <v>0.83333333333333337</v>
      </c>
      <c r="W67" s="52"/>
      <c r="X67" s="52"/>
      <c r="Y67" s="52"/>
      <c r="Z67" s="52"/>
      <c r="AA67" s="52"/>
      <c r="AB67" s="52"/>
      <c r="AC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</row>
    <row r="68" spans="1:41" s="9" customFormat="1" ht="23.25" hidden="1" outlineLevel="1" x14ac:dyDescent="0.35">
      <c r="A68" s="52"/>
      <c r="B68" s="52"/>
      <c r="C68" s="114" t="s">
        <v>119</v>
      </c>
      <c r="E68" s="240" t="str">
        <f ca="1">_xll.DBRA(Server&amp;$C$25,$C68,$F$16)</f>
        <v>Impôts et taxes divers</v>
      </c>
      <c r="F68" s="240"/>
      <c r="G68" s="240"/>
      <c r="H68" s="39"/>
      <c r="I68" s="175">
        <f ca="1">_xll.DBRW(Server&amp;Cube1,$F$21,$F$14,$F$15,$F$20,$C$18,$F$17,$F$19,$C$19,$H$3,I$1,$C68)</f>
        <v>-148.05861999999999</v>
      </c>
      <c r="J68" s="175" t="str">
        <f>_xll.DBRW(Server&amp;Cube1,$F$21,$F$14,$F$15,$F$20,$C$18,$F$17,$F$19,$C$19,$H$2,J$1,$C68)</f>
        <v/>
      </c>
      <c r="K68" s="175">
        <f ca="1">_xll.DBRW(Server&amp;Cube1,$F$21,$F$14,$F$15,$F$20,$C$18,$F$17,$F$19,$C$19,$H$2,K$1,$C68)</f>
        <v>-131.86866000000001</v>
      </c>
      <c r="L68" s="173">
        <f ca="1">_xll.DBRW(Server&amp;Cube1,$F$21,$F$14,$F$15,$F$20,$C$18,$F$17,$F$19,$C$19,$H$2,L$1,$C68)</f>
        <v>-136.48766000000001</v>
      </c>
      <c r="M68" s="149"/>
      <c r="N68" s="179">
        <f t="shared" ca="1" si="15"/>
        <v>-4.6189999999999998</v>
      </c>
      <c r="O68" s="165">
        <f t="shared" ca="1" si="16"/>
        <v>-3.5027276382424755E-2</v>
      </c>
      <c r="P68" s="180" t="str">
        <f t="shared" ca="1" si="14"/>
        <v>î</v>
      </c>
      <c r="Q68" s="179">
        <f t="shared" ca="1" si="17"/>
        <v>11.570959999999985</v>
      </c>
      <c r="R68" s="52"/>
      <c r="S68" s="179">
        <f ca="1">_xll.DBRW(Server&amp;Cube1,$F$21,$F$14,$F$15,$F$20,$C$18,$F$17,$F$19,$C$19,$K$2,K$1,$C68)</f>
        <v>-874.5</v>
      </c>
      <c r="T68" s="52"/>
      <c r="U68" s="179">
        <f t="shared" ca="1" si="11"/>
        <v>-738.01233999999999</v>
      </c>
      <c r="V68" s="165">
        <f t="shared" ca="1" si="13"/>
        <v>0.84392491709548312</v>
      </c>
      <c r="W68" s="52"/>
      <c r="X68" s="52"/>
      <c r="Y68" s="52"/>
      <c r="Z68" s="52"/>
      <c r="AA68" s="52"/>
      <c r="AB68" s="52"/>
      <c r="AC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</row>
    <row r="69" spans="1:41" s="9" customFormat="1" ht="23.25" collapsed="1" x14ac:dyDescent="0.35">
      <c r="A69" s="52"/>
      <c r="B69" s="52"/>
      <c r="C69" s="116" t="s">
        <v>120</v>
      </c>
      <c r="E69" s="232" t="str">
        <f ca="1">_xll.DBRA(Server&amp;$C$25,$C69,$F$16)</f>
        <v>Dotations amortissements et provisions exceptionnelles</v>
      </c>
      <c r="F69" s="232"/>
      <c r="G69" s="232"/>
      <c r="H69" s="39"/>
      <c r="I69" s="174">
        <f ca="1">_xll.DBRW(Server&amp;Cube1,$F$21,$F$14,$F$15,$F$20,$C$18,$F$17,$F$19,$C$19,$H$3,I$1,$C69)</f>
        <v>0</v>
      </c>
      <c r="J69" s="174" t="str">
        <f>_xll.DBRW(Server&amp;Cube1,$F$21,$F$14,$F$15,$F$20,$C$18,$F$17,$F$19,$C$19,$H$2,J$1,$C69)</f>
        <v/>
      </c>
      <c r="K69" s="174">
        <f ca="1">_xll.DBRW(Server&amp;Cube1,$F$21,$F$14,$F$15,$F$20,$C$18,$F$17,$F$19,$C$19,$H$2,K$1,$C69)</f>
        <v>-54.857240000000004</v>
      </c>
      <c r="L69" s="173">
        <f ca="1">_xll.DBRW(Server&amp;Cube1,$F$21,$F$14,$F$15,$F$20,$C$18,$F$17,$F$19,$C$19,$H$2,L$1,$C69)</f>
        <v>-73.174000000000007</v>
      </c>
      <c r="M69" s="149"/>
      <c r="N69" s="176">
        <f t="shared" ca="1" si="15"/>
        <v>-18.316760000000002</v>
      </c>
      <c r="O69" s="161">
        <f t="shared" ca="1" si="16"/>
        <v>-0.33389867955442165</v>
      </c>
      <c r="P69" s="180" t="str">
        <f t="shared" ca="1" si="14"/>
        <v>î</v>
      </c>
      <c r="Q69" s="176">
        <f t="shared" ca="1" si="17"/>
        <v>-73.174000000000007</v>
      </c>
      <c r="R69" s="52"/>
      <c r="S69" s="176">
        <f ca="1">_xll.DBRW(Server&amp;Cube1,$F$21,$F$14,$F$15,$F$20,$C$18,$F$17,$F$19,$C$19,$K$2,K$1,$C69)</f>
        <v>591.99917999999934</v>
      </c>
      <c r="T69" s="52"/>
      <c r="U69" s="176">
        <f t="shared" ca="1" si="11"/>
        <v>665.17317999999932</v>
      </c>
      <c r="V69" s="161">
        <f t="shared" ca="1" si="13"/>
        <v>1.1236049009392211</v>
      </c>
      <c r="W69" s="52"/>
      <c r="X69" s="52"/>
      <c r="Y69" s="52"/>
      <c r="Z69" s="52"/>
      <c r="AA69" s="52"/>
      <c r="AB69" s="52"/>
      <c r="AC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</row>
    <row r="70" spans="1:41" s="9" customFormat="1" ht="23.25" hidden="1" outlineLevel="1" x14ac:dyDescent="0.35">
      <c r="A70" s="52"/>
      <c r="B70" s="52"/>
      <c r="C70" s="114" t="s">
        <v>121</v>
      </c>
      <c r="E70" s="240" t="str">
        <f ca="1">_xll.DBRA(Server&amp;$C$25,$C70,$F$16)</f>
        <v>Amortissements exceptionnels</v>
      </c>
      <c r="F70" s="240"/>
      <c r="G70" s="240"/>
      <c r="H70" s="39"/>
      <c r="I70" s="175">
        <f ca="1">_xll.DBRW(Server&amp;Cube1,$F$21,$F$14,$F$15,$F$20,$C$18,$F$17,$F$19,$C$19,$H$3,I$1,$C70)</f>
        <v>0</v>
      </c>
      <c r="J70" s="175" t="str">
        <f>_xll.DBRW(Server&amp;Cube1,$F$21,$F$14,$F$15,$F$20,$C$18,$F$17,$F$19,$C$19,$H$2,J$1,$C70)</f>
        <v/>
      </c>
      <c r="K70" s="175">
        <f ca="1">_xll.DBRW(Server&amp;Cube1,$F$21,$F$14,$F$15,$F$20,$C$18,$F$17,$F$19,$C$19,$H$2,K$1,$C70)</f>
        <v>0</v>
      </c>
      <c r="L70" s="173">
        <f ca="1">_xll.DBRW(Server&amp;Cube1,$F$21,$F$14,$F$15,$F$20,$C$18,$F$17,$F$19,$C$19,$H$2,L$1,$C70)</f>
        <v>0</v>
      </c>
      <c r="M70" s="150"/>
      <c r="N70" s="177">
        <f t="shared" ca="1" si="15"/>
        <v>0</v>
      </c>
      <c r="O70" s="162">
        <f t="shared" ca="1" si="16"/>
        <v>0</v>
      </c>
      <c r="P70" s="180" t="str">
        <f t="shared" ca="1" si="14"/>
        <v>è</v>
      </c>
      <c r="Q70" s="177">
        <f t="shared" ca="1" si="17"/>
        <v>0</v>
      </c>
      <c r="R70" s="52"/>
      <c r="S70" s="177">
        <f ca="1">_xll.DBRW(Server&amp;Cube1,$F$21,$F$14,$F$15,$F$20,$C$18,$F$17,$F$19,$C$19,$K$2,K$1,$C70)</f>
        <v>0</v>
      </c>
      <c r="T70" s="52"/>
      <c r="U70" s="177">
        <f t="shared" ca="1" si="11"/>
        <v>0</v>
      </c>
      <c r="V70" s="162">
        <f t="shared" ca="1" si="13"/>
        <v>0</v>
      </c>
      <c r="W70" s="52"/>
      <c r="X70" s="52"/>
      <c r="Y70" s="52"/>
      <c r="Z70" s="52"/>
      <c r="AA70" s="52"/>
      <c r="AB70" s="52"/>
      <c r="AC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</row>
    <row r="71" spans="1:41" s="9" customFormat="1" ht="23.25" hidden="1" outlineLevel="1" x14ac:dyDescent="0.35">
      <c r="A71" s="52"/>
      <c r="B71" s="52"/>
      <c r="C71" s="114" t="s">
        <v>122</v>
      </c>
      <c r="E71" s="240" t="str">
        <f ca="1">_xll.DBRA(Server&amp;$C$25,$C71,$F$16)</f>
        <v>Provisions exceptionnelles</v>
      </c>
      <c r="F71" s="240"/>
      <c r="G71" s="240"/>
      <c r="H71" s="39"/>
      <c r="I71" s="175">
        <f ca="1">_xll.DBRW(Server&amp;Cube1,$F$21,$F$14,$F$15,$F$20,$C$18,$F$17,$F$19,$C$19,$H$3,I$1,$C71)</f>
        <v>0</v>
      </c>
      <c r="J71" s="175" t="str">
        <f>_xll.DBRW(Server&amp;Cube1,$F$21,$F$14,$F$15,$F$20,$C$18,$F$17,$F$19,$C$19,$H$2,J$1,$C71)</f>
        <v/>
      </c>
      <c r="K71" s="175">
        <f ca="1">_xll.DBRW(Server&amp;Cube1,$F$21,$F$14,$F$15,$F$20,$C$18,$F$17,$F$19,$C$19,$H$2,K$1,$C71)</f>
        <v>-54.857240000000004</v>
      </c>
      <c r="L71" s="173">
        <f ca="1">_xll.DBRW(Server&amp;Cube1,$F$21,$F$14,$F$15,$F$20,$C$18,$F$17,$F$19,$C$19,$H$2,L$1,$C71)</f>
        <v>-73.174000000000007</v>
      </c>
      <c r="M71" s="150"/>
      <c r="N71" s="177">
        <f t="shared" ca="1" si="15"/>
        <v>-18.316760000000002</v>
      </c>
      <c r="O71" s="162">
        <f t="shared" ca="1" si="16"/>
        <v>-0.33389867955442165</v>
      </c>
      <c r="P71" s="180" t="str">
        <f t="shared" ca="1" si="14"/>
        <v>î</v>
      </c>
      <c r="Q71" s="177">
        <f t="shared" ca="1" si="17"/>
        <v>-73.174000000000007</v>
      </c>
      <c r="R71" s="52"/>
      <c r="S71" s="177">
        <f ca="1">_xll.DBRW(Server&amp;Cube1,$F$21,$F$14,$F$15,$F$20,$C$18,$F$17,$F$19,$C$19,$K$2,K$1,$C71)</f>
        <v>591.99917999999934</v>
      </c>
      <c r="T71" s="52"/>
      <c r="U71" s="177">
        <f t="shared" ca="1" si="11"/>
        <v>665.17317999999932</v>
      </c>
      <c r="V71" s="162">
        <f t="shared" ca="1" si="13"/>
        <v>1.1236049009392211</v>
      </c>
      <c r="W71" s="52"/>
      <c r="X71" s="52"/>
      <c r="Y71" s="52"/>
      <c r="Z71" s="52"/>
      <c r="AA71" s="52"/>
      <c r="AB71" s="52"/>
      <c r="AC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</row>
    <row r="72" spans="1:41" s="9" customFormat="1" ht="23.25" collapsed="1" x14ac:dyDescent="0.35">
      <c r="A72" s="52"/>
      <c r="B72" s="52"/>
      <c r="C72" s="116" t="s">
        <v>123</v>
      </c>
      <c r="E72" s="232" t="str">
        <f ca="1">_xll.DBRA(Server&amp;$C$25,$C72,$F$16)</f>
        <v>Autres produits et charges exceptionnelles</v>
      </c>
      <c r="F72" s="232"/>
      <c r="G72" s="232"/>
      <c r="H72" s="39"/>
      <c r="I72" s="174">
        <f ca="1">_xll.DBRW(Server&amp;Cube1,$F$21,$F$14,$F$15,$F$20,$C$18,$F$17,$F$19,$C$19,$H$3,I$1,$C72)</f>
        <v>0</v>
      </c>
      <c r="J72" s="174" t="str">
        <f>_xll.DBRW(Server&amp;Cube1,$F$21,$F$14,$F$15,$F$20,$C$18,$F$17,$F$19,$C$19,$H$2,J$1,$C72)</f>
        <v/>
      </c>
      <c r="K72" s="174">
        <f ca="1">_xll.DBRW(Server&amp;Cube1,$F$21,$F$14,$F$15,$F$20,$C$18,$F$17,$F$19,$C$19,$H$2,K$1,$C72)</f>
        <v>0</v>
      </c>
      <c r="L72" s="173">
        <f ca="1">_xll.DBRW(Server&amp;Cube1,$F$21,$F$14,$F$15,$F$20,$C$18,$F$17,$F$19,$C$19,$H$2,L$1,$C72)</f>
        <v>0</v>
      </c>
      <c r="M72" s="149"/>
      <c r="N72" s="178">
        <f t="shared" ca="1" si="15"/>
        <v>0</v>
      </c>
      <c r="O72" s="164">
        <f t="shared" ca="1" si="16"/>
        <v>0</v>
      </c>
      <c r="P72" s="180" t="str">
        <f t="shared" ca="1" si="14"/>
        <v>è</v>
      </c>
      <c r="Q72" s="178">
        <f t="shared" ca="1" si="17"/>
        <v>0</v>
      </c>
      <c r="R72" s="52"/>
      <c r="S72" s="178">
        <f ca="1">_xll.DBRW(Server&amp;Cube1,$F$21,$F$14,$F$15,$F$20,$C$18,$F$17,$F$19,$C$19,$K$2,K$1,$C72)</f>
        <v>-48.319499999999998</v>
      </c>
      <c r="T72" s="52"/>
      <c r="U72" s="178">
        <f t="shared" ca="1" si="11"/>
        <v>-48.319499999999998</v>
      </c>
      <c r="V72" s="164">
        <f t="shared" ca="1" si="13"/>
        <v>1</v>
      </c>
      <c r="W72" s="52"/>
      <c r="X72" s="52"/>
      <c r="Y72" s="52"/>
      <c r="Z72" s="52"/>
      <c r="AA72" s="52"/>
      <c r="AB72" s="52"/>
      <c r="AC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</row>
    <row r="73" spans="1:41" s="9" customFormat="1" ht="23.25" hidden="1" outlineLevel="1" x14ac:dyDescent="0.35">
      <c r="A73" s="52"/>
      <c r="B73" s="52"/>
      <c r="C73" s="114" t="s">
        <v>124</v>
      </c>
      <c r="E73" s="240" t="str">
        <f ca="1">_xll.DBRA(Server&amp;$C$25,$C73,$F$16)</f>
        <v>Autres produits exceptionnels</v>
      </c>
      <c r="F73" s="240"/>
      <c r="G73" s="240"/>
      <c r="H73" s="39"/>
      <c r="I73" s="175">
        <f ca="1">_xll.DBRW(Server&amp;Cube1,$F$21,$F$14,$F$15,$F$20,$C$18,$F$17,$F$19,$C$19,$H$3,I$1,$C73)</f>
        <v>0</v>
      </c>
      <c r="J73" s="175" t="str">
        <f>_xll.DBRW(Server&amp;Cube1,$F$21,$F$14,$F$15,$F$20,$C$18,$F$17,$F$19,$C$19,$H$2,J$1,$C73)</f>
        <v/>
      </c>
      <c r="K73" s="175">
        <f ca="1">_xll.DBRW(Server&amp;Cube1,$F$21,$F$14,$F$15,$F$20,$C$18,$F$17,$F$19,$C$19,$H$2,K$1,$C73)</f>
        <v>0</v>
      </c>
      <c r="L73" s="173">
        <f ca="1">_xll.DBRW(Server&amp;Cube1,$F$21,$F$14,$F$15,$F$20,$C$18,$F$17,$F$19,$C$19,$H$2,L$1,$C73)</f>
        <v>0</v>
      </c>
      <c r="M73" s="149"/>
      <c r="N73" s="179">
        <f t="shared" ca="1" si="15"/>
        <v>0</v>
      </c>
      <c r="O73" s="165">
        <f t="shared" ca="1" si="16"/>
        <v>0</v>
      </c>
      <c r="P73" s="180" t="str">
        <f t="shared" ca="1" si="14"/>
        <v>è</v>
      </c>
      <c r="Q73" s="179">
        <f t="shared" ca="1" si="17"/>
        <v>0</v>
      </c>
      <c r="R73" s="52"/>
      <c r="S73" s="179">
        <f ca="1">_xll.DBRW(Server&amp;Cube1,$F$21,$F$14,$F$15,$F$20,$C$18,$F$17,$F$19,$C$19,$K$2,K$1,$C73)</f>
        <v>0</v>
      </c>
      <c r="T73" s="52"/>
      <c r="U73" s="179">
        <f t="shared" ca="1" si="11"/>
        <v>0</v>
      </c>
      <c r="V73" s="165">
        <f t="shared" ca="1" si="13"/>
        <v>0</v>
      </c>
      <c r="W73" s="52"/>
      <c r="X73" s="52"/>
      <c r="Y73" s="52"/>
      <c r="Z73" s="52"/>
      <c r="AA73" s="52"/>
      <c r="AB73" s="52"/>
      <c r="AC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</row>
    <row r="74" spans="1:41" s="9" customFormat="1" ht="23.25" hidden="1" outlineLevel="1" x14ac:dyDescent="0.35">
      <c r="A74" s="52"/>
      <c r="B74" s="52"/>
      <c r="C74" s="114" t="s">
        <v>125</v>
      </c>
      <c r="E74" s="240" t="str">
        <f ca="1">_xll.DBRA(Server&amp;$C$25,$C74,$F$16)</f>
        <v>Autres charges exceptionnelles</v>
      </c>
      <c r="F74" s="240"/>
      <c r="G74" s="240"/>
      <c r="H74" s="39"/>
      <c r="I74" s="175">
        <f ca="1">_xll.DBRW(Server&amp;Cube1,$F$21,$F$14,$F$15,$F$20,$C$18,$F$17,$F$19,$C$19,$H$3,I$1,$C74)</f>
        <v>0</v>
      </c>
      <c r="J74" s="175" t="str">
        <f>_xll.DBRW(Server&amp;Cube1,$F$21,$F$14,$F$15,$F$20,$C$18,$F$17,$F$19,$C$19,$H$2,J$1,$C74)</f>
        <v/>
      </c>
      <c r="K74" s="175">
        <f ca="1">_xll.DBRW(Server&amp;Cube1,$F$21,$F$14,$F$15,$F$20,$C$18,$F$17,$F$19,$C$19,$H$2,K$1,$C74)</f>
        <v>0</v>
      </c>
      <c r="L74" s="173">
        <f ca="1">_xll.DBRW(Server&amp;Cube1,$F$21,$F$14,$F$15,$F$20,$C$18,$F$17,$F$19,$C$19,$H$2,L$1,$C74)</f>
        <v>0</v>
      </c>
      <c r="M74" s="149"/>
      <c r="N74" s="179">
        <f t="shared" ca="1" si="15"/>
        <v>0</v>
      </c>
      <c r="O74" s="165">
        <f t="shared" ca="1" si="16"/>
        <v>0</v>
      </c>
      <c r="P74" s="180" t="str">
        <f t="shared" ca="1" si="14"/>
        <v>è</v>
      </c>
      <c r="Q74" s="179">
        <f t="shared" ca="1" si="17"/>
        <v>0</v>
      </c>
      <c r="R74" s="52"/>
      <c r="S74" s="179">
        <f ca="1">_xll.DBRW(Server&amp;Cube1,$F$21,$F$14,$F$15,$F$20,$C$18,$F$17,$F$19,$C$19,$K$2,K$1,$C74)</f>
        <v>-48.319499999999998</v>
      </c>
      <c r="T74" s="52"/>
      <c r="U74" s="179">
        <f t="shared" ca="1" si="11"/>
        <v>-48.319499999999998</v>
      </c>
      <c r="V74" s="165">
        <f t="shared" ca="1" si="13"/>
        <v>1</v>
      </c>
      <c r="W74" s="52"/>
      <c r="X74" s="52"/>
      <c r="Y74" s="52"/>
      <c r="Z74" s="52"/>
      <c r="AA74" s="52"/>
      <c r="AB74" s="52"/>
      <c r="AC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</row>
    <row r="75" spans="1:41" s="9" customFormat="1" ht="23.25" hidden="1" outlineLevel="1" x14ac:dyDescent="0.35">
      <c r="A75" s="52"/>
      <c r="B75" s="52"/>
      <c r="C75" s="114" t="s">
        <v>126</v>
      </c>
      <c r="E75" s="240" t="str">
        <f ca="1">_xll.DBRA(Server&amp;$C$25,$C75,$F$16)</f>
        <v>Résultats de cession</v>
      </c>
      <c r="F75" s="240"/>
      <c r="G75" s="240"/>
      <c r="H75" s="39"/>
      <c r="I75" s="175">
        <f ca="1">_xll.DBRW(Server&amp;Cube1,$F$21,$F$14,$F$15,$F$20,$C$18,$F$17,$F$19,$C$19,$H$3,I$1,$C75)</f>
        <v>0</v>
      </c>
      <c r="J75" s="175" t="str">
        <f>_xll.DBRW(Server&amp;Cube1,$F$21,$F$14,$F$15,$F$20,$C$18,$F$17,$F$19,$C$19,$H$2,J$1,$C75)</f>
        <v/>
      </c>
      <c r="K75" s="175">
        <f ca="1">_xll.DBRW(Server&amp;Cube1,$F$21,$F$14,$F$15,$F$20,$C$18,$F$17,$F$19,$C$19,$H$2,K$1,$C75)</f>
        <v>0</v>
      </c>
      <c r="L75" s="173">
        <f ca="1">_xll.DBRW(Server&amp;Cube1,$F$21,$F$14,$F$15,$F$20,$C$18,$F$17,$F$19,$C$19,$H$2,L$1,$C75)</f>
        <v>0</v>
      </c>
      <c r="M75" s="150"/>
      <c r="N75" s="179">
        <f t="shared" ca="1" si="15"/>
        <v>0</v>
      </c>
      <c r="O75" s="165">
        <f t="shared" ca="1" si="16"/>
        <v>0</v>
      </c>
      <c r="P75" s="180" t="str">
        <f t="shared" ca="1" si="14"/>
        <v>è</v>
      </c>
      <c r="Q75" s="179">
        <f t="shared" ca="1" si="17"/>
        <v>0</v>
      </c>
      <c r="R75" s="52"/>
      <c r="S75" s="179">
        <f ca="1">_xll.DBRW(Server&amp;Cube1,$F$21,$F$14,$F$15,$F$20,$C$18,$F$17,$F$19,$C$19,$K$2,K$1,$C75)</f>
        <v>0</v>
      </c>
      <c r="T75" s="52"/>
      <c r="U75" s="179">
        <f t="shared" ca="1" si="11"/>
        <v>0</v>
      </c>
      <c r="V75" s="165">
        <f t="shared" ca="1" si="13"/>
        <v>0</v>
      </c>
      <c r="W75" s="52"/>
      <c r="X75" s="52"/>
      <c r="Y75" s="52"/>
      <c r="Z75" s="52"/>
      <c r="AA75" s="52"/>
      <c r="AB75" s="52"/>
      <c r="AC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</row>
    <row r="76" spans="1:41" s="9" customFormat="1" ht="23.25" collapsed="1" x14ac:dyDescent="0.35">
      <c r="A76" s="52"/>
      <c r="B76" s="52"/>
      <c r="C76" s="116" t="s">
        <v>127</v>
      </c>
      <c r="E76" s="232" t="str">
        <f ca="1">_xll.DBRA(Server&amp;$C$25,$C76,$F$16)</f>
        <v>Dotations amortissements et provisions</v>
      </c>
      <c r="F76" s="232"/>
      <c r="G76" s="232"/>
      <c r="H76" s="39"/>
      <c r="I76" s="174">
        <f ca="1">_xll.DBRW(Server&amp;Cube1,$F$21,$F$14,$F$15,$F$20,$C$18,$F$17,$F$19,$C$19,$H$3,I$1,$C76)</f>
        <v>-560.00677000000007</v>
      </c>
      <c r="J76" s="174" t="str">
        <f>_xll.DBRW(Server&amp;Cube1,$F$21,$F$14,$F$15,$F$20,$C$18,$F$17,$F$19,$C$19,$H$2,J$1,$C76)</f>
        <v/>
      </c>
      <c r="K76" s="174">
        <f ca="1">_xll.DBRW(Server&amp;Cube1,$F$21,$F$14,$F$15,$F$20,$C$18,$F$17,$F$19,$C$19,$H$2,K$1,$C76)</f>
        <v>-528.78980000000013</v>
      </c>
      <c r="L76" s="173">
        <f ca="1">_xll.DBRW(Server&amp;Cube1,$F$21,$F$14,$F$15,$F$20,$C$18,$F$17,$F$19,$C$19,$H$2,L$1,$C76)</f>
        <v>-520.78827000000001</v>
      </c>
      <c r="M76" s="149"/>
      <c r="N76" s="178">
        <f t="shared" ca="1" si="15"/>
        <v>8.0015300000001162</v>
      </c>
      <c r="O76" s="164">
        <f t="shared" ca="1" si="16"/>
        <v>1.5131778260473469E-2</v>
      </c>
      <c r="P76" s="180" t="str">
        <f t="shared" ca="1" si="14"/>
        <v>ì</v>
      </c>
      <c r="Q76" s="178">
        <f t="shared" ca="1" si="17"/>
        <v>39.218500000000063</v>
      </c>
      <c r="R76" s="52"/>
      <c r="S76" s="178">
        <f ca="1">_xll.DBRW(Server&amp;Cube1,$F$21,$F$14,$F$15,$F$20,$C$18,$F$17,$F$19,$C$19,$K$2,K$1,$C76)</f>
        <v>-3558.6222109845003</v>
      </c>
      <c r="T76" s="52"/>
      <c r="U76" s="178">
        <f t="shared" ca="1" si="11"/>
        <v>-3037.8339409845003</v>
      </c>
      <c r="V76" s="164">
        <f t="shared" ca="1" si="13"/>
        <v>0.85365452157510058</v>
      </c>
      <c r="W76" s="52"/>
      <c r="X76" s="52"/>
      <c r="Y76" s="52"/>
      <c r="Z76" s="52"/>
      <c r="AA76" s="52"/>
      <c r="AB76" s="52"/>
      <c r="AC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</row>
    <row r="77" spans="1:41" s="9" customFormat="1" ht="23.25" hidden="1" outlineLevel="1" x14ac:dyDescent="0.35">
      <c r="A77" s="52"/>
      <c r="B77" s="52"/>
      <c r="C77" s="114" t="s">
        <v>128</v>
      </c>
      <c r="E77" s="240" t="str">
        <f ca="1">_xll.DBRA(Server&amp;$C$25,$C77,$F$16)</f>
        <v>Dotations aux Amortissements</v>
      </c>
      <c r="F77" s="240"/>
      <c r="G77" s="240"/>
      <c r="H77" s="39"/>
      <c r="I77" s="175">
        <f ca="1">_xll.DBRW(Server&amp;Cube1,$F$21,$F$14,$F$15,$F$20,$C$18,$F$17,$F$19,$C$19,$H$3,I$1,$C77)</f>
        <v>-578.32352999999989</v>
      </c>
      <c r="J77" s="175" t="str">
        <f>_xll.DBRW(Server&amp;Cube1,$F$21,$F$14,$F$15,$F$20,$C$18,$F$17,$F$19,$C$19,$H$2,J$1,$C77)</f>
        <v/>
      </c>
      <c r="K77" s="175">
        <f ca="1">_xll.DBRW(Server&amp;Cube1,$F$21,$F$14,$F$15,$F$20,$C$18,$F$17,$F$19,$C$19,$H$2,K$1,$C77)</f>
        <v>-528.78980000000013</v>
      </c>
      <c r="L77" s="173">
        <f ca="1">_xll.DBRW(Server&amp;Cube1,$F$21,$F$14,$F$15,$F$20,$C$18,$F$17,$F$19,$C$19,$H$2,L$1,$C77)</f>
        <v>-539.10503000000006</v>
      </c>
      <c r="M77" s="150"/>
      <c r="N77" s="179">
        <f t="shared" ca="1" si="15"/>
        <v>-10.315229999999929</v>
      </c>
      <c r="O77" s="165">
        <f t="shared" ca="1" si="16"/>
        <v>-1.9507240873405513E-2</v>
      </c>
      <c r="P77" s="180" t="str">
        <f t="shared" ca="1" si="14"/>
        <v>î</v>
      </c>
      <c r="Q77" s="179">
        <f t="shared" ca="1" si="17"/>
        <v>39.218499999999835</v>
      </c>
      <c r="R77" s="52"/>
      <c r="S77" s="179">
        <f ca="1">_xll.DBRW(Server&amp;Cube1,$F$21,$F$14,$F$15,$F$20,$C$18,$F$17,$F$19,$C$19,$K$2,K$1,$C77)</f>
        <v>-3558.6222109845003</v>
      </c>
      <c r="T77" s="52"/>
      <c r="U77" s="179">
        <f t="shared" ca="1" si="11"/>
        <v>-3019.5171809845001</v>
      </c>
      <c r="V77" s="165">
        <f t="shared" ca="1" si="13"/>
        <v>0.84850737222514672</v>
      </c>
      <c r="W77" s="52"/>
      <c r="X77" s="52"/>
      <c r="Y77" s="52"/>
      <c r="Z77" s="52"/>
      <c r="AA77" s="52"/>
      <c r="AB77" s="52"/>
      <c r="AC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</row>
    <row r="78" spans="1:41" s="9" customFormat="1" ht="23.25" hidden="1" outlineLevel="1" x14ac:dyDescent="0.35">
      <c r="A78" s="52"/>
      <c r="B78" s="52"/>
      <c r="C78" s="114" t="s">
        <v>129</v>
      </c>
      <c r="E78" s="240" t="str">
        <f ca="1">_xll.DBRA(Server&amp;$C$25,$C78,$F$16)</f>
        <v>Provisions</v>
      </c>
      <c r="F78" s="240"/>
      <c r="G78" s="240"/>
      <c r="H78" s="39"/>
      <c r="I78" s="175">
        <f ca="1">_xll.DBRW(Server&amp;Cube1,$F$21,$F$14,$F$15,$F$20,$C$18,$F$17,$F$19,$C$19,$H$3,I$1,$C78)</f>
        <v>18.316759999999999</v>
      </c>
      <c r="J78" s="175" t="str">
        <f>_xll.DBRW(Server&amp;Cube1,$F$21,$F$14,$F$15,$F$20,$C$18,$F$17,$F$19,$C$19,$H$2,J$1,$C78)</f>
        <v/>
      </c>
      <c r="K78" s="175">
        <f ca="1">_xll.DBRW(Server&amp;Cube1,$F$21,$F$14,$F$15,$F$20,$C$18,$F$17,$F$19,$C$19,$H$2,K$1,$C78)</f>
        <v>0</v>
      </c>
      <c r="L78" s="173">
        <f ca="1">_xll.DBRW(Server&amp;Cube1,$F$21,$F$14,$F$15,$F$20,$C$18,$F$17,$F$19,$C$19,$H$2,L$1,$C78)</f>
        <v>18.316759999999999</v>
      </c>
      <c r="M78" s="150"/>
      <c r="N78" s="179">
        <f t="shared" ca="1" si="15"/>
        <v>18.316759999999999</v>
      </c>
      <c r="O78" s="165">
        <f t="shared" ca="1" si="16"/>
        <v>0</v>
      </c>
      <c r="P78" s="180" t="str">
        <f t="shared" ca="1" si="14"/>
        <v>è</v>
      </c>
      <c r="Q78" s="179">
        <f t="shared" ca="1" si="17"/>
        <v>0</v>
      </c>
      <c r="R78" s="52"/>
      <c r="S78" s="179">
        <f ca="1">_xll.DBRW(Server&amp;Cube1,$F$21,$F$14,$F$15,$F$20,$C$18,$F$17,$F$19,$C$19,$K$2,K$1,$C78)</f>
        <v>0</v>
      </c>
      <c r="T78" s="52"/>
      <c r="U78" s="179">
        <f t="shared" ca="1" si="11"/>
        <v>-18.316759999999999</v>
      </c>
      <c r="V78" s="165">
        <f t="shared" ca="1" si="13"/>
        <v>0</v>
      </c>
      <c r="W78" s="52"/>
      <c r="X78" s="52"/>
      <c r="Y78" s="52"/>
      <c r="Z78" s="52"/>
      <c r="AA78" s="52"/>
      <c r="AB78" s="52"/>
      <c r="AC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</row>
    <row r="79" spans="1:41" s="9" customFormat="1" ht="23.25" hidden="1" collapsed="1" x14ac:dyDescent="0.35">
      <c r="A79" s="52"/>
      <c r="B79" s="52"/>
      <c r="C79" s="116" t="s">
        <v>130</v>
      </c>
      <c r="E79" s="232" t="str">
        <f ca="1">_xll.DBRA(Server&amp;$C$25,$C79,$F$16)</f>
        <v>Coûts communs</v>
      </c>
      <c r="F79" s="232"/>
      <c r="G79" s="232"/>
      <c r="H79" s="39"/>
      <c r="I79" s="174">
        <f ca="1">_xll.DBRW(Server&amp;Cube1,$F$21,$F$14,$F$15,$F$20,$C$18,$F$17,$F$19,$C$19,$H$3,I$1,$C79)</f>
        <v>0</v>
      </c>
      <c r="J79" s="174" t="str">
        <f>_xll.DBRW(Server&amp;Cube1,$F$21,$F$14,$F$15,$F$20,$C$18,$F$17,$F$19,$C$19,$H$2,J$1,$C79)</f>
        <v/>
      </c>
      <c r="K79" s="174">
        <f ca="1">_xll.DBRW(Server&amp;Cube1,$F$21,$F$14,$F$15,$F$20,$C$18,$F$17,$F$19,$C$19,$H$2,K$1,$C79)</f>
        <v>0</v>
      </c>
      <c r="L79" s="173">
        <f ca="1">_xll.DBRW(Server&amp;Cube1,$F$21,$F$14,$F$15,$F$20,$C$18,$F$17,$F$19,$C$19,$H$2,L$1,$C79)</f>
        <v>0</v>
      </c>
      <c r="M79" s="149"/>
      <c r="N79" s="176">
        <f t="shared" ca="1" si="15"/>
        <v>0</v>
      </c>
      <c r="O79" s="161">
        <f t="shared" ca="1" si="16"/>
        <v>0</v>
      </c>
      <c r="P79" s="180" t="str">
        <f t="shared" ca="1" si="14"/>
        <v>è</v>
      </c>
      <c r="Q79" s="176">
        <f t="shared" ca="1" si="17"/>
        <v>0</v>
      </c>
      <c r="R79" s="52"/>
      <c r="S79" s="176">
        <f ca="1">_xll.DBRW(Server&amp;Cube1,$F$21,$F$14,$F$15,$F$20,$C$18,$F$17,$F$19,$C$19,$K$2,K$1,$C79)</f>
        <v>0</v>
      </c>
      <c r="T79" s="52"/>
      <c r="U79" s="176">
        <f t="shared" ca="1" si="11"/>
        <v>0</v>
      </c>
      <c r="V79" s="161">
        <f t="shared" ca="1" si="13"/>
        <v>0</v>
      </c>
      <c r="W79" s="52"/>
      <c r="X79" s="52"/>
      <c r="Y79" s="52"/>
      <c r="Z79" s="52"/>
      <c r="AA79" s="52"/>
      <c r="AB79" s="52"/>
      <c r="AC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</row>
    <row r="80" spans="1:41" s="9" customFormat="1" ht="23.25" hidden="1" outlineLevel="1" x14ac:dyDescent="0.35">
      <c r="A80" s="52"/>
      <c r="B80" s="52"/>
      <c r="C80" s="114" t="s">
        <v>173</v>
      </c>
      <c r="E80" s="240" t="str">
        <f ca="1">_xll.DBRA(Server&amp;$C$25,$C80,$F$16)</f>
        <v>Coûts Crystal</v>
      </c>
      <c r="F80" s="240"/>
      <c r="G80" s="240"/>
      <c r="H80" s="39"/>
      <c r="I80" s="175">
        <f ca="1">_xll.DBRW(Server&amp;Cube1,$F$21,$F$14,$F$15,$F$20,$C$18,$F$17,$F$19,$C$19,$H$3,I$1,$C80)</f>
        <v>0</v>
      </c>
      <c r="J80" s="175" t="str">
        <f>_xll.DBRW(Server&amp;Cube1,$F$21,$F$14,$F$15,$F$20,$C$18,$F$17,$F$19,$C$19,$H$2,J$1,$C80)</f>
        <v/>
      </c>
      <c r="K80" s="175">
        <f ca="1">_xll.DBRW(Server&amp;Cube1,$F$21,$F$14,$F$15,$F$20,$C$18,$F$17,$F$19,$C$19,$H$2,K$1,$C80)</f>
        <v>0</v>
      </c>
      <c r="L80" s="173">
        <f ca="1">_xll.DBRW(Server&amp;Cube1,$F$21,$F$14,$F$15,$F$20,$C$18,$F$17,$F$19,$C$19,$H$2,L$1,$C80)</f>
        <v>0</v>
      </c>
      <c r="M80" s="150"/>
      <c r="N80" s="177">
        <f t="shared" ca="1" si="15"/>
        <v>0</v>
      </c>
      <c r="O80" s="162">
        <f t="shared" ca="1" si="16"/>
        <v>0</v>
      </c>
      <c r="P80" s="180" t="str">
        <f t="shared" ca="1" si="14"/>
        <v>è</v>
      </c>
      <c r="Q80" s="177">
        <f t="shared" ca="1" si="17"/>
        <v>0</v>
      </c>
      <c r="R80" s="52"/>
      <c r="S80" s="177">
        <f ca="1">_xll.DBRW(Server&amp;Cube1,$F$21,$F$14,$F$15,$F$20,$C$18,$F$17,$F$19,$C$19,$K$2,K$1,$C80)</f>
        <v>0</v>
      </c>
      <c r="T80" s="52"/>
      <c r="U80" s="177">
        <f t="shared" ca="1" si="11"/>
        <v>0</v>
      </c>
      <c r="V80" s="162">
        <f t="shared" ca="1" si="13"/>
        <v>0</v>
      </c>
      <c r="W80" s="52"/>
      <c r="X80" s="52"/>
      <c r="Y80" s="52"/>
      <c r="Z80" s="52"/>
      <c r="AA80" s="52"/>
      <c r="AB80" s="52"/>
      <c r="AC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</row>
    <row r="81" spans="1:41" s="9" customFormat="1" ht="23.25" hidden="1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>
        <f ca="1">_xll.DBRW(Server&amp;Cube1,$F$21,$F$14,$F$15,$F$20,$C$18,$F$17,$F$19,$C$19,$H$3,I$1,$C81)</f>
        <v>0</v>
      </c>
      <c r="J81" s="175" t="str">
        <f>_xll.DBRW(Server&amp;Cube1,$F$21,$F$14,$F$15,$F$20,$C$18,$F$17,$F$19,$C$19,$H$2,J$1,$C81)</f>
        <v/>
      </c>
      <c r="K81" s="175">
        <f ca="1">_xll.DBRW(Server&amp;Cube1,$F$21,$F$14,$F$15,$F$20,$C$18,$F$17,$F$19,$C$19,$H$2,K$1,$C81)</f>
        <v>0</v>
      </c>
      <c r="L81" s="173">
        <f ca="1">_xll.DBRW(Server&amp;Cube1,$F$21,$F$14,$F$15,$F$20,$C$18,$F$17,$F$19,$C$19,$H$2,L$1,$C81)</f>
        <v>0</v>
      </c>
      <c r="M81" s="150"/>
      <c r="N81" s="177">
        <f t="shared" ca="1" si="15"/>
        <v>0</v>
      </c>
      <c r="O81" s="162">
        <f t="shared" ca="1" si="16"/>
        <v>0</v>
      </c>
      <c r="P81" s="180" t="str">
        <f t="shared" ca="1" si="14"/>
        <v>è</v>
      </c>
      <c r="Q81" s="177">
        <f t="shared" ca="1" si="17"/>
        <v>0</v>
      </c>
      <c r="R81" s="52"/>
      <c r="S81" s="177">
        <f ca="1">_xll.DBRW(Server&amp;Cube1,$F$21,$F$14,$F$15,$F$20,$C$18,$F$17,$F$19,$C$19,$K$2,K$1,$C81)</f>
        <v>0</v>
      </c>
      <c r="T81" s="52"/>
      <c r="U81" s="177">
        <f t="shared" ca="1" si="11"/>
        <v>0</v>
      </c>
      <c r="V81" s="162">
        <f t="shared" ca="1" si="13"/>
        <v>0</v>
      </c>
      <c r="W81" s="52"/>
      <c r="X81" s="52"/>
      <c r="Y81" s="52"/>
      <c r="Z81" s="52"/>
      <c r="AA81" s="52"/>
      <c r="AB81" s="52"/>
      <c r="AC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</row>
    <row r="82" spans="1:41" s="9" customFormat="1" ht="24" collapsed="1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4"/>
      <c r="L82" s="155"/>
      <c r="M82" s="156"/>
      <c r="N82" s="157"/>
      <c r="O82" s="166"/>
      <c r="P82" s="182"/>
      <c r="Q82" s="157"/>
      <c r="R82" s="52"/>
      <c r="S82" s="157" t="str">
        <f ca="1">_xll.DBRW(Server&amp;Cube1,$F$21,$F$14,$F$15,$F$20,$C$18,$F$17,$F$19,$C$19,$K$2,K$1,$C82)</f>
        <v/>
      </c>
      <c r="T82" s="52"/>
      <c r="U82" s="157" t="e">
        <f t="shared" ca="1" si="11"/>
        <v>#VALUE!</v>
      </c>
      <c r="V82" s="166"/>
      <c r="W82" s="52"/>
      <c r="X82" s="52"/>
      <c r="Y82" s="52"/>
      <c r="Z82" s="52"/>
      <c r="AA82" s="52"/>
      <c r="AB82" s="52"/>
      <c r="AC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</row>
    <row r="83" spans="1:41" s="9" customFormat="1" ht="24" thickBot="1" x14ac:dyDescent="0.4">
      <c r="A83" s="52"/>
      <c r="B83" s="52"/>
      <c r="C83" s="113" t="s">
        <v>132</v>
      </c>
      <c r="E83" s="241" t="str">
        <f ca="1">_xll.DBRA(Server&amp;$C$25,$C83,$F$16)</f>
        <v>RESULTAT OPERATIONNEL AVANT MF</v>
      </c>
      <c r="F83" s="241"/>
      <c r="G83" s="241"/>
      <c r="H83" s="39"/>
      <c r="I83" s="197">
        <f ca="1">_xll.DBRW(Server&amp;Cube1,$F$21,$F$14,$F$15,$F$20,$C$18,$F$17,$F$19,$C$19,$H$3,I$1,$C83)</f>
        <v>-12337.112179999998</v>
      </c>
      <c r="J83" s="197" t="str">
        <f>_xll.DBRW(Server&amp;Cube1,$F$21,$F$14,$F$15,$F$20,$C$18,$F$17,$F$19,$C$19,$H$2,J$1,$C83)</f>
        <v/>
      </c>
      <c r="K83" s="197">
        <f ca="1">_xll.DBRW(Server&amp;Cube1,$F$21,$F$14,$F$15,$F$20,$C$18,$F$17,$F$19,$C$19,$H$2,K$1,$C83)</f>
        <v>-10993.186519999999</v>
      </c>
      <c r="L83" s="198">
        <f ca="1">_xll.DBRW(Server&amp;Cube1,$F$21,$F$14,$F$15,$F$20,$C$18,$F$17,$F$19,$C$19,$H$2,L$1,$C83)</f>
        <v>-11247.268410000002</v>
      </c>
      <c r="M83" s="203"/>
      <c r="N83" s="199">
        <f ca="1">L83-K83</f>
        <v>-254.08189000000311</v>
      </c>
      <c r="O83" s="200">
        <f ca="1">IF(K83=0,0,IF(K83&lt;0,N83/-K83,N83/K83))</f>
        <v>-2.3112669792125309E-2</v>
      </c>
      <c r="P83" s="201" t="str">
        <f ca="1">IF(O83&gt;0.01,$AF$27,IF(O83&lt;-0.01,$AG$27,$AH$27))</f>
        <v>î</v>
      </c>
      <c r="Q83" s="199">
        <f ca="1">L83-I83</f>
        <v>1089.8437699999959</v>
      </c>
      <c r="R83" s="52"/>
      <c r="S83" s="199">
        <f ca="1">_xll.DBRW(Server&amp;Cube1,$F$21,$F$14,$F$15,$F$20,$C$18,$F$17,$F$19,$C$19,$K$2,K$1,$C83)</f>
        <v>-72146.624103306851</v>
      </c>
      <c r="T83" s="52"/>
      <c r="U83" s="199">
        <f t="shared" ca="1" si="11"/>
        <v>-60899.355693306847</v>
      </c>
      <c r="V83" s="200">
        <f ca="1">IF(S83=0,0,U83/S83)</f>
        <v>0.84410540964612535</v>
      </c>
      <c r="W83" s="52"/>
      <c r="X83" s="52"/>
      <c r="Y83" s="52"/>
      <c r="Z83" s="52"/>
      <c r="AA83" s="52"/>
      <c r="AB83" s="52"/>
      <c r="AC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</row>
    <row r="84" spans="1:41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8"/>
      <c r="M84" s="153"/>
      <c r="N84" s="159"/>
      <c r="O84" s="167"/>
      <c r="P84" s="183"/>
      <c r="Q84" s="159"/>
      <c r="R84" s="52"/>
      <c r="S84" s="159" t="str">
        <f ca="1">_xll.DBRW(Server&amp;Cube1,$F$21,$F$14,$F$15,$F$20,$C$18,$F$17,$F$19,$C$19,$K$2,K$1,$C84)</f>
        <v/>
      </c>
      <c r="T84" s="52"/>
      <c r="U84" s="159"/>
      <c r="V84" s="167"/>
      <c r="W84" s="52"/>
      <c r="X84" s="52"/>
      <c r="Y84" s="52"/>
      <c r="Z84" s="52"/>
      <c r="AA84" s="52"/>
      <c r="AB84" s="52"/>
      <c r="AC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</row>
    <row r="85" spans="1:41" s="9" customFormat="1" ht="23.25" x14ac:dyDescent="0.35">
      <c r="A85" s="52"/>
      <c r="B85" s="52"/>
      <c r="C85" s="114" t="s">
        <v>172</v>
      </c>
      <c r="E85" s="243" t="str">
        <f ca="1">_xll.DBRA(Server&amp;$C$25,$C85,$F$16)</f>
        <v>Management fees - Refacturation de MF</v>
      </c>
      <c r="F85" s="243"/>
      <c r="G85" s="243"/>
      <c r="H85" s="39"/>
      <c r="I85" s="172">
        <f ca="1">_xll.DBRW(Server&amp;Cube1,$F$21,$F$14,$F$15,$F$20,$C$18,$F$17,$F$19,$C$19,$H$3,I$1,$C85)</f>
        <v>11327.482579999998</v>
      </c>
      <c r="J85" s="172" t="str">
        <f>_xll.DBRW(Server&amp;Cube1,$F$21,$F$14,$F$15,$F$20,$C$18,$F$17,$F$19,$C$19,$H$2,J$1,$C85)</f>
        <v/>
      </c>
      <c r="K85" s="172">
        <f ca="1">_xll.DBRW(Server&amp;Cube1,$F$21,$F$14,$F$15,$F$20,$C$18,$F$17,$F$19,$C$19,$H$2,K$1,$C85)</f>
        <v>11101.7</v>
      </c>
      <c r="L85" s="173">
        <f ca="1">_xll.DBRW(Server&amp;Cube1,$F$21,$F$14,$F$15,$F$20,$C$18,$F$17,$F$19,$C$19,$H$2,L$1,$C85)</f>
        <v>11101.7</v>
      </c>
      <c r="M85" s="150"/>
      <c r="N85" s="177">
        <f ca="1">L85-K85</f>
        <v>0</v>
      </c>
      <c r="O85" s="162">
        <f ca="1">IF(K85=0,0,IF(K85&lt;0,N85/-K85,N85/K85))</f>
        <v>0</v>
      </c>
      <c r="P85" s="180" t="str">
        <f ca="1">IF(O85&gt;0.01,$AF$27,IF(O85&lt;-0.01,$AG$27,$AH$27))</f>
        <v>è</v>
      </c>
      <c r="Q85" s="177">
        <f ca="1">L85-I85</f>
        <v>-225.78257999999732</v>
      </c>
      <c r="R85" s="52"/>
      <c r="S85" s="177">
        <f ca="1">_xll.DBRW(Server&amp;Cube1,$F$21,$F$14,$F$15,$F$20,$C$18,$F$17,$F$19,$C$19,$K$2,K$1,$C85)</f>
        <v>59145.062119304028</v>
      </c>
      <c r="T85" s="52"/>
      <c r="U85" s="177">
        <f t="shared" ca="1" si="11"/>
        <v>48043.362119304031</v>
      </c>
      <c r="V85" s="162">
        <f t="shared" ref="V85:V86" ca="1" si="18">IF(S85=0,0,U85/S85)</f>
        <v>0.81229709459757971</v>
      </c>
      <c r="W85" s="52"/>
      <c r="X85" s="52"/>
      <c r="Y85" s="52"/>
      <c r="Z85" s="52"/>
      <c r="AA85" s="52"/>
      <c r="AB85" s="52"/>
      <c r="AC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</row>
    <row r="86" spans="1:41" s="9" customFormat="1" ht="23.25" x14ac:dyDescent="0.35">
      <c r="A86" s="52"/>
      <c r="B86" s="52"/>
      <c r="C86" s="114" t="s">
        <v>176</v>
      </c>
      <c r="E86" s="243" t="str">
        <f ca="1">_xll.DBRA(Server&amp;$C$25,$C86,$F$16)</f>
        <v>Management fees - Frais de siège facturés (charge)</v>
      </c>
      <c r="F86" s="243"/>
      <c r="G86" s="243"/>
      <c r="H86" s="39"/>
      <c r="I86" s="172">
        <f ca="1">_xll.DBRW(Server&amp;Cube1,$F$21,$F$14,$F$15,$F$20,$C$18,$F$17,$F$19,$C$19,$H$3,I$1,$C86)</f>
        <v>0</v>
      </c>
      <c r="J86" s="172" t="str">
        <f>_xll.DBRW(Server&amp;Cube1,$F$21,$F$14,$F$15,$F$20,$C$18,$F$17,$F$19,$C$19,$H$2,J$1,$C86)</f>
        <v/>
      </c>
      <c r="K86" s="172">
        <f ca="1">_xll.DBRW(Server&amp;Cube1,$F$21,$F$14,$F$15,$F$20,$C$18,$F$17,$F$19,$C$19,$H$2,K$1,$C86)</f>
        <v>0</v>
      </c>
      <c r="L86" s="173">
        <f ca="1">_xll.DBRW(Server&amp;Cube1,$F$21,$F$14,$F$15,$F$20,$C$18,$F$17,$F$19,$C$19,$H$2,L$1,$C86)</f>
        <v>0</v>
      </c>
      <c r="M86" s="150"/>
      <c r="N86" s="177">
        <f ca="1">L86-K86</f>
        <v>0</v>
      </c>
      <c r="O86" s="162">
        <f ca="1">IF(K86=0,0,IF(K86&lt;0,N86/-K86,N86/K86))</f>
        <v>0</v>
      </c>
      <c r="P86" s="180" t="str">
        <f ca="1">IF(O86&gt;0.01,$AF$27,IF(O86&lt;-0.01,$AG$27,$AH$27))</f>
        <v>è</v>
      </c>
      <c r="Q86" s="177">
        <f ca="1">L86-I86</f>
        <v>0</v>
      </c>
      <c r="R86" s="52"/>
      <c r="S86" s="177">
        <f ca="1">_xll.DBRW(Server&amp;Cube1,$F$21,$F$14,$F$15,$F$20,$C$18,$F$17,$F$19,$C$19,$K$2,K$1,$C86)</f>
        <v>0</v>
      </c>
      <c r="T86" s="52"/>
      <c r="U86" s="177">
        <f t="shared" ca="1" si="11"/>
        <v>0</v>
      </c>
      <c r="V86" s="162">
        <f t="shared" ca="1" si="18"/>
        <v>0</v>
      </c>
      <c r="W86" s="52"/>
      <c r="X86" s="52"/>
      <c r="Y86" s="52"/>
      <c r="Z86" s="52"/>
      <c r="AA86" s="52"/>
      <c r="AB86" s="52"/>
      <c r="AC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</row>
    <row r="87" spans="1:41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8"/>
      <c r="M87" s="153"/>
      <c r="N87" s="159"/>
      <c r="O87" s="167"/>
      <c r="P87" s="183"/>
      <c r="Q87" s="159"/>
      <c r="R87" s="52"/>
      <c r="S87" s="159" t="str">
        <f ca="1">_xll.DBRW(Server&amp;Cube1,$F$21,$F$14,$F$15,$F$20,$C$18,$F$17,$F$19,$C$19,$K$2,K$1,$C87)</f>
        <v/>
      </c>
      <c r="T87" s="52"/>
      <c r="U87" s="159"/>
      <c r="V87" s="167"/>
      <c r="W87" s="52"/>
      <c r="X87" s="52"/>
      <c r="Y87" s="52"/>
      <c r="Z87" s="52"/>
      <c r="AA87" s="52"/>
      <c r="AB87" s="52"/>
      <c r="AC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</row>
    <row r="88" spans="1:41" s="9" customFormat="1" ht="24" thickBot="1" x14ac:dyDescent="0.4">
      <c r="A88" s="52"/>
      <c r="B88" s="52"/>
      <c r="C88" s="113" t="s">
        <v>133</v>
      </c>
      <c r="E88" s="241" t="str">
        <f ca="1">_xll.DBRA(Server&amp;$C$25,$C88,$F$16)</f>
        <v>RESULTAT OPERATIONNEL APRES MF</v>
      </c>
      <c r="F88" s="241"/>
      <c r="G88" s="241"/>
      <c r="H88" s="39"/>
      <c r="I88" s="197">
        <f ca="1">_xll.DBRW(Server&amp;Cube1,$F$21,$F$14,$F$15,$F$20,$C$18,$F$17,$F$19,$C$19,$H$3,I$1,$C88)</f>
        <v>-1009.6295999999974</v>
      </c>
      <c r="J88" s="197" t="str">
        <f>_xll.DBRW(Server&amp;Cube1,$F$21,$F$14,$F$15,$F$20,$C$18,$F$17,$F$19,$C$19,$H$2,J$1,$C88)</f>
        <v/>
      </c>
      <c r="K88" s="197">
        <f ca="1">_xll.DBRW(Server&amp;Cube1,$F$21,$F$14,$F$15,$F$20,$C$18,$F$17,$F$19,$C$19,$H$2,K$1,$C88)</f>
        <v>108.51348000000259</v>
      </c>
      <c r="L88" s="198">
        <f ca="1">_xll.DBRW(Server&amp;Cube1,$F$21,$F$14,$F$15,$F$20,$C$18,$F$17,$F$19,$C$19,$H$2,L$1,$C88)</f>
        <v>-145.56840999999818</v>
      </c>
      <c r="M88" s="203"/>
      <c r="N88" s="199">
        <f ca="1">L88-K88</f>
        <v>-254.08189000000078</v>
      </c>
      <c r="O88" s="200">
        <f ca="1">IF(K88=0,0,IF(K88&lt;0,N88/-K88,N88/K88))</f>
        <v>-2.3414776671063793</v>
      </c>
      <c r="P88" s="201" t="str">
        <f ca="1">IF(O88&gt;0.01,$AF$27,IF(O88&lt;-0.01,$AG$27,$AH$27))</f>
        <v>î</v>
      </c>
      <c r="Q88" s="199">
        <f ca="1">L88-I88</f>
        <v>864.06118999999921</v>
      </c>
      <c r="R88" s="52"/>
      <c r="S88" s="199">
        <f ca="1">_xll.DBRW(Server&amp;Cube1,$F$21,$F$14,$F$15,$F$20,$C$18,$F$17,$F$19,$C$19,$K$2,K$1,$C88)</f>
        <v>-13001.561984002843</v>
      </c>
      <c r="T88" s="52"/>
      <c r="U88" s="199">
        <f t="shared" ca="1" si="11"/>
        <v>-12855.993574002845</v>
      </c>
      <c r="V88" s="200">
        <f ca="1">IF(S88=0,0,U88/S88)</f>
        <v>0.98880377525568808</v>
      </c>
      <c r="W88" s="52"/>
      <c r="X88" s="52"/>
      <c r="Y88" s="52"/>
      <c r="Z88" s="52"/>
      <c r="AA88" s="52"/>
      <c r="AB88" s="52"/>
      <c r="AC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</row>
    <row r="89" spans="1:41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60"/>
      <c r="M89" s="149"/>
      <c r="N89" s="159"/>
      <c r="O89" s="167"/>
      <c r="P89" s="183"/>
      <c r="Q89" s="159"/>
      <c r="R89" s="52"/>
      <c r="S89" s="159" t="str">
        <f ca="1">_xll.DBRW(Server&amp;Cube1,$F$21,$F$14,$F$15,$F$20,$C$18,$F$17,$F$19,$C$19,$K$2,K$1,$C89)</f>
        <v/>
      </c>
      <c r="T89" s="52"/>
      <c r="U89" s="159"/>
      <c r="V89" s="167"/>
      <c r="W89" s="52"/>
      <c r="X89" s="52"/>
      <c r="Y89" s="52"/>
      <c r="Z89" s="52"/>
      <c r="AA89" s="52"/>
      <c r="AB89" s="52"/>
      <c r="AC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</row>
    <row r="90" spans="1:41" s="9" customFormat="1" ht="24" thickBot="1" x14ac:dyDescent="0.4">
      <c r="A90" s="52"/>
      <c r="B90" s="52"/>
      <c r="C90" s="113" t="s">
        <v>134</v>
      </c>
      <c r="E90" s="241" t="str">
        <f ca="1">_xll.DBRA(Server&amp;$C$25,$C90,$F$16)</f>
        <v>Total CAPEX</v>
      </c>
      <c r="F90" s="241"/>
      <c r="G90" s="241"/>
      <c r="H90" s="39"/>
      <c r="I90" s="197">
        <f ca="1">_xll.DBRW(Server&amp;Cube1,$F$21,$F$14,$F$15,$F$20,$C$18,$F$17,$F$19,$C$19,$H$3,I$1,$C90)</f>
        <v>288.54637999999994</v>
      </c>
      <c r="J90" s="197" t="str">
        <f>_xll.DBRW(Server&amp;Cube1,$F$21,$F$14,$F$15,$F$20,$C$18,$F$17,$F$19,$C$19,$H$2,J$1,$C90)</f>
        <v/>
      </c>
      <c r="K90" s="197">
        <f ca="1">_xll.DBRW(Server&amp;Cube1,$F$21,$F$14,$F$15,$F$20,$C$18,$F$17,$F$19,$C$19,$H$2,K$1,$C90)</f>
        <v>0</v>
      </c>
      <c r="L90" s="198">
        <f ca="1">_xll.DBRW(Server&amp;Cube1,$F$21,$F$14,$F$15,$F$20,$C$18,$F$17,$F$19,$C$19,$H$2,L$1,$C90)</f>
        <v>14.5284</v>
      </c>
      <c r="M90" s="203"/>
      <c r="N90" s="199">
        <f ca="1">L90-K90</f>
        <v>14.5284</v>
      </c>
      <c r="O90" s="200">
        <f ca="1">IF(K90=0,0,IF(K90&lt;0,N90/-K90,N90/K90))</f>
        <v>0</v>
      </c>
      <c r="P90" s="201" t="str">
        <f ca="1">IF(O90&gt;0.01,$AF$27,IF(O90&lt;-0.01,$AG$27,$AH$27))</f>
        <v>è</v>
      </c>
      <c r="Q90" s="199">
        <f ca="1">L90-I90</f>
        <v>-274.01797999999997</v>
      </c>
      <c r="R90" s="52"/>
      <c r="S90" s="199">
        <f ca="1">_xll.DBRW(Server&amp;Cube1,$F$21,$F$14,$F$15,$F$20,$C$18,$F$17,$F$19,$C$19,$K$2,K$1,$C90)</f>
        <v>3455</v>
      </c>
      <c r="T90" s="52"/>
      <c r="U90" s="199">
        <f t="shared" ca="1" si="11"/>
        <v>3440.4715999999999</v>
      </c>
      <c r="V90" s="200">
        <f ca="1">IF(S90=0,0,U90/S90)</f>
        <v>0.99579496382054988</v>
      </c>
      <c r="W90" s="52"/>
      <c r="X90" s="52"/>
      <c r="Y90" s="52"/>
      <c r="Z90" s="52"/>
      <c r="AA90" s="52"/>
      <c r="AB90" s="52"/>
      <c r="AC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</row>
    <row r="91" spans="1:41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8"/>
      <c r="M91" s="153"/>
      <c r="N91" s="159"/>
      <c r="O91" s="167"/>
      <c r="P91" s="183"/>
      <c r="Q91" s="159"/>
      <c r="R91" s="52"/>
      <c r="S91" s="159" t="str">
        <f ca="1">_xll.DBRW(Server&amp;Cube1,$F$21,$F$14,$F$15,$F$20,$C$18,$F$17,$F$19,$C$19,$K$2,K$1,$C91)</f>
        <v/>
      </c>
      <c r="T91" s="52"/>
      <c r="U91" s="159"/>
      <c r="V91" s="167"/>
      <c r="W91" s="52"/>
      <c r="X91" s="52"/>
      <c r="Y91" s="52"/>
      <c r="Z91" s="52"/>
      <c r="AA91" s="52"/>
      <c r="AB91" s="52"/>
      <c r="AC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</row>
    <row r="92" spans="1:41" ht="24" thickBot="1" x14ac:dyDescent="0.4">
      <c r="A92" s="121" t="s">
        <v>135</v>
      </c>
      <c r="B92" s="141" t="s">
        <v>138</v>
      </c>
      <c r="C92" s="113" t="s">
        <v>131</v>
      </c>
      <c r="D92" s="25"/>
      <c r="E92" s="241" t="str">
        <f ca="1">_xll.DBRA(Server&amp;$C$25,$C92,$F$16)</f>
        <v>CAFOP</v>
      </c>
      <c r="F92" s="241"/>
      <c r="G92" s="241"/>
      <c r="H92" s="39"/>
      <c r="I92" s="197">
        <f ca="1">_xll.DBRW(Server&amp;Cube1,$F$21,$F$14,$F$15,$F$20,$C$18,$F$17,$F$19,$C$19,$H$3,I$1,$C92)</f>
        <v>-431.30606999999736</v>
      </c>
      <c r="J92" s="197" t="str">
        <f>_xll.DBRW(Server&amp;Cube1,$F$21,$F$14,$F$15,$F$20,$C$18,$F$17,$F$19,$C$19,$H$2,J$1,$C92)</f>
        <v/>
      </c>
      <c r="K92" s="197">
        <f ca="1">_xll.DBRW(Server&amp;Cube1,$F$21,$F$14,$F$15,$F$20,$C$18,$F$17,$F$19,$C$19,$H$2,K$1,$C92)</f>
        <v>692.16052000000263</v>
      </c>
      <c r="L92" s="198">
        <f ca="1">_xll.DBRW(Server&amp;Cube1,$F$21,$F$14,$F$15,$F$20,$C$18,$F$17,$F$19,$C$19,$H$2,L$1,$C92)</f>
        <v>466.71062000000188</v>
      </c>
      <c r="M92" s="203"/>
      <c r="N92" s="199">
        <f ca="1">L92-K92</f>
        <v>-225.44990000000075</v>
      </c>
      <c r="O92" s="200">
        <f ca="1">IF(K92=0,0,IF(K92&lt;0,N92/-K92,N92/K92))</f>
        <v>-0.325719097645153</v>
      </c>
      <c r="P92" s="201" t="str">
        <f ca="1">IF(O92&gt;0.01,$AF$27,IF(O92&lt;-0.01,$AG$27,$AH$27))</f>
        <v>î</v>
      </c>
      <c r="Q92" s="199">
        <f ca="1">L92-I92</f>
        <v>898.01668999999924</v>
      </c>
      <c r="R92" s="52"/>
      <c r="S92" s="199">
        <f ca="1">_xll.DBRW(Server&amp;Cube1,$F$21,$F$14,$F$15,$F$20,$C$18,$F$17,$F$19,$C$19,$K$2,K$1,$C92)</f>
        <v>-9986.6194530183402</v>
      </c>
      <c r="U92" s="199">
        <f ca="1">S92-L92</f>
        <v>-10453.330073018342</v>
      </c>
      <c r="V92" s="200">
        <f ca="1">IF(S92=0,0,U92/S92)</f>
        <v>1.0467335941051548</v>
      </c>
      <c r="W92" s="52"/>
      <c r="X92" s="52"/>
      <c r="Y92" s="1"/>
      <c r="Z92" s="1"/>
      <c r="AA92" s="1"/>
      <c r="AB92" s="1"/>
      <c r="AC92" s="1"/>
      <c r="AD92" s="9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</row>
    <row r="93" spans="1:41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69"/>
      <c r="N93" s="123"/>
      <c r="O93" s="168"/>
      <c r="P93" s="184"/>
      <c r="Q93" s="169"/>
      <c r="R93" s="52"/>
      <c r="W93" s="52"/>
      <c r="X93" s="52"/>
      <c r="Y93" s="134" t="s">
        <v>177</v>
      </c>
      <c r="Z93" s="52" t="str">
        <f ca="1">LEFT(H2,7)</f>
        <v>2021.02</v>
      </c>
      <c r="AA93" s="134" t="s">
        <v>178</v>
      </c>
      <c r="AB93" s="52"/>
      <c r="AC93" s="208" t="str">
        <f ca="1">IF(LEN($Z$93)=4,"NO",RIGHT(Z93,2))</f>
        <v>02</v>
      </c>
      <c r="AD93" s="9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</row>
    <row r="94" spans="1:41" ht="21" hidden="1" x14ac:dyDescent="0.25">
      <c r="A94" s="121" t="s">
        <v>136</v>
      </c>
      <c r="B94" s="141" t="s">
        <v>137</v>
      </c>
      <c r="C94" s="113" t="s">
        <v>140</v>
      </c>
      <c r="D94" s="59"/>
      <c r="E94" s="242"/>
      <c r="F94" s="243" t="str">
        <f ca="1">_xll.DBRA(Server&amp;$C$25,$C94,$F$16)</f>
        <v>Effectifs CDI</v>
      </c>
      <c r="G94" s="243"/>
      <c r="I94" s="175">
        <f ca="1">_xll.DBRW(Server&amp;Cube1,$B$96,$B$97,$B$95,$B$93,$B$94,$F$17,$F$19,$B$92,$H$3,I$1,$C94)</f>
        <v>319</v>
      </c>
      <c r="J94" s="175"/>
      <c r="K94" s="175">
        <f ca="1">_xll.DBRW(Server&amp;Cube1,$B$96,$B$97,$B$95,$B$93,$B$94,$F$17,$F$19,$B$92,$H$2,K$1,$C94)</f>
        <v>0</v>
      </c>
      <c r="L94" s="173">
        <f ca="1">_xll.DBRW(Server&amp;Cube1,$B$96,$B$97,$B$95,$B$93,$B$94,$F$17,$F$19,$B$92,$H$2,L$1,$C94)</f>
        <v>280</v>
      </c>
      <c r="M94" s="150"/>
      <c r="N94" s="179">
        <f ca="1">L94-K94</f>
        <v>280</v>
      </c>
      <c r="O94" s="165">
        <f ca="1">IF(K94=0,0,IF(K94&lt;0,N94/-K94,N94/K94))</f>
        <v>0</v>
      </c>
      <c r="P94" s="180" t="str">
        <f ca="1">IF(O94&gt;0.01,$AF$27,IF(O94&lt;-0.01,$AG$27,$AH$27))</f>
        <v>è</v>
      </c>
      <c r="Q94" s="179">
        <f ca="1">L94-I94</f>
        <v>-39</v>
      </c>
      <c r="R94" s="52"/>
      <c r="S94" s="175">
        <f ca="1">_xll.DBRW(Server&amp;Cube1,$B$96,$B$97,$B$95,$B$93,$B$94,$F$17,$F$19,$B$92,$K$2,K$1,$C94)</f>
        <v>0</v>
      </c>
      <c r="W94" s="52"/>
      <c r="X94" s="52"/>
      <c r="Y94" s="52"/>
      <c r="Z94" s="134" t="s">
        <v>149</v>
      </c>
      <c r="AA94" s="52"/>
      <c r="AB94" s="57" t="str">
        <f ca="1">IF(OR(AC93="S1",AC93="Q1",AC93="Q2"),"YES",IF(ISERROR(VALUE(AC93))=TRUE,"NO",IF(VALUE(AC93)&lt;7,"YES","NO")))</f>
        <v>YES</v>
      </c>
      <c r="AC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</row>
    <row r="95" spans="1:41" ht="21" hidden="1" x14ac:dyDescent="0.25">
      <c r="A95" s="121" t="s">
        <v>145</v>
      </c>
      <c r="B95" s="141" t="s">
        <v>146</v>
      </c>
      <c r="C95" s="113" t="s">
        <v>141</v>
      </c>
      <c r="D95" s="59"/>
      <c r="E95" s="242"/>
      <c r="F95" s="243" t="str">
        <f ca="1">_xll.DBRA(Server&amp;$C$25,$C95,$F$16)</f>
        <v>Effectifs Autres</v>
      </c>
      <c r="G95" s="243"/>
      <c r="I95" s="175">
        <f ca="1">_xll.DBRW(Server&amp;Cube1,$B$96,$B$97,$B$95,$B$93,$B$94,$F$17,$F$19,$B$92,$H$3,I$1,$C95)</f>
        <v>57</v>
      </c>
      <c r="J95" s="175"/>
      <c r="K95" s="175">
        <f ca="1">_xll.DBRW(Server&amp;Cube1,$B$96,$B$97,$B$95,$B$93,$B$94,$F$17,$F$19,$B$92,$H$2,K$1,$C95)</f>
        <v>0</v>
      </c>
      <c r="L95" s="173">
        <f ca="1">_xll.DBRW(Server&amp;Cube1,$B$96,$B$97,$B$95,$B$93,$B$94,$F$17,$F$19,$B$92,$H$2,L$1,$C95)</f>
        <v>23</v>
      </c>
      <c r="M95" s="150"/>
      <c r="N95" s="179">
        <f ca="1">L95-K95</f>
        <v>23</v>
      </c>
      <c r="O95" s="165">
        <f ca="1">IF(K95=0,0,IF(K95&lt;0,N95/-K95,N95/K95))</f>
        <v>0</v>
      </c>
      <c r="P95" s="180" t="str">
        <f ca="1">IF(O95&gt;0.01,$AF$27,IF(O95&lt;-0.01,$AG$27,$AH$27))</f>
        <v>è</v>
      </c>
      <c r="Q95" s="179">
        <f ca="1">L95-I95</f>
        <v>-34</v>
      </c>
      <c r="R95" s="52"/>
      <c r="S95" s="175">
        <f ca="1">_xll.DBRW(Server&amp;Cube1,$B$96,$B$97,$B$95,$B$93,$B$94,$F$17,$F$19,$B$92,$K$2,K$1,$C95)</f>
        <v>0</v>
      </c>
      <c r="W95" s="52"/>
      <c r="X95" s="52"/>
      <c r="Y95" s="52"/>
      <c r="Z95" s="134" t="s">
        <v>150</v>
      </c>
      <c r="AA95" s="52"/>
      <c r="AB95" s="52" t="str">
        <f ca="1">IF(OR(AC93="S2",AC93="Q4",AC93="NO",AC93="12"),"YES","NO")</f>
        <v>NO</v>
      </c>
      <c r="AC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</row>
    <row r="96" spans="1:41" ht="21" hidden="1" x14ac:dyDescent="0.25">
      <c r="A96" s="121" t="s">
        <v>9</v>
      </c>
      <c r="B96" s="141" t="s">
        <v>147</v>
      </c>
      <c r="C96" s="113" t="s">
        <v>142</v>
      </c>
      <c r="D96" s="59"/>
      <c r="E96" s="242"/>
      <c r="F96" s="243" t="str">
        <f ca="1">_xll.DBRA(Server&amp;$C$25,$C96,$F$16)</f>
        <v>ETP CDI</v>
      </c>
      <c r="G96" s="243"/>
      <c r="I96" s="175">
        <f ca="1">_xll.DBRW(Server&amp;Cube1,$B$96,$B$97,$B$95,$B$93,$B$94,$F$17,$F$19,$B$92,$H$3,I$1,$C96)</f>
        <v>314.87709677419366</v>
      </c>
      <c r="J96" s="175"/>
      <c r="K96" s="175">
        <f ca="1">_xll.DBRW(Server&amp;Cube1,$B$96,$B$97,$B$95,$B$93,$B$94,$F$17,$F$19,$B$92,$H$2,K$1,$C96)</f>
        <v>0</v>
      </c>
      <c r="L96" s="173">
        <f ca="1">_xll.DBRW(Server&amp;Cube1,$B$96,$B$97,$B$95,$B$93,$B$94,$F$17,$F$19,$B$92,$H$2,L$1,$C96)</f>
        <v>276.42709677419356</v>
      </c>
      <c r="M96" s="150"/>
      <c r="N96" s="179">
        <f ca="1">L96-K96</f>
        <v>276.42709677419356</v>
      </c>
      <c r="O96" s="165">
        <f ca="1">IF(K96=0,0,IF(K96&lt;0,N96/-K96,N96/K96))</f>
        <v>0</v>
      </c>
      <c r="P96" s="180" t="str">
        <f ca="1">IF(O96&gt;0.01,$AF$27,IF(O96&lt;-0.01,$AG$27,$AH$27))</f>
        <v>è</v>
      </c>
      <c r="Q96" s="179">
        <f ca="1">L96-I96</f>
        <v>-38.450000000000102</v>
      </c>
      <c r="R96" s="52"/>
      <c r="S96" s="175">
        <f ca="1">_xll.DBRW(Server&amp;Cube1,$B$96,$B$97,$B$95,$B$93,$B$94,$F$17,$F$19,$B$92,$K$2,K$1,$C96)</f>
        <v>0</v>
      </c>
      <c r="W96" s="52"/>
      <c r="X96" s="52"/>
      <c r="Y96" s="52"/>
      <c r="Z96" s="134" t="s">
        <v>151</v>
      </c>
      <c r="AA96" s="52"/>
      <c r="AB96" s="52" t="str">
        <f ca="1">IF(OR(AC93="Q3",AC93="09"),"YES","NO")</f>
        <v>NO</v>
      </c>
      <c r="AC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</row>
    <row r="97" spans="1:41" ht="21" hidden="1" x14ac:dyDescent="0.25">
      <c r="A97" s="121" t="s">
        <v>10</v>
      </c>
      <c r="B97" s="141" t="s">
        <v>148</v>
      </c>
      <c r="C97" s="113" t="s">
        <v>143</v>
      </c>
      <c r="D97" s="59"/>
      <c r="E97" s="242"/>
      <c r="F97" s="243" t="str">
        <f ca="1">_xll.DBRA(Server&amp;$C$25,$C97,$F$16)</f>
        <v>ETP Autres</v>
      </c>
      <c r="G97" s="243"/>
      <c r="I97" s="175">
        <f ca="1">_xll.DBRW(Server&amp;Cube1,$B$96,$B$97,$B$95,$B$93,$B$94,$F$17,$F$19,$B$92,$H$3,I$1,$C97)</f>
        <v>55.259516129032257</v>
      </c>
      <c r="J97" s="175"/>
      <c r="K97" s="175">
        <f ca="1">_xll.DBRW(Server&amp;Cube1,$B$96,$B$97,$B$95,$B$93,$B$94,$F$17,$F$19,$B$92,$H$2,K$1,$C97)</f>
        <v>0</v>
      </c>
      <c r="L97" s="173">
        <f ca="1">_xll.DBRW(Server&amp;Cube1,$B$96,$B$97,$B$95,$B$93,$B$94,$F$17,$F$19,$B$92,$H$2,L$1,$C97)</f>
        <v>22.303571428571431</v>
      </c>
      <c r="M97" s="150"/>
      <c r="N97" s="179">
        <f ca="1">L97-K97</f>
        <v>22.303571428571431</v>
      </c>
      <c r="O97" s="165">
        <f ca="1">IF(K97=0,0,IF(K97&lt;0,N97/-K97,N97/K97))</f>
        <v>0</v>
      </c>
      <c r="P97" s="180" t="str">
        <f ca="1">IF(O97&gt;0.01,$AF$27,IF(O97&lt;-0.01,$AG$27,$AH$27))</f>
        <v>è</v>
      </c>
      <c r="Q97" s="179">
        <f ca="1">L97-I97</f>
        <v>-32.955944700460826</v>
      </c>
      <c r="R97" s="52"/>
      <c r="S97" s="175">
        <f ca="1">_xll.DBRW(Server&amp;Cube1,$B$96,$B$97,$B$95,$B$93,$B$94,$F$17,$F$19,$B$92,$K$2,K$1,$C97)</f>
        <v>0</v>
      </c>
      <c r="W97" s="52"/>
      <c r="X97" s="52"/>
      <c r="Z97" s="4"/>
      <c r="AA97" s="53"/>
      <c r="AB97" s="54"/>
      <c r="AC97" s="55" t="s">
        <v>33</v>
      </c>
      <c r="AD97" s="4"/>
      <c r="AE97" s="54" t="str">
        <f ca="1">IF(RIGHT(_xll.SUBNM(Server&amp;"Period","",$F$18,""),3)="YTD","Yes","No")</f>
        <v>Yes</v>
      </c>
      <c r="AF97" s="4"/>
      <c r="AG97" s="4"/>
      <c r="AH97" s="4"/>
      <c r="AI97" s="4"/>
      <c r="AJ97" s="4"/>
      <c r="AK97" s="4"/>
      <c r="AL97" s="4"/>
      <c r="AM97" s="1"/>
    </row>
    <row r="98" spans="1:41" ht="21" hidden="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5"/>
      <c r="L98" s="173"/>
      <c r="M98" s="150"/>
      <c r="N98" s="179"/>
      <c r="O98" s="165"/>
      <c r="P98" s="180"/>
      <c r="Q98" s="179"/>
      <c r="R98" s="52"/>
      <c r="W98" s="52"/>
      <c r="X98" s="52"/>
      <c r="Y98" s="52"/>
      <c r="Z98" s="53" t="s">
        <v>32</v>
      </c>
      <c r="AA98" s="210">
        <f ca="1">$K$2-1</f>
        <v>2020</v>
      </c>
      <c r="AB98" s="52" t="str">
        <f ca="1">IF($AB$94="YES",$AA$98&amp;".01",IF($AB$95="YES",$AA$98&amp;".07",IF($AB$96="YES",$AA$98&amp;".04",IF($AC$93="07",$AA$98&amp;".02",IF($AC$93="08",$AA$98&amp;".03",IF($AC$93="10",$AA$98&amp;".05",$AA$98&amp;".06"))))))</f>
        <v>2020.01</v>
      </c>
      <c r="AC98" s="52" t="str">
        <f ca="1">IF($AB$94="YES",$AA$98&amp;".02",IF($AB$95="YES",$AA$98&amp;".08",IF($AB$96="YES",$AA$98&amp;".05",IF($AC$93="07",$AA$98&amp;".03",IF($AC$93="08",$AA$98&amp;".04",IF($AC$93="10",$AA$98&amp;".06",$AA$98&amp;".07"))))))</f>
        <v>2020.02</v>
      </c>
      <c r="AD98" s="52" t="str">
        <f ca="1">IF($AB$94="YES",$AA$98&amp;".03",IF($AB$95="YES",$AA$98&amp;".09",IF($AB$96="YES",$AA$98&amp;".06",IF($AC$93="07",$AA$98&amp;".04",IF($AC$93="08",$AA$98&amp;".05",IF($AC$93="10",$AA$98&amp;".07",$AA$98&amp;".08"))))))</f>
        <v>2020.03</v>
      </c>
      <c r="AE98" s="52" t="str">
        <f ca="1">IF($AB$94="YES",$AA$98&amp;".04",IF($AB$95="YES",$AA$98&amp;".10",IF($AB$96="YES",$AA$98&amp;".07",IF($AC$93="07",$AA$98&amp;".05",IF($AC$93="08",$AA$98&amp;".06",IF($AC$93="10",$AA$98&amp;".08",$AA$98&amp;".09"))))))</f>
        <v>2020.04</v>
      </c>
      <c r="AF98" s="52" t="str">
        <f ca="1">IF($AB$94="YES",$AA$98&amp;".05",IF($AB$95="YES",$AA$98&amp;".11",IF($AB$96="YES",$AA$98&amp;".08",IF($AC$93="07",$AA$98&amp;".06",IF($AC$93="08",$AA$98&amp;".07",IF($AC$93="10",$AA$98&amp;".09",$AA$98&amp;".10"))))))</f>
        <v>2020.05</v>
      </c>
      <c r="AG98" s="52" t="str">
        <f ca="1">IF($AB$94="YES",$AA$98&amp;".06",IF($AB$95="YES",$AA$98&amp;".12",IF($AB$96="YES",$AA$98&amp;".09",IF($AC$93="07",$AA$98&amp;".07",IF($AC$93="08",$AA$98&amp;".08",IF($AC$93="10",$AA$98&amp;".10",$AA$98&amp;".11"))))))</f>
        <v>2020.06</v>
      </c>
      <c r="AH98" s="4"/>
      <c r="AI98" s="4"/>
      <c r="AJ98" s="4"/>
      <c r="AK98" s="4"/>
      <c r="AL98" s="4"/>
      <c r="AM98" s="1"/>
      <c r="AN98" s="52"/>
      <c r="AO98" s="52"/>
    </row>
    <row r="99" spans="1:41" ht="23.25" hidden="1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6"/>
      <c r="M99" s="10"/>
      <c r="N99" s="10"/>
      <c r="O99" s="10"/>
      <c r="P99" s="10"/>
      <c r="Q99" s="10"/>
      <c r="R99" s="52"/>
      <c r="W99" s="52"/>
      <c r="X99" s="52"/>
      <c r="Z99" s="53" t="s">
        <v>32</v>
      </c>
      <c r="AA99" s="54" t="str">
        <f ca="1">$K$2</f>
        <v>2021</v>
      </c>
      <c r="AB99" s="23" t="str">
        <f ca="1">IF($AB$94="YES",$AA$99&amp;".01",IF($AB$95="YES",$AA$99&amp;".07",IF($AB$96="YES",$AA$99&amp;".04",IF($AC$93="07",$AA$99&amp;".02",IF($AC$93="08",$AA$99&amp;".03",IF($AC$93="10",$AA$99&amp;".05",$AA$99&amp;".06"))))))</f>
        <v>2021.01</v>
      </c>
      <c r="AC99" s="52" t="str">
        <f ca="1">IF($AB$94="YES",$AA$99&amp;".02",IF($AB$95="YES",$AA$99&amp;".08",IF($AB$96="YES",$AA$99&amp;".05",IF($AC$93="07",$AA$99&amp;".03",IF($AC$93="08",$AA$99&amp;".04",IF($AC$93="10",$AA$99&amp;".06",$AA$99&amp;".07"))))))</f>
        <v>2021.02</v>
      </c>
      <c r="AD99" s="52" t="str">
        <f ca="1">IF($AB$94="YES",$AA$99&amp;".03",IF($AB$95="YES",$AA$99&amp;".09",IF($AB$96="YES",$AA$99&amp;".06",IF($AC$93="07",$AA$99&amp;".04",IF($AC$93="08",$AA$99&amp;".05",IF($AC$93="10",$AA$99&amp;".07",$AA$99&amp;".08"))))))</f>
        <v>2021.03</v>
      </c>
      <c r="AE99" s="52" t="str">
        <f ca="1">IF($AB$94="YES",$AA$99&amp;".04",IF($AB$95="YES",$AA$99&amp;".10",IF($AB$96="YES",$AA$99&amp;".07",IF($AC$93="07",$AA$99&amp;".05",IF($AC$93="08",$AA$99&amp;".06",IF($AC$93="10",$AA$99&amp;".08",$AA$99&amp;".09"))))))</f>
        <v>2021.04</v>
      </c>
      <c r="AF99" s="52" t="str">
        <f ca="1">IF($AB$94="YES",$AA$99&amp;".05",IF($AB$95="YES",$AA$99&amp;".11",IF($AB$96="YES",$AA$99&amp;".08",IF($AC$93="07",$AA$99&amp;".06",IF($AC$93="08",$AA$99&amp;".07",IF($AC$93="10",$AA$99&amp;".09",$AA$99&amp;".10"))))))</f>
        <v>2021.05</v>
      </c>
      <c r="AG99" s="52" t="str">
        <f ca="1">IF($AB$94="YES",$AA$99&amp;".06",IF($AB$95="YES",$AA$99&amp;".12",IF($AB$96="YES",$AA$99&amp;".09",IF($AC$93="07",$AA$99&amp;".07",IF($AC$93="08",$AA$99&amp;".08",IF($AC$93="10",$AA$99&amp;".10",$AA$99&amp;".11"))))))</f>
        <v>2021.06</v>
      </c>
    </row>
    <row r="100" spans="1:41" ht="23.25" hidden="1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6"/>
      <c r="M100" s="10"/>
      <c r="N100" s="10"/>
      <c r="O100" s="10"/>
      <c r="P100" s="10"/>
      <c r="Q100" s="10"/>
      <c r="R100" s="52"/>
      <c r="W100" s="52"/>
      <c r="X100" s="52"/>
      <c r="Y100" s="52"/>
      <c r="Z100" s="53"/>
      <c r="AA100" s="54"/>
      <c r="AB100" s="52" t="str">
        <f ca="1">MID(AB99,6,2)</f>
        <v>01</v>
      </c>
      <c r="AC100" s="52" t="str">
        <f t="shared" ref="AC100:AG100" ca="1" si="19">MID(AC99,6,2)</f>
        <v>02</v>
      </c>
      <c r="AD100" s="52" t="str">
        <f t="shared" ca="1" si="19"/>
        <v>03</v>
      </c>
      <c r="AE100" s="52" t="str">
        <f t="shared" ca="1" si="19"/>
        <v>04</v>
      </c>
      <c r="AF100" s="52" t="str">
        <f t="shared" ca="1" si="19"/>
        <v>05</v>
      </c>
      <c r="AG100" s="52" t="str">
        <f t="shared" ca="1" si="19"/>
        <v>06</v>
      </c>
      <c r="AH100" s="52"/>
      <c r="AI100" s="52"/>
      <c r="AJ100" s="52"/>
      <c r="AK100" s="52"/>
      <c r="AL100" s="52"/>
      <c r="AM100" s="52"/>
      <c r="AN100" s="52"/>
      <c r="AO100" s="52"/>
    </row>
    <row r="101" spans="1:41" ht="23.25" hidden="1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6"/>
      <c r="M101" s="10"/>
      <c r="N101" s="10"/>
      <c r="O101" s="10"/>
      <c r="P101" s="10"/>
      <c r="Q101" s="10"/>
      <c r="R101" s="52"/>
      <c r="W101" s="52"/>
      <c r="X101" s="52"/>
      <c r="Y101" s="52"/>
      <c r="Z101" s="53"/>
      <c r="AA101" s="54"/>
      <c r="AB101" s="52" t="str">
        <f t="shared" ref="AB101:AG101" ca="1" si="20">IF(AB100&gt;$AC$93,"yes","no")</f>
        <v>no</v>
      </c>
      <c r="AC101" s="52" t="str">
        <f t="shared" ca="1" si="20"/>
        <v>no</v>
      </c>
      <c r="AD101" s="52" t="str">
        <f t="shared" ca="1" si="20"/>
        <v>yes</v>
      </c>
      <c r="AE101" s="52" t="str">
        <f t="shared" ca="1" si="20"/>
        <v>yes</v>
      </c>
      <c r="AF101" s="52" t="str">
        <f t="shared" ca="1" si="20"/>
        <v>yes</v>
      </c>
      <c r="AG101" s="52" t="str">
        <f t="shared" ca="1" si="20"/>
        <v>yes</v>
      </c>
      <c r="AH101" s="52"/>
      <c r="AI101" s="52"/>
      <c r="AJ101" s="52"/>
      <c r="AK101" s="52"/>
      <c r="AL101" s="52"/>
      <c r="AM101" s="52"/>
      <c r="AN101" s="52"/>
      <c r="AO101" s="52"/>
    </row>
    <row r="102" spans="1:41" ht="23.25" hidden="1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6"/>
      <c r="M102" s="10"/>
      <c r="N102" s="10"/>
      <c r="O102" s="10"/>
      <c r="P102" s="10"/>
      <c r="Q102" s="10"/>
      <c r="R102" s="52"/>
      <c r="W102" s="52"/>
      <c r="X102" s="52"/>
      <c r="Y102" s="85"/>
      <c r="AB102" s="56" t="str">
        <f ca="1">IF($AE$97="No",AB$99,AB$99&amp;"_YTD")</f>
        <v>2021.01_YTD</v>
      </c>
      <c r="AC102" s="56" t="str">
        <f t="shared" ref="AC102:AG102" ca="1" si="21">IF($AE$97="No",AC$99,AC$99&amp;"_YTD")</f>
        <v>2021.02_YTD</v>
      </c>
      <c r="AD102" s="56" t="str">
        <f t="shared" ca="1" si="21"/>
        <v>2021.03_YTD</v>
      </c>
      <c r="AE102" s="56" t="str">
        <f t="shared" ca="1" si="21"/>
        <v>2021.04_YTD</v>
      </c>
      <c r="AF102" s="56" t="str">
        <f t="shared" ca="1" si="21"/>
        <v>2021.05_YTD</v>
      </c>
      <c r="AG102" s="56" t="str">
        <f t="shared" ca="1" si="21"/>
        <v>2021.06_YTD</v>
      </c>
      <c r="AH102" s="4"/>
      <c r="AI102" s="4"/>
      <c r="AJ102" s="4"/>
      <c r="AK102" s="4"/>
      <c r="AL102" s="4"/>
      <c r="AM102" s="1"/>
      <c r="AN102" s="52"/>
      <c r="AO102" s="52"/>
    </row>
    <row r="103" spans="1:41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6"/>
      <c r="M103" s="10"/>
      <c r="N103" s="10"/>
      <c r="O103" s="10"/>
      <c r="P103" s="10"/>
      <c r="Q103" s="10"/>
      <c r="R103" s="52"/>
      <c r="W103" s="52"/>
      <c r="X103" s="52"/>
      <c r="Y103" s="85"/>
      <c r="Z103" s="52"/>
      <c r="AA103" s="52"/>
      <c r="AB103" s="56" t="str">
        <f ca="1">IF($AE$97="No",AB$98,AB$98&amp;"_YTD")</f>
        <v>2020.01_YTD</v>
      </c>
      <c r="AC103" s="56" t="str">
        <f t="shared" ref="AC103:AG103" ca="1" si="22">IF($AE$97="No",AC$98,AC$98&amp;"_YTD")</f>
        <v>2020.02_YTD</v>
      </c>
      <c r="AD103" s="56" t="str">
        <f t="shared" ca="1" si="22"/>
        <v>2020.03_YTD</v>
      </c>
      <c r="AE103" s="56" t="str">
        <f t="shared" ca="1" si="22"/>
        <v>2020.04_YTD</v>
      </c>
      <c r="AF103" s="56" t="str">
        <f t="shared" ca="1" si="22"/>
        <v>2020.05_YTD</v>
      </c>
      <c r="AG103" s="56" t="str">
        <f t="shared" ca="1" si="22"/>
        <v>2020.06_YTD</v>
      </c>
      <c r="AH103" s="4"/>
      <c r="AI103" s="4"/>
      <c r="AJ103" s="4"/>
      <c r="AK103" s="4"/>
      <c r="AL103" s="4"/>
      <c r="AM103" s="1"/>
      <c r="AN103" s="52"/>
      <c r="AO103" s="52"/>
    </row>
    <row r="104" spans="1:41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62"/>
      <c r="L104" s="125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52"/>
      <c r="Z104" s="132" t="str">
        <f ca="1">IF($AE$97="No",_xll.DBRA(Server&amp;$C$25,$AA104,$F$16),_xll.DBRA(Server&amp;$C$25,$AA104,$F$16)&amp; " ("&amp;_xll.DBRA(Server&amp;$AD$12,$AD$41,$AD$11)&amp;")")</f>
        <v>Coûts externes (Cumulé)</v>
      </c>
      <c r="AA104" s="131" t="s">
        <v>84</v>
      </c>
      <c r="AB104" s="136" t="str">
        <f ca="1">IF($AB$94="YES",_xll.DBRA(Server&amp;$AD$12,$AD$42,$AD$11),IF($AB$95="YES",_xll.DBRA(Server&amp;$AD$12,$AD$48,$AD$11),IF($AB$96="YES",_xll.DBRA(Server&amp;$AD$12,$AD$45,$AD$11),IF(#REF!="07",_xll.DBRA(Server&amp;$AD$12,$AD$43,$AD$11),IF(#REF!="08",_xll.DBRA(Server&amp;$AD$12,$AD$44,$AD$11),IF(#REF!="10",_xll.DBRA(Server&amp;$AD$12,$AD$46,$AD$11),_xll.DBRA(Server&amp;$AD$12,$AD$47,$AD$11)))))))</f>
        <v>Jan</v>
      </c>
      <c r="AC104" s="136" t="str">
        <f ca="1">IF($AB$94="YES",_xll.DBRA(Server&amp;$AD$12,$AD$43,$AD$11),IF($AB$95="YES",_xll.DBRA(Server&amp;$AD$12,$AD$49,$AD$11),IF($AB$96="YES",_xll.DBRA(Server&amp;$AD$12,$AD$46,$AD$11),IF(#REF!="07",_xll.DBRA(Server&amp;$AD$12,$AD$44,$AD$11),IF(#REF!="08",_xll.DBRA(Server&amp;$AD$12,$AD$45,$AD$11),IF(#REF!="10",_xll.DBRA(Server&amp;$AD$12,$AD$47,$AD$11),_xll.DBRA(Server&amp;$AD$12,$AD$48,$AD$11)))))))</f>
        <v>Fév</v>
      </c>
      <c r="AD104" s="136" t="str">
        <f ca="1">IF($AB$94="YES",_xll.DBRA(Server&amp;$AD$12,$AD$44,$AD$11),IF($AB$95="YES",_xll.DBRA(Server&amp;$AD$12,$AD$50,$AD$11),IF($AB$96="YES",_xll.DBRA(Server&amp;$AD$12,$AD$47,$AD$11),IF(#REF!="07",_xll.DBRA(Server&amp;$AD$12,$AD$45,$AD$11),IF(#REF!="08",_xll.DBRA(Server&amp;$AD$12,$AD$46,$AD$11),IF(#REF!="10",_xll.DBRA(Server&amp;$AD$12,$AD$48,$AD$11),_xll.DBRA(Server&amp;$AD$12,$AD$49,$AD$11)))))))</f>
        <v>Mars</v>
      </c>
      <c r="AE104" s="136" t="str">
        <f ca="1">IF($AB$94="YES",_xll.DBRA(Server&amp;$AD$12,$AD$45,$AD$11),IF($AB$95="YES",_xll.DBRA(Server&amp;$AD$12,$AD$51,$AD$11),IF($AB$96="YES",_xll.DBRA(Server&amp;$AD$12,$AD$48,$AD$11),IF(#REF!="07",_xll.DBRA(Server&amp;$AD$12,$AD$46,$AD$11),IF(#REF!="08",_xll.DBRA(Server&amp;$AD$12,$AD$47,$AD$11),IF(#REF!="10",_xll.DBRA(Server&amp;$AD$12,$AD$49,$AD$11),_xll.DBRA(Server&amp;$AD$12,$AD$50,$AD$11)))))))</f>
        <v>Avril</v>
      </c>
      <c r="AF104" s="136" t="str">
        <f ca="1">IF($AB$94="YES",_xll.DBRA(Server&amp;$AD$12,$AD$46,$AD$11),IF($AB$95="YES",_xll.DBRA(Server&amp;$AD$12,$AD$52,$AD$11),IF($AB$96="YES",_xll.DBRA(Server&amp;$AD$12,$AD$49,$AD$11),IF(#REF!="07",_xll.DBRA(Server&amp;$AD$12,$AD$47,$AD$11),IF(#REF!="08",_xll.DBRA(Server&amp;$AD$12,$AD$48,$AD$11),IF(#REF!="10",_xll.DBRA(Server&amp;$AD$12,$AD$50,$AD$11),_xll.DBRA(Server&amp;$AD$12,$AD$51,$AD$11)))))))</f>
        <v>Mai</v>
      </c>
      <c r="AG104" s="136" t="str">
        <f ca="1">IF($AB$94="YES",_xll.DBRA(Server&amp;$AD$12,$AD$47,$AD$11),IF($AB$95="YES",$AD$53,IF($AB$96="YES",_xll.DBRA(Server&amp;$AD$12,$AD$50,$AD$11),IF(#REF!="07",_xll.DBRA(Server&amp;$AD$12,$AD$48,$AD$11),IF(#REF!="08",_xll.DBRA(Server&amp;$AD$12,$AD$49,$AD$11),IF(#REF!="10",_xll.DBRA(Server&amp;$AD$12,$AD$51,$AD$11),_xll.DBRA(Server&amp;$AD$12,$AD$52,$AD$11)))))))</f>
        <v>Juin</v>
      </c>
      <c r="AH104" s="52"/>
      <c r="AI104" s="52"/>
      <c r="AJ104" s="52"/>
      <c r="AK104" s="52"/>
      <c r="AL104" s="52"/>
      <c r="AM104" s="52"/>
      <c r="AN104" s="52"/>
    </row>
    <row r="105" spans="1:41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62"/>
      <c r="L105" s="125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52"/>
      <c r="Y105" s="52"/>
      <c r="Z105" s="53" t="str">
        <f ca="1">_xll.DBRA(Server&amp;$G$1,$AA$105,$AD$11)</f>
        <v>Réalisé</v>
      </c>
      <c r="AA105" s="2" t="str">
        <f>$L$1</f>
        <v>ACT_TOT</v>
      </c>
      <c r="AB105" s="142">
        <f ca="1">IF(AB$101="yes",0,_xll.DBRW(Server&amp;Cube1,$F$21,$F$14,$F$15,$F$20,$C$18,$F$17,$F$19,$C$19,AB$102,$AA105,$AA$104))</f>
        <v>-634.53551999999991</v>
      </c>
      <c r="AC105" s="142">
        <f ca="1">IF(AC$101="yes",0,_xll.DBRW(Server&amp;Cube1,$F$21,$F$14,$F$15,$F$20,$C$18,$F$17,$F$19,$C$19,AC$102,$AA105,$AA$104))</f>
        <v>-4052.9516800000001</v>
      </c>
      <c r="AD105" s="142">
        <f ca="1">IF(AD$101="yes",0,_xll.DBRW(Server&amp;Cube1,$F$21,$F$14,$F$15,$F$20,$C$18,$F$17,$F$19,$C$19,AD$102,$AA105,$AA$104))</f>
        <v>0</v>
      </c>
      <c r="AE105" s="142">
        <f ca="1">IF(AE$101="yes",0,_xll.DBRW(Server&amp;Cube1,$F$21,$F$14,$F$15,$F$20,$C$18,$F$17,$F$19,$C$19,AE$102,$AA105,$AA$104))</f>
        <v>0</v>
      </c>
      <c r="AF105" s="142">
        <f ca="1">IF(AF$101="yes",0,_xll.DBRW(Server&amp;Cube1,$F$21,$F$14,$F$15,$F$20,$C$18,$F$17,$F$19,$C$19,AF$102,$AA105,$AA$104))</f>
        <v>0</v>
      </c>
      <c r="AG105" s="142">
        <f ca="1">IF(AG$101="yes",0,_xll.DBRW(Server&amp;Cube1,$F$21,$F$14,$F$15,$F$20,$C$18,$F$17,$F$19,$C$19,AG$102,$AA105,$AA$104))</f>
        <v>0</v>
      </c>
      <c r="AH105" s="4"/>
      <c r="AI105" s="4"/>
      <c r="AJ105" s="4"/>
      <c r="AK105" s="4"/>
      <c r="AL105" s="4"/>
      <c r="AM105" s="1"/>
      <c r="AN105" s="52"/>
      <c r="AO105" s="52"/>
    </row>
    <row r="106" spans="1:41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63"/>
      <c r="L106" s="127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128"/>
      <c r="X106" s="52"/>
      <c r="Y106" s="52"/>
      <c r="Z106" s="53" t="str">
        <f ca="1">_xll.DBRA(Server&amp;$G$1,$AA$106,$AD$11)</f>
        <v>Réalisé</v>
      </c>
      <c r="AA106" s="2" t="str">
        <f>$I$1</f>
        <v>ACT_TOT</v>
      </c>
      <c r="AB106" s="142">
        <f ca="1">_xll.DBRW(Server&amp;Cube1,$F$21,$F$14,$F$15,$F$20,$C$18,$F$17,$F$19,$C$19,AB$103,$AA106,$AA$104)</f>
        <v>-906.68861000000004</v>
      </c>
      <c r="AC106" s="142">
        <f ca="1">_xll.DBRW(Server&amp;Cube1,$F$21,$F$14,$F$15,$F$20,$C$18,$F$17,$F$19,$C$19,AC$103,$AA106,$AA$104)</f>
        <v>-4163.03971</v>
      </c>
      <c r="AD106" s="142">
        <f ca="1">_xll.DBRW(Server&amp;Cube1,$F$21,$F$14,$F$15,$F$20,$C$18,$F$17,$F$19,$C$19,AD$103,$AA106,$AA$104)</f>
        <v>-7650.1073900000029</v>
      </c>
      <c r="AE106" s="142">
        <f ca="1">_xll.DBRW(Server&amp;Cube1,$F$21,$F$14,$F$15,$F$20,$C$18,$F$17,$F$19,$C$19,AE$103,$AA106,$AA$104)</f>
        <v>-10099.0515</v>
      </c>
      <c r="AF106" s="142">
        <f ca="1">_xll.DBRW(Server&amp;Cube1,$F$21,$F$14,$F$15,$F$20,$C$18,$F$17,$F$19,$C$19,AF$103,$AA106,$AA$104)</f>
        <v>-11758.936460000003</v>
      </c>
      <c r="AG106" s="142">
        <f ca="1">_xll.DBRW(Server&amp;Cube1,$F$21,$F$14,$F$15,$F$20,$C$18,$F$17,$F$19,$C$19,AG$103,$AA106,$AA$104)</f>
        <v>-14354.875210000007</v>
      </c>
      <c r="AH106" s="52"/>
      <c r="AI106" s="52"/>
      <c r="AJ106" s="52"/>
      <c r="AK106" s="52"/>
      <c r="AL106" s="52"/>
      <c r="AM106" s="52"/>
      <c r="AN106" s="52"/>
      <c r="AO106" s="52"/>
    </row>
    <row r="107" spans="1:41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63"/>
      <c r="L107" s="127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52"/>
      <c r="Z107" s="53" t="str">
        <f ca="1">_xll.DBRA(Server&amp;$G$1,$AA$107,$AD$11)</f>
        <v>Budget</v>
      </c>
      <c r="AA107" s="2" t="str">
        <f>$K$1</f>
        <v>BUDG_TOT</v>
      </c>
      <c r="AB107" s="142">
        <f ca="1">_xll.DBRW(Server&amp;Cube1,$F$21,$F$14,$F$15,$F$20,$C$18,$F$17,$F$19,$C$19,AB$102,$AA107,$AA$104)</f>
        <v>-2654.268</v>
      </c>
      <c r="AC107" s="142">
        <f ca="1">_xll.DBRW(Server&amp;Cube1,$F$21,$F$14,$F$15,$F$20,$C$18,$F$17,$F$19,$C$19,AC$102,$AA107,$AA$104)</f>
        <v>-5309.5349999999999</v>
      </c>
      <c r="AD107" s="142">
        <f ca="1">_xll.DBRW(Server&amp;Cube1,$F$21,$F$14,$F$15,$F$20,$C$18,$F$17,$F$19,$C$19,AD$102,$AA107,$AA$104)</f>
        <v>-7969.06</v>
      </c>
      <c r="AE107" s="142">
        <f ca="1">_xll.DBRW(Server&amp;Cube1,$F$21,$F$14,$F$15,$F$20,$C$18,$F$17,$F$19,$C$19,AE$102,$AA107,$AA$104)</f>
        <v>-10622.009</v>
      </c>
      <c r="AF107" s="142">
        <f ca="1">_xll.DBRW(Server&amp;Cube1,$F$21,$F$14,$F$15,$F$20,$C$18,$F$17,$F$19,$C$19,AF$102,$AA107,$AA$104)</f>
        <v>-13275.005000000001</v>
      </c>
      <c r="AG107" s="142">
        <f ca="1">_xll.DBRW(Server&amp;Cube1,$F$21,$F$14,$F$15,$F$20,$C$18,$F$17,$F$19,$C$19,AG$102,$AA107,$AA$104)</f>
        <v>-15930.79</v>
      </c>
      <c r="AH107" s="4"/>
      <c r="AI107" s="4"/>
      <c r="AJ107" s="4"/>
      <c r="AK107" s="4"/>
      <c r="AL107" s="4"/>
      <c r="AM107" s="1"/>
      <c r="AN107" s="52"/>
    </row>
    <row r="108" spans="1:41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62"/>
      <c r="L108" s="125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52"/>
      <c r="Z108" s="132" t="str">
        <f ca="1">IF($AE$97="No",_xll.DBRA(Server&amp;$C$25,$AA108,$F$16),_xll.DBRA(Server&amp;$C$25,$AA108,$F$16)&amp; " ("&amp;_xll.DBRA(Server&amp;$AD$12,$AD$41,$AD$11)&amp;")")</f>
        <v>Frais de personnel et Assimilés (Cumulé)</v>
      </c>
      <c r="AA108" s="131" t="s">
        <v>102</v>
      </c>
      <c r="AB108" s="143"/>
      <c r="AC108" s="143"/>
      <c r="AD108" s="143"/>
      <c r="AE108" s="143"/>
      <c r="AF108" s="143"/>
      <c r="AG108" s="143"/>
      <c r="AH108" s="52"/>
      <c r="AI108" s="52"/>
      <c r="AJ108" s="52"/>
      <c r="AK108" s="52"/>
      <c r="AL108" s="52"/>
      <c r="AM108" s="52"/>
      <c r="AN108" s="52"/>
    </row>
    <row r="109" spans="1:41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62"/>
      <c r="L109" s="125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52"/>
      <c r="Y109" s="85"/>
      <c r="Z109" s="53" t="str">
        <f ca="1">_xll.DBRA(Server&amp;$G$1,$AA109,$AD$11)</f>
        <v>Réalisé</v>
      </c>
      <c r="AA109" s="2" t="str">
        <f>$L$1</f>
        <v>ACT_TOT</v>
      </c>
      <c r="AB109" s="142">
        <f ca="1">IF(AB$101="yes",0,_xll.DBRW(Server&amp;Cube1,$F$21,$F$14,$F$15,$F$20,$C$18,$F$17,$F$19,$C$19,AB$102,$AA109,$AA$108))</f>
        <v>-3877.4366200000013</v>
      </c>
      <c r="AC109" s="142">
        <f ca="1">IF(AC$101="yes",0,_xll.DBRW(Server&amp;Cube1,$F$21,$F$14,$F$15,$F$20,$C$18,$F$17,$F$19,$C$19,AC$102,$AA109,$AA$108))</f>
        <v>-8063.5878500000035</v>
      </c>
      <c r="AD109" s="142">
        <f ca="1">IF(AD$101="yes",0,_xll.DBRW(Server&amp;Cube1,$F$21,$F$14,$F$15,$F$20,$C$18,$F$17,$F$19,$C$19,AD$102,$AA109,$AA$108))</f>
        <v>0</v>
      </c>
      <c r="AE109" s="142">
        <f ca="1">IF(AE$101="yes",0,_xll.DBRW(Server&amp;Cube1,$F$21,$F$14,$F$15,$F$20,$C$18,$F$17,$F$19,$C$19,AE$102,$AA109,$AA$108))</f>
        <v>0</v>
      </c>
      <c r="AF109" s="142">
        <f ca="1">IF(AF$101="yes",0,_xll.DBRW(Server&amp;Cube1,$F$21,$F$14,$F$15,$F$20,$C$18,$F$17,$F$19,$C$19,AF$102,$AA109,$AA$108))</f>
        <v>0</v>
      </c>
      <c r="AG109" s="142">
        <f ca="1">IF(AG$101="yes",0,_xll.DBRW(Server&amp;Cube1,$F$21,$F$14,$F$15,$F$20,$C$18,$F$17,$F$19,$C$19,AG$102,$AA109,$AA$108))</f>
        <v>0</v>
      </c>
      <c r="AH109" s="4"/>
      <c r="AI109" s="4"/>
      <c r="AJ109" s="4"/>
      <c r="AK109" s="4"/>
      <c r="AL109" s="4"/>
      <c r="AM109" s="1"/>
      <c r="AN109" s="52"/>
      <c r="AO109" s="52"/>
    </row>
    <row r="110" spans="1:41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62"/>
      <c r="L110" s="125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52"/>
      <c r="Y110" s="85"/>
      <c r="Z110" s="53" t="str">
        <f ca="1">_xll.DBRA(Server&amp;$G$1,$AA110,$AD$11)</f>
        <v>Réalisé</v>
      </c>
      <c r="AA110" s="2" t="str">
        <f>$I$1</f>
        <v>ACT_TOT</v>
      </c>
      <c r="AB110" s="142">
        <f ca="1">_xll.DBRW(Server&amp;Cube1,$F$21,$F$14,$F$15,$F$20,$C$18,$F$17,$F$19,$C$19,AB$103,$AA110,$AA$108)</f>
        <v>-4005.6622800000009</v>
      </c>
      <c r="AC110" s="142">
        <f ca="1">_xll.DBRW(Server&amp;Cube1,$F$21,$F$14,$F$15,$F$20,$C$18,$F$17,$F$19,$C$19,AC$103,$AA110,$AA$108)</f>
        <v>-8611.7969499999981</v>
      </c>
      <c r="AD110" s="142">
        <f ca="1">_xll.DBRW(Server&amp;Cube1,$F$21,$F$14,$F$15,$F$20,$C$18,$F$17,$F$19,$C$19,AD$103,$AA110,$AA$108)</f>
        <v>-13775.634769999999</v>
      </c>
      <c r="AE110" s="142">
        <f ca="1">_xll.DBRW(Server&amp;Cube1,$F$21,$F$14,$F$15,$F$20,$C$18,$F$17,$F$19,$C$19,AE$103,$AA110,$AA$108)</f>
        <v>-16721.391080000005</v>
      </c>
      <c r="AF110" s="142">
        <f ca="1">_xll.DBRW(Server&amp;Cube1,$F$21,$F$14,$F$15,$F$20,$C$18,$F$17,$F$19,$C$19,AF$103,$AA110,$AA$108)</f>
        <v>-21002.963820000001</v>
      </c>
      <c r="AG110" s="142">
        <f ca="1">_xll.DBRW(Server&amp;Cube1,$F$21,$F$14,$F$15,$F$20,$C$18,$F$17,$F$19,$C$19,AG$103,$AA110,$AA$108)</f>
        <v>-25967.960660000004</v>
      </c>
      <c r="AH110" s="52"/>
      <c r="AI110" s="52"/>
      <c r="AJ110" s="52"/>
      <c r="AK110" s="52"/>
      <c r="AL110" s="52"/>
      <c r="AM110" s="52"/>
      <c r="AN110" s="52"/>
    </row>
    <row r="111" spans="1:41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62"/>
      <c r="L111" s="125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52"/>
      <c r="Z111" s="53" t="str">
        <f ca="1">_xll.DBRA(Server&amp;$G$1,$AA111,$AD$11)</f>
        <v>Budget</v>
      </c>
      <c r="AA111" s="2" t="str">
        <f>$K$1</f>
        <v>BUDG_TOT</v>
      </c>
      <c r="AB111" s="142">
        <f ca="1">_xll.DBRW(Server&amp;Cube1,$F$21,$F$14,$F$15,$F$20,$C$18,$F$17,$F$19,$C$19,AB$102,$AA111,$AA$108)</f>
        <v>-4272.8457126894509</v>
      </c>
      <c r="AC111" s="142">
        <f ca="1">_xll.DBRW(Server&amp;Cube1,$F$21,$F$14,$F$15,$F$20,$C$18,$F$17,$F$19,$C$19,AC$102,$AA111,$AA$108)</f>
        <v>-8527.6035156735597</v>
      </c>
      <c r="AD111" s="142">
        <f ca="1">_xll.DBRW(Server&amp;Cube1,$F$21,$F$14,$F$15,$F$20,$C$18,$F$17,$F$19,$C$19,AD$102,$AA111,$AA$108)</f>
        <v>-12774.413597769772</v>
      </c>
      <c r="AE111" s="142">
        <f ca="1">_xll.DBRW(Server&amp;Cube1,$F$21,$F$14,$F$15,$F$20,$C$18,$F$17,$F$19,$C$19,AE$102,$AA111,$AA$108)</f>
        <v>-16990.720835805678</v>
      </c>
      <c r="AF111" s="142">
        <f ca="1">_xll.DBRW(Server&amp;Cube1,$F$21,$F$14,$F$15,$F$20,$C$18,$F$17,$F$19,$C$19,AF$102,$AA111,$AA$108)</f>
        <v>-21200.527954752975</v>
      </c>
      <c r="AG111" s="142">
        <f ca="1">_xll.DBRW(Server&amp;Cube1,$F$21,$F$14,$F$15,$F$20,$C$18,$F$17,$F$19,$C$19,AG$102,$AA111,$AA$108)</f>
        <v>-25398.330209766864</v>
      </c>
      <c r="AH111" s="4"/>
      <c r="AI111" s="4"/>
      <c r="AJ111" s="4"/>
      <c r="AK111" s="4"/>
      <c r="AL111" s="4"/>
      <c r="AM111" s="1"/>
      <c r="AN111" s="52"/>
    </row>
    <row r="112" spans="1:41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62"/>
      <c r="L112" s="125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52"/>
      <c r="Z112" s="132" t="str">
        <f ca="1">IF($AE$97="No",_xll.DBRA(Server&amp;$C$25,$AA112,$F$16),_xll.DBRA(Server&amp;$C$25,$AA112,$F$16)&amp; " ("&amp;_xll.DBRA(Server&amp;$AD$12,$AD$41,$AD$11)&amp;")")</f>
        <v>Frais de déplacement (Cumulé)</v>
      </c>
      <c r="AA112" s="131" t="s">
        <v>106</v>
      </c>
      <c r="AB112" s="144"/>
      <c r="AC112" s="144"/>
      <c r="AD112" s="144"/>
      <c r="AE112" s="144"/>
      <c r="AF112" s="144"/>
      <c r="AG112" s="144"/>
      <c r="AH112" s="52"/>
      <c r="AI112" s="52"/>
      <c r="AJ112" s="52"/>
      <c r="AK112" s="52"/>
      <c r="AL112" s="52"/>
      <c r="AM112" s="52"/>
      <c r="AN112" s="52"/>
    </row>
    <row r="113" spans="1:41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62"/>
      <c r="L113" s="125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52"/>
      <c r="Z113" s="53" t="str">
        <f ca="1">_xll.DBRA(Server&amp;$G$1,$AA109,$AD$11)</f>
        <v>Réalisé</v>
      </c>
      <c r="AA113" s="2" t="str">
        <f>$L$1</f>
        <v>ACT_TOT</v>
      </c>
      <c r="AB113" s="142">
        <f ca="1">IF(AB$101="yes",0,_xll.DBRW(Server&amp;Cube1,$F$21,$F$14,$F$15,$F$20,$C$18,$F$17,$F$19,$C$19,AB$102,$AA113,$AA$112))</f>
        <v>-36.482030000000009</v>
      </c>
      <c r="AC113" s="142">
        <f ca="1">IF(AC$101="yes",0,_xll.DBRW(Server&amp;Cube1,$F$21,$F$14,$F$15,$F$20,$C$18,$F$17,$F$19,$C$19,AC$102,$AA113,$AA$112))</f>
        <v>-96.78267000000001</v>
      </c>
      <c r="AD113" s="142">
        <f ca="1">IF(AD$101="yes",0,_xll.DBRW(Server&amp;Cube1,$F$21,$F$14,$F$15,$F$20,$C$18,$F$17,$F$19,$C$19,AD$102,$AA113,$AA$112))</f>
        <v>0</v>
      </c>
      <c r="AE113" s="142">
        <f ca="1">IF(AE$101="yes",0,_xll.DBRW(Server&amp;Cube1,$F$21,$F$14,$F$15,$F$20,$C$18,$F$17,$F$19,$C$19,AE$102,$AA113,$AA$112))</f>
        <v>0</v>
      </c>
      <c r="AF113" s="142">
        <f ca="1">IF(AF$101="yes",0,_xll.DBRW(Server&amp;Cube1,$F$21,$F$14,$F$15,$F$20,$C$18,$F$17,$F$19,$C$19,AF$102,$AA113,$AA$112))</f>
        <v>0</v>
      </c>
      <c r="AG113" s="142">
        <f ca="1">IF(AG$101="yes",0,_xll.DBRW(Server&amp;Cube1,$F$21,$F$14,$F$15,$F$20,$C$18,$F$17,$F$19,$C$19,AG$102,$AA113,$AA$112))</f>
        <v>0</v>
      </c>
      <c r="AH113" s="4"/>
      <c r="AI113" s="4"/>
      <c r="AJ113" s="4"/>
      <c r="AK113" s="4"/>
      <c r="AL113" s="4"/>
      <c r="AM113" s="1"/>
      <c r="AN113" s="52"/>
    </row>
    <row r="114" spans="1:41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62"/>
      <c r="L114" s="125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52"/>
      <c r="Z114" s="53" t="str">
        <f ca="1">_xll.DBRA(Server&amp;$G$1,$AA110,$AD$11)</f>
        <v>Réalisé</v>
      </c>
      <c r="AA114" s="2" t="str">
        <f>$I$1</f>
        <v>ACT_TOT</v>
      </c>
      <c r="AB114" s="142">
        <f ca="1">_xll.DBRW(Server&amp;Cube1,$F$21,$F$14,$F$15,$F$20,$C$18,$F$17,$F$19,$C$19,AB$103,$AA114,$AA$112)</f>
        <v>-141.60033999999999</v>
      </c>
      <c r="AC114" s="142">
        <f ca="1">_xll.DBRW(Server&amp;Cube1,$F$21,$F$14,$F$15,$F$20,$C$18,$F$17,$F$19,$C$19,AC$103,$AA114,$AA$112)</f>
        <v>-506.60768000000013</v>
      </c>
      <c r="AD114" s="142">
        <f ca="1">_xll.DBRW(Server&amp;Cube1,$F$21,$F$14,$F$15,$F$20,$C$18,$F$17,$F$19,$C$19,AD$103,$AA114,$AA$112)</f>
        <v>-462.3768300000001</v>
      </c>
      <c r="AE114" s="142">
        <f ca="1">_xll.DBRW(Server&amp;Cube1,$F$21,$F$14,$F$15,$F$20,$C$18,$F$17,$F$19,$C$19,AE$103,$AA114,$AA$112)</f>
        <v>-484.86414999999988</v>
      </c>
      <c r="AF114" s="142">
        <f ca="1">_xll.DBRW(Server&amp;Cube1,$F$21,$F$14,$F$15,$F$20,$C$18,$F$17,$F$19,$C$19,AF$103,$AA114,$AA$112)</f>
        <v>-499.48433999999997</v>
      </c>
      <c r="AG114" s="142">
        <f ca="1">_xll.DBRW(Server&amp;Cube1,$F$21,$F$14,$F$15,$F$20,$C$18,$F$17,$F$19,$C$19,AG$103,$AA114,$AA$112)</f>
        <v>-543.31457000000012</v>
      </c>
      <c r="AH114" s="52"/>
      <c r="AI114" s="52"/>
      <c r="AJ114" s="52"/>
      <c r="AK114" s="52"/>
      <c r="AL114" s="52"/>
      <c r="AM114" s="52"/>
      <c r="AN114" s="52"/>
    </row>
    <row r="115" spans="1:41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62"/>
      <c r="L115" s="125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52"/>
      <c r="Z115" s="53" t="str">
        <f ca="1">_xll.DBRA(Server&amp;$G$1,$AA111,$AD$11)</f>
        <v>Budget</v>
      </c>
      <c r="AA115" s="2" t="str">
        <f>$K$1</f>
        <v>BUDG_TOT</v>
      </c>
      <c r="AB115" s="142">
        <f ca="1">_xll.DBRW(Server&amp;Cube1,$F$21,$F$14,$F$15,$F$20,$C$18,$F$17,$F$19,$C$19,AB$102,$AA115,$AA$112)</f>
        <v>-146.995</v>
      </c>
      <c r="AC115" s="142">
        <f ca="1">_xll.DBRW(Server&amp;Cube1,$F$21,$F$14,$F$15,$F$20,$C$18,$F$17,$F$19,$C$19,AC$102,$AA115,$AA$112)</f>
        <v>-293.99</v>
      </c>
      <c r="AD115" s="142">
        <f ca="1">_xll.DBRW(Server&amp;Cube1,$F$21,$F$14,$F$15,$F$20,$C$18,$F$17,$F$19,$C$19,AD$102,$AA115,$AA$112)</f>
        <v>-440.98500000000001</v>
      </c>
      <c r="AE115" s="142">
        <f ca="1">_xll.DBRW(Server&amp;Cube1,$F$21,$F$14,$F$15,$F$20,$C$18,$F$17,$F$19,$C$19,AE$102,$AA115,$AA$112)</f>
        <v>-587.98</v>
      </c>
      <c r="AF115" s="142">
        <f ca="1">_xll.DBRW(Server&amp;Cube1,$F$21,$F$14,$F$15,$F$20,$C$18,$F$17,$F$19,$C$19,AF$102,$AA115,$AA$112)</f>
        <v>-734.97500000000002</v>
      </c>
      <c r="AG115" s="142">
        <f ca="1">_xll.DBRW(Server&amp;Cube1,$F$21,$F$14,$F$15,$F$20,$C$18,$F$17,$F$19,$C$19,AG$102,$AA115,$AA$112)</f>
        <v>-881.97</v>
      </c>
      <c r="AH115" s="4"/>
      <c r="AI115" s="4"/>
      <c r="AJ115" s="4"/>
      <c r="AK115" s="4"/>
      <c r="AL115" s="4"/>
      <c r="AM115" s="1"/>
      <c r="AN115" s="52"/>
    </row>
    <row r="116" spans="1:41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62"/>
      <c r="L116" s="125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52"/>
      <c r="Z116" s="211" t="str">
        <f ca="1">IF($AE$97="No",_xll.DBRA(Server&amp;$C$25,$AA116,$F$16),_xll.DBRA(Server&amp;$C$25,$AA116,$F$16)&amp; " ("&amp;_xll.DBRA(Server&amp;$AD$12,$AD$41,$AD$11)&amp;")")</f>
        <v>RESULTAT OPERATIONNEL APRES MF (Cumulé)</v>
      </c>
      <c r="AA116" s="131" t="s">
        <v>133</v>
      </c>
      <c r="AB116" s="143"/>
      <c r="AC116" s="143"/>
      <c r="AD116" s="143"/>
      <c r="AE116" s="143"/>
      <c r="AF116" s="143"/>
      <c r="AG116" s="143"/>
      <c r="AH116" s="52"/>
      <c r="AI116" s="52"/>
      <c r="AJ116" s="52"/>
      <c r="AK116" s="52"/>
      <c r="AL116" s="52"/>
      <c r="AM116" s="52"/>
      <c r="AN116" s="52"/>
    </row>
    <row r="117" spans="1:41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62"/>
      <c r="L117" s="125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52"/>
      <c r="Z117" s="53" t="str">
        <f ca="1">_xll.DBRA(Server&amp;$G$1,$AA113,$AD$11)</f>
        <v>Réalisé</v>
      </c>
      <c r="AA117" s="2" t="str">
        <f>$L$1</f>
        <v>ACT_TOT</v>
      </c>
      <c r="AB117" s="142">
        <f ca="1">IF(AB$101="yes",0,_xll.DBRW(Server&amp;Cube1,$F$21,$F$14,$F$15,$F$20,$C$18,$F$17,$F$19,$C$19,AB$102,$AA117,$AA$116))</f>
        <v>-5137.099000000002</v>
      </c>
      <c r="AC117" s="142">
        <f ca="1">IF(AC$101="yes",0,_xll.DBRW(Server&amp;Cube1,$F$21,$F$14,$F$15,$F$20,$C$18,$F$17,$F$19,$C$19,AC$102,$AA117,$AA$116))</f>
        <v>-145.56840999999818</v>
      </c>
      <c r="AD117" s="142">
        <f ca="1">IF(AD$101="yes",0,_xll.DBRW(Server&amp;Cube1,$F$21,$F$14,$F$15,$F$20,$C$18,$F$17,$F$19,$C$19,AD$102,$AA117,$AA$116))</f>
        <v>0</v>
      </c>
      <c r="AE117" s="142">
        <f ca="1">IF(AE$101="yes",0,_xll.DBRW(Server&amp;Cube1,$F$21,$F$14,$F$15,$F$20,$C$18,$F$17,$F$19,$C$19,AE$102,$AA117,$AA$116))</f>
        <v>0</v>
      </c>
      <c r="AF117" s="142">
        <f ca="1">IF(AF$101="yes",0,_xll.DBRW(Server&amp;Cube1,$F$21,$F$14,$F$15,$F$20,$C$18,$F$17,$F$19,$C$19,AF$102,$AA117,$AA$116))</f>
        <v>0</v>
      </c>
      <c r="AG117" s="142">
        <f ca="1">IF(AG$101="yes",0,_xll.DBRW(Server&amp;Cube1,$F$21,$F$14,$F$15,$F$20,$C$18,$F$17,$F$19,$C$19,AG$102,$AA117,$AA$116))</f>
        <v>0</v>
      </c>
      <c r="AH117" s="4"/>
      <c r="AI117" s="4"/>
      <c r="AJ117" s="4"/>
      <c r="AK117" s="4"/>
      <c r="AL117" s="4"/>
      <c r="AM117" s="1"/>
      <c r="AN117" s="52"/>
    </row>
    <row r="118" spans="1:41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62"/>
      <c r="L118" s="125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52"/>
      <c r="Z118" s="53" t="str">
        <f ca="1">_xll.DBRA(Server&amp;$G$1,$AA114,$AD$11)</f>
        <v>Réalisé</v>
      </c>
      <c r="AA118" s="2" t="str">
        <f>$I$1</f>
        <v>ACT_TOT</v>
      </c>
      <c r="AB118" s="142">
        <f ca="1">_xll.DBRW(Server&amp;Cube1,$F$21,$F$14,$F$15,$F$20,$C$18,$F$17,$F$19,$C$19,AB$103,$AA118,$AA$116)</f>
        <v>-5549.9345100000019</v>
      </c>
      <c r="AC118" s="142">
        <f ca="1">_xll.DBRW(Server&amp;Cube1,$F$21,$F$14,$F$15,$F$20,$C$18,$F$17,$F$19,$C$19,AC$103,$AA118,$AA$116)</f>
        <v>-1009.6295999999974</v>
      </c>
      <c r="AD118" s="142">
        <f ca="1">_xll.DBRW(Server&amp;Cube1,$F$21,$F$14,$F$15,$F$20,$C$18,$F$17,$F$19,$C$19,AD$103,$AA118,$AA$116)</f>
        <v>-4273.333270000001</v>
      </c>
      <c r="AE118" s="142">
        <f ca="1">_xll.DBRW(Server&amp;Cube1,$F$21,$F$14,$F$15,$F$20,$C$18,$F$17,$F$19,$C$19,AE$103,$AA118,$AA$116)</f>
        <v>-3535.4252400000023</v>
      </c>
      <c r="AF118" s="142">
        <f ca="1">_xll.DBRW(Server&amp;Cube1,$F$21,$F$14,$F$15,$F$20,$C$18,$F$17,$F$19,$C$19,AF$103,$AA118,$AA$116)</f>
        <v>-3225.2735700000035</v>
      </c>
      <c r="AG118" s="142">
        <f ca="1">_xll.DBRW(Server&amp;Cube1,$F$21,$F$14,$F$15,$F$20,$C$18,$F$17,$F$19,$C$19,AG$103,$AA118,$AA$116)</f>
        <v>-4410.7250199999944</v>
      </c>
      <c r="AH118" s="52"/>
      <c r="AI118" s="52"/>
      <c r="AJ118" s="52"/>
      <c r="AK118" s="52"/>
      <c r="AL118" s="52"/>
      <c r="AM118" s="52"/>
      <c r="AN118" s="52"/>
    </row>
    <row r="119" spans="1:41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62"/>
      <c r="L119" s="125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52"/>
      <c r="Z119" s="53" t="str">
        <f ca="1">_xll.DBRA(Server&amp;$G$1,$AA115,$AD$11)</f>
        <v>Budget</v>
      </c>
      <c r="AA119" s="2" t="str">
        <f>$K$1</f>
        <v>BUDG_TOT</v>
      </c>
      <c r="AB119" s="142">
        <f ca="1">_xll.DBRW(Server&amp;Cube1,$F$21,$F$14,$F$15,$F$20,$C$18,$F$17,$F$19,$C$19,AB$102,$AA119,$AA$116)</f>
        <v>-1043.804712689451</v>
      </c>
      <c r="AC119" s="142">
        <f ca="1">_xll.DBRW(Server&amp;Cube1,$F$21,$F$14,$F$15,$F$20,$C$18,$F$17,$F$19,$C$19,AC$102,$AA119,$AA$116)</f>
        <v>-2073.5285156735572</v>
      </c>
      <c r="AD119" s="142">
        <f ca="1">_xll.DBRW(Server&amp;Cube1,$F$21,$F$14,$F$15,$F$20,$C$18,$F$17,$F$19,$C$19,AD$102,$AA119,$AA$116)</f>
        <v>-3087.7715977697708</v>
      </c>
      <c r="AE119" s="142">
        <f ca="1">_xll.DBRW(Server&amp;Cube1,$F$21,$F$14,$F$15,$F$20,$C$18,$F$17,$F$19,$C$19,AE$102,$AA119,$AA$116)</f>
        <v>-4075.5878358056771</v>
      </c>
      <c r="AF119" s="142">
        <f ca="1">_xll.DBRW(Server&amp;Cube1,$F$21,$F$14,$F$15,$F$20,$C$18,$F$17,$F$19,$C$19,AF$102,$AA119,$AA$116)</f>
        <v>-5052.4939547529739</v>
      </c>
      <c r="AG119" s="142">
        <f ca="1">_xll.DBRW(Server&amp;Cube1,$F$21,$F$14,$F$15,$F$20,$C$18,$F$17,$F$19,$C$19,AG$102,$AA119,$AA$116)</f>
        <v>-6020.1452097668653</v>
      </c>
      <c r="AH119" s="4"/>
      <c r="AI119" s="4"/>
      <c r="AJ119" s="4"/>
      <c r="AK119" s="4"/>
      <c r="AL119" s="4"/>
      <c r="AM119" s="1"/>
      <c r="AN119" s="52"/>
    </row>
    <row r="120" spans="1:41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62"/>
      <c r="L120" s="125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52"/>
      <c r="Z120" s="1" t="str">
        <f ca="1">IF($F$18=$AE$13,_xll.DBRA(Server&amp;$AD$12,AD$55,$F$16),IF($F$18=$AE$14,_xll.DBRA(Server&amp;$AD$12,AD$54,$F$16),_xll.DBRA(Server&amp;$G$1,$I$1,$F$16)))</f>
        <v/>
      </c>
      <c r="AH120" s="52"/>
      <c r="AI120" s="52"/>
      <c r="AJ120" s="52"/>
      <c r="AK120" s="52"/>
      <c r="AL120" s="52"/>
      <c r="AM120" s="52"/>
      <c r="AN120" s="52"/>
    </row>
    <row r="121" spans="1:41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62"/>
      <c r="L121" s="125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52"/>
      <c r="Z121" s="1" t="str">
        <f ca="1">_xll.DBRA(Server&amp;$G$1,L$1,$F$16)</f>
        <v/>
      </c>
      <c r="AH121" s="4"/>
      <c r="AI121" s="4"/>
      <c r="AJ121" s="4"/>
      <c r="AK121" s="4"/>
      <c r="AL121" s="4"/>
      <c r="AM121" s="1"/>
      <c r="AN121" s="52"/>
    </row>
    <row r="122" spans="1:41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62"/>
      <c r="L122" s="125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52"/>
      <c r="AH122" s="52"/>
      <c r="AI122" s="52"/>
      <c r="AJ122" s="52"/>
      <c r="AK122" s="52"/>
      <c r="AL122" s="52"/>
      <c r="AM122" s="52"/>
      <c r="AN122" s="52"/>
    </row>
    <row r="123" spans="1:41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62"/>
      <c r="L123" s="125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52"/>
      <c r="AH123" s="4"/>
      <c r="AI123" s="4"/>
      <c r="AJ123" s="4"/>
      <c r="AK123" s="4"/>
      <c r="AL123" s="4"/>
      <c r="AM123" s="1"/>
      <c r="AN123" s="52"/>
    </row>
    <row r="124" spans="1:41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62"/>
      <c r="L124" s="125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52"/>
      <c r="AH124" s="52"/>
      <c r="AI124" s="52"/>
      <c r="AJ124" s="52"/>
      <c r="AK124" s="52"/>
      <c r="AL124" s="52"/>
      <c r="AM124" s="52"/>
      <c r="AN124" s="52"/>
    </row>
    <row r="125" spans="1:41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62"/>
      <c r="M125" s="125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</row>
    <row r="126" spans="1:41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62"/>
      <c r="M126" s="125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</row>
    <row r="127" spans="1:41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62"/>
      <c r="M127" s="125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</row>
    <row r="128" spans="1:41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62"/>
      <c r="M128" s="125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</row>
    <row r="129" spans="1:41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6"/>
      <c r="M129" s="10"/>
      <c r="N129" s="10"/>
      <c r="O129" s="10"/>
      <c r="P129" s="10"/>
      <c r="Q129" s="10"/>
      <c r="R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</row>
    <row r="130" spans="1:41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0"/>
      <c r="L130" s="43"/>
      <c r="M130" s="10"/>
      <c r="N130" s="10"/>
      <c r="O130" s="10"/>
      <c r="P130" s="10"/>
      <c r="Q130" s="10"/>
      <c r="R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</row>
    <row r="131" spans="1:41" s="45" customFormat="1" ht="18.75" x14ac:dyDescent="0.3">
      <c r="A131" s="23"/>
      <c r="B131" s="52"/>
      <c r="C131" s="27" t="s">
        <v>5</v>
      </c>
      <c r="D131" s="44"/>
      <c r="E131" s="11" t="str">
        <f ca="1">_xll.DBRA(Server&amp;$AD$12,C131,$AD$11)</f>
        <v>Commentaires</v>
      </c>
      <c r="F131" s="11"/>
      <c r="G131" s="8"/>
      <c r="H131" s="4"/>
      <c r="I131" s="12"/>
      <c r="J131" s="12"/>
      <c r="K131" s="13"/>
      <c r="L131" s="14"/>
      <c r="M131" s="14"/>
      <c r="N131" s="14"/>
      <c r="O131" s="14"/>
      <c r="P131" s="14"/>
      <c r="Q131" s="14"/>
      <c r="R131" s="23"/>
      <c r="S131" s="52"/>
      <c r="T131" s="52"/>
      <c r="U131" s="52"/>
      <c r="V131" s="52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</row>
    <row r="132" spans="1:41" s="45" customFormat="1" ht="19.5" x14ac:dyDescent="0.2">
      <c r="A132" s="23"/>
      <c r="B132" s="52"/>
      <c r="C132" s="27" t="s">
        <v>21</v>
      </c>
      <c r="D132" s="44"/>
      <c r="E132" s="235" t="str">
        <f ca="1">_xll.DBRW(Server&amp;Cube2,PL!$F$14,PL!$F$15,PL!$F$20,PL!$F$17,PL!$F$19,PL!$C$19,PL!$F$18,PL!$P$2,PL!$H$4,"Compte_de_Resultat_Realise",PL!$C132)</f>
        <v/>
      </c>
      <c r="F132" s="236"/>
      <c r="G132" s="236"/>
      <c r="H132" s="236"/>
      <c r="I132" s="236"/>
      <c r="J132" s="236"/>
      <c r="K132" s="236"/>
      <c r="L132" s="236"/>
      <c r="M132" s="236"/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</row>
    <row r="133" spans="1:41" s="45" customFormat="1" ht="19.5" x14ac:dyDescent="0.2">
      <c r="A133" s="23"/>
      <c r="B133" s="52"/>
      <c r="C133" s="27" t="s">
        <v>22</v>
      </c>
      <c r="D133" s="44"/>
      <c r="E133" s="235" t="str">
        <f ca="1">_xll.DBRW(Server&amp;Cube2,PL!$F$14,PL!$F$15,PL!$F$20,PL!$F$17,PL!$F$19,PL!$C$19,PL!$F$18,PL!$P$2,PL!$H$4,"Compte_de_Resultat_Realise",PL!$C133)</f>
        <v/>
      </c>
      <c r="F133" s="236"/>
      <c r="G133" s="236"/>
      <c r="H133" s="236"/>
      <c r="I133" s="236"/>
      <c r="J133" s="236"/>
      <c r="K133" s="236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</row>
    <row r="134" spans="1:41" s="45" customFormat="1" ht="19.5" x14ac:dyDescent="0.2">
      <c r="A134" s="23"/>
      <c r="B134" s="52"/>
      <c r="C134" s="27" t="s">
        <v>23</v>
      </c>
      <c r="D134" s="44"/>
      <c r="E134" s="235" t="str">
        <f ca="1">_xll.DBRW(Server&amp;Cube2,PL!$F$14,PL!$F$15,PL!$F$20,PL!$F$17,PL!$F$19,PL!$C$19,PL!$F$18,PL!$P$2,PL!$H$4,"Compte_de_Resultat_Realise",PL!$C134)</f>
        <v/>
      </c>
      <c r="F134" s="236"/>
      <c r="G134" s="236"/>
      <c r="H134" s="236"/>
      <c r="I134" s="236"/>
      <c r="J134" s="236"/>
      <c r="K134" s="236"/>
      <c r="L134" s="236"/>
      <c r="M134" s="236"/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</row>
    <row r="135" spans="1:41" s="45" customFormat="1" ht="19.5" x14ac:dyDescent="0.2">
      <c r="A135" s="23"/>
      <c r="B135" s="52"/>
      <c r="C135" s="27" t="s">
        <v>24</v>
      </c>
      <c r="D135" s="44"/>
      <c r="E135" s="235" t="str">
        <f ca="1">_xll.DBRW(Server&amp;Cube2,PL!$F$14,PL!$F$15,PL!$F$20,PL!$F$17,PL!$F$19,PL!$C$19,PL!$F$18,PL!$P$2,PL!$H$4,"Compte_de_Resultat_Realise",PL!$C135)</f>
        <v/>
      </c>
      <c r="F135" s="236"/>
      <c r="G135" s="236"/>
      <c r="H135" s="236"/>
      <c r="I135" s="236"/>
      <c r="J135" s="236"/>
      <c r="K135" s="236"/>
      <c r="L135" s="236"/>
      <c r="M135" s="236"/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</row>
    <row r="136" spans="1:41" s="45" customFormat="1" x14ac:dyDescent="0.2">
      <c r="A136" s="23"/>
      <c r="B136" s="52"/>
      <c r="C136" s="27"/>
      <c r="D136" s="44"/>
      <c r="R136" s="23"/>
      <c r="S136" s="52"/>
      <c r="T136" s="52"/>
      <c r="U136" s="52"/>
      <c r="V136" s="52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</row>
    <row r="137" spans="1:41" s="45" customFormat="1" x14ac:dyDescent="0.2">
      <c r="A137" s="23"/>
      <c r="B137" s="52"/>
      <c r="C137" s="27"/>
      <c r="D137" s="44"/>
      <c r="R137" s="23"/>
      <c r="S137" s="52"/>
      <c r="T137" s="52"/>
      <c r="U137" s="52"/>
      <c r="V137" s="52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</row>
    <row r="138" spans="1:41" s="45" customFormat="1" x14ac:dyDescent="0.2">
      <c r="A138" s="23"/>
      <c r="B138" s="52"/>
      <c r="C138" s="27"/>
      <c r="D138" s="44"/>
      <c r="R138" s="23"/>
      <c r="S138" s="52"/>
      <c r="T138" s="52"/>
      <c r="U138" s="52"/>
      <c r="V138" s="52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</row>
    <row r="139" spans="1:41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S139" s="52"/>
      <c r="T139" s="52"/>
      <c r="U139" s="52"/>
      <c r="V139" s="52"/>
    </row>
    <row r="140" spans="1:41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S140" s="52"/>
      <c r="T140" s="52"/>
      <c r="U140" s="52"/>
      <c r="V140" s="52"/>
    </row>
    <row r="141" spans="1:41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S141" s="52"/>
      <c r="T141" s="52"/>
      <c r="U141" s="52"/>
      <c r="V141" s="52"/>
    </row>
    <row r="142" spans="1:41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S142" s="52"/>
      <c r="T142" s="52"/>
      <c r="U142" s="52"/>
      <c r="V142" s="52"/>
    </row>
    <row r="143" spans="1:41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S143" s="52"/>
      <c r="T143" s="52"/>
      <c r="U143" s="52"/>
      <c r="V143" s="52"/>
    </row>
    <row r="144" spans="1:41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S144" s="52"/>
      <c r="T144" s="52"/>
      <c r="U144" s="52"/>
      <c r="V144" s="52"/>
    </row>
    <row r="145" spans="2:22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S145" s="52"/>
      <c r="T145" s="52"/>
      <c r="U145" s="52"/>
      <c r="V145" s="52"/>
    </row>
    <row r="146" spans="2:22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S146" s="52"/>
      <c r="T146" s="52"/>
      <c r="U146" s="52"/>
      <c r="V146" s="52"/>
    </row>
    <row r="147" spans="2:22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S147" s="52"/>
      <c r="T147" s="52"/>
      <c r="U147" s="52"/>
      <c r="V147" s="52"/>
    </row>
    <row r="148" spans="2:22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S148" s="52"/>
      <c r="T148" s="52"/>
      <c r="U148" s="52"/>
      <c r="V148" s="52"/>
    </row>
    <row r="149" spans="2:22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S149" s="52"/>
      <c r="T149" s="52"/>
      <c r="U149" s="52"/>
      <c r="V149" s="52"/>
    </row>
    <row r="150" spans="2:22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S150" s="52"/>
      <c r="T150" s="52"/>
      <c r="U150" s="52"/>
      <c r="V150" s="52"/>
    </row>
    <row r="151" spans="2:22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S151" s="52"/>
      <c r="T151" s="52"/>
      <c r="U151" s="52"/>
      <c r="V151" s="52"/>
    </row>
    <row r="152" spans="2:22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S152" s="52"/>
      <c r="T152" s="52"/>
      <c r="U152" s="52"/>
      <c r="V152" s="52"/>
    </row>
    <row r="153" spans="2:22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S153" s="52"/>
      <c r="T153" s="52"/>
      <c r="U153" s="52"/>
      <c r="V153" s="52"/>
    </row>
    <row r="154" spans="2:22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S154" s="52"/>
      <c r="T154" s="52"/>
      <c r="U154" s="52"/>
      <c r="V154" s="52"/>
    </row>
    <row r="155" spans="2:22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S155" s="52"/>
      <c r="T155" s="52"/>
      <c r="U155" s="52"/>
      <c r="V155" s="52"/>
    </row>
    <row r="156" spans="2:22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S156" s="52"/>
      <c r="T156" s="52"/>
      <c r="U156" s="52"/>
      <c r="V156" s="52"/>
    </row>
    <row r="157" spans="2:22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S157" s="52"/>
      <c r="T157" s="52"/>
      <c r="U157" s="52"/>
      <c r="V157" s="52"/>
    </row>
    <row r="158" spans="2:22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S158" s="52"/>
      <c r="T158" s="52"/>
      <c r="U158" s="52"/>
      <c r="V158" s="52"/>
    </row>
    <row r="159" spans="2:22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S159" s="52"/>
      <c r="T159" s="52"/>
      <c r="U159" s="52"/>
      <c r="V159" s="52"/>
    </row>
    <row r="160" spans="2:22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S160" s="52"/>
      <c r="T160" s="52"/>
      <c r="U160" s="52"/>
      <c r="V160" s="52"/>
    </row>
    <row r="161" spans="2:22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S161" s="52"/>
      <c r="T161" s="52"/>
      <c r="U161" s="52"/>
      <c r="V161" s="52"/>
    </row>
    <row r="162" spans="2:22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S162" s="52"/>
      <c r="T162" s="52"/>
      <c r="U162" s="52"/>
      <c r="V162" s="52"/>
    </row>
    <row r="163" spans="2:22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S163" s="52"/>
      <c r="T163" s="52"/>
      <c r="U163" s="52"/>
      <c r="V163" s="52"/>
    </row>
    <row r="164" spans="2:22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S164" s="52"/>
      <c r="T164" s="52"/>
      <c r="U164" s="52"/>
      <c r="V164" s="52"/>
    </row>
    <row r="165" spans="2:22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S165" s="52"/>
      <c r="T165" s="52"/>
      <c r="U165" s="52"/>
      <c r="V165" s="52"/>
    </row>
    <row r="166" spans="2:22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S166" s="52"/>
      <c r="T166" s="52"/>
      <c r="U166" s="52"/>
      <c r="V166" s="52"/>
    </row>
    <row r="167" spans="2:22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S167" s="52"/>
      <c r="T167" s="52"/>
      <c r="U167" s="52"/>
      <c r="V167" s="52"/>
    </row>
    <row r="168" spans="2:22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S168" s="52"/>
      <c r="T168" s="52"/>
      <c r="U168" s="52"/>
      <c r="V168" s="52"/>
    </row>
    <row r="169" spans="2:22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S169" s="52"/>
      <c r="T169" s="52"/>
      <c r="U169" s="52"/>
      <c r="V169" s="52"/>
    </row>
    <row r="170" spans="2:22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S170" s="52"/>
      <c r="T170" s="52"/>
      <c r="U170" s="52"/>
      <c r="V170" s="52"/>
    </row>
    <row r="171" spans="2:22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S171" s="52"/>
      <c r="T171" s="52"/>
      <c r="U171" s="52"/>
      <c r="V171" s="52"/>
    </row>
    <row r="172" spans="2:22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S172" s="52"/>
      <c r="T172" s="52"/>
      <c r="U172" s="52"/>
      <c r="V172" s="52"/>
    </row>
    <row r="173" spans="2:22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S173" s="52"/>
      <c r="T173" s="52"/>
      <c r="U173" s="52"/>
      <c r="V173" s="52"/>
    </row>
    <row r="174" spans="2:22" s="23" customFormat="1" x14ac:dyDescent="0.2">
      <c r="J174" s="52"/>
      <c r="K174" s="52"/>
      <c r="L174" s="52"/>
      <c r="M174" s="52"/>
      <c r="N174" s="52"/>
      <c r="O174" s="52"/>
      <c r="P174" s="52"/>
      <c r="Q174" s="52"/>
      <c r="S174" s="52"/>
      <c r="T174" s="52"/>
      <c r="U174" s="52"/>
      <c r="V174" s="52"/>
    </row>
    <row r="175" spans="2:22" s="23" customFormat="1" x14ac:dyDescent="0.2">
      <c r="J175" s="52"/>
      <c r="K175" s="52"/>
      <c r="L175" s="52"/>
      <c r="M175" s="52"/>
      <c r="N175" s="52"/>
      <c r="O175" s="52"/>
      <c r="P175" s="52"/>
      <c r="Q175" s="52"/>
      <c r="S175" s="52"/>
      <c r="T175" s="52"/>
      <c r="U175" s="52"/>
      <c r="V175" s="52"/>
    </row>
    <row r="176" spans="2:22" s="23" customFormat="1" x14ac:dyDescent="0.2">
      <c r="J176" s="52"/>
      <c r="K176" s="52"/>
      <c r="L176" s="52"/>
      <c r="M176" s="52"/>
      <c r="N176" s="52"/>
      <c r="O176" s="52"/>
      <c r="P176" s="52"/>
      <c r="Q176" s="52"/>
      <c r="S176" s="52"/>
      <c r="T176" s="52"/>
      <c r="U176" s="52"/>
      <c r="V176" s="52"/>
    </row>
    <row r="177" spans="10:22" s="23" customFormat="1" x14ac:dyDescent="0.2">
      <c r="J177" s="52"/>
      <c r="K177" s="52"/>
      <c r="L177" s="52"/>
      <c r="M177" s="52"/>
      <c r="N177" s="52"/>
      <c r="O177" s="52"/>
      <c r="P177" s="52"/>
      <c r="Q177" s="52"/>
      <c r="S177" s="52"/>
      <c r="T177" s="52"/>
      <c r="U177" s="52"/>
      <c r="V177" s="52"/>
    </row>
    <row r="178" spans="10:22" s="23" customFormat="1" x14ac:dyDescent="0.2">
      <c r="J178" s="52"/>
      <c r="K178" s="52"/>
      <c r="L178" s="52"/>
      <c r="M178" s="52"/>
      <c r="N178" s="52"/>
      <c r="O178" s="52"/>
      <c r="P178" s="52"/>
      <c r="Q178" s="52"/>
      <c r="S178" s="52"/>
      <c r="T178" s="52"/>
      <c r="U178" s="52"/>
      <c r="V178" s="52"/>
    </row>
    <row r="179" spans="10:22" s="23" customFormat="1" x14ac:dyDescent="0.2">
      <c r="J179" s="52"/>
      <c r="K179" s="52"/>
      <c r="L179" s="52"/>
      <c r="M179" s="52"/>
      <c r="N179" s="52"/>
      <c r="O179" s="52"/>
      <c r="P179" s="52"/>
      <c r="Q179" s="52"/>
      <c r="S179" s="52"/>
      <c r="T179" s="52"/>
      <c r="U179" s="52"/>
      <c r="V179" s="52"/>
    </row>
    <row r="180" spans="10:22" s="23" customFormat="1" x14ac:dyDescent="0.2">
      <c r="J180" s="52"/>
      <c r="K180" s="52"/>
      <c r="L180" s="52"/>
      <c r="M180" s="52"/>
      <c r="N180" s="52"/>
      <c r="O180" s="52"/>
      <c r="P180" s="52"/>
      <c r="Q180" s="52"/>
      <c r="S180" s="52"/>
      <c r="T180" s="52"/>
      <c r="U180" s="52"/>
      <c r="V180" s="52"/>
    </row>
    <row r="181" spans="10:22" s="23" customFormat="1" x14ac:dyDescent="0.2">
      <c r="J181" s="52"/>
      <c r="K181" s="52"/>
      <c r="L181" s="52"/>
      <c r="M181" s="52"/>
      <c r="N181" s="52"/>
      <c r="O181" s="52"/>
      <c r="P181" s="52"/>
      <c r="Q181" s="52"/>
      <c r="S181" s="52"/>
      <c r="T181" s="52"/>
      <c r="U181" s="52"/>
      <c r="V181" s="52"/>
    </row>
    <row r="182" spans="10:22" s="23" customFormat="1" x14ac:dyDescent="0.2">
      <c r="J182" s="52"/>
      <c r="K182" s="52"/>
      <c r="L182" s="52"/>
      <c r="M182" s="52"/>
      <c r="N182" s="52"/>
      <c r="O182" s="52"/>
      <c r="P182" s="52"/>
      <c r="Q182" s="52"/>
      <c r="S182" s="52"/>
      <c r="T182" s="52"/>
      <c r="U182" s="52"/>
      <c r="V182" s="52"/>
    </row>
    <row r="183" spans="10:22" s="23" customFormat="1" x14ac:dyDescent="0.2">
      <c r="J183" s="52"/>
      <c r="K183" s="52"/>
      <c r="L183" s="52"/>
      <c r="M183" s="52"/>
      <c r="N183" s="52"/>
      <c r="O183" s="52"/>
      <c r="P183" s="52"/>
      <c r="Q183" s="52"/>
      <c r="S183" s="52"/>
      <c r="T183" s="52"/>
      <c r="U183" s="52"/>
      <c r="V183" s="52"/>
    </row>
    <row r="184" spans="10:22" s="23" customFormat="1" x14ac:dyDescent="0.2">
      <c r="J184" s="52"/>
      <c r="K184" s="52"/>
      <c r="L184" s="52"/>
      <c r="M184" s="52"/>
      <c r="N184" s="52"/>
      <c r="O184" s="52"/>
      <c r="P184" s="52"/>
      <c r="Q184" s="52"/>
      <c r="S184" s="52"/>
      <c r="T184" s="52"/>
      <c r="U184" s="52"/>
      <c r="V184" s="52"/>
    </row>
    <row r="185" spans="10:22" s="23" customFormat="1" x14ac:dyDescent="0.2">
      <c r="J185" s="52"/>
      <c r="K185" s="52"/>
      <c r="L185" s="52"/>
      <c r="M185" s="52"/>
      <c r="N185" s="52"/>
      <c r="O185" s="52"/>
      <c r="P185" s="52"/>
      <c r="Q185" s="52"/>
      <c r="S185" s="52"/>
      <c r="T185" s="52"/>
      <c r="U185" s="52"/>
      <c r="V185" s="52"/>
    </row>
    <row r="186" spans="10:22" s="23" customFormat="1" x14ac:dyDescent="0.2">
      <c r="J186" s="52"/>
      <c r="K186" s="52"/>
      <c r="L186" s="52"/>
      <c r="M186" s="52"/>
      <c r="N186" s="52"/>
      <c r="O186" s="52"/>
      <c r="P186" s="52"/>
      <c r="Q186" s="52"/>
      <c r="S186" s="52"/>
      <c r="T186" s="52"/>
      <c r="U186" s="52"/>
      <c r="V186" s="52"/>
    </row>
    <row r="187" spans="10:22" s="23" customFormat="1" x14ac:dyDescent="0.2">
      <c r="J187" s="52"/>
      <c r="K187" s="52"/>
      <c r="L187" s="52"/>
      <c r="M187" s="52"/>
      <c r="N187" s="52"/>
      <c r="O187" s="52"/>
      <c r="P187" s="52"/>
      <c r="Q187" s="52"/>
      <c r="S187" s="52"/>
      <c r="T187" s="52"/>
      <c r="U187" s="52"/>
      <c r="V187" s="52"/>
    </row>
    <row r="188" spans="10:22" s="23" customFormat="1" x14ac:dyDescent="0.2">
      <c r="J188" s="52"/>
      <c r="K188" s="52"/>
      <c r="L188" s="52"/>
      <c r="M188" s="52"/>
      <c r="N188" s="52"/>
      <c r="O188" s="52"/>
      <c r="P188" s="52"/>
      <c r="Q188" s="52"/>
      <c r="S188" s="52"/>
      <c r="T188" s="52"/>
      <c r="U188" s="52"/>
      <c r="V188" s="52"/>
    </row>
    <row r="189" spans="10:22" s="23" customFormat="1" x14ac:dyDescent="0.2">
      <c r="J189" s="52"/>
      <c r="K189" s="52"/>
      <c r="L189" s="52"/>
      <c r="M189" s="52"/>
      <c r="N189" s="52"/>
      <c r="O189" s="52"/>
      <c r="P189" s="52"/>
      <c r="Q189" s="52"/>
      <c r="S189" s="52"/>
      <c r="T189" s="52"/>
      <c r="U189" s="52"/>
      <c r="V189" s="52"/>
    </row>
    <row r="190" spans="10:22" s="23" customFormat="1" x14ac:dyDescent="0.2">
      <c r="J190" s="52"/>
      <c r="K190" s="52"/>
      <c r="L190" s="52"/>
      <c r="M190" s="52"/>
      <c r="N190" s="52"/>
      <c r="O190" s="52"/>
      <c r="P190" s="52"/>
      <c r="Q190" s="52"/>
      <c r="S190" s="52"/>
      <c r="T190" s="52"/>
      <c r="U190" s="52"/>
      <c r="V190" s="52"/>
    </row>
    <row r="191" spans="10:22" s="23" customFormat="1" x14ac:dyDescent="0.2">
      <c r="J191" s="52"/>
      <c r="K191" s="52"/>
      <c r="L191" s="52"/>
      <c r="M191" s="52"/>
      <c r="N191" s="52"/>
      <c r="O191" s="52"/>
      <c r="P191" s="52"/>
      <c r="Q191" s="52"/>
      <c r="S191" s="52"/>
      <c r="T191" s="52"/>
      <c r="U191" s="52"/>
      <c r="V191" s="52"/>
    </row>
    <row r="192" spans="10:22" s="23" customFormat="1" x14ac:dyDescent="0.2">
      <c r="J192" s="52"/>
      <c r="K192" s="52"/>
      <c r="L192" s="52"/>
      <c r="M192" s="52"/>
      <c r="N192" s="52"/>
      <c r="O192" s="52"/>
      <c r="P192" s="52"/>
      <c r="Q192" s="52"/>
      <c r="S192" s="52"/>
      <c r="T192" s="52"/>
      <c r="U192" s="52"/>
      <c r="V192" s="52"/>
    </row>
    <row r="193" spans="10:22" s="23" customFormat="1" x14ac:dyDescent="0.2">
      <c r="J193" s="52"/>
      <c r="K193" s="52"/>
      <c r="L193" s="52"/>
      <c r="M193" s="52"/>
      <c r="N193" s="52"/>
      <c r="O193" s="52"/>
      <c r="P193" s="52"/>
      <c r="Q193" s="52"/>
      <c r="S193" s="52"/>
      <c r="T193" s="52"/>
      <c r="U193" s="52"/>
      <c r="V193" s="52"/>
    </row>
    <row r="194" spans="10:22" s="23" customFormat="1" x14ac:dyDescent="0.2">
      <c r="J194" s="52"/>
      <c r="K194" s="52"/>
      <c r="L194" s="52"/>
      <c r="M194" s="52"/>
      <c r="N194" s="52"/>
      <c r="O194" s="52"/>
      <c r="P194" s="52"/>
      <c r="Q194" s="52"/>
      <c r="S194" s="52"/>
      <c r="T194" s="52"/>
      <c r="U194" s="52"/>
      <c r="V194" s="52"/>
    </row>
    <row r="195" spans="10:22" s="23" customFormat="1" x14ac:dyDescent="0.2">
      <c r="J195" s="52"/>
      <c r="K195" s="52"/>
      <c r="L195" s="52"/>
      <c r="M195" s="52"/>
      <c r="N195" s="52"/>
      <c r="O195" s="52"/>
      <c r="P195" s="52"/>
      <c r="Q195" s="52"/>
      <c r="S195" s="52"/>
      <c r="T195" s="52"/>
      <c r="U195" s="52"/>
      <c r="V195" s="52"/>
    </row>
    <row r="196" spans="10:22" s="23" customFormat="1" x14ac:dyDescent="0.2">
      <c r="J196" s="52"/>
      <c r="K196" s="52"/>
      <c r="L196" s="52"/>
      <c r="M196" s="52"/>
      <c r="N196" s="52"/>
      <c r="O196" s="52"/>
      <c r="P196" s="52"/>
      <c r="Q196" s="52"/>
      <c r="S196" s="52"/>
      <c r="T196" s="52"/>
      <c r="U196" s="52"/>
      <c r="V196" s="52"/>
    </row>
    <row r="197" spans="10:22" s="23" customFormat="1" x14ac:dyDescent="0.2">
      <c r="J197" s="52"/>
      <c r="K197" s="52"/>
      <c r="L197" s="52"/>
      <c r="M197" s="52"/>
      <c r="N197" s="52"/>
      <c r="O197" s="52"/>
      <c r="P197" s="52"/>
      <c r="Q197" s="52"/>
      <c r="S197" s="52"/>
      <c r="T197" s="52"/>
      <c r="U197" s="52"/>
      <c r="V197" s="52"/>
    </row>
    <row r="198" spans="10:22" s="23" customFormat="1" x14ac:dyDescent="0.2">
      <c r="J198" s="52"/>
      <c r="K198" s="52"/>
      <c r="L198" s="52"/>
      <c r="M198" s="52"/>
      <c r="N198" s="52"/>
      <c r="O198" s="52"/>
      <c r="P198" s="52"/>
      <c r="Q198" s="52"/>
      <c r="S198" s="52"/>
      <c r="T198" s="52"/>
      <c r="U198" s="52"/>
      <c r="V198" s="52"/>
    </row>
    <row r="199" spans="10:22" s="23" customFormat="1" x14ac:dyDescent="0.2">
      <c r="J199" s="52"/>
      <c r="K199" s="52"/>
      <c r="L199" s="52"/>
      <c r="M199" s="52"/>
      <c r="N199" s="52"/>
      <c r="O199" s="52"/>
      <c r="P199" s="52"/>
      <c r="Q199" s="52"/>
      <c r="S199" s="52"/>
      <c r="T199" s="52"/>
      <c r="U199" s="52"/>
      <c r="V199" s="52"/>
    </row>
    <row r="200" spans="10:22" s="23" customFormat="1" x14ac:dyDescent="0.2">
      <c r="J200" s="52"/>
      <c r="K200" s="52"/>
      <c r="L200" s="52"/>
      <c r="M200" s="52"/>
      <c r="N200" s="52"/>
      <c r="O200" s="52"/>
      <c r="P200" s="52"/>
      <c r="Q200" s="52"/>
      <c r="S200" s="52"/>
      <c r="T200" s="52"/>
      <c r="U200" s="52"/>
      <c r="V200" s="52"/>
    </row>
    <row r="201" spans="10:22" s="23" customFormat="1" x14ac:dyDescent="0.2">
      <c r="J201" s="52"/>
      <c r="K201" s="52"/>
      <c r="L201" s="52"/>
      <c r="M201" s="52"/>
      <c r="N201" s="52"/>
      <c r="O201" s="52"/>
      <c r="P201" s="52"/>
      <c r="Q201" s="52"/>
      <c r="S201" s="52"/>
      <c r="T201" s="52"/>
      <c r="U201" s="52"/>
      <c r="V201" s="52"/>
    </row>
    <row r="202" spans="10:22" s="23" customFormat="1" x14ac:dyDescent="0.2">
      <c r="J202" s="52"/>
      <c r="K202" s="52"/>
      <c r="L202" s="52"/>
      <c r="M202" s="52"/>
      <c r="N202" s="52"/>
      <c r="O202" s="52"/>
      <c r="P202" s="52"/>
      <c r="Q202" s="52"/>
      <c r="S202" s="52"/>
      <c r="T202" s="52"/>
      <c r="U202" s="52"/>
      <c r="V202" s="52"/>
    </row>
    <row r="203" spans="10:22" s="23" customFormat="1" x14ac:dyDescent="0.2">
      <c r="J203" s="52"/>
      <c r="K203" s="52"/>
      <c r="L203" s="52"/>
      <c r="M203" s="52"/>
      <c r="N203" s="52"/>
      <c r="O203" s="52"/>
      <c r="P203" s="52"/>
      <c r="Q203" s="52"/>
      <c r="S203" s="52"/>
      <c r="T203" s="52"/>
      <c r="U203" s="52"/>
      <c r="V203" s="52"/>
    </row>
    <row r="204" spans="10:22" s="23" customFormat="1" x14ac:dyDescent="0.2">
      <c r="J204" s="52"/>
      <c r="K204" s="52"/>
      <c r="L204" s="52"/>
      <c r="M204" s="52"/>
      <c r="N204" s="52"/>
      <c r="O204" s="52"/>
      <c r="P204" s="52"/>
      <c r="Q204" s="52"/>
      <c r="S204" s="52"/>
      <c r="T204" s="52"/>
      <c r="U204" s="52"/>
      <c r="V204" s="52"/>
    </row>
    <row r="205" spans="10:22" s="23" customFormat="1" x14ac:dyDescent="0.2">
      <c r="J205" s="52"/>
      <c r="K205" s="52"/>
      <c r="L205" s="52"/>
      <c r="M205" s="52"/>
      <c r="N205" s="52"/>
      <c r="O205" s="52"/>
      <c r="P205" s="52"/>
      <c r="Q205" s="52"/>
      <c r="S205" s="52"/>
      <c r="T205" s="52"/>
      <c r="U205" s="52"/>
      <c r="V205" s="52"/>
    </row>
    <row r="206" spans="10:22" s="23" customFormat="1" x14ac:dyDescent="0.2">
      <c r="J206" s="52"/>
      <c r="K206" s="52"/>
      <c r="L206" s="52"/>
      <c r="M206" s="52"/>
      <c r="N206" s="52"/>
      <c r="O206" s="52"/>
      <c r="P206" s="52"/>
      <c r="Q206" s="52"/>
      <c r="S206" s="52"/>
      <c r="T206" s="52"/>
      <c r="U206" s="52"/>
      <c r="V206" s="52"/>
    </row>
    <row r="207" spans="10:22" s="23" customFormat="1" x14ac:dyDescent="0.2">
      <c r="J207" s="52"/>
      <c r="K207" s="52"/>
      <c r="L207" s="52"/>
      <c r="M207" s="52"/>
      <c r="N207" s="52"/>
      <c r="O207" s="52"/>
      <c r="P207" s="52"/>
      <c r="Q207" s="52"/>
      <c r="S207" s="52"/>
      <c r="T207" s="52"/>
      <c r="U207" s="52"/>
      <c r="V207" s="52"/>
    </row>
  </sheetData>
  <sheetProtection formatColumns="0" formatRows="0"/>
  <protectedRanges>
    <protectedRange sqref="G132:Q134" name="Commentaires"/>
  </protectedRanges>
  <mergeCells count="88">
    <mergeCell ref="J23:J24"/>
    <mergeCell ref="P1:R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  <mergeCell ref="E77:G77"/>
    <mergeCell ref="E90:G90"/>
    <mergeCell ref="E78:G78"/>
    <mergeCell ref="E79:G79"/>
    <mergeCell ref="E83:G83"/>
    <mergeCell ref="E85:G85"/>
    <mergeCell ref="E88:G88"/>
    <mergeCell ref="E80:G80"/>
    <mergeCell ref="E46:G46"/>
    <mergeCell ref="E47:G47"/>
    <mergeCell ref="E48:G48"/>
    <mergeCell ref="E49:G49"/>
    <mergeCell ref="E50:G50"/>
    <mergeCell ref="E51:G51"/>
    <mergeCell ref="E52:G52"/>
    <mergeCell ref="E53:G53"/>
    <mergeCell ref="E55:G55"/>
    <mergeCell ref="E58:G58"/>
    <mergeCell ref="E59:G59"/>
    <mergeCell ref="E62:G62"/>
    <mergeCell ref="E54:G54"/>
    <mergeCell ref="E56:G56"/>
    <mergeCell ref="E57:G57"/>
    <mergeCell ref="E60:G60"/>
    <mergeCell ref="E61:G61"/>
    <mergeCell ref="E94:E97"/>
    <mergeCell ref="F94:G94"/>
    <mergeCell ref="F95:G95"/>
    <mergeCell ref="F96:G96"/>
    <mergeCell ref="F97:G97"/>
    <mergeCell ref="E132:W132"/>
    <mergeCell ref="E133:W133"/>
    <mergeCell ref="E134:W134"/>
    <mergeCell ref="E135:W135"/>
    <mergeCell ref="AF29:AH29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26:G26"/>
    <mergeCell ref="E29:G29"/>
    <mergeCell ref="E31:G31"/>
    <mergeCell ref="E30:G30"/>
    <mergeCell ref="E35:G35"/>
    <mergeCell ref="E27:G27"/>
    <mergeCell ref="E32:G32"/>
    <mergeCell ref="E33:G33"/>
    <mergeCell ref="E34:G34"/>
    <mergeCell ref="E28:G28"/>
    <mergeCell ref="E10:V11"/>
    <mergeCell ref="N23:O24"/>
    <mergeCell ref="I19:Q19"/>
    <mergeCell ref="I21:L22"/>
    <mergeCell ref="I23:I24"/>
    <mergeCell ref="K23:K24"/>
    <mergeCell ref="L23:L24"/>
    <mergeCell ref="Q23:Q24"/>
    <mergeCell ref="N21:Q22"/>
    <mergeCell ref="P23:P24"/>
    <mergeCell ref="S19:V19"/>
    <mergeCell ref="S21:S22"/>
    <mergeCell ref="U21:V22"/>
    <mergeCell ref="U23:U24"/>
    <mergeCell ref="V23:V24"/>
    <mergeCell ref="S23:S24"/>
  </mergeCells>
  <phoneticPr fontId="0" type="noConversion"/>
  <conditionalFormatting sqref="P27 P29 P94:P98">
    <cfRule type="cellIs" dxfId="62" priority="159" operator="equal">
      <formula>$AF$27</formula>
    </cfRule>
  </conditionalFormatting>
  <conditionalFormatting sqref="P27 P29 P94:P98">
    <cfRule type="cellIs" dxfId="61" priority="158" operator="equal">
      <formula>$AG$27</formula>
    </cfRule>
  </conditionalFormatting>
  <conditionalFormatting sqref="P27 P29 P94:P98">
    <cfRule type="cellIs" dxfId="60" priority="157" operator="equal">
      <formula>$AH$27</formula>
    </cfRule>
  </conditionalFormatting>
  <conditionalFormatting sqref="P35:P50">
    <cfRule type="cellIs" dxfId="59" priority="153" operator="equal">
      <formula>$AF$27</formula>
    </cfRule>
  </conditionalFormatting>
  <conditionalFormatting sqref="P35:P50">
    <cfRule type="cellIs" dxfId="58" priority="152" operator="equal">
      <formula>$AG$27</formula>
    </cfRule>
  </conditionalFormatting>
  <conditionalFormatting sqref="P35:P50">
    <cfRule type="cellIs" dxfId="57" priority="151" operator="equal">
      <formula>$AH$27</formula>
    </cfRule>
  </conditionalFormatting>
  <conditionalFormatting sqref="P52:P54">
    <cfRule type="cellIs" dxfId="56" priority="150" operator="equal">
      <formula>$AF$27</formula>
    </cfRule>
  </conditionalFormatting>
  <conditionalFormatting sqref="P52:P54">
    <cfRule type="cellIs" dxfId="55" priority="149" operator="equal">
      <formula>$AG$27</formula>
    </cfRule>
  </conditionalFormatting>
  <conditionalFormatting sqref="P52:P54">
    <cfRule type="cellIs" dxfId="54" priority="148" operator="equal">
      <formula>$AH$27</formula>
    </cfRule>
  </conditionalFormatting>
  <conditionalFormatting sqref="P56:P57">
    <cfRule type="cellIs" dxfId="53" priority="147" operator="equal">
      <formula>$AF$27</formula>
    </cfRule>
  </conditionalFormatting>
  <conditionalFormatting sqref="P56:P57">
    <cfRule type="cellIs" dxfId="52" priority="146" operator="equal">
      <formula>$AG$27</formula>
    </cfRule>
  </conditionalFormatting>
  <conditionalFormatting sqref="P56:P57">
    <cfRule type="cellIs" dxfId="51" priority="145" operator="equal">
      <formula>$AH$27</formula>
    </cfRule>
  </conditionalFormatting>
  <conditionalFormatting sqref="P59:P79">
    <cfRule type="cellIs" dxfId="50" priority="144" operator="equal">
      <formula>$AF$27</formula>
    </cfRule>
  </conditionalFormatting>
  <conditionalFormatting sqref="P59:P79">
    <cfRule type="cellIs" dxfId="49" priority="143" operator="equal">
      <formula>$AG$27</formula>
    </cfRule>
  </conditionalFormatting>
  <conditionalFormatting sqref="P59:P79">
    <cfRule type="cellIs" dxfId="48" priority="142" operator="equal">
      <formula>$AH$27</formula>
    </cfRule>
  </conditionalFormatting>
  <conditionalFormatting sqref="P85">
    <cfRule type="cellIs" dxfId="47" priority="141" operator="equal">
      <formula>$AF$27</formula>
    </cfRule>
  </conditionalFormatting>
  <conditionalFormatting sqref="P85">
    <cfRule type="cellIs" dxfId="46" priority="140" operator="equal">
      <formula>$AG$27</formula>
    </cfRule>
  </conditionalFormatting>
  <conditionalFormatting sqref="P85">
    <cfRule type="cellIs" dxfId="45" priority="139" operator="equal">
      <formula>$AH$27</formula>
    </cfRule>
  </conditionalFormatting>
  <conditionalFormatting sqref="P34">
    <cfRule type="cellIs" dxfId="44" priority="138" operator="equal">
      <formula>$AF$27</formula>
    </cfRule>
  </conditionalFormatting>
  <conditionalFormatting sqref="P34">
    <cfRule type="cellIs" dxfId="43" priority="137" operator="equal">
      <formula>$AG$27</formula>
    </cfRule>
  </conditionalFormatting>
  <conditionalFormatting sqref="P34">
    <cfRule type="cellIs" dxfId="42" priority="136" operator="equal">
      <formula>$AH$27</formula>
    </cfRule>
  </conditionalFormatting>
  <conditionalFormatting sqref="P83">
    <cfRule type="cellIs" dxfId="41" priority="117" operator="equal">
      <formula>$AF$27</formula>
    </cfRule>
  </conditionalFormatting>
  <conditionalFormatting sqref="P83">
    <cfRule type="cellIs" dxfId="40" priority="116" operator="equal">
      <formula>$AG$27</formula>
    </cfRule>
  </conditionalFormatting>
  <conditionalFormatting sqref="P83">
    <cfRule type="cellIs" dxfId="39" priority="115" operator="equal">
      <formula>$AH$27</formula>
    </cfRule>
  </conditionalFormatting>
  <conditionalFormatting sqref="P88">
    <cfRule type="cellIs" dxfId="38" priority="39" operator="equal">
      <formula>$AF$27</formula>
    </cfRule>
  </conditionalFormatting>
  <conditionalFormatting sqref="P88">
    <cfRule type="cellIs" dxfId="37" priority="38" operator="equal">
      <formula>$AG$27</formula>
    </cfRule>
  </conditionalFormatting>
  <conditionalFormatting sqref="P88">
    <cfRule type="cellIs" dxfId="36" priority="37" operator="equal">
      <formula>$AH$27</formula>
    </cfRule>
  </conditionalFormatting>
  <conditionalFormatting sqref="P90">
    <cfRule type="cellIs" dxfId="35" priority="36" operator="equal">
      <formula>$AF$27</formula>
    </cfRule>
  </conditionalFormatting>
  <conditionalFormatting sqref="P90">
    <cfRule type="cellIs" dxfId="34" priority="35" operator="equal">
      <formula>$AG$27</formula>
    </cfRule>
  </conditionalFormatting>
  <conditionalFormatting sqref="P90">
    <cfRule type="cellIs" dxfId="33" priority="34" operator="equal">
      <formula>$AH$27</formula>
    </cfRule>
  </conditionalFormatting>
  <conditionalFormatting sqref="P92">
    <cfRule type="cellIs" dxfId="32" priority="33" operator="equal">
      <formula>$AF$27</formula>
    </cfRule>
  </conditionalFormatting>
  <conditionalFormatting sqref="P92">
    <cfRule type="cellIs" dxfId="31" priority="32" operator="equal">
      <formula>$AG$27</formula>
    </cfRule>
  </conditionalFormatting>
  <conditionalFormatting sqref="P92">
    <cfRule type="cellIs" dxfId="30" priority="31" operator="equal">
      <formula>$AH$27</formula>
    </cfRule>
  </conditionalFormatting>
  <conditionalFormatting sqref="P33">
    <cfRule type="cellIs" dxfId="29" priority="30" operator="equal">
      <formula>$AF$27</formula>
    </cfRule>
  </conditionalFormatting>
  <conditionalFormatting sqref="P33">
    <cfRule type="cellIs" dxfId="28" priority="29" operator="equal">
      <formula>$AG$27</formula>
    </cfRule>
  </conditionalFormatting>
  <conditionalFormatting sqref="P33">
    <cfRule type="cellIs" dxfId="27" priority="28" operator="equal">
      <formula>$AH$27</formula>
    </cfRule>
  </conditionalFormatting>
  <conditionalFormatting sqref="P26">
    <cfRule type="cellIs" dxfId="26" priority="27" operator="equal">
      <formula>$AF$27</formula>
    </cfRule>
  </conditionalFormatting>
  <conditionalFormatting sqref="P26">
    <cfRule type="cellIs" dxfId="25" priority="26" operator="equal">
      <formula>$AG$27</formula>
    </cfRule>
  </conditionalFormatting>
  <conditionalFormatting sqref="P26">
    <cfRule type="cellIs" dxfId="24" priority="25" operator="equal">
      <formula>$AH$27</formula>
    </cfRule>
  </conditionalFormatting>
  <conditionalFormatting sqref="P51">
    <cfRule type="cellIs" dxfId="23" priority="24" operator="equal">
      <formula>$AF$27</formula>
    </cfRule>
  </conditionalFormatting>
  <conditionalFormatting sqref="P51">
    <cfRule type="cellIs" dxfId="22" priority="23" operator="equal">
      <formula>$AG$27</formula>
    </cfRule>
  </conditionalFormatting>
  <conditionalFormatting sqref="P51">
    <cfRule type="cellIs" dxfId="21" priority="22" operator="equal">
      <formula>$AH$27</formula>
    </cfRule>
  </conditionalFormatting>
  <conditionalFormatting sqref="P55">
    <cfRule type="cellIs" dxfId="20" priority="21" operator="equal">
      <formula>$AF$27</formula>
    </cfRule>
  </conditionalFormatting>
  <conditionalFormatting sqref="P55">
    <cfRule type="cellIs" dxfId="19" priority="20" operator="equal">
      <formula>$AG$27</formula>
    </cfRule>
  </conditionalFormatting>
  <conditionalFormatting sqref="P55">
    <cfRule type="cellIs" dxfId="18" priority="19" operator="equal">
      <formula>$AH$27</formula>
    </cfRule>
  </conditionalFormatting>
  <conditionalFormatting sqref="P58">
    <cfRule type="cellIs" dxfId="17" priority="18" operator="equal">
      <formula>$AF$27</formula>
    </cfRule>
  </conditionalFormatting>
  <conditionalFormatting sqref="P58">
    <cfRule type="cellIs" dxfId="16" priority="17" operator="equal">
      <formula>$AG$27</formula>
    </cfRule>
  </conditionalFormatting>
  <conditionalFormatting sqref="P58">
    <cfRule type="cellIs" dxfId="15" priority="16" operator="equal">
      <formula>$AH$27</formula>
    </cfRule>
  </conditionalFormatting>
  <conditionalFormatting sqref="P31">
    <cfRule type="cellIs" dxfId="14" priority="15" operator="equal">
      <formula>$AF$27</formula>
    </cfRule>
  </conditionalFormatting>
  <conditionalFormatting sqref="P31">
    <cfRule type="cellIs" dxfId="13" priority="14" operator="equal">
      <formula>$AG$27</formula>
    </cfRule>
  </conditionalFormatting>
  <conditionalFormatting sqref="P31">
    <cfRule type="cellIs" dxfId="12" priority="13" operator="equal">
      <formula>$AH$27</formula>
    </cfRule>
  </conditionalFormatting>
  <conditionalFormatting sqref="P30">
    <cfRule type="cellIs" dxfId="11" priority="12" operator="equal">
      <formula>$AF$27</formula>
    </cfRule>
  </conditionalFormatting>
  <conditionalFormatting sqref="P30">
    <cfRule type="cellIs" dxfId="10" priority="11" operator="equal">
      <formula>$AG$27</formula>
    </cfRule>
  </conditionalFormatting>
  <conditionalFormatting sqref="P30">
    <cfRule type="cellIs" dxfId="9" priority="10" operator="equal">
      <formula>$AH$27</formula>
    </cfRule>
  </conditionalFormatting>
  <conditionalFormatting sqref="P80:P81">
    <cfRule type="cellIs" dxfId="8" priority="9" operator="equal">
      <formula>$AF$27</formula>
    </cfRule>
  </conditionalFormatting>
  <conditionalFormatting sqref="P80:P81">
    <cfRule type="cellIs" dxfId="7" priority="8" operator="equal">
      <formula>$AG$27</formula>
    </cfRule>
  </conditionalFormatting>
  <conditionalFormatting sqref="P80:P81">
    <cfRule type="cellIs" dxfId="6" priority="7" operator="equal">
      <formula>$AH$27</formula>
    </cfRule>
  </conditionalFormatting>
  <conditionalFormatting sqref="P86">
    <cfRule type="cellIs" dxfId="5" priority="6" operator="equal">
      <formula>$AF$27</formula>
    </cfRule>
  </conditionalFormatting>
  <conditionalFormatting sqref="P86">
    <cfRule type="cellIs" dxfId="4" priority="5" operator="equal">
      <formula>$AG$27</formula>
    </cfRule>
  </conditionalFormatting>
  <conditionalFormatting sqref="P86">
    <cfRule type="cellIs" dxfId="3" priority="4" operator="equal">
      <formula>$AH$27</formula>
    </cfRule>
  </conditionalFormatting>
  <conditionalFormatting sqref="P28">
    <cfRule type="cellIs" dxfId="2" priority="3" operator="equal">
      <formula>$AF$27</formula>
    </cfRule>
  </conditionalFormatting>
  <conditionalFormatting sqref="P28">
    <cfRule type="cellIs" dxfId="1" priority="2" operator="equal">
      <formula>$AG$27</formula>
    </cfRule>
  </conditionalFormatting>
  <conditionalFormatting sqref="P28">
    <cfRule type="cellIs" dxfId="0" priority="1" operator="equal">
      <formula>$AH$27</formula>
    </cfRule>
  </conditionalFormatting>
  <dataValidations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$AE$13:$AE$15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>
              <from>
                <xdr:col>5</xdr:col>
                <xdr:colOff>152400</xdr:colOff>
                <xdr:row>20</xdr:row>
                <xdr:rowOff>238125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Server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SAINT JOHN de CREVECOEUR, Rozenn</cp:lastModifiedBy>
  <cp:lastPrinted>2014-05-26T16:04:41Z</cp:lastPrinted>
  <dcterms:created xsi:type="dcterms:W3CDTF">2011-06-21T16:52:24Z</dcterms:created>
  <dcterms:modified xsi:type="dcterms:W3CDTF">2021-10-05T10:16:28Z</dcterms:modified>
</cp:coreProperties>
</file>