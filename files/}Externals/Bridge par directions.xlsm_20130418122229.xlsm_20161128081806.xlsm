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8835" tabRatio="852" firstSheet="1" activeTab="1"/>
  </bookViews>
  <sheets>
    <sheet name="Context" sheetId="66" state="hidden" r:id="rId1"/>
    <sheet name="Bridge_Direction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Bridge_Direction">Bridge_Direction!$F$1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Bridge_Direction!#REF!</definedName>
    <definedName name="DBS_COM_pl_2">Bridge_Direction!#REF!</definedName>
    <definedName name="DBS_COM_pl_3">Bridge_Direction!#REF!</definedName>
    <definedName name="DBS_COM_pl_4">Bridge_Direction!#REF!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Bridge_Direction!$9:$24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Bridge_Direction!$E$9:$X$45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8" i="58" l="1"/>
  <c r="F16" i="58"/>
  <c r="F17" i="58"/>
  <c r="AF10" i="58"/>
  <c r="F19" i="58"/>
  <c r="B13" i="66"/>
  <c r="C13" i="66"/>
  <c r="B5" i="66"/>
  <c r="F14" i="58"/>
  <c r="F13" i="58"/>
  <c r="AG12" i="58"/>
  <c r="AG13" i="58"/>
  <c r="AG14" i="58"/>
  <c r="J1" i="58"/>
  <c r="J3" i="58"/>
  <c r="H2" i="58"/>
  <c r="J2" i="58"/>
  <c r="AP46" i="58"/>
  <c r="AJ46" i="58"/>
  <c r="I1" i="58"/>
  <c r="I3" i="58"/>
  <c r="H3" i="58"/>
  <c r="I2" i="58"/>
  <c r="AO46" i="58"/>
  <c r="AJ28" i="58"/>
  <c r="B16" i="66"/>
  <c r="C16" i="66"/>
  <c r="AO30" i="58"/>
  <c r="AP30" i="58"/>
  <c r="AJ30" i="58"/>
  <c r="AO31" i="58"/>
  <c r="AP31" i="58"/>
  <c r="AJ31" i="58"/>
  <c r="AO32" i="58"/>
  <c r="AP32" i="58"/>
  <c r="AJ32" i="58"/>
  <c r="AI33" i="58"/>
  <c r="AO33" i="58"/>
  <c r="AP33" i="58"/>
  <c r="AJ33" i="58"/>
  <c r="AI34" i="58"/>
  <c r="AO34" i="58"/>
  <c r="AP34" i="58"/>
  <c r="AJ34" i="58"/>
  <c r="AI35" i="58"/>
  <c r="AO35" i="58"/>
  <c r="AP35" i="58"/>
  <c r="AJ35" i="58"/>
  <c r="AO36" i="58"/>
  <c r="AP36" i="58"/>
  <c r="AJ36" i="58"/>
  <c r="AO37" i="58"/>
  <c r="AP37" i="58"/>
  <c r="AJ37" i="58"/>
  <c r="AO38" i="58"/>
  <c r="AP38" i="58"/>
  <c r="AJ38" i="58"/>
  <c r="AO39" i="58"/>
  <c r="AP39" i="58"/>
  <c r="AJ39" i="58"/>
  <c r="AO40" i="58"/>
  <c r="AP40" i="58"/>
  <c r="AJ40" i="58"/>
  <c r="AO41" i="58"/>
  <c r="AP41" i="58"/>
  <c r="AJ41" i="58"/>
  <c r="AO42" i="58"/>
  <c r="AP42" i="58"/>
  <c r="AJ42" i="58"/>
  <c r="AO43" i="58"/>
  <c r="AP43" i="58"/>
  <c r="AJ43" i="58"/>
  <c r="AO44" i="58"/>
  <c r="AP44" i="58"/>
  <c r="AJ44" i="58"/>
  <c r="AO45" i="58"/>
  <c r="AP45" i="58"/>
  <c r="AJ45" i="58"/>
  <c r="AO29" i="58"/>
  <c r="AP29" i="58"/>
  <c r="AJ29" i="58"/>
  <c r="AO51" i="58"/>
  <c r="AN28" i="58"/>
  <c r="AN46" i="58"/>
  <c r="AL29" i="58"/>
  <c r="AK29" i="58"/>
  <c r="AL30" i="58"/>
  <c r="AQ29" i="58"/>
  <c r="AK30" i="58"/>
  <c r="AL31" i="58"/>
  <c r="AK31" i="58"/>
  <c r="AL32" i="58"/>
  <c r="AQ31" i="58"/>
  <c r="AK32" i="58"/>
  <c r="AQ32" i="58"/>
  <c r="AL33" i="58"/>
  <c r="AK33" i="58"/>
  <c r="AL34" i="58"/>
  <c r="AK34" i="58"/>
  <c r="AQ34" i="58"/>
  <c r="AL35" i="58"/>
  <c r="AK35" i="58"/>
  <c r="AQ35" i="58"/>
  <c r="AL36" i="58"/>
  <c r="AK36" i="58"/>
  <c r="AQ36" i="58"/>
  <c r="AL37" i="58"/>
  <c r="AK37" i="58"/>
  <c r="AQ37" i="58"/>
  <c r="AL38" i="58"/>
  <c r="AK38" i="58"/>
  <c r="AQ38" i="58"/>
  <c r="AL39" i="58"/>
  <c r="AK39" i="58"/>
  <c r="AQ39" i="58"/>
  <c r="AL40" i="58"/>
  <c r="AK40" i="58"/>
  <c r="AQ40" i="58"/>
  <c r="AL41" i="58"/>
  <c r="AK41" i="58"/>
  <c r="AQ41" i="58"/>
  <c r="AL42" i="58"/>
  <c r="AK42" i="58"/>
  <c r="AQ42" i="58"/>
  <c r="AL43" i="58"/>
  <c r="AK43" i="58"/>
  <c r="AQ43" i="58"/>
  <c r="AL44" i="58"/>
  <c r="AK44" i="58"/>
  <c r="AQ44" i="58"/>
  <c r="AL45" i="58"/>
  <c r="AK45" i="58"/>
  <c r="AQ45" i="58"/>
  <c r="AM34" i="58"/>
  <c r="AM35" i="58"/>
  <c r="AM36" i="58"/>
  <c r="AM37" i="58"/>
  <c r="AM38" i="58"/>
  <c r="AM39" i="58"/>
  <c r="AM40" i="58"/>
  <c r="AM41" i="58"/>
  <c r="AM42" i="58"/>
  <c r="AM43" i="58"/>
  <c r="AM44" i="58"/>
  <c r="AM45" i="58"/>
  <c r="AH33" i="58"/>
  <c r="AH36" i="58"/>
  <c r="AH37" i="58"/>
  <c r="AH38" i="58"/>
  <c r="AH39" i="58"/>
  <c r="AH40" i="58"/>
  <c r="AH41" i="58"/>
  <c r="AH42" i="58"/>
  <c r="AH43" i="58"/>
  <c r="AH44" i="58"/>
  <c r="AM30" i="58"/>
  <c r="AM31" i="58"/>
  <c r="AM32" i="58"/>
  <c r="AM33" i="58"/>
  <c r="AM29" i="58"/>
  <c r="M3" i="58"/>
  <c r="AQ30" i="58"/>
  <c r="AQ33" i="58"/>
  <c r="AH45" i="58"/>
  <c r="J4" i="58"/>
  <c r="I4" i="58"/>
  <c r="U9" i="58"/>
  <c r="AH29" i="58"/>
  <c r="F9" i="58"/>
  <c r="AH30" i="58"/>
  <c r="AH31" i="58"/>
  <c r="AH32" i="58"/>
  <c r="AH34" i="58"/>
  <c r="AH35" i="58"/>
  <c r="AP28" i="58"/>
  <c r="AO28" i="58"/>
  <c r="E17" i="58"/>
  <c r="AG15" i="58"/>
  <c r="E18" i="58"/>
  <c r="E24" i="58"/>
  <c r="E15" i="58"/>
  <c r="E14" i="58"/>
  <c r="E13" i="58"/>
  <c r="E19" i="58"/>
  <c r="E16" i="58"/>
  <c r="E12" i="58"/>
  <c r="AM21" i="58"/>
</calcChain>
</file>

<file path=xl/sharedStrings.xml><?xml version="1.0" encoding="utf-8"?>
<sst xmlns="http://schemas.openxmlformats.org/spreadsheetml/2006/main" count="94" uniqueCount="88">
  <si>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</si>
  <si>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</si>
  <si>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</si>
  <si>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</si>
  <si>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</si>
  <si>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</si>
  <si>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</si>
  <si>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</si>
  <si>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</si>
  <si>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</si>
  <si>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</si>
  <si>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</si>
  <si>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</si>
  <si>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</si>
  <si>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</si>
  <si>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</si>
  <si>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</si>
  <si>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</si>
  <si>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</si>
  <si>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</si>
  <si>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</si>
  <si>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</si>
  <si>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</si>
  <si>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</si>
  <si>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</si>
  <si>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</si>
  <si>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</si>
  <si>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</si>
  <si>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Flag Send Comment :</t>
  </si>
  <si>
    <t>Context_selection</t>
  </si>
  <si>
    <t>Legal_organization</t>
  </si>
  <si>
    <t>z_Translate_Report</t>
  </si>
  <si>
    <t>Integration_rate</t>
  </si>
  <si>
    <t>Language</t>
  </si>
  <si>
    <t>Year</t>
  </si>
  <si>
    <t>Period</t>
  </si>
  <si>
    <t>TFR-AP019298</t>
  </si>
  <si>
    <t>Budget</t>
  </si>
  <si>
    <t>Forecast_1</t>
  </si>
  <si>
    <t>Forecast_2</t>
  </si>
  <si>
    <t>List 1</t>
  </si>
  <si>
    <t>Langue</t>
  </si>
  <si>
    <t>Français</t>
  </si>
  <si>
    <t>Projets</t>
  </si>
  <si>
    <t xml:space="preserve">Forecast Version </t>
  </si>
  <si>
    <t>RP_PL_Corp</t>
  </si>
  <si>
    <t>RP_Comments_PL_Corp</t>
  </si>
  <si>
    <t>Tiers</t>
  </si>
  <si>
    <t>Matricules</t>
  </si>
  <si>
    <t>VTD</t>
  </si>
  <si>
    <t>Tot_tiers</t>
  </si>
  <si>
    <t>Indicator</t>
  </si>
  <si>
    <t>Actual</t>
  </si>
  <si>
    <t>Total</t>
  </si>
  <si>
    <t>Tot_proj</t>
  </si>
  <si>
    <t>AutoRefresh_Bridge_Direction</t>
  </si>
  <si>
    <t>Prior Period</t>
  </si>
  <si>
    <t>Dir_fi</t>
  </si>
  <si>
    <t>Dir_si</t>
  </si>
  <si>
    <t>Dir_jur</t>
  </si>
  <si>
    <t>Ecart entre le minimum et le maximum</t>
  </si>
  <si>
    <t>Valeur transformée pour la première phase</t>
  </si>
  <si>
    <t>Valeur transformée pour la seconde phase</t>
  </si>
  <si>
    <t>Actual_N_1</t>
  </si>
  <si>
    <t>Variances par directions</t>
  </si>
  <si>
    <t>Valeurs vides</t>
  </si>
  <si>
    <t>Valeurs -</t>
  </si>
  <si>
    <t>Valeur +</t>
  </si>
  <si>
    <t>Output</t>
  </si>
  <si>
    <t>Bridge_direction</t>
  </si>
  <si>
    <t>Titre Graphique</t>
  </si>
  <si>
    <t>Bridge_couts_direction</t>
  </si>
  <si>
    <t>Dir_rh</t>
  </si>
  <si>
    <t>Dir_inno_dev_dur</t>
  </si>
  <si>
    <t>Dir_del_rail</t>
  </si>
  <si>
    <t>Subset Indicateur</t>
  </si>
  <si>
    <t>Indicateurs Charges</t>
  </si>
  <si>
    <t>Bridges Coûts par directions :</t>
  </si>
  <si>
    <t>Dir_gen_audit</t>
  </si>
  <si>
    <t>Sec_gen_risque_lobby_sg</t>
  </si>
  <si>
    <t>Dir_com_ss_market</t>
  </si>
  <si>
    <t>Dir_tech_ope</t>
  </si>
  <si>
    <t>Dir_market</t>
  </si>
  <si>
    <t>Proj_inno_TAD</t>
  </si>
  <si>
    <t>Dir_del_asie_sud</t>
  </si>
  <si>
    <t>Hold</t>
  </si>
  <si>
    <t>Réalisé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</si>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</sst>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#,##0;&quot;(&quot;#,##0&quot;)&quot;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b/>
      <sz val="18"/>
      <color theme="0"/>
      <name val="Calibri"/>
      <family val="2"/>
    </font>
    <font>
      <i/>
      <sz val="15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b/>
      <sz val="11"/>
      <name val="Tahoma"/>
      <family val="2"/>
    </font>
    <font>
      <sz val="12"/>
      <name val="Arial"/>
      <family val="2"/>
    </font>
    <font>
      <b/>
      <sz val="12"/>
      <color rgb="FFFF00FF"/>
      <name val="Arial"/>
      <family val="2"/>
    </font>
    <font>
      <b/>
      <sz val="14"/>
      <color theme="8" tint="0.39997558519241921"/>
      <name val="Arial"/>
      <family val="2"/>
    </font>
    <font>
      <sz val="11"/>
      <name val="Tahoma"/>
      <family val="2"/>
    </font>
    <font>
      <b/>
      <sz val="12"/>
      <name val="Tahoma"/>
      <family val="2"/>
    </font>
    <font>
      <sz val="11"/>
      <color theme="0"/>
      <name val="Tahoma"/>
      <family val="2"/>
    </font>
    <font>
      <b/>
      <sz val="12"/>
      <color theme="0"/>
      <name val="Tahoma"/>
      <family val="2"/>
    </font>
    <font>
      <b/>
      <sz val="11"/>
      <color theme="0"/>
      <name val="Arial"/>
      <family val="2"/>
    </font>
    <font>
      <b/>
      <sz val="11"/>
      <color rgb="FF00B0F0"/>
      <name val="Arial"/>
      <family val="2"/>
    </font>
    <font>
      <b/>
      <sz val="11"/>
      <color rgb="FF0070C0"/>
      <name val="Calibri"/>
      <family val="2"/>
    </font>
    <font>
      <b/>
      <sz val="11"/>
      <color rgb="FF00B05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auto="1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88">
    <xf numFmtId="0" fontId="0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7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1" fillId="3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166" fontId="32" fillId="22" borderId="0" applyNumberFormat="0" applyBorder="0">
      <alignment horizontal="right"/>
      <protection locked="0"/>
    </xf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167" fontId="33" fillId="23" borderId="0" applyNumberFormat="0" applyBorder="0">
      <alignment horizontal="right" vertical="center"/>
      <protection locked="0"/>
    </xf>
    <xf numFmtId="168" fontId="33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4" fillId="25" borderId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4" fillId="25" borderId="0"/>
    <xf numFmtId="0" fontId="34" fillId="25" borderId="0"/>
    <xf numFmtId="169" fontId="36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34" fillId="25" borderId="0"/>
    <xf numFmtId="0" fontId="37" fillId="7" borderId="10" applyNumberFormat="0" applyAlignment="0" applyProtection="0"/>
    <xf numFmtId="0" fontId="37" fillId="7" borderId="10" applyNumberFormat="0" applyAlignment="0" applyProtection="0"/>
    <xf numFmtId="0" fontId="37" fillId="7" borderId="10" applyNumberFormat="0" applyAlignment="0" applyProtection="0"/>
    <xf numFmtId="0" fontId="37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6" fillId="12" borderId="0" applyNumberFormat="0" applyBorder="0" applyAlignment="0" applyProtection="0"/>
    <xf numFmtId="0" fontId="37" fillId="27" borderId="10" applyNumberFormat="0" applyAlignment="0" applyProtection="0"/>
    <xf numFmtId="0" fontId="2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170" fontId="40" fillId="28" borderId="0" applyNumberFormat="0" applyBorder="0">
      <alignment horizontal="left" vertical="center"/>
      <protection locked="0"/>
    </xf>
    <xf numFmtId="170" fontId="41" fillId="22" borderId="0" applyNumberFormat="0" applyBorder="0">
      <alignment horizontal="left"/>
      <protection locked="0"/>
    </xf>
    <xf numFmtId="0" fontId="42" fillId="0" borderId="6" applyNumberFormat="0" applyFill="0" applyAlignment="0" applyProtection="0"/>
    <xf numFmtId="0" fontId="43" fillId="0" borderId="11" applyNumberFormat="0" applyFill="0" applyAlignment="0" applyProtection="0"/>
    <xf numFmtId="0" fontId="44" fillId="0" borderId="12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14" fillId="20" borderId="3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45">
    <xf numFmtId="0" fontId="0" fillId="0" borderId="0" xfId="0"/>
    <xf numFmtId="0" fontId="61" fillId="48" borderId="0" xfId="0" applyFont="1" applyFill="1" applyBorder="1" applyAlignment="1" applyProtection="1">
      <alignment vertical="center"/>
    </xf>
    <xf numFmtId="0" fontId="46" fillId="48" borderId="0" xfId="0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2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47" fillId="0" borderId="0" xfId="205" applyFont="1" applyFill="1" applyBorder="1" applyAlignment="1" applyProtection="1">
      <alignment vertical="center"/>
    </xf>
    <xf numFmtId="0" fontId="54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55" fillId="29" borderId="14" xfId="0" applyFont="1" applyFill="1" applyBorder="1" applyAlignment="1" applyProtection="1">
      <alignment horizontal="left"/>
      <protection locked="0"/>
    </xf>
    <xf numFmtId="0" fontId="53" fillId="29" borderId="15" xfId="0" applyFont="1" applyFill="1" applyBorder="1" applyProtection="1">
      <protection locked="0"/>
    </xf>
    <xf numFmtId="0" fontId="52" fillId="30" borderId="16" xfId="0" applyFont="1" applyFill="1" applyBorder="1" applyProtection="1">
      <protection locked="0"/>
    </xf>
    <xf numFmtId="0" fontId="52" fillId="0" borderId="16" xfId="0" applyFont="1" applyBorder="1" applyProtection="1">
      <protection locked="0"/>
    </xf>
    <xf numFmtId="0" fontId="52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0" fillId="0" borderId="17" xfId="0" applyBorder="1" applyProtection="1"/>
    <xf numFmtId="0" fontId="0" fillId="0" borderId="0" xfId="0" applyFill="1" applyAlignment="1" applyProtection="1"/>
    <xf numFmtId="0" fontId="7" fillId="0" borderId="0" xfId="0" applyFont="1" applyFill="1" applyBorder="1" applyAlignment="1" applyProtection="1">
      <alignment horizontal="left" vertical="center"/>
    </xf>
    <xf numFmtId="0" fontId="13" fillId="0" borderId="19" xfId="196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3" fillId="0" borderId="0" xfId="196" applyFont="1" applyFill="1" applyBorder="1" applyAlignment="1" applyProtection="1">
      <alignment horizontal="center" vertical="center" wrapText="1"/>
    </xf>
    <xf numFmtId="0" fontId="16" fillId="0" borderId="0" xfId="196" applyFont="1" applyFill="1" applyBorder="1" applyAlignment="1" applyProtection="1">
      <alignment horizontal="center"/>
    </xf>
    <xf numFmtId="0" fontId="48" fillId="0" borderId="0" xfId="222" applyFont="1" applyFill="1" applyBorder="1" applyAlignment="1" applyProtection="1">
      <alignment horizontal="left" vertical="center" wrapText="1"/>
    </xf>
    <xf numFmtId="0" fontId="49" fillId="0" borderId="0" xfId="196" applyFont="1" applyFill="1" applyBorder="1" applyAlignment="1" applyProtection="1">
      <alignment horizontal="center"/>
    </xf>
    <xf numFmtId="0" fontId="56" fillId="31" borderId="4" xfId="0" applyFont="1" applyFill="1" applyBorder="1" applyAlignment="1" applyProtection="1">
      <alignment horizontal="center"/>
    </xf>
    <xf numFmtId="0" fontId="0" fillId="32" borderId="4" xfId="0" applyFill="1" applyBorder="1" applyProtection="1">
      <protection locked="0"/>
    </xf>
    <xf numFmtId="0" fontId="0" fillId="29" borderId="4" xfId="0" applyFill="1" applyBorder="1" applyProtection="1">
      <protection locked="0"/>
    </xf>
    <xf numFmtId="0" fontId="52" fillId="0" borderId="20" xfId="0" applyFont="1" applyBorder="1" applyProtection="1">
      <protection locked="0"/>
    </xf>
    <xf numFmtId="0" fontId="0" fillId="0" borderId="0" xfId="0" applyProtection="1"/>
    <xf numFmtId="0" fontId="49" fillId="0" borderId="19" xfId="196" applyFont="1" applyFill="1" applyBorder="1" applyAlignment="1" applyProtection="1">
      <alignment horizontal="center"/>
    </xf>
    <xf numFmtId="0" fontId="7" fillId="0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22" xfId="0" applyFont="1" applyBorder="1" applyProtection="1"/>
    <xf numFmtId="0" fontId="2" fillId="0" borderId="24" xfId="0" applyFont="1" applyFill="1" applyBorder="1" applyProtection="1"/>
    <xf numFmtId="0" fontId="2" fillId="0" borderId="24" xfId="0" applyFont="1" applyBorder="1" applyProtection="1"/>
    <xf numFmtId="0" fontId="3" fillId="34" borderId="22" xfId="205" applyFont="1" applyFill="1" applyBorder="1" applyAlignment="1" applyProtection="1">
      <alignment horizontal="center" vertical="center"/>
    </xf>
    <xf numFmtId="0" fontId="0" fillId="0" borderId="25" xfId="0" applyBorder="1" applyProtection="1"/>
    <xf numFmtId="0" fontId="0" fillId="0" borderId="24" xfId="0" applyBorder="1" applyProtection="1"/>
    <xf numFmtId="0" fontId="62" fillId="0" borderId="25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27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5" fillId="0" borderId="0" xfId="0" applyFont="1" applyProtection="1"/>
    <xf numFmtId="0" fontId="56" fillId="0" borderId="26" xfId="0" applyFont="1" applyBorder="1" applyAlignment="1" applyProtection="1">
      <alignment horizontal="center"/>
    </xf>
    <xf numFmtId="0" fontId="62" fillId="0" borderId="22" xfId="0" applyFont="1" applyBorder="1" applyAlignment="1" applyProtection="1">
      <alignment horizontal="center"/>
    </xf>
    <xf numFmtId="0" fontId="63" fillId="0" borderId="23" xfId="0" applyFont="1" applyBorder="1" applyAlignment="1" applyProtection="1">
      <alignment horizontal="center" vertical="center"/>
    </xf>
    <xf numFmtId="0" fontId="60" fillId="0" borderId="0" xfId="222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6" fillId="35" borderId="0" xfId="196" applyFont="1" applyFill="1" applyBorder="1" applyAlignment="1" applyProtection="1">
      <alignment horizontal="center"/>
    </xf>
    <xf numFmtId="0" fontId="59" fillId="0" borderId="0" xfId="205" applyFont="1" applyFill="1" applyBorder="1" applyAlignment="1" applyProtection="1">
      <alignment vertical="center"/>
    </xf>
    <xf numFmtId="0" fontId="0" fillId="0" borderId="28" xfId="0" applyBorder="1" applyProtection="1"/>
    <xf numFmtId="0" fontId="0" fillId="0" borderId="29" xfId="0" applyBorder="1" applyProtection="1"/>
    <xf numFmtId="0" fontId="0" fillId="0" borderId="30" xfId="0" applyBorder="1" applyProtection="1"/>
    <xf numFmtId="0" fontId="18" fillId="0" borderId="0" xfId="0" applyFont="1" applyFill="1" applyBorder="1" applyAlignment="1" applyProtection="1">
      <alignment horizontal="left" vertical="center"/>
    </xf>
    <xf numFmtId="0" fontId="65" fillId="0" borderId="0" xfId="0" applyFont="1" applyBorder="1" applyAlignment="1" applyProtection="1">
      <alignment horizontal="right"/>
    </xf>
    <xf numFmtId="0" fontId="66" fillId="33" borderId="4" xfId="205" applyFont="1" applyFill="1" applyBorder="1" applyAlignment="1" applyProtection="1">
      <alignment horizontal="left" vertical="center"/>
    </xf>
    <xf numFmtId="0" fontId="68" fillId="38" borderId="4" xfId="205" applyFont="1" applyFill="1" applyBorder="1" applyAlignment="1" applyProtection="1">
      <alignment horizontal="left" vertical="center"/>
    </xf>
    <xf numFmtId="3" fontId="69" fillId="39" borderId="0" xfId="205" applyNumberFormat="1" applyFont="1" applyFill="1" applyBorder="1" applyAlignment="1">
      <alignment horizontal="center"/>
    </xf>
    <xf numFmtId="0" fontId="63" fillId="0" borderId="0" xfId="0" applyFont="1" applyFill="1" applyBorder="1" applyAlignment="1" applyProtection="1">
      <alignment horizontal="center"/>
    </xf>
    <xf numFmtId="0" fontId="76" fillId="40" borderId="4" xfId="0" applyFont="1" applyFill="1" applyBorder="1" applyProtection="1"/>
    <xf numFmtId="0" fontId="68" fillId="45" borderId="4" xfId="205" applyFont="1" applyFill="1" applyBorder="1" applyAlignment="1" applyProtection="1">
      <alignment horizontal="center" vertical="center"/>
    </xf>
    <xf numFmtId="0" fontId="68" fillId="46" borderId="4" xfId="205" applyFont="1" applyFill="1" applyBorder="1" applyAlignment="1" applyProtection="1">
      <alignment horizontal="center" vertical="center"/>
    </xf>
    <xf numFmtId="0" fontId="68" fillId="47" borderId="4" xfId="205" applyFont="1" applyFill="1" applyBorder="1" applyAlignment="1" applyProtection="1">
      <alignment horizontal="center" vertical="center"/>
    </xf>
    <xf numFmtId="3" fontId="75" fillId="44" borderId="4" xfId="205" applyNumberFormat="1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78" fillId="0" borderId="0" xfId="205" applyFont="1" applyFill="1" applyBorder="1" applyAlignment="1" applyProtection="1">
      <alignment vertical="center"/>
    </xf>
    <xf numFmtId="0" fontId="79" fillId="0" borderId="0" xfId="0" applyFont="1" applyFill="1" applyBorder="1" applyAlignment="1" applyProtection="1">
      <alignment horizontal="left"/>
    </xf>
    <xf numFmtId="0" fontId="2" fillId="0" borderId="0" xfId="0" applyFont="1" applyBorder="1" applyProtection="1"/>
    <xf numFmtId="0" fontId="51" fillId="0" borderId="0" xfId="0" applyFont="1" applyBorder="1" applyProtection="1"/>
    <xf numFmtId="0" fontId="9" fillId="0" borderId="0" xfId="205" applyFont="1" applyFill="1" applyBorder="1" applyAlignment="1" applyProtection="1">
      <alignment horizontal="center" vertical="center"/>
    </xf>
    <xf numFmtId="0" fontId="4" fillId="0" borderId="0" xfId="205" applyFont="1" applyFill="1" applyBorder="1" applyAlignment="1" applyProtection="1">
      <alignment horizontal="center" vertical="center"/>
    </xf>
    <xf numFmtId="0" fontId="1" fillId="0" borderId="0" xfId="275" applyFill="1" applyBorder="1"/>
    <xf numFmtId="0" fontId="3" fillId="0" borderId="0" xfId="205" applyFont="1" applyFill="1" applyBorder="1" applyAlignment="1" applyProtection="1">
      <alignment horizontal="center" vertical="center"/>
    </xf>
    <xf numFmtId="0" fontId="0" fillId="0" borderId="37" xfId="0" applyBorder="1" applyProtection="1"/>
    <xf numFmtId="0" fontId="0" fillId="0" borderId="38" xfId="0" applyBorder="1" applyProtection="1"/>
    <xf numFmtId="0" fontId="4" fillId="0" borderId="0" xfId="0" applyFont="1" applyFill="1" applyBorder="1" applyAlignment="1" applyProtection="1">
      <alignment horizontal="left" indent="1"/>
    </xf>
    <xf numFmtId="0" fontId="0" fillId="0" borderId="0" xfId="0" applyFill="1" applyBorder="1" applyAlignment="1" applyProtection="1"/>
    <xf numFmtId="0" fontId="58" fillId="0" borderId="0" xfId="0" applyFont="1" applyBorder="1" applyProtection="1"/>
    <xf numFmtId="0" fontId="4" fillId="0" borderId="38" xfId="205" applyFont="1" applyFill="1" applyBorder="1" applyAlignment="1" applyProtection="1">
      <alignment vertical="center"/>
    </xf>
    <xf numFmtId="0" fontId="47" fillId="35" borderId="38" xfId="205" applyFont="1" applyFill="1" applyBorder="1" applyAlignment="1" applyProtection="1">
      <alignment vertical="center"/>
    </xf>
    <xf numFmtId="0" fontId="0" fillId="35" borderId="0" xfId="0" applyFill="1" applyBorder="1" applyProtection="1"/>
    <xf numFmtId="0" fontId="47" fillId="0" borderId="38" xfId="205" applyFont="1" applyFill="1" applyBorder="1" applyAlignment="1" applyProtection="1">
      <alignment vertical="center"/>
    </xf>
    <xf numFmtId="0" fontId="0" fillId="0" borderId="39" xfId="0" applyBorder="1" applyProtection="1"/>
    <xf numFmtId="0" fontId="4" fillId="0" borderId="17" xfId="205" applyFont="1" applyFill="1" applyBorder="1" applyAlignment="1" applyProtection="1">
      <alignment vertical="center"/>
    </xf>
    <xf numFmtId="0" fontId="10" fillId="0" borderId="17" xfId="0" applyFont="1" applyFill="1" applyBorder="1" applyAlignment="1" applyProtection="1">
      <alignment horizontal="left"/>
    </xf>
    <xf numFmtId="0" fontId="16" fillId="0" borderId="17" xfId="196" applyFont="1" applyFill="1" applyBorder="1" applyAlignment="1" applyProtection="1">
      <alignment horizontal="center"/>
    </xf>
    <xf numFmtId="0" fontId="0" fillId="0" borderId="17" xfId="0" applyFill="1" applyBorder="1" applyAlignment="1" applyProtection="1"/>
    <xf numFmtId="0" fontId="56" fillId="31" borderId="40" xfId="0" applyFont="1" applyFill="1" applyBorder="1" applyAlignment="1" applyProtection="1">
      <alignment horizontal="center"/>
    </xf>
    <xf numFmtId="0" fontId="51" fillId="0" borderId="28" xfId="0" applyFont="1" applyFill="1" applyBorder="1" applyAlignment="1" applyProtection="1">
      <alignment horizontal="right"/>
    </xf>
    <xf numFmtId="0" fontId="57" fillId="29" borderId="40" xfId="0" applyFont="1" applyFill="1" applyBorder="1" applyAlignment="1" applyProtection="1">
      <alignment horizontal="center"/>
    </xf>
    <xf numFmtId="0" fontId="4" fillId="0" borderId="28" xfId="205" applyFont="1" applyFill="1" applyBorder="1" applyAlignment="1" applyProtection="1">
      <alignment vertical="center"/>
    </xf>
    <xf numFmtId="0" fontId="4" fillId="0" borderId="29" xfId="205" applyFont="1" applyFill="1" applyBorder="1" applyAlignment="1" applyProtection="1">
      <alignment vertical="center"/>
    </xf>
    <xf numFmtId="0" fontId="51" fillId="0" borderId="0" xfId="0" applyFont="1" applyBorder="1" applyAlignment="1" applyProtection="1">
      <alignment horizontal="right"/>
    </xf>
    <xf numFmtId="0" fontId="17" fillId="0" borderId="0" xfId="0" applyFont="1" applyBorder="1" applyProtection="1"/>
    <xf numFmtId="0" fontId="63" fillId="0" borderId="0" xfId="0" applyFont="1" applyBorder="1" applyAlignment="1" applyProtection="1">
      <alignment horizontal="center"/>
    </xf>
    <xf numFmtId="0" fontId="77" fillId="0" borderId="0" xfId="0" applyFont="1" applyBorder="1" applyProtection="1"/>
    <xf numFmtId="0" fontId="4" fillId="0" borderId="30" xfId="205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wrapText="1"/>
    </xf>
    <xf numFmtId="0" fontId="64" fillId="0" borderId="0" xfId="0" applyFont="1" applyBorder="1" applyAlignment="1" applyProtection="1">
      <alignment horizontal="left"/>
    </xf>
    <xf numFmtId="0" fontId="0" fillId="0" borderId="0" xfId="0" applyBorder="1"/>
    <xf numFmtId="0" fontId="12" fillId="0" borderId="30" xfId="205" applyFont="1" applyBorder="1" applyAlignment="1" applyProtection="1">
      <alignment vertical="center"/>
    </xf>
    <xf numFmtId="0" fontId="47" fillId="0" borderId="30" xfId="205" applyFont="1" applyFill="1" applyBorder="1" applyAlignment="1" applyProtection="1">
      <alignment vertical="center"/>
    </xf>
    <xf numFmtId="0" fontId="71" fillId="0" borderId="0" xfId="0" applyFont="1" applyBorder="1" applyAlignment="1" applyProtection="1">
      <alignment horizontal="center"/>
    </xf>
    <xf numFmtId="0" fontId="70" fillId="0" borderId="0" xfId="0" applyFont="1" applyBorder="1" applyProtection="1"/>
    <xf numFmtId="0" fontId="2" fillId="36" borderId="0" xfId="205" applyFill="1" applyBorder="1" applyAlignment="1"/>
    <xf numFmtId="3" fontId="2" fillId="36" borderId="0" xfId="205" applyNumberFormat="1" applyFill="1" applyBorder="1" applyAlignment="1"/>
    <xf numFmtId="0" fontId="17" fillId="0" borderId="0" xfId="0" applyFont="1" applyBorder="1"/>
    <xf numFmtId="0" fontId="2" fillId="0" borderId="17" xfId="0" applyFont="1" applyBorder="1" applyProtection="1"/>
    <xf numFmtId="0" fontId="47" fillId="0" borderId="17" xfId="205" applyFont="1" applyFill="1" applyBorder="1" applyAlignment="1" applyProtection="1">
      <alignment vertical="center"/>
    </xf>
    <xf numFmtId="0" fontId="47" fillId="0" borderId="27" xfId="205" applyFont="1" applyFill="1" applyBorder="1" applyAlignment="1" applyProtection="1">
      <alignment vertical="center"/>
    </xf>
    <xf numFmtId="172" fontId="72" fillId="33" borderId="4" xfId="205" applyNumberFormat="1" applyFont="1" applyFill="1" applyBorder="1" applyAlignment="1" applyProtection="1">
      <alignment horizontal="center" vertical="center"/>
    </xf>
    <xf numFmtId="172" fontId="67" fillId="33" borderId="4" xfId="205" applyNumberFormat="1" applyFont="1" applyFill="1" applyBorder="1" applyAlignment="1" applyProtection="1">
      <alignment vertical="center"/>
    </xf>
    <xf numFmtId="172" fontId="72" fillId="37" borderId="4" xfId="205" applyNumberFormat="1" applyFont="1" applyFill="1" applyBorder="1" applyAlignment="1" applyProtection="1">
      <alignment horizontal="center" vertical="center"/>
    </xf>
    <xf numFmtId="172" fontId="2" fillId="36" borderId="0" xfId="205" applyNumberFormat="1" applyFill="1" applyBorder="1" applyAlignment="1"/>
    <xf numFmtId="172" fontId="69" fillId="39" borderId="23" xfId="205" applyNumberFormat="1" applyFont="1" applyFill="1" applyBorder="1" applyAlignment="1">
      <alignment horizontal="center"/>
    </xf>
    <xf numFmtId="172" fontId="75" fillId="44" borderId="4" xfId="205" applyNumberFormat="1" applyFont="1" applyFill="1" applyBorder="1" applyAlignment="1" applyProtection="1">
      <alignment horizontal="center" vertical="center" wrapText="1"/>
    </xf>
    <xf numFmtId="172" fontId="74" fillId="44" borderId="33" xfId="205" applyNumberFormat="1" applyFont="1" applyFill="1" applyBorder="1" applyAlignment="1" applyProtection="1">
      <alignment horizontal="center" vertical="center"/>
    </xf>
    <xf numFmtId="172" fontId="68" fillId="41" borderId="4" xfId="205" applyNumberFormat="1" applyFont="1" applyFill="1" applyBorder="1" applyAlignment="1" applyProtection="1">
      <alignment horizontal="center" vertical="center"/>
    </xf>
    <xf numFmtId="172" fontId="74" fillId="44" borderId="34" xfId="205" applyNumberFormat="1" applyFont="1" applyFill="1" applyBorder="1" applyAlignment="1" applyProtection="1">
      <alignment horizontal="center" vertical="center"/>
    </xf>
    <xf numFmtId="3" fontId="67" fillId="33" borderId="4" xfId="205" applyNumberFormat="1" applyFont="1" applyFill="1" applyBorder="1" applyAlignment="1" applyProtection="1">
      <alignment vertical="center"/>
    </xf>
    <xf numFmtId="3" fontId="71" fillId="0" borderId="0" xfId="0" applyNumberFormat="1" applyFont="1" applyBorder="1" applyAlignment="1" applyProtection="1">
      <alignment horizontal="center"/>
    </xf>
    <xf numFmtId="3" fontId="66" fillId="33" borderId="4" xfId="205" applyNumberFormat="1" applyFont="1" applyFill="1" applyBorder="1" applyAlignment="1" applyProtection="1">
      <alignment horizontal="left" vertical="center"/>
    </xf>
    <xf numFmtId="3" fontId="67" fillId="33" borderId="32" xfId="205" applyNumberFormat="1" applyFont="1" applyFill="1" applyBorder="1" applyAlignment="1" applyProtection="1">
      <alignment vertical="center"/>
    </xf>
    <xf numFmtId="3" fontId="73" fillId="43" borderId="35" xfId="205" applyNumberFormat="1" applyFont="1" applyFill="1" applyBorder="1" applyAlignment="1" applyProtection="1">
      <alignment horizontal="center" vertical="center"/>
    </xf>
    <xf numFmtId="3" fontId="73" fillId="43" borderId="36" xfId="205" applyNumberFormat="1" applyFont="1" applyFill="1" applyBorder="1" applyAlignment="1" applyProtection="1">
      <alignment horizontal="center" vertical="center"/>
    </xf>
    <xf numFmtId="3" fontId="0" fillId="0" borderId="0" xfId="0" applyNumberFormat="1" applyBorder="1" applyProtection="1"/>
    <xf numFmtId="3" fontId="70" fillId="0" borderId="0" xfId="0" applyNumberFormat="1" applyFont="1" applyBorder="1" applyProtection="1"/>
    <xf numFmtId="3" fontId="56" fillId="39" borderId="31" xfId="205" applyNumberFormat="1" applyFont="1" applyFill="1" applyBorder="1" applyAlignment="1">
      <alignment horizontal="center"/>
    </xf>
    <xf numFmtId="3" fontId="56" fillId="39" borderId="0" xfId="205" applyNumberFormat="1" applyFont="1" applyFill="1" applyBorder="1" applyAlignment="1">
      <alignment horizontal="center"/>
    </xf>
    <xf numFmtId="3" fontId="66" fillId="42" borderId="4" xfId="205" applyNumberFormat="1" applyFont="1" applyFill="1" applyBorder="1" applyAlignment="1" applyProtection="1">
      <alignment horizontal="left" vertical="center"/>
    </xf>
    <xf numFmtId="0" fontId="8" fillId="49" borderId="0" xfId="196" applyFont="1" applyFill="1" applyBorder="1" applyAlignment="1">
      <alignment horizontal="left" vertical="center"/>
    </xf>
    <xf numFmtId="0" fontId="7" fillId="50" borderId="18" xfId="196" applyFont="1" applyFill="1" applyBorder="1" applyAlignment="1">
      <alignment horizontal="left" vertical="center"/>
    </xf>
    <xf numFmtId="0" fontId="4" fillId="51" borderId="0" xfId="0" applyFont="1" applyFill="1" applyBorder="1" applyAlignment="1" applyProtection="1">
      <alignment horizontal="left" indent="1"/>
    </xf>
    <xf numFmtId="0" fontId="53" fillId="29" borderId="14" xfId="0" applyFont="1" applyFill="1" applyBorder="1" applyAlignment="1" applyProtection="1">
      <alignment horizontal="left" vertical="center"/>
      <protection locked="0"/>
    </xf>
    <xf numFmtId="0" fontId="61" fillId="48" borderId="0" xfId="0" applyFont="1" applyFill="1" applyBorder="1" applyAlignment="1" applyProtection="1">
      <alignment horizontal="right" vertical="center"/>
    </xf>
    <xf numFmtId="0" fontId="46" fillId="52" borderId="0" xfId="0" applyFont="1" applyFill="1" applyBorder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ADAFB7"/>
      <color rgb="FFFF0000"/>
      <color rgb="FFE60000"/>
      <color rgb="FF009E41"/>
      <color rgb="FF908CE6"/>
      <color rgb="FF8C9DE6"/>
      <color rgb="FFA00000"/>
      <color rgb="FF00BD4F"/>
      <color rgb="FF006D2A"/>
      <color rgb="FF214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704309685703541E-3"/>
          <c:y val="0.10518175292620843"/>
          <c:w val="0.98994089386989759"/>
          <c:h val="0.7603997496046738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prstClr val="white">
                <a:alpha val="0"/>
              </a:prstClr>
            </a:solidFill>
          </c:spPr>
          <c:invertIfNegative val="0"/>
          <c:cat>
            <c:strRef>
              <c:f>Bridge_Direction!$AJ$28:$AJ$46</c:f>
              <c:strCache>
                <c:ptCount val="19"/>
                <c:pt idx="0">
                  <c:v>Réalisé N-1 
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6 443</c:v>
                </c:pt>
                <c:pt idx="18">
                  <c:v>Réalisé 
-6 443</c:v>
                </c:pt>
              </c:strCache>
            </c:strRef>
          </c:cat>
          <c:val>
            <c:numRef>
              <c:f>Bridge_Direction!$AK$28:$AK$46</c:f>
              <c:numCache>
                <c:formatCode>#,##0;"("#,##0")"</c:formatCode>
                <c:ptCount val="19"/>
                <c:pt idx="1">
                  <c:v>19330.306230000002</c:v>
                </c:pt>
                <c:pt idx="2">
                  <c:v>19330.306230000002</c:v>
                </c:pt>
                <c:pt idx="3">
                  <c:v>19330.306230000002</c:v>
                </c:pt>
                <c:pt idx="4">
                  <c:v>19330.306230000002</c:v>
                </c:pt>
                <c:pt idx="5">
                  <c:v>19330.306230000002</c:v>
                </c:pt>
                <c:pt idx="6">
                  <c:v>19330.306230000002</c:v>
                </c:pt>
                <c:pt idx="7">
                  <c:v>19330.306230000002</c:v>
                </c:pt>
                <c:pt idx="8">
                  <c:v>19330.306230000002</c:v>
                </c:pt>
                <c:pt idx="9">
                  <c:v>19330.306230000002</c:v>
                </c:pt>
                <c:pt idx="10">
                  <c:v>19330.306230000002</c:v>
                </c:pt>
                <c:pt idx="11">
                  <c:v>19330.306230000002</c:v>
                </c:pt>
                <c:pt idx="12">
                  <c:v>19330.306230000002</c:v>
                </c:pt>
                <c:pt idx="13">
                  <c:v>19330.306230000002</c:v>
                </c:pt>
                <c:pt idx="14">
                  <c:v>19330.306230000002</c:v>
                </c:pt>
                <c:pt idx="15">
                  <c:v>19330.306230000002</c:v>
                </c:pt>
                <c:pt idx="16">
                  <c:v>19330.306230000002</c:v>
                </c:pt>
                <c:pt idx="17">
                  <c:v>19330.306230000002</c:v>
                </c:pt>
              </c:numCache>
            </c:numRef>
          </c:val>
        </c:ser>
        <c:ser>
          <c:idx val="1"/>
          <c:order val="1"/>
          <c:spPr>
            <a:solidFill>
              <a:srgbClr val="009E4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9E41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009E41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009E41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009E41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5"/>
            <c:invertIfNegative val="0"/>
            <c:bubble3D val="0"/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</c:dPt>
          <c:dPt>
            <c:idx val="18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2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4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dPt>
            <c:idx val="27"/>
            <c:invertIfNegative val="0"/>
            <c:bubble3D val="0"/>
          </c:dPt>
          <c:dPt>
            <c:idx val="28"/>
            <c:invertIfNegative val="0"/>
            <c:bubble3D val="0"/>
          </c:dPt>
          <c:dLbls>
            <c:numFmt formatCode="#,##0" sourceLinked="0"/>
            <c:txPr>
              <a:bodyPr anchor="ctr" anchorCtr="1"/>
              <a:lstStyle/>
              <a:p>
                <a:pPr>
                  <a:defRPr sz="1400" b="1" cap="none" spc="50">
                    <a:ln w="13500">
                      <a:solidFill>
                        <a:sysClr val="windowText" lastClr="000000">
                          <a:alpha val="6500"/>
                        </a:sysClr>
                      </a:solidFill>
                      <a:prstDash val="solid"/>
                    </a:ln>
                    <a:solidFill>
                      <a:sysClr val="windowText" lastClr="000000">
                        <a:alpha val="95000"/>
                      </a:sysClr>
                    </a:solidFill>
                    <a:effectLst>
                      <a:innerShdw blurRad="50900" dist="38500" dir="13500000">
                        <a:srgbClr val="000000">
                          <a:alpha val="60000"/>
                        </a:srgbClr>
                      </a:innerShdw>
                    </a:effectLst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</c:dLbls>
          <c:cat>
            <c:strRef>
              <c:f>Bridge_Direction!$AJ$28:$AJ$46</c:f>
              <c:strCache>
                <c:ptCount val="19"/>
                <c:pt idx="0">
                  <c:v>Réalisé N-1 
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6 443</c:v>
                </c:pt>
                <c:pt idx="18">
                  <c:v>Réalisé 
-6 443</c:v>
                </c:pt>
              </c:strCache>
            </c:strRef>
          </c:cat>
          <c:val>
            <c:numRef>
              <c:f>Bridge_Direction!$AL$28:$AL$46</c:f>
              <c:numCache>
                <c:formatCode>#,##0;"("#,##0")"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rgbClr val="8C9DE6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908CE6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908CE6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Lbls>
            <c:dLbl>
              <c:idx val="0"/>
              <c:spPr/>
              <c:txPr>
                <a:bodyPr rot="0" vert="horz"/>
                <a:lstStyle/>
                <a:p>
                  <a:pPr>
                    <a:defRPr sz="1800" b="1">
                      <a:solidFill>
                        <a:schemeClr val="bg1"/>
                      </a:solidFill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8"/>
              <c:spPr/>
              <c:txPr>
                <a:bodyPr rot="0" vert="horz"/>
                <a:lstStyle/>
                <a:p>
                  <a:pPr>
                    <a:defRPr sz="1800" b="1">
                      <a:solidFill>
                        <a:schemeClr val="bg1"/>
                      </a:solidFill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txPr>
              <a:bodyPr rot="0" vert="horz"/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Bridge_Direction!$AJ$28:$AJ$46</c:f>
              <c:strCache>
                <c:ptCount val="19"/>
                <c:pt idx="0">
                  <c:v>Réalisé N-1 
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6 443</c:v>
                </c:pt>
                <c:pt idx="18">
                  <c:v>Réalisé 
-6 443</c:v>
                </c:pt>
              </c:strCache>
            </c:strRef>
          </c:cat>
          <c:val>
            <c:numRef>
              <c:f>Bridge_Direction!$AN$28:$AN$46</c:f>
              <c:numCache>
                <c:formatCode>#,##0;"("#,##0")"</c:formatCode>
                <c:ptCount val="19"/>
                <c:pt idx="0">
                  <c:v>19330.306230000002</c:v>
                </c:pt>
                <c:pt idx="18">
                  <c:v>25773.741640000004</c:v>
                </c:pt>
              </c:numCache>
            </c:numRef>
          </c:val>
        </c:ser>
        <c:ser>
          <c:idx val="3"/>
          <c:order val="3"/>
          <c:spPr>
            <a:solidFill>
              <a:srgbClr val="E60000"/>
            </a:solidFill>
          </c:spPr>
          <c:invertIfNegative val="0"/>
          <c:cat>
            <c:strRef>
              <c:f>Bridge_Direction!$AJ$28:$AJ$46</c:f>
              <c:strCache>
                <c:ptCount val="19"/>
                <c:pt idx="0">
                  <c:v>Réalisé N-1 
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6 443</c:v>
                </c:pt>
                <c:pt idx="18">
                  <c:v>Réalisé 
-6 443</c:v>
                </c:pt>
              </c:strCache>
            </c:strRef>
          </c:cat>
          <c:val>
            <c:numRef>
              <c:f>Bridge_Direction!$AM$28:$AM$46</c:f>
              <c:numCache>
                <c:formatCode>#,##0;"("#,##0")"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6443.435410000001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251789312"/>
        <c:axId val="251790848"/>
      </c:barChart>
      <c:catAx>
        <c:axId val="251789312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extTo"/>
        <c:crossAx val="251790848"/>
        <c:crosses val="autoZero"/>
        <c:auto val="1"/>
        <c:lblAlgn val="ctr"/>
        <c:lblOffset val="100"/>
        <c:noMultiLvlLbl val="0"/>
      </c:catAx>
      <c:valAx>
        <c:axId val="25179084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251789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chemeClr val="bg1">
        <a:alpha val="58000"/>
      </a:schemeClr>
    </a:solidFill>
    <a:ln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181174</xdr:colOff>
      <xdr:row>8</xdr:row>
      <xdr:rowOff>89054</xdr:rowOff>
    </xdr:from>
    <xdr:to>
      <xdr:col>21</xdr:col>
      <xdr:colOff>976012</xdr:colOff>
      <xdr:row>9</xdr:row>
      <xdr:rowOff>344699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27719" y="2236509"/>
          <a:ext cx="794838" cy="7751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25</xdr:row>
      <xdr:rowOff>34635</xdr:rowOff>
    </xdr:from>
    <xdr:to>
      <xdr:col>23</xdr:col>
      <xdr:colOff>155863</xdr:colOff>
      <xdr:row>44</xdr:row>
      <xdr:rowOff>103907</xdr:rowOff>
    </xdr:to>
    <xdr:graphicFrame macro="">
      <xdr:nvGraphicFramePr>
        <xdr:cNvPr id="10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16</xdr:row>
          <xdr:rowOff>171450</xdr:rowOff>
        </xdr:from>
        <xdr:to>
          <xdr:col>8</xdr:col>
          <xdr:colOff>714375</xdr:colOff>
          <xdr:row>18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38100</xdr:colOff>
      <xdr:row>8</xdr:row>
      <xdr:rowOff>0</xdr:rowOff>
    </xdr:from>
    <xdr:to>
      <xdr:col>5</xdr:col>
      <xdr:colOff>19050</xdr:colOff>
      <xdr:row>9</xdr:row>
      <xdr:rowOff>361446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"/>
          <a:ext cx="2628900" cy="89484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0.26422</cdr:x>
      <cdr:y>0.00977</cdr:y>
    </cdr:from>
    <cdr:to>
      <cdr:x>0.77041</cdr:x>
      <cdr:y>0.15961</cdr:y>
    </cdr:to>
    <cdr:sp macro="" textlink="Bridge_Direction!$M$3">
      <cdr:nvSpPr>
        <cdr:cNvPr id="2" name="TextBox 1"/>
        <cdr:cNvSpPr txBox="1"/>
      </cdr:nvSpPr>
      <cdr:spPr>
        <a:xfrm xmlns:a="http://schemas.openxmlformats.org/drawingml/2006/main">
          <a:off x="4727792" y="58374"/>
          <a:ext cx="9057457" cy="895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2A32D8D2-6BE6-47B1-B914-81BFCFF3D2B2}" type="TxLink">
            <a:rPr lang="en-US" sz="2000" b="1"/>
            <a:pPr algn="ctr"/>
            <a:t>Bridge des coûts par direction
Réalisé N-1 Vs Réalisé</a:t>
          </a:fld>
          <a:endParaRPr lang="en-US" sz="2000" b="1"/>
        </a:p>
      </cdr:txBody>
    </cdr:sp>
  </cdr:relSizeAnchor>
  <cdr:relSizeAnchor xmlns:cdr="http://schemas.openxmlformats.org/drawingml/2006/chartDrawing">
    <cdr:from>
      <cdr:x>0.01445</cdr:x>
      <cdr:y>0.88379</cdr:y>
    </cdr:from>
    <cdr:to>
      <cdr:x>0.09969</cdr:x>
      <cdr:y>0.97859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8619" y="5004955"/>
          <a:ext cx="1525154" cy="5368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/>
        </a:p>
      </cdr:txBody>
    </cdr:sp>
  </cdr:relSizeAnchor>
  <cdr:relSizeAnchor xmlns:cdr="http://schemas.openxmlformats.org/drawingml/2006/chartDrawing">
    <cdr:from>
      <cdr:x>0</cdr:x>
      <cdr:y>0.85016</cdr:y>
    </cdr:from>
    <cdr:to>
      <cdr:x>0.07504</cdr:x>
      <cdr:y>1</cdr:y>
    </cdr:to>
    <cdr:sp macro="" textlink="Bridge_Direction!$I$4">
      <cdr:nvSpPr>
        <cdr:cNvPr id="4" name="TextBox 1"/>
        <cdr:cNvSpPr txBox="1"/>
      </cdr:nvSpPr>
      <cdr:spPr>
        <a:xfrm xmlns:a="http://schemas.openxmlformats.org/drawingml/2006/main">
          <a:off x="0" y="5079512"/>
          <a:ext cx="1762164" cy="895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C89844-0948-4BE7-A750-B3C56530884C}" type="TxLink">
            <a:rPr lang="en-US" sz="1300" b="1"/>
            <a:pPr algn="ctr"/>
            <a:t>COUT DES VENTES
Réalisé N-1</a:t>
          </a:fld>
          <a:endParaRPr lang="en-US" sz="1300" b="1"/>
        </a:p>
      </cdr:txBody>
    </cdr:sp>
  </cdr:relSizeAnchor>
  <cdr:relSizeAnchor xmlns:cdr="http://schemas.openxmlformats.org/drawingml/2006/chartDrawing">
    <cdr:from>
      <cdr:x>0.93068</cdr:x>
      <cdr:y>0.85016</cdr:y>
    </cdr:from>
    <cdr:to>
      <cdr:x>1</cdr:x>
      <cdr:y>1</cdr:y>
    </cdr:to>
    <cdr:sp macro="" textlink="Bridge_Direction!$J$4">
      <cdr:nvSpPr>
        <cdr:cNvPr id="5" name="TextBox 1"/>
        <cdr:cNvSpPr txBox="1"/>
      </cdr:nvSpPr>
      <cdr:spPr>
        <a:xfrm xmlns:a="http://schemas.openxmlformats.org/drawingml/2006/main">
          <a:off x="21855545" y="5079512"/>
          <a:ext cx="1627908" cy="895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198534-D354-439D-8D1E-8132B9628F55}" type="TxLink">
            <a:rPr lang="en-US" sz="1300" b="1"/>
            <a:pPr algn="ctr"/>
            <a:t>COUT DES VENTES
Réalisé</a:t>
          </a:fld>
          <a:endParaRPr lang="en-US" sz="1300" b="1"/>
        </a:p>
      </cdr:txBody>
    </cdr:sp>
  </cdr:relSizeAnchor>
  <cdr:relSizeAnchor xmlns:cdr="http://schemas.openxmlformats.org/drawingml/2006/chartDrawing">
    <cdr:from>
      <cdr:x>0.0621</cdr:x>
      <cdr:y>0.85016</cdr:y>
    </cdr:from>
    <cdr:to>
      <cdr:x>0.11431</cdr:x>
      <cdr:y>1</cdr:y>
    </cdr:to>
    <cdr:sp macro="" textlink="Bridge_Direction!$AH$29">
      <cdr:nvSpPr>
        <cdr:cNvPr id="6" name="TextBox 1"/>
        <cdr:cNvSpPr txBox="1"/>
      </cdr:nvSpPr>
      <cdr:spPr>
        <a:xfrm xmlns:a="http://schemas.openxmlformats.org/drawingml/2006/main" rot="-2700000">
          <a:off x="1473056" y="5257663"/>
          <a:ext cx="1238459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A46DB2C-2B29-4F2A-A3D0-935085722C0D}" type="TxLink">
            <a:rPr lang="en-US" sz="1300" b="1"/>
            <a:pPr algn="ctr"/>
            <a:t>DG et audit interne</a:t>
          </a:fld>
          <a:endParaRPr lang="en-US" sz="1300" b="1"/>
        </a:p>
      </cdr:txBody>
    </cdr:sp>
  </cdr:relSizeAnchor>
  <cdr:relSizeAnchor xmlns:cdr="http://schemas.openxmlformats.org/drawingml/2006/chartDrawing">
    <cdr:from>
      <cdr:x>0.10778</cdr:x>
      <cdr:y>0.85016</cdr:y>
    </cdr:from>
    <cdr:to>
      <cdr:x>0.15855</cdr:x>
      <cdr:y>1</cdr:y>
    </cdr:to>
    <cdr:sp macro="" textlink="Bridge_Direction!$AH$30">
      <cdr:nvSpPr>
        <cdr:cNvPr id="7" name="TextBox 1"/>
        <cdr:cNvSpPr txBox="1"/>
      </cdr:nvSpPr>
      <cdr:spPr>
        <a:xfrm xmlns:a="http://schemas.openxmlformats.org/drawingml/2006/main" rot="-2700000">
          <a:off x="2556618" y="5257663"/>
          <a:ext cx="1204301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7685FC5-0DE0-4A05-8E89-5563678CA534}" type="TxLink">
            <a:rPr lang="en-US" sz="1300" b="1"/>
            <a:pPr algn="ctr"/>
            <a:t>Direction Financière</a:t>
          </a:fld>
          <a:endParaRPr lang="en-US" sz="1300" b="1"/>
        </a:p>
      </cdr:txBody>
    </cdr:sp>
  </cdr:relSizeAnchor>
  <cdr:relSizeAnchor xmlns:cdr="http://schemas.openxmlformats.org/drawingml/2006/chartDrawing">
    <cdr:from>
      <cdr:x>0.16483</cdr:x>
      <cdr:y>0.85016</cdr:y>
    </cdr:from>
    <cdr:to>
      <cdr:x>0.21534</cdr:x>
      <cdr:y>1</cdr:y>
    </cdr:to>
    <cdr:sp macro="" textlink="Bridge_Direction!$AH$31">
      <cdr:nvSpPr>
        <cdr:cNvPr id="8" name="TextBox 1"/>
        <cdr:cNvSpPr txBox="1"/>
      </cdr:nvSpPr>
      <cdr:spPr>
        <a:xfrm xmlns:a="http://schemas.openxmlformats.org/drawingml/2006/main" rot="-2700000">
          <a:off x="3909885" y="5257663"/>
          <a:ext cx="1198133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34C9F42-DA61-4025-8212-EDA2142E7C36}" type="TxLink">
            <a:rPr lang="en-US" sz="1300" b="1"/>
            <a:pPr algn="ctr"/>
            <a:t>Direction Système d'information</a:t>
          </a:fld>
          <a:endParaRPr lang="en-US" sz="1300" b="1"/>
        </a:p>
      </cdr:txBody>
    </cdr:sp>
  </cdr:relSizeAnchor>
  <cdr:relSizeAnchor xmlns:cdr="http://schemas.openxmlformats.org/drawingml/2006/chartDrawing">
    <cdr:from>
      <cdr:x>0.21451</cdr:x>
      <cdr:y>0.85016</cdr:y>
    </cdr:from>
    <cdr:to>
      <cdr:x>0.27655</cdr:x>
      <cdr:y>1</cdr:y>
    </cdr:to>
    <cdr:sp macro="" textlink="Bridge_Direction!$AH$32">
      <cdr:nvSpPr>
        <cdr:cNvPr id="9" name="TextBox 1"/>
        <cdr:cNvSpPr txBox="1"/>
      </cdr:nvSpPr>
      <cdr:spPr>
        <a:xfrm xmlns:a="http://schemas.openxmlformats.org/drawingml/2006/main" rot="-2700000">
          <a:off x="5088330" y="5257663"/>
          <a:ext cx="1471633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702C168-A353-492C-BA71-876ECFD56632}" type="TxLink">
            <a:rPr lang="en-US" sz="1300" b="1"/>
            <a:pPr algn="ctr"/>
            <a:t>Secretariat G, Risque, Lobbying, Service G</a:t>
          </a:fld>
          <a:endParaRPr lang="en-US" sz="1300" b="1"/>
        </a:p>
      </cdr:txBody>
    </cdr:sp>
  </cdr:relSizeAnchor>
  <cdr:relSizeAnchor xmlns:cdr="http://schemas.openxmlformats.org/drawingml/2006/chartDrawing">
    <cdr:from>
      <cdr:x>0.27225</cdr:x>
      <cdr:y>0.85016</cdr:y>
    </cdr:from>
    <cdr:to>
      <cdr:x>0.33112</cdr:x>
      <cdr:y>1</cdr:y>
    </cdr:to>
    <cdr:sp macro="" textlink="Bridge_Direction!$AH$33">
      <cdr:nvSpPr>
        <cdr:cNvPr id="10" name="TextBox 1"/>
        <cdr:cNvSpPr txBox="1"/>
      </cdr:nvSpPr>
      <cdr:spPr>
        <a:xfrm xmlns:a="http://schemas.openxmlformats.org/drawingml/2006/main" rot="-2700000">
          <a:off x="6457964" y="5257663"/>
          <a:ext cx="1396438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8082470-76B3-4447-982A-492476AF471B}" type="TxLink">
            <a:rPr lang="en-US" sz="1300" b="1"/>
            <a:pPr algn="ctr"/>
            <a:t>SG - Communication</a:t>
          </a:fld>
          <a:endParaRPr lang="en-US" sz="1300" b="1"/>
        </a:p>
      </cdr:txBody>
    </cdr:sp>
  </cdr:relSizeAnchor>
  <cdr:relSizeAnchor xmlns:cdr="http://schemas.openxmlformats.org/drawingml/2006/chartDrawing">
    <cdr:from>
      <cdr:x>0.32872</cdr:x>
      <cdr:y>0.85016</cdr:y>
    </cdr:from>
    <cdr:to>
      <cdr:x>0.37832</cdr:x>
      <cdr:y>1</cdr:y>
    </cdr:to>
    <cdr:sp macro="" textlink="Bridge_Direction!$AH$34">
      <cdr:nvSpPr>
        <cdr:cNvPr id="11" name="TextBox 1"/>
        <cdr:cNvSpPr txBox="1"/>
      </cdr:nvSpPr>
      <cdr:spPr>
        <a:xfrm xmlns:a="http://schemas.openxmlformats.org/drawingml/2006/main" rot="-2700000">
          <a:off x="7797473" y="5257663"/>
          <a:ext cx="1176547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37E35E-16C8-4355-AA57-F594545C8CBA}" type="TxLink">
            <a:rPr lang="en-US" sz="1300" b="1"/>
            <a:pPr algn="ctr"/>
            <a:t>SG - Assurances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0.70453</cdr:x>
      <cdr:y>0.85016</cdr:y>
    </cdr:from>
    <cdr:to>
      <cdr:x>0.79848</cdr:x>
      <cdr:y>1</cdr:y>
    </cdr:to>
    <cdr:sp macro="" textlink="">
      <cdr:nvSpPr>
        <cdr:cNvPr id="12" name="TextBox 1"/>
        <cdr:cNvSpPr txBox="1"/>
      </cdr:nvSpPr>
      <cdr:spPr>
        <a:xfrm xmlns:a="http://schemas.openxmlformats.org/drawingml/2006/main">
          <a:off x="12606481" y="4814509"/>
          <a:ext cx="1681018" cy="848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1300" b="1"/>
        </a:p>
      </cdr:txBody>
    </cdr:sp>
  </cdr:relSizeAnchor>
  <cdr:relSizeAnchor xmlns:cdr="http://schemas.openxmlformats.org/drawingml/2006/chartDrawing">
    <cdr:from>
      <cdr:x>0.38053</cdr:x>
      <cdr:y>0.85016</cdr:y>
    </cdr:from>
    <cdr:to>
      <cdr:x>0.42404</cdr:x>
      <cdr:y>1</cdr:y>
    </cdr:to>
    <cdr:sp macro="" textlink="Bridge_Direction!$AH$35">
      <cdr:nvSpPr>
        <cdr:cNvPr id="14" name="TextBox 1"/>
        <cdr:cNvSpPr txBox="1"/>
      </cdr:nvSpPr>
      <cdr:spPr>
        <a:xfrm xmlns:a="http://schemas.openxmlformats.org/drawingml/2006/main" rot="-2700000">
          <a:off x="9026443" y="5257663"/>
          <a:ext cx="1032088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91634D6-3DB8-475E-90C6-1EAE66706BD2}" type="TxLink">
            <a:rPr lang="en-US" sz="1300" b="1"/>
            <a:pPr algn="ctr"/>
            <a:t>SG - Achats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0.42743</cdr:x>
      <cdr:y>0.85016</cdr:y>
    </cdr:from>
    <cdr:to>
      <cdr:x>0.48304</cdr:x>
      <cdr:y>1</cdr:y>
    </cdr:to>
    <cdr:sp macro="" textlink="Bridge_Direction!$AH$36">
      <cdr:nvSpPr>
        <cdr:cNvPr id="15" name="TextBox 1"/>
        <cdr:cNvSpPr txBox="1"/>
      </cdr:nvSpPr>
      <cdr:spPr>
        <a:xfrm xmlns:a="http://schemas.openxmlformats.org/drawingml/2006/main" rot="-2700000">
          <a:off x="10138944" y="5257663"/>
          <a:ext cx="1319109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fld id="{E9D0F911-DAEB-48BE-99A9-128D6E5FB4B8}" type="TxLink">
            <a:rPr lang="en-US" sz="1400"/>
            <a:pPr algn="ctr"/>
            <a:t>Direction Ressources Humaines</a:t>
          </a:fld>
          <a:endParaRPr lang="en-US" sz="1400"/>
        </a:p>
      </cdr:txBody>
    </cdr:sp>
  </cdr:relSizeAnchor>
  <cdr:relSizeAnchor xmlns:cdr="http://schemas.openxmlformats.org/drawingml/2006/chartDrawing">
    <cdr:from>
      <cdr:x>0.89949</cdr:x>
      <cdr:y>0.85016</cdr:y>
    </cdr:from>
    <cdr:to>
      <cdr:x>0.941</cdr:x>
      <cdr:y>1</cdr:y>
    </cdr:to>
    <cdr:sp macro="" textlink="Bridge_Direction!$AH$45">
      <cdr:nvSpPr>
        <cdr:cNvPr id="16" name="TextBox 1"/>
        <cdr:cNvSpPr txBox="1"/>
      </cdr:nvSpPr>
      <cdr:spPr>
        <a:xfrm xmlns:a="http://schemas.openxmlformats.org/drawingml/2006/main" rot="-2700000">
          <a:off x="21336544" y="5257663"/>
          <a:ext cx="984647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4C27E87-5D3F-4419-A438-8C02F6259080}" type="TxLink">
            <a:rPr lang="en-US" sz="1300" b="1"/>
            <a:pPr algn="ctr"/>
            <a:t>Holding</a:t>
          </a:fld>
          <a:endParaRPr lang="en-US" sz="1300" b="1"/>
        </a:p>
      </cdr:txBody>
    </cdr:sp>
  </cdr:relSizeAnchor>
  <cdr:relSizeAnchor xmlns:cdr="http://schemas.openxmlformats.org/drawingml/2006/chartDrawing">
    <cdr:from>
      <cdr:x>0.85251</cdr:x>
      <cdr:y>0.85016</cdr:y>
    </cdr:from>
    <cdr:to>
      <cdr:x>0.90487</cdr:x>
      <cdr:y>1</cdr:y>
    </cdr:to>
    <cdr:sp macro="" textlink="Bridge_Direction!$AH$44">
      <cdr:nvSpPr>
        <cdr:cNvPr id="17" name="TextBox 1"/>
        <cdr:cNvSpPr txBox="1"/>
      </cdr:nvSpPr>
      <cdr:spPr>
        <a:xfrm xmlns:a="http://schemas.openxmlformats.org/drawingml/2006/main" rot="-2700000">
          <a:off x="20222145" y="5257663"/>
          <a:ext cx="1242017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DDD8BFA-950E-4F9A-9DD7-295A4A722535}" type="TxLink">
            <a:rPr lang="en-US" sz="1300" b="1"/>
            <a:pPr algn="ctr"/>
            <a:t>Direction Déléguée Rail - Grand Paris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0.80383</cdr:x>
      <cdr:y>0.85016</cdr:y>
    </cdr:from>
    <cdr:to>
      <cdr:x>0.85267</cdr:x>
      <cdr:y>1</cdr:y>
    </cdr:to>
    <cdr:sp macro="" textlink="Bridge_Direction!$AH$43">
      <cdr:nvSpPr>
        <cdr:cNvPr id="18" name="TextBox 1"/>
        <cdr:cNvSpPr txBox="1"/>
      </cdr:nvSpPr>
      <cdr:spPr>
        <a:xfrm xmlns:a="http://schemas.openxmlformats.org/drawingml/2006/main" rot="-2700000">
          <a:off x="19067421" y="5257663"/>
          <a:ext cx="1158519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3B8C4D0-0ACB-4130-991F-491099F319AB}" type="TxLink">
            <a:rPr lang="en-US" sz="1300" b="1"/>
            <a:pPr algn="ctr"/>
            <a:t>Direction Déléguée Asie Pacifique et Sud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0.74484</cdr:x>
      <cdr:y>0.85016</cdr:y>
    </cdr:from>
    <cdr:to>
      <cdr:x>0.80015</cdr:x>
      <cdr:y>1</cdr:y>
    </cdr:to>
    <cdr:sp macro="" textlink="Bridge_Direction!$AH$42">
      <cdr:nvSpPr>
        <cdr:cNvPr id="19" name="TextBox 1"/>
        <cdr:cNvSpPr txBox="1"/>
      </cdr:nvSpPr>
      <cdr:spPr>
        <a:xfrm xmlns:a="http://schemas.openxmlformats.org/drawingml/2006/main" rot="-2700000">
          <a:off x="17668136" y="5257663"/>
          <a:ext cx="1311993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262963A-D049-4AD9-8FDC-E739B6BF1F28}" type="TxLink">
            <a:rPr lang="en-US" sz="1300" b="1"/>
            <a:pPr algn="ctr"/>
            <a:t>Projets Innovation corporate et TAD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0.70059</cdr:x>
      <cdr:y>0.85016</cdr:y>
    </cdr:from>
    <cdr:to>
      <cdr:x>0.74648</cdr:x>
      <cdr:y>1</cdr:y>
    </cdr:to>
    <cdr:sp macro="" textlink="Bridge_Direction!$AH$41">
      <cdr:nvSpPr>
        <cdr:cNvPr id="20" name="TextBox 1"/>
        <cdr:cNvSpPr txBox="1"/>
      </cdr:nvSpPr>
      <cdr:spPr>
        <a:xfrm xmlns:a="http://schemas.openxmlformats.org/drawingml/2006/main" rot="-2700000">
          <a:off x="16618494" y="5257663"/>
          <a:ext cx="1088544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7837E53-A145-4014-9DA9-721F96EDCC6E}" type="TxLink">
            <a:rPr lang="en-US" sz="1300" b="1"/>
            <a:pPr algn="ctr"/>
            <a:t>Direction Innovation et Stratégie</a:t>
          </a:fld>
          <a:endParaRPr lang="en-US" sz="1300" b="1"/>
        </a:p>
      </cdr:txBody>
    </cdr:sp>
  </cdr:relSizeAnchor>
  <cdr:relSizeAnchor xmlns:cdr="http://schemas.openxmlformats.org/drawingml/2006/chartDrawing">
    <cdr:from>
      <cdr:x>0.64892</cdr:x>
      <cdr:y>0.85016</cdr:y>
    </cdr:from>
    <cdr:to>
      <cdr:x>0.69043</cdr:x>
      <cdr:y>1</cdr:y>
    </cdr:to>
    <cdr:sp macro="" textlink="Bridge_Direction!$AH$40">
      <cdr:nvSpPr>
        <cdr:cNvPr id="21" name="TextBox 1"/>
        <cdr:cNvSpPr txBox="1"/>
      </cdr:nvSpPr>
      <cdr:spPr>
        <a:xfrm xmlns:a="http://schemas.openxmlformats.org/drawingml/2006/main" rot="-2700000">
          <a:off x="15392845" y="5257663"/>
          <a:ext cx="984647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C826C7-7906-4FFA-BCD6-630503A941E3}" type="TxLink">
            <a:rPr lang="en-US" sz="1300" b="1"/>
            <a:pPr algn="ctr"/>
            <a:t>Direction Marketing</a:t>
          </a:fld>
          <a:endParaRPr lang="en-US" sz="1300" b="1"/>
        </a:p>
      </cdr:txBody>
    </cdr:sp>
  </cdr:relSizeAnchor>
  <cdr:relSizeAnchor xmlns:cdr="http://schemas.openxmlformats.org/drawingml/2006/chartDrawing">
    <cdr:from>
      <cdr:x>0.57891</cdr:x>
      <cdr:y>0.85016</cdr:y>
    </cdr:from>
    <cdr:to>
      <cdr:x>0.63938</cdr:x>
      <cdr:y>1</cdr:y>
    </cdr:to>
    <cdr:sp macro="" textlink="Bridge_Direction!$AH$39">
      <cdr:nvSpPr>
        <cdr:cNvPr id="22" name="TextBox 1"/>
        <cdr:cNvSpPr txBox="1"/>
      </cdr:nvSpPr>
      <cdr:spPr>
        <a:xfrm xmlns:a="http://schemas.openxmlformats.org/drawingml/2006/main" rot="-2700000">
          <a:off x="13732158" y="5257663"/>
          <a:ext cx="1434391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1D7D746-8E50-490C-8F5F-EC284715F3B7}" type="TxLink">
            <a:rPr lang="en-US" sz="1300" b="1"/>
            <a:pPr algn="ctr"/>
            <a:t>Direction Qualité et Technique</a:t>
          </a:fld>
          <a:endParaRPr lang="en-US" sz="1300" b="1"/>
        </a:p>
      </cdr:txBody>
    </cdr:sp>
  </cdr:relSizeAnchor>
  <cdr:relSizeAnchor xmlns:cdr="http://schemas.openxmlformats.org/drawingml/2006/chartDrawing">
    <cdr:from>
      <cdr:x>0.53171</cdr:x>
      <cdr:y>0.85016</cdr:y>
    </cdr:from>
    <cdr:to>
      <cdr:x>0.58498</cdr:x>
      <cdr:y>1</cdr:y>
    </cdr:to>
    <cdr:sp macro="" textlink="Bridge_Direction!$AH$38">
      <cdr:nvSpPr>
        <cdr:cNvPr id="23" name="TextBox 1"/>
        <cdr:cNvSpPr txBox="1"/>
      </cdr:nvSpPr>
      <cdr:spPr>
        <a:xfrm xmlns:a="http://schemas.openxmlformats.org/drawingml/2006/main" rot="-2700000">
          <a:off x="12612540" y="5257663"/>
          <a:ext cx="1263603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4CD1103-111C-48EC-A589-E994230B9818}" type="TxLink">
            <a:rPr lang="en-US" sz="1300" b="1"/>
            <a:pPr algn="ctr"/>
            <a:t>Direction Performance et Commerciale (hors market.et DQT)</a:t>
          </a:fld>
          <a:endParaRPr lang="en-US" sz="1300" b="1"/>
        </a:p>
      </cdr:txBody>
    </cdr:sp>
  </cdr:relSizeAnchor>
  <cdr:relSizeAnchor xmlns:cdr="http://schemas.openxmlformats.org/drawingml/2006/chartDrawing">
    <cdr:from>
      <cdr:x>0.48299</cdr:x>
      <cdr:y>0.85016</cdr:y>
    </cdr:from>
    <cdr:to>
      <cdr:x>0.5245</cdr:x>
      <cdr:y>1</cdr:y>
    </cdr:to>
    <cdr:sp macro="" textlink="Bridge_Direction!$AH$37">
      <cdr:nvSpPr>
        <cdr:cNvPr id="24" name="TextBox 1"/>
        <cdr:cNvSpPr txBox="1"/>
      </cdr:nvSpPr>
      <cdr:spPr>
        <a:xfrm xmlns:a="http://schemas.openxmlformats.org/drawingml/2006/main" rot="-2700000">
          <a:off x="11456867" y="5257663"/>
          <a:ext cx="984647" cy="9266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F2D283-3AA0-4B4A-8FCB-FDC5F5E4318E}" type="TxLink">
            <a:rPr lang="en-US" sz="1300" b="1"/>
            <a:pPr algn="ctr"/>
            <a:t>Direction Juridique</a:t>
          </a:fld>
          <a:endParaRPr lang="en-US" sz="1300" b="1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9"/>
  <sheetViews>
    <sheetView workbookViewId="0">
      <selection activeCell="C13" sqref="C13"/>
    </sheetView>
  </sheetViews>
  <sheetFormatPr baseColWidth="10" defaultColWidth="9.140625" defaultRowHeight="12.75" x14ac:dyDescent="0.2"/>
  <cols>
    <col min="1" max="1" width="38.28515625" style="13" bestFit="1" customWidth="1"/>
    <col min="2" max="2" width="17.85546875" style="13" bestFit="1" customWidth="1"/>
    <col min="3" max="3" width="9.140625" style="13"/>
    <col min="4" max="4" width="27.7109375" style="13" customWidth="1"/>
    <col min="5" max="5" width="15.140625" style="13" bestFit="1" customWidth="1"/>
    <col min="6" max="16384" width="9.140625" style="13"/>
  </cols>
  <sheetData>
    <row r="1" spans="1:3" ht="18" x14ac:dyDescent="0.25">
      <c r="A1" s="11" t="s">
        <v>77</v>
      </c>
      <c r="B1" s="12"/>
    </row>
    <row r="2" spans="1:3" x14ac:dyDescent="0.2">
      <c r="A2" s="12"/>
      <c r="B2" s="12"/>
    </row>
    <row r="3" spans="1:3" ht="15.75" x14ac:dyDescent="0.25">
      <c r="A3" s="14" t="s">
        <v>5</v>
      </c>
      <c r="B3" s="12"/>
    </row>
    <row r="4" spans="1:3" x14ac:dyDescent="0.2">
      <c r="A4" s="15" t="s">
        <v>4</v>
      </c>
      <c r="B4" s="16" t="s">
        <v>87</v>
      </c>
    </row>
    <row r="5" spans="1:3" x14ac:dyDescent="0.2">
      <c r="A5" s="15" t="s">
        <v>7</v>
      </c>
      <c r="B5" s="17" t="str">
        <f>LEFT(Server,LEN(Server)-1)</f>
        <v>tango_core_model</v>
      </c>
    </row>
    <row r="6" spans="1:3" x14ac:dyDescent="0.2">
      <c r="A6" s="15" t="s">
        <v>3</v>
      </c>
      <c r="B6" s="17" t="s">
        <v>36</v>
      </c>
    </row>
    <row r="7" spans="1:3" x14ac:dyDescent="0.2">
      <c r="A7" s="15" t="s">
        <v>17</v>
      </c>
      <c r="B7" s="17">
        <v>0</v>
      </c>
    </row>
    <row r="8" spans="1:3" x14ac:dyDescent="0.2">
      <c r="A8" s="15" t="s">
        <v>28</v>
      </c>
      <c r="B8" s="17">
        <v>0</v>
      </c>
    </row>
    <row r="10" spans="1:3" ht="15.75" x14ac:dyDescent="0.25">
      <c r="A10" s="14" t="s">
        <v>6</v>
      </c>
    </row>
    <row r="11" spans="1:3" ht="13.5" customHeight="1" x14ac:dyDescent="0.2">
      <c r="A11" s="15" t="s">
        <v>13</v>
      </c>
      <c r="B11" s="17" t="s">
        <v>45</v>
      </c>
    </row>
    <row r="12" spans="1:3" ht="13.5" customHeight="1" x14ac:dyDescent="0.2">
      <c r="A12" s="15" t="s">
        <v>14</v>
      </c>
      <c r="B12" s="17" t="s">
        <v>46</v>
      </c>
      <c r="C12" s="55" t="s">
        <v>34</v>
      </c>
    </row>
    <row r="13" spans="1:3" x14ac:dyDescent="0.2">
      <c r="A13" s="15" t="s">
        <v>9</v>
      </c>
      <c r="B13" s="17" t="str">
        <f ca="1">_xll.DBR(Server&amp;"z_Admin_Param","MONTH_CORPORATE","STR_VAR1")</f>
        <v>2013.03</v>
      </c>
      <c r="C13" s="54" t="str">
        <f ca="1">LEFT($B$13,4)</f>
        <v>2013</v>
      </c>
    </row>
    <row r="14" spans="1:3" x14ac:dyDescent="0.2">
      <c r="A14" s="15" t="s">
        <v>18</v>
      </c>
      <c r="B14" s="17"/>
    </row>
    <row r="15" spans="1:3" x14ac:dyDescent="0.2">
      <c r="A15" s="15" t="s">
        <v>44</v>
      </c>
      <c r="B15" s="17"/>
    </row>
    <row r="16" spans="1:3" x14ac:dyDescent="0.2">
      <c r="A16" s="15" t="s">
        <v>2</v>
      </c>
      <c r="B16" s="18" t="str">
        <f ca="1">_xll.DBR(Server&amp;"z_Client_Properties","Language",_xll.TM1USER(xServer))</f>
        <v>English</v>
      </c>
      <c r="C16" s="13" t="str">
        <f ca="1">IF(LocalLanguage="French","Français",LocalLanguage)</f>
        <v>English</v>
      </c>
    </row>
    <row r="17" spans="1:6" x14ac:dyDescent="0.2">
      <c r="A17" s="142" t="s">
        <v>26</v>
      </c>
      <c r="B17" s="33" t="s">
        <v>1</v>
      </c>
    </row>
    <row r="18" spans="1:6" x14ac:dyDescent="0.2">
      <c r="A18" s="142"/>
      <c r="B18" s="33" t="s">
        <v>42</v>
      </c>
    </row>
    <row r="19" spans="1:6" x14ac:dyDescent="0.2">
      <c r="A19" s="142"/>
      <c r="B19" s="33" t="s">
        <v>10</v>
      </c>
    </row>
    <row r="20" spans="1:6" x14ac:dyDescent="0.2">
      <c r="A20" s="142"/>
      <c r="B20" s="33" t="s">
        <v>11</v>
      </c>
    </row>
    <row r="21" spans="1:6" x14ac:dyDescent="0.2">
      <c r="A21" s="142"/>
      <c r="B21" s="33" t="s">
        <v>12</v>
      </c>
    </row>
    <row r="22" spans="1:6" x14ac:dyDescent="0.2">
      <c r="A22" s="142" t="s">
        <v>27</v>
      </c>
      <c r="B22" s="33" t="s">
        <v>23</v>
      </c>
    </row>
    <row r="23" spans="1:6" x14ac:dyDescent="0.2">
      <c r="A23" s="142"/>
      <c r="B23" s="33" t="s">
        <v>24</v>
      </c>
    </row>
    <row r="24" spans="1:6" x14ac:dyDescent="0.2">
      <c r="A24" s="142"/>
      <c r="B24" s="33" t="s">
        <v>25</v>
      </c>
    </row>
    <row r="26" spans="1:6" ht="15.75" x14ac:dyDescent="0.25">
      <c r="A26" s="14" t="s">
        <v>19</v>
      </c>
      <c r="F26" s="13" t="s">
        <v>8</v>
      </c>
    </row>
    <row r="27" spans="1:6" ht="13.5" customHeight="1" x14ac:dyDescent="0.25">
      <c r="A27" s="13" t="s">
        <v>20</v>
      </c>
      <c r="B27" s="30"/>
    </row>
    <row r="28" spans="1:6" x14ac:dyDescent="0.2">
      <c r="A28" s="13" t="s">
        <v>21</v>
      </c>
      <c r="B28" s="31"/>
    </row>
    <row r="29" spans="1:6" x14ac:dyDescent="0.2">
      <c r="A29" s="13" t="s">
        <v>22</v>
      </c>
      <c r="B29" s="32"/>
    </row>
  </sheetData>
  <sheetProtection formatColumns="0" formatRows="0"/>
  <mergeCells count="2">
    <mergeCell ref="A17:A21"/>
    <mergeCell ref="A22:A24"/>
  </mergeCells>
  <phoneticPr fontId="5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AZ118"/>
  <sheetViews>
    <sheetView showGridLines="0" tabSelected="1" topLeftCell="D6" zoomScale="40" zoomScaleNormal="40" zoomScaleSheetLayoutView="70" workbookViewId="0">
      <selection activeCell="J14" sqref="J14"/>
    </sheetView>
  </sheetViews>
  <sheetFormatPr baseColWidth="10" defaultColWidth="11.42578125" defaultRowHeight="18" customHeight="1" outlineLevelRow="1" x14ac:dyDescent="0.2"/>
  <cols>
    <col min="1" max="1" width="8.140625" style="19" hidden="1" customWidth="1"/>
    <col min="2" max="2" width="28.28515625" style="19" hidden="1" customWidth="1"/>
    <col min="3" max="3" width="33.7109375" style="19" hidden="1" customWidth="1"/>
    <col min="4" max="4" width="1.7109375" style="19" customWidth="1"/>
    <col min="5" max="5" width="39.7109375" style="4" customWidth="1"/>
    <col min="6" max="6" width="46.85546875" style="4" customWidth="1"/>
    <col min="7" max="7" width="12.7109375" style="4" customWidth="1"/>
    <col min="8" max="8" width="16" style="3" customWidth="1"/>
    <col min="9" max="11" width="19.7109375" style="3" customWidth="1"/>
    <col min="12" max="12" width="2.7109375" style="5" customWidth="1"/>
    <col min="13" max="13" width="14.140625" style="5" customWidth="1"/>
    <col min="14" max="14" width="17" style="5" customWidth="1"/>
    <col min="15" max="15" width="18.140625" style="5" customWidth="1"/>
    <col min="16" max="16" width="17" style="5" customWidth="1"/>
    <col min="17" max="17" width="8.140625" style="5" customWidth="1"/>
    <col min="18" max="18" width="19.5703125" style="5" customWidth="1"/>
    <col min="19" max="19" width="24" style="5" customWidth="1"/>
    <col min="20" max="20" width="2.7109375" style="5" customWidth="1"/>
    <col min="21" max="21" width="23" style="5" customWidth="1"/>
    <col min="22" max="22" width="22.85546875" style="5" customWidth="1"/>
    <col min="23" max="23" width="3.42578125" style="19" customWidth="1"/>
    <col min="24" max="24" width="14.28515625" style="20" hidden="1" customWidth="1"/>
    <col min="25" max="25" width="14.28515625" style="19" hidden="1" customWidth="1"/>
    <col min="26" max="31" width="9" style="19" hidden="1" customWidth="1"/>
    <col min="32" max="32" width="24.85546875" style="19" hidden="1" customWidth="1"/>
    <col min="33" max="33" width="13.140625" style="19" hidden="1" customWidth="1"/>
    <col min="34" max="34" width="55.140625" style="19" hidden="1" customWidth="1"/>
    <col min="35" max="35" width="25.28515625" style="19" hidden="1" customWidth="1"/>
    <col min="36" max="36" width="32.28515625" style="19" hidden="1" customWidth="1"/>
    <col min="37" max="37" width="18.28515625" style="19" hidden="1" customWidth="1"/>
    <col min="38" max="38" width="16.7109375" style="19" hidden="1" customWidth="1"/>
    <col min="39" max="39" width="43.7109375" style="19" hidden="1" customWidth="1"/>
    <col min="40" max="40" width="23.42578125" style="19" hidden="1" customWidth="1"/>
    <col min="41" max="41" width="54.42578125" style="19" hidden="1" customWidth="1"/>
    <col min="42" max="42" width="54.42578125" style="34" hidden="1" customWidth="1"/>
    <col min="43" max="43" width="19.85546875" style="19" hidden="1" customWidth="1"/>
    <col min="44" max="44" width="6.5703125" style="19" hidden="1" customWidth="1"/>
    <col min="45" max="49" width="6.5703125" style="3" hidden="1" customWidth="1"/>
    <col min="50" max="50" width="2.85546875" style="3" customWidth="1"/>
    <col min="51" max="51" width="6.5703125" style="3" customWidth="1"/>
    <col min="52" max="53" width="6.42578125" style="3" customWidth="1"/>
    <col min="54" max="55" width="11.42578125" style="3" customWidth="1"/>
    <col min="56" max="16384" width="11.42578125" style="3"/>
  </cols>
  <sheetData>
    <row r="1" spans="1:50" ht="22.5" hidden="1" customHeight="1" x14ac:dyDescent="0.25">
      <c r="A1" s="82"/>
      <c r="B1" s="58"/>
      <c r="C1" s="58"/>
      <c r="D1" s="58"/>
      <c r="E1" s="58"/>
      <c r="F1" s="96" t="s">
        <v>55</v>
      </c>
      <c r="G1" s="97" t="s">
        <v>0</v>
      </c>
      <c r="H1" s="58"/>
      <c r="I1" s="98" t="str">
        <f ca="1">IF($F$24=$AG$12,"ACT_TOT",IF($F$24=$AG$13,"BUDG_TOT",IF($F$24=$AG$14,"BUDG_TOT","FC_1_TOT")))</f>
        <v>ACT_TOT</v>
      </c>
      <c r="J1" s="98" t="str">
        <f ca="1">IF($F$24=$AG$12,"ACT_TOT",IF($F$24=$AG$13,"ACT_TOT",IF($F$24=$AG$14,"FC_1_TOT","FC_2_TOT")))</f>
        <v>ACT_TOT</v>
      </c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99"/>
      <c r="AT1" s="99"/>
      <c r="AU1" s="99"/>
      <c r="AV1" s="99"/>
      <c r="AW1" s="99"/>
      <c r="AX1" s="100"/>
    </row>
    <row r="2" spans="1:50" ht="22.5" hidden="1" customHeight="1" x14ac:dyDescent="0.25">
      <c r="A2" s="83"/>
      <c r="B2" s="20"/>
      <c r="C2" s="20"/>
      <c r="D2" s="20"/>
      <c r="E2" s="20"/>
      <c r="F2" s="76"/>
      <c r="G2" s="101" t="s">
        <v>35</v>
      </c>
      <c r="H2" s="102" t="str">
        <f ca="1">_xll.SUBNM(Server&amp;"Period","",$F$17,"")</f>
        <v>2012.12_YTD</v>
      </c>
      <c r="I2" s="103" t="str">
        <f ca="1">IF($F$24=$AG$12,$H$3,$H$2)</f>
        <v>2011.12_YTD</v>
      </c>
      <c r="J2" s="103" t="str">
        <f ca="1">H2</f>
        <v>2012.12_YTD</v>
      </c>
      <c r="K2" s="103"/>
      <c r="L2" s="20"/>
      <c r="M2" s="104" t="s">
        <v>70</v>
      </c>
      <c r="N2" s="20"/>
      <c r="O2" s="104" t="s">
        <v>75</v>
      </c>
      <c r="P2" s="20"/>
      <c r="Q2" s="20"/>
      <c r="R2" s="20"/>
      <c r="S2" s="20"/>
      <c r="T2" s="20"/>
      <c r="U2" s="20"/>
      <c r="V2" s="20"/>
      <c r="W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X2" s="105"/>
    </row>
    <row r="3" spans="1:50" ht="22.5" hidden="1" customHeight="1" x14ac:dyDescent="0.25">
      <c r="A3" s="83"/>
      <c r="B3" s="20"/>
      <c r="C3" s="20"/>
      <c r="D3" s="20"/>
      <c r="E3" s="20"/>
      <c r="F3" s="20"/>
      <c r="G3" s="101" t="s">
        <v>56</v>
      </c>
      <c r="H3" s="102" t="str">
        <f ca="1">_xll.SUBNM(Server&amp;"Period","",$H$2,"Prior Year")</f>
        <v>2011.12_YTD</v>
      </c>
      <c r="I3" s="66" t="str">
        <f ca="1">IF($F$24=$AG$12,_xll.DBRA(Server&amp;$AF$11,$AF$28,$AF$10),_xll.DBRA(Server&amp;$G$1,$I$1,$AF$10))</f>
        <v>Réalisé N-1</v>
      </c>
      <c r="J3" s="66" t="str">
        <f ca="1">_xll.DBRA(Server&amp;$G$1,$J$1,$AF$10)</f>
        <v>Réalisé</v>
      </c>
      <c r="K3" s="66"/>
      <c r="L3" s="20"/>
      <c r="M3" s="106" t="str">
        <f ca="1">_xll.DBRA(Server&amp;$AF$11,AF32,$AF$10) &amp; CHAR(10) &amp; I3 &amp; " Vs " &amp; J3</f>
        <v>Bridge des coûts par direction
Réalisé N-1 Vs Réalisé</v>
      </c>
      <c r="N3" s="20"/>
      <c r="O3" s="74" t="s">
        <v>76</v>
      </c>
      <c r="P3" s="20"/>
      <c r="Q3" s="20"/>
      <c r="R3" s="20"/>
      <c r="S3" s="20"/>
      <c r="T3" s="20"/>
      <c r="U3" s="20"/>
      <c r="V3" s="20"/>
      <c r="W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X3" s="105"/>
    </row>
    <row r="4" spans="1:50" ht="22.5" hidden="1" customHeight="1" x14ac:dyDescent="0.2">
      <c r="A4" s="83"/>
      <c r="B4" s="20"/>
      <c r="C4" s="20"/>
      <c r="D4" s="20"/>
      <c r="E4" s="20"/>
      <c r="F4" s="20"/>
      <c r="G4" s="107"/>
      <c r="H4" s="20"/>
      <c r="I4" s="72" t="str">
        <f ca="1">$F$18 &amp; CHAR(10) &amp; $I$3</f>
        <v>COUT DES VENTES
Réalisé N-1</v>
      </c>
      <c r="J4" s="73" t="str">
        <f ca="1">$F$18 &amp; CHAR(10) &amp; $J$3</f>
        <v>COUT DES VENTES
Réalisé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X4" s="105"/>
    </row>
    <row r="5" spans="1:50" ht="22.5" hidden="1" customHeight="1" thickBot="1" x14ac:dyDescent="0.25">
      <c r="A5" s="83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X5" s="105"/>
    </row>
    <row r="6" spans="1:50" ht="19.5" customHeight="1" x14ac:dyDescent="0.2">
      <c r="A6" s="83"/>
      <c r="B6" s="20"/>
      <c r="C6" s="20"/>
      <c r="D6" s="82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X6" s="105"/>
    </row>
    <row r="7" spans="1:50" ht="18" hidden="1" customHeight="1" x14ac:dyDescent="0.2">
      <c r="A7" s="83"/>
      <c r="B7" s="20"/>
      <c r="C7" s="20"/>
      <c r="D7" s="8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X7" s="105"/>
    </row>
    <row r="8" spans="1:50" ht="16.5" customHeight="1" thickBot="1" x14ac:dyDescent="0.25">
      <c r="A8" s="83"/>
      <c r="B8" s="20"/>
      <c r="C8" s="20"/>
      <c r="D8" s="83"/>
      <c r="G8" s="84"/>
      <c r="W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X8" s="105"/>
    </row>
    <row r="9" spans="1:50" ht="41.25" customHeight="1" thickBot="1" x14ac:dyDescent="0.3">
      <c r="A9" s="83"/>
      <c r="B9" s="20"/>
      <c r="C9" s="20"/>
      <c r="D9" s="83"/>
      <c r="E9" s="141"/>
      <c r="F9" s="144" t="str">
        <f ca="1">_xll.DBRA(Server&amp;$AF$11,AF30,$AF$10)</f>
        <v>Bridge par direction</v>
      </c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2"/>
      <c r="U9" s="143" t="str">
        <f ca="1">_xll.DBRA(Server&amp;$AF$11,AF31,$AF$10)</f>
        <v>Restitution</v>
      </c>
      <c r="V9" s="2"/>
      <c r="W9" s="20"/>
      <c r="Y9" s="20"/>
      <c r="Z9" s="20"/>
      <c r="AA9" s="20"/>
      <c r="AB9" s="20"/>
      <c r="AC9" s="20"/>
      <c r="AD9" s="20"/>
      <c r="AE9" s="20"/>
      <c r="AF9" s="51" t="s">
        <v>41</v>
      </c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X9" s="105"/>
    </row>
    <row r="10" spans="1:50" ht="30" customHeight="1" thickBot="1" x14ac:dyDescent="0.3">
      <c r="A10" s="83"/>
      <c r="B10" s="20"/>
      <c r="C10" s="20"/>
      <c r="D10" s="83"/>
      <c r="E10" s="141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"/>
      <c r="U10" s="143"/>
      <c r="V10" s="1"/>
      <c r="W10" s="20"/>
      <c r="Y10" s="20"/>
      <c r="Z10" s="20"/>
      <c r="AA10" s="20"/>
      <c r="AB10" s="20"/>
      <c r="AC10" s="20"/>
      <c r="AD10" s="20"/>
      <c r="AE10" s="20"/>
      <c r="AF10" s="52" t="str">
        <f>IF($F$15="Français","French","English")</f>
        <v>French</v>
      </c>
      <c r="AG10" s="50" t="s">
        <v>40</v>
      </c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X10" s="105"/>
    </row>
    <row r="11" spans="1:50" ht="18" customHeight="1" thickBot="1" x14ac:dyDescent="0.3">
      <c r="A11" s="83"/>
      <c r="B11" s="20"/>
      <c r="C11" s="20"/>
      <c r="D11" s="83"/>
      <c r="E11" s="3"/>
      <c r="F11" s="3"/>
      <c r="G11" s="84"/>
      <c r="H11" s="84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20"/>
      <c r="Y11" s="20"/>
      <c r="Z11" s="20"/>
      <c r="AA11" s="20"/>
      <c r="AB11" s="20"/>
      <c r="AC11" s="20"/>
      <c r="AD11" s="20"/>
      <c r="AE11" s="20"/>
      <c r="AF11" s="41" t="s">
        <v>31</v>
      </c>
      <c r="AG11" s="44" t="s">
        <v>0</v>
      </c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X11" s="105"/>
    </row>
    <row r="12" spans="1:50" ht="23.25" customHeight="1" thickBot="1" x14ac:dyDescent="0.25">
      <c r="A12" s="83"/>
      <c r="B12" s="20"/>
      <c r="C12" s="20"/>
      <c r="D12" s="83"/>
      <c r="E12" s="139" t="str">
        <f ca="1">_xll.DBRA(Server&amp;$AF$11,AF12,$AF$10)</f>
        <v>Sélection du contexte</v>
      </c>
      <c r="F12" s="61"/>
      <c r="H12" s="84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20"/>
      <c r="Y12" s="20"/>
      <c r="Z12" s="20"/>
      <c r="AA12" s="20"/>
      <c r="AB12" s="20"/>
      <c r="AC12" s="20"/>
      <c r="AD12" s="20"/>
      <c r="AE12" s="20"/>
      <c r="AF12" s="42" t="s">
        <v>29</v>
      </c>
      <c r="AG12" s="59" t="str">
        <f ca="1">_xll.DBRA(Server&amp;$AF$11,AF24,$AF$10)</f>
        <v>Réalisé</v>
      </c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X12" s="105"/>
    </row>
    <row r="13" spans="1:50" ht="23.25" customHeight="1" outlineLevel="1" x14ac:dyDescent="0.2">
      <c r="A13" s="83"/>
      <c r="B13" s="20"/>
      <c r="C13" s="20"/>
      <c r="D13" s="83"/>
      <c r="E13" s="140" t="str">
        <f ca="1">_xll.DBRA(Server&amp;$AF$11,AF17,$AF$10)</f>
        <v>Gaap</v>
      </c>
      <c r="F13" s="36" t="str">
        <f ca="1">_xll.SUBNM(Server&amp;"GAAP","Corp_FR","Local_Gaap",$F$15)</f>
        <v>Local_Gaap</v>
      </c>
      <c r="H13" s="84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20"/>
      <c r="Y13" s="20"/>
      <c r="Z13" s="20"/>
      <c r="AA13" s="20"/>
      <c r="AB13" s="20"/>
      <c r="AC13" s="20"/>
      <c r="AD13" s="20"/>
      <c r="AE13" s="20"/>
      <c r="AF13" s="38" t="s">
        <v>35</v>
      </c>
      <c r="AG13" s="60" t="str">
        <f ca="1">_xll.DBRA(Server&amp;$AF$11,AF25,$AF$10)</f>
        <v>Budget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X13" s="105"/>
    </row>
    <row r="14" spans="1:50" ht="23.25" customHeight="1" outlineLevel="1" x14ac:dyDescent="0.2">
      <c r="A14" s="83"/>
      <c r="B14" s="20"/>
      <c r="C14" s="20"/>
      <c r="D14" s="83"/>
      <c r="E14" s="140" t="str">
        <f ca="1">_xll.DBRA(Server&amp;$AF$11,AF18,$AF$10)</f>
        <v>Taux d'intégration</v>
      </c>
      <c r="F14" s="36" t="str">
        <f ca="1">_xll.SUBNM(Server&amp;"Integration_Rate","Corp_FR","NO_APP",$AF$10)</f>
        <v>Données de liasse (Tx d'intégration No-APP)</v>
      </c>
      <c r="H14" s="84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20"/>
      <c r="Y14" s="20"/>
      <c r="Z14" s="20"/>
      <c r="AA14" s="20"/>
      <c r="AB14" s="20"/>
      <c r="AC14" s="20"/>
      <c r="AD14" s="20"/>
      <c r="AE14" s="20"/>
      <c r="AF14" s="43" t="s">
        <v>30</v>
      </c>
      <c r="AG14" s="60" t="str">
        <f ca="1">_xll.DBRA(Server&amp;$AF$11,AF26,$AF$10)</f>
        <v>Estimé 1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X14" s="105"/>
    </row>
    <row r="15" spans="1:50" ht="23.25" customHeight="1" outlineLevel="1" x14ac:dyDescent="0.2">
      <c r="A15" s="83"/>
      <c r="B15" s="20"/>
      <c r="C15" s="20"/>
      <c r="D15" s="83"/>
      <c r="E15" s="140" t="str">
        <f ca="1">_xll.DBRA(Server&amp;$AF$11,AF19,$AF$10)</f>
        <v>Langue</v>
      </c>
      <c r="F15" s="37" t="s">
        <v>42</v>
      </c>
      <c r="H15" s="84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20"/>
      <c r="Y15" s="20"/>
      <c r="Z15" s="20"/>
      <c r="AA15" s="20"/>
      <c r="AB15" s="20"/>
      <c r="AC15" s="20"/>
      <c r="AD15" s="20"/>
      <c r="AE15" s="20"/>
      <c r="AF15" s="43" t="s">
        <v>51</v>
      </c>
      <c r="AG15" s="60" t="str">
        <f ca="1">_xll.DBRA(Server&amp;$AF$11,AF27,$AF$10)</f>
        <v>Estimé 2</v>
      </c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X15" s="105"/>
    </row>
    <row r="16" spans="1:50" ht="23.25" customHeight="1" outlineLevel="1" x14ac:dyDescent="0.2">
      <c r="A16" s="83"/>
      <c r="B16" s="20"/>
      <c r="C16" s="20"/>
      <c r="D16" s="83"/>
      <c r="E16" s="140" t="str">
        <f ca="1">_xll.DBRA(Server&amp;$AF$11,$AF$14,$AF$10)</f>
        <v>Organisation légale</v>
      </c>
      <c r="F16" s="37" t="str">
        <f ca="1">_xll.SUBNM(Server&amp;"Legal_Organization_Corp","","SH001","Français")</f>
        <v>VTD Siège Monde</v>
      </c>
      <c r="H16" s="84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20"/>
      <c r="Y16" s="20"/>
      <c r="Z16" s="20"/>
      <c r="AA16" s="20"/>
      <c r="AB16" s="20"/>
      <c r="AC16" s="20"/>
      <c r="AD16" s="20"/>
      <c r="AE16" s="20"/>
      <c r="AF16" s="43" t="s">
        <v>15</v>
      </c>
      <c r="AG16" s="6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X16" s="105"/>
    </row>
    <row r="17" spans="1:52" ht="23.25" customHeight="1" x14ac:dyDescent="0.25">
      <c r="A17" s="83"/>
      <c r="B17" s="62" t="s">
        <v>48</v>
      </c>
      <c r="C17" s="20" t="s">
        <v>49</v>
      </c>
      <c r="D17" s="83"/>
      <c r="E17" s="140" t="str">
        <f ca="1">_xll.DBRA(Server&amp;$AF$11,AF13,$AF$10)</f>
        <v>Période</v>
      </c>
      <c r="F17" s="37" t="str">
        <f ca="1">_xll.SUBNM(Server&amp;"Period","","2012.12_YTD")</f>
        <v>2012.12_YTD</v>
      </c>
      <c r="H17" s="84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20"/>
      <c r="Y17" s="20"/>
      <c r="Z17" s="20"/>
      <c r="AA17" s="20"/>
      <c r="AB17" s="20"/>
      <c r="AC17" s="20"/>
      <c r="AD17" s="20"/>
      <c r="AE17" s="20"/>
      <c r="AF17" s="43" t="s">
        <v>16</v>
      </c>
      <c r="AG17" s="6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X17" s="105"/>
    </row>
    <row r="18" spans="1:52" ht="21.75" customHeight="1" x14ac:dyDescent="0.25">
      <c r="A18" s="83"/>
      <c r="B18" s="62" t="s">
        <v>47</v>
      </c>
      <c r="C18" s="20" t="s">
        <v>50</v>
      </c>
      <c r="D18" s="83"/>
      <c r="E18" s="140" t="str">
        <f ca="1">_xll.DBRA(Server&amp;$AF$11,AF15,$AF$10)</f>
        <v>Indicateur</v>
      </c>
      <c r="F18" s="36" t="str">
        <f ca="1">_xll.SUBNM(Server&amp;"Indicator_Corp","","TPL11_dest","Français")</f>
        <v>COUT DES VENTES</v>
      </c>
      <c r="H18" s="84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/>
      <c r="Y18" s="20"/>
      <c r="Z18" s="20"/>
      <c r="AA18" s="20"/>
      <c r="AB18" s="20"/>
      <c r="AC18" s="20"/>
      <c r="AD18" s="20"/>
      <c r="AE18" s="20"/>
      <c r="AF18" s="43" t="s">
        <v>32</v>
      </c>
      <c r="AG18" s="6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X18" s="105"/>
    </row>
    <row r="19" spans="1:52" ht="26.25" customHeight="1" thickBot="1" x14ac:dyDescent="0.3">
      <c r="A19" s="83"/>
      <c r="B19" s="62" t="s">
        <v>43</v>
      </c>
      <c r="C19" s="20" t="s">
        <v>54</v>
      </c>
      <c r="D19" s="83"/>
      <c r="E19" s="140" t="str">
        <f ca="1">_xll.DBRA(Server&amp;$AF$11,AF16,$AF$10)</f>
        <v>Devise</v>
      </c>
      <c r="F19" s="36" t="str">
        <f ca="1">_xll.SUBNM(Server&amp;"Currency","Corp_FR","KEUR",$AF$10)</f>
        <v>K€</v>
      </c>
      <c r="H19" s="84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/>
      <c r="Y19" s="20"/>
      <c r="Z19" s="20"/>
      <c r="AA19" s="20"/>
      <c r="AB19" s="20"/>
      <c r="AC19" s="20"/>
      <c r="AD19" s="20"/>
      <c r="AE19" s="20"/>
      <c r="AF19" s="40" t="s">
        <v>33</v>
      </c>
      <c r="AG19" s="3"/>
      <c r="AH19" s="20"/>
      <c r="AI19" s="45"/>
      <c r="AJ19" s="20"/>
      <c r="AK19" s="20"/>
      <c r="AL19" s="20"/>
      <c r="AM19" s="20"/>
      <c r="AN19" s="20"/>
      <c r="AO19" s="20"/>
      <c r="AP19" s="20"/>
      <c r="AQ19" s="20"/>
      <c r="AR19" s="20"/>
      <c r="AX19" s="105"/>
    </row>
    <row r="20" spans="1:52" ht="18.75" hidden="1" x14ac:dyDescent="0.25">
      <c r="A20" s="83"/>
      <c r="B20" s="20"/>
      <c r="C20" s="20"/>
      <c r="D20" s="83"/>
      <c r="E20" s="140"/>
      <c r="F20" s="3"/>
      <c r="H20" s="84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/>
      <c r="Y20" s="20"/>
      <c r="Z20" s="20"/>
      <c r="AA20" s="20"/>
      <c r="AB20" s="20"/>
      <c r="AC20" s="20"/>
      <c r="AD20" s="20"/>
      <c r="AE20" s="20"/>
      <c r="AF20" s="3"/>
      <c r="AG20" s="3"/>
      <c r="AH20" s="20"/>
      <c r="AI20" s="45"/>
      <c r="AJ20" s="20"/>
      <c r="AK20" s="20"/>
      <c r="AL20" s="20"/>
      <c r="AM20" s="46"/>
      <c r="AN20" s="20"/>
      <c r="AO20" s="20"/>
      <c r="AP20" s="20"/>
      <c r="AQ20" s="20"/>
      <c r="AR20" s="20"/>
      <c r="AX20" s="105"/>
    </row>
    <row r="21" spans="1:52" ht="26.25" hidden="1" customHeight="1" x14ac:dyDescent="0.25">
      <c r="A21" s="83"/>
      <c r="B21" s="75"/>
      <c r="C21" s="20"/>
      <c r="D21" s="83"/>
      <c r="E21" s="3"/>
      <c r="F21" s="3"/>
      <c r="H21" s="84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6"/>
      <c r="Y21" s="20"/>
      <c r="Z21" s="20"/>
      <c r="AA21" s="20"/>
      <c r="AB21" s="20"/>
      <c r="AC21" s="20"/>
      <c r="AD21" s="20"/>
      <c r="AE21" s="20"/>
      <c r="AF21" s="3"/>
      <c r="AG21" s="3"/>
      <c r="AH21" s="20"/>
      <c r="AI21" s="45"/>
      <c r="AJ21" s="20"/>
      <c r="AK21" s="20"/>
      <c r="AL21" s="20"/>
      <c r="AM21" s="20" t="str">
        <f>RIGHT(AJ5)</f>
        <v/>
      </c>
      <c r="AN21" s="20"/>
      <c r="AO21" s="20"/>
      <c r="AP21" s="20"/>
      <c r="AQ21" s="20"/>
      <c r="AR21" s="20"/>
      <c r="AX21" s="105"/>
    </row>
    <row r="22" spans="1:52" ht="24" hidden="1" customHeight="1" thickBot="1" x14ac:dyDescent="0.25">
      <c r="A22" s="83"/>
      <c r="B22" s="76"/>
      <c r="C22" s="20"/>
      <c r="D22" s="83"/>
      <c r="E22" s="3"/>
      <c r="F22" s="3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20"/>
      <c r="Y22" s="20"/>
      <c r="Z22" s="20"/>
      <c r="AA22" s="20"/>
      <c r="AB22" s="20"/>
      <c r="AC22" s="20"/>
      <c r="AD22" s="20"/>
      <c r="AE22" s="20"/>
      <c r="AF22" s="3"/>
      <c r="AG22" s="3"/>
      <c r="AH22" s="20"/>
      <c r="AI22" s="45"/>
      <c r="AJ22" s="20"/>
      <c r="AK22" s="20"/>
      <c r="AL22" s="20"/>
      <c r="AM22" s="20"/>
      <c r="AN22" s="20"/>
      <c r="AO22" s="20"/>
      <c r="AP22" s="20"/>
      <c r="AQ22" s="20"/>
      <c r="AR22" s="20"/>
      <c r="AX22" s="105"/>
    </row>
    <row r="23" spans="1:52" ht="19.5" customHeight="1" x14ac:dyDescent="0.2">
      <c r="A23" s="83"/>
      <c r="B23" s="20"/>
      <c r="C23" s="3"/>
      <c r="D23" s="83"/>
      <c r="E23" s="23"/>
      <c r="F23" s="23"/>
      <c r="H23" s="7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20"/>
      <c r="Y23" s="20"/>
      <c r="Z23" s="20"/>
      <c r="AA23" s="20"/>
      <c r="AB23" s="20"/>
      <c r="AC23" s="20"/>
      <c r="AD23" s="20"/>
      <c r="AE23" s="20"/>
      <c r="AF23" s="38" t="s">
        <v>0</v>
      </c>
      <c r="AG23" s="60"/>
      <c r="AH23" s="20"/>
      <c r="AI23" s="45"/>
      <c r="AJ23" s="20"/>
      <c r="AK23" s="20"/>
      <c r="AL23" s="20"/>
      <c r="AM23" s="20"/>
      <c r="AN23" s="20"/>
      <c r="AO23" s="20"/>
      <c r="AP23" s="20"/>
      <c r="AQ23" s="20"/>
      <c r="AR23" s="20"/>
      <c r="AS23" s="8"/>
      <c r="AT23" s="8"/>
      <c r="AU23" s="8"/>
      <c r="AV23" s="8"/>
      <c r="AW23" s="8"/>
      <c r="AX23" s="109"/>
      <c r="AY23" s="8"/>
      <c r="AZ23" s="8"/>
    </row>
    <row r="24" spans="1:52" s="9" customFormat="1" ht="36.75" customHeight="1" thickBot="1" x14ac:dyDescent="0.25">
      <c r="A24" s="83"/>
      <c r="B24" s="20"/>
      <c r="C24" s="76"/>
      <c r="D24" s="87"/>
      <c r="E24" s="140" t="str">
        <f ca="1">_xll.DBRA(Server&amp;$AF$11,$AF$23,$AF$10)</f>
        <v>Phase</v>
      </c>
      <c r="F24" s="37" t="s">
        <v>86</v>
      </c>
      <c r="G24" s="3"/>
      <c r="H24" s="24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20"/>
      <c r="X24" s="20"/>
      <c r="Y24" s="20"/>
      <c r="Z24" s="20"/>
      <c r="AA24" s="20"/>
      <c r="AB24" s="20"/>
      <c r="AC24" s="20"/>
      <c r="AD24" s="20"/>
      <c r="AE24" s="20"/>
      <c r="AF24" s="20" t="s">
        <v>52</v>
      </c>
      <c r="AG24" s="47"/>
      <c r="AH24" s="20"/>
      <c r="AI24" s="48"/>
      <c r="AJ24" s="3"/>
      <c r="AK24" s="3"/>
      <c r="AL24" s="3"/>
      <c r="AM24" s="20"/>
      <c r="AN24" s="20"/>
      <c r="AO24" s="20"/>
      <c r="AP24" s="20"/>
      <c r="AQ24" s="20"/>
      <c r="AR24" s="20"/>
      <c r="AS24" s="3"/>
      <c r="AT24" s="3"/>
      <c r="AU24" s="3"/>
      <c r="AV24" s="3"/>
      <c r="AW24" s="3"/>
      <c r="AX24" s="105"/>
    </row>
    <row r="25" spans="1:52" s="9" customFormat="1" ht="17.25" customHeight="1" x14ac:dyDescent="0.25">
      <c r="A25" s="83"/>
      <c r="B25" s="20"/>
      <c r="C25" s="77"/>
      <c r="D25" s="87"/>
      <c r="E25" s="3"/>
      <c r="F25" s="3"/>
      <c r="G25" s="25"/>
      <c r="H25" s="26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20"/>
      <c r="X25" s="20"/>
      <c r="Y25" s="20"/>
      <c r="Z25" s="20"/>
      <c r="AA25" s="20"/>
      <c r="AB25" s="20"/>
      <c r="AC25" s="20"/>
      <c r="AD25" s="20"/>
      <c r="AE25" s="20"/>
      <c r="AF25" s="39" t="s">
        <v>37</v>
      </c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3"/>
      <c r="AT25" s="3"/>
      <c r="AU25" s="3"/>
      <c r="AV25" s="3"/>
      <c r="AW25" s="3"/>
      <c r="AX25" s="105"/>
    </row>
    <row r="26" spans="1:52" s="10" customFormat="1" ht="24.95" customHeight="1" x14ac:dyDescent="0.35">
      <c r="A26" s="83"/>
      <c r="B26" s="20"/>
      <c r="C26" s="78"/>
      <c r="D26" s="87"/>
      <c r="E26" s="3"/>
      <c r="F26" s="3"/>
      <c r="G26" s="25"/>
      <c r="H26" s="27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20"/>
      <c r="X26" s="20"/>
      <c r="Y26" s="20"/>
      <c r="Z26" s="20"/>
      <c r="AA26" s="20"/>
      <c r="AB26" s="20"/>
      <c r="AC26" s="20"/>
      <c r="AD26" s="20"/>
      <c r="AE26" s="20"/>
      <c r="AF26" s="39" t="s">
        <v>38</v>
      </c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X26" s="110"/>
    </row>
    <row r="27" spans="1:52" s="10" customFormat="1" ht="24.75" customHeight="1" x14ac:dyDescent="0.35">
      <c r="A27" s="83"/>
      <c r="B27" s="20"/>
      <c r="C27" s="78"/>
      <c r="D27" s="87"/>
      <c r="E27" s="3"/>
      <c r="F27" s="3"/>
      <c r="G27" s="25"/>
      <c r="H27" s="27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20"/>
      <c r="X27" s="20"/>
      <c r="Y27" s="20"/>
      <c r="Z27" s="20"/>
      <c r="AA27" s="20"/>
      <c r="AB27" s="20"/>
      <c r="AC27" s="20"/>
      <c r="AD27" s="20"/>
      <c r="AE27" s="20"/>
      <c r="AF27" s="39" t="s">
        <v>39</v>
      </c>
      <c r="AG27" s="20"/>
      <c r="AH27" s="20"/>
      <c r="AI27" s="20"/>
      <c r="AJ27" s="111" t="s">
        <v>64</v>
      </c>
      <c r="AK27" s="68" t="s">
        <v>65</v>
      </c>
      <c r="AL27" s="69" t="s">
        <v>66</v>
      </c>
      <c r="AM27" s="70" t="s">
        <v>67</v>
      </c>
      <c r="AN27" s="112" t="s">
        <v>61</v>
      </c>
      <c r="AQ27" s="20"/>
      <c r="AR27" s="20"/>
      <c r="AX27" s="110"/>
    </row>
    <row r="28" spans="1:52" s="10" customFormat="1" ht="24.95" customHeight="1" x14ac:dyDescent="0.35">
      <c r="A28" s="83"/>
      <c r="B28" s="20"/>
      <c r="C28" s="79"/>
      <c r="D28" s="87"/>
      <c r="E28" s="3"/>
      <c r="F28" s="3"/>
      <c r="G28" s="25"/>
      <c r="H28" s="27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20"/>
      <c r="X28" s="20"/>
      <c r="Y28" s="20"/>
      <c r="Z28" s="20"/>
      <c r="AA28" s="20"/>
      <c r="AB28" s="20"/>
      <c r="AC28" s="20"/>
      <c r="AD28" s="20"/>
      <c r="AE28" s="20"/>
      <c r="AF28" s="39" t="s">
        <v>63</v>
      </c>
      <c r="AG28" s="20"/>
      <c r="AH28" s="20"/>
      <c r="AI28" s="63"/>
      <c r="AJ28" s="71" t="str">
        <f ca="1">$I$3&amp; " " &amp; CHAR(10) &amp;TEXT(ROUND($AO$46,0),"# ##0")</f>
        <v>Réalisé N-1 
0</v>
      </c>
      <c r="AK28" s="128"/>
      <c r="AL28" s="128"/>
      <c r="AM28" s="128"/>
      <c r="AN28" s="126">
        <f ca="1">$AO$51*3</f>
        <v>19330.306230000002</v>
      </c>
      <c r="AO28" s="129" t="str">
        <f ca="1">"Valeurs par directions " &amp;I3</f>
        <v>Valeurs par directions Réalisé N-1</v>
      </c>
      <c r="AP28" s="129" t="str">
        <f ca="1">"Valeurs par directions " &amp;J3</f>
        <v>Valeurs par directions Réalisé</v>
      </c>
      <c r="AQ28" s="114"/>
      <c r="AR28" s="20"/>
      <c r="AX28" s="110"/>
    </row>
    <row r="29" spans="1:52" s="10" customFormat="1" ht="24.95" customHeight="1" x14ac:dyDescent="0.35">
      <c r="A29" s="83"/>
      <c r="B29" s="20"/>
      <c r="C29" s="79"/>
      <c r="D29" s="87"/>
      <c r="E29" s="3"/>
      <c r="F29" s="3"/>
      <c r="G29" s="25"/>
      <c r="H29" s="27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20"/>
      <c r="X29" s="20"/>
      <c r="Y29" s="20"/>
      <c r="Z29" s="20"/>
      <c r="AA29" s="20"/>
      <c r="AB29" s="20"/>
      <c r="AC29" s="20"/>
      <c r="AD29" s="20"/>
      <c r="AE29" s="20"/>
      <c r="AF29" s="108" t="s">
        <v>51</v>
      </c>
      <c r="AG29" s="20"/>
      <c r="AH29" s="67" t="str">
        <f ca="1">_xll.DBRA(Server&amp;"Management_Organization_Corp",$AI29,$F$15)</f>
        <v>DG et audit interne</v>
      </c>
      <c r="AI29" s="64" t="s">
        <v>78</v>
      </c>
      <c r="AJ29" s="138">
        <f ca="1">$AO29-$AP29</f>
        <v>0</v>
      </c>
      <c r="AK29" s="119">
        <f ca="1">IF($AJ29&gt;0,$AN$28,$AN$28-$AL$29)</f>
        <v>19330.306230000002</v>
      </c>
      <c r="AL29" s="119">
        <f ca="1">IF($AJ29&lt;0,ABS($AJ29),)</f>
        <v>0</v>
      </c>
      <c r="AM29" s="119">
        <f ca="1">IF(AJ29&gt;=0,ABS(AJ29),)</f>
        <v>0</v>
      </c>
      <c r="AN29" s="120"/>
      <c r="AO29" s="121">
        <f ca="1">_xll.DBRW(Server&amp;Cube1,$F$19,$F$13,$F$14,$C$19,$C$17,$F$16,$AI29,$C$18,$I$2,$I$1,$F$18)</f>
        <v>0</v>
      </c>
      <c r="AP29" s="121">
        <f ca="1">_xll.DBRW(Server&amp;Cube1,$F$19,$F$13,$F$14,$C$19,$C$17,$F$16,$AI29,$C$18,$J$2,$J$1,$F$18)</f>
        <v>0</v>
      </c>
      <c r="AQ29" s="122">
        <f ca="1">$AK29+$AJ29</f>
        <v>19330.306230000002</v>
      </c>
      <c r="AR29" s="20"/>
      <c r="AX29" s="110"/>
    </row>
    <row r="30" spans="1:52" s="10" customFormat="1" ht="22.5" customHeight="1" x14ac:dyDescent="0.35">
      <c r="A30" s="83"/>
      <c r="B30" s="20"/>
      <c r="C30" s="80"/>
      <c r="D30" s="88"/>
      <c r="E30" s="3"/>
      <c r="F30" s="3"/>
      <c r="G30" s="25"/>
      <c r="H30" s="56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9"/>
      <c r="X30" s="20"/>
      <c r="Y30" s="20"/>
      <c r="Z30" s="20"/>
      <c r="AA30" s="20"/>
      <c r="AB30" s="20"/>
      <c r="AC30" s="20"/>
      <c r="AD30" s="20"/>
      <c r="AE30" s="20"/>
      <c r="AF30" s="108" t="s">
        <v>69</v>
      </c>
      <c r="AG30" s="20"/>
      <c r="AH30" s="67" t="str">
        <f ca="1">_xll.DBRA(Server&amp;"Management_Organization_Corp",$AI30,$F$15)</f>
        <v>Direction Financière</v>
      </c>
      <c r="AI30" s="64" t="s">
        <v>57</v>
      </c>
      <c r="AJ30" s="138">
        <f t="shared" ref="AJ30:AJ45" ca="1" si="0">$AO30-$AP30</f>
        <v>0</v>
      </c>
      <c r="AK30" s="119">
        <f t="shared" ref="AK30:AK33" ca="1" si="1">IF(AJ29&gt;=0,IF(AJ30&gt;=0,AK29+AJ29,AQ29-AL30),IF(AJ30&gt;=0,AK29,AK29-AL30))</f>
        <v>19330.306230000002</v>
      </c>
      <c r="AL30" s="119">
        <f t="shared" ref="AL30:AL45" ca="1" si="2">IF($AJ30&lt;0,ABS($AJ30),)</f>
        <v>0</v>
      </c>
      <c r="AM30" s="119">
        <f t="shared" ref="AM30:AM33" ca="1" si="3">IF(AJ30&gt;=0,ABS(AJ30),)</f>
        <v>0</v>
      </c>
      <c r="AN30" s="120"/>
      <c r="AO30" s="121">
        <f ca="1">_xll.DBRW(Server&amp;Cube1,$F$19,$F$13,$F$14,$C$19,$C$17,$F$16,$AI30,$C$18,$I$2,$I$1,$F$18)</f>
        <v>0</v>
      </c>
      <c r="AP30" s="121">
        <f ca="1">_xll.DBRW(Server&amp;Cube1,$F$19,$F$13,$F$14,$C$19,$C$17,$F$16,$AI30,$C$18,$J$2,$J$1,$F$18)</f>
        <v>0</v>
      </c>
      <c r="AQ30" s="122">
        <f t="shared" ref="AQ30:AQ45" ca="1" si="4">$AK30+$AJ30</f>
        <v>19330.306230000002</v>
      </c>
      <c r="AR30" s="20"/>
      <c r="AX30" s="110"/>
    </row>
    <row r="31" spans="1:52" s="10" customFormat="1" ht="24.95" customHeight="1" x14ac:dyDescent="0.35">
      <c r="A31" s="83"/>
      <c r="B31" s="20"/>
      <c r="C31" s="78"/>
      <c r="D31" s="90"/>
      <c r="E31" s="3"/>
      <c r="F31" s="3"/>
      <c r="G31" s="25"/>
      <c r="H31" s="27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20"/>
      <c r="X31" s="20"/>
      <c r="Y31" s="20"/>
      <c r="Z31" s="20"/>
      <c r="AA31" s="20"/>
      <c r="AB31" s="20"/>
      <c r="AC31" s="20"/>
      <c r="AD31" s="20"/>
      <c r="AE31" s="20"/>
      <c r="AF31" s="108" t="s">
        <v>68</v>
      </c>
      <c r="AG31" s="20"/>
      <c r="AH31" s="67" t="str">
        <f ca="1">_xll.DBRA(Server&amp;"Management_Organization_Corp",$AI31,$F$15)</f>
        <v>Direction Système d'information</v>
      </c>
      <c r="AI31" s="64" t="s">
        <v>58</v>
      </c>
      <c r="AJ31" s="138">
        <f t="shared" ca="1" si="0"/>
        <v>0</v>
      </c>
      <c r="AK31" s="119">
        <f t="shared" ca="1" si="1"/>
        <v>19330.306230000002</v>
      </c>
      <c r="AL31" s="119">
        <f t="shared" ca="1" si="2"/>
        <v>0</v>
      </c>
      <c r="AM31" s="119">
        <f t="shared" ca="1" si="3"/>
        <v>0</v>
      </c>
      <c r="AN31" s="120"/>
      <c r="AO31" s="121">
        <f ca="1">_xll.DBRW(Server&amp;Cube1,$F$19,$F$13,$F$14,$C$19,$C$17,$F$16,$AI31,$C$18,$I$2,$I$1,$F$18)</f>
        <v>0</v>
      </c>
      <c r="AP31" s="121">
        <f ca="1">_xll.DBRW(Server&amp;Cube1,$F$19,$F$13,$F$14,$C$19,$C$17,$F$16,$AI31,$C$18,$J$2,$J$1,$F$18)</f>
        <v>0</v>
      </c>
      <c r="AQ31" s="122">
        <f t="shared" ca="1" si="4"/>
        <v>19330.306230000002</v>
      </c>
      <c r="AR31" s="20"/>
      <c r="AX31" s="110"/>
    </row>
    <row r="32" spans="1:52" s="10" customFormat="1" ht="24.95" customHeight="1" x14ac:dyDescent="0.35">
      <c r="A32" s="83"/>
      <c r="B32" s="20"/>
      <c r="C32" s="78"/>
      <c r="D32" s="90"/>
      <c r="E32" s="3"/>
      <c r="F32" s="3"/>
      <c r="G32" s="25"/>
      <c r="H32" s="27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20"/>
      <c r="X32" s="20"/>
      <c r="Y32" s="20"/>
      <c r="Z32" s="20"/>
      <c r="AA32" s="20"/>
      <c r="AB32" s="20"/>
      <c r="AC32" s="20"/>
      <c r="AD32" s="20"/>
      <c r="AE32" s="20"/>
      <c r="AF32" s="108" t="s">
        <v>71</v>
      </c>
      <c r="AG32" s="20"/>
      <c r="AH32" s="67" t="str">
        <f ca="1">_xll.DBRA(Server&amp;"Management_Organization_Corp",$AI32,$F$15)</f>
        <v>Secretariat G, Risque, Lobbying, Service G</v>
      </c>
      <c r="AI32" s="64" t="s">
        <v>79</v>
      </c>
      <c r="AJ32" s="138">
        <f t="shared" ca="1" si="0"/>
        <v>0</v>
      </c>
      <c r="AK32" s="119">
        <f t="shared" ca="1" si="1"/>
        <v>19330.306230000002</v>
      </c>
      <c r="AL32" s="119">
        <f t="shared" ca="1" si="2"/>
        <v>0</v>
      </c>
      <c r="AM32" s="119">
        <f t="shared" ca="1" si="3"/>
        <v>0</v>
      </c>
      <c r="AN32" s="120"/>
      <c r="AO32" s="121">
        <f ca="1">_xll.DBRW(Server&amp;Cube1,$F$19,$F$13,$F$14,$C$19,$C$17,$F$16,$AI32,$C$18,$I$2,$I$1,$F$18)</f>
        <v>0</v>
      </c>
      <c r="AP32" s="121">
        <f ca="1">_xll.DBRW(Server&amp;Cube1,$F$19,$F$13,$F$14,$C$19,$C$17,$F$16,$AI32,$C$18,$J$2,$J$1,$F$18)</f>
        <v>0</v>
      </c>
      <c r="AQ32" s="122">
        <f t="shared" ca="1" si="4"/>
        <v>19330.306230000002</v>
      </c>
      <c r="AR32" s="20"/>
      <c r="AX32" s="110"/>
    </row>
    <row r="33" spans="1:50" s="10" customFormat="1" ht="24.95" customHeight="1" x14ac:dyDescent="0.35">
      <c r="A33" s="83"/>
      <c r="B33" s="20"/>
      <c r="C33" s="78"/>
      <c r="D33" s="90"/>
      <c r="E33" s="3"/>
      <c r="F33" s="3"/>
      <c r="G33" s="25"/>
      <c r="H33" s="27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20"/>
      <c r="X33" s="20"/>
      <c r="Y33" s="20"/>
      <c r="Z33" s="20"/>
      <c r="AA33" s="20"/>
      <c r="AB33" s="20"/>
      <c r="AC33" s="20"/>
      <c r="AD33" s="20"/>
      <c r="AE33" s="20"/>
      <c r="AG33" s="20"/>
      <c r="AH33" s="67" t="str">
        <f ca="1">_xll.DBRA(Server&amp;"Management_Organization_Corp",$AI33,$F$15)</f>
        <v>SG - Communication</v>
      </c>
      <c r="AI33" s="64" t="str">
        <f>"4310"</f>
        <v>4310</v>
      </c>
      <c r="AJ33" s="138">
        <f t="shared" ca="1" si="0"/>
        <v>0</v>
      </c>
      <c r="AK33" s="119">
        <f t="shared" ca="1" si="1"/>
        <v>19330.306230000002</v>
      </c>
      <c r="AL33" s="119">
        <f t="shared" ca="1" si="2"/>
        <v>0</v>
      </c>
      <c r="AM33" s="119">
        <f t="shared" ca="1" si="3"/>
        <v>0</v>
      </c>
      <c r="AN33" s="120"/>
      <c r="AO33" s="121">
        <f ca="1">_xll.DBRW(Server&amp;Cube1,$F$19,$F$13,$F$14,$C$19,$C$17,$F$16,$AI33,$C$18,$I$2,$I$1,$F$18)</f>
        <v>0</v>
      </c>
      <c r="AP33" s="121">
        <f ca="1">_xll.DBRW(Server&amp;Cube1,$F$19,$F$13,$F$14,$C$19,$C$17,$F$16,$AI33,$C$18,$J$2,$J$1,$F$18)</f>
        <v>0</v>
      </c>
      <c r="AQ33" s="122">
        <f t="shared" ca="1" si="4"/>
        <v>19330.306230000002</v>
      </c>
      <c r="AR33" s="20"/>
      <c r="AX33" s="110"/>
    </row>
    <row r="34" spans="1:50" s="10" customFormat="1" ht="24.95" customHeight="1" x14ac:dyDescent="0.35">
      <c r="A34" s="83"/>
      <c r="B34" s="20"/>
      <c r="C34" s="79"/>
      <c r="D34" s="90"/>
      <c r="E34" s="3"/>
      <c r="F34" s="3"/>
      <c r="G34" s="25"/>
      <c r="H34" s="27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20"/>
      <c r="X34" s="20"/>
      <c r="Y34" s="20"/>
      <c r="Z34" s="20"/>
      <c r="AA34" s="20"/>
      <c r="AB34" s="20"/>
      <c r="AC34" s="20"/>
      <c r="AD34" s="20"/>
      <c r="AE34" s="20"/>
      <c r="AG34" s="20"/>
      <c r="AH34" s="67" t="str">
        <f ca="1">_xll.DBRA(Server&amp;"Management_Organization_Corp",$AI34,$F$15)</f>
        <v>SG - Assurances</v>
      </c>
      <c r="AI34" s="64" t="str">
        <f>"4320"</f>
        <v>4320</v>
      </c>
      <c r="AJ34" s="138">
        <f t="shared" ca="1" si="0"/>
        <v>0</v>
      </c>
      <c r="AK34" s="119">
        <f t="shared" ref="AK34:AK45" ca="1" si="5">IF(AJ33&gt;=0,IF(AJ34&gt;=0,AK33+AJ33,AQ33-AL34),IF(AJ34&gt;=0,AK33,AK33-AL34))</f>
        <v>19330.306230000002</v>
      </c>
      <c r="AL34" s="119">
        <f t="shared" ca="1" si="2"/>
        <v>0</v>
      </c>
      <c r="AM34" s="119">
        <f t="shared" ref="AM34:AM45" ca="1" si="6">IF(AJ34&gt;=0,ABS(AJ34),)</f>
        <v>0</v>
      </c>
      <c r="AN34" s="120"/>
      <c r="AO34" s="121">
        <f ca="1">_xll.DBRW(Server&amp;Cube1,$F$19,$F$13,$F$14,$C$19,$C$17,$F$16,$AI34,$C$18,$I$2,$I$1,$F$18)</f>
        <v>0</v>
      </c>
      <c r="AP34" s="121">
        <f ca="1">_xll.DBRW(Server&amp;Cube1,$F$19,$F$13,$F$14,$C$19,$C$17,$F$16,$AI34,$C$18,$J$2,$J$1,$F$18)</f>
        <v>0</v>
      </c>
      <c r="AQ34" s="122">
        <f t="shared" ca="1" si="4"/>
        <v>19330.306230000002</v>
      </c>
      <c r="AR34" s="20"/>
      <c r="AX34" s="110"/>
    </row>
    <row r="35" spans="1:50" s="10" customFormat="1" ht="24.95" customHeight="1" x14ac:dyDescent="0.35">
      <c r="A35" s="83"/>
      <c r="B35" s="20"/>
      <c r="C35" s="79"/>
      <c r="D35" s="90"/>
      <c r="E35" s="3"/>
      <c r="F35" s="3"/>
      <c r="G35" s="25"/>
      <c r="H35" s="27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20"/>
      <c r="X35" s="20"/>
      <c r="Y35" s="20"/>
      <c r="Z35" s="20"/>
      <c r="AA35" s="20"/>
      <c r="AB35" s="20"/>
      <c r="AC35" s="20"/>
      <c r="AD35" s="20"/>
      <c r="AE35" s="20"/>
      <c r="AG35" s="20"/>
      <c r="AH35" s="67" t="str">
        <f ca="1">_xll.DBRA(Server&amp;"Management_Organization_Corp",$AI35,$F$15)</f>
        <v>SG - Achats</v>
      </c>
      <c r="AI35" s="64" t="str">
        <f>"4330"</f>
        <v>4330</v>
      </c>
      <c r="AJ35" s="138">
        <f t="shared" ca="1" si="0"/>
        <v>0</v>
      </c>
      <c r="AK35" s="119">
        <f t="shared" ca="1" si="5"/>
        <v>19330.306230000002</v>
      </c>
      <c r="AL35" s="119">
        <f t="shared" ca="1" si="2"/>
        <v>0</v>
      </c>
      <c r="AM35" s="119">
        <f t="shared" ca="1" si="6"/>
        <v>0</v>
      </c>
      <c r="AN35" s="120"/>
      <c r="AO35" s="121">
        <f ca="1">_xll.DBRW(Server&amp;Cube1,$F$19,$F$13,$F$14,$C$19,$C$17,$F$16,$AI35,$C$18,$I$2,$I$1,$F$18)</f>
        <v>0</v>
      </c>
      <c r="AP35" s="121">
        <f ca="1">_xll.DBRW(Server&amp;Cube1,$F$19,$F$13,$F$14,$C$19,$C$17,$F$16,$AI35,$C$18,$J$2,$J$1,$F$18)</f>
        <v>0</v>
      </c>
      <c r="AQ35" s="122">
        <f t="shared" ca="1" si="4"/>
        <v>19330.306230000002</v>
      </c>
      <c r="AR35" s="20"/>
      <c r="AX35" s="110"/>
    </row>
    <row r="36" spans="1:50" s="10" customFormat="1" ht="24.95" customHeight="1" x14ac:dyDescent="0.35">
      <c r="A36" s="83"/>
      <c r="B36" s="20"/>
      <c r="C36" s="79"/>
      <c r="D36" s="90"/>
      <c r="E36" s="3"/>
      <c r="F36" s="3"/>
      <c r="G36" s="25"/>
      <c r="H36" s="27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20"/>
      <c r="X36" s="20"/>
      <c r="Y36" s="20"/>
      <c r="Z36" s="20"/>
      <c r="AA36" s="20"/>
      <c r="AB36" s="20"/>
      <c r="AC36" s="20"/>
      <c r="AD36" s="20"/>
      <c r="AE36" s="20"/>
      <c r="AG36" s="20"/>
      <c r="AH36" s="67" t="str">
        <f ca="1">_xll.DBRA(Server&amp;"Management_Organization_Corp",$AI36,$F$15)</f>
        <v>Direction Ressources Humaines</v>
      </c>
      <c r="AI36" s="64" t="s">
        <v>72</v>
      </c>
      <c r="AJ36" s="138">
        <f t="shared" ca="1" si="0"/>
        <v>0</v>
      </c>
      <c r="AK36" s="119">
        <f t="shared" ca="1" si="5"/>
        <v>19330.306230000002</v>
      </c>
      <c r="AL36" s="119">
        <f t="shared" ca="1" si="2"/>
        <v>0</v>
      </c>
      <c r="AM36" s="119">
        <f t="shared" ca="1" si="6"/>
        <v>0</v>
      </c>
      <c r="AN36" s="120"/>
      <c r="AO36" s="121">
        <f ca="1">_xll.DBRW(Server&amp;Cube1,$F$19,$F$13,$F$14,$C$19,$C$17,$F$16,$AI36,$C$18,$I$2,$I$1,$F$18)</f>
        <v>0</v>
      </c>
      <c r="AP36" s="121">
        <f ca="1">_xll.DBRW(Server&amp;Cube1,$F$19,$F$13,$F$14,$C$19,$C$17,$F$16,$AI36,$C$18,$J$2,$J$1,$F$18)</f>
        <v>0</v>
      </c>
      <c r="AQ36" s="122">
        <f t="shared" ca="1" si="4"/>
        <v>19330.306230000002</v>
      </c>
      <c r="AR36" s="20"/>
      <c r="AX36" s="110"/>
    </row>
    <row r="37" spans="1:50" s="10" customFormat="1" ht="24.95" customHeight="1" x14ac:dyDescent="0.35">
      <c r="A37" s="83"/>
      <c r="B37" s="20"/>
      <c r="C37" s="79"/>
      <c r="D37" s="90"/>
      <c r="E37" s="3"/>
      <c r="F37" s="3"/>
      <c r="G37" s="25"/>
      <c r="H37" s="27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20"/>
      <c r="X37" s="20"/>
      <c r="Y37" s="20"/>
      <c r="Z37" s="20"/>
      <c r="AA37" s="20"/>
      <c r="AB37" s="20"/>
      <c r="AC37" s="20"/>
      <c r="AD37" s="20"/>
      <c r="AE37" s="20"/>
      <c r="AG37" s="20"/>
      <c r="AH37" s="67" t="str">
        <f ca="1">_xll.DBRA(Server&amp;"Management_Organization_Corp",$AI37,$F$15)</f>
        <v>Direction Juridique</v>
      </c>
      <c r="AI37" s="64" t="s">
        <v>59</v>
      </c>
      <c r="AJ37" s="138">
        <f t="shared" ca="1" si="0"/>
        <v>0</v>
      </c>
      <c r="AK37" s="119">
        <f t="shared" ca="1" si="5"/>
        <v>19330.306230000002</v>
      </c>
      <c r="AL37" s="119">
        <f t="shared" ca="1" si="2"/>
        <v>0</v>
      </c>
      <c r="AM37" s="119">
        <f t="shared" ca="1" si="6"/>
        <v>0</v>
      </c>
      <c r="AN37" s="120"/>
      <c r="AO37" s="121">
        <f ca="1">_xll.DBRW(Server&amp;Cube1,$F$19,$F$13,$F$14,$C$19,$C$17,$F$16,$AI37,$C$18,$I$2,$I$1,$F$18)</f>
        <v>0</v>
      </c>
      <c r="AP37" s="121">
        <f ca="1">_xll.DBRW(Server&amp;Cube1,$F$19,$F$13,$F$14,$C$19,$C$17,$F$16,$AI37,$C$18,$J$2,$J$1,$F$18)</f>
        <v>0</v>
      </c>
      <c r="AQ37" s="122">
        <f t="shared" ca="1" si="4"/>
        <v>19330.306230000002</v>
      </c>
      <c r="AR37" s="20"/>
      <c r="AX37" s="110"/>
    </row>
    <row r="38" spans="1:50" s="10" customFormat="1" ht="24.95" customHeight="1" x14ac:dyDescent="0.35">
      <c r="A38" s="83"/>
      <c r="B38" s="20"/>
      <c r="C38" s="79"/>
      <c r="D38" s="90"/>
      <c r="E38" s="3"/>
      <c r="F38" s="3"/>
      <c r="G38" s="25"/>
      <c r="H38" s="27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20"/>
      <c r="X38" s="20"/>
      <c r="Y38" s="20"/>
      <c r="Z38" s="20"/>
      <c r="AA38" s="20"/>
      <c r="AB38" s="20"/>
      <c r="AC38" s="20"/>
      <c r="AD38" s="20"/>
      <c r="AE38" s="20"/>
      <c r="AG38" s="20"/>
      <c r="AH38" s="67" t="str">
        <f ca="1">_xll.DBRA(Server&amp;"Management_Organization_Corp",$AI38,$F$15)</f>
        <v>Direction Performance et Commerciale (hors market.et DQT)</v>
      </c>
      <c r="AI38" s="64" t="s">
        <v>80</v>
      </c>
      <c r="AJ38" s="138">
        <f t="shared" ca="1" si="0"/>
        <v>0</v>
      </c>
      <c r="AK38" s="119">
        <f t="shared" ca="1" si="5"/>
        <v>19330.306230000002</v>
      </c>
      <c r="AL38" s="119">
        <f t="shared" ca="1" si="2"/>
        <v>0</v>
      </c>
      <c r="AM38" s="119">
        <f t="shared" ca="1" si="6"/>
        <v>0</v>
      </c>
      <c r="AN38" s="120"/>
      <c r="AO38" s="121">
        <f ca="1">_xll.DBRW(Server&amp;Cube1,$F$19,$F$13,$F$14,$C$19,$C$17,$F$16,$AI38,$C$18,$I$2,$I$1,$F$18)</f>
        <v>0</v>
      </c>
      <c r="AP38" s="121">
        <f ca="1">_xll.DBRW(Server&amp;Cube1,$F$19,$F$13,$F$14,$C$19,$C$17,$F$16,$AI38,$C$18,$J$2,$J$1,$F$18)</f>
        <v>0</v>
      </c>
      <c r="AQ38" s="122">
        <f t="shared" ca="1" si="4"/>
        <v>19330.306230000002</v>
      </c>
      <c r="AR38" s="20"/>
      <c r="AX38" s="110"/>
    </row>
    <row r="39" spans="1:50" s="10" customFormat="1" ht="24.95" customHeight="1" x14ac:dyDescent="0.35">
      <c r="A39" s="83"/>
      <c r="B39" s="20"/>
      <c r="C39" s="79"/>
      <c r="D39" s="90"/>
      <c r="E39" s="3"/>
      <c r="F39" s="3"/>
      <c r="G39" s="25"/>
      <c r="H39" s="27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20"/>
      <c r="X39" s="20"/>
      <c r="Y39" s="20"/>
      <c r="Z39" s="20"/>
      <c r="AA39" s="20"/>
      <c r="AB39" s="20"/>
      <c r="AC39" s="20"/>
      <c r="AD39" s="20"/>
      <c r="AE39" s="20"/>
      <c r="AG39" s="20"/>
      <c r="AH39" s="67" t="str">
        <f ca="1">_xll.DBRA(Server&amp;"Management_Organization_Corp",$AI39,$F$15)</f>
        <v>Direction Qualité et Technique</v>
      </c>
      <c r="AI39" s="64" t="s">
        <v>81</v>
      </c>
      <c r="AJ39" s="138">
        <f t="shared" ca="1" si="0"/>
        <v>0</v>
      </c>
      <c r="AK39" s="119">
        <f t="shared" ca="1" si="5"/>
        <v>19330.306230000002</v>
      </c>
      <c r="AL39" s="119">
        <f t="shared" ca="1" si="2"/>
        <v>0</v>
      </c>
      <c r="AM39" s="119">
        <f t="shared" ca="1" si="6"/>
        <v>0</v>
      </c>
      <c r="AN39" s="120"/>
      <c r="AO39" s="121">
        <f ca="1">_xll.DBRW(Server&amp;Cube1,$F$19,$F$13,$F$14,$C$19,$C$17,$F$16,$AI39,$C$18,$I$2,$I$1,$F$18)</f>
        <v>0</v>
      </c>
      <c r="AP39" s="121">
        <f ca="1">_xll.DBRW(Server&amp;Cube1,$F$19,$F$13,$F$14,$C$19,$C$17,$F$16,$AI39,$C$18,$J$2,$J$1,$F$18)</f>
        <v>0</v>
      </c>
      <c r="AQ39" s="122">
        <f t="shared" ca="1" si="4"/>
        <v>19330.306230000002</v>
      </c>
      <c r="AR39" s="20"/>
      <c r="AX39" s="110"/>
    </row>
    <row r="40" spans="1:50" s="10" customFormat="1" ht="24.95" customHeight="1" x14ac:dyDescent="0.35">
      <c r="A40" s="83"/>
      <c r="B40" s="20"/>
      <c r="C40" s="79"/>
      <c r="D40" s="90"/>
      <c r="E40" s="3"/>
      <c r="F40" s="3"/>
      <c r="G40" s="25"/>
      <c r="H40" s="27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20"/>
      <c r="X40" s="20"/>
      <c r="Y40" s="20"/>
      <c r="Z40" s="20"/>
      <c r="AA40" s="20"/>
      <c r="AB40" s="20"/>
      <c r="AC40" s="20"/>
      <c r="AD40" s="20"/>
      <c r="AE40" s="20"/>
      <c r="AG40" s="20"/>
      <c r="AH40" s="67" t="str">
        <f ca="1">_xll.DBRA(Server&amp;"Management_Organization_Corp",$AI40,$F$15)</f>
        <v>Direction Marketing</v>
      </c>
      <c r="AI40" s="64" t="s">
        <v>82</v>
      </c>
      <c r="AJ40" s="138">
        <f t="shared" ca="1" si="0"/>
        <v>0</v>
      </c>
      <c r="AK40" s="119">
        <f t="shared" ca="1" si="5"/>
        <v>19330.306230000002</v>
      </c>
      <c r="AL40" s="119">
        <f t="shared" ca="1" si="2"/>
        <v>0</v>
      </c>
      <c r="AM40" s="119">
        <f t="shared" ca="1" si="6"/>
        <v>0</v>
      </c>
      <c r="AN40" s="120"/>
      <c r="AO40" s="121">
        <f ca="1">_xll.DBRW(Server&amp;Cube1,$F$19,$F$13,$F$14,$C$19,$C$17,$F$16,$AI40,$C$18,$I$2,$I$1,$F$18)</f>
        <v>0</v>
      </c>
      <c r="AP40" s="121">
        <f ca="1">_xll.DBRW(Server&amp;Cube1,$F$19,$F$13,$F$14,$C$19,$C$17,$F$16,$AI40,$C$18,$J$2,$J$1,$F$18)</f>
        <v>0</v>
      </c>
      <c r="AQ40" s="122">
        <f t="shared" ca="1" si="4"/>
        <v>19330.306230000002</v>
      </c>
      <c r="AR40" s="20"/>
      <c r="AX40" s="110"/>
    </row>
    <row r="41" spans="1:50" s="10" customFormat="1" ht="24.95" customHeight="1" x14ac:dyDescent="0.35">
      <c r="A41" s="83"/>
      <c r="B41" s="20"/>
      <c r="C41" s="79"/>
      <c r="D41" s="90"/>
      <c r="E41" s="3"/>
      <c r="F41" s="3"/>
      <c r="G41" s="25"/>
      <c r="H41" s="27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20"/>
      <c r="X41" s="20"/>
      <c r="Y41" s="20"/>
      <c r="Z41" s="20"/>
      <c r="AA41" s="20"/>
      <c r="AB41" s="20"/>
      <c r="AC41" s="20"/>
      <c r="AD41" s="20"/>
      <c r="AE41" s="20"/>
      <c r="AG41" s="20"/>
      <c r="AH41" s="67" t="str">
        <f ca="1">_xll.DBRA(Server&amp;"Management_Organization_Corp",$AI41,$F$15)</f>
        <v>Direction Innovation et Stratégie</v>
      </c>
      <c r="AI41" s="64" t="s">
        <v>73</v>
      </c>
      <c r="AJ41" s="138">
        <f t="shared" ca="1" si="0"/>
        <v>0</v>
      </c>
      <c r="AK41" s="119">
        <f t="shared" ca="1" si="5"/>
        <v>19330.306230000002</v>
      </c>
      <c r="AL41" s="119">
        <f t="shared" ca="1" si="2"/>
        <v>0</v>
      </c>
      <c r="AM41" s="119">
        <f t="shared" ca="1" si="6"/>
        <v>0</v>
      </c>
      <c r="AN41" s="120"/>
      <c r="AO41" s="121">
        <f ca="1">_xll.DBRW(Server&amp;Cube1,$F$19,$F$13,$F$14,$C$19,$C$17,$F$16,$AI41,$C$18,$I$2,$I$1,$F$18)</f>
        <v>0</v>
      </c>
      <c r="AP41" s="121">
        <f ca="1">_xll.DBRW(Server&amp;Cube1,$F$19,$F$13,$F$14,$C$19,$C$17,$F$16,$AI41,$C$18,$J$2,$J$1,$F$18)</f>
        <v>0</v>
      </c>
      <c r="AQ41" s="122">
        <f t="shared" ca="1" si="4"/>
        <v>19330.306230000002</v>
      </c>
      <c r="AR41" s="20"/>
      <c r="AX41" s="110"/>
    </row>
    <row r="42" spans="1:50" s="10" customFormat="1" ht="24.95" customHeight="1" x14ac:dyDescent="0.35">
      <c r="A42" s="83"/>
      <c r="B42" s="20"/>
      <c r="C42" s="79"/>
      <c r="D42" s="90"/>
      <c r="E42" s="3"/>
      <c r="F42" s="3"/>
      <c r="G42" s="25"/>
      <c r="H42" s="27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20"/>
      <c r="X42" s="20"/>
      <c r="Y42" s="20"/>
      <c r="Z42" s="20"/>
      <c r="AA42" s="20"/>
      <c r="AB42" s="20"/>
      <c r="AC42" s="20"/>
      <c r="AD42" s="20"/>
      <c r="AE42" s="20"/>
      <c r="AG42" s="20"/>
      <c r="AH42" s="67" t="str">
        <f ca="1">_xll.DBRA(Server&amp;"Management_Organization_Corp",$AI42,$F$15)</f>
        <v>Projets Innovation corporate et TAD</v>
      </c>
      <c r="AI42" s="64" t="s">
        <v>83</v>
      </c>
      <c r="AJ42" s="138">
        <f t="shared" ca="1" si="0"/>
        <v>0</v>
      </c>
      <c r="AK42" s="119">
        <f t="shared" ca="1" si="5"/>
        <v>19330.306230000002</v>
      </c>
      <c r="AL42" s="119">
        <f t="shared" ca="1" si="2"/>
        <v>0</v>
      </c>
      <c r="AM42" s="119">
        <f t="shared" ca="1" si="6"/>
        <v>0</v>
      </c>
      <c r="AN42" s="120"/>
      <c r="AO42" s="121">
        <f ca="1">_xll.DBRW(Server&amp;Cube1,$F$19,$F$13,$F$14,$C$19,$C$17,$F$16,$AI42,$C$18,$I$2,$I$1,$F$18)</f>
        <v>0</v>
      </c>
      <c r="AP42" s="121">
        <f ca="1">_xll.DBRW(Server&amp;Cube1,$F$19,$F$13,$F$14,$C$19,$C$17,$F$16,$AI42,$C$18,$J$2,$J$1,$F$18)</f>
        <v>0</v>
      </c>
      <c r="AQ42" s="122">
        <f t="shared" ca="1" si="4"/>
        <v>19330.306230000002</v>
      </c>
      <c r="AR42" s="20"/>
      <c r="AX42" s="110"/>
    </row>
    <row r="43" spans="1:50" s="10" customFormat="1" ht="24.95" customHeight="1" x14ac:dyDescent="0.35">
      <c r="A43" s="83"/>
      <c r="B43" s="20"/>
      <c r="C43" s="79"/>
      <c r="D43" s="90"/>
      <c r="E43" s="3"/>
      <c r="F43" s="3"/>
      <c r="G43" s="25"/>
      <c r="H43" s="27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20"/>
      <c r="X43" s="20"/>
      <c r="Y43" s="20"/>
      <c r="Z43" s="20"/>
      <c r="AA43" s="20"/>
      <c r="AB43" s="20"/>
      <c r="AC43" s="20"/>
      <c r="AD43" s="20"/>
      <c r="AE43" s="20"/>
      <c r="AG43" s="20"/>
      <c r="AH43" s="67" t="str">
        <f ca="1">_xll.DBRA(Server&amp;"Management_Organization_Corp",$AI43,$F$15)</f>
        <v>Direction Déléguée Asie Pacifique et Sud</v>
      </c>
      <c r="AI43" s="64" t="s">
        <v>84</v>
      </c>
      <c r="AJ43" s="138">
        <f t="shared" ca="1" si="0"/>
        <v>0</v>
      </c>
      <c r="AK43" s="119">
        <f t="shared" ca="1" si="5"/>
        <v>19330.306230000002</v>
      </c>
      <c r="AL43" s="119">
        <f t="shared" ca="1" si="2"/>
        <v>0</v>
      </c>
      <c r="AM43" s="119">
        <f t="shared" ca="1" si="6"/>
        <v>0</v>
      </c>
      <c r="AN43" s="120"/>
      <c r="AO43" s="121">
        <f ca="1">_xll.DBRW(Server&amp;Cube1,$F$19,$F$13,$F$14,$C$19,$C$17,$F$16,$AI43,$C$18,$I$2,$I$1,$F$18)</f>
        <v>0</v>
      </c>
      <c r="AP43" s="121">
        <f ca="1">_xll.DBRW(Server&amp;Cube1,$F$19,$F$13,$F$14,$C$19,$C$17,$F$16,$AI43,$C$18,$J$2,$J$1,$F$18)</f>
        <v>0</v>
      </c>
      <c r="AQ43" s="122">
        <f t="shared" ca="1" si="4"/>
        <v>19330.306230000002</v>
      </c>
      <c r="AR43" s="20"/>
      <c r="AX43" s="110"/>
    </row>
    <row r="44" spans="1:50" s="10" customFormat="1" ht="24.95" customHeight="1" x14ac:dyDescent="0.35">
      <c r="A44" s="83"/>
      <c r="B44" s="20"/>
      <c r="C44" s="79"/>
      <c r="D44" s="90"/>
      <c r="E44" s="3"/>
      <c r="F44" s="3"/>
      <c r="G44" s="25"/>
      <c r="H44" s="27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20"/>
      <c r="X44" s="20"/>
      <c r="Y44" s="20"/>
      <c r="Z44" s="20"/>
      <c r="AA44" s="20"/>
      <c r="AB44" s="20"/>
      <c r="AC44" s="20"/>
      <c r="AD44" s="20"/>
      <c r="AE44" s="20"/>
      <c r="AG44" s="20"/>
      <c r="AH44" s="67" t="str">
        <f ca="1">_xll.DBRA(Server&amp;"Management_Organization_Corp",$AI44,$F$15)</f>
        <v>Direction Déléguée Rail - Grand Paris</v>
      </c>
      <c r="AI44" s="64" t="s">
        <v>74</v>
      </c>
      <c r="AJ44" s="138">
        <f t="shared" ca="1" si="0"/>
        <v>0</v>
      </c>
      <c r="AK44" s="119">
        <f t="shared" ca="1" si="5"/>
        <v>19330.306230000002</v>
      </c>
      <c r="AL44" s="119">
        <f t="shared" ca="1" si="2"/>
        <v>0</v>
      </c>
      <c r="AM44" s="119">
        <f t="shared" ca="1" si="6"/>
        <v>0</v>
      </c>
      <c r="AN44" s="120"/>
      <c r="AO44" s="121">
        <f ca="1">_xll.DBRW(Server&amp;Cube1,$F$19,$F$13,$F$14,$C$19,$C$17,$F$16,$AI44,$C$18,$I$2,$I$1,$F$18)</f>
        <v>0</v>
      </c>
      <c r="AP44" s="121">
        <f ca="1">_xll.DBRW(Server&amp;Cube1,$F$19,$F$13,$F$14,$C$19,$C$17,$F$16,$AI44,$C$18,$J$2,$J$1,$F$18)</f>
        <v>0</v>
      </c>
      <c r="AQ44" s="122">
        <f t="shared" ca="1" si="4"/>
        <v>19330.306230000002</v>
      </c>
      <c r="AR44" s="20"/>
      <c r="AX44" s="110"/>
    </row>
    <row r="45" spans="1:50" s="10" customFormat="1" ht="24.95" customHeight="1" thickBot="1" x14ac:dyDescent="0.4">
      <c r="A45" s="83"/>
      <c r="B45" s="20"/>
      <c r="C45" s="79"/>
      <c r="D45" s="90"/>
      <c r="E45" s="3"/>
      <c r="F45" s="3"/>
      <c r="G45" s="25"/>
      <c r="H45" s="27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20"/>
      <c r="X45" s="20"/>
      <c r="Y45" s="20"/>
      <c r="Z45" s="20"/>
      <c r="AA45" s="20"/>
      <c r="AB45" s="20"/>
      <c r="AC45" s="20"/>
      <c r="AD45" s="20"/>
      <c r="AE45" s="20"/>
      <c r="AG45" s="20"/>
      <c r="AH45" s="67" t="str">
        <f ca="1">_xll.DBRA(Server&amp;"Management_Organization_Corp",$AI45,$F$15)</f>
        <v>Holding</v>
      </c>
      <c r="AI45" s="64" t="s">
        <v>85</v>
      </c>
      <c r="AJ45" s="138">
        <f t="shared" ca="1" si="0"/>
        <v>6443.435410000001</v>
      </c>
      <c r="AK45" s="119">
        <f t="shared" ca="1" si="5"/>
        <v>19330.306230000002</v>
      </c>
      <c r="AL45" s="119">
        <f t="shared" ca="1" si="2"/>
        <v>0</v>
      </c>
      <c r="AM45" s="119">
        <f t="shared" ca="1" si="6"/>
        <v>6443.435410000001</v>
      </c>
      <c r="AN45" s="120"/>
      <c r="AO45" s="121">
        <f ca="1">_xll.DBRW(Server&amp;Cube1,$F$19,$F$13,$F$14,$C$19,$C$17,$F$16,$AI45,$C$18,$I$2,$I$1,$F$18)</f>
        <v>0</v>
      </c>
      <c r="AP45" s="121">
        <f ca="1">_xll.DBRW(Server&amp;Cube1,$F$19,$F$13,$F$14,$C$19,$C$17,$F$16,$AI45,$C$18,$J$2,$J$1,$F$18)</f>
        <v>-6443.435410000001</v>
      </c>
      <c r="AQ45" s="122">
        <f t="shared" ca="1" si="4"/>
        <v>25773.741640000004</v>
      </c>
      <c r="AR45" s="20"/>
      <c r="AX45" s="110"/>
    </row>
    <row r="46" spans="1:50" ht="21" customHeight="1" x14ac:dyDescent="0.3">
      <c r="A46" s="83"/>
      <c r="B46" s="20"/>
      <c r="C46" s="79"/>
      <c r="D46" s="83"/>
      <c r="E46" s="3"/>
      <c r="F46" s="3"/>
      <c r="G46" s="25"/>
      <c r="H46" s="3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20"/>
      <c r="Y46" s="20"/>
      <c r="Z46" s="20"/>
      <c r="AA46" s="20"/>
      <c r="AB46" s="20"/>
      <c r="AC46" s="20"/>
      <c r="AD46" s="20"/>
      <c r="AE46" s="20"/>
      <c r="AF46" s="10"/>
      <c r="AG46" s="20"/>
      <c r="AH46" s="20"/>
      <c r="AI46" s="63"/>
      <c r="AJ46" s="124" t="str">
        <f ca="1" xml:space="preserve"> $J$3 &amp;" " &amp; CHAR(10) &amp;TEXT(ROUND($AP$46,0),"# ##0")</f>
        <v>Réalisé 
-6 443</v>
      </c>
      <c r="AK46" s="120"/>
      <c r="AL46" s="120"/>
      <c r="AM46" s="120"/>
      <c r="AN46" s="126">
        <f ca="1">$AN$28+SUM(AJ29:AJ45)</f>
        <v>25773.741640000004</v>
      </c>
      <c r="AO46" s="125">
        <f ca="1">_xll.DBRW(Server&amp;Cube1,$F$19,$F$13,$F$14,$C$19,$C$17,$F$16,$AP$47,$C$18,$I$2,$I$1,$F$18)</f>
        <v>0</v>
      </c>
      <c r="AP46" s="127">
        <f ca="1">_xll.DBRW(Server&amp;Cube1,$F$19,$F$13,$F$14,$C$19,$C$17,$F$16,$AP$47,$C$18,$J$2,$J$1,$F$18)</f>
        <v>-6443.435410000001</v>
      </c>
      <c r="AQ46" s="122"/>
      <c r="AR46" s="20"/>
      <c r="AX46" s="105"/>
    </row>
    <row r="47" spans="1:50" ht="24" thickBot="1" x14ac:dyDescent="0.35">
      <c r="A47" s="83"/>
      <c r="B47" s="20"/>
      <c r="C47" s="79"/>
      <c r="D47" s="83"/>
      <c r="E47" s="3"/>
      <c r="F47" s="3"/>
      <c r="G47" s="25"/>
      <c r="H47" s="29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20"/>
      <c r="Y47" s="20"/>
      <c r="Z47" s="20"/>
      <c r="AA47" s="20"/>
      <c r="AB47" s="20"/>
      <c r="AC47" s="20"/>
      <c r="AD47" s="20"/>
      <c r="AE47" s="20"/>
      <c r="AF47" s="10"/>
      <c r="AG47" s="20"/>
      <c r="AH47" s="20"/>
      <c r="AI47" s="63"/>
      <c r="AJ47" s="130"/>
      <c r="AK47" s="128"/>
      <c r="AL47" s="128"/>
      <c r="AM47" s="128"/>
      <c r="AN47" s="131"/>
      <c r="AO47" s="132" t="s">
        <v>53</v>
      </c>
      <c r="AP47" s="133" t="s">
        <v>49</v>
      </c>
      <c r="AQ47" s="114"/>
      <c r="AR47" s="20"/>
      <c r="AX47" s="105"/>
    </row>
    <row r="48" spans="1:50" s="10" customFormat="1" ht="24" customHeight="1" x14ac:dyDescent="0.35">
      <c r="A48" s="83"/>
      <c r="B48" s="20"/>
      <c r="C48" s="81"/>
      <c r="D48" s="90"/>
      <c r="E48" s="3"/>
      <c r="F48" s="3"/>
      <c r="G48" s="25"/>
      <c r="H48" s="27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20"/>
      <c r="X48" s="20"/>
      <c r="Y48" s="20"/>
      <c r="Z48" s="20"/>
      <c r="AA48" s="20"/>
      <c r="AB48" s="20"/>
      <c r="AC48" s="20"/>
      <c r="AD48" s="20"/>
      <c r="AE48" s="20"/>
      <c r="AG48" s="20"/>
      <c r="AH48" s="20"/>
      <c r="AI48" s="63"/>
      <c r="AJ48" s="130"/>
      <c r="AK48" s="128"/>
      <c r="AL48" s="128"/>
      <c r="AM48" s="128"/>
      <c r="AN48" s="131"/>
      <c r="AO48" s="114"/>
      <c r="AP48" s="114"/>
      <c r="AQ48" s="114"/>
      <c r="AR48" s="20"/>
      <c r="AX48" s="110"/>
    </row>
    <row r="49" spans="1:50" s="10" customFormat="1" ht="24" customHeight="1" thickBot="1" x14ac:dyDescent="0.4">
      <c r="A49" s="83"/>
      <c r="B49" s="20"/>
      <c r="C49" s="79"/>
      <c r="D49" s="90"/>
      <c r="E49" s="3"/>
      <c r="F49" s="3"/>
      <c r="G49" s="25"/>
      <c r="H49" s="27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20"/>
      <c r="X49" s="20"/>
      <c r="Y49" s="20"/>
      <c r="Z49" s="20"/>
      <c r="AA49" s="20"/>
      <c r="AB49" s="20"/>
      <c r="AC49" s="20"/>
      <c r="AD49" s="20"/>
      <c r="AE49" s="20"/>
      <c r="AG49" s="20"/>
      <c r="AH49" s="20"/>
      <c r="AI49" s="20"/>
      <c r="AJ49" s="134"/>
      <c r="AK49" s="134"/>
      <c r="AL49" s="134"/>
      <c r="AM49" s="134"/>
      <c r="AN49" s="135" t="s">
        <v>62</v>
      </c>
      <c r="AO49" s="134"/>
      <c r="AP49" s="134"/>
      <c r="AQ49" s="134"/>
      <c r="AR49" s="20"/>
      <c r="AX49" s="110"/>
    </row>
    <row r="50" spans="1:50" s="10" customFormat="1" ht="24" customHeight="1" x14ac:dyDescent="0.35">
      <c r="A50" s="83"/>
      <c r="B50" s="20"/>
      <c r="C50" s="79"/>
      <c r="D50" s="90"/>
      <c r="E50" s="3"/>
      <c r="F50" s="3"/>
      <c r="G50" s="25"/>
      <c r="H50" s="27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20"/>
      <c r="X50" s="20"/>
      <c r="Y50" s="20"/>
      <c r="Z50" s="20"/>
      <c r="AA50" s="20"/>
      <c r="AB50" s="20"/>
      <c r="AC50" s="20"/>
      <c r="AD50" s="20"/>
      <c r="AE50" s="20"/>
      <c r="AG50" s="20"/>
      <c r="AH50" s="20"/>
      <c r="AI50" s="113"/>
      <c r="AJ50" s="114"/>
      <c r="AK50" s="114"/>
      <c r="AL50" s="114"/>
      <c r="AM50" s="114"/>
      <c r="AN50" s="114"/>
      <c r="AO50" s="136" t="s">
        <v>60</v>
      </c>
      <c r="AP50" s="137"/>
      <c r="AQ50" s="114"/>
      <c r="AR50" s="20"/>
      <c r="AX50" s="110"/>
    </row>
    <row r="51" spans="1:50" s="10" customFormat="1" ht="24" customHeight="1" thickBot="1" x14ac:dyDescent="0.4">
      <c r="A51" s="83"/>
      <c r="B51" s="20"/>
      <c r="C51" s="81"/>
      <c r="D51" s="90"/>
      <c r="E51" s="3"/>
      <c r="F51" s="3"/>
      <c r="G51" s="25"/>
      <c r="H51" s="27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20"/>
      <c r="X51" s="20"/>
      <c r="Y51" s="20"/>
      <c r="Z51" s="20"/>
      <c r="AA51" s="20"/>
      <c r="AB51" s="20"/>
      <c r="AC51" s="20"/>
      <c r="AD51" s="20"/>
      <c r="AE51" s="20"/>
      <c r="AG51" s="20"/>
      <c r="AH51" s="20"/>
      <c r="AI51" s="113"/>
      <c r="AJ51" s="114"/>
      <c r="AK51" s="114"/>
      <c r="AL51" s="114"/>
      <c r="AM51" s="114"/>
      <c r="AN51" s="114"/>
      <c r="AO51" s="123">
        <f ca="1">ABS(MAX(AJ29:AJ45))+ABS(MIN(AJ29:AJ45))</f>
        <v>6443.435410000001</v>
      </c>
      <c r="AP51" s="65"/>
      <c r="AQ51" s="114"/>
      <c r="AR51" s="20"/>
      <c r="AX51" s="110"/>
    </row>
    <row r="52" spans="1:50" s="10" customFormat="1" ht="24" customHeight="1" x14ac:dyDescent="0.35">
      <c r="A52" s="83"/>
      <c r="B52" s="20"/>
      <c r="C52" s="79"/>
      <c r="D52" s="90"/>
      <c r="E52" s="3"/>
      <c r="F52" s="3"/>
      <c r="G52" s="25"/>
      <c r="H52" s="27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20"/>
      <c r="X52" s="20"/>
      <c r="Y52" s="20"/>
      <c r="Z52" s="20"/>
      <c r="AA52" s="20"/>
      <c r="AB52" s="20"/>
      <c r="AC52" s="20"/>
      <c r="AD52" s="20"/>
      <c r="AE52" s="20"/>
      <c r="AG52" s="20"/>
      <c r="AH52" s="20"/>
      <c r="AI52" s="108"/>
      <c r="AJ52" s="115"/>
      <c r="AK52" s="115"/>
      <c r="AL52" s="115"/>
      <c r="AM52" s="115"/>
      <c r="AN52" s="115"/>
      <c r="AO52" s="108"/>
      <c r="AP52" s="108"/>
      <c r="AQ52" s="108"/>
      <c r="AR52" s="20"/>
      <c r="AX52" s="110"/>
    </row>
    <row r="53" spans="1:50" s="10" customFormat="1" ht="24" customHeight="1" x14ac:dyDescent="0.35">
      <c r="A53" s="83"/>
      <c r="B53" s="20"/>
      <c r="C53" s="20"/>
      <c r="D53" s="83"/>
      <c r="E53" s="20"/>
      <c r="F53" s="3"/>
      <c r="G53" s="25"/>
      <c r="H53" s="27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20"/>
      <c r="X53" s="20"/>
      <c r="Y53" s="20"/>
      <c r="Z53" s="20"/>
      <c r="AA53" s="20"/>
      <c r="AB53" s="20"/>
      <c r="AC53" s="20"/>
      <c r="AD53" s="20"/>
      <c r="AE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X53" s="110"/>
    </row>
    <row r="54" spans="1:50" s="10" customFormat="1" ht="24" customHeight="1" x14ac:dyDescent="0.35">
      <c r="A54" s="83"/>
      <c r="B54" s="20"/>
      <c r="C54" s="20"/>
      <c r="D54" s="83"/>
      <c r="E54" s="20"/>
      <c r="F54" s="3"/>
      <c r="G54" s="25"/>
      <c r="H54" s="27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20"/>
      <c r="X54" s="20"/>
      <c r="Y54" s="20"/>
      <c r="Z54" s="20"/>
      <c r="AA54" s="20"/>
      <c r="AB54" s="20"/>
      <c r="AC54" s="20"/>
      <c r="AD54" s="20"/>
      <c r="AE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X54" s="110"/>
    </row>
    <row r="55" spans="1:50" s="10" customFormat="1" ht="24" customHeight="1" thickBot="1" x14ac:dyDescent="0.4">
      <c r="A55" s="91"/>
      <c r="B55" s="21"/>
      <c r="C55" s="21"/>
      <c r="D55" s="91"/>
      <c r="E55" s="21"/>
      <c r="F55" s="92"/>
      <c r="G55" s="93"/>
      <c r="H55" s="94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21"/>
      <c r="X55" s="21"/>
      <c r="Y55" s="21"/>
      <c r="Z55" s="21"/>
      <c r="AA55" s="21"/>
      <c r="AB55" s="21"/>
      <c r="AC55" s="21"/>
      <c r="AD55" s="21"/>
      <c r="AE55" s="21"/>
      <c r="AF55" s="116"/>
      <c r="AG55" s="116"/>
      <c r="AH55" s="116"/>
      <c r="AI55" s="116"/>
      <c r="AJ55" s="92"/>
      <c r="AK55" s="92"/>
      <c r="AL55" s="92"/>
      <c r="AM55" s="92"/>
      <c r="AN55" s="92"/>
      <c r="AO55" s="21"/>
      <c r="AP55" s="21"/>
      <c r="AQ55" s="21"/>
      <c r="AR55" s="21"/>
      <c r="AS55" s="117"/>
      <c r="AT55" s="117"/>
      <c r="AU55" s="117"/>
      <c r="AV55" s="117"/>
      <c r="AW55" s="117"/>
      <c r="AX55" s="118"/>
    </row>
    <row r="56" spans="1:50" s="10" customFormat="1" ht="24" customHeight="1" x14ac:dyDescent="0.35">
      <c r="A56" s="34"/>
      <c r="B56" s="34"/>
      <c r="C56" s="34"/>
      <c r="D56" s="34"/>
      <c r="E56" s="34"/>
      <c r="F56" s="9"/>
      <c r="G56" s="25"/>
      <c r="H56" s="27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4"/>
      <c r="X56" s="20"/>
      <c r="Y56" s="34"/>
      <c r="Z56" s="34"/>
      <c r="AA56" s="34"/>
      <c r="AB56" s="34"/>
      <c r="AC56" s="34"/>
      <c r="AD56" s="34"/>
      <c r="AE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</row>
    <row r="57" spans="1:50" s="10" customFormat="1" ht="24" customHeight="1" x14ac:dyDescent="0.35">
      <c r="A57" s="34"/>
      <c r="B57" s="34"/>
      <c r="C57" s="34"/>
      <c r="D57" s="34"/>
      <c r="E57" s="34"/>
      <c r="F57" s="9"/>
      <c r="G57" s="25"/>
      <c r="H57" s="27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34"/>
      <c r="X57" s="20"/>
      <c r="Y57" s="34"/>
      <c r="Z57" s="34"/>
      <c r="AA57" s="34"/>
      <c r="AB57" s="34"/>
      <c r="AC57" s="34"/>
      <c r="AD57" s="34"/>
      <c r="AE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</row>
    <row r="58" spans="1:50" s="10" customFormat="1" ht="24" customHeight="1" x14ac:dyDescent="0.35">
      <c r="A58" s="34"/>
      <c r="B58" s="34"/>
      <c r="C58" s="34"/>
      <c r="D58" s="34"/>
      <c r="E58" s="34"/>
      <c r="F58" s="9"/>
      <c r="G58" s="25"/>
      <c r="H58" s="27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34"/>
      <c r="X58" s="20"/>
      <c r="Y58" s="34"/>
      <c r="Z58" s="34"/>
      <c r="AA58" s="34"/>
      <c r="AB58" s="34"/>
      <c r="AC58" s="34"/>
      <c r="AD58" s="34"/>
      <c r="AE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</row>
    <row r="59" spans="1:50" s="10" customFormat="1" ht="24" customHeight="1" x14ac:dyDescent="0.35">
      <c r="A59" s="34"/>
      <c r="B59" s="34"/>
      <c r="C59" s="34"/>
      <c r="D59" s="34"/>
      <c r="E59" s="34"/>
      <c r="F59" s="9"/>
      <c r="G59" s="25"/>
      <c r="H59" s="27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34"/>
      <c r="X59" s="20"/>
      <c r="Y59" s="34"/>
      <c r="Z59" s="34"/>
      <c r="AA59" s="34"/>
      <c r="AB59" s="34"/>
      <c r="AC59" s="34"/>
      <c r="AD59" s="34"/>
      <c r="AE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</row>
    <row r="60" spans="1:50" s="10" customFormat="1" ht="24" customHeight="1" x14ac:dyDescent="0.35">
      <c r="A60" s="34"/>
      <c r="B60" s="34"/>
      <c r="C60" s="34"/>
      <c r="D60" s="34"/>
      <c r="E60" s="34"/>
      <c r="F60" s="9"/>
      <c r="G60" s="25"/>
      <c r="H60" s="27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34"/>
      <c r="X60" s="20"/>
      <c r="Y60" s="34"/>
      <c r="Z60" s="34"/>
      <c r="AA60" s="34"/>
      <c r="AB60" s="34"/>
      <c r="AC60" s="34"/>
      <c r="AD60" s="34"/>
      <c r="AE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</row>
    <row r="61" spans="1:50" s="10" customFormat="1" ht="24" customHeight="1" x14ac:dyDescent="0.35">
      <c r="A61" s="34"/>
      <c r="B61" s="34"/>
      <c r="C61" s="34"/>
      <c r="D61" s="34"/>
      <c r="E61" s="34"/>
      <c r="F61" s="9"/>
      <c r="G61" s="25"/>
      <c r="H61" s="27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34"/>
      <c r="X61" s="20"/>
      <c r="Y61" s="34"/>
      <c r="Z61" s="34"/>
      <c r="AA61" s="34"/>
      <c r="AB61" s="34"/>
      <c r="AC61" s="34"/>
      <c r="AD61" s="34"/>
      <c r="AE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</row>
    <row r="62" spans="1:50" s="10" customFormat="1" ht="24" customHeight="1" x14ac:dyDescent="0.35">
      <c r="A62" s="34"/>
      <c r="B62" s="34"/>
      <c r="C62" s="34"/>
      <c r="D62" s="34"/>
      <c r="E62" s="34"/>
      <c r="F62" s="9"/>
      <c r="G62" s="25"/>
      <c r="H62" s="27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34"/>
      <c r="X62" s="20"/>
      <c r="Y62" s="34"/>
      <c r="Z62" s="34"/>
      <c r="AA62" s="34"/>
      <c r="AB62" s="34"/>
      <c r="AC62" s="34"/>
      <c r="AD62" s="34"/>
      <c r="AE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</row>
    <row r="63" spans="1:50" s="10" customFormat="1" ht="24" customHeight="1" x14ac:dyDescent="0.35">
      <c r="A63" s="34"/>
      <c r="B63" s="34"/>
      <c r="C63" s="34"/>
      <c r="D63" s="34"/>
      <c r="E63" s="34"/>
      <c r="F63" s="9"/>
      <c r="G63" s="25"/>
      <c r="H63" s="27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34"/>
      <c r="X63" s="20"/>
      <c r="Y63" s="34"/>
      <c r="Z63" s="34"/>
      <c r="AA63" s="34"/>
      <c r="AB63" s="34"/>
      <c r="AC63" s="34"/>
      <c r="AD63" s="34"/>
      <c r="AE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</row>
    <row r="64" spans="1:50" s="10" customFormat="1" ht="24" customHeight="1" x14ac:dyDescent="0.35">
      <c r="A64" s="34"/>
      <c r="B64" s="34"/>
      <c r="C64" s="34"/>
      <c r="D64" s="34"/>
      <c r="E64" s="34"/>
      <c r="F64" s="9"/>
      <c r="G64" s="25"/>
      <c r="H64" s="27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34"/>
      <c r="X64" s="20"/>
      <c r="Y64" s="34"/>
      <c r="Z64" s="34"/>
      <c r="AA64" s="34"/>
      <c r="AB64" s="34"/>
      <c r="AC64" s="34"/>
      <c r="AD64" s="34"/>
      <c r="AE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</row>
    <row r="65" spans="1:44" s="10" customFormat="1" ht="24" customHeight="1" x14ac:dyDescent="0.35">
      <c r="A65" s="34"/>
      <c r="B65" s="34"/>
      <c r="C65" s="34"/>
      <c r="D65" s="34"/>
      <c r="E65" s="34"/>
      <c r="F65" s="9"/>
      <c r="G65" s="25"/>
      <c r="H65" s="27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34"/>
      <c r="X65" s="20"/>
      <c r="Y65" s="34"/>
      <c r="Z65" s="34"/>
      <c r="AA65" s="34"/>
      <c r="AB65" s="34"/>
      <c r="AC65" s="34"/>
      <c r="AD65" s="34"/>
      <c r="AE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</row>
    <row r="66" spans="1:44" s="10" customFormat="1" ht="24" customHeight="1" x14ac:dyDescent="0.35">
      <c r="A66" s="34"/>
      <c r="B66" s="34"/>
      <c r="C66" s="34"/>
      <c r="D66" s="34"/>
      <c r="E66" s="34"/>
      <c r="F66" s="9"/>
      <c r="G66" s="25"/>
      <c r="H66" s="27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34"/>
      <c r="X66" s="20"/>
      <c r="Y66" s="34"/>
      <c r="Z66" s="34"/>
      <c r="AA66" s="34"/>
      <c r="AB66" s="34"/>
      <c r="AC66" s="34"/>
      <c r="AD66" s="34"/>
      <c r="AE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</row>
    <row r="67" spans="1:44" s="10" customFormat="1" ht="24" customHeight="1" x14ac:dyDescent="0.35">
      <c r="A67" s="34"/>
      <c r="B67" s="34"/>
      <c r="C67" s="34"/>
      <c r="D67" s="34"/>
      <c r="E67" s="34"/>
      <c r="F67" s="9"/>
      <c r="G67" s="25"/>
      <c r="H67" s="27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34"/>
      <c r="X67" s="20"/>
      <c r="Y67" s="34"/>
      <c r="Z67" s="34"/>
      <c r="AA67" s="34"/>
      <c r="AB67" s="34"/>
      <c r="AC67" s="34"/>
      <c r="AD67" s="34"/>
      <c r="AE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</row>
    <row r="68" spans="1:44" s="10" customFormat="1" ht="24" customHeight="1" x14ac:dyDescent="0.35">
      <c r="A68" s="34"/>
      <c r="B68" s="34"/>
      <c r="C68" s="34"/>
      <c r="D68" s="34"/>
      <c r="E68" s="34"/>
      <c r="F68" s="9"/>
      <c r="G68" s="25"/>
      <c r="H68" s="27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34"/>
      <c r="X68" s="20"/>
      <c r="Y68" s="34"/>
      <c r="Z68" s="34"/>
      <c r="AA68" s="34"/>
      <c r="AB68" s="34"/>
      <c r="AC68" s="34"/>
      <c r="AD68" s="34"/>
      <c r="AE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</row>
    <row r="69" spans="1:44" s="10" customFormat="1" ht="24" customHeight="1" x14ac:dyDescent="0.35">
      <c r="A69" s="34"/>
      <c r="B69" s="34"/>
      <c r="C69" s="34"/>
      <c r="D69" s="34"/>
      <c r="E69" s="34"/>
      <c r="F69" s="9"/>
      <c r="G69" s="25"/>
      <c r="H69" s="27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34"/>
      <c r="X69" s="20"/>
      <c r="Y69" s="34"/>
      <c r="Z69" s="34"/>
      <c r="AA69" s="34"/>
      <c r="AB69" s="34"/>
      <c r="AC69" s="34"/>
      <c r="AD69" s="34"/>
      <c r="AE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</row>
    <row r="70" spans="1:44" s="10" customFormat="1" ht="24" customHeight="1" x14ac:dyDescent="0.35">
      <c r="A70" s="34"/>
      <c r="B70" s="34"/>
      <c r="C70" s="34"/>
      <c r="D70" s="34"/>
      <c r="E70" s="34"/>
      <c r="F70" s="9"/>
      <c r="G70" s="25"/>
      <c r="H70" s="27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34"/>
      <c r="X70" s="20"/>
      <c r="Y70" s="34"/>
      <c r="Z70" s="34"/>
      <c r="AA70" s="34"/>
      <c r="AB70" s="34"/>
      <c r="AC70" s="34"/>
      <c r="AD70" s="34"/>
      <c r="AE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</row>
    <row r="71" spans="1:44" s="10" customFormat="1" ht="24" customHeight="1" x14ac:dyDescent="0.35">
      <c r="A71" s="34"/>
      <c r="B71" s="34"/>
      <c r="C71" s="34"/>
      <c r="D71" s="34"/>
      <c r="E71" s="34"/>
      <c r="F71" s="9"/>
      <c r="G71" s="25"/>
      <c r="H71" s="27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4"/>
      <c r="X71" s="20"/>
      <c r="Y71" s="34"/>
      <c r="Z71" s="34"/>
      <c r="AA71" s="34"/>
      <c r="AB71" s="34"/>
      <c r="AC71" s="34"/>
      <c r="AD71" s="34"/>
      <c r="AE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</row>
    <row r="72" spans="1:44" s="10" customFormat="1" ht="24" customHeight="1" x14ac:dyDescent="0.35">
      <c r="A72" s="34"/>
      <c r="B72" s="34"/>
      <c r="C72" s="34"/>
      <c r="D72" s="34"/>
      <c r="E72" s="34"/>
      <c r="F72" s="9"/>
      <c r="G72" s="25"/>
      <c r="H72" s="27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34"/>
      <c r="X72" s="20"/>
      <c r="Y72" s="34"/>
      <c r="Z72" s="34"/>
      <c r="AA72" s="34"/>
      <c r="AB72" s="34"/>
      <c r="AC72" s="34"/>
      <c r="AD72" s="34"/>
      <c r="AE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</row>
    <row r="73" spans="1:44" s="10" customFormat="1" ht="11.25" customHeight="1" x14ac:dyDescent="0.35">
      <c r="A73" s="34"/>
      <c r="B73" s="34"/>
      <c r="C73" s="34"/>
      <c r="D73" s="34"/>
      <c r="E73" s="34"/>
      <c r="F73" s="9"/>
      <c r="G73" s="25"/>
      <c r="H73" s="27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34"/>
      <c r="X73" s="20"/>
      <c r="Y73" s="34"/>
      <c r="Z73" s="34"/>
      <c r="AA73" s="34"/>
      <c r="AB73" s="34"/>
      <c r="AC73" s="34"/>
      <c r="AD73" s="34"/>
      <c r="AE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</row>
    <row r="74" spans="1:44" s="10" customFormat="1" ht="24" customHeight="1" x14ac:dyDescent="0.35">
      <c r="A74" s="34"/>
      <c r="B74" s="34"/>
      <c r="C74" s="34"/>
      <c r="D74" s="34"/>
      <c r="E74" s="34"/>
      <c r="F74" s="9"/>
      <c r="G74" s="25"/>
      <c r="H74" s="27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34"/>
      <c r="X74" s="20"/>
      <c r="Y74" s="34"/>
      <c r="Z74" s="34"/>
      <c r="AA74" s="34"/>
      <c r="AB74" s="34"/>
      <c r="AC74" s="34"/>
      <c r="AD74" s="34"/>
      <c r="AE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</row>
    <row r="75" spans="1:44" s="10" customFormat="1" ht="6" customHeight="1" x14ac:dyDescent="0.35">
      <c r="A75" s="34"/>
      <c r="B75" s="34"/>
      <c r="C75" s="34"/>
      <c r="D75" s="34"/>
      <c r="E75" s="34"/>
      <c r="F75" s="9"/>
      <c r="G75" s="25"/>
      <c r="H75" s="27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34"/>
      <c r="X75" s="20"/>
      <c r="Y75" s="34"/>
      <c r="Z75" s="34"/>
      <c r="AA75" s="34"/>
      <c r="AB75" s="34"/>
      <c r="AC75" s="34"/>
      <c r="AD75" s="34"/>
      <c r="AE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</row>
    <row r="76" spans="1:44" s="10" customFormat="1" ht="24" customHeight="1" x14ac:dyDescent="0.35">
      <c r="A76" s="34"/>
      <c r="B76" s="34"/>
      <c r="C76" s="34"/>
      <c r="D76" s="34"/>
      <c r="E76" s="34"/>
      <c r="F76" s="9"/>
      <c r="G76" s="25"/>
      <c r="H76" s="27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34"/>
      <c r="X76" s="20"/>
      <c r="Y76" s="34"/>
      <c r="Z76" s="34"/>
      <c r="AA76" s="34"/>
      <c r="AB76" s="34"/>
      <c r="AC76" s="34"/>
      <c r="AD76" s="34"/>
      <c r="AE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</row>
    <row r="77" spans="1:44" s="10" customFormat="1" ht="7.5" customHeight="1" x14ac:dyDescent="0.35">
      <c r="A77" s="34"/>
      <c r="B77" s="34"/>
      <c r="C77" s="34"/>
      <c r="D77" s="34"/>
      <c r="E77" s="34"/>
      <c r="F77" s="9"/>
      <c r="G77" s="25"/>
      <c r="H77" s="27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34"/>
      <c r="X77" s="20"/>
      <c r="Y77" s="34"/>
      <c r="Z77" s="34"/>
      <c r="AA77" s="34"/>
      <c r="AB77" s="34"/>
      <c r="AC77" s="34"/>
      <c r="AD77" s="34"/>
      <c r="AE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</row>
    <row r="78" spans="1:44" s="10" customFormat="1" ht="24" customHeight="1" x14ac:dyDescent="0.35">
      <c r="A78" s="34"/>
      <c r="B78" s="34"/>
      <c r="C78" s="34"/>
      <c r="D78" s="34"/>
      <c r="E78" s="34"/>
      <c r="F78" s="9"/>
      <c r="G78" s="25"/>
      <c r="H78" s="27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34"/>
      <c r="X78" s="20"/>
      <c r="Y78" s="34"/>
      <c r="Z78" s="34"/>
      <c r="AA78" s="34"/>
      <c r="AB78" s="34"/>
      <c r="AC78" s="34"/>
      <c r="AD78" s="34"/>
      <c r="AE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</row>
    <row r="79" spans="1:44" s="10" customFormat="1" ht="7.5" customHeight="1" x14ac:dyDescent="0.35">
      <c r="A79" s="34"/>
      <c r="B79" s="34"/>
      <c r="C79" s="34"/>
      <c r="D79" s="34"/>
      <c r="E79" s="34"/>
      <c r="F79" s="9"/>
      <c r="G79" s="25"/>
      <c r="H79" s="27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4"/>
      <c r="X79" s="20"/>
      <c r="Y79" s="34"/>
      <c r="Z79" s="34"/>
      <c r="AA79" s="34"/>
      <c r="AB79" s="34"/>
      <c r="AC79" s="34"/>
      <c r="AD79" s="34"/>
      <c r="AE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</row>
    <row r="80" spans="1:44" s="10" customFormat="1" ht="24" customHeight="1" x14ac:dyDescent="0.35">
      <c r="A80" s="34"/>
      <c r="B80" s="34"/>
      <c r="C80" s="34"/>
      <c r="D80" s="34"/>
      <c r="E80" s="34"/>
      <c r="F80" s="9"/>
      <c r="G80" s="25"/>
      <c r="H80" s="27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34"/>
      <c r="X80" s="20"/>
      <c r="Y80" s="34"/>
      <c r="Z80" s="34"/>
      <c r="AA80" s="34"/>
      <c r="AB80" s="34"/>
      <c r="AC80" s="34"/>
      <c r="AD80" s="34"/>
      <c r="AE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</row>
    <row r="81" spans="1:44" s="10" customFormat="1" ht="9" customHeight="1" x14ac:dyDescent="0.35">
      <c r="A81" s="34"/>
      <c r="B81" s="34"/>
      <c r="C81" s="34"/>
      <c r="D81" s="34"/>
      <c r="E81" s="34"/>
      <c r="F81" s="9"/>
      <c r="G81" s="25"/>
      <c r="H81" s="27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34"/>
      <c r="X81" s="20"/>
      <c r="Y81" s="34"/>
      <c r="Z81" s="34"/>
      <c r="AA81" s="34"/>
      <c r="AB81" s="34"/>
      <c r="AC81" s="34"/>
      <c r="AD81" s="34"/>
      <c r="AE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</row>
    <row r="82" spans="1:44" ht="24" customHeight="1" x14ac:dyDescent="0.35">
      <c r="A82" s="34"/>
      <c r="B82" s="34"/>
      <c r="C82" s="34"/>
      <c r="D82" s="34"/>
      <c r="E82" s="34"/>
      <c r="F82" s="9"/>
      <c r="G82" s="25"/>
      <c r="H82" s="27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34"/>
      <c r="Y82" s="34"/>
      <c r="Z82" s="34"/>
      <c r="AA82" s="34"/>
      <c r="AB82" s="34"/>
      <c r="AC82" s="34"/>
      <c r="AD82" s="34"/>
      <c r="AE82" s="34"/>
      <c r="AF82" s="10"/>
      <c r="AG82" s="34"/>
      <c r="AH82" s="34"/>
      <c r="AI82" s="34"/>
      <c r="AJ82" s="34"/>
      <c r="AK82" s="34"/>
      <c r="AL82" s="34"/>
      <c r="AM82" s="34"/>
      <c r="AN82" s="34"/>
      <c r="AO82" s="34"/>
      <c r="AQ82" s="34"/>
      <c r="AR82" s="34"/>
    </row>
    <row r="83" spans="1:44" ht="22.5" customHeight="1" x14ac:dyDescent="0.35">
      <c r="A83" s="34"/>
      <c r="B83" s="34"/>
      <c r="C83" s="34"/>
      <c r="D83" s="34"/>
      <c r="E83" s="34"/>
      <c r="F83" s="9"/>
      <c r="G83" s="25"/>
      <c r="H83" s="27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34"/>
      <c r="Y83" s="34"/>
      <c r="Z83" s="34"/>
      <c r="AA83" s="34"/>
      <c r="AB83" s="34"/>
      <c r="AC83" s="34"/>
      <c r="AD83" s="34"/>
      <c r="AE83" s="34"/>
      <c r="AF83" s="10"/>
      <c r="AG83" s="34"/>
      <c r="AH83" s="34"/>
      <c r="AI83" s="34"/>
      <c r="AJ83" s="34"/>
      <c r="AK83" s="34"/>
      <c r="AL83" s="34"/>
      <c r="AM83" s="34"/>
      <c r="AN83" s="34"/>
      <c r="AO83" s="34"/>
      <c r="AQ83" s="34"/>
      <c r="AR83" s="34"/>
    </row>
    <row r="84" spans="1:44" ht="10.5" customHeight="1" x14ac:dyDescent="0.3">
      <c r="A84" s="34"/>
      <c r="B84" s="34"/>
      <c r="C84" s="34"/>
      <c r="D84" s="34"/>
      <c r="E84" s="34"/>
      <c r="F84" s="28"/>
      <c r="G84" s="28"/>
      <c r="H84" s="29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4"/>
      <c r="Y84" s="34"/>
      <c r="Z84" s="34"/>
      <c r="AA84" s="34"/>
      <c r="AB84" s="34"/>
      <c r="AC84" s="34"/>
      <c r="AD84" s="34"/>
      <c r="AE84" s="34"/>
      <c r="AG84" s="34"/>
      <c r="AH84" s="34"/>
      <c r="AI84" s="34"/>
      <c r="AJ84" s="34"/>
      <c r="AK84" s="34"/>
      <c r="AL84" s="34"/>
      <c r="AM84" s="34"/>
      <c r="AN84" s="34"/>
      <c r="AO84" s="34"/>
      <c r="AQ84" s="34"/>
      <c r="AR84" s="34"/>
    </row>
    <row r="85" spans="1:44" ht="23.25" x14ac:dyDescent="0.3">
      <c r="A85" s="34"/>
      <c r="B85" s="34"/>
      <c r="C85" s="34"/>
      <c r="D85" s="34"/>
      <c r="E85" s="34"/>
      <c r="F85" s="57"/>
      <c r="G85" s="57"/>
      <c r="H85" s="29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34"/>
      <c r="Y85" s="34"/>
      <c r="Z85" s="34"/>
      <c r="AA85" s="34"/>
      <c r="AB85" s="34"/>
      <c r="AC85" s="34"/>
      <c r="AD85" s="34"/>
      <c r="AE85" s="34"/>
      <c r="AG85" s="34"/>
      <c r="AH85" s="34"/>
      <c r="AI85" s="34"/>
      <c r="AJ85" s="34"/>
      <c r="AK85" s="34"/>
      <c r="AL85" s="34"/>
      <c r="AM85" s="34"/>
      <c r="AN85" s="34"/>
      <c r="AO85" s="34"/>
      <c r="AQ85" s="34"/>
      <c r="AR85" s="34"/>
    </row>
    <row r="86" spans="1:44" ht="23.25" x14ac:dyDescent="0.3">
      <c r="A86" s="34"/>
      <c r="B86" s="34"/>
      <c r="C86" s="34"/>
      <c r="D86" s="34"/>
      <c r="E86" s="34"/>
      <c r="F86" s="57"/>
      <c r="G86" s="57"/>
      <c r="H86" s="29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34"/>
      <c r="Y86" s="34"/>
      <c r="Z86" s="34"/>
      <c r="AA86" s="34"/>
      <c r="AB86" s="34"/>
      <c r="AC86" s="34"/>
      <c r="AD86" s="34"/>
      <c r="AE86" s="34"/>
      <c r="AG86" s="34"/>
      <c r="AH86" s="34"/>
      <c r="AI86" s="34"/>
      <c r="AJ86" s="34"/>
      <c r="AK86" s="34"/>
      <c r="AL86" s="34"/>
      <c r="AM86" s="34"/>
      <c r="AN86" s="34"/>
      <c r="AO86" s="34"/>
      <c r="AQ86" s="34"/>
      <c r="AR86" s="34"/>
    </row>
    <row r="87" spans="1:44" ht="24" customHeight="1" x14ac:dyDescent="0.3">
      <c r="A87" s="34"/>
      <c r="B87" s="34"/>
      <c r="C87" s="34"/>
      <c r="D87" s="34"/>
      <c r="E87" s="34"/>
      <c r="F87" s="57"/>
      <c r="G87" s="57"/>
      <c r="H87" s="29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34"/>
      <c r="Y87" s="34"/>
      <c r="Z87" s="34"/>
      <c r="AA87" s="34"/>
      <c r="AB87" s="34"/>
      <c r="AC87" s="34"/>
      <c r="AD87" s="34"/>
      <c r="AE87" s="34"/>
      <c r="AG87" s="34"/>
      <c r="AH87" s="34"/>
      <c r="AI87" s="34"/>
      <c r="AJ87" s="34"/>
      <c r="AK87" s="34"/>
      <c r="AL87" s="34"/>
      <c r="AM87" s="34"/>
      <c r="AN87" s="34"/>
      <c r="AO87" s="34"/>
      <c r="AQ87" s="34"/>
      <c r="AR87" s="34"/>
    </row>
    <row r="88" spans="1:44" ht="24" customHeight="1" x14ac:dyDescent="0.3">
      <c r="A88" s="34"/>
      <c r="B88" s="34"/>
      <c r="C88" s="34"/>
      <c r="D88" s="34"/>
      <c r="E88" s="34"/>
      <c r="F88" s="57"/>
      <c r="G88" s="57"/>
      <c r="H88" s="29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4"/>
      <c r="Y88" s="34"/>
      <c r="Z88" s="34"/>
      <c r="AA88" s="34"/>
      <c r="AB88" s="34"/>
      <c r="AC88" s="34"/>
      <c r="AD88" s="34"/>
      <c r="AE88" s="34"/>
      <c r="AG88" s="34"/>
      <c r="AH88" s="34"/>
      <c r="AI88" s="34"/>
      <c r="AJ88" s="34"/>
      <c r="AK88" s="34"/>
      <c r="AL88" s="34"/>
      <c r="AM88" s="34"/>
      <c r="AN88" s="34"/>
      <c r="AO88" s="34"/>
      <c r="AQ88" s="34"/>
      <c r="AR88" s="34"/>
    </row>
    <row r="89" spans="1:44" ht="24" customHeight="1" x14ac:dyDescent="0.3">
      <c r="A89" s="34"/>
      <c r="B89" s="34"/>
      <c r="C89" s="34"/>
      <c r="D89" s="34"/>
      <c r="E89" s="34"/>
      <c r="F89" s="57"/>
      <c r="G89" s="57"/>
      <c r="H89" s="29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Q89" s="34"/>
      <c r="AR89" s="34"/>
    </row>
    <row r="90" spans="1:44" ht="24" customHeight="1" x14ac:dyDescent="0.3">
      <c r="A90" s="34"/>
      <c r="B90" s="34"/>
      <c r="C90" s="34"/>
      <c r="D90" s="34"/>
      <c r="E90" s="34"/>
      <c r="F90" s="57"/>
      <c r="G90" s="57"/>
      <c r="H90" s="29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Q90" s="34"/>
      <c r="AR90" s="34"/>
    </row>
    <row r="91" spans="1:44" ht="24" customHeight="1" x14ac:dyDescent="0.3">
      <c r="A91" s="34"/>
      <c r="B91" s="34"/>
      <c r="C91" s="34"/>
      <c r="D91" s="34"/>
      <c r="E91" s="34"/>
      <c r="F91" s="57"/>
      <c r="G91" s="57"/>
      <c r="H91" s="29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Q91" s="34"/>
      <c r="AR91" s="34"/>
    </row>
    <row r="92" spans="1:44" ht="24" customHeight="1" x14ac:dyDescent="0.3">
      <c r="A92" s="34"/>
      <c r="B92" s="34"/>
      <c r="C92" s="34"/>
      <c r="D92" s="34"/>
      <c r="E92" s="34"/>
      <c r="F92" s="57"/>
      <c r="G92" s="57"/>
      <c r="H92" s="29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Q92" s="34"/>
      <c r="AR92" s="34"/>
    </row>
    <row r="93" spans="1:44" ht="24" customHeight="1" x14ac:dyDescent="0.3">
      <c r="A93" s="34"/>
      <c r="B93" s="34"/>
      <c r="C93" s="34"/>
      <c r="D93" s="34"/>
      <c r="E93" s="34"/>
      <c r="F93" s="57"/>
      <c r="G93" s="57"/>
      <c r="H93" s="29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Q93" s="34"/>
      <c r="AR93" s="34"/>
    </row>
    <row r="94" spans="1:44" ht="24" customHeight="1" x14ac:dyDescent="0.3">
      <c r="A94" s="34"/>
      <c r="B94" s="34"/>
      <c r="C94" s="34"/>
      <c r="D94" s="34"/>
      <c r="E94" s="34"/>
      <c r="F94" s="57"/>
      <c r="G94" s="57"/>
      <c r="H94" s="29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34"/>
      <c r="Y94" s="34"/>
      <c r="Z94" s="34"/>
      <c r="AB94" s="34"/>
      <c r="AC94" s="34"/>
      <c r="AD94" s="34"/>
      <c r="AE94" s="34"/>
      <c r="AF94" s="34"/>
      <c r="AG94" s="34"/>
      <c r="AH94" s="34"/>
      <c r="AI94" s="34"/>
      <c r="AJ94" s="6"/>
      <c r="AK94" s="6"/>
      <c r="AL94" s="6"/>
      <c r="AM94" s="6"/>
      <c r="AN94" s="6"/>
      <c r="AO94" s="3"/>
      <c r="AP94" s="3"/>
    </row>
    <row r="95" spans="1:44" ht="23.25" x14ac:dyDescent="0.3">
      <c r="A95" s="34"/>
      <c r="B95" s="34"/>
      <c r="C95" s="34"/>
      <c r="D95" s="34"/>
      <c r="E95" s="34"/>
      <c r="F95" s="57"/>
      <c r="G95" s="57"/>
      <c r="H95" s="29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34"/>
      <c r="Y95" s="34"/>
      <c r="Z95" s="34"/>
      <c r="AB95" s="34"/>
      <c r="AC95" s="34"/>
      <c r="AD95" s="34"/>
      <c r="AE95" s="34"/>
      <c r="AF95" s="34"/>
      <c r="AG95" s="34"/>
      <c r="AH95" s="34"/>
      <c r="AI95" s="34"/>
    </row>
    <row r="96" spans="1:44" ht="23.25" x14ac:dyDescent="0.35">
      <c r="A96" s="34"/>
      <c r="B96" s="34"/>
      <c r="C96" s="34"/>
      <c r="D96" s="34"/>
      <c r="E96" s="34"/>
      <c r="F96" s="53"/>
      <c r="G96" s="53"/>
      <c r="H96" s="27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4"/>
      <c r="Y96" s="34"/>
      <c r="Z96" s="34"/>
      <c r="AA96" s="49"/>
      <c r="AB96" s="34"/>
      <c r="AC96" s="34"/>
      <c r="AD96" s="34"/>
      <c r="AE96" s="34"/>
      <c r="AF96" s="34"/>
      <c r="AG96" s="34"/>
      <c r="AH96" s="34"/>
      <c r="AI96" s="34"/>
      <c r="AJ96" s="6"/>
      <c r="AK96" s="6"/>
      <c r="AL96" s="6"/>
      <c r="AM96" s="6"/>
      <c r="AN96" s="6"/>
      <c r="AO96" s="3"/>
      <c r="AP96" s="3"/>
      <c r="AQ96" s="34"/>
      <c r="AR96" s="34"/>
    </row>
    <row r="97" spans="2:42" s="19" customFormat="1" ht="18" customHeight="1" x14ac:dyDescent="0.2">
      <c r="B97" s="34"/>
      <c r="C97" s="34"/>
      <c r="D97" s="34"/>
      <c r="E97" s="34"/>
      <c r="J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X97" s="20"/>
      <c r="AP97" s="34"/>
    </row>
    <row r="98" spans="2:42" s="19" customFormat="1" ht="18" customHeight="1" x14ac:dyDescent="0.2">
      <c r="J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X98" s="20"/>
      <c r="AP98" s="34"/>
    </row>
    <row r="99" spans="2:42" s="19" customFormat="1" ht="18" customHeight="1" x14ac:dyDescent="0.2">
      <c r="J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X99" s="20"/>
      <c r="AP99" s="34"/>
    </row>
    <row r="100" spans="2:42" s="19" customFormat="1" ht="18" customHeight="1" x14ac:dyDescent="0.2">
      <c r="J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X100" s="20"/>
      <c r="AP100" s="34"/>
    </row>
    <row r="101" spans="2:42" s="19" customFormat="1" ht="18" customHeight="1" x14ac:dyDescent="0.2">
      <c r="J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X101" s="20"/>
      <c r="AP101" s="34"/>
    </row>
    <row r="102" spans="2:42" s="19" customFormat="1" ht="18" customHeight="1" x14ac:dyDescent="0.2">
      <c r="J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X102" s="20"/>
      <c r="AP102" s="34"/>
    </row>
    <row r="103" spans="2:42" s="19" customFormat="1" ht="18" customHeight="1" x14ac:dyDescent="0.2">
      <c r="J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X103" s="20"/>
      <c r="AP103" s="34"/>
    </row>
    <row r="104" spans="2:42" s="19" customFormat="1" ht="18" customHeight="1" x14ac:dyDescent="0.2">
      <c r="J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X104" s="20"/>
      <c r="AP104" s="34"/>
    </row>
    <row r="105" spans="2:42" s="19" customFormat="1" ht="18" customHeight="1" x14ac:dyDescent="0.2">
      <c r="J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X105" s="20"/>
      <c r="AP105" s="34"/>
    </row>
    <row r="106" spans="2:42" s="19" customFormat="1" ht="18" customHeight="1" x14ac:dyDescent="0.2">
      <c r="J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X106" s="20"/>
      <c r="AP106" s="34"/>
    </row>
    <row r="107" spans="2:42" s="19" customFormat="1" ht="18" customHeight="1" x14ac:dyDescent="0.2">
      <c r="J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X107" s="20"/>
      <c r="AP107" s="34"/>
    </row>
    <row r="108" spans="2:42" s="19" customFormat="1" ht="18" customHeight="1" x14ac:dyDescent="0.2">
      <c r="J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X108" s="20"/>
      <c r="AP108" s="34"/>
    </row>
    <row r="109" spans="2:42" s="19" customFormat="1" ht="18" customHeight="1" x14ac:dyDescent="0.2">
      <c r="J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X109" s="20"/>
      <c r="AP109" s="34"/>
    </row>
    <row r="110" spans="2:42" s="19" customFormat="1" ht="18" customHeight="1" x14ac:dyDescent="0.2">
      <c r="J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X110" s="20"/>
      <c r="AP110" s="34"/>
    </row>
    <row r="111" spans="2:42" s="19" customFormat="1" ht="18" customHeight="1" x14ac:dyDescent="0.2">
      <c r="J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X111" s="20"/>
      <c r="AP111" s="34"/>
    </row>
    <row r="112" spans="2:42" s="19" customFormat="1" ht="18" customHeight="1" x14ac:dyDescent="0.2">
      <c r="J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X112" s="20"/>
      <c r="AP112" s="34"/>
    </row>
    <row r="113" spans="10:42" s="19" customFormat="1" ht="18" customHeight="1" x14ac:dyDescent="0.2">
      <c r="J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X113" s="20"/>
      <c r="AP113" s="34"/>
    </row>
    <row r="114" spans="10:42" s="19" customFormat="1" ht="18" customHeight="1" x14ac:dyDescent="0.2">
      <c r="J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X114" s="20"/>
      <c r="AP114" s="34"/>
    </row>
    <row r="115" spans="10:42" s="19" customFormat="1" ht="18" customHeight="1" x14ac:dyDescent="0.2">
      <c r="J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X115" s="20"/>
      <c r="AP115" s="34"/>
    </row>
    <row r="116" spans="10:42" s="19" customFormat="1" ht="18" customHeight="1" x14ac:dyDescent="0.2">
      <c r="J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X116" s="20"/>
      <c r="AP116" s="34"/>
    </row>
    <row r="117" spans="10:42" s="19" customFormat="1" ht="18" customHeight="1" x14ac:dyDescent="0.2">
      <c r="J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X117" s="20"/>
      <c r="AP117" s="34"/>
    </row>
    <row r="118" spans="10:42" s="19" customFormat="1" ht="18" customHeight="1" x14ac:dyDescent="0.2">
      <c r="J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X118" s="20"/>
      <c r="AP118" s="34"/>
    </row>
  </sheetData>
  <sheetProtection formatColumns="0" formatRows="0"/>
  <mergeCells count="2">
    <mergeCell ref="U9:U10"/>
    <mergeCell ref="F9:S10"/>
  </mergeCells>
  <phoneticPr fontId="0" type="noConversion"/>
  <dataValidations count="2">
    <dataValidation type="list" allowBlank="1" showInputMessage="1" showErrorMessage="1" sqref="F15">
      <formula1>Language</formula1>
    </dataValidation>
    <dataValidation type="list" allowBlank="1" showInputMessage="1" showErrorMessage="1" sqref="F24">
      <formula1>$AG$12:$AG$15</formula1>
    </dataValidation>
  </dataValidations>
  <printOptions horizontalCentered="1"/>
  <pageMargins left="0" right="0" top="0.15748031496062992" bottom="0.19685039370078741" header="0.19685039370078741" footer="0.15748031496062992"/>
  <pageSetup paperSize="9" scale="42" fitToHeight="0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6</xdr:col>
                <xdr:colOff>723900</xdr:colOff>
                <xdr:row>16</xdr:row>
                <xdr:rowOff>171450</xdr:rowOff>
              </from>
              <to>
                <xdr:col>8</xdr:col>
                <xdr:colOff>714375</xdr:colOff>
                <xdr:row>18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17</vt:i4>
      </vt:variant>
    </vt:vector>
  </HeadingPairs>
  <TitlesOfParts>
    <vt:vector size="19" baseType="lpstr">
      <vt:lpstr>Context</vt:lpstr>
      <vt:lpstr>Bridge_Direction</vt:lpstr>
      <vt:lpstr>ActualForecastAdmin</vt:lpstr>
      <vt:lpstr>ActualMonth</vt:lpstr>
      <vt:lpstr>ActualYear</vt:lpstr>
      <vt:lpstr>AutoRefresh_Bridge_Direction</vt:lpstr>
      <vt:lpstr>Cube1</vt:lpstr>
      <vt:lpstr>Cube2</vt:lpstr>
      <vt:lpstr>Flag_Send_Comment</vt:lpstr>
      <vt:lpstr>Flag_Send_Data</vt:lpstr>
      <vt:lpstr>Bridge_Direction!Impression_des_titres</vt:lpstr>
      <vt:lpstr>Language</vt:lpstr>
      <vt:lpstr>LocalLanguage</vt:lpstr>
      <vt:lpstr>LocalLanguage2</vt:lpstr>
      <vt:lpstr>Note</vt:lpstr>
      <vt:lpstr>Server</vt:lpstr>
      <vt:lpstr>xHost</vt:lpstr>
      <vt:lpstr>xServer</vt:lpstr>
      <vt:lpstr>Bridge_Direction!Zone_d_impression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2012-06-25T12:44:29Z</cp:lastPrinted>
  <dcterms:created xsi:type="dcterms:W3CDTF">2011-06-21T16:52:24Z</dcterms:created>
  <dcterms:modified xsi:type="dcterms:W3CDTF">2013-04-18T12:08:01Z</dcterms:modified>
</cp:coreProperties>
</file>