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7740" tabRatio="852" firstSheet="1" activeTab="1"/>
  </bookViews>
  <sheets>
    <sheet name="Context" sheetId="66" state="hidden" r:id="rId1"/>
    <sheet name="Bridge_Nature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Bridge_Nature">Bridge_Nature!$F$1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Bridge_Nature!$9:$21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Bridge_Nature!$E$8:$V$41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8" i="58" l="1"/>
  <c r="F17" i="58"/>
  <c r="AF10" i="58"/>
  <c r="F19" i="58"/>
  <c r="B5" i="66"/>
  <c r="B13" i="66"/>
  <c r="C13" i="66"/>
  <c r="F16" i="58"/>
  <c r="F14" i="58"/>
  <c r="F13" i="58"/>
  <c r="AG12" i="58"/>
  <c r="J1" i="58"/>
  <c r="J3" i="58"/>
  <c r="H2" i="58"/>
  <c r="J2" i="58"/>
  <c r="AP31" i="58"/>
  <c r="AJ31" i="58"/>
  <c r="I3" i="58"/>
  <c r="H3" i="58"/>
  <c r="I2" i="58"/>
  <c r="I1" i="58"/>
  <c r="AO31" i="58"/>
  <c r="AJ25" i="58"/>
  <c r="AG13" i="58"/>
  <c r="AG14" i="58"/>
  <c r="B16" i="66"/>
  <c r="C16" i="66"/>
  <c r="J4" i="58"/>
  <c r="I4" i="58"/>
  <c r="AH26" i="58"/>
  <c r="AO26" i="58"/>
  <c r="AP26" i="58"/>
  <c r="AJ26" i="58"/>
  <c r="AH27" i="58"/>
  <c r="AO27" i="58"/>
  <c r="AP27" i="58"/>
  <c r="AJ27" i="58"/>
  <c r="AH28" i="58"/>
  <c r="AO28" i="58"/>
  <c r="AP28" i="58"/>
  <c r="AJ28" i="58"/>
  <c r="AH29" i="58"/>
  <c r="AO29" i="58"/>
  <c r="AP29" i="58"/>
  <c r="AJ29" i="58"/>
  <c r="AH30" i="58"/>
  <c r="AO30" i="58"/>
  <c r="AP30" i="58"/>
  <c r="AJ30" i="58"/>
  <c r="AO36" i="58"/>
  <c r="AN25" i="58"/>
  <c r="AN31" i="58"/>
  <c r="M3" i="58"/>
  <c r="AL26" i="58"/>
  <c r="AK26" i="58"/>
  <c r="AL27" i="58"/>
  <c r="AQ26" i="58"/>
  <c r="AK27" i="58"/>
  <c r="AL28" i="58"/>
  <c r="AQ27" i="58"/>
  <c r="AK28" i="58"/>
  <c r="AL29" i="58"/>
  <c r="AQ28" i="58"/>
  <c r="AK29" i="58"/>
  <c r="AQ29" i="58"/>
  <c r="AL30" i="58"/>
  <c r="AK30" i="58"/>
  <c r="AM27" i="58"/>
  <c r="AM28" i="58"/>
  <c r="AM29" i="58"/>
  <c r="AM30" i="58"/>
  <c r="AM26" i="58"/>
  <c r="AQ30" i="58"/>
  <c r="U9" i="58"/>
  <c r="F9" i="58"/>
  <c r="AP25" i="58"/>
  <c r="AO25" i="58"/>
  <c r="E17" i="58"/>
  <c r="AG15" i="58"/>
  <c r="E16" i="58"/>
  <c r="E21" i="58"/>
  <c r="E15" i="58"/>
  <c r="E14" i="58"/>
  <c r="E13" i="58"/>
  <c r="E19" i="58"/>
  <c r="E18" i="58"/>
  <c r="E12" i="58"/>
</calcChain>
</file>

<file path=xl/sharedStrings.xml><?xml version="1.0" encoding="utf-8"?>
<sst xmlns="http://schemas.openxmlformats.org/spreadsheetml/2006/main" count="84" uniqueCount="80">
  <si>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</si>
  <si>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</si>
  <si>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</si>
  <si>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</si>
  <si>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</si>
  <si>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</si>
  <si>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</si>
  <si>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</si>
  <si>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</si>
  <si>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</si>
  <si>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</si>
  <si>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</si>
  <si>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</si>
  <si>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</si>
  <si>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</si>
  <si>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</si>
  <si>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</si>
  <si>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</si>
  <si>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</si>
  <si>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</si>
  <si>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</si>
  <si>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</si>
  <si>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</si>
  <si>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</si>
  <si>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</si>
  <si>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</si>
  <si>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</si>
  <si>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</si>
  <si>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Flag Send Comment :</t>
  </si>
  <si>
    <t>Context_selection</t>
  </si>
  <si>
    <t>Legal_organization</t>
  </si>
  <si>
    <t>z_Translate_Report</t>
  </si>
  <si>
    <t>Integration_rate</t>
  </si>
  <si>
    <t>Language</t>
  </si>
  <si>
    <t>Year</t>
  </si>
  <si>
    <t>Period</t>
  </si>
  <si>
    <t>Budget</t>
  </si>
  <si>
    <t>Forecast_1</t>
  </si>
  <si>
    <t>Forecast_2</t>
  </si>
  <si>
    <t>List 1</t>
  </si>
  <si>
    <t>Langue</t>
  </si>
  <si>
    <t>Français</t>
  </si>
  <si>
    <t>Projets</t>
  </si>
  <si>
    <t xml:space="preserve">Forecast Version </t>
  </si>
  <si>
    <t>RP_PL_Corp</t>
  </si>
  <si>
    <t>RP_Comments_PL_Corp</t>
  </si>
  <si>
    <t>Tiers</t>
  </si>
  <si>
    <t>Matricules</t>
  </si>
  <si>
    <t>VTD</t>
  </si>
  <si>
    <t>Tot_tiers</t>
  </si>
  <si>
    <t>Indicator</t>
  </si>
  <si>
    <t>Actual</t>
  </si>
  <si>
    <t>Réalisé</t>
  </si>
  <si>
    <t>Total</t>
  </si>
  <si>
    <t>Tot_proj</t>
  </si>
  <si>
    <t>Prior Period</t>
  </si>
  <si>
    <t>Ecart entre le minimum et le maximum</t>
  </si>
  <si>
    <t>Valeur transformée pour la première phase</t>
  </si>
  <si>
    <t>Valeur transformée pour la seconde phase</t>
  </si>
  <si>
    <t>Actual_N_1</t>
  </si>
  <si>
    <t>Variances par directions</t>
  </si>
  <si>
    <t>Valeurs vides</t>
  </si>
  <si>
    <t>Valeurs -</t>
  </si>
  <si>
    <t>Valeur +</t>
  </si>
  <si>
    <t>Output</t>
  </si>
  <si>
    <t>Titre Graphique</t>
  </si>
  <si>
    <t>Bridges Coûts par directions :</t>
  </si>
  <si>
    <t>Management_organization</t>
  </si>
  <si>
    <t>AutoRefresh_Bridge_Nature</t>
  </si>
  <si>
    <t>Bridge_nature</t>
  </si>
  <si>
    <t>TPL1_dest_avt_mgmt_fees</t>
  </si>
  <si>
    <t>TPL10_dest</t>
  </si>
  <si>
    <t>Frais_perso_assi</t>
  </si>
  <si>
    <t>Voy</t>
  </si>
  <si>
    <t>Cout_enviro_taxes_dot</t>
  </si>
  <si>
    <t>Cout_ext</t>
  </si>
  <si>
    <t>Bridge_couts_nature</t>
  </si>
  <si>
    <t>`</t>
  </si>
  <si>
    <t>tango_core_model:</t>
  </si>
  <si>
    <t>TFR-AP019298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</si>
</sst>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#,##0;&quot;(&quot;#,##0&quot;)&quot;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sz val="18"/>
      <name val="Calibri"/>
      <family val="2"/>
    </font>
    <font>
      <sz val="15"/>
      <color indexed="61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b/>
      <sz val="18"/>
      <color theme="0"/>
      <name val="Calibri"/>
      <family val="2"/>
    </font>
    <font>
      <i/>
      <sz val="15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b/>
      <sz val="11"/>
      <name val="Tahoma"/>
      <family val="2"/>
    </font>
    <font>
      <sz val="12"/>
      <name val="Arial"/>
      <family val="2"/>
    </font>
    <font>
      <b/>
      <sz val="12"/>
      <color rgb="FFFF00FF"/>
      <name val="Arial"/>
      <family val="2"/>
    </font>
    <font>
      <b/>
      <sz val="14"/>
      <color theme="8" tint="0.39997558519241921"/>
      <name val="Arial"/>
      <family val="2"/>
    </font>
    <font>
      <sz val="11"/>
      <name val="Tahoma"/>
      <family val="2"/>
    </font>
    <font>
      <b/>
      <sz val="12"/>
      <name val="Tahoma"/>
      <family val="2"/>
    </font>
    <font>
      <sz val="11"/>
      <color theme="0"/>
      <name val="Tahoma"/>
      <family val="2"/>
    </font>
    <font>
      <b/>
      <sz val="12"/>
      <color theme="0"/>
      <name val="Tahoma"/>
      <family val="2"/>
    </font>
    <font>
      <b/>
      <sz val="11"/>
      <color theme="0"/>
      <name val="Arial"/>
      <family val="2"/>
    </font>
    <font>
      <b/>
      <sz val="11"/>
      <color rgb="FF00B0F0"/>
      <name val="Arial"/>
      <family val="2"/>
    </font>
    <font>
      <b/>
      <sz val="11"/>
      <color rgb="FF0070C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ADAFB7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88">
    <xf numFmtId="0" fontId="0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4" fillId="20" borderId="3" applyNumberFormat="0" applyAlignment="0" applyProtection="0"/>
    <xf numFmtId="0" fontId="17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7" fillId="0" borderId="7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8" fillId="0" borderId="8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1" fillId="3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166" fontId="32" fillId="22" borderId="0" applyNumberFormat="0" applyBorder="0">
      <alignment horizontal="right"/>
      <protection locked="0"/>
    </xf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0" fontId="23" fillId="0" borderId="2" applyNumberFormat="0" applyFill="0" applyAlignment="0" applyProtection="0"/>
    <xf numFmtId="167" fontId="33" fillId="23" borderId="0" applyNumberFormat="0" applyBorder="0">
      <alignment horizontal="right" vertical="center"/>
      <protection locked="0"/>
    </xf>
    <xf numFmtId="168" fontId="33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4" fillId="25" borderId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34" fillId="25" borderId="0"/>
    <xf numFmtId="0" fontId="34" fillId="25" borderId="0"/>
    <xf numFmtId="169" fontId="36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19" fillId="21" borderId="5" applyNumberFormat="0" applyFont="0" applyAlignment="0" applyProtection="0"/>
    <xf numFmtId="0" fontId="34" fillId="25" borderId="0"/>
    <xf numFmtId="0" fontId="37" fillId="7" borderId="10" applyNumberFormat="0" applyAlignment="0" applyProtection="0"/>
    <xf numFmtId="0" fontId="37" fillId="7" borderId="10" applyNumberFormat="0" applyAlignment="0" applyProtection="0"/>
    <xf numFmtId="0" fontId="37" fillId="7" borderId="10" applyNumberFormat="0" applyAlignment="0" applyProtection="0"/>
    <xf numFmtId="0" fontId="37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6" fillId="12" borderId="0" applyNumberFormat="0" applyBorder="0" applyAlignment="0" applyProtection="0"/>
    <xf numFmtId="0" fontId="37" fillId="27" borderId="10" applyNumberFormat="0" applyAlignment="0" applyProtection="0"/>
    <xf numFmtId="0" fontId="2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170" fontId="40" fillId="28" borderId="0" applyNumberFormat="0" applyBorder="0">
      <alignment horizontal="left" vertical="center"/>
      <protection locked="0"/>
    </xf>
    <xf numFmtId="170" fontId="41" fillId="22" borderId="0" applyNumberFormat="0" applyBorder="0">
      <alignment horizontal="left"/>
      <protection locked="0"/>
    </xf>
    <xf numFmtId="0" fontId="42" fillId="0" borderId="6" applyNumberFormat="0" applyFill="0" applyAlignment="0" applyProtection="0"/>
    <xf numFmtId="0" fontId="43" fillId="0" borderId="11" applyNumberFormat="0" applyFill="0" applyAlignment="0" applyProtection="0"/>
    <xf numFmtId="0" fontId="44" fillId="0" borderId="12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14" fillId="20" borderId="3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5">
    <xf numFmtId="0" fontId="0" fillId="0" borderId="0" xfId="0"/>
    <xf numFmtId="0" fontId="60" fillId="49" borderId="0" xfId="0" applyFont="1" applyFill="1" applyBorder="1" applyAlignment="1" applyProtection="1">
      <alignment vertical="center"/>
    </xf>
    <xf numFmtId="0" fontId="46" fillId="49" borderId="0" xfId="0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2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47" fillId="0" borderId="0" xfId="205" applyFont="1" applyFill="1" applyBorder="1" applyAlignment="1" applyProtection="1">
      <alignment vertical="center"/>
    </xf>
    <xf numFmtId="0" fontId="53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54" fillId="30" borderId="14" xfId="0" applyFont="1" applyFill="1" applyBorder="1" applyAlignment="1" applyProtection="1">
      <alignment horizontal="left"/>
      <protection locked="0"/>
    </xf>
    <xf numFmtId="0" fontId="52" fillId="30" borderId="15" xfId="0" applyFont="1" applyFill="1" applyBorder="1" applyProtection="1">
      <protection locked="0"/>
    </xf>
    <xf numFmtId="0" fontId="51" fillId="31" borderId="16" xfId="0" applyFont="1" applyFill="1" applyBorder="1" applyProtection="1">
      <protection locked="0"/>
    </xf>
    <xf numFmtId="0" fontId="51" fillId="0" borderId="16" xfId="0" applyFont="1" applyBorder="1" applyProtection="1">
      <protection locked="0"/>
    </xf>
    <xf numFmtId="0" fontId="51" fillId="0" borderId="16" xfId="0" applyNumberFormat="1" applyFont="1" applyBorder="1" applyProtection="1">
      <protection locked="0"/>
    </xf>
    <xf numFmtId="0" fontId="0" fillId="0" borderId="0" xfId="0" applyProtection="1"/>
    <xf numFmtId="0" fontId="50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0" xfId="0" applyFill="1" applyAlignment="1" applyProtection="1"/>
    <xf numFmtId="0" fontId="7" fillId="29" borderId="17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13" fillId="0" borderId="18" xfId="196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3" fillId="0" borderId="0" xfId="196" applyFont="1" applyFill="1" applyBorder="1" applyAlignment="1" applyProtection="1">
      <alignment horizontal="center" vertical="center" wrapText="1"/>
    </xf>
    <xf numFmtId="0" fontId="16" fillId="0" borderId="0" xfId="196" applyFont="1" applyFill="1" applyBorder="1" applyAlignment="1" applyProtection="1">
      <alignment horizontal="center"/>
    </xf>
    <xf numFmtId="0" fontId="48" fillId="0" borderId="0" xfId="196" applyFont="1" applyFill="1" applyBorder="1" applyAlignment="1" applyProtection="1">
      <alignment horizontal="center"/>
    </xf>
    <xf numFmtId="0" fontId="50" fillId="0" borderId="0" xfId="0" applyFont="1" applyAlignment="1" applyProtection="1">
      <alignment horizontal="right"/>
    </xf>
    <xf numFmtId="0" fontId="55" fillId="32" borderId="4" xfId="0" applyFont="1" applyFill="1" applyBorder="1" applyAlignment="1" applyProtection="1">
      <alignment horizontal="center"/>
    </xf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1" fillId="0" borderId="19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48" fillId="0" borderId="18" xfId="196" applyFont="1" applyFill="1" applyBorder="1" applyAlignment="1" applyProtection="1">
      <alignment horizontal="center"/>
    </xf>
    <xf numFmtId="0" fontId="7" fillId="0" borderId="2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21" xfId="0" applyFont="1" applyBorder="1" applyProtection="1"/>
    <xf numFmtId="0" fontId="2" fillId="0" borderId="23" xfId="0" applyFont="1" applyFill="1" applyBorder="1" applyProtection="1"/>
    <xf numFmtId="0" fontId="2" fillId="0" borderId="23" xfId="0" applyFont="1" applyBorder="1" applyProtection="1"/>
    <xf numFmtId="0" fontId="3" fillId="35" borderId="21" xfId="205" applyFont="1" applyFill="1" applyBorder="1" applyAlignment="1" applyProtection="1">
      <alignment horizontal="center" vertical="center"/>
    </xf>
    <xf numFmtId="0" fontId="0" fillId="0" borderId="24" xfId="0" applyBorder="1" applyProtection="1"/>
    <xf numFmtId="0" fontId="7" fillId="29" borderId="25" xfId="0" applyFont="1" applyFill="1" applyBorder="1" applyAlignment="1" applyProtection="1">
      <alignment horizontal="left" vertical="center"/>
    </xf>
    <xf numFmtId="0" fontId="0" fillId="0" borderId="23" xfId="0" applyBorder="1" applyProtection="1"/>
    <xf numFmtId="0" fontId="61" fillId="0" borderId="24" xfId="0" applyFont="1" applyBorder="1" applyProtection="1"/>
    <xf numFmtId="0" fontId="2" fillId="0" borderId="0" xfId="0" applyFont="1" applyBorder="1" applyAlignment="1" applyProtection="1">
      <alignment horizontal="center"/>
    </xf>
    <xf numFmtId="0" fontId="4" fillId="0" borderId="27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3" fillId="0" borderId="0" xfId="0" applyFont="1" applyAlignment="1" applyProtection="1">
      <alignment horizontal="left"/>
    </xf>
    <xf numFmtId="0" fontId="64" fillId="0" borderId="0" xfId="0" applyFont="1" applyProtection="1"/>
    <xf numFmtId="0" fontId="55" fillId="0" borderId="26" xfId="0" applyFont="1" applyBorder="1" applyAlignment="1" applyProtection="1">
      <alignment horizontal="center"/>
    </xf>
    <xf numFmtId="0" fontId="61" fillId="0" borderId="21" xfId="0" applyFont="1" applyBorder="1" applyAlignment="1" applyProtection="1">
      <alignment horizontal="center"/>
    </xf>
    <xf numFmtId="0" fontId="62" fillId="0" borderId="22" xfId="0" applyFont="1" applyBorder="1" applyAlignment="1" applyProtection="1">
      <alignment horizontal="center" vertical="center"/>
    </xf>
    <xf numFmtId="0" fontId="59" fillId="0" borderId="0" xfId="222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0" borderId="0" xfId="0" applyFont="1" applyProtection="1"/>
    <xf numFmtId="0" fontId="16" fillId="36" borderId="0" xfId="196" applyFont="1" applyFill="1" applyBorder="1" applyAlignment="1" applyProtection="1">
      <alignment horizontal="center"/>
    </xf>
    <xf numFmtId="0" fontId="58" fillId="0" borderId="0" xfId="205" applyFont="1" applyFill="1" applyBorder="1" applyAlignment="1" applyProtection="1">
      <alignment vertical="center"/>
    </xf>
    <xf numFmtId="0" fontId="0" fillId="0" borderId="28" xfId="0" applyBorder="1" applyProtection="1"/>
    <xf numFmtId="0" fontId="0" fillId="0" borderId="29" xfId="0" applyBorder="1" applyProtection="1"/>
    <xf numFmtId="0" fontId="0" fillId="0" borderId="30" xfId="0" applyBorder="1" applyProtection="1"/>
    <xf numFmtId="0" fontId="18" fillId="0" borderId="0" xfId="0" applyFont="1" applyFill="1" applyBorder="1" applyAlignment="1" applyProtection="1">
      <alignment horizontal="left" vertical="center"/>
    </xf>
    <xf numFmtId="0" fontId="64" fillId="0" borderId="0" xfId="0" applyFont="1" applyBorder="1" applyAlignment="1" applyProtection="1">
      <alignment horizontal="right"/>
    </xf>
    <xf numFmtId="0" fontId="65" fillId="34" borderId="4" xfId="205" applyFont="1" applyFill="1" applyBorder="1" applyAlignment="1" applyProtection="1">
      <alignment horizontal="left" vertical="center"/>
    </xf>
    <xf numFmtId="171" fontId="66" fillId="34" borderId="4" xfId="205" applyNumberFormat="1" applyFont="1" applyFill="1" applyBorder="1" applyAlignment="1" applyProtection="1">
      <alignment vertical="center"/>
    </xf>
    <xf numFmtId="0" fontId="2" fillId="37" borderId="0" xfId="205" applyFill="1" applyAlignment="1"/>
    <xf numFmtId="0" fontId="56" fillId="30" borderId="4" xfId="0" applyFont="1" applyFill="1" applyBorder="1" applyAlignment="1" applyProtection="1">
      <alignment horizontal="center"/>
    </xf>
    <xf numFmtId="0" fontId="62" fillId="0" borderId="0" xfId="0" applyFont="1" applyAlignment="1" applyProtection="1">
      <alignment horizontal="center"/>
    </xf>
    <xf numFmtId="0" fontId="67" fillId="39" borderId="4" xfId="205" applyFont="1" applyFill="1" applyBorder="1" applyAlignment="1" applyProtection="1">
      <alignment horizontal="left" vertical="center"/>
    </xf>
    <xf numFmtId="0" fontId="69" fillId="0" borderId="0" xfId="0" applyFont="1" applyProtection="1"/>
    <xf numFmtId="0" fontId="70" fillId="0" borderId="0" xfId="0" applyFont="1" applyAlignment="1" applyProtection="1">
      <alignment horizontal="center"/>
    </xf>
    <xf numFmtId="0" fontId="62" fillId="0" borderId="0" xfId="0" applyFont="1" applyFill="1" applyBorder="1" applyAlignment="1" applyProtection="1">
      <alignment horizontal="center"/>
    </xf>
    <xf numFmtId="0" fontId="75" fillId="41" borderId="4" xfId="0" applyFont="1" applyFill="1" applyBorder="1" applyProtection="1"/>
    <xf numFmtId="0" fontId="67" fillId="46" borderId="4" xfId="205" applyFont="1" applyFill="1" applyBorder="1" applyAlignment="1" applyProtection="1">
      <alignment horizontal="center" vertical="center"/>
    </xf>
    <xf numFmtId="0" fontId="67" fillId="47" borderId="4" xfId="205" applyFont="1" applyFill="1" applyBorder="1" applyAlignment="1" applyProtection="1">
      <alignment horizontal="center" vertical="center"/>
    </xf>
    <xf numFmtId="0" fontId="67" fillId="48" borderId="4" xfId="205" applyFont="1" applyFill="1" applyBorder="1" applyAlignment="1" applyProtection="1">
      <alignment horizontal="center" vertical="center"/>
    </xf>
    <xf numFmtId="3" fontId="74" fillId="45" borderId="4" xfId="205" applyNumberFormat="1" applyFont="1" applyFill="1" applyBorder="1" applyAlignment="1" applyProtection="1">
      <alignment horizontal="center" vertical="center" wrapText="1"/>
    </xf>
    <xf numFmtId="0" fontId="76" fillId="0" borderId="0" xfId="0" applyFont="1" applyProtection="1"/>
    <xf numFmtId="0" fontId="17" fillId="0" borderId="0" xfId="0" applyFont="1" applyAlignment="1" applyProtection="1">
      <alignment wrapText="1"/>
    </xf>
    <xf numFmtId="0" fontId="0" fillId="0" borderId="0" xfId="0" applyFill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77" fillId="0" borderId="0" xfId="205" applyFont="1" applyFill="1" applyBorder="1" applyAlignment="1" applyProtection="1">
      <alignment vertical="center"/>
    </xf>
    <xf numFmtId="0" fontId="2" fillId="0" borderId="0" xfId="0" applyFont="1" applyBorder="1" applyProtection="1"/>
    <xf numFmtId="0" fontId="50" fillId="0" borderId="0" xfId="0" applyFont="1" applyBorder="1" applyProtection="1"/>
    <xf numFmtId="0" fontId="9" fillId="0" borderId="0" xfId="205" applyFont="1" applyFill="1" applyBorder="1" applyAlignment="1" applyProtection="1">
      <alignment horizontal="center" vertical="center"/>
    </xf>
    <xf numFmtId="0" fontId="4" fillId="0" borderId="0" xfId="205" applyFont="1" applyFill="1" applyBorder="1" applyAlignment="1" applyProtection="1">
      <alignment horizontal="center" vertical="center"/>
    </xf>
    <xf numFmtId="0" fontId="1" fillId="0" borderId="0" xfId="275" applyFill="1" applyBorder="1"/>
    <xf numFmtId="0" fontId="3" fillId="0" borderId="0" xfId="205" applyFont="1" applyFill="1" applyBorder="1" applyAlignment="1" applyProtection="1">
      <alignment horizontal="center" vertical="center"/>
    </xf>
    <xf numFmtId="0" fontId="0" fillId="0" borderId="37" xfId="0" applyBorder="1" applyProtection="1"/>
    <xf numFmtId="0" fontId="0" fillId="0" borderId="38" xfId="0" applyBorder="1" applyProtection="1"/>
    <xf numFmtId="0" fontId="4" fillId="0" borderId="0" xfId="0" applyFont="1" applyFill="1" applyBorder="1" applyAlignment="1" applyProtection="1">
      <alignment horizontal="left" indent="1"/>
    </xf>
    <xf numFmtId="0" fontId="0" fillId="0" borderId="0" xfId="0" applyFill="1" applyBorder="1" applyAlignment="1" applyProtection="1"/>
    <xf numFmtId="0" fontId="57" fillId="0" borderId="0" xfId="0" applyFont="1" applyBorder="1" applyProtection="1"/>
    <xf numFmtId="0" fontId="4" fillId="0" borderId="38" xfId="205" applyFont="1" applyFill="1" applyBorder="1" applyAlignment="1" applyProtection="1">
      <alignment vertical="center"/>
    </xf>
    <xf numFmtId="0" fontId="47" fillId="36" borderId="38" xfId="205" applyFont="1" applyFill="1" applyBorder="1" applyAlignment="1" applyProtection="1">
      <alignment vertical="center"/>
    </xf>
    <xf numFmtId="0" fontId="0" fillId="36" borderId="0" xfId="0" applyFill="1" applyBorder="1" applyProtection="1"/>
    <xf numFmtId="0" fontId="47" fillId="0" borderId="38" xfId="205" applyFont="1" applyFill="1" applyBorder="1" applyAlignment="1" applyProtection="1">
      <alignment vertical="center"/>
    </xf>
    <xf numFmtId="3" fontId="67" fillId="42" borderId="4" xfId="205" applyNumberFormat="1" applyFont="1" applyFill="1" applyBorder="1" applyAlignment="1" applyProtection="1">
      <alignment horizontal="center" vertical="center"/>
    </xf>
    <xf numFmtId="172" fontId="71" fillId="34" borderId="4" xfId="205" applyNumberFormat="1" applyFont="1" applyFill="1" applyBorder="1" applyAlignment="1" applyProtection="1">
      <alignment horizontal="center" vertical="center"/>
    </xf>
    <xf numFmtId="172" fontId="66" fillId="34" borderId="4" xfId="205" applyNumberFormat="1" applyFont="1" applyFill="1" applyBorder="1" applyAlignment="1" applyProtection="1">
      <alignment vertical="center"/>
    </xf>
    <xf numFmtId="172" fontId="71" fillId="38" borderId="4" xfId="205" applyNumberFormat="1" applyFont="1" applyFill="1" applyBorder="1" applyAlignment="1" applyProtection="1">
      <alignment horizontal="center" vertical="center"/>
    </xf>
    <xf numFmtId="172" fontId="2" fillId="37" borderId="0" xfId="205" applyNumberFormat="1" applyFill="1" applyAlignment="1"/>
    <xf numFmtId="172" fontId="74" fillId="45" borderId="4" xfId="205" applyNumberFormat="1" applyFont="1" applyFill="1" applyBorder="1" applyAlignment="1" applyProtection="1">
      <alignment horizontal="center" vertical="center" wrapText="1"/>
    </xf>
    <xf numFmtId="172" fontId="67" fillId="42" borderId="4" xfId="205" applyNumberFormat="1" applyFont="1" applyFill="1" applyBorder="1" applyAlignment="1" applyProtection="1">
      <alignment horizontal="center" vertical="center"/>
    </xf>
    <xf numFmtId="172" fontId="73" fillId="45" borderId="33" xfId="205" applyNumberFormat="1" applyFont="1" applyFill="1" applyBorder="1" applyAlignment="1" applyProtection="1">
      <alignment horizontal="center" vertical="center"/>
    </xf>
    <xf numFmtId="172" fontId="73" fillId="45" borderId="34" xfId="205" applyNumberFormat="1" applyFont="1" applyFill="1" applyBorder="1" applyAlignment="1" applyProtection="1">
      <alignment horizontal="center" vertical="center"/>
    </xf>
    <xf numFmtId="172" fontId="65" fillId="34" borderId="4" xfId="205" applyNumberFormat="1" applyFont="1" applyFill="1" applyBorder="1" applyAlignment="1" applyProtection="1">
      <alignment horizontal="left" vertical="center"/>
    </xf>
    <xf numFmtId="172" fontId="66" fillId="34" borderId="32" xfId="205" applyNumberFormat="1" applyFont="1" applyFill="1" applyBorder="1" applyAlignment="1" applyProtection="1">
      <alignment vertical="center"/>
    </xf>
    <xf numFmtId="172" fontId="72" fillId="44" borderId="35" xfId="205" applyNumberFormat="1" applyFont="1" applyFill="1" applyBorder="1" applyAlignment="1" applyProtection="1">
      <alignment horizontal="center" vertical="center"/>
    </xf>
    <xf numFmtId="172" fontId="72" fillId="44" borderId="36" xfId="205" applyNumberFormat="1" applyFont="1" applyFill="1" applyBorder="1" applyAlignment="1" applyProtection="1">
      <alignment horizontal="center" vertical="center"/>
    </xf>
    <xf numFmtId="172" fontId="0" fillId="0" borderId="0" xfId="0" applyNumberFormat="1" applyProtection="1"/>
    <xf numFmtId="172" fontId="69" fillId="0" borderId="0" xfId="0" applyNumberFormat="1" applyFont="1" applyProtection="1"/>
    <xf numFmtId="172" fontId="55" fillId="40" borderId="31" xfId="205" applyNumberFormat="1" applyFont="1" applyFill="1" applyBorder="1" applyAlignment="1">
      <alignment horizontal="center"/>
    </xf>
    <xf numFmtId="172" fontId="55" fillId="40" borderId="0" xfId="205" applyNumberFormat="1" applyFont="1" applyFill="1" applyBorder="1" applyAlignment="1">
      <alignment horizontal="center"/>
    </xf>
    <xf numFmtId="172" fontId="68" fillId="40" borderId="22" xfId="205" applyNumberFormat="1" applyFont="1" applyFill="1" applyBorder="1" applyAlignment="1">
      <alignment horizontal="center"/>
    </xf>
    <xf numFmtId="172" fontId="68" fillId="40" borderId="0" xfId="205" applyNumberFormat="1" applyFont="1" applyFill="1" applyBorder="1" applyAlignment="1">
      <alignment horizontal="center"/>
    </xf>
    <xf numFmtId="172" fontId="17" fillId="0" borderId="0" xfId="0" applyNumberFormat="1" applyFont="1"/>
    <xf numFmtId="172" fontId="0" fillId="0" borderId="0" xfId="0" applyNumberFormat="1"/>
    <xf numFmtId="3" fontId="65" fillId="43" borderId="4" xfId="205" applyNumberFormat="1" applyFont="1" applyFill="1" applyBorder="1" applyAlignment="1" applyProtection="1">
      <alignment horizontal="left" vertical="center"/>
    </xf>
    <xf numFmtId="0" fontId="0" fillId="0" borderId="39" xfId="0" applyBorder="1" applyProtection="1"/>
    <xf numFmtId="0" fontId="0" fillId="0" borderId="40" xfId="0" applyBorder="1" applyProtection="1"/>
    <xf numFmtId="0" fontId="4" fillId="0" borderId="40" xfId="205" applyFont="1" applyFill="1" applyBorder="1" applyAlignment="1" applyProtection="1">
      <alignment vertical="center"/>
    </xf>
    <xf numFmtId="0" fontId="10" fillId="0" borderId="40" xfId="0" applyFont="1" applyFill="1" applyBorder="1" applyAlignment="1" applyProtection="1">
      <alignment horizontal="left"/>
    </xf>
    <xf numFmtId="0" fontId="16" fillId="0" borderId="40" xfId="196" applyFont="1" applyFill="1" applyBorder="1" applyAlignment="1" applyProtection="1">
      <alignment horizontal="center"/>
    </xf>
    <xf numFmtId="0" fontId="0" fillId="0" borderId="40" xfId="0" applyFill="1" applyBorder="1" applyAlignment="1" applyProtection="1"/>
    <xf numFmtId="0" fontId="0" fillId="0" borderId="27" xfId="0" applyBorder="1" applyProtection="1"/>
    <xf numFmtId="0" fontId="52" fillId="30" borderId="14" xfId="0" applyFont="1" applyFill="1" applyBorder="1" applyAlignment="1" applyProtection="1">
      <alignment horizontal="left" vertical="center"/>
      <protection locked="0"/>
    </xf>
    <xf numFmtId="0" fontId="60" fillId="49" borderId="0" xfId="0" applyFont="1" applyFill="1" applyBorder="1" applyAlignment="1" applyProtection="1">
      <alignment horizontal="right" vertical="center"/>
    </xf>
    <xf numFmtId="0" fontId="4" fillId="50" borderId="0" xfId="0" applyFont="1" applyFill="1" applyBorder="1" applyAlignment="1" applyProtection="1">
      <alignment horizontal="left" indent="1"/>
    </xf>
    <xf numFmtId="0" fontId="46" fillId="51" borderId="0" xfId="0" applyFont="1" applyFill="1" applyBorder="1" applyAlignment="1" applyProtection="1">
      <alignment horizontal="center" vertical="center"/>
    </xf>
    <xf numFmtId="0" fontId="8" fillId="52" borderId="0" xfId="196" applyFont="1" applyFill="1" applyBorder="1" applyAlignment="1">
      <alignment horizontal="left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FF0000"/>
      <color rgb="FF908CE6"/>
      <color rgb="FFE60000"/>
      <color rgb="FFA00000"/>
      <color rgb="FF00BD4F"/>
      <color rgb="FF009E41"/>
      <color rgb="FF006D2A"/>
      <color rgb="FF214066"/>
      <color rgb="FF0E2138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704309685703541E-3"/>
          <c:y val="0.10518175292620843"/>
          <c:w val="0.99292953602641465"/>
          <c:h val="0.7603997496046738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prstClr val="white">
                <a:alpha val="0"/>
              </a:prstClr>
            </a:solidFill>
          </c:spPr>
          <c:invertIfNegative val="0"/>
          <c:dLbls>
            <c:delete val="1"/>
          </c:dLbls>
          <c:cat>
            <c:numRef>
              <c:f>Bridge_Nature!$AJ$25:$AJ$31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&quot;(&quot;#,##0&quot;)&quot;">
                  <c:v>0</c:v>
                </c:pt>
              </c:numCache>
            </c:numRef>
          </c:cat>
          <c:val>
            <c:numRef>
              <c:f>Bridge_Nature!$AK$25:$AK$31</c:f>
              <c:numCache>
                <c:formatCode>#,##0;"("#,##0")"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5"/>
            <c:invertIfNegative val="0"/>
            <c:bubble3D val="0"/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</c:dPt>
          <c:dPt>
            <c:idx val="18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2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4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dPt>
            <c:idx val="27"/>
            <c:invertIfNegative val="0"/>
            <c:bubble3D val="0"/>
          </c:dPt>
          <c:dPt>
            <c:idx val="28"/>
            <c:invertIfNegative val="0"/>
            <c:bubble3D val="0"/>
          </c:dPt>
          <c:dLbls>
            <c:numFmt formatCode="#,##0" sourceLinked="0"/>
            <c:txPr>
              <a:bodyPr anchor="t" anchorCtr="0"/>
              <a:lstStyle/>
              <a:p>
                <a:pPr>
                  <a:defRPr sz="1400" b="1" cap="none" spc="50">
                    <a:ln w="13500">
                      <a:solidFill>
                        <a:sysClr val="windowText" lastClr="000000">
                          <a:alpha val="6500"/>
                        </a:sysClr>
                      </a:solidFill>
                      <a:prstDash val="solid"/>
                    </a:ln>
                    <a:solidFill>
                      <a:sysClr val="windowText" lastClr="000000">
                        <a:alpha val="95000"/>
                      </a:sysClr>
                    </a:solidFill>
                    <a:effectLst>
                      <a:innerShdw blurRad="50900" dist="38500" dir="13500000">
                        <a:srgbClr val="000000">
                          <a:alpha val="60000"/>
                        </a:srgbClr>
                      </a:innerShdw>
                    </a:effectLst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</c:dLbls>
          <c:cat>
            <c:numRef>
              <c:f>Bridge_Nature!$AJ$25:$AJ$31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&quot;(&quot;#,##0&quot;)&quot;">
                  <c:v>0</c:v>
                </c:pt>
              </c:numCache>
            </c:numRef>
          </c:cat>
          <c:val>
            <c:numRef>
              <c:f>Bridge_Nature!$AL$25:$AL$31</c:f>
              <c:numCache>
                <c:formatCode>#,##0;"("#,##0")"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rgbClr val="908CE6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6"/>
              <c:layout/>
              <c:showLegendKey val="0"/>
              <c:showVal val="0"/>
              <c:showCatName val="1"/>
              <c:showSerName val="0"/>
              <c:showPercent val="0"/>
              <c:showBubbleSize val="0"/>
            </c:dLbl>
            <c:numFmt formatCode="#,##0" sourceLinked="0"/>
            <c:txPr>
              <a:bodyPr rot="0" vert="horz"/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 </c:separator>
            <c:showLeaderLines val="0"/>
          </c:dLbls>
          <c:cat>
            <c:numRef>
              <c:f>Bridge_Nature!$AJ$25:$AJ$31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&quot;(&quot;#,##0&quot;)&quot;">
                  <c:v>0</c:v>
                </c:pt>
              </c:numCache>
            </c:numRef>
          </c:cat>
          <c:val>
            <c:numRef>
              <c:f>Bridge_Nature!$AN$25:$AN$31</c:f>
              <c:numCache>
                <c:formatCode>#,##0;"("#,##0")"</c:formatCode>
                <c:ptCount val="7"/>
                <c:pt idx="0" formatCode="#,##0">
                  <c:v>0</c:v>
                </c:pt>
                <c:pt idx="6">
                  <c:v>0</c:v>
                </c:pt>
              </c:numCache>
            </c:numRef>
          </c:val>
        </c:ser>
        <c:ser>
          <c:idx val="3"/>
          <c:order val="3"/>
          <c:spPr>
            <a:solidFill>
              <a:srgbClr val="FF0000"/>
            </a:solidFill>
          </c:spPr>
          <c:invertIfNegative val="0"/>
          <c:dLbls>
            <c:delete val="1"/>
          </c:dLbls>
          <c:cat>
            <c:numRef>
              <c:f>Bridge_Nature!$AJ$25:$AJ$31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&quot;(&quot;#,##0&quot;)&quot;">
                  <c:v>0</c:v>
                </c:pt>
              </c:numCache>
            </c:numRef>
          </c:cat>
          <c:val>
            <c:numRef>
              <c:f>Bridge_Nature!$AM$25:$AM$31</c:f>
              <c:numCache>
                <c:formatCode>#,##0;"("#,##0")"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"/>
        <c:overlap val="100"/>
        <c:axId val="281477888"/>
        <c:axId val="281479040"/>
      </c:barChart>
      <c:catAx>
        <c:axId val="281477888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extTo"/>
        <c:crossAx val="281479040"/>
        <c:crosses val="autoZero"/>
        <c:auto val="1"/>
        <c:lblAlgn val="ctr"/>
        <c:lblOffset val="100"/>
        <c:noMultiLvlLbl val="0"/>
      </c:catAx>
      <c:valAx>
        <c:axId val="281479040"/>
        <c:scaling>
          <c:orientation val="minMax"/>
        </c:scaling>
        <c:delete val="1"/>
        <c:axPos val="l"/>
        <c:numFmt formatCode="#,##0.0" sourceLinked="1"/>
        <c:majorTickMark val="out"/>
        <c:minorTickMark val="none"/>
        <c:tickLblPos val="nextTo"/>
        <c:crossAx val="28147788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chemeClr val="bg1">
        <a:alpha val="58000"/>
      </a:schemeClr>
    </a:solidFill>
    <a:ln>
      <a:noFill/>
      <a:prstDash val="solid"/>
    </a:ln>
  </c:spPr>
  <c:printSettings>
    <c:headerFooter/>
    <c:pageMargins b="0.74803149606299213" l="0.70866141732283472" r="0.70866141732283472" t="0.74803149606299213" header="0.31496062992125984" footer="0.31496062992125984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181174</xdr:colOff>
      <xdr:row>8</xdr:row>
      <xdr:rowOff>89054</xdr:rowOff>
    </xdr:from>
    <xdr:to>
      <xdr:col>21</xdr:col>
      <xdr:colOff>976012</xdr:colOff>
      <xdr:row>9</xdr:row>
      <xdr:rowOff>344698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27719" y="2236509"/>
          <a:ext cx="794838" cy="7751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1095993</xdr:colOff>
      <xdr:row>22</xdr:row>
      <xdr:rowOff>133350</xdr:rowOff>
    </xdr:from>
    <xdr:to>
      <xdr:col>20</xdr:col>
      <xdr:colOff>1143000</xdr:colOff>
      <xdr:row>39</xdr:row>
      <xdr:rowOff>152153</xdr:rowOff>
    </xdr:to>
    <xdr:graphicFrame macro="">
      <xdr:nvGraphicFramePr>
        <xdr:cNvPr id="10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1485900</xdr:colOff>
          <xdr:row>12</xdr:row>
          <xdr:rowOff>0</xdr:rowOff>
        </xdr:from>
        <xdr:to>
          <xdr:col>6</xdr:col>
          <xdr:colOff>266700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2628900</xdr:colOff>
      <xdr:row>9</xdr:row>
      <xdr:rowOff>361446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685800"/>
          <a:ext cx="2628900" cy="89484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0.26422</cdr:x>
      <cdr:y>0.00977</cdr:y>
    </cdr:from>
    <cdr:to>
      <cdr:x>0.77041</cdr:x>
      <cdr:y>0.15961</cdr:y>
    </cdr:to>
    <cdr:sp macro="" textlink="Bridge_Nature!$M$3">
      <cdr:nvSpPr>
        <cdr:cNvPr id="2" name="TextBox 1"/>
        <cdr:cNvSpPr txBox="1"/>
      </cdr:nvSpPr>
      <cdr:spPr>
        <a:xfrm xmlns:a="http://schemas.openxmlformats.org/drawingml/2006/main">
          <a:off x="4727792" y="58374"/>
          <a:ext cx="9057457" cy="895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2A32D8D2-6BE6-47B1-B914-81BFCFF3D2B2}" type="TxLink">
            <a:rPr lang="en-US" sz="2000" b="1"/>
            <a:pPr algn="ctr"/>
            <a:t>Bridge des coûts par nature
Réalisé N-1 Vs Réalisé</a:t>
          </a:fld>
          <a:endParaRPr lang="en-US" sz="2000" b="1"/>
        </a:p>
      </cdr:txBody>
    </cdr:sp>
  </cdr:relSizeAnchor>
  <cdr:relSizeAnchor xmlns:cdr="http://schemas.openxmlformats.org/drawingml/2006/chartDrawing">
    <cdr:from>
      <cdr:x>0.01445</cdr:x>
      <cdr:y>0.88379</cdr:y>
    </cdr:from>
    <cdr:to>
      <cdr:x>0.09969</cdr:x>
      <cdr:y>0.97859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8619" y="5004955"/>
          <a:ext cx="1525154" cy="5368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/>
        </a:p>
      </cdr:txBody>
    </cdr:sp>
  </cdr:relSizeAnchor>
  <cdr:relSizeAnchor xmlns:cdr="http://schemas.openxmlformats.org/drawingml/2006/chartDrawing">
    <cdr:from>
      <cdr:x>0.00105</cdr:x>
      <cdr:y>0.85016</cdr:y>
    </cdr:from>
    <cdr:to>
      <cdr:x>0.14947</cdr:x>
      <cdr:y>1</cdr:y>
    </cdr:to>
    <cdr:sp macro="" textlink="Bridge_Nature!$I$4">
      <cdr:nvSpPr>
        <cdr:cNvPr id="4" name="TextBox 1"/>
        <cdr:cNvSpPr txBox="1"/>
      </cdr:nvSpPr>
      <cdr:spPr>
        <a:xfrm xmlns:a="http://schemas.openxmlformats.org/drawingml/2006/main">
          <a:off x="17319" y="4431692"/>
          <a:ext cx="2441863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C89844-0948-4BE7-A750-B3C56530884C}" type="TxLink">
            <a:rPr lang="en-US" sz="1300" b="1"/>
            <a:pPr algn="ctr"/>
            <a:t>RESULTAT OPERATIONNEL AVANT MF
Réalisé N-1</a:t>
          </a:fld>
          <a:endParaRPr lang="en-US" sz="1300" b="1"/>
        </a:p>
      </cdr:txBody>
    </cdr:sp>
  </cdr:relSizeAnchor>
  <cdr:relSizeAnchor xmlns:cdr="http://schemas.openxmlformats.org/drawingml/2006/chartDrawing">
    <cdr:from>
      <cdr:x>0.86421</cdr:x>
      <cdr:y>0.85016</cdr:y>
    </cdr:from>
    <cdr:to>
      <cdr:x>1</cdr:x>
      <cdr:y>1</cdr:y>
    </cdr:to>
    <cdr:sp macro="" textlink="Bridge_Nature!$J$4">
      <cdr:nvSpPr>
        <cdr:cNvPr id="5" name="TextBox 1"/>
        <cdr:cNvSpPr txBox="1"/>
      </cdr:nvSpPr>
      <cdr:spPr>
        <a:xfrm xmlns:a="http://schemas.openxmlformats.org/drawingml/2006/main">
          <a:off x="14218227" y="4431692"/>
          <a:ext cx="2234046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198534-D354-439D-8D1E-8132B9628F55}" type="TxLink">
            <a:rPr lang="en-US" sz="1300" b="1"/>
            <a:pPr algn="ctr"/>
            <a:t>RESULTAT OPERATIONNEL AVANT MF
Réalisé</a:t>
          </a:fld>
          <a:endParaRPr lang="en-US" sz="1300" b="1"/>
        </a:p>
      </cdr:txBody>
    </cdr:sp>
  </cdr:relSizeAnchor>
  <cdr:relSizeAnchor xmlns:cdr="http://schemas.openxmlformats.org/drawingml/2006/chartDrawing">
    <cdr:from>
      <cdr:x>0.1621</cdr:x>
      <cdr:y>0.85016</cdr:y>
    </cdr:from>
    <cdr:to>
      <cdr:x>0.30316</cdr:x>
      <cdr:y>1</cdr:y>
    </cdr:to>
    <cdr:sp macro="" textlink="Bridge_Nature!$AH$26">
      <cdr:nvSpPr>
        <cdr:cNvPr id="6" name="TextBox 1"/>
        <cdr:cNvSpPr txBox="1"/>
      </cdr:nvSpPr>
      <cdr:spPr>
        <a:xfrm xmlns:a="http://schemas.openxmlformats.org/drawingml/2006/main">
          <a:off x="2666914" y="4431692"/>
          <a:ext cx="2320723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A46DB2C-2B29-4F2A-A3D0-935085722C0D}" type="TxLink">
            <a:rPr lang="en-US" sz="1300" b="1"/>
            <a:pPr algn="ctr"/>
            <a:t>Frais de personnel et Assimilés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0.32252</cdr:x>
      <cdr:y>0.85016</cdr:y>
    </cdr:from>
    <cdr:to>
      <cdr:x>0.44</cdr:x>
      <cdr:y>1</cdr:y>
    </cdr:to>
    <cdr:sp macro="" textlink="Bridge_Nature!$AH$27">
      <cdr:nvSpPr>
        <cdr:cNvPr id="7" name="TextBox 1"/>
        <cdr:cNvSpPr txBox="1"/>
      </cdr:nvSpPr>
      <cdr:spPr>
        <a:xfrm xmlns:a="http://schemas.openxmlformats.org/drawingml/2006/main">
          <a:off x="5306133" y="4431692"/>
          <a:ext cx="1932865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7685FC5-0DE0-4A05-8E89-5563678CA534}" type="TxLink">
            <a:rPr lang="en-US" sz="1300" b="1"/>
            <a:pPr algn="ctr"/>
            <a:t>Voyages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0.44483</cdr:x>
      <cdr:y>0.85016</cdr:y>
    </cdr:from>
    <cdr:to>
      <cdr:x>0.58105</cdr:x>
      <cdr:y>1</cdr:y>
    </cdr:to>
    <cdr:sp macro="" textlink="Bridge_Nature!$AH$28">
      <cdr:nvSpPr>
        <cdr:cNvPr id="8" name="TextBox 1"/>
        <cdr:cNvSpPr txBox="1"/>
      </cdr:nvSpPr>
      <cdr:spPr>
        <a:xfrm xmlns:a="http://schemas.openxmlformats.org/drawingml/2006/main">
          <a:off x="7318464" y="4431692"/>
          <a:ext cx="2241172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34C9F42-DA61-4025-8212-EDA2142E7C36}" type="TxLink">
            <a:rPr lang="en-US" sz="1300" b="1"/>
            <a:pPr algn="ctr"/>
            <a:t>Coûts externes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0.59158</cdr:x>
      <cdr:y>0.85016</cdr:y>
    </cdr:from>
    <cdr:to>
      <cdr:x>0.71684</cdr:x>
      <cdr:y>1</cdr:y>
    </cdr:to>
    <cdr:sp macro="" textlink="Bridge_Nature!$AH$29">
      <cdr:nvSpPr>
        <cdr:cNvPr id="9" name="TextBox 1"/>
        <cdr:cNvSpPr txBox="1"/>
      </cdr:nvSpPr>
      <cdr:spPr>
        <a:xfrm xmlns:a="http://schemas.openxmlformats.org/drawingml/2006/main">
          <a:off x="9732818" y="4431692"/>
          <a:ext cx="2060864" cy="7810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702C168-A353-492C-BA71-876ECFD56632}" type="TxLink">
            <a:rPr lang="en-US" sz="1300" b="1"/>
            <a:pPr algn="ctr"/>
            <a:t>Coûts d'environnement, Taxes et dotations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0.73579</cdr:x>
      <cdr:y>0.84435</cdr:y>
    </cdr:from>
    <cdr:to>
      <cdr:x>0.85263</cdr:x>
      <cdr:y>0.99419</cdr:y>
    </cdr:to>
    <cdr:sp macro="" textlink="Bridge_Nature!$AH$30">
      <cdr:nvSpPr>
        <cdr:cNvPr id="10" name="TextBox 1"/>
        <cdr:cNvSpPr txBox="1"/>
      </cdr:nvSpPr>
      <cdr:spPr>
        <a:xfrm xmlns:a="http://schemas.openxmlformats.org/drawingml/2006/main">
          <a:off x="12105409" y="5036778"/>
          <a:ext cx="1922318" cy="893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8082470-76B3-4447-982A-492476AF471B}" type="TxLink">
            <a:rPr lang="en-US" sz="1300" b="1"/>
            <a:pPr algn="ctr"/>
            <a:t>PRODUIT DES ACTIVITES ORDINAIRES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0.70453</cdr:x>
      <cdr:y>0.85016</cdr:y>
    </cdr:from>
    <cdr:to>
      <cdr:x>0.79848</cdr:x>
      <cdr:y>1</cdr:y>
    </cdr:to>
    <cdr:sp macro="" textlink="">
      <cdr:nvSpPr>
        <cdr:cNvPr id="12" name="TextBox 1"/>
        <cdr:cNvSpPr txBox="1"/>
      </cdr:nvSpPr>
      <cdr:spPr>
        <a:xfrm xmlns:a="http://schemas.openxmlformats.org/drawingml/2006/main">
          <a:off x="12606481" y="4814509"/>
          <a:ext cx="1681018" cy="848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1300" b="1"/>
        </a:p>
      </cdr:txBody>
    </cdr:sp>
  </cdr:relSizeAnchor>
  <cdr:relSizeAnchor xmlns:cdr="http://schemas.openxmlformats.org/drawingml/2006/chartDrawing">
    <cdr:from>
      <cdr:x>0.89949</cdr:x>
      <cdr:y>0.85016</cdr:y>
    </cdr:from>
    <cdr:to>
      <cdr:x>0.941</cdr:x>
      <cdr:y>1</cdr:y>
    </cdr:to>
    <cdr:sp macro="" textlink="Bridge_Nature!#REF!">
      <cdr:nvSpPr>
        <cdr:cNvPr id="16" name="TextBox 1"/>
        <cdr:cNvSpPr txBox="1"/>
      </cdr:nvSpPr>
      <cdr:spPr>
        <a:xfrm xmlns:a="http://schemas.openxmlformats.org/drawingml/2006/main">
          <a:off x="21123105" y="5079512"/>
          <a:ext cx="974896" cy="895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4C27E87-5D3F-4419-A438-8C02F6259080}" type="TxLink">
            <a:rPr lang="en-US" sz="1300" b="1"/>
            <a:pPr algn="ctr"/>
            <a:t> </a:t>
          </a:fld>
          <a:endParaRPr lang="en-US" sz="1300" b="1"/>
        </a:p>
      </cdr:txBody>
    </cdr:sp>
  </cdr:relSizeAnchor>
  <cdr:relSizeAnchor xmlns:cdr="http://schemas.openxmlformats.org/drawingml/2006/chartDrawing">
    <cdr:from>
      <cdr:x>0.85251</cdr:x>
      <cdr:y>0.85016</cdr:y>
    </cdr:from>
    <cdr:to>
      <cdr:x>0.90487</cdr:x>
      <cdr:y>1</cdr:y>
    </cdr:to>
    <cdr:sp macro="" textlink="Bridge_Nature!#REF!">
      <cdr:nvSpPr>
        <cdr:cNvPr id="17" name="TextBox 1"/>
        <cdr:cNvSpPr txBox="1"/>
      </cdr:nvSpPr>
      <cdr:spPr>
        <a:xfrm xmlns:a="http://schemas.openxmlformats.org/drawingml/2006/main">
          <a:off x="20019817" y="5079512"/>
          <a:ext cx="1229591" cy="895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DDD8BFA-950E-4F9A-9DD7-295A4A722535}" type="TxLink">
            <a:rPr lang="en-US" sz="1300" b="1"/>
            <a:pPr algn="ctr"/>
            <a:t> </a:t>
          </a:fld>
          <a:endParaRPr lang="en-US" sz="1300" b="1"/>
        </a:p>
      </cdr:txBody>
    </cdr:sp>
  </cdr:relSizeAnchor>
  <cdr:relSizeAnchor xmlns:cdr="http://schemas.openxmlformats.org/drawingml/2006/chartDrawing">
    <cdr:from>
      <cdr:x>0.70059</cdr:x>
      <cdr:y>0.85016</cdr:y>
    </cdr:from>
    <cdr:to>
      <cdr:x>0.74648</cdr:x>
      <cdr:y>1</cdr:y>
    </cdr:to>
    <cdr:sp macro="" textlink="Bridge_Nature!#REF!">
      <cdr:nvSpPr>
        <cdr:cNvPr id="20" name="TextBox 1"/>
        <cdr:cNvSpPr txBox="1"/>
      </cdr:nvSpPr>
      <cdr:spPr>
        <a:xfrm xmlns:a="http://schemas.openxmlformats.org/drawingml/2006/main">
          <a:off x="16452272" y="5079512"/>
          <a:ext cx="1077651" cy="895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7837E53-A145-4014-9DA9-721F96EDCC6E}" type="TxLink">
            <a:rPr lang="en-US" sz="1300" b="1"/>
            <a:pPr algn="ctr"/>
            <a:t> </a:t>
          </a:fld>
          <a:endParaRPr lang="en-US" sz="1300" b="1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9"/>
  <sheetViews>
    <sheetView workbookViewId="0">
      <selection activeCell="D17" sqref="D17"/>
    </sheetView>
  </sheetViews>
  <sheetFormatPr baseColWidth="10" defaultColWidth="9.140625" defaultRowHeight="12.75" x14ac:dyDescent="0.2"/>
  <cols>
    <col min="1" max="1" width="38.28515625" style="13" bestFit="1" customWidth="1"/>
    <col min="2" max="2" width="17.85546875" style="13" bestFit="1" customWidth="1"/>
    <col min="3" max="3" width="9.140625" style="13"/>
    <col min="4" max="4" width="27.7109375" style="13" customWidth="1"/>
    <col min="5" max="5" width="15.140625" style="13" bestFit="1" customWidth="1"/>
    <col min="6" max="16384" width="9.140625" style="13"/>
  </cols>
  <sheetData>
    <row r="1" spans="1:3" ht="18" x14ac:dyDescent="0.25">
      <c r="A1" s="11" t="s">
        <v>66</v>
      </c>
      <c r="B1" s="12"/>
    </row>
    <row r="2" spans="1:3" x14ac:dyDescent="0.2">
      <c r="A2" s="12"/>
      <c r="B2" s="12"/>
    </row>
    <row r="3" spans="1:3" ht="15.75" x14ac:dyDescent="0.25">
      <c r="A3" s="14" t="s">
        <v>5</v>
      </c>
      <c r="B3" s="12"/>
    </row>
    <row r="4" spans="1:3" x14ac:dyDescent="0.2">
      <c r="A4" s="15" t="s">
        <v>4</v>
      </c>
      <c r="B4" s="16" t="s">
        <v>78</v>
      </c>
    </row>
    <row r="5" spans="1:3" x14ac:dyDescent="0.2">
      <c r="A5" s="15" t="s">
        <v>7</v>
      </c>
      <c r="B5" s="17" t="str">
        <f>LEFT(Server,LEN(Server)-1)</f>
        <v>tango_core_model</v>
      </c>
    </row>
    <row r="6" spans="1:3" x14ac:dyDescent="0.2">
      <c r="A6" s="15" t="s">
        <v>3</v>
      </c>
      <c r="B6" s="17" t="s">
        <v>79</v>
      </c>
    </row>
    <row r="7" spans="1:3" x14ac:dyDescent="0.2">
      <c r="A7" s="15" t="s">
        <v>17</v>
      </c>
      <c r="B7" s="17">
        <v>0</v>
      </c>
    </row>
    <row r="8" spans="1:3" x14ac:dyDescent="0.2">
      <c r="A8" s="15" t="s">
        <v>28</v>
      </c>
      <c r="B8" s="17">
        <v>0</v>
      </c>
    </row>
    <row r="10" spans="1:3" ht="15.75" x14ac:dyDescent="0.25">
      <c r="A10" s="14" t="s">
        <v>6</v>
      </c>
    </row>
    <row r="11" spans="1:3" ht="13.5" customHeight="1" x14ac:dyDescent="0.2">
      <c r="A11" s="15" t="s">
        <v>13</v>
      </c>
      <c r="B11" s="17" t="s">
        <v>44</v>
      </c>
    </row>
    <row r="12" spans="1:3" ht="13.5" customHeight="1" x14ac:dyDescent="0.2">
      <c r="A12" s="15" t="s">
        <v>14</v>
      </c>
      <c r="B12" s="17" t="s">
        <v>45</v>
      </c>
      <c r="C12" s="58" t="s">
        <v>34</v>
      </c>
    </row>
    <row r="13" spans="1:3" x14ac:dyDescent="0.2">
      <c r="A13" s="15" t="s">
        <v>9</v>
      </c>
      <c r="B13" s="17" t="str">
        <f ca="1">_xll.DBR(Server&amp;"z_Admin_Param","MONTH_CORPORATE","STR_VAR1")</f>
        <v>2013.03</v>
      </c>
      <c r="C13" s="57" t="str">
        <f ca="1">LEFT($B$13,4)</f>
        <v>2013</v>
      </c>
    </row>
    <row r="14" spans="1:3" x14ac:dyDescent="0.2">
      <c r="A14" s="15" t="s">
        <v>18</v>
      </c>
      <c r="B14" s="17"/>
    </row>
    <row r="15" spans="1:3" x14ac:dyDescent="0.2">
      <c r="A15" s="15" t="s">
        <v>43</v>
      </c>
      <c r="B15" s="17"/>
    </row>
    <row r="16" spans="1:3" x14ac:dyDescent="0.2">
      <c r="A16" s="15" t="s">
        <v>2</v>
      </c>
      <c r="B16" s="18" t="str">
        <f ca="1">_xll.DBR(Server&amp;"z_Client_Properties","Language",_xll.TM1USER(xServer))</f>
        <v>English</v>
      </c>
      <c r="C16" s="13" t="str">
        <f ca="1">IF(LocalLanguage="French","Français",LocalLanguage)</f>
        <v>English</v>
      </c>
    </row>
    <row r="17" spans="1:6" x14ac:dyDescent="0.2">
      <c r="A17" s="130" t="s">
        <v>26</v>
      </c>
      <c r="B17" s="34" t="s">
        <v>1</v>
      </c>
    </row>
    <row r="18" spans="1:6" x14ac:dyDescent="0.2">
      <c r="A18" s="130"/>
      <c r="B18" s="34" t="s">
        <v>41</v>
      </c>
    </row>
    <row r="19" spans="1:6" x14ac:dyDescent="0.2">
      <c r="A19" s="130"/>
      <c r="B19" s="34" t="s">
        <v>10</v>
      </c>
    </row>
    <row r="20" spans="1:6" x14ac:dyDescent="0.2">
      <c r="A20" s="130"/>
      <c r="B20" s="34" t="s">
        <v>11</v>
      </c>
    </row>
    <row r="21" spans="1:6" x14ac:dyDescent="0.2">
      <c r="A21" s="130"/>
      <c r="B21" s="34" t="s">
        <v>12</v>
      </c>
    </row>
    <row r="22" spans="1:6" x14ac:dyDescent="0.2">
      <c r="A22" s="130" t="s">
        <v>27</v>
      </c>
      <c r="B22" s="34" t="s">
        <v>23</v>
      </c>
    </row>
    <row r="23" spans="1:6" x14ac:dyDescent="0.2">
      <c r="A23" s="130"/>
      <c r="B23" s="34" t="s">
        <v>24</v>
      </c>
    </row>
    <row r="24" spans="1:6" x14ac:dyDescent="0.2">
      <c r="A24" s="130"/>
      <c r="B24" s="34" t="s">
        <v>25</v>
      </c>
    </row>
    <row r="26" spans="1:6" ht="15.75" x14ac:dyDescent="0.25">
      <c r="A26" s="14" t="s">
        <v>19</v>
      </c>
      <c r="F26" s="13" t="s">
        <v>8</v>
      </c>
    </row>
    <row r="27" spans="1:6" ht="13.5" customHeight="1" x14ac:dyDescent="0.25">
      <c r="A27" s="13" t="s">
        <v>20</v>
      </c>
      <c r="B27" s="31"/>
    </row>
    <row r="28" spans="1:6" x14ac:dyDescent="0.2">
      <c r="A28" s="13" t="s">
        <v>21</v>
      </c>
      <c r="B28" s="32"/>
    </row>
    <row r="29" spans="1:6" x14ac:dyDescent="0.2">
      <c r="A29" s="13" t="s">
        <v>22</v>
      </c>
      <c r="B29" s="33"/>
    </row>
  </sheetData>
  <sheetProtection password="D70F" sheet="1" objects="1" scenarios="1" formatColumns="0" formatRows="0"/>
  <mergeCells count="2">
    <mergeCell ref="A17:A21"/>
    <mergeCell ref="A22:A24"/>
  </mergeCells>
  <phoneticPr fontId="4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AZ103"/>
  <sheetViews>
    <sheetView showGridLines="0" tabSelected="1" topLeftCell="D6" zoomScale="50" zoomScaleNormal="50" zoomScaleSheetLayoutView="70" workbookViewId="0">
      <selection activeCell="K14" sqref="K14"/>
    </sheetView>
  </sheetViews>
  <sheetFormatPr baseColWidth="10" defaultColWidth="11.42578125" defaultRowHeight="18" customHeight="1" outlineLevelRow="1" x14ac:dyDescent="0.2"/>
  <cols>
    <col min="1" max="1" width="8.140625" style="19" hidden="1" customWidth="1"/>
    <col min="2" max="2" width="28.28515625" style="19" hidden="1" customWidth="1"/>
    <col min="3" max="3" width="33.7109375" style="19" hidden="1" customWidth="1"/>
    <col min="4" max="4" width="3.7109375" style="19" customWidth="1"/>
    <col min="5" max="5" width="44.5703125" style="4" customWidth="1"/>
    <col min="6" max="6" width="46.85546875" style="4" customWidth="1"/>
    <col min="7" max="7" width="12.7109375" style="4" customWidth="1"/>
    <col min="8" max="8" width="16" style="3" customWidth="1"/>
    <col min="9" max="11" width="19.7109375" style="3" customWidth="1"/>
    <col min="12" max="12" width="2.7109375" style="5" customWidth="1"/>
    <col min="13" max="13" width="14.140625" style="5" customWidth="1"/>
    <col min="14" max="14" width="17" style="5" customWidth="1"/>
    <col min="15" max="15" width="18.140625" style="5" customWidth="1"/>
    <col min="16" max="16" width="17" style="5" hidden="1" customWidth="1"/>
    <col min="17" max="17" width="8.140625" style="5" hidden="1" customWidth="1"/>
    <col min="18" max="18" width="19.5703125" style="5" hidden="1" customWidth="1"/>
    <col min="19" max="19" width="24" style="5" hidden="1" customWidth="1"/>
    <col min="20" max="20" width="2.7109375" style="5" customWidth="1"/>
    <col min="21" max="21" width="23" style="5" customWidth="1"/>
    <col min="22" max="22" width="21.140625" style="5" customWidth="1"/>
    <col min="23" max="23" width="3.7109375" style="19" customWidth="1"/>
    <col min="24" max="25" width="14.28515625" style="19" customWidth="1"/>
    <col min="26" max="31" width="9" style="19" hidden="1" customWidth="1"/>
    <col min="32" max="32" width="24.85546875" style="19" hidden="1" customWidth="1"/>
    <col min="33" max="33" width="13.140625" style="19" hidden="1" customWidth="1"/>
    <col min="34" max="34" width="55.140625" style="19" hidden="1" customWidth="1"/>
    <col min="35" max="35" width="25.28515625" style="19" hidden="1" customWidth="1"/>
    <col min="36" max="36" width="32.28515625" style="19" hidden="1" customWidth="1"/>
    <col min="37" max="37" width="18.28515625" style="19" hidden="1" customWidth="1"/>
    <col min="38" max="38" width="16.7109375" style="19" hidden="1" customWidth="1"/>
    <col min="39" max="39" width="43.7109375" style="19" hidden="1" customWidth="1"/>
    <col min="40" max="40" width="23.42578125" style="19" hidden="1" customWidth="1"/>
    <col min="41" max="41" width="54.42578125" style="19" hidden="1" customWidth="1"/>
    <col min="42" max="42" width="54.42578125" style="35" hidden="1" customWidth="1"/>
    <col min="43" max="43" width="19.85546875" style="19" hidden="1" customWidth="1"/>
    <col min="44" max="44" width="6.5703125" style="19" hidden="1" customWidth="1"/>
    <col min="45" max="51" width="6.5703125" style="3" hidden="1" customWidth="1"/>
    <col min="52" max="53" width="6.42578125" style="3" customWidth="1"/>
    <col min="54" max="55" width="11.42578125" style="3" customWidth="1"/>
    <col min="56" max="16384" width="11.42578125" style="3"/>
  </cols>
  <sheetData>
    <row r="1" spans="1:44" ht="22.5" hidden="1" customHeight="1" thickBot="1" x14ac:dyDescent="0.3">
      <c r="E1" s="19"/>
      <c r="F1" s="31" t="s">
        <v>68</v>
      </c>
      <c r="G1" s="20" t="s">
        <v>0</v>
      </c>
      <c r="H1" s="21"/>
      <c r="I1" s="70" t="str">
        <f ca="1">IF($F$21=$AG$12,"ACT_TOT",IF($F$21=$AG$13,"BUDG_TOT",IF($F$21=$AG$14,"BUDG_TOT","FC_1_TOT")))</f>
        <v>ACT_TOT</v>
      </c>
      <c r="J1" s="70" t="str">
        <f ca="1">IF($F$21=$AG$12,"ACT_TOT",IF($F$21=$AG$13,"ACT_TOT",IF($F$21=$AG$14,"FC_1_TOT","FC_2_TOT")))</f>
        <v>ACT_TOT</v>
      </c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</row>
    <row r="2" spans="1:44" ht="22.5" hidden="1" customHeight="1" x14ac:dyDescent="0.25">
      <c r="E2" s="19"/>
      <c r="F2" s="36"/>
      <c r="G2" s="30" t="s">
        <v>35</v>
      </c>
      <c r="H2" s="59" t="str">
        <f ca="1">_xll.SUBNM(Server&amp;"Period","",$F$17,"")</f>
        <v>2012</v>
      </c>
      <c r="I2" s="71" t="str">
        <f ca="1">IF($F$21=$AG$12,$H$3,$H$2)</f>
        <v>2011</v>
      </c>
      <c r="J2" s="71" t="str">
        <f ca="1">H2</f>
        <v>2012</v>
      </c>
      <c r="K2" s="71"/>
      <c r="L2" s="19"/>
      <c r="M2" s="81" t="s">
        <v>65</v>
      </c>
      <c r="N2" s="35"/>
      <c r="O2" s="81"/>
      <c r="P2" s="35"/>
      <c r="Q2" s="35"/>
      <c r="R2" s="35"/>
      <c r="S2" s="35"/>
      <c r="T2" s="35"/>
      <c r="U2" s="35"/>
      <c r="V2" s="35"/>
    </row>
    <row r="3" spans="1:44" ht="22.5" hidden="1" customHeight="1" x14ac:dyDescent="0.25">
      <c r="C3" s="35"/>
      <c r="E3" s="19"/>
      <c r="F3" s="19"/>
      <c r="G3" s="30" t="s">
        <v>55</v>
      </c>
      <c r="H3" s="59" t="str">
        <f ca="1">_xll.SUBNM(Server&amp;"Period","",$H$2,"Prior Year")</f>
        <v>2011</v>
      </c>
      <c r="I3" s="75" t="str">
        <f ca="1">IF($F$21=$AG$12,_xll.DBRA(Server&amp;$AF$11,$AF$25,$AF$10),_xll.DBRA(Server&amp;$G$1,$I$1,$AF$10))</f>
        <v>Réalisé N-1</v>
      </c>
      <c r="J3" s="75" t="str">
        <f ca="1">_xll.DBRA(Server&amp;$G$1,$J$1,$AF$10)</f>
        <v>Réalisé</v>
      </c>
      <c r="K3" s="75"/>
      <c r="L3" s="19"/>
      <c r="M3" s="82" t="str">
        <f ca="1">_xll.DBRA(Server&amp;$AF$11,AF29,$AF$10) &amp; CHAR(10) &amp; I3 &amp; " Vs " &amp; J3</f>
        <v>Bridge des coûts par nature
Réalisé N-1 Vs Réalisé</v>
      </c>
      <c r="N3" s="35"/>
      <c r="O3" s="85"/>
      <c r="P3" s="35"/>
      <c r="Q3" s="35"/>
      <c r="R3" s="35"/>
      <c r="S3" s="35"/>
      <c r="T3" s="35"/>
      <c r="U3" s="35"/>
      <c r="V3" s="35"/>
    </row>
    <row r="4" spans="1:44" ht="22.5" hidden="1" customHeight="1" x14ac:dyDescent="0.2">
      <c r="C4" s="35"/>
      <c r="D4" s="21"/>
      <c r="E4" s="21"/>
      <c r="F4" s="21"/>
      <c r="G4" s="51"/>
      <c r="H4" s="35"/>
      <c r="I4" s="83" t="str">
        <f ca="1">_xll.DBRA(Server&amp;"Indicator_Corp",$AP$32,$F$15)&amp;CHAR(10)&amp;$I$3</f>
        <v>RESULTAT OPERATIONNEL AVANT MF
Réalisé N-1</v>
      </c>
      <c r="J4" s="84" t="str">
        <f ca="1">_xll.DBRA(Server&amp;"Indicator_Corp",$AP$32,$F$15) &amp; CHAR(10) &amp; $J$3</f>
        <v>RESULTAT OPERATIONNEL AVANT MF
Réalisé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5" spans="1:44" ht="22.5" hidden="1" customHeight="1" thickBot="1" x14ac:dyDescent="0.25">
      <c r="B5" s="35"/>
      <c r="C5" s="35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</row>
    <row r="6" spans="1:44" ht="19.5" customHeight="1" x14ac:dyDescent="0.2">
      <c r="B6" s="35"/>
      <c r="C6" s="21"/>
      <c r="D6" s="9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44" ht="18" customHeight="1" x14ac:dyDescent="0.2">
      <c r="B7" s="35"/>
      <c r="C7" s="21"/>
      <c r="D7" s="93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64"/>
      <c r="AI7" s="35"/>
      <c r="AJ7" s="35"/>
      <c r="AK7" s="35"/>
      <c r="AL7" s="35"/>
      <c r="AM7" s="35"/>
    </row>
    <row r="8" spans="1:44" ht="16.5" customHeight="1" thickBot="1" x14ac:dyDescent="0.25">
      <c r="B8" s="35"/>
      <c r="C8" s="21"/>
      <c r="D8" s="93"/>
      <c r="G8" s="94"/>
      <c r="W8" s="21"/>
      <c r="X8" s="64"/>
      <c r="AH8" s="35"/>
      <c r="AI8" s="35"/>
      <c r="AJ8" s="35"/>
      <c r="AK8" s="35"/>
      <c r="AL8" s="35"/>
      <c r="AM8" s="35"/>
    </row>
    <row r="9" spans="1:44" ht="41.25" customHeight="1" thickBot="1" x14ac:dyDescent="0.3">
      <c r="B9" s="35"/>
      <c r="C9" s="21"/>
      <c r="D9" s="93"/>
      <c r="E9" s="132"/>
      <c r="F9" s="133" t="str">
        <f ca="1">_xll.DBRA(Server&amp;$AF$11,AF27,$AF$10)</f>
        <v>Bridge par nature</v>
      </c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2"/>
      <c r="U9" s="131" t="str">
        <f ca="1">_xll.DBRA(Server&amp;$AF$11,AF28,$AF$10)</f>
        <v>Restitution</v>
      </c>
      <c r="V9" s="2"/>
      <c r="W9" s="21"/>
      <c r="X9" s="64"/>
      <c r="AF9" s="54" t="s">
        <v>40</v>
      </c>
      <c r="AH9" s="35"/>
      <c r="AI9" s="35"/>
      <c r="AJ9" s="35"/>
      <c r="AK9" s="35"/>
      <c r="AL9" s="35"/>
      <c r="AM9" s="35"/>
    </row>
    <row r="10" spans="1:44" ht="30" customHeight="1" thickBot="1" x14ac:dyDescent="0.3">
      <c r="A10" s="35"/>
      <c r="B10" s="35"/>
      <c r="C10" s="21"/>
      <c r="D10" s="93"/>
      <c r="E10" s="132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"/>
      <c r="U10" s="131"/>
      <c r="V10" s="1"/>
      <c r="W10" s="21"/>
      <c r="X10" s="64"/>
      <c r="AF10" s="55" t="str">
        <f>IF($F$15="Français","French","English")</f>
        <v>French</v>
      </c>
      <c r="AG10" s="53" t="s">
        <v>39</v>
      </c>
      <c r="AH10" s="35"/>
      <c r="AI10" s="35"/>
      <c r="AJ10" s="35"/>
      <c r="AK10" s="35"/>
      <c r="AL10" s="35"/>
      <c r="AM10" s="35"/>
    </row>
    <row r="11" spans="1:44" ht="18" customHeight="1" thickBot="1" x14ac:dyDescent="0.3">
      <c r="A11" s="35"/>
      <c r="B11" s="35"/>
      <c r="C11" s="21"/>
      <c r="D11" s="93"/>
      <c r="E11" s="3"/>
      <c r="F11" s="3"/>
      <c r="G11" s="94"/>
      <c r="H11" s="94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21"/>
      <c r="X11" s="64"/>
      <c r="AF11" s="43" t="s">
        <v>31</v>
      </c>
      <c r="AG11" s="47" t="s">
        <v>0</v>
      </c>
      <c r="AH11" s="35"/>
      <c r="AI11" s="35"/>
      <c r="AJ11" s="35"/>
      <c r="AK11" s="35"/>
      <c r="AL11" s="35"/>
      <c r="AM11" s="35"/>
      <c r="AN11" s="35"/>
      <c r="AO11" s="35"/>
      <c r="AQ11" s="35"/>
      <c r="AR11" s="35"/>
    </row>
    <row r="12" spans="1:44" ht="23.25" customHeight="1" thickBot="1" x14ac:dyDescent="0.25">
      <c r="A12" s="35"/>
      <c r="B12" s="35"/>
      <c r="C12" s="21"/>
      <c r="D12" s="93"/>
      <c r="E12" s="134" t="str">
        <f ca="1">_xll.DBRA(Server&amp;$AF$11,AF12,$AF$10)</f>
        <v>Sélection du contexte</v>
      </c>
      <c r="F12" s="65"/>
      <c r="H12" s="94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21"/>
      <c r="X12" s="64"/>
      <c r="AF12" s="44" t="s">
        <v>29</v>
      </c>
      <c r="AG12" s="63" t="str">
        <f ca="1">_xll.DBRA(Server&amp;$AF$11,AF21,$AF$10)</f>
        <v>Réalisé</v>
      </c>
      <c r="AH12" s="35"/>
      <c r="AI12" s="35"/>
      <c r="AJ12" s="35"/>
      <c r="AK12" s="35"/>
      <c r="AL12" s="35"/>
      <c r="AM12" s="35"/>
      <c r="AN12" s="35"/>
      <c r="AO12" s="35"/>
      <c r="AQ12" s="35"/>
      <c r="AR12" s="35"/>
    </row>
    <row r="13" spans="1:44" ht="23.25" customHeight="1" outlineLevel="1" x14ac:dyDescent="0.2">
      <c r="A13" s="35"/>
      <c r="B13" s="35"/>
      <c r="C13" s="21"/>
      <c r="D13" s="93"/>
      <c r="E13" s="23" t="str">
        <f ca="1">_xll.DBRA(Server&amp;$AF$11,AF13,$AF$10)</f>
        <v>Gaap</v>
      </c>
      <c r="F13" s="38" t="str">
        <f ca="1">_xll.SUBNM(Server&amp;"GAAP","Corp_FR","Local_Gaap",$AF$10)</f>
        <v>Gaap local</v>
      </c>
      <c r="H13" s="94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21"/>
      <c r="X13" s="64"/>
      <c r="Y13" s="35"/>
      <c r="Z13" s="35"/>
      <c r="AA13" s="35"/>
      <c r="AB13" s="35"/>
      <c r="AC13" s="35"/>
      <c r="AD13" s="35"/>
      <c r="AE13" s="35"/>
      <c r="AF13" s="46" t="s">
        <v>16</v>
      </c>
      <c r="AG13" s="64" t="str">
        <f ca="1">_xll.DBRA(Server&amp;$AF$11,AF22,$AF$10)</f>
        <v>Budget</v>
      </c>
      <c r="AH13" s="35"/>
      <c r="AI13" s="35"/>
      <c r="AJ13" s="35"/>
      <c r="AK13" s="35"/>
      <c r="AL13" s="35"/>
      <c r="AM13" s="35"/>
      <c r="AN13" s="35"/>
      <c r="AO13" s="35"/>
      <c r="AQ13" s="35"/>
      <c r="AR13" s="35"/>
    </row>
    <row r="14" spans="1:44" ht="23.25" customHeight="1" outlineLevel="1" x14ac:dyDescent="0.2">
      <c r="A14" s="35"/>
      <c r="B14" s="35"/>
      <c r="C14" s="21"/>
      <c r="D14" s="93"/>
      <c r="E14" s="23" t="str">
        <f ca="1">_xll.DBRA(Server&amp;$AF$11,AF14,$AF$10)</f>
        <v>Taux d'intégration</v>
      </c>
      <c r="F14" s="38" t="str">
        <f ca="1">_xll.SUBNM(Server&amp;"Integration_Rate","Corp_FR","NO_APP",$AF$10)</f>
        <v>Données de liasse (Tx d'intégration No-APP)</v>
      </c>
      <c r="H14" s="94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21"/>
      <c r="X14" s="64"/>
      <c r="Y14" s="35"/>
      <c r="Z14" s="35"/>
      <c r="AA14" s="35"/>
      <c r="AB14" s="35"/>
      <c r="AC14" s="35"/>
      <c r="AD14" s="35"/>
      <c r="AE14" s="35"/>
      <c r="AF14" s="46" t="s">
        <v>32</v>
      </c>
      <c r="AG14" s="64" t="str">
        <f ca="1">_xll.DBRA(Server&amp;$AF$11,AF23,$AF$10)</f>
        <v>Estimé 1</v>
      </c>
      <c r="AH14" s="35"/>
      <c r="AI14" s="35"/>
      <c r="AJ14" s="35"/>
      <c r="AK14" s="35"/>
      <c r="AL14" s="35"/>
      <c r="AM14" s="35"/>
      <c r="AN14" s="35"/>
      <c r="AO14" s="35"/>
      <c r="AQ14" s="35"/>
      <c r="AR14" s="35"/>
    </row>
    <row r="15" spans="1:44" ht="23.25" customHeight="1" outlineLevel="1" x14ac:dyDescent="0.2">
      <c r="A15" s="35"/>
      <c r="B15" s="35"/>
      <c r="C15" s="21"/>
      <c r="D15" s="93"/>
      <c r="E15" s="23" t="str">
        <f ca="1">_xll.DBRA(Server&amp;$AF$11,AF15,$AF$10)</f>
        <v>Langue</v>
      </c>
      <c r="F15" s="39" t="s">
        <v>41</v>
      </c>
      <c r="H15" s="94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21"/>
      <c r="X15" s="64"/>
      <c r="Y15" s="35"/>
      <c r="Z15" s="35"/>
      <c r="AA15" s="35"/>
      <c r="AB15" s="35"/>
      <c r="AC15" s="35"/>
      <c r="AD15" s="35"/>
      <c r="AE15" s="35"/>
      <c r="AF15" s="42" t="s">
        <v>33</v>
      </c>
      <c r="AG15" s="64" t="str">
        <f ca="1">_xll.DBRA(Server&amp;$AF$11,AF24,$AF$10)</f>
        <v>Estimé 2</v>
      </c>
      <c r="AH15" s="35"/>
      <c r="AI15" s="35"/>
      <c r="AJ15" s="35"/>
      <c r="AK15" s="35"/>
      <c r="AL15" s="35"/>
      <c r="AM15" s="35"/>
      <c r="AN15" s="35"/>
      <c r="AO15" s="35"/>
      <c r="AQ15" s="35"/>
      <c r="AR15" s="35"/>
    </row>
    <row r="16" spans="1:44" ht="23.25" customHeight="1" outlineLevel="1" thickBot="1" x14ac:dyDescent="0.25">
      <c r="A16" s="35"/>
      <c r="B16" s="35"/>
      <c r="C16" s="21"/>
      <c r="D16" s="93"/>
      <c r="E16" s="23" t="str">
        <f ca="1">_xll.DBRA(Server&amp;$AF$11,AF16,$AF$10)</f>
        <v>Organisation légale</v>
      </c>
      <c r="F16" s="38" t="str">
        <f ca="1">_xll.SUBNM(Server&amp;"Legal_Organization_Corp","Corp_FR",_xll.DBR(Server&amp;"z_Client_Properties","Default_Legal_Organization_Corp",_xll.TM1USER(xServer)),$F$15)</f>
        <v>VTD</v>
      </c>
      <c r="H16" s="94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21"/>
      <c r="X16" s="64"/>
      <c r="Y16" s="35"/>
      <c r="Z16" s="35"/>
      <c r="AA16" s="35"/>
      <c r="AB16" s="35"/>
      <c r="AC16" s="35"/>
      <c r="AD16" s="35"/>
      <c r="AE16" s="35"/>
      <c r="AF16" s="46" t="s">
        <v>30</v>
      </c>
      <c r="AG16" s="64"/>
      <c r="AH16" s="35"/>
      <c r="AI16" s="35"/>
      <c r="AJ16" s="35"/>
      <c r="AK16" s="35"/>
      <c r="AL16" s="35"/>
      <c r="AM16" s="35"/>
      <c r="AN16" s="35"/>
      <c r="AO16" s="35"/>
      <c r="AQ16" s="35"/>
      <c r="AR16" s="35"/>
    </row>
    <row r="17" spans="1:52" ht="23.25" customHeight="1" x14ac:dyDescent="0.25">
      <c r="A17" s="35"/>
      <c r="B17" s="66" t="s">
        <v>47</v>
      </c>
      <c r="C17" s="21" t="s">
        <v>48</v>
      </c>
      <c r="D17" s="93"/>
      <c r="E17" s="45" t="str">
        <f ca="1">_xll.DBRA(Server&amp;$AF$11,AF17,$AF$10)</f>
        <v>Période</v>
      </c>
      <c r="F17" s="39" t="str">
        <f ca="1">_xll.SUBNM(Server&amp;"Period","","2012")</f>
        <v>2012</v>
      </c>
      <c r="H17" s="94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21"/>
      <c r="X17" s="64"/>
      <c r="Y17" s="35"/>
      <c r="Z17" s="35"/>
      <c r="AA17" s="35"/>
      <c r="AB17" s="35"/>
      <c r="AC17" s="35"/>
      <c r="AD17" s="35"/>
      <c r="AE17" s="35"/>
      <c r="AF17" s="40" t="s">
        <v>35</v>
      </c>
      <c r="AH17" s="35"/>
      <c r="AI17" s="35"/>
      <c r="AJ17" s="35"/>
      <c r="AK17" s="35"/>
      <c r="AL17" s="35"/>
      <c r="AM17" s="35"/>
      <c r="AN17" s="35"/>
      <c r="AO17" s="35"/>
      <c r="AQ17" s="35"/>
      <c r="AR17" s="35"/>
    </row>
    <row r="18" spans="1:52" ht="23.25" customHeight="1" x14ac:dyDescent="0.25">
      <c r="A18" s="21"/>
      <c r="B18" s="66" t="s">
        <v>46</v>
      </c>
      <c r="C18" s="21" t="s">
        <v>49</v>
      </c>
      <c r="D18" s="93"/>
      <c r="E18" s="23" t="str">
        <f ca="1">_xll.DBRA(Server&amp;$AF$11,$AF$18,$AF$10)</f>
        <v>Organisation managériale</v>
      </c>
      <c r="F18" s="39" t="str">
        <f ca="1">_xll.SUBNM(Server&amp;"Management_Organization_Corp","Corp_FR","VTD","Français")</f>
        <v>VTD</v>
      </c>
      <c r="H18" s="94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21"/>
      <c r="X18" s="64"/>
      <c r="Y18" s="35"/>
      <c r="Z18" s="35"/>
      <c r="AA18" s="35"/>
      <c r="AB18" s="35"/>
      <c r="AC18" s="35"/>
      <c r="AD18" s="35"/>
      <c r="AE18" s="35"/>
      <c r="AF18" s="46" t="s">
        <v>67</v>
      </c>
      <c r="AH18" s="35"/>
      <c r="AI18" s="35"/>
      <c r="AJ18" s="35"/>
      <c r="AK18" s="35"/>
      <c r="AL18" s="35"/>
      <c r="AM18" s="35"/>
      <c r="AN18" s="35"/>
      <c r="AO18" s="35"/>
      <c r="AQ18" s="35"/>
      <c r="AR18" s="35"/>
    </row>
    <row r="19" spans="1:52" ht="26.25" customHeight="1" thickBot="1" x14ac:dyDescent="0.3">
      <c r="A19" s="35"/>
      <c r="B19" s="66" t="s">
        <v>42</v>
      </c>
      <c r="C19" s="21" t="s">
        <v>54</v>
      </c>
      <c r="D19" s="93"/>
      <c r="E19" s="23" t="str">
        <f ca="1">_xll.DBRA(Server&amp;$AF$11,AF19,$AF$10)</f>
        <v>Devise</v>
      </c>
      <c r="F19" s="38" t="str">
        <f ca="1">_xll.SUBNM(Server&amp;"Currency","Corp_FR","KEUR",$AF$10)</f>
        <v>K€</v>
      </c>
      <c r="H19" s="94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6"/>
      <c r="X19" s="64"/>
      <c r="AF19" s="46" t="s">
        <v>15</v>
      </c>
      <c r="AH19" s="35" t="s">
        <v>77</v>
      </c>
      <c r="AI19" s="35"/>
      <c r="AK19" s="35"/>
      <c r="AL19" s="35"/>
      <c r="AM19" s="35"/>
      <c r="AN19" s="35"/>
      <c r="AO19" s="35"/>
    </row>
    <row r="20" spans="1:52" ht="19.5" customHeight="1" x14ac:dyDescent="0.2">
      <c r="B20" s="35"/>
      <c r="C20" s="3"/>
      <c r="D20" s="93"/>
      <c r="E20" s="24"/>
      <c r="F20" s="24"/>
      <c r="H20" s="7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21"/>
      <c r="X20" s="64"/>
      <c r="AF20" s="40" t="s">
        <v>0</v>
      </c>
      <c r="AG20" s="64"/>
      <c r="AH20" s="35"/>
      <c r="AI20" s="48"/>
      <c r="AJ20" s="35"/>
      <c r="AK20" s="35"/>
      <c r="AL20" s="35"/>
      <c r="AM20" s="35"/>
      <c r="AS20" s="8"/>
      <c r="AT20" s="8"/>
      <c r="AU20" s="8"/>
      <c r="AV20" s="8"/>
      <c r="AW20" s="8"/>
      <c r="AX20" s="8"/>
      <c r="AY20" s="8"/>
      <c r="AZ20" s="8"/>
    </row>
    <row r="21" spans="1:52" s="9" customFormat="1" ht="36.75" customHeight="1" thickBot="1" x14ac:dyDescent="0.25">
      <c r="A21" s="19"/>
      <c r="B21" s="35"/>
      <c r="C21" s="86"/>
      <c r="D21" s="97"/>
      <c r="E21" s="23" t="str">
        <f ca="1">_xll.DBRA(Server&amp;$AF$11,$AF$20,$AF$10)</f>
        <v>Phase</v>
      </c>
      <c r="F21" s="39" t="s">
        <v>52</v>
      </c>
      <c r="G21" s="3"/>
      <c r="H21" s="2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21"/>
      <c r="X21" s="64"/>
      <c r="Y21" s="19"/>
      <c r="Z21" s="19"/>
      <c r="AA21" s="19"/>
      <c r="AB21" s="19"/>
      <c r="AC21" s="19"/>
      <c r="AD21" s="19"/>
      <c r="AE21" s="19"/>
      <c r="AF21" s="19" t="s">
        <v>51</v>
      </c>
      <c r="AG21" s="49"/>
      <c r="AH21" s="35"/>
      <c r="AI21" s="50"/>
      <c r="AM21" s="35"/>
      <c r="AN21" s="19"/>
      <c r="AO21" s="19"/>
      <c r="AP21" s="35"/>
      <c r="AQ21" s="19"/>
      <c r="AR21" s="19"/>
    </row>
    <row r="22" spans="1:52" s="9" customFormat="1" ht="17.25" customHeight="1" x14ac:dyDescent="0.25">
      <c r="A22" s="19"/>
      <c r="B22" s="35"/>
      <c r="C22" s="87"/>
      <c r="D22" s="97"/>
      <c r="E22" s="3"/>
      <c r="F22" s="3"/>
      <c r="G22" s="26"/>
      <c r="H22" s="27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21"/>
      <c r="X22" s="64"/>
      <c r="Y22" s="19"/>
      <c r="Z22" s="19"/>
      <c r="AA22" s="19"/>
      <c r="AB22" s="19"/>
      <c r="AC22" s="19"/>
      <c r="AD22" s="19"/>
      <c r="AE22" s="19"/>
      <c r="AF22" s="41" t="s">
        <v>36</v>
      </c>
      <c r="AG22" s="19"/>
      <c r="AH22" s="19"/>
      <c r="AI22" s="19"/>
      <c r="AJ22" s="19"/>
      <c r="AK22" s="19"/>
      <c r="AL22" s="19"/>
      <c r="AM22" s="19"/>
      <c r="AN22" s="19"/>
      <c r="AO22" s="19"/>
      <c r="AP22" s="35"/>
      <c r="AQ22" s="19"/>
      <c r="AR22" s="19"/>
    </row>
    <row r="23" spans="1:52" s="10" customFormat="1" ht="24.95" customHeight="1" x14ac:dyDescent="0.35">
      <c r="A23" s="19"/>
      <c r="B23" s="35"/>
      <c r="C23" s="88"/>
      <c r="D23" s="97"/>
      <c r="E23" s="3"/>
      <c r="F23" s="3"/>
      <c r="G23" s="26"/>
      <c r="H23" s="28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21"/>
      <c r="X23" s="64"/>
      <c r="Y23" s="19"/>
      <c r="Z23" s="19"/>
      <c r="AA23" s="19"/>
      <c r="AB23" s="19"/>
      <c r="AC23" s="19"/>
      <c r="AD23" s="19"/>
      <c r="AE23" s="19"/>
      <c r="AF23" s="41" t="s">
        <v>37</v>
      </c>
      <c r="AG23" s="19"/>
      <c r="AH23" s="19"/>
      <c r="AI23" s="19"/>
      <c r="AJ23" s="19"/>
      <c r="AK23" s="19"/>
      <c r="AL23" s="19"/>
      <c r="AM23" s="19"/>
      <c r="AN23" s="19"/>
      <c r="AO23" s="19"/>
      <c r="AP23" s="35"/>
      <c r="AQ23" s="19"/>
      <c r="AR23" s="19"/>
    </row>
    <row r="24" spans="1:52" s="10" customFormat="1" ht="24.75" customHeight="1" x14ac:dyDescent="0.35">
      <c r="A24" s="19"/>
      <c r="B24" s="35"/>
      <c r="C24" s="88"/>
      <c r="D24" s="97"/>
      <c r="E24" s="3"/>
      <c r="F24" s="3"/>
      <c r="G24" s="26"/>
      <c r="H24" s="28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21"/>
      <c r="X24" s="64"/>
      <c r="Y24" s="19"/>
      <c r="Z24" s="19"/>
      <c r="AA24" s="19"/>
      <c r="AB24" s="19"/>
      <c r="AC24" s="19"/>
      <c r="AD24" s="19"/>
      <c r="AE24" s="19"/>
      <c r="AF24" s="41" t="s">
        <v>38</v>
      </c>
      <c r="AG24" s="19"/>
      <c r="AH24" s="35"/>
      <c r="AI24" s="35"/>
      <c r="AJ24" s="74" t="s">
        <v>60</v>
      </c>
      <c r="AK24" s="77" t="s">
        <v>61</v>
      </c>
      <c r="AL24" s="78" t="s">
        <v>62</v>
      </c>
      <c r="AM24" s="79" t="s">
        <v>63</v>
      </c>
      <c r="AN24" s="73" t="s">
        <v>57</v>
      </c>
      <c r="AQ24" s="19"/>
      <c r="AR24" s="19"/>
    </row>
    <row r="25" spans="1:52" s="10" customFormat="1" ht="24.95" customHeight="1" x14ac:dyDescent="0.35">
      <c r="A25" s="19"/>
      <c r="B25" s="35"/>
      <c r="C25" s="89"/>
      <c r="D25" s="97"/>
      <c r="E25" s="3"/>
      <c r="F25" s="3"/>
      <c r="G25" s="26"/>
      <c r="H25" s="28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21"/>
      <c r="X25" s="64"/>
      <c r="Y25" s="19"/>
      <c r="Z25" s="19"/>
      <c r="AA25" s="19"/>
      <c r="AB25" s="19"/>
      <c r="AC25" s="19"/>
      <c r="AD25" s="19"/>
      <c r="AE25" s="19"/>
      <c r="AF25" s="41" t="s">
        <v>59</v>
      </c>
      <c r="AG25" s="19"/>
      <c r="AH25" s="35"/>
      <c r="AI25" s="67"/>
      <c r="AJ25" s="80" t="e">
        <f ca="1">$I$3&amp; " " &amp; CHAR(10) &amp;TEXT(ROUND($AO$31,0),"# ##0")</f>
        <v>#VALUE!</v>
      </c>
      <c r="AK25" s="68"/>
      <c r="AL25" s="68"/>
      <c r="AM25" s="68"/>
      <c r="AN25" s="101" t="e">
        <f ca="1">$AO$36*3</f>
        <v>#VALUE!</v>
      </c>
      <c r="AO25" s="74" t="str">
        <f ca="1">"Valeurs par directions " &amp;I3</f>
        <v>Valeurs par directions Réalisé N-1</v>
      </c>
      <c r="AP25" s="74" t="str">
        <f ca="1">"Valeurs par directions " &amp;J3</f>
        <v>Valeurs par directions Réalisé</v>
      </c>
      <c r="AQ25" s="69"/>
      <c r="AR25" s="19"/>
    </row>
    <row r="26" spans="1:52" s="10" customFormat="1" ht="24.95" customHeight="1" x14ac:dyDescent="0.35">
      <c r="A26" s="19"/>
      <c r="B26" s="35"/>
      <c r="C26" s="89"/>
      <c r="D26" s="97"/>
      <c r="E26" s="3"/>
      <c r="F26" s="3"/>
      <c r="G26" s="26"/>
      <c r="H26" s="28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21"/>
      <c r="X26" s="64"/>
      <c r="Y26" s="19"/>
      <c r="Z26" s="19"/>
      <c r="AA26" s="19"/>
      <c r="AB26" s="19"/>
      <c r="AC26" s="19"/>
      <c r="AD26" s="19"/>
      <c r="AE26" s="19"/>
      <c r="AF26" t="s">
        <v>50</v>
      </c>
      <c r="AG26" s="19"/>
      <c r="AH26" s="76" t="str">
        <f ca="1">_xll.DBRA(Server&amp;"Indicator_Corp",$AI26,$F$15)</f>
        <v>Frais de personnel et Assimilés</v>
      </c>
      <c r="AI26" s="72" t="s">
        <v>72</v>
      </c>
      <c r="AJ26" s="122" t="e">
        <f ca="1">$AO26-$AP26</f>
        <v>#VALUE!</v>
      </c>
      <c r="AK26" s="102" t="e">
        <f ca="1">IF($AJ26&gt;0,$AN$25,$AN$25-$AL$26)</f>
        <v>#VALUE!</v>
      </c>
      <c r="AL26" s="102" t="e">
        <f ca="1">IF($AJ26&lt;0,ABS($AJ26),)</f>
        <v>#VALUE!</v>
      </c>
      <c r="AM26" s="102" t="e">
        <f ca="1">IF(AJ26&gt;=0,ABS(AJ26),)</f>
        <v>#VALUE!</v>
      </c>
      <c r="AN26" s="103"/>
      <c r="AO26" s="104" t="str">
        <f ca="1">_xll.DBRW(Server&amp;Cube1,$F$19,$F$13,$F$14,$C$19,$C$17,$F$16,$F$18,$C$18,$I$2,$I$1,$AH26)</f>
        <v>*RECALC_39</v>
      </c>
      <c r="AP26" s="104" t="str">
        <f ca="1">_xll.DBRW(Server&amp;Cube1,$F$19,$F$13,$F$14,$C$19,$C$17,$F$16,$F$18,$C$18,$J$2,$J$1,$AH26)</f>
        <v>*RECALC_40</v>
      </c>
      <c r="AQ26" s="105" t="e">
        <f ca="1">$AK26+$AJ26</f>
        <v>#VALUE!</v>
      </c>
      <c r="AR26" s="19"/>
    </row>
    <row r="27" spans="1:52" s="10" customFormat="1" ht="22.5" customHeight="1" x14ac:dyDescent="0.35">
      <c r="A27" s="19"/>
      <c r="B27" s="35"/>
      <c r="C27" s="90"/>
      <c r="D27" s="98"/>
      <c r="E27" s="3"/>
      <c r="F27" s="3"/>
      <c r="G27" s="26"/>
      <c r="H27" s="60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9"/>
      <c r="X27" s="64"/>
      <c r="Y27" s="19"/>
      <c r="Z27" s="19"/>
      <c r="AA27" s="19"/>
      <c r="AB27" s="19"/>
      <c r="AC27" s="19"/>
      <c r="AD27" s="19"/>
      <c r="AE27" s="19"/>
      <c r="AF27" t="s">
        <v>69</v>
      </c>
      <c r="AG27" s="19"/>
      <c r="AH27" s="76" t="str">
        <f ca="1">_xll.DBRA(Server&amp;"Indicator_Corp",$AI27,$F$15)</f>
        <v>Voyages</v>
      </c>
      <c r="AI27" s="72" t="s">
        <v>73</v>
      </c>
      <c r="AJ27" s="122" t="e">
        <f t="shared" ref="AJ27:AJ30" ca="1" si="0">$AO27-$AP27</f>
        <v>#VALUE!</v>
      </c>
      <c r="AK27" s="102" t="e">
        <f t="shared" ref="AK27:AK30" ca="1" si="1">IF(AJ26&gt;=0,IF(AJ27&gt;=0,AK26+AJ26,AQ26-AL27),IF(AJ27&gt;=0,AK26,AK26-AL27))</f>
        <v>#VALUE!</v>
      </c>
      <c r="AL27" s="102" t="e">
        <f t="shared" ref="AL27:AL30" ca="1" si="2">IF($AJ27&lt;0,ABS($AJ27),)</f>
        <v>#VALUE!</v>
      </c>
      <c r="AM27" s="102" t="e">
        <f t="shared" ref="AM27:AM30" ca="1" si="3">IF(AJ27&gt;=0,ABS(AJ27),)</f>
        <v>#VALUE!</v>
      </c>
      <c r="AN27" s="103"/>
      <c r="AO27" s="104" t="str">
        <f ca="1">_xll.DBRW(Server&amp;Cube1,$F$19,$F$13,$F$14,$C$19,$C$17,$F$16,$F$18,$C$18,$I$2,$I$1,$AH27)</f>
        <v>*RECALC_41</v>
      </c>
      <c r="AP27" s="104" t="str">
        <f ca="1">_xll.DBRW(Server&amp;Cube1,$F$19,$F$13,$F$14,$C$19,$C$17,$F$16,$F$18,$C$18,$J$2,$J$1,$AH27)</f>
        <v>*RECALC_42</v>
      </c>
      <c r="AQ27" s="105" t="e">
        <f t="shared" ref="AQ27:AQ30" ca="1" si="4">$AK27+$AJ27</f>
        <v>#VALUE!</v>
      </c>
      <c r="AR27" s="19"/>
    </row>
    <row r="28" spans="1:52" s="10" customFormat="1" ht="24.95" customHeight="1" x14ac:dyDescent="0.35">
      <c r="A28" s="19"/>
      <c r="B28" s="35"/>
      <c r="C28" s="88"/>
      <c r="D28" s="100"/>
      <c r="E28" s="3"/>
      <c r="F28" s="3"/>
      <c r="G28" s="26"/>
      <c r="H28" s="28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21"/>
      <c r="X28" s="64"/>
      <c r="Y28" s="19"/>
      <c r="Z28" s="19"/>
      <c r="AA28" s="19"/>
      <c r="AB28" s="19"/>
      <c r="AC28" s="19"/>
      <c r="AD28" s="19"/>
      <c r="AE28" s="19"/>
      <c r="AF28" t="s">
        <v>64</v>
      </c>
      <c r="AG28" s="19"/>
      <c r="AH28" s="76" t="str">
        <f ca="1">_xll.DBRA(Server&amp;"Indicator_Corp",$AI28,$F$15)</f>
        <v>Coûts externes</v>
      </c>
      <c r="AI28" s="72" t="s">
        <v>75</v>
      </c>
      <c r="AJ28" s="122" t="e">
        <f t="shared" ca="1" si="0"/>
        <v>#VALUE!</v>
      </c>
      <c r="AK28" s="102" t="e">
        <f t="shared" ca="1" si="1"/>
        <v>#VALUE!</v>
      </c>
      <c r="AL28" s="102" t="e">
        <f t="shared" ca="1" si="2"/>
        <v>#VALUE!</v>
      </c>
      <c r="AM28" s="102" t="e">
        <f t="shared" ca="1" si="3"/>
        <v>#VALUE!</v>
      </c>
      <c r="AN28" s="103"/>
      <c r="AO28" s="104" t="str">
        <f ca="1">_xll.DBRW(Server&amp;Cube1,$F$19,$F$13,$F$14,$C$19,$C$17,$F$16,$F$18,$C$18,$I$2,$I$1,$AH28)</f>
        <v>*RECALC_43</v>
      </c>
      <c r="AP28" s="104" t="str">
        <f ca="1">_xll.DBRW(Server&amp;Cube1,$F$19,$F$13,$F$14,$C$19,$C$17,$F$16,$F$18,$C$18,$J$2,$J$1,$AH28)</f>
        <v>*RECALC_44</v>
      </c>
      <c r="AQ28" s="105" t="e">
        <f t="shared" ca="1" si="4"/>
        <v>#VALUE!</v>
      </c>
      <c r="AR28" s="19"/>
    </row>
    <row r="29" spans="1:52" s="10" customFormat="1" ht="24.95" customHeight="1" x14ac:dyDescent="0.35">
      <c r="A29" s="19"/>
      <c r="B29" s="35"/>
      <c r="C29" s="88"/>
      <c r="D29" s="100"/>
      <c r="E29" s="3"/>
      <c r="F29" s="3"/>
      <c r="G29" s="26"/>
      <c r="H29" s="28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21"/>
      <c r="X29" s="64"/>
      <c r="Y29" s="19"/>
      <c r="Z29" s="19"/>
      <c r="AA29" s="19"/>
      <c r="AB29" s="19"/>
      <c r="AC29" s="19"/>
      <c r="AD29" s="19"/>
      <c r="AE29" s="19"/>
      <c r="AF29" t="s">
        <v>76</v>
      </c>
      <c r="AG29" s="19"/>
      <c r="AH29" s="76" t="str">
        <f ca="1">_xll.DBRA(Server&amp;"Indicator_Corp",$AI29,$F$15)</f>
        <v>Coûts d'environnement, Taxes et dotations</v>
      </c>
      <c r="AI29" s="72" t="s">
        <v>74</v>
      </c>
      <c r="AJ29" s="122" t="e">
        <f t="shared" ca="1" si="0"/>
        <v>#VALUE!</v>
      </c>
      <c r="AK29" s="102" t="e">
        <f t="shared" ca="1" si="1"/>
        <v>#VALUE!</v>
      </c>
      <c r="AL29" s="102" t="e">
        <f t="shared" ca="1" si="2"/>
        <v>#VALUE!</v>
      </c>
      <c r="AM29" s="102" t="e">
        <f t="shared" ca="1" si="3"/>
        <v>#VALUE!</v>
      </c>
      <c r="AN29" s="103"/>
      <c r="AO29" s="104" t="str">
        <f ca="1">_xll.DBRW(Server&amp;Cube1,$F$19,$F$13,$F$14,$C$19,$C$17,$F$16,$F$18,$C$18,$I$2,$I$1,$AH29)</f>
        <v>*RECALC_45</v>
      </c>
      <c r="AP29" s="104" t="str">
        <f ca="1">_xll.DBRW(Server&amp;Cube1,$F$19,$F$13,$F$14,$C$19,$C$17,$F$16,$F$18,$C$18,$J$2,$J$1,$AH29)</f>
        <v>*RECALC_46</v>
      </c>
      <c r="AQ29" s="105" t="e">
        <f t="shared" ca="1" si="4"/>
        <v>#VALUE!</v>
      </c>
      <c r="AR29" s="19"/>
    </row>
    <row r="30" spans="1:52" s="10" customFormat="1" ht="24.95" customHeight="1" thickBot="1" x14ac:dyDescent="0.4">
      <c r="A30" s="19"/>
      <c r="B30" s="35"/>
      <c r="C30" s="88"/>
      <c r="D30" s="100"/>
      <c r="E30" s="3"/>
      <c r="F30" s="3"/>
      <c r="G30" s="26"/>
      <c r="H30" s="28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21"/>
      <c r="X30" s="64"/>
      <c r="Y30" s="19"/>
      <c r="Z30" s="19"/>
      <c r="AA30" s="19"/>
      <c r="AB30" s="19"/>
      <c r="AC30" s="19"/>
      <c r="AD30" s="19"/>
      <c r="AE30" s="19"/>
      <c r="AG30" s="19"/>
      <c r="AH30" s="76" t="str">
        <f ca="1">_xll.DBRA(Server&amp;"Indicator_Corp",$AI30,$F$15)</f>
        <v>PRODUIT DES ACTIVITES ORDINAIRES</v>
      </c>
      <c r="AI30" s="72" t="s">
        <v>71</v>
      </c>
      <c r="AJ30" s="122" t="e">
        <f t="shared" ca="1" si="0"/>
        <v>#VALUE!</v>
      </c>
      <c r="AK30" s="102" t="e">
        <f t="shared" ca="1" si="1"/>
        <v>#VALUE!</v>
      </c>
      <c r="AL30" s="102" t="e">
        <f t="shared" ca="1" si="2"/>
        <v>#VALUE!</v>
      </c>
      <c r="AM30" s="102" t="e">
        <f t="shared" ca="1" si="3"/>
        <v>#VALUE!</v>
      </c>
      <c r="AN30" s="103"/>
      <c r="AO30" s="104" t="str">
        <f ca="1">_xll.DBRW(Server&amp;Cube1,$F$19,$F$13,$F$14,$C$19,$C$17,$F$16,$F$18,$C$18,$I$2,$I$1,$AH30)</f>
        <v>*RECALC_47</v>
      </c>
      <c r="AP30" s="104" t="str">
        <f ca="1">_xll.DBRW(Server&amp;Cube1,$F$19,$F$13,$F$14,$C$19,$C$17,$F$16,$F$18,$C$18,$J$2,$J$1,$AH30)</f>
        <v>*RECALC_48</v>
      </c>
      <c r="AQ30" s="105" t="e">
        <f t="shared" ca="1" si="4"/>
        <v>#VALUE!</v>
      </c>
      <c r="AR30" s="19"/>
    </row>
    <row r="31" spans="1:52" ht="21" customHeight="1" x14ac:dyDescent="0.3">
      <c r="B31" s="35"/>
      <c r="C31" s="89"/>
      <c r="D31" s="93"/>
      <c r="E31" s="3"/>
      <c r="F31" s="3"/>
      <c r="G31" s="26"/>
      <c r="H31" s="37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21"/>
      <c r="X31" s="64"/>
      <c r="AF31" s="10"/>
      <c r="AI31" s="67"/>
      <c r="AJ31" s="106" t="e">
        <f ca="1" xml:space="preserve"> $J$3 &amp;" " &amp; CHAR(10) &amp;TEXT(ROUND($AP$31,0),"# ##0")</f>
        <v>#VALUE!</v>
      </c>
      <c r="AK31" s="103"/>
      <c r="AL31" s="103"/>
      <c r="AM31" s="103"/>
      <c r="AN31" s="107" t="e">
        <f ca="1">$AN$25+SUM(AJ26:AJ30)</f>
        <v>#VALUE!</v>
      </c>
      <c r="AO31" s="108" t="str">
        <f ca="1">_xll.DBRW(Server&amp;Cube1,$F$19,$F$13,$F$14,$C$19,$C$17,$F$16,$F$18,$C$18,$I$2,$I$1,$AP$32)</f>
        <v>*RECALC_38</v>
      </c>
      <c r="AP31" s="109" t="str">
        <f ca="1">_xll.DBRW(Server&amp;Cube1,$F$19,$F$13,$F$14,$C$19,$C$17,$F$16,$F$18,$C$18,$J$2,$J$1,$AP$32)</f>
        <v>*RECALC_37</v>
      </c>
      <c r="AQ31" s="105"/>
    </row>
    <row r="32" spans="1:52" ht="24" thickBot="1" x14ac:dyDescent="0.35">
      <c r="A32" s="35"/>
      <c r="B32" s="35"/>
      <c r="C32" s="89"/>
      <c r="D32" s="93"/>
      <c r="E32" s="3"/>
      <c r="F32" s="3"/>
      <c r="G32" s="26"/>
      <c r="H32" s="29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21"/>
      <c r="X32" s="64"/>
      <c r="Y32" s="35"/>
      <c r="Z32" s="35"/>
      <c r="AA32" s="35"/>
      <c r="AB32" s="35"/>
      <c r="AC32" s="35"/>
      <c r="AD32" s="35"/>
      <c r="AE32" s="35"/>
      <c r="AF32" s="10"/>
      <c r="AG32" s="35"/>
      <c r="AH32" s="35"/>
      <c r="AI32" s="67"/>
      <c r="AJ32" s="110"/>
      <c r="AK32" s="103"/>
      <c r="AL32" s="103"/>
      <c r="AM32" s="103"/>
      <c r="AN32" s="111"/>
      <c r="AO32" s="112" t="s">
        <v>53</v>
      </c>
      <c r="AP32" s="113" t="s">
        <v>70</v>
      </c>
      <c r="AQ32" s="105"/>
      <c r="AR32" s="35"/>
    </row>
    <row r="33" spans="1:44" s="10" customFormat="1" ht="24" customHeight="1" x14ac:dyDescent="0.35">
      <c r="A33" s="35"/>
      <c r="B33" s="35"/>
      <c r="C33" s="91"/>
      <c r="D33" s="100"/>
      <c r="E33" s="3"/>
      <c r="F33" s="3"/>
      <c r="G33" s="26"/>
      <c r="H33" s="28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21"/>
      <c r="X33" s="64"/>
      <c r="Y33" s="35"/>
      <c r="Z33" s="35"/>
      <c r="AA33" s="35"/>
      <c r="AB33" s="35"/>
      <c r="AC33" s="35"/>
      <c r="AD33" s="35"/>
      <c r="AE33" s="35"/>
      <c r="AG33" s="35"/>
      <c r="AH33" s="35"/>
      <c r="AI33" s="67"/>
      <c r="AJ33" s="110"/>
      <c r="AK33" s="103"/>
      <c r="AL33" s="103"/>
      <c r="AM33" s="103"/>
      <c r="AN33" s="111"/>
      <c r="AO33" s="105"/>
      <c r="AP33" s="105"/>
      <c r="AQ33" s="105"/>
      <c r="AR33" s="35"/>
    </row>
    <row r="34" spans="1:44" s="10" customFormat="1" ht="24" customHeight="1" thickBot="1" x14ac:dyDescent="0.4">
      <c r="A34" s="35"/>
      <c r="B34" s="35"/>
      <c r="C34" s="89"/>
      <c r="D34" s="100"/>
      <c r="E34" s="3"/>
      <c r="F34" s="3"/>
      <c r="G34" s="26"/>
      <c r="H34" s="28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21"/>
      <c r="X34" s="64"/>
      <c r="Y34" s="35"/>
      <c r="Z34" s="35"/>
      <c r="AA34" s="35"/>
      <c r="AB34" s="35"/>
      <c r="AC34" s="35"/>
      <c r="AD34" s="35"/>
      <c r="AE34" s="35"/>
      <c r="AG34" s="35"/>
      <c r="AH34" s="35"/>
      <c r="AI34" s="35"/>
      <c r="AJ34" s="114"/>
      <c r="AK34" s="114"/>
      <c r="AL34" s="114"/>
      <c r="AM34" s="114"/>
      <c r="AN34" s="115" t="s">
        <v>58</v>
      </c>
      <c r="AO34" s="114"/>
      <c r="AP34" s="114"/>
      <c r="AQ34" s="114"/>
      <c r="AR34" s="35"/>
    </row>
    <row r="35" spans="1:44" s="10" customFormat="1" ht="24" customHeight="1" x14ac:dyDescent="0.35">
      <c r="A35" s="35"/>
      <c r="B35" s="35"/>
      <c r="C35" s="89"/>
      <c r="D35" s="100"/>
      <c r="E35" s="3"/>
      <c r="F35" s="3"/>
      <c r="G35" s="26"/>
      <c r="H35" s="28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21"/>
      <c r="X35" s="64"/>
      <c r="Y35" s="35"/>
      <c r="Z35" s="35"/>
      <c r="AA35" s="35"/>
      <c r="AB35" s="35"/>
      <c r="AC35" s="35"/>
      <c r="AD35" s="35"/>
      <c r="AE35" s="35"/>
      <c r="AG35" s="35"/>
      <c r="AH35" s="35"/>
      <c r="AI35" s="69"/>
      <c r="AJ35" s="105"/>
      <c r="AK35" s="105"/>
      <c r="AL35" s="105"/>
      <c r="AM35" s="105"/>
      <c r="AN35" s="105"/>
      <c r="AO35" s="116" t="s">
        <v>56</v>
      </c>
      <c r="AP35" s="117"/>
      <c r="AQ35" s="105"/>
      <c r="AR35" s="35"/>
    </row>
    <row r="36" spans="1:44" s="10" customFormat="1" ht="24" customHeight="1" thickBot="1" x14ac:dyDescent="0.4">
      <c r="A36" s="35"/>
      <c r="B36" s="35"/>
      <c r="C36" s="91"/>
      <c r="D36" s="100"/>
      <c r="E36" s="3"/>
      <c r="F36" s="3"/>
      <c r="G36" s="26"/>
      <c r="H36" s="28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21"/>
      <c r="X36" s="64"/>
      <c r="Y36" s="35"/>
      <c r="Z36" s="35"/>
      <c r="AA36" s="35"/>
      <c r="AB36" s="35"/>
      <c r="AC36" s="35"/>
      <c r="AD36" s="35"/>
      <c r="AE36" s="35"/>
      <c r="AG36" s="35"/>
      <c r="AH36" s="35"/>
      <c r="AI36" s="69"/>
      <c r="AJ36" s="105"/>
      <c r="AK36" s="105"/>
      <c r="AL36" s="105"/>
      <c r="AM36" s="105"/>
      <c r="AN36" s="105"/>
      <c r="AO36" s="118" t="e">
        <f ca="1">ABS(MAX(AJ26:AJ30))+ABS(MIN(AJ26:AJ30))</f>
        <v>#VALUE!</v>
      </c>
      <c r="AP36" s="119"/>
      <c r="AQ36" s="105"/>
      <c r="AR36" s="35"/>
    </row>
    <row r="37" spans="1:44" s="10" customFormat="1" ht="24" customHeight="1" x14ac:dyDescent="0.35">
      <c r="A37" s="35"/>
      <c r="B37" s="35"/>
      <c r="C37" s="89"/>
      <c r="D37" s="100"/>
      <c r="E37" s="3"/>
      <c r="F37" s="3"/>
      <c r="G37" s="26"/>
      <c r="H37" s="28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21"/>
      <c r="X37" s="64"/>
      <c r="Y37" s="35"/>
      <c r="Z37" s="35"/>
      <c r="AA37" s="35"/>
      <c r="AB37" s="35"/>
      <c r="AC37" s="35"/>
      <c r="AD37" s="35"/>
      <c r="AE37" s="35"/>
      <c r="AG37" s="35"/>
      <c r="AH37" s="35"/>
      <c r="AI37"/>
      <c r="AJ37" s="120"/>
      <c r="AK37" s="120"/>
      <c r="AL37" s="120"/>
      <c r="AM37" s="120"/>
      <c r="AN37" s="120"/>
      <c r="AO37" s="121"/>
      <c r="AP37" s="121"/>
      <c r="AQ37" s="121"/>
      <c r="AR37" s="35"/>
    </row>
    <row r="38" spans="1:44" s="10" customFormat="1" ht="24" customHeight="1" x14ac:dyDescent="0.35">
      <c r="A38" s="35"/>
      <c r="B38" s="35"/>
      <c r="C38" s="35"/>
      <c r="D38" s="93"/>
      <c r="E38" s="21"/>
      <c r="F38" s="3"/>
      <c r="G38" s="26"/>
      <c r="H38" s="28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21"/>
      <c r="X38" s="64"/>
      <c r="Y38" s="35"/>
      <c r="Z38" s="35"/>
      <c r="AA38" s="35"/>
      <c r="AB38" s="35"/>
      <c r="AC38" s="35"/>
      <c r="AD38" s="35"/>
      <c r="AE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</row>
    <row r="39" spans="1:44" s="10" customFormat="1" ht="24" customHeight="1" x14ac:dyDescent="0.35">
      <c r="A39" s="35"/>
      <c r="B39" s="35"/>
      <c r="C39" s="35"/>
      <c r="D39" s="93"/>
      <c r="E39" s="21"/>
      <c r="F39" s="3"/>
      <c r="G39" s="26"/>
      <c r="H39" s="28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21"/>
      <c r="X39" s="64"/>
      <c r="Y39" s="35"/>
      <c r="Z39" s="35"/>
      <c r="AA39" s="35"/>
      <c r="AB39" s="35"/>
      <c r="AC39" s="35"/>
      <c r="AD39" s="35"/>
      <c r="AE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</row>
    <row r="40" spans="1:44" s="10" customFormat="1" ht="24" customHeight="1" x14ac:dyDescent="0.35">
      <c r="A40" s="35"/>
      <c r="B40" s="35"/>
      <c r="C40" s="35"/>
      <c r="D40" s="93"/>
      <c r="E40" s="21"/>
      <c r="F40" s="3"/>
      <c r="G40" s="26"/>
      <c r="H40" s="28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21"/>
      <c r="X40" s="64"/>
      <c r="Y40" s="35"/>
      <c r="Z40" s="35"/>
      <c r="AA40" s="35"/>
      <c r="AB40" s="35"/>
      <c r="AC40" s="35"/>
      <c r="AD40" s="35"/>
      <c r="AE40" s="35"/>
      <c r="AF40" s="36"/>
      <c r="AG40" s="36"/>
      <c r="AH40" s="36"/>
      <c r="AI40" s="36"/>
      <c r="AJ40" s="9"/>
      <c r="AK40" s="9"/>
      <c r="AL40" s="9"/>
      <c r="AM40" s="9"/>
      <c r="AN40" s="9"/>
      <c r="AO40" s="35"/>
      <c r="AP40" s="35"/>
      <c r="AQ40" s="35"/>
      <c r="AR40" s="35"/>
    </row>
    <row r="41" spans="1:44" s="10" customFormat="1" ht="24" customHeight="1" x14ac:dyDescent="0.35">
      <c r="A41" s="35"/>
      <c r="B41" s="35"/>
      <c r="C41" s="35"/>
      <c r="D41" s="93"/>
      <c r="E41" s="21"/>
      <c r="F41" s="3"/>
      <c r="G41" s="26"/>
      <c r="H41" s="28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21"/>
      <c r="X41" s="64"/>
      <c r="Y41" s="35"/>
      <c r="Z41" s="35"/>
      <c r="AA41" s="35"/>
      <c r="AB41" s="35"/>
      <c r="AC41" s="35"/>
      <c r="AD41" s="35"/>
      <c r="AE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</row>
    <row r="42" spans="1:44" s="10" customFormat="1" ht="24" customHeight="1" x14ac:dyDescent="0.35">
      <c r="A42" s="35"/>
      <c r="B42" s="35"/>
      <c r="C42" s="35"/>
      <c r="D42" s="93"/>
      <c r="E42" s="21"/>
      <c r="F42" s="3"/>
      <c r="G42" s="26"/>
      <c r="H42" s="28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21"/>
      <c r="X42" s="64"/>
      <c r="Y42" s="35"/>
      <c r="Z42" s="35"/>
      <c r="AA42" s="35"/>
      <c r="AB42" s="35"/>
      <c r="AC42" s="35"/>
      <c r="AD42" s="35"/>
      <c r="AE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</row>
    <row r="43" spans="1:44" s="10" customFormat="1" ht="24" customHeight="1" x14ac:dyDescent="0.35">
      <c r="A43" s="35"/>
      <c r="B43" s="35"/>
      <c r="C43" s="35"/>
      <c r="D43" s="93"/>
      <c r="E43" s="21"/>
      <c r="F43" s="3"/>
      <c r="G43" s="26"/>
      <c r="H43" s="28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21"/>
      <c r="X43" s="64"/>
      <c r="Y43" s="35"/>
      <c r="Z43" s="35"/>
      <c r="AA43" s="35"/>
      <c r="AB43" s="35"/>
      <c r="AC43" s="35"/>
      <c r="AD43" s="35"/>
      <c r="AE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</row>
    <row r="44" spans="1:44" s="10" customFormat="1" ht="24" customHeight="1" x14ac:dyDescent="0.35">
      <c r="A44" s="35"/>
      <c r="B44" s="35"/>
      <c r="C44" s="35"/>
      <c r="D44" s="93"/>
      <c r="E44" s="21"/>
      <c r="F44" s="3"/>
      <c r="G44" s="26"/>
      <c r="H44" s="28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21"/>
      <c r="X44" s="64"/>
      <c r="Y44" s="35"/>
      <c r="Z44" s="35"/>
      <c r="AA44" s="35"/>
      <c r="AB44" s="35"/>
      <c r="AC44" s="35"/>
      <c r="AD44" s="35"/>
      <c r="AE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</row>
    <row r="45" spans="1:44" s="10" customFormat="1" ht="24" customHeight="1" x14ac:dyDescent="0.35">
      <c r="A45" s="35"/>
      <c r="B45" s="35"/>
      <c r="C45" s="35"/>
      <c r="D45" s="93"/>
      <c r="E45" s="21"/>
      <c r="F45" s="3"/>
      <c r="G45" s="26"/>
      <c r="H45" s="28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21"/>
      <c r="X45" s="64"/>
      <c r="Y45" s="35"/>
      <c r="Z45" s="35"/>
      <c r="AA45" s="35"/>
      <c r="AB45" s="35"/>
      <c r="AC45" s="35"/>
      <c r="AD45" s="35"/>
      <c r="AE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</row>
    <row r="46" spans="1:44" s="10" customFormat="1" ht="24" customHeight="1" x14ac:dyDescent="0.35">
      <c r="A46" s="35"/>
      <c r="B46" s="35"/>
      <c r="C46" s="35"/>
      <c r="D46" s="93"/>
      <c r="E46" s="21"/>
      <c r="F46" s="3"/>
      <c r="G46" s="26"/>
      <c r="H46" s="28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21"/>
      <c r="X46" s="64"/>
      <c r="Y46" s="35"/>
      <c r="Z46" s="35"/>
      <c r="AA46" s="35"/>
      <c r="AB46" s="35"/>
      <c r="AC46" s="35"/>
      <c r="AD46" s="35"/>
      <c r="AE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</row>
    <row r="47" spans="1:44" s="10" customFormat="1" ht="24" customHeight="1" x14ac:dyDescent="0.35">
      <c r="A47" s="35"/>
      <c r="B47" s="35"/>
      <c r="C47" s="35"/>
      <c r="D47" s="93"/>
      <c r="E47" s="21"/>
      <c r="F47" s="3"/>
      <c r="G47" s="26"/>
      <c r="H47" s="28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21"/>
      <c r="X47" s="64"/>
      <c r="Y47" s="35"/>
      <c r="Z47" s="35"/>
      <c r="AA47" s="35"/>
      <c r="AB47" s="35"/>
      <c r="AC47" s="35"/>
      <c r="AD47" s="35"/>
      <c r="AE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</row>
    <row r="48" spans="1:44" s="10" customFormat="1" ht="24" customHeight="1" x14ac:dyDescent="0.35">
      <c r="A48" s="35"/>
      <c r="B48" s="35"/>
      <c r="C48" s="35"/>
      <c r="D48" s="93"/>
      <c r="E48" s="21"/>
      <c r="F48" s="3"/>
      <c r="G48" s="26"/>
      <c r="H48" s="28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21"/>
      <c r="X48" s="64"/>
      <c r="Y48" s="35"/>
      <c r="Z48" s="35"/>
      <c r="AA48" s="35"/>
      <c r="AB48" s="35"/>
      <c r="AC48" s="35"/>
      <c r="AD48" s="35"/>
      <c r="AE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44" s="10" customFormat="1" ht="24" customHeight="1" x14ac:dyDescent="0.35">
      <c r="A49" s="35"/>
      <c r="B49" s="35"/>
      <c r="C49" s="35"/>
      <c r="D49" s="93"/>
      <c r="E49" s="21"/>
      <c r="F49" s="3"/>
      <c r="G49" s="26"/>
      <c r="H49" s="28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21"/>
      <c r="X49" s="64"/>
      <c r="Y49" s="35"/>
      <c r="Z49" s="35"/>
      <c r="AA49" s="35"/>
      <c r="AB49" s="35"/>
      <c r="AC49" s="35"/>
      <c r="AD49" s="35"/>
      <c r="AE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</row>
    <row r="50" spans="1:44" s="10" customFormat="1" ht="24" customHeight="1" x14ac:dyDescent="0.35">
      <c r="A50" s="35"/>
      <c r="B50" s="35"/>
      <c r="C50" s="35"/>
      <c r="D50" s="93"/>
      <c r="E50" s="21"/>
      <c r="F50" s="3"/>
      <c r="G50" s="26"/>
      <c r="H50" s="28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21"/>
      <c r="X50" s="64"/>
      <c r="Y50" s="35"/>
      <c r="Z50" s="35"/>
      <c r="AA50" s="35"/>
      <c r="AB50" s="35"/>
      <c r="AC50" s="35"/>
      <c r="AD50" s="35"/>
      <c r="AE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</row>
    <row r="51" spans="1:44" s="10" customFormat="1" ht="24" customHeight="1" x14ac:dyDescent="0.35">
      <c r="A51" s="35"/>
      <c r="B51" s="35"/>
      <c r="C51" s="35"/>
      <c r="D51" s="93"/>
      <c r="E51" s="21"/>
      <c r="F51" s="3"/>
      <c r="G51" s="26"/>
      <c r="H51" s="28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21"/>
      <c r="X51" s="64"/>
      <c r="Y51" s="35"/>
      <c r="Z51" s="35"/>
      <c r="AA51" s="35"/>
      <c r="AB51" s="35"/>
      <c r="AC51" s="35"/>
      <c r="AD51" s="35"/>
      <c r="AE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</row>
    <row r="52" spans="1:44" s="10" customFormat="1" ht="24" customHeight="1" x14ac:dyDescent="0.35">
      <c r="A52" s="35"/>
      <c r="B52" s="35"/>
      <c r="C52" s="35"/>
      <c r="D52" s="93"/>
      <c r="E52" s="21"/>
      <c r="F52" s="3"/>
      <c r="G52" s="26"/>
      <c r="H52" s="28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21"/>
      <c r="X52" s="64"/>
      <c r="Y52" s="35"/>
      <c r="Z52" s="35"/>
      <c r="AA52" s="35"/>
      <c r="AB52" s="35"/>
      <c r="AC52" s="35"/>
      <c r="AD52" s="35"/>
      <c r="AE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</row>
    <row r="53" spans="1:44" s="10" customFormat="1" ht="24" customHeight="1" x14ac:dyDescent="0.35">
      <c r="A53" s="35"/>
      <c r="B53" s="35"/>
      <c r="C53" s="35"/>
      <c r="D53" s="93"/>
      <c r="E53" s="21"/>
      <c r="F53" s="3"/>
      <c r="G53" s="26"/>
      <c r="H53" s="28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21"/>
      <c r="X53" s="64"/>
      <c r="Y53" s="35"/>
      <c r="Z53" s="35"/>
      <c r="AA53" s="35"/>
      <c r="AB53" s="35"/>
      <c r="AC53" s="35"/>
      <c r="AD53" s="35"/>
      <c r="AE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</row>
    <row r="54" spans="1:44" s="10" customFormat="1" ht="24" customHeight="1" x14ac:dyDescent="0.35">
      <c r="A54" s="35"/>
      <c r="B54" s="35"/>
      <c r="C54" s="35"/>
      <c r="D54" s="93"/>
      <c r="E54" s="21"/>
      <c r="F54" s="3"/>
      <c r="G54" s="26"/>
      <c r="H54" s="28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21"/>
      <c r="X54" s="64"/>
      <c r="Y54" s="35"/>
      <c r="Z54" s="35"/>
      <c r="AA54" s="35"/>
      <c r="AB54" s="35"/>
      <c r="AC54" s="35"/>
      <c r="AD54" s="35"/>
      <c r="AE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</row>
    <row r="55" spans="1:44" s="10" customFormat="1" ht="24" customHeight="1" x14ac:dyDescent="0.35">
      <c r="A55" s="35"/>
      <c r="B55" s="35"/>
      <c r="C55" s="35"/>
      <c r="D55" s="93"/>
      <c r="E55" s="21"/>
      <c r="F55" s="3"/>
      <c r="G55" s="26"/>
      <c r="H55" s="28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21"/>
      <c r="X55" s="64"/>
      <c r="Y55" s="35"/>
      <c r="Z55" s="35"/>
      <c r="AA55" s="35"/>
      <c r="AB55" s="35"/>
      <c r="AC55" s="35"/>
      <c r="AD55" s="35"/>
      <c r="AE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</row>
    <row r="56" spans="1:44" s="10" customFormat="1" ht="24" customHeight="1" x14ac:dyDescent="0.35">
      <c r="A56" s="35"/>
      <c r="B56" s="35"/>
      <c r="C56" s="35"/>
      <c r="D56" s="93"/>
      <c r="E56" s="21"/>
      <c r="F56" s="3"/>
      <c r="G56" s="26"/>
      <c r="H56" s="28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21"/>
      <c r="X56" s="64"/>
      <c r="Y56" s="35"/>
      <c r="Z56" s="35"/>
      <c r="AA56" s="35"/>
      <c r="AB56" s="35"/>
      <c r="AC56" s="35"/>
      <c r="AD56" s="35"/>
      <c r="AE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</row>
    <row r="57" spans="1:44" s="10" customFormat="1" ht="24" customHeight="1" x14ac:dyDescent="0.35">
      <c r="A57" s="35"/>
      <c r="B57" s="35"/>
      <c r="C57" s="35"/>
      <c r="D57" s="93"/>
      <c r="E57" s="21"/>
      <c r="F57" s="3"/>
      <c r="G57" s="26"/>
      <c r="H57" s="28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21"/>
      <c r="X57" s="64"/>
      <c r="Y57" s="35"/>
      <c r="Z57" s="35"/>
      <c r="AA57" s="35"/>
      <c r="AB57" s="35"/>
      <c r="AC57" s="35"/>
      <c r="AD57" s="35"/>
      <c r="AE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</row>
    <row r="58" spans="1:44" s="10" customFormat="1" ht="11.25" customHeight="1" x14ac:dyDescent="0.35">
      <c r="A58" s="35"/>
      <c r="B58" s="35"/>
      <c r="C58" s="35"/>
      <c r="D58" s="93"/>
      <c r="E58" s="21"/>
      <c r="F58" s="3"/>
      <c r="G58" s="26"/>
      <c r="H58" s="28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21"/>
      <c r="X58" s="64"/>
      <c r="Y58" s="35"/>
      <c r="Z58" s="35"/>
      <c r="AA58" s="35"/>
      <c r="AB58" s="35"/>
      <c r="AC58" s="35"/>
      <c r="AD58" s="35"/>
      <c r="AE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</row>
    <row r="59" spans="1:44" s="10" customFormat="1" ht="24" customHeight="1" x14ac:dyDescent="0.35">
      <c r="A59" s="35"/>
      <c r="B59" s="35"/>
      <c r="C59" s="35"/>
      <c r="D59" s="93"/>
      <c r="E59" s="21"/>
      <c r="F59" s="3"/>
      <c r="G59" s="26"/>
      <c r="H59" s="28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21"/>
      <c r="X59" s="64"/>
      <c r="Y59" s="35"/>
      <c r="Z59" s="35"/>
      <c r="AA59" s="35"/>
      <c r="AB59" s="35"/>
      <c r="AC59" s="35"/>
      <c r="AD59" s="35"/>
      <c r="AE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</row>
    <row r="60" spans="1:44" s="10" customFormat="1" ht="6" customHeight="1" x14ac:dyDescent="0.35">
      <c r="A60" s="35"/>
      <c r="B60" s="35"/>
      <c r="C60" s="35"/>
      <c r="D60" s="93"/>
      <c r="E60" s="21"/>
      <c r="F60" s="3"/>
      <c r="G60" s="26"/>
      <c r="H60" s="28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21"/>
      <c r="X60" s="64"/>
      <c r="Y60" s="35"/>
      <c r="Z60" s="35"/>
      <c r="AA60" s="35"/>
      <c r="AB60" s="35"/>
      <c r="AC60" s="35"/>
      <c r="AD60" s="35"/>
      <c r="AE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</row>
    <row r="61" spans="1:44" s="10" customFormat="1" ht="24" customHeight="1" x14ac:dyDescent="0.35">
      <c r="A61" s="35"/>
      <c r="B61" s="35"/>
      <c r="C61" s="35"/>
      <c r="D61" s="93"/>
      <c r="E61" s="21"/>
      <c r="F61" s="3"/>
      <c r="G61" s="26"/>
      <c r="H61" s="28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21"/>
      <c r="X61" s="64"/>
      <c r="Y61" s="35"/>
      <c r="Z61" s="35"/>
      <c r="AA61" s="35"/>
      <c r="AB61" s="35"/>
      <c r="AC61" s="35"/>
      <c r="AD61" s="35"/>
      <c r="AE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</row>
    <row r="62" spans="1:44" s="10" customFormat="1" ht="7.5" customHeight="1" x14ac:dyDescent="0.35">
      <c r="A62" s="35"/>
      <c r="B62" s="35"/>
      <c r="C62" s="35"/>
      <c r="D62" s="93"/>
      <c r="E62" s="21"/>
      <c r="F62" s="3"/>
      <c r="G62" s="26"/>
      <c r="H62" s="28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21"/>
      <c r="X62" s="64"/>
      <c r="Y62" s="35"/>
      <c r="Z62" s="35"/>
      <c r="AA62" s="35"/>
      <c r="AB62" s="35"/>
      <c r="AC62" s="35"/>
      <c r="AD62" s="35"/>
      <c r="AE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</row>
    <row r="63" spans="1:44" s="10" customFormat="1" ht="24" customHeight="1" x14ac:dyDescent="0.35">
      <c r="A63" s="35"/>
      <c r="B63" s="35"/>
      <c r="C63" s="35"/>
      <c r="D63" s="93"/>
      <c r="E63" s="21"/>
      <c r="F63" s="3"/>
      <c r="G63" s="26"/>
      <c r="H63" s="28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21"/>
      <c r="X63" s="64"/>
      <c r="Y63" s="35"/>
      <c r="Z63" s="35"/>
      <c r="AA63" s="35"/>
      <c r="AB63" s="35"/>
      <c r="AC63" s="35"/>
      <c r="AD63" s="35"/>
      <c r="AE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</row>
    <row r="64" spans="1:44" s="10" customFormat="1" ht="7.5" customHeight="1" x14ac:dyDescent="0.35">
      <c r="A64" s="35"/>
      <c r="B64" s="35"/>
      <c r="C64" s="35"/>
      <c r="D64" s="93"/>
      <c r="E64" s="21"/>
      <c r="F64" s="3"/>
      <c r="G64" s="26"/>
      <c r="H64" s="28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21"/>
      <c r="X64" s="64"/>
      <c r="Y64" s="35"/>
      <c r="Z64" s="35"/>
      <c r="AA64" s="35"/>
      <c r="AB64" s="35"/>
      <c r="AC64" s="35"/>
      <c r="AD64" s="35"/>
      <c r="AE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</row>
    <row r="65" spans="1:44" s="10" customFormat="1" ht="24" customHeight="1" x14ac:dyDescent="0.35">
      <c r="A65" s="35"/>
      <c r="B65" s="35"/>
      <c r="C65" s="35"/>
      <c r="D65" s="93"/>
      <c r="E65" s="21"/>
      <c r="F65" s="3"/>
      <c r="G65" s="26"/>
      <c r="H65" s="28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21"/>
      <c r="X65" s="64"/>
      <c r="Y65" s="35"/>
      <c r="Z65" s="35"/>
      <c r="AA65" s="35"/>
      <c r="AB65" s="35"/>
      <c r="AC65" s="35"/>
      <c r="AD65" s="35"/>
      <c r="AE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</row>
    <row r="66" spans="1:44" s="10" customFormat="1" ht="9" customHeight="1" x14ac:dyDescent="0.35">
      <c r="A66" s="35"/>
      <c r="B66" s="35"/>
      <c r="C66" s="35"/>
      <c r="D66" s="93"/>
      <c r="E66" s="21"/>
      <c r="F66" s="3"/>
      <c r="G66" s="26"/>
      <c r="H66" s="28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21"/>
      <c r="X66" s="64"/>
      <c r="Y66" s="35"/>
      <c r="Z66" s="35"/>
      <c r="AA66" s="35"/>
      <c r="AB66" s="35"/>
      <c r="AC66" s="35"/>
      <c r="AD66" s="35"/>
      <c r="AE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</row>
    <row r="67" spans="1:44" ht="24" customHeight="1" x14ac:dyDescent="0.35">
      <c r="A67" s="35"/>
      <c r="B67" s="35"/>
      <c r="C67" s="35"/>
      <c r="D67" s="93"/>
      <c r="E67" s="21"/>
      <c r="F67" s="3"/>
      <c r="G67" s="26"/>
      <c r="H67" s="28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21"/>
      <c r="X67" s="64"/>
      <c r="Y67" s="35"/>
      <c r="Z67" s="35"/>
      <c r="AA67" s="35"/>
      <c r="AB67" s="35"/>
      <c r="AC67" s="35"/>
      <c r="AD67" s="35"/>
      <c r="AE67" s="35"/>
      <c r="AF67" s="10"/>
      <c r="AG67" s="35"/>
      <c r="AH67" s="35"/>
      <c r="AI67" s="35"/>
      <c r="AJ67" s="35"/>
      <c r="AK67" s="35"/>
      <c r="AL67" s="35"/>
      <c r="AM67" s="35"/>
      <c r="AN67" s="35"/>
      <c r="AO67" s="35"/>
      <c r="AQ67" s="35"/>
      <c r="AR67" s="35"/>
    </row>
    <row r="68" spans="1:44" ht="22.5" customHeight="1" x14ac:dyDescent="0.35">
      <c r="A68" s="35"/>
      <c r="B68" s="35"/>
      <c r="C68" s="35"/>
      <c r="D68" s="93"/>
      <c r="E68" s="21"/>
      <c r="F68" s="3"/>
      <c r="G68" s="26"/>
      <c r="H68" s="28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21"/>
      <c r="X68" s="64"/>
      <c r="Y68" s="35"/>
      <c r="Z68" s="35"/>
      <c r="AA68" s="35"/>
      <c r="AB68" s="35"/>
      <c r="AC68" s="35"/>
      <c r="AD68" s="35"/>
      <c r="AE68" s="35"/>
      <c r="AF68" s="10"/>
      <c r="AG68" s="35"/>
      <c r="AH68" s="35"/>
      <c r="AI68" s="35"/>
      <c r="AJ68" s="35"/>
      <c r="AK68" s="35"/>
      <c r="AL68" s="35"/>
      <c r="AM68" s="35"/>
      <c r="AN68" s="35"/>
      <c r="AO68" s="35"/>
      <c r="AQ68" s="35"/>
      <c r="AR68" s="35"/>
    </row>
    <row r="69" spans="1:44" ht="10.5" customHeight="1" x14ac:dyDescent="0.35">
      <c r="A69" s="35"/>
      <c r="B69" s="35"/>
      <c r="C69" s="35"/>
      <c r="D69" s="93"/>
      <c r="E69" s="21"/>
      <c r="F69" s="3"/>
      <c r="G69" s="26"/>
      <c r="H69" s="28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21"/>
      <c r="X69" s="64"/>
      <c r="Y69" s="35"/>
      <c r="Z69" s="35"/>
      <c r="AA69" s="35"/>
      <c r="AB69" s="35"/>
      <c r="AC69" s="35"/>
      <c r="AD69" s="35"/>
      <c r="AE69" s="35"/>
      <c r="AG69" s="35"/>
      <c r="AH69" s="35"/>
      <c r="AI69" s="35"/>
      <c r="AJ69" s="35"/>
      <c r="AK69" s="35"/>
      <c r="AL69" s="35"/>
      <c r="AM69" s="35"/>
      <c r="AN69" s="35"/>
      <c r="AO69" s="35"/>
      <c r="AQ69" s="35"/>
      <c r="AR69" s="35"/>
    </row>
    <row r="70" spans="1:44" ht="23.25" x14ac:dyDescent="0.35">
      <c r="A70" s="35"/>
      <c r="B70" s="35"/>
      <c r="C70" s="35"/>
      <c r="D70" s="93"/>
      <c r="E70" s="21"/>
      <c r="F70" s="3"/>
      <c r="G70" s="26"/>
      <c r="H70" s="28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21"/>
      <c r="X70" s="64"/>
      <c r="Y70" s="35"/>
      <c r="Z70" s="35"/>
      <c r="AA70" s="35"/>
      <c r="AB70" s="35"/>
      <c r="AC70" s="35"/>
      <c r="AD70" s="35"/>
      <c r="AE70" s="35"/>
      <c r="AG70" s="35"/>
      <c r="AH70" s="35"/>
      <c r="AI70" s="35"/>
      <c r="AJ70" s="35"/>
      <c r="AK70" s="35"/>
      <c r="AL70" s="35"/>
      <c r="AM70" s="35"/>
      <c r="AN70" s="35"/>
      <c r="AO70" s="35"/>
      <c r="AQ70" s="35"/>
      <c r="AR70" s="35"/>
    </row>
    <row r="71" spans="1:44" ht="23.25" x14ac:dyDescent="0.35">
      <c r="A71" s="35"/>
      <c r="B71" s="35"/>
      <c r="C71" s="35"/>
      <c r="D71" s="93"/>
      <c r="E71" s="21"/>
      <c r="F71" s="3"/>
      <c r="G71" s="26"/>
      <c r="H71" s="28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21"/>
      <c r="X71" s="64"/>
      <c r="Y71" s="35"/>
      <c r="Z71" s="35"/>
      <c r="AA71" s="35"/>
      <c r="AB71" s="35"/>
      <c r="AC71" s="35"/>
      <c r="AD71" s="35"/>
      <c r="AE71" s="35"/>
      <c r="AG71" s="35"/>
      <c r="AH71" s="35"/>
      <c r="AI71" s="35"/>
      <c r="AJ71" s="35"/>
      <c r="AK71" s="35"/>
      <c r="AL71" s="35"/>
      <c r="AM71" s="35"/>
      <c r="AN71" s="35"/>
      <c r="AO71" s="35"/>
      <c r="AQ71" s="35"/>
      <c r="AR71" s="35"/>
    </row>
    <row r="72" spans="1:44" ht="24" customHeight="1" x14ac:dyDescent="0.35">
      <c r="A72" s="35"/>
      <c r="B72" s="35"/>
      <c r="C72" s="35"/>
      <c r="D72" s="93"/>
      <c r="E72" s="21"/>
      <c r="F72" s="3"/>
      <c r="G72" s="26"/>
      <c r="H72" s="28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21"/>
      <c r="X72" s="64"/>
      <c r="Y72" s="35"/>
      <c r="Z72" s="35"/>
      <c r="AA72" s="35"/>
      <c r="AB72" s="35"/>
      <c r="AC72" s="35"/>
      <c r="AD72" s="35"/>
      <c r="AE72" s="35"/>
      <c r="AG72" s="35"/>
      <c r="AH72" s="35"/>
      <c r="AI72" s="35"/>
      <c r="AJ72" s="35"/>
      <c r="AK72" s="35"/>
      <c r="AL72" s="35"/>
      <c r="AM72" s="35"/>
      <c r="AN72" s="35"/>
      <c r="AO72" s="35"/>
      <c r="AQ72" s="35"/>
      <c r="AR72" s="35"/>
    </row>
    <row r="73" spans="1:44" ht="24" customHeight="1" x14ac:dyDescent="0.35">
      <c r="A73" s="35"/>
      <c r="B73" s="35"/>
      <c r="C73" s="35"/>
      <c r="D73" s="93"/>
      <c r="E73" s="21"/>
      <c r="F73" s="3"/>
      <c r="G73" s="26"/>
      <c r="H73" s="28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21"/>
      <c r="X73" s="64"/>
      <c r="Y73" s="35"/>
      <c r="Z73" s="35"/>
      <c r="AA73" s="35"/>
      <c r="AB73" s="35"/>
      <c r="AC73" s="35"/>
      <c r="AD73" s="35"/>
      <c r="AE73" s="35"/>
      <c r="AG73" s="35"/>
      <c r="AH73" s="35"/>
      <c r="AI73" s="35"/>
      <c r="AJ73" s="35"/>
      <c r="AK73" s="35"/>
      <c r="AL73" s="35"/>
      <c r="AM73" s="35"/>
      <c r="AN73" s="35"/>
      <c r="AO73" s="35"/>
      <c r="AQ73" s="35"/>
      <c r="AR73" s="35"/>
    </row>
    <row r="74" spans="1:44" ht="24" customHeight="1" x14ac:dyDescent="0.35">
      <c r="A74" s="35"/>
      <c r="B74" s="35"/>
      <c r="C74" s="35"/>
      <c r="D74" s="93"/>
      <c r="E74" s="21"/>
      <c r="F74" s="3"/>
      <c r="G74" s="26"/>
      <c r="H74" s="28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21"/>
      <c r="X74" s="64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Q74" s="35"/>
      <c r="AR74" s="35"/>
    </row>
    <row r="75" spans="1:44" ht="24" customHeight="1" x14ac:dyDescent="0.35">
      <c r="A75" s="35"/>
      <c r="B75" s="35"/>
      <c r="C75" s="35"/>
      <c r="D75" s="93"/>
      <c r="E75" s="21"/>
      <c r="F75" s="3"/>
      <c r="G75" s="26"/>
      <c r="H75" s="28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21"/>
      <c r="X75" s="64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Q75" s="35"/>
      <c r="AR75" s="35"/>
    </row>
    <row r="76" spans="1:44" ht="24" customHeight="1" x14ac:dyDescent="0.35">
      <c r="A76" s="35"/>
      <c r="B76" s="35"/>
      <c r="C76" s="35"/>
      <c r="D76" s="93"/>
      <c r="E76" s="21"/>
      <c r="F76" s="3"/>
      <c r="G76" s="26"/>
      <c r="H76" s="28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21"/>
      <c r="X76" s="64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Q76" s="35"/>
      <c r="AR76" s="35"/>
    </row>
    <row r="77" spans="1:44" ht="24" customHeight="1" thickBot="1" x14ac:dyDescent="0.4">
      <c r="A77" s="35"/>
      <c r="B77" s="35"/>
      <c r="C77" s="35"/>
      <c r="D77" s="123"/>
      <c r="E77" s="124"/>
      <c r="F77" s="125"/>
      <c r="G77" s="126"/>
      <c r="H77" s="127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4"/>
      <c r="X77" s="129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Q77" s="35"/>
      <c r="AR77" s="35"/>
    </row>
    <row r="78" spans="1:44" ht="24" customHeight="1" x14ac:dyDescent="0.3">
      <c r="A78" s="35"/>
      <c r="B78" s="35"/>
      <c r="C78" s="35"/>
      <c r="D78" s="35"/>
      <c r="E78" s="35"/>
      <c r="F78" s="61"/>
      <c r="G78" s="61"/>
      <c r="H78" s="29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Q78" s="35"/>
      <c r="AR78" s="35"/>
    </row>
    <row r="79" spans="1:44" ht="24" customHeight="1" x14ac:dyDescent="0.3">
      <c r="A79" s="35"/>
      <c r="B79" s="35"/>
      <c r="C79" s="35"/>
      <c r="D79" s="35"/>
      <c r="E79" s="35"/>
      <c r="F79" s="61"/>
      <c r="G79" s="61"/>
      <c r="H79" s="29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5"/>
      <c r="X79" s="35"/>
      <c r="Y79" s="35"/>
      <c r="Z79" s="35"/>
      <c r="AB79" s="35"/>
      <c r="AC79" s="35"/>
      <c r="AD79" s="35"/>
      <c r="AE79" s="35"/>
      <c r="AF79" s="35"/>
      <c r="AG79" s="35"/>
      <c r="AH79" s="35"/>
      <c r="AI79" s="35"/>
      <c r="AJ79" s="6"/>
      <c r="AK79" s="6"/>
      <c r="AL79" s="6"/>
      <c r="AM79" s="6"/>
      <c r="AN79" s="6"/>
      <c r="AO79" s="3"/>
      <c r="AP79" s="3"/>
    </row>
    <row r="80" spans="1:44" ht="23.25" x14ac:dyDescent="0.3">
      <c r="A80" s="35"/>
      <c r="B80" s="35"/>
      <c r="C80" s="35"/>
      <c r="D80" s="35"/>
      <c r="E80" s="35"/>
      <c r="F80" s="61"/>
      <c r="G80" s="61"/>
      <c r="H80" s="29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35"/>
      <c r="X80" s="35"/>
      <c r="Y80" s="35"/>
      <c r="Z80" s="35"/>
      <c r="AB80" s="35"/>
      <c r="AC80" s="35"/>
      <c r="AD80" s="35"/>
      <c r="AE80" s="35"/>
      <c r="AF80" s="35"/>
      <c r="AG80" s="35"/>
      <c r="AH80" s="35"/>
      <c r="AI80" s="35"/>
    </row>
    <row r="81" spans="1:44" ht="23.25" x14ac:dyDescent="0.35">
      <c r="A81" s="35"/>
      <c r="B81" s="35"/>
      <c r="C81" s="35"/>
      <c r="D81" s="35"/>
      <c r="E81" s="35"/>
      <c r="F81" s="56"/>
      <c r="G81" s="56"/>
      <c r="H81" s="28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35"/>
      <c r="X81" s="35"/>
      <c r="Y81" s="35"/>
      <c r="Z81" s="35"/>
      <c r="AA81" s="52"/>
      <c r="AB81" s="35"/>
      <c r="AC81" s="35"/>
      <c r="AD81" s="35"/>
      <c r="AE81" s="35"/>
      <c r="AF81" s="35"/>
      <c r="AG81" s="35"/>
      <c r="AH81" s="35"/>
      <c r="AI81" s="35"/>
      <c r="AJ81" s="6"/>
      <c r="AK81" s="6"/>
      <c r="AL81" s="6"/>
      <c r="AM81" s="6"/>
      <c r="AN81" s="6"/>
      <c r="AO81" s="3"/>
      <c r="AP81" s="3"/>
      <c r="AQ81" s="35"/>
      <c r="AR81" s="35"/>
    </row>
    <row r="82" spans="1:44" s="19" customFormat="1" ht="18" customHeight="1" x14ac:dyDescent="0.2">
      <c r="B82" s="35"/>
      <c r="C82" s="35"/>
      <c r="D82" s="35"/>
      <c r="E82" s="35"/>
      <c r="J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AP82" s="35"/>
    </row>
    <row r="83" spans="1:44" s="19" customFormat="1" ht="18" customHeight="1" x14ac:dyDescent="0.2">
      <c r="J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AP83" s="35"/>
    </row>
    <row r="84" spans="1:44" s="19" customFormat="1" ht="18" customHeight="1" x14ac:dyDescent="0.2">
      <c r="J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AP84" s="35"/>
    </row>
    <row r="85" spans="1:44" s="19" customFormat="1" ht="18" customHeight="1" x14ac:dyDescent="0.2">
      <c r="J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AP85" s="35"/>
    </row>
    <row r="86" spans="1:44" s="19" customFormat="1" ht="18" customHeight="1" x14ac:dyDescent="0.2">
      <c r="J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AP86" s="35"/>
    </row>
    <row r="87" spans="1:44" s="19" customFormat="1" ht="18" customHeight="1" x14ac:dyDescent="0.2">
      <c r="J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AP87" s="35"/>
    </row>
    <row r="88" spans="1:44" s="19" customFormat="1" ht="18" customHeight="1" x14ac:dyDescent="0.2">
      <c r="J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AP88" s="35"/>
    </row>
    <row r="89" spans="1:44" s="19" customFormat="1" ht="18" customHeight="1" x14ac:dyDescent="0.2">
      <c r="J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AP89" s="35"/>
    </row>
    <row r="90" spans="1:44" s="19" customFormat="1" ht="18" customHeight="1" x14ac:dyDescent="0.2">
      <c r="J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AP90" s="35"/>
    </row>
    <row r="91" spans="1:44" s="19" customFormat="1" ht="18" customHeight="1" x14ac:dyDescent="0.2">
      <c r="J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AP91" s="35"/>
    </row>
    <row r="92" spans="1:44" s="19" customFormat="1" ht="18" customHeight="1" x14ac:dyDescent="0.2">
      <c r="J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AP92" s="35"/>
    </row>
    <row r="93" spans="1:44" s="19" customFormat="1" ht="18" customHeight="1" x14ac:dyDescent="0.2">
      <c r="J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AP93" s="35"/>
    </row>
    <row r="94" spans="1:44" s="19" customFormat="1" ht="18" customHeight="1" x14ac:dyDescent="0.2">
      <c r="J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AP94" s="35"/>
    </row>
    <row r="95" spans="1:44" s="19" customFormat="1" ht="18" customHeight="1" x14ac:dyDescent="0.2">
      <c r="J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AP95" s="35"/>
    </row>
    <row r="96" spans="1:44" s="19" customFormat="1" ht="18" customHeight="1" x14ac:dyDescent="0.2">
      <c r="J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AP96" s="35"/>
    </row>
    <row r="97" spans="10:42" s="19" customFormat="1" ht="18" customHeight="1" x14ac:dyDescent="0.2">
      <c r="J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AP97" s="35"/>
    </row>
    <row r="98" spans="10:42" s="19" customFormat="1" ht="18" customHeight="1" x14ac:dyDescent="0.2">
      <c r="J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AP98" s="35"/>
    </row>
    <row r="99" spans="10:42" s="19" customFormat="1" ht="18" customHeight="1" x14ac:dyDescent="0.2">
      <c r="J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AP99" s="35"/>
    </row>
    <row r="100" spans="10:42" s="19" customFormat="1" ht="18" customHeight="1" x14ac:dyDescent="0.2">
      <c r="J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AP100" s="35"/>
    </row>
    <row r="101" spans="10:42" s="19" customFormat="1" ht="18" customHeight="1" x14ac:dyDescent="0.2">
      <c r="J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AP101" s="35"/>
    </row>
    <row r="102" spans="10:42" s="19" customFormat="1" ht="18" customHeight="1" x14ac:dyDescent="0.2">
      <c r="J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AP102" s="35"/>
    </row>
    <row r="103" spans="10:42" s="19" customFormat="1" ht="18" customHeight="1" x14ac:dyDescent="0.2">
      <c r="J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AP103" s="35"/>
    </row>
  </sheetData>
  <sheetProtection formatColumns="0" formatRows="0"/>
  <mergeCells count="2">
    <mergeCell ref="U9:U10"/>
    <mergeCell ref="F9:S10"/>
  </mergeCells>
  <phoneticPr fontId="0" type="noConversion"/>
  <dataValidations count="2">
    <dataValidation type="list" allowBlank="1" showInputMessage="1" showErrorMessage="1" sqref="F15">
      <formula1>Language</formula1>
    </dataValidation>
    <dataValidation type="list" allowBlank="1" showInputMessage="1" showErrorMessage="1" sqref="F21">
      <formula1>$AG$12:$AG$15</formula1>
    </dataValidation>
  </dataValidations>
  <printOptions horizontalCentered="1"/>
  <pageMargins left="3.937007874015748E-2" right="3.937007874015748E-2" top="0.15748031496062992" bottom="0.19685039370078741" header="0.19685039370078741" footer="0.15748031496062992"/>
  <pageSetup paperSize="9" scale="50" fitToHeight="0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1485900</xdr:colOff>
                <xdr:row>12</xdr:row>
                <xdr:rowOff>0</xdr:rowOff>
              </from>
              <to>
                <xdr:col>6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17</vt:i4>
      </vt:variant>
    </vt:vector>
  </HeadingPairs>
  <TitlesOfParts>
    <vt:vector size="19" baseType="lpstr">
      <vt:lpstr>Context</vt:lpstr>
      <vt:lpstr>Bridge_Nature</vt:lpstr>
      <vt:lpstr>ActualForecastAdmin</vt:lpstr>
      <vt:lpstr>ActualMonth</vt:lpstr>
      <vt:lpstr>ActualYear</vt:lpstr>
      <vt:lpstr>AutoRefresh_Bridge_Nature</vt:lpstr>
      <vt:lpstr>Cube1</vt:lpstr>
      <vt:lpstr>Cube2</vt:lpstr>
      <vt:lpstr>Flag_Send_Comment</vt:lpstr>
      <vt:lpstr>Flag_Send_Data</vt:lpstr>
      <vt:lpstr>Bridge_Nature!Impression_des_titres</vt:lpstr>
      <vt:lpstr>Language</vt:lpstr>
      <vt:lpstr>LocalLanguage</vt:lpstr>
      <vt:lpstr>LocalLanguage2</vt:lpstr>
      <vt:lpstr>Note</vt:lpstr>
      <vt:lpstr>Server</vt:lpstr>
      <vt:lpstr>xHost</vt:lpstr>
      <vt:lpstr>xServer</vt:lpstr>
      <vt:lpstr>Bridge_Nature!Zone_d_impression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2012-06-14T08:31:56Z</cp:lastPrinted>
  <dcterms:created xsi:type="dcterms:W3CDTF">2011-06-21T16:52:24Z</dcterms:created>
  <dcterms:modified xsi:type="dcterms:W3CDTF">2013-04-18T12:02:33Z</dcterms:modified>
</cp:coreProperties>
</file>