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6840" tabRatio="852" firstSheet="1" activeTab="1"/>
  </bookViews>
  <sheets>
    <sheet name="Context" sheetId="66" state="hidden" r:id="rId1"/>
    <sheet name="Frais_Direction_Nature_Charges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Frais_Direction_Nature_Charges!$I$33:$AK$56</definedName>
    <definedName name="AutoRefresh_Frais_Direction_Nature_Charges">Frais_Direction_Nature_Charges!$G$11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Frais_Direction_Nature_Charges!$E:$AM,Frais_Direction_Nature_Charges!$16:$33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Frais_Direction_Nature_Charges!$52:$54</definedName>
    <definedName name="TM1RPTFMTIDCOL" localSheetId="1">Frais_Direction_Nature_Charges!$A$1:$A$8</definedName>
    <definedName name="TM1RPTFMTRNG" localSheetId="1">Frais_Direction_Nature_Charges!$F$1:$AN$8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Frais_Direction_Nature_Charges!$F$18:$AM$90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54" i="58" l="1"/>
  <c r="A53" i="58"/>
  <c r="F38" i="58"/>
  <c r="BD18" i="58"/>
  <c r="G30" i="58"/>
  <c r="G40" i="58"/>
  <c r="G23" i="58"/>
  <c r="G41" i="58"/>
  <c r="G24" i="58"/>
  <c r="G42" i="58"/>
  <c r="G29" i="58"/>
  <c r="G43" i="58"/>
  <c r="G44" i="58"/>
  <c r="G26" i="58"/>
  <c r="G45" i="58"/>
  <c r="G46" i="58"/>
  <c r="G27" i="58"/>
  <c r="H13" i="58"/>
  <c r="AA12" i="58"/>
  <c r="AS54" i="58"/>
  <c r="U12" i="58"/>
  <c r="AR54" i="58"/>
  <c r="O12" i="58"/>
  <c r="AQ54" i="58"/>
  <c r="I12" i="58"/>
  <c r="AP54" i="58"/>
  <c r="AK12" i="58"/>
  <c r="BB22" i="58"/>
  <c r="AK11" i="58"/>
  <c r="AK54" i="58"/>
  <c r="AJ12" i="58"/>
  <c r="AJ54" i="58"/>
  <c r="AL54" i="58"/>
  <c r="AM54" i="58"/>
  <c r="AN54" i="58"/>
  <c r="J12" i="58"/>
  <c r="F14" i="58"/>
  <c r="J11" i="58"/>
  <c r="J54" i="58"/>
  <c r="P12" i="58"/>
  <c r="P11" i="58"/>
  <c r="P54" i="58"/>
  <c r="V12" i="58"/>
  <c r="V11" i="58"/>
  <c r="V54" i="58"/>
  <c r="AB12" i="58"/>
  <c r="AB11" i="58"/>
  <c r="AB54" i="58"/>
  <c r="AH54" i="58"/>
  <c r="I54" i="58"/>
  <c r="O54" i="58"/>
  <c r="U54" i="58"/>
  <c r="AA54" i="58"/>
  <c r="AG54" i="58"/>
  <c r="AC54" i="58"/>
  <c r="AD54" i="58"/>
  <c r="AE54" i="58"/>
  <c r="W54" i="58"/>
  <c r="X54" i="58"/>
  <c r="Y54" i="58"/>
  <c r="Q54" i="58"/>
  <c r="R54" i="58"/>
  <c r="S54" i="58"/>
  <c r="K54" i="58"/>
  <c r="L54" i="58"/>
  <c r="M54" i="58"/>
  <c r="AS53" i="58"/>
  <c r="AR53" i="58"/>
  <c r="AQ53" i="58"/>
  <c r="AP53" i="58"/>
  <c r="AK53" i="58"/>
  <c r="AJ53" i="58"/>
  <c r="AL53" i="58"/>
  <c r="AM53" i="58"/>
  <c r="AN53" i="58"/>
  <c r="J53" i="58"/>
  <c r="P53" i="58"/>
  <c r="V53" i="58"/>
  <c r="AB53" i="58"/>
  <c r="AH53" i="58"/>
  <c r="I53" i="58"/>
  <c r="O53" i="58"/>
  <c r="U53" i="58"/>
  <c r="AA53" i="58"/>
  <c r="AG53" i="58"/>
  <c r="AC53" i="58"/>
  <c r="AD53" i="58"/>
  <c r="AE53" i="58"/>
  <c r="W53" i="58"/>
  <c r="X53" i="58"/>
  <c r="Y53" i="58"/>
  <c r="Q53" i="58"/>
  <c r="R53" i="58"/>
  <c r="S53" i="58"/>
  <c r="K53" i="58"/>
  <c r="L53" i="58"/>
  <c r="M53" i="58"/>
  <c r="B5" i="66"/>
  <c r="B13" i="66"/>
  <c r="BC60" i="58"/>
  <c r="BF60" i="58"/>
  <c r="BD61" i="58"/>
  <c r="BH67" i="58"/>
  <c r="BC65" i="58"/>
  <c r="BH65" i="58"/>
  <c r="C13" i="66"/>
  <c r="D13" i="66"/>
  <c r="E13" i="66"/>
  <c r="F13" i="66"/>
  <c r="G28" i="58"/>
  <c r="BI65" i="58"/>
  <c r="BI68" i="58"/>
  <c r="BI69" i="58"/>
  <c r="BI83" i="58"/>
  <c r="BH68" i="58"/>
  <c r="BH69" i="58"/>
  <c r="BH83" i="58"/>
  <c r="BG65" i="58"/>
  <c r="BG68" i="58"/>
  <c r="BG69" i="58"/>
  <c r="BE59" i="58"/>
  <c r="BG66" i="58"/>
  <c r="BG83" i="58"/>
  <c r="BF65" i="58"/>
  <c r="BF68" i="58"/>
  <c r="BF69" i="58"/>
  <c r="BF66" i="58"/>
  <c r="BF83" i="58"/>
  <c r="BE65" i="58"/>
  <c r="BE68" i="58"/>
  <c r="BE69" i="58"/>
  <c r="BE66" i="58"/>
  <c r="BE83" i="58"/>
  <c r="BI79" i="58"/>
  <c r="BH79" i="58"/>
  <c r="BG79" i="58"/>
  <c r="BF79" i="58"/>
  <c r="BE79" i="58"/>
  <c r="BI75" i="58"/>
  <c r="BH75" i="58"/>
  <c r="BG75" i="58"/>
  <c r="BF75" i="58"/>
  <c r="BE75" i="58"/>
  <c r="BI71" i="58"/>
  <c r="BH71" i="58"/>
  <c r="BG71" i="58"/>
  <c r="BF71" i="58"/>
  <c r="BE71" i="58"/>
  <c r="BD65" i="58"/>
  <c r="BD68" i="58"/>
  <c r="BD69" i="58"/>
  <c r="BD66" i="58"/>
  <c r="BD83" i="58"/>
  <c r="BD79" i="58"/>
  <c r="BD75" i="58"/>
  <c r="BD71" i="58"/>
  <c r="M11" i="58"/>
  <c r="B17" i="66"/>
  <c r="C17" i="66"/>
  <c r="F62" i="58"/>
  <c r="F61" i="58"/>
  <c r="F60" i="58"/>
  <c r="F59" i="58"/>
  <c r="F36" i="58"/>
  <c r="F52" i="58"/>
  <c r="J52" i="58"/>
  <c r="I52" i="58"/>
  <c r="K52" i="58"/>
  <c r="L52" i="58"/>
  <c r="M52" i="58"/>
  <c r="AB35" i="58"/>
  <c r="AK52" i="58"/>
  <c r="AJ52" i="58"/>
  <c r="AJ35" i="58"/>
  <c r="BB23" i="58"/>
  <c r="AK35" i="58"/>
  <c r="AL52" i="58"/>
  <c r="AM52" i="58"/>
  <c r="AL35" i="58"/>
  <c r="AM35" i="58"/>
  <c r="AB52" i="58"/>
  <c r="AA52" i="58"/>
  <c r="AC52" i="58"/>
  <c r="AD52" i="58"/>
  <c r="AA35" i="58"/>
  <c r="AC35" i="58"/>
  <c r="AD35" i="58"/>
  <c r="V52" i="58"/>
  <c r="U52" i="58"/>
  <c r="W52" i="58"/>
  <c r="X52" i="58"/>
  <c r="V35" i="58"/>
  <c r="U35" i="58"/>
  <c r="W35" i="58"/>
  <c r="X35" i="58"/>
  <c r="P52" i="58"/>
  <c r="O52" i="58"/>
  <c r="Q52" i="58"/>
  <c r="R52" i="58"/>
  <c r="P35" i="58"/>
  <c r="O35" i="58"/>
  <c r="Q35" i="58"/>
  <c r="R35" i="58"/>
  <c r="J35" i="58"/>
  <c r="I35" i="58"/>
  <c r="K35" i="58"/>
  <c r="L35" i="58"/>
  <c r="BD62" i="58"/>
  <c r="BD63" i="58"/>
  <c r="BH66" i="58"/>
  <c r="BI66" i="58"/>
  <c r="BC84" i="58"/>
  <c r="BE84" i="58"/>
  <c r="BF84" i="58"/>
  <c r="BG84" i="58"/>
  <c r="BH84" i="58"/>
  <c r="BI84" i="58"/>
  <c r="BD84" i="58"/>
  <c r="BC80" i="58"/>
  <c r="BF80" i="58"/>
  <c r="BE80" i="58"/>
  <c r="BG80" i="58"/>
  <c r="BH80" i="58"/>
  <c r="BI80" i="58"/>
  <c r="BD80" i="58"/>
  <c r="BC76" i="58"/>
  <c r="BG76" i="58"/>
  <c r="BE76" i="58"/>
  <c r="BF76" i="58"/>
  <c r="BH76" i="58"/>
  <c r="BI76" i="58"/>
  <c r="BD76" i="58"/>
  <c r="BC72" i="58"/>
  <c r="BG72" i="58"/>
  <c r="BE72" i="58"/>
  <c r="BF72" i="58"/>
  <c r="BH72" i="58"/>
  <c r="BI72" i="58"/>
  <c r="BD72" i="58"/>
  <c r="BB82" i="58"/>
  <c r="BB78" i="58"/>
  <c r="BB74" i="58"/>
  <c r="BB70" i="58"/>
  <c r="BB84" i="58"/>
  <c r="BB83" i="58"/>
  <c r="BB80" i="58"/>
  <c r="BB79" i="58"/>
  <c r="BB75" i="58"/>
  <c r="BB76" i="58"/>
  <c r="BI67" i="58"/>
  <c r="BG67" i="58"/>
  <c r="BF67" i="58"/>
  <c r="BE67" i="58"/>
  <c r="BD67" i="58"/>
  <c r="AJ19" i="58"/>
  <c r="AS52" i="58"/>
  <c r="AR52" i="58"/>
  <c r="AQ52" i="58"/>
  <c r="AP52" i="58"/>
  <c r="AN52" i="58"/>
  <c r="AH52" i="58"/>
  <c r="AH35" i="58"/>
  <c r="AG52" i="58"/>
  <c r="AG35" i="58"/>
  <c r="AE52" i="58"/>
  <c r="Y52" i="58"/>
  <c r="S52" i="58"/>
  <c r="S35" i="58"/>
  <c r="M35" i="58"/>
  <c r="AE35" i="58"/>
  <c r="Y35" i="58"/>
  <c r="AJ33" i="58"/>
  <c r="AK33" i="58"/>
  <c r="AL33" i="58"/>
  <c r="AB33" i="58"/>
  <c r="AA33" i="58"/>
  <c r="AC33" i="58"/>
  <c r="AJ31" i="58"/>
  <c r="AH33" i="58"/>
  <c r="AG33" i="58"/>
  <c r="AE33" i="58"/>
  <c r="AA31" i="58"/>
  <c r="V33" i="58"/>
  <c r="Y33" i="58"/>
  <c r="S33" i="58"/>
  <c r="U33" i="58"/>
  <c r="W33" i="58"/>
  <c r="O33" i="58"/>
  <c r="P33" i="58"/>
  <c r="Q33" i="58"/>
  <c r="I33" i="58"/>
  <c r="J33" i="58"/>
  <c r="K33" i="58"/>
  <c r="M33" i="58"/>
  <c r="BB71" i="58"/>
  <c r="BB72" i="58"/>
  <c r="AN35" i="58"/>
  <c r="U31" i="58"/>
  <c r="AN33" i="58"/>
  <c r="O31" i="58"/>
  <c r="I31" i="58"/>
  <c r="F35" i="58"/>
  <c r="F24" i="58"/>
  <c r="F23" i="58"/>
  <c r="F30" i="58"/>
  <c r="F29" i="58"/>
  <c r="F26" i="58"/>
  <c r="F58" i="58"/>
  <c r="G19" i="58"/>
  <c r="T33" i="58"/>
  <c r="F28" i="58"/>
  <c r="F22" i="58"/>
  <c r="F27" i="58"/>
  <c r="F33" i="58"/>
  <c r="F25" i="58"/>
  <c r="A5" i="58"/>
  <c r="A4" i="58"/>
  <c r="A3" i="58"/>
  <c r="A2" i="58"/>
  <c r="A52" i="58"/>
  <c r="BB24" i="58"/>
  <c r="B14" i="66"/>
  <c r="B16" i="66"/>
  <c r="B15" i="66"/>
</calcChain>
</file>

<file path=xl/sharedStrings.xml><?xml version="1.0" encoding="utf-8"?>
<sst xmlns="http://schemas.openxmlformats.org/spreadsheetml/2006/main" count="146" uniqueCount="120">
  <si>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</si>
  <si>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</si>
  <si>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</si>
  <si>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</si>
  <si>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</si>
  <si>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</si>
  <si>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</si>
  <si>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</si>
  <si>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</si>
  <si>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</si>
  <si>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</si>
  <si>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</si>
  <si>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</si>
  <si>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</si>
  <si>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</si>
  <si>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</si>
  <si>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</si>
  <si>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</si>
  <si>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</si>
  <si>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</si>
  <si>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</si>
  <si>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</si>
  <si>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</si>
  <si>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</si>
  <si>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</si>
  <si>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</si>
  <si>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</si>
  <si>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</si>
  <si>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</si>
  <si>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</si>
  <si>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</si>
  <si>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</si>
  <si>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</si>
  <si>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</si>
  <si>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</si>
  <si>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</si>
  <si>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</si>
  <si>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</si>
  <si>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</si>
  <si>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</si>
  <si>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</si>
  <si>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</si>
  <si>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</si>
  <si>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</si>
  <si>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</si>
  <si>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</si>
  <si>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</si>
  <si>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</si>
  <si>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</si>
  <si>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</si>
  <si>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</si>
  <si>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</si>
  <si>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</si>
  <si>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</si>
  <si>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</si>
  <si>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</si>
  <si>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</si>
  <si>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</si>
  <si>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</si>
  <si>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Forecast_1</t>
  </si>
  <si>
    <t>Forecast_2</t>
  </si>
  <si>
    <t>Total</t>
  </si>
  <si>
    <t>ACT_TOT</t>
  </si>
  <si>
    <t>Eléments fixes</t>
  </si>
  <si>
    <t>RP_Comments_PL_Corp</t>
  </si>
  <si>
    <t>Integration_rate</t>
  </si>
  <si>
    <t>Month</t>
  </si>
  <si>
    <t>Previous Month</t>
  </si>
  <si>
    <t>YTD</t>
  </si>
  <si>
    <t>Actual_N_1</t>
  </si>
  <si>
    <t>Variance</t>
  </si>
  <si>
    <t>Output</t>
  </si>
  <si>
    <t>Tot_tiers</t>
  </si>
  <si>
    <t>VTD</t>
  </si>
  <si>
    <t>Trend arrows</t>
  </si>
  <si>
    <t>ì</t>
  </si>
  <si>
    <t>î</t>
  </si>
  <si>
    <t>è</t>
  </si>
  <si>
    <t>Phase for comments</t>
  </si>
  <si>
    <t>YearToDate</t>
  </si>
  <si>
    <t>Ytd</t>
  </si>
  <si>
    <t>Coûts Bruts - Coûts Nets Réalisé :</t>
  </si>
  <si>
    <t>Frais_par_direction_nature_charges_Actual</t>
  </si>
  <si>
    <t>Tot_ETP</t>
  </si>
  <si>
    <t>Frais_perso_assi</t>
  </si>
  <si>
    <t>Cout_enviro_taxes_dot</t>
  </si>
  <si>
    <t>Voy</t>
  </si>
  <si>
    <t>Masse_Salariale</t>
  </si>
  <si>
    <t>Voyages_Deplacements</t>
  </si>
  <si>
    <t>Frais_externes</t>
  </si>
  <si>
    <t>Frais_Environnement</t>
  </si>
  <si>
    <t>ETP</t>
  </si>
  <si>
    <t>Periode</t>
  </si>
  <si>
    <t>2nd particule</t>
  </si>
  <si>
    <t>Mois 1 à 6</t>
  </si>
  <si>
    <t>Mois 7 à 12</t>
  </si>
  <si>
    <t>Mois 4 à 9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</si>
  <si>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</si>
  <si>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</si>
  <si>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</si>
  <si>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</si>
  <si>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</si>
  <si>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</si>
  <si>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</si>
  <si>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</si>
  <si>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</si>
  <si>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</si>
  <si>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</si>
  <si>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</si>
  <si>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</si>
  <si>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AutoRefresh_Frais_Direction_Nature_Charges</t>
  </si>
  <si>
    <t>Frais_Direction_Nature_Charge_Realise</t>
  </si>
  <si>
    <t>LCL</t>
  </si>
  <si>
    <t>Indicator_Corp for comments</t>
  </si>
  <si>
    <t>Chges_ope</t>
  </si>
  <si>
    <t>Traduction Phase</t>
  </si>
  <si>
    <t>Cout_ext</t>
  </si>
  <si>
    <t>Directions Métiers</t>
  </si>
  <si>
    <t>Holding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</si>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</sst>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.0"/>
    <numFmt numFmtId="173" formatCode="00"/>
    <numFmt numFmtId="174" formatCode="#,##0.0;&quot;(&quot;#,##0.0&quot;)&quot;"/>
    <numFmt numFmtId="175" formatCode="#,##0;&quot;(&quot;#,##0&quot;)&quot;"/>
  </numFmts>
  <fonts count="8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8"/>
      <color indexed="57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4"/>
      <name val="Arial"/>
      <family val="2"/>
    </font>
    <font>
      <b/>
      <i/>
      <sz val="24"/>
      <color theme="0"/>
      <name val="Calibri"/>
      <family val="2"/>
    </font>
    <font>
      <b/>
      <sz val="11"/>
      <color rgb="FF0070C0"/>
      <name val="Arial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sz val="18"/>
      <name val="Calibri"/>
      <family val="2"/>
    </font>
    <font>
      <b/>
      <sz val="18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sz val="16"/>
      <color indexed="9"/>
      <name val="Calibri"/>
      <family val="2"/>
    </font>
    <font>
      <b/>
      <sz val="15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indexed="44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FF0000"/>
        <bgColor auto="1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ck">
        <color indexed="9"/>
      </left>
      <right style="medium">
        <color indexed="9"/>
      </right>
      <top style="thick">
        <color indexed="9"/>
      </top>
      <bottom/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28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8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8" xfId="205" applyFont="1" applyFill="1" applyBorder="1" applyAlignment="1" applyProtection="1">
      <alignment vertical="center"/>
    </xf>
    <xf numFmtId="0" fontId="2" fillId="35" borderId="28" xfId="0" applyFont="1" applyFill="1" applyBorder="1" applyProtection="1"/>
    <xf numFmtId="0" fontId="44" fillId="35" borderId="28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12" fillId="0" borderId="0" xfId="0" applyFont="1"/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4" fillId="39" borderId="0" xfId="0" applyFont="1" applyFill="1" applyBorder="1" applyProtection="1"/>
    <xf numFmtId="0" fontId="54" fillId="30" borderId="29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8" xfId="0" applyFont="1" applyFill="1" applyBorder="1" applyProtection="1"/>
    <xf numFmtId="0" fontId="44" fillId="35" borderId="0" xfId="0" applyFont="1" applyFill="1" applyBorder="1" applyProtection="1"/>
    <xf numFmtId="0" fontId="55" fillId="0" borderId="0" xfId="205" applyFont="1" applyFill="1" applyBorder="1" applyAlignment="1" applyProtection="1">
      <alignment vertical="center"/>
    </xf>
    <xf numFmtId="0" fontId="56" fillId="0" borderId="0" xfId="0" applyFont="1"/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0" borderId="0" xfId="0" applyFill="1"/>
    <xf numFmtId="0" fontId="0" fillId="35" borderId="35" xfId="0" applyFill="1" applyBorder="1" applyProtection="1"/>
    <xf numFmtId="0" fontId="57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3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50" fillId="39" borderId="0" xfId="0" applyFont="1" applyFill="1" applyBorder="1" applyProtection="1"/>
    <xf numFmtId="0" fontId="59" fillId="35" borderId="0" xfId="0" applyFont="1" applyFill="1" applyProtection="1"/>
    <xf numFmtId="0" fontId="3" fillId="0" borderId="0" xfId="222" applyFont="1" applyProtection="1"/>
    <xf numFmtId="0" fontId="60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0" fillId="0" borderId="0" xfId="205" applyFont="1" applyFill="1" applyBorder="1" applyAlignment="1" applyProtection="1">
      <alignment horizontal="right" vertical="center" indent="1"/>
    </xf>
    <xf numFmtId="0" fontId="61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32" borderId="33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42" xfId="0" applyBorder="1" applyProtection="1"/>
    <xf numFmtId="0" fontId="12" fillId="35" borderId="42" xfId="0" applyFont="1" applyFill="1" applyBorder="1" applyProtection="1"/>
    <xf numFmtId="0" fontId="0" fillId="0" borderId="26" xfId="0" applyFill="1" applyBorder="1" applyProtection="1"/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5" fillId="29" borderId="19" xfId="0" applyFont="1" applyFill="1" applyBorder="1" applyAlignment="1" applyProtection="1">
      <alignment vertical="center"/>
    </xf>
    <xf numFmtId="0" fontId="2" fillId="0" borderId="0" xfId="0" applyFont="1" applyFill="1" applyBorder="1"/>
    <xf numFmtId="0" fontId="41" fillId="0" borderId="30" xfId="0" applyFont="1" applyFill="1" applyBorder="1" applyAlignment="1" applyProtection="1">
      <alignment vertical="center" wrapText="1"/>
    </xf>
    <xf numFmtId="172" fontId="6" fillId="0" borderId="43" xfId="0" applyNumberFormat="1" applyFont="1" applyFill="1" applyBorder="1" applyAlignment="1">
      <alignment horizontal="right" vertical="center" indent="1"/>
    </xf>
    <xf numFmtId="0" fontId="7" fillId="32" borderId="45" xfId="0" applyFont="1" applyFill="1" applyBorder="1" applyAlignment="1" applyProtection="1">
      <alignment horizontal="center" vertical="center" wrapText="1"/>
    </xf>
    <xf numFmtId="0" fontId="64" fillId="0" borderId="27" xfId="0" applyFont="1" applyBorder="1" applyAlignment="1" applyProtection="1">
      <alignment horizontal="center"/>
    </xf>
    <xf numFmtId="0" fontId="9" fillId="0" borderId="0" xfId="196" applyFont="1" applyFill="1" applyBorder="1" applyAlignment="1" applyProtection="1">
      <alignment horizontal="center" vertical="center" wrapText="1"/>
    </xf>
    <xf numFmtId="0" fontId="65" fillId="35" borderId="0" xfId="196" applyFont="1" applyFill="1" applyBorder="1" applyAlignment="1">
      <alignment horizontal="center" vertical="center"/>
    </xf>
    <xf numFmtId="0" fontId="2" fillId="35" borderId="18" xfId="0" applyFont="1" applyFill="1" applyBorder="1" applyProtection="1"/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52" fillId="0" borderId="0" xfId="0" applyFont="1" applyAlignment="1" applyProtection="1">
      <alignment horizontal="left" vertical="center"/>
    </xf>
    <xf numFmtId="0" fontId="66" fillId="0" borderId="0" xfId="205" applyFont="1" applyFill="1" applyBorder="1" applyAlignment="1" applyProtection="1">
      <alignment horizontal="center" vertical="center"/>
    </xf>
    <xf numFmtId="0" fontId="67" fillId="0" borderId="0" xfId="205" applyFont="1" applyFill="1" applyBorder="1" applyAlignment="1" applyProtection="1">
      <alignment horizontal="right" vertical="center"/>
    </xf>
    <xf numFmtId="0" fontId="67" fillId="0" borderId="0" xfId="205" applyFont="1" applyFill="1" applyBorder="1" applyAlignment="1" applyProtection="1">
      <alignment vertical="center"/>
    </xf>
    <xf numFmtId="0" fontId="68" fillId="0" borderId="0" xfId="205" applyFont="1" applyFill="1" applyBorder="1" applyAlignment="1" applyProtection="1">
      <alignment vertical="center"/>
    </xf>
    <xf numFmtId="0" fontId="51" fillId="0" borderId="0" xfId="0" applyFont="1" applyProtection="1"/>
    <xf numFmtId="0" fontId="71" fillId="0" borderId="0" xfId="205" applyFont="1" applyFill="1" applyAlignment="1" applyProtection="1">
      <alignment vertical="center"/>
    </xf>
    <xf numFmtId="3" fontId="69" fillId="0" borderId="4" xfId="205" applyNumberFormat="1" applyFont="1" applyFill="1" applyBorder="1" applyAlignment="1" applyProtection="1">
      <alignment horizontal="center" vertical="center"/>
    </xf>
    <xf numFmtId="174" fontId="42" fillId="0" borderId="34" xfId="205" applyNumberFormat="1" applyFont="1" applyFill="1" applyBorder="1" applyAlignment="1" applyProtection="1">
      <alignment horizontal="right" vertical="center" indent="1"/>
    </xf>
    <xf numFmtId="0" fontId="42" fillId="0" borderId="0" xfId="222" applyFont="1" applyFill="1" applyBorder="1" applyAlignment="1" applyProtection="1">
      <alignment vertical="center" wrapText="1"/>
    </xf>
    <xf numFmtId="0" fontId="65" fillId="35" borderId="0" xfId="196" applyFont="1" applyFill="1" applyBorder="1" applyAlignment="1" applyProtection="1">
      <alignment horizontal="center" vertical="center"/>
    </xf>
    <xf numFmtId="0" fontId="7" fillId="32" borderId="32" xfId="0" applyFont="1" applyFill="1" applyBorder="1" applyAlignment="1" applyProtection="1">
      <alignment horizontal="center" vertical="center" wrapText="1"/>
    </xf>
    <xf numFmtId="0" fontId="7" fillId="32" borderId="45" xfId="0" applyFont="1" applyFill="1" applyBorder="1" applyAlignment="1" applyProtection="1">
      <alignment horizontal="center" vertical="center" wrapText="1"/>
    </xf>
    <xf numFmtId="0" fontId="72" fillId="35" borderId="0" xfId="0" applyFont="1" applyFill="1" applyBorder="1" applyProtection="1"/>
    <xf numFmtId="0" fontId="59" fillId="35" borderId="0" xfId="0" applyFont="1" applyFill="1" applyBorder="1" applyAlignment="1" applyProtection="1"/>
    <xf numFmtId="0" fontId="7" fillId="0" borderId="32" xfId="0" applyFont="1" applyFill="1" applyBorder="1" applyAlignment="1" applyProtection="1">
      <alignment vertical="center" wrapText="1"/>
    </xf>
    <xf numFmtId="0" fontId="59" fillId="0" borderId="0" xfId="0" applyFont="1" applyProtection="1"/>
    <xf numFmtId="1" fontId="0" fillId="0" borderId="0" xfId="0" applyNumberFormat="1" applyProtection="1"/>
    <xf numFmtId="0" fontId="70" fillId="0" borderId="26" xfId="205" applyFont="1" applyFill="1" applyBorder="1" applyAlignment="1" applyProtection="1">
      <alignment vertical="center"/>
    </xf>
    <xf numFmtId="0" fontId="70" fillId="0" borderId="25" xfId="205" applyFont="1" applyFill="1" applyBorder="1" applyAlignment="1" applyProtection="1">
      <alignment vertical="center"/>
    </xf>
    <xf numFmtId="0" fontId="63" fillId="30" borderId="0" xfId="0" applyFont="1" applyFill="1" applyAlignment="1" applyProtection="1">
      <alignment vertical="center"/>
    </xf>
    <xf numFmtId="0" fontId="74" fillId="0" borderId="0" xfId="0" applyFont="1" applyProtection="1"/>
    <xf numFmtId="0" fontId="7" fillId="32" borderId="44" xfId="0" applyFont="1" applyFill="1" applyBorder="1" applyAlignment="1" applyProtection="1">
      <alignment horizontal="center" vertical="center" wrapText="1"/>
    </xf>
    <xf numFmtId="0" fontId="7" fillId="32" borderId="33" xfId="0" applyFont="1" applyFill="1" applyBorder="1" applyAlignment="1">
      <alignment horizontal="center" vertical="center" wrapText="1"/>
    </xf>
    <xf numFmtId="0" fontId="7" fillId="32" borderId="44" xfId="0" applyFont="1" applyFill="1" applyBorder="1" applyAlignment="1">
      <alignment horizontal="center" vertical="center" wrapText="1"/>
    </xf>
    <xf numFmtId="0" fontId="7" fillId="32" borderId="32" xfId="0" applyFont="1" applyFill="1" applyBorder="1" applyAlignment="1" applyProtection="1">
      <alignment horizontal="center" vertical="center" wrapText="1"/>
    </xf>
    <xf numFmtId="0" fontId="7" fillId="32" borderId="50" xfId="0" applyFont="1" applyFill="1" applyBorder="1" applyAlignment="1" applyProtection="1">
      <alignment horizontal="center" vertical="center" wrapText="1"/>
    </xf>
    <xf numFmtId="0" fontId="75" fillId="37" borderId="0" xfId="205" applyFont="1" applyFill="1" applyBorder="1" applyAlignment="1" applyProtection="1">
      <alignment horizontal="right" vertical="center"/>
    </xf>
    <xf numFmtId="0" fontId="76" fillId="37" borderId="0" xfId="205" applyFont="1" applyFill="1" applyBorder="1" applyAlignment="1" applyProtection="1">
      <alignment vertical="center"/>
    </xf>
    <xf numFmtId="0" fontId="49" fillId="35" borderId="0" xfId="0" applyFont="1" applyFill="1" applyBorder="1" applyProtection="1"/>
    <xf numFmtId="175" fontId="6" fillId="32" borderId="0" xfId="0" applyNumberFormat="1" applyFont="1" applyFill="1" applyBorder="1" applyAlignment="1">
      <alignment horizontal="right" vertical="center" indent="1"/>
    </xf>
    <xf numFmtId="175" fontId="4" fillId="0" borderId="0" xfId="205" applyNumberFormat="1" applyFont="1" applyFill="1" applyBorder="1" applyAlignment="1" applyProtection="1">
      <alignment vertical="center"/>
    </xf>
    <xf numFmtId="175" fontId="0" fillId="0" borderId="0" xfId="0" applyNumberFormat="1"/>
    <xf numFmtId="175" fontId="12" fillId="0" borderId="0" xfId="0" applyNumberFormat="1" applyFont="1"/>
    <xf numFmtId="175" fontId="6" fillId="32" borderId="49" xfId="0" applyNumberFormat="1" applyFont="1" applyFill="1" applyBorder="1" applyAlignment="1">
      <alignment horizontal="right" vertical="center" wrapText="1" indent="1"/>
    </xf>
    <xf numFmtId="9" fontId="6" fillId="32" borderId="0" xfId="0" applyNumberFormat="1" applyFont="1" applyFill="1" applyBorder="1" applyAlignment="1">
      <alignment horizontal="right" vertical="center" indent="1"/>
    </xf>
    <xf numFmtId="9" fontId="4" fillId="0" borderId="0" xfId="205" applyNumberFormat="1" applyFont="1" applyFill="1" applyBorder="1" applyAlignment="1" applyProtection="1">
      <alignment vertical="center"/>
    </xf>
    <xf numFmtId="9" fontId="0" fillId="0" borderId="0" xfId="0" applyNumberFormat="1"/>
    <xf numFmtId="9" fontId="12" fillId="0" borderId="0" xfId="0" applyNumberFormat="1" applyFont="1"/>
    <xf numFmtId="9" fontId="42" fillId="0" borderId="34" xfId="205" applyNumberFormat="1" applyFont="1" applyFill="1" applyBorder="1" applyAlignment="1" applyProtection="1">
      <alignment horizontal="right" vertical="center" indent="1"/>
    </xf>
    <xf numFmtId="175" fontId="65" fillId="35" borderId="0" xfId="196" applyNumberFormat="1" applyFont="1" applyFill="1" applyBorder="1" applyAlignment="1" applyProtection="1">
      <alignment horizontal="center" vertical="center"/>
    </xf>
    <xf numFmtId="1" fontId="42" fillId="29" borderId="0" xfId="222" applyNumberFormat="1" applyFont="1" applyFill="1" applyBorder="1" applyAlignment="1">
      <alignment vertical="center" wrapText="1"/>
    </xf>
    <xf numFmtId="1" fontId="42" fillId="0" borderId="34" xfId="205" applyNumberFormat="1" applyFont="1" applyFill="1" applyBorder="1" applyAlignment="1" applyProtection="1">
      <alignment vertical="center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59" fillId="0" borderId="48" xfId="0" applyFont="1" applyBorder="1" applyAlignment="1" applyProtection="1">
      <alignment horizontal="center"/>
    </xf>
    <xf numFmtId="0" fontId="0" fillId="0" borderId="28" xfId="0" applyBorder="1" applyProtection="1"/>
    <xf numFmtId="0" fontId="41" fillId="38" borderId="0" xfId="0" applyFont="1" applyFill="1" applyBorder="1" applyAlignment="1">
      <alignment vertical="center" wrapText="1"/>
    </xf>
    <xf numFmtId="0" fontId="41" fillId="38" borderId="30" xfId="0" applyFont="1" applyFill="1" applyBorder="1" applyAlignment="1">
      <alignment vertical="center" wrapText="1"/>
    </xf>
    <xf numFmtId="0" fontId="41" fillId="41" borderId="0" xfId="0" applyFont="1" applyFill="1" applyBorder="1" applyAlignment="1">
      <alignment vertical="center" wrapText="1"/>
    </xf>
    <xf numFmtId="0" fontId="41" fillId="38" borderId="0" xfId="0" applyFont="1" applyFill="1" applyBorder="1" applyAlignment="1" applyProtection="1">
      <alignment vertical="center" wrapText="1"/>
    </xf>
    <xf numFmtId="0" fontId="41" fillId="38" borderId="30" xfId="0" applyFont="1" applyFill="1" applyBorder="1" applyAlignment="1" applyProtection="1">
      <alignment vertical="center" wrapText="1"/>
    </xf>
    <xf numFmtId="0" fontId="41" fillId="41" borderId="0" xfId="0" applyFont="1" applyFill="1" applyBorder="1" applyAlignment="1" applyProtection="1">
      <alignment vertical="center" wrapText="1"/>
    </xf>
    <xf numFmtId="175" fontId="78" fillId="42" borderId="0" xfId="205" applyNumberFormat="1" applyFont="1" applyFill="1" applyBorder="1" applyAlignment="1" applyProtection="1">
      <alignment horizontal="right" vertical="center" indent="1"/>
    </xf>
    <xf numFmtId="175" fontId="42" fillId="0" borderId="0" xfId="205" applyNumberFormat="1" applyFont="1" applyFill="1" applyBorder="1" applyAlignment="1" applyProtection="1">
      <alignment horizontal="right" vertical="center" indent="1"/>
    </xf>
    <xf numFmtId="9" fontId="42" fillId="0" borderId="0" xfId="205" applyNumberFormat="1" applyFont="1" applyFill="1" applyBorder="1" applyAlignment="1" applyProtection="1">
      <alignment horizontal="right" vertical="center" indent="1"/>
    </xf>
    <xf numFmtId="172" fontId="42" fillId="0" borderId="0" xfId="205" applyNumberFormat="1" applyFont="1" applyFill="1" applyBorder="1" applyAlignment="1" applyProtection="1">
      <alignment horizontal="right" vertical="center" indent="1"/>
    </xf>
    <xf numFmtId="174" fontId="42" fillId="0" borderId="0" xfId="205" applyNumberFormat="1" applyFont="1" applyFill="1" applyBorder="1" applyAlignment="1" applyProtection="1">
      <alignment horizontal="right" vertical="center" indent="1"/>
    </xf>
    <xf numFmtId="175" fontId="0" fillId="0" borderId="0" xfId="0" applyNumberFormat="1" applyBorder="1" applyProtection="1"/>
    <xf numFmtId="175" fontId="77" fillId="43" borderId="0" xfId="205" applyNumberFormat="1" applyFont="1" applyFill="1" applyBorder="1" applyAlignment="1" applyProtection="1">
      <alignment horizontal="right" vertical="center" indent="1"/>
    </xf>
    <xf numFmtId="175" fontId="80" fillId="44" borderId="0" xfId="205" applyNumberFormat="1" applyFont="1" applyFill="1" applyBorder="1" applyAlignment="1" applyProtection="1">
      <alignment horizontal="right" vertical="center" indent="1"/>
    </xf>
    <xf numFmtId="175" fontId="79" fillId="45" borderId="0" xfId="205" applyNumberFormat="1" applyFont="1" applyFill="1" applyBorder="1" applyAlignment="1" applyProtection="1">
      <alignment horizontal="right" vertical="center" indent="1"/>
    </xf>
    <xf numFmtId="0" fontId="6" fillId="0" borderId="0" xfId="0" applyFont="1" applyFill="1" applyBorder="1" applyAlignment="1">
      <alignment horizontal="left" vertical="center"/>
    </xf>
    <xf numFmtId="0" fontId="78" fillId="42" borderId="0" xfId="222" applyFont="1" applyFill="1" applyBorder="1" applyAlignment="1" applyProtection="1">
      <alignment horizontal="left" vertical="center"/>
    </xf>
    <xf numFmtId="0" fontId="78" fillId="42" borderId="0" xfId="222" applyFont="1" applyFill="1" applyBorder="1" applyAlignment="1" applyProtection="1">
      <alignment vertical="center"/>
    </xf>
    <xf numFmtId="0" fontId="77" fillId="43" borderId="0" xfId="222" applyFont="1" applyFill="1" applyBorder="1" applyAlignment="1" applyProtection="1">
      <alignment horizontal="left" vertical="center"/>
    </xf>
    <xf numFmtId="0" fontId="77" fillId="43" borderId="0" xfId="222" applyFont="1" applyFill="1" applyBorder="1" applyAlignment="1" applyProtection="1">
      <alignment vertical="center"/>
    </xf>
    <xf numFmtId="0" fontId="80" fillId="44" borderId="0" xfId="222" applyFont="1" applyFill="1" applyBorder="1" applyAlignment="1" applyProtection="1">
      <alignment horizontal="left" vertical="center"/>
    </xf>
    <xf numFmtId="0" fontId="80" fillId="44" borderId="0" xfId="222" applyFont="1" applyFill="1" applyBorder="1" applyAlignment="1" applyProtection="1">
      <alignment vertical="center"/>
    </xf>
    <xf numFmtId="0" fontId="79" fillId="45" borderId="0" xfId="222" applyFont="1" applyFill="1" applyBorder="1" applyAlignment="1" applyProtection="1">
      <alignment horizontal="left" vertical="center"/>
    </xf>
    <xf numFmtId="0" fontId="79" fillId="45" borderId="0" xfId="222" applyFont="1" applyFill="1" applyBorder="1" applyAlignment="1" applyProtection="1">
      <alignment vertical="center"/>
    </xf>
    <xf numFmtId="0" fontId="42" fillId="41" borderId="0" xfId="222" applyFont="1" applyFill="1" applyBorder="1" applyAlignment="1" applyProtection="1">
      <alignment horizontal="left" vertical="center"/>
    </xf>
    <xf numFmtId="0" fontId="42" fillId="41" borderId="0" xfId="222" applyFont="1" applyFill="1" applyBorder="1" applyAlignment="1" applyProtection="1">
      <alignment vertical="center"/>
    </xf>
    <xf numFmtId="175" fontId="81" fillId="32" borderId="0" xfId="0" applyNumberFormat="1" applyFont="1" applyFill="1" applyBorder="1" applyAlignment="1">
      <alignment horizontal="right" vertical="center" indent="1"/>
    </xf>
    <xf numFmtId="172" fontId="77" fillId="0" borderId="0" xfId="205" applyNumberFormat="1" applyFont="1" applyFill="1" applyBorder="1" applyAlignment="1" applyProtection="1">
      <alignment horizontal="right" vertical="center" indent="1"/>
    </xf>
    <xf numFmtId="175" fontId="80" fillId="42" borderId="0" xfId="205" applyNumberFormat="1" applyFont="1" applyFill="1" applyBorder="1" applyAlignment="1" applyProtection="1">
      <alignment horizontal="right" vertical="center" indent="1"/>
    </xf>
    <xf numFmtId="175" fontId="79" fillId="43" borderId="0" xfId="205" applyNumberFormat="1" applyFont="1" applyFill="1" applyBorder="1" applyAlignment="1" applyProtection="1">
      <alignment horizontal="right" vertical="center" indent="1"/>
    </xf>
    <xf numFmtId="175" fontId="82" fillId="44" borderId="0" xfId="205" applyNumberFormat="1" applyFont="1" applyFill="1" applyBorder="1" applyAlignment="1" applyProtection="1">
      <alignment horizontal="right" vertical="center" indent="1"/>
    </xf>
    <xf numFmtId="175" fontId="42" fillId="45" borderId="0" xfId="205" applyNumberFormat="1" applyFont="1" applyFill="1" applyBorder="1" applyAlignment="1" applyProtection="1">
      <alignment horizontal="right" vertical="center" indent="1"/>
    </xf>
    <xf numFmtId="0" fontId="63" fillId="46" borderId="0" xfId="0" applyFont="1" applyFill="1" applyAlignment="1" applyProtection="1">
      <alignment vertical="center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2" fillId="31" borderId="36" xfId="205" applyFont="1" applyFill="1" applyBorder="1" applyAlignment="1" applyProtection="1">
      <alignment horizontal="left" vertical="center"/>
      <protection locked="0"/>
    </xf>
    <xf numFmtId="0" fontId="62" fillId="31" borderId="37" xfId="205" applyFont="1" applyFill="1" applyBorder="1" applyAlignment="1" applyProtection="1">
      <alignment horizontal="left" vertical="center"/>
      <protection locked="0"/>
    </xf>
    <xf numFmtId="0" fontId="62" fillId="31" borderId="38" xfId="205" applyFont="1" applyFill="1" applyBorder="1" applyAlignment="1" applyProtection="1">
      <alignment horizontal="left" vertical="center"/>
      <protection locked="0"/>
    </xf>
    <xf numFmtId="0" fontId="62" fillId="31" borderId="21" xfId="205" applyFont="1" applyFill="1" applyBorder="1" applyAlignment="1" applyProtection="1">
      <alignment horizontal="left" vertical="center"/>
      <protection locked="0"/>
    </xf>
    <xf numFmtId="0" fontId="62" fillId="31" borderId="0" xfId="205" applyFont="1" applyFill="1" applyBorder="1" applyAlignment="1" applyProtection="1">
      <alignment horizontal="left" vertical="center"/>
      <protection locked="0"/>
    </xf>
    <xf numFmtId="0" fontId="62" fillId="31" borderId="39" xfId="205" applyFont="1" applyFill="1" applyBorder="1" applyAlignment="1" applyProtection="1">
      <alignment horizontal="left" vertical="center"/>
      <protection locked="0"/>
    </xf>
    <xf numFmtId="0" fontId="62" fillId="31" borderId="40" xfId="205" applyFont="1" applyFill="1" applyBorder="1" applyAlignment="1" applyProtection="1">
      <alignment horizontal="left" vertical="center"/>
      <protection locked="0"/>
    </xf>
    <xf numFmtId="0" fontId="62" fillId="31" borderId="35" xfId="205" applyFont="1" applyFill="1" applyBorder="1" applyAlignment="1" applyProtection="1">
      <alignment horizontal="left" vertical="center"/>
      <protection locked="0"/>
    </xf>
    <xf numFmtId="0" fontId="62" fillId="31" borderId="41" xfId="205" applyFont="1" applyFill="1" applyBorder="1" applyAlignment="1" applyProtection="1">
      <alignment horizontal="left" vertical="center"/>
      <protection locked="0"/>
    </xf>
    <xf numFmtId="0" fontId="41" fillId="47" borderId="0" xfId="0" applyFont="1" applyFill="1" applyBorder="1" applyAlignment="1" applyProtection="1">
      <alignment horizontal="center" vertical="center" wrapText="1"/>
    </xf>
    <xf numFmtId="0" fontId="41" fillId="47" borderId="30" xfId="0" applyFont="1" applyFill="1" applyBorder="1" applyAlignment="1" applyProtection="1">
      <alignment horizontal="center" vertical="center" wrapText="1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59" fillId="0" borderId="48" xfId="0" applyFont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0" fontId="6" fillId="32" borderId="0" xfId="0" applyFont="1" applyFill="1" applyBorder="1" applyAlignment="1">
      <alignment horizontal="left" vertical="center"/>
    </xf>
    <xf numFmtId="0" fontId="73" fillId="46" borderId="0" xfId="0" applyFont="1" applyFill="1" applyAlignment="1" applyProtection="1">
      <alignment horizontal="left" vertical="center"/>
    </xf>
    <xf numFmtId="0" fontId="7" fillId="32" borderId="45" xfId="0" applyFont="1" applyFill="1" applyBorder="1" applyAlignment="1" applyProtection="1">
      <alignment horizontal="center" vertical="center" wrapText="1"/>
    </xf>
    <xf numFmtId="0" fontId="7" fillId="32" borderId="31" xfId="0" applyFont="1" applyFill="1" applyBorder="1" applyAlignment="1" applyProtection="1">
      <alignment horizontal="center" vertical="center" wrapText="1"/>
    </xf>
    <xf numFmtId="0" fontId="44" fillId="35" borderId="0" xfId="0" applyFont="1" applyFill="1" applyBorder="1" applyAlignment="1" applyProtection="1">
      <alignment horizontal="center"/>
    </xf>
    <xf numFmtId="171" fontId="78" fillId="42" borderId="0" xfId="222" applyNumberFormat="1" applyFont="1" applyFill="1" applyBorder="1" applyAlignment="1" applyProtection="1">
      <alignment horizontal="left" vertical="center"/>
    </xf>
    <xf numFmtId="0" fontId="4" fillId="46" borderId="0" xfId="0" applyFont="1" applyFill="1" applyAlignment="1" applyProtection="1">
      <alignment horizontal="left" indent="1"/>
    </xf>
    <xf numFmtId="0" fontId="58" fillId="48" borderId="0" xfId="0" applyFont="1" applyFill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105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D0C2A4"/>
      <color rgb="FF7E408F"/>
      <color rgb="FFFF5353"/>
      <color rgb="FF3F1260"/>
      <color rgb="FFFFFF99"/>
      <color rgb="FF6F707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Frais_Direction_Nature_Charges!$BB$70</c:f>
          <c:strCache>
            <c:ptCount val="1"/>
            <c:pt idx="0">
              <c:v>Masse Salariale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4856807446042261E-2"/>
          <c:y val="0.14450894243162637"/>
          <c:w val="0.90950360209217407"/>
          <c:h val="0.653180419790951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Frais_Direction_Nature_Charges!$BB$71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Frais_Direction_Nature_Charges!$BD$71:$BI$71</c:f>
              <c:numCache>
                <c:formatCode>#,##0</c:formatCode>
                <c:ptCount val="6"/>
                <c:pt idx="0">
                  <c:v>-6324.9035900000008</c:v>
                </c:pt>
                <c:pt idx="1">
                  <c:v>-6782.3541100000002</c:v>
                </c:pt>
                <c:pt idx="2">
                  <c:v>-6782.3541100000002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01223936"/>
        <c:axId val="301225856"/>
      </c:barChart>
      <c:lineChart>
        <c:grouping val="standard"/>
        <c:varyColors val="0"/>
        <c:ser>
          <c:idx val="2"/>
          <c:order val="1"/>
          <c:tx>
            <c:strRef>
              <c:f>Frais_Direction_Nature_Charges!$BB$72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Frais_Direction_Nature_Charges!$BD$72:$BI$72</c:f>
              <c:numCache>
                <c:formatCode>#,##0</c:formatCode>
                <c:ptCount val="6"/>
                <c:pt idx="0">
                  <c:v>-3507.2687916666655</c:v>
                </c:pt>
                <c:pt idx="1">
                  <c:v>-7014.537583333331</c:v>
                </c:pt>
                <c:pt idx="2">
                  <c:v>-10521.806375</c:v>
                </c:pt>
                <c:pt idx="3">
                  <c:v>-13929.075166666662</c:v>
                </c:pt>
                <c:pt idx="4">
                  <c:v>-17336.343958333335</c:v>
                </c:pt>
                <c:pt idx="5">
                  <c:v>-21201.11275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223936"/>
        <c:axId val="301225856"/>
      </c:lineChart>
      <c:catAx>
        <c:axId val="3012239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1225856"/>
        <c:crosses val="autoZero"/>
        <c:auto val="1"/>
        <c:lblAlgn val="ctr"/>
        <c:lblOffset val="100"/>
        <c:noMultiLvlLbl val="0"/>
      </c:catAx>
      <c:valAx>
        <c:axId val="30122585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12239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8134777376654635E-3"/>
          <c:y val="0.89179104477611937"/>
          <c:w val="0.97051744885679903"/>
          <c:h val="4.104477611940298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Frais_Direction_Nature_Charges!$BB$74</c:f>
          <c:strCache>
            <c:ptCount val="1"/>
            <c:pt idx="0">
              <c:v>Voyages et Déplacements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4856807446042261E-2"/>
          <c:y val="0.14450894243162637"/>
          <c:w val="0.90950360209217407"/>
          <c:h val="0.653180419790951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Frais_Direction_Nature_Charges!$BB$75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Frais_Direction_Nature_Charges!$BD$75:$BI$75</c:f>
              <c:numCache>
                <c:formatCode>#,##0</c:formatCode>
                <c:ptCount val="6"/>
                <c:pt idx="0">
                  <c:v>-14.670469999999991</c:v>
                </c:pt>
                <c:pt idx="1">
                  <c:v>-255.62477000000021</c:v>
                </c:pt>
                <c:pt idx="2">
                  <c:v>-255.62477000000021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02227840"/>
        <c:axId val="302265088"/>
      </c:barChart>
      <c:lineChart>
        <c:grouping val="standard"/>
        <c:varyColors val="0"/>
        <c:ser>
          <c:idx val="2"/>
          <c:order val="1"/>
          <c:tx>
            <c:strRef>
              <c:f>Frais_Direction_Nature_Charges!$BB$76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Frais_Direction_Nature_Charges!$BD$76:$BI$76</c:f>
              <c:numCache>
                <c:formatCode>#,##0</c:formatCode>
                <c:ptCount val="6"/>
                <c:pt idx="0">
                  <c:v>-233.12833333333336</c:v>
                </c:pt>
                <c:pt idx="1">
                  <c:v>-466.25666666666672</c:v>
                </c:pt>
                <c:pt idx="2">
                  <c:v>-699.38499999999999</c:v>
                </c:pt>
                <c:pt idx="3">
                  <c:v>-932.51333333333343</c:v>
                </c:pt>
                <c:pt idx="4">
                  <c:v>-1165.6416666666664</c:v>
                </c:pt>
                <c:pt idx="5">
                  <c:v>-1398.77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27840"/>
        <c:axId val="302265088"/>
      </c:lineChart>
      <c:catAx>
        <c:axId val="30222784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2265088"/>
        <c:crosses val="autoZero"/>
        <c:auto val="1"/>
        <c:lblAlgn val="ctr"/>
        <c:lblOffset val="100"/>
        <c:noMultiLvlLbl val="0"/>
      </c:catAx>
      <c:valAx>
        <c:axId val="30226508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22278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8134777376654635E-3"/>
          <c:y val="0.89179104477611937"/>
          <c:w val="0.97051744885679903"/>
          <c:h val="4.104477611940298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Frais_Direction_Nature_Charges!$BB$78</c:f>
          <c:strCache>
            <c:ptCount val="1"/>
            <c:pt idx="0">
              <c:v>Frais externes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4856807446042261E-2"/>
          <c:y val="0.14450894243162637"/>
          <c:w val="0.90950360209217407"/>
          <c:h val="0.653180419790951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Frais_Direction_Nature_Charges!$BB$79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Frais_Direction_Nature_Charges!$BD$79:$BI$79</c:f>
              <c:numCache>
                <c:formatCode>#,##0</c:formatCode>
                <c:ptCount val="6"/>
                <c:pt idx="0">
                  <c:v>-359.85756000000003</c:v>
                </c:pt>
                <c:pt idx="1">
                  <c:v>-2764.5980799999993</c:v>
                </c:pt>
                <c:pt idx="2">
                  <c:v>-2764.5980799999993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03381504"/>
        <c:axId val="303842432"/>
      </c:barChart>
      <c:lineChart>
        <c:grouping val="standard"/>
        <c:varyColors val="0"/>
        <c:ser>
          <c:idx val="2"/>
          <c:order val="1"/>
          <c:tx>
            <c:strRef>
              <c:f>Frais_Direction_Nature_Charges!$BB$80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Frais_Direction_Nature_Charges!$BD$80:$BI$80</c:f>
              <c:numCache>
                <c:formatCode>#,##0</c:formatCode>
                <c:ptCount val="6"/>
                <c:pt idx="0">
                  <c:v>-2607.7834166666667</c:v>
                </c:pt>
                <c:pt idx="1">
                  <c:v>-5215.5668333333333</c:v>
                </c:pt>
                <c:pt idx="2">
                  <c:v>-7823.3502500000004</c:v>
                </c:pt>
                <c:pt idx="3">
                  <c:v>-10200.367</c:v>
                </c:pt>
                <c:pt idx="4">
                  <c:v>-12577.383749999999</c:v>
                </c:pt>
                <c:pt idx="5">
                  <c:v>-25531.9005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81504"/>
        <c:axId val="303842432"/>
      </c:lineChart>
      <c:catAx>
        <c:axId val="30338150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3842432"/>
        <c:crosses val="autoZero"/>
        <c:auto val="1"/>
        <c:lblAlgn val="ctr"/>
        <c:lblOffset val="100"/>
        <c:noMultiLvlLbl val="0"/>
      </c:catAx>
      <c:valAx>
        <c:axId val="30384243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033815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8134777376654635E-3"/>
          <c:y val="0.89179104477611937"/>
          <c:w val="0.97051744885679903"/>
          <c:h val="4.104477611940298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Frais_Direction_Nature_Charges!$BB$82</c:f>
          <c:strCache>
            <c:ptCount val="1"/>
            <c:pt idx="0">
              <c:v>Frais Environnement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4856807446042261E-2"/>
          <c:y val="0.14450894243162637"/>
          <c:w val="0.90950360209217407"/>
          <c:h val="0.653180419790951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Frais_Direction_Nature_Charges!$BB$83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Frais_Direction_Nature_Charges!$BD$83:$BI$83</c:f>
              <c:numCache>
                <c:formatCode>#,##0</c:formatCode>
                <c:ptCount val="6"/>
                <c:pt idx="0">
                  <c:v>-184.42423000000031</c:v>
                </c:pt>
                <c:pt idx="1">
                  <c:v>-2225.5319200000004</c:v>
                </c:pt>
                <c:pt idx="2">
                  <c:v>-2225.5319199999999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4170496"/>
        <c:axId val="284176768"/>
      </c:barChart>
      <c:lineChart>
        <c:grouping val="standard"/>
        <c:varyColors val="0"/>
        <c:ser>
          <c:idx val="2"/>
          <c:order val="1"/>
          <c:tx>
            <c:strRef>
              <c:f>Frais_Direction_Nature_Charges!$BB$84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Frais_Direction_Nature_Charges!$BD$67:$BI$67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Frais_Direction_Nature_Charges!$BD$84:$BI$84</c:f>
              <c:numCache>
                <c:formatCode>#,##0</c:formatCode>
                <c:ptCount val="6"/>
                <c:pt idx="0">
                  <c:v>-1025.0583333333336</c:v>
                </c:pt>
                <c:pt idx="1">
                  <c:v>-2050.1166666666672</c:v>
                </c:pt>
                <c:pt idx="2">
                  <c:v>-3075.1750000000002</c:v>
                </c:pt>
                <c:pt idx="3">
                  <c:v>-4116.5373333333337</c:v>
                </c:pt>
                <c:pt idx="4">
                  <c:v>-5265.663125</c:v>
                </c:pt>
                <c:pt idx="5">
                  <c:v>-6414.7889166666682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170496"/>
        <c:axId val="284176768"/>
      </c:lineChart>
      <c:catAx>
        <c:axId val="2841704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84176768"/>
        <c:crosses val="autoZero"/>
        <c:auto val="1"/>
        <c:lblAlgn val="ctr"/>
        <c:lblOffset val="100"/>
        <c:noMultiLvlLbl val="0"/>
      </c:catAx>
      <c:valAx>
        <c:axId val="28417676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841704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8134777376654635E-3"/>
          <c:y val="0.89179104477611937"/>
          <c:w val="0.97051744885679903"/>
          <c:h val="4.104477611940298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6</xdr:col>
      <xdr:colOff>428625</xdr:colOff>
      <xdr:row>18</xdr:row>
      <xdr:rowOff>39832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1038225</xdr:colOff>
          <xdr:row>15</xdr:row>
          <xdr:rowOff>0</xdr:rowOff>
        </xdr:from>
        <xdr:to>
          <xdr:col>6</xdr:col>
          <xdr:colOff>809625</xdr:colOff>
          <xdr:row>17</xdr:row>
          <xdr:rowOff>95250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36</xdr:col>
      <xdr:colOff>917860</xdr:colOff>
      <xdr:row>18</xdr:row>
      <xdr:rowOff>69271</xdr:rowOff>
    </xdr:from>
    <xdr:to>
      <xdr:col>37</xdr:col>
      <xdr:colOff>535061</xdr:colOff>
      <xdr:row>19</xdr:row>
      <xdr:rowOff>324916</xdr:rowOff>
    </xdr:to>
    <xdr:pic>
      <xdr:nvPicPr>
        <xdr:cNvPr id="1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6996" y="640771"/>
          <a:ext cx="794838" cy="7751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207818</xdr:colOff>
      <xdr:row>65</xdr:row>
      <xdr:rowOff>121227</xdr:rowOff>
    </xdr:from>
    <xdr:to>
      <xdr:col>7</xdr:col>
      <xdr:colOff>510886</xdr:colOff>
      <xdr:row>88</xdr:row>
      <xdr:rowOff>173182</xdr:rowOff>
    </xdr:to>
    <xdr:graphicFrame macro="">
      <xdr:nvGraphicFramePr>
        <xdr:cNvPr id="6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323465</xdr:colOff>
      <xdr:row>65</xdr:row>
      <xdr:rowOff>121227</xdr:rowOff>
    </xdr:from>
    <xdr:to>
      <xdr:col>16</xdr:col>
      <xdr:colOff>1115485</xdr:colOff>
      <xdr:row>88</xdr:row>
      <xdr:rowOff>173182</xdr:rowOff>
    </xdr:to>
    <xdr:graphicFrame macro="">
      <xdr:nvGraphicFramePr>
        <xdr:cNvPr id="12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96792</xdr:colOff>
      <xdr:row>65</xdr:row>
      <xdr:rowOff>121227</xdr:rowOff>
    </xdr:from>
    <xdr:to>
      <xdr:col>28</xdr:col>
      <xdr:colOff>897466</xdr:colOff>
      <xdr:row>88</xdr:row>
      <xdr:rowOff>173182</xdr:rowOff>
    </xdr:to>
    <xdr:graphicFrame macro="">
      <xdr:nvGraphicFramePr>
        <xdr:cNvPr id="1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51954</xdr:colOff>
      <xdr:row>65</xdr:row>
      <xdr:rowOff>121227</xdr:rowOff>
    </xdr:from>
    <xdr:to>
      <xdr:col>37</xdr:col>
      <xdr:colOff>744677</xdr:colOff>
      <xdr:row>88</xdr:row>
      <xdr:rowOff>173182</xdr:rowOff>
    </xdr:to>
    <xdr:graphicFrame macro="">
      <xdr:nvGraphicFramePr>
        <xdr:cNvPr id="15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1</xdr:colOff>
      <xdr:row>18</xdr:row>
      <xdr:rowOff>0</xdr:rowOff>
    </xdr:from>
    <xdr:to>
      <xdr:col>6</xdr:col>
      <xdr:colOff>190501</xdr:colOff>
      <xdr:row>20</xdr:row>
      <xdr:rowOff>2940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476250"/>
          <a:ext cx="2667000" cy="907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8" bestFit="1" customWidth="1"/>
    <col min="2" max="2" width="17.85546875" style="8" bestFit="1" customWidth="1"/>
    <col min="3" max="3" width="9.140625" style="8"/>
    <col min="4" max="4" width="27.7109375" style="8" customWidth="1"/>
    <col min="5" max="16384" width="9.140625" style="8"/>
  </cols>
  <sheetData>
    <row r="1" spans="1:7" ht="18" x14ac:dyDescent="0.25">
      <c r="A1" s="6" t="s">
        <v>81</v>
      </c>
      <c r="B1" s="7"/>
    </row>
    <row r="2" spans="1:7" x14ac:dyDescent="0.2">
      <c r="A2" s="7"/>
      <c r="B2" s="7"/>
    </row>
    <row r="3" spans="1:7" ht="15.75" x14ac:dyDescent="0.25">
      <c r="A3" s="9" t="s">
        <v>5</v>
      </c>
      <c r="B3" s="7"/>
    </row>
    <row r="4" spans="1:7" x14ac:dyDescent="0.2">
      <c r="A4" s="10" t="s">
        <v>4</v>
      </c>
      <c r="B4" s="11" t="s">
        <v>119</v>
      </c>
    </row>
    <row r="5" spans="1:7" x14ac:dyDescent="0.2">
      <c r="A5" s="10" t="s">
        <v>7</v>
      </c>
      <c r="B5" s="12" t="str">
        <f>LEFT(Server,LEN(Server)-1)</f>
        <v>tango_core_model</v>
      </c>
    </row>
    <row r="6" spans="1:7" x14ac:dyDescent="0.2">
      <c r="A6" s="10" t="s">
        <v>3</v>
      </c>
      <c r="B6" s="12" t="s">
        <v>40</v>
      </c>
    </row>
    <row r="7" spans="1:7" x14ac:dyDescent="0.2">
      <c r="A7" s="10" t="s">
        <v>18</v>
      </c>
      <c r="B7" s="12">
        <v>0</v>
      </c>
    </row>
    <row r="8" spans="1:7" x14ac:dyDescent="0.2">
      <c r="A8" s="10" t="s">
        <v>34</v>
      </c>
      <c r="B8" s="12">
        <v>0</v>
      </c>
    </row>
    <row r="10" spans="1:7" ht="15.75" x14ac:dyDescent="0.25">
      <c r="A10" s="9" t="s">
        <v>6</v>
      </c>
    </row>
    <row r="11" spans="1:7" ht="13.5" customHeight="1" x14ac:dyDescent="0.2">
      <c r="A11" s="10" t="s">
        <v>14</v>
      </c>
      <c r="B11" s="12" t="s">
        <v>45</v>
      </c>
    </row>
    <row r="12" spans="1:7" ht="13.5" customHeight="1" x14ac:dyDescent="0.2">
      <c r="A12" s="10" t="s">
        <v>15</v>
      </c>
      <c r="B12" s="12" t="s">
        <v>64</v>
      </c>
      <c r="C12" s="106" t="s">
        <v>66</v>
      </c>
      <c r="D12" s="106" t="s">
        <v>67</v>
      </c>
      <c r="E12" s="106" t="s">
        <v>67</v>
      </c>
      <c r="F12" s="106" t="s">
        <v>68</v>
      </c>
      <c r="G12" s="106"/>
    </row>
    <row r="13" spans="1:7" x14ac:dyDescent="0.2">
      <c r="A13" s="10" t="s">
        <v>9</v>
      </c>
      <c r="B13" s="12" t="str">
        <f ca="1">_xll.DBR(Server&amp;"z_Admin_Param","MONTH_CORPORATE","STR_VAR1")</f>
        <v>2013.03</v>
      </c>
      <c r="C13" s="107" t="str">
        <f ca="1">RIGHT($B$13,2)</f>
        <v>03</v>
      </c>
      <c r="D13" s="108">
        <f ca="1">IF($C$13="01","1",$C$13-1)</f>
        <v>2</v>
      </c>
      <c r="E13" s="8" t="str">
        <f ca="1">IF(OR($D$13= 10,$D$13= 11,$D$13= 12),$D$13,"0"&amp;D13)</f>
        <v>02</v>
      </c>
      <c r="F13" s="8" t="str">
        <f ca="1">LEFT($B$13,5)&amp;$E$13&amp;"_YTD"</f>
        <v>2013.02_YTD</v>
      </c>
    </row>
    <row r="14" spans="1:7" x14ac:dyDescent="0.2">
      <c r="A14" s="10" t="s">
        <v>19</v>
      </c>
      <c r="B14" s="12" t="str">
        <f ca="1">_xll.DBR(Server&amp;"z_Admin_Param","BUDGET_VERSION_BUDGET_FORECAST","STR_VAR1")</f>
        <v>VC</v>
      </c>
    </row>
    <row r="15" spans="1:7" x14ac:dyDescent="0.2">
      <c r="A15" s="10" t="s">
        <v>20</v>
      </c>
      <c r="B15" s="12" t="str">
        <f ca="1">_xll.DBR(Server&amp;"z_Admin_Param","FORECAST_1_VERSION_BUDGET_FORECAST","STR_VAR1")</f>
        <v>VC</v>
      </c>
    </row>
    <row r="16" spans="1:7" x14ac:dyDescent="0.2">
      <c r="A16" s="10" t="s">
        <v>41</v>
      </c>
      <c r="B16" s="12" t="str">
        <f ca="1">_xll.DBR(Server&amp;"z_Admin_Param","FORECAST_2_VERSION_BUDGET_FORECAST","STR_VAR1")</f>
        <v>VC</v>
      </c>
    </row>
    <row r="17" spans="1:6" x14ac:dyDescent="0.2">
      <c r="A17" s="10" t="s">
        <v>2</v>
      </c>
      <c r="B17" s="13" t="str">
        <f ca="1">_xll.DBR(Server&amp;"z_Client_Properties","Language",_xll.TM1USER(xServer))</f>
        <v>English</v>
      </c>
      <c r="C17" s="8" t="str">
        <f ca="1">IF(LocalLanguage="French","Français",LocalLanguage)</f>
        <v>English</v>
      </c>
    </row>
    <row r="18" spans="1:6" x14ac:dyDescent="0.2">
      <c r="A18" s="203" t="s">
        <v>28</v>
      </c>
      <c r="B18" s="28" t="s">
        <v>1</v>
      </c>
    </row>
    <row r="19" spans="1:6" x14ac:dyDescent="0.2">
      <c r="A19" s="203"/>
      <c r="B19" s="28" t="s">
        <v>46</v>
      </c>
    </row>
    <row r="20" spans="1:6" x14ac:dyDescent="0.2">
      <c r="A20" s="203"/>
      <c r="B20" s="28" t="s">
        <v>11</v>
      </c>
    </row>
    <row r="21" spans="1:6" x14ac:dyDescent="0.2">
      <c r="A21" s="203"/>
      <c r="B21" s="28" t="s">
        <v>12</v>
      </c>
    </row>
    <row r="22" spans="1:6" x14ac:dyDescent="0.2">
      <c r="A22" s="203"/>
      <c r="B22" s="28" t="s">
        <v>13</v>
      </c>
    </row>
    <row r="23" spans="1:6" x14ac:dyDescent="0.2">
      <c r="A23" s="203" t="s">
        <v>29</v>
      </c>
      <c r="B23" s="28" t="s">
        <v>25</v>
      </c>
    </row>
    <row r="24" spans="1:6" x14ac:dyDescent="0.2">
      <c r="A24" s="203"/>
      <c r="B24" s="28" t="s">
        <v>26</v>
      </c>
    </row>
    <row r="25" spans="1:6" x14ac:dyDescent="0.2">
      <c r="A25" s="203"/>
      <c r="B25" s="28" t="s">
        <v>27</v>
      </c>
    </row>
    <row r="27" spans="1:6" ht="15.75" x14ac:dyDescent="0.25">
      <c r="A27" s="9" t="s">
        <v>21</v>
      </c>
      <c r="F27" s="8" t="s">
        <v>8</v>
      </c>
    </row>
    <row r="28" spans="1:6" ht="13.5" customHeight="1" x14ac:dyDescent="0.25">
      <c r="A28" s="8" t="s">
        <v>22</v>
      </c>
      <c r="B28" s="25"/>
    </row>
    <row r="29" spans="1:6" x14ac:dyDescent="0.2">
      <c r="A29" s="8" t="s">
        <v>23</v>
      </c>
      <c r="B29" s="26"/>
    </row>
    <row r="30" spans="1:6" x14ac:dyDescent="0.2">
      <c r="A30" s="8" t="s">
        <v>24</v>
      </c>
      <c r="B30" s="27"/>
    </row>
    <row r="31" spans="1:6" x14ac:dyDescent="0.2">
      <c r="A31" s="8" t="s">
        <v>44</v>
      </c>
      <c r="B31" s="56"/>
    </row>
  </sheetData>
  <sheetProtection sheet="1" objects="1" scenarios="1"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36"/>
  </sheetPr>
  <dimension ref="A1:BW158"/>
  <sheetViews>
    <sheetView showGridLines="0" tabSelected="1" topLeftCell="E16" zoomScale="40" zoomScaleNormal="40" zoomScaleSheetLayoutView="70" workbookViewId="0">
      <selection activeCell="U28" sqref="U28"/>
    </sheetView>
  </sheetViews>
  <sheetFormatPr baseColWidth="10" defaultColWidth="11.42578125" defaultRowHeight="18" customHeight="1" outlineLevelRow="1" x14ac:dyDescent="0.2"/>
  <cols>
    <col min="1" max="1" width="20.42578125" style="1" hidden="1" customWidth="1"/>
    <col min="2" max="2" width="8.140625" style="14" hidden="1" customWidth="1"/>
    <col min="3" max="3" width="25.140625" style="14" hidden="1" customWidth="1"/>
    <col min="4" max="4" width="29" style="14" hidden="1" customWidth="1"/>
    <col min="5" max="5" width="2.28515625" style="29" customWidth="1"/>
    <col min="6" max="6" width="37.140625" style="14" customWidth="1"/>
    <col min="7" max="7" width="29.85546875" style="29" customWidth="1"/>
    <col min="8" max="8" width="4.28515625" style="29" customWidth="1"/>
    <col min="9" max="11" width="17.7109375" style="29" customWidth="1"/>
    <col min="12" max="12" width="21.42578125" style="29" hidden="1" customWidth="1"/>
    <col min="13" max="13" width="20.5703125" style="29" hidden="1" customWidth="1"/>
    <col min="14" max="14" width="2.42578125" style="29" customWidth="1"/>
    <col min="15" max="17" width="17.7109375" style="29" customWidth="1"/>
    <col min="18" max="18" width="17.7109375" style="29" hidden="1" customWidth="1"/>
    <col min="19" max="19" width="15.42578125" style="29" hidden="1" customWidth="1"/>
    <col min="20" max="20" width="2.7109375" style="29" customWidth="1" collapsed="1"/>
    <col min="21" max="23" width="17.7109375" style="29" customWidth="1"/>
    <col min="24" max="24" width="20.5703125" style="29" hidden="1" customWidth="1"/>
    <col min="25" max="25" width="19.5703125" style="29" hidden="1" customWidth="1"/>
    <col min="26" max="26" width="2.7109375" style="29" customWidth="1" collapsed="1"/>
    <col min="27" max="29" width="17.7109375" style="29" customWidth="1"/>
    <col min="30" max="30" width="17" style="29" hidden="1" customWidth="1"/>
    <col min="31" max="31" width="16.7109375" style="29" hidden="1" customWidth="1"/>
    <col min="32" max="32" width="2.7109375" style="29" customWidth="1" collapsed="1"/>
    <col min="33" max="34" width="17.7109375" style="29" customWidth="1"/>
    <col min="35" max="35" width="1.7109375" style="29" customWidth="1"/>
    <col min="36" max="37" width="17.7109375" style="29" customWidth="1"/>
    <col min="38" max="38" width="17" style="29" customWidth="1"/>
    <col min="39" max="40" width="17" style="29" hidden="1" customWidth="1"/>
    <col min="41" max="41" width="17" style="29" hidden="1" customWidth="1" collapsed="1"/>
    <col min="42" max="45" width="17" style="2" hidden="1" customWidth="1"/>
    <col min="46" max="59" width="17" style="14" hidden="1" customWidth="1"/>
    <col min="60" max="75" width="17" style="1" hidden="1" customWidth="1"/>
    <col min="76" max="76" width="17" style="1" customWidth="1"/>
    <col min="77" max="16384" width="11.42578125" style="1"/>
  </cols>
  <sheetData>
    <row r="1" spans="1:58" customFormat="1" ht="18" hidden="1" customHeight="1" x14ac:dyDescent="0.2">
      <c r="A1" t="s">
        <v>55</v>
      </c>
      <c r="AP1" s="87"/>
      <c r="AQ1" s="87"/>
      <c r="AR1" s="87"/>
      <c r="AS1" s="87"/>
    </row>
    <row r="2" spans="1:58" customFormat="1" ht="25.5" hidden="1" customHeight="1" x14ac:dyDescent="0.2">
      <c r="A2">
        <f ca="1">0</f>
        <v>0</v>
      </c>
      <c r="F2" s="186"/>
      <c r="G2" s="187"/>
      <c r="H2" s="132"/>
      <c r="I2" s="176"/>
      <c r="J2" s="176"/>
      <c r="K2" s="198"/>
      <c r="L2" s="177"/>
      <c r="M2" s="163"/>
      <c r="N2" s="181"/>
      <c r="O2" s="176"/>
      <c r="P2" s="176"/>
      <c r="Q2" s="198"/>
      <c r="R2" s="178"/>
      <c r="S2" s="133"/>
      <c r="T2" s="179"/>
      <c r="U2" s="176"/>
      <c r="V2" s="176"/>
      <c r="W2" s="198"/>
      <c r="X2" s="178"/>
      <c r="Y2" s="133"/>
      <c r="Z2" s="180"/>
      <c r="AA2" s="176"/>
      <c r="AB2" s="176"/>
      <c r="AC2" s="198"/>
      <c r="AD2" s="162"/>
      <c r="AE2" s="133"/>
      <c r="AF2" s="131"/>
      <c r="AG2" s="157"/>
      <c r="AH2" s="157"/>
      <c r="AI2" s="131"/>
      <c r="AJ2" s="176"/>
      <c r="AK2" s="176"/>
      <c r="AL2" s="198"/>
      <c r="AM2" s="162"/>
      <c r="AN2" s="133"/>
      <c r="AP2" s="85"/>
      <c r="AQ2" s="85"/>
      <c r="AR2" s="85"/>
      <c r="AS2" s="84"/>
    </row>
    <row r="3" spans="1:58" customFormat="1" ht="25.5" hidden="1" customHeight="1" x14ac:dyDescent="0.2">
      <c r="A3">
        <f ca="1">1</f>
        <v>1</v>
      </c>
      <c r="F3" s="188"/>
      <c r="G3" s="189"/>
      <c r="H3" s="132"/>
      <c r="I3" s="182"/>
      <c r="J3" s="182"/>
      <c r="K3" s="199"/>
      <c r="L3" s="177"/>
      <c r="M3" s="163"/>
      <c r="N3" s="181"/>
      <c r="O3" s="182"/>
      <c r="P3" s="182"/>
      <c r="Q3" s="199"/>
      <c r="R3" s="178"/>
      <c r="S3" s="133"/>
      <c r="T3" s="179"/>
      <c r="U3" s="182"/>
      <c r="V3" s="182"/>
      <c r="W3" s="199"/>
      <c r="X3" s="178"/>
      <c r="Y3" s="133"/>
      <c r="Z3" s="180"/>
      <c r="AA3" s="182"/>
      <c r="AB3" s="182"/>
      <c r="AC3" s="199"/>
      <c r="AD3" s="162"/>
      <c r="AE3" s="133"/>
      <c r="AF3" s="131"/>
      <c r="AG3" s="157"/>
      <c r="AH3" s="157"/>
      <c r="AI3" s="131"/>
      <c r="AJ3" s="182"/>
      <c r="AK3" s="182"/>
      <c r="AL3" s="199"/>
      <c r="AM3" s="162"/>
      <c r="AN3" s="133"/>
      <c r="AP3" s="85"/>
      <c r="AQ3" s="85"/>
      <c r="AR3" s="85"/>
      <c r="AS3" s="84"/>
    </row>
    <row r="4" spans="1:58" customFormat="1" ht="25.5" hidden="1" customHeight="1" x14ac:dyDescent="0.2">
      <c r="A4">
        <f ca="1">2</f>
        <v>2</v>
      </c>
      <c r="F4" s="190"/>
      <c r="G4" s="191"/>
      <c r="H4" s="132"/>
      <c r="I4" s="183"/>
      <c r="J4" s="183"/>
      <c r="K4" s="200"/>
      <c r="L4" s="177"/>
      <c r="M4" s="163"/>
      <c r="N4" s="181"/>
      <c r="O4" s="183"/>
      <c r="P4" s="183"/>
      <c r="Q4" s="200"/>
      <c r="R4" s="178"/>
      <c r="S4" s="133"/>
      <c r="T4" s="179"/>
      <c r="U4" s="183"/>
      <c r="V4" s="183"/>
      <c r="W4" s="200"/>
      <c r="X4" s="178"/>
      <c r="Y4" s="133"/>
      <c r="Z4" s="180"/>
      <c r="AA4" s="183"/>
      <c r="AB4" s="183"/>
      <c r="AC4" s="200"/>
      <c r="AD4" s="162"/>
      <c r="AE4" s="133"/>
      <c r="AF4" s="131"/>
      <c r="AG4" s="157"/>
      <c r="AH4" s="157"/>
      <c r="AI4" s="131"/>
      <c r="AJ4" s="183"/>
      <c r="AK4" s="183"/>
      <c r="AL4" s="200"/>
      <c r="AM4" s="162"/>
      <c r="AN4" s="133"/>
      <c r="AP4" s="85"/>
      <c r="AQ4" s="85"/>
      <c r="AR4" s="85"/>
      <c r="AS4" s="84"/>
    </row>
    <row r="5" spans="1:58" customFormat="1" ht="25.5" hidden="1" customHeight="1" x14ac:dyDescent="0.2">
      <c r="A5">
        <f ca="1">3</f>
        <v>3</v>
      </c>
      <c r="F5" s="192"/>
      <c r="G5" s="193"/>
      <c r="H5" s="132"/>
      <c r="I5" s="184"/>
      <c r="J5" s="184"/>
      <c r="K5" s="201"/>
      <c r="L5" s="177"/>
      <c r="M5" s="163"/>
      <c r="N5" s="181"/>
      <c r="O5" s="184"/>
      <c r="P5" s="184"/>
      <c r="Q5" s="201"/>
      <c r="R5" s="178"/>
      <c r="S5" s="133"/>
      <c r="T5" s="179"/>
      <c r="U5" s="184"/>
      <c r="V5" s="184"/>
      <c r="W5" s="201"/>
      <c r="X5" s="178"/>
      <c r="Y5" s="133"/>
      <c r="Z5" s="180"/>
      <c r="AA5" s="184"/>
      <c r="AB5" s="184"/>
      <c r="AC5" s="201"/>
      <c r="AD5" s="162"/>
      <c r="AE5" s="133"/>
      <c r="AF5" s="131"/>
      <c r="AG5" s="157"/>
      <c r="AH5" s="157"/>
      <c r="AI5" s="131"/>
      <c r="AJ5" s="184"/>
      <c r="AK5" s="184"/>
      <c r="AL5" s="201"/>
      <c r="AM5" s="162"/>
      <c r="AN5" s="133"/>
      <c r="AP5" s="85"/>
      <c r="AQ5" s="85"/>
      <c r="AR5" s="85"/>
      <c r="AS5" s="84"/>
    </row>
    <row r="6" spans="1:58" customFormat="1" ht="25.5" hidden="1" customHeight="1" x14ac:dyDescent="0.2">
      <c r="A6" t="s">
        <v>53</v>
      </c>
      <c r="F6" s="194"/>
      <c r="G6" s="195"/>
      <c r="H6" s="132"/>
      <c r="I6" s="177"/>
      <c r="J6" s="177"/>
      <c r="K6" s="177"/>
      <c r="L6" s="177"/>
      <c r="M6" s="163"/>
      <c r="N6" s="181"/>
      <c r="O6" s="177"/>
      <c r="P6" s="177"/>
      <c r="Q6" s="177"/>
      <c r="R6" s="178"/>
      <c r="S6" s="133"/>
      <c r="T6" s="179"/>
      <c r="U6" s="177"/>
      <c r="V6" s="177"/>
      <c r="W6" s="177"/>
      <c r="X6" s="178"/>
      <c r="Y6" s="133"/>
      <c r="Z6" s="180"/>
      <c r="AA6" s="177"/>
      <c r="AB6" s="177"/>
      <c r="AC6" s="177"/>
      <c r="AD6" s="162"/>
      <c r="AE6" s="133"/>
      <c r="AF6" s="131"/>
      <c r="AG6" s="157"/>
      <c r="AH6" s="157"/>
      <c r="AI6" s="131"/>
      <c r="AJ6" s="177"/>
      <c r="AK6" s="177"/>
      <c r="AL6" s="177"/>
      <c r="AM6" s="162"/>
      <c r="AN6" s="133"/>
      <c r="AP6" s="85"/>
      <c r="AQ6" s="85"/>
      <c r="AR6" s="85"/>
      <c r="AS6" s="84"/>
    </row>
    <row r="7" spans="1:58" customFormat="1" ht="25.5" hidden="1" customHeight="1" x14ac:dyDescent="0.2">
      <c r="A7" t="s">
        <v>54</v>
      </c>
      <c r="F7" s="194"/>
      <c r="G7" s="195"/>
      <c r="H7" s="132"/>
      <c r="I7" s="177"/>
      <c r="J7" s="177"/>
      <c r="K7" s="177"/>
      <c r="L7" s="177"/>
      <c r="M7" s="163"/>
      <c r="N7" s="181"/>
      <c r="O7" s="177"/>
      <c r="P7" s="177"/>
      <c r="Q7" s="177"/>
      <c r="R7" s="178"/>
      <c r="S7" s="133"/>
      <c r="T7" s="179"/>
      <c r="U7" s="177"/>
      <c r="V7" s="177"/>
      <c r="W7" s="177"/>
      <c r="X7" s="178"/>
      <c r="Y7" s="133"/>
      <c r="Z7" s="180"/>
      <c r="AA7" s="177"/>
      <c r="AB7" s="177"/>
      <c r="AC7" s="177"/>
      <c r="AD7" s="162"/>
      <c r="AE7" s="133"/>
      <c r="AF7" s="131"/>
      <c r="AG7" s="157"/>
      <c r="AH7" s="157"/>
      <c r="AI7" s="131"/>
      <c r="AJ7" s="177"/>
      <c r="AK7" s="177"/>
      <c r="AL7" s="177"/>
      <c r="AM7" s="162"/>
      <c r="AN7" s="133"/>
      <c r="AP7" s="85"/>
      <c r="AQ7" s="85"/>
      <c r="AR7" s="85"/>
      <c r="AS7" s="88"/>
    </row>
    <row r="8" spans="1:58" customFormat="1" ht="18" hidden="1" customHeight="1" x14ac:dyDescent="0.2">
      <c r="A8" t="s">
        <v>56</v>
      </c>
      <c r="AP8" s="87"/>
      <c r="AQ8" s="87"/>
      <c r="AR8" s="87"/>
      <c r="AS8" s="87"/>
    </row>
    <row r="9" spans="1:58" customFormat="1" ht="18" hidden="1" customHeight="1" x14ac:dyDescent="0.2">
      <c r="AP9" s="87"/>
      <c r="AQ9" s="87"/>
      <c r="AR9" s="87"/>
      <c r="AS9" s="87"/>
    </row>
    <row r="10" spans="1:58" customFormat="1" ht="18" hidden="1" customHeight="1" x14ac:dyDescent="0.2">
      <c r="AP10" s="87"/>
      <c r="AQ10" s="87"/>
      <c r="AR10" s="87"/>
      <c r="AS10" s="87"/>
    </row>
    <row r="11" spans="1:58" ht="22.5" hidden="1" customHeight="1" x14ac:dyDescent="0.25">
      <c r="B11" s="40"/>
      <c r="C11" s="40"/>
      <c r="D11" s="40"/>
      <c r="E11" s="40"/>
      <c r="F11" s="25"/>
      <c r="G11" s="25" t="s">
        <v>110</v>
      </c>
      <c r="H11" s="53" t="s">
        <v>0</v>
      </c>
      <c r="I11" s="67" t="s">
        <v>62</v>
      </c>
      <c r="J11" s="68" t="str">
        <f ca="1">IF($F$14=$BA$33,"BUDG_TOT",IF($F$14=$BA$34,"FC_1_TOT","FC_2_TOT"))</f>
        <v>BUDG_TOT</v>
      </c>
      <c r="K11" s="224" t="s">
        <v>78</v>
      </c>
      <c r="L11" s="224"/>
      <c r="M11" s="92" t="str">
        <f ca="1">IF($F$14=$BA$33,"BUDG",IF($F$14=$BA$34,"FC_1","FC_2"))</f>
        <v>BUDG</v>
      </c>
      <c r="N11" s="54"/>
      <c r="O11" s="67" t="s">
        <v>62</v>
      </c>
      <c r="P11" s="68" t="str">
        <f ca="1">IF($F$14=$BA$33,"BUDG_TOT",IF($F$14=$BA$34,"FC_1_TOT","FC_2_TOT"))</f>
        <v>BUDG_TOT</v>
      </c>
      <c r="Q11" s="54"/>
      <c r="R11" s="54"/>
      <c r="S11" s="54"/>
      <c r="T11" s="54"/>
      <c r="U11" s="67" t="s">
        <v>62</v>
      </c>
      <c r="V11" s="68" t="str">
        <f ca="1">IF($F$14=$BA$33,"BUDG_TOT",IF($F$14=$BA$34,"FC_1_TOT","FC_2_TOT"))</f>
        <v>BUDG_TOT</v>
      </c>
      <c r="W11" s="51"/>
      <c r="X11" s="51"/>
      <c r="Y11" s="51"/>
      <c r="Z11" s="54"/>
      <c r="AA11" s="67" t="s">
        <v>62</v>
      </c>
      <c r="AB11" s="68" t="str">
        <f ca="1">IF($F$14=$BA$33,"BUDG_TOT",IF($F$14=$BA$34,"FC_1_TOT","FC_2_TOT"))</f>
        <v>BUDG_TOT</v>
      </c>
      <c r="AC11" s="54"/>
      <c r="AD11" s="54"/>
      <c r="AE11" s="54"/>
      <c r="AF11" s="54"/>
      <c r="AG11" s="54"/>
      <c r="AH11" s="54"/>
      <c r="AI11" s="54"/>
      <c r="AJ11" s="67" t="s">
        <v>62</v>
      </c>
      <c r="AK11" s="68" t="str">
        <f ca="1">IF($G$33=$BB$22,"BUDG_TOT",IF($G$33=$BB$23,"FC_1_TOT","FC_2_TOT"))</f>
        <v>BUDG_TOT</v>
      </c>
      <c r="AL11" s="48"/>
      <c r="AM11" s="48"/>
      <c r="AN11" s="55"/>
      <c r="AO11" s="40"/>
      <c r="AP11" s="86"/>
      <c r="AQ11" s="86"/>
      <c r="AR11" s="86"/>
      <c r="AU11"/>
      <c r="AV11"/>
    </row>
    <row r="12" spans="1:58" ht="22.5" hidden="1" customHeight="1" x14ac:dyDescent="0.25">
      <c r="B12" s="40"/>
      <c r="C12" s="40"/>
      <c r="D12" s="40"/>
      <c r="E12" s="40"/>
      <c r="F12" s="40"/>
      <c r="G12" s="49"/>
      <c r="H12" s="50" t="s">
        <v>43</v>
      </c>
      <c r="I12" s="51" t="str">
        <f ca="1">$H$13</f>
        <v>2013.03_YTD</v>
      </c>
      <c r="J12" s="51" t="str">
        <f ca="1">$H$13</f>
        <v>2013.03_YTD</v>
      </c>
      <c r="K12" s="51"/>
      <c r="L12" s="150" t="s">
        <v>113</v>
      </c>
      <c r="M12" s="151" t="s">
        <v>114</v>
      </c>
      <c r="N12" s="40"/>
      <c r="O12" s="51" t="str">
        <f ca="1">$H$13</f>
        <v>2013.03_YTD</v>
      </c>
      <c r="P12" s="51" t="str">
        <f ca="1">$H$13</f>
        <v>2013.03_YTD</v>
      </c>
      <c r="Q12" s="51"/>
      <c r="R12" s="51"/>
      <c r="S12" s="51"/>
      <c r="T12" s="51"/>
      <c r="U12" s="51" t="str">
        <f ca="1">$H$13</f>
        <v>2013.03_YTD</v>
      </c>
      <c r="V12" s="51" t="str">
        <f ca="1">$H$13</f>
        <v>2013.03_YTD</v>
      </c>
      <c r="W12" s="51"/>
      <c r="X12" s="51"/>
      <c r="Y12" s="51"/>
      <c r="Z12" s="51"/>
      <c r="AA12" s="51" t="str">
        <f ca="1">$H$13</f>
        <v>2013.03_YTD</v>
      </c>
      <c r="AB12" s="51" t="str">
        <f ca="1">$H$13</f>
        <v>2013.03_YTD</v>
      </c>
      <c r="AC12" s="51"/>
      <c r="AD12" s="51"/>
      <c r="AE12" s="51"/>
      <c r="AF12" s="51"/>
      <c r="AG12" s="51"/>
      <c r="AH12" s="51"/>
      <c r="AI12" s="51"/>
      <c r="AJ12" s="51" t="str">
        <f ca="1">$H$13</f>
        <v>2013.03_YTD</v>
      </c>
      <c r="AK12" s="51" t="str">
        <f ca="1">$H$13</f>
        <v>2013.03_YTD</v>
      </c>
      <c r="AL12" s="48"/>
      <c r="AM12" s="40"/>
      <c r="AN12" s="40"/>
      <c r="AO12" s="40"/>
      <c r="AP12" s="76"/>
      <c r="AQ12" s="78"/>
      <c r="AR12" s="78"/>
      <c r="AT12" s="40"/>
      <c r="AU12"/>
      <c r="AV12"/>
      <c r="AW12" s="40"/>
      <c r="AX12" s="40"/>
      <c r="AY12" s="40"/>
      <c r="AZ12" s="40"/>
      <c r="BA12" s="40"/>
      <c r="BB12" s="40"/>
      <c r="BC12" s="40"/>
      <c r="BD12" s="40"/>
      <c r="BE12" s="40"/>
      <c r="BF12" s="40"/>
    </row>
    <row r="13" spans="1:58" ht="22.5" hidden="1" customHeight="1" x14ac:dyDescent="0.25">
      <c r="B13" s="40"/>
      <c r="C13" s="40"/>
      <c r="D13" s="40"/>
      <c r="E13" s="40"/>
      <c r="F13" s="70" t="s">
        <v>115</v>
      </c>
      <c r="G13" s="40"/>
      <c r="H13" s="69" t="str">
        <f ca="1">_xll.SUBNM(Server&amp;"Period","",$G$27,"")</f>
        <v>2013.03_YTD</v>
      </c>
      <c r="I13" s="48"/>
      <c r="J13" s="48"/>
      <c r="K13" s="48"/>
      <c r="L13" s="48"/>
      <c r="M13" s="48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8"/>
      <c r="AM13" s="40"/>
      <c r="AN13" s="40"/>
      <c r="AO13" s="40"/>
      <c r="AP13" s="76"/>
      <c r="AQ13" s="76"/>
      <c r="AR13" s="76"/>
      <c r="AT13" s="40"/>
      <c r="AU13"/>
      <c r="AV13"/>
      <c r="AW13" s="40"/>
      <c r="AX13" s="40"/>
      <c r="AY13" s="40"/>
      <c r="AZ13" s="40"/>
      <c r="BA13" s="40"/>
      <c r="BB13" s="40"/>
      <c r="BC13" s="40"/>
      <c r="BD13" s="40"/>
      <c r="BE13" s="40"/>
      <c r="BF13" s="40"/>
    </row>
    <row r="14" spans="1:58" ht="22.5" hidden="1" customHeight="1" x14ac:dyDescent="0.25">
      <c r="B14" s="40"/>
      <c r="C14" s="40"/>
      <c r="D14" s="40"/>
      <c r="E14" s="40"/>
      <c r="F14" s="152" t="str">
        <f ca="1">_xll.SUBNM(Server&amp;"z_translate_report","",G33,"")</f>
        <v>Budget</v>
      </c>
      <c r="G14" s="48"/>
      <c r="H14" s="73" t="s">
        <v>51</v>
      </c>
      <c r="I14" s="137" t="s">
        <v>84</v>
      </c>
      <c r="J14" s="48"/>
      <c r="K14" s="48"/>
      <c r="L14" s="48"/>
      <c r="M14" s="48"/>
      <c r="N14" s="48"/>
      <c r="O14" s="137" t="s">
        <v>86</v>
      </c>
      <c r="P14" s="40"/>
      <c r="Q14" s="40"/>
      <c r="R14" s="40"/>
      <c r="S14" s="40"/>
      <c r="T14" s="48"/>
      <c r="U14" s="137" t="s">
        <v>116</v>
      </c>
      <c r="V14" s="48"/>
      <c r="W14" s="48"/>
      <c r="X14" s="48"/>
      <c r="Y14" s="48"/>
      <c r="Z14" s="48"/>
      <c r="AA14" s="137" t="s">
        <v>85</v>
      </c>
      <c r="AB14" s="48"/>
      <c r="AC14" s="48"/>
      <c r="AD14" s="48"/>
      <c r="AE14" s="48"/>
      <c r="AF14" s="48"/>
      <c r="AG14" s="48"/>
      <c r="AH14" s="48"/>
      <c r="AI14" s="48"/>
      <c r="AJ14" s="137" t="s">
        <v>83</v>
      </c>
      <c r="AK14" s="136"/>
      <c r="AL14" s="48"/>
      <c r="AM14" s="48"/>
      <c r="AN14" s="48"/>
      <c r="AO14" s="48"/>
      <c r="AP14" s="76"/>
      <c r="AQ14" s="76"/>
      <c r="AR14" s="76"/>
      <c r="AT14" s="40"/>
      <c r="AU14"/>
      <c r="AV14"/>
      <c r="AW14" s="40"/>
      <c r="AX14" s="40"/>
      <c r="AY14" s="40"/>
      <c r="AZ14" s="40"/>
      <c r="BA14" s="40"/>
      <c r="BB14" s="40"/>
      <c r="BC14" s="40"/>
      <c r="BD14" s="40"/>
      <c r="BE14" s="40"/>
      <c r="BF14" s="40"/>
    </row>
    <row r="15" spans="1:58" ht="22.5" hidden="1" customHeight="1" thickBot="1" x14ac:dyDescent="0.25">
      <c r="B15" s="40"/>
      <c r="C15" s="40"/>
      <c r="D15" s="40"/>
      <c r="E15" s="82"/>
      <c r="F15" s="52"/>
      <c r="G15" s="52"/>
      <c r="H15" s="52"/>
      <c r="I15" s="52"/>
      <c r="J15" s="52"/>
      <c r="K15" s="82"/>
      <c r="L15" s="82"/>
      <c r="M15" s="52"/>
      <c r="N15" s="52"/>
      <c r="O15" s="52"/>
      <c r="P15" s="52"/>
      <c r="Q15" s="52"/>
      <c r="R15" s="52"/>
      <c r="S15" s="52"/>
      <c r="T15" s="52"/>
      <c r="U15" s="5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52"/>
      <c r="AK15" s="82"/>
      <c r="AL15" s="52"/>
      <c r="AM15" s="52"/>
      <c r="AN15" s="52"/>
      <c r="AO15" s="48"/>
      <c r="AP15" s="76"/>
      <c r="AQ15" s="76"/>
      <c r="AR15" s="76"/>
      <c r="AS15" s="76"/>
      <c r="AT15" s="40"/>
      <c r="AU15"/>
      <c r="AV15"/>
      <c r="AW15" s="40"/>
      <c r="AX15" s="40"/>
      <c r="AY15" s="40"/>
      <c r="AZ15" s="40"/>
      <c r="BA15" s="40"/>
      <c r="BB15" s="40"/>
      <c r="BC15" s="40"/>
      <c r="BD15" s="40"/>
      <c r="BE15" s="40"/>
      <c r="BF15" s="40"/>
    </row>
    <row r="16" spans="1:58" ht="15.75" customHeight="1" x14ac:dyDescent="0.2">
      <c r="B16" s="40"/>
      <c r="C16" s="40"/>
      <c r="D16" s="41"/>
      <c r="E16" s="76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76"/>
      <c r="AQ16" s="76"/>
      <c r="AR16" s="76"/>
      <c r="AS16" s="76"/>
      <c r="AU16"/>
      <c r="AV16"/>
    </row>
    <row r="17" spans="2:60" ht="11.25" customHeight="1" x14ac:dyDescent="0.2">
      <c r="B17" s="40"/>
      <c r="C17" s="40"/>
      <c r="D17" s="41"/>
      <c r="E17" s="76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76"/>
      <c r="AQ17" s="76"/>
      <c r="AR17" s="76"/>
      <c r="AS17" s="76"/>
    </row>
    <row r="18" spans="2:60" ht="11.25" customHeight="1" x14ac:dyDescent="0.25">
      <c r="B18" s="40"/>
      <c r="C18" s="71" t="s">
        <v>63</v>
      </c>
      <c r="D18" s="42"/>
      <c r="E18" s="76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15"/>
      <c r="BC18" s="58" t="s">
        <v>57</v>
      </c>
      <c r="BD18" s="14" t="str">
        <f ca="1">IF($G$25="Français","French","English")</f>
        <v>French</v>
      </c>
    </row>
    <row r="19" spans="2:60" ht="41.25" customHeight="1" thickBot="1" x14ac:dyDescent="0.3">
      <c r="B19" s="40"/>
      <c r="C19" s="70" t="s">
        <v>52</v>
      </c>
      <c r="D19" s="72" t="s">
        <v>72</v>
      </c>
      <c r="E19" s="77"/>
      <c r="F19" s="226"/>
      <c r="G19" s="227" t="str">
        <f ca="1">_xll.DBRA(Server&amp;$BA$21,$BA$37,$BD$18)</f>
        <v>Frais par direction et par nature de charges (analyse du réalisé)</v>
      </c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  <c r="AB19" s="227"/>
      <c r="AC19" s="227"/>
      <c r="AD19" s="227"/>
      <c r="AE19" s="227"/>
      <c r="AF19" s="227"/>
      <c r="AG19" s="227"/>
      <c r="AH19" s="227"/>
      <c r="AI19" s="227"/>
      <c r="AJ19" s="221" t="str">
        <f ca="1">_xll.DBRA(Server&amp;$BA$21,$BA$43,$BD$18)</f>
        <v>Restitution</v>
      </c>
      <c r="AK19" s="221"/>
      <c r="AL19" s="202"/>
      <c r="AM19" s="143"/>
      <c r="AN19" s="17"/>
      <c r="AO19" s="15"/>
      <c r="AP19" s="89"/>
      <c r="AQ19" s="89"/>
      <c r="AR19" s="89"/>
      <c r="AS19" s="89"/>
      <c r="BC19" s="29"/>
    </row>
    <row r="20" spans="2:60" ht="30" customHeight="1" thickBot="1" x14ac:dyDescent="0.3">
      <c r="B20" s="40"/>
      <c r="C20" s="70" t="s">
        <v>49</v>
      </c>
      <c r="D20" s="72" t="s">
        <v>73</v>
      </c>
      <c r="E20" s="77"/>
      <c r="F20" s="226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J20" s="221"/>
      <c r="AK20" s="221"/>
      <c r="AL20" s="202"/>
      <c r="AM20" s="143"/>
      <c r="AN20" s="17"/>
      <c r="AO20" s="15"/>
      <c r="AP20" s="89"/>
      <c r="AQ20" s="89"/>
      <c r="AR20" s="89"/>
      <c r="AS20" s="89"/>
      <c r="BB20" s="39" t="s">
        <v>42</v>
      </c>
      <c r="BC20" s="29"/>
    </row>
    <row r="21" spans="2:60" ht="18" customHeight="1" thickBot="1" x14ac:dyDescent="0.3">
      <c r="B21" s="40"/>
      <c r="C21" s="70" t="s">
        <v>16</v>
      </c>
      <c r="D21" s="72" t="s">
        <v>112</v>
      </c>
      <c r="E21" s="7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5"/>
      <c r="AP21" s="1"/>
      <c r="AQ21" s="1"/>
      <c r="AR21" s="1"/>
      <c r="AS21" s="1"/>
      <c r="AZ21" s="36" t="s">
        <v>38</v>
      </c>
      <c r="BA21" s="36" t="s">
        <v>38</v>
      </c>
      <c r="BB21" s="59" t="s">
        <v>0</v>
      </c>
      <c r="BC21" s="29"/>
    </row>
    <row r="22" spans="2:60" ht="23.25" customHeight="1" thickBot="1" x14ac:dyDescent="0.3">
      <c r="B22" s="40"/>
      <c r="C22" s="70"/>
      <c r="D22" s="72"/>
      <c r="E22" s="77"/>
      <c r="F22" s="19" t="str">
        <f ca="1">_xll.DBRA(Server&amp;$BA$21,$BA$22,$BD$18)</f>
        <v>Sélection du contexte</v>
      </c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15"/>
      <c r="AP22" s="31"/>
      <c r="AQ22" s="31"/>
      <c r="AR22" s="31"/>
      <c r="AS22" s="31"/>
      <c r="AZ22" s="141" t="s">
        <v>97</v>
      </c>
      <c r="BA22" s="37" t="s">
        <v>35</v>
      </c>
      <c r="BB22" s="38" t="str">
        <f ca="1">_xll.DBRA(Server&amp;$BA$21,$BA$33,$BD$18)</f>
        <v>Budget</v>
      </c>
      <c r="BC22" s="29"/>
    </row>
    <row r="23" spans="2:60" ht="23.25" hidden="1" customHeight="1" outlineLevel="1" x14ac:dyDescent="0.25">
      <c r="B23" s="40"/>
      <c r="C23" s="70"/>
      <c r="D23" s="72"/>
      <c r="E23" s="77"/>
      <c r="F23" s="20" t="str">
        <f ca="1">_xll.DBRA(Server&amp;$BA$21,$BA$27,$BD$18)</f>
        <v>Gaap</v>
      </c>
      <c r="G23" s="33" t="str">
        <f ca="1">_xll.SUBNM(Server&amp;"GAAP","Corp_FR","Local_Gaap",$BD$18)</f>
        <v>Gaap local</v>
      </c>
      <c r="H23" s="22"/>
      <c r="I23" s="2"/>
      <c r="J23" s="16"/>
      <c r="K23" s="16"/>
      <c r="L23" s="16"/>
      <c r="M23" s="18"/>
      <c r="N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5"/>
      <c r="AP23" s="22"/>
      <c r="AQ23" s="33"/>
      <c r="AR23" s="33"/>
      <c r="AT23" s="29"/>
      <c r="AU23" s="29"/>
      <c r="AV23" s="29"/>
      <c r="AW23" s="29"/>
      <c r="AX23" s="29"/>
      <c r="AY23" s="29"/>
      <c r="AZ23" s="141" t="s">
        <v>98</v>
      </c>
      <c r="BA23" s="35" t="s">
        <v>43</v>
      </c>
      <c r="BB23" s="63" t="str">
        <f ca="1">_xll.DBRA(Server&amp;$BA$21,$BA$34,$BD$18)</f>
        <v>Estimé 1</v>
      </c>
      <c r="BC23" s="29"/>
      <c r="BD23" s="29"/>
      <c r="BE23" s="29"/>
      <c r="BF23" s="29"/>
      <c r="BG23" s="29"/>
    </row>
    <row r="24" spans="2:60" ht="21.75" hidden="1" customHeight="1" outlineLevel="1" thickBot="1" x14ac:dyDescent="0.3">
      <c r="B24" s="40"/>
      <c r="C24" s="70"/>
      <c r="D24" s="72"/>
      <c r="E24" s="77"/>
      <c r="F24" s="20" t="str">
        <f ca="1">_xll.DBRA(Server&amp;$BA$21,$BA$28,$BD$18)</f>
        <v>Taux d'intégration</v>
      </c>
      <c r="G24" s="33" t="str">
        <f ca="1">_xll.SUBNM(Server&amp;"Integration_Rate","Corp_FR","NO_APP",$BD$18)</f>
        <v>Données de liasse (Tx d'intégration No-APP)</v>
      </c>
      <c r="H24" s="22"/>
      <c r="I24" s="2"/>
      <c r="J24" s="16"/>
      <c r="K24" s="16"/>
      <c r="L24" s="16"/>
      <c r="M24" s="18"/>
      <c r="N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5"/>
      <c r="AP24" s="22"/>
      <c r="AQ24" s="33"/>
      <c r="AR24" s="33"/>
      <c r="AZ24" s="141" t="s">
        <v>99</v>
      </c>
      <c r="BA24" s="38" t="s">
        <v>36</v>
      </c>
      <c r="BB24" s="64" t="str">
        <f ca="1">_xll.DBRA(Server&amp;$BA$21,$BA$35,$BD$18)</f>
        <v>Estimé 2</v>
      </c>
      <c r="BC24" s="29"/>
    </row>
    <row r="25" spans="2:60" ht="21.75" hidden="1" customHeight="1" outlineLevel="1" x14ac:dyDescent="0.35">
      <c r="B25" s="40"/>
      <c r="C25" s="70"/>
      <c r="D25" s="104"/>
      <c r="E25" s="77"/>
      <c r="F25" s="20" t="str">
        <f ca="1">_xll.DBRA(Server&amp;$BA$21,$BA$30,$BD$18)</f>
        <v>Langue</v>
      </c>
      <c r="G25" s="33" t="s">
        <v>46</v>
      </c>
      <c r="H25" s="22"/>
      <c r="I25" s="2"/>
      <c r="J25" s="16"/>
      <c r="K25" s="16"/>
      <c r="L25" s="16"/>
      <c r="M25" s="1"/>
      <c r="N25" s="18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8"/>
      <c r="AN25" s="21"/>
      <c r="AO25" s="15"/>
      <c r="AP25" s="22"/>
      <c r="AQ25" s="33"/>
      <c r="AR25" s="33"/>
      <c r="AT25" s="29"/>
      <c r="AU25" s="29"/>
      <c r="AV25" s="29"/>
      <c r="AW25" s="29"/>
      <c r="AX25" s="29"/>
      <c r="AY25" s="29"/>
      <c r="AZ25" s="141" t="s">
        <v>100</v>
      </c>
      <c r="BA25" s="105" t="s">
        <v>48</v>
      </c>
      <c r="BB25" s="103"/>
      <c r="BC25" s="29"/>
      <c r="BD25" s="29"/>
      <c r="BE25" s="29"/>
      <c r="BF25" s="29"/>
      <c r="BG25" s="29"/>
    </row>
    <row r="26" spans="2:60" ht="21.75" hidden="1" customHeight="1" outlineLevel="1" x14ac:dyDescent="0.35">
      <c r="B26" s="40"/>
      <c r="C26" s="70"/>
      <c r="D26" s="104"/>
      <c r="E26" s="77"/>
      <c r="F26" s="20" t="str">
        <f ca="1">_xll.DBRA(Server&amp;$BA$21,$BA$29,$BD$18)</f>
        <v>Organisation légale</v>
      </c>
      <c r="G26" s="32" t="str">
        <f ca="1">_xll.SUBNM(Server&amp;"Legal_Organization_Corp","Corp_FR",_xll.DBR(Server&amp;"z_Client_Properties","Default_Legal_Organization_Corp",_xll.TM1USER(xServer)),$G$25)</f>
        <v>VTD</v>
      </c>
      <c r="H26" s="22"/>
      <c r="I26" s="2"/>
      <c r="J26" s="16"/>
      <c r="K26" s="16"/>
      <c r="L26" s="16"/>
      <c r="M26" s="1"/>
      <c r="N26" s="18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8"/>
      <c r="AN26" s="21"/>
      <c r="AO26" s="15"/>
      <c r="AP26" s="22"/>
      <c r="AQ26" s="33"/>
      <c r="AR26" s="33"/>
      <c r="AT26" s="29"/>
      <c r="AU26" s="29"/>
      <c r="AV26" s="29"/>
      <c r="AW26" s="29"/>
      <c r="AX26" s="29"/>
      <c r="AY26" s="29"/>
      <c r="AZ26" s="141" t="s">
        <v>101</v>
      </c>
      <c r="BA26" s="38" t="s">
        <v>16</v>
      </c>
      <c r="BB26" s="103"/>
      <c r="BC26" s="29"/>
      <c r="BD26" s="29"/>
      <c r="BE26" s="29"/>
      <c r="BF26" s="29"/>
      <c r="BG26" s="29"/>
    </row>
    <row r="27" spans="2:60" ht="21.75" customHeight="1" collapsed="1" x14ac:dyDescent="0.35">
      <c r="B27" s="40"/>
      <c r="C27" s="70"/>
      <c r="D27" s="72"/>
      <c r="E27" s="77"/>
      <c r="F27" s="20" t="str">
        <f ca="1">_xll.DBRA(Server&amp;$BA$21,$BA$23,$BD$18)</f>
        <v>Période</v>
      </c>
      <c r="G27" s="32" t="str">
        <f ca="1">_xll.SUBNM(Server&amp;"Period","Corp_FR",ActualMonth&amp;"_YTD",$BD$18)</f>
        <v>Cumul Mars 2013</v>
      </c>
      <c r="H27" s="22"/>
      <c r="I27" s="2"/>
      <c r="J27" s="16"/>
      <c r="K27" s="16"/>
      <c r="L27" s="16"/>
      <c r="M27" s="1"/>
      <c r="N27" s="18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8"/>
      <c r="AN27" s="21"/>
      <c r="AO27" s="15"/>
      <c r="AP27" s="22"/>
      <c r="AQ27" s="33"/>
      <c r="AR27" s="33"/>
      <c r="AT27" s="29"/>
      <c r="AU27" s="29"/>
      <c r="AV27" s="29"/>
      <c r="AW27" s="29"/>
      <c r="AX27" s="29"/>
      <c r="AY27" s="29"/>
      <c r="AZ27" s="141" t="s">
        <v>102</v>
      </c>
      <c r="BA27" s="38" t="s">
        <v>17</v>
      </c>
      <c r="BB27" s="103"/>
      <c r="BC27" s="29"/>
      <c r="BD27" s="29"/>
      <c r="BE27" s="29"/>
      <c r="BF27" s="29"/>
      <c r="BG27" s="29"/>
    </row>
    <row r="28" spans="2:60" ht="21.75" customHeight="1" x14ac:dyDescent="0.35">
      <c r="B28" s="40"/>
      <c r="C28" s="70"/>
      <c r="D28" s="72"/>
      <c r="E28" s="77"/>
      <c r="F28" s="20" t="str">
        <f ca="1">_xll.DBRA(Server&amp;$BA$21,$BA$24,$BD$18)</f>
        <v>Organisation managériale</v>
      </c>
      <c r="G28" s="32" t="str">
        <f ca="1">_xll.SUBNM(Server&amp;"Management_Organization_Corp","Corp_FR",_xll.DBR(Server&amp;"z_Client_Properties","Default_Management_Organization_Corp",_xll.TM1USER(xServer)),$G$25)</f>
        <v>VTD</v>
      </c>
      <c r="H28" s="22"/>
      <c r="I28" s="2"/>
      <c r="J28" s="16"/>
      <c r="K28" s="16"/>
      <c r="L28" s="16"/>
      <c r="M28" s="1"/>
      <c r="N28" s="18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8"/>
      <c r="AN28" s="21"/>
      <c r="AO28" s="15"/>
      <c r="AP28" s="22"/>
      <c r="AQ28" s="33"/>
      <c r="AR28" s="33"/>
      <c r="AT28" s="29"/>
      <c r="AU28" s="29"/>
      <c r="AV28" s="29"/>
      <c r="AW28" s="29"/>
      <c r="AX28" s="29"/>
      <c r="AY28" s="29"/>
      <c r="AZ28" s="141" t="s">
        <v>103</v>
      </c>
      <c r="BA28" s="38" t="s">
        <v>65</v>
      </c>
      <c r="BB28" s="103"/>
      <c r="BC28" s="29"/>
      <c r="BD28" s="29"/>
      <c r="BE28" s="29"/>
      <c r="BF28" s="29"/>
      <c r="BG28" s="29"/>
    </row>
    <row r="29" spans="2:60" ht="21.75" customHeight="1" thickBot="1" x14ac:dyDescent="0.4">
      <c r="B29" s="40"/>
      <c r="C29" s="70"/>
      <c r="D29" s="72"/>
      <c r="E29" s="77"/>
      <c r="F29" s="20" t="str">
        <f ca="1">_xll.DBRA(Server&amp;$BA$21,$BA$25,$BD$18)</f>
        <v>Projets</v>
      </c>
      <c r="G29" s="33" t="str">
        <f ca="1">_xll.SUBNM(Server&amp;"Projets","Corp_FR","Tot_proj",$G$25)</f>
        <v>Total Projets</v>
      </c>
      <c r="H29" s="22"/>
      <c r="I29" s="2"/>
      <c r="J29" s="16"/>
      <c r="K29" s="16"/>
      <c r="L29" s="16"/>
      <c r="M29" s="1"/>
      <c r="N29" s="18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8"/>
      <c r="AN29" s="21"/>
      <c r="AO29" s="15"/>
      <c r="AP29" s="22"/>
      <c r="AQ29" s="33"/>
      <c r="AR29" s="33"/>
      <c r="AT29" s="29"/>
      <c r="AU29" s="29"/>
      <c r="AV29" s="29"/>
      <c r="AW29" s="29"/>
      <c r="AX29" s="29"/>
      <c r="AY29" s="29"/>
      <c r="AZ29" s="141" t="s">
        <v>104</v>
      </c>
      <c r="BA29" s="38" t="s">
        <v>37</v>
      </c>
      <c r="BB29" s="169"/>
      <c r="BC29" s="29"/>
      <c r="BD29" s="29"/>
      <c r="BE29" s="29"/>
      <c r="BF29" s="29"/>
      <c r="BG29" s="29"/>
    </row>
    <row r="30" spans="2:60" ht="21" customHeight="1" thickBot="1" x14ac:dyDescent="0.3">
      <c r="B30" s="40"/>
      <c r="C30" s="40"/>
      <c r="D30" s="42"/>
      <c r="E30" s="76"/>
      <c r="F30" s="20" t="str">
        <f ca="1">_xll.DBRA(Server&amp;$BA$21,$BA$26,$BD$18)</f>
        <v>Devise</v>
      </c>
      <c r="G30" s="33" t="str">
        <f ca="1">_xll.SUBNM(Server&amp;"Currency","Corp_FR","KEUR",$BD$18)</f>
        <v>K€</v>
      </c>
      <c r="H30" s="22"/>
      <c r="I30" s="1"/>
      <c r="J30" s="172"/>
      <c r="K30" s="172"/>
      <c r="L30" s="170"/>
      <c r="M30" s="170"/>
      <c r="N30" s="18"/>
      <c r="Q30" s="175"/>
      <c r="R30" s="173"/>
      <c r="S30" s="173"/>
      <c r="T30" s="65"/>
      <c r="U30" s="1"/>
      <c r="V30" s="65"/>
      <c r="W30" s="65"/>
      <c r="X30" s="173"/>
      <c r="Y30" s="173"/>
      <c r="Z30" s="65"/>
      <c r="AA30" s="1"/>
      <c r="AB30" s="65"/>
      <c r="AC30" s="65"/>
      <c r="AD30" s="173"/>
      <c r="AE30" s="173"/>
      <c r="AF30" s="65"/>
      <c r="AG30" s="65"/>
      <c r="AH30" s="65"/>
      <c r="AI30" s="65"/>
      <c r="AJ30" s="1"/>
      <c r="AK30" s="65"/>
      <c r="AL30" s="65"/>
      <c r="AM30" s="173"/>
      <c r="AN30" s="173"/>
      <c r="AO30" s="15"/>
      <c r="AP30" s="22"/>
      <c r="AQ30" s="33"/>
      <c r="AR30" s="33"/>
      <c r="AS30" s="218"/>
      <c r="AZ30" s="141"/>
      <c r="BA30" s="60" t="s">
        <v>39</v>
      </c>
      <c r="BB30" s="34"/>
      <c r="BC30" s="29"/>
      <c r="BF30" s="215" t="s">
        <v>74</v>
      </c>
      <c r="BG30" s="216"/>
      <c r="BH30" s="217"/>
    </row>
    <row r="31" spans="2:60" ht="21" customHeight="1" thickBot="1" x14ac:dyDescent="0.3">
      <c r="B31" s="40"/>
      <c r="C31" s="40"/>
      <c r="D31" s="42"/>
      <c r="E31" s="76"/>
      <c r="F31" s="16"/>
      <c r="G31" s="16"/>
      <c r="H31" s="22"/>
      <c r="I31" s="213" t="str">
        <f ca="1">_xll.DBRA(Server&amp;$BA$21,$BA$39,$BD$18)</f>
        <v>Masse Salariale</v>
      </c>
      <c r="J31" s="213"/>
      <c r="K31" s="213"/>
      <c r="L31" s="170"/>
      <c r="M31" s="170"/>
      <c r="N31" s="18"/>
      <c r="O31" s="213" t="str">
        <f ca="1">_xll.DBRA(Server&amp;$BA$21,$BA$40,$BD$18)</f>
        <v>Voyages et Déplacements</v>
      </c>
      <c r="P31" s="213"/>
      <c r="Q31" s="213"/>
      <c r="R31" s="173"/>
      <c r="S31" s="173"/>
      <c r="T31" s="65"/>
      <c r="U31" s="213" t="str">
        <f ca="1">_xll.DBRA(Server&amp;$BA$21,$BA$42,$BD$18)</f>
        <v>Frais externes</v>
      </c>
      <c r="V31" s="213"/>
      <c r="W31" s="213"/>
      <c r="X31" s="173"/>
      <c r="Y31" s="173"/>
      <c r="Z31" s="65"/>
      <c r="AA31" s="213" t="str">
        <f ca="1">_xll.DBRA(Server&amp;$BA$21,$BA$45,$BD$18)</f>
        <v>Frais Environnement</v>
      </c>
      <c r="AB31" s="213"/>
      <c r="AC31" s="213"/>
      <c r="AD31" s="173"/>
      <c r="AE31" s="173"/>
      <c r="AF31" s="65"/>
      <c r="AG31" s="65"/>
      <c r="AH31" s="65"/>
      <c r="AI31" s="65"/>
      <c r="AJ31" s="213" t="str">
        <f ca="1">_xll.DBRA(Server&amp;$BA$21,$BA$46,$BD$18)</f>
        <v>ETP</v>
      </c>
      <c r="AK31" s="213"/>
      <c r="AL31" s="213"/>
      <c r="AM31" s="173"/>
      <c r="AN31" s="173"/>
      <c r="AO31" s="15"/>
      <c r="AP31" s="22"/>
      <c r="AQ31" s="33"/>
      <c r="AR31" s="33"/>
      <c r="AS31" s="218"/>
      <c r="AT31" s="29"/>
      <c r="AU31" s="29"/>
      <c r="AV31" s="29"/>
      <c r="AW31" s="29"/>
      <c r="AX31" s="29"/>
      <c r="AY31" s="29"/>
      <c r="AZ31" s="141" t="s">
        <v>105</v>
      </c>
      <c r="BA31" s="35"/>
      <c r="BB31" s="169"/>
      <c r="BC31" s="29"/>
      <c r="BD31" s="29"/>
      <c r="BE31" s="29"/>
      <c r="BF31" s="166"/>
      <c r="BG31" s="167"/>
      <c r="BH31" s="168"/>
    </row>
    <row r="32" spans="2:60" ht="24" customHeight="1" thickBot="1" x14ac:dyDescent="0.35">
      <c r="B32" s="40"/>
      <c r="C32" s="43"/>
      <c r="D32" s="42"/>
      <c r="E32" s="76"/>
      <c r="F32" s="2"/>
      <c r="G32" s="2"/>
      <c r="H32" s="2"/>
      <c r="I32" s="214"/>
      <c r="J32" s="214"/>
      <c r="K32" s="214"/>
      <c r="L32" s="171"/>
      <c r="M32" s="171"/>
      <c r="N32" s="18"/>
      <c r="O32" s="214"/>
      <c r="P32" s="214"/>
      <c r="Q32" s="214"/>
      <c r="R32" s="174"/>
      <c r="S32" s="174"/>
      <c r="T32" s="111"/>
      <c r="U32" s="214"/>
      <c r="V32" s="214"/>
      <c r="W32" s="214"/>
      <c r="X32" s="174"/>
      <c r="Y32" s="174"/>
      <c r="Z32" s="111"/>
      <c r="AA32" s="214"/>
      <c r="AB32" s="214"/>
      <c r="AC32" s="214"/>
      <c r="AD32" s="174"/>
      <c r="AE32" s="174"/>
      <c r="AF32" s="111"/>
      <c r="AG32" s="111"/>
      <c r="AH32" s="111"/>
      <c r="AI32" s="111"/>
      <c r="AJ32" s="214"/>
      <c r="AK32" s="214"/>
      <c r="AL32" s="214"/>
      <c r="AM32" s="174"/>
      <c r="AN32" s="174"/>
      <c r="AO32" s="15"/>
      <c r="AS32" s="218"/>
      <c r="AZ32" s="141"/>
      <c r="BA32" s="35" t="s">
        <v>0</v>
      </c>
      <c r="BB32" s="34"/>
      <c r="BC32" s="29"/>
      <c r="BF32" s="114" t="s">
        <v>75</v>
      </c>
      <c r="BG32" s="114" t="s">
        <v>76</v>
      </c>
      <c r="BH32" s="114" t="s">
        <v>77</v>
      </c>
    </row>
    <row r="33" spans="2:67" ht="39.75" customHeight="1" thickTop="1" x14ac:dyDescent="0.2">
      <c r="B33" s="40"/>
      <c r="C33" s="40"/>
      <c r="D33" s="44"/>
      <c r="E33" s="1"/>
      <c r="F33" s="109" t="str">
        <f ca="1">_xll.DBRA(Server&amp;$BA$21,$BA$32,$BD$18)</f>
        <v>Phase</v>
      </c>
      <c r="G33" s="33" t="s">
        <v>58</v>
      </c>
      <c r="H33" s="22"/>
      <c r="I33" s="101" t="str">
        <f ca="1">_xll.DBRA(Server&amp;"Phase",$I$11,$BD$18)</f>
        <v>Réalisé</v>
      </c>
      <c r="J33" s="145" t="str">
        <f ca="1">_xll.DBRA(Server&amp;"Phase",$J$11,$BD$18)</f>
        <v>Budget</v>
      </c>
      <c r="K33" s="222" t="str">
        <f ca="1">$I$33&amp;" / "&amp;$J$33</f>
        <v>Réalisé / Budget</v>
      </c>
      <c r="L33" s="223"/>
      <c r="M33" s="134" t="str">
        <f ca="1">_xll.DBRA(Server&amp;$BA$21,$BA$41,$BD$18)</f>
        <v>Variance</v>
      </c>
      <c r="N33" s="18"/>
      <c r="O33" s="101" t="str">
        <f ca="1">_xll.DBRA(Server&amp;"Phase",$O$11,$BD$18)</f>
        <v>Réalisé</v>
      </c>
      <c r="P33" s="145" t="str">
        <f ca="1">_xll.DBRA(Server&amp;"Phase",$P$11,$BD$18)</f>
        <v>Budget</v>
      </c>
      <c r="Q33" s="222" t="str">
        <f ca="1">$O$33&amp;" / "&amp;$P$33</f>
        <v>Réalisé / Budget</v>
      </c>
      <c r="R33" s="223"/>
      <c r="S33" s="134" t="str">
        <f ca="1">_xll.DBRA(Server&amp;$BA$21,$BA$41,$BD$18)</f>
        <v>Variance</v>
      </c>
      <c r="T33" s="138" t="str">
        <f ca="1">_xll.DBRA(Server&amp;"Period",T$12,$BD$18)</f>
        <v/>
      </c>
      <c r="U33" s="101" t="str">
        <f ca="1">_xll.DBRA(Server&amp;"Phase",$U$11,$BD$18)</f>
        <v>Réalisé</v>
      </c>
      <c r="V33" s="145" t="str">
        <f ca="1">_xll.DBRA(Server&amp;"Phase",$V$11,$BD$18)</f>
        <v>Budget</v>
      </c>
      <c r="W33" s="222" t="str">
        <f ca="1">$U$33&amp;" / "&amp;$V$33</f>
        <v>Réalisé / Budget</v>
      </c>
      <c r="X33" s="223"/>
      <c r="Y33" s="113" t="str">
        <f ca="1">_xll.DBRA(Server&amp;$BA$21,$BA$41,$BD$18)</f>
        <v>Variance</v>
      </c>
      <c r="Z33" s="138"/>
      <c r="AA33" s="101" t="str">
        <f ca="1">_xll.DBRA(Server&amp;"Phase",$AA$11,$BD$18)</f>
        <v>Réalisé</v>
      </c>
      <c r="AB33" s="145" t="str">
        <f ca="1">_xll.DBRA(Server&amp;"Phase",$AB$11,$BD$18)</f>
        <v>Budget</v>
      </c>
      <c r="AC33" s="222" t="str">
        <f ca="1">$AA$33&amp;" / "&amp;$AB$33</f>
        <v>Réalisé / Budget</v>
      </c>
      <c r="AD33" s="223"/>
      <c r="AE33" s="135" t="str">
        <f ca="1">_xll.DBRA(Server&amp;$BA$21,$BA$41,$BD$18)</f>
        <v>Variance</v>
      </c>
      <c r="AF33" s="138"/>
      <c r="AG33" s="146" t="str">
        <f ca="1">_xll.DBRA(Server&amp;$BA$21,$BA$47,$BD$18)&amp;" "&amp;$AA$33</f>
        <v>Total Réalisé</v>
      </c>
      <c r="AH33" s="147" t="str">
        <f ca="1">_xll.DBRA(Server&amp;$BA$21,$BA$47,$BD$18)&amp;" "&amp;$AB$33</f>
        <v>Total Budget</v>
      </c>
      <c r="AI33" s="138"/>
      <c r="AJ33" s="148" t="str">
        <f ca="1">_xll.DBRA(Server&amp;"Phase",$AJ$11,$BD$18)</f>
        <v>Réalisé</v>
      </c>
      <c r="AK33" s="149" t="str">
        <f ca="1">_xll.DBRA(Server&amp;"Phase",$AK$11,$BD$18)</f>
        <v>Budget</v>
      </c>
      <c r="AL33" s="222" t="str">
        <f ca="1">$AJ$33&amp;" / "&amp;$AK$33</f>
        <v>Réalisé / Budget</v>
      </c>
      <c r="AM33" s="223"/>
      <c r="AN33" s="113" t="str">
        <f ca="1">_xll.DBRA(Server&amp;$BA$21,$BA$41,$BD$18)</f>
        <v>Variance</v>
      </c>
      <c r="AO33" s="15"/>
      <c r="AP33" s="22"/>
      <c r="AQ33" s="22"/>
      <c r="AR33" s="22"/>
      <c r="AS33" s="102"/>
      <c r="AZ33" s="141" t="s">
        <v>106</v>
      </c>
      <c r="BA33" s="61" t="s">
        <v>58</v>
      </c>
      <c r="BB33" s="34"/>
      <c r="BC33" s="29"/>
      <c r="BH33" s="3"/>
      <c r="BI33" s="3"/>
      <c r="BJ33" s="3"/>
      <c r="BK33" s="3"/>
      <c r="BL33" s="3"/>
      <c r="BM33" s="3"/>
      <c r="BN33" s="3"/>
      <c r="BO33" s="3"/>
    </row>
    <row r="34" spans="2:67" s="4" customFormat="1" ht="18.75" customHeight="1" x14ac:dyDescent="0.25">
      <c r="B34" s="40"/>
      <c r="C34" s="73"/>
      <c r="D34" s="45"/>
      <c r="E34" s="78"/>
      <c r="F34" s="22"/>
      <c r="G34" s="22"/>
      <c r="H34" s="22"/>
      <c r="J34" s="115"/>
      <c r="K34" s="115"/>
      <c r="L34" s="115"/>
      <c r="M34" s="66"/>
      <c r="N34" s="102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1"/>
      <c r="AP34" s="22"/>
      <c r="AQ34" s="22"/>
      <c r="AR34" s="22"/>
      <c r="AS34" s="1"/>
      <c r="AT34" s="29"/>
      <c r="AU34" s="29"/>
      <c r="AV34" s="29"/>
      <c r="AW34" s="29"/>
      <c r="AX34" s="29"/>
      <c r="AY34" s="29"/>
      <c r="AZ34" s="141" t="s">
        <v>107</v>
      </c>
      <c r="BA34" s="61" t="s">
        <v>59</v>
      </c>
      <c r="BB34" s="29"/>
      <c r="BC34" s="29"/>
      <c r="BD34" s="29"/>
      <c r="BE34" s="29"/>
      <c r="BF34" s="29"/>
      <c r="BG34" s="29"/>
    </row>
    <row r="35" spans="2:67" s="4" customFormat="1" ht="27" customHeight="1" thickBot="1" x14ac:dyDescent="0.3">
      <c r="B35" s="40"/>
      <c r="C35" s="40"/>
      <c r="D35" s="93"/>
      <c r="E35" s="79"/>
      <c r="F35" s="220" t="str">
        <f ca="1">G28</f>
        <v>VTD</v>
      </c>
      <c r="G35" s="220"/>
      <c r="H35" s="185"/>
      <c r="I35" s="153">
        <f ca="1">_xll.DBRW(Server&amp;Cube1,$G$30,$G$23,$G$24,$G$29,$D$20,$G$26,$G$28,$D$19,I$12,I$11,$I$14)</f>
        <v>-6782.3541100000002</v>
      </c>
      <c r="J35" s="153">
        <f ca="1">_xll.DBRW(Server&amp;Cube1,$G$30,$G$23,$G$24,$G$29,$D$20,$G$26,$G$28,$D$19,J$12,J$11,$I$14)</f>
        <v>-10521.806375</v>
      </c>
      <c r="K35" s="196">
        <f ca="1">$I$35-$J$35</f>
        <v>3739.4522649999999</v>
      </c>
      <c r="L35" s="158">
        <f ca="1">IF($J$35=0,0,IF($J$35&lt;0,$K$35/-$J$35,$K$35/$J$35))</f>
        <v>0.35540021662867749</v>
      </c>
      <c r="M35" s="116" t="str">
        <f ca="1">IF(L35&gt;0.01,$BF$32,IF(L35&lt;-0.01,$BG$32,$BH$32))</f>
        <v>ì</v>
      </c>
      <c r="N35" s="197"/>
      <c r="O35" s="153">
        <f ca="1">_xll.DBRW(Server&amp;Cube1,$G$30,$G$23,$G$24,$G$29,$D$20,$G$26,$G$28,$D$19,O$12,O$11,$O$14)</f>
        <v>-255.62477000000021</v>
      </c>
      <c r="P35" s="153">
        <f ca="1">_xll.DBRW(Server&amp;Cube1,$G$30,$G$23,$G$24,$G$29,$D$20,$G$26,$G$28,$D$19,P$12,P$11,$O$14)</f>
        <v>-699.38499999999999</v>
      </c>
      <c r="Q35" s="196">
        <f ca="1">$O$35-$P$35</f>
        <v>443.76022999999975</v>
      </c>
      <c r="R35" s="158">
        <f ca="1">IF($P$35=0,0,IF($P$35&lt;0,$Q$35/-$P$35,$Q$35/$P$35))</f>
        <v>0.63450063984786598</v>
      </c>
      <c r="S35" s="116" t="str">
        <f ca="1">IF(R35&gt;0.01,$BF$32,IF(R35&lt;-0.01,$BG$32,$BH$32))</f>
        <v>ì</v>
      </c>
      <c r="T35" s="112"/>
      <c r="U35" s="153">
        <f ca="1">_xll.DBRW(Server&amp;Cube1,$G$30,$G$23,$G$24,$G$29,$D$20,$G$26,$G$28,$D$19,U$12,U$11,$U$14)</f>
        <v>-2764.5980799999993</v>
      </c>
      <c r="V35" s="153">
        <f ca="1">_xll.DBRW(Server&amp;Cube1,$G$30,$G$23,$G$24,$G$29,$D$20,$G$26,$G$28,$D$19,V$12,V$11,$U$14)</f>
        <v>-7823.3502500000004</v>
      </c>
      <c r="W35" s="196">
        <f ca="1">$U$35-$V$35</f>
        <v>5058.7521700000016</v>
      </c>
      <c r="X35" s="158">
        <f ca="1">IF($V$35=0,0,IF($V$35&lt;0,$W$35/-$V$35,$W$35/$V$35))</f>
        <v>0.646622228117679</v>
      </c>
      <c r="Y35" s="116" t="str">
        <f ca="1">IF(X35&gt;0.01,$BF$32,IF(X35&lt;-0.01,$BG$32,$BH$32))</f>
        <v>ì</v>
      </c>
      <c r="Z35" s="112"/>
      <c r="AA35" s="153">
        <f ca="1">_xll.DBRW(Server&amp;Cube1,$G$30,$G$23,$G$24,$G$29,$D$20,$G$26,$G$28,$D$19,AA$12,AA$11,$AA$14)</f>
        <v>-2225.5319199999999</v>
      </c>
      <c r="AB35" s="153">
        <f ca="1">_xll.DBRW(Server&amp;Cube1,$G$30,$G$23,$G$24,$G$29,$D$20,$G$26,$G$28,$D$19,AB$12,AB$11,$AA$14)</f>
        <v>-3075.1750000000002</v>
      </c>
      <c r="AC35" s="196">
        <f ca="1">$AA$35-$AB$35</f>
        <v>849.64308000000028</v>
      </c>
      <c r="AD35" s="158">
        <f ca="1">IF($AB$35=0,0,IF($AB$35&lt;0,$AC$35/-$AB$35,$AC$35/$AB$35))</f>
        <v>0.27629096880665338</v>
      </c>
      <c r="AE35" s="116" t="str">
        <f ca="1">IF(AD35&gt;0.01,$BF$32,IF(AD35&lt;-0.01,$BG$32,$BH$32))</f>
        <v>ì</v>
      </c>
      <c r="AF35" s="112"/>
      <c r="AG35" s="153">
        <f ca="1">$I$35+$O$35+$U$35+$AA$35</f>
        <v>-12028.10888</v>
      </c>
      <c r="AH35" s="153">
        <f ca="1">$J$35+$P$35+$V$35+$AB$35</f>
        <v>-22119.716625000001</v>
      </c>
      <c r="AI35" s="112"/>
      <c r="AJ35" s="153">
        <f ca="1">_xll.DBRW(Server&amp;Cube1,$D$21,$G$23,$G$24,$G$29,$D$20,$G$26,$G$28,$D$19,AJ$12,AJ$11,$AJ$14)</f>
        <v>249.20000000000002</v>
      </c>
      <c r="AK35" s="153">
        <f ca="1">_xll.DBRW(Server&amp;Cube1,$D$21,$G$23,$G$24,$G$29,$D$20,$G$26,$G$28,$D$19,AK$12,AK$11,$AJ$14)</f>
        <v>247.5</v>
      </c>
      <c r="AL35" s="196">
        <f ca="1">$AJ$35-$AK$35</f>
        <v>1.7000000000000171</v>
      </c>
      <c r="AM35" s="158">
        <f ca="1">IF($AK$35=0,0,IF($AK$35&lt;0,$AL$35/-$AK$35,$AL$35/$AK$35))</f>
        <v>6.8686868686869372E-3</v>
      </c>
      <c r="AN35" s="116" t="str">
        <f ca="1">IF(AM35&gt;0.01,$BF$32,IF(AM35&lt;-0.01,$BG$32,$BH$32))</f>
        <v>è</v>
      </c>
      <c r="AO35" s="1"/>
      <c r="AP35" s="219"/>
      <c r="AQ35" s="219"/>
      <c r="AR35" s="90"/>
      <c r="AS35" s="91"/>
      <c r="AT35" s="29"/>
      <c r="AU35" s="29"/>
      <c r="AV35" s="29"/>
      <c r="AW35" s="29"/>
      <c r="AX35" s="29"/>
      <c r="AY35" s="29"/>
      <c r="AZ35" s="142" t="s">
        <v>108</v>
      </c>
      <c r="BA35" s="62" t="s">
        <v>60</v>
      </c>
      <c r="BB35" s="29"/>
      <c r="BC35" s="29"/>
      <c r="BD35" s="29"/>
      <c r="BE35" s="29"/>
      <c r="BF35" s="29"/>
      <c r="BG35" s="29"/>
    </row>
    <row r="36" spans="2:67" s="4" customFormat="1" ht="17.25" hidden="1" customHeight="1" x14ac:dyDescent="0.25">
      <c r="B36" s="40"/>
      <c r="C36" s="40"/>
      <c r="D36" s="46"/>
      <c r="E36" s="80"/>
      <c r="F36" s="74" t="str">
        <f ca="1">"[Management_Organization_Corp].["&amp;$G$28&amp;"].Children"</f>
        <v>[Management_Organization_Corp].[VTD].Children</v>
      </c>
      <c r="G36" s="1"/>
      <c r="H36" s="1"/>
      <c r="I36" s="154"/>
      <c r="J36" s="154"/>
      <c r="K36" s="154"/>
      <c r="L36" s="159"/>
      <c r="M36" s="1"/>
      <c r="N36" s="1"/>
      <c r="O36" s="154"/>
      <c r="P36" s="154"/>
      <c r="Q36" s="154"/>
      <c r="R36" s="159"/>
      <c r="S36" s="1"/>
      <c r="T36" s="1"/>
      <c r="U36" s="154"/>
      <c r="V36" s="154"/>
      <c r="W36" s="154"/>
      <c r="X36" s="159"/>
      <c r="Y36" s="1"/>
      <c r="Z36" s="1"/>
      <c r="AA36" s="154"/>
      <c r="AB36" s="154"/>
      <c r="AC36" s="154"/>
      <c r="AD36" s="159"/>
      <c r="AE36" s="1"/>
      <c r="AF36" s="1"/>
      <c r="AG36" s="154"/>
      <c r="AH36" s="154"/>
      <c r="AI36" s="1"/>
      <c r="AJ36" s="154"/>
      <c r="AK36" s="154"/>
      <c r="AL36" s="154"/>
      <c r="AM36" s="159"/>
      <c r="AN36" s="1"/>
      <c r="AO36" s="1"/>
      <c r="AP36" s="1"/>
      <c r="AQ36" s="1"/>
      <c r="AR36" s="1"/>
      <c r="AS36" s="1"/>
      <c r="AT36" s="29"/>
      <c r="AU36" s="29"/>
      <c r="AV36" s="29"/>
      <c r="AW36" s="29"/>
      <c r="AX36" s="29"/>
      <c r="AY36" s="29"/>
      <c r="AZ36" s="29"/>
      <c r="BA36" s="61" t="s">
        <v>61</v>
      </c>
      <c r="BB36" s="29"/>
      <c r="BC36" s="29"/>
      <c r="BD36" s="29"/>
      <c r="BE36" s="29"/>
      <c r="BF36" s="29"/>
      <c r="BG36" s="29"/>
    </row>
    <row r="37" spans="2:67" s="4" customFormat="1" ht="17.25" hidden="1" customHeight="1" x14ac:dyDescent="0.25">
      <c r="B37" s="40"/>
      <c r="C37" s="40"/>
      <c r="D37" s="46"/>
      <c r="E37" s="80"/>
      <c r="F37" s="1"/>
      <c r="G37" s="1"/>
      <c r="H37" s="1"/>
      <c r="I37" s="154"/>
      <c r="J37" s="154"/>
      <c r="K37" s="154"/>
      <c r="L37" s="159"/>
      <c r="M37" s="1"/>
      <c r="N37" s="1"/>
      <c r="O37" s="154"/>
      <c r="P37" s="154"/>
      <c r="Q37" s="154"/>
      <c r="R37" s="159"/>
      <c r="S37" s="1"/>
      <c r="T37" s="1"/>
      <c r="U37" s="154"/>
      <c r="V37" s="154"/>
      <c r="W37" s="154"/>
      <c r="X37" s="159"/>
      <c r="Y37" s="1"/>
      <c r="Z37" s="1"/>
      <c r="AA37" s="154"/>
      <c r="AB37" s="154"/>
      <c r="AC37" s="154"/>
      <c r="AD37" s="159"/>
      <c r="AE37" s="1"/>
      <c r="AF37" s="1"/>
      <c r="AG37" s="154"/>
      <c r="AH37" s="154"/>
      <c r="AI37" s="1"/>
      <c r="AJ37" s="154"/>
      <c r="AK37" s="154"/>
      <c r="AL37" s="154"/>
      <c r="AM37" s="159"/>
      <c r="AN37" s="1"/>
      <c r="AO37" s="1"/>
      <c r="AP37" s="1"/>
      <c r="AQ37" s="1"/>
      <c r="AR37" s="1"/>
      <c r="AS37" s="1"/>
      <c r="AT37" s="29"/>
      <c r="AU37" s="29"/>
      <c r="AV37" s="29"/>
      <c r="AW37" s="29"/>
      <c r="AX37" s="29"/>
      <c r="AY37" s="29"/>
      <c r="AZ37" s="29"/>
      <c r="BA37" s="61" t="s">
        <v>82</v>
      </c>
      <c r="BB37" s="29"/>
      <c r="BC37" s="29"/>
      <c r="BD37" s="29"/>
      <c r="BE37" s="29"/>
      <c r="BF37" s="29"/>
      <c r="BG37" s="29"/>
    </row>
    <row r="38" spans="2:67" customFormat="1" ht="17.25" hidden="1" customHeight="1" x14ac:dyDescent="0.25">
      <c r="E38" s="81"/>
      <c r="F38" s="83" t="str">
        <f ca="1">_xll.TM1RPTVIEW(Server&amp;"RP_PL_Corp:ARPT3", 0, _xll.TM1RPTTITLE(Server&amp;"Currency",$G$40), _xll.TM1RPTTITLE(Server&amp;"Gaap",$G$41), _xll.TM1RPTTITLE(Server&amp;"Integration_Rate",$G$42), _xll.TM1RPTTITLE(Server&amp;"Projets",$G$43), _xll.TM1RPTTITLE(Server&amp;"Matricules",$G$44), _xll.TM1RPTTITLE(Server&amp;"Legal_Organization_Corp",$G$45), _xll.TM1RPTTITLE(Server&amp;"Tiers",$G$46), TM1RPTFMTRNG,TM1RPTFMTIDCOL)</f>
        <v>tango_core_model:RP_PL_Corp:ARPT3</v>
      </c>
      <c r="I38" s="155"/>
      <c r="J38" s="155"/>
      <c r="K38" s="155"/>
      <c r="L38" s="160"/>
      <c r="O38" s="155"/>
      <c r="P38" s="155"/>
      <c r="Q38" s="155"/>
      <c r="R38" s="160"/>
      <c r="U38" s="155"/>
      <c r="V38" s="155"/>
      <c r="W38" s="155"/>
      <c r="X38" s="160"/>
      <c r="AA38" s="155"/>
      <c r="AB38" s="155"/>
      <c r="AC38" s="155"/>
      <c r="AD38" s="160"/>
      <c r="AG38" s="155"/>
      <c r="AH38" s="155"/>
      <c r="AJ38" s="155"/>
      <c r="AK38" s="155"/>
      <c r="AL38" s="155"/>
      <c r="AM38" s="160"/>
      <c r="BA38" t="s">
        <v>69</v>
      </c>
    </row>
    <row r="39" spans="2:67" customFormat="1" ht="17.25" hidden="1" customHeight="1" x14ac:dyDescent="0.2">
      <c r="E39" s="81"/>
      <c r="I39" s="155"/>
      <c r="J39" s="155"/>
      <c r="K39" s="155"/>
      <c r="L39" s="160"/>
      <c r="O39" s="155"/>
      <c r="P39" s="155"/>
      <c r="Q39" s="155"/>
      <c r="R39" s="160"/>
      <c r="U39" s="155"/>
      <c r="V39" s="155"/>
      <c r="W39" s="155"/>
      <c r="X39" s="160"/>
      <c r="AA39" s="155"/>
      <c r="AB39" s="155"/>
      <c r="AC39" s="155"/>
      <c r="AD39" s="160"/>
      <c r="AG39" s="155"/>
      <c r="AH39" s="155"/>
      <c r="AJ39" s="155"/>
      <c r="AK39" s="155"/>
      <c r="AL39" s="155"/>
      <c r="AM39" s="160"/>
      <c r="BA39" s="100" t="s">
        <v>87</v>
      </c>
    </row>
    <row r="40" spans="2:67" customFormat="1" ht="17.25" hidden="1" customHeight="1" x14ac:dyDescent="0.25">
      <c r="E40" s="81"/>
      <c r="F40" s="75" t="s">
        <v>16</v>
      </c>
      <c r="G40" t="str">
        <f ca="1">_xll.SUBNM(Server&amp;"Currency","",$G$30)</f>
        <v>KEUR</v>
      </c>
      <c r="H40" s="57"/>
      <c r="I40" s="156"/>
      <c r="J40" s="156"/>
      <c r="K40" s="156"/>
      <c r="L40" s="161"/>
      <c r="M40" s="57"/>
      <c r="N40" s="57"/>
      <c r="O40" s="156"/>
      <c r="P40" s="156"/>
      <c r="Q40" s="156"/>
      <c r="R40" s="161"/>
      <c r="S40" s="57"/>
      <c r="T40" s="57"/>
      <c r="U40" s="156"/>
      <c r="V40" s="156"/>
      <c r="W40" s="156"/>
      <c r="X40" s="161"/>
      <c r="Y40" s="57"/>
      <c r="Z40" s="57"/>
      <c r="AA40" s="156"/>
      <c r="AB40" s="156"/>
      <c r="AC40" s="156"/>
      <c r="AD40" s="161"/>
      <c r="AE40" s="57"/>
      <c r="AF40" s="57"/>
      <c r="AG40" s="156"/>
      <c r="AH40" s="156"/>
      <c r="AI40" s="57"/>
      <c r="AJ40" s="156"/>
      <c r="AK40" s="156"/>
      <c r="AL40" s="156"/>
      <c r="AM40" s="161"/>
      <c r="AN40" s="57"/>
      <c r="AO40" s="57"/>
      <c r="AP40" s="2"/>
      <c r="BA40" s="110" t="s">
        <v>88</v>
      </c>
    </row>
    <row r="41" spans="2:67" customFormat="1" ht="17.25" hidden="1" customHeight="1" x14ac:dyDescent="0.25">
      <c r="E41" s="81"/>
      <c r="F41" s="75" t="s">
        <v>17</v>
      </c>
      <c r="G41" t="str">
        <f ca="1">_xll.SUBNM(Server&amp;"Gaap","",$G$23)</f>
        <v>Local_Gaap</v>
      </c>
      <c r="H41" s="57"/>
      <c r="I41" s="156"/>
      <c r="J41" s="156"/>
      <c r="K41" s="156"/>
      <c r="L41" s="161"/>
      <c r="M41" s="57"/>
      <c r="N41" s="57"/>
      <c r="O41" s="156"/>
      <c r="P41" s="156"/>
      <c r="Q41" s="156"/>
      <c r="R41" s="161"/>
      <c r="S41" s="57"/>
      <c r="T41" s="57"/>
      <c r="U41" s="156"/>
      <c r="V41" s="156"/>
      <c r="W41" s="156"/>
      <c r="X41" s="161"/>
      <c r="Y41" s="57"/>
      <c r="Z41" s="57"/>
      <c r="AA41" s="156"/>
      <c r="AB41" s="156"/>
      <c r="AC41" s="156"/>
      <c r="AD41" s="161"/>
      <c r="AE41" s="57"/>
      <c r="AF41" s="57"/>
      <c r="AG41" s="156"/>
      <c r="AH41" s="156"/>
      <c r="AI41" s="57"/>
      <c r="AJ41" s="156"/>
      <c r="AK41" s="156"/>
      <c r="AL41" s="156"/>
      <c r="AM41" s="161"/>
      <c r="AN41" s="57"/>
      <c r="AO41" s="57"/>
      <c r="AP41" s="2"/>
      <c r="BA41" s="110" t="s">
        <v>70</v>
      </c>
    </row>
    <row r="42" spans="2:67" customFormat="1" ht="17.25" hidden="1" customHeight="1" x14ac:dyDescent="0.25">
      <c r="E42" s="81"/>
      <c r="F42" s="75" t="s">
        <v>47</v>
      </c>
      <c r="G42" t="str">
        <f ca="1">_xll.SUBNM(Server&amp;"Integration_Rate","",$G$24)</f>
        <v>NO_APP</v>
      </c>
      <c r="H42" s="57"/>
      <c r="I42" s="156"/>
      <c r="J42" s="156"/>
      <c r="K42" s="156"/>
      <c r="L42" s="161"/>
      <c r="M42" s="57"/>
      <c r="N42" s="57"/>
      <c r="O42" s="156"/>
      <c r="P42" s="156"/>
      <c r="Q42" s="156"/>
      <c r="R42" s="161"/>
      <c r="S42" s="57"/>
      <c r="T42" s="57"/>
      <c r="U42" s="156"/>
      <c r="V42" s="156"/>
      <c r="W42" s="156"/>
      <c r="X42" s="161"/>
      <c r="Y42" s="57"/>
      <c r="Z42" s="57"/>
      <c r="AA42" s="156"/>
      <c r="AB42" s="156"/>
      <c r="AC42" s="156"/>
      <c r="AD42" s="161"/>
      <c r="AE42" s="57"/>
      <c r="AF42" s="57"/>
      <c r="AG42" s="156"/>
      <c r="AH42" s="156"/>
      <c r="AI42" s="57"/>
      <c r="AJ42" s="156"/>
      <c r="AK42" s="156"/>
      <c r="AL42" s="156"/>
      <c r="AM42" s="161"/>
      <c r="AN42" s="57"/>
      <c r="AO42" s="57"/>
      <c r="AP42" s="2"/>
      <c r="BA42" s="100" t="s">
        <v>89</v>
      </c>
    </row>
    <row r="43" spans="2:67" customFormat="1" ht="17.25" hidden="1" customHeight="1" x14ac:dyDescent="0.25">
      <c r="E43" s="81"/>
      <c r="F43" s="75" t="s">
        <v>48</v>
      </c>
      <c r="G43" t="str">
        <f ca="1">_xll.SUBNM(Server&amp;"Projets","",$G$29)</f>
        <v>Tot_proj</v>
      </c>
      <c r="H43" s="57"/>
      <c r="I43" s="156"/>
      <c r="J43" s="156"/>
      <c r="K43" s="156"/>
      <c r="L43" s="161"/>
      <c r="M43" s="57"/>
      <c r="N43" s="57"/>
      <c r="O43" s="156"/>
      <c r="P43" s="156"/>
      <c r="Q43" s="156"/>
      <c r="R43" s="161"/>
      <c r="S43" s="57"/>
      <c r="T43" s="57"/>
      <c r="U43" s="156"/>
      <c r="V43" s="156"/>
      <c r="W43" s="156"/>
      <c r="X43" s="161"/>
      <c r="Y43" s="57"/>
      <c r="Z43" s="57"/>
      <c r="AA43" s="156"/>
      <c r="AB43" s="156"/>
      <c r="AC43" s="156"/>
      <c r="AD43" s="161"/>
      <c r="AE43" s="57"/>
      <c r="AF43" s="57"/>
      <c r="AG43" s="156"/>
      <c r="AH43" s="156"/>
      <c r="AI43" s="57"/>
      <c r="AJ43" s="156"/>
      <c r="AK43" s="156"/>
      <c r="AL43" s="156"/>
      <c r="AM43" s="161"/>
      <c r="AN43" s="57"/>
      <c r="AO43" s="57"/>
      <c r="AP43" s="2"/>
      <c r="BA43" t="s">
        <v>71</v>
      </c>
    </row>
    <row r="44" spans="2:67" customFormat="1" ht="17.25" hidden="1" customHeight="1" x14ac:dyDescent="0.25">
      <c r="E44" s="81"/>
      <c r="F44" s="75" t="s">
        <v>49</v>
      </c>
      <c r="G44" t="str">
        <f ca="1">_xll.SUBNM(Server&amp;"Matricules","",$D$20)</f>
        <v>VTD</v>
      </c>
      <c r="H44" s="57"/>
      <c r="I44" s="156"/>
      <c r="J44" s="156"/>
      <c r="K44" s="156"/>
      <c r="L44" s="161"/>
      <c r="M44" s="57"/>
      <c r="N44" s="57"/>
      <c r="O44" s="156"/>
      <c r="P44" s="156"/>
      <c r="Q44" s="156"/>
      <c r="R44" s="161"/>
      <c r="S44" s="57"/>
      <c r="T44" s="57"/>
      <c r="U44" s="156"/>
      <c r="V44" s="156"/>
      <c r="W44" s="156"/>
      <c r="X44" s="161"/>
      <c r="Y44" s="57"/>
      <c r="Z44" s="57"/>
      <c r="AA44" s="156"/>
      <c r="AB44" s="156"/>
      <c r="AC44" s="156"/>
      <c r="AD44" s="161"/>
      <c r="AE44" s="57"/>
      <c r="AF44" s="57"/>
      <c r="AG44" s="156"/>
      <c r="AH44" s="156"/>
      <c r="AI44" s="57"/>
      <c r="AJ44" s="156"/>
      <c r="AK44" s="156"/>
      <c r="AL44" s="156"/>
      <c r="AM44" s="161"/>
      <c r="AN44" s="57"/>
      <c r="AO44" s="57"/>
      <c r="AP44" s="2"/>
      <c r="BA44" t="s">
        <v>80</v>
      </c>
    </row>
    <row r="45" spans="2:67" customFormat="1" ht="17.25" hidden="1" customHeight="1" x14ac:dyDescent="0.25">
      <c r="E45" s="81"/>
      <c r="F45" s="75" t="s">
        <v>50</v>
      </c>
      <c r="G45" t="str">
        <f ca="1">_xll.SUBNM(Server&amp;"Legal_Organization_Corp","",$G$26)</f>
        <v>VTD</v>
      </c>
      <c r="H45" s="57"/>
      <c r="I45" s="156"/>
      <c r="J45" s="156"/>
      <c r="K45" s="156"/>
      <c r="L45" s="161"/>
      <c r="M45" s="57"/>
      <c r="N45" s="57"/>
      <c r="O45" s="156"/>
      <c r="P45" s="156"/>
      <c r="Q45" s="156"/>
      <c r="R45" s="161"/>
      <c r="S45" s="57"/>
      <c r="T45" s="57"/>
      <c r="U45" s="156"/>
      <c r="V45" s="156"/>
      <c r="W45" s="156"/>
      <c r="X45" s="161"/>
      <c r="Y45" s="57"/>
      <c r="Z45" s="57"/>
      <c r="AA45" s="156"/>
      <c r="AB45" s="156"/>
      <c r="AC45" s="156"/>
      <c r="AD45" s="161"/>
      <c r="AE45" s="57"/>
      <c r="AF45" s="57"/>
      <c r="AG45" s="156"/>
      <c r="AH45" s="156"/>
      <c r="AI45" s="57"/>
      <c r="AJ45" s="156"/>
      <c r="AK45" s="156"/>
      <c r="AL45" s="156"/>
      <c r="AM45" s="161"/>
      <c r="AN45" s="57"/>
      <c r="AO45" s="57"/>
      <c r="AP45" s="2"/>
      <c r="BA45" t="s">
        <v>90</v>
      </c>
    </row>
    <row r="46" spans="2:67" customFormat="1" ht="17.25" hidden="1" customHeight="1" x14ac:dyDescent="0.25">
      <c r="E46" s="81"/>
      <c r="F46" s="75" t="s">
        <v>52</v>
      </c>
      <c r="G46" t="str">
        <f ca="1">_xll.SUBNM(Server&amp;"Tiers","",$D$19)</f>
        <v>Tot_tiers</v>
      </c>
      <c r="H46" s="57"/>
      <c r="I46" s="156"/>
      <c r="J46" s="156"/>
      <c r="K46" s="156"/>
      <c r="L46" s="161"/>
      <c r="M46" s="57"/>
      <c r="N46" s="57"/>
      <c r="O46" s="156"/>
      <c r="P46" s="156"/>
      <c r="Q46" s="156"/>
      <c r="R46" s="161"/>
      <c r="S46" s="57"/>
      <c r="T46" s="57"/>
      <c r="U46" s="156"/>
      <c r="V46" s="156"/>
      <c r="W46" s="156"/>
      <c r="X46" s="161"/>
      <c r="Y46" s="57"/>
      <c r="Z46" s="57"/>
      <c r="AA46" s="156"/>
      <c r="AB46" s="156"/>
      <c r="AC46" s="156"/>
      <c r="AD46" s="161"/>
      <c r="AE46" s="57"/>
      <c r="AF46" s="57"/>
      <c r="AG46" s="156"/>
      <c r="AH46" s="156"/>
      <c r="AI46" s="57"/>
      <c r="AJ46" s="156"/>
      <c r="AK46" s="156"/>
      <c r="AL46" s="156"/>
      <c r="AM46" s="161"/>
      <c r="AN46" s="57"/>
      <c r="AO46" s="57"/>
      <c r="AP46" s="2"/>
      <c r="BA46" t="s">
        <v>91</v>
      </c>
    </row>
    <row r="47" spans="2:67" customFormat="1" ht="17.25" hidden="1" customHeight="1" x14ac:dyDescent="0.2">
      <c r="E47" s="81"/>
      <c r="F47" s="14"/>
      <c r="G47" s="29"/>
      <c r="H47" s="57"/>
      <c r="I47" s="156"/>
      <c r="J47" s="156"/>
      <c r="K47" s="156"/>
      <c r="L47" s="161"/>
      <c r="M47" s="57"/>
      <c r="N47" s="57"/>
      <c r="O47" s="156"/>
      <c r="P47" s="156"/>
      <c r="Q47" s="156"/>
      <c r="R47" s="161"/>
      <c r="S47" s="57"/>
      <c r="T47" s="57"/>
      <c r="U47" s="156"/>
      <c r="V47" s="156"/>
      <c r="W47" s="156"/>
      <c r="X47" s="161"/>
      <c r="Y47" s="57"/>
      <c r="Z47" s="57"/>
      <c r="AA47" s="156"/>
      <c r="AB47" s="156"/>
      <c r="AC47" s="156"/>
      <c r="AD47" s="161"/>
      <c r="AE47" s="57"/>
      <c r="AF47" s="57"/>
      <c r="AG47" s="156"/>
      <c r="AH47" s="156"/>
      <c r="AI47" s="57"/>
      <c r="AJ47" s="156"/>
      <c r="AK47" s="156"/>
      <c r="AL47" s="156"/>
      <c r="AM47" s="161"/>
      <c r="AN47" s="57"/>
      <c r="AO47" s="57"/>
      <c r="AP47" s="2"/>
      <c r="BA47" s="100" t="s">
        <v>61</v>
      </c>
    </row>
    <row r="48" spans="2:67" customFormat="1" ht="17.25" hidden="1" customHeight="1" x14ac:dyDescent="0.25">
      <c r="E48" s="81"/>
      <c r="F48" s="75"/>
      <c r="H48" s="57"/>
      <c r="I48" s="156"/>
      <c r="J48" s="156"/>
      <c r="K48" s="156"/>
      <c r="L48" s="161"/>
      <c r="M48" s="57"/>
      <c r="N48" s="57"/>
      <c r="O48" s="156"/>
      <c r="P48" s="156"/>
      <c r="Q48" s="156"/>
      <c r="R48" s="161"/>
      <c r="S48" s="57"/>
      <c r="T48" s="57"/>
      <c r="U48" s="156"/>
      <c r="V48" s="156"/>
      <c r="W48" s="156"/>
      <c r="X48" s="161"/>
      <c r="Y48" s="57"/>
      <c r="Z48" s="57"/>
      <c r="AA48" s="156"/>
      <c r="AB48" s="156"/>
      <c r="AC48" s="156"/>
      <c r="AD48" s="161"/>
      <c r="AE48" s="57"/>
      <c r="AF48" s="57"/>
      <c r="AG48" s="156"/>
      <c r="AH48" s="156"/>
      <c r="AI48" s="57"/>
      <c r="AJ48" s="156"/>
      <c r="AK48" s="156"/>
      <c r="AL48" s="156"/>
      <c r="AM48" s="161"/>
      <c r="AN48" s="57"/>
      <c r="AO48" s="57"/>
      <c r="AP48" s="2"/>
    </row>
    <row r="49" spans="1:59" customFormat="1" ht="17.25" hidden="1" customHeight="1" x14ac:dyDescent="0.2">
      <c r="E49" s="81"/>
      <c r="I49" s="155"/>
      <c r="J49" s="155"/>
      <c r="K49" s="155"/>
      <c r="L49" s="160"/>
      <c r="O49" s="155"/>
      <c r="P49" s="155"/>
      <c r="Q49" s="155"/>
      <c r="R49" s="160"/>
      <c r="U49" s="155"/>
      <c r="V49" s="155"/>
      <c r="W49" s="155"/>
      <c r="X49" s="160"/>
      <c r="AA49" s="155"/>
      <c r="AB49" s="155"/>
      <c r="AC49" s="155"/>
      <c r="AD49" s="160"/>
      <c r="AG49" s="155"/>
      <c r="AH49" s="155"/>
      <c r="AJ49" s="155"/>
      <c r="AK49" s="155"/>
      <c r="AL49" s="155"/>
      <c r="AM49" s="160"/>
    </row>
    <row r="50" spans="1:59" customFormat="1" ht="17.25" hidden="1" customHeight="1" x14ac:dyDescent="0.2">
      <c r="E50" s="81"/>
      <c r="I50" s="155"/>
      <c r="J50" s="155"/>
      <c r="K50" s="155"/>
      <c r="L50" s="160"/>
      <c r="O50" s="155"/>
      <c r="P50" s="155"/>
      <c r="Q50" s="155"/>
      <c r="R50" s="160"/>
      <c r="U50" s="155"/>
      <c r="V50" s="155"/>
      <c r="W50" s="155"/>
      <c r="X50" s="160"/>
      <c r="AA50" s="155"/>
      <c r="AB50" s="155"/>
      <c r="AC50" s="155"/>
      <c r="AD50" s="160"/>
      <c r="AG50" s="155"/>
      <c r="AH50" s="155"/>
      <c r="AJ50" s="155"/>
      <c r="AK50" s="155"/>
      <c r="AL50" s="155"/>
      <c r="AM50" s="160"/>
    </row>
    <row r="51" spans="1:59" customFormat="1" ht="17.25" hidden="1" customHeight="1" x14ac:dyDescent="0.2">
      <c r="E51" s="81"/>
      <c r="I51" s="155"/>
      <c r="J51" s="155"/>
      <c r="K51" s="155"/>
      <c r="L51" s="160"/>
      <c r="O51" s="155"/>
      <c r="P51" s="155"/>
      <c r="Q51" s="155"/>
      <c r="R51" s="160"/>
      <c r="U51" s="155"/>
      <c r="V51" s="155"/>
      <c r="W51" s="155"/>
      <c r="X51" s="160"/>
      <c r="AA51" s="155"/>
      <c r="AB51" s="155"/>
      <c r="AC51" s="155"/>
      <c r="AD51" s="160"/>
      <c r="AG51" s="155"/>
      <c r="AH51" s="155"/>
      <c r="AJ51" s="155"/>
      <c r="AK51" s="155"/>
      <c r="AL51" s="155"/>
      <c r="AM51" s="160"/>
    </row>
    <row r="52" spans="1:59" customFormat="1" ht="25.5" customHeight="1" x14ac:dyDescent="0.2">
      <c r="A52">
        <f ca="1">IF(_xll.TM1RPTELISCONSOLIDATED($F$52,$F52),IF(_xll.TM1RPTELLEV($F$52,$F52)&lt;=3,_xll.TM1RPTELLEV($F$52,$F52),"D"),"N")</f>
        <v>0</v>
      </c>
      <c r="F52" s="225" t="str">
        <f ca="1">_xll.TM1RPTROW($F$38,Server&amp;"Management_Organization_Corp","","",$G$25,0,$F$36,,1)</f>
        <v>Fonctions centrales</v>
      </c>
      <c r="G52" s="187"/>
      <c r="H52" s="132"/>
      <c r="I52" s="176">
        <f ca="1">_xll.DBRW(Server&amp;Cube1,$G$30,$G$23,$G$24,$G$29,$D$20,$G$26,$F52,$D$19,I$12,I$11,$I$14)</f>
        <v>-3749.6488899999999</v>
      </c>
      <c r="J52" s="176">
        <f ca="1">_xll.DBRW(Server&amp;Cube1,$G$30,$G$23,$G$24,$G$29,$D$20,$G$26,$F52,$D$19,J$12,J$11,$I$14)</f>
        <v>-5726.3888750000006</v>
      </c>
      <c r="K52" s="198">
        <f ca="1">$I52-$J52</f>
        <v>1976.7399850000006</v>
      </c>
      <c r="L52" s="177">
        <f ca="1">IF($J52=0,0,IF($J52&lt;0,$K52/-$J52,$K52/$J52))</f>
        <v>0.34519834893329704</v>
      </c>
      <c r="M52" s="163" t="str">
        <f ca="1">IF(L52&gt;0.01,$BF$32,IF(L52&lt;-0.01,$BG$32,$BH$32))</f>
        <v>ì</v>
      </c>
      <c r="N52" s="181"/>
      <c r="O52" s="176">
        <f ca="1">_xll.DBRW(Server&amp;Cube1,$G$30,$G$23,$G$24,$G$29,$D$20,$G$26,$F52,$D$19,O$12,O$11,$O$14)</f>
        <v>-136.25174000000001</v>
      </c>
      <c r="P52" s="176">
        <f ca="1">_xll.DBRW(Server&amp;Cube1,$G$30,$G$23,$G$24,$G$29,$D$20,$G$26,$F52,$D$19,P$12,P$11,$O$14)</f>
        <v>-305.16000000000003</v>
      </c>
      <c r="Q52" s="198">
        <f ca="1">$O52-$P52</f>
        <v>168.90826000000001</v>
      </c>
      <c r="R52" s="178">
        <f ca="1">IF($P52=0,0,IF($P52&lt;0,$Q52/-$P52,$Q52/$P52))</f>
        <v>0.55350720933280906</v>
      </c>
      <c r="S52" s="133" t="str">
        <f ca="1">IF(R52&gt;0.01,$BF$32,IF(R52&lt;-0.01,$BG$32,$BH$32))</f>
        <v>ì</v>
      </c>
      <c r="T52" s="179"/>
      <c r="U52" s="176">
        <f ca="1">_xll.DBRW(Server&amp;Cube1,$G$30,$G$23,$G$24,$G$29,$D$20,$G$26,$F52,$D$19,U$12,U$11,$U$14)</f>
        <v>-567.27305000000001</v>
      </c>
      <c r="V52" s="176">
        <f ca="1">_xll.DBRW(Server&amp;Cube1,$G$30,$G$23,$G$24,$G$29,$D$20,$G$26,$F52,$D$19,V$12,V$11,$U$14)</f>
        <v>-3310.0889999999999</v>
      </c>
      <c r="W52" s="198">
        <f ca="1">$U52-$V52</f>
        <v>2742.8159500000002</v>
      </c>
      <c r="X52" s="178">
        <f ca="1">IF($V52=0,0,IF($V52&lt;0,$W52/-$V52,$W52/$V52))</f>
        <v>0.82862302191874604</v>
      </c>
      <c r="Y52" s="133" t="str">
        <f ca="1">IF(X52&gt;0.01,$BF$32,IF(X52&lt;-0.01,$BG$32,$BH$32))</f>
        <v>ì</v>
      </c>
      <c r="Z52" s="180"/>
      <c r="AA52" s="176">
        <f ca="1">_xll.DBRW(Server&amp;Cube1,$G$30,$G$23,$G$24,$G$29,$D$20,$G$26,$F52,$D$19,AA$12,AA$11,$AA$14)</f>
        <v>-992.2080198715114</v>
      </c>
      <c r="AB52" s="176">
        <f ca="1">_xll.DBRW(Server&amp;Cube1,$G$30,$G$23,$G$24,$G$29,$D$20,$G$26,$F52,$D$19,AB$12,AB$11,$AA$14)</f>
        <v>-1208.3216913715114</v>
      </c>
      <c r="AC52" s="198">
        <f ca="1">$AA52-$AB52</f>
        <v>216.11367150000001</v>
      </c>
      <c r="AD52" s="162">
        <f ca="1">IF($AB52=0,0,IF($AB52&lt;0,$AC52/-$AB52,$AC52/$AB52))</f>
        <v>0.17885441686865616</v>
      </c>
      <c r="AE52" s="133" t="str">
        <f ca="1">IF(AD52&gt;0.01,$BF$32,IF(AD52&lt;-0.01,$BG$32,$BH$32))</f>
        <v>ì</v>
      </c>
      <c r="AF52" s="131"/>
      <c r="AG52" s="157">
        <f ca="1">$I52+$O52+$U52+$AA52</f>
        <v>-5445.381699871511</v>
      </c>
      <c r="AH52" s="157">
        <f ca="1">$J52+$P52+$V52+$AB52</f>
        <v>-10549.959566371512</v>
      </c>
      <c r="AI52" s="131"/>
      <c r="AJ52" s="176">
        <f ca="1">_xll.DBRW(Server&amp;Cube1,$D$21,$G$23,$G$24,$G$29,$D$20,$G$26,$F52,$D$19,AJ$12,AJ$11,$AJ$14)</f>
        <v>176.70000000000002</v>
      </c>
      <c r="AK52" s="176">
        <f ca="1">_xll.DBRW(Server&amp;Cube1,$D$21,$G$23,$G$24,$G$29,$D$20,$G$26,$F52,$D$19,AK$12,AK$11,$AJ$14)</f>
        <v>173.5</v>
      </c>
      <c r="AL52" s="198">
        <f ca="1">$AJ52-$AK52</f>
        <v>3.2000000000000171</v>
      </c>
      <c r="AM52" s="162">
        <f ca="1">IF($AK52=0,0,IF($AK52&lt;0,$AL52/-$AK52,$AL52/$AK52))</f>
        <v>1.8443804034582231E-2</v>
      </c>
      <c r="AN52" s="133" t="str">
        <f ca="1">IF(AM52&gt;0.01,$BF$32,IF(AM52&lt;-0.01,$BG$32,$BH$32))</f>
        <v>ì</v>
      </c>
      <c r="AP52" s="164">
        <f ca="1">_xll.DBRW($F$38,$G$40,$G$41,$G$42,$G$43,$G$44,$G$45,$F52,$G$46,$I$12,$I$11,$I$14)</f>
        <v>-3749.6488899999999</v>
      </c>
      <c r="AQ52" s="164">
        <f ca="1">_xll.DBRW($F$38,$G$40,$G$41,$G$42,$G$43,$G$44,$G$45,$F52,$G$46,$O$12,O$11,$O$14)</f>
        <v>-136.25174000000001</v>
      </c>
      <c r="AR52" s="164">
        <f ca="1">_xll.DBRW($F$38,$G$40,$G$41,$G$42,$G$43,$G$44,$G$45,$F52,$G$46,$U$12,U$11,$U$14)</f>
        <v>-567.27305000000001</v>
      </c>
      <c r="AS52" s="165">
        <f ca="1">_xll.DBRW($F$38,$G$40,$G$41,$G$42,$G$43,$G$44,$G$45,$F52,$G$46,$AA$12,AA$11,$AA$14)</f>
        <v>-992.2080198715114</v>
      </c>
      <c r="BA52" s="100"/>
    </row>
    <row r="53" spans="1:59" customFormat="1" ht="25.5" customHeight="1" x14ac:dyDescent="0.2">
      <c r="A53">
        <f ca="1">IF(_xll.TM1RPTELISCONSOLIDATED($F$52,$F53),IF(_xll.TM1RPTELLEV($F$52,$F53)&lt;=3,_xll.TM1RPTELLEV($F$52,$F53),"D"),"N")</f>
        <v>0</v>
      </c>
      <c r="F53" s="225" t="s">
        <v>117</v>
      </c>
      <c r="G53" s="187"/>
      <c r="H53" s="132"/>
      <c r="I53" s="176">
        <f ca="1">_xll.DBRW(Server&amp;Cube1,$G$30,$G$23,$G$24,$G$29,$D$20,$G$26,$F53,$D$19,I$12,I$11,$I$14)</f>
        <v>-1929.1752299999998</v>
      </c>
      <c r="J53" s="176">
        <f ca="1">_xll.DBRW(Server&amp;Cube1,$G$30,$G$23,$G$24,$G$29,$D$20,$G$26,$F53,$D$19,J$12,J$11,$I$14)</f>
        <v>-3203.1665000000003</v>
      </c>
      <c r="K53" s="198">
        <f t="shared" ref="K53:K54" ca="1" si="0">$I53-$J53</f>
        <v>1273.9912700000004</v>
      </c>
      <c r="L53" s="177">
        <f t="shared" ref="L53:L54" ca="1" si="1">IF($J53=0,0,IF($J53&lt;0,$K53/-$J53,$K53/$J53))</f>
        <v>0.39772870689050988</v>
      </c>
      <c r="M53" s="163" t="str">
        <f t="shared" ref="M53:M54" ca="1" si="2">IF(L53&gt;0.01,$BF$32,IF(L53&lt;-0.01,$BG$32,$BH$32))</f>
        <v>ì</v>
      </c>
      <c r="N53" s="181"/>
      <c r="O53" s="176">
        <f ca="1">_xll.DBRW(Server&amp;Cube1,$G$30,$G$23,$G$24,$G$29,$D$20,$G$26,$F53,$D$19,O$12,O$11,$O$14)</f>
        <v>-123.37803</v>
      </c>
      <c r="P53" s="176">
        <f ca="1">_xll.DBRW(Server&amp;Cube1,$G$30,$G$23,$G$24,$G$29,$D$20,$G$26,$F53,$D$19,P$12,P$11,$O$14)</f>
        <v>-342.6</v>
      </c>
      <c r="Q53" s="198">
        <f t="shared" ref="Q53:Q54" ca="1" si="3">$O53-$P53</f>
        <v>219.22197000000003</v>
      </c>
      <c r="R53" s="178">
        <f t="shared" ref="R53:R54" ca="1" si="4">IF($P53=0,0,IF($P53&lt;0,$Q53/-$P53,$Q53/$P53))</f>
        <v>0.63987732049036783</v>
      </c>
      <c r="S53" s="133" t="str">
        <f t="shared" ref="S53:S54" ca="1" si="5">IF(R53&gt;0.01,$BF$32,IF(R53&lt;-0.01,$BG$32,$BH$32))</f>
        <v>ì</v>
      </c>
      <c r="T53" s="179"/>
      <c r="U53" s="176">
        <f ca="1">_xll.DBRW(Server&amp;Cube1,$G$30,$G$23,$G$24,$G$29,$D$20,$G$26,$F53,$D$19,U$12,U$11,$U$14)</f>
        <v>-341.01316999999995</v>
      </c>
      <c r="V53" s="176">
        <f ca="1">_xll.DBRW(Server&amp;Cube1,$G$30,$G$23,$G$24,$G$29,$D$20,$G$26,$F53,$D$19,V$12,V$11,$U$14)</f>
        <v>-2371.3597500000001</v>
      </c>
      <c r="W53" s="198">
        <f t="shared" ref="W53:W54" ca="1" si="6">$U53-$V53</f>
        <v>2030.3465800000001</v>
      </c>
      <c r="X53" s="178">
        <f t="shared" ref="X53:X54" ca="1" si="7">IF($V53=0,0,IF($V53&lt;0,$W53/-$V53,$W53/$V53))</f>
        <v>0.85619509228829582</v>
      </c>
      <c r="Y53" s="133" t="str">
        <f t="shared" ref="Y53:Y54" ca="1" si="8">IF(X53&gt;0.01,$BF$32,IF(X53&lt;-0.01,$BG$32,$BH$32))</f>
        <v>ì</v>
      </c>
      <c r="Z53" s="180"/>
      <c r="AA53" s="176">
        <f ca="1">_xll.DBRW(Server&amp;Cube1,$G$30,$G$23,$G$24,$G$29,$D$20,$G$26,$F53,$D$19,AA$12,AA$11,$AA$14)</f>
        <v>-371.69235712670439</v>
      </c>
      <c r="AB53" s="176">
        <f ca="1">_xll.DBRW(Server&amp;Cube1,$G$30,$G$23,$G$24,$G$29,$D$20,$G$26,$F53,$D$19,AB$12,AB$11,$AA$14)</f>
        <v>-458.84170562670431</v>
      </c>
      <c r="AC53" s="198">
        <f t="shared" ref="AC53:AC54" ca="1" si="9">$AA53-$AB53</f>
        <v>87.149348499999917</v>
      </c>
      <c r="AD53" s="162">
        <f t="shared" ref="AD53:AD54" ca="1" si="10">IF($AB53=0,0,IF($AB53&lt;0,$AC53/-$AB53,$AC53/$AB53))</f>
        <v>0.18993336357898821</v>
      </c>
      <c r="AE53" s="133" t="str">
        <f t="shared" ref="AE53:AE54" ca="1" si="11">IF(AD53&gt;0.01,$BF$32,IF(AD53&lt;-0.01,$BG$32,$BH$32))</f>
        <v>ì</v>
      </c>
      <c r="AF53" s="131"/>
      <c r="AG53" s="157">
        <f t="shared" ref="AG53:AG54" ca="1" si="12">$I53+$O53+$U53+$AA53</f>
        <v>-2765.2587871267042</v>
      </c>
      <c r="AH53" s="157">
        <f t="shared" ref="AH53:AH54" ca="1" si="13">$J53+$P53+$V53+$AB53</f>
        <v>-6375.9679556267047</v>
      </c>
      <c r="AI53" s="131"/>
      <c r="AJ53" s="176">
        <f ca="1">_xll.DBRW(Server&amp;Cube1,$D$21,$G$23,$G$24,$G$29,$D$20,$G$26,$F53,$D$19,AJ$12,AJ$11,$AJ$14)</f>
        <v>72.5</v>
      </c>
      <c r="AK53" s="176">
        <f ca="1">_xll.DBRW(Server&amp;Cube1,$D$21,$G$23,$G$24,$G$29,$D$20,$G$26,$F53,$D$19,AK$12,AK$11,$AJ$14)</f>
        <v>74</v>
      </c>
      <c r="AL53" s="198">
        <f t="shared" ref="AL53:AL54" ca="1" si="14">$AJ53-$AK53</f>
        <v>-1.5</v>
      </c>
      <c r="AM53" s="162">
        <f t="shared" ref="AM53:AM54" ca="1" si="15">IF($AK53=0,0,IF($AK53&lt;0,$AL53/-$AK53,$AL53/$AK53))</f>
        <v>-2.0270270270270271E-2</v>
      </c>
      <c r="AN53" s="133" t="str">
        <f t="shared" ref="AN53:AN54" ca="1" si="16">IF(AM53&gt;0.01,$BF$32,IF(AM53&lt;-0.01,$BG$32,$BH$32))</f>
        <v>î</v>
      </c>
      <c r="AP53" s="164">
        <f ca="1">_xll.DBRW($F$38,$G$40,$G$41,$G$42,$G$43,$G$44,$G$45,$F53,$G$46,$I$12,$I$11,$I$14)</f>
        <v>-1929.1752299999998</v>
      </c>
      <c r="AQ53" s="164">
        <f ca="1">_xll.DBRW($F$38,$G$40,$G$41,$G$42,$G$43,$G$44,$G$45,$F53,$G$46,$O$12,O$11,$O$14)</f>
        <v>-123.37803</v>
      </c>
      <c r="AR53" s="164">
        <f ca="1">_xll.DBRW($F$38,$G$40,$G$41,$G$42,$G$43,$G$44,$G$45,$F53,$G$46,$U$12,U$11,$U$14)</f>
        <v>-341.01316999999995</v>
      </c>
      <c r="AS53" s="165">
        <f ca="1">_xll.DBRW($F$38,$G$40,$G$41,$G$42,$G$43,$G$44,$G$45,$F53,$G$46,$AA$12,AA$11,$AA$14)</f>
        <v>-371.69235712670439</v>
      </c>
      <c r="BA53" s="100"/>
    </row>
    <row r="54" spans="1:59" customFormat="1" ht="25.5" customHeight="1" x14ac:dyDescent="0.2">
      <c r="A54">
        <f ca="1">IF(_xll.TM1RPTELISCONSOLIDATED($F$52,$F54),IF(_xll.TM1RPTELLEV($F$52,$F54)&lt;=3,_xll.TM1RPTELLEV($F$52,$F54),"D"),"N")</f>
        <v>0</v>
      </c>
      <c r="F54" s="225" t="s">
        <v>118</v>
      </c>
      <c r="G54" s="187"/>
      <c r="H54" s="132"/>
      <c r="I54" s="176">
        <f ca="1">_xll.DBRW(Server&amp;Cube1,$G$30,$G$23,$G$24,$G$29,$D$20,$G$26,$F54,$D$19,I$12,I$11,$I$14)</f>
        <v>-1103.52999</v>
      </c>
      <c r="J54" s="176">
        <f ca="1">_xll.DBRW(Server&amp;Cube1,$G$30,$G$23,$G$24,$G$29,$D$20,$G$26,$F54,$D$19,J$12,J$11,$I$14)</f>
        <v>-1592.251</v>
      </c>
      <c r="K54" s="198">
        <f t="shared" ca="1" si="0"/>
        <v>488.72100999999998</v>
      </c>
      <c r="L54" s="177">
        <f t="shared" ca="1" si="1"/>
        <v>0.30693716631360257</v>
      </c>
      <c r="M54" s="163" t="str">
        <f t="shared" ca="1" si="2"/>
        <v>ì</v>
      </c>
      <c r="N54" s="181"/>
      <c r="O54" s="176">
        <f ca="1">_xll.DBRW(Server&amp;Cube1,$G$30,$G$23,$G$24,$G$29,$D$20,$G$26,$F54,$D$19,O$12,O$11,$O$14)</f>
        <v>4.0050000000000017</v>
      </c>
      <c r="P54" s="176">
        <f ca="1">_xll.DBRW(Server&amp;Cube1,$G$30,$G$23,$G$24,$G$29,$D$20,$G$26,$F54,$D$19,P$12,P$11,$O$14)</f>
        <v>-51.625</v>
      </c>
      <c r="Q54" s="198">
        <f t="shared" ca="1" si="3"/>
        <v>55.63</v>
      </c>
      <c r="R54" s="178">
        <f t="shared" ca="1" si="4"/>
        <v>1.0775786924939468</v>
      </c>
      <c r="S54" s="133" t="str">
        <f t="shared" ca="1" si="5"/>
        <v>ì</v>
      </c>
      <c r="T54" s="179"/>
      <c r="U54" s="176">
        <f ca="1">_xll.DBRW(Server&amp;Cube1,$G$30,$G$23,$G$24,$G$29,$D$20,$G$26,$F54,$D$19,U$12,U$11,$U$14)</f>
        <v>-1856.3118600000003</v>
      </c>
      <c r="V54" s="176">
        <f ca="1">_xll.DBRW(Server&amp;Cube1,$G$30,$G$23,$G$24,$G$29,$D$20,$G$26,$F54,$D$19,V$12,V$11,$U$14)</f>
        <v>-2141.9014999999999</v>
      </c>
      <c r="W54" s="198">
        <f t="shared" ca="1" si="6"/>
        <v>285.58963999999969</v>
      </c>
      <c r="X54" s="178">
        <f t="shared" ca="1" si="7"/>
        <v>0.13333462813299291</v>
      </c>
      <c r="Y54" s="133" t="str">
        <f t="shared" ca="1" si="8"/>
        <v>ì</v>
      </c>
      <c r="Z54" s="180"/>
      <c r="AA54" s="176">
        <f ca="1">_xll.DBRW(Server&amp;Cube1,$G$30,$G$23,$G$24,$G$29,$D$20,$G$26,$F54,$D$19,AA$12,AA$11,$AA$14)</f>
        <v>-861.63154300178519</v>
      </c>
      <c r="AB54" s="176">
        <f ca="1">_xll.DBRW(Server&amp;Cube1,$G$30,$G$23,$G$24,$G$29,$D$20,$G$26,$F54,$D$19,AB$12,AB$11,$AA$14)</f>
        <v>-1408.011603001785</v>
      </c>
      <c r="AC54" s="198">
        <f t="shared" ca="1" si="9"/>
        <v>546.38005999999984</v>
      </c>
      <c r="AD54" s="162">
        <f t="shared" ca="1" si="10"/>
        <v>0.38805082204944524</v>
      </c>
      <c r="AE54" s="133" t="str">
        <f t="shared" ca="1" si="11"/>
        <v>ì</v>
      </c>
      <c r="AF54" s="131"/>
      <c r="AG54" s="157">
        <f t="shared" ca="1" si="12"/>
        <v>-3817.4683930017854</v>
      </c>
      <c r="AH54" s="157">
        <f t="shared" ca="1" si="13"/>
        <v>-5193.7891030017854</v>
      </c>
      <c r="AI54" s="131"/>
      <c r="AJ54" s="176">
        <f ca="1">_xll.DBRW(Server&amp;Cube1,$D$21,$G$23,$G$24,$G$29,$D$20,$G$26,$F54,$D$19,AJ$12,AJ$11,$AJ$14)</f>
        <v>0</v>
      </c>
      <c r="AK54" s="176">
        <f ca="1">_xll.DBRW(Server&amp;Cube1,$D$21,$G$23,$G$24,$G$29,$D$20,$G$26,$F54,$D$19,AK$12,AK$11,$AJ$14)</f>
        <v>0</v>
      </c>
      <c r="AL54" s="198">
        <f t="shared" ca="1" si="14"/>
        <v>0</v>
      </c>
      <c r="AM54" s="162">
        <f t="shared" ca="1" si="15"/>
        <v>0</v>
      </c>
      <c r="AN54" s="133" t="str">
        <f t="shared" ca="1" si="16"/>
        <v>è</v>
      </c>
      <c r="AP54" s="164">
        <f ca="1">_xll.DBRW($F$38,$G$40,$G$41,$G$42,$G$43,$G$44,$G$45,$F54,$G$46,$I$12,$I$11,$I$14)</f>
        <v>-1103.52999</v>
      </c>
      <c r="AQ54" s="164">
        <f ca="1">_xll.DBRW($F$38,$G$40,$G$41,$G$42,$G$43,$G$44,$G$45,$F54,$G$46,$O$12,O$11,$O$14)</f>
        <v>4.0050000000000017</v>
      </c>
      <c r="AR54" s="164">
        <f ca="1">_xll.DBRW($F$38,$G$40,$G$41,$G$42,$G$43,$G$44,$G$45,$F54,$G$46,$U$12,U$11,$U$14)</f>
        <v>-1856.3118600000003</v>
      </c>
      <c r="AS54" s="165">
        <f ca="1">_xll.DBRW($F$38,$G$40,$G$41,$G$42,$G$43,$G$44,$G$45,$F54,$G$46,$AA$12,AA$11,$AA$14)</f>
        <v>-861.63154300178519</v>
      </c>
      <c r="BA54" s="100"/>
    </row>
    <row r="55" spans="1:59" s="4" customFormat="1" ht="17.25" hidden="1" customHeight="1" x14ac:dyDescent="0.25">
      <c r="B55" s="40"/>
      <c r="C55" s="40"/>
      <c r="D55" s="46"/>
      <c r="E55" s="80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T55" s="29"/>
      <c r="AU55" s="29"/>
      <c r="AV55" s="29"/>
      <c r="AW55" s="29"/>
      <c r="AX55" s="29"/>
      <c r="AY55" s="29"/>
      <c r="AZ55" s="29"/>
      <c r="BA55" s="15"/>
      <c r="BB55" s="29"/>
      <c r="BC55" s="29"/>
      <c r="BD55" s="29"/>
      <c r="BE55" s="29"/>
      <c r="BF55" s="29"/>
      <c r="BG55" s="29"/>
    </row>
    <row r="56" spans="1:59" s="4" customFormat="1" ht="17.25" customHeight="1" x14ac:dyDescent="0.25">
      <c r="B56" s="40"/>
      <c r="C56" s="40"/>
      <c r="D56" s="46"/>
      <c r="E56" s="80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T56" s="29"/>
      <c r="AU56" s="29"/>
      <c r="AV56" s="29"/>
      <c r="AW56" s="29"/>
      <c r="AX56" s="29"/>
      <c r="AY56" s="29"/>
      <c r="AZ56" s="29"/>
      <c r="BA56" s="15"/>
      <c r="BB56" s="29"/>
      <c r="BC56" s="29"/>
      <c r="BD56" s="29"/>
      <c r="BE56" s="29"/>
      <c r="BF56" s="29"/>
      <c r="BG56" s="29"/>
    </row>
    <row r="57" spans="1:59" s="4" customFormat="1" ht="17.25" customHeight="1" x14ac:dyDescent="0.25">
      <c r="B57" s="40"/>
      <c r="C57" s="40"/>
      <c r="D57" s="117" t="s">
        <v>111</v>
      </c>
      <c r="E57" s="80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T57" s="29"/>
      <c r="AU57" s="29"/>
      <c r="AV57" s="29"/>
      <c r="AW57" s="29"/>
      <c r="AX57" s="29"/>
      <c r="AY57" s="29"/>
      <c r="AZ57" s="29"/>
      <c r="BA57" s="15"/>
      <c r="BB57" s="29"/>
      <c r="BC57" s="29"/>
      <c r="BD57" s="29"/>
      <c r="BE57" s="29"/>
      <c r="BF57" s="29"/>
      <c r="BG57" s="29"/>
    </row>
    <row r="58" spans="1:59" s="4" customFormat="1" ht="17.25" customHeight="1" thickBot="1" x14ac:dyDescent="0.35">
      <c r="B58" s="40"/>
      <c r="C58" s="40"/>
      <c r="D58" s="41" t="s">
        <v>10</v>
      </c>
      <c r="E58" s="80"/>
      <c r="F58" s="5" t="str">
        <f ca="1">_xll.DBRA(Server&amp;$BA$21,$D$58,$BD$18)</f>
        <v>Commentaires</v>
      </c>
      <c r="G58" s="94"/>
      <c r="H58" s="94"/>
      <c r="I58" s="94"/>
      <c r="J58" s="94"/>
      <c r="K58" s="94"/>
      <c r="L58" s="94"/>
      <c r="M58" s="95"/>
      <c r="N58" s="96"/>
      <c r="O58" s="96"/>
      <c r="P58" s="97"/>
      <c r="Q58" s="98"/>
      <c r="R58" s="98"/>
      <c r="S58" s="98"/>
      <c r="T58" s="99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1"/>
      <c r="AT58" s="29"/>
      <c r="AU58" s="29"/>
      <c r="AV58" s="29"/>
      <c r="AW58" s="29"/>
      <c r="AX58" s="29"/>
      <c r="AY58" s="29"/>
      <c r="AZ58" s="29"/>
      <c r="BA58" s="15"/>
      <c r="BB58" s="29"/>
      <c r="BC58" s="29"/>
      <c r="BD58" s="29"/>
      <c r="BE58" s="29"/>
      <c r="BF58" s="29"/>
      <c r="BG58" s="29"/>
    </row>
    <row r="59" spans="1:59" s="4" customFormat="1" ht="17.25" customHeight="1" x14ac:dyDescent="0.25">
      <c r="B59" s="40"/>
      <c r="C59" s="40"/>
      <c r="D59" s="41" t="s">
        <v>30</v>
      </c>
      <c r="E59" s="80"/>
      <c r="F59" s="204" t="str">
        <f ca="1">_xll.DBRW(Server&amp;Cube2,$G$23,$G$24,$G$29,$G$26,$G$28,$D$19,$G$27,$M$11,$M$12,$D$57,$D$59)</f>
        <v/>
      </c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6"/>
      <c r="AO59" s="1"/>
      <c r="AT59" s="29"/>
      <c r="AU59" s="29"/>
      <c r="AV59" s="29"/>
      <c r="AW59" s="29"/>
      <c r="AX59" s="29"/>
      <c r="AY59" s="29"/>
      <c r="AZ59" s="29"/>
      <c r="BA59" s="15"/>
      <c r="BB59" s="29"/>
      <c r="BC59" s="126" t="s">
        <v>79</v>
      </c>
      <c r="BD59" s="95"/>
      <c r="BE59" s="127" t="str">
        <f ca="1">IF(RIGHT(_xll.SUBNM(Server&amp;"Period","",$G$27,""),3)="YTD","Yes","No")</f>
        <v>Yes</v>
      </c>
      <c r="BF59" s="29"/>
      <c r="BG59" s="29"/>
    </row>
    <row r="60" spans="1:59" s="4" customFormat="1" ht="17.25" customHeight="1" x14ac:dyDescent="0.25">
      <c r="B60" s="40"/>
      <c r="C60" s="40"/>
      <c r="D60" s="41" t="s">
        <v>31</v>
      </c>
      <c r="E60" s="80"/>
      <c r="F60" s="207" t="str">
        <f ca="1">_xll.DBRW(Server&amp;Cube2,$G$23,$G$24,$G$29,$G$26,$G$28,$D$19,$G$27,$M$11,$M$12,$D$57,$D$60)</f>
        <v/>
      </c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X60" s="208"/>
      <c r="Y60" s="208"/>
      <c r="Z60" s="208"/>
      <c r="AA60" s="208"/>
      <c r="AB60" s="208"/>
      <c r="AC60" s="208"/>
      <c r="AD60" s="208"/>
      <c r="AE60" s="208"/>
      <c r="AF60" s="208"/>
      <c r="AG60" s="208"/>
      <c r="AH60" s="208"/>
      <c r="AI60" s="208"/>
      <c r="AJ60" s="208"/>
      <c r="AK60" s="208"/>
      <c r="AL60" s="209"/>
      <c r="AO60" s="1"/>
      <c r="AT60" s="29"/>
      <c r="AU60" s="29"/>
      <c r="AV60" s="29"/>
      <c r="AW60" s="29"/>
      <c r="AX60" s="29"/>
      <c r="AY60" s="29"/>
      <c r="AZ60" s="29"/>
      <c r="BA60" s="15"/>
      <c r="BB60" s="139" t="s">
        <v>92</v>
      </c>
      <c r="BC60" s="29" t="str">
        <f ca="1">LEFT($H$13,7)</f>
        <v>2013.03</v>
      </c>
      <c r="BD60" s="139" t="s">
        <v>93</v>
      </c>
      <c r="BE60" s="29"/>
      <c r="BF60" s="140" t="str">
        <f ca="1">IF(LEN($BC$60)=4,"NO",RIGHT($BC$60,2))</f>
        <v>03</v>
      </c>
      <c r="BG60" s="29"/>
    </row>
    <row r="61" spans="1:59" s="4" customFormat="1" ht="17.25" customHeight="1" x14ac:dyDescent="0.25">
      <c r="B61" s="40"/>
      <c r="C61" s="40"/>
      <c r="D61" s="41" t="s">
        <v>32</v>
      </c>
      <c r="E61" s="80"/>
      <c r="F61" s="207" t="str">
        <f ca="1">_xll.DBRW(Server&amp;Cube2,$G$23,$G$24,$G$29,$G$26,$G$28,$D$19,$G$27,$M$11,$M$12,$D$57,$D$61)</f>
        <v/>
      </c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  <c r="X61" s="208"/>
      <c r="Y61" s="208"/>
      <c r="Z61" s="208"/>
      <c r="AA61" s="208"/>
      <c r="AB61" s="208"/>
      <c r="AC61" s="208"/>
      <c r="AD61" s="208"/>
      <c r="AE61" s="208"/>
      <c r="AF61" s="208"/>
      <c r="AG61" s="208"/>
      <c r="AH61" s="208"/>
      <c r="AI61" s="208"/>
      <c r="AJ61" s="208"/>
      <c r="AK61" s="208"/>
      <c r="AL61" s="209"/>
      <c r="AO61" s="1"/>
      <c r="AT61" s="29"/>
      <c r="AU61" s="29"/>
      <c r="AV61" s="29"/>
      <c r="AW61" s="29"/>
      <c r="AX61" s="29"/>
      <c r="AY61" s="29"/>
      <c r="AZ61" s="29"/>
      <c r="BA61" s="15"/>
      <c r="BB61" s="139" t="s">
        <v>94</v>
      </c>
      <c r="BC61" s="29"/>
      <c r="BD61" s="30" t="str">
        <f ca="1">IF(OR($BF$60="S1",$BF$60="Q1",$BF$60="Q2"),"YES",IF(ISERROR(VALUE($BF$60))=TRUE,"NO",IF(VALUE($BF$60)&lt;7,"YES","NO")))</f>
        <v>YES</v>
      </c>
      <c r="BE61" s="29"/>
      <c r="BF61" s="29"/>
      <c r="BG61" s="29"/>
    </row>
    <row r="62" spans="1:59" s="4" customFormat="1" ht="17.25" customHeight="1" thickBot="1" x14ac:dyDescent="0.3">
      <c r="B62" s="40"/>
      <c r="C62" s="40"/>
      <c r="D62" s="41" t="s">
        <v>33</v>
      </c>
      <c r="E62" s="80"/>
      <c r="F62" s="210" t="str">
        <f ca="1">_xll.DBRW(Server&amp;Cube2,$G$23,$G$24,$G$29,$G$26,$G$28,$D$19,$G$27,$M$11,$M$12,$D$57,$D$62)</f>
        <v/>
      </c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2"/>
      <c r="AO62" s="1"/>
      <c r="AT62" s="29"/>
      <c r="AU62" s="29"/>
      <c r="AV62" s="29"/>
      <c r="AW62" s="29"/>
      <c r="AX62" s="29"/>
      <c r="AY62" s="29"/>
      <c r="AZ62" s="29"/>
      <c r="BA62" s="15"/>
      <c r="BB62" s="139" t="s">
        <v>95</v>
      </c>
      <c r="BC62" s="29"/>
      <c r="BD62" s="29" t="str">
        <f ca="1">IF(OR($BF$60="S2",$BF$60="Q4",$BF$60="NO",$BF$60="12"),"YES","NO")</f>
        <v>NO</v>
      </c>
      <c r="BE62" s="29"/>
      <c r="BF62" s="29"/>
      <c r="BG62" s="29"/>
    </row>
    <row r="63" spans="1:59" s="4" customFormat="1" ht="17.25" customHeight="1" x14ac:dyDescent="0.25">
      <c r="B63" s="40"/>
      <c r="C63" s="40"/>
      <c r="D63" s="46"/>
      <c r="E63" s="80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T63" s="29"/>
      <c r="AU63" s="29"/>
      <c r="AV63" s="29"/>
      <c r="AW63" s="29"/>
      <c r="AX63" s="29"/>
      <c r="AY63" s="29"/>
      <c r="AZ63" s="29"/>
      <c r="BA63" s="15"/>
      <c r="BB63" s="139" t="s">
        <v>96</v>
      </c>
      <c r="BC63" s="29"/>
      <c r="BD63" s="29" t="str">
        <f ca="1">IF(OR($BF$60="Q3",$BF$60="09"),"YES","NO")</f>
        <v>NO</v>
      </c>
      <c r="BE63" s="29"/>
      <c r="BF63" s="29"/>
      <c r="BG63" s="29"/>
    </row>
    <row r="64" spans="1:59" s="4" customFormat="1" ht="17.25" customHeight="1" x14ac:dyDescent="0.25">
      <c r="B64" s="40"/>
      <c r="C64" s="40"/>
      <c r="D64" s="46"/>
      <c r="E64" s="80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T64" s="29"/>
      <c r="AU64" s="29"/>
      <c r="AV64" s="29"/>
      <c r="AW64" s="29"/>
      <c r="AX64" s="29"/>
      <c r="AY64" s="29"/>
      <c r="AZ64" s="29"/>
      <c r="BA64" s="15"/>
      <c r="BB64" s="29"/>
      <c r="BC64" s="29"/>
      <c r="BE64" s="29"/>
      <c r="BF64" s="29"/>
      <c r="BG64" s="29"/>
    </row>
    <row r="65" spans="1:66" s="4" customFormat="1" ht="17.25" customHeight="1" x14ac:dyDescent="0.25">
      <c r="B65" s="40"/>
      <c r="C65" s="40"/>
      <c r="D65" s="46"/>
      <c r="E65" s="80"/>
      <c r="F65" s="118"/>
      <c r="G65" s="118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"/>
      <c r="AT65" s="29"/>
      <c r="AU65" s="29"/>
      <c r="AV65" s="29"/>
      <c r="AW65" s="29"/>
      <c r="AX65" s="29"/>
      <c r="AY65" s="29"/>
      <c r="AZ65" s="29"/>
      <c r="BA65" s="15"/>
      <c r="BB65" s="125" t="s">
        <v>109</v>
      </c>
      <c r="BC65" s="127" t="str">
        <f ca="1">LEFT($BC$60,4)</f>
        <v>2013</v>
      </c>
      <c r="BD65" s="29" t="str">
        <f ca="1">IF($BD$61="YES",$BC$65&amp;".01",IF($BD$62="YES",$BC$65&amp;".07",IF($BD$63="YES",$BC$65&amp;".04",IF($BF$60="07",$BC$65&amp;".02",IF($BF$60="08",$BC$65&amp;".03",IF($BF$60="10",$BC$65&amp;".05",$BC$65&amp;".06"))))))</f>
        <v>2013.01</v>
      </c>
      <c r="BE65" s="29" t="str">
        <f ca="1">IF($BD$61="YES",$BC$65&amp;".02",IF($BD$62="YES",$BC$65&amp;".08",IF($BD$63="YES",$BC$65&amp;".05",IF($BF$60="07",$BC$65&amp;".03",IF($BF$60="08",$BC$65&amp;".04",IF($BF$60="10",$BC$65&amp;".06",$BC$65&amp;".07"))))))</f>
        <v>2013.02</v>
      </c>
      <c r="BF65" s="29" t="str">
        <f ca="1">IF($BD$61="YES",$BC$65&amp;".03",IF($BD$62="YES",$BC$65&amp;".09",IF($BD$63="YES",$BC$65&amp;".06",IF($BF$60="07",$BC$65&amp;".04",IF($BF$60="08",$BC$65&amp;".05",IF($BF$60="10",$BC$65&amp;".07",$BC$65&amp;".08"))))))</f>
        <v>2013.03</v>
      </c>
      <c r="BG65" s="29" t="str">
        <f ca="1">IF($BD$61="YES",$BC$65&amp;".04",IF($BD$62="YES",$BC$65&amp;".10",IF($BD$63="YES",$BC$65&amp;".07",IF($BF$60="07",$BC$65&amp;".05",IF($BF$60="08",$BC$65&amp;".06",IF($BF$60="10",$BC$65&amp;".08",$BC$65&amp;".09"))))))</f>
        <v>2013.04</v>
      </c>
      <c r="BH65" s="29" t="str">
        <f ca="1">IF($BD$61="YES",$BC$65&amp;".05",IF($BD$62="YES",$BC$65&amp;".11",IF($BD$63="YES",$BC$65&amp;".08",IF($BF$60="07",$BC$65&amp;".06",IF($BF$60="08",$BC$65&amp;".07",IF($BF$60="10",$BC$65&amp;".09",$BC$65&amp;".10"))))))</f>
        <v>2013.05</v>
      </c>
      <c r="BI65" s="29" t="str">
        <f ca="1">IF($BD$61="YES",$BC$65&amp;".06",IF($BD$62="YES",$BC$65&amp;".12",IF($BD$63="YES",$BC$65&amp;".09",IF($BF$60="07",$BC$65&amp;".07",IF($BF$60="08",$BC$65&amp;".08",IF($BF$60="10",$BC$65&amp;".10",$BC$65&amp;".11"))))))</f>
        <v>2013.06</v>
      </c>
    </row>
    <row r="66" spans="1:66" s="4" customFormat="1" ht="17.25" customHeight="1" x14ac:dyDescent="0.25">
      <c r="B66" s="40"/>
      <c r="C66" s="40"/>
      <c r="D66" s="46"/>
      <c r="E66" s="80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"/>
      <c r="AT66" s="29"/>
      <c r="AU66" s="29"/>
      <c r="AV66" s="29"/>
      <c r="AW66" s="29"/>
      <c r="AX66" s="29"/>
      <c r="AY66" s="29"/>
      <c r="AZ66" s="29"/>
      <c r="BA66" s="15"/>
      <c r="BD66" s="4" t="str">
        <f ca="1">IF($BE$59="No",BD$65,BD$65&amp;"_YTD")</f>
        <v>2013.01_YTD</v>
      </c>
      <c r="BE66" s="4" t="str">
        <f t="shared" ref="BE66:BI66" ca="1" si="17">IF($BE$59="No",BE$65,BE$65&amp;"_YTD")</f>
        <v>2013.02_YTD</v>
      </c>
      <c r="BF66" s="4" t="str">
        <f t="shared" ca="1" si="17"/>
        <v>2013.03_YTD</v>
      </c>
      <c r="BG66" s="4" t="str">
        <f t="shared" ca="1" si="17"/>
        <v>2013.04_YTD</v>
      </c>
      <c r="BH66" s="4" t="str">
        <f t="shared" ca="1" si="17"/>
        <v>2013.05_YTD</v>
      </c>
      <c r="BI66" s="4" t="str">
        <f t="shared" ca="1" si="17"/>
        <v>2013.06_YTD</v>
      </c>
      <c r="BL66" s="128"/>
    </row>
    <row r="67" spans="1:66" s="4" customFormat="1" ht="17.25" customHeight="1" x14ac:dyDescent="0.25">
      <c r="B67" s="40"/>
      <c r="C67" s="40"/>
      <c r="D67" s="46"/>
      <c r="E67" s="8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"/>
      <c r="AT67" s="29"/>
      <c r="AU67" s="29"/>
      <c r="AV67" s="29"/>
      <c r="AW67" s="29"/>
      <c r="AX67" s="29"/>
      <c r="AY67" s="29"/>
      <c r="AZ67" s="29"/>
      <c r="BA67" s="29"/>
      <c r="BD67" s="144" t="str">
        <f ca="1">IF($BD$61="YES",_xll.DBRA(Server&amp;$AZ$21,$AZ$22,$BD$18),IF($BD$62="YES",_xll.DBRA(Server&amp;$AZ$21,$AZ$28,$BD$18),IF($BD$63="YES",_xll.DBRA(Server&amp;$AZ$21,$AZ$25,$BD$18),IF($BF$60="07",_xll.DBRA(Server&amp;$AZ$21,$AZ$23,$BD$18),IF($BF$60="08",_xll.DBRA(Server&amp;$AZ$21,$AZ$24,$BD$18),IF($BF$60="10",_xll.DBRA(Server&amp;$AZ$21,$AZ$26,$BD$18),_xll.DBRA(Server&amp;$AZ$21,$AZ$27,$BD$18)))))))</f>
        <v>Jan</v>
      </c>
      <c r="BE67" s="144" t="str">
        <f ca="1">IF($BD$61="YES",_xll.DBRA(Server&amp;$AZ$21,$AZ$23,$BD$18),IF($BD$62="YES",_xll.DBRA(Server&amp;$AZ$21,$AZ$29,$BD$18),IF($BD$63="YES",_xll.DBRA(Server&amp;$AZ$21,$AZ$26,$BD$18),IF($BF$60="07",_xll.DBRA(Server&amp;$AZ$21,$AZ$24,$BD$18),IF($BF$60="08",_xll.DBRA(Server&amp;$AZ$21,$AZ$25,$BD$18),IF($BF$60="10",_xll.DBRA(Server&amp;$AZ$21,$AZ$27,$BD$18),_xll.DBRA(Server&amp;$AZ$21,$AZ$28,$BD$18)))))))</f>
        <v>Fév</v>
      </c>
      <c r="BF67" s="144" t="str">
        <f ca="1">IF($BD$61="YES",_xll.DBRA(Server&amp;$AZ$21,$AZ$24,$BD$18),IF($BD$62="YES",_xll.DBRA(Server&amp;$AZ$21,$AZ$31,$BD$18),IF($BD$63="YES",_xll.DBRA(Server&amp;$AZ$21,$AZ$27,$BD$18),IF($BF$60="07",_xll.DBRA(Server&amp;$AZ$21,$AZ$25,$BD$18),IF($BF$60="08",_xll.DBRA(Server&amp;$AZ$21,$AZ$26,$BD$18),IF($BF$60="10",_xll.DBRA(Server&amp;$AZ$21,$AZ$28,$BD$18),_xll.DBRA(Server&amp;$AZ$21,$AZ$29,$BD$18)))))))</f>
        <v>Mars</v>
      </c>
      <c r="BG67" s="144" t="str">
        <f ca="1">IF($BD$61="YES",_xll.DBRA(Server&amp;$AZ$21,$AZ$25,$BD$18),IF($BD$62="YES",_xll.DBRA(Server&amp;$AZ$21,$AZ$33,$BD$18),IF($BD$63="YES",_xll.DBRA(Server&amp;$AZ$21,$AZ$28,$BD$18),IF($BF$60="07",_xll.DBRA(Server&amp;$AZ$21,$AZ$26,$BD$18),IF($BF$60="08",_xll.DBRA(Server&amp;$AZ$21,$AZ$27,$BD$18),IF($BF$60="10",_xll.DBRA(Server&amp;$AZ$21,$AZ$29,$BD$18),_xll.DBRA(Server&amp;$AZ$21,$AZ$31,$BD$18)))))))</f>
        <v>Avril</v>
      </c>
      <c r="BH67" s="144" t="str">
        <f ca="1">IF($BD$61="YES",_xll.DBRA(Server&amp;$AZ$21,$AZ$26,$BD$18),IF($BD$62="YES",_xll.DBRA(Server&amp;$AZ$21,$AZ$34,$BD$18),IF($BD$63="YES",_xll.DBRA(Server&amp;$AZ$21,$AZ$29,$BD$18),IF($BF$60="07",_xll.DBRA(Server&amp;$AZ$21,$AZ$27,$BD$18),IF($BF$60="08",_xll.DBRA(Server&amp;$AZ$21,$AZ$28,$BD$18),IF($BF$60="10",_xll.DBRA(Server&amp;$AZ$21,$AZ$31,$BD$18),_xll.DBRA(Server&amp;$AZ$21,$AZ$33,$BD$18)))))))</f>
        <v>Mai</v>
      </c>
      <c r="BI67" s="144" t="str">
        <f ca="1">IF($BD$61="YES",_xll.DBRA(Server&amp;$AZ$21,$AZ$27,$BD$18),IF($BD$62="YES",$AZ$35,IF($BD$63="YES",_xll.DBRA(Server&amp;$AZ$21,$AZ$31,$BD$18),IF($BF$60="07",_xll.DBRA(Server&amp;$AZ$21,$AZ$28,$BD$18),IF($BF$60="08",_xll.DBRA(Server&amp;$AZ$21,$AZ$29,$BD$18),IF($BF$60="10",_xll.DBRA(Server&amp;$AZ$21,$AZ$33,$BD$18),_xll.DBRA(Server&amp;$AZ$21,$AZ$34,$BD$18)))))))</f>
        <v>Juin</v>
      </c>
      <c r="BL67" s="128"/>
      <c r="BN67" s="129"/>
    </row>
    <row r="68" spans="1:66" s="4" customFormat="1" ht="17.25" customHeight="1" x14ac:dyDescent="0.25">
      <c r="B68" s="40"/>
      <c r="C68" s="40"/>
      <c r="D68" s="46"/>
      <c r="E68" s="80"/>
      <c r="F68" s="121"/>
      <c r="G68" s="121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"/>
      <c r="AT68" s="29"/>
      <c r="AU68" s="29"/>
      <c r="AV68" s="29"/>
      <c r="AW68" s="29"/>
      <c r="AX68" s="29"/>
      <c r="AY68" s="29"/>
      <c r="AZ68" s="29"/>
      <c r="BA68" s="29"/>
      <c r="BD68" s="4" t="str">
        <f ca="1">MID(BD65,6,2)</f>
        <v>01</v>
      </c>
      <c r="BE68" s="4" t="str">
        <f t="shared" ref="BE68:BI68" ca="1" si="18">MID(BE65,6,2)</f>
        <v>02</v>
      </c>
      <c r="BF68" s="4" t="str">
        <f t="shared" ca="1" si="18"/>
        <v>03</v>
      </c>
      <c r="BG68" s="4" t="str">
        <f t="shared" ca="1" si="18"/>
        <v>04</v>
      </c>
      <c r="BH68" s="4" t="str">
        <f t="shared" ca="1" si="18"/>
        <v>05</v>
      </c>
      <c r="BI68" s="4" t="str">
        <f t="shared" ca="1" si="18"/>
        <v>06</v>
      </c>
      <c r="BL68" s="128"/>
    </row>
    <row r="69" spans="1:66" s="4" customFormat="1" ht="17.25" customHeight="1" x14ac:dyDescent="0.25">
      <c r="B69" s="40"/>
      <c r="C69" s="40"/>
      <c r="D69" s="46"/>
      <c r="E69" s="80"/>
      <c r="F69" s="118"/>
      <c r="G69" s="118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"/>
      <c r="AT69" s="29"/>
      <c r="AU69" s="29"/>
      <c r="AV69" s="29"/>
      <c r="AW69" s="29"/>
      <c r="AX69" s="29"/>
      <c r="AY69" s="29"/>
      <c r="AZ69" s="29"/>
      <c r="BA69" s="29"/>
      <c r="BC69" s="29"/>
      <c r="BD69" s="128" t="str">
        <f ca="1">IF(BD68&gt;$BF$60,"yes","no")</f>
        <v>no</v>
      </c>
      <c r="BE69" s="128" t="str">
        <f t="shared" ref="BE69:BI69" ca="1" si="19">IF(BE68&gt;$BF$60,"yes","no")</f>
        <v>no</v>
      </c>
      <c r="BF69" s="128" t="str">
        <f t="shared" ca="1" si="19"/>
        <v>no</v>
      </c>
      <c r="BG69" s="128" t="str">
        <f t="shared" ca="1" si="19"/>
        <v>yes</v>
      </c>
      <c r="BH69" s="128" t="str">
        <f t="shared" ca="1" si="19"/>
        <v>yes</v>
      </c>
      <c r="BI69" s="128" t="str">
        <f t="shared" ca="1" si="19"/>
        <v>yes</v>
      </c>
      <c r="BL69" s="128"/>
    </row>
    <row r="70" spans="1:66" ht="22.5" customHeight="1" x14ac:dyDescent="0.25">
      <c r="B70" s="40"/>
      <c r="C70" s="47"/>
      <c r="D70" s="46"/>
      <c r="E70" s="78"/>
      <c r="F70" s="118"/>
      <c r="G70" s="118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5"/>
      <c r="AP70" s="4"/>
      <c r="AQ70" s="4"/>
      <c r="AR70" s="4"/>
      <c r="AS70" s="4"/>
      <c r="AT70" s="29"/>
      <c r="AU70" s="29"/>
      <c r="AV70" s="29"/>
      <c r="AW70" s="29"/>
      <c r="AX70" s="29"/>
      <c r="AY70" s="29"/>
      <c r="AZ70" s="29"/>
      <c r="BA70" s="29"/>
      <c r="BB70" s="123" t="str">
        <f ca="1">IF($BE$59="No",_xll.DBRA(Server&amp;$BA$21,$BA$39,$BD$18),_xll.DBRA(Server&amp;$BA$21,$BA$39,$BD$18)&amp; " ("&amp;_xll.DBRA(Server&amp;$BA$21,$BA$44,$BD$18)&amp;")")</f>
        <v>Masse Salariale (Cumulé)</v>
      </c>
      <c r="BC70" s="124" t="s">
        <v>84</v>
      </c>
      <c r="BD70" s="30"/>
      <c r="BE70" s="30"/>
      <c r="BF70" s="30"/>
      <c r="BG70" s="30"/>
      <c r="BH70" s="4"/>
      <c r="BI70" s="4"/>
      <c r="BL70" s="128"/>
      <c r="BM70" s="4"/>
    </row>
    <row r="71" spans="1:66" s="24" customFormat="1" ht="20.25" customHeight="1" x14ac:dyDescent="0.25">
      <c r="B71" s="40"/>
      <c r="C71" s="40"/>
      <c r="D71" s="46"/>
      <c r="E71" s="76"/>
      <c r="F71" s="118"/>
      <c r="G71" s="118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23"/>
      <c r="AP71" s="4"/>
      <c r="AQ71" s="4"/>
      <c r="AR71" s="4"/>
      <c r="AS71" s="4"/>
      <c r="AT71" s="29"/>
      <c r="AU71" s="29"/>
      <c r="AV71" s="14"/>
      <c r="AW71" s="14"/>
      <c r="AX71" s="14"/>
      <c r="AY71" s="14"/>
      <c r="AZ71" s="14"/>
      <c r="BA71" s="29"/>
      <c r="BB71" s="125" t="str">
        <f ca="1">_xll.DBRA(Server&amp;$H$11,$BC$71,$BD$18)</f>
        <v>Réalisé</v>
      </c>
      <c r="BC71" s="2" t="s">
        <v>62</v>
      </c>
      <c r="BD71" s="130">
        <f ca="1">IF(BD$69="yes",#N/A,_xll.DBRW(Server&amp;Cube1,$G$30,$G$23,$G$24,$G$29,$D$20,$G$26,$G$28,$D$19,BD$66,$BC71,$BC$70))</f>
        <v>-6324.9035900000008</v>
      </c>
      <c r="BE71" s="130">
        <f ca="1">IF(BE$69="yes",#N/A,_xll.DBRW(Server&amp;Cube1,$G$30,$G$23,$G$24,$G$29,$D$20,$G$26,$G$28,$D$19,BE$66,$BC71,$BC$70))</f>
        <v>-6782.3541100000002</v>
      </c>
      <c r="BF71" s="130">
        <f ca="1">IF(BF$69="yes",#N/A,_xll.DBRW(Server&amp;Cube1,$G$30,$G$23,$G$24,$G$29,$D$20,$G$26,$G$28,$D$19,BF$66,$BC71,$BC$70))</f>
        <v>-6782.3541100000002</v>
      </c>
      <c r="BG71" s="130" t="e">
        <f ca="1">IF(BG$69="yes",#N/A,_xll.DBRW(Server&amp;Cube1,$G$30,$G$23,$G$24,$G$29,$D$20,$G$26,$G$28,$D$19,BG$66,$BC71,$BC$70))</f>
        <v>#N/A</v>
      </c>
      <c r="BH71" s="130" t="e">
        <f ca="1">IF(BH$69="yes",#N/A,_xll.DBRW(Server&amp;Cube1,$G$30,$G$23,$G$24,$G$29,$D$20,$G$26,$G$28,$D$19,BH$66,$BC71,$BC$70))</f>
        <v>#N/A</v>
      </c>
      <c r="BI71" s="130" t="e">
        <f ca="1">IF(BI$69="yes",#N/A,_xll.DBRW(Server&amp;Cube1,$G$30,$G$23,$G$24,$G$29,$D$20,$G$26,$G$28,$D$19,BI$66,$BC71,$BC$70))</f>
        <v>#N/A</v>
      </c>
      <c r="BJ71" s="128"/>
      <c r="BK71" s="128"/>
      <c r="BL71" s="128"/>
      <c r="BM71" s="4"/>
    </row>
    <row r="72" spans="1:66" s="24" customFormat="1" ht="23.25" customHeight="1" x14ac:dyDescent="0.25">
      <c r="B72" s="40"/>
      <c r="C72" s="40"/>
      <c r="D72" s="46"/>
      <c r="E72" s="76"/>
      <c r="F72" s="118"/>
      <c r="G72" s="118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23"/>
      <c r="AP72" s="4"/>
      <c r="AQ72" s="4"/>
      <c r="AR72" s="4"/>
      <c r="AS72" s="4"/>
      <c r="AT72" s="29"/>
      <c r="AU72" s="29"/>
      <c r="AV72" s="14"/>
      <c r="AW72" s="14"/>
      <c r="AX72" s="14"/>
      <c r="AY72" s="14"/>
      <c r="AZ72" s="14"/>
      <c r="BA72" s="29"/>
      <c r="BB72" s="125" t="str">
        <f ca="1">_xll.DBRA(Server&amp;$H$11,$BC$72,$BD$18)</f>
        <v>Budget</v>
      </c>
      <c r="BC72" s="2" t="str">
        <f ca="1">$J$11</f>
        <v>BUDG_TOT</v>
      </c>
      <c r="BD72" s="130">
        <f ca="1">_xll.DBRW(Server&amp;Cube1,$G$30,$G$23,$G$24,$G$29,$D$20,$G$26,$G$28,$D$19,BD$66,$BC72,$BC$70)</f>
        <v>-3507.2687916666655</v>
      </c>
      <c r="BE72" s="130">
        <f ca="1">_xll.DBRW(Server&amp;Cube1,$G$30,$G$23,$G$24,$G$29,$D$20,$G$26,$G$28,$D$19,BE$66,$BC72,$BC$70)</f>
        <v>-7014.537583333331</v>
      </c>
      <c r="BF72" s="130">
        <f ca="1">_xll.DBRW(Server&amp;Cube1,$G$30,$G$23,$G$24,$G$29,$D$20,$G$26,$G$28,$D$19,BF$66,$BC72,$BC$70)</f>
        <v>-10521.806375</v>
      </c>
      <c r="BG72" s="130">
        <f ca="1">_xll.DBRW(Server&amp;Cube1,$G$30,$G$23,$G$24,$G$29,$D$20,$G$26,$G$28,$D$19,BG$66,$BC72,$BC$70)</f>
        <v>-13929.075166666662</v>
      </c>
      <c r="BH72" s="130">
        <f ca="1">_xll.DBRW(Server&amp;Cube1,$G$30,$G$23,$G$24,$G$29,$D$20,$G$26,$G$28,$D$19,BH$66,$BC72,$BC$70)</f>
        <v>-17336.343958333335</v>
      </c>
      <c r="BI72" s="130">
        <f ca="1">_xll.DBRW(Server&amp;Cube1,$G$30,$G$23,$G$24,$G$29,$D$20,$G$26,$G$28,$D$19,BI$66,$BC72,$BC$70)</f>
        <v>-21201.11275</v>
      </c>
      <c r="BJ72" s="128"/>
      <c r="BK72" s="128"/>
      <c r="BL72" s="128"/>
      <c r="BM72" s="4"/>
    </row>
    <row r="73" spans="1:66" s="24" customFormat="1" ht="23.25" customHeight="1" x14ac:dyDescent="0.25">
      <c r="B73" s="40"/>
      <c r="C73" s="40"/>
      <c r="D73" s="46"/>
      <c r="E73" s="76"/>
      <c r="F73" s="118"/>
      <c r="G73" s="118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23"/>
      <c r="AP73" s="4"/>
      <c r="AQ73" s="4"/>
      <c r="AR73" s="4"/>
      <c r="AS73" s="4"/>
      <c r="AT73" s="29"/>
      <c r="AU73" s="29"/>
      <c r="AV73" s="14"/>
      <c r="AW73" s="14"/>
      <c r="AX73" s="14"/>
      <c r="AY73" s="14"/>
      <c r="AZ73" s="14"/>
      <c r="BA73" s="29"/>
      <c r="BC73" s="29"/>
      <c r="BD73" s="128"/>
      <c r="BE73" s="128"/>
      <c r="BF73" s="128"/>
      <c r="BG73" s="128"/>
      <c r="BH73" s="128"/>
      <c r="BI73" s="128"/>
      <c r="BJ73" s="128"/>
      <c r="BK73" s="128"/>
      <c r="BL73" s="128"/>
      <c r="BM73" s="4"/>
    </row>
    <row r="74" spans="1:66" s="24" customFormat="1" ht="23.25" customHeight="1" x14ac:dyDescent="0.25">
      <c r="B74" s="40"/>
      <c r="C74" s="40"/>
      <c r="D74" s="46"/>
      <c r="E74" s="76"/>
      <c r="F74" s="118"/>
      <c r="G74" s="118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23"/>
      <c r="AP74" s="4"/>
      <c r="AQ74" s="4"/>
      <c r="AR74" s="4"/>
      <c r="AS74" s="4"/>
      <c r="AT74" s="29"/>
      <c r="AU74" s="29"/>
      <c r="AV74" s="14"/>
      <c r="AW74" s="14"/>
      <c r="AX74" s="14"/>
      <c r="AY74" s="14"/>
      <c r="AZ74" s="14"/>
      <c r="BA74" s="29"/>
      <c r="BB74" s="123" t="str">
        <f ca="1">IF($BE$59="No",_xll.DBRA(Server&amp;$BA$21,$BA$40,$BD$18),_xll.DBRA(Server&amp;$BA$21,$BA$40,$BD$18)&amp; " ("&amp;_xll.DBRA(Server&amp;$BA$21,$BA$44,$BD$18)&amp;")")</f>
        <v>Voyages et Déplacements (Cumulé)</v>
      </c>
      <c r="BC74" s="124" t="s">
        <v>86</v>
      </c>
      <c r="BD74" s="30"/>
      <c r="BE74" s="30"/>
      <c r="BF74" s="30"/>
      <c r="BG74" s="30"/>
      <c r="BH74" s="4"/>
      <c r="BI74" s="4"/>
      <c r="BJ74" s="128"/>
      <c r="BK74" s="128"/>
      <c r="BL74" s="128"/>
      <c r="BM74" s="4"/>
    </row>
    <row r="75" spans="1:66" s="24" customFormat="1" ht="23.25" customHeight="1" x14ac:dyDescent="0.25">
      <c r="B75" s="40"/>
      <c r="C75" s="40"/>
      <c r="D75" s="46"/>
      <c r="E75" s="76"/>
      <c r="F75" s="118"/>
      <c r="G75" s="118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23"/>
      <c r="AP75" s="4"/>
      <c r="AQ75" s="4"/>
      <c r="AR75" s="4"/>
      <c r="AS75" s="4"/>
      <c r="AT75" s="29"/>
      <c r="AU75" s="29"/>
      <c r="AV75" s="14"/>
      <c r="AW75" s="14"/>
      <c r="AX75" s="14"/>
      <c r="AY75" s="14"/>
      <c r="AZ75" s="14"/>
      <c r="BA75" s="29"/>
      <c r="BB75" s="125" t="str">
        <f ca="1">_xll.DBRA(Server&amp;$H$11,$BC$75,$BD$18)</f>
        <v>Réalisé</v>
      </c>
      <c r="BC75" s="2" t="s">
        <v>62</v>
      </c>
      <c r="BD75" s="130">
        <f ca="1">IF(BD$69="yes",#N/A,_xll.DBRW(Server&amp;Cube1,$G$30,$G$23,$G$24,$G$29,$D$20,$G$26,$G$28,$D$19,BD$66,$BC75,$BC$74))</f>
        <v>-14.670469999999991</v>
      </c>
      <c r="BE75" s="130">
        <f ca="1">IF(BE$69="yes",#N/A,_xll.DBRW(Server&amp;Cube1,$G$30,$G$23,$G$24,$G$29,$D$20,$G$26,$G$28,$D$19,BE$66,$BC75,$BC$74))</f>
        <v>-255.62477000000021</v>
      </c>
      <c r="BF75" s="130">
        <f ca="1">IF(BF$69="yes",#N/A,_xll.DBRW(Server&amp;Cube1,$G$30,$G$23,$G$24,$G$29,$D$20,$G$26,$G$28,$D$19,BF$66,$BC75,$BC$74))</f>
        <v>-255.62477000000021</v>
      </c>
      <c r="BG75" s="130" t="e">
        <f ca="1">IF(BG$69="yes",#N/A,_xll.DBRW(Server&amp;Cube1,$G$30,$G$23,$G$24,$G$29,$D$20,$G$26,$G$28,$D$19,BG$66,$BC75,$BC$74))</f>
        <v>#N/A</v>
      </c>
      <c r="BH75" s="130" t="e">
        <f ca="1">IF(BH$69="yes",#N/A,_xll.DBRW(Server&amp;Cube1,$G$30,$G$23,$G$24,$G$29,$D$20,$G$26,$G$28,$D$19,BH$66,$BC75,$BC$74))</f>
        <v>#N/A</v>
      </c>
      <c r="BI75" s="130" t="e">
        <f ca="1">IF(BI$69="yes",#N/A,_xll.DBRW(Server&amp;Cube1,$G$30,$G$23,$G$24,$G$29,$D$20,$G$26,$G$28,$D$19,BI$66,$BC75,$BC$74))</f>
        <v>#N/A</v>
      </c>
      <c r="BJ75" s="128"/>
      <c r="BK75" s="128"/>
      <c r="BL75" s="128"/>
      <c r="BM75" s="4"/>
    </row>
    <row r="76" spans="1:66" s="24" customFormat="1" ht="15.75" x14ac:dyDescent="0.25">
      <c r="B76" s="40"/>
      <c r="C76" s="40"/>
      <c r="D76" s="46"/>
      <c r="E76" s="76"/>
      <c r="F76" s="118"/>
      <c r="G76" s="118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23"/>
      <c r="AT76" s="14"/>
      <c r="AU76" s="14"/>
      <c r="AV76" s="14"/>
      <c r="AW76" s="14"/>
      <c r="AX76" s="14"/>
      <c r="AY76" s="14"/>
      <c r="AZ76" s="14"/>
      <c r="BA76" s="29"/>
      <c r="BB76" s="125" t="str">
        <f ca="1">_xll.DBRA(Server&amp;$H$11,$BC$76,$BD$18)</f>
        <v>Budget</v>
      </c>
      <c r="BC76" s="2" t="str">
        <f ca="1">$P$11</f>
        <v>BUDG_TOT</v>
      </c>
      <c r="BD76" s="130">
        <f ca="1">_xll.DBRW(Server&amp;Cube1,$G$30,$G$23,$G$24,$G$29,$D$20,$G$26,$G$28,$D$19,BD$66,$BC76,$BC$74)</f>
        <v>-233.12833333333336</v>
      </c>
      <c r="BE76" s="130">
        <f ca="1">_xll.DBRW(Server&amp;Cube1,$G$30,$G$23,$G$24,$G$29,$D$20,$G$26,$G$28,$D$19,BE$66,$BC76,$BC$74)</f>
        <v>-466.25666666666672</v>
      </c>
      <c r="BF76" s="130">
        <f ca="1">_xll.DBRW(Server&amp;Cube1,$G$30,$G$23,$G$24,$G$29,$D$20,$G$26,$G$28,$D$19,BF$66,$BC76,$BC$74)</f>
        <v>-699.38499999999999</v>
      </c>
      <c r="BG76" s="130">
        <f ca="1">_xll.DBRW(Server&amp;Cube1,$G$30,$G$23,$G$24,$G$29,$D$20,$G$26,$G$28,$D$19,BG$66,$BC76,$BC$74)</f>
        <v>-932.51333333333343</v>
      </c>
      <c r="BH76" s="130">
        <f ca="1">_xll.DBRW(Server&amp;Cube1,$G$30,$G$23,$G$24,$G$29,$D$20,$G$26,$G$28,$D$19,BH$66,$BC76,$BC$74)</f>
        <v>-1165.6416666666664</v>
      </c>
      <c r="BI76" s="130">
        <f ca="1">_xll.DBRW(Server&amp;Cube1,$G$30,$G$23,$G$24,$G$29,$D$20,$G$26,$G$28,$D$19,BI$66,$BC76,$BC$74)</f>
        <v>-1398.77</v>
      </c>
      <c r="BJ76" s="128"/>
      <c r="BK76" s="128"/>
      <c r="BL76" s="128"/>
      <c r="BM76" s="4"/>
    </row>
    <row r="77" spans="1:66" s="24" customFormat="1" ht="12.75" x14ac:dyDescent="0.2">
      <c r="B77" s="40"/>
      <c r="C77" s="40"/>
      <c r="D77" s="41"/>
      <c r="E77" s="76"/>
      <c r="F77" s="118"/>
      <c r="G77" s="118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23"/>
      <c r="AT77" s="14"/>
      <c r="AU77" s="14"/>
      <c r="AV77" s="14"/>
      <c r="AW77" s="14"/>
      <c r="AX77" s="14"/>
      <c r="AY77" s="14"/>
      <c r="AZ77" s="14"/>
      <c r="BA77" s="29"/>
      <c r="BC77" s="29"/>
      <c r="BD77" s="128"/>
      <c r="BE77" s="128"/>
      <c r="BF77" s="128"/>
      <c r="BG77" s="128"/>
      <c r="BH77" s="128"/>
      <c r="BI77" s="128"/>
      <c r="BJ77" s="128"/>
      <c r="BK77" s="128"/>
      <c r="BL77" s="128"/>
      <c r="BM77" s="4"/>
    </row>
    <row r="78" spans="1:66" s="24" customFormat="1" ht="15.75" x14ac:dyDescent="0.2">
      <c r="B78" s="40"/>
      <c r="C78" s="40"/>
      <c r="D78" s="41"/>
      <c r="E78" s="76"/>
      <c r="F78" s="118"/>
      <c r="G78" s="118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23"/>
      <c r="AT78" s="14"/>
      <c r="AU78" s="14"/>
      <c r="AV78" s="14"/>
      <c r="AW78" s="14"/>
      <c r="AX78" s="14"/>
      <c r="AY78" s="14"/>
      <c r="AZ78" s="14"/>
      <c r="BA78" s="29"/>
      <c r="BB78" s="123" t="str">
        <f ca="1">IF($BE$59="No",_xll.DBRA(Server&amp;$BA$21,$BA$42,$BD$18),_xll.DBRA(Server&amp;$BA$21,$BA$42,$BD$18)&amp; " ("&amp;_xll.DBRA(Server&amp;$BA$21,$BA$44,$BD$18)&amp;")")</f>
        <v>Frais externes (Cumulé)</v>
      </c>
      <c r="BC78" s="124" t="s">
        <v>116</v>
      </c>
      <c r="BD78" s="30"/>
      <c r="BE78" s="30"/>
      <c r="BF78" s="30"/>
      <c r="BG78" s="30"/>
      <c r="BH78" s="4"/>
      <c r="BI78" s="4"/>
      <c r="BJ78" s="128"/>
      <c r="BK78" s="128"/>
      <c r="BL78" s="128"/>
      <c r="BM78" s="4"/>
    </row>
    <row r="79" spans="1:66" s="14" customFormat="1" ht="15.75" x14ac:dyDescent="0.2">
      <c r="A79" s="29"/>
      <c r="B79" s="40"/>
      <c r="C79" s="40"/>
      <c r="D79" s="41"/>
      <c r="E79" s="76"/>
      <c r="F79" s="118"/>
      <c r="G79" s="118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5"/>
      <c r="AQ79" s="29"/>
      <c r="AR79" s="29"/>
      <c r="AS79" s="29"/>
      <c r="BA79" s="29"/>
      <c r="BB79" s="125" t="str">
        <f ca="1">_xll.DBRA(Server&amp;$H$11,$BC$79,$BD$18)</f>
        <v>Réalisé</v>
      </c>
      <c r="BC79" s="2" t="s">
        <v>62</v>
      </c>
      <c r="BD79" s="130">
        <f ca="1">IF(BD$69="yes",#N/A,_xll.DBRW(Server&amp;Cube1,$G$30,$G$23,$G$24,$G$29,$D$20,$G$26,$G$28,$D$19,BD$66,$BC79,$BC$78))</f>
        <v>-359.85756000000003</v>
      </c>
      <c r="BE79" s="130">
        <f ca="1">IF(BE$69="yes",#N/A,_xll.DBRW(Server&amp;Cube1,$G$30,$G$23,$G$24,$G$29,$D$20,$G$26,$G$28,$D$19,BE$66,$BC79,$BC$78))</f>
        <v>-2764.5980799999993</v>
      </c>
      <c r="BF79" s="130">
        <f ca="1">IF(BF$69="yes",#N/A,_xll.DBRW(Server&amp;Cube1,$G$30,$G$23,$G$24,$G$29,$D$20,$G$26,$G$28,$D$19,BF$66,$BC79,$BC$78))</f>
        <v>-2764.5980799999993</v>
      </c>
      <c r="BG79" s="130" t="e">
        <f ca="1">IF(BG$69="yes",#N/A,_xll.DBRW(Server&amp;Cube1,$G$30,$G$23,$G$24,$G$29,$D$20,$G$26,$G$28,$D$19,BG$66,$BC79,$BC$78))</f>
        <v>#N/A</v>
      </c>
      <c r="BH79" s="130" t="e">
        <f ca="1">IF(BH$69="yes",#N/A,_xll.DBRW(Server&amp;Cube1,$G$30,$G$23,$G$24,$G$29,$D$20,$G$26,$G$28,$D$19,BH$66,$BC79,$BC$78))</f>
        <v>#N/A</v>
      </c>
      <c r="BI79" s="130" t="e">
        <f ca="1">IF(BI$69="yes",#N/A,_xll.DBRW(Server&amp;Cube1,$G$30,$G$23,$G$24,$G$29,$D$20,$G$26,$G$28,$D$19,BI$66,$BC79,$BC$78))</f>
        <v>#N/A</v>
      </c>
      <c r="BJ79" s="128"/>
      <c r="BK79" s="128"/>
      <c r="BL79" s="128"/>
      <c r="BM79" s="4"/>
    </row>
    <row r="80" spans="1:66" s="14" customFormat="1" ht="18" customHeight="1" x14ac:dyDescent="0.2">
      <c r="A80" s="29"/>
      <c r="B80" s="40"/>
      <c r="C80" s="40"/>
      <c r="D80" s="41"/>
      <c r="E80" s="76"/>
      <c r="F80" s="118"/>
      <c r="G80" s="118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  <c r="AA80" s="119"/>
      <c r="AB80" s="119"/>
      <c r="AC80" s="119"/>
      <c r="AD80" s="119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5"/>
      <c r="AQ80" s="29"/>
      <c r="AR80" s="29"/>
      <c r="AS80" s="29"/>
      <c r="BA80" s="29"/>
      <c r="BB80" s="125" t="str">
        <f ca="1">_xll.DBRA(Server&amp;$H$11,$BC$80,$BD$18)</f>
        <v>Budget</v>
      </c>
      <c r="BC80" s="2" t="str">
        <f ca="1">$V$11</f>
        <v>BUDG_TOT</v>
      </c>
      <c r="BD80" s="130">
        <f ca="1">_xll.DBRW(Server&amp;Cube1,$G$30,$G$23,$G$24,$G$29,$D$20,$G$26,$G$28,$D$19,BD$66,$BC80,$BC$78)</f>
        <v>-2607.7834166666667</v>
      </c>
      <c r="BE80" s="130">
        <f ca="1">_xll.DBRW(Server&amp;Cube1,$G$30,$G$23,$G$24,$G$29,$D$20,$G$26,$G$28,$D$19,BE$66,$BC80,$BC$78)</f>
        <v>-5215.5668333333333</v>
      </c>
      <c r="BF80" s="130">
        <f ca="1">_xll.DBRW(Server&amp;Cube1,$G$30,$G$23,$G$24,$G$29,$D$20,$G$26,$G$28,$D$19,BF$66,$BC80,$BC$78)</f>
        <v>-7823.3502500000004</v>
      </c>
      <c r="BG80" s="130">
        <f ca="1">_xll.DBRW(Server&amp;Cube1,$G$30,$G$23,$G$24,$G$29,$D$20,$G$26,$G$28,$D$19,BG$66,$BC80,$BC$78)</f>
        <v>-10200.367</v>
      </c>
      <c r="BH80" s="130">
        <f ca="1">_xll.DBRW(Server&amp;Cube1,$G$30,$G$23,$G$24,$G$29,$D$20,$G$26,$G$28,$D$19,BH$66,$BC80,$BC$78)</f>
        <v>-12577.383749999999</v>
      </c>
      <c r="BI80" s="130">
        <f ca="1">_xll.DBRW(Server&amp;Cube1,$G$30,$G$23,$G$24,$G$29,$D$20,$G$26,$G$28,$D$19,BI$66,$BC80,$BC$78)</f>
        <v>-25531.9005</v>
      </c>
      <c r="BJ80" s="128"/>
      <c r="BK80" s="128"/>
      <c r="BL80" s="128"/>
      <c r="BM80" s="4"/>
    </row>
    <row r="81" spans="1:65" s="14" customFormat="1" ht="18" customHeight="1" x14ac:dyDescent="0.2">
      <c r="A81" s="29"/>
      <c r="B81" s="40"/>
      <c r="C81" s="40"/>
      <c r="D81" s="41"/>
      <c r="E81" s="76"/>
      <c r="F81" s="118"/>
      <c r="G81" s="118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  <c r="AA81" s="119"/>
      <c r="AB81" s="119"/>
      <c r="AC81" s="119"/>
      <c r="AD81" s="119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29"/>
      <c r="AP81" s="30"/>
      <c r="AQ81" s="30"/>
      <c r="AR81" s="30"/>
      <c r="AS81" s="30"/>
      <c r="AU81" s="15"/>
      <c r="AV81" s="15"/>
      <c r="AW81" s="15"/>
      <c r="AX81" s="15"/>
      <c r="AY81" s="15"/>
      <c r="AZ81" s="15"/>
      <c r="BA81" s="15"/>
      <c r="BC81" s="29"/>
      <c r="BD81" s="128"/>
      <c r="BE81" s="128"/>
      <c r="BF81" s="128"/>
      <c r="BG81" s="128"/>
      <c r="BH81" s="128"/>
      <c r="BI81" s="128"/>
      <c r="BJ81" s="128"/>
      <c r="BK81" s="128"/>
      <c r="BL81" s="128"/>
      <c r="BM81" s="4"/>
    </row>
    <row r="82" spans="1:65" s="14" customFormat="1" ht="18" customHeight="1" x14ac:dyDescent="0.2">
      <c r="A82" s="29"/>
      <c r="B82" s="40"/>
      <c r="C82" s="40"/>
      <c r="D82" s="41"/>
      <c r="E82" s="76"/>
      <c r="F82" s="118"/>
      <c r="G82" s="118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29"/>
      <c r="AP82" s="30"/>
      <c r="AQ82" s="30"/>
      <c r="AR82" s="30"/>
      <c r="AS82" s="30"/>
      <c r="BB82" s="123" t="str">
        <f ca="1">IF($BE$59="No",_xll.DBRA(Server&amp;$BA$21,$BA$45,$BD$18),_xll.DBRA(Server&amp;$BA$21,$BA$45,$BD$18)&amp; " ("&amp;_xll.DBRA(Server&amp;$BA$21,$BA$44,$BD$18)&amp;")")</f>
        <v>Frais Environnement (Cumulé)</v>
      </c>
      <c r="BC82" s="124" t="s">
        <v>85</v>
      </c>
      <c r="BD82" s="30"/>
      <c r="BE82" s="30"/>
      <c r="BF82" s="30"/>
      <c r="BG82" s="30"/>
      <c r="BH82" s="4"/>
      <c r="BI82" s="4"/>
      <c r="BJ82" s="128"/>
      <c r="BK82" s="128"/>
      <c r="BL82" s="128"/>
      <c r="BM82" s="4"/>
    </row>
    <row r="83" spans="1:65" s="14" customFormat="1" ht="18" customHeight="1" x14ac:dyDescent="0.2">
      <c r="A83" s="29"/>
      <c r="B83" s="40"/>
      <c r="C83" s="40"/>
      <c r="D83" s="41"/>
      <c r="E83" s="76"/>
      <c r="F83" s="118"/>
      <c r="G83" s="118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29"/>
      <c r="AQ83" s="29"/>
      <c r="AR83" s="29"/>
      <c r="AS83" s="29"/>
      <c r="BB83" s="125" t="str">
        <f ca="1">_xll.DBRA(Server&amp;$H$11,$BC$83,$BD$18)</f>
        <v>Réalisé</v>
      </c>
      <c r="BC83" s="2" t="s">
        <v>62</v>
      </c>
      <c r="BD83" s="130">
        <f ca="1">IF(BD$69="yes",#N/A,_xll.DBRW(Server&amp;Cube1,$G$30,$G$23,$G$24,$G$29,$D$20,$G$26,$G$28,$D$19,BD$66,$BC83,$BC$82))</f>
        <v>-184.42423000000031</v>
      </c>
      <c r="BE83" s="130">
        <f ca="1">IF(BE$69="yes",#N/A,_xll.DBRW(Server&amp;Cube1,$G$30,$G$23,$G$24,$G$29,$D$20,$G$26,$G$28,$D$19,BE$66,$BC83,$BC$82))</f>
        <v>-2225.5319200000004</v>
      </c>
      <c r="BF83" s="130">
        <f ca="1">IF(BF$69="yes",#N/A,_xll.DBRW(Server&amp;Cube1,$G$30,$G$23,$G$24,$G$29,$D$20,$G$26,$G$28,$D$19,BF$66,$BC83,$BC$82))</f>
        <v>-2225.5319199999999</v>
      </c>
      <c r="BG83" s="130" t="e">
        <f ca="1">IF(BG$69="yes",#N/A,_xll.DBRW(Server&amp;Cube1,$G$30,$G$23,$G$24,$G$29,$D$20,$G$26,$G$28,$D$19,BG$66,$BC83,$BC$82))</f>
        <v>#N/A</v>
      </c>
      <c r="BH83" s="130" t="e">
        <f ca="1">IF(BH$69="yes",#N/A,_xll.DBRW(Server&amp;Cube1,$G$30,$G$23,$G$24,$G$29,$D$20,$G$26,$G$28,$D$19,BH$66,$BC83,$BC$82))</f>
        <v>#N/A</v>
      </c>
      <c r="BI83" s="130" t="e">
        <f ca="1">IF(BI$69="yes",#N/A,_xll.DBRW(Server&amp;Cube1,$G$30,$G$23,$G$24,$G$29,$D$20,$G$26,$G$28,$D$19,BI$66,$BC83,$BC$82))</f>
        <v>#N/A</v>
      </c>
    </row>
    <row r="84" spans="1:65" s="14" customFormat="1" ht="18" customHeight="1" x14ac:dyDescent="0.2">
      <c r="A84" s="29"/>
      <c r="B84" s="40"/>
      <c r="C84" s="40"/>
      <c r="D84" s="41"/>
      <c r="E84" s="76"/>
      <c r="F84" s="118"/>
      <c r="G84" s="118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29"/>
      <c r="AQ84" s="29"/>
      <c r="AR84" s="29"/>
      <c r="AS84" s="29"/>
      <c r="BB84" s="125" t="str">
        <f ca="1">_xll.DBRA(Server&amp;$H$11,$BC$84,$BD$18)</f>
        <v>Budget</v>
      </c>
      <c r="BC84" s="2" t="str">
        <f ca="1">$AB$11</f>
        <v>BUDG_TOT</v>
      </c>
      <c r="BD84" s="130">
        <f ca="1">_xll.DBRW(Server&amp;Cube1,$G$30,$G$23,$G$24,$G$29,$D$20,$G$26,$G$28,$D$19,BD$66,$BC84,$BC$82)</f>
        <v>-1025.0583333333336</v>
      </c>
      <c r="BE84" s="130">
        <f ca="1">_xll.DBRW(Server&amp;Cube1,$G$30,$G$23,$G$24,$G$29,$D$20,$G$26,$G$28,$D$19,BE$66,$BC84,$BC$82)</f>
        <v>-2050.1166666666672</v>
      </c>
      <c r="BF84" s="130">
        <f ca="1">_xll.DBRW(Server&amp;Cube1,$G$30,$G$23,$G$24,$G$29,$D$20,$G$26,$G$28,$D$19,BF$66,$BC84,$BC$82)</f>
        <v>-3075.1750000000002</v>
      </c>
      <c r="BG84" s="130">
        <f ca="1">_xll.DBRW(Server&amp;Cube1,$G$30,$G$23,$G$24,$G$29,$D$20,$G$26,$G$28,$D$19,BG$66,$BC84,$BC$82)</f>
        <v>-4116.5373333333337</v>
      </c>
      <c r="BH84" s="130">
        <f ca="1">_xll.DBRW(Server&amp;Cube1,$G$30,$G$23,$G$24,$G$29,$D$20,$G$26,$G$28,$D$19,BH$66,$BC84,$BC$82)</f>
        <v>-5265.663125</v>
      </c>
      <c r="BI84" s="130">
        <f ca="1">_xll.DBRW(Server&amp;Cube1,$G$30,$G$23,$G$24,$G$29,$D$20,$G$26,$G$28,$D$19,BI$66,$BC84,$BC$82)</f>
        <v>-6414.7889166666682</v>
      </c>
    </row>
    <row r="85" spans="1:65" s="14" customFormat="1" ht="18" customHeight="1" x14ac:dyDescent="0.2">
      <c r="A85" s="29"/>
      <c r="E85" s="29"/>
      <c r="F85" s="118"/>
      <c r="G85" s="118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29"/>
      <c r="AQ85" s="29"/>
      <c r="AR85" s="29"/>
      <c r="AS85" s="29"/>
    </row>
    <row r="86" spans="1:65" s="14" customFormat="1" ht="18" customHeight="1" x14ac:dyDescent="0.2">
      <c r="A86" s="29"/>
      <c r="E86" s="29"/>
      <c r="F86" s="122"/>
      <c r="G86" s="118"/>
      <c r="H86" s="118"/>
      <c r="I86" s="119"/>
      <c r="J86" s="118"/>
      <c r="K86" s="118"/>
      <c r="L86" s="118"/>
      <c r="M86" s="118"/>
      <c r="N86" s="119"/>
      <c r="O86" s="119"/>
      <c r="P86" s="119"/>
      <c r="Q86" s="119"/>
      <c r="R86" s="119"/>
      <c r="S86" s="119"/>
      <c r="T86" s="118"/>
      <c r="U86" s="118"/>
      <c r="V86" s="119"/>
      <c r="W86" s="119"/>
      <c r="X86" s="119"/>
      <c r="Y86" s="119"/>
      <c r="Z86" s="119"/>
      <c r="AA86" s="119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29"/>
      <c r="AQ86" s="29"/>
      <c r="AR86" s="29"/>
      <c r="AS86" s="29"/>
    </row>
    <row r="87" spans="1:65" s="14" customFormat="1" ht="18" customHeight="1" x14ac:dyDescent="0.2">
      <c r="A87" s="29"/>
      <c r="E87" s="29"/>
      <c r="F87" s="122"/>
      <c r="G87" s="118"/>
      <c r="H87" s="118"/>
      <c r="I87" s="119"/>
      <c r="J87" s="118"/>
      <c r="K87" s="118"/>
      <c r="L87" s="118"/>
      <c r="M87" s="118"/>
      <c r="N87" s="119"/>
      <c r="O87" s="119"/>
      <c r="P87" s="119"/>
      <c r="Q87" s="119"/>
      <c r="R87" s="119"/>
      <c r="S87" s="119"/>
      <c r="T87" s="118"/>
      <c r="U87" s="118"/>
      <c r="V87" s="119"/>
      <c r="W87" s="119"/>
      <c r="X87" s="119"/>
      <c r="Y87" s="119"/>
      <c r="Z87" s="119"/>
      <c r="AA87" s="119"/>
      <c r="AB87" s="119"/>
      <c r="AC87" s="119"/>
      <c r="AD87" s="119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29"/>
      <c r="AQ87" s="29"/>
      <c r="AR87" s="29"/>
      <c r="AS87" s="29"/>
    </row>
    <row r="88" spans="1:65" s="14" customFormat="1" ht="18" customHeight="1" x14ac:dyDescent="0.2">
      <c r="A88" s="29"/>
      <c r="E88" s="29"/>
      <c r="F88" s="122"/>
      <c r="G88" s="118"/>
      <c r="H88" s="118"/>
      <c r="I88" s="119"/>
      <c r="J88" s="118"/>
      <c r="K88" s="118"/>
      <c r="L88" s="118"/>
      <c r="M88" s="118"/>
      <c r="N88" s="119"/>
      <c r="O88" s="119"/>
      <c r="P88" s="119"/>
      <c r="Q88" s="119"/>
      <c r="R88" s="119"/>
      <c r="S88" s="119"/>
      <c r="T88" s="118"/>
      <c r="U88" s="118"/>
      <c r="V88" s="119"/>
      <c r="W88" s="119"/>
      <c r="X88" s="119"/>
      <c r="Y88" s="119"/>
      <c r="Z88" s="119"/>
      <c r="AA88" s="119"/>
      <c r="AB88" s="119"/>
      <c r="AC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29"/>
      <c r="AQ88" s="29"/>
      <c r="AR88" s="29"/>
      <c r="AS88" s="29"/>
    </row>
    <row r="89" spans="1:65" s="14" customFormat="1" ht="18" customHeight="1" x14ac:dyDescent="0.2">
      <c r="A89" s="29"/>
      <c r="E89" s="29"/>
      <c r="F89" s="122"/>
      <c r="G89" s="118"/>
      <c r="H89" s="118"/>
      <c r="I89" s="119"/>
      <c r="J89" s="118"/>
      <c r="K89" s="118"/>
      <c r="L89" s="118"/>
      <c r="M89" s="118"/>
      <c r="N89" s="119"/>
      <c r="O89" s="119"/>
      <c r="P89" s="119"/>
      <c r="Q89" s="119"/>
      <c r="R89" s="119"/>
      <c r="S89" s="119"/>
      <c r="T89" s="118"/>
      <c r="U89" s="118"/>
      <c r="V89" s="119"/>
      <c r="W89" s="119"/>
      <c r="X89" s="119"/>
      <c r="Y89" s="119"/>
      <c r="Z89" s="119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29"/>
      <c r="AQ89" s="29"/>
      <c r="AR89" s="29"/>
      <c r="AS89" s="29"/>
    </row>
    <row r="90" spans="1:65" s="14" customFormat="1" ht="18" customHeight="1" x14ac:dyDescent="0.2">
      <c r="A90" s="29"/>
      <c r="E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Q90" s="29"/>
      <c r="AR90" s="29"/>
      <c r="AS90" s="29"/>
    </row>
    <row r="91" spans="1:65" s="14" customFormat="1" ht="18" customHeight="1" x14ac:dyDescent="0.2">
      <c r="A91" s="29"/>
      <c r="E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Q91" s="29"/>
      <c r="AR91" s="29"/>
      <c r="AS91" s="29"/>
    </row>
    <row r="92" spans="1:65" s="14" customFormat="1" ht="18" customHeight="1" x14ac:dyDescent="0.2">
      <c r="A92" s="29"/>
      <c r="E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Q92" s="29"/>
      <c r="AR92" s="29"/>
      <c r="AS92" s="29"/>
    </row>
    <row r="93" spans="1:65" s="14" customFormat="1" ht="18" customHeight="1" x14ac:dyDescent="0.2">
      <c r="A93" s="29"/>
      <c r="E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Q93" s="29"/>
      <c r="AR93" s="29"/>
      <c r="AS93" s="29"/>
    </row>
    <row r="94" spans="1:65" s="14" customFormat="1" ht="18" customHeight="1" x14ac:dyDescent="0.2">
      <c r="A94" s="29"/>
      <c r="E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Q94" s="29"/>
      <c r="AR94" s="29"/>
      <c r="AS94" s="29"/>
    </row>
    <row r="95" spans="1:65" s="14" customFormat="1" ht="18" customHeight="1" x14ac:dyDescent="0.2">
      <c r="A95" s="29"/>
      <c r="E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Q95" s="29"/>
      <c r="AR95" s="29"/>
      <c r="AS95" s="29"/>
    </row>
    <row r="96" spans="1:65" s="14" customFormat="1" ht="18" customHeight="1" x14ac:dyDescent="0.2">
      <c r="A96" s="29"/>
      <c r="D96" s="30"/>
      <c r="E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Q96" s="29"/>
      <c r="AR96" s="29"/>
      <c r="AS96" s="29"/>
    </row>
    <row r="97" spans="1:45" s="14" customFormat="1" ht="18" customHeight="1" x14ac:dyDescent="0.2">
      <c r="A97" s="29"/>
      <c r="E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Q97" s="29"/>
      <c r="AR97" s="29"/>
      <c r="AS97" s="29"/>
    </row>
    <row r="98" spans="1:45" s="14" customFormat="1" ht="18" customHeight="1" x14ac:dyDescent="0.2">
      <c r="A98" s="29"/>
      <c r="E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Q98" s="29"/>
      <c r="AR98" s="29"/>
      <c r="AS98" s="29"/>
    </row>
    <row r="99" spans="1:45" s="14" customFormat="1" ht="18" customHeight="1" x14ac:dyDescent="0.2">
      <c r="A99" s="29"/>
      <c r="E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Q99" s="29"/>
      <c r="AR99" s="29"/>
      <c r="AS99" s="29"/>
    </row>
    <row r="100" spans="1:45" s="14" customFormat="1" ht="18" customHeight="1" x14ac:dyDescent="0.2">
      <c r="A100" s="29"/>
      <c r="E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Q100" s="29"/>
      <c r="AR100" s="29"/>
      <c r="AS100" s="29"/>
    </row>
    <row r="101" spans="1:45" s="14" customFormat="1" ht="18" customHeight="1" x14ac:dyDescent="0.2">
      <c r="A101" s="29"/>
      <c r="E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Q101" s="29"/>
      <c r="AR101" s="29"/>
      <c r="AS101" s="29"/>
    </row>
    <row r="102" spans="1:45" s="14" customFormat="1" ht="18" customHeight="1" x14ac:dyDescent="0.2">
      <c r="A102" s="29"/>
      <c r="E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Q102" s="29"/>
      <c r="AR102" s="29"/>
      <c r="AS102" s="29"/>
    </row>
    <row r="103" spans="1:45" s="14" customFormat="1" ht="18" customHeight="1" x14ac:dyDescent="0.2">
      <c r="A103" s="29"/>
      <c r="E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Q103" s="29"/>
      <c r="AR103" s="29"/>
      <c r="AS103" s="29"/>
    </row>
    <row r="104" spans="1:45" s="14" customFormat="1" ht="18" customHeight="1" x14ac:dyDescent="0.2">
      <c r="A104" s="29"/>
      <c r="E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Q104" s="29"/>
      <c r="AR104" s="29"/>
      <c r="AS104" s="29"/>
    </row>
    <row r="105" spans="1:45" s="14" customFormat="1" ht="18" customHeight="1" x14ac:dyDescent="0.2">
      <c r="A105" s="29"/>
      <c r="E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Q105" s="29"/>
      <c r="AR105" s="29"/>
      <c r="AS105" s="29"/>
    </row>
    <row r="106" spans="1:45" s="14" customFormat="1" ht="18" customHeight="1" x14ac:dyDescent="0.2">
      <c r="A106" s="29"/>
      <c r="E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Q106" s="29"/>
      <c r="AR106" s="29"/>
      <c r="AS106" s="29"/>
    </row>
    <row r="107" spans="1:45" s="14" customFormat="1" ht="18" customHeight="1" x14ac:dyDescent="0.2">
      <c r="A107" s="29"/>
      <c r="E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Q107" s="29"/>
      <c r="AR107" s="29"/>
      <c r="AS107" s="29"/>
    </row>
    <row r="108" spans="1:45" s="14" customFormat="1" ht="18" customHeight="1" x14ac:dyDescent="0.2">
      <c r="A108" s="29"/>
      <c r="E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Q108" s="29"/>
      <c r="AR108" s="29"/>
      <c r="AS108" s="29"/>
    </row>
    <row r="109" spans="1:45" s="14" customFormat="1" ht="18" customHeight="1" x14ac:dyDescent="0.2">
      <c r="A109" s="29"/>
      <c r="E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Q109" s="29"/>
      <c r="AR109" s="29"/>
      <c r="AS109" s="29"/>
    </row>
    <row r="110" spans="1:45" s="14" customFormat="1" ht="18" customHeight="1" x14ac:dyDescent="0.2">
      <c r="A110" s="29"/>
      <c r="E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Q110" s="29"/>
      <c r="AR110" s="29"/>
      <c r="AS110" s="29"/>
    </row>
    <row r="111" spans="1:45" s="14" customFormat="1" ht="18" customHeight="1" x14ac:dyDescent="0.2">
      <c r="A111" s="29"/>
      <c r="E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Q111" s="29"/>
      <c r="AR111" s="29"/>
      <c r="AS111" s="29"/>
    </row>
    <row r="112" spans="1:45" s="14" customFormat="1" ht="18" customHeight="1" x14ac:dyDescent="0.2">
      <c r="A112" s="29"/>
      <c r="E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Q112" s="29"/>
      <c r="AR112" s="29"/>
      <c r="AS112" s="29"/>
    </row>
    <row r="113" spans="1:45" s="14" customFormat="1" ht="18" customHeight="1" x14ac:dyDescent="0.2">
      <c r="A113" s="29"/>
      <c r="E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Q113" s="29"/>
      <c r="AR113" s="29"/>
      <c r="AS113" s="29"/>
    </row>
    <row r="114" spans="1:45" s="14" customFormat="1" ht="18" customHeight="1" x14ac:dyDescent="0.2">
      <c r="A114" s="29"/>
      <c r="E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Q114" s="29"/>
      <c r="AR114" s="29"/>
      <c r="AS114" s="29"/>
    </row>
    <row r="115" spans="1:45" s="14" customFormat="1" ht="18" customHeight="1" x14ac:dyDescent="0.2">
      <c r="A115" s="29"/>
      <c r="E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Q115" s="29"/>
      <c r="AR115" s="29"/>
      <c r="AS115" s="29"/>
    </row>
    <row r="116" spans="1:45" s="14" customFormat="1" ht="18" customHeight="1" x14ac:dyDescent="0.2">
      <c r="A116" s="29"/>
      <c r="E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Q116" s="29"/>
      <c r="AR116" s="29"/>
      <c r="AS116" s="29"/>
    </row>
    <row r="117" spans="1:45" s="14" customFormat="1" ht="18" customHeight="1" x14ac:dyDescent="0.2">
      <c r="A117" s="29"/>
      <c r="E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Q117" s="29"/>
      <c r="AR117" s="29"/>
      <c r="AS117" s="29"/>
    </row>
    <row r="118" spans="1:45" s="14" customFormat="1" ht="18" customHeight="1" x14ac:dyDescent="0.2">
      <c r="A118" s="29"/>
      <c r="E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Q118" s="29"/>
      <c r="AR118" s="29"/>
      <c r="AS118" s="29"/>
    </row>
    <row r="119" spans="1:45" s="14" customFormat="1" ht="18" customHeight="1" x14ac:dyDescent="0.2">
      <c r="A119" s="29"/>
      <c r="E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Q119" s="29"/>
      <c r="AR119" s="29"/>
      <c r="AS119" s="29"/>
    </row>
    <row r="120" spans="1:45" s="14" customFormat="1" ht="18" customHeight="1" x14ac:dyDescent="0.2">
      <c r="A120" s="29"/>
      <c r="E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Q120" s="29"/>
      <c r="AR120" s="29"/>
      <c r="AS120" s="29"/>
    </row>
    <row r="121" spans="1:45" s="14" customFormat="1" ht="18" customHeight="1" x14ac:dyDescent="0.2">
      <c r="A121" s="29"/>
      <c r="E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Q121" s="29"/>
      <c r="AR121" s="29"/>
      <c r="AS121" s="29"/>
    </row>
    <row r="122" spans="1:45" s="14" customFormat="1" ht="18" customHeight="1" x14ac:dyDescent="0.2">
      <c r="A122" s="29"/>
      <c r="E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Q122" s="29"/>
      <c r="AR122" s="29"/>
      <c r="AS122" s="29"/>
    </row>
    <row r="123" spans="1:45" s="14" customFormat="1" ht="18" customHeight="1" x14ac:dyDescent="0.2">
      <c r="A123" s="29"/>
      <c r="E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Q123" s="29"/>
      <c r="AR123" s="29"/>
      <c r="AS123" s="29"/>
    </row>
    <row r="124" spans="1:45" s="14" customFormat="1" ht="18" customHeight="1" x14ac:dyDescent="0.2">
      <c r="A124" s="29"/>
      <c r="E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Q124" s="29"/>
      <c r="AR124" s="29"/>
      <c r="AS124" s="29"/>
    </row>
    <row r="125" spans="1:45" s="14" customFormat="1" ht="18" customHeight="1" x14ac:dyDescent="0.2">
      <c r="A125" s="29"/>
      <c r="E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Q125" s="29"/>
      <c r="AR125" s="29"/>
      <c r="AS125" s="29"/>
    </row>
    <row r="126" spans="1:45" s="14" customFormat="1" ht="18" customHeight="1" x14ac:dyDescent="0.2">
      <c r="A126" s="29"/>
      <c r="E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Q126" s="29"/>
      <c r="AR126" s="29"/>
      <c r="AS126" s="29"/>
    </row>
    <row r="127" spans="1:45" s="14" customFormat="1" ht="18" customHeight="1" x14ac:dyDescent="0.2">
      <c r="A127" s="29"/>
      <c r="E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Q127" s="29"/>
      <c r="AR127" s="29"/>
      <c r="AS127" s="29"/>
    </row>
    <row r="128" spans="1:45" s="14" customFormat="1" ht="18" customHeight="1" x14ac:dyDescent="0.2">
      <c r="A128" s="29"/>
      <c r="E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Q128" s="29"/>
      <c r="AR128" s="29"/>
      <c r="AS128" s="29"/>
    </row>
    <row r="129" spans="1:45" s="14" customFormat="1" ht="18" customHeight="1" x14ac:dyDescent="0.2">
      <c r="A129" s="29"/>
      <c r="E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Q129" s="29"/>
      <c r="AR129" s="29"/>
      <c r="AS129" s="29"/>
    </row>
    <row r="130" spans="1:45" s="14" customFormat="1" ht="18" customHeight="1" x14ac:dyDescent="0.2">
      <c r="A130" s="29"/>
      <c r="E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Q130" s="29"/>
      <c r="AR130" s="29"/>
      <c r="AS130" s="29"/>
    </row>
    <row r="131" spans="1:45" s="14" customFormat="1" ht="18" customHeight="1" x14ac:dyDescent="0.2">
      <c r="A131" s="29"/>
      <c r="E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Q131" s="29"/>
      <c r="AR131" s="29"/>
      <c r="AS131" s="29"/>
    </row>
    <row r="132" spans="1:45" s="14" customFormat="1" ht="18" customHeight="1" x14ac:dyDescent="0.2">
      <c r="A132" s="29"/>
      <c r="E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Q132" s="29"/>
      <c r="AR132" s="29"/>
      <c r="AS132" s="29"/>
    </row>
    <row r="133" spans="1:45" s="14" customFormat="1" ht="18" customHeight="1" x14ac:dyDescent="0.2">
      <c r="A133" s="29"/>
      <c r="E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Q133" s="29"/>
      <c r="AR133" s="29"/>
      <c r="AS133" s="29"/>
    </row>
    <row r="134" spans="1:45" s="14" customFormat="1" ht="18" customHeight="1" x14ac:dyDescent="0.2">
      <c r="A134" s="29"/>
      <c r="E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Q134" s="29"/>
      <c r="AR134" s="29"/>
      <c r="AS134" s="29"/>
    </row>
    <row r="135" spans="1:45" s="14" customFormat="1" ht="18" customHeight="1" x14ac:dyDescent="0.2">
      <c r="A135" s="29"/>
      <c r="E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Q135" s="29"/>
      <c r="AR135" s="29"/>
      <c r="AS135" s="29"/>
    </row>
    <row r="136" spans="1:45" s="14" customFormat="1" ht="18" customHeight="1" x14ac:dyDescent="0.2">
      <c r="A136" s="29"/>
      <c r="E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Q136" s="29"/>
      <c r="AR136" s="29"/>
      <c r="AS136" s="29"/>
    </row>
    <row r="137" spans="1:45" s="14" customFormat="1" ht="18" customHeight="1" x14ac:dyDescent="0.2">
      <c r="A137" s="29"/>
      <c r="E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Q137" s="29"/>
      <c r="AR137" s="29"/>
      <c r="AS137" s="29"/>
    </row>
    <row r="138" spans="1:45" s="14" customFormat="1" ht="18" customHeight="1" x14ac:dyDescent="0.2">
      <c r="A138" s="29"/>
      <c r="E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Q138" s="29"/>
      <c r="AR138" s="29"/>
      <c r="AS138" s="29"/>
    </row>
    <row r="139" spans="1:45" s="14" customFormat="1" ht="18" customHeight="1" x14ac:dyDescent="0.2">
      <c r="A139" s="29"/>
      <c r="E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Q139" s="29"/>
      <c r="AR139" s="29"/>
      <c r="AS139" s="29"/>
    </row>
    <row r="140" spans="1:45" s="14" customFormat="1" ht="18" customHeight="1" x14ac:dyDescent="0.2">
      <c r="A140" s="29"/>
      <c r="E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Q140" s="29"/>
      <c r="AR140" s="29"/>
      <c r="AS140" s="29"/>
    </row>
    <row r="141" spans="1:45" s="14" customFormat="1" ht="18" customHeight="1" x14ac:dyDescent="0.2">
      <c r="A141" s="29"/>
      <c r="E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Q141" s="29"/>
      <c r="AR141" s="29"/>
      <c r="AS141" s="29"/>
    </row>
    <row r="142" spans="1:45" s="14" customFormat="1" ht="18" customHeight="1" x14ac:dyDescent="0.2">
      <c r="A142" s="29"/>
      <c r="E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Q142" s="29"/>
      <c r="AR142" s="29"/>
      <c r="AS142" s="29"/>
    </row>
    <row r="143" spans="1:45" s="14" customFormat="1" ht="18" customHeight="1" x14ac:dyDescent="0.2">
      <c r="A143" s="29"/>
      <c r="E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Q143" s="29"/>
      <c r="AR143" s="29"/>
      <c r="AS143" s="29"/>
    </row>
    <row r="144" spans="1:45" s="14" customFormat="1" ht="18" customHeight="1" x14ac:dyDescent="0.2">
      <c r="A144" s="29"/>
      <c r="E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Q144" s="29"/>
      <c r="AR144" s="29"/>
      <c r="AS144" s="29"/>
    </row>
    <row r="145" spans="1:45" s="14" customFormat="1" ht="18" customHeight="1" x14ac:dyDescent="0.2">
      <c r="A145" s="29"/>
      <c r="E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Q145" s="29"/>
      <c r="AR145" s="29"/>
      <c r="AS145" s="29"/>
    </row>
    <row r="146" spans="1:45" s="14" customFormat="1" ht="18" customHeight="1" x14ac:dyDescent="0.2">
      <c r="A146" s="29"/>
      <c r="E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Q146" s="29"/>
      <c r="AR146" s="29"/>
      <c r="AS146" s="29"/>
    </row>
    <row r="147" spans="1:45" s="14" customFormat="1" ht="18" customHeight="1" x14ac:dyDescent="0.2">
      <c r="A147" s="29"/>
      <c r="E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Q147" s="29"/>
      <c r="AR147" s="29"/>
      <c r="AS147" s="29"/>
    </row>
    <row r="148" spans="1:45" s="14" customFormat="1" ht="18" customHeight="1" x14ac:dyDescent="0.2">
      <c r="A148" s="29"/>
      <c r="E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Q148" s="29"/>
      <c r="AR148" s="29"/>
      <c r="AS148" s="29"/>
    </row>
    <row r="149" spans="1:45" s="14" customFormat="1" ht="18" customHeight="1" x14ac:dyDescent="0.2">
      <c r="A149" s="29"/>
      <c r="E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Q149" s="29"/>
      <c r="AR149" s="29"/>
      <c r="AS149" s="29"/>
    </row>
    <row r="150" spans="1:45" s="14" customFormat="1" ht="18" customHeight="1" x14ac:dyDescent="0.2">
      <c r="A150" s="29"/>
      <c r="E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Q150" s="29"/>
      <c r="AR150" s="29"/>
      <c r="AS150" s="29"/>
    </row>
    <row r="151" spans="1:45" s="14" customFormat="1" ht="18" customHeight="1" x14ac:dyDescent="0.2">
      <c r="A151" s="29"/>
      <c r="E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Q151" s="29"/>
      <c r="AR151" s="29"/>
      <c r="AS151" s="29"/>
    </row>
    <row r="152" spans="1:45" s="14" customFormat="1" ht="18" customHeight="1" x14ac:dyDescent="0.2">
      <c r="A152" s="29"/>
      <c r="E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Q152" s="29"/>
      <c r="AR152" s="29"/>
      <c r="AS152" s="29"/>
    </row>
    <row r="153" spans="1:45" s="14" customFormat="1" ht="18" customHeight="1" x14ac:dyDescent="0.2">
      <c r="A153" s="29"/>
      <c r="E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Q153" s="29"/>
      <c r="AR153" s="29"/>
      <c r="AS153" s="29"/>
    </row>
    <row r="154" spans="1:45" s="14" customFormat="1" ht="18" customHeight="1" x14ac:dyDescent="0.2">
      <c r="A154" s="29"/>
      <c r="E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Q154" s="29"/>
      <c r="AR154" s="29"/>
      <c r="AS154" s="29"/>
    </row>
    <row r="155" spans="1:45" s="14" customFormat="1" ht="18" customHeight="1" x14ac:dyDescent="0.2">
      <c r="A155" s="29"/>
      <c r="E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Q155" s="29"/>
      <c r="AR155" s="29"/>
      <c r="AS155" s="29"/>
    </row>
    <row r="156" spans="1:45" s="14" customFormat="1" ht="18" customHeight="1" x14ac:dyDescent="0.2">
      <c r="A156" s="29"/>
      <c r="E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Q156" s="29"/>
      <c r="AR156" s="29"/>
      <c r="AS156" s="29"/>
    </row>
    <row r="157" spans="1:45" s="14" customFormat="1" ht="18" customHeight="1" x14ac:dyDescent="0.2">
      <c r="A157" s="29"/>
      <c r="E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Q157" s="29"/>
      <c r="AR157" s="29"/>
      <c r="AS157" s="29"/>
    </row>
    <row r="158" spans="1:45" s="14" customFormat="1" ht="18" customHeight="1" x14ac:dyDescent="0.2">
      <c r="A158" s="29"/>
      <c r="E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Q158" s="29"/>
      <c r="AR158" s="29"/>
      <c r="AS158" s="29"/>
    </row>
  </sheetData>
  <sheetProtection sheet="1" objects="1" scenarios="1" formatColumns="0" formatRows="0"/>
  <protectedRanges>
    <protectedRange sqref="G59:AI61" name="Commentaires"/>
  </protectedRanges>
  <mergeCells count="21">
    <mergeCell ref="K11:L11"/>
    <mergeCell ref="Q33:R33"/>
    <mergeCell ref="W33:X33"/>
    <mergeCell ref="AC33:AD33"/>
    <mergeCell ref="G19:AI20"/>
    <mergeCell ref="BF30:BH30"/>
    <mergeCell ref="AS30:AS32"/>
    <mergeCell ref="AP35:AQ35"/>
    <mergeCell ref="F35:G35"/>
    <mergeCell ref="AJ19:AK20"/>
    <mergeCell ref="AL33:AM33"/>
    <mergeCell ref="K33:L33"/>
    <mergeCell ref="F59:AL59"/>
    <mergeCell ref="F60:AL60"/>
    <mergeCell ref="F61:AL61"/>
    <mergeCell ref="F62:AL62"/>
    <mergeCell ref="I31:K32"/>
    <mergeCell ref="O31:Q32"/>
    <mergeCell ref="U31:W32"/>
    <mergeCell ref="AA31:AC32"/>
    <mergeCell ref="AJ31:AL32"/>
  </mergeCells>
  <phoneticPr fontId="0" type="noConversion"/>
  <conditionalFormatting sqref="AN35">
    <cfRule type="cellIs" dxfId="104" priority="6141" operator="equal">
      <formula>$BF$32</formula>
    </cfRule>
  </conditionalFormatting>
  <conditionalFormatting sqref="AN35">
    <cfRule type="cellIs" dxfId="103" priority="6140" operator="equal">
      <formula>$BG$32</formula>
    </cfRule>
  </conditionalFormatting>
  <conditionalFormatting sqref="AN35">
    <cfRule type="cellIs" dxfId="102" priority="6139" operator="equal">
      <formula>$BH$32</formula>
    </cfRule>
  </conditionalFormatting>
  <conditionalFormatting sqref="M2:M7">
    <cfRule type="cellIs" dxfId="101" priority="4920" operator="equal">
      <formula>$BF$32</formula>
    </cfRule>
  </conditionalFormatting>
  <conditionalFormatting sqref="M2:M7">
    <cfRule type="cellIs" dxfId="100" priority="4919" operator="equal">
      <formula>$BG$32</formula>
    </cfRule>
  </conditionalFormatting>
  <conditionalFormatting sqref="M2:M7">
    <cfRule type="cellIs" dxfId="99" priority="4918" operator="equal">
      <formula>$BH$32</formula>
    </cfRule>
  </conditionalFormatting>
  <conditionalFormatting sqref="M35">
    <cfRule type="cellIs" dxfId="98" priority="4923" operator="equal">
      <formula>$BF$32</formula>
    </cfRule>
  </conditionalFormatting>
  <conditionalFormatting sqref="M35">
    <cfRule type="cellIs" dxfId="97" priority="4922" operator="equal">
      <formula>$BG$32</formula>
    </cfRule>
  </conditionalFormatting>
  <conditionalFormatting sqref="M35">
    <cfRule type="cellIs" dxfId="96" priority="4921" operator="equal">
      <formula>$BH$32</formula>
    </cfRule>
  </conditionalFormatting>
  <conditionalFormatting sqref="S35">
    <cfRule type="cellIs" dxfId="95" priority="4824" operator="equal">
      <formula>$BF$32</formula>
    </cfRule>
  </conditionalFormatting>
  <conditionalFormatting sqref="S35">
    <cfRule type="cellIs" dxfId="94" priority="4823" operator="equal">
      <formula>$BG$32</formula>
    </cfRule>
  </conditionalFormatting>
  <conditionalFormatting sqref="S35">
    <cfRule type="cellIs" dxfId="93" priority="4822" operator="equal">
      <formula>$BH$32</formula>
    </cfRule>
  </conditionalFormatting>
  <conditionalFormatting sqref="Y35">
    <cfRule type="cellIs" dxfId="92" priority="4821" operator="equal">
      <formula>$BF$32</formula>
    </cfRule>
  </conditionalFormatting>
  <conditionalFormatting sqref="Y35">
    <cfRule type="cellIs" dxfId="91" priority="4820" operator="equal">
      <formula>$BG$32</formula>
    </cfRule>
  </conditionalFormatting>
  <conditionalFormatting sqref="Y35">
    <cfRule type="cellIs" dxfId="90" priority="4819" operator="equal">
      <formula>$BH$32</formula>
    </cfRule>
  </conditionalFormatting>
  <conditionalFormatting sqref="AE35">
    <cfRule type="cellIs" dxfId="89" priority="4818" operator="equal">
      <formula>$BF$32</formula>
    </cfRule>
  </conditionalFormatting>
  <conditionalFormatting sqref="AE35">
    <cfRule type="cellIs" dxfId="88" priority="4817" operator="equal">
      <formula>$BG$32</formula>
    </cfRule>
  </conditionalFormatting>
  <conditionalFormatting sqref="AE35">
    <cfRule type="cellIs" dxfId="87" priority="4816" operator="equal">
      <formula>$BH$32</formula>
    </cfRule>
  </conditionalFormatting>
  <conditionalFormatting sqref="S2:S7">
    <cfRule type="cellIs" dxfId="86" priority="4692" operator="equal">
      <formula>$BF$32</formula>
    </cfRule>
  </conditionalFormatting>
  <conditionalFormatting sqref="S2:S7">
    <cfRule type="cellIs" dxfId="85" priority="4691" operator="equal">
      <formula>$BG$32</formula>
    </cfRule>
  </conditionalFormatting>
  <conditionalFormatting sqref="S2:S7">
    <cfRule type="cellIs" dxfId="84" priority="4690" operator="equal">
      <formula>$BH$32</formula>
    </cfRule>
  </conditionalFormatting>
  <conditionalFormatting sqref="AE2:AE7">
    <cfRule type="cellIs" dxfId="83" priority="4569" operator="equal">
      <formula>$BF$32</formula>
    </cfRule>
  </conditionalFormatting>
  <conditionalFormatting sqref="AE2:AE7">
    <cfRule type="cellIs" dxfId="82" priority="4568" operator="equal">
      <formula>$BG$32</formula>
    </cfRule>
  </conditionalFormatting>
  <conditionalFormatting sqref="AE2:AE7">
    <cfRule type="cellIs" dxfId="81" priority="4567" operator="equal">
      <formula>$BH$32</formula>
    </cfRule>
  </conditionalFormatting>
  <conditionalFormatting sqref="AN2:AN7">
    <cfRule type="cellIs" dxfId="80" priority="4494" operator="equal">
      <formula>$BF$32</formula>
    </cfRule>
  </conditionalFormatting>
  <conditionalFormatting sqref="AN2:AN7">
    <cfRule type="cellIs" dxfId="79" priority="4493" operator="equal">
      <formula>$BG$32</formula>
    </cfRule>
  </conditionalFormatting>
  <conditionalFormatting sqref="AN2:AN7">
    <cfRule type="cellIs" dxfId="78" priority="4492" operator="equal">
      <formula>$BH$32</formula>
    </cfRule>
  </conditionalFormatting>
  <conditionalFormatting sqref="Y2:Y7">
    <cfRule type="cellIs" dxfId="77" priority="4638" operator="equal">
      <formula>$BF$32</formula>
    </cfRule>
  </conditionalFormatting>
  <conditionalFormatting sqref="Y2:Y7">
    <cfRule type="cellIs" dxfId="76" priority="4637" operator="equal">
      <formula>$BG$32</formula>
    </cfRule>
  </conditionalFormatting>
  <conditionalFormatting sqref="Y2:Y7">
    <cfRule type="cellIs" dxfId="75" priority="4636" operator="equal">
      <formula>$BH$32</formula>
    </cfRule>
  </conditionalFormatting>
  <conditionalFormatting sqref="M52:M54">
    <cfRule type="cellIs" dxfId="14" priority="15" operator="equal">
      <formula>$BF$32</formula>
    </cfRule>
  </conditionalFormatting>
  <conditionalFormatting sqref="M52:M54">
    <cfRule type="cellIs" dxfId="13" priority="14" operator="equal">
      <formula>$BG$32</formula>
    </cfRule>
  </conditionalFormatting>
  <conditionalFormatting sqref="M52:M54">
    <cfRule type="cellIs" dxfId="12" priority="13" operator="equal">
      <formula>$BH$32</formula>
    </cfRule>
  </conditionalFormatting>
  <conditionalFormatting sqref="S52:S54">
    <cfRule type="cellIs" dxfId="11" priority="12" operator="equal">
      <formula>$BF$32</formula>
    </cfRule>
  </conditionalFormatting>
  <conditionalFormatting sqref="S52:S54">
    <cfRule type="cellIs" dxfId="10" priority="11" operator="equal">
      <formula>$BG$32</formula>
    </cfRule>
  </conditionalFormatting>
  <conditionalFormatting sqref="S52:S54">
    <cfRule type="cellIs" dxfId="9" priority="10" operator="equal">
      <formula>$BH$32</formula>
    </cfRule>
  </conditionalFormatting>
  <conditionalFormatting sqref="AE52:AE54">
    <cfRule type="cellIs" dxfId="8" priority="6" operator="equal">
      <formula>$BF$32</formula>
    </cfRule>
  </conditionalFormatting>
  <conditionalFormatting sqref="AE52:AE54">
    <cfRule type="cellIs" dxfId="7" priority="5" operator="equal">
      <formula>$BG$32</formula>
    </cfRule>
  </conditionalFormatting>
  <conditionalFormatting sqref="AE52:AE54">
    <cfRule type="cellIs" dxfId="6" priority="4" operator="equal">
      <formula>$BH$32</formula>
    </cfRule>
  </conditionalFormatting>
  <conditionalFormatting sqref="AN52:AN54">
    <cfRule type="cellIs" dxfId="5" priority="3" operator="equal">
      <formula>$BF$32</formula>
    </cfRule>
  </conditionalFormatting>
  <conditionalFormatting sqref="AN52:AN54">
    <cfRule type="cellIs" dxfId="4" priority="2" operator="equal">
      <formula>$BG$32</formula>
    </cfRule>
  </conditionalFormatting>
  <conditionalFormatting sqref="AN52:AN54">
    <cfRule type="cellIs" dxfId="3" priority="1" operator="equal">
      <formula>$BH$32</formula>
    </cfRule>
  </conditionalFormatting>
  <conditionalFormatting sqref="Y52:Y54">
    <cfRule type="cellIs" dxfId="2" priority="9" operator="equal">
      <formula>$BF$32</formula>
    </cfRule>
  </conditionalFormatting>
  <conditionalFormatting sqref="Y52:Y54">
    <cfRule type="cellIs" dxfId="1" priority="8" operator="equal">
      <formula>$BG$32</formula>
    </cfRule>
  </conditionalFormatting>
  <conditionalFormatting sqref="Y52:Y54">
    <cfRule type="cellIs" dxfId="0" priority="7" operator="equal">
      <formula>$BH$32</formula>
    </cfRule>
  </conditionalFormatting>
  <dataValidations count="2">
    <dataValidation type="list" allowBlank="1" showInputMessage="1" showErrorMessage="1" sqref="AQ30:AR31 G25">
      <formula1>Language</formula1>
    </dataValidation>
    <dataValidation type="list" allowBlank="1" showInputMessage="1" showErrorMessage="1" sqref="G33 AQ33">
      <formula1>$BB$22:$BB$24</formula1>
    </dataValidation>
  </dataValidations>
  <printOptions horizontalCentered="1"/>
  <pageMargins left="0" right="0" top="0" bottom="7.874015748031496E-2" header="0.35433070866141736" footer="0.15748031496062992"/>
  <pageSetup paperSize="9" scale="38" orientation="landscape" r:id="rId1"/>
  <headerFooter alignWithMargins="0">
    <oddFooter>&amp;LConfidentiel&amp;C&amp;D&amp;RPage &amp;P</oddFooter>
  </headerFooter>
  <rowBreaks count="1" manualBreakCount="1">
    <brk id="64" max="16383" man="1"/>
  </rowBreaks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print="0" autoLine="0" r:id="rId5">
            <anchor moveWithCells="1">
              <from>
                <xdr:col>5</xdr:col>
                <xdr:colOff>1038225</xdr:colOff>
                <xdr:row>15</xdr:row>
                <xdr:rowOff>0</xdr:rowOff>
              </from>
              <to>
                <xdr:col>6</xdr:col>
                <xdr:colOff>809625</xdr:colOff>
                <xdr:row>17</xdr:row>
                <xdr:rowOff>95250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23</vt:i4>
      </vt:variant>
    </vt:vector>
  </HeadingPairs>
  <TitlesOfParts>
    <vt:vector size="25" baseType="lpstr">
      <vt:lpstr>Context</vt:lpstr>
      <vt:lpstr>Frais_Direction_Nature_Charges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AutoRefresh_Frais_Direction_Nature_Charges</vt:lpstr>
      <vt:lpstr>Cube1</vt:lpstr>
      <vt:lpstr>Cube2</vt:lpstr>
      <vt:lpstr>Flag_Send_Comment</vt:lpstr>
      <vt:lpstr>Flag_Send_Data</vt:lpstr>
      <vt:lpstr>Frais_Direction_Nature_Charges!Impression_des_titres</vt:lpstr>
      <vt:lpstr>Language</vt:lpstr>
      <vt:lpstr>LocalLanguage</vt:lpstr>
      <vt:lpstr>LocalLanguage2</vt:lpstr>
      <vt:lpstr>Note</vt:lpstr>
      <vt:lpstr>Server</vt:lpstr>
      <vt:lpstr>Frais_Direction_Nature_Charges!TM1RPTDATARNGARPT3</vt:lpstr>
      <vt:lpstr>Frais_Direction_Nature_Charges!TM1RPTFMTIDCOL</vt:lpstr>
      <vt:lpstr>Frais_Direction_Nature_Charges!TM1RPTFMTRNG</vt:lpstr>
      <vt:lpstr>xHost</vt:lpstr>
      <vt:lpstr>xServer</vt:lpstr>
      <vt:lpstr>Frais_Direction_Nature_Charges!Zone_d_impression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2012-06-25T14:23:40Z</cp:lastPrinted>
  <dcterms:created xsi:type="dcterms:W3CDTF">2011-06-21T16:52:24Z</dcterms:created>
  <dcterms:modified xsi:type="dcterms:W3CDTF">2013-04-18T14:01:41Z</dcterms:modified>
</cp:coreProperties>
</file>