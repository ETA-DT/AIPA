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100" yWindow="150" windowWidth="12465" windowHeight="10050" firstSheet="1" activeTab="1"/>
  </bookViews>
  <sheets>
    <sheet name="Context" sheetId="1" state="hidden" r:id="rId1"/>
    <sheet name="Infrastructure" sheetId="2" r:id="rId2"/>
    <sheet name="{PL}PickLst" sheetId="6" state="hidden" r:id="rId3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Infrastructure!$I$19:$V$31</definedName>
    <definedName name="AutoRefresh_PL" localSheetId="1">Infrastructure!$F$1</definedName>
    <definedName name="AutoRefresh_PL_aggregated">Infrastructure!$G$3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Infrastructure!$D$18:$V$31</definedName>
    <definedName name="Print_Titles" localSheetId="1">Infrastructure!$7:$9</definedName>
    <definedName name="PriorYear">Infrastructure!$I$2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B6" i="1" l="1"/>
  <c r="B5" i="1"/>
  <c r="B17" i="1"/>
  <c r="G17" i="2"/>
  <c r="G13" i="2"/>
  <c r="G14" i="2"/>
  <c r="G15" i="2"/>
  <c r="G16" i="2"/>
  <c r="G11" i="2"/>
  <c r="G12" i="2"/>
  <c r="B14" i="1"/>
  <c r="I18" i="2"/>
  <c r="I2" i="2"/>
  <c r="L18" i="2"/>
  <c r="L31" i="2"/>
  <c r="I19" i="2"/>
  <c r="I1" i="2"/>
  <c r="I31" i="2"/>
  <c r="T31" i="2"/>
  <c r="U31" i="2"/>
  <c r="V31" i="2"/>
  <c r="L30" i="2"/>
  <c r="I30" i="2"/>
  <c r="T30" i="2"/>
  <c r="U30" i="2"/>
  <c r="V30" i="2"/>
  <c r="L29" i="2"/>
  <c r="I29" i="2"/>
  <c r="T29" i="2"/>
  <c r="U29" i="2"/>
  <c r="V29" i="2"/>
  <c r="L27" i="2"/>
  <c r="I27" i="2"/>
  <c r="T27" i="2"/>
  <c r="U27" i="2"/>
  <c r="V27" i="2"/>
  <c r="L26" i="2"/>
  <c r="I26" i="2"/>
  <c r="T26" i="2"/>
  <c r="U26" i="2"/>
  <c r="V26" i="2"/>
  <c r="L25" i="2"/>
  <c r="I25" i="2"/>
  <c r="T25" i="2"/>
  <c r="U25" i="2"/>
  <c r="V25" i="2"/>
  <c r="L24" i="2"/>
  <c r="I24" i="2"/>
  <c r="T24" i="2"/>
  <c r="U24" i="2"/>
  <c r="V24" i="2"/>
  <c r="L23" i="2"/>
  <c r="I23" i="2"/>
  <c r="T23" i="2"/>
  <c r="U23" i="2"/>
  <c r="V23" i="2"/>
  <c r="L22" i="2"/>
  <c r="I22" i="2"/>
  <c r="T22" i="2"/>
  <c r="U22" i="2"/>
  <c r="V22" i="2"/>
  <c r="K18" i="2"/>
  <c r="B16" i="1"/>
  <c r="K19" i="2"/>
  <c r="K1" i="2"/>
  <c r="K31" i="2"/>
  <c r="Q31" i="2"/>
  <c r="R31" i="2"/>
  <c r="S31" i="2"/>
  <c r="K30" i="2"/>
  <c r="Q30" i="2"/>
  <c r="R30" i="2"/>
  <c r="S30" i="2"/>
  <c r="K29" i="2"/>
  <c r="Q29" i="2"/>
  <c r="R29" i="2"/>
  <c r="S29" i="2"/>
  <c r="K27" i="2"/>
  <c r="Q27" i="2"/>
  <c r="R27" i="2"/>
  <c r="S27" i="2"/>
  <c r="K26" i="2"/>
  <c r="Q26" i="2"/>
  <c r="R26" i="2"/>
  <c r="S26" i="2"/>
  <c r="K25" i="2"/>
  <c r="Q25" i="2"/>
  <c r="R25" i="2"/>
  <c r="S25" i="2"/>
  <c r="K24" i="2"/>
  <c r="Q24" i="2"/>
  <c r="R24" i="2"/>
  <c r="S24" i="2"/>
  <c r="K23" i="2"/>
  <c r="Q23" i="2"/>
  <c r="R23" i="2"/>
  <c r="S23" i="2"/>
  <c r="K22" i="2"/>
  <c r="Q22" i="2"/>
  <c r="R22" i="2"/>
  <c r="S22" i="2"/>
  <c r="L21" i="2"/>
  <c r="I21" i="2"/>
  <c r="T21" i="2"/>
  <c r="U21" i="2"/>
  <c r="V21" i="2"/>
  <c r="K21" i="2"/>
  <c r="Q21" i="2"/>
  <c r="R21" i="2"/>
  <c r="S21" i="2"/>
  <c r="J18" i="2"/>
  <c r="B15" i="1"/>
  <c r="J19" i="2"/>
  <c r="J1" i="2"/>
  <c r="J31" i="2"/>
  <c r="N31" i="2"/>
  <c r="O31" i="2"/>
  <c r="P31" i="2"/>
  <c r="J30" i="2"/>
  <c r="N30" i="2"/>
  <c r="O30" i="2"/>
  <c r="P30" i="2"/>
  <c r="J29" i="2"/>
  <c r="N29" i="2"/>
  <c r="O29" i="2"/>
  <c r="P29" i="2"/>
  <c r="J27" i="2"/>
  <c r="N27" i="2"/>
  <c r="O27" i="2"/>
  <c r="P27" i="2"/>
  <c r="J26" i="2"/>
  <c r="N26" i="2"/>
  <c r="O26" i="2"/>
  <c r="P26" i="2"/>
  <c r="J25" i="2"/>
  <c r="N25" i="2"/>
  <c r="O25" i="2"/>
  <c r="P25" i="2"/>
  <c r="J24" i="2"/>
  <c r="N24" i="2"/>
  <c r="O24" i="2"/>
  <c r="P24" i="2"/>
  <c r="J23" i="2"/>
  <c r="N23" i="2"/>
  <c r="O23" i="2"/>
  <c r="P23" i="2"/>
  <c r="J22" i="2"/>
  <c r="N22" i="2"/>
  <c r="O22" i="2"/>
  <c r="P22" i="2"/>
  <c r="J21" i="2"/>
  <c r="N21" i="2"/>
  <c r="O21" i="2"/>
  <c r="P21" i="2"/>
  <c r="F22" i="2"/>
  <c r="C22" i="2"/>
  <c r="F23" i="2"/>
  <c r="F21" i="2"/>
  <c r="C21" i="2"/>
  <c r="C23" i="2"/>
  <c r="C24" i="2"/>
  <c r="C25" i="2"/>
  <c r="C26" i="2"/>
  <c r="C27" i="2"/>
  <c r="C28" i="2"/>
  <c r="C29" i="2"/>
  <c r="C30" i="2"/>
  <c r="C31" i="2"/>
  <c r="L19" i="2"/>
  <c r="D7" i="2"/>
  <c r="F31" i="2"/>
  <c r="F30" i="2"/>
  <c r="F29" i="2"/>
  <c r="F27" i="2"/>
  <c r="F26" i="2"/>
  <c r="F25" i="2"/>
  <c r="F24" i="2"/>
  <c r="T19" i="2"/>
  <c r="Q19" i="2"/>
  <c r="N19" i="2"/>
  <c r="J2" i="2"/>
  <c r="G19" i="2"/>
  <c r="F19" i="2"/>
  <c r="F10" i="2"/>
  <c r="H2" i="2"/>
  <c r="V19" i="2"/>
  <c r="S19" i="2"/>
  <c r="B13" i="1"/>
</calcChain>
</file>

<file path=xl/sharedStrings.xml><?xml version="1.0" encoding="utf-8"?>
<sst xmlns="http://schemas.openxmlformats.org/spreadsheetml/2006/main" count="71" uniqueCount="68">
  <si>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</si>
  <si>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</si>
  <si>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</si>
  <si>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</si>
  <si>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</si>
  <si>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</si>
  <si>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</si>
  <si>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</si>
  <si>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</si>
  <si>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</si>
  <si>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</si>
  <si>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</si>
  <si>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</si>
  <si>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</si>
  <si>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</si>
  <si>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</si>
  <si>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</si>
  <si>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</si>
  <si>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</si>
  <si>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</si>
  <si>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</si>
  <si>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</si>
  <si>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</si>
  <si>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</si>
  <si>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</si>
  <si>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</si>
  <si>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</si>
  <si>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</si>
  <si>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</si>
  <si>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</si>
  <si>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</si>
  <si>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</si>
  <si>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</si>
  <si>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</si>
  <si>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</si>
  <si>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</si>
  <si>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</si>
  <si>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</si>
  <si>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</si>
  <si>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</si>
  <si>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</si>
  <si>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</si>
  <si>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</si>
  <si>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Management_organization</t>
  </si>
  <si>
    <t>Language</t>
  </si>
  <si>
    <t>Indicator</t>
  </si>
  <si>
    <t>Activity</t>
  </si>
  <si>
    <t>Currency</t>
  </si>
  <si>
    <t>Gaap</t>
  </si>
  <si>
    <t>FC_ALL</t>
  </si>
  <si>
    <t>FC_1_TOT</t>
  </si>
  <si>
    <t>FC_2_TOT</t>
  </si>
  <si>
    <t>Legal organization</t>
  </si>
  <si>
    <t>Integration rate</t>
  </si>
  <si>
    <t>CAFOP</t>
  </si>
  <si>
    <t>RESOP</t>
  </si>
  <si>
    <t>PL1115_IN_55</t>
  </si>
  <si>
    <t>PL1115_IN_56</t>
  </si>
  <si>
    <t>PL1115_IN_60</t>
  </si>
  <si>
    <t>PL1115_IN_65</t>
  </si>
  <si>
    <t>PL1155_IN_99</t>
  </si>
  <si>
    <t>PL0000_IN_CAFOP</t>
  </si>
  <si>
    <t>PL1140_IN_05</t>
  </si>
  <si>
    <t>PL1160_IN_15</t>
  </si>
  <si>
    <t>PL0000_IN</t>
  </si>
  <si>
    <t>Infrastructure</t>
  </si>
  <si>
    <t>PL1116_IN</t>
  </si>
  <si>
    <t>Variances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</si>
</sst>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.0"/>
    <numFmt numFmtId="165" formatCode="0.0%"/>
    <numFmt numFmtId="166" formatCode="_-* #,##0.00\ _F_-;\-* #,##0.00\ _F_-;_-* &quot;-&quot;??\ _F_-;_-@_-"/>
    <numFmt numFmtId="167" formatCode="_(* #,##0.00_);_(* \(#,##0.00\);_(* &quot;-&quot;??_);_(@_)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#,##0_);\(#,##0\)"/>
  </numFmts>
  <fonts count="85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6"/>
      <color indexed="57"/>
      <name val="Wingdings"/>
      <charset val="2"/>
    </font>
    <font>
      <sz val="12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b/>
      <sz val="12"/>
      <color indexed="10"/>
      <name val="Arial"/>
      <family val="2"/>
    </font>
    <font>
      <sz val="15"/>
      <color indexed="57"/>
      <name val="Wingdings"/>
      <charset val="2"/>
    </font>
    <font>
      <b/>
      <sz val="16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</borders>
  <cellStyleXfs count="235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3" fillId="18" borderId="12" applyNumberFormat="0" applyAlignment="0" applyProtection="0"/>
    <xf numFmtId="0" fontId="23" fillId="18" borderId="12" applyNumberFormat="0" applyAlignment="0" applyProtection="0"/>
    <xf numFmtId="0" fontId="23" fillId="18" borderId="12" applyNumberFormat="0" applyAlignment="0" applyProtection="0"/>
    <xf numFmtId="0" fontId="23" fillId="18" borderId="12" applyNumberFormat="0" applyAlignment="0" applyProtection="0"/>
    <xf numFmtId="0" fontId="24" fillId="31" borderId="13" applyNumberFormat="0" applyAlignment="0" applyProtection="0"/>
    <xf numFmtId="0" fontId="24" fillId="31" borderId="13" applyNumberFormat="0" applyAlignment="0" applyProtection="0"/>
    <xf numFmtId="0" fontId="24" fillId="31" borderId="13" applyNumberFormat="0" applyAlignment="0" applyProtection="0"/>
    <xf numFmtId="0" fontId="24" fillId="31" borderId="13" applyNumberFormat="0" applyAlignment="0" applyProtection="0"/>
    <xf numFmtId="0" fontId="25" fillId="0" borderId="5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8" fillId="0" borderId="14" applyNumberFormat="0" applyFill="0" applyAlignment="0" applyProtection="0"/>
    <xf numFmtId="0" fontId="28" fillId="0" borderId="14" applyNumberFormat="0" applyFill="0" applyAlignment="0" applyProtection="0"/>
    <xf numFmtId="0" fontId="28" fillId="0" borderId="14" applyNumberFormat="0" applyFill="0" applyAlignment="0" applyProtection="0"/>
    <xf numFmtId="0" fontId="28" fillId="0" borderId="14" applyNumberFormat="0" applyFill="0" applyAlignment="0" applyProtection="0"/>
    <xf numFmtId="0" fontId="29" fillId="0" borderId="15" applyNumberFormat="0" applyFill="0" applyAlignment="0" applyProtection="0"/>
    <xf numFmtId="0" fontId="29" fillId="0" borderId="15" applyNumberFormat="0" applyFill="0" applyAlignment="0" applyProtection="0"/>
    <xf numFmtId="0" fontId="29" fillId="0" borderId="15" applyNumberFormat="0" applyFill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0" fillId="0" borderId="16" applyNumberFormat="0" applyFill="0" applyAlignment="0" applyProtection="0"/>
    <xf numFmtId="0" fontId="30" fillId="0" borderId="16" applyNumberFormat="0" applyFill="0" applyAlignment="0" applyProtection="0"/>
    <xf numFmtId="0" fontId="30" fillId="0" borderId="16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3" fillId="18" borderId="12" applyNumberFormat="0" applyAlignment="0" applyProtection="0"/>
    <xf numFmtId="0" fontId="33" fillId="18" borderId="12" applyNumberFormat="0" applyAlignment="0" applyProtection="0"/>
    <xf numFmtId="0" fontId="33" fillId="18" borderId="12" applyNumberFormat="0" applyAlignment="0" applyProtection="0"/>
    <xf numFmtId="0" fontId="33" fillId="18" borderId="12" applyNumberFormat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168" fontId="34" fillId="32" borderId="0" applyNumberFormat="0" applyBorder="0">
      <alignment horizontal="right"/>
      <protection locked="0"/>
    </xf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169" fontId="36" fillId="33" borderId="0" applyNumberFormat="0" applyBorder="0">
      <alignment horizontal="right" vertical="center"/>
      <protection locked="0"/>
    </xf>
    <xf numFmtId="170" fontId="36" fillId="34" borderId="0" applyNumberFormat="0" applyBorder="0">
      <alignment horizontal="right" vertical="center"/>
      <protection locked="0"/>
    </xf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7" fillId="7" borderId="0"/>
    <xf numFmtId="0" fontId="38" fillId="35" borderId="0" applyNumberFormat="0" applyBorder="0" applyAlignment="0" applyProtection="0"/>
    <xf numFmtId="0" fontId="38" fillId="35" borderId="0" applyNumberFormat="0" applyBorder="0" applyAlignment="0" applyProtection="0"/>
    <xf numFmtId="0" fontId="38" fillId="35" borderId="0" applyNumberFormat="0" applyBorder="0" applyAlignment="0" applyProtection="0"/>
    <xf numFmtId="0" fontId="38" fillId="35" borderId="0" applyNumberFormat="0" applyBorder="0" applyAlignment="0" applyProtection="0"/>
    <xf numFmtId="0" fontId="37" fillId="7" borderId="0"/>
    <xf numFmtId="0" fontId="37" fillId="7" borderId="0"/>
    <xf numFmtId="171" fontId="39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36" borderId="18" applyNumberFormat="0" applyFont="0" applyAlignment="0" applyProtection="0"/>
    <xf numFmtId="0" fontId="20" fillId="36" borderId="18" applyNumberFormat="0" applyFont="0" applyAlignment="0" applyProtection="0"/>
    <xf numFmtId="0" fontId="20" fillId="36" borderId="18" applyNumberFormat="0" applyFont="0" applyAlignment="0" applyProtection="0"/>
    <xf numFmtId="0" fontId="20" fillId="36" borderId="18" applyNumberFormat="0" applyFont="0" applyAlignment="0" applyProtection="0"/>
    <xf numFmtId="0" fontId="37" fillId="7" borderId="0"/>
    <xf numFmtId="0" fontId="40" fillId="18" borderId="19" applyNumberFormat="0" applyAlignment="0" applyProtection="0"/>
    <xf numFmtId="0" fontId="40" fillId="18" borderId="19" applyNumberFormat="0" applyAlignment="0" applyProtection="0"/>
    <xf numFmtId="0" fontId="40" fillId="18" borderId="19" applyNumberFormat="0" applyAlignment="0" applyProtection="0"/>
    <xf numFmtId="0" fontId="40" fillId="18" borderId="19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2" fontId="42" fillId="37" borderId="0" applyNumberFormat="0" applyBorder="0">
      <alignment horizontal="left" vertical="center"/>
      <protection locked="0"/>
    </xf>
    <xf numFmtId="172" fontId="43" fillId="32" borderId="0" applyNumberFormat="0" applyBorder="0">
      <alignment horizontal="left"/>
      <protection locked="0"/>
    </xf>
    <xf numFmtId="0" fontId="44" fillId="0" borderId="20" applyNumberFormat="0" applyFill="0" applyAlignment="0" applyProtection="0"/>
    <xf numFmtId="0" fontId="44" fillId="0" borderId="20" applyNumberFormat="0" applyFill="0" applyAlignment="0" applyProtection="0"/>
    <xf numFmtId="0" fontId="44" fillId="0" borderId="20" applyNumberFormat="0" applyFill="0" applyAlignment="0" applyProtection="0"/>
    <xf numFmtId="0" fontId="44" fillId="0" borderId="20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73" fontId="48" fillId="0" borderId="0"/>
    <xf numFmtId="0" fontId="1" fillId="0" borderId="0"/>
  </cellStyleXfs>
  <cellXfs count="137">
    <xf numFmtId="0" fontId="0" fillId="0" borderId="0" xfId="0"/>
    <xf numFmtId="0" fontId="2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3" xfId="1" applyNumberFormat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 applyProtection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" fillId="0" borderId="0" xfId="1" applyFill="1" applyBorder="1" applyProtection="1"/>
    <xf numFmtId="0" fontId="9" fillId="0" borderId="0" xfId="2" applyFont="1" applyFill="1" applyBorder="1" applyAlignment="1" applyProtection="1">
      <alignment vertical="center"/>
    </xf>
    <xf numFmtId="0" fontId="8" fillId="7" borderId="0" xfId="2" applyFont="1" applyFill="1" applyBorder="1" applyAlignment="1" applyProtection="1">
      <alignment vertical="center"/>
    </xf>
    <xf numFmtId="0" fontId="7" fillId="0" borderId="0" xfId="1" applyFont="1" applyFill="1" applyBorder="1" applyAlignment="1">
      <alignment vertical="center"/>
    </xf>
    <xf numFmtId="0" fontId="1" fillId="0" borderId="0" xfId="1" applyFill="1" applyAlignment="1"/>
    <xf numFmtId="0" fontId="12" fillId="0" borderId="0" xfId="1" applyFont="1" applyFill="1" applyBorder="1" applyAlignment="1">
      <alignment horizontal="center" vertical="center" wrapText="1"/>
    </xf>
    <xf numFmtId="0" fontId="7" fillId="0" borderId="0" xfId="2" applyFont="1" applyFill="1" applyAlignment="1" applyProtection="1">
      <alignment vertical="center"/>
    </xf>
    <xf numFmtId="0" fontId="17" fillId="0" borderId="0" xfId="4" applyFont="1" applyFill="1" applyBorder="1" applyAlignment="1">
      <alignment horizontal="center" vertical="center"/>
    </xf>
    <xf numFmtId="0" fontId="18" fillId="0" borderId="0" xfId="2" applyFont="1" applyFill="1" applyBorder="1" applyAlignment="1" applyProtection="1">
      <alignment vertical="center"/>
    </xf>
    <xf numFmtId="0" fontId="19" fillId="0" borderId="0" xfId="2" applyFont="1" applyFill="1" applyBorder="1" applyAlignment="1" applyProtection="1">
      <alignment vertical="center"/>
    </xf>
    <xf numFmtId="0" fontId="47" fillId="0" borderId="0" xfId="4" applyFont="1" applyFill="1" applyBorder="1" applyAlignment="1">
      <alignment horizontal="center" vertical="center"/>
    </xf>
    <xf numFmtId="0" fontId="21" fillId="0" borderId="0" xfId="2" applyFont="1" applyFill="1" applyBorder="1" applyAlignment="1" applyProtection="1">
      <alignment vertical="center"/>
    </xf>
    <xf numFmtId="0" fontId="51" fillId="0" borderId="0" xfId="2" applyFont="1" applyFill="1" applyBorder="1" applyAlignment="1" applyProtection="1">
      <alignment vertical="center"/>
    </xf>
    <xf numFmtId="0" fontId="52" fillId="0" borderId="0" xfId="2" applyFont="1" applyFill="1" applyBorder="1" applyAlignment="1" applyProtection="1">
      <alignment horizontal="center" vertical="center"/>
    </xf>
    <xf numFmtId="0" fontId="50" fillId="0" borderId="0" xfId="1" applyFont="1" applyFill="1" applyBorder="1" applyAlignment="1" applyProtection="1">
      <alignment horizontal="center"/>
    </xf>
    <xf numFmtId="0" fontId="53" fillId="0" borderId="0" xfId="1" applyFont="1" applyFill="1" applyBorder="1" applyAlignment="1" applyProtection="1">
      <alignment horizontal="right"/>
    </xf>
    <xf numFmtId="0" fontId="51" fillId="5" borderId="5" xfId="1" applyFont="1" applyFill="1" applyBorder="1" applyProtection="1"/>
    <xf numFmtId="0" fontId="51" fillId="2" borderId="5" xfId="1" applyFont="1" applyFill="1" applyBorder="1" applyProtection="1">
      <protection locked="0"/>
    </xf>
    <xf numFmtId="0" fontId="54" fillId="0" borderId="0" xfId="2" applyFont="1" applyFill="1" applyBorder="1" applyAlignment="1" applyProtection="1">
      <alignment vertical="center"/>
    </xf>
    <xf numFmtId="0" fontId="51" fillId="0" borderId="0" xfId="2" applyFont="1" applyFill="1" applyBorder="1" applyAlignment="1" applyProtection="1">
      <alignment horizontal="left" vertical="center"/>
    </xf>
    <xf numFmtId="0" fontId="53" fillId="0" borderId="0" xfId="0" applyFont="1" applyAlignment="1" applyProtection="1">
      <alignment horizontal="right"/>
    </xf>
    <xf numFmtId="0" fontId="46" fillId="0" borderId="0" xfId="0" applyFont="1" applyProtection="1"/>
    <xf numFmtId="0" fontId="46" fillId="0" borderId="6" xfId="0" applyFont="1" applyFill="1" applyBorder="1" applyProtection="1"/>
    <xf numFmtId="0" fontId="52" fillId="0" borderId="0" xfId="2" applyFont="1" applyFill="1" applyBorder="1" applyAlignment="1" applyProtection="1">
      <alignment vertical="center"/>
    </xf>
    <xf numFmtId="0" fontId="51" fillId="0" borderId="0" xfId="3" applyFont="1" applyFill="1" applyBorder="1" applyAlignment="1" applyProtection="1">
      <alignment vertical="center"/>
    </xf>
    <xf numFmtId="0" fontId="55" fillId="0" borderId="0" xfId="2" applyFont="1" applyFill="1" applyBorder="1" applyAlignment="1" applyProtection="1">
      <alignment vertical="center"/>
    </xf>
    <xf numFmtId="0" fontId="50" fillId="4" borderId="5" xfId="0" applyFont="1" applyFill="1" applyBorder="1" applyAlignment="1" applyProtection="1">
      <alignment horizontal="center"/>
    </xf>
    <xf numFmtId="0" fontId="56" fillId="0" borderId="0" xfId="3" applyFont="1" applyFill="1" applyBorder="1" applyAlignment="1" applyProtection="1">
      <alignment horizontal="right" vertical="center"/>
    </xf>
    <xf numFmtId="164" fontId="56" fillId="0" borderId="0" xfId="3" applyNumberFormat="1" applyFont="1" applyFill="1" applyBorder="1" applyAlignment="1" applyProtection="1">
      <alignment horizontal="right" vertical="center"/>
    </xf>
    <xf numFmtId="2" fontId="57" fillId="0" borderId="0" xfId="3" applyNumberFormat="1" applyFont="1" applyFill="1" applyBorder="1" applyAlignment="1" applyProtection="1">
      <alignment vertical="center"/>
    </xf>
    <xf numFmtId="0" fontId="58" fillId="0" borderId="0" xfId="2" applyFont="1" applyFill="1" applyBorder="1" applyAlignment="1" applyProtection="1">
      <alignment horizontal="left" vertical="center"/>
    </xf>
    <xf numFmtId="0" fontId="51" fillId="0" borderId="0" xfId="1" applyFont="1" applyFill="1" applyBorder="1" applyAlignment="1">
      <alignment vertical="center"/>
    </xf>
    <xf numFmtId="0" fontId="51" fillId="0" borderId="0" xfId="1" applyFont="1" applyFill="1" applyAlignment="1">
      <alignment horizontal="left" indent="1"/>
    </xf>
    <xf numFmtId="0" fontId="51" fillId="0" borderId="0" xfId="1" applyFont="1" applyFill="1" applyAlignment="1"/>
    <xf numFmtId="0" fontId="59" fillId="9" borderId="0" xfId="1" applyFont="1" applyFill="1" applyBorder="1" applyAlignment="1">
      <alignment horizontal="left" vertical="center"/>
    </xf>
    <xf numFmtId="0" fontId="60" fillId="0" borderId="0" xfId="2" applyFont="1" applyFill="1" applyBorder="1" applyAlignment="1" applyProtection="1">
      <alignment horizontal="center" vertical="center"/>
    </xf>
    <xf numFmtId="0" fontId="51" fillId="0" borderId="0" xfId="2" applyFont="1" applyFill="1" applyAlignment="1" applyProtection="1">
      <alignment vertical="center"/>
    </xf>
    <xf numFmtId="0" fontId="61" fillId="0" borderId="0" xfId="4" applyFont="1" applyFill="1" applyBorder="1" applyAlignment="1">
      <alignment horizontal="center" vertical="center" wrapText="1"/>
    </xf>
    <xf numFmtId="0" fontId="53" fillId="0" borderId="0" xfId="1" applyFont="1" applyFill="1" applyBorder="1" applyAlignment="1" applyProtection="1">
      <alignment horizontal="left"/>
    </xf>
    <xf numFmtId="0" fontId="51" fillId="0" borderId="0" xfId="1" applyFont="1" applyFill="1" applyBorder="1" applyAlignment="1">
      <alignment vertical="center" wrapText="1"/>
    </xf>
    <xf numFmtId="0" fontId="62" fillId="0" borderId="0" xfId="1" applyFont="1" applyFill="1" applyBorder="1" applyAlignment="1">
      <alignment horizontal="center" vertical="center" wrapText="1"/>
    </xf>
    <xf numFmtId="0" fontId="63" fillId="0" borderId="0" xfId="1" applyFont="1" applyFill="1" applyBorder="1" applyAlignment="1">
      <alignment horizontal="center" vertical="center" wrapText="1"/>
    </xf>
    <xf numFmtId="0" fontId="64" fillId="0" borderId="0" xfId="2" applyFont="1" applyFill="1" applyBorder="1" applyAlignment="1" applyProtection="1">
      <alignment vertical="center"/>
    </xf>
    <xf numFmtId="164" fontId="66" fillId="0" borderId="0" xfId="2" applyNumberFormat="1" applyFont="1" applyFill="1" applyBorder="1" applyAlignment="1" applyProtection="1">
      <alignment horizontal="right" vertical="center" indent="1"/>
    </xf>
    <xf numFmtId="0" fontId="67" fillId="0" borderId="0" xfId="2" applyFont="1" applyFill="1" applyBorder="1" applyAlignment="1" applyProtection="1">
      <alignment vertical="center"/>
    </xf>
    <xf numFmtId="0" fontId="54" fillId="7" borderId="0" xfId="2" applyFont="1" applyFill="1" applyBorder="1" applyAlignment="1" applyProtection="1">
      <alignment vertical="center"/>
    </xf>
    <xf numFmtId="0" fontId="68" fillId="0" borderId="0" xfId="1" applyFont="1" applyFill="1" applyBorder="1" applyAlignment="1">
      <alignment horizontal="center" vertical="center" wrapText="1"/>
    </xf>
    <xf numFmtId="0" fontId="14" fillId="0" borderId="0" xfId="2" applyFont="1" applyFill="1" applyBorder="1" applyAlignment="1" applyProtection="1">
      <alignment vertical="center"/>
    </xf>
    <xf numFmtId="0" fontId="69" fillId="0" borderId="0" xfId="1" applyFont="1" applyFill="1" applyBorder="1" applyProtection="1"/>
    <xf numFmtId="0" fontId="14" fillId="7" borderId="0" xfId="2" applyFont="1" applyFill="1" applyBorder="1" applyAlignment="1" applyProtection="1">
      <alignment vertical="center"/>
    </xf>
    <xf numFmtId="0" fontId="15" fillId="0" borderId="0" xfId="1" applyFont="1" applyFill="1" applyBorder="1" applyAlignment="1">
      <alignment vertical="center"/>
    </xf>
    <xf numFmtId="0" fontId="69" fillId="0" borderId="0" xfId="1" applyFont="1" applyFill="1" applyAlignment="1"/>
    <xf numFmtId="0" fontId="49" fillId="38" borderId="0" xfId="233" applyNumberFormat="1" applyFont="1" applyFill="1" applyBorder="1" applyAlignment="1" applyProtection="1">
      <alignment horizontal="left" vertical="center"/>
    </xf>
    <xf numFmtId="0" fontId="70" fillId="0" borderId="0" xfId="4" applyFont="1" applyFill="1" applyBorder="1" applyAlignment="1">
      <alignment horizontal="center"/>
    </xf>
    <xf numFmtId="0" fontId="71" fillId="11" borderId="10" xfId="4" applyFont="1" applyFill="1" applyBorder="1" applyAlignment="1">
      <alignment horizontal="center" vertical="center"/>
    </xf>
    <xf numFmtId="0" fontId="72" fillId="0" borderId="0" xfId="2" applyFont="1" applyFill="1" applyBorder="1" applyAlignment="1" applyProtection="1">
      <alignment vertical="center"/>
    </xf>
    <xf numFmtId="0" fontId="50" fillId="0" borderId="0" xfId="1" applyFont="1" applyFill="1" applyBorder="1" applyAlignment="1">
      <alignment vertical="center" wrapText="1"/>
    </xf>
    <xf numFmtId="0" fontId="11" fillId="0" borderId="0" xfId="1" applyFont="1" applyFill="1" applyBorder="1" applyAlignment="1"/>
    <xf numFmtId="0" fontId="51" fillId="0" borderId="0" xfId="2" applyFont="1" applyFill="1" applyAlignment="1" applyProtection="1">
      <alignment vertical="center" wrapText="1"/>
    </xf>
    <xf numFmtId="0" fontId="52" fillId="0" borderId="0" xfId="2" applyFont="1" applyFill="1" applyBorder="1" applyAlignment="1" applyProtection="1">
      <alignment horizontal="center" vertical="center" wrapText="1"/>
    </xf>
    <xf numFmtId="0" fontId="53" fillId="0" borderId="0" xfId="1" applyFont="1" applyFill="1" applyBorder="1" applyAlignment="1" applyProtection="1">
      <alignment horizontal="left" wrapText="1"/>
    </xf>
    <xf numFmtId="0" fontId="60" fillId="0" borderId="0" xfId="2" applyFont="1" applyFill="1" applyBorder="1" applyAlignment="1" applyProtection="1">
      <alignment horizontal="center" vertical="center" wrapText="1"/>
    </xf>
    <xf numFmtId="0" fontId="49" fillId="38" borderId="0" xfId="233" applyNumberFormat="1" applyFont="1" applyFill="1" applyBorder="1" applyAlignment="1" applyProtection="1">
      <alignment horizontal="center" vertical="center" wrapText="1"/>
    </xf>
    <xf numFmtId="0" fontId="49" fillId="39" borderId="0" xfId="233" applyNumberFormat="1" applyFont="1" applyFill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vertical="center" wrapText="1"/>
    </xf>
    <xf numFmtId="0" fontId="7" fillId="0" borderId="0" xfId="2" applyFont="1" applyFill="1" applyAlignment="1" applyProtection="1">
      <alignment vertical="center" wrapText="1"/>
    </xf>
    <xf numFmtId="0" fontId="74" fillId="0" borderId="0" xfId="2" applyFont="1" applyFill="1" applyBorder="1" applyAlignment="1" applyProtection="1">
      <alignment vertical="center" wrapText="1"/>
    </xf>
    <xf numFmtId="0" fontId="49" fillId="0" borderId="0" xfId="233" applyNumberFormat="1" applyFont="1" applyFill="1" applyBorder="1" applyAlignment="1" applyProtection="1">
      <alignment horizontal="right" vertical="center" wrapText="1"/>
    </xf>
    <xf numFmtId="0" fontId="73" fillId="0" borderId="0" xfId="2" applyFont="1" applyFill="1" applyBorder="1" applyAlignment="1" applyProtection="1">
      <alignment vertical="center"/>
    </xf>
    <xf numFmtId="0" fontId="50" fillId="0" borderId="0" xfId="2" applyFont="1" applyFill="1" applyBorder="1" applyAlignment="1" applyProtection="1">
      <alignment horizontal="center" vertical="center"/>
    </xf>
    <xf numFmtId="0" fontId="73" fillId="39" borderId="0" xfId="1" applyFont="1" applyFill="1" applyBorder="1" applyAlignment="1">
      <alignment horizontal="left" vertical="center"/>
    </xf>
    <xf numFmtId="0" fontId="73" fillId="0" borderId="0" xfId="1" applyFont="1" applyFill="1" applyAlignment="1">
      <alignment horizontal="left" indent="1"/>
    </xf>
    <xf numFmtId="0" fontId="73" fillId="0" borderId="0" xfId="1" applyFont="1" applyFill="1" applyAlignment="1"/>
    <xf numFmtId="0" fontId="75" fillId="7" borderId="0" xfId="2" applyFont="1" applyFill="1" applyBorder="1" applyAlignment="1" applyProtection="1">
      <alignment vertical="center"/>
    </xf>
    <xf numFmtId="0" fontId="72" fillId="7" borderId="0" xfId="2" applyFont="1" applyFill="1" applyBorder="1" applyAlignment="1" applyProtection="1">
      <alignment vertical="center"/>
    </xf>
    <xf numFmtId="0" fontId="75" fillId="0" borderId="0" xfId="2" applyFont="1" applyFill="1" applyBorder="1" applyAlignment="1" applyProtection="1">
      <alignment vertical="center"/>
    </xf>
    <xf numFmtId="0" fontId="76" fillId="0" borderId="0" xfId="2" applyNumberFormat="1" applyFont="1" applyFill="1" applyBorder="1" applyAlignment="1" applyProtection="1">
      <alignment vertical="center"/>
    </xf>
    <xf numFmtId="0" fontId="77" fillId="0" borderId="0" xfId="2" applyFont="1" applyFill="1" applyBorder="1" applyAlignment="1" applyProtection="1">
      <alignment horizontal="center" vertical="center"/>
    </xf>
    <xf numFmtId="0" fontId="78" fillId="0" borderId="0" xfId="2" applyNumberFormat="1" applyFont="1" applyFill="1" applyBorder="1" applyAlignment="1" applyProtection="1">
      <alignment vertical="center"/>
    </xf>
    <xf numFmtId="164" fontId="79" fillId="0" borderId="0" xfId="2" applyNumberFormat="1" applyFont="1" applyFill="1" applyBorder="1" applyAlignment="1" applyProtection="1">
      <alignment horizontal="left" vertical="center"/>
    </xf>
    <xf numFmtId="0" fontId="80" fillId="0" borderId="0" xfId="1" applyFont="1" applyFill="1" applyBorder="1" applyAlignment="1">
      <alignment horizontal="center" vertical="center" wrapText="1"/>
    </xf>
    <xf numFmtId="0" fontId="13" fillId="6" borderId="5" xfId="2" applyFont="1" applyFill="1" applyBorder="1" applyAlignment="1" applyProtection="1">
      <alignment horizontal="center" vertical="center"/>
    </xf>
    <xf numFmtId="0" fontId="81" fillId="0" borderId="0" xfId="2" applyFont="1" applyBorder="1" applyAlignment="1" applyProtection="1">
      <alignment vertical="center"/>
    </xf>
    <xf numFmtId="0" fontId="73" fillId="0" borderId="0" xfId="2" applyFont="1" applyFill="1" applyAlignment="1" applyProtection="1">
      <alignment vertical="center"/>
    </xf>
    <xf numFmtId="0" fontId="77" fillId="0" borderId="0" xfId="2" applyFont="1" applyBorder="1" applyAlignment="1" applyProtection="1">
      <alignment horizontal="center" vertical="center"/>
    </xf>
    <xf numFmtId="0" fontId="74" fillId="0" borderId="7" xfId="4" applyFont="1" applyFill="1" applyBorder="1" applyAlignment="1">
      <alignment horizontal="center" vertical="center" wrapText="1"/>
    </xf>
    <xf numFmtId="0" fontId="18" fillId="0" borderId="0" xfId="2" applyFont="1" applyFill="1" applyAlignment="1" applyProtection="1">
      <alignment vertical="center"/>
    </xf>
    <xf numFmtId="0" fontId="18" fillId="0" borderId="8" xfId="2" applyFont="1" applyFill="1" applyBorder="1" applyAlignment="1" applyProtection="1">
      <alignment vertical="center"/>
    </xf>
    <xf numFmtId="0" fontId="73" fillId="0" borderId="0" xfId="2" applyFont="1" applyFill="1" applyAlignment="1" applyProtection="1">
      <alignment vertical="center" wrapText="1"/>
    </xf>
    <xf numFmtId="0" fontId="50" fillId="0" borderId="0" xfId="2" applyFont="1" applyFill="1" applyBorder="1" applyAlignment="1" applyProtection="1">
      <alignment horizontal="center" vertical="center" wrapText="1"/>
    </xf>
    <xf numFmtId="0" fontId="77" fillId="0" borderId="0" xfId="2" applyFont="1" applyFill="1" applyBorder="1" applyAlignment="1" applyProtection="1">
      <alignment horizontal="center" vertical="center" wrapText="1"/>
    </xf>
    <xf numFmtId="0" fontId="73" fillId="39" borderId="0" xfId="4" applyFont="1" applyFill="1" applyBorder="1" applyAlignment="1">
      <alignment horizontal="left" vertical="center" wrapText="1"/>
    </xf>
    <xf numFmtId="0" fontId="74" fillId="0" borderId="0" xfId="4" applyFont="1" applyFill="1" applyBorder="1" applyAlignment="1">
      <alignment horizontal="center" vertical="center" wrapText="1"/>
    </xf>
    <xf numFmtId="0" fontId="75" fillId="0" borderId="0" xfId="2" applyFont="1" applyFill="1" applyBorder="1" applyAlignment="1" applyProtection="1">
      <alignment vertical="center" wrapText="1"/>
    </xf>
    <xf numFmtId="0" fontId="18" fillId="0" borderId="0" xfId="2" applyFont="1" applyFill="1" applyAlignment="1" applyProtection="1">
      <alignment vertical="center" wrapText="1"/>
    </xf>
    <xf numFmtId="0" fontId="18" fillId="0" borderId="0" xfId="2" quotePrefix="1" applyFont="1" applyFill="1" applyAlignment="1" applyProtection="1">
      <alignment vertical="center"/>
    </xf>
    <xf numFmtId="0" fontId="7" fillId="0" borderId="25" xfId="2" applyFont="1" applyFill="1" applyBorder="1" applyAlignment="1" applyProtection="1">
      <alignment vertical="center"/>
    </xf>
    <xf numFmtId="0" fontId="9" fillId="12" borderId="0" xfId="2" applyFont="1" applyFill="1" applyBorder="1" applyAlignment="1" applyProtection="1">
      <alignment vertical="center"/>
    </xf>
    <xf numFmtId="0" fontId="65" fillId="12" borderId="0" xfId="4" applyFont="1" applyFill="1" applyBorder="1" applyAlignment="1">
      <alignment horizontal="center"/>
    </xf>
    <xf numFmtId="164" fontId="66" fillId="12" borderId="0" xfId="3" applyNumberFormat="1" applyFont="1" applyFill="1" applyBorder="1" applyAlignment="1">
      <alignment horizontal="right" vertical="center" wrapText="1" indent="1"/>
    </xf>
    <xf numFmtId="164" fontId="66" fillId="12" borderId="0" xfId="2" applyNumberFormat="1" applyFont="1" applyFill="1" applyBorder="1" applyAlignment="1" applyProtection="1">
      <alignment horizontal="right" vertical="center" indent="1"/>
    </xf>
    <xf numFmtId="165" fontId="66" fillId="12" borderId="0" xfId="3" applyNumberFormat="1" applyFont="1" applyFill="1" applyBorder="1" applyAlignment="1">
      <alignment horizontal="right" vertical="center" wrapText="1" indent="1"/>
    </xf>
    <xf numFmtId="0" fontId="71" fillId="12" borderId="11" xfId="4" applyFont="1" applyFill="1" applyBorder="1" applyAlignment="1">
      <alignment horizontal="center" vertical="center"/>
    </xf>
    <xf numFmtId="164" fontId="66" fillId="10" borderId="9" xfId="1" applyNumberFormat="1" applyFont="1" applyFill="1" applyBorder="1" applyAlignment="1">
      <alignment horizontal="right" vertical="center" wrapText="1" indent="1"/>
    </xf>
    <xf numFmtId="165" fontId="66" fillId="10" borderId="9" xfId="1" applyNumberFormat="1" applyFont="1" applyFill="1" applyBorder="1" applyAlignment="1">
      <alignment horizontal="right" vertical="center" wrapText="1" indent="1"/>
    </xf>
    <xf numFmtId="0" fontId="83" fillId="11" borderId="10" xfId="4" applyFont="1" applyFill="1" applyBorder="1" applyAlignment="1">
      <alignment horizontal="center" vertical="center"/>
    </xf>
    <xf numFmtId="0" fontId="83" fillId="12" borderId="0" xfId="4" applyFont="1" applyFill="1" applyBorder="1" applyAlignment="1">
      <alignment horizontal="center" vertical="center"/>
    </xf>
    <xf numFmtId="0" fontId="82" fillId="0" borderId="25" xfId="234" applyFont="1" applyBorder="1" applyProtection="1"/>
    <xf numFmtId="0" fontId="1" fillId="0" borderId="25" xfId="234" applyFont="1" applyBorder="1" applyProtection="1"/>
    <xf numFmtId="0" fontId="16" fillId="0" borderId="25" xfId="2" applyFont="1" applyFill="1" applyBorder="1" applyAlignment="1" applyProtection="1">
      <alignment vertical="center"/>
    </xf>
    <xf numFmtId="0" fontId="84" fillId="0" borderId="27" xfId="2" applyFont="1" applyFill="1" applyBorder="1" applyAlignment="1" applyProtection="1">
      <alignment vertical="center" textRotation="90"/>
    </xf>
    <xf numFmtId="0" fontId="49" fillId="38" borderId="0" xfId="233" applyNumberFormat="1" applyFont="1" applyFill="1" applyBorder="1" applyAlignment="1" applyProtection="1">
      <alignment horizontal="left" vertical="center" wrapText="1"/>
      <protection locked="0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64" fillId="12" borderId="0" xfId="3" applyFont="1" applyFill="1" applyBorder="1" applyAlignment="1">
      <alignment horizontal="left" vertical="center" wrapText="1" indent="1"/>
    </xf>
    <xf numFmtId="0" fontId="10" fillId="8" borderId="0" xfId="1" applyFont="1" applyFill="1" applyAlignment="1">
      <alignment horizontal="center" vertical="center"/>
    </xf>
    <xf numFmtId="0" fontId="84" fillId="0" borderId="26" xfId="2" applyFont="1" applyFill="1" applyBorder="1" applyAlignment="1" applyProtection="1">
      <alignment horizontal="center" vertical="center" textRotation="90"/>
    </xf>
    <xf numFmtId="0" fontId="49" fillId="39" borderId="21" xfId="233" applyNumberFormat="1" applyFont="1" applyFill="1" applyBorder="1" applyAlignment="1" applyProtection="1">
      <alignment horizontal="center" vertical="center" wrapText="1"/>
    </xf>
    <xf numFmtId="0" fontId="49" fillId="39" borderId="22" xfId="233" applyNumberFormat="1" applyFont="1" applyFill="1" applyBorder="1" applyAlignment="1" applyProtection="1">
      <alignment horizontal="center" vertical="center" wrapText="1"/>
    </xf>
    <xf numFmtId="0" fontId="49" fillId="39" borderId="23" xfId="233" applyNumberFormat="1" applyFont="1" applyFill="1" applyBorder="1" applyAlignment="1" applyProtection="1">
      <alignment horizontal="center" vertical="center" wrapText="1"/>
    </xf>
    <xf numFmtId="0" fontId="49" fillId="39" borderId="24" xfId="233" applyNumberFormat="1" applyFont="1" applyFill="1" applyBorder="1" applyAlignment="1" applyProtection="1">
      <alignment horizontal="center" vertical="center" wrapText="1"/>
    </xf>
    <xf numFmtId="0" fontId="64" fillId="10" borderId="9" xfId="1" applyFont="1" applyFill="1" applyBorder="1" applyAlignment="1">
      <alignment horizontal="left" vertical="center"/>
    </xf>
  </cellXfs>
  <cellStyles count="235">
    <cellStyle name="20% - Accent1 2" xfId="5"/>
    <cellStyle name="20% - Accent1 3" xfId="6"/>
    <cellStyle name="20% - Accent1 4" xfId="7"/>
    <cellStyle name="20% - Accent1 5" xfId="8"/>
    <cellStyle name="20% - Accent2 2" xfId="9"/>
    <cellStyle name="20% - Accent2 3" xfId="10"/>
    <cellStyle name="20% - Accent2 4" xfId="11"/>
    <cellStyle name="20% - Accent2 5" xfId="12"/>
    <cellStyle name="20% - Accent3 2" xfId="13"/>
    <cellStyle name="20% - Accent3 3" xfId="14"/>
    <cellStyle name="20% - Accent3 4" xfId="15"/>
    <cellStyle name="20% - Accent3 5" xfId="16"/>
    <cellStyle name="20% - Accent4 2" xfId="17"/>
    <cellStyle name="20% - Accent4 3" xfId="18"/>
    <cellStyle name="20% - Accent4 4" xfId="19"/>
    <cellStyle name="20% - Accent4 5" xfId="20"/>
    <cellStyle name="20% - Accent5 2" xfId="21"/>
    <cellStyle name="20% - Accent5 3" xfId="22"/>
    <cellStyle name="20% - Accent5 4" xfId="23"/>
    <cellStyle name="20% - Accent5 5" xfId="24"/>
    <cellStyle name="20% - Accent6 2" xfId="25"/>
    <cellStyle name="20% - Accent6 3" xfId="26"/>
    <cellStyle name="20% - Accent6 4" xfId="27"/>
    <cellStyle name="20% - Accent6 5" xfId="28"/>
    <cellStyle name="40% - Accent1 2" xfId="29"/>
    <cellStyle name="40% - Accent1 3" xfId="30"/>
    <cellStyle name="40% - Accent1 4" xfId="31"/>
    <cellStyle name="40% - Accent1 5" xfId="32"/>
    <cellStyle name="40% - Accent2 2" xfId="33"/>
    <cellStyle name="40% - Accent2 3" xfId="34"/>
    <cellStyle name="40% - Accent2 4" xfId="35"/>
    <cellStyle name="40% - Accent2 5" xfId="36"/>
    <cellStyle name="40% - Accent3 2" xfId="37"/>
    <cellStyle name="40% - Accent3 3" xfId="38"/>
    <cellStyle name="40% - Accent3 4" xfId="39"/>
    <cellStyle name="40% - Accent3 5" xfId="40"/>
    <cellStyle name="40% - Accent4 2" xfId="41"/>
    <cellStyle name="40% - Accent4 3" xfId="42"/>
    <cellStyle name="40% - Accent4 4" xfId="43"/>
    <cellStyle name="40% - Accent4 5" xfId="44"/>
    <cellStyle name="40% - Accent5 2" xfId="45"/>
    <cellStyle name="40% - Accent5 3" xfId="46"/>
    <cellStyle name="40% - Accent5 4" xfId="47"/>
    <cellStyle name="40% - Accent5 5" xfId="48"/>
    <cellStyle name="40% - Accent6 2" xfId="49"/>
    <cellStyle name="40% - Accent6 3" xfId="50"/>
    <cellStyle name="40% - Accent6 4" xfId="51"/>
    <cellStyle name="40% - Accent6 5" xfId="52"/>
    <cellStyle name="60% - Accent1 2" xfId="53"/>
    <cellStyle name="60% - Accent1 3" xfId="54"/>
    <cellStyle name="60% - Accent1 4" xfId="55"/>
    <cellStyle name="60% - Accent1 5" xfId="56"/>
    <cellStyle name="60% - Accent2 2" xfId="57"/>
    <cellStyle name="60% - Accent2 3" xfId="58"/>
    <cellStyle name="60% - Accent2 4" xfId="59"/>
    <cellStyle name="60% - Accent2 5" xfId="60"/>
    <cellStyle name="60% - Accent3 2" xfId="61"/>
    <cellStyle name="60% - Accent3 3" xfId="62"/>
    <cellStyle name="60% - Accent3 4" xfId="63"/>
    <cellStyle name="60% - Accent3 5" xfId="64"/>
    <cellStyle name="60% - Accent4 2" xfId="65"/>
    <cellStyle name="60% - Accent4 3" xfId="66"/>
    <cellStyle name="60% - Accent4 4" xfId="67"/>
    <cellStyle name="60% - Accent4 5" xfId="68"/>
    <cellStyle name="60% - Accent5 2" xfId="69"/>
    <cellStyle name="60% - Accent5 3" xfId="70"/>
    <cellStyle name="60% - Accent5 4" xfId="71"/>
    <cellStyle name="60% - Accent5 5" xfId="72"/>
    <cellStyle name="60% - Accent6 2" xfId="73"/>
    <cellStyle name="60% - Accent6 3" xfId="74"/>
    <cellStyle name="60% - Accent6 4" xfId="75"/>
    <cellStyle name="60% - Accent6 5" xfId="76"/>
    <cellStyle name="Accent1 2" xfId="77"/>
    <cellStyle name="Accent1 3" xfId="78"/>
    <cellStyle name="Accent1 4" xfId="79"/>
    <cellStyle name="Accent1 5" xfId="80"/>
    <cellStyle name="Accent2 2" xfId="81"/>
    <cellStyle name="Accent2 3" xfId="82"/>
    <cellStyle name="Accent2 4" xfId="83"/>
    <cellStyle name="Accent2 5" xfId="84"/>
    <cellStyle name="Accent3 2" xfId="85"/>
    <cellStyle name="Accent3 3" xfId="86"/>
    <cellStyle name="Accent3 4" xfId="87"/>
    <cellStyle name="Accent3 5" xfId="88"/>
    <cellStyle name="Accent4 2" xfId="89"/>
    <cellStyle name="Accent4 3" xfId="90"/>
    <cellStyle name="Accent4 4" xfId="91"/>
    <cellStyle name="Accent4 5" xfId="92"/>
    <cellStyle name="Accent5 2" xfId="93"/>
    <cellStyle name="Accent5 3" xfId="94"/>
    <cellStyle name="Accent5 4" xfId="95"/>
    <cellStyle name="Accent5 5" xfId="96"/>
    <cellStyle name="Accent6 2" xfId="97"/>
    <cellStyle name="Accent6 3" xfId="98"/>
    <cellStyle name="Accent6 4" xfId="99"/>
    <cellStyle name="Accent6 5" xfId="100"/>
    <cellStyle name="Bad 2" xfId="101"/>
    <cellStyle name="Bad 3" xfId="102"/>
    <cellStyle name="Bad 4" xfId="103"/>
    <cellStyle name="Bad 5" xfId="104"/>
    <cellStyle name="Calculation 2" xfId="105"/>
    <cellStyle name="Calculation 3" xfId="106"/>
    <cellStyle name="Calculation 4" xfId="107"/>
    <cellStyle name="Calculation 5" xfId="108"/>
    <cellStyle name="Check Cell 2" xfId="109"/>
    <cellStyle name="Check Cell 3" xfId="110"/>
    <cellStyle name="Check Cell 4" xfId="111"/>
    <cellStyle name="Check Cell 5" xfId="112"/>
    <cellStyle name="ColumnHeading" xfId="113"/>
    <cellStyle name="Comma 2" xfId="114"/>
    <cellStyle name="Comma 3" xfId="115"/>
    <cellStyle name="Comma 4" xfId="116"/>
    <cellStyle name="Comma 5" xfId="117"/>
    <cellStyle name="Comma 6" xfId="118"/>
    <cellStyle name="Comma 7" xfId="119"/>
    <cellStyle name="Comma 8" xfId="120"/>
    <cellStyle name="Euro" xfId="121"/>
    <cellStyle name="Explanatory Text 2" xfId="122"/>
    <cellStyle name="Explanatory Text 3" xfId="123"/>
    <cellStyle name="Explanatory Text 4" xfId="124"/>
    <cellStyle name="Explanatory Text 5" xfId="125"/>
    <cellStyle name="Good 2" xfId="126"/>
    <cellStyle name="Good 3" xfId="127"/>
    <cellStyle name="Good 4" xfId="128"/>
    <cellStyle name="Good 5" xfId="129"/>
    <cellStyle name="Heading 1 2" xfId="130"/>
    <cellStyle name="Heading 1 3" xfId="131"/>
    <cellStyle name="Heading 1 4" xfId="132"/>
    <cellStyle name="Heading 1 5" xfId="133"/>
    <cellStyle name="Heading 2 2" xfId="134"/>
    <cellStyle name="Heading 2 3" xfId="135"/>
    <cellStyle name="Heading 2 4" xfId="136"/>
    <cellStyle name="Heading 2 5" xfId="137"/>
    <cellStyle name="Heading 3 2" xfId="138"/>
    <cellStyle name="Heading 3 3" xfId="139"/>
    <cellStyle name="Heading 3 4" xfId="140"/>
    <cellStyle name="Heading 3 5" xfId="141"/>
    <cellStyle name="Heading 4 2" xfId="142"/>
    <cellStyle name="Heading 4 3" xfId="143"/>
    <cellStyle name="Heading 4 4" xfId="144"/>
    <cellStyle name="Heading 4 5" xfId="145"/>
    <cellStyle name="Hyperlink 2" xfId="146"/>
    <cellStyle name="Hyperlink 3" xfId="147"/>
    <cellStyle name="Input 2" xfId="148"/>
    <cellStyle name="Input 3" xfId="149"/>
    <cellStyle name="Input 4" xfId="150"/>
    <cellStyle name="Input 5" xfId="151"/>
    <cellStyle name="Lien hypertexte 3" xfId="152"/>
    <cellStyle name="Ligne détail" xfId="153"/>
    <cellStyle name="Linked Cell 2" xfId="154"/>
    <cellStyle name="Linked Cell 3" xfId="155"/>
    <cellStyle name="Linked Cell 4" xfId="156"/>
    <cellStyle name="Linked Cell 5" xfId="157"/>
    <cellStyle name="MEV4" xfId="158"/>
    <cellStyle name="MEV5" xfId="159"/>
    <cellStyle name="Milliers 2" xfId="160"/>
    <cellStyle name="Milliers 3" xfId="161"/>
    <cellStyle name="Milliers 4" xfId="162"/>
    <cellStyle name="N?rmal_la?oux_larou?" xfId="163"/>
    <cellStyle name="Neutral 2" xfId="164"/>
    <cellStyle name="Neutral 3" xfId="165"/>
    <cellStyle name="Neutral 4" xfId="166"/>
    <cellStyle name="Neutral 5" xfId="167"/>
    <cellStyle name="Norma?_On Hol?" xfId="168"/>
    <cellStyle name="Normaᷬ_On Holᷤ" xfId="169"/>
    <cellStyle name="Normal" xfId="0" builtinId="0"/>
    <cellStyle name="Normal - Style1" xfId="170"/>
    <cellStyle name="Normal 10" xfId="4"/>
    <cellStyle name="Normal 11" xfId="171"/>
    <cellStyle name="Normal 2" xfId="1"/>
    <cellStyle name="Normal 2 2" xfId="172"/>
    <cellStyle name="Normal 2 3" xfId="173"/>
    <cellStyle name="Normal 2 4" xfId="174"/>
    <cellStyle name="Normal 2 5" xfId="175"/>
    <cellStyle name="Normal 2_CRD hybride yc EMB" xfId="176"/>
    <cellStyle name="Normal 3" xfId="177"/>
    <cellStyle name="Normal 3 2" xfId="2"/>
    <cellStyle name="Normal 3 3" xfId="178"/>
    <cellStyle name="Normal 3 4" xfId="179"/>
    <cellStyle name="Normal 3 5" xfId="180"/>
    <cellStyle name="Normal 3 6" xfId="181"/>
    <cellStyle name="Normal 3_0. Investissement" xfId="182"/>
    <cellStyle name="Normal 4" xfId="183"/>
    <cellStyle name="Normal 5" xfId="184"/>
    <cellStyle name="Normal 6" xfId="185"/>
    <cellStyle name="Normal 6 2" xfId="186"/>
    <cellStyle name="Normal 6 3" xfId="187"/>
    <cellStyle name="Normal 6 4" xfId="188"/>
    <cellStyle name="Normal 6 5" xfId="189"/>
    <cellStyle name="Normal 6_0. Investissement" xfId="190"/>
    <cellStyle name="Normal 7" xfId="191"/>
    <cellStyle name="Normal 8" xfId="192"/>
    <cellStyle name="Normal 9" xfId="193"/>
    <cellStyle name="Normal_Copie de CRD_CRC_domaine TER_ergo" xfId="3"/>
    <cellStyle name="Normal_Cost of damages" xfId="234"/>
    <cellStyle name="Normal_EBIT_EBITDA  groupe Actual 2003.12" xfId="233"/>
    <cellStyle name="Note 2" xfId="194"/>
    <cellStyle name="Note 3" xfId="195"/>
    <cellStyle name="Note 4" xfId="196"/>
    <cellStyle name="Note 5" xfId="197"/>
    <cellStyle name="N䃯rmal_la䇲oux_larou᷸" xfId="198"/>
    <cellStyle name="Output 2" xfId="199"/>
    <cellStyle name="Output 3" xfId="200"/>
    <cellStyle name="Output 4" xfId="201"/>
    <cellStyle name="Output 5" xfId="202"/>
    <cellStyle name="Percent 10" xfId="203"/>
    <cellStyle name="Percent 2" xfId="204"/>
    <cellStyle name="Percent 2 2" xfId="205"/>
    <cellStyle name="Percent 3" xfId="206"/>
    <cellStyle name="Percent 4" xfId="207"/>
    <cellStyle name="Percent 5" xfId="208"/>
    <cellStyle name="Percent 5 2" xfId="209"/>
    <cellStyle name="Percent 5 3" xfId="210"/>
    <cellStyle name="Percent 5 4" xfId="211"/>
    <cellStyle name="Percent 5 5" xfId="212"/>
    <cellStyle name="Percent 6" xfId="213"/>
    <cellStyle name="Percent 7" xfId="214"/>
    <cellStyle name="Percent 8" xfId="215"/>
    <cellStyle name="Percent 9" xfId="216"/>
    <cellStyle name="Pourcentage 2" xfId="217"/>
    <cellStyle name="Pourcentage 3" xfId="218"/>
    <cellStyle name="Title 2" xfId="219"/>
    <cellStyle name="Title 3" xfId="220"/>
    <cellStyle name="Title 4" xfId="221"/>
    <cellStyle name="Title 5" xfId="222"/>
    <cellStyle name="Titre colonnes" xfId="223"/>
    <cellStyle name="Titre lignes" xfId="224"/>
    <cellStyle name="Total 2" xfId="225"/>
    <cellStyle name="Total 3" xfId="226"/>
    <cellStyle name="Total 4" xfId="227"/>
    <cellStyle name="Total 5" xfId="228"/>
    <cellStyle name="Warning Text 2" xfId="229"/>
    <cellStyle name="Warning Text 3" xfId="230"/>
    <cellStyle name="Warning Text 4" xfId="231"/>
    <cellStyle name="Warning Text 5" xfId="232"/>
  </cellStyles>
  <dxfs count="63"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1409700</xdr:colOff>
          <xdr:row>12</xdr:row>
          <xdr:rowOff>66675</xdr:rowOff>
        </xdr:from>
        <xdr:to>
          <xdr:col>11</xdr:col>
          <xdr:colOff>66675</xdr:colOff>
          <xdr:row>15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133350</xdr:colOff>
      <xdr:row>5</xdr:row>
      <xdr:rowOff>209551</xdr:rowOff>
    </xdr:from>
    <xdr:to>
      <xdr:col>5</xdr:col>
      <xdr:colOff>1813214</xdr:colOff>
      <xdr:row>7</xdr:row>
      <xdr:rowOff>191806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09551"/>
          <a:ext cx="2476500" cy="842970"/>
        </a:xfrm>
        <a:prstGeom prst="rect">
          <a:avLst/>
        </a:prstGeom>
      </xdr:spPr>
    </xdr:pic>
    <xdr:clientData/>
  </xdr:twoCellAnchor>
  <xdr:twoCellAnchor>
    <xdr:from>
      <xdr:col>6</xdr:col>
      <xdr:colOff>4727864</xdr:colOff>
      <xdr:row>10</xdr:row>
      <xdr:rowOff>0</xdr:rowOff>
    </xdr:from>
    <xdr:to>
      <xdr:col>8</xdr:col>
      <xdr:colOff>121227</xdr:colOff>
      <xdr:row>16</xdr:row>
      <xdr:rowOff>218208</xdr:rowOff>
    </xdr:to>
    <xdr:sp macro="" textlink="">
      <xdr:nvSpPr>
        <xdr:cNvPr id="3" name="Accolade fermante 2"/>
        <xdr:cNvSpPr/>
      </xdr:nvSpPr>
      <xdr:spPr>
        <a:xfrm>
          <a:off x="9334500" y="2736273"/>
          <a:ext cx="640772" cy="156902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31172</xdr:colOff>
      <xdr:row>15</xdr:row>
      <xdr:rowOff>48485</xdr:rowOff>
    </xdr:from>
    <xdr:to>
      <xdr:col>10</xdr:col>
      <xdr:colOff>1887683</xdr:colOff>
      <xdr:row>17</xdr:row>
      <xdr:rowOff>17314</xdr:rowOff>
    </xdr:to>
    <xdr:sp macro="" textlink="">
      <xdr:nvSpPr>
        <xdr:cNvPr id="6" name="Accolade fermante 5"/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173182</xdr:colOff>
      <xdr:row>12</xdr:row>
      <xdr:rowOff>103909</xdr:rowOff>
    </xdr:from>
    <xdr:to>
      <xdr:col>9</xdr:col>
      <xdr:colOff>1108364</xdr:colOff>
      <xdr:row>14</xdr:row>
      <xdr:rowOff>259771</xdr:rowOff>
    </xdr:to>
    <xdr:sp macro="" textlink="">
      <xdr:nvSpPr>
        <xdr:cNvPr id="5" name="Arrondir un rectangle avec un coin diagonal 4"/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31"/>
  <sheetViews>
    <sheetView workbookViewId="0">
      <selection activeCell="D10" sqref="D10"/>
    </sheetView>
  </sheetViews>
  <sheetFormatPr baseColWidth="10" defaultColWidth="9.140625" defaultRowHeight="12.75"/>
  <cols>
    <col min="1" max="1" width="44.140625" style="3" customWidth="1"/>
    <col min="2" max="2" width="17.85546875" style="3" bestFit="1" customWidth="1"/>
    <col min="3" max="3" width="9.140625" style="3"/>
    <col min="4" max="4" width="27.7109375" style="3" customWidth="1"/>
    <col min="5" max="16384" width="9.140625" style="3"/>
  </cols>
  <sheetData>
    <row r="1" spans="1:2" ht="18">
      <c r="A1" s="1" t="s">
        <v>49</v>
      </c>
      <c r="B1" s="2"/>
    </row>
    <row r="2" spans="1:2">
      <c r="A2" s="2" t="s">
        <v>50</v>
      </c>
      <c r="B2" s="2"/>
    </row>
    <row r="3" spans="1:2" ht="15.75">
      <c r="A3" s="4" t="s">
        <v>51</v>
      </c>
      <c r="B3" s="2"/>
    </row>
    <row r="4" spans="1:2">
      <c r="A4" s="5" t="s">
        <v>0</v>
      </c>
      <c r="B4" s="6" t="s">
        <v>1</v>
      </c>
    </row>
    <row r="5" spans="1:2">
      <c r="A5" s="5" t="s">
        <v>2</v>
      </c>
      <c r="B5" s="7" t="str">
        <f>LEFT(Server,LEN(Server)-1)</f>
        <v>tango_core_model</v>
      </c>
    </row>
    <row r="6" spans="1:2">
      <c r="A6" s="5" t="s">
        <v>3</v>
      </c>
      <c r="B6" s="7" t="str">
        <f ca="1">Host_Serveur</f>
        <v>FRSAPP021269</v>
      </c>
    </row>
    <row r="7" spans="1:2">
      <c r="A7" s="5" t="s">
        <v>4</v>
      </c>
      <c r="B7" s="7">
        <v>0</v>
      </c>
    </row>
    <row r="8" spans="1:2">
      <c r="A8" s="5" t="s">
        <v>5</v>
      </c>
      <c r="B8" s="7">
        <v>0</v>
      </c>
    </row>
    <row r="10" spans="1:2" ht="15.75">
      <c r="A10" s="4" t="s">
        <v>6</v>
      </c>
    </row>
    <row r="11" spans="1:2" ht="13.5" customHeight="1">
      <c r="A11" s="5" t="s">
        <v>7</v>
      </c>
      <c r="B11" s="7" t="s">
        <v>8</v>
      </c>
    </row>
    <row r="12" spans="1:2" ht="13.5" customHeight="1">
      <c r="A12" s="5" t="s">
        <v>9</v>
      </c>
      <c r="B12" s="7" t="s">
        <v>10</v>
      </c>
    </row>
    <row r="13" spans="1:2">
      <c r="A13" s="5" t="s">
        <v>11</v>
      </c>
      <c r="B13" s="7" t="str">
        <f ca="1">_xll.DBR(Server&amp;"z_Admin_Param","YEAR_ACTUAL","STR_VAR1")</f>
        <v>2020</v>
      </c>
    </row>
    <row r="14" spans="1:2">
      <c r="A14" s="5" t="s">
        <v>12</v>
      </c>
      <c r="B14" s="7" t="str">
        <f ca="1">_xll.DBR(Server&amp;"z_Admin_Param","MONTH_ACTUAL","STR_VAR1")</f>
        <v>2020.02</v>
      </c>
    </row>
    <row r="15" spans="1:2">
      <c r="A15" s="5" t="s">
        <v>13</v>
      </c>
      <c r="B15" s="7" t="str">
        <f ca="1">_xll.DBR(Server&amp;"z_Admin_Param","BUDGET_VERSION","STR_VAR1")</f>
        <v>BUDG_TOT</v>
      </c>
    </row>
    <row r="16" spans="1:2">
      <c r="A16" s="5" t="s">
        <v>14</v>
      </c>
      <c r="B16" s="7" t="str">
        <f ca="1">_xll.DBR(Server&amp;"z_Admin_Param","FORECAST_VERSION","STR_VAR1")</f>
        <v>FC_2_TOT</v>
      </c>
    </row>
    <row r="17" spans="1:2">
      <c r="A17" s="5" t="s">
        <v>15</v>
      </c>
      <c r="B17" s="8" t="str">
        <f ca="1">_xll.DBR(Server&amp;"z_Client_Properties","Language",_xll.TM1USER(xServer))</f>
        <v>French</v>
      </c>
    </row>
    <row r="18" spans="1:2">
      <c r="A18" s="128" t="s">
        <v>16</v>
      </c>
      <c r="B18" s="9" t="s">
        <v>17</v>
      </c>
    </row>
    <row r="19" spans="1:2">
      <c r="A19" s="128"/>
      <c r="B19" s="9" t="s">
        <v>18</v>
      </c>
    </row>
    <row r="20" spans="1:2">
      <c r="A20" s="128"/>
      <c r="B20" s="9" t="s">
        <v>19</v>
      </c>
    </row>
    <row r="21" spans="1:2">
      <c r="A21" s="128"/>
      <c r="B21" s="9" t="s">
        <v>20</v>
      </c>
    </row>
    <row r="22" spans="1:2">
      <c r="A22" s="128"/>
      <c r="B22" s="9" t="s">
        <v>21</v>
      </c>
    </row>
    <row r="23" spans="1:2">
      <c r="A23" s="128" t="s">
        <v>22</v>
      </c>
      <c r="B23" s="9" t="s">
        <v>23</v>
      </c>
    </row>
    <row r="24" spans="1:2">
      <c r="A24" s="128"/>
      <c r="B24" s="9" t="s">
        <v>24</v>
      </c>
    </row>
    <row r="25" spans="1:2">
      <c r="A25" s="128"/>
      <c r="B25" s="9" t="s">
        <v>25</v>
      </c>
    </row>
    <row r="27" spans="1:2" ht="15.75">
      <c r="A27" s="4" t="s">
        <v>26</v>
      </c>
    </row>
    <row r="28" spans="1:2" ht="13.5" customHeight="1">
      <c r="A28" s="3" t="s">
        <v>27</v>
      </c>
      <c r="B28" s="10"/>
    </row>
    <row r="29" spans="1:2">
      <c r="A29" s="3" t="s">
        <v>28</v>
      </c>
      <c r="B29" s="11"/>
    </row>
    <row r="30" spans="1:2">
      <c r="A30" s="3" t="s">
        <v>29</v>
      </c>
      <c r="B30" s="12"/>
    </row>
    <row r="31" spans="1:2">
      <c r="A31" s="3" t="s">
        <v>30</v>
      </c>
      <c r="B31" s="13"/>
    </row>
  </sheetData>
  <sheetProtection sheet="1" objects="1" scenarios="1"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Z31"/>
  <sheetViews>
    <sheetView showGridLines="0" tabSelected="1" topLeftCell="D7" zoomScale="55" zoomScaleNormal="55" zoomScaleSheetLayoutView="40" workbookViewId="0">
      <selection activeCell="F55" sqref="F55"/>
    </sheetView>
  </sheetViews>
  <sheetFormatPr baseColWidth="10" defaultColWidth="11.42578125" defaultRowHeight="18" customHeight="1"/>
  <cols>
    <col min="1" max="1" width="9.140625" style="28" hidden="1" customWidth="1"/>
    <col min="2" max="2" width="19.5703125" style="29" hidden="1" customWidth="1"/>
    <col min="3" max="3" width="74.5703125" style="29" hidden="1" customWidth="1"/>
    <col min="4" max="5" width="6" style="29" customWidth="1"/>
    <col min="6" max="6" width="57.140625" style="35" customWidth="1"/>
    <col min="7" max="7" width="72.28515625" style="35" customWidth="1"/>
    <col min="8" max="8" width="6.42578125" style="28" customWidth="1"/>
    <col min="9" max="9" width="14.42578125" style="28" customWidth="1"/>
    <col min="10" max="10" width="24.5703125" style="28" customWidth="1"/>
    <col min="11" max="11" width="29.7109375" style="28" customWidth="1"/>
    <col min="12" max="12" width="25.85546875" style="28" customWidth="1"/>
    <col min="13" max="13" width="2.7109375" style="34" customWidth="1"/>
    <col min="14" max="14" width="12.140625" style="34" customWidth="1"/>
    <col min="15" max="15" width="12.85546875" style="41" customWidth="1"/>
    <col min="16" max="16" width="5.85546875" style="18" customWidth="1"/>
    <col min="17" max="17" width="14.42578125" style="61" customWidth="1"/>
    <col min="18" max="18" width="3.7109375" style="61" customWidth="1"/>
    <col min="19" max="19" width="5.85546875" style="65" customWidth="1"/>
    <col min="20" max="20" width="13.7109375" style="41" customWidth="1"/>
    <col min="21" max="21" width="12.85546875" style="41" customWidth="1"/>
    <col min="22" max="22" width="5.5703125" style="63" customWidth="1"/>
    <col min="23" max="23" width="5" style="17" customWidth="1"/>
    <col min="24" max="24" width="7.140625" style="17" customWidth="1"/>
    <col min="25" max="25" width="29.7109375" style="17" customWidth="1"/>
    <col min="26" max="26" width="25.7109375" style="17" hidden="1" customWidth="1"/>
    <col min="27" max="27" width="16.5703125" style="17" customWidth="1"/>
    <col min="28" max="28" width="25.42578125" style="17" customWidth="1"/>
    <col min="29" max="39" width="9" style="17" customWidth="1"/>
    <col min="40" max="41" width="10.140625" style="14" customWidth="1"/>
    <col min="42" max="51" width="6.5703125" style="14" customWidth="1"/>
    <col min="52" max="53" width="6.42578125" style="14" customWidth="1"/>
    <col min="54" max="16384" width="11.42578125" style="14"/>
  </cols>
  <sheetData>
    <row r="1" spans="1:52" ht="18" hidden="1" customHeight="1">
      <c r="F1" s="30"/>
      <c r="G1" s="31" t="s">
        <v>31</v>
      </c>
      <c r="I1" s="32" t="str">
        <f ca="1">I19</f>
        <v>Actual</v>
      </c>
      <c r="J1" s="33" t="str">
        <f ca="1">J19</f>
        <v>Budget V current</v>
      </c>
      <c r="K1" s="33" t="str">
        <f ca="1">K19</f>
        <v>Forecast 2 V current</v>
      </c>
      <c r="L1" s="32" t="s">
        <v>32</v>
      </c>
      <c r="N1" s="32" t="s">
        <v>33</v>
      </c>
      <c r="O1" s="32" t="s">
        <v>34</v>
      </c>
      <c r="P1" s="16"/>
      <c r="Q1" s="32" t="s">
        <v>35</v>
      </c>
      <c r="R1" s="32" t="s">
        <v>36</v>
      </c>
      <c r="S1" s="64"/>
      <c r="T1" s="32" t="s">
        <v>37</v>
      </c>
      <c r="U1" s="32" t="s">
        <v>38</v>
      </c>
      <c r="V1" s="64"/>
    </row>
    <row r="2" spans="1:52" ht="18" hidden="1" customHeight="1">
      <c r="G2" s="36" t="s">
        <v>39</v>
      </c>
      <c r="H2" s="37" t="str">
        <f ca="1">_xll.SUBNM(Server&amp;"Period","",#REF!,"")</f>
        <v/>
      </c>
      <c r="I2" s="38" t="str">
        <f ca="1">_xll.DBRA(Server&amp;$G$2,I18,"Prior Year")</f>
        <v>2019.02_YTD</v>
      </c>
      <c r="J2" s="39" t="str">
        <f ca="1">SUBSTITUTE(ActualBudget,"_TOT","_VC")</f>
        <v>BUDG_VC</v>
      </c>
      <c r="K2" s="40"/>
      <c r="L2" s="40"/>
      <c r="P2" s="15"/>
      <c r="Q2" s="34"/>
      <c r="R2" s="34"/>
      <c r="S2" s="63"/>
    </row>
    <row r="3" spans="1:52" ht="18" hidden="1" customHeight="1">
      <c r="G3" s="42" t="s">
        <v>40</v>
      </c>
      <c r="H3" s="43"/>
      <c r="J3" s="39"/>
      <c r="K3" s="40"/>
      <c r="L3" s="40"/>
      <c r="P3" s="15"/>
      <c r="Q3" s="34"/>
      <c r="R3" s="34"/>
      <c r="S3" s="63"/>
    </row>
    <row r="4" spans="1:52" ht="18" hidden="1" customHeight="1">
      <c r="H4" s="44"/>
      <c r="J4" s="39"/>
      <c r="K4" s="40"/>
      <c r="L4" s="45"/>
    </row>
    <row r="5" spans="1:52" ht="18" hidden="1" customHeight="1">
      <c r="G5" s="46"/>
      <c r="H5" s="43"/>
      <c r="I5" s="47"/>
      <c r="J5" s="39"/>
      <c r="K5" s="47"/>
      <c r="L5" s="47"/>
      <c r="M5" s="47"/>
      <c r="N5" s="47"/>
      <c r="O5" s="47"/>
      <c r="P5" s="19"/>
      <c r="Q5" s="47"/>
      <c r="R5" s="47"/>
      <c r="S5" s="66"/>
      <c r="T5" s="47"/>
      <c r="U5" s="47"/>
    </row>
    <row r="6" spans="1:52" ht="18" hidden="1" customHeight="1">
      <c r="G6" s="48"/>
    </row>
    <row r="7" spans="1:52" ht="51" customHeight="1">
      <c r="C7" s="29" t="s">
        <v>65</v>
      </c>
      <c r="D7" s="130" t="str">
        <f ca="1">_xll.DBRA(Server&amp;$Z$15,$C$7,$G$17)&amp;" - "&amp;G11&amp;" - "&amp;G12&amp;" - "&amp;G13</f>
        <v>Infrastructure - TRANSDEV All - TRANSDEV All - Total Activités</v>
      </c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73"/>
    </row>
    <row r="8" spans="1:52" ht="18" customHeight="1"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73"/>
    </row>
    <row r="9" spans="1:52" ht="18" customHeight="1">
      <c r="F9" s="28"/>
      <c r="G9" s="48"/>
      <c r="H9" s="48"/>
      <c r="I9" s="49"/>
      <c r="J9" s="49"/>
      <c r="K9" s="49"/>
      <c r="L9" s="49"/>
      <c r="M9" s="49"/>
      <c r="N9" s="49"/>
      <c r="O9" s="49"/>
      <c r="P9" s="20"/>
      <c r="Q9" s="49"/>
      <c r="R9" s="49"/>
      <c r="S9" s="67"/>
      <c r="T9" s="49"/>
      <c r="U9" s="49"/>
      <c r="V9" s="67"/>
      <c r="W9" s="20"/>
    </row>
    <row r="10" spans="1:52" ht="23.25" customHeight="1">
      <c r="F10" s="50" t="str">
        <f ca="1">_xll.DBRA(Server&amp;$Z$15,$Z16,$G$17)</f>
        <v>Sélection du contexte</v>
      </c>
      <c r="H10" s="48"/>
      <c r="I10" s="49"/>
      <c r="J10" s="49"/>
      <c r="K10" s="49"/>
      <c r="L10" s="49"/>
      <c r="M10" s="49"/>
      <c r="N10" s="49"/>
      <c r="O10" s="49"/>
      <c r="P10" s="20"/>
      <c r="Q10" s="49"/>
      <c r="R10" s="49"/>
      <c r="S10" s="67"/>
      <c r="T10" s="49"/>
      <c r="U10" s="49"/>
      <c r="V10" s="67"/>
      <c r="W10" s="20"/>
    </row>
    <row r="11" spans="1:52" s="24" customFormat="1" ht="17.25" customHeight="1">
      <c r="A11" s="84"/>
      <c r="B11" s="85"/>
      <c r="C11" s="85"/>
      <c r="D11" s="85"/>
      <c r="E11" s="85"/>
      <c r="F11" s="86" t="s">
        <v>52</v>
      </c>
      <c r="G11" s="68" t="str">
        <f ca="1">_xll.SUBNM(Server&amp;"Legal_Organization","default",_xll.DBR(Server&amp;"z_Client_Properties","Default_Legal_Organization",_xll.TM1USER(xServer)),G17)</f>
        <v>TRANSDEV All</v>
      </c>
      <c r="H11" s="87"/>
      <c r="I11" s="88"/>
      <c r="J11" s="84"/>
      <c r="K11" s="84"/>
      <c r="L11" s="84"/>
      <c r="M11" s="71"/>
      <c r="N11" s="71"/>
      <c r="O11" s="71"/>
      <c r="P11" s="89"/>
      <c r="Q11" s="90"/>
      <c r="R11" s="90"/>
      <c r="S11" s="89"/>
      <c r="T11" s="71"/>
      <c r="U11" s="7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</row>
    <row r="12" spans="1:52" s="24" customFormat="1" ht="17.25" customHeight="1">
      <c r="A12" s="84"/>
      <c r="B12" s="85"/>
      <c r="C12" s="85"/>
      <c r="D12" s="85"/>
      <c r="E12" s="85"/>
      <c r="F12" s="86" t="s">
        <v>43</v>
      </c>
      <c r="G12" s="68" t="str">
        <f ca="1">_xll.SUBNM(Server&amp;"Management_Organization","default",_xll.DBR(Server&amp;"z_Client_Properties","Default_Management_Organization",_xll.TM1USER(xServer)),G17)</f>
        <v>TRANSDEV All</v>
      </c>
      <c r="H12" s="87"/>
      <c r="I12" s="88"/>
      <c r="J12" s="88"/>
      <c r="K12" s="88"/>
      <c r="L12" s="84"/>
      <c r="M12" s="71"/>
      <c r="N12" s="71"/>
      <c r="O12" s="71"/>
      <c r="P12" s="89"/>
      <c r="Q12" s="90"/>
      <c r="R12" s="90"/>
      <c r="S12" s="89"/>
      <c r="T12" s="71"/>
      <c r="U12" s="7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</row>
    <row r="13" spans="1:52" s="24" customFormat="1" ht="17.25" customHeight="1">
      <c r="A13" s="84"/>
      <c r="B13" s="85"/>
      <c r="C13" s="85"/>
      <c r="D13" s="85"/>
      <c r="E13" s="85"/>
      <c r="F13" s="86" t="s">
        <v>46</v>
      </c>
      <c r="G13" s="68" t="str">
        <f ca="1">_xll.SUBNM(Server&amp;"Activity","default","Tot_act",G17)</f>
        <v>Total Activités</v>
      </c>
      <c r="H13" s="84"/>
      <c r="I13" s="88"/>
      <c r="J13" s="88"/>
      <c r="K13" s="88"/>
      <c r="L13" s="84"/>
      <c r="M13" s="71"/>
      <c r="N13" s="71"/>
      <c r="O13" s="71"/>
      <c r="P13" s="89"/>
      <c r="Q13" s="90"/>
      <c r="R13" s="90"/>
      <c r="S13" s="89"/>
      <c r="T13" s="71"/>
      <c r="U13" s="7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</row>
    <row r="14" spans="1:52" s="24" customFormat="1" ht="17.25" customHeight="1">
      <c r="A14" s="84"/>
      <c r="B14" s="85"/>
      <c r="C14" s="85"/>
      <c r="D14" s="85"/>
      <c r="E14" s="92"/>
      <c r="F14" s="86" t="s">
        <v>47</v>
      </c>
      <c r="G14" s="68" t="str">
        <f ca="1">_xll.SUBNM(Server&amp;"Currency","default","KEUR",G17)</f>
        <v>K€</v>
      </c>
      <c r="H14" s="84"/>
      <c r="I14" s="88"/>
      <c r="J14" s="88"/>
      <c r="K14" s="88"/>
      <c r="L14" s="84"/>
      <c r="M14" s="71"/>
      <c r="N14" s="71"/>
      <c r="O14" s="71"/>
      <c r="P14" s="89"/>
      <c r="Q14" s="90"/>
      <c r="R14" s="90"/>
      <c r="S14" s="89"/>
      <c r="T14" s="71"/>
      <c r="U14" s="7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</row>
    <row r="15" spans="1:52" s="24" customFormat="1" ht="17.25" customHeight="1">
      <c r="A15" s="84"/>
      <c r="B15" s="85"/>
      <c r="C15" s="93"/>
      <c r="D15" s="93"/>
      <c r="E15" s="94"/>
      <c r="F15" s="86" t="s">
        <v>48</v>
      </c>
      <c r="G15" s="68" t="str">
        <f ca="1">_xll.SUBNM(Server&amp;"Gaap","default","Total_conso_wo_opt_dis")</f>
        <v>Total_conso_wo_opt_dis</v>
      </c>
      <c r="H15" s="95"/>
      <c r="I15" s="84"/>
      <c r="J15" s="84"/>
      <c r="K15" s="84"/>
      <c r="L15" s="84"/>
      <c r="M15" s="71"/>
      <c r="N15" s="71"/>
      <c r="O15" s="71"/>
      <c r="P15" s="89"/>
      <c r="Q15" s="90"/>
      <c r="R15" s="90"/>
      <c r="S15" s="89"/>
      <c r="T15" s="71"/>
      <c r="U15" s="71"/>
      <c r="V15" s="91"/>
      <c r="W15" s="96"/>
      <c r="X15" s="91"/>
      <c r="Y15" s="91"/>
      <c r="Z15" s="97" t="s">
        <v>41</v>
      </c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</row>
    <row r="16" spans="1:52" s="102" customFormat="1" ht="17.25" customHeight="1">
      <c r="A16" s="99"/>
      <c r="B16" s="85"/>
      <c r="C16" s="100"/>
      <c r="D16" s="100"/>
      <c r="E16" s="93"/>
      <c r="F16" s="86" t="s">
        <v>53</v>
      </c>
      <c r="G16" s="68" t="str">
        <f ca="1">_xll.SUBNM(Server&amp;"Integration_Rate","default","APP")</f>
        <v>APP</v>
      </c>
      <c r="H16" s="101"/>
      <c r="O16" s="111"/>
      <c r="W16" s="96"/>
      <c r="X16" s="91"/>
      <c r="Z16" s="103" t="s">
        <v>42</v>
      </c>
      <c r="AL16" s="91"/>
      <c r="AM16" s="91"/>
    </row>
    <row r="17" spans="1:39" s="110" customFormat="1" ht="17.25" customHeight="1">
      <c r="A17" s="104"/>
      <c r="B17" s="105"/>
      <c r="C17" s="104"/>
      <c r="D17" s="104"/>
      <c r="E17" s="106"/>
      <c r="F17" s="107" t="s">
        <v>44</v>
      </c>
      <c r="G17" s="127" t="str">
        <f ca="1">LocalLanguage</f>
        <v>French</v>
      </c>
      <c r="H17" s="108"/>
      <c r="I17" s="99"/>
      <c r="J17" s="99"/>
      <c r="K17" s="99"/>
      <c r="L17" s="99"/>
      <c r="M17" s="99"/>
      <c r="N17" s="99"/>
      <c r="O17" s="99"/>
      <c r="P17" s="102"/>
      <c r="Q17" s="99"/>
      <c r="R17" s="99"/>
      <c r="S17" s="102"/>
      <c r="T17" s="99"/>
      <c r="U17" s="99"/>
      <c r="V17" s="102"/>
      <c r="W17" s="96"/>
      <c r="X17" s="109"/>
      <c r="Y17" s="109"/>
      <c r="Z17" s="17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</row>
    <row r="18" spans="1:39" s="81" customFormat="1" ht="40.5" customHeight="1" thickBot="1">
      <c r="A18" s="74"/>
      <c r="B18" s="75"/>
      <c r="C18" s="74"/>
      <c r="D18" s="74"/>
      <c r="E18" s="77"/>
      <c r="F18" s="74"/>
      <c r="H18" s="53"/>
      <c r="I18" s="78" t="str">
        <f ca="1">_xll.SUBNM(Server&amp;$G$2,"default",ActualMonth&amp;"_YTD","English")</f>
        <v>February 2020 YTD</v>
      </c>
      <c r="J18" s="78" t="str">
        <f ca="1">_xll.SUBNM(Server&amp;$G$2,"default",I18,"English")</f>
        <v>February 2020 YTD</v>
      </c>
      <c r="K18" s="78" t="str">
        <f ca="1">_xll.SUBNM(Server&amp;$G$2,"default",I18,"English")</f>
        <v>February 2020 YTD</v>
      </c>
      <c r="L18" s="79" t="str">
        <f ca="1">_xll.SUBNM(Server&amp;$G$2,"default",PriorYear,"English")</f>
        <v>February 2019 YTD</v>
      </c>
      <c r="M18" s="82"/>
      <c r="N18" s="135" t="s">
        <v>67</v>
      </c>
      <c r="O18" s="135"/>
      <c r="P18" s="135"/>
      <c r="Q18" s="135"/>
      <c r="R18" s="135"/>
      <c r="S18" s="135"/>
      <c r="T18" s="135"/>
      <c r="U18" s="135"/>
      <c r="V18" s="135"/>
      <c r="W18" s="21"/>
      <c r="X18" s="80"/>
      <c r="Y18" s="80"/>
      <c r="Z18" s="17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</row>
    <row r="19" spans="1:39" s="81" customFormat="1" ht="40.5" customHeight="1" thickBot="1">
      <c r="A19" s="74"/>
      <c r="B19" s="75"/>
      <c r="C19" s="76"/>
      <c r="D19" s="76"/>
      <c r="E19" s="77"/>
      <c r="F19" s="83" t="str">
        <f ca="1">G15</f>
        <v>Total_conso_wo_opt_dis</v>
      </c>
      <c r="G19" s="83" t="str">
        <f ca="1">G14</f>
        <v>K€</v>
      </c>
      <c r="H19" s="53"/>
      <c r="I19" s="78" t="str">
        <f ca="1">_xll.SUBNM(Server&amp;$G$1,"default","ACT_TOT","English")</f>
        <v>Actual</v>
      </c>
      <c r="J19" s="78" t="str">
        <f ca="1">_xll.SUBNM(Server&amp;$G$1,"default",SUBSTITUTE(ActualBudget,"_TOT","_VC_TOT"),"English")</f>
        <v>Budget V current</v>
      </c>
      <c r="K19" s="78" t="str">
        <f ca="1">_xll.SUBNM(Server&amp;$G$1,"default",SUBSTITUTE(ActualForecast,"_TOT","_VC_TOT"),"English")</f>
        <v>Forecast 2 V current</v>
      </c>
      <c r="L19" s="79" t="str">
        <f ca="1">_xll.DBRA(Server&amp;$Z$15,"Prior_year",$G$17)</f>
        <v>Année précédente</v>
      </c>
      <c r="M19" s="72"/>
      <c r="N19" s="132" t="str">
        <f ca="1">$I19&amp;" vs "&amp;J19</f>
        <v>Actual vs Budget V current</v>
      </c>
      <c r="O19" s="133"/>
      <c r="P19" s="134"/>
      <c r="Q19" s="132" t="str">
        <f ca="1">$I19&amp;" vs "&amp;K19</f>
        <v>Actual vs Forecast 2 V current</v>
      </c>
      <c r="R19" s="133"/>
      <c r="S19" s="134" t="str">
        <f ca="1">_xll.DBRA(Server&amp;$Z$15,$Z27,$G$17)</f>
        <v/>
      </c>
      <c r="T19" s="132" t="str">
        <f ca="1">$I19&amp;" vs "&amp;L19</f>
        <v>Actual vs Année précédente</v>
      </c>
      <c r="U19" s="133"/>
      <c r="V19" s="134" t="str">
        <f ca="1">_xll.DBRA(Server&amp;$Z$15,$Z27,$G$17)</f>
        <v/>
      </c>
      <c r="W19" s="21"/>
      <c r="X19" s="80"/>
      <c r="Y19" s="80"/>
      <c r="Z19" s="17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</row>
    <row r="20" spans="1:39" s="22" customFormat="1" ht="15.75" customHeight="1">
      <c r="A20" s="52"/>
      <c r="B20" s="123" t="s">
        <v>45</v>
      </c>
      <c r="C20" s="54" t="s">
        <v>45</v>
      </c>
      <c r="D20" s="54"/>
      <c r="E20" s="51"/>
      <c r="F20" s="52"/>
      <c r="H20" s="53"/>
      <c r="I20" s="56"/>
      <c r="J20" s="56"/>
      <c r="K20" s="56"/>
      <c r="L20" s="56"/>
      <c r="M20" s="55"/>
      <c r="N20" s="56"/>
      <c r="O20" s="57"/>
      <c r="P20" s="21"/>
      <c r="Q20" s="62"/>
      <c r="R20" s="62"/>
      <c r="S20" s="21"/>
      <c r="T20" s="56"/>
      <c r="U20" s="57"/>
      <c r="V20" s="21"/>
      <c r="W20" s="21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ht="23.25">
      <c r="B21" s="124" t="s">
        <v>56</v>
      </c>
      <c r="C21" s="58" t="str">
        <f ca="1">_xll.DBRA(Server&amp;$C$20,$B21,$G$17)</f>
        <v>Locations opérationnelles (IN)</v>
      </c>
      <c r="D21" s="131" t="s">
        <v>55</v>
      </c>
      <c r="E21" s="131" t="s">
        <v>54</v>
      </c>
      <c r="F21" s="129" t="str">
        <f ca="1">_xll.DBRA(Server&amp;$C$20,$B21,$G$17)</f>
        <v>Locations opérationnelles (IN)</v>
      </c>
      <c r="G21" s="129"/>
      <c r="H21" s="113"/>
      <c r="I21" s="115">
        <f ca="1">_xll.DBRW(Server&amp;Cube1,$G$13,$G$14,$G$15,$G$16,$G$11,$G$12,I$18,I$1,$B21)</f>
        <v>-1.8857784021799695</v>
      </c>
      <c r="J21" s="115">
        <f ca="1">_xll.DBRW(Server&amp;Cube1,$G$13,$G$14,$G$15,$G$16,$G$11,$G$12,J$18,J$1,$B21)</f>
        <v>-5.1492859499695243</v>
      </c>
      <c r="K21" s="115">
        <f ca="1">_xll.DBRW(Server&amp;Cube1,$G$13,$G$14,$G$15,$G$16,$G$11,$G$12,K$18,K$1,$B21)</f>
        <v>0</v>
      </c>
      <c r="L21" s="115">
        <f ca="1">_xll.DBRW(Server&amp;Cube1,$G$13,$G$14,$G$15,$G$16,$G$11,$G$12,L$18,L$1,$B21)</f>
        <v>1.9538872283923663</v>
      </c>
      <c r="M21" s="116"/>
      <c r="N21" s="115">
        <f t="shared" ref="N21:N23" ca="1" si="0">IF(OR($I21="",J21=""),"-",IFERROR(($I21-J21),""))</f>
        <v>3.2635075477895548</v>
      </c>
      <c r="O21" s="117">
        <f t="shared" ref="O21:O23" ca="1" si="1">IF(OR($J21=0,N21=0),"-",IF(ABS(N21/$J21)&gt;2,"-",N21/$J21))</f>
        <v>-0.6337786597011319</v>
      </c>
      <c r="P21" s="122" t="str">
        <f ca="1">IF(OR(AND(O21&gt;0.01,N21&lt;0),AND(O21&lt;-0.01,N21&lt;0)),"î",IF(OR(AND(O21&lt;-0.01,N21&gt;0),AND(O21&gt;0.01,N21&gt;0)),"ì","è"))</f>
        <v>ì</v>
      </c>
      <c r="Q21" s="115">
        <f t="shared" ref="Q21:Q23" ca="1" si="2">IF(OR($I21="",K21=""),"-",IFERROR(($I21-K21),""))</f>
        <v>-1.8857784021799695</v>
      </c>
      <c r="R21" s="117" t="str">
        <f t="shared" ref="R21:R23" ca="1" si="3">IF(OR($K21=0,Q21=0),"-",IF(ABS(Q21/$K21)&gt;2,"-",Q21/$K21))</f>
        <v>-</v>
      </c>
      <c r="S21" s="122" t="str">
        <f ca="1">IF(OR(AND(R21&gt;0.01,Q21&lt;0),AND(R21&lt;-0.01,Q21&lt;0)),"î",IF(OR(AND(R21&lt;-0.01,Q21&gt;0),AND(R21&gt;0.01,Q21&gt;0)),"ì","è"))</f>
        <v>î</v>
      </c>
      <c r="T21" s="115">
        <f t="shared" ref="T21:T23" ca="1" si="4">IF(OR($I21="",L21=""),"-",IFERROR(($I21-L21),""))</f>
        <v>-3.8396656305723358</v>
      </c>
      <c r="U21" s="117">
        <f t="shared" ref="U21:U23" ca="1" si="5">IF(OR($L21=0,T21=0),"-",IF(ABS(T21/$L21)&gt;2,"-",T21/$L21))</f>
        <v>-1.9651418847399724</v>
      </c>
      <c r="V21" s="122" t="str">
        <f ca="1">IF(OR(AND(U21&gt;0.01,T21&lt;0),AND(U21&lt;-0.01,T21&lt;0)),"î",IF(OR(AND(U21&lt;-0.01,T21&gt;0),AND(U21&gt;0.01,T21&gt;0)),"ì","è"))</f>
        <v>î</v>
      </c>
    </row>
    <row r="22" spans="1:39" ht="23.25">
      <c r="B22" s="124" t="s">
        <v>66</v>
      </c>
      <c r="C22" s="58" t="str">
        <f ca="1">_xll.DBRA(Server&amp;$C$20,$B22,$G$17)</f>
        <v>CDV - Charges de location (IN)</v>
      </c>
      <c r="D22" s="131"/>
      <c r="E22" s="131"/>
      <c r="F22" s="129" t="str">
        <f ca="1">_xll.DBRA(Server&amp;$C$20,$B22,$G$17)</f>
        <v>CDV - Charges de location (IN)</v>
      </c>
      <c r="G22" s="129"/>
      <c r="H22" s="113"/>
      <c r="I22" s="115">
        <f ca="1">_xll.DBRW(Server&amp;Cube1,$G$13,$G$14,$G$15,$G$16,$G$11,$G$12,I$18,I$1,$B22)</f>
        <v>-1640.3540992677958</v>
      </c>
      <c r="J22" s="115">
        <f ca="1">_xll.DBRW(Server&amp;Cube1,$G$13,$G$14,$G$15,$G$16,$G$11,$G$12,J$18,J$1,$B22)</f>
        <v>-5195.5816027409919</v>
      </c>
      <c r="K22" s="115">
        <f ca="1">_xll.DBRW(Server&amp;Cube1,$G$13,$G$14,$G$15,$G$16,$G$11,$G$12,K$18,K$1,$B22)</f>
        <v>0</v>
      </c>
      <c r="L22" s="115">
        <f ca="1">_xll.DBRW(Server&amp;Cube1,$G$13,$G$14,$G$15,$G$16,$G$11,$G$12,L$18,L$1,$B22)</f>
        <v>-10658.113074579926</v>
      </c>
      <c r="M22" s="116"/>
      <c r="N22" s="115">
        <f t="shared" ref="N22" ca="1" si="6">IF(OR($I22="",J22=""),"-",IFERROR(($I22-J22),""))</f>
        <v>3555.2275034731961</v>
      </c>
      <c r="O22" s="117">
        <f t="shared" ref="O22" ca="1" si="7">IF(OR($J22=0,N22=0),"-",IF(ABS(N22/$J22)&gt;2,"-",N22/$J22))</f>
        <v>-0.68427902308330468</v>
      </c>
      <c r="P22" s="122" t="str">
        <f t="shared" ref="P22:P27" ca="1" si="8">IF(OR(AND(O22&gt;0.01,N22&lt;0),AND(O22&lt;-0.01,N22&lt;0)),"î",IF(OR(AND(O22&lt;-0.01,N22&gt;0),AND(O22&gt;0.01,N22&gt;0)),"ì","è"))</f>
        <v>ì</v>
      </c>
      <c r="Q22" s="115">
        <f t="shared" ref="Q22" ca="1" si="9">IF(OR($I22="",K22=""),"-",IFERROR(($I22-K22),""))</f>
        <v>-1640.3540992677958</v>
      </c>
      <c r="R22" s="117" t="str">
        <f t="shared" ref="R22" ca="1" si="10">IF(OR($K22=0,Q22=0),"-",IF(ABS(Q22/$K22)&gt;2,"-",Q22/$K22))</f>
        <v>-</v>
      </c>
      <c r="S22" s="122" t="str">
        <f t="shared" ref="S22:S27" ca="1" si="11">IF(OR(AND(R22&gt;0.01,Q22&lt;0),AND(R22&lt;-0.01,Q22&lt;0)),"î",IF(OR(AND(R22&lt;-0.01,Q22&gt;0),AND(R22&gt;0.01,Q22&gt;0)),"ì","è"))</f>
        <v>î</v>
      </c>
      <c r="T22" s="115">
        <f t="shared" ref="T22" ca="1" si="12">IF(OR($I22="",L22=""),"-",IFERROR(($I22-L22),""))</f>
        <v>9017.7589753121301</v>
      </c>
      <c r="U22" s="117">
        <f t="shared" ref="U22" ca="1" si="13">IF(OR($L22=0,T22=0),"-",IF(ABS(T22/$L22)&gt;2,"-",T22/$L22))</f>
        <v>-0.84609338559373015</v>
      </c>
      <c r="V22" s="118" t="str">
        <f t="shared" ref="V22:V27" ca="1" si="14">IF(OR(AND(U22&gt;0.01,T22&lt;0),AND(U22&lt;-0.01,T22&lt;0)),"î",IF(OR(AND(U22&lt;-0.01,T22&gt;0),AND(U22&gt;0.01,T22&gt;0)),"ì","è"))</f>
        <v>ì</v>
      </c>
    </row>
    <row r="23" spans="1:39" ht="23.25">
      <c r="B23" s="112" t="s">
        <v>57</v>
      </c>
      <c r="C23" s="58" t="str">
        <f ca="1">_xll.DBRA(Server&amp;$C$20,$B23,$G$17)</f>
        <v>Locations financières (IN)</v>
      </c>
      <c r="D23" s="131"/>
      <c r="E23" s="131"/>
      <c r="F23" s="129" t="str">
        <f ca="1">_xll.DBRA(Server&amp;$C$20,$B23,$G$17)</f>
        <v>Locations financières (IN)</v>
      </c>
      <c r="G23" s="129"/>
      <c r="H23" s="69"/>
      <c r="I23" s="115">
        <f ca="1">_xll.DBRW(Server&amp;Cube1,$G$13,$G$14,$G$15,$G$16,$G$11,$G$12,I$18,I$1,$B23)</f>
        <v>0</v>
      </c>
      <c r="J23" s="115">
        <f ca="1">_xll.DBRW(Server&amp;Cube1,$G$13,$G$14,$G$15,$G$16,$G$11,$G$12,J$18,J$1,$B23)</f>
        <v>0</v>
      </c>
      <c r="K23" s="115">
        <f ca="1">_xll.DBRW(Server&amp;Cube1,$G$13,$G$14,$G$15,$G$16,$G$11,$G$12,K$18,K$1,$B23)</f>
        <v>0</v>
      </c>
      <c r="L23" s="115">
        <f ca="1">_xll.DBRW(Server&amp;Cube1,$G$13,$G$14,$G$15,$G$16,$G$11,$G$12,L$18,L$1,$B23)</f>
        <v>0</v>
      </c>
      <c r="M23" s="116"/>
      <c r="N23" s="115">
        <f t="shared" ca="1" si="0"/>
        <v>0</v>
      </c>
      <c r="O23" s="117" t="str">
        <f t="shared" ca="1" si="1"/>
        <v>-</v>
      </c>
      <c r="P23" s="122" t="str">
        <f t="shared" ca="1" si="8"/>
        <v>è</v>
      </c>
      <c r="Q23" s="115">
        <f t="shared" ca="1" si="2"/>
        <v>0</v>
      </c>
      <c r="R23" s="117" t="str">
        <f t="shared" ca="1" si="3"/>
        <v>-</v>
      </c>
      <c r="S23" s="122" t="str">
        <f t="shared" ca="1" si="11"/>
        <v>è</v>
      </c>
      <c r="T23" s="115">
        <f t="shared" ca="1" si="4"/>
        <v>0</v>
      </c>
      <c r="U23" s="117" t="str">
        <f t="shared" ca="1" si="5"/>
        <v>-</v>
      </c>
      <c r="V23" s="118" t="str">
        <f t="shared" ca="1" si="14"/>
        <v>è</v>
      </c>
      <c r="W23" s="23"/>
    </row>
    <row r="24" spans="1:39" ht="23.25">
      <c r="B24" s="112" t="s">
        <v>58</v>
      </c>
      <c r="C24" s="58" t="str">
        <f ca="1">_xll.DBRA(Server&amp;$C$20,$B24,$G$17)</f>
        <v>Cout d'accès</v>
      </c>
      <c r="D24" s="131"/>
      <c r="E24" s="131"/>
      <c r="F24" s="129" t="str">
        <f ca="1">_xll.DBRA(Server&amp;$C$20,$B24,$G$17)</f>
        <v>Cout d'accès</v>
      </c>
      <c r="G24" s="129"/>
      <c r="H24" s="114"/>
      <c r="I24" s="115">
        <f ca="1">_xll.DBRW(Server&amp;Cube1,$G$13,$G$14,$G$15,$G$16,$G$11,$G$12,I$18,I$1,$B24)</f>
        <v>-21.336015467171404</v>
      </c>
      <c r="J24" s="115">
        <f ca="1">_xll.DBRW(Server&amp;Cube1,$G$13,$G$14,$G$15,$G$16,$G$11,$G$12,J$18,J$1,$B24)</f>
        <v>-18.882230000000003</v>
      </c>
      <c r="K24" s="115">
        <f ca="1">_xll.DBRW(Server&amp;Cube1,$G$13,$G$14,$G$15,$G$16,$G$11,$G$12,K$18,K$1,$B24)</f>
        <v>0</v>
      </c>
      <c r="L24" s="115">
        <f ca="1">_xll.DBRW(Server&amp;Cube1,$G$13,$G$14,$G$15,$G$16,$G$11,$G$12,L$18,L$1,$B24)</f>
        <v>-45735.201355728976</v>
      </c>
      <c r="M24" s="116"/>
      <c r="N24" s="115">
        <f t="shared" ref="N24:N29" ca="1" si="15">IF(OR($I24="",J24=""),"-",IFERROR(($I24-J24),""))</f>
        <v>-2.4537854671714001</v>
      </c>
      <c r="O24" s="117">
        <f t="shared" ref="O24:O29" ca="1" si="16">IF(OR($J24=0,N24=0),"-",IF(ABS(N24/$J24)&gt;2,"-",N24/$J24))</f>
        <v>0.12995210137634167</v>
      </c>
      <c r="P24" s="122" t="str">
        <f t="shared" ca="1" si="8"/>
        <v>î</v>
      </c>
      <c r="Q24" s="115">
        <f t="shared" ref="Q24:Q29" ca="1" si="17">IF(OR($I24="",K24=""),"-",IFERROR(($I24-K24),""))</f>
        <v>-21.336015467171404</v>
      </c>
      <c r="R24" s="117" t="str">
        <f t="shared" ref="R24:R29" ca="1" si="18">IF(OR($K24=0,Q24=0),"-",IF(ABS(Q24/$K24)&gt;2,"-",Q24/$K24))</f>
        <v>-</v>
      </c>
      <c r="S24" s="122" t="str">
        <f t="shared" ca="1" si="11"/>
        <v>î</v>
      </c>
      <c r="T24" s="115">
        <f t="shared" ref="T24:T29" ca="1" si="19">IF(OR($I24="",L24=""),"-",IFERROR(($I24-L24),""))</f>
        <v>45713.865340261807</v>
      </c>
      <c r="U24" s="117">
        <f t="shared" ref="U24:U29" ca="1" si="20">IF(OR($L24=0,T24=0),"-",IF(ABS(T24/$L24)&gt;2,"-",T24/$L24))</f>
        <v>-0.9995334881046829</v>
      </c>
      <c r="V24" s="118" t="str">
        <f t="shared" ca="1" si="14"/>
        <v>ì</v>
      </c>
      <c r="W24" s="23"/>
    </row>
    <row r="25" spans="1:39" ht="23.25">
      <c r="B25" s="112" t="s">
        <v>59</v>
      </c>
      <c r="C25" s="58" t="str">
        <f ca="1">_xll.DBRA(Server&amp;$C$20,$B25,$G$17)</f>
        <v>Autres (IN)</v>
      </c>
      <c r="D25" s="131"/>
      <c r="E25" s="131"/>
      <c r="F25" s="129" t="str">
        <f ca="1">_xll.DBRA(Server&amp;$C$20,$B25,$G$17)</f>
        <v>Autres (IN)</v>
      </c>
      <c r="G25" s="129"/>
      <c r="H25" s="114"/>
      <c r="I25" s="115">
        <f ca="1">_xll.DBRW(Server&amp;Cube1,$G$13,$G$14,$G$15,$G$16,$G$11,$G$12,I$18,I$1,$B25)</f>
        <v>-7900.7579638970265</v>
      </c>
      <c r="J25" s="115">
        <f ca="1">_xll.DBRW(Server&amp;Cube1,$G$13,$G$14,$G$15,$G$16,$G$11,$G$12,J$18,J$1,$B25)</f>
        <v>-8513.5041117407782</v>
      </c>
      <c r="K25" s="115">
        <f ca="1">_xll.DBRW(Server&amp;Cube1,$G$13,$G$14,$G$15,$G$16,$G$11,$G$12,K$18,K$1,$B25)</f>
        <v>0</v>
      </c>
      <c r="L25" s="115">
        <f ca="1">_xll.DBRW(Server&amp;Cube1,$G$13,$G$14,$G$15,$G$16,$G$11,$G$12,L$18,L$1,$B25)</f>
        <v>-9608.2329115535722</v>
      </c>
      <c r="M25" s="116"/>
      <c r="N25" s="115">
        <f t="shared" ca="1" si="15"/>
        <v>612.74614784375171</v>
      </c>
      <c r="O25" s="117">
        <f t="shared" ca="1" si="16"/>
        <v>-7.1973436531113849E-2</v>
      </c>
      <c r="P25" s="122" t="str">
        <f t="shared" ca="1" si="8"/>
        <v>ì</v>
      </c>
      <c r="Q25" s="115">
        <f t="shared" ca="1" si="17"/>
        <v>-7900.7579638970265</v>
      </c>
      <c r="R25" s="117" t="str">
        <f t="shared" ca="1" si="18"/>
        <v>-</v>
      </c>
      <c r="S25" s="122" t="str">
        <f t="shared" ca="1" si="11"/>
        <v>î</v>
      </c>
      <c r="T25" s="115">
        <f t="shared" ca="1" si="19"/>
        <v>1707.4749476565457</v>
      </c>
      <c r="U25" s="117">
        <f t="shared" ca="1" si="20"/>
        <v>-0.17770957088304609</v>
      </c>
      <c r="V25" s="118" t="str">
        <f t="shared" ca="1" si="14"/>
        <v>ì</v>
      </c>
      <c r="W25" s="23"/>
    </row>
    <row r="26" spans="1:39" ht="23.25">
      <c r="B26" s="124" t="s">
        <v>60</v>
      </c>
      <c r="C26" s="58" t="str">
        <f ca="1">_xll.DBRA(Server&amp;$C$20,$B26,$G$17)</f>
        <v>Refacturation - Autres (IN)</v>
      </c>
      <c r="D26" s="131"/>
      <c r="E26" s="131"/>
      <c r="F26" s="129" t="str">
        <f ca="1">_xll.DBRA(Server&amp;$C$20,$B26,$G$17)</f>
        <v>Refacturation - Autres (IN)</v>
      </c>
      <c r="G26" s="129"/>
      <c r="H26" s="114"/>
      <c r="I26" s="115">
        <f ca="1">_xll.DBRW(Server&amp;Cube1,$G$13,$G$14,$G$15,$G$16,$G$11,$G$12,I$18,I$1,$B26)</f>
        <v>83.457993939999994</v>
      </c>
      <c r="J26" s="115">
        <f ca="1">_xll.DBRW(Server&amp;Cube1,$G$13,$G$14,$G$15,$G$16,$G$11,$G$12,J$18,J$1,$B26)</f>
        <v>57.393289999999993</v>
      </c>
      <c r="K26" s="115">
        <f ca="1">_xll.DBRW(Server&amp;Cube1,$G$13,$G$14,$G$15,$G$16,$G$11,$G$12,K$18,K$1,$B26)</f>
        <v>0</v>
      </c>
      <c r="L26" s="115">
        <f ca="1">_xll.DBRW(Server&amp;Cube1,$G$13,$G$14,$G$15,$G$16,$G$11,$G$12,L$18,L$1,$B26)</f>
        <v>71.344440199999994</v>
      </c>
      <c r="M26" s="116"/>
      <c r="N26" s="115">
        <f t="shared" ca="1" si="15"/>
        <v>26.064703940000001</v>
      </c>
      <c r="O26" s="117">
        <f t="shared" ca="1" si="16"/>
        <v>0.45414200754129974</v>
      </c>
      <c r="P26" s="122" t="str">
        <f t="shared" ca="1" si="8"/>
        <v>ì</v>
      </c>
      <c r="Q26" s="115">
        <f t="shared" ca="1" si="17"/>
        <v>83.457993939999994</v>
      </c>
      <c r="R26" s="117" t="str">
        <f t="shared" ca="1" si="18"/>
        <v>-</v>
      </c>
      <c r="S26" s="122" t="str">
        <f t="shared" ca="1" si="11"/>
        <v>ì</v>
      </c>
      <c r="T26" s="115">
        <f t="shared" ca="1" si="19"/>
        <v>12.11355374</v>
      </c>
      <c r="U26" s="117">
        <f t="shared" ca="1" si="20"/>
        <v>0.16978973702845035</v>
      </c>
      <c r="V26" s="118" t="str">
        <f t="shared" ca="1" si="14"/>
        <v>ì</v>
      </c>
      <c r="W26" s="23"/>
    </row>
    <row r="27" spans="1:39" ht="23.25">
      <c r="B27" s="124" t="s">
        <v>61</v>
      </c>
      <c r="C27" s="58" t="str">
        <f ca="1">_xll.DBRA(Server&amp;$C$20,$B27,$G$17)</f>
        <v>Infrastructure (CAFOP)</v>
      </c>
      <c r="D27" s="131"/>
      <c r="E27" s="131"/>
      <c r="F27" s="136" t="str">
        <f ca="1">_xll.DBRA(Server&amp;$C$20,$B27,$G$17)</f>
        <v>Infrastructure (CAFOP)</v>
      </c>
      <c r="G27" s="136"/>
      <c r="H27" s="69"/>
      <c r="I27" s="119">
        <f ca="1">_xll.DBRW(Server&amp;Cube1,$G$13,$G$14,$G$15,$G$16,$G$11,$G$12,I$18,I$1,$B27)</f>
        <v>-9480.8758630941702</v>
      </c>
      <c r="J27" s="119">
        <f ca="1">_xll.DBRW(Server&amp;Cube1,$G$13,$G$14,$G$15,$G$16,$G$11,$G$12,J$18,J$1,$B27)</f>
        <v>-13675.723940431735</v>
      </c>
      <c r="K27" s="119">
        <f ca="1">_xll.DBRW(Server&amp;Cube1,$G$13,$G$14,$G$15,$G$16,$G$11,$G$12,K$18,K$1,$B27)</f>
        <v>0</v>
      </c>
      <c r="L27" s="119">
        <f ca="1">_xll.DBRW(Server&amp;Cube1,$G$13,$G$14,$G$15,$G$16,$G$11,$G$12,L$18,L$1,$B27)</f>
        <v>-65928.24901443407</v>
      </c>
      <c r="M27" s="59"/>
      <c r="N27" s="119">
        <f t="shared" ref="N27" ca="1" si="21">IF(OR($I27="",J27=""),"-",IFERROR(($I27-J27),""))</f>
        <v>4194.848077337565</v>
      </c>
      <c r="O27" s="120">
        <f t="shared" ref="O27" ca="1" si="22">IF(OR($J27=0,N27=0),"-",IF(ABS(N27/$J27)&gt;2,"-",N27/$J27))</f>
        <v>-0.30673682034014033</v>
      </c>
      <c r="P27" s="121" t="str">
        <f t="shared" ca="1" si="8"/>
        <v>ì</v>
      </c>
      <c r="Q27" s="119">
        <f t="shared" ref="Q27" ca="1" si="23">IF(OR($I27="",K27=""),"-",IFERROR(($I27-K27),""))</f>
        <v>-9480.8758630941702</v>
      </c>
      <c r="R27" s="120" t="str">
        <f t="shared" ref="R27" ca="1" si="24">IF(OR($K27=0,Q27=0),"-",IF(ABS(Q27/$K27)&gt;2,"-",Q27/$K27))</f>
        <v>-</v>
      </c>
      <c r="S27" s="121" t="str">
        <f t="shared" ca="1" si="11"/>
        <v>î</v>
      </c>
      <c r="T27" s="119">
        <f t="shared" ref="T27" ca="1" si="25">IF(OR($I27="",L27=""),"-",IFERROR(($I27-L27),""))</f>
        <v>56447.373151339896</v>
      </c>
      <c r="U27" s="120">
        <f t="shared" ref="U27" ca="1" si="26">IF(OR($L27=0,T27=0),"-",IF(ABS(T27/$L27)&gt;2,"-",T27/$L27))</f>
        <v>-0.85619402904180775</v>
      </c>
      <c r="V27" s="70" t="str">
        <f t="shared" ca="1" si="14"/>
        <v>ì</v>
      </c>
      <c r="W27" s="23"/>
    </row>
    <row r="28" spans="1:39" ht="23.25" customHeight="1">
      <c r="B28" s="125"/>
      <c r="C28" s="58" t="str">
        <f ca="1">_xll.DBRA(Server&amp;$C$20,$B28,$G$17)</f>
        <v/>
      </c>
      <c r="D28" s="131"/>
      <c r="E28" s="126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</row>
    <row r="29" spans="1:39" ht="23.25">
      <c r="B29" s="124" t="s">
        <v>62</v>
      </c>
      <c r="C29" s="58" t="str">
        <f ca="1">_xll.DBRA(Server&amp;$C$20,$B29,$G$17)</f>
        <v>Amortissements (IN)</v>
      </c>
      <c r="D29" s="131"/>
      <c r="E29" s="126"/>
      <c r="F29" s="129" t="str">
        <f ca="1">_xll.DBRA(Server&amp;$C$20,$B29,$G$17)</f>
        <v>Amortissements (IN)</v>
      </c>
      <c r="G29" s="129"/>
      <c r="H29" s="114"/>
      <c r="I29" s="115">
        <f ca="1">_xll.DBRW(Server&amp;Cube1,$G$13,$G$14,$G$15,$G$16,$G$11,$G$12,I$18,I$1,$B29)</f>
        <v>-9474.4897411840739</v>
      </c>
      <c r="J29" s="115">
        <f ca="1">_xll.DBRW(Server&amp;Cube1,$G$13,$G$14,$G$15,$G$16,$G$11,$G$12,J$18,J$1,$B29)</f>
        <v>-10418.606419670716</v>
      </c>
      <c r="K29" s="115">
        <f ca="1">_xll.DBRW(Server&amp;Cube1,$G$13,$G$14,$G$15,$G$16,$G$11,$G$12,K$18,K$1,$B29)</f>
        <v>0</v>
      </c>
      <c r="L29" s="115">
        <f ca="1">_xll.DBRW(Server&amp;Cube1,$G$13,$G$14,$G$15,$G$16,$G$11,$G$12,L$18,L$1,$B29)</f>
        <v>-8173.7791259450214</v>
      </c>
      <c r="M29" s="116"/>
      <c r="N29" s="115">
        <f t="shared" ca="1" si="15"/>
        <v>944.11667848664183</v>
      </c>
      <c r="O29" s="117">
        <f t="shared" ca="1" si="16"/>
        <v>-9.0618326526291898E-2</v>
      </c>
      <c r="P29" s="122" t="str">
        <f t="shared" ref="P29:P31" ca="1" si="27">IF(OR(AND(O29&gt;0.01,N29&lt;0),AND(O29&lt;-0.01,N29&lt;0)),"î",IF(OR(AND(O29&lt;-0.01,N29&gt;0),AND(O29&gt;0.01,N29&gt;0)),"ì","è"))</f>
        <v>ì</v>
      </c>
      <c r="Q29" s="115">
        <f t="shared" ca="1" si="17"/>
        <v>-9474.4897411840739</v>
      </c>
      <c r="R29" s="117" t="str">
        <f t="shared" ca="1" si="18"/>
        <v>-</v>
      </c>
      <c r="S29" s="122" t="str">
        <f t="shared" ref="S29:S31" ca="1" si="28">IF(OR(AND(R29&gt;0.01,Q29&lt;0),AND(R29&lt;-0.01,Q29&lt;0)),"î",IF(OR(AND(R29&lt;-0.01,Q29&gt;0),AND(R29&gt;0.01,Q29&gt;0)),"ì","è"))</f>
        <v>î</v>
      </c>
      <c r="T29" s="115">
        <f t="shared" ca="1" si="19"/>
        <v>-1300.7106152390525</v>
      </c>
      <c r="U29" s="117">
        <f t="shared" ca="1" si="20"/>
        <v>0.15913209730739686</v>
      </c>
      <c r="V29" s="118" t="str">
        <f t="shared" ref="V29:V31" ca="1" si="29">IF(OR(AND(U29&gt;0.01,T29&lt;0),AND(U29&lt;-0.01,T29&lt;0)),"î",IF(OR(AND(U29&lt;-0.01,T29&gt;0),AND(U29&gt;0.01,T29&gt;0)),"ì","è"))</f>
        <v>î</v>
      </c>
      <c r="W29" s="23"/>
    </row>
    <row r="30" spans="1:39" s="25" customFormat="1" ht="23.25" customHeight="1">
      <c r="A30" s="60"/>
      <c r="B30" s="124" t="s">
        <v>63</v>
      </c>
      <c r="C30" s="58" t="str">
        <f ca="1">_xll.DBRA(Server&amp;$C$20,$B30,$G$17)</f>
        <v>Plus ou moins values de cessions s/ Immo. Corp. &amp; Incorp. (IN)</v>
      </c>
      <c r="D30" s="131"/>
      <c r="E30" s="126"/>
      <c r="F30" s="129" t="str">
        <f ca="1">_xll.DBRA(Server&amp;$C$20,$B30,$G$17)</f>
        <v>Plus ou moins values de cessions s/ Immo. Corp. &amp; Incorp. (IN)</v>
      </c>
      <c r="G30" s="129"/>
      <c r="H30" s="114"/>
      <c r="I30" s="115">
        <f ca="1">_xll.DBRW(Server&amp;Cube1,$G$13,$G$14,$G$15,$G$16,$G$11,$G$12,I$18,I$1,$B30)</f>
        <v>4.4704899999999999</v>
      </c>
      <c r="J30" s="115">
        <f ca="1">_xll.DBRW(Server&amp;Cube1,$G$13,$G$14,$G$15,$G$16,$G$11,$G$12,J$18,J$1,$B30)</f>
        <v>-26.643060000000002</v>
      </c>
      <c r="K30" s="115">
        <f ca="1">_xll.DBRW(Server&amp;Cube1,$G$13,$G$14,$G$15,$G$16,$G$11,$G$12,K$18,K$1,$B30)</f>
        <v>0</v>
      </c>
      <c r="L30" s="115">
        <f ca="1">_xll.DBRW(Server&amp;Cube1,$G$13,$G$14,$G$15,$G$16,$G$11,$G$12,L$18,L$1,$B30)</f>
        <v>1.66E-3</v>
      </c>
      <c r="M30" s="116"/>
      <c r="N30" s="115">
        <f t="shared" ref="N30" ca="1" si="30">IF(OR($I30="",J30=""),"-",IFERROR(($I30-J30),""))</f>
        <v>31.113550000000004</v>
      </c>
      <c r="O30" s="117">
        <f t="shared" ref="O30" ca="1" si="31">IF(OR($J30=0,N30=0),"-",IF(ABS(N30/$J30)&gt;2,"-",N30/$J30))</f>
        <v>-1.1677919127907981</v>
      </c>
      <c r="P30" s="122" t="str">
        <f t="shared" ca="1" si="27"/>
        <v>ì</v>
      </c>
      <c r="Q30" s="115">
        <f t="shared" ref="Q30" ca="1" si="32">IF(OR($I30="",K30=""),"-",IFERROR(($I30-K30),""))</f>
        <v>4.4704899999999999</v>
      </c>
      <c r="R30" s="117" t="str">
        <f t="shared" ref="R30" ca="1" si="33">IF(OR($K30=0,Q30=0),"-",IF(ABS(Q30/$K30)&gt;2,"-",Q30/$K30))</f>
        <v>-</v>
      </c>
      <c r="S30" s="122" t="str">
        <f t="shared" ca="1" si="28"/>
        <v>ì</v>
      </c>
      <c r="T30" s="115">
        <f t="shared" ref="T30" ca="1" si="34">IF(OR($I30="",L30=""),"-",IFERROR(($I30-L30),""))</f>
        <v>4.4688299999999996</v>
      </c>
      <c r="U30" s="117" t="str">
        <f t="shared" ref="U30" ca="1" si="35">IF(OR($L30=0,T30=0),"-",IF(ABS(T30/$L30)&gt;2,"-",T30/$L30))</f>
        <v>-</v>
      </c>
      <c r="V30" s="118" t="str">
        <f t="shared" ca="1" si="29"/>
        <v>ì</v>
      </c>
      <c r="W30" s="26"/>
      <c r="X30" s="27"/>
      <c r="Y30" s="27"/>
      <c r="Z30" s="1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</row>
    <row r="31" spans="1:39" ht="23.25">
      <c r="B31" s="124" t="s">
        <v>64</v>
      </c>
      <c r="C31" s="58" t="str">
        <f ca="1">_xll.DBRA(Server&amp;$C$20,$B31,$G$17)</f>
        <v>Infrastructure (RESOP)</v>
      </c>
      <c r="D31" s="131"/>
      <c r="E31" s="126"/>
      <c r="F31" s="136" t="str">
        <f ca="1">_xll.DBRA(Server&amp;$C$20,$B31,$G$17)</f>
        <v>Infrastructure (RESOP)</v>
      </c>
      <c r="G31" s="136"/>
      <c r="H31" s="69"/>
      <c r="I31" s="119">
        <f ca="1">_xll.DBRW(Server&amp;Cube1,$G$13,$G$14,$G$15,$G$16,$G$11,$G$12,I$18,I$1,$B31)</f>
        <v>-18950.895114278243</v>
      </c>
      <c r="J31" s="119">
        <f ca="1">_xll.DBRW(Server&amp;Cube1,$G$13,$G$14,$G$15,$G$16,$G$11,$G$12,J$18,J$1,$B31)</f>
        <v>-24120.973420102448</v>
      </c>
      <c r="K31" s="119">
        <f ca="1">_xll.DBRW(Server&amp;Cube1,$G$13,$G$14,$G$15,$G$16,$G$11,$G$12,K$18,K$1,$B31)</f>
        <v>0</v>
      </c>
      <c r="L31" s="119">
        <f ca="1">_xll.DBRW(Server&amp;Cube1,$G$13,$G$14,$G$15,$G$16,$G$11,$G$12,L$18,L$1,$B31)</f>
        <v>-74102.026480379107</v>
      </c>
      <c r="M31" s="59"/>
      <c r="N31" s="119">
        <f t="shared" ref="N31" ca="1" si="36">IF(OR($I31="",J31=""),"-",IFERROR(($I31-J31),""))</f>
        <v>5170.078305824205</v>
      </c>
      <c r="O31" s="120">
        <f t="shared" ref="O31" ca="1" si="37">IF(OR($J31=0,N31=0),"-",IF(ABS(N31/$J31)&gt;2,"-",N31/$J31))</f>
        <v>-0.21433953828395066</v>
      </c>
      <c r="P31" s="121" t="str">
        <f t="shared" ca="1" si="27"/>
        <v>ì</v>
      </c>
      <c r="Q31" s="119">
        <f t="shared" ref="Q31" ca="1" si="38">IF(OR($I31="",K31=""),"-",IFERROR(($I31-K31),""))</f>
        <v>-18950.895114278243</v>
      </c>
      <c r="R31" s="120" t="str">
        <f t="shared" ref="R31" ca="1" si="39">IF(OR($K31=0,Q31=0),"-",IF(ABS(Q31/$K31)&gt;2,"-",Q31/$K31))</f>
        <v>-</v>
      </c>
      <c r="S31" s="121" t="str">
        <f t="shared" ca="1" si="28"/>
        <v>î</v>
      </c>
      <c r="T31" s="119">
        <f t="shared" ref="T31" ca="1" si="40">IF(OR($I31="",L31=""),"-",IFERROR(($I31-L31),""))</f>
        <v>55151.131366100861</v>
      </c>
      <c r="U31" s="120">
        <f t="shared" ref="U31" ca="1" si="41">IF(OR($L31=0,T31=0),"-",IF(ABS(T31/$L31)&gt;2,"-",T31/$L31))</f>
        <v>-0.74425942157875935</v>
      </c>
      <c r="V31" s="70" t="str">
        <f t="shared" ca="1" si="29"/>
        <v>ì</v>
      </c>
      <c r="W31" s="23"/>
    </row>
  </sheetData>
  <sheetProtection password="D70F" sheet="1" objects="1" scenarios="1" formatColumns="0" formatRows="0"/>
  <mergeCells count="17">
    <mergeCell ref="F25:G25"/>
    <mergeCell ref="F22:G22"/>
    <mergeCell ref="F29:G29"/>
    <mergeCell ref="D7:V8"/>
    <mergeCell ref="D21:D31"/>
    <mergeCell ref="F26:G26"/>
    <mergeCell ref="N19:P19"/>
    <mergeCell ref="Q19:S19"/>
    <mergeCell ref="T19:V19"/>
    <mergeCell ref="N18:V18"/>
    <mergeCell ref="F23:G23"/>
    <mergeCell ref="F30:G30"/>
    <mergeCell ref="F27:G27"/>
    <mergeCell ref="F31:G31"/>
    <mergeCell ref="E21:E27"/>
    <mergeCell ref="F21:G21"/>
    <mergeCell ref="F24:G24"/>
  </mergeCells>
  <conditionalFormatting sqref="V24:V25 S24:S25">
    <cfRule type="cellIs" dxfId="62" priority="295" stopIfTrue="1" operator="equal">
      <formula>"ì"</formula>
    </cfRule>
    <cfRule type="cellIs" dxfId="61" priority="296" stopIfTrue="1" operator="equal">
      <formula>"î"</formula>
    </cfRule>
    <cfRule type="cellIs" dxfId="60" priority="297" stopIfTrue="1" operator="equal">
      <formula>"è"</formula>
    </cfRule>
  </conditionalFormatting>
  <conditionalFormatting sqref="P24:P25">
    <cfRule type="cellIs" dxfId="59" priority="253" stopIfTrue="1" operator="equal">
      <formula>"ì"</formula>
    </cfRule>
    <cfRule type="cellIs" dxfId="58" priority="254" stopIfTrue="1" operator="equal">
      <formula>"î"</formula>
    </cfRule>
    <cfRule type="cellIs" dxfId="57" priority="255" stopIfTrue="1" operator="equal">
      <formula>"è"</formula>
    </cfRule>
  </conditionalFormatting>
  <conditionalFormatting sqref="P21">
    <cfRule type="cellIs" dxfId="56" priority="100" stopIfTrue="1" operator="equal">
      <formula>"ì"</formula>
    </cfRule>
    <cfRule type="cellIs" dxfId="55" priority="101" stopIfTrue="1" operator="equal">
      <formula>"î"</formula>
    </cfRule>
    <cfRule type="cellIs" dxfId="54" priority="102" stopIfTrue="1" operator="equal">
      <formula>"è"</formula>
    </cfRule>
  </conditionalFormatting>
  <conditionalFormatting sqref="V23 S23">
    <cfRule type="cellIs" dxfId="53" priority="97" stopIfTrue="1" operator="equal">
      <formula>"ì"</formula>
    </cfRule>
    <cfRule type="cellIs" dxfId="52" priority="98" stopIfTrue="1" operator="equal">
      <formula>"î"</formula>
    </cfRule>
    <cfRule type="cellIs" dxfId="51" priority="99" stopIfTrue="1" operator="equal">
      <formula>"è"</formula>
    </cfRule>
  </conditionalFormatting>
  <conditionalFormatting sqref="P23">
    <cfRule type="cellIs" dxfId="50" priority="94" stopIfTrue="1" operator="equal">
      <formula>"ì"</formula>
    </cfRule>
    <cfRule type="cellIs" dxfId="49" priority="95" stopIfTrue="1" operator="equal">
      <formula>"î"</formula>
    </cfRule>
    <cfRule type="cellIs" dxfId="48" priority="96" stopIfTrue="1" operator="equal">
      <formula>"è"</formula>
    </cfRule>
  </conditionalFormatting>
  <conditionalFormatting sqref="S27">
    <cfRule type="cellIs" dxfId="47" priority="82" stopIfTrue="1" operator="equal">
      <formula>"ì"</formula>
    </cfRule>
    <cfRule type="cellIs" dxfId="46" priority="83" stopIfTrue="1" operator="equal">
      <formula>"î"</formula>
    </cfRule>
    <cfRule type="cellIs" dxfId="45" priority="84" stopIfTrue="1" operator="equal">
      <formula>"è"</formula>
    </cfRule>
  </conditionalFormatting>
  <conditionalFormatting sqref="V27">
    <cfRule type="cellIs" dxfId="44" priority="79" stopIfTrue="1" operator="equal">
      <formula>"ì"</formula>
    </cfRule>
    <cfRule type="cellIs" dxfId="43" priority="80" stopIfTrue="1" operator="equal">
      <formula>"î"</formula>
    </cfRule>
    <cfRule type="cellIs" dxfId="42" priority="81" stopIfTrue="1" operator="equal">
      <formula>"è"</formula>
    </cfRule>
  </conditionalFormatting>
  <conditionalFormatting sqref="P27">
    <cfRule type="cellIs" dxfId="41" priority="76" stopIfTrue="1" operator="equal">
      <formula>"ì"</formula>
    </cfRule>
    <cfRule type="cellIs" dxfId="40" priority="77" stopIfTrue="1" operator="equal">
      <formula>"î"</formula>
    </cfRule>
    <cfRule type="cellIs" dxfId="39" priority="78" stopIfTrue="1" operator="equal">
      <formula>"è"</formula>
    </cfRule>
  </conditionalFormatting>
  <conditionalFormatting sqref="S31">
    <cfRule type="cellIs" dxfId="38" priority="37" stopIfTrue="1" operator="equal">
      <formula>"ì"</formula>
    </cfRule>
    <cfRule type="cellIs" dxfId="37" priority="38" stopIfTrue="1" operator="equal">
      <formula>"î"</formula>
    </cfRule>
    <cfRule type="cellIs" dxfId="36" priority="39" stopIfTrue="1" operator="equal">
      <formula>"è"</formula>
    </cfRule>
  </conditionalFormatting>
  <conditionalFormatting sqref="V31">
    <cfRule type="cellIs" dxfId="35" priority="34" stopIfTrue="1" operator="equal">
      <formula>"ì"</formula>
    </cfRule>
    <cfRule type="cellIs" dxfId="34" priority="35" stopIfTrue="1" operator="equal">
      <formula>"î"</formula>
    </cfRule>
    <cfRule type="cellIs" dxfId="33" priority="36" stopIfTrue="1" operator="equal">
      <formula>"è"</formula>
    </cfRule>
  </conditionalFormatting>
  <conditionalFormatting sqref="P31">
    <cfRule type="cellIs" dxfId="32" priority="31" stopIfTrue="1" operator="equal">
      <formula>"ì"</formula>
    </cfRule>
    <cfRule type="cellIs" dxfId="31" priority="32" stopIfTrue="1" operator="equal">
      <formula>"î"</formula>
    </cfRule>
    <cfRule type="cellIs" dxfId="30" priority="33" stopIfTrue="1" operator="equal">
      <formula>"è"</formula>
    </cfRule>
  </conditionalFormatting>
  <conditionalFormatting sqref="V22 S22">
    <cfRule type="cellIs" dxfId="29" priority="28" stopIfTrue="1" operator="equal">
      <formula>"ì"</formula>
    </cfRule>
    <cfRule type="cellIs" dxfId="28" priority="29" stopIfTrue="1" operator="equal">
      <formula>"î"</formula>
    </cfRule>
    <cfRule type="cellIs" dxfId="27" priority="30" stopIfTrue="1" operator="equal">
      <formula>"è"</formula>
    </cfRule>
  </conditionalFormatting>
  <conditionalFormatting sqref="P22">
    <cfRule type="cellIs" dxfId="26" priority="25" stopIfTrue="1" operator="equal">
      <formula>"ì"</formula>
    </cfRule>
    <cfRule type="cellIs" dxfId="25" priority="26" stopIfTrue="1" operator="equal">
      <formula>"î"</formula>
    </cfRule>
    <cfRule type="cellIs" dxfId="24" priority="27" stopIfTrue="1" operator="equal">
      <formula>"è"</formula>
    </cfRule>
  </conditionalFormatting>
  <conditionalFormatting sqref="V26 S26">
    <cfRule type="cellIs" dxfId="23" priority="22" stopIfTrue="1" operator="equal">
      <formula>"ì"</formula>
    </cfRule>
    <cfRule type="cellIs" dxfId="22" priority="23" stopIfTrue="1" operator="equal">
      <formula>"î"</formula>
    </cfRule>
    <cfRule type="cellIs" dxfId="21" priority="24" stopIfTrue="1" operator="equal">
      <formula>"è"</formula>
    </cfRule>
  </conditionalFormatting>
  <conditionalFormatting sqref="P26">
    <cfRule type="cellIs" dxfId="20" priority="19" stopIfTrue="1" operator="equal">
      <formula>"ì"</formula>
    </cfRule>
    <cfRule type="cellIs" dxfId="19" priority="20" stopIfTrue="1" operator="equal">
      <formula>"î"</formula>
    </cfRule>
    <cfRule type="cellIs" dxfId="18" priority="21" stopIfTrue="1" operator="equal">
      <formula>"è"</formula>
    </cfRule>
  </conditionalFormatting>
  <conditionalFormatting sqref="V29 S29">
    <cfRule type="cellIs" dxfId="17" priority="16" stopIfTrue="1" operator="equal">
      <formula>"ì"</formula>
    </cfRule>
    <cfRule type="cellIs" dxfId="16" priority="17" stopIfTrue="1" operator="equal">
      <formula>"î"</formula>
    </cfRule>
    <cfRule type="cellIs" dxfId="15" priority="18" stopIfTrue="1" operator="equal">
      <formula>"è"</formula>
    </cfRule>
  </conditionalFormatting>
  <conditionalFormatting sqref="P29">
    <cfRule type="cellIs" dxfId="14" priority="13" stopIfTrue="1" operator="equal">
      <formula>"ì"</formula>
    </cfRule>
    <cfRule type="cellIs" dxfId="13" priority="14" stopIfTrue="1" operator="equal">
      <formula>"î"</formula>
    </cfRule>
    <cfRule type="cellIs" dxfId="12" priority="15" stopIfTrue="1" operator="equal">
      <formula>"è"</formula>
    </cfRule>
  </conditionalFormatting>
  <conditionalFormatting sqref="V30 S30">
    <cfRule type="cellIs" dxfId="11" priority="10" stopIfTrue="1" operator="equal">
      <formula>"ì"</formula>
    </cfRule>
    <cfRule type="cellIs" dxfId="10" priority="11" stopIfTrue="1" operator="equal">
      <formula>"î"</formula>
    </cfRule>
    <cfRule type="cellIs" dxfId="9" priority="12" stopIfTrue="1" operator="equal">
      <formula>"è"</formula>
    </cfRule>
  </conditionalFormatting>
  <conditionalFormatting sqref="P30">
    <cfRule type="cellIs" dxfId="8" priority="7" stopIfTrue="1" operator="equal">
      <formula>"ì"</formula>
    </cfRule>
    <cfRule type="cellIs" dxfId="7" priority="8" stopIfTrue="1" operator="equal">
      <formula>"î"</formula>
    </cfRule>
    <cfRule type="cellIs" dxfId="6" priority="9" stopIfTrue="1" operator="equal">
      <formula>"è"</formula>
    </cfRule>
  </conditionalFormatting>
  <conditionalFormatting sqref="S21">
    <cfRule type="cellIs" dxfId="5" priority="4" stopIfTrue="1" operator="equal">
      <formula>"ì"</formula>
    </cfRule>
    <cfRule type="cellIs" dxfId="4" priority="5" stopIfTrue="1" operator="equal">
      <formula>"î"</formula>
    </cfRule>
    <cfRule type="cellIs" dxfId="3" priority="6" stopIfTrue="1" operator="equal">
      <formula>"è"</formula>
    </cfRule>
  </conditionalFormatting>
  <conditionalFormatting sqref="V21">
    <cfRule type="cellIs" dxfId="2" priority="1" stopIfTrue="1" operator="equal">
      <formula>"ì"</formula>
    </cfRule>
    <cfRule type="cellIs" dxfId="1" priority="2" stopIfTrue="1" operator="equal">
      <formula>"î"</formula>
    </cfRule>
    <cfRule type="cellIs" dxfId="0" priority="3" stopIfTrue="1" operator="equal">
      <formula>"è"</formula>
    </cfRule>
  </conditionalFormatting>
  <dataValidations count="1">
    <dataValidation type="list" allowBlank="1" showInputMessage="1" showErrorMessage="1" sqref="G17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3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1409700</xdr:colOff>
                <xdr:row>12</xdr:row>
                <xdr:rowOff>66675</xdr:rowOff>
              </from>
              <to>
                <xdr:col>11</xdr:col>
                <xdr:colOff>66675</xdr:colOff>
                <xdr:row>15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/>
  </sheetViews>
  <sheetFormatPr baseColWidth="10" defaultColWidth="11.42578125" defaultRowHeight="15"/>
  <sheetData>
    <row r="1" spans="1:1">
      <c r="A1" t="s">
        <v>50</v>
      </c>
    </row>
    <row r="2" spans="1:1">
      <c r="A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Infrastructure</vt:lpstr>
      <vt:lpstr>{PL}PickLst</vt:lpstr>
      <vt:lpstr>ActualBudget</vt:lpstr>
      <vt:lpstr>ActualForecast</vt:lpstr>
      <vt:lpstr>ActualMonth</vt:lpstr>
      <vt:lpstr>ActualYear</vt:lpstr>
      <vt:lpstr>AutoFit</vt:lpstr>
      <vt:lpstr>Infrastructure!AutoRefresh_PL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Infrastructure!Print_Area</vt:lpstr>
      <vt:lpstr>Infrastructure!Print_Titles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de LANGLOIS, Astrid</cp:lastModifiedBy>
  <cp:lastPrinted>2017-03-02T13:55:37Z</cp:lastPrinted>
  <dcterms:created xsi:type="dcterms:W3CDTF">2016-02-23T13:35:31Z</dcterms:created>
  <dcterms:modified xsi:type="dcterms:W3CDTF">2020-03-11T14:34:00Z</dcterms:modified>
</cp:coreProperties>
</file>