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620C055D-9F74-42A2-B0A6-4B38AC0707A8}" xr6:coauthVersionLast="47" xr6:coauthVersionMax="47" xr10:uidLastSave="{00000000-0000-0000-0000-000000000000}"/>
  <bookViews>
    <workbookView xWindow="-90" yWindow="-90" windowWidth="19380" windowHeight="11460" tabRatio="818" firstSheet="1" activeTab="1" xr2:uid="{00000000-000D-0000-FFFF-FFFF00000000}"/>
  </bookViews>
  <sheets>
    <sheet name="Cognos_Office_Connection_Cache" sheetId="44" state="veryHidden" r:id="rId1"/>
    <sheet name="Context" sheetId="4" r:id="rId2"/>
    <sheet name="Plan Input" sheetId="33" r:id="rId3"/>
    <sheet name="IFRS16 Simulation" sheetId="43" r:id="rId4"/>
    <sheet name="Control" sheetId="19" state="hidden" r:id="rId5"/>
    <sheet name="Plan Input_DBS" sheetId="34" state="hidden" r:id="rId6"/>
  </sheets>
  <functionGroups builtInGroupCount="19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Control!$D$15:$D$60</definedName>
    <definedName name="ActualLTP">Context!$B$16</definedName>
    <definedName name="ActualMonth">Context!$B$16</definedName>
    <definedName name="ActualYear">Context!$B$15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compo_ltp_Context">Context!$I$11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llev_activity">Context!$V$13</definedName>
    <definedName name="ellev_legal_org">Context!$V$12</definedName>
    <definedName name="ellev_ltp_compo">Context!$V$11</definedName>
    <definedName name="ellev_phase">Context!$V$10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"7d795fe7-300c-4dd1-a326-cdf93e042c8e"</definedName>
    <definedName name="ID" localSheetId="1" hidden="1">"d01e18ae-7af5-4466-8aac-614ab581a7f6"</definedName>
    <definedName name="ID" localSheetId="4" hidden="1">"e515e1db-8e9d-46a4-9969-ffb2b6ab9f50"</definedName>
    <definedName name="ID" localSheetId="3" hidden="1">"caadf33b-c6d0-432e-b9fa-a114bf231d62"</definedName>
    <definedName name="ID" localSheetId="2" hidden="1">"8c7ee1ba-77ed-4fcd-abc7-7e59966cb923"</definedName>
    <definedName name="ID" localSheetId="5" hidden="1">"f51cd4b5-11e8-4152-ae0e-75035728c6f0"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Titles" localSheetId="2">'Plan Input'!$7:$16</definedName>
    <definedName name="Print_Titles" localSheetId="5">'Plan Input_DBS'!$7:$16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Control!$D$15:$D$60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4">Control!$15:$58</definedName>
    <definedName name="TM1RPTFMTIDCOL" localSheetId="4">Control!$A$1:$A$8</definedName>
    <definedName name="TM1RPTFMTRNG" localSheetId="4">Control!$B$1:$E$8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mposantLTP">Context!$I$11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  <definedName name="Print_Area" localSheetId="1">Context!$E$3:$L$30</definedName>
    <definedName name="Print_Area" localSheetId="2">'Plan Input'!$C$3:$M$184</definedName>
    <definedName name="Print_Area" localSheetId="5">'Plan Input_DBS'!$C$3:$M$119</definedName>
  </definedNames>
  <calcPr calcId="191029" calcMode="manual" iterate="1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L8" i="43"/>
  <c r="M8" i="43" s="1"/>
  <c r="K8" i="43"/>
  <c r="O1" i="4"/>
  <c r="P1" i="4"/>
  <c r="Q1" i="4"/>
  <c r="P3" i="4"/>
  <c r="A5" i="19"/>
  <c r="A4" i="19"/>
  <c r="A3" i="19"/>
  <c r="A2" i="19"/>
  <c r="B17" i="4"/>
  <c r="B15" i="4"/>
  <c r="B18" i="4"/>
  <c r="B6" i="4"/>
  <c r="O4" i="4"/>
  <c r="P8" i="4"/>
  <c r="B16" i="4"/>
  <c r="A57" i="19"/>
  <c r="A41" i="19"/>
  <c r="A21" i="19"/>
  <c r="A40" i="19"/>
  <c r="A32" i="19"/>
  <c r="A20" i="19"/>
  <c r="A19" i="19"/>
  <c r="A53" i="19"/>
  <c r="A37" i="19"/>
  <c r="A25" i="19"/>
  <c r="A52" i="19"/>
  <c r="A44" i="19"/>
  <c r="A28" i="19"/>
  <c r="A16" i="19"/>
  <c r="A39" i="19"/>
  <c r="A27" i="19"/>
  <c r="A58" i="19"/>
  <c r="A54" i="19"/>
  <c r="A50" i="19"/>
  <c r="A46" i="19"/>
  <c r="A42" i="19"/>
  <c r="A38" i="19"/>
  <c r="A34" i="19"/>
  <c r="A30" i="19"/>
  <c r="A26" i="19"/>
  <c r="A22" i="19"/>
  <c r="A18" i="19"/>
  <c r="A45" i="19"/>
  <c r="A29" i="19"/>
  <c r="A48" i="19"/>
  <c r="A36" i="19"/>
  <c r="A24" i="19"/>
  <c r="A55" i="19"/>
  <c r="A43" i="19"/>
  <c r="A31" i="19"/>
  <c r="A49" i="19"/>
  <c r="A33" i="19"/>
  <c r="A17" i="19"/>
  <c r="A56" i="19"/>
  <c r="A51" i="19"/>
  <c r="A47" i="19"/>
  <c r="A35" i="19"/>
  <c r="A23" i="19"/>
  <c r="I12" i="4"/>
  <c r="I10" i="4"/>
  <c r="B101" i="4"/>
  <c r="V13" i="4"/>
  <c r="B9" i="19"/>
  <c r="E59" i="19"/>
  <c r="A59" i="19"/>
  <c r="V14" i="4"/>
  <c r="P14" i="4"/>
  <c r="V12" i="4"/>
  <c r="A15" i="19"/>
  <c r="B100" i="4"/>
  <c r="E27" i="19"/>
  <c r="E39" i="19"/>
  <c r="E24" i="19"/>
  <c r="E44" i="19"/>
  <c r="E57" i="19"/>
  <c r="E19" i="19"/>
  <c r="E35" i="19"/>
  <c r="E55" i="19"/>
  <c r="E28" i="19"/>
  <c r="E36" i="19"/>
  <c r="E48" i="19"/>
  <c r="E21" i="19"/>
  <c r="E31" i="19"/>
  <c r="E43" i="19"/>
  <c r="E51" i="19"/>
  <c r="E20" i="19"/>
  <c r="E32" i="19"/>
  <c r="E56" i="19"/>
  <c r="E17" i="19"/>
  <c r="E23" i="19"/>
  <c r="E47" i="19"/>
  <c r="E16" i="19"/>
  <c r="E40" i="19"/>
  <c r="E52" i="19"/>
  <c r="E25" i="19"/>
  <c r="E29" i="19"/>
  <c r="E33" i="19"/>
  <c r="E37" i="19"/>
  <c r="E41" i="19"/>
  <c r="E45" i="19"/>
  <c r="E49" i="19"/>
  <c r="E53" i="19"/>
  <c r="E18" i="19"/>
  <c r="E22" i="19"/>
  <c r="E26" i="19"/>
  <c r="E30" i="19"/>
  <c r="E34" i="19"/>
  <c r="E38" i="19"/>
  <c r="E42" i="19"/>
  <c r="E46" i="19"/>
  <c r="E50" i="19"/>
  <c r="E54" i="19"/>
  <c r="E58" i="19"/>
  <c r="O3" i="4" l="1"/>
  <c r="B19" i="4"/>
  <c r="I15" i="4"/>
  <c r="X14" i="4"/>
  <c r="J12" i="4" s="1"/>
  <c r="E13" i="33" s="1"/>
  <c r="X15" i="4"/>
  <c r="R13" i="4"/>
  <c r="R20" i="4"/>
  <c r="R17" i="4"/>
  <c r="R18" i="4"/>
  <c r="R21" i="4"/>
  <c r="R9" i="4"/>
  <c r="R15" i="4"/>
  <c r="R12" i="4"/>
  <c r="R8" i="4"/>
  <c r="R16" i="4"/>
  <c r="R14" i="4"/>
  <c r="R11" i="4"/>
  <c r="R10" i="4"/>
  <c r="G8" i="4"/>
  <c r="D19" i="19"/>
  <c r="D35" i="19"/>
  <c r="D28" i="19"/>
  <c r="D40" i="19"/>
  <c r="D44" i="19"/>
  <c r="D25" i="19"/>
  <c r="D57" i="19"/>
  <c r="D31" i="19"/>
  <c r="D51" i="19"/>
  <c r="D24" i="19"/>
  <c r="D48" i="19"/>
  <c r="D45" i="19"/>
  <c r="D23" i="19"/>
  <c r="D39" i="19"/>
  <c r="D20" i="19"/>
  <c r="D36" i="19"/>
  <c r="D56" i="19"/>
  <c r="D21" i="19"/>
  <c r="D33" i="19"/>
  <c r="D41" i="19"/>
  <c r="D49" i="19"/>
  <c r="D18" i="19"/>
  <c r="D22" i="19"/>
  <c r="D26" i="19"/>
  <c r="D30" i="19"/>
  <c r="D34" i="19"/>
  <c r="D38" i="19"/>
  <c r="D42" i="19"/>
  <c r="D46" i="19"/>
  <c r="D50" i="19"/>
  <c r="D54" i="19"/>
  <c r="D58" i="19"/>
  <c r="D27" i="19"/>
  <c r="D43" i="19"/>
  <c r="D47" i="19"/>
  <c r="D55" i="19"/>
  <c r="D16" i="19"/>
  <c r="D32" i="19"/>
  <c r="D52" i="19"/>
  <c r="D17" i="19"/>
  <c r="D29" i="19"/>
  <c r="D37" i="19"/>
  <c r="D53" i="19"/>
  <c r="D30" i="43"/>
  <c r="H15" i="4"/>
  <c r="H11" i="4"/>
  <c r="H10" i="4"/>
  <c r="H8" i="4"/>
  <c r="D31" i="43"/>
  <c r="D28" i="43"/>
  <c r="D29" i="43"/>
  <c r="D26" i="43"/>
  <c r="H14" i="4"/>
  <c r="D20" i="43"/>
  <c r="D14" i="43"/>
  <c r="H13" i="4"/>
  <c r="D32" i="43"/>
  <c r="I14" i="4"/>
  <c r="H12" i="4"/>
  <c r="H4" i="4"/>
  <c r="D19" i="43"/>
  <c r="D22" i="43"/>
  <c r="D15" i="43"/>
  <c r="D23" i="43"/>
  <c r="O9" i="4"/>
  <c r="D27" i="43"/>
  <c r="B99" i="4"/>
  <c r="D59" i="19"/>
  <c r="D12" i="19"/>
  <c r="C31" i="33"/>
  <c r="C95" i="33"/>
  <c r="C63" i="33"/>
  <c r="C34" i="33"/>
  <c r="C55" i="33"/>
  <c r="C121" i="33"/>
  <c r="C115" i="33"/>
  <c r="C93" i="33"/>
  <c r="C64" i="33"/>
  <c r="C23" i="33"/>
  <c r="C133" i="33"/>
  <c r="C44" i="33"/>
  <c r="C65" i="33"/>
  <c r="C67" i="33"/>
  <c r="C88" i="33"/>
  <c r="C57" i="33"/>
  <c r="C100" i="33"/>
  <c r="C98" i="33"/>
  <c r="C132" i="33"/>
  <c r="C25" i="33"/>
  <c r="C84" i="33"/>
  <c r="C75" i="33"/>
  <c r="C47" i="33"/>
  <c r="C107" i="33"/>
  <c r="C118" i="33"/>
  <c r="C138" i="33"/>
  <c r="C61" i="33"/>
  <c r="C78" i="33"/>
  <c r="C69" i="33"/>
  <c r="C109" i="33"/>
  <c r="C76" i="33"/>
  <c r="C128" i="33"/>
  <c r="C35" i="33"/>
  <c r="C27" i="33"/>
  <c r="C80" i="33"/>
  <c r="C36" i="33"/>
  <c r="C74" i="33"/>
  <c r="C72" i="33"/>
  <c r="C49" i="33"/>
  <c r="C127" i="33"/>
  <c r="C41" i="33"/>
  <c r="C125" i="33"/>
  <c r="C116" i="33"/>
  <c r="C104" i="33"/>
  <c r="C56" i="33"/>
  <c r="C103" i="33"/>
  <c r="C126" i="33"/>
  <c r="C91" i="33"/>
  <c r="C1" i="33"/>
  <c r="C134" i="33"/>
  <c r="C106" i="33"/>
  <c r="C70" i="33"/>
  <c r="C45" i="33"/>
  <c r="C89" i="33"/>
  <c r="C29" i="33"/>
  <c r="C129" i="33"/>
  <c r="C40" i="33"/>
  <c r="C39" i="33"/>
  <c r="C139" i="33"/>
  <c r="C119" i="33"/>
  <c r="C33" i="33"/>
  <c r="C52" i="33"/>
  <c r="C32" i="33"/>
  <c r="C77" i="33"/>
  <c r="C54" i="33"/>
  <c r="C105" i="33"/>
  <c r="C60" i="33"/>
  <c r="C102" i="33"/>
  <c r="C86" i="33"/>
  <c r="C82" i="33"/>
  <c r="C58" i="33"/>
  <c r="C117" i="33"/>
  <c r="C71" i="33"/>
  <c r="C113" i="33"/>
  <c r="C30" i="33"/>
  <c r="C137" i="33"/>
  <c r="C87" i="33"/>
  <c r="C26" i="33"/>
  <c r="C111" i="33"/>
  <c r="C73" i="33"/>
  <c r="C101" i="33"/>
  <c r="C2" i="33" l="1"/>
  <c r="E2" i="33" s="1"/>
  <c r="D18" i="33"/>
  <c r="C3" i="33"/>
  <c r="C11" i="19"/>
  <c r="B10" i="19"/>
  <c r="T6" i="4"/>
  <c r="R6" i="4"/>
  <c r="X13" i="4"/>
  <c r="X12" i="4"/>
  <c r="M43" i="33"/>
  <c r="M38" i="33"/>
  <c r="I6" i="43"/>
  <c r="H6" i="43"/>
  <c r="M126" i="33"/>
  <c r="K6" i="43"/>
  <c r="F6" i="43"/>
  <c r="D25" i="43"/>
  <c r="M85" i="33"/>
  <c r="J6" i="43"/>
  <c r="E6" i="43"/>
  <c r="D16" i="43"/>
  <c r="G21" i="4"/>
  <c r="D18" i="43"/>
  <c r="M6" i="43"/>
  <c r="G6" i="43"/>
  <c r="L6" i="43"/>
  <c r="O8" i="4"/>
  <c r="V10" i="4"/>
  <c r="K1" i="43"/>
  <c r="C15" i="19"/>
  <c r="B15" i="19"/>
  <c r="E6" i="33"/>
  <c r="B14" i="33"/>
  <c r="E4" i="33"/>
  <c r="D3" i="33"/>
  <c r="E5" i="33"/>
  <c r="C85" i="33"/>
  <c r="F3" i="33"/>
  <c r="C38" i="33"/>
  <c r="C43" i="33"/>
  <c r="E22" i="33"/>
  <c r="K2" i="43" l="1"/>
  <c r="O2" i="43" s="1"/>
  <c r="X10" i="4"/>
  <c r="E3" i="33"/>
  <c r="I2" i="33"/>
  <c r="D98" i="33"/>
  <c r="D126" i="33"/>
  <c r="D52" i="33"/>
  <c r="F52" i="33"/>
  <c r="F98" i="33"/>
  <c r="F126" i="33"/>
  <c r="H2" i="33"/>
  <c r="D2" i="33"/>
  <c r="J2" i="33"/>
  <c r="K2" i="33"/>
  <c r="F2" i="33"/>
  <c r="G2" i="33"/>
  <c r="B102" i="4"/>
  <c r="V11" i="4"/>
  <c r="P2" i="43"/>
  <c r="D15" i="19"/>
  <c r="E15" i="19"/>
  <c r="J32" i="34"/>
  <c r="H87" i="34"/>
  <c r="I65" i="34"/>
  <c r="M85" i="34"/>
  <c r="H128" i="34"/>
  <c r="J61" i="34"/>
  <c r="H129" i="34"/>
  <c r="K65" i="34"/>
  <c r="J69" i="34"/>
  <c r="H72" i="34"/>
  <c r="J34" i="34"/>
  <c r="I35" i="34"/>
  <c r="G72" i="34"/>
  <c r="G64" i="34"/>
  <c r="G86" i="34"/>
  <c r="G52" i="34"/>
  <c r="J74" i="34"/>
  <c r="K40" i="34"/>
  <c r="J138" i="34"/>
  <c r="K133" i="34"/>
  <c r="K47" i="34"/>
  <c r="K25" i="34"/>
  <c r="G129" i="34"/>
  <c r="J87" i="34"/>
  <c r="I129" i="34"/>
  <c r="J77" i="34"/>
  <c r="I74" i="34"/>
  <c r="G32" i="34"/>
  <c r="M38" i="34"/>
  <c r="H61" i="34"/>
  <c r="K86" i="34"/>
  <c r="G47" i="34"/>
  <c r="J126" i="34"/>
  <c r="K126" i="34"/>
  <c r="J65" i="34"/>
  <c r="J72" i="34"/>
  <c r="I77" i="34"/>
  <c r="I33" i="34"/>
  <c r="J64" i="34"/>
  <c r="M43" i="34"/>
  <c r="H126" i="34"/>
  <c r="G128" i="34"/>
  <c r="I40" i="34"/>
  <c r="J30" i="34"/>
  <c r="I133" i="34"/>
  <c r="K134" i="34"/>
  <c r="K127" i="34"/>
  <c r="H64" i="34"/>
  <c r="G34" i="34"/>
  <c r="K29" i="34"/>
  <c r="J29" i="34"/>
  <c r="K30" i="34"/>
  <c r="J35" i="34"/>
  <c r="I128" i="34"/>
  <c r="H74" i="34"/>
  <c r="I29" i="34"/>
  <c r="I134" i="34"/>
  <c r="H134" i="34"/>
  <c r="G61" i="34"/>
  <c r="K71" i="34"/>
  <c r="G126" i="34"/>
  <c r="I72" i="34"/>
  <c r="I126" i="34"/>
  <c r="I61" i="34"/>
  <c r="J139" i="34"/>
  <c r="I87" i="34"/>
  <c r="H52" i="34"/>
  <c r="J25" i="34"/>
  <c r="G29" i="34"/>
  <c r="I30" i="34"/>
  <c r="I44" i="34"/>
  <c r="I138" i="34"/>
  <c r="I52" i="34"/>
  <c r="K138" i="34"/>
  <c r="H30" i="34"/>
  <c r="G134" i="34"/>
  <c r="J129" i="34"/>
  <c r="G87" i="34"/>
  <c r="G44" i="34"/>
  <c r="J128" i="34"/>
  <c r="I64" i="34"/>
  <c r="H77" i="34"/>
  <c r="K87" i="34"/>
  <c r="J47" i="34"/>
  <c r="I32" i="34"/>
  <c r="G30" i="34"/>
  <c r="G65" i="34"/>
  <c r="K77" i="34"/>
  <c r="I86" i="34"/>
  <c r="J44" i="34"/>
  <c r="H25" i="34"/>
  <c r="G139" i="34"/>
  <c r="H138" i="34"/>
  <c r="J39" i="34"/>
  <c r="J71" i="34"/>
  <c r="G25" i="34"/>
  <c r="I69" i="34"/>
  <c r="I34" i="34"/>
  <c r="K64" i="34"/>
  <c r="K34" i="34"/>
  <c r="J134" i="34"/>
  <c r="G133" i="34"/>
  <c r="I39" i="34"/>
  <c r="I127" i="34"/>
  <c r="K33" i="34"/>
  <c r="K139" i="34"/>
  <c r="H29" i="34"/>
  <c r="H71" i="34"/>
  <c r="H139" i="34"/>
  <c r="G39" i="34"/>
  <c r="I25" i="34"/>
  <c r="K72" i="34"/>
  <c r="G74" i="34"/>
  <c r="K52" i="34"/>
  <c r="J133" i="34"/>
  <c r="I139" i="34"/>
  <c r="K74" i="34"/>
  <c r="H40" i="34"/>
  <c r="G77" i="34"/>
  <c r="H133" i="34"/>
  <c r="H39" i="34"/>
  <c r="H69" i="34"/>
  <c r="G40" i="34"/>
  <c r="H34" i="34"/>
  <c r="H65" i="34"/>
  <c r="K35" i="34"/>
  <c r="G127" i="34"/>
  <c r="G69" i="34"/>
  <c r="K69" i="34"/>
  <c r="G71" i="34"/>
  <c r="H86" i="34"/>
  <c r="J86" i="34"/>
  <c r="G33" i="34"/>
  <c r="H47" i="34"/>
  <c r="I47" i="34"/>
  <c r="I71" i="34"/>
  <c r="K32" i="34"/>
  <c r="H44" i="34"/>
  <c r="K39" i="34"/>
  <c r="J52" i="34"/>
  <c r="G35" i="34"/>
  <c r="K61" i="34"/>
  <c r="K129" i="34"/>
  <c r="K128" i="34"/>
  <c r="J40" i="34"/>
  <c r="H127" i="34"/>
  <c r="G138" i="34"/>
  <c r="H32" i="34"/>
  <c r="H33" i="34"/>
  <c r="K44" i="34"/>
  <c r="J127" i="34"/>
  <c r="J33" i="34"/>
  <c r="H35" i="34"/>
  <c r="F20" i="33"/>
  <c r="F116" i="33"/>
  <c r="E89" i="33"/>
  <c r="F138" i="33"/>
  <c r="E31" i="33"/>
  <c r="F22" i="33"/>
  <c r="F113" i="33"/>
  <c r="F6" i="33"/>
  <c r="D102" i="33"/>
  <c r="D36" i="33"/>
  <c r="E70" i="33"/>
  <c r="D119" i="33"/>
  <c r="F93" i="33"/>
  <c r="D41" i="33"/>
  <c r="F54" i="33"/>
  <c r="I5" i="33"/>
  <c r="E63" i="33"/>
  <c r="G5" i="33"/>
  <c r="D133" i="33"/>
  <c r="D69" i="33"/>
  <c r="E129" i="33"/>
  <c r="F36" i="33"/>
  <c r="E73" i="33"/>
  <c r="D116" i="33"/>
  <c r="F118" i="33"/>
  <c r="D40" i="33"/>
  <c r="D55" i="33"/>
  <c r="E107" i="33"/>
  <c r="D57" i="33"/>
  <c r="D26" i="33"/>
  <c r="K6" i="33"/>
  <c r="D117" i="33"/>
  <c r="F107" i="33"/>
  <c r="F57" i="33"/>
  <c r="D93" i="33"/>
  <c r="F88" i="33"/>
  <c r="F82" i="33"/>
  <c r="F76" i="33"/>
  <c r="E127" i="33"/>
  <c r="E64" i="33"/>
  <c r="D134" i="33"/>
  <c r="F129" i="33"/>
  <c r="E115" i="33"/>
  <c r="E65" i="33"/>
  <c r="F44" i="33"/>
  <c r="F80" i="33"/>
  <c r="F29" i="33"/>
  <c r="F47" i="33"/>
  <c r="F73" i="33"/>
  <c r="G4" i="33"/>
  <c r="E128" i="33"/>
  <c r="K5" i="33"/>
  <c r="D30" i="33"/>
  <c r="E20" i="33"/>
  <c r="E57" i="33"/>
  <c r="E36" i="33"/>
  <c r="D138" i="33"/>
  <c r="F102" i="33"/>
  <c r="D45" i="33"/>
  <c r="E100" i="33"/>
  <c r="E117" i="33"/>
  <c r="D109" i="33"/>
  <c r="F71" i="33"/>
  <c r="D139" i="33"/>
  <c r="E91" i="33"/>
  <c r="E113" i="33"/>
  <c r="D121" i="33"/>
  <c r="D80" i="33"/>
  <c r="D106" i="33"/>
  <c r="F26" i="33"/>
  <c r="D87" i="33"/>
  <c r="E121" i="33"/>
  <c r="E87" i="33"/>
  <c r="F35" i="33"/>
  <c r="D54" i="33"/>
  <c r="D77" i="33"/>
  <c r="J4" i="33"/>
  <c r="E54" i="33"/>
  <c r="F133" i="33"/>
  <c r="F61" i="33"/>
  <c r="I93" i="33"/>
  <c r="G3" i="33"/>
  <c r="E69" i="33"/>
  <c r="K4" i="33"/>
  <c r="D44" i="33"/>
  <c r="E44" i="33"/>
  <c r="F74" i="33"/>
  <c r="J6" i="33"/>
  <c r="D115" i="33"/>
  <c r="F101" i="33"/>
  <c r="F34" i="33"/>
  <c r="D67" i="33"/>
  <c r="D86" i="33"/>
  <c r="E74" i="33"/>
  <c r="D118" i="33"/>
  <c r="D5" i="33"/>
  <c r="I4" i="33"/>
  <c r="J22" i="33"/>
  <c r="F134" i="33"/>
  <c r="D129" i="33"/>
  <c r="E116" i="33"/>
  <c r="E47" i="33"/>
  <c r="D61" i="33"/>
  <c r="H6" i="33"/>
  <c r="D60" i="33"/>
  <c r="D58" i="33"/>
  <c r="F64" i="33"/>
  <c r="E134" i="33"/>
  <c r="D25" i="33"/>
  <c r="D4" i="33"/>
  <c r="E72" i="33"/>
  <c r="D128" i="33"/>
  <c r="F127" i="33"/>
  <c r="D39" i="33"/>
  <c r="F58" i="33"/>
  <c r="D6" i="33"/>
  <c r="G93" i="33"/>
  <c r="F32" i="33"/>
  <c r="F45" i="33"/>
  <c r="F103" i="33"/>
  <c r="E82" i="33"/>
  <c r="E27" i="33"/>
  <c r="E88" i="33"/>
  <c r="D75" i="33"/>
  <c r="F69" i="33"/>
  <c r="F65" i="33"/>
  <c r="E106" i="33"/>
  <c r="F33" i="33"/>
  <c r="F56" i="33"/>
  <c r="E76" i="33"/>
  <c r="F40" i="33"/>
  <c r="E55" i="33"/>
  <c r="E111" i="33"/>
  <c r="H5" i="33"/>
  <c r="E35" i="33"/>
  <c r="D73" i="33"/>
  <c r="E33" i="33"/>
  <c r="D49" i="33"/>
  <c r="D72" i="33"/>
  <c r="D95" i="33"/>
  <c r="D35" i="33"/>
  <c r="E77" i="33"/>
  <c r="F100" i="33"/>
  <c r="F139" i="33"/>
  <c r="E39" i="33"/>
  <c r="F27" i="33"/>
  <c r="E104" i="33"/>
  <c r="F106" i="33"/>
  <c r="E102" i="33"/>
  <c r="E30" i="33"/>
  <c r="E109" i="33"/>
  <c r="E29" i="33"/>
  <c r="D31" i="33"/>
  <c r="F84" i="33"/>
  <c r="F105" i="33"/>
  <c r="H4" i="33"/>
  <c r="AC85" i="33"/>
  <c r="E25" i="33"/>
  <c r="D111" i="33"/>
  <c r="F5" i="33"/>
  <c r="H93" i="33"/>
  <c r="D100" i="33"/>
  <c r="H3" i="33"/>
  <c r="F87" i="33"/>
  <c r="F49" i="33"/>
  <c r="D70" i="33"/>
  <c r="D89" i="33"/>
  <c r="J93" i="33"/>
  <c r="F63" i="33"/>
  <c r="D47" i="33"/>
  <c r="D107" i="33"/>
  <c r="E95" i="33"/>
  <c r="F86" i="33"/>
  <c r="F67" i="33"/>
  <c r="AC43" i="33"/>
  <c r="D56" i="33"/>
  <c r="K93" i="33"/>
  <c r="F39" i="33"/>
  <c r="E45" i="33"/>
  <c r="E139" i="33"/>
  <c r="F117" i="33"/>
  <c r="E119" i="33"/>
  <c r="F72" i="33"/>
  <c r="D33" i="33"/>
  <c r="D63" i="33"/>
  <c r="E49" i="33"/>
  <c r="F111" i="33"/>
  <c r="E118" i="33"/>
  <c r="E78" i="33"/>
  <c r="E71" i="33"/>
  <c r="D22" i="33"/>
  <c r="F4" i="33"/>
  <c r="E58" i="33"/>
  <c r="F60" i="33"/>
  <c r="E80" i="33"/>
  <c r="D34" i="33"/>
  <c r="F70" i="33"/>
  <c r="E56" i="33"/>
  <c r="D74" i="33"/>
  <c r="F95" i="33"/>
  <c r="D64" i="33"/>
  <c r="D91" i="33"/>
  <c r="F41" i="33"/>
  <c r="H22" i="33"/>
  <c r="E41" i="33"/>
  <c r="F89" i="33"/>
  <c r="F104" i="33"/>
  <c r="E60" i="33"/>
  <c r="E75" i="33"/>
  <c r="E67" i="33"/>
  <c r="E34" i="33"/>
  <c r="D78" i="33"/>
  <c r="F121" i="33"/>
  <c r="F30" i="33"/>
  <c r="D113" i="33"/>
  <c r="K22" i="33"/>
  <c r="D71" i="33"/>
  <c r="F119" i="33"/>
  <c r="F78" i="33"/>
  <c r="E101" i="33"/>
  <c r="E93" i="33"/>
  <c r="E138" i="33"/>
  <c r="D65" i="33"/>
  <c r="F128" i="33"/>
  <c r="F77" i="33"/>
  <c r="D82" i="33"/>
  <c r="D105" i="33"/>
  <c r="D27" i="33"/>
  <c r="I6" i="33"/>
  <c r="D76" i="33"/>
  <c r="D29" i="33"/>
  <c r="D32" i="33"/>
  <c r="F91" i="33"/>
  <c r="D101" i="33"/>
  <c r="E133" i="33"/>
  <c r="J5" i="33"/>
  <c r="E103" i="33"/>
  <c r="D88" i="33"/>
  <c r="E86" i="33"/>
  <c r="E84" i="33"/>
  <c r="F55" i="33"/>
  <c r="F75" i="33"/>
  <c r="D127" i="33"/>
  <c r="G6" i="33"/>
  <c r="D104" i="33"/>
  <c r="E105" i="33"/>
  <c r="D20" i="33"/>
  <c r="AC38" i="33"/>
  <c r="F109" i="33"/>
  <c r="D84" i="33"/>
  <c r="E61" i="33"/>
  <c r="D103" i="33"/>
  <c r="F25" i="33"/>
  <c r="G22" i="33"/>
  <c r="E26" i="33"/>
  <c r="I22" i="33"/>
  <c r="F115" i="33"/>
  <c r="E32" i="33"/>
  <c r="E40" i="33"/>
  <c r="F31" i="33"/>
  <c r="I3" i="33"/>
  <c r="H20" i="33"/>
  <c r="H126" i="33" l="1"/>
  <c r="H52" i="33"/>
  <c r="H98" i="33"/>
  <c r="G52" i="33"/>
  <c r="G126" i="33"/>
  <c r="G98" i="33"/>
  <c r="I126" i="33"/>
  <c r="I52" i="33"/>
  <c r="I98" i="33"/>
  <c r="O1" i="43"/>
  <c r="P3" i="43"/>
  <c r="P12" i="43" s="1"/>
  <c r="P10" i="43" s="1"/>
  <c r="X11" i="4"/>
  <c r="E126" i="33"/>
  <c r="E52" i="33"/>
  <c r="E98" i="33"/>
  <c r="K58" i="33"/>
  <c r="J58" i="33"/>
  <c r="I58" i="33"/>
  <c r="H58" i="33"/>
  <c r="G58" i="33"/>
  <c r="K57" i="33"/>
  <c r="J57" i="33"/>
  <c r="I57" i="33"/>
  <c r="H57" i="33"/>
  <c r="G57" i="33"/>
  <c r="K56" i="33"/>
  <c r="J56" i="33"/>
  <c r="I56" i="33"/>
  <c r="H56" i="33"/>
  <c r="G56" i="33"/>
  <c r="G104" i="33" s="1"/>
  <c r="K55" i="33"/>
  <c r="J55" i="33"/>
  <c r="I55" i="33"/>
  <c r="H55" i="33"/>
  <c r="G55" i="33"/>
  <c r="K73" i="33"/>
  <c r="J73" i="33"/>
  <c r="I73" i="33"/>
  <c r="H73" i="33"/>
  <c r="G73" i="33"/>
  <c r="K70" i="33"/>
  <c r="J70" i="33"/>
  <c r="I70" i="33"/>
  <c r="H70" i="33"/>
  <c r="G70" i="33"/>
  <c r="K26" i="33"/>
  <c r="K27" i="33" s="1"/>
  <c r="K31" i="33" s="1"/>
  <c r="K36" i="33" s="1"/>
  <c r="K54" i="33" s="1"/>
  <c r="J26" i="33"/>
  <c r="J27" i="33" s="1"/>
  <c r="J31" i="33" s="1"/>
  <c r="J36" i="33" s="1"/>
  <c r="J54" i="33" s="1"/>
  <c r="I26" i="33"/>
  <c r="I27" i="33" s="1"/>
  <c r="I31" i="33" s="1"/>
  <c r="I36" i="33" s="1"/>
  <c r="I54" i="33" s="1"/>
  <c r="H26" i="33"/>
  <c r="H27" i="33" s="1"/>
  <c r="H31" i="33" s="1"/>
  <c r="H36" i="33" s="1"/>
  <c r="H54" i="33" s="1"/>
  <c r="G26" i="33"/>
  <c r="G27" i="33" s="1"/>
  <c r="G31" i="33" s="1"/>
  <c r="G36" i="33" s="1"/>
  <c r="G54" i="33" s="1"/>
  <c r="F123" i="33"/>
  <c r="G117" i="33"/>
  <c r="H117" i="33" s="1"/>
  <c r="I117" i="33" s="1"/>
  <c r="J117" i="33" s="1"/>
  <c r="K117" i="33" s="1"/>
  <c r="G103" i="33"/>
  <c r="H103" i="33" s="1"/>
  <c r="I103" i="33" s="1"/>
  <c r="J103" i="33" s="1"/>
  <c r="K103" i="33" s="1"/>
  <c r="D122" i="33"/>
  <c r="E123" i="33"/>
  <c r="E122" i="33"/>
  <c r="G116" i="33"/>
  <c r="H116" i="33" s="1"/>
  <c r="F122" i="33"/>
  <c r="G119" i="33"/>
  <c r="H119" i="33" s="1"/>
  <c r="I119" i="33" s="1"/>
  <c r="J119" i="33" s="1"/>
  <c r="K119" i="33" s="1"/>
  <c r="G101" i="33"/>
  <c r="H101" i="33" s="1"/>
  <c r="I101" i="33" s="1"/>
  <c r="J101" i="33" s="1"/>
  <c r="K101" i="33" s="1"/>
  <c r="G100" i="33"/>
  <c r="H100" i="33" s="1"/>
  <c r="G85" i="33"/>
  <c r="G86" i="33" s="1"/>
  <c r="P15" i="4"/>
  <c r="D9" i="33"/>
  <c r="P1" i="43"/>
  <c r="Q1" i="43"/>
  <c r="Q2" i="43"/>
  <c r="I20" i="33"/>
  <c r="G20" i="33"/>
  <c r="J3" i="33"/>
  <c r="K3" i="33"/>
  <c r="K52" i="33" l="1"/>
  <c r="K98" i="33"/>
  <c r="K126" i="33"/>
  <c r="J98" i="33"/>
  <c r="J52" i="33"/>
  <c r="J126" i="33"/>
  <c r="Q3" i="43"/>
  <c r="Q12" i="43" s="1"/>
  <c r="Q19" i="43" s="1"/>
  <c r="G60" i="33"/>
  <c r="G63" i="33" s="1"/>
  <c r="G67" i="33" s="1"/>
  <c r="P9" i="43"/>
  <c r="P15" i="43" s="1"/>
  <c r="P20" i="43" s="1"/>
  <c r="P19" i="43"/>
  <c r="I60" i="33"/>
  <c r="I63" i="33" s="1"/>
  <c r="I67" i="33" s="1"/>
  <c r="J60" i="33"/>
  <c r="J63" i="33" s="1"/>
  <c r="J67" i="33" s="1"/>
  <c r="K60" i="33"/>
  <c r="K63" i="33" s="1"/>
  <c r="K67" i="33" s="1"/>
  <c r="H60" i="33"/>
  <c r="H63" i="33" s="1"/>
  <c r="H67" i="33" s="1"/>
  <c r="K80" i="33"/>
  <c r="H104" i="33"/>
  <c r="I104" i="33" s="1"/>
  <c r="J104" i="33" s="1"/>
  <c r="K104" i="33" s="1"/>
  <c r="J80" i="33"/>
  <c r="I80" i="33"/>
  <c r="H80" i="33"/>
  <c r="G106" i="33"/>
  <c r="H106" i="33" s="1"/>
  <c r="I106" i="33" s="1"/>
  <c r="J106" i="33" s="1"/>
  <c r="K106" i="33" s="1"/>
  <c r="G80" i="33"/>
  <c r="P11" i="43"/>
  <c r="P14" i="43"/>
  <c r="I100" i="33"/>
  <c r="I116" i="33"/>
  <c r="R1" i="43"/>
  <c r="R2" i="43"/>
  <c r="S2" i="43" s="1"/>
  <c r="J20" i="33"/>
  <c r="K20" i="33"/>
  <c r="R3" i="43" l="1"/>
  <c r="R12" i="43" s="1"/>
  <c r="R19" i="43" s="1"/>
  <c r="Q10" i="43"/>
  <c r="Q11" i="43" s="1"/>
  <c r="G82" i="33"/>
  <c r="Q9" i="43"/>
  <c r="P22" i="43"/>
  <c r="P21" i="43" s="1"/>
  <c r="P29" i="43" s="1"/>
  <c r="P16" i="43"/>
  <c r="P31" i="43" s="1"/>
  <c r="P32" i="43" s="1"/>
  <c r="I82" i="33"/>
  <c r="H82" i="33"/>
  <c r="J82" i="33"/>
  <c r="K82" i="33"/>
  <c r="S3" i="43"/>
  <c r="S12" i="43" s="1"/>
  <c r="S19" i="43" s="1"/>
  <c r="P26" i="43"/>
  <c r="P27" i="43" s="1"/>
  <c r="J116" i="33"/>
  <c r="J100" i="33"/>
  <c r="T2" i="43"/>
  <c r="S1" i="43"/>
  <c r="T1" i="43"/>
  <c r="R9" i="43" l="1"/>
  <c r="S9" i="43" s="1"/>
  <c r="R10" i="43"/>
  <c r="R14" i="43" s="1"/>
  <c r="Q14" i="43"/>
  <c r="Q26" i="43" s="1"/>
  <c r="Q27" i="43" s="1"/>
  <c r="T3" i="43"/>
  <c r="T12" i="43" s="1"/>
  <c r="T19" i="43" s="1"/>
  <c r="P28" i="43"/>
  <c r="Q15" i="43"/>
  <c r="Q20" i="43" s="1"/>
  <c r="Q22" i="43" s="1"/>
  <c r="Q21" i="43" s="1"/>
  <c r="Q23" i="43" s="1"/>
  <c r="P23" i="43"/>
  <c r="P30" i="43" s="1"/>
  <c r="P33" i="43" s="1"/>
  <c r="K116" i="33"/>
  <c r="K100" i="33"/>
  <c r="U1" i="43"/>
  <c r="U2" i="43"/>
  <c r="R11" i="43" l="1"/>
  <c r="S10" i="43"/>
  <c r="T10" i="43" s="1"/>
  <c r="T11" i="43" s="1"/>
  <c r="U3" i="43"/>
  <c r="U12" i="43" s="1"/>
  <c r="U19" i="43" s="1"/>
  <c r="T9" i="43"/>
  <c r="Q29" i="43"/>
  <c r="Q28" i="43"/>
  <c r="Q16" i="43"/>
  <c r="Q31" i="43" s="1"/>
  <c r="Q32" i="43" s="1"/>
  <c r="R15" i="43"/>
  <c r="R20" i="43" s="1"/>
  <c r="Q30" i="43"/>
  <c r="R26" i="43"/>
  <c r="R27" i="43" s="1"/>
  <c r="V1" i="43"/>
  <c r="V2" i="43"/>
  <c r="R22" i="43" l="1"/>
  <c r="R21" i="43" s="1"/>
  <c r="R29" i="43" s="1"/>
  <c r="V3" i="43"/>
  <c r="V12" i="43" s="1"/>
  <c r="V19" i="43" s="1"/>
  <c r="S14" i="43"/>
  <c r="S26" i="43" s="1"/>
  <c r="S27" i="43" s="1"/>
  <c r="S11" i="43"/>
  <c r="U9" i="43"/>
  <c r="U10" i="43"/>
  <c r="T14" i="43"/>
  <c r="S15" i="43"/>
  <c r="T15" i="43" s="1"/>
  <c r="T20" i="43" s="1"/>
  <c r="T22" i="43" s="1"/>
  <c r="T21" i="43" s="1"/>
  <c r="T23" i="43" s="1"/>
  <c r="R16" i="43"/>
  <c r="R31" i="43" s="1"/>
  <c r="R32" i="43" s="1"/>
  <c r="Q33" i="43"/>
  <c r="R28" i="43"/>
  <c r="W2" i="43"/>
  <c r="X2" i="43" s="1"/>
  <c r="W1" i="43"/>
  <c r="Y2" i="43"/>
  <c r="R23" i="43" l="1"/>
  <c r="R30" i="43" s="1"/>
  <c r="R33" i="43" s="1"/>
  <c r="X3" i="43"/>
  <c r="X12" i="43" s="1"/>
  <c r="X19" i="43" s="1"/>
  <c r="W3" i="43"/>
  <c r="W12" i="43" s="1"/>
  <c r="W19" i="43" s="1"/>
  <c r="V10" i="43"/>
  <c r="V11" i="43" s="1"/>
  <c r="V9" i="43"/>
  <c r="Y3" i="43"/>
  <c r="Y12" i="43" s="1"/>
  <c r="Y19" i="43" s="1"/>
  <c r="U14" i="43"/>
  <c r="U11" i="43"/>
  <c r="U15" i="43"/>
  <c r="U20" i="43" s="1"/>
  <c r="S16" i="43"/>
  <c r="S31" i="43" s="1"/>
  <c r="T16" i="43"/>
  <c r="S20" i="43"/>
  <c r="S22" i="43" s="1"/>
  <c r="S21" i="43" s="1"/>
  <c r="S23" i="43" s="1"/>
  <c r="S30" i="43" s="1"/>
  <c r="T30" i="43" s="1"/>
  <c r="T26" i="43"/>
  <c r="X1" i="43"/>
  <c r="Z2" i="43"/>
  <c r="W10" i="43" l="1"/>
  <c r="W14" i="43" s="1"/>
  <c r="V14" i="43"/>
  <c r="W9" i="43"/>
  <c r="X9" i="43" s="1"/>
  <c r="Y9" i="43" s="1"/>
  <c r="X10" i="43"/>
  <c r="Y10" i="43" s="1"/>
  <c r="U26" i="43"/>
  <c r="Z3" i="43"/>
  <c r="Z12" i="43" s="1"/>
  <c r="Z19" i="43" s="1"/>
  <c r="U22" i="43"/>
  <c r="U21" i="43" s="1"/>
  <c r="U23" i="43" s="1"/>
  <c r="U30" i="43" s="1"/>
  <c r="S28" i="43"/>
  <c r="T28" i="43" s="1"/>
  <c r="U16" i="43"/>
  <c r="V15" i="43"/>
  <c r="V20" i="43" s="1"/>
  <c r="V22" i="43" s="1"/>
  <c r="V21" i="43" s="1"/>
  <c r="V23" i="43" s="1"/>
  <c r="T31" i="43"/>
  <c r="T32" i="43" s="1"/>
  <c r="S29" i="43"/>
  <c r="T29" i="43" s="1"/>
  <c r="S32" i="43"/>
  <c r="S33" i="43" s="1"/>
  <c r="T27" i="43"/>
  <c r="Y1" i="43"/>
  <c r="AA2" i="43"/>
  <c r="V26" i="43" l="1"/>
  <c r="V27" i="43" s="1"/>
  <c r="W11" i="43"/>
  <c r="AA3" i="43"/>
  <c r="AA12" i="43" s="1"/>
  <c r="AA19" i="43" s="1"/>
  <c r="U27" i="43"/>
  <c r="U28" i="43"/>
  <c r="V28" i="43" s="1"/>
  <c r="X11" i="43"/>
  <c r="X14" i="43"/>
  <c r="U29" i="43"/>
  <c r="V29" i="43" s="1"/>
  <c r="Z10" i="43"/>
  <c r="Z14" i="43" s="1"/>
  <c r="Z9" i="43"/>
  <c r="U31" i="43"/>
  <c r="U32" i="43" s="1"/>
  <c r="W15" i="43"/>
  <c r="W20" i="43" s="1"/>
  <c r="V16" i="43"/>
  <c r="Y11" i="43"/>
  <c r="Y14" i="43"/>
  <c r="T33" i="43"/>
  <c r="V30" i="43"/>
  <c r="Z1" i="43"/>
  <c r="AB2" i="43"/>
  <c r="AC2" i="43"/>
  <c r="W22" i="43" l="1"/>
  <c r="W21" i="43" s="1"/>
  <c r="W23" i="43" s="1"/>
  <c r="W26" i="43"/>
  <c r="X26" i="43" s="1"/>
  <c r="AC3" i="43"/>
  <c r="AC12" i="43" s="1"/>
  <c r="AC19" i="43" s="1"/>
  <c r="AB3" i="43"/>
  <c r="AB12" i="43" s="1"/>
  <c r="AB19" i="43" s="1"/>
  <c r="AA9" i="43"/>
  <c r="U33" i="43"/>
  <c r="AA10" i="43"/>
  <c r="AA11" i="43" s="1"/>
  <c r="Z11" i="43"/>
  <c r="V31" i="43"/>
  <c r="V32" i="43" s="1"/>
  <c r="V33" i="43" s="1"/>
  <c r="X15" i="43"/>
  <c r="Y15" i="43" s="1"/>
  <c r="Y16" i="43" s="1"/>
  <c r="W16" i="43"/>
  <c r="W30" i="43"/>
  <c r="AA1" i="43"/>
  <c r="AD2" i="43"/>
  <c r="AE2" i="43"/>
  <c r="AF2" i="43" s="1"/>
  <c r="W28" i="43" l="1"/>
  <c r="W29" i="43"/>
  <c r="AD3" i="43"/>
  <c r="AD12" i="43" s="1"/>
  <c r="AD19" i="43" s="1"/>
  <c r="W27" i="43"/>
  <c r="AE3" i="43"/>
  <c r="AE12" i="43" s="1"/>
  <c r="AE19" i="43" s="1"/>
  <c r="AB9" i="43"/>
  <c r="AC9" i="43"/>
  <c r="AA14" i="43"/>
  <c r="AB10" i="43"/>
  <c r="AB14" i="43" s="1"/>
  <c r="Z15" i="43"/>
  <c r="Z16" i="43" s="1"/>
  <c r="W31" i="43"/>
  <c r="W32" i="43" s="1"/>
  <c r="X20" i="43"/>
  <c r="X22" i="43" s="1"/>
  <c r="X21" i="43" s="1"/>
  <c r="X23" i="43" s="1"/>
  <c r="X30" i="43" s="1"/>
  <c r="Y20" i="43"/>
  <c r="Y22" i="43" s="1"/>
  <c r="Y21" i="43" s="1"/>
  <c r="Y23" i="43" s="1"/>
  <c r="X16" i="43"/>
  <c r="AF3" i="43"/>
  <c r="AF12" i="43" s="1"/>
  <c r="AF19" i="43" s="1"/>
  <c r="X27" i="43"/>
  <c r="Y26" i="43"/>
  <c r="AB1" i="43"/>
  <c r="AG2" i="43"/>
  <c r="AD9" i="43" l="1"/>
  <c r="AE9" i="43" s="1"/>
  <c r="W33" i="43"/>
  <c r="AB11" i="43"/>
  <c r="AC10" i="43"/>
  <c r="AD10" i="43" s="1"/>
  <c r="AE10" i="43" s="1"/>
  <c r="AA15" i="43"/>
  <c r="AB15" i="43" s="1"/>
  <c r="AB20" i="43" s="1"/>
  <c r="Z20" i="43"/>
  <c r="Z22" i="43" s="1"/>
  <c r="Z21" i="43" s="1"/>
  <c r="Z23" i="43" s="1"/>
  <c r="X28" i="43"/>
  <c r="Y28" i="43" s="1"/>
  <c r="Y30" i="43"/>
  <c r="X31" i="43"/>
  <c r="Y31" i="43" s="1"/>
  <c r="Z31" i="43" s="1"/>
  <c r="X29" i="43"/>
  <c r="Y29" i="43" s="1"/>
  <c r="AG3" i="43"/>
  <c r="AG12" i="43" s="1"/>
  <c r="AG19" i="43" s="1"/>
  <c r="AF9" i="43"/>
  <c r="Y27" i="43"/>
  <c r="Z26" i="43"/>
  <c r="AC1" i="43"/>
  <c r="AD14" i="43" l="1"/>
  <c r="AD11" i="43"/>
  <c r="AC11" i="43"/>
  <c r="AC14" i="43"/>
  <c r="Z28" i="43"/>
  <c r="AC15" i="43"/>
  <c r="AA20" i="43"/>
  <c r="AA22" i="43" s="1"/>
  <c r="AA21" i="43" s="1"/>
  <c r="AA23" i="43" s="1"/>
  <c r="AB16" i="43"/>
  <c r="AA16" i="43"/>
  <c r="AA31" i="43" s="1"/>
  <c r="Z30" i="43"/>
  <c r="Z29" i="43"/>
  <c r="Y32" i="43"/>
  <c r="Y33" i="43" s="1"/>
  <c r="X32" i="43"/>
  <c r="X33" i="43" s="1"/>
  <c r="AF10" i="43"/>
  <c r="AE14" i="43"/>
  <c r="AE11" i="43"/>
  <c r="AG9" i="43"/>
  <c r="AB22" i="43"/>
  <c r="AB21" i="43" s="1"/>
  <c r="AB23" i="43" s="1"/>
  <c r="Z27" i="43"/>
  <c r="AA26" i="43"/>
  <c r="Z32" i="43"/>
  <c r="AD1" i="43"/>
  <c r="AC16" i="43" l="1"/>
  <c r="AA30" i="43"/>
  <c r="AB30" i="43" s="1"/>
  <c r="AD15" i="43"/>
  <c r="AD20" i="43" s="1"/>
  <c r="AC20" i="43"/>
  <c r="AC22" i="43" s="1"/>
  <c r="AC21" i="43" s="1"/>
  <c r="AC23" i="43" s="1"/>
  <c r="AA28" i="43"/>
  <c r="AB28" i="43" s="1"/>
  <c r="AA29" i="43"/>
  <c r="AB29" i="43" s="1"/>
  <c r="AG10" i="43"/>
  <c r="AF11" i="43"/>
  <c r="AF14" i="43"/>
  <c r="AB31" i="43"/>
  <c r="AA32" i="43"/>
  <c r="AA27" i="43"/>
  <c r="AB26" i="43"/>
  <c r="Z33" i="43"/>
  <c r="AE1" i="43"/>
  <c r="AE15" i="43" l="1"/>
  <c r="AE16" i="43" s="1"/>
  <c r="AD16" i="43"/>
  <c r="AC29" i="43"/>
  <c r="AG14" i="43"/>
  <c r="AG11" i="43"/>
  <c r="AC28" i="43"/>
  <c r="AC30" i="43"/>
  <c r="AD22" i="43"/>
  <c r="AD21" i="43" s="1"/>
  <c r="AB27" i="43"/>
  <c r="AC26" i="43"/>
  <c r="AA33" i="43"/>
  <c r="AC31" i="43"/>
  <c r="AB32" i="43"/>
  <c r="AF1" i="43"/>
  <c r="AF15" i="43" l="1"/>
  <c r="AF16" i="43" s="1"/>
  <c r="AE20" i="43"/>
  <c r="AE22" i="43" s="1"/>
  <c r="AE21" i="43" s="1"/>
  <c r="AD29" i="43"/>
  <c r="AD23" i="43"/>
  <c r="AD30" i="43" s="1"/>
  <c r="AD28" i="43"/>
  <c r="AD31" i="43"/>
  <c r="AC32" i="43"/>
  <c r="AC27" i="43"/>
  <c r="AD26" i="43"/>
  <c r="AB33" i="43"/>
  <c r="AG1" i="43"/>
  <c r="AG15" i="43" l="1"/>
  <c r="AG20" i="43" s="1"/>
  <c r="AF20" i="43"/>
  <c r="AF22" i="43" s="1"/>
  <c r="AF21" i="43" s="1"/>
  <c r="AE29" i="43"/>
  <c r="AC33" i="43"/>
  <c r="AE23" i="43"/>
  <c r="AE30" i="43" s="1"/>
  <c r="AE28" i="43"/>
  <c r="AD27" i="43"/>
  <c r="AE26" i="43"/>
  <c r="AD32" i="43"/>
  <c r="AE31" i="43"/>
  <c r="AG16" i="43" l="1"/>
  <c r="AF28" i="43"/>
  <c r="AF29" i="43"/>
  <c r="AF23" i="43"/>
  <c r="AF30" i="43" s="1"/>
  <c r="AG22" i="43"/>
  <c r="AG21" i="43" s="1"/>
  <c r="AF31" i="43"/>
  <c r="AE32" i="43"/>
  <c r="AE27" i="43"/>
  <c r="AF26" i="43"/>
  <c r="AD33" i="43"/>
  <c r="AG29" i="43" l="1"/>
  <c r="AG23" i="43"/>
  <c r="AG30" i="43" s="1"/>
  <c r="AG28" i="43"/>
  <c r="AE33" i="43"/>
  <c r="AF27" i="43"/>
  <c r="AG26" i="43"/>
  <c r="AG27" i="43" s="1"/>
  <c r="AG31" i="43"/>
  <c r="AG32" i="43" s="1"/>
  <c r="AF32" i="43"/>
  <c r="AG33" i="43" l="1"/>
  <c r="AF33" i="43"/>
  <c r="G38" i="33"/>
  <c r="H38" i="33"/>
  <c r="I38" i="33"/>
  <c r="J38" i="33"/>
  <c r="K38" i="33"/>
  <c r="G39" i="33"/>
  <c r="H39" i="33"/>
  <c r="I39" i="33"/>
  <c r="J39" i="33"/>
  <c r="K39" i="33"/>
  <c r="L39" i="33"/>
  <c r="M39" i="33"/>
  <c r="G41" i="33"/>
  <c r="H41" i="33"/>
  <c r="I41" i="33"/>
  <c r="J41" i="33"/>
  <c r="K41" i="33"/>
  <c r="G43" i="33"/>
  <c r="H43" i="33"/>
  <c r="I43" i="33"/>
  <c r="J43" i="33"/>
  <c r="K43" i="33"/>
  <c r="G44" i="33"/>
  <c r="H44" i="33"/>
  <c r="I44" i="33"/>
  <c r="J44" i="33"/>
  <c r="K44" i="33"/>
  <c r="L44" i="33"/>
  <c r="M44" i="33"/>
  <c r="G45" i="33"/>
  <c r="H45" i="33"/>
  <c r="I45" i="33"/>
  <c r="J45" i="33"/>
  <c r="K45" i="33"/>
  <c r="G49" i="33"/>
  <c r="H49" i="33"/>
  <c r="I49" i="33"/>
  <c r="J49" i="33"/>
  <c r="K49" i="33"/>
  <c r="G84" i="33"/>
  <c r="H84" i="33"/>
  <c r="I84" i="33"/>
  <c r="J84" i="33"/>
  <c r="K84" i="33"/>
  <c r="H85" i="33"/>
  <c r="I85" i="33"/>
  <c r="J85" i="33"/>
  <c r="K85" i="33"/>
  <c r="H86" i="33"/>
  <c r="I86" i="33"/>
  <c r="J86" i="33"/>
  <c r="K86" i="33"/>
  <c r="L86" i="33"/>
  <c r="M86" i="33"/>
  <c r="G91" i="33"/>
  <c r="H91" i="33"/>
  <c r="I91" i="33"/>
  <c r="J91" i="33"/>
  <c r="K91" i="33"/>
  <c r="G95" i="33"/>
  <c r="H95" i="33"/>
  <c r="I95" i="33"/>
  <c r="J95" i="33"/>
  <c r="K95" i="33"/>
  <c r="G102" i="33"/>
  <c r="H102" i="33"/>
  <c r="I102" i="33"/>
  <c r="J102" i="33"/>
  <c r="K102" i="33"/>
  <c r="G105" i="33"/>
  <c r="H105" i="33"/>
  <c r="I105" i="33"/>
  <c r="J105" i="33"/>
  <c r="K105" i="33"/>
  <c r="G107" i="33"/>
  <c r="H107" i="33"/>
  <c r="I107" i="33"/>
  <c r="J107" i="33"/>
  <c r="K107" i="33"/>
  <c r="G109" i="33"/>
  <c r="H109" i="33"/>
  <c r="I109" i="33"/>
  <c r="J109" i="33"/>
  <c r="K109" i="33"/>
  <c r="G111" i="33"/>
  <c r="H111" i="33"/>
  <c r="I111" i="33"/>
  <c r="J111" i="33"/>
  <c r="K111" i="33"/>
  <c r="G113" i="33"/>
  <c r="H113" i="33"/>
  <c r="I113" i="33"/>
  <c r="J113" i="33"/>
  <c r="K113" i="33"/>
  <c r="G118" i="33"/>
  <c r="H118" i="33"/>
  <c r="I118" i="33"/>
  <c r="J118" i="33"/>
  <c r="K118" i="33"/>
  <c r="G121" i="33"/>
  <c r="H121" i="33"/>
  <c r="I121" i="33"/>
  <c r="J121" i="33"/>
  <c r="K121" i="33"/>
  <c r="G122" i="33"/>
  <c r="H122" i="33"/>
  <c r="I122" i="33"/>
  <c r="J122" i="33"/>
  <c r="K122" i="33"/>
  <c r="G123" i="33"/>
  <c r="H123" i="33"/>
  <c r="I123" i="33"/>
  <c r="J123" i="33"/>
  <c r="K123" i="33"/>
  <c r="A130" i="33"/>
</calcChain>
</file>

<file path=xl/sharedStrings.xml><?xml version="1.0" encoding="utf-8"?>
<sst xmlns="http://schemas.openxmlformats.org/spreadsheetml/2006/main" count="519" uniqueCount="295">
  <si>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</si>
  <si>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</si>
  <si>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</si>
  <si>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</si>
  <si>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</si>
  <si>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</si>
  <si>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</si>
  <si>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</si>
  <si>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</si>
  <si>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</si>
  <si>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</si>
  <si>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</si>
  <si>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</si>
  <si>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</si>
  <si>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</si>
  <si>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</si>
  <si>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</si>
  <si>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</si>
  <si>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</si>
  <si>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</si>
  <si>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</si>
  <si>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</si>
  <si>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</si>
  <si>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</si>
  <si>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</si>
  <si>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</si>
  <si>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</si>
  <si>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</si>
  <si>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</si>
  <si>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</si>
  <si>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</si>
  <si>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</si>
  <si>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</si>
  <si>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</si>
  <si>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</si>
  <si>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</si>
  <si>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</si>
  <si>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</si>
  <si>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</si>
  <si>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</si>
  <si>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</si>
  <si>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</si>
  <si>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</si>
  <si>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</si>
  <si>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</si>
  <si>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</si>
  <si>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</si>
  <si>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</si>
  <si>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</si>
  <si>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</si>
  <si>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</si>
  <si>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</si>
  <si>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</si>
  <si>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</si>
  <si>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</si>
  <si>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</si>
  <si>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</si>
  <si>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</si>
  <si>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</si>
  <si>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</si>
  <si>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</si>
  <si>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</si>
  <si>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</si>
  <si>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</si>
  <si>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</si>
  <si>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</si>
  <si>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</si>
  <si>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</si>
  <si>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</si>
  <si>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</si>
  <si>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</si>
  <si>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</si>
  <si>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</si>
  <si>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</si>
  <si>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</si>
  <si>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</si>
  <si>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</si>
  <si>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</si>
  <si>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</si>
  <si>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</si>
  <si>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</si>
  <si>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</si>
  <si>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</si>
  <si>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</si>
  <si>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</si>
  <si>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</si>
  <si>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</si>
  <si>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</si>
  <si>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</si>
  <si>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</si>
  <si>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</si>
  <si>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</si>
  <si>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</si>
  <si>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</si>
  <si>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</si>
  <si>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</si>
  <si>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</si>
  <si>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</si>
  <si>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</si>
  <si>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</si>
  <si>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</si>
  <si>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</si>
  <si>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</si>
  <si>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</si>
  <si>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</si>
  <si>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</si>
  <si>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</si>
  <si>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</si>
  <si>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</si>
  <si>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</si>
  <si>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</si>
  <si>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</si>
  <si>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</si>
  <si>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</si>
  <si>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</si>
  <si>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</si>
  <si>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</si>
  <si>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</si>
  <si>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</si>
  <si>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</si>
  <si>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</si>
  <si>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</si>
  <si>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</si>
  <si>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</si>
  <si>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</si>
  <si>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</si>
  <si>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</si>
  <si>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</si>
  <si>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</si>
  <si>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</si>
  <si>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</si>
  <si>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</si>
  <si>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</si>
  <si>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</si>
  <si>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</si>
  <si>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</si>
  <si>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</si>
  <si>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</si>
  <si>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</si>
  <si>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</si>
  <si>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</si>
  <si>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</si>
  <si>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</si>
  <si>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</si>
  <si>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</si>
  <si>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</si>
  <si>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</si>
  <si>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</si>
  <si>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</si>
  <si>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</si>
  <si>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</si>
  <si>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</si>
  <si>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</si>
  <si>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</si>
  <si>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</si>
  <si>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</si>
  <si>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</si>
  <si>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</si>
  <si>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</si>
  <si>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</si>
  <si>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</si>
  <si>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</si>
  <si>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</si>
  <si>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</si>
  <si>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</si>
  <si>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</si>
  <si>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</si>
  <si>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</si>
  <si>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</si>
  <si>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</si>
  <si>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</si>
  <si>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</si>
  <si>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</si>
  <si>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</si>
  <si>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</si>
  <si>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</si>
  <si>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</si>
  <si>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</si>
  <si>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</si>
  <si>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</si>
  <si>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</si>
  <si>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</si>
  <si>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</si>
  <si>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</si>
  <si>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</si>
  <si>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</si>
  <si>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</si>
  <si>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</si>
  <si>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</si>
  <si>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</si>
  <si>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</si>
  <si>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</si>
  <si>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</si>
  <si>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</si>
  <si>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</si>
  <si>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</si>
  <si>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</si>
  <si>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</si>
  <si>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</si>
  <si>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</si>
  <si>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</si>
  <si>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</si>
  <si>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</si>
  <si>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</si>
  <si>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</si>
  <si>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</si>
  <si>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</si>
  <si>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</si>
  <si>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</si>
  <si>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</si>
  <si>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</si>
  <si>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</si>
  <si>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</si>
  <si>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</si>
  <si>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</si>
  <si>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</si>
  <si>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</si>
  <si>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</si>
  <si>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</si>
  <si>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</si>
  <si>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</si>
  <si>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</si>
  <si>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</si>
  <si>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</si>
  <si>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</si>
  <si>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</si>
  <si>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</si>
  <si>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</si>
  <si>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</si>
  <si>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</si>
  <si>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</si>
  <si>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</si>
  <si>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</si>
  <si>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</si>
  <si>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</si>
  <si>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</si>
  <si>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</si>
  <si>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</si>
  <si>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</si>
  <si>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</si>
  <si>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</si>
  <si>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</si>
  <si>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</si>
  <si>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</si>
  <si>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</si>
  <si>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</si>
  <si>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</si>
  <si>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</si>
  <si>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</si>
  <si>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</si>
  <si>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$G$26</t>
  </si>
  <si>
    <t>UR_BU</t>
  </si>
  <si>
    <t>UR_LR</t>
  </si>
  <si>
    <t>UR_M</t>
  </si>
  <si>
    <t>UR_MM</t>
  </si>
  <si>
    <t>UR_CY</t>
  </si>
  <si>
    <t>UR_CA</t>
  </si>
  <si>
    <t>UR_BO</t>
  </si>
  <si>
    <t>UR_input</t>
  </si>
  <si>
    <t>SU_B</t>
  </si>
  <si>
    <t>SU_H</t>
  </si>
  <si>
    <t>SU_MM</t>
  </si>
  <si>
    <t>SU_input</t>
  </si>
  <si>
    <t>SD_PA</t>
  </si>
  <si>
    <t>SD_MM</t>
  </si>
  <si>
    <t>SO_input</t>
  </si>
  <si>
    <t>RC_S</t>
  </si>
  <si>
    <t>RC_RL</t>
  </si>
  <si>
    <t>RC_CH</t>
  </si>
  <si>
    <t>RC_SC</t>
  </si>
  <si>
    <t>RC_SHC</t>
  </si>
  <si>
    <t>RC_input</t>
  </si>
  <si>
    <t>NIC</t>
  </si>
  <si>
    <t>RH</t>
  </si>
  <si>
    <t>NIH</t>
  </si>
  <si>
    <t>HRAIL_input</t>
  </si>
  <si>
    <t>OS_MA</t>
  </si>
  <si>
    <t>FE</t>
  </si>
  <si>
    <t>CO_SR</t>
  </si>
  <si>
    <t>CO_SHR</t>
  </si>
  <si>
    <t>CO_input</t>
  </si>
  <si>
    <t>AT_AS</t>
  </si>
  <si>
    <t>AT_LS</t>
  </si>
  <si>
    <t>AT_input</t>
  </si>
  <si>
    <t>OS_AS</t>
  </si>
  <si>
    <t>OS_CO</t>
  </si>
  <si>
    <t>OS_IS</t>
  </si>
  <si>
    <t>OS_DS</t>
  </si>
  <si>
    <t>OS_D</t>
  </si>
  <si>
    <t>OS_CC</t>
  </si>
  <si>
    <t>OS_TA</t>
  </si>
  <si>
    <t>OS_PR</t>
  </si>
  <si>
    <t>OS_input</t>
  </si>
  <si>
    <t>HO</t>
  </si>
  <si>
    <t>Total Activités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</si>
</sst>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&quot;$&quot;\ \ \ #,##0;\(&quot;$&quot;\ \ \ #,##0\)"/>
    <numFmt numFmtId="174" formatCode="_-* #,##0.000\ [$€]_-;\-* #,##0.000\ [$€]_-;_-* &quot;-&quot;??\ [$€]_-;_-@_-"/>
    <numFmt numFmtId="175" formatCode="#,##0;\(#,##0\)"/>
    <numFmt numFmtId="176" formatCode="#,##0.0;\(#,##0.0\);\-"/>
    <numFmt numFmtId="177" formatCode="_(&quot;$&quot;* #,##0.00_);_(&quot;$&quot;* \(#,##0.00\);_(&quot;$&quot;* &quot;-&quot;??_);_(@_)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(* #,##0.0_%_);_(* \(#,##0.0_%\);_(* &quot; - &quot;_%_);_(@_)"/>
    <numFmt numFmtId="181" formatCode="_(\ #,##0.0_%_);_(\ \(#,##0.0_%\);_(\ &quot; - &quot;_%_);_(@_)"/>
    <numFmt numFmtId="182" formatCode="_(* #,##0.0%_);_(* \(#,##0.0%\);_(* &quot; - &quot;\%_);_(@_)"/>
    <numFmt numFmtId="183" formatCode="_(\ #,##0.0%_);_(\ \(#,##0.0%\);_(\ &quot; - &quot;\%_);_(@_)"/>
    <numFmt numFmtId="184" formatCode="_(* #,##0_);_(* \(#,##0\);_(* &quot; - &quot;_);_(@_)"/>
    <numFmt numFmtId="185" formatCode="#,##0_);\(#,##0\);&quot; - &quot;_);@_)"/>
    <numFmt numFmtId="186" formatCode="_(* #,##0.0_);_(* \(#,##0.0\);_(* &quot; - &quot;_);_(@_)"/>
    <numFmt numFmtId="187" formatCode="\ #,##0.0_);\(#,##0.0\);&quot; - &quot;_);@_)"/>
    <numFmt numFmtId="188" formatCode="_(* #,##0.00_);_(* \(#,##0.00\);_(* &quot; - &quot;_);_(@_)"/>
    <numFmt numFmtId="189" formatCode="\ #,##0.00_);\(#,##0.00\);&quot; - &quot;_);@_)"/>
    <numFmt numFmtId="190" formatCode="_(* #,##0.000_);_(* \(#,##0.000\);_(* &quot; - &quot;_);_(@_)"/>
    <numFmt numFmtId="191" formatCode="\ #,##0.000_);\(#,##0.000\);&quot; - &quot;_);@_)"/>
    <numFmt numFmtId="192" formatCode="#,##0;\(#,##0\);&quot;-&quot;"/>
    <numFmt numFmtId="193" formatCode="d\ mmmm\ yyyy"/>
    <numFmt numFmtId="194" formatCode="#,##0;[Red]\(#,##0\);0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  <numFmt numFmtId="206" formatCode="\+\ @"/>
    <numFmt numFmtId="207" formatCode="\-\ 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8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9" fontId="30" fillId="27" borderId="0" applyNumberFormat="0" applyBorder="0">
      <alignment horizontal="right" vertical="center"/>
      <protection locked="0"/>
    </xf>
    <xf numFmtId="170" fontId="30" fillId="28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1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2" fontId="37" fillId="29" borderId="0" applyNumberFormat="0" applyBorder="0">
      <alignment horizontal="left" vertical="center"/>
      <protection locked="0"/>
    </xf>
    <xf numFmtId="172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3" fontId="107" fillId="0" borderId="0" applyAlignment="0"/>
    <xf numFmtId="10" fontId="108" fillId="0" borderId="0"/>
    <xf numFmtId="9" fontId="109" fillId="0" borderId="0"/>
    <xf numFmtId="174" fontId="109" fillId="0" borderId="0"/>
    <xf numFmtId="10" fontId="109" fillId="0" borderId="0"/>
    <xf numFmtId="174" fontId="109" fillId="0" borderId="0" applyFont="0" applyFill="0" applyBorder="0" applyAlignment="0" applyProtection="0"/>
    <xf numFmtId="174" fontId="109" fillId="0" borderId="0" applyFont="0" applyFill="0" applyBorder="0" applyAlignment="0" applyProtection="0"/>
    <xf numFmtId="175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4" fontId="110" fillId="0" borderId="54" applyFont="0" applyFill="0" applyBorder="0" applyAlignment="0" applyProtection="0"/>
    <xf numFmtId="175" fontId="109" fillId="0" borderId="0"/>
    <xf numFmtId="175" fontId="109" fillId="0" borderId="0"/>
    <xf numFmtId="175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4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4" fontId="38" fillId="0" borderId="0"/>
    <xf numFmtId="9" fontId="108" fillId="0" borderId="0"/>
    <xf numFmtId="174" fontId="108" fillId="0" borderId="0"/>
    <xf numFmtId="174" fontId="10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08" fillId="0" borderId="0"/>
    <xf numFmtId="174" fontId="108" fillId="0" borderId="0"/>
    <xf numFmtId="174" fontId="4" fillId="0" borderId="0"/>
    <xf numFmtId="174" fontId="109" fillId="0" borderId="0"/>
    <xf numFmtId="38" fontId="113" fillId="0" borderId="0" applyNumberFormat="0" applyFill="0" applyBorder="0" applyAlignment="0" applyProtection="0"/>
    <xf numFmtId="0" fontId="15" fillId="52" borderId="0"/>
    <xf numFmtId="174" fontId="114" fillId="0" borderId="0" applyNumberFormat="0" applyFill="0" applyBorder="0" applyAlignment="0" applyProtection="0"/>
    <xf numFmtId="174" fontId="109" fillId="0" borderId="0"/>
    <xf numFmtId="174" fontId="112" fillId="0" borderId="5" applyNumberFormat="0" applyFill="0" applyAlignment="0" applyProtection="0"/>
    <xf numFmtId="174" fontId="113" fillId="0" borderId="5" applyNumberFormat="0" applyFont="0" applyFill="0" applyAlignment="0" applyProtection="0"/>
    <xf numFmtId="174" fontId="38" fillId="0" borderId="53"/>
    <xf numFmtId="174" fontId="109" fillId="0" borderId="5">
      <alignment horizontal="centerContinuous"/>
    </xf>
    <xf numFmtId="174" fontId="4" fillId="0" borderId="41" applyBorder="0">
      <alignment horizontal="centerContinuous"/>
    </xf>
    <xf numFmtId="174" fontId="109" fillId="0" borderId="0" applyFont="0" applyFill="0" applyBorder="0" applyAlignment="0" applyProtection="0"/>
    <xf numFmtId="174" fontId="115" fillId="0" borderId="0"/>
    <xf numFmtId="174" fontId="115" fillId="0" borderId="0"/>
    <xf numFmtId="174" fontId="115" fillId="0" borderId="0"/>
    <xf numFmtId="174" fontId="108" fillId="0" borderId="0"/>
    <xf numFmtId="174" fontId="115" fillId="0" borderId="0"/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115" fillId="0" borderId="0"/>
    <xf numFmtId="37" fontId="109" fillId="0" borderId="0">
      <alignment horizontal="center"/>
    </xf>
    <xf numFmtId="174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6" fontId="4" fillId="0" borderId="0">
      <alignment horizontal="right" wrapText="1"/>
    </xf>
    <xf numFmtId="174" fontId="109" fillId="0" borderId="0"/>
    <xf numFmtId="174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4" fontId="117" fillId="0" borderId="0" applyFont="0" applyFill="0" applyBorder="0" applyAlignment="0" applyProtection="0"/>
    <xf numFmtId="174" fontId="117" fillId="0" borderId="0" applyFont="0" applyFill="0" applyBorder="0" applyAlignment="0" applyProtection="0"/>
    <xf numFmtId="177" fontId="4" fillId="0" borderId="0" applyFont="0" applyFill="0" applyBorder="0" applyAlignment="0" applyProtection="0"/>
    <xf numFmtId="49" fontId="118" fillId="53" borderId="0">
      <alignment vertical="center"/>
    </xf>
    <xf numFmtId="174" fontId="109" fillId="0" borderId="0" applyFont="0" applyFill="0" applyBorder="0" applyAlignment="0" applyProtection="0"/>
    <xf numFmtId="178" fontId="47" fillId="43" borderId="0">
      <alignment horizontal="right"/>
    </xf>
    <xf numFmtId="165" fontId="4" fillId="0" borderId="0" applyFont="0" applyFill="0" applyBorder="0" applyAlignment="0" applyProtection="0"/>
    <xf numFmtId="0" fontId="27" fillId="6" borderId="55" applyNumberFormat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80" fontId="120" fillId="0" borderId="0">
      <alignment horizontal="right" vertical="top"/>
    </xf>
    <xf numFmtId="181" fontId="121" fillId="0" borderId="0" applyBorder="0">
      <alignment horizontal="right" vertical="top"/>
    </xf>
    <xf numFmtId="182" fontId="122" fillId="0" borderId="0">
      <alignment horizontal="right" vertical="top"/>
    </xf>
    <xf numFmtId="183" fontId="119" fillId="0" borderId="0" applyBorder="0">
      <alignment horizontal="right" vertical="top"/>
    </xf>
    <xf numFmtId="182" fontId="120" fillId="0" borderId="0">
      <alignment horizontal="right" vertical="top"/>
    </xf>
    <xf numFmtId="183" fontId="121" fillId="0" borderId="0" applyBorder="0">
      <alignment horizontal="right" vertical="top"/>
    </xf>
    <xf numFmtId="184" fontId="122" fillId="0" borderId="0" applyFill="0" applyBorder="0">
      <alignment horizontal="right" vertical="top"/>
    </xf>
    <xf numFmtId="185" fontId="119" fillId="0" borderId="0" applyFill="0" applyBorder="0">
      <alignment horizontal="right" vertical="top"/>
    </xf>
    <xf numFmtId="186" fontId="122" fillId="0" borderId="0" applyFill="0" applyBorder="0">
      <alignment horizontal="right" vertical="top"/>
    </xf>
    <xf numFmtId="187" fontId="119" fillId="0" borderId="0" applyFill="0" applyBorder="0">
      <alignment horizontal="right" vertical="top"/>
    </xf>
    <xf numFmtId="188" fontId="122" fillId="0" borderId="0" applyFill="0" applyBorder="0">
      <alignment horizontal="right" vertical="top"/>
    </xf>
    <xf numFmtId="189" fontId="119" fillId="0" borderId="0" applyFill="0" applyBorder="0">
      <alignment horizontal="right" vertical="top"/>
    </xf>
    <xf numFmtId="190" fontId="122" fillId="0" borderId="0" applyFill="0" applyBorder="0">
      <alignment horizontal="right" vertical="top"/>
    </xf>
    <xf numFmtId="191" fontId="119" fillId="0" borderId="0" applyFill="0" applyBorder="0">
      <alignment horizontal="right" vertical="top"/>
    </xf>
    <xf numFmtId="0" fontId="123" fillId="0" borderId="0">
      <alignment horizontal="center" wrapText="1"/>
    </xf>
    <xf numFmtId="174" fontId="124" fillId="0" borderId="57">
      <alignment horizontal="right"/>
    </xf>
    <xf numFmtId="174" fontId="123" fillId="0" borderId="0">
      <alignment horizontal="center" wrapText="1"/>
    </xf>
    <xf numFmtId="192" fontId="125" fillId="0" borderId="57">
      <alignment horizontal="left"/>
    </xf>
    <xf numFmtId="0" fontId="126" fillId="0" borderId="0">
      <alignment vertical="center"/>
    </xf>
    <xf numFmtId="193" fontId="126" fillId="0" borderId="0">
      <alignment horizontal="left" vertical="center"/>
    </xf>
    <xf numFmtId="194" fontId="127" fillId="0" borderId="0">
      <alignment vertical="center"/>
    </xf>
    <xf numFmtId="0" fontId="128" fillId="0" borderId="0">
      <alignment vertical="center"/>
    </xf>
    <xf numFmtId="192" fontId="125" fillId="0" borderId="57">
      <alignment horizontal="left"/>
    </xf>
    <xf numFmtId="192" fontId="129" fillId="0" borderId="0" applyFill="0" applyBorder="0">
      <alignment vertical="top"/>
    </xf>
    <xf numFmtId="192" fontId="130" fillId="0" borderId="0" applyFill="0" applyBorder="0" applyProtection="0">
      <alignment vertical="top"/>
    </xf>
    <xf numFmtId="192" fontId="131" fillId="0" borderId="0">
      <alignment vertical="top"/>
    </xf>
    <xf numFmtId="192" fontId="119" fillId="0" borderId="0">
      <alignment horizontal="center"/>
    </xf>
    <xf numFmtId="192" fontId="132" fillId="0" borderId="57">
      <alignment horizontal="center"/>
    </xf>
    <xf numFmtId="164" fontId="122" fillId="0" borderId="0" applyFill="0" applyBorder="0" applyAlignment="0" applyProtection="0">
      <alignment horizontal="right" vertical="top"/>
    </xf>
    <xf numFmtId="164" fontId="119" fillId="0" borderId="57" applyFill="0" applyBorder="0" applyProtection="0">
      <alignment horizontal="right" vertical="top"/>
    </xf>
    <xf numFmtId="192" fontId="90" fillId="0" borderId="0"/>
    <xf numFmtId="192" fontId="133" fillId="0" borderId="0"/>
    <xf numFmtId="192" fontId="134" fillId="0" borderId="0"/>
    <xf numFmtId="192" fontId="4" fillId="0" borderId="0"/>
    <xf numFmtId="192" fontId="135" fillId="0" borderId="0">
      <alignment horizontal="left" vertical="top"/>
    </xf>
    <xf numFmtId="0" fontId="122" fillId="0" borderId="0" applyFill="0" applyBorder="0">
      <alignment horizontal="left" vertical="top"/>
    </xf>
    <xf numFmtId="174" fontId="119" fillId="0" borderId="0" applyFill="0" applyBorder="0">
      <alignment horizontal="left" vertical="top" wrapText="1"/>
    </xf>
    <xf numFmtId="174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4" fontId="138" fillId="0" borderId="0" applyNumberFormat="0" applyFill="0" applyBorder="0" applyAlignment="0" applyProtection="0"/>
    <xf numFmtId="174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4" fontId="140" fillId="0" borderId="0" applyNumberFormat="0" applyFill="0" applyProtection="0">
      <alignment horizontal="left"/>
    </xf>
    <xf numFmtId="174" fontId="141" fillId="0" borderId="0" applyNumberFormat="0" applyFill="0" applyBorder="0" applyAlignment="0" applyProtection="0"/>
    <xf numFmtId="174" fontId="108" fillId="0" borderId="0" applyNumberFormat="0" applyFill="0" applyBorder="0" applyAlignment="0">
      <protection locked="0"/>
    </xf>
    <xf numFmtId="174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4" fontId="147" fillId="0" borderId="0"/>
    <xf numFmtId="174" fontId="147" fillId="0" borderId="0"/>
    <xf numFmtId="174" fontId="118" fillId="56" borderId="0">
      <alignment horizontal="right" vertical="center"/>
    </xf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4" fontId="38" fillId="0" borderId="0">
      <alignment horizontal="left"/>
    </xf>
    <xf numFmtId="0" fontId="150" fillId="0" borderId="0"/>
    <xf numFmtId="0" fontId="150" fillId="0" borderId="0"/>
    <xf numFmtId="174" fontId="150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10" fillId="0" borderId="0"/>
    <xf numFmtId="0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4" fontId="4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4" fontId="38" fillId="0" borderId="0"/>
    <xf numFmtId="174" fontId="154" fillId="0" borderId="0"/>
    <xf numFmtId="9" fontId="113" fillId="0" borderId="0" applyFont="0" applyFill="0" applyBorder="0" applyAlignment="0" applyProtection="0"/>
    <xf numFmtId="174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4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0"/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0"/>
    <xf numFmtId="174" fontId="28" fillId="0" borderId="0"/>
    <xf numFmtId="174" fontId="28" fillId="0" borderId="0"/>
    <xf numFmtId="174" fontId="28" fillId="0" borderId="0"/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4" fontId="160" fillId="55" borderId="0" applyNumberFormat="0" applyFont="0" applyBorder="0" applyAlignment="0" applyProtection="0"/>
    <xf numFmtId="174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4" fontId="4" fillId="0" borderId="0"/>
    <xf numFmtId="0" fontId="4" fillId="0" borderId="0"/>
    <xf numFmtId="0" fontId="159" fillId="0" borderId="0" applyNumberFormat="0" applyBorder="0" applyAlignment="0"/>
    <xf numFmtId="174" fontId="159" fillId="0" borderId="0" applyNumberFormat="0" applyBorder="0" applyAlignment="0"/>
    <xf numFmtId="0" fontId="161" fillId="0" borderId="0" applyNumberFormat="0" applyBorder="0" applyAlignment="0"/>
    <xf numFmtId="174" fontId="161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3" fillId="0" borderId="0" applyNumberFormat="0" applyBorder="0" applyAlignment="0"/>
    <xf numFmtId="174" fontId="163" fillId="0" borderId="0" applyNumberFormat="0" applyBorder="0" applyAlignment="0"/>
    <xf numFmtId="0" fontId="164" fillId="7" borderId="0" applyNumberFormat="0" applyBorder="0" applyAlignment="0"/>
    <xf numFmtId="174" fontId="164" fillId="7" borderId="0" applyNumberFormat="0" applyBorder="0" applyAlignment="0"/>
    <xf numFmtId="0" fontId="165" fillId="7" borderId="0" applyNumberFormat="0" applyBorder="0" applyAlignment="0"/>
    <xf numFmtId="174" fontId="165" fillId="7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"/>
    </xf>
    <xf numFmtId="174" fontId="167" fillId="43" borderId="0"/>
    <xf numFmtId="174" fontId="47" fillId="43" borderId="0">
      <alignment horizontal="left"/>
    </xf>
    <xf numFmtId="174" fontId="47" fillId="43" borderId="0">
      <alignment horizontal="left" indent="1"/>
    </xf>
    <xf numFmtId="174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4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4" fontId="113" fillId="0" borderId="60" applyNumberFormat="0" applyFont="0" applyFill="0" applyAlignment="0" applyProtection="0"/>
    <xf numFmtId="174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4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5" fontId="109" fillId="0" borderId="0"/>
    <xf numFmtId="175" fontId="109" fillId="0" borderId="0"/>
    <xf numFmtId="175" fontId="109" fillId="0" borderId="0"/>
    <xf numFmtId="175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174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174" fontId="108" fillId="0" borderId="0"/>
    <xf numFmtId="0" fontId="108" fillId="0" borderId="0"/>
    <xf numFmtId="174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9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4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10" fillId="0" borderId="0" applyFont="0" applyFill="0" applyBorder="0" applyAlignment="0" applyProtection="0"/>
    <xf numFmtId="179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4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0" fontId="158" fillId="0" borderId="0">
      <alignment horizontal="center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28">
    <xf numFmtId="0" fontId="0" fillId="0" borderId="0" xfId="0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0" applyFont="1" applyAlignment="1">
      <alignment horizontal="left" indent="1"/>
    </xf>
    <xf numFmtId="0" fontId="42" fillId="30" borderId="0" xfId="3" applyFont="1" applyFill="1"/>
    <xf numFmtId="0" fontId="42" fillId="0" borderId="0" xfId="3" applyFont="1"/>
    <xf numFmtId="0" fontId="43" fillId="30" borderId="0" xfId="3" applyFont="1" applyFill="1"/>
    <xf numFmtId="0" fontId="45" fillId="0" borderId="0" xfId="3" applyFont="1"/>
    <xf numFmtId="0" fontId="43" fillId="0" borderId="0" xfId="3" applyFont="1"/>
    <xf numFmtId="0" fontId="46" fillId="0" borderId="0" xfId="3" applyFont="1"/>
    <xf numFmtId="0" fontId="6" fillId="0" borderId="0" xfId="3" applyFont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Alignment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54" fillId="0" borderId="0" xfId="3" applyFont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/>
    <xf numFmtId="0" fontId="64" fillId="34" borderId="8" xfId="0" applyFont="1" applyFill="1" applyBorder="1" applyAlignment="1">
      <alignment horizontal="center"/>
    </xf>
    <xf numFmtId="0" fontId="0" fillId="35" borderId="8" xfId="0" applyFill="1" applyBorder="1"/>
    <xf numFmtId="0" fontId="0" fillId="33" borderId="8" xfId="0" applyFill="1" applyBorder="1"/>
    <xf numFmtId="0" fontId="62" fillId="36" borderId="19" xfId="0" applyFont="1" applyFill="1" applyBorder="1" applyAlignment="1">
      <alignment horizontal="left"/>
    </xf>
    <xf numFmtId="0" fontId="63" fillId="36" borderId="20" xfId="0" applyFont="1" applyFill="1" applyBorder="1"/>
    <xf numFmtId="0" fontId="65" fillId="0" borderId="21" xfId="0" applyFont="1" applyBorder="1"/>
    <xf numFmtId="0" fontId="66" fillId="0" borderId="0" xfId="0" applyFont="1"/>
    <xf numFmtId="0" fontId="65" fillId="0" borderId="22" xfId="0" applyFont="1" applyBorder="1"/>
    <xf numFmtId="0" fontId="67" fillId="0" borderId="0" xfId="0" applyFont="1"/>
    <xf numFmtId="0" fontId="42" fillId="32" borderId="0" xfId="3" applyFont="1" applyFill="1"/>
    <xf numFmtId="0" fontId="16" fillId="37" borderId="0" xfId="0" applyFont="1" applyFill="1"/>
    <xf numFmtId="0" fontId="49" fillId="32" borderId="0" xfId="3" applyFont="1" applyFill="1"/>
    <xf numFmtId="0" fontId="5" fillId="38" borderId="23" xfId="1" applyFont="1" applyFill="1" applyBorder="1" applyAlignment="1">
      <alignment horizontal="center" vertical="center"/>
    </xf>
    <xf numFmtId="0" fontId="6" fillId="0" borderId="24" xfId="1" applyFont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2" fillId="0" borderId="25" xfId="3" applyFont="1" applyBorder="1"/>
    <xf numFmtId="0" fontId="6" fillId="0" borderId="27" xfId="1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Alignment="1">
      <alignment horizontal="left" indent="2"/>
    </xf>
    <xf numFmtId="0" fontId="69" fillId="0" borderId="26" xfId="0" applyFont="1" applyBorder="1" applyAlignment="1">
      <alignment horizontal="center"/>
    </xf>
    <xf numFmtId="0" fontId="70" fillId="0" borderId="26" xfId="0" applyFont="1" applyBorder="1" applyAlignment="1">
      <alignment horizontal="center"/>
    </xf>
    <xf numFmtId="0" fontId="71" fillId="0" borderId="24" xfId="0" applyFont="1" applyBorder="1"/>
    <xf numFmtId="0" fontId="6" fillId="0" borderId="28" xfId="1" applyFont="1" applyBorder="1" applyAlignment="1">
      <alignment vertical="center"/>
    </xf>
    <xf numFmtId="0" fontId="71" fillId="0" borderId="27" xfId="0" applyFont="1" applyBorder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>
      <alignment horizontal="center"/>
    </xf>
    <xf numFmtId="0" fontId="77" fillId="0" borderId="26" xfId="0" applyFont="1" applyBorder="1" applyAlignment="1">
      <alignment horizontal="center"/>
    </xf>
    <xf numFmtId="0" fontId="42" fillId="0" borderId="26" xfId="3" applyFont="1" applyBorder="1"/>
    <xf numFmtId="49" fontId="48" fillId="0" borderId="26" xfId="3" applyNumberFormat="1" applyFont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>
      <alignment horizontal="left" vertical="center"/>
    </xf>
    <xf numFmtId="0" fontId="63" fillId="36" borderId="30" xfId="0" applyFont="1" applyFill="1" applyBorder="1" applyAlignment="1">
      <alignment horizontal="left" vertical="center"/>
    </xf>
    <xf numFmtId="0" fontId="63" fillId="36" borderId="31" xfId="0" applyFont="1" applyFill="1" applyBorder="1" applyAlignment="1">
      <alignment horizontal="left" vertical="center"/>
    </xf>
    <xf numFmtId="0" fontId="5" fillId="40" borderId="0" xfId="1" applyFont="1" applyFill="1" applyAlignment="1">
      <alignment horizontal="center" vertical="center"/>
    </xf>
    <xf numFmtId="0" fontId="7" fillId="40" borderId="0" xfId="1" applyFont="1" applyFill="1" applyAlignment="1">
      <alignment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 indent="1"/>
    </xf>
    <xf numFmtId="0" fontId="83" fillId="0" borderId="0" xfId="0" applyFont="1"/>
    <xf numFmtId="0" fontId="85" fillId="0" borderId="0" xfId="3" applyFont="1" applyAlignment="1">
      <alignment horizontal="center" vertical="center" wrapText="1"/>
    </xf>
    <xf numFmtId="0" fontId="6" fillId="0" borderId="0" xfId="0" applyFont="1"/>
    <xf numFmtId="4" fontId="6" fillId="0" borderId="0" xfId="1" applyNumberFormat="1" applyFont="1" applyAlignment="1">
      <alignment vertical="center"/>
    </xf>
    <xf numFmtId="0" fontId="84" fillId="0" borderId="0" xfId="3" applyFont="1" applyAlignment="1">
      <alignment horizontal="right" vertical="center"/>
    </xf>
    <xf numFmtId="0" fontId="81" fillId="41" borderId="0" xfId="0" applyFont="1" applyFill="1" applyAlignment="1">
      <alignment vertical="center" wrapText="1"/>
    </xf>
    <xf numFmtId="0" fontId="82" fillId="41" borderId="0" xfId="0" applyFont="1" applyFill="1" applyAlignment="1">
      <alignment vertical="center" wrapText="1"/>
    </xf>
    <xf numFmtId="0" fontId="58" fillId="0" borderId="0" xfId="305" applyFont="1"/>
    <xf numFmtId="0" fontId="48" fillId="32" borderId="0" xfId="1" applyFont="1" applyFill="1" applyAlignment="1">
      <alignment horizontal="center" vertical="center"/>
    </xf>
    <xf numFmtId="0" fontId="59" fillId="0" borderId="0" xfId="305" applyFont="1"/>
    <xf numFmtId="0" fontId="80" fillId="40" borderId="0" xfId="1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0" fillId="0" borderId="26" xfId="0" applyBorder="1"/>
    <xf numFmtId="0" fontId="50" fillId="0" borderId="0" xfId="0" applyFont="1" applyAlignment="1">
      <alignment horizontal="left" indent="1"/>
    </xf>
    <xf numFmtId="0" fontId="51" fillId="0" borderId="0" xfId="0" applyFont="1"/>
    <xf numFmtId="0" fontId="52" fillId="0" borderId="0" xfId="0" applyFont="1" applyAlignment="1">
      <alignment horizontal="left" vertical="center"/>
    </xf>
    <xf numFmtId="3" fontId="52" fillId="0" borderId="0" xfId="0" applyNumberFormat="1" applyFont="1" applyAlignment="1">
      <alignment vertical="center"/>
    </xf>
    <xf numFmtId="0" fontId="72" fillId="32" borderId="0" xfId="1" applyFont="1" applyFill="1" applyAlignment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52" fillId="0" borderId="47" xfId="0" applyFont="1" applyBorder="1" applyAlignment="1">
      <alignment horizontal="left" vertical="center"/>
    </xf>
    <xf numFmtId="0" fontId="94" fillId="0" borderId="47" xfId="0" applyFont="1" applyBorder="1" applyAlignment="1">
      <alignment horizontal="center" vertical="center"/>
    </xf>
    <xf numFmtId="0" fontId="59" fillId="46" borderId="49" xfId="305" applyFont="1" applyFill="1" applyBorder="1" applyAlignment="1">
      <alignment horizontal="left"/>
    </xf>
    <xf numFmtId="0" fontId="59" fillId="46" borderId="34" xfId="305" applyFont="1" applyFill="1" applyBorder="1" applyAlignment="1">
      <alignment horizontal="left"/>
    </xf>
    <xf numFmtId="0" fontId="59" fillId="46" borderId="0" xfId="305" applyFont="1" applyFill="1" applyAlignment="1">
      <alignment horizontal="left"/>
    </xf>
    <xf numFmtId="0" fontId="59" fillId="46" borderId="47" xfId="305" applyFont="1" applyFill="1" applyBorder="1" applyAlignment="1">
      <alignment horizontal="left"/>
    </xf>
    <xf numFmtId="0" fontId="59" fillId="46" borderId="50" xfId="305" applyFont="1" applyFill="1" applyBorder="1" applyAlignment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Alignment="1">
      <alignment horizontal="right"/>
    </xf>
    <xf numFmtId="0" fontId="52" fillId="0" borderId="0" xfId="3" applyFont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Alignment="1">
      <alignment horizontal="center" vertical="center"/>
    </xf>
    <xf numFmtId="49" fontId="0" fillId="0" borderId="0" xfId="0" applyNumberFormat="1"/>
    <xf numFmtId="0" fontId="75" fillId="0" borderId="0" xfId="0" applyFont="1" applyAlignment="1">
      <alignment wrapText="1"/>
    </xf>
    <xf numFmtId="0" fontId="72" fillId="40" borderId="0" xfId="1" applyFont="1" applyFill="1" applyAlignment="1">
      <alignment horizontal="right" vertical="center"/>
    </xf>
    <xf numFmtId="0" fontId="7" fillId="32" borderId="0" xfId="1" applyFont="1" applyFill="1" applyAlignment="1">
      <alignment vertical="center"/>
    </xf>
    <xf numFmtId="0" fontId="6" fillId="32" borderId="0" xfId="1" applyFont="1" applyFill="1" applyAlignment="1">
      <alignment horizontal="left" vertical="center"/>
    </xf>
    <xf numFmtId="0" fontId="87" fillId="38" borderId="51" xfId="1" applyFont="1" applyFill="1" applyBorder="1" applyAlignment="1">
      <alignment horizontal="center" vertical="center"/>
    </xf>
    <xf numFmtId="0" fontId="99" fillId="0" borderId="24" xfId="1" applyFont="1" applyBorder="1" applyAlignment="1">
      <alignment vertical="center"/>
    </xf>
    <xf numFmtId="0" fontId="88" fillId="0" borderId="0" xfId="0" applyFont="1" applyAlignment="1">
      <alignment horizontal="center" vertical="center" wrapText="1"/>
    </xf>
    <xf numFmtId="0" fontId="41" fillId="49" borderId="0" xfId="1" applyFont="1" applyFill="1" applyAlignment="1">
      <alignment horizontal="right" vertical="center"/>
    </xf>
    <xf numFmtId="0" fontId="72" fillId="32" borderId="0" xfId="1" applyFont="1" applyFill="1" applyAlignment="1">
      <alignment vertical="center"/>
    </xf>
    <xf numFmtId="0" fontId="5" fillId="32" borderId="0" xfId="1" applyFont="1" applyFill="1" applyAlignment="1">
      <alignment horizontal="center" vertical="center"/>
    </xf>
    <xf numFmtId="0" fontId="100" fillId="0" borderId="25" xfId="3" applyFont="1" applyBorder="1"/>
    <xf numFmtId="0" fontId="99" fillId="0" borderId="25" xfId="1" applyFont="1" applyBorder="1" applyAlignment="1">
      <alignment vertical="center"/>
    </xf>
    <xf numFmtId="0" fontId="99" fillId="0" borderId="27" xfId="1" applyFont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3" fontId="86" fillId="0" borderId="0" xfId="0" applyNumberFormat="1" applyFont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Alignment="1">
      <alignment vertical="center"/>
    </xf>
    <xf numFmtId="0" fontId="80" fillId="0" borderId="0" xfId="1" applyFont="1" applyAlignment="1">
      <alignment horizontal="right" vertical="center"/>
    </xf>
    <xf numFmtId="17" fontId="7" fillId="0" borderId="0" xfId="1" quotePrefix="1" applyNumberFormat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101" fillId="0" borderId="0" xfId="1" applyFont="1" applyAlignment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>
      <alignment horizontal="left"/>
    </xf>
    <xf numFmtId="0" fontId="59" fillId="46" borderId="62" xfId="305" applyFont="1" applyFill="1" applyBorder="1" applyAlignment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>
      <alignment vertical="center"/>
    </xf>
    <xf numFmtId="166" fontId="59" fillId="59" borderId="0" xfId="779" applyNumberFormat="1" applyFont="1" applyFill="1" applyAlignment="1">
      <alignment vertical="center"/>
    </xf>
    <xf numFmtId="0" fontId="89" fillId="0" borderId="0" xfId="0" applyFont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Font="1" applyFill="1" applyBorder="1" applyAlignment="1">
      <alignment horizontal="center" vertical="center" wrapText="1"/>
    </xf>
    <xf numFmtId="1" fontId="48" fillId="45" borderId="2" xfId="0" applyNumberFormat="1" applyFont="1" applyFill="1" applyBorder="1" applyAlignment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6" fontId="173" fillId="0" borderId="0" xfId="0" applyNumberFormat="1" applyFont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6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6" fontId="173" fillId="0" borderId="49" xfId="0" applyNumberFormat="1" applyFont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>
      <alignment horizontal="right"/>
    </xf>
    <xf numFmtId="1" fontId="59" fillId="46" borderId="47" xfId="305" applyNumberFormat="1" applyFont="1" applyFill="1" applyBorder="1" applyAlignment="1">
      <alignment horizontal="right"/>
    </xf>
    <xf numFmtId="1" fontId="59" fillId="46" borderId="0" xfId="305" applyNumberFormat="1" applyFont="1" applyFill="1" applyAlignment="1">
      <alignment horizontal="right"/>
    </xf>
    <xf numFmtId="1" fontId="59" fillId="46" borderId="50" xfId="305" applyNumberFormat="1" applyFont="1" applyFill="1" applyBorder="1" applyAlignment="1">
      <alignment horizontal="right"/>
    </xf>
    <xf numFmtId="0" fontId="72" fillId="64" borderId="0" xfId="781" applyFont="1" applyFill="1" applyAlignment="1">
      <alignment horizontal="left" vertical="center"/>
    </xf>
    <xf numFmtId="0" fontId="80" fillId="40" borderId="0" xfId="781" applyFont="1" applyFill="1" applyAlignment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Font="1" applyFill="1" applyBorder="1" applyAlignment="1">
      <alignment horizontal="center" vertical="center" wrapText="1"/>
    </xf>
    <xf numFmtId="0" fontId="182" fillId="0" borderId="0" xfId="782" applyFont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57" fillId="45" borderId="2" xfId="782" applyFont="1" applyFill="1" applyBorder="1" applyAlignment="1">
      <alignment horizontal="center" vertical="center" wrapText="1"/>
    </xf>
    <xf numFmtId="0" fontId="48" fillId="60" borderId="2" xfId="782" applyFont="1" applyFill="1" applyBorder="1" applyAlignment="1">
      <alignment horizontal="center" vertical="center" wrapText="1"/>
    </xf>
    <xf numFmtId="0" fontId="181" fillId="0" borderId="0" xfId="782" applyFont="1"/>
    <xf numFmtId="0" fontId="72" fillId="66" borderId="0" xfId="781" applyFont="1" applyFill="1" applyAlignment="1">
      <alignment horizontal="left" vertical="center"/>
    </xf>
    <xf numFmtId="0" fontId="95" fillId="0" borderId="0" xfId="3" applyFont="1" applyAlignment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6" fontId="173" fillId="62" borderId="0" xfId="0" applyNumberFormat="1" applyFont="1" applyFill="1"/>
    <xf numFmtId="3" fontId="176" fillId="0" borderId="0" xfId="0" applyNumberFormat="1" applyFont="1"/>
    <xf numFmtId="0" fontId="192" fillId="0" borderId="0" xfId="0" applyFont="1" applyAlignment="1">
      <alignment horizontal="left" vertical="center" wrapText="1"/>
    </xf>
    <xf numFmtId="166" fontId="52" fillId="0" borderId="0" xfId="779" applyNumberFormat="1" applyFont="1" applyAlignment="1" applyProtection="1">
      <alignment vertical="center"/>
      <protection locked="0"/>
    </xf>
    <xf numFmtId="0" fontId="181" fillId="0" borderId="0" xfId="0" applyFont="1"/>
    <xf numFmtId="166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6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6" fontId="6" fillId="0" borderId="0" xfId="1" applyNumberFormat="1" applyFont="1" applyAlignment="1">
      <alignment vertical="center"/>
    </xf>
    <xf numFmtId="0" fontId="194" fillId="32" borderId="0" xfId="3344" applyFont="1" applyFill="1" applyAlignment="1">
      <alignment horizontal="center" vertical="center"/>
    </xf>
    <xf numFmtId="0" fontId="195" fillId="32" borderId="0" xfId="3344" applyFont="1" applyFill="1" applyAlignment="1">
      <alignment horizontal="center" vertical="center"/>
    </xf>
    <xf numFmtId="0" fontId="196" fillId="32" borderId="0" xfId="3344" applyFont="1" applyFill="1" applyAlignment="1">
      <alignment horizontal="center" vertical="center"/>
    </xf>
    <xf numFmtId="0" fontId="7" fillId="40" borderId="0" xfId="1" applyFont="1" applyFill="1" applyAlignment="1" applyProtection="1">
      <alignment vertical="center"/>
      <protection locked="0"/>
    </xf>
    <xf numFmtId="205" fontId="193" fillId="30" borderId="32" xfId="0" applyNumberFormat="1" applyFont="1" applyFill="1" applyBorder="1"/>
    <xf numFmtId="0" fontId="59" fillId="46" borderId="0" xfId="2" applyFont="1" applyFill="1" applyAlignment="1">
      <alignment vertical="center"/>
    </xf>
    <xf numFmtId="0" fontId="86" fillId="0" borderId="0" xfId="780" applyFont="1" applyAlignment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>
      <alignment vertical="center"/>
    </xf>
    <xf numFmtId="0" fontId="59" fillId="47" borderId="45" xfId="2" applyFont="1" applyFill="1" applyBorder="1" applyAlignment="1">
      <alignment vertical="center"/>
    </xf>
    <xf numFmtId="166" fontId="59" fillId="40" borderId="38" xfId="779" applyNumberFormat="1" applyFont="1" applyFill="1" applyBorder="1" applyAlignment="1">
      <alignment vertical="center"/>
    </xf>
    <xf numFmtId="166" fontId="59" fillId="31" borderId="0" xfId="779" applyNumberFormat="1" applyFont="1" applyFill="1" applyAlignment="1" applyProtection="1">
      <alignment vertical="center"/>
      <protection locked="0"/>
    </xf>
    <xf numFmtId="166" fontId="59" fillId="40" borderId="38" xfId="779" applyNumberFormat="1" applyFont="1" applyFill="1" applyBorder="1" applyAlignment="1" applyProtection="1">
      <alignment vertical="center"/>
      <protection locked="0"/>
    </xf>
    <xf numFmtId="166" fontId="59" fillId="30" borderId="0" xfId="779" applyNumberFormat="1" applyFont="1" applyFill="1" applyAlignment="1" applyProtection="1">
      <alignment vertical="center"/>
      <protection locked="0"/>
    </xf>
    <xf numFmtId="166" fontId="80" fillId="43" borderId="71" xfId="779" applyNumberFormat="1" applyFont="1" applyFill="1" applyBorder="1" applyAlignment="1">
      <alignment vertical="center"/>
    </xf>
    <xf numFmtId="3" fontId="59" fillId="0" borderId="0" xfId="779" applyNumberFormat="1" applyFont="1" applyAlignment="1">
      <alignment vertical="center"/>
    </xf>
    <xf numFmtId="166" fontId="59" fillId="40" borderId="39" xfId="779" applyNumberFormat="1" applyFont="1" applyFill="1" applyBorder="1" applyAlignment="1" applyProtection="1">
      <alignment vertical="center"/>
      <protection locked="0"/>
    </xf>
    <xf numFmtId="166" fontId="199" fillId="43" borderId="71" xfId="779" applyNumberFormat="1" applyFont="1" applyFill="1" applyBorder="1" applyAlignment="1">
      <alignment vertical="center"/>
    </xf>
    <xf numFmtId="166" fontId="80" fillId="43" borderId="33" xfId="779" applyNumberFormat="1" applyFont="1" applyFill="1" applyBorder="1" applyAlignment="1">
      <alignment vertical="center"/>
    </xf>
    <xf numFmtId="166" fontId="59" fillId="31" borderId="33" xfId="779" applyNumberFormat="1" applyFont="1" applyFill="1" applyBorder="1" applyAlignment="1" applyProtection="1">
      <alignment vertical="center"/>
      <protection locked="0"/>
    </xf>
    <xf numFmtId="0" fontId="41" fillId="47" borderId="45" xfId="780" applyFont="1" applyFill="1" applyBorder="1" applyAlignment="1">
      <alignment vertical="center"/>
    </xf>
    <xf numFmtId="166" fontId="80" fillId="43" borderId="30" xfId="779" applyNumberFormat="1" applyFont="1" applyFill="1" applyBorder="1" applyAlignment="1">
      <alignment vertical="center"/>
    </xf>
    <xf numFmtId="166" fontId="80" fillId="43" borderId="40" xfId="779" applyNumberFormat="1" applyFont="1" applyFill="1" applyBorder="1" applyAlignment="1">
      <alignment vertical="center"/>
    </xf>
    <xf numFmtId="0" fontId="6" fillId="46" borderId="0" xfId="2" applyFont="1" applyFill="1" applyAlignment="1">
      <alignment horizontal="left" vertical="center"/>
    </xf>
    <xf numFmtId="166" fontId="6" fillId="40" borderId="39" xfId="779" applyNumberFormat="1" applyFont="1" applyFill="1" applyBorder="1" applyAlignment="1" applyProtection="1">
      <alignment vertical="center"/>
      <protection locked="0"/>
    </xf>
    <xf numFmtId="166" fontId="6" fillId="30" borderId="0" xfId="779" applyNumberFormat="1" applyFont="1" applyFill="1" applyAlignment="1" applyProtection="1">
      <alignment vertical="center"/>
      <protection locked="0"/>
    </xf>
    <xf numFmtId="166" fontId="80" fillId="43" borderId="72" xfId="779" applyNumberFormat="1" applyFont="1" applyFill="1" applyBorder="1" applyAlignment="1">
      <alignment vertical="center"/>
    </xf>
    <xf numFmtId="166" fontId="80" fillId="43" borderId="73" xfId="779" applyNumberFormat="1" applyFont="1" applyFill="1" applyBorder="1" applyAlignment="1">
      <alignment vertical="center"/>
    </xf>
    <xf numFmtId="0" fontId="52" fillId="0" borderId="0" xfId="780" applyFont="1" applyAlignment="1">
      <alignment horizontal="left" vertical="center"/>
    </xf>
    <xf numFmtId="0" fontId="56" fillId="47" borderId="45" xfId="780" applyFont="1" applyFill="1" applyBorder="1" applyAlignment="1">
      <alignment vertical="center"/>
    </xf>
    <xf numFmtId="0" fontId="56" fillId="47" borderId="48" xfId="780" applyFont="1" applyFill="1" applyBorder="1" applyAlignment="1">
      <alignment vertical="center"/>
    </xf>
    <xf numFmtId="0" fontId="86" fillId="0" borderId="46" xfId="780" applyFont="1" applyBorder="1" applyAlignment="1">
      <alignment horizontal="left" vertical="center"/>
    </xf>
    <xf numFmtId="166" fontId="80" fillId="43" borderId="74" xfId="779" applyNumberFormat="1" applyFont="1" applyFill="1" applyBorder="1" applyAlignment="1" applyProtection="1">
      <alignment vertical="center"/>
      <protection locked="0"/>
    </xf>
    <xf numFmtId="166" fontId="59" fillId="40" borderId="0" xfId="779" applyNumberFormat="1" applyFont="1" applyFill="1" applyAlignment="1">
      <alignment vertical="center"/>
    </xf>
    <xf numFmtId="166" fontId="59" fillId="40" borderId="75" xfId="779" applyNumberFormat="1" applyFont="1" applyFill="1" applyBorder="1" applyAlignment="1" applyProtection="1">
      <alignment vertical="center"/>
      <protection locked="0"/>
    </xf>
    <xf numFmtId="166" fontId="80" fillId="43" borderId="76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Alignment="1">
      <alignment horizontal="left" vertical="center"/>
    </xf>
    <xf numFmtId="166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Border="1" applyAlignment="1">
      <alignment vertical="center"/>
    </xf>
    <xf numFmtId="166" fontId="74" fillId="31" borderId="80" xfId="779" applyNumberFormat="1" applyFont="1" applyFill="1" applyBorder="1" applyAlignment="1" applyProtection="1">
      <alignment vertical="center"/>
      <protection locked="0"/>
    </xf>
    <xf numFmtId="166" fontId="74" fillId="31" borderId="0" xfId="779" applyNumberFormat="1" applyFont="1" applyFill="1" applyAlignment="1" applyProtection="1">
      <alignment vertical="center"/>
      <protection locked="0"/>
    </xf>
    <xf numFmtId="166" fontId="74" fillId="31" borderId="81" xfId="779" applyNumberFormat="1" applyFont="1" applyFill="1" applyBorder="1" applyAlignment="1" applyProtection="1">
      <alignment vertical="center"/>
      <protection locked="0"/>
    </xf>
    <xf numFmtId="166" fontId="59" fillId="40" borderId="82" xfId="779" applyNumberFormat="1" applyFont="1" applyFill="1" applyBorder="1" applyAlignment="1" applyProtection="1">
      <alignment vertical="center"/>
      <protection locked="0"/>
    </xf>
    <xf numFmtId="166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/>
    <xf numFmtId="166" fontId="201" fillId="0" borderId="0" xfId="781" applyNumberFormat="1" applyFont="1" applyAlignment="1">
      <alignment vertical="center"/>
    </xf>
    <xf numFmtId="0" fontId="59" fillId="0" borderId="0" xfId="781" applyFont="1" applyAlignment="1">
      <alignment horizontal="left" vertical="center"/>
    </xf>
    <xf numFmtId="166" fontId="59" fillId="40" borderId="39" xfId="779" applyNumberFormat="1" applyFont="1" applyFill="1" applyBorder="1" applyAlignment="1">
      <alignment vertical="center"/>
    </xf>
    <xf numFmtId="166" fontId="80" fillId="43" borderId="74" xfId="779" applyNumberFormat="1" applyFont="1" applyFill="1" applyBorder="1" applyAlignment="1">
      <alignment vertical="center"/>
    </xf>
    <xf numFmtId="166" fontId="59" fillId="40" borderId="84" xfId="779" applyNumberFormat="1" applyFont="1" applyFill="1" applyBorder="1" applyAlignment="1">
      <alignment vertical="center"/>
    </xf>
    <xf numFmtId="166" fontId="59" fillId="40" borderId="75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>
      <alignment vertical="center"/>
    </xf>
    <xf numFmtId="166" fontId="59" fillId="40" borderId="78" xfId="779" applyNumberFormat="1" applyFont="1" applyFill="1" applyBorder="1" applyAlignment="1">
      <alignment vertical="center"/>
    </xf>
    <xf numFmtId="166" fontId="59" fillId="40" borderId="82" xfId="779" applyNumberFormat="1" applyFont="1" applyFill="1" applyBorder="1" applyAlignment="1">
      <alignment vertical="center"/>
    </xf>
    <xf numFmtId="166" fontId="59" fillId="40" borderId="83" xfId="779" applyNumberFormat="1" applyFont="1" applyFill="1" applyBorder="1" applyAlignment="1">
      <alignment vertical="center"/>
    </xf>
    <xf numFmtId="166" fontId="59" fillId="30" borderId="0" xfId="779" applyNumberFormat="1" applyFont="1" applyFill="1" applyAlignment="1">
      <alignment vertical="center"/>
    </xf>
    <xf numFmtId="0" fontId="93" fillId="0" borderId="0" xfId="2" applyFont="1" applyAlignment="1">
      <alignment horizontal="left" vertical="center"/>
    </xf>
    <xf numFmtId="0" fontId="54" fillId="0" borderId="0" xfId="2" applyFont="1" applyAlignment="1">
      <alignment horizontal="left" vertical="center"/>
    </xf>
    <xf numFmtId="0" fontId="105" fillId="0" borderId="0" xfId="2" applyFont="1" applyAlignment="1">
      <alignment horizontal="left" vertical="center"/>
    </xf>
    <xf numFmtId="166" fontId="59" fillId="40" borderId="85" xfId="779" applyNumberFormat="1" applyFont="1" applyFill="1" applyBorder="1" applyAlignment="1">
      <alignment vertical="center"/>
    </xf>
    <xf numFmtId="166" fontId="59" fillId="68" borderId="0" xfId="779" applyNumberFormat="1" applyFont="1" applyFill="1" applyAlignment="1">
      <alignment vertical="center"/>
    </xf>
    <xf numFmtId="0" fontId="202" fillId="0" borderId="0" xfId="1" applyFont="1" applyAlignment="1">
      <alignment vertical="center"/>
    </xf>
    <xf numFmtId="166" fontId="59" fillId="40" borderId="0" xfId="779" applyNumberFormat="1" applyFont="1" applyFill="1" applyAlignment="1" applyProtection="1">
      <alignment vertical="center"/>
      <protection locked="0"/>
    </xf>
    <xf numFmtId="166" fontId="59" fillId="69" borderId="0" xfId="779" applyNumberFormat="1" applyFont="1" applyFill="1" applyAlignment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6" fontId="59" fillId="70" borderId="0" xfId="779" applyNumberFormat="1" applyFont="1" applyFill="1" applyAlignment="1">
      <alignment vertical="center"/>
    </xf>
    <xf numFmtId="0" fontId="203" fillId="0" borderId="0" xfId="1" applyFont="1" applyAlignment="1">
      <alignment vertical="center"/>
    </xf>
    <xf numFmtId="0" fontId="6" fillId="49" borderId="0" xfId="1" applyFont="1" applyFill="1" applyAlignment="1" applyProtection="1">
      <alignment vertical="center"/>
      <protection locked="0"/>
    </xf>
    <xf numFmtId="0" fontId="204" fillId="0" borderId="0" xfId="1" applyFont="1" applyAlignment="1">
      <alignment vertical="center"/>
    </xf>
    <xf numFmtId="0" fontId="6" fillId="49" borderId="0" xfId="1" applyFont="1" applyFill="1" applyAlignment="1">
      <alignment vertical="center"/>
    </xf>
    <xf numFmtId="0" fontId="63" fillId="71" borderId="20" xfId="0" applyFont="1" applyFill="1" applyBorder="1"/>
    <xf numFmtId="0" fontId="65" fillId="71" borderId="21" xfId="0" applyFont="1" applyFill="1" applyBorder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Alignment="1" applyProtection="1">
      <alignment horizontal="left" vertical="center"/>
      <protection locked="0"/>
    </xf>
    <xf numFmtId="0" fontId="206" fillId="0" borderId="0" xfId="1" applyFont="1" applyAlignment="1">
      <alignment horizontal="left" vertical="center"/>
    </xf>
    <xf numFmtId="0" fontId="206" fillId="0" borderId="0" xfId="1" applyFont="1" applyAlignment="1" applyProtection="1">
      <alignment vertical="center"/>
      <protection locked="0"/>
    </xf>
    <xf numFmtId="0" fontId="208" fillId="71" borderId="0" xfId="0" applyFont="1" applyFill="1" applyAlignment="1">
      <alignment vertical="center" wrapText="1"/>
    </xf>
    <xf numFmtId="0" fontId="211" fillId="0" borderId="0" xfId="781" applyFont="1" applyAlignment="1">
      <alignment horizontal="left" vertical="center"/>
    </xf>
    <xf numFmtId="166" fontId="211" fillId="0" borderId="0" xfId="781" applyNumberFormat="1" applyFont="1" applyAlignment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Alignment="1">
      <alignment vertical="center"/>
    </xf>
    <xf numFmtId="166" fontId="212" fillId="0" borderId="0" xfId="1" applyNumberFormat="1" applyFont="1" applyAlignment="1">
      <alignment vertical="center"/>
    </xf>
    <xf numFmtId="0" fontId="213" fillId="0" borderId="0" xfId="0" applyFont="1" applyAlignment="1">
      <alignment horizontal="left" vertical="center"/>
    </xf>
    <xf numFmtId="0" fontId="214" fillId="0" borderId="0" xfId="1" applyFont="1" applyAlignment="1">
      <alignment vertical="center"/>
    </xf>
    <xf numFmtId="0" fontId="215" fillId="0" borderId="0" xfId="1" quotePrefix="1" applyFont="1" applyAlignment="1">
      <alignment vertical="center"/>
    </xf>
    <xf numFmtId="0" fontId="215" fillId="0" borderId="0" xfId="1" applyFont="1" applyAlignment="1">
      <alignment vertical="center"/>
    </xf>
    <xf numFmtId="3" fontId="215" fillId="0" borderId="0" xfId="779" applyNumberFormat="1" applyFont="1" applyAlignment="1">
      <alignment vertical="center"/>
    </xf>
    <xf numFmtId="0" fontId="80" fillId="40" borderId="0" xfId="1" applyFont="1" applyFill="1" applyAlignment="1">
      <alignment horizontal="center" vertical="center"/>
    </xf>
    <xf numFmtId="0" fontId="59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101" fillId="0" borderId="0" xfId="1" applyFont="1" applyAlignment="1">
      <alignment horizontal="center" vertical="center"/>
    </xf>
    <xf numFmtId="0" fontId="101" fillId="40" borderId="0" xfId="1" applyFont="1" applyFill="1" applyAlignment="1">
      <alignment horizontal="center" vertical="center"/>
    </xf>
    <xf numFmtId="0" fontId="59" fillId="0" borderId="25" xfId="1" applyFont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210" fillId="71" borderId="0" xfId="0" applyFont="1" applyFill="1" applyAlignment="1">
      <alignment horizontal="center" vertical="center" wrapText="1"/>
    </xf>
    <xf numFmtId="0" fontId="7" fillId="40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66" fontId="7" fillId="0" borderId="0" xfId="1" applyNumberFormat="1" applyFont="1" applyAlignment="1">
      <alignment vertical="center"/>
    </xf>
    <xf numFmtId="166" fontId="7" fillId="40" borderId="0" xfId="1" applyNumberFormat="1" applyFont="1" applyFill="1" applyAlignment="1">
      <alignment vertical="center"/>
    </xf>
    <xf numFmtId="166" fontId="59" fillId="68" borderId="0" xfId="779" applyNumberFormat="1" applyFont="1" applyFill="1" applyAlignment="1" applyProtection="1">
      <alignment vertical="center"/>
      <protection locked="0"/>
    </xf>
    <xf numFmtId="0" fontId="212" fillId="0" borderId="0" xfId="1" applyFont="1" applyAlignment="1">
      <alignment vertical="center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Border="1" applyAlignment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Alignment="1">
      <alignment horizontal="center" vertical="center" wrapText="1"/>
    </xf>
    <xf numFmtId="0" fontId="209" fillId="72" borderId="0" xfId="0" applyFont="1" applyFill="1" applyAlignment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Alignment="1">
      <alignment horizontal="center" vertical="center" wrapText="1"/>
    </xf>
    <xf numFmtId="0" fontId="0" fillId="45" borderId="44" xfId="0" applyFill="1" applyBorder="1"/>
    <xf numFmtId="0" fontId="53" fillId="45" borderId="2" xfId="0" applyFont="1" applyFill="1" applyBorder="1" applyAlignment="1">
      <alignment horizontal="center" vertical="center" wrapText="1"/>
    </xf>
    <xf numFmtId="0" fontId="53" fillId="45" borderId="3" xfId="0" applyFont="1" applyFill="1" applyBorder="1" applyAlignment="1">
      <alignment horizontal="center" vertical="center" wrapText="1"/>
    </xf>
    <xf numFmtId="0" fontId="217" fillId="72" borderId="0" xfId="0" applyFont="1" applyFill="1" applyAlignment="1">
      <alignment horizontal="center" vertical="center" wrapText="1"/>
    </xf>
    <xf numFmtId="0" fontId="81" fillId="41" borderId="0" xfId="0" applyFont="1" applyFill="1" applyAlignment="1">
      <alignment horizontal="center" vertical="center" wrapText="1"/>
    </xf>
    <xf numFmtId="0" fontId="103" fillId="41" borderId="0" xfId="0" applyFont="1" applyFill="1" applyAlignment="1">
      <alignment horizontal="right" vertical="center" wrapText="1"/>
    </xf>
    <xf numFmtId="0" fontId="84" fillId="0" borderId="0" xfId="3" applyFont="1" applyAlignment="1">
      <alignment horizontal="left" vertical="center"/>
    </xf>
    <xf numFmtId="0" fontId="104" fillId="42" borderId="1" xfId="0" applyFont="1" applyFill="1" applyBorder="1" applyAlignment="1">
      <alignment horizontal="center" vertical="center" wrapText="1"/>
    </xf>
    <xf numFmtId="0" fontId="104" fillId="42" borderId="35" xfId="0" applyFont="1" applyFill="1" applyBorder="1" applyAlignment="1">
      <alignment horizontal="center" vertical="center" wrapText="1"/>
    </xf>
    <xf numFmtId="0" fontId="88" fillId="43" borderId="36" xfId="0" applyFont="1" applyFill="1" applyBorder="1" applyAlignment="1">
      <alignment horizontal="center" vertical="center" wrapText="1"/>
    </xf>
    <xf numFmtId="0" fontId="88" fillId="43" borderId="37" xfId="0" applyFont="1" applyFill="1" applyBorder="1" applyAlignment="1">
      <alignment horizontal="center" vertical="center" wrapText="1"/>
    </xf>
    <xf numFmtId="0" fontId="206" fillId="0" borderId="0" xfId="1" applyNumberFormat="1" applyFont="1" applyAlignment="1" applyProtection="1">
      <alignment horizontal="left" vertical="center"/>
      <protection locked="0"/>
    </xf>
    <xf numFmtId="206" fontId="79" fillId="30" borderId="32" xfId="0" applyNumberFormat="1" applyFont="1" applyFill="1" applyBorder="1" applyAlignment="1"/>
    <xf numFmtId="207" fontId="0" fillId="12" borderId="0" xfId="0" applyNumberFormat="1" applyFill="1" applyAlignment="1"/>
    <xf numFmtId="49" fontId="0" fillId="0" borderId="0" xfId="0" applyNumberFormat="1" applyAlignment="1">
      <alignment horizontal="left" indent="1"/>
    </xf>
    <xf numFmtId="166" fontId="59" fillId="31" borderId="0" xfId="779" applyNumberFormat="1" applyFont="1" applyFill="1" applyAlignment="1" applyProtection="1">
      <alignment vertical="center"/>
    </xf>
  </cellXfs>
  <cellStyles count="3472">
    <cellStyle name="_x000a_386grabber=M" xfId="308" xr:uid="{00000000-0005-0000-0000-000000000000}"/>
    <cellStyle name="_x000a_386grabber=M 2" xfId="309" xr:uid="{00000000-0005-0000-0000-000001000000}"/>
    <cellStyle name="_x000a_386grabber=M 2 2" xfId="310" xr:uid="{00000000-0005-0000-0000-000002000000}"/>
    <cellStyle name="$   0,000" xfId="311" xr:uid="{00000000-0005-0000-0000-000003000000}"/>
    <cellStyle name="%" xfId="312" xr:uid="{00000000-0005-0000-0000-000004000000}"/>
    <cellStyle name="%0" xfId="313" xr:uid="{00000000-0005-0000-0000-000005000000}"/>
    <cellStyle name="%1" xfId="314" xr:uid="{00000000-0005-0000-0000-000006000000}"/>
    <cellStyle name="%2" xfId="315" xr:uid="{00000000-0005-0000-0000-000007000000}"/>
    <cellStyle name="£ BP" xfId="316" xr:uid="{00000000-0005-0000-0000-000008000000}"/>
    <cellStyle name="¥ JY" xfId="317" xr:uid="{00000000-0005-0000-0000-000009000000}"/>
    <cellStyle name="0" xfId="318" xr:uid="{00000000-0005-0000-0000-00000A000000}"/>
    <cellStyle name="0,000" xfId="319" xr:uid="{00000000-0005-0000-0000-00000B000000}"/>
    <cellStyle name="0.00" xfId="320" xr:uid="{00000000-0005-0000-0000-00000C000000}"/>
    <cellStyle name="0.00%" xfId="321" xr:uid="{00000000-0005-0000-0000-00000D000000}"/>
    <cellStyle name="0.00_CAPEM BY COUNTRY" xfId="784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785" xr:uid="{00000000-0005-0000-0000-000011000000}"/>
    <cellStyle name="0_Actualisation provision contrat déficitaire SNCM 2011 V3 30 05 2011" xfId="324" xr:uid="{00000000-0005-0000-0000-000012000000}"/>
    <cellStyle name="0_Actualisation provision contrat déficitaire SNCM 2011 V3 30 05 2011_Bridge_Zone_Sud" xfId="786" xr:uid="{00000000-0005-0000-0000-000013000000}"/>
    <cellStyle name="0_Bridge_Zone_Sud" xfId="787" xr:uid="{00000000-0005-0000-0000-000014000000}"/>
    <cellStyle name="0_PPA SNCM - présentation CAC 28 06 2011" xfId="325" xr:uid="{00000000-0005-0000-0000-000015000000}"/>
    <cellStyle name="0_PPA SNCM - présentation CAC 28 06 2011_Bridge_Zone_Sud" xfId="788" xr:uid="{00000000-0005-0000-0000-000016000000}"/>
    <cellStyle name="0_Simul location facturée par Trenitalia" xfId="326" xr:uid="{00000000-0005-0000-0000-000017000000}"/>
    <cellStyle name="20 % - Accent1 2" xfId="327" xr:uid="{00000000-0005-0000-0000-000018000000}"/>
    <cellStyle name="20 % - Accent2 2" xfId="328" xr:uid="{00000000-0005-0000-0000-000019000000}"/>
    <cellStyle name="20 % - Accent2 3" xfId="329" xr:uid="{00000000-0005-0000-0000-00001A000000}"/>
    <cellStyle name="20 % - Accent2 4" xfId="330" xr:uid="{00000000-0005-0000-0000-00001B000000}"/>
    <cellStyle name="20 % - Accent2 5" xfId="331" xr:uid="{00000000-0005-0000-0000-00001C000000}"/>
    <cellStyle name="20 % - Accent2 6" xfId="332" xr:uid="{00000000-0005-0000-0000-00001D000000}"/>
    <cellStyle name="20 % - Accent3 2" xfId="333" xr:uid="{00000000-0005-0000-0000-00001E000000}"/>
    <cellStyle name="20 % - Accent4 2" xfId="334" xr:uid="{00000000-0005-0000-0000-00001F000000}"/>
    <cellStyle name="20 % - Accent5 2" xfId="335" xr:uid="{00000000-0005-0000-0000-000020000000}"/>
    <cellStyle name="20 % - Accent6 2" xfId="336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37" xr:uid="{00000000-0005-0000-0000-000046000000}"/>
    <cellStyle name="40 % - Accent2 2" xfId="338" xr:uid="{00000000-0005-0000-0000-000047000000}"/>
    <cellStyle name="40 % - Accent3 2" xfId="339" xr:uid="{00000000-0005-0000-0000-000048000000}"/>
    <cellStyle name="40 % - Accent4 2" xfId="340" xr:uid="{00000000-0005-0000-0000-000049000000}"/>
    <cellStyle name="40 % - Accent5 2" xfId="341" xr:uid="{00000000-0005-0000-0000-00004A000000}"/>
    <cellStyle name="40 % - Accent6 2" xfId="342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3" xr:uid="{00000000-0005-0000-0000-000070000000}"/>
    <cellStyle name="60 % - Accent2 2" xfId="344" xr:uid="{00000000-0005-0000-0000-000071000000}"/>
    <cellStyle name="60 % - Accent3 2" xfId="345" xr:uid="{00000000-0005-0000-0000-000072000000}"/>
    <cellStyle name="60 % - Accent4 2" xfId="346" xr:uid="{00000000-0005-0000-0000-000073000000}"/>
    <cellStyle name="60 % - Accent5 2" xfId="347" xr:uid="{00000000-0005-0000-0000-000074000000}"/>
    <cellStyle name="60 % - Accent6 2" xfId="348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49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0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1" xr:uid="{00000000-0005-0000-0000-0000B8000000}"/>
    <cellStyle name="Avertissement 2" xfId="352" xr:uid="{00000000-0005-0000-0000-0000B9000000}"/>
    <cellStyle name="b" xfId="353" xr:uid="{00000000-0005-0000-0000-0000BA000000}"/>
    <cellStyle name="b%0" xfId="354" xr:uid="{00000000-0005-0000-0000-0000BB000000}"/>
    <cellStyle name="b%1" xfId="355" xr:uid="{00000000-0005-0000-0000-0000BC000000}"/>
    <cellStyle name="b%2" xfId="356" xr:uid="{00000000-0005-0000-0000-0000BD000000}"/>
    <cellStyle name="b_Actualisation provision contrat déficitaire SNCM 2010 V Def" xfId="357" xr:uid="{00000000-0005-0000-0000-0000BE000000}"/>
    <cellStyle name="b_Actualisation provision contrat déficitaire SNCM 2010 V Def_B14_E2_2210" xfId="789" xr:uid="{00000000-0005-0000-0000-0000BF000000}"/>
    <cellStyle name="b_Actualisation provision contrat déficitaire SNCM 2010 V Def_B14_E2_2210_Bridge_Zone_Sud" xfId="790" xr:uid="{00000000-0005-0000-0000-0000C0000000}"/>
    <cellStyle name="b_Actualisation provision contrat déficitaire SNCM 2010 V Def_B14_Frais_Pôles" xfId="791" xr:uid="{00000000-0005-0000-0000-0000C1000000}"/>
    <cellStyle name="b_Actualisation provision contrat déficitaire SNCM 2010 V Def_B14_Frais_Pôles_Bridge_Zone_Sud" xfId="792" xr:uid="{00000000-0005-0000-0000-0000C2000000}"/>
    <cellStyle name="b_Actualisation provision contrat déficitaire SNCM 2010 V Def_Bridge_Zone_Sud" xfId="793" xr:uid="{00000000-0005-0000-0000-0000C3000000}"/>
    <cellStyle name="b_Actualisation provision contrat déficitaire SNCM 2010 V Def_CAPEM BY COUNTRY" xfId="794" xr:uid="{00000000-0005-0000-0000-0000C4000000}"/>
    <cellStyle name="b_Actualisation provision contrat déficitaire SNCM 2010 V Def_focus par entités CAFOPE2AMF" xfId="795" xr:uid="{00000000-0005-0000-0000-0000C5000000}"/>
    <cellStyle name="b_Actualisation provision contrat déficitaire SNCM 2010 V Def_focus par entités CAFOPE2AMF_Bridge_Zone_Sud" xfId="796" xr:uid="{00000000-0005-0000-0000-0000C6000000}"/>
    <cellStyle name="b_Actualisation provision contrat déficitaire SNCM 2010 V Def_Maquette PLT" xfId="797" xr:uid="{00000000-0005-0000-0000-0000C7000000}"/>
    <cellStyle name="b_Actualisation provision contrat déficitaire SNCM 2010 V Def_Output" xfId="3345" xr:uid="{00000000-0005-0000-0000-0000C8000000}"/>
    <cellStyle name="b_Actualisation provision contrat déficitaire SNCM 2010 V Def_PAO-CAF-RESOP_04_13_pro_format_variante T1" xfId="798" xr:uid="{00000000-0005-0000-0000-0000C9000000}"/>
    <cellStyle name="b_Actualisation provision contrat déficitaire SNCM 2010 V Def_PAO-CAF-RESOP_04_13_pro_format_variante T1_Bridge_Zone_Sud" xfId="799" xr:uid="{00000000-0005-0000-0000-0000CA000000}"/>
    <cellStyle name="b_Actualisation provision contrat déficitaire SNCM 2010 V Def_PAO-CAF-RESOP_06_13" xfId="800" xr:uid="{00000000-0005-0000-0000-0000CB000000}"/>
    <cellStyle name="b_Actualisation provision contrat déficitaire SNCM 2010 V Def_PAO-CAF-RESOP_06_13_Bridge_Zone_Sud" xfId="801" xr:uid="{00000000-0005-0000-0000-0000CC000000}"/>
    <cellStyle name="b_Actualisation provision contrat déficitaire SNCM 2010 V Def_PAO-CAF-RESOP_08_13" xfId="802" xr:uid="{00000000-0005-0000-0000-0000CD000000}"/>
    <cellStyle name="b_Actualisation provision contrat déficitaire SNCM 2010 V Def_PAO-CAF-RESOP_08_13_Bridge_Zone_Sud" xfId="803" xr:uid="{00000000-0005-0000-0000-0000CE000000}"/>
    <cellStyle name="b_Actualisation provision contrat déficitaire SNCM 2010 V Def_PAO-CAF-RESOP_09_13" xfId="804" xr:uid="{00000000-0005-0000-0000-0000CF000000}"/>
    <cellStyle name="b_Actualisation provision contrat déficitaire SNCM 2010 V Def_PAO-CAF-RESOP_09_13_Bridge_Zone_Sud" xfId="805" xr:uid="{00000000-0005-0000-0000-0000D0000000}"/>
    <cellStyle name="b_Actualisation provision contrat déficitaire SNCM 2010 V Def_PAO-CAF-RESOP_09_2013_Zone_IDF (version 2)" xfId="806" xr:uid="{00000000-0005-0000-0000-0000D1000000}"/>
    <cellStyle name="b_Actualisation provision contrat déficitaire SNCM 2010 V Def_PAO-CAF-RESOP_10_12" xfId="807" xr:uid="{00000000-0005-0000-0000-0000D2000000}"/>
    <cellStyle name="b_Actualisation provision contrat déficitaire SNCM 2010 V Def_PAO-CAF-RESOP_10_12_Bridge_Zone_Sud" xfId="808" xr:uid="{00000000-0005-0000-0000-0000D3000000}"/>
    <cellStyle name="b_Actualisation provision contrat déficitaire SNCM 2010 V Def_PAO-CAF-RESOP_10_12_focus par entités CAFOP" xfId="809" xr:uid="{00000000-0005-0000-0000-0000D4000000}"/>
    <cellStyle name="b_Actualisation provision contrat déficitaire SNCM 2010 V Def_PAO-CAF-RESOP_10_12_focus par entités CAFOP_Bridge_Zone_Sud" xfId="810" xr:uid="{00000000-0005-0000-0000-0000D5000000}"/>
    <cellStyle name="b_Actualisation provision contrat déficitaire SNCM 2010 V Def_PAO-CAF-RESOP_11_13" xfId="811" xr:uid="{00000000-0005-0000-0000-0000D6000000}"/>
    <cellStyle name="b_Actualisation provision contrat déficitaire SNCM 2010 V Def_PAO-CAF-RESOP_B13" xfId="812" xr:uid="{00000000-0005-0000-0000-0000D7000000}"/>
    <cellStyle name="b_Actualisation provision contrat déficitaire SNCM 2010 V Def_PAO-CAF-RESOP_B13_Bridge_Zone_Sud" xfId="813" xr:uid="{00000000-0005-0000-0000-0000D8000000}"/>
    <cellStyle name="b_Actualisation provision contrat déficitaire SNCM 2010 V Def_PAO-CAF-RESOP_B13_focus par entités CAFOP" xfId="814" xr:uid="{00000000-0005-0000-0000-0000D9000000}"/>
    <cellStyle name="b_Actualisation provision contrat déficitaire SNCM 2010 V Def_PAO-CAF-RESOP_B13_focus par entités CAFOP_Bridge_Zone_Sud" xfId="815" xr:uid="{00000000-0005-0000-0000-0000DA000000}"/>
    <cellStyle name="b_Actualisation provision contrat déficitaire SNCM 2010 V Def_PAO-CAF-RESOP_B2014" xfId="816" xr:uid="{00000000-0005-0000-0000-0000DB000000}"/>
    <cellStyle name="b_Actualisation provision contrat déficitaire SNCM 2010 V Def_PAO-CAF-RESOP_B2014_Bridge_Zone_Sud" xfId="817" xr:uid="{00000000-0005-0000-0000-0000DC000000}"/>
    <cellStyle name="b_Actualisation provision contrat déficitaire SNCM 2010 V Def_PAO-CAF-RESOP_B2014_v2" xfId="818" xr:uid="{00000000-0005-0000-0000-0000DD000000}"/>
    <cellStyle name="b_Actualisation provision contrat déficitaire SNCM 2010 V Def_PAO-CAF-RESOP_E2_13" xfId="819" xr:uid="{00000000-0005-0000-0000-0000DE000000}"/>
    <cellStyle name="b_Actualisation provision contrat déficitaire SNCM 2010 V Def_PAO-CAF-RESOP_E2_13_Bridge_Zone_Sud" xfId="820" xr:uid="{00000000-0005-0000-0000-0000DF000000}"/>
    <cellStyle name="b_Actualisation provision contrat déficitaire SNCM 2010 V Def_PAO-CAF-RESOP_E2_2013_03_10_19H" xfId="821" xr:uid="{00000000-0005-0000-0000-0000E0000000}"/>
    <cellStyle name="b_Actualisation provision contrat déficitaire SNCM 2010 V Def_PAO-CAF-RESOP_E2_2013_03_10_19H_Bridge_Zone_Sud" xfId="822" xr:uid="{00000000-0005-0000-0000-0000E1000000}"/>
    <cellStyle name="b_Actualisation provision contrat déficitaire SNCM 2010 V Def_Synthèse_Présentation_conso_retraitée" xfId="823" xr:uid="{00000000-0005-0000-0000-0000E2000000}"/>
    <cellStyle name="b_Actualisation provision contrat déficitaire SNCM 2011 V3 30 05 2011" xfId="358" xr:uid="{00000000-0005-0000-0000-0000E3000000}"/>
    <cellStyle name="b_Actualisation provision contrat déficitaire SNCM 2011 V3 30 05 2011_B14_E2_2210" xfId="824" xr:uid="{00000000-0005-0000-0000-0000E4000000}"/>
    <cellStyle name="b_Actualisation provision contrat déficitaire SNCM 2011 V3 30 05 2011_B14_E2_2210_Bridge_Zone_Sud" xfId="825" xr:uid="{00000000-0005-0000-0000-0000E5000000}"/>
    <cellStyle name="b_Actualisation provision contrat déficitaire SNCM 2011 V3 30 05 2011_B14_Frais_Pôles" xfId="826" xr:uid="{00000000-0005-0000-0000-0000E6000000}"/>
    <cellStyle name="b_Actualisation provision contrat déficitaire SNCM 2011 V3 30 05 2011_B14_Frais_Pôles_Bridge_Zone_Sud" xfId="827" xr:uid="{00000000-0005-0000-0000-0000E7000000}"/>
    <cellStyle name="b_Actualisation provision contrat déficitaire SNCM 2011 V3 30 05 2011_Bridge_Zone_Sud" xfId="828" xr:uid="{00000000-0005-0000-0000-0000E8000000}"/>
    <cellStyle name="b_Actualisation provision contrat déficitaire SNCM 2011 V3 30 05 2011_CAPEM BY COUNTRY" xfId="829" xr:uid="{00000000-0005-0000-0000-0000E9000000}"/>
    <cellStyle name="b_Actualisation provision contrat déficitaire SNCM 2011 V3 30 05 2011_focus par entités CAFOPE2AMF" xfId="830" xr:uid="{00000000-0005-0000-0000-0000EA000000}"/>
    <cellStyle name="b_Actualisation provision contrat déficitaire SNCM 2011 V3 30 05 2011_focus par entités CAFOPE2AMF_Bridge_Zone_Sud" xfId="831" xr:uid="{00000000-0005-0000-0000-0000EB000000}"/>
    <cellStyle name="b_Actualisation provision contrat déficitaire SNCM 2011 V3 30 05 2011_Maquette PLT" xfId="832" xr:uid="{00000000-0005-0000-0000-0000EC000000}"/>
    <cellStyle name="b_Actualisation provision contrat déficitaire SNCM 2011 V3 30 05 2011_Output" xfId="3346" xr:uid="{00000000-0005-0000-0000-0000ED000000}"/>
    <cellStyle name="b_Actualisation provision contrat déficitaire SNCM 2011 V3 30 05 2011_PAO-CAF-RESOP_04_13_pro_format_variante T1" xfId="833" xr:uid="{00000000-0005-0000-0000-0000EE000000}"/>
    <cellStyle name="b_Actualisation provision contrat déficitaire SNCM 2011 V3 30 05 2011_PAO-CAF-RESOP_04_13_pro_format_variante T1_Bridge_Zone_Sud" xfId="834" xr:uid="{00000000-0005-0000-0000-0000EF000000}"/>
    <cellStyle name="b_Actualisation provision contrat déficitaire SNCM 2011 V3 30 05 2011_PAO-CAF-RESOP_06_13" xfId="835" xr:uid="{00000000-0005-0000-0000-0000F0000000}"/>
    <cellStyle name="b_Actualisation provision contrat déficitaire SNCM 2011 V3 30 05 2011_PAO-CAF-RESOP_06_13_Bridge_Zone_Sud" xfId="836" xr:uid="{00000000-0005-0000-0000-0000F1000000}"/>
    <cellStyle name="b_Actualisation provision contrat déficitaire SNCM 2011 V3 30 05 2011_PAO-CAF-RESOP_08_13" xfId="837" xr:uid="{00000000-0005-0000-0000-0000F2000000}"/>
    <cellStyle name="b_Actualisation provision contrat déficitaire SNCM 2011 V3 30 05 2011_PAO-CAF-RESOP_08_13_Bridge_Zone_Sud" xfId="838" xr:uid="{00000000-0005-0000-0000-0000F3000000}"/>
    <cellStyle name="b_Actualisation provision contrat déficitaire SNCM 2011 V3 30 05 2011_PAO-CAF-RESOP_09_13" xfId="839" xr:uid="{00000000-0005-0000-0000-0000F4000000}"/>
    <cellStyle name="b_Actualisation provision contrat déficitaire SNCM 2011 V3 30 05 2011_PAO-CAF-RESOP_09_13_Bridge_Zone_Sud" xfId="840" xr:uid="{00000000-0005-0000-0000-0000F5000000}"/>
    <cellStyle name="b_Actualisation provision contrat déficitaire SNCM 2011 V3 30 05 2011_PAO-CAF-RESOP_09_2013_Zone_IDF (version 2)" xfId="841" xr:uid="{00000000-0005-0000-0000-0000F6000000}"/>
    <cellStyle name="b_Actualisation provision contrat déficitaire SNCM 2011 V3 30 05 2011_PAO-CAF-RESOP_10_12" xfId="842" xr:uid="{00000000-0005-0000-0000-0000F7000000}"/>
    <cellStyle name="b_Actualisation provision contrat déficitaire SNCM 2011 V3 30 05 2011_PAO-CAF-RESOP_10_12_Bridge_Zone_Sud" xfId="843" xr:uid="{00000000-0005-0000-0000-0000F8000000}"/>
    <cellStyle name="b_Actualisation provision contrat déficitaire SNCM 2011 V3 30 05 2011_PAO-CAF-RESOP_10_12_focus par entités CAFOP" xfId="844" xr:uid="{00000000-0005-0000-0000-0000F9000000}"/>
    <cellStyle name="b_Actualisation provision contrat déficitaire SNCM 2011 V3 30 05 2011_PAO-CAF-RESOP_10_12_focus par entités CAFOP_Bridge_Zone_Sud" xfId="845" xr:uid="{00000000-0005-0000-0000-0000FA000000}"/>
    <cellStyle name="b_Actualisation provision contrat déficitaire SNCM 2011 V3 30 05 2011_PAO-CAF-RESOP_11_13" xfId="846" xr:uid="{00000000-0005-0000-0000-0000FB000000}"/>
    <cellStyle name="b_Actualisation provision contrat déficitaire SNCM 2011 V3 30 05 2011_PAO-CAF-RESOP_B13" xfId="847" xr:uid="{00000000-0005-0000-0000-0000FC000000}"/>
    <cellStyle name="b_Actualisation provision contrat déficitaire SNCM 2011 V3 30 05 2011_PAO-CAF-RESOP_B13_Bridge_Zone_Sud" xfId="848" xr:uid="{00000000-0005-0000-0000-0000FD000000}"/>
    <cellStyle name="b_Actualisation provision contrat déficitaire SNCM 2011 V3 30 05 2011_PAO-CAF-RESOP_B13_focus par entités CAFOP" xfId="849" xr:uid="{00000000-0005-0000-0000-0000FE000000}"/>
    <cellStyle name="b_Actualisation provision contrat déficitaire SNCM 2011 V3 30 05 2011_PAO-CAF-RESOP_B13_focus par entités CAFOP_Bridge_Zone_Sud" xfId="850" xr:uid="{00000000-0005-0000-0000-0000FF000000}"/>
    <cellStyle name="b_Actualisation provision contrat déficitaire SNCM 2011 V3 30 05 2011_PAO-CAF-RESOP_B2014" xfId="851" xr:uid="{00000000-0005-0000-0000-000000010000}"/>
    <cellStyle name="b_Actualisation provision contrat déficitaire SNCM 2011 V3 30 05 2011_PAO-CAF-RESOP_B2014_Bridge_Zone_Sud" xfId="852" xr:uid="{00000000-0005-0000-0000-000001010000}"/>
    <cellStyle name="b_Actualisation provision contrat déficitaire SNCM 2011 V3 30 05 2011_PAO-CAF-RESOP_B2014_v2" xfId="853" xr:uid="{00000000-0005-0000-0000-000002010000}"/>
    <cellStyle name="b_Actualisation provision contrat déficitaire SNCM 2011 V3 30 05 2011_PAO-CAF-RESOP_E2_13" xfId="854" xr:uid="{00000000-0005-0000-0000-000003010000}"/>
    <cellStyle name="b_Actualisation provision contrat déficitaire SNCM 2011 V3 30 05 2011_PAO-CAF-RESOP_E2_13_Bridge_Zone_Sud" xfId="855" xr:uid="{00000000-0005-0000-0000-000004010000}"/>
    <cellStyle name="b_Actualisation provision contrat déficitaire SNCM 2011 V3 30 05 2011_PAO-CAF-RESOP_E2_2013_03_10_19H" xfId="856" xr:uid="{00000000-0005-0000-0000-000005010000}"/>
    <cellStyle name="b_Actualisation provision contrat déficitaire SNCM 2011 V3 30 05 2011_PAO-CAF-RESOP_E2_2013_03_10_19H_Bridge_Zone_Sud" xfId="857" xr:uid="{00000000-0005-0000-0000-000006010000}"/>
    <cellStyle name="b_Actualisation provision contrat déficitaire SNCM 2011 V3 30 05 2011_Synthèse_Présentation_conso_retraitée" xfId="858" xr:uid="{00000000-0005-0000-0000-000007010000}"/>
    <cellStyle name="b_BFR_TD_2014.02" xfId="859" xr:uid="{00000000-0005-0000-0000-000008010000}"/>
    <cellStyle name="b_Bridge_Zone_Nord" xfId="860" xr:uid="{00000000-0005-0000-0000-000009010000}"/>
    <cellStyle name="b_CAPEM BY COUNTRY" xfId="861" xr:uid="{00000000-0005-0000-0000-00000A010000}"/>
    <cellStyle name="b_LI819L_B13" xfId="359" xr:uid="{00000000-0005-0000-0000-00000B010000}"/>
    <cellStyle name="b_LI819L_B13_CAPEM BY COUNTRY" xfId="862" xr:uid="{00000000-0005-0000-0000-00000C010000}"/>
    <cellStyle name="b_LI819L_B13_Maquette PLT" xfId="863" xr:uid="{00000000-0005-0000-0000-00000D010000}"/>
    <cellStyle name="b_LI819L_B13_Output" xfId="3347" xr:uid="{00000000-0005-0000-0000-00000E010000}"/>
    <cellStyle name="b_Maquette PLT" xfId="864" xr:uid="{00000000-0005-0000-0000-00000F010000}"/>
    <cellStyle name="b_Output" xfId="3348" xr:uid="{00000000-0005-0000-0000-000010010000}"/>
    <cellStyle name="b_PAO-CAF-RESOP_14_01_13 à 20h" xfId="360" xr:uid="{00000000-0005-0000-0000-000011010000}"/>
    <cellStyle name="b_PAO-CAF-RESOP_14_01_13 à 20h_CAPEM BY COUNTRY" xfId="865" xr:uid="{00000000-0005-0000-0000-000012010000}"/>
    <cellStyle name="b_PAO-CAF-RESOP_14_01_13 à 20h_Maquette PLT" xfId="866" xr:uid="{00000000-0005-0000-0000-000013010000}"/>
    <cellStyle name="b_PAO-CAF-RESOP_14_01_13 à 20h_Output" xfId="3349" xr:uid="{00000000-0005-0000-0000-000014010000}"/>
    <cellStyle name="b_PAO-CAF-RESOP_2014.02" xfId="867" xr:uid="{00000000-0005-0000-0000-000015010000}"/>
    <cellStyle name="b_PAO-CAF-RESOP_2014.02_Bridge_Zone_Sud" xfId="868" xr:uid="{00000000-0005-0000-0000-000016010000}"/>
    <cellStyle name="b0" xfId="361" xr:uid="{00000000-0005-0000-0000-000017010000}"/>
    <cellStyle name="b09" xfId="362" xr:uid="{00000000-0005-0000-0000-000018010000}"/>
    <cellStyle name="b1" xfId="363" xr:uid="{00000000-0005-0000-0000-000019010000}"/>
    <cellStyle name="b2" xfId="364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869" xr:uid="{00000000-0005-0000-0000-000021010000}"/>
    <cellStyle name="Black" xfId="365" xr:uid="{00000000-0005-0000-0000-000022010000}"/>
    <cellStyle name="blp_column_header" xfId="366" xr:uid="{00000000-0005-0000-0000-000023010000}"/>
    <cellStyle name="blue" xfId="367" xr:uid="{00000000-0005-0000-0000-000024010000}"/>
    <cellStyle name="bo" xfId="368" xr:uid="{00000000-0005-0000-0000-000025010000}"/>
    <cellStyle name="Bold/Border" xfId="369" xr:uid="{00000000-0005-0000-0000-000026010000}"/>
    <cellStyle name="Bottom" xfId="370" xr:uid="{00000000-0005-0000-0000-000027010000}"/>
    <cellStyle name="bout" xfId="371" xr:uid="{00000000-0005-0000-0000-000028010000}"/>
    <cellStyle name="bt" xfId="372" xr:uid="{00000000-0005-0000-0000-000029010000}"/>
    <cellStyle name="btit" xfId="373" xr:uid="{00000000-0005-0000-0000-00002A010000}"/>
    <cellStyle name="budget" xfId="870" xr:uid="{00000000-0005-0000-0000-00002B010000}"/>
    <cellStyle name="budget1" xfId="871" xr:uid="{00000000-0005-0000-0000-00002C010000}"/>
    <cellStyle name="Bullet" xfId="374" xr:uid="{00000000-0005-0000-0000-00002D010000}"/>
    <cellStyle name="c" xfId="375" xr:uid="{00000000-0005-0000-0000-00002E010000}"/>
    <cellStyle name="c_Actualisation provision contrat déficitaire SNCM 2010 V Def" xfId="376" xr:uid="{00000000-0005-0000-0000-00002F010000}"/>
    <cellStyle name="c_Actualisation provision contrat déficitaire SNCM 2010 V Def_B14_E2_2210" xfId="872" xr:uid="{00000000-0005-0000-0000-000030010000}"/>
    <cellStyle name="c_Actualisation provision contrat déficitaire SNCM 2010 V Def_B14_E2_2210_Bridge_Zone_Sud" xfId="873" xr:uid="{00000000-0005-0000-0000-000031010000}"/>
    <cellStyle name="c_Actualisation provision contrat déficitaire SNCM 2010 V Def_B14_Frais_Pôles" xfId="874" xr:uid="{00000000-0005-0000-0000-000032010000}"/>
    <cellStyle name="c_Actualisation provision contrat déficitaire SNCM 2010 V Def_B14_Frais_Pôles_Bridge_Zone_Sud" xfId="875" xr:uid="{00000000-0005-0000-0000-000033010000}"/>
    <cellStyle name="c_Actualisation provision contrat déficitaire SNCM 2010 V Def_Bridge_Zone_Sud" xfId="876" xr:uid="{00000000-0005-0000-0000-000034010000}"/>
    <cellStyle name="c_Actualisation provision contrat déficitaire SNCM 2010 V Def_CAPEM BY COUNTRY" xfId="877" xr:uid="{00000000-0005-0000-0000-000035010000}"/>
    <cellStyle name="c_Actualisation provision contrat déficitaire SNCM 2010 V Def_focus par entités CAFOPE2AMF" xfId="878" xr:uid="{00000000-0005-0000-0000-000036010000}"/>
    <cellStyle name="c_Actualisation provision contrat déficitaire SNCM 2010 V Def_focus par entités CAFOPE2AMF_Bridge_Zone_Sud" xfId="879" xr:uid="{00000000-0005-0000-0000-000037010000}"/>
    <cellStyle name="c_Actualisation provision contrat déficitaire SNCM 2010 V Def_Maquette PLT" xfId="880" xr:uid="{00000000-0005-0000-0000-000038010000}"/>
    <cellStyle name="c_Actualisation provision contrat déficitaire SNCM 2010 V Def_Output" xfId="3350" xr:uid="{00000000-0005-0000-0000-000039010000}"/>
    <cellStyle name="c_Actualisation provision contrat déficitaire SNCM 2010 V Def_PAO-CAF-RESOP_04_13_pro_format_variante T1" xfId="881" xr:uid="{00000000-0005-0000-0000-00003A010000}"/>
    <cellStyle name="c_Actualisation provision contrat déficitaire SNCM 2010 V Def_PAO-CAF-RESOP_04_13_pro_format_variante T1_Bridge_Zone_Sud" xfId="882" xr:uid="{00000000-0005-0000-0000-00003B010000}"/>
    <cellStyle name="c_Actualisation provision contrat déficitaire SNCM 2010 V Def_PAO-CAF-RESOP_06_13" xfId="883" xr:uid="{00000000-0005-0000-0000-00003C010000}"/>
    <cellStyle name="c_Actualisation provision contrat déficitaire SNCM 2010 V Def_PAO-CAF-RESOP_06_13_Bridge_Zone_Sud" xfId="884" xr:uid="{00000000-0005-0000-0000-00003D010000}"/>
    <cellStyle name="c_Actualisation provision contrat déficitaire SNCM 2010 V Def_PAO-CAF-RESOP_08_13" xfId="885" xr:uid="{00000000-0005-0000-0000-00003E010000}"/>
    <cellStyle name="c_Actualisation provision contrat déficitaire SNCM 2010 V Def_PAO-CAF-RESOP_08_13_Bridge_Zone_Sud" xfId="886" xr:uid="{00000000-0005-0000-0000-00003F010000}"/>
    <cellStyle name="c_Actualisation provision contrat déficitaire SNCM 2010 V Def_PAO-CAF-RESOP_09_13" xfId="887" xr:uid="{00000000-0005-0000-0000-000040010000}"/>
    <cellStyle name="c_Actualisation provision contrat déficitaire SNCM 2010 V Def_PAO-CAF-RESOP_09_13_Bridge_Zone_Sud" xfId="888" xr:uid="{00000000-0005-0000-0000-000041010000}"/>
    <cellStyle name="c_Actualisation provision contrat déficitaire SNCM 2010 V Def_PAO-CAF-RESOP_09_2013_Zone_IDF (version 2)" xfId="889" xr:uid="{00000000-0005-0000-0000-000042010000}"/>
    <cellStyle name="c_Actualisation provision contrat déficitaire SNCM 2010 V Def_PAO-CAF-RESOP_10_12" xfId="890" xr:uid="{00000000-0005-0000-0000-000043010000}"/>
    <cellStyle name="c_Actualisation provision contrat déficitaire SNCM 2010 V Def_PAO-CAF-RESOP_10_12_Bridge_Zone_Sud" xfId="891" xr:uid="{00000000-0005-0000-0000-000044010000}"/>
    <cellStyle name="c_Actualisation provision contrat déficitaire SNCM 2010 V Def_PAO-CAF-RESOP_10_12_focus par entités CAFOP" xfId="892" xr:uid="{00000000-0005-0000-0000-000045010000}"/>
    <cellStyle name="c_Actualisation provision contrat déficitaire SNCM 2010 V Def_PAO-CAF-RESOP_10_12_focus par entités CAFOP_Bridge_Zone_Sud" xfId="893" xr:uid="{00000000-0005-0000-0000-000046010000}"/>
    <cellStyle name="c_Actualisation provision contrat déficitaire SNCM 2010 V Def_PAO-CAF-RESOP_11_13" xfId="894" xr:uid="{00000000-0005-0000-0000-000047010000}"/>
    <cellStyle name="c_Actualisation provision contrat déficitaire SNCM 2010 V Def_PAO-CAF-RESOP_B13" xfId="895" xr:uid="{00000000-0005-0000-0000-000048010000}"/>
    <cellStyle name="c_Actualisation provision contrat déficitaire SNCM 2010 V Def_PAO-CAF-RESOP_B13_Bridge_Zone_Sud" xfId="896" xr:uid="{00000000-0005-0000-0000-000049010000}"/>
    <cellStyle name="c_Actualisation provision contrat déficitaire SNCM 2010 V Def_PAO-CAF-RESOP_B13_focus par entités CAFOP" xfId="897" xr:uid="{00000000-0005-0000-0000-00004A010000}"/>
    <cellStyle name="c_Actualisation provision contrat déficitaire SNCM 2010 V Def_PAO-CAF-RESOP_B13_focus par entités CAFOP_Bridge_Zone_Sud" xfId="898" xr:uid="{00000000-0005-0000-0000-00004B010000}"/>
    <cellStyle name="c_Actualisation provision contrat déficitaire SNCM 2010 V Def_PAO-CAF-RESOP_B2014" xfId="899" xr:uid="{00000000-0005-0000-0000-00004C010000}"/>
    <cellStyle name="c_Actualisation provision contrat déficitaire SNCM 2010 V Def_PAO-CAF-RESOP_B2014_Bridge_Zone_Sud" xfId="900" xr:uid="{00000000-0005-0000-0000-00004D010000}"/>
    <cellStyle name="c_Actualisation provision contrat déficitaire SNCM 2010 V Def_PAO-CAF-RESOP_B2014_v2" xfId="901" xr:uid="{00000000-0005-0000-0000-00004E010000}"/>
    <cellStyle name="c_Actualisation provision contrat déficitaire SNCM 2010 V Def_PAO-CAF-RESOP_E2_13" xfId="902" xr:uid="{00000000-0005-0000-0000-00004F010000}"/>
    <cellStyle name="c_Actualisation provision contrat déficitaire SNCM 2010 V Def_PAO-CAF-RESOP_E2_13_Bridge_Zone_Sud" xfId="903" xr:uid="{00000000-0005-0000-0000-000050010000}"/>
    <cellStyle name="c_Actualisation provision contrat déficitaire SNCM 2010 V Def_PAO-CAF-RESOP_E2_2013_03_10_19H" xfId="904" xr:uid="{00000000-0005-0000-0000-000051010000}"/>
    <cellStyle name="c_Actualisation provision contrat déficitaire SNCM 2010 V Def_PAO-CAF-RESOP_E2_2013_03_10_19H_Bridge_Zone_Sud" xfId="905" xr:uid="{00000000-0005-0000-0000-000052010000}"/>
    <cellStyle name="c_Actualisation provision contrat déficitaire SNCM 2010 V Def_Synthèse_Présentation_conso_retraitée" xfId="906" xr:uid="{00000000-0005-0000-0000-000053010000}"/>
    <cellStyle name="c_Actualisation provision contrat déficitaire SNCM 2011 V3 30 05 2011" xfId="377" xr:uid="{00000000-0005-0000-0000-000054010000}"/>
    <cellStyle name="c_Actualisation provision contrat déficitaire SNCM 2011 V3 30 05 2011_B14_E2_2210" xfId="907" xr:uid="{00000000-0005-0000-0000-000055010000}"/>
    <cellStyle name="c_Actualisation provision contrat déficitaire SNCM 2011 V3 30 05 2011_B14_E2_2210_Bridge_Zone_Sud" xfId="908" xr:uid="{00000000-0005-0000-0000-000056010000}"/>
    <cellStyle name="c_Actualisation provision contrat déficitaire SNCM 2011 V3 30 05 2011_Bridge_Zone_Sud" xfId="909" xr:uid="{00000000-0005-0000-0000-000057010000}"/>
    <cellStyle name="c_Actualisation provision contrat déficitaire SNCM 2011 V3 30 05 2011_CAPEM BY COUNTRY" xfId="910" xr:uid="{00000000-0005-0000-0000-000058010000}"/>
    <cellStyle name="c_Actualisation provision contrat déficitaire SNCM 2011 V3 30 05 2011_focus par entités CAFOPE2AMF" xfId="911" xr:uid="{00000000-0005-0000-0000-000059010000}"/>
    <cellStyle name="c_Actualisation provision contrat déficitaire SNCM 2011 V3 30 05 2011_focus par entités CAFOPE2AMF_Bridge_Zone_Sud" xfId="912" xr:uid="{00000000-0005-0000-0000-00005A010000}"/>
    <cellStyle name="c_Actualisation provision contrat déficitaire SNCM 2011 V3 30 05 2011_Maquette PLT" xfId="913" xr:uid="{00000000-0005-0000-0000-00005B010000}"/>
    <cellStyle name="c_Actualisation provision contrat déficitaire SNCM 2011 V3 30 05 2011_Output" xfId="3351" xr:uid="{00000000-0005-0000-0000-00005C010000}"/>
    <cellStyle name="c_Actualisation provision contrat déficitaire SNCM 2011 V3 30 05 2011_PAO-CAF-RESOP_04_13_pro_format_variante T1" xfId="914" xr:uid="{00000000-0005-0000-0000-00005D010000}"/>
    <cellStyle name="c_Actualisation provision contrat déficitaire SNCM 2011 V3 30 05 2011_PAO-CAF-RESOP_04_13_pro_format_variante T1_Bridge_Zone_Sud" xfId="915" xr:uid="{00000000-0005-0000-0000-00005E010000}"/>
    <cellStyle name="c_Actualisation provision contrat déficitaire SNCM 2011 V3 30 05 2011_PAO-CAF-RESOP_06_13" xfId="916" xr:uid="{00000000-0005-0000-0000-00005F010000}"/>
    <cellStyle name="c_Actualisation provision contrat déficitaire SNCM 2011 V3 30 05 2011_PAO-CAF-RESOP_06_13_Bridge_Zone_Sud" xfId="917" xr:uid="{00000000-0005-0000-0000-000060010000}"/>
    <cellStyle name="c_Actualisation provision contrat déficitaire SNCM 2011 V3 30 05 2011_PAO-CAF-RESOP_08_13" xfId="918" xr:uid="{00000000-0005-0000-0000-000061010000}"/>
    <cellStyle name="c_Actualisation provision contrat déficitaire SNCM 2011 V3 30 05 2011_PAO-CAF-RESOP_08_13_Bridge_Zone_Sud" xfId="919" xr:uid="{00000000-0005-0000-0000-000062010000}"/>
    <cellStyle name="c_Actualisation provision contrat déficitaire SNCM 2011 V3 30 05 2011_PAO-CAF-RESOP_09_13" xfId="920" xr:uid="{00000000-0005-0000-0000-000063010000}"/>
    <cellStyle name="c_Actualisation provision contrat déficitaire SNCM 2011 V3 30 05 2011_PAO-CAF-RESOP_09_13_Bridge_Zone_Sud" xfId="921" xr:uid="{00000000-0005-0000-0000-000064010000}"/>
    <cellStyle name="c_Actualisation provision contrat déficitaire SNCM 2011 V3 30 05 2011_PAO-CAF-RESOP_09_2013_Zone_IDF (version 2)" xfId="922" xr:uid="{00000000-0005-0000-0000-000065010000}"/>
    <cellStyle name="c_Actualisation provision contrat déficitaire SNCM 2011 V3 30 05 2011_PAO-CAF-RESOP_10_12" xfId="923" xr:uid="{00000000-0005-0000-0000-000066010000}"/>
    <cellStyle name="c_Actualisation provision contrat déficitaire SNCM 2011 V3 30 05 2011_PAO-CAF-RESOP_10_12_Bridge_Zone_Sud" xfId="924" xr:uid="{00000000-0005-0000-0000-000067010000}"/>
    <cellStyle name="c_Actualisation provision contrat déficitaire SNCM 2011 V3 30 05 2011_PAO-CAF-RESOP_10_12_focus par entités CAFOP" xfId="925" xr:uid="{00000000-0005-0000-0000-000068010000}"/>
    <cellStyle name="c_Actualisation provision contrat déficitaire SNCM 2011 V3 30 05 2011_PAO-CAF-RESOP_10_12_focus par entités CAFOP_Bridge_Zone_Sud" xfId="926" xr:uid="{00000000-0005-0000-0000-000069010000}"/>
    <cellStyle name="c_Actualisation provision contrat déficitaire SNCM 2011 V3 30 05 2011_PAO-CAF-RESOP_11_13" xfId="927" xr:uid="{00000000-0005-0000-0000-00006A010000}"/>
    <cellStyle name="c_Actualisation provision contrat déficitaire SNCM 2011 V3 30 05 2011_PAO-CAF-RESOP_B13" xfId="928" xr:uid="{00000000-0005-0000-0000-00006B010000}"/>
    <cellStyle name="c_Actualisation provision contrat déficitaire SNCM 2011 V3 30 05 2011_PAO-CAF-RESOP_B13_Bridge_Zone_Sud" xfId="929" xr:uid="{00000000-0005-0000-0000-00006C010000}"/>
    <cellStyle name="c_Actualisation provision contrat déficitaire SNCM 2011 V3 30 05 2011_PAO-CAF-RESOP_B13_focus par entités CAFOP" xfId="930" xr:uid="{00000000-0005-0000-0000-00006D010000}"/>
    <cellStyle name="c_Actualisation provision contrat déficitaire SNCM 2011 V3 30 05 2011_PAO-CAF-RESOP_B13_focus par entités CAFOP_Bridge_Zone_Sud" xfId="931" xr:uid="{00000000-0005-0000-0000-00006E010000}"/>
    <cellStyle name="c_Actualisation provision contrat déficitaire SNCM 2011 V3 30 05 2011_PAO-CAF-RESOP_B2014" xfId="932" xr:uid="{00000000-0005-0000-0000-00006F010000}"/>
    <cellStyle name="c_Actualisation provision contrat déficitaire SNCM 2011 V3 30 05 2011_PAO-CAF-RESOP_B2014_Bridge_Zone_Sud" xfId="933" xr:uid="{00000000-0005-0000-0000-000070010000}"/>
    <cellStyle name="c_Actualisation provision contrat déficitaire SNCM 2011 V3 30 05 2011_PAO-CAF-RESOP_B2014_v2" xfId="934" xr:uid="{00000000-0005-0000-0000-000071010000}"/>
    <cellStyle name="c_Actualisation provision contrat déficitaire SNCM 2011 V3 30 05 2011_PAO-CAF-RESOP_E2_13" xfId="935" xr:uid="{00000000-0005-0000-0000-000072010000}"/>
    <cellStyle name="c_Actualisation provision contrat déficitaire SNCM 2011 V3 30 05 2011_PAO-CAF-RESOP_E2_13_Bridge_Zone_Sud" xfId="936" xr:uid="{00000000-0005-0000-0000-000073010000}"/>
    <cellStyle name="c_Actualisation provision contrat déficitaire SNCM 2011 V3 30 05 2011_PAO-CAF-RESOP_E2_2013_03_10_19H" xfId="937" xr:uid="{00000000-0005-0000-0000-000074010000}"/>
    <cellStyle name="c_Actualisation provision contrat déficitaire SNCM 2011 V3 30 05 2011_PAO-CAF-RESOP_E2_2013_03_10_19H_Bridge_Zone_Sud" xfId="938" xr:uid="{00000000-0005-0000-0000-000075010000}"/>
    <cellStyle name="c_Actualisation provision contrat déficitaire SNCM 2011 V3 30 05 2011_Synthèse_Présentation_conso_retraitée" xfId="939" xr:uid="{00000000-0005-0000-0000-000076010000}"/>
    <cellStyle name="c_BFR_TD_2014.02" xfId="940" xr:uid="{00000000-0005-0000-0000-000077010000}"/>
    <cellStyle name="c_Bridge_Zone_Nord" xfId="941" xr:uid="{00000000-0005-0000-0000-000078010000}"/>
    <cellStyle name="c_CAPEM BY COUNTRY" xfId="942" xr:uid="{00000000-0005-0000-0000-000079010000}"/>
    <cellStyle name="c_Grouse+Pelican" xfId="378" xr:uid="{00000000-0005-0000-0000-00007A010000}"/>
    <cellStyle name="c_Grouse+Pelican_CAPEM BY COUNTRY" xfId="943" xr:uid="{00000000-0005-0000-0000-00007B010000}"/>
    <cellStyle name="c_Grouse+Pelican_Maquette PLT" xfId="944" xr:uid="{00000000-0005-0000-0000-00007C010000}"/>
    <cellStyle name="c_Grouse+Pelican_Output" xfId="3352" xr:uid="{00000000-0005-0000-0000-00007D010000}"/>
    <cellStyle name="c_LI819L_B13" xfId="379" xr:uid="{00000000-0005-0000-0000-00007E010000}"/>
    <cellStyle name="c_LI819L_B13_CAPEM BY COUNTRY" xfId="945" xr:uid="{00000000-0005-0000-0000-00007F010000}"/>
    <cellStyle name="c_LI819L_B13_Maquette PLT" xfId="946" xr:uid="{00000000-0005-0000-0000-000080010000}"/>
    <cellStyle name="c_LI819L_B13_Output" xfId="3353" xr:uid="{00000000-0005-0000-0000-000081010000}"/>
    <cellStyle name="c_Macros" xfId="380" xr:uid="{00000000-0005-0000-0000-000082010000}"/>
    <cellStyle name="c_Macros (2)" xfId="381" xr:uid="{00000000-0005-0000-0000-000083010000}"/>
    <cellStyle name="c_Macros (2)_Actualisation provision contrat déficitaire SNCM 2010 V Def" xfId="382" xr:uid="{00000000-0005-0000-0000-000084010000}"/>
    <cellStyle name="c_Macros (2)_Actualisation provision contrat déficitaire SNCM 2010 V Def_B14_E2_2210" xfId="947" xr:uid="{00000000-0005-0000-0000-000085010000}"/>
    <cellStyle name="c_Macros (2)_Actualisation provision contrat déficitaire SNCM 2010 V Def_B14_E2_2210_Bridge_Zone_Sud" xfId="948" xr:uid="{00000000-0005-0000-0000-000086010000}"/>
    <cellStyle name="c_Macros (2)_Actualisation provision contrat déficitaire SNCM 2010 V Def_Bridge_Zone_Sud" xfId="949" xr:uid="{00000000-0005-0000-0000-000087010000}"/>
    <cellStyle name="c_Macros (2)_Actualisation provision contrat déficitaire SNCM 2010 V Def_CAPEM BY COUNTRY" xfId="950" xr:uid="{00000000-0005-0000-0000-000088010000}"/>
    <cellStyle name="c_Macros (2)_Actualisation provision contrat déficitaire SNCM 2010 V Def_focus par entités CAFOPE2AMF" xfId="951" xr:uid="{00000000-0005-0000-0000-000089010000}"/>
    <cellStyle name="c_Macros (2)_Actualisation provision contrat déficitaire SNCM 2010 V Def_focus par entités CAFOPE2AMF_Bridge_Zone_Sud" xfId="952" xr:uid="{00000000-0005-0000-0000-00008A010000}"/>
    <cellStyle name="c_Macros (2)_Actualisation provision contrat déficitaire SNCM 2010 V Def_Maquette PLT" xfId="953" xr:uid="{00000000-0005-0000-0000-00008B010000}"/>
    <cellStyle name="c_Macros (2)_Actualisation provision contrat déficitaire SNCM 2010 V Def_Output" xfId="3354" xr:uid="{00000000-0005-0000-0000-00008C010000}"/>
    <cellStyle name="c_Macros (2)_Actualisation provision contrat déficitaire SNCM 2010 V Def_PAO-CAF-RESOP_04_13_pro_format_variante T1" xfId="954" xr:uid="{00000000-0005-0000-0000-00008D010000}"/>
    <cellStyle name="c_Macros (2)_Actualisation provision contrat déficitaire SNCM 2010 V Def_PAO-CAF-RESOP_04_13_pro_format_variante T1_Bridge_Zone_Sud" xfId="955" xr:uid="{00000000-0005-0000-0000-00008E010000}"/>
    <cellStyle name="c_Macros (2)_Actualisation provision contrat déficitaire SNCM 2010 V Def_PAO-CAF-RESOP_06_13" xfId="956" xr:uid="{00000000-0005-0000-0000-00008F010000}"/>
    <cellStyle name="c_Macros (2)_Actualisation provision contrat déficitaire SNCM 2010 V Def_PAO-CAF-RESOP_06_13_Bridge_Zone_Sud" xfId="957" xr:uid="{00000000-0005-0000-0000-000090010000}"/>
    <cellStyle name="c_Macros (2)_Actualisation provision contrat déficitaire SNCM 2010 V Def_PAO-CAF-RESOP_08_13" xfId="958" xr:uid="{00000000-0005-0000-0000-000091010000}"/>
    <cellStyle name="c_Macros (2)_Actualisation provision contrat déficitaire SNCM 2010 V Def_PAO-CAF-RESOP_08_13_Bridge_Zone_Sud" xfId="959" xr:uid="{00000000-0005-0000-0000-000092010000}"/>
    <cellStyle name="c_Macros (2)_Actualisation provision contrat déficitaire SNCM 2010 V Def_PAO-CAF-RESOP_09_13" xfId="960" xr:uid="{00000000-0005-0000-0000-000093010000}"/>
    <cellStyle name="c_Macros (2)_Actualisation provision contrat déficitaire SNCM 2010 V Def_PAO-CAF-RESOP_09_13_Bridge_Zone_Sud" xfId="961" xr:uid="{00000000-0005-0000-0000-000094010000}"/>
    <cellStyle name="c_Macros (2)_Actualisation provision contrat déficitaire SNCM 2010 V Def_PAO-CAF-RESOP_09_2013_Zone_IDF (version 2)" xfId="962" xr:uid="{00000000-0005-0000-0000-000095010000}"/>
    <cellStyle name="c_Macros (2)_Actualisation provision contrat déficitaire SNCM 2010 V Def_PAO-CAF-RESOP_10_12" xfId="963" xr:uid="{00000000-0005-0000-0000-000096010000}"/>
    <cellStyle name="c_Macros (2)_Actualisation provision contrat déficitaire SNCM 2010 V Def_PAO-CAF-RESOP_10_12_Bridge_Zone_Sud" xfId="964" xr:uid="{00000000-0005-0000-0000-000097010000}"/>
    <cellStyle name="c_Macros (2)_Actualisation provision contrat déficitaire SNCM 2010 V Def_PAO-CAF-RESOP_10_12_focus par entités CAFOP" xfId="965" xr:uid="{00000000-0005-0000-0000-000098010000}"/>
    <cellStyle name="c_Macros (2)_Actualisation provision contrat déficitaire SNCM 2010 V Def_PAO-CAF-RESOP_10_12_focus par entités CAFOP_Bridge_Zone_Sud" xfId="966" xr:uid="{00000000-0005-0000-0000-000099010000}"/>
    <cellStyle name="c_Macros (2)_Actualisation provision contrat déficitaire SNCM 2010 V Def_PAO-CAF-RESOP_11_13" xfId="967" xr:uid="{00000000-0005-0000-0000-00009A010000}"/>
    <cellStyle name="c_Macros (2)_Actualisation provision contrat déficitaire SNCM 2010 V Def_PAO-CAF-RESOP_B13" xfId="968" xr:uid="{00000000-0005-0000-0000-00009B010000}"/>
    <cellStyle name="c_Macros (2)_Actualisation provision contrat déficitaire SNCM 2010 V Def_PAO-CAF-RESOP_B13_Bridge_Zone_Sud" xfId="969" xr:uid="{00000000-0005-0000-0000-00009C010000}"/>
    <cellStyle name="c_Macros (2)_Actualisation provision contrat déficitaire SNCM 2010 V Def_PAO-CAF-RESOP_B13_focus par entités CAFOP" xfId="970" xr:uid="{00000000-0005-0000-0000-00009D010000}"/>
    <cellStyle name="c_Macros (2)_Actualisation provision contrat déficitaire SNCM 2010 V Def_PAO-CAF-RESOP_B13_focus par entités CAFOP_Bridge_Zone_Sud" xfId="971" xr:uid="{00000000-0005-0000-0000-00009E010000}"/>
    <cellStyle name="c_Macros (2)_Actualisation provision contrat déficitaire SNCM 2010 V Def_PAO-CAF-RESOP_B2014" xfId="972" xr:uid="{00000000-0005-0000-0000-00009F010000}"/>
    <cellStyle name="c_Macros (2)_Actualisation provision contrat déficitaire SNCM 2010 V Def_PAO-CAF-RESOP_B2014_Bridge_Zone_Sud" xfId="973" xr:uid="{00000000-0005-0000-0000-0000A0010000}"/>
    <cellStyle name="c_Macros (2)_Actualisation provision contrat déficitaire SNCM 2010 V Def_PAO-CAF-RESOP_B2014_v2" xfId="974" xr:uid="{00000000-0005-0000-0000-0000A1010000}"/>
    <cellStyle name="c_Macros (2)_Actualisation provision contrat déficitaire SNCM 2010 V Def_PAO-CAF-RESOP_E2_13" xfId="975" xr:uid="{00000000-0005-0000-0000-0000A2010000}"/>
    <cellStyle name="c_Macros (2)_Actualisation provision contrat déficitaire SNCM 2010 V Def_PAO-CAF-RESOP_E2_13_Bridge_Zone_Sud" xfId="976" xr:uid="{00000000-0005-0000-0000-0000A3010000}"/>
    <cellStyle name="c_Macros (2)_Actualisation provision contrat déficitaire SNCM 2010 V Def_PAO-CAF-RESOP_E2_2013_03_10_19H" xfId="977" xr:uid="{00000000-0005-0000-0000-0000A4010000}"/>
    <cellStyle name="c_Macros (2)_Actualisation provision contrat déficitaire SNCM 2010 V Def_PAO-CAF-RESOP_E2_2013_03_10_19H_Bridge_Zone_Sud" xfId="978" xr:uid="{00000000-0005-0000-0000-0000A5010000}"/>
    <cellStyle name="c_Macros (2)_Actualisation provision contrat déficitaire SNCM 2010 V Def_Synthèse_Présentation_conso_retraitée" xfId="979" xr:uid="{00000000-0005-0000-0000-0000A6010000}"/>
    <cellStyle name="c_Macros (2)_Actualisation provision contrat déficitaire SNCM 2011 V3 30 05 2011" xfId="383" xr:uid="{00000000-0005-0000-0000-0000A7010000}"/>
    <cellStyle name="c_Macros (2)_Actualisation provision contrat déficitaire SNCM 2011 V3 30 05 2011_B14_E2_2210" xfId="980" xr:uid="{00000000-0005-0000-0000-0000A8010000}"/>
    <cellStyle name="c_Macros (2)_Actualisation provision contrat déficitaire SNCM 2011 V3 30 05 2011_B14_E2_2210_Bridge_Zone_Sud" xfId="981" xr:uid="{00000000-0005-0000-0000-0000A9010000}"/>
    <cellStyle name="c_Macros (2)_Actualisation provision contrat déficitaire SNCM 2011 V3 30 05 2011_Bridge_Zone_Sud" xfId="982" xr:uid="{00000000-0005-0000-0000-0000AA010000}"/>
    <cellStyle name="c_Macros (2)_Actualisation provision contrat déficitaire SNCM 2011 V3 30 05 2011_CAPEM BY COUNTRY" xfId="983" xr:uid="{00000000-0005-0000-0000-0000AB010000}"/>
    <cellStyle name="c_Macros (2)_Actualisation provision contrat déficitaire SNCM 2011 V3 30 05 2011_focus par entités CAFOPE2AMF" xfId="984" xr:uid="{00000000-0005-0000-0000-0000AC010000}"/>
    <cellStyle name="c_Macros (2)_Actualisation provision contrat déficitaire SNCM 2011 V3 30 05 2011_focus par entités CAFOPE2AMF_Bridge_Zone_Sud" xfId="985" xr:uid="{00000000-0005-0000-0000-0000AD010000}"/>
    <cellStyle name="c_Macros (2)_Actualisation provision contrat déficitaire SNCM 2011 V3 30 05 2011_Maquette PLT" xfId="986" xr:uid="{00000000-0005-0000-0000-0000AE010000}"/>
    <cellStyle name="c_Macros (2)_Actualisation provision contrat déficitaire SNCM 2011 V3 30 05 2011_Output" xfId="3355" xr:uid="{00000000-0005-0000-0000-0000AF010000}"/>
    <cellStyle name="c_Macros (2)_Actualisation provision contrat déficitaire SNCM 2011 V3 30 05 2011_PAO-CAF-RESOP_04_13_pro_format_variante T1" xfId="987" xr:uid="{00000000-0005-0000-0000-0000B0010000}"/>
    <cellStyle name="c_Macros (2)_Actualisation provision contrat déficitaire SNCM 2011 V3 30 05 2011_PAO-CAF-RESOP_04_13_pro_format_variante T1_Bridge_Zone_Sud" xfId="988" xr:uid="{00000000-0005-0000-0000-0000B1010000}"/>
    <cellStyle name="c_Macros (2)_Actualisation provision contrat déficitaire SNCM 2011 V3 30 05 2011_PAO-CAF-RESOP_06_13" xfId="989" xr:uid="{00000000-0005-0000-0000-0000B2010000}"/>
    <cellStyle name="c_Macros (2)_Actualisation provision contrat déficitaire SNCM 2011 V3 30 05 2011_PAO-CAF-RESOP_06_13_Bridge_Zone_Sud" xfId="990" xr:uid="{00000000-0005-0000-0000-0000B3010000}"/>
    <cellStyle name="c_Macros (2)_Actualisation provision contrat déficitaire SNCM 2011 V3 30 05 2011_PAO-CAF-RESOP_08_13" xfId="991" xr:uid="{00000000-0005-0000-0000-0000B4010000}"/>
    <cellStyle name="c_Macros (2)_Actualisation provision contrat déficitaire SNCM 2011 V3 30 05 2011_PAO-CAF-RESOP_08_13_Bridge_Zone_Sud" xfId="992" xr:uid="{00000000-0005-0000-0000-0000B5010000}"/>
    <cellStyle name="c_Macros (2)_Actualisation provision contrat déficitaire SNCM 2011 V3 30 05 2011_PAO-CAF-RESOP_09_13" xfId="993" xr:uid="{00000000-0005-0000-0000-0000B6010000}"/>
    <cellStyle name="c_Macros (2)_Actualisation provision contrat déficitaire SNCM 2011 V3 30 05 2011_PAO-CAF-RESOP_09_13_Bridge_Zone_Sud" xfId="994" xr:uid="{00000000-0005-0000-0000-0000B7010000}"/>
    <cellStyle name="c_Macros (2)_Actualisation provision contrat déficitaire SNCM 2011 V3 30 05 2011_PAO-CAF-RESOP_09_2013_Zone_IDF (version 2)" xfId="995" xr:uid="{00000000-0005-0000-0000-0000B8010000}"/>
    <cellStyle name="c_Macros (2)_Actualisation provision contrat déficitaire SNCM 2011 V3 30 05 2011_PAO-CAF-RESOP_10_12" xfId="996" xr:uid="{00000000-0005-0000-0000-0000B9010000}"/>
    <cellStyle name="c_Macros (2)_Actualisation provision contrat déficitaire SNCM 2011 V3 30 05 2011_PAO-CAF-RESOP_10_12_Bridge_Zone_Sud" xfId="997" xr:uid="{00000000-0005-0000-0000-0000BA010000}"/>
    <cellStyle name="c_Macros (2)_Actualisation provision contrat déficitaire SNCM 2011 V3 30 05 2011_PAO-CAF-RESOP_10_12_focus par entités CAFOP" xfId="998" xr:uid="{00000000-0005-0000-0000-0000BB010000}"/>
    <cellStyle name="c_Macros (2)_Actualisation provision contrat déficitaire SNCM 2011 V3 30 05 2011_PAO-CAF-RESOP_10_12_focus par entités CAFOP_Bridge_Zone_Sud" xfId="999" xr:uid="{00000000-0005-0000-0000-0000BC010000}"/>
    <cellStyle name="c_Macros (2)_Actualisation provision contrat déficitaire SNCM 2011 V3 30 05 2011_PAO-CAF-RESOP_11_13" xfId="1000" xr:uid="{00000000-0005-0000-0000-0000BD010000}"/>
    <cellStyle name="c_Macros (2)_Actualisation provision contrat déficitaire SNCM 2011 V3 30 05 2011_PAO-CAF-RESOP_B13" xfId="1001" xr:uid="{00000000-0005-0000-0000-0000BE010000}"/>
    <cellStyle name="c_Macros (2)_Actualisation provision contrat déficitaire SNCM 2011 V3 30 05 2011_PAO-CAF-RESOP_B13_Bridge_Zone_Sud" xfId="1002" xr:uid="{00000000-0005-0000-0000-0000BF010000}"/>
    <cellStyle name="c_Macros (2)_Actualisation provision contrat déficitaire SNCM 2011 V3 30 05 2011_PAO-CAF-RESOP_B13_focus par entités CAFOP" xfId="1003" xr:uid="{00000000-0005-0000-0000-0000C0010000}"/>
    <cellStyle name="c_Macros (2)_Actualisation provision contrat déficitaire SNCM 2011 V3 30 05 2011_PAO-CAF-RESOP_B13_focus par entités CAFOP_Bridge_Zone_Sud" xfId="1004" xr:uid="{00000000-0005-0000-0000-0000C1010000}"/>
    <cellStyle name="c_Macros (2)_Actualisation provision contrat déficitaire SNCM 2011 V3 30 05 2011_PAO-CAF-RESOP_B2014" xfId="1005" xr:uid="{00000000-0005-0000-0000-0000C2010000}"/>
    <cellStyle name="c_Macros (2)_Actualisation provision contrat déficitaire SNCM 2011 V3 30 05 2011_PAO-CAF-RESOP_B2014_Bridge_Zone_Sud" xfId="1006" xr:uid="{00000000-0005-0000-0000-0000C3010000}"/>
    <cellStyle name="c_Macros (2)_Actualisation provision contrat déficitaire SNCM 2011 V3 30 05 2011_PAO-CAF-RESOP_B2014_v2" xfId="1007" xr:uid="{00000000-0005-0000-0000-0000C4010000}"/>
    <cellStyle name="c_Macros (2)_Actualisation provision contrat déficitaire SNCM 2011 V3 30 05 2011_PAO-CAF-RESOP_E2_13" xfId="1008" xr:uid="{00000000-0005-0000-0000-0000C5010000}"/>
    <cellStyle name="c_Macros (2)_Actualisation provision contrat déficitaire SNCM 2011 V3 30 05 2011_PAO-CAF-RESOP_E2_13_Bridge_Zone_Sud" xfId="1009" xr:uid="{00000000-0005-0000-0000-0000C6010000}"/>
    <cellStyle name="c_Macros (2)_Actualisation provision contrat déficitaire SNCM 2011 V3 30 05 2011_PAO-CAF-RESOP_E2_2013_03_10_19H" xfId="1010" xr:uid="{00000000-0005-0000-0000-0000C7010000}"/>
    <cellStyle name="c_Macros (2)_Actualisation provision contrat déficitaire SNCM 2011 V3 30 05 2011_PAO-CAF-RESOP_E2_2013_03_10_19H_Bridge_Zone_Sud" xfId="1011" xr:uid="{00000000-0005-0000-0000-0000C8010000}"/>
    <cellStyle name="c_Macros (2)_Actualisation provision contrat déficitaire SNCM 2011 V3 30 05 2011_Synthèse_Présentation_conso_retraitée" xfId="1012" xr:uid="{00000000-0005-0000-0000-0000C9010000}"/>
    <cellStyle name="c_Macros (2)_BFR_TD_2014.02" xfId="1013" xr:uid="{00000000-0005-0000-0000-0000CA010000}"/>
    <cellStyle name="c_Macros (2)_Bridge_Zone_Nord" xfId="1014" xr:uid="{00000000-0005-0000-0000-0000CB010000}"/>
    <cellStyle name="c_Macros (2)_CAPEM BY COUNTRY" xfId="1015" xr:uid="{00000000-0005-0000-0000-0000CC010000}"/>
    <cellStyle name="c_Macros (2)_LI819L_B13" xfId="384" xr:uid="{00000000-0005-0000-0000-0000CD010000}"/>
    <cellStyle name="c_Macros (2)_LI819L_B13_CAPEM BY COUNTRY" xfId="1016" xr:uid="{00000000-0005-0000-0000-0000CE010000}"/>
    <cellStyle name="c_Macros (2)_LI819L_B13_Maquette PLT" xfId="1017" xr:uid="{00000000-0005-0000-0000-0000CF010000}"/>
    <cellStyle name="c_Macros (2)_LI819L_B13_Output" xfId="3356" xr:uid="{00000000-0005-0000-0000-0000D0010000}"/>
    <cellStyle name="c_Macros (2)_Maquette PLT" xfId="1018" xr:uid="{00000000-0005-0000-0000-0000D1010000}"/>
    <cellStyle name="c_Macros (2)_Output" xfId="3357" xr:uid="{00000000-0005-0000-0000-0000D2010000}"/>
    <cellStyle name="c_Macros (2)_PAO-CAF-RESOP_14_01_13 à 20h" xfId="385" xr:uid="{00000000-0005-0000-0000-0000D3010000}"/>
    <cellStyle name="c_Macros (2)_PAO-CAF-RESOP_14_01_13 à 20h_CAPEM BY COUNTRY" xfId="1019" xr:uid="{00000000-0005-0000-0000-0000D4010000}"/>
    <cellStyle name="c_Macros (2)_PAO-CAF-RESOP_14_01_13 à 20h_Maquette PLT" xfId="1020" xr:uid="{00000000-0005-0000-0000-0000D5010000}"/>
    <cellStyle name="c_Macros (2)_PAO-CAF-RESOP_14_01_13 à 20h_Output" xfId="3358" xr:uid="{00000000-0005-0000-0000-0000D6010000}"/>
    <cellStyle name="c_Macros (2)_PAO-CAF-RESOP_2014.02" xfId="1021" xr:uid="{00000000-0005-0000-0000-0000D7010000}"/>
    <cellStyle name="c_Macros (2)_PAO-CAF-RESOP_2014.02_Bridge_Zone_Sud" xfId="1022" xr:uid="{00000000-0005-0000-0000-0000D8010000}"/>
    <cellStyle name="c_Macros_Actualisation provision contrat déficitaire SNCM 2010 V Def" xfId="386" xr:uid="{00000000-0005-0000-0000-0000D9010000}"/>
    <cellStyle name="c_Macros_Actualisation provision contrat déficitaire SNCM 2010 V Def_B14_E2_2210" xfId="1023" xr:uid="{00000000-0005-0000-0000-0000DA010000}"/>
    <cellStyle name="c_Macros_Actualisation provision contrat déficitaire SNCM 2010 V Def_B14_E2_2210_Bridge_Zone_Sud" xfId="1024" xr:uid="{00000000-0005-0000-0000-0000DB010000}"/>
    <cellStyle name="c_Macros_Actualisation provision contrat déficitaire SNCM 2010 V Def_Bridge_Zone_Sud" xfId="1025" xr:uid="{00000000-0005-0000-0000-0000DC010000}"/>
    <cellStyle name="c_Macros_Actualisation provision contrat déficitaire SNCM 2010 V Def_CAPEM BY COUNTRY" xfId="1026" xr:uid="{00000000-0005-0000-0000-0000DD010000}"/>
    <cellStyle name="c_Macros_Actualisation provision contrat déficitaire SNCM 2010 V Def_focus par entités CAFOPE2AMF" xfId="1027" xr:uid="{00000000-0005-0000-0000-0000DE010000}"/>
    <cellStyle name="c_Macros_Actualisation provision contrat déficitaire SNCM 2010 V Def_focus par entités CAFOPE2AMF_Bridge_Zone_Sud" xfId="1028" xr:uid="{00000000-0005-0000-0000-0000DF010000}"/>
    <cellStyle name="c_Macros_Actualisation provision contrat déficitaire SNCM 2010 V Def_Maquette PLT" xfId="1029" xr:uid="{00000000-0005-0000-0000-0000E0010000}"/>
    <cellStyle name="c_Macros_Actualisation provision contrat déficitaire SNCM 2010 V Def_Output" xfId="3359" xr:uid="{00000000-0005-0000-0000-0000E1010000}"/>
    <cellStyle name="c_Macros_Actualisation provision contrat déficitaire SNCM 2010 V Def_PAO-CAF-RESOP_04_13_pro_format_variante T1" xfId="1030" xr:uid="{00000000-0005-0000-0000-0000E2010000}"/>
    <cellStyle name="c_Macros_Actualisation provision contrat déficitaire SNCM 2010 V Def_PAO-CAF-RESOP_04_13_pro_format_variante T1_Bridge_Zone_Sud" xfId="1031" xr:uid="{00000000-0005-0000-0000-0000E3010000}"/>
    <cellStyle name="c_Macros_Actualisation provision contrat déficitaire SNCM 2010 V Def_PAO-CAF-RESOP_06_13" xfId="1032" xr:uid="{00000000-0005-0000-0000-0000E4010000}"/>
    <cellStyle name="c_Macros_Actualisation provision contrat déficitaire SNCM 2010 V Def_PAO-CAF-RESOP_06_13_Bridge_Zone_Sud" xfId="1033" xr:uid="{00000000-0005-0000-0000-0000E5010000}"/>
    <cellStyle name="c_Macros_Actualisation provision contrat déficitaire SNCM 2010 V Def_PAO-CAF-RESOP_08_13" xfId="1034" xr:uid="{00000000-0005-0000-0000-0000E6010000}"/>
    <cellStyle name="c_Macros_Actualisation provision contrat déficitaire SNCM 2010 V Def_PAO-CAF-RESOP_08_13_Bridge_Zone_Sud" xfId="1035" xr:uid="{00000000-0005-0000-0000-0000E7010000}"/>
    <cellStyle name="c_Macros_Actualisation provision contrat déficitaire SNCM 2010 V Def_PAO-CAF-RESOP_09_13" xfId="1036" xr:uid="{00000000-0005-0000-0000-0000E8010000}"/>
    <cellStyle name="c_Macros_Actualisation provision contrat déficitaire SNCM 2010 V Def_PAO-CAF-RESOP_09_13_Bridge_Zone_Sud" xfId="1037" xr:uid="{00000000-0005-0000-0000-0000E9010000}"/>
    <cellStyle name="c_Macros_Actualisation provision contrat déficitaire SNCM 2010 V Def_PAO-CAF-RESOP_09_2013_Zone_IDF (version 2)" xfId="1038" xr:uid="{00000000-0005-0000-0000-0000EA010000}"/>
    <cellStyle name="c_Macros_Actualisation provision contrat déficitaire SNCM 2010 V Def_PAO-CAF-RESOP_10_12" xfId="1039" xr:uid="{00000000-0005-0000-0000-0000EB010000}"/>
    <cellStyle name="c_Macros_Actualisation provision contrat déficitaire SNCM 2010 V Def_PAO-CAF-RESOP_10_12_Bridge_Zone_Sud" xfId="1040" xr:uid="{00000000-0005-0000-0000-0000EC010000}"/>
    <cellStyle name="c_Macros_Actualisation provision contrat déficitaire SNCM 2010 V Def_PAO-CAF-RESOP_10_12_focus par entités CAFOP" xfId="1041" xr:uid="{00000000-0005-0000-0000-0000ED010000}"/>
    <cellStyle name="c_Macros_Actualisation provision contrat déficitaire SNCM 2010 V Def_PAO-CAF-RESOP_10_12_focus par entités CAFOP_Bridge_Zone_Sud" xfId="1042" xr:uid="{00000000-0005-0000-0000-0000EE010000}"/>
    <cellStyle name="c_Macros_Actualisation provision contrat déficitaire SNCM 2010 V Def_PAO-CAF-RESOP_11_13" xfId="1043" xr:uid="{00000000-0005-0000-0000-0000EF010000}"/>
    <cellStyle name="c_Macros_Actualisation provision contrat déficitaire SNCM 2010 V Def_PAO-CAF-RESOP_B13" xfId="1044" xr:uid="{00000000-0005-0000-0000-0000F0010000}"/>
    <cellStyle name="c_Macros_Actualisation provision contrat déficitaire SNCM 2010 V Def_PAO-CAF-RESOP_B13_Bridge_Zone_Sud" xfId="1045" xr:uid="{00000000-0005-0000-0000-0000F1010000}"/>
    <cellStyle name="c_Macros_Actualisation provision contrat déficitaire SNCM 2010 V Def_PAO-CAF-RESOP_B13_focus par entités CAFOP" xfId="1046" xr:uid="{00000000-0005-0000-0000-0000F2010000}"/>
    <cellStyle name="c_Macros_Actualisation provision contrat déficitaire SNCM 2010 V Def_PAO-CAF-RESOP_B13_focus par entités CAFOP_Bridge_Zone_Sud" xfId="1047" xr:uid="{00000000-0005-0000-0000-0000F3010000}"/>
    <cellStyle name="c_Macros_Actualisation provision contrat déficitaire SNCM 2010 V Def_PAO-CAF-RESOP_B2014" xfId="1048" xr:uid="{00000000-0005-0000-0000-0000F4010000}"/>
    <cellStyle name="c_Macros_Actualisation provision contrat déficitaire SNCM 2010 V Def_PAO-CAF-RESOP_B2014_Bridge_Zone_Sud" xfId="1049" xr:uid="{00000000-0005-0000-0000-0000F5010000}"/>
    <cellStyle name="c_Macros_Actualisation provision contrat déficitaire SNCM 2010 V Def_PAO-CAF-RESOP_B2014_v2" xfId="1050" xr:uid="{00000000-0005-0000-0000-0000F6010000}"/>
    <cellStyle name="c_Macros_Actualisation provision contrat déficitaire SNCM 2010 V Def_PAO-CAF-RESOP_E2_13" xfId="1051" xr:uid="{00000000-0005-0000-0000-0000F7010000}"/>
    <cellStyle name="c_Macros_Actualisation provision contrat déficitaire SNCM 2010 V Def_PAO-CAF-RESOP_E2_13_Bridge_Zone_Sud" xfId="1052" xr:uid="{00000000-0005-0000-0000-0000F8010000}"/>
    <cellStyle name="c_Macros_Actualisation provision contrat déficitaire SNCM 2010 V Def_PAO-CAF-RESOP_E2_2013_03_10_19H" xfId="1053" xr:uid="{00000000-0005-0000-0000-0000F9010000}"/>
    <cellStyle name="c_Macros_Actualisation provision contrat déficitaire SNCM 2010 V Def_PAO-CAF-RESOP_E2_2013_03_10_19H_Bridge_Zone_Sud" xfId="1054" xr:uid="{00000000-0005-0000-0000-0000FA010000}"/>
    <cellStyle name="c_Macros_Actualisation provision contrat déficitaire SNCM 2010 V Def_Synthèse_Présentation_conso_retraitée" xfId="1055" xr:uid="{00000000-0005-0000-0000-0000FB010000}"/>
    <cellStyle name="c_Macros_Actualisation provision contrat déficitaire SNCM 2011 V3 30 05 2011" xfId="387" xr:uid="{00000000-0005-0000-0000-0000FC010000}"/>
    <cellStyle name="c_Macros_Actualisation provision contrat déficitaire SNCM 2011 V3 30 05 2011_B14_E2_2210" xfId="1056" xr:uid="{00000000-0005-0000-0000-0000FD010000}"/>
    <cellStyle name="c_Macros_Actualisation provision contrat déficitaire SNCM 2011 V3 30 05 2011_B14_E2_2210_Bridge_Zone_Sud" xfId="1057" xr:uid="{00000000-0005-0000-0000-0000FE010000}"/>
    <cellStyle name="c_Macros_Actualisation provision contrat déficitaire SNCM 2011 V3 30 05 2011_Bridge_Zone_Sud" xfId="1058" xr:uid="{00000000-0005-0000-0000-0000FF010000}"/>
    <cellStyle name="c_Macros_Actualisation provision contrat déficitaire SNCM 2011 V3 30 05 2011_CAPEM BY COUNTRY" xfId="1059" xr:uid="{00000000-0005-0000-0000-000000020000}"/>
    <cellStyle name="c_Macros_Actualisation provision contrat déficitaire SNCM 2011 V3 30 05 2011_focus par entités CAFOPE2AMF" xfId="1060" xr:uid="{00000000-0005-0000-0000-000001020000}"/>
    <cellStyle name="c_Macros_Actualisation provision contrat déficitaire SNCM 2011 V3 30 05 2011_focus par entités CAFOPE2AMF_Bridge_Zone_Sud" xfId="1061" xr:uid="{00000000-0005-0000-0000-000002020000}"/>
    <cellStyle name="c_Macros_Actualisation provision contrat déficitaire SNCM 2011 V3 30 05 2011_Maquette PLT" xfId="1062" xr:uid="{00000000-0005-0000-0000-000003020000}"/>
    <cellStyle name="c_Macros_Actualisation provision contrat déficitaire SNCM 2011 V3 30 05 2011_Output" xfId="3360" xr:uid="{00000000-0005-0000-0000-000004020000}"/>
    <cellStyle name="c_Macros_Actualisation provision contrat déficitaire SNCM 2011 V3 30 05 2011_PAO-CAF-RESOP_04_13_pro_format_variante T1" xfId="1063" xr:uid="{00000000-0005-0000-0000-000005020000}"/>
    <cellStyle name="c_Macros_Actualisation provision contrat déficitaire SNCM 2011 V3 30 05 2011_PAO-CAF-RESOP_04_13_pro_format_variante T1_Bridge_Zone_Sud" xfId="1064" xr:uid="{00000000-0005-0000-0000-000006020000}"/>
    <cellStyle name="c_Macros_Actualisation provision contrat déficitaire SNCM 2011 V3 30 05 2011_PAO-CAF-RESOP_06_13" xfId="1065" xr:uid="{00000000-0005-0000-0000-000007020000}"/>
    <cellStyle name="c_Macros_Actualisation provision contrat déficitaire SNCM 2011 V3 30 05 2011_PAO-CAF-RESOP_06_13_Bridge_Zone_Sud" xfId="1066" xr:uid="{00000000-0005-0000-0000-000008020000}"/>
    <cellStyle name="c_Macros_Actualisation provision contrat déficitaire SNCM 2011 V3 30 05 2011_PAO-CAF-RESOP_08_13" xfId="1067" xr:uid="{00000000-0005-0000-0000-000009020000}"/>
    <cellStyle name="c_Macros_Actualisation provision contrat déficitaire SNCM 2011 V3 30 05 2011_PAO-CAF-RESOP_08_13_Bridge_Zone_Sud" xfId="1068" xr:uid="{00000000-0005-0000-0000-00000A020000}"/>
    <cellStyle name="c_Macros_Actualisation provision contrat déficitaire SNCM 2011 V3 30 05 2011_PAO-CAF-RESOP_09_13" xfId="1069" xr:uid="{00000000-0005-0000-0000-00000B020000}"/>
    <cellStyle name="c_Macros_Actualisation provision contrat déficitaire SNCM 2011 V3 30 05 2011_PAO-CAF-RESOP_09_13_Bridge_Zone_Sud" xfId="1070" xr:uid="{00000000-0005-0000-0000-00000C020000}"/>
    <cellStyle name="c_Macros_Actualisation provision contrat déficitaire SNCM 2011 V3 30 05 2011_PAO-CAF-RESOP_09_2013_Zone_IDF (version 2)" xfId="1071" xr:uid="{00000000-0005-0000-0000-00000D020000}"/>
    <cellStyle name="c_Macros_Actualisation provision contrat déficitaire SNCM 2011 V3 30 05 2011_PAO-CAF-RESOP_10_12" xfId="1072" xr:uid="{00000000-0005-0000-0000-00000E020000}"/>
    <cellStyle name="c_Macros_Actualisation provision contrat déficitaire SNCM 2011 V3 30 05 2011_PAO-CAF-RESOP_10_12_Bridge_Zone_Sud" xfId="1073" xr:uid="{00000000-0005-0000-0000-00000F020000}"/>
    <cellStyle name="c_Macros_Actualisation provision contrat déficitaire SNCM 2011 V3 30 05 2011_PAO-CAF-RESOP_10_12_focus par entités CAFOP" xfId="1074" xr:uid="{00000000-0005-0000-0000-000010020000}"/>
    <cellStyle name="c_Macros_Actualisation provision contrat déficitaire SNCM 2011 V3 30 05 2011_PAO-CAF-RESOP_10_12_focus par entités CAFOP_Bridge_Zone_Sud" xfId="1075" xr:uid="{00000000-0005-0000-0000-000011020000}"/>
    <cellStyle name="c_Macros_Actualisation provision contrat déficitaire SNCM 2011 V3 30 05 2011_PAO-CAF-RESOP_11_13" xfId="1076" xr:uid="{00000000-0005-0000-0000-000012020000}"/>
    <cellStyle name="c_Macros_Actualisation provision contrat déficitaire SNCM 2011 V3 30 05 2011_PAO-CAF-RESOP_B13" xfId="1077" xr:uid="{00000000-0005-0000-0000-000013020000}"/>
    <cellStyle name="c_Macros_Actualisation provision contrat déficitaire SNCM 2011 V3 30 05 2011_PAO-CAF-RESOP_B13_Bridge_Zone_Sud" xfId="1078" xr:uid="{00000000-0005-0000-0000-000014020000}"/>
    <cellStyle name="c_Macros_Actualisation provision contrat déficitaire SNCM 2011 V3 30 05 2011_PAO-CAF-RESOP_B13_focus par entités CAFOP" xfId="1079" xr:uid="{00000000-0005-0000-0000-000015020000}"/>
    <cellStyle name="c_Macros_Actualisation provision contrat déficitaire SNCM 2011 V3 30 05 2011_PAO-CAF-RESOP_B13_focus par entités CAFOP_Bridge_Zone_Sud" xfId="1080" xr:uid="{00000000-0005-0000-0000-000016020000}"/>
    <cellStyle name="c_Macros_Actualisation provision contrat déficitaire SNCM 2011 V3 30 05 2011_PAO-CAF-RESOP_B2014" xfId="1081" xr:uid="{00000000-0005-0000-0000-000017020000}"/>
    <cellStyle name="c_Macros_Actualisation provision contrat déficitaire SNCM 2011 V3 30 05 2011_PAO-CAF-RESOP_B2014_Bridge_Zone_Sud" xfId="1082" xr:uid="{00000000-0005-0000-0000-000018020000}"/>
    <cellStyle name="c_Macros_Actualisation provision contrat déficitaire SNCM 2011 V3 30 05 2011_PAO-CAF-RESOP_B2014_v2" xfId="1083" xr:uid="{00000000-0005-0000-0000-000019020000}"/>
    <cellStyle name="c_Macros_Actualisation provision contrat déficitaire SNCM 2011 V3 30 05 2011_PAO-CAF-RESOP_E2_13" xfId="1084" xr:uid="{00000000-0005-0000-0000-00001A020000}"/>
    <cellStyle name="c_Macros_Actualisation provision contrat déficitaire SNCM 2011 V3 30 05 2011_PAO-CAF-RESOP_E2_13_Bridge_Zone_Sud" xfId="1085" xr:uid="{00000000-0005-0000-0000-00001B020000}"/>
    <cellStyle name="c_Macros_Actualisation provision contrat déficitaire SNCM 2011 V3 30 05 2011_PAO-CAF-RESOP_E2_2013_03_10_19H" xfId="1086" xr:uid="{00000000-0005-0000-0000-00001C020000}"/>
    <cellStyle name="c_Macros_Actualisation provision contrat déficitaire SNCM 2011 V3 30 05 2011_PAO-CAF-RESOP_E2_2013_03_10_19H_Bridge_Zone_Sud" xfId="1087" xr:uid="{00000000-0005-0000-0000-00001D020000}"/>
    <cellStyle name="c_Macros_Actualisation provision contrat déficitaire SNCM 2011 V3 30 05 2011_Synthèse_Présentation_conso_retraitée" xfId="1088" xr:uid="{00000000-0005-0000-0000-00001E020000}"/>
    <cellStyle name="c_Macros_BFR_TD_2014.02" xfId="1089" xr:uid="{00000000-0005-0000-0000-00001F020000}"/>
    <cellStyle name="c_Macros_Bridge_Zone_Nord" xfId="1090" xr:uid="{00000000-0005-0000-0000-000020020000}"/>
    <cellStyle name="c_Macros_CAPEM BY COUNTRY" xfId="1091" xr:uid="{00000000-0005-0000-0000-000021020000}"/>
    <cellStyle name="c_Macros_LI819L_B13" xfId="388" xr:uid="{00000000-0005-0000-0000-000022020000}"/>
    <cellStyle name="c_Macros_LI819L_B13_CAPEM BY COUNTRY" xfId="1092" xr:uid="{00000000-0005-0000-0000-000023020000}"/>
    <cellStyle name="c_Macros_LI819L_B13_Maquette PLT" xfId="1093" xr:uid="{00000000-0005-0000-0000-000024020000}"/>
    <cellStyle name="c_Macros_LI819L_B13_Output" xfId="3361" xr:uid="{00000000-0005-0000-0000-000025020000}"/>
    <cellStyle name="c_Macros_Maquette PLT" xfId="1094" xr:uid="{00000000-0005-0000-0000-000026020000}"/>
    <cellStyle name="c_Macros_Output" xfId="3362" xr:uid="{00000000-0005-0000-0000-000027020000}"/>
    <cellStyle name="c_Macros_PAO-CAF-RESOP_14_01_13 à 20h" xfId="389" xr:uid="{00000000-0005-0000-0000-000028020000}"/>
    <cellStyle name="c_Macros_PAO-CAF-RESOP_14_01_13 à 20h_CAPEM BY COUNTRY" xfId="1095" xr:uid="{00000000-0005-0000-0000-000029020000}"/>
    <cellStyle name="c_Macros_PAO-CAF-RESOP_14_01_13 à 20h_Maquette PLT" xfId="1096" xr:uid="{00000000-0005-0000-0000-00002A020000}"/>
    <cellStyle name="c_Macros_PAO-CAF-RESOP_14_01_13 à 20h_Output" xfId="3363" xr:uid="{00000000-0005-0000-0000-00002B020000}"/>
    <cellStyle name="c_Macros_PAO-CAF-RESOP_2014.02" xfId="1097" xr:uid="{00000000-0005-0000-0000-00002C020000}"/>
    <cellStyle name="c_Macros_PAO-CAF-RESOP_2014.02_Bridge_Zone_Sud" xfId="1098" xr:uid="{00000000-0005-0000-0000-00002D020000}"/>
    <cellStyle name="c_Manager (2)" xfId="390" xr:uid="{00000000-0005-0000-0000-00002E020000}"/>
    <cellStyle name="c_Manager (2)_Actualisation provision contrat déficitaire SNCM 2010 V Def" xfId="391" xr:uid="{00000000-0005-0000-0000-00002F020000}"/>
    <cellStyle name="c_Manager (2)_Actualisation provision contrat déficitaire SNCM 2010 V Def_B14_E2_2210" xfId="1099" xr:uid="{00000000-0005-0000-0000-000030020000}"/>
    <cellStyle name="c_Manager (2)_Actualisation provision contrat déficitaire SNCM 2010 V Def_B14_E2_2210_Bridge_Zone_Sud" xfId="1100" xr:uid="{00000000-0005-0000-0000-000031020000}"/>
    <cellStyle name="c_Manager (2)_Actualisation provision contrat déficitaire SNCM 2010 V Def_Bridge_Zone_Sud" xfId="1101" xr:uid="{00000000-0005-0000-0000-000032020000}"/>
    <cellStyle name="c_Manager (2)_Actualisation provision contrat déficitaire SNCM 2010 V Def_CAPEM BY COUNTRY" xfId="1102" xr:uid="{00000000-0005-0000-0000-000033020000}"/>
    <cellStyle name="c_Manager (2)_Actualisation provision contrat déficitaire SNCM 2010 V Def_focus par entités CAFOPE2AMF" xfId="1103" xr:uid="{00000000-0005-0000-0000-000034020000}"/>
    <cellStyle name="c_Manager (2)_Actualisation provision contrat déficitaire SNCM 2010 V Def_focus par entités CAFOPE2AMF_Bridge_Zone_Sud" xfId="1104" xr:uid="{00000000-0005-0000-0000-000035020000}"/>
    <cellStyle name="c_Manager (2)_Actualisation provision contrat déficitaire SNCM 2010 V Def_Maquette PLT" xfId="1105" xr:uid="{00000000-0005-0000-0000-000036020000}"/>
    <cellStyle name="c_Manager (2)_Actualisation provision contrat déficitaire SNCM 2010 V Def_Output" xfId="3364" xr:uid="{00000000-0005-0000-0000-000037020000}"/>
    <cellStyle name="c_Manager (2)_Actualisation provision contrat déficitaire SNCM 2010 V Def_PAO-CAF-RESOP_04_13_pro_format_variante T1" xfId="1106" xr:uid="{00000000-0005-0000-0000-000038020000}"/>
    <cellStyle name="c_Manager (2)_Actualisation provision contrat déficitaire SNCM 2010 V Def_PAO-CAF-RESOP_04_13_pro_format_variante T1_Bridge_Zone_Sud" xfId="1107" xr:uid="{00000000-0005-0000-0000-000039020000}"/>
    <cellStyle name="c_Manager (2)_Actualisation provision contrat déficitaire SNCM 2010 V Def_PAO-CAF-RESOP_06_13" xfId="1108" xr:uid="{00000000-0005-0000-0000-00003A020000}"/>
    <cellStyle name="c_Manager (2)_Actualisation provision contrat déficitaire SNCM 2010 V Def_PAO-CAF-RESOP_06_13_Bridge_Zone_Sud" xfId="1109" xr:uid="{00000000-0005-0000-0000-00003B020000}"/>
    <cellStyle name="c_Manager (2)_Actualisation provision contrat déficitaire SNCM 2010 V Def_PAO-CAF-RESOP_08_13" xfId="1110" xr:uid="{00000000-0005-0000-0000-00003C020000}"/>
    <cellStyle name="c_Manager (2)_Actualisation provision contrat déficitaire SNCM 2010 V Def_PAO-CAF-RESOP_08_13_Bridge_Zone_Sud" xfId="1111" xr:uid="{00000000-0005-0000-0000-00003D020000}"/>
    <cellStyle name="c_Manager (2)_Actualisation provision contrat déficitaire SNCM 2010 V Def_PAO-CAF-RESOP_09_13" xfId="1112" xr:uid="{00000000-0005-0000-0000-00003E020000}"/>
    <cellStyle name="c_Manager (2)_Actualisation provision contrat déficitaire SNCM 2010 V Def_PAO-CAF-RESOP_09_13_Bridge_Zone_Sud" xfId="1113" xr:uid="{00000000-0005-0000-0000-00003F020000}"/>
    <cellStyle name="c_Manager (2)_Actualisation provision contrat déficitaire SNCM 2010 V Def_PAO-CAF-RESOP_09_2013_Zone_IDF (version 2)" xfId="1114" xr:uid="{00000000-0005-0000-0000-000040020000}"/>
    <cellStyle name="c_Manager (2)_Actualisation provision contrat déficitaire SNCM 2010 V Def_PAO-CAF-RESOP_10_12" xfId="1115" xr:uid="{00000000-0005-0000-0000-000041020000}"/>
    <cellStyle name="c_Manager (2)_Actualisation provision contrat déficitaire SNCM 2010 V Def_PAO-CAF-RESOP_10_12_Bridge_Zone_Sud" xfId="1116" xr:uid="{00000000-0005-0000-0000-000042020000}"/>
    <cellStyle name="c_Manager (2)_Actualisation provision contrat déficitaire SNCM 2010 V Def_PAO-CAF-RESOP_10_12_focus par entités CAFOP" xfId="1117" xr:uid="{00000000-0005-0000-0000-000043020000}"/>
    <cellStyle name="c_Manager (2)_Actualisation provision contrat déficitaire SNCM 2010 V Def_PAO-CAF-RESOP_10_12_focus par entités CAFOP_Bridge_Zone_Sud" xfId="1118" xr:uid="{00000000-0005-0000-0000-000044020000}"/>
    <cellStyle name="c_Manager (2)_Actualisation provision contrat déficitaire SNCM 2010 V Def_PAO-CAF-RESOP_11_13" xfId="1119" xr:uid="{00000000-0005-0000-0000-000045020000}"/>
    <cellStyle name="c_Manager (2)_Actualisation provision contrat déficitaire SNCM 2010 V Def_PAO-CAF-RESOP_B13" xfId="1120" xr:uid="{00000000-0005-0000-0000-000046020000}"/>
    <cellStyle name="c_Manager (2)_Actualisation provision contrat déficitaire SNCM 2010 V Def_PAO-CAF-RESOP_B13_Bridge_Zone_Sud" xfId="1121" xr:uid="{00000000-0005-0000-0000-000047020000}"/>
    <cellStyle name="c_Manager (2)_Actualisation provision contrat déficitaire SNCM 2010 V Def_PAO-CAF-RESOP_B13_focus par entités CAFOP" xfId="1122" xr:uid="{00000000-0005-0000-0000-000048020000}"/>
    <cellStyle name="c_Manager (2)_Actualisation provision contrat déficitaire SNCM 2010 V Def_PAO-CAF-RESOP_B13_focus par entités CAFOP_Bridge_Zone_Sud" xfId="1123" xr:uid="{00000000-0005-0000-0000-000049020000}"/>
    <cellStyle name="c_Manager (2)_Actualisation provision contrat déficitaire SNCM 2010 V Def_PAO-CAF-RESOP_B2014" xfId="1124" xr:uid="{00000000-0005-0000-0000-00004A020000}"/>
    <cellStyle name="c_Manager (2)_Actualisation provision contrat déficitaire SNCM 2010 V Def_PAO-CAF-RESOP_B2014_Bridge_Zone_Sud" xfId="1125" xr:uid="{00000000-0005-0000-0000-00004B020000}"/>
    <cellStyle name="c_Manager (2)_Actualisation provision contrat déficitaire SNCM 2010 V Def_PAO-CAF-RESOP_B2014_v2" xfId="1126" xr:uid="{00000000-0005-0000-0000-00004C020000}"/>
    <cellStyle name="c_Manager (2)_Actualisation provision contrat déficitaire SNCM 2010 V Def_PAO-CAF-RESOP_E2_13" xfId="1127" xr:uid="{00000000-0005-0000-0000-00004D020000}"/>
    <cellStyle name="c_Manager (2)_Actualisation provision contrat déficitaire SNCM 2010 V Def_PAO-CAF-RESOP_E2_13_Bridge_Zone_Sud" xfId="1128" xr:uid="{00000000-0005-0000-0000-00004E020000}"/>
    <cellStyle name="c_Manager (2)_Actualisation provision contrat déficitaire SNCM 2010 V Def_PAO-CAF-RESOP_E2_2013_03_10_19H" xfId="1129" xr:uid="{00000000-0005-0000-0000-00004F020000}"/>
    <cellStyle name="c_Manager (2)_Actualisation provision contrat déficitaire SNCM 2010 V Def_PAO-CAF-RESOP_E2_2013_03_10_19H_Bridge_Zone_Sud" xfId="1130" xr:uid="{00000000-0005-0000-0000-000050020000}"/>
    <cellStyle name="c_Manager (2)_Actualisation provision contrat déficitaire SNCM 2010 V Def_Synthèse_Présentation_conso_retraitée" xfId="1131" xr:uid="{00000000-0005-0000-0000-000051020000}"/>
    <cellStyle name="c_Manager (2)_Actualisation provision contrat déficitaire SNCM 2011 V3 30 05 2011" xfId="392" xr:uid="{00000000-0005-0000-0000-000052020000}"/>
    <cellStyle name="c_Manager (2)_Actualisation provision contrat déficitaire SNCM 2011 V3 30 05 2011_B14_E2_2210" xfId="1132" xr:uid="{00000000-0005-0000-0000-000053020000}"/>
    <cellStyle name="c_Manager (2)_Actualisation provision contrat déficitaire SNCM 2011 V3 30 05 2011_B14_E2_2210_Bridge_Zone_Sud" xfId="1133" xr:uid="{00000000-0005-0000-0000-000054020000}"/>
    <cellStyle name="c_Manager (2)_Actualisation provision contrat déficitaire SNCM 2011 V3 30 05 2011_Bridge_Zone_Sud" xfId="1134" xr:uid="{00000000-0005-0000-0000-000055020000}"/>
    <cellStyle name="c_Manager (2)_Actualisation provision contrat déficitaire SNCM 2011 V3 30 05 2011_CAPEM BY COUNTRY" xfId="1135" xr:uid="{00000000-0005-0000-0000-000056020000}"/>
    <cellStyle name="c_Manager (2)_Actualisation provision contrat déficitaire SNCM 2011 V3 30 05 2011_focus par entités CAFOPE2AMF" xfId="1136" xr:uid="{00000000-0005-0000-0000-000057020000}"/>
    <cellStyle name="c_Manager (2)_Actualisation provision contrat déficitaire SNCM 2011 V3 30 05 2011_focus par entités CAFOPE2AMF_Bridge_Zone_Sud" xfId="1137" xr:uid="{00000000-0005-0000-0000-000058020000}"/>
    <cellStyle name="c_Manager (2)_Actualisation provision contrat déficitaire SNCM 2011 V3 30 05 2011_Maquette PLT" xfId="1138" xr:uid="{00000000-0005-0000-0000-000059020000}"/>
    <cellStyle name="c_Manager (2)_Actualisation provision contrat déficitaire SNCM 2011 V3 30 05 2011_Output" xfId="3365" xr:uid="{00000000-0005-0000-0000-00005A020000}"/>
    <cellStyle name="c_Manager (2)_Actualisation provision contrat déficitaire SNCM 2011 V3 30 05 2011_PAO-CAF-RESOP_04_13_pro_format_variante T1" xfId="1139" xr:uid="{00000000-0005-0000-0000-00005B020000}"/>
    <cellStyle name="c_Manager (2)_Actualisation provision contrat déficitaire SNCM 2011 V3 30 05 2011_PAO-CAF-RESOP_04_13_pro_format_variante T1_Bridge_Zone_Sud" xfId="1140" xr:uid="{00000000-0005-0000-0000-00005C020000}"/>
    <cellStyle name="c_Manager (2)_Actualisation provision contrat déficitaire SNCM 2011 V3 30 05 2011_PAO-CAF-RESOP_06_13" xfId="1141" xr:uid="{00000000-0005-0000-0000-00005D020000}"/>
    <cellStyle name="c_Manager (2)_Actualisation provision contrat déficitaire SNCM 2011 V3 30 05 2011_PAO-CAF-RESOP_06_13_Bridge_Zone_Sud" xfId="1142" xr:uid="{00000000-0005-0000-0000-00005E020000}"/>
    <cellStyle name="c_Manager (2)_Actualisation provision contrat déficitaire SNCM 2011 V3 30 05 2011_PAO-CAF-RESOP_08_13" xfId="1143" xr:uid="{00000000-0005-0000-0000-00005F020000}"/>
    <cellStyle name="c_Manager (2)_Actualisation provision contrat déficitaire SNCM 2011 V3 30 05 2011_PAO-CAF-RESOP_08_13_Bridge_Zone_Sud" xfId="1144" xr:uid="{00000000-0005-0000-0000-000060020000}"/>
    <cellStyle name="c_Manager (2)_Actualisation provision contrat déficitaire SNCM 2011 V3 30 05 2011_PAO-CAF-RESOP_09_13" xfId="1145" xr:uid="{00000000-0005-0000-0000-000061020000}"/>
    <cellStyle name="c_Manager (2)_Actualisation provision contrat déficitaire SNCM 2011 V3 30 05 2011_PAO-CAF-RESOP_09_13_Bridge_Zone_Sud" xfId="1146" xr:uid="{00000000-0005-0000-0000-000062020000}"/>
    <cellStyle name="c_Manager (2)_Actualisation provision contrat déficitaire SNCM 2011 V3 30 05 2011_PAO-CAF-RESOP_09_2013_Zone_IDF (version 2)" xfId="1147" xr:uid="{00000000-0005-0000-0000-000063020000}"/>
    <cellStyle name="c_Manager (2)_Actualisation provision contrat déficitaire SNCM 2011 V3 30 05 2011_PAO-CAF-RESOP_10_12" xfId="1148" xr:uid="{00000000-0005-0000-0000-000064020000}"/>
    <cellStyle name="c_Manager (2)_Actualisation provision contrat déficitaire SNCM 2011 V3 30 05 2011_PAO-CAF-RESOP_10_12_Bridge_Zone_Sud" xfId="1149" xr:uid="{00000000-0005-0000-0000-000065020000}"/>
    <cellStyle name="c_Manager (2)_Actualisation provision contrat déficitaire SNCM 2011 V3 30 05 2011_PAO-CAF-RESOP_10_12_focus par entités CAFOP" xfId="1150" xr:uid="{00000000-0005-0000-0000-000066020000}"/>
    <cellStyle name="c_Manager (2)_Actualisation provision contrat déficitaire SNCM 2011 V3 30 05 2011_PAO-CAF-RESOP_10_12_focus par entités CAFOP_Bridge_Zone_Sud" xfId="1151" xr:uid="{00000000-0005-0000-0000-000067020000}"/>
    <cellStyle name="c_Manager (2)_Actualisation provision contrat déficitaire SNCM 2011 V3 30 05 2011_PAO-CAF-RESOP_11_13" xfId="1152" xr:uid="{00000000-0005-0000-0000-000068020000}"/>
    <cellStyle name="c_Manager (2)_Actualisation provision contrat déficitaire SNCM 2011 V3 30 05 2011_PAO-CAF-RESOP_B13" xfId="1153" xr:uid="{00000000-0005-0000-0000-000069020000}"/>
    <cellStyle name="c_Manager (2)_Actualisation provision contrat déficitaire SNCM 2011 V3 30 05 2011_PAO-CAF-RESOP_B13_Bridge_Zone_Sud" xfId="1154" xr:uid="{00000000-0005-0000-0000-00006A020000}"/>
    <cellStyle name="c_Manager (2)_Actualisation provision contrat déficitaire SNCM 2011 V3 30 05 2011_PAO-CAF-RESOP_B13_focus par entités CAFOP" xfId="1155" xr:uid="{00000000-0005-0000-0000-00006B020000}"/>
    <cellStyle name="c_Manager (2)_Actualisation provision contrat déficitaire SNCM 2011 V3 30 05 2011_PAO-CAF-RESOP_B13_focus par entités CAFOP_Bridge_Zone_Sud" xfId="1156" xr:uid="{00000000-0005-0000-0000-00006C020000}"/>
    <cellStyle name="c_Manager (2)_Actualisation provision contrat déficitaire SNCM 2011 V3 30 05 2011_PAO-CAF-RESOP_B2014" xfId="1157" xr:uid="{00000000-0005-0000-0000-00006D020000}"/>
    <cellStyle name="c_Manager (2)_Actualisation provision contrat déficitaire SNCM 2011 V3 30 05 2011_PAO-CAF-RESOP_B2014_Bridge_Zone_Sud" xfId="1158" xr:uid="{00000000-0005-0000-0000-00006E020000}"/>
    <cellStyle name="c_Manager (2)_Actualisation provision contrat déficitaire SNCM 2011 V3 30 05 2011_PAO-CAF-RESOP_B2014_v2" xfId="1159" xr:uid="{00000000-0005-0000-0000-00006F020000}"/>
    <cellStyle name="c_Manager (2)_Actualisation provision contrat déficitaire SNCM 2011 V3 30 05 2011_PAO-CAF-RESOP_E2_13" xfId="1160" xr:uid="{00000000-0005-0000-0000-000070020000}"/>
    <cellStyle name="c_Manager (2)_Actualisation provision contrat déficitaire SNCM 2011 V3 30 05 2011_PAO-CAF-RESOP_E2_13_Bridge_Zone_Sud" xfId="1161" xr:uid="{00000000-0005-0000-0000-000071020000}"/>
    <cellStyle name="c_Manager (2)_Actualisation provision contrat déficitaire SNCM 2011 V3 30 05 2011_PAO-CAF-RESOP_E2_2013_03_10_19H" xfId="1162" xr:uid="{00000000-0005-0000-0000-000072020000}"/>
    <cellStyle name="c_Manager (2)_Actualisation provision contrat déficitaire SNCM 2011 V3 30 05 2011_PAO-CAF-RESOP_E2_2013_03_10_19H_Bridge_Zone_Sud" xfId="1163" xr:uid="{00000000-0005-0000-0000-000073020000}"/>
    <cellStyle name="c_Manager (2)_Actualisation provision contrat déficitaire SNCM 2011 V3 30 05 2011_Synthèse_Présentation_conso_retraitée" xfId="1164" xr:uid="{00000000-0005-0000-0000-000074020000}"/>
    <cellStyle name="c_Manager (2)_BFR_TD_2014.02" xfId="1165" xr:uid="{00000000-0005-0000-0000-000075020000}"/>
    <cellStyle name="c_Manager (2)_Bridge_Zone_Nord" xfId="1166" xr:uid="{00000000-0005-0000-0000-000076020000}"/>
    <cellStyle name="c_Manager (2)_CAPEM BY COUNTRY" xfId="1167" xr:uid="{00000000-0005-0000-0000-000077020000}"/>
    <cellStyle name="c_Manager (2)_LI819L_B13" xfId="393" xr:uid="{00000000-0005-0000-0000-000078020000}"/>
    <cellStyle name="c_Manager (2)_LI819L_B13_CAPEM BY COUNTRY" xfId="1168" xr:uid="{00000000-0005-0000-0000-000079020000}"/>
    <cellStyle name="c_Manager (2)_LI819L_B13_Maquette PLT" xfId="1169" xr:uid="{00000000-0005-0000-0000-00007A020000}"/>
    <cellStyle name="c_Manager (2)_LI819L_B13_Output" xfId="3366" xr:uid="{00000000-0005-0000-0000-00007B020000}"/>
    <cellStyle name="c_Manager (2)_Maquette PLT" xfId="1170" xr:uid="{00000000-0005-0000-0000-00007C020000}"/>
    <cellStyle name="c_Manager (2)_Output" xfId="3367" xr:uid="{00000000-0005-0000-0000-00007D020000}"/>
    <cellStyle name="c_Manager (2)_PAO-CAF-RESOP_14_01_13 à 20h" xfId="394" xr:uid="{00000000-0005-0000-0000-00007E020000}"/>
    <cellStyle name="c_Manager (2)_PAO-CAF-RESOP_14_01_13 à 20h_CAPEM BY COUNTRY" xfId="1171" xr:uid="{00000000-0005-0000-0000-00007F020000}"/>
    <cellStyle name="c_Manager (2)_PAO-CAF-RESOP_14_01_13 à 20h_Maquette PLT" xfId="1172" xr:uid="{00000000-0005-0000-0000-000080020000}"/>
    <cellStyle name="c_Manager (2)_PAO-CAF-RESOP_14_01_13 à 20h_Output" xfId="3368" xr:uid="{00000000-0005-0000-0000-000081020000}"/>
    <cellStyle name="c_Manager (2)_PAO-CAF-RESOP_2014.02" xfId="1173" xr:uid="{00000000-0005-0000-0000-000082020000}"/>
    <cellStyle name="c_Manager (2)_PAO-CAF-RESOP_2014.02_Bridge_Zone_Sud" xfId="1174" xr:uid="{00000000-0005-0000-0000-000083020000}"/>
    <cellStyle name="c_Maquette PLT" xfId="1175" xr:uid="{00000000-0005-0000-0000-000084020000}"/>
    <cellStyle name="c_Output" xfId="3369" xr:uid="{00000000-0005-0000-0000-000085020000}"/>
    <cellStyle name="c_PAO-CAF-RESOP_14_01_13 à 20h" xfId="395" xr:uid="{00000000-0005-0000-0000-000086020000}"/>
    <cellStyle name="c_PAO-CAF-RESOP_14_01_13 à 20h_CAPEM BY COUNTRY" xfId="1176" xr:uid="{00000000-0005-0000-0000-000087020000}"/>
    <cellStyle name="c_PAO-CAF-RESOP_14_01_13 à 20h_Maquette PLT" xfId="1177" xr:uid="{00000000-0005-0000-0000-000088020000}"/>
    <cellStyle name="c_PAO-CAF-RESOP_14_01_13 à 20h_Output" xfId="3370" xr:uid="{00000000-0005-0000-0000-000089020000}"/>
    <cellStyle name="c_PAO-CAF-RESOP_2014.02" xfId="1178" xr:uid="{00000000-0005-0000-0000-00008A020000}"/>
    <cellStyle name="c_PAO-CAF-RESOP_2014.02_Bridge_Zone_Sud" xfId="1179" xr:uid="{00000000-0005-0000-0000-00008B020000}"/>
    <cellStyle name="c0" xfId="396" xr:uid="{00000000-0005-0000-0000-00008C020000}"/>
    <cellStyle name="cach" xfId="397" xr:uid="{00000000-0005-0000-0000-00008D020000}"/>
    <cellStyle name="Calcul 2" xfId="398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3327" xr:uid="{00000000-0005-0000-0000-000094020000}"/>
    <cellStyle name="Cellule liée 2" xfId="399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1180" xr:uid="{00000000-0005-0000-0000-00009C020000}"/>
    <cellStyle name="chiffre" xfId="400" xr:uid="{00000000-0005-0000-0000-00009D020000}"/>
    <cellStyle name="co" xfId="401" xr:uid="{00000000-0005-0000-0000-00009E020000}"/>
    <cellStyle name="ColumnHeading" xfId="158" xr:uid="{00000000-0005-0000-0000-00009F020000}"/>
    <cellStyle name="Comma [1]" xfId="402" xr:uid="{00000000-0005-0000-0000-0000A0020000}"/>
    <cellStyle name="Comma [2]" xfId="403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a_Axmann Utopia toolbox all_in_one" xfId="404" xr:uid="{00000000-0005-0000-0000-0000A9020000}"/>
    <cellStyle name="Commentaire 2" xfId="405" xr:uid="{00000000-0005-0000-0000-0000AA020000}"/>
    <cellStyle name="Commentaire 3" xfId="406" xr:uid="{00000000-0005-0000-0000-0000AB020000}"/>
    <cellStyle name="Commentaire 4" xfId="407" xr:uid="{00000000-0005-0000-0000-0000AC020000}"/>
    <cellStyle name="Currency [1]" xfId="408" xr:uid="{00000000-0005-0000-0000-0000AD020000}"/>
    <cellStyle name="Currency [2]" xfId="409" xr:uid="{00000000-0005-0000-0000-0000AE020000}"/>
    <cellStyle name="Currency_Axmann Utopia toolbox all_in_one" xfId="410" xr:uid="{00000000-0005-0000-0000-0000AF020000}"/>
    <cellStyle name="Currency-Denomination" xfId="411" xr:uid="{00000000-0005-0000-0000-0000B0020000}"/>
    <cellStyle name="Dash" xfId="412" xr:uid="{00000000-0005-0000-0000-0000B1020000}"/>
    <cellStyle name="Decimal_0dp" xfId="413" xr:uid="{00000000-0005-0000-0000-0000B2020000}"/>
    <cellStyle name="Dezimal__Utopia Index Index und Guidance (Deutsch)" xfId="414" xr:uid="{00000000-0005-0000-0000-0000B3020000}"/>
    <cellStyle name="Entrée 2" xfId="415" xr:uid="{00000000-0005-0000-0000-0000B4020000}"/>
    <cellStyle name="Euro" xfId="166" xr:uid="{00000000-0005-0000-0000-0000B5020000}"/>
    <cellStyle name="Euro 2" xfId="416" xr:uid="{00000000-0005-0000-0000-0000B6020000}"/>
    <cellStyle name="Euro 3" xfId="417" xr:uid="{00000000-0005-0000-0000-0000B7020000}"/>
    <cellStyle name="Euro 3 2" xfId="418" xr:uid="{00000000-0005-0000-0000-0000B8020000}"/>
    <cellStyle name="Euro 3_IFRIC 12 classique" xfId="1181" xr:uid="{00000000-0005-0000-0000-0000B9020000}"/>
    <cellStyle name="Euro_BFR_TD_2014.02" xfId="1182" xr:uid="{00000000-0005-0000-0000-0000BA020000}"/>
    <cellStyle name="Explanatory Text" xfId="167" xr:uid="{00000000-0005-0000-0000-0000BB020000}"/>
    <cellStyle name="Explanatory Text 2" xfId="168" xr:uid="{00000000-0005-0000-0000-0000BC020000}"/>
    <cellStyle name="Explanatory Text 3" xfId="169" xr:uid="{00000000-0005-0000-0000-0000BD020000}"/>
    <cellStyle name="Explanatory Text 4" xfId="170" xr:uid="{00000000-0005-0000-0000-0000BE020000}"/>
    <cellStyle name="Explanatory Text 5" xfId="171" xr:uid="{00000000-0005-0000-0000-0000BF020000}"/>
    <cellStyle name="Explanatory Text 6" xfId="172" xr:uid="{00000000-0005-0000-0000-0000C0020000}"/>
    <cellStyle name="Explanatory Text_Decote croissance organique" xfId="1183" xr:uid="{00000000-0005-0000-0000-0000C1020000}"/>
    <cellStyle name="EY Narrative text" xfId="419" xr:uid="{00000000-0005-0000-0000-0000C2020000}"/>
    <cellStyle name="EY%colcalc" xfId="420" xr:uid="{00000000-0005-0000-0000-0000C3020000}"/>
    <cellStyle name="EY%colcalc 2" xfId="421" xr:uid="{00000000-0005-0000-0000-0000C4020000}"/>
    <cellStyle name="EY%input" xfId="422" xr:uid="{00000000-0005-0000-0000-0000C5020000}"/>
    <cellStyle name="EY%input 2" xfId="423" xr:uid="{00000000-0005-0000-0000-0000C6020000}"/>
    <cellStyle name="EY%rowcalc" xfId="424" xr:uid="{00000000-0005-0000-0000-0000C7020000}"/>
    <cellStyle name="EY%rowcalc 2" xfId="425" xr:uid="{00000000-0005-0000-0000-0000C8020000}"/>
    <cellStyle name="EY0dp" xfId="426" xr:uid="{00000000-0005-0000-0000-0000C9020000}"/>
    <cellStyle name="EY0dp 2" xfId="427" xr:uid="{00000000-0005-0000-0000-0000CA020000}"/>
    <cellStyle name="EY1dp" xfId="428" xr:uid="{00000000-0005-0000-0000-0000CB020000}"/>
    <cellStyle name="EY1dp 2" xfId="429" xr:uid="{00000000-0005-0000-0000-0000CC020000}"/>
    <cellStyle name="EY2dp" xfId="430" xr:uid="{00000000-0005-0000-0000-0000CD020000}"/>
    <cellStyle name="EY2dp 2" xfId="431" xr:uid="{00000000-0005-0000-0000-0000CE020000}"/>
    <cellStyle name="EY3dp" xfId="432" xr:uid="{00000000-0005-0000-0000-0000CF020000}"/>
    <cellStyle name="EY3dp 2" xfId="433" xr:uid="{00000000-0005-0000-0000-0000D0020000}"/>
    <cellStyle name="EYColumnHeading" xfId="434" xr:uid="{00000000-0005-0000-0000-0000D1020000}"/>
    <cellStyle name="EYColumnHeading 2" xfId="435" xr:uid="{00000000-0005-0000-0000-0000D2020000}"/>
    <cellStyle name="EYColumnHeading 3" xfId="436" xr:uid="{00000000-0005-0000-0000-0000D3020000}"/>
    <cellStyle name="EYColumnHeading_Decote croissance organique" xfId="1184" xr:uid="{00000000-0005-0000-0000-0000D4020000}"/>
    <cellStyle name="EYColumnHeadingItalic" xfId="437" xr:uid="{00000000-0005-0000-0000-0000D5020000}"/>
    <cellStyle name="EYCoverDatabookName" xfId="438" xr:uid="{00000000-0005-0000-0000-0000D6020000}"/>
    <cellStyle name="EYCoverDate" xfId="439" xr:uid="{00000000-0005-0000-0000-0000D7020000}"/>
    <cellStyle name="EYCoverDraft" xfId="440" xr:uid="{00000000-0005-0000-0000-0000D8020000}"/>
    <cellStyle name="EYCoverProjectName" xfId="441" xr:uid="{00000000-0005-0000-0000-0000D9020000}"/>
    <cellStyle name="EYCurrency" xfId="442" xr:uid="{00000000-0005-0000-0000-0000DA020000}"/>
    <cellStyle name="EYHeading1" xfId="443" xr:uid="{00000000-0005-0000-0000-0000DB020000}"/>
    <cellStyle name="EYheading2" xfId="444" xr:uid="{00000000-0005-0000-0000-0000DC020000}"/>
    <cellStyle name="EYheading3" xfId="445" xr:uid="{00000000-0005-0000-0000-0000DD020000}"/>
    <cellStyle name="EYNotes" xfId="446" xr:uid="{00000000-0005-0000-0000-0000DE020000}"/>
    <cellStyle name="EYNotesHeading" xfId="447" xr:uid="{00000000-0005-0000-0000-0000DF020000}"/>
    <cellStyle name="EYnumber" xfId="448" xr:uid="{00000000-0005-0000-0000-0000E0020000}"/>
    <cellStyle name="EYnumber 2" xfId="449" xr:uid="{00000000-0005-0000-0000-0000E1020000}"/>
    <cellStyle name="EYSectionHeading" xfId="450" xr:uid="{00000000-0005-0000-0000-0000E2020000}"/>
    <cellStyle name="EYSheetHeader1" xfId="451" xr:uid="{00000000-0005-0000-0000-0000E3020000}"/>
    <cellStyle name="EYSheetHeading" xfId="452" xr:uid="{00000000-0005-0000-0000-0000E4020000}"/>
    <cellStyle name="EYsmallheading" xfId="453" xr:uid="{00000000-0005-0000-0000-0000E5020000}"/>
    <cellStyle name="EYSource" xfId="454" xr:uid="{00000000-0005-0000-0000-0000E6020000}"/>
    <cellStyle name="EYtext" xfId="455" xr:uid="{00000000-0005-0000-0000-0000E7020000}"/>
    <cellStyle name="EYtext 2" xfId="456" xr:uid="{00000000-0005-0000-0000-0000E8020000}"/>
    <cellStyle name="EYtext 3" xfId="457" xr:uid="{00000000-0005-0000-0000-0000E9020000}"/>
    <cellStyle name="EYtext_Decote croissance organique" xfId="1185" xr:uid="{00000000-0005-0000-0000-0000EA020000}"/>
    <cellStyle name="EYtextbold" xfId="458" xr:uid="{00000000-0005-0000-0000-0000EB020000}"/>
    <cellStyle name="EYtextbolditalic" xfId="459" xr:uid="{00000000-0005-0000-0000-0000EC020000}"/>
    <cellStyle name="EYtextitalic" xfId="460" xr:uid="{00000000-0005-0000-0000-0000ED020000}"/>
    <cellStyle name="Followed Hyperlink" xfId="461" xr:uid="{00000000-0005-0000-0000-0000EE020000}"/>
    <cellStyle name="Forecast Cell Column Heading" xfId="462" xr:uid="{00000000-0005-0000-0000-0000EF020000}"/>
    <cellStyle name="FormattingSheetDelimitor" xfId="463" xr:uid="{00000000-0005-0000-0000-0000F0020000}"/>
    <cellStyle name="FRxAmtStyle" xfId="464" xr:uid="{00000000-0005-0000-0000-0000F1020000}"/>
    <cellStyle name="FRxPcntStyle" xfId="465" xr:uid="{00000000-0005-0000-0000-0000F2020000}"/>
    <cellStyle name="Good" xfId="173" xr:uid="{00000000-0005-0000-0000-0000F3020000}"/>
    <cellStyle name="Good 2" xfId="174" xr:uid="{00000000-0005-0000-0000-0000F4020000}"/>
    <cellStyle name="Good 3" xfId="175" xr:uid="{00000000-0005-0000-0000-0000F5020000}"/>
    <cellStyle name="Good 4" xfId="176" xr:uid="{00000000-0005-0000-0000-0000F6020000}"/>
    <cellStyle name="Good 5" xfId="177" xr:uid="{00000000-0005-0000-0000-0000F7020000}"/>
    <cellStyle name="Good 6" xfId="178" xr:uid="{00000000-0005-0000-0000-0000F8020000}"/>
    <cellStyle name="Good_Decote croissance organique" xfId="1186" xr:uid="{00000000-0005-0000-0000-0000F9020000}"/>
    <cellStyle name="h" xfId="466" xr:uid="{00000000-0005-0000-0000-0000FA020000}"/>
    <cellStyle name="Heading 1" xfId="179" xr:uid="{00000000-0005-0000-0000-0000FB020000}"/>
    <cellStyle name="Heading 1 2" xfId="180" xr:uid="{00000000-0005-0000-0000-0000FC020000}"/>
    <cellStyle name="Heading 1 3" xfId="181" xr:uid="{00000000-0005-0000-0000-0000FD020000}"/>
    <cellStyle name="Heading 1 4" xfId="182" xr:uid="{00000000-0005-0000-0000-0000FE020000}"/>
    <cellStyle name="Heading 1 5" xfId="183" xr:uid="{00000000-0005-0000-0000-0000FF020000}"/>
    <cellStyle name="Heading 1 6" xfId="184" xr:uid="{00000000-0005-0000-0000-000000030000}"/>
    <cellStyle name="Heading 1_Decote croissance organique" xfId="1187" xr:uid="{00000000-0005-0000-0000-000001030000}"/>
    <cellStyle name="Heading 2" xfId="185" xr:uid="{00000000-0005-0000-0000-000002030000}"/>
    <cellStyle name="Heading 2 2" xfId="186" xr:uid="{00000000-0005-0000-0000-000003030000}"/>
    <cellStyle name="Heading 2 3" xfId="187" xr:uid="{00000000-0005-0000-0000-000004030000}"/>
    <cellStyle name="Heading 2 4" xfId="188" xr:uid="{00000000-0005-0000-0000-000005030000}"/>
    <cellStyle name="Heading 2 5" xfId="189" xr:uid="{00000000-0005-0000-0000-000006030000}"/>
    <cellStyle name="Heading 2 6" xfId="190" xr:uid="{00000000-0005-0000-0000-000007030000}"/>
    <cellStyle name="Heading 2_Decote croissance organique" xfId="1188" xr:uid="{00000000-0005-0000-0000-000008030000}"/>
    <cellStyle name="Heading 3" xfId="191" xr:uid="{00000000-0005-0000-0000-000009030000}"/>
    <cellStyle name="Heading 3 2" xfId="192" xr:uid="{00000000-0005-0000-0000-00000A030000}"/>
    <cellStyle name="Heading 3 3" xfId="193" xr:uid="{00000000-0005-0000-0000-00000B030000}"/>
    <cellStyle name="Heading 3 4" xfId="194" xr:uid="{00000000-0005-0000-0000-00000C030000}"/>
    <cellStyle name="Heading 3 5" xfId="195" xr:uid="{00000000-0005-0000-0000-00000D030000}"/>
    <cellStyle name="Heading 3 6" xfId="196" xr:uid="{00000000-0005-0000-0000-00000E030000}"/>
    <cellStyle name="Heading 3_Decote croissance organique" xfId="1189" xr:uid="{00000000-0005-0000-0000-00000F030000}"/>
    <cellStyle name="Heading 4" xfId="197" xr:uid="{00000000-0005-0000-0000-000010030000}"/>
    <cellStyle name="Heading 4 2" xfId="198" xr:uid="{00000000-0005-0000-0000-000011030000}"/>
    <cellStyle name="Heading 4 3" xfId="199" xr:uid="{00000000-0005-0000-0000-000012030000}"/>
    <cellStyle name="Heading 4 4" xfId="200" xr:uid="{00000000-0005-0000-0000-000013030000}"/>
    <cellStyle name="Heading 4 5" xfId="201" xr:uid="{00000000-0005-0000-0000-000014030000}"/>
    <cellStyle name="Heading 4 6" xfId="202" xr:uid="{00000000-0005-0000-0000-000015030000}"/>
    <cellStyle name="Heading 4_Decote croissance organique" xfId="1190" xr:uid="{00000000-0005-0000-0000-000016030000}"/>
    <cellStyle name="Hyperlink" xfId="467" xr:uid="{00000000-0005-0000-0000-000017030000}"/>
    <cellStyle name="Hyperlink 2" xfId="203" xr:uid="{00000000-0005-0000-0000-000018030000}"/>
    <cellStyle name="Hyperlink 3" xfId="204" xr:uid="{00000000-0005-0000-0000-000019030000}"/>
    <cellStyle name="Input" xfId="205" xr:uid="{00000000-0005-0000-0000-00001A030000}"/>
    <cellStyle name="Input 2" xfId="206" xr:uid="{00000000-0005-0000-0000-00001B030000}"/>
    <cellStyle name="Input 3" xfId="207" xr:uid="{00000000-0005-0000-0000-00001C030000}"/>
    <cellStyle name="Input 4" xfId="208" xr:uid="{00000000-0005-0000-0000-00001D030000}"/>
    <cellStyle name="Input 5" xfId="209" xr:uid="{00000000-0005-0000-0000-00001E030000}"/>
    <cellStyle name="Input_Action Plan" xfId="3328" xr:uid="{00000000-0005-0000-0000-00001F030000}"/>
    <cellStyle name="InputBlueFont" xfId="468" xr:uid="{00000000-0005-0000-0000-000020030000}"/>
    <cellStyle name="InputBlueFontLocked" xfId="469" xr:uid="{00000000-0005-0000-0000-000021030000}"/>
    <cellStyle name="Insatisfaisant 2" xfId="470" xr:uid="{00000000-0005-0000-0000-000022030000}"/>
    <cellStyle name="KPMG Heading 1" xfId="471" xr:uid="{00000000-0005-0000-0000-000023030000}"/>
    <cellStyle name="KPMG Heading 2" xfId="472" xr:uid="{00000000-0005-0000-0000-000024030000}"/>
    <cellStyle name="KPMG Heading 3" xfId="473" xr:uid="{00000000-0005-0000-0000-000025030000}"/>
    <cellStyle name="KPMG Heading 4" xfId="474" xr:uid="{00000000-0005-0000-0000-000026030000}"/>
    <cellStyle name="KPMG Normal" xfId="475" xr:uid="{00000000-0005-0000-0000-000027030000}"/>
    <cellStyle name="KPMG Normal Text" xfId="476" xr:uid="{00000000-0005-0000-0000-000028030000}"/>
    <cellStyle name="KPMG Normal_CAPEM BY COUNTRY" xfId="1191" xr:uid="{00000000-0005-0000-0000-000029030000}"/>
    <cellStyle name="Lien hypertexte" xfId="307" builtinId="8"/>
    <cellStyle name="Lien hypertexte 2" xfId="1192" xr:uid="{00000000-0005-0000-0000-00002B030000}"/>
    <cellStyle name="Lien hypertexte 3" xfId="210" xr:uid="{00000000-0005-0000-0000-00002C030000}"/>
    <cellStyle name="Ligne détail" xfId="211" xr:uid="{00000000-0005-0000-0000-00002D030000}"/>
    <cellStyle name="Linked Cell" xfId="212" xr:uid="{00000000-0005-0000-0000-00002E030000}"/>
    <cellStyle name="Linked Cell 2" xfId="213" xr:uid="{00000000-0005-0000-0000-00002F030000}"/>
    <cellStyle name="Linked Cell 3" xfId="214" xr:uid="{00000000-0005-0000-0000-000030030000}"/>
    <cellStyle name="Linked Cell 4" xfId="215" xr:uid="{00000000-0005-0000-0000-000031030000}"/>
    <cellStyle name="Linked Cell 5" xfId="216" xr:uid="{00000000-0005-0000-0000-000032030000}"/>
    <cellStyle name="Linked Cell_Business Review - Saisie" xfId="217" xr:uid="{00000000-0005-0000-0000-000033030000}"/>
    <cellStyle name="LTM Cell Column Heading" xfId="477" xr:uid="{00000000-0005-0000-0000-000034030000}"/>
    <cellStyle name="MEV4" xfId="218" xr:uid="{00000000-0005-0000-0000-000035030000}"/>
    <cellStyle name="MEV5" xfId="219" xr:uid="{00000000-0005-0000-0000-000036030000}"/>
    <cellStyle name="Milliers 2" xfId="220" xr:uid="{00000000-0005-0000-0000-000037030000}"/>
    <cellStyle name="Milliers 2 2" xfId="478" xr:uid="{00000000-0005-0000-0000-000038030000}"/>
    <cellStyle name="Milliers 2_Decote croissance organique" xfId="1193" xr:uid="{00000000-0005-0000-0000-000039030000}"/>
    <cellStyle name="Milliers 3" xfId="221" xr:uid="{00000000-0005-0000-0000-00003A030000}"/>
    <cellStyle name="Milliers 4" xfId="222" xr:uid="{00000000-0005-0000-0000-00003B030000}"/>
    <cellStyle name="Milliers 5" xfId="479" xr:uid="{00000000-0005-0000-0000-00003C030000}"/>
    <cellStyle name="Milliers 6" xfId="480" xr:uid="{00000000-0005-0000-0000-00003D030000}"/>
    <cellStyle name="Milliers 7" xfId="1194" xr:uid="{00000000-0005-0000-0000-00003E030000}"/>
    <cellStyle name="Monétaire 2" xfId="1195" xr:uid="{00000000-0005-0000-0000-00003F030000}"/>
    <cellStyle name="Multiple" xfId="481" xr:uid="{00000000-0005-0000-0000-000040030000}"/>
    <cellStyle name="Multiple Cell Column Heading" xfId="482" xr:uid="{00000000-0005-0000-0000-000041030000}"/>
    <cellStyle name="N?rmal_la?oux_larou?" xfId="223" xr:uid="{00000000-0005-0000-0000-000042030000}"/>
    <cellStyle name="Navadno 2" xfId="483" xr:uid="{00000000-0005-0000-0000-000043030000}"/>
    <cellStyle name="Neutral" xfId="224" xr:uid="{00000000-0005-0000-0000-000044030000}"/>
    <cellStyle name="Neutral 2" xfId="225" xr:uid="{00000000-0005-0000-0000-000045030000}"/>
    <cellStyle name="Neutral 3" xfId="226" xr:uid="{00000000-0005-0000-0000-000046030000}"/>
    <cellStyle name="Neutral 4" xfId="227" xr:uid="{00000000-0005-0000-0000-000047030000}"/>
    <cellStyle name="Neutral 5" xfId="228" xr:uid="{00000000-0005-0000-0000-000048030000}"/>
    <cellStyle name="Neutral 6" xfId="229" xr:uid="{00000000-0005-0000-0000-000049030000}"/>
    <cellStyle name="Neutral_Decote croissance organique" xfId="1196" xr:uid="{00000000-0005-0000-0000-00004A030000}"/>
    <cellStyle name="Neutre 2" xfId="484" xr:uid="{00000000-0005-0000-0000-00004B030000}"/>
    <cellStyle name="no" xfId="485" xr:uid="{00000000-0005-0000-0000-00004C030000}"/>
    <cellStyle name="No-definido" xfId="486" xr:uid="{00000000-0005-0000-0000-00004D030000}"/>
    <cellStyle name="Non d‚fini" xfId="487" xr:uid="{00000000-0005-0000-0000-00004E030000}"/>
    <cellStyle name="Non d‚fini 2" xfId="488" xr:uid="{00000000-0005-0000-0000-00004F030000}"/>
    <cellStyle name="Non d‚fini_Decote croissance organique" xfId="1197" xr:uid="{00000000-0005-0000-0000-000050030000}"/>
    <cellStyle name="Norma?_On Hol?" xfId="230" xr:uid="{00000000-0005-0000-0000-000051030000}"/>
    <cellStyle name="Normaᷬ_On Holᷤ" xfId="231" xr:uid="{00000000-0005-0000-0000-000052030000}"/>
    <cellStyle name="Normaali 2" xfId="1198" xr:uid="{00000000-0005-0000-0000-000053030000}"/>
    <cellStyle name="Normaali 2 2" xfId="1199" xr:uid="{00000000-0005-0000-0000-000054030000}"/>
    <cellStyle name="Normaali 2 2 2" xfId="1200" xr:uid="{00000000-0005-0000-0000-000055030000}"/>
    <cellStyle name="Normaali 2 3" xfId="1201" xr:uid="{00000000-0005-0000-0000-000056030000}"/>
    <cellStyle name="Normaali 3" xfId="1202" xr:uid="{00000000-0005-0000-0000-000057030000}"/>
    <cellStyle name="Normaali 3 2" xfId="1203" xr:uid="{00000000-0005-0000-0000-000058030000}"/>
    <cellStyle name="Normaali 3_Action Plan" xfId="3329" xr:uid="{00000000-0005-0000-0000-000059030000}"/>
    <cellStyle name="Normaali 4" xfId="1204" xr:uid="{00000000-0005-0000-0000-00005A030000}"/>
    <cellStyle name="Normaali 5" xfId="1205" xr:uid="{00000000-0005-0000-0000-00005B030000}"/>
    <cellStyle name="Normal" xfId="0" builtinId="0"/>
    <cellStyle name="Normal - Style1" xfId="232" xr:uid="{00000000-0005-0000-0000-00005D030000}"/>
    <cellStyle name="Normal - Style2" xfId="489" xr:uid="{00000000-0005-0000-0000-00005E030000}"/>
    <cellStyle name="Normal - Style3" xfId="490" xr:uid="{00000000-0005-0000-0000-00005F030000}"/>
    <cellStyle name="Normal - Style4" xfId="491" xr:uid="{00000000-0005-0000-0000-000060030000}"/>
    <cellStyle name="Normal - Style5" xfId="492" xr:uid="{00000000-0005-0000-0000-000061030000}"/>
    <cellStyle name="Normal - Style6" xfId="493" xr:uid="{00000000-0005-0000-0000-000062030000}"/>
    <cellStyle name="Normal - Style7" xfId="494" xr:uid="{00000000-0005-0000-0000-000063030000}"/>
    <cellStyle name="Normal - Style8" xfId="495" xr:uid="{00000000-0005-0000-0000-000064030000}"/>
    <cellStyle name="Normal 10" xfId="3" xr:uid="{00000000-0005-0000-0000-000065030000}"/>
    <cellStyle name="Normal 10 2" xfId="496" xr:uid="{00000000-0005-0000-0000-000066030000}"/>
    <cellStyle name="Normal 10 2 2" xfId="497" xr:uid="{00000000-0005-0000-0000-000067030000}"/>
    <cellStyle name="Normal 10 2 3" xfId="498" xr:uid="{00000000-0005-0000-0000-000068030000}"/>
    <cellStyle name="Normal 10 2_CAPEM BY COUNTRY" xfId="1206" xr:uid="{00000000-0005-0000-0000-000069030000}"/>
    <cellStyle name="Normal 10 3" xfId="499" xr:uid="{00000000-0005-0000-0000-00006A030000}"/>
    <cellStyle name="Normal 10 4" xfId="500" xr:uid="{00000000-0005-0000-0000-00006B030000}"/>
    <cellStyle name="Normal 10 5" xfId="779" xr:uid="{00000000-0005-0000-0000-00006C030000}"/>
    <cellStyle name="Normal 10_CAPEX" xfId="1207" xr:uid="{00000000-0005-0000-0000-00006D030000}"/>
    <cellStyle name="Normal 10_Context" xfId="3344" xr:uid="{00000000-0005-0000-0000-00006E030000}"/>
    <cellStyle name="Normal 11" xfId="233" xr:uid="{00000000-0005-0000-0000-00006F030000}"/>
    <cellStyle name="Normal 11 2" xfId="1208" xr:uid="{00000000-0005-0000-0000-000070030000}"/>
    <cellStyle name="Normal 12" xfId="234" xr:uid="{00000000-0005-0000-0000-000071030000}"/>
    <cellStyle name="Normal 13" xfId="235" xr:uid="{00000000-0005-0000-0000-000072030000}"/>
    <cellStyle name="Normal 14" xfId="306" xr:uid="{00000000-0005-0000-0000-000073030000}"/>
    <cellStyle name="Normal 15" xfId="501" xr:uid="{00000000-0005-0000-0000-000074030000}"/>
    <cellStyle name="Normal 15 2" xfId="502" xr:uid="{00000000-0005-0000-0000-000075030000}"/>
    <cellStyle name="Normal 15 2 2" xfId="503" xr:uid="{00000000-0005-0000-0000-000076030000}"/>
    <cellStyle name="Normal 15 2_Action Plan" xfId="3330" xr:uid="{00000000-0005-0000-0000-000077030000}"/>
    <cellStyle name="Normal 15_Decote croissance organique" xfId="1209" xr:uid="{00000000-0005-0000-0000-000078030000}"/>
    <cellStyle name="Normal 16" xfId="504" xr:uid="{00000000-0005-0000-0000-000079030000}"/>
    <cellStyle name="Normal 17" xfId="505" xr:uid="{00000000-0005-0000-0000-00007A030000}"/>
    <cellStyle name="Normal 18" xfId="506" xr:uid="{00000000-0005-0000-0000-00007B030000}"/>
    <cellStyle name="Normal 19" xfId="507" xr:uid="{00000000-0005-0000-0000-00007C030000}"/>
    <cellStyle name="Normal 2" xfId="236" xr:uid="{00000000-0005-0000-0000-00007D030000}"/>
    <cellStyle name="Normal 2 10" xfId="508" xr:uid="{00000000-0005-0000-0000-00007E030000}"/>
    <cellStyle name="Normal 2 11" xfId="509" xr:uid="{00000000-0005-0000-0000-00007F030000}"/>
    <cellStyle name="Normal 2 12" xfId="510" xr:uid="{00000000-0005-0000-0000-000080030000}"/>
    <cellStyle name="Normal 2 13" xfId="511" xr:uid="{00000000-0005-0000-0000-000081030000}"/>
    <cellStyle name="Normal 2 14" xfId="512" xr:uid="{00000000-0005-0000-0000-000082030000}"/>
    <cellStyle name="Normal 2 15" xfId="513" xr:uid="{00000000-0005-0000-0000-000083030000}"/>
    <cellStyle name="Normal 2 16" xfId="514" xr:uid="{00000000-0005-0000-0000-000084030000}"/>
    <cellStyle name="Normal 2 17" xfId="515" xr:uid="{00000000-0005-0000-0000-000085030000}"/>
    <cellStyle name="Normal 2 18" xfId="516" xr:uid="{00000000-0005-0000-0000-000086030000}"/>
    <cellStyle name="Normal 2 19" xfId="517" xr:uid="{00000000-0005-0000-0000-000087030000}"/>
    <cellStyle name="Normal 2 2" xfId="237" xr:uid="{00000000-0005-0000-0000-000088030000}"/>
    <cellStyle name="Normal 2 2 2" xfId="518" xr:uid="{00000000-0005-0000-0000-000089030000}"/>
    <cellStyle name="Normal 2 2_CAPEX" xfId="1210" xr:uid="{00000000-0005-0000-0000-00008A030000}"/>
    <cellStyle name="Normal 2 3" xfId="238" xr:uid="{00000000-0005-0000-0000-00008B030000}"/>
    <cellStyle name="Normal 2 4" xfId="239" xr:uid="{00000000-0005-0000-0000-00008C030000}"/>
    <cellStyle name="Normal 2 5" xfId="240" xr:uid="{00000000-0005-0000-0000-00008D030000}"/>
    <cellStyle name="Normal 2 6" xfId="519" xr:uid="{00000000-0005-0000-0000-00008E030000}"/>
    <cellStyle name="Normal 2 7" xfId="520" xr:uid="{00000000-0005-0000-0000-00008F030000}"/>
    <cellStyle name="Normal 2 8" xfId="521" xr:uid="{00000000-0005-0000-0000-000090030000}"/>
    <cellStyle name="Normal 2 9" xfId="522" xr:uid="{00000000-0005-0000-0000-000091030000}"/>
    <cellStyle name="Normal 2_B14_E2_2210" xfId="523" xr:uid="{00000000-0005-0000-0000-000092030000}"/>
    <cellStyle name="Normal 20" xfId="524" xr:uid="{00000000-0005-0000-0000-000093030000}"/>
    <cellStyle name="Normal 21" xfId="525" xr:uid="{00000000-0005-0000-0000-000094030000}"/>
    <cellStyle name="Normal 22" xfId="526" xr:uid="{00000000-0005-0000-0000-000095030000}"/>
    <cellStyle name="Normal 23" xfId="527" xr:uid="{00000000-0005-0000-0000-000096030000}"/>
    <cellStyle name="Normal 24" xfId="528" xr:uid="{00000000-0005-0000-0000-000097030000}"/>
    <cellStyle name="Normal 25" xfId="529" xr:uid="{00000000-0005-0000-0000-000098030000}"/>
    <cellStyle name="Normal 26" xfId="530" xr:uid="{00000000-0005-0000-0000-000099030000}"/>
    <cellStyle name="Normal 27" xfId="531" xr:uid="{00000000-0005-0000-0000-00009A030000}"/>
    <cellStyle name="Normal 28" xfId="532" xr:uid="{00000000-0005-0000-0000-00009B030000}"/>
    <cellStyle name="Normal 28 2" xfId="533" xr:uid="{00000000-0005-0000-0000-00009C030000}"/>
    <cellStyle name="Normal 28_Action Plan" xfId="3331" xr:uid="{00000000-0005-0000-0000-00009D030000}"/>
    <cellStyle name="Normal 29" xfId="534" xr:uid="{00000000-0005-0000-0000-00009E030000}"/>
    <cellStyle name="Normal 29 2" xfId="535" xr:uid="{00000000-0005-0000-0000-00009F030000}"/>
    <cellStyle name="Normal 29_Action Plan" xfId="3332" xr:uid="{00000000-0005-0000-0000-0000A0030000}"/>
    <cellStyle name="Normal 3" xfId="241" xr:uid="{00000000-0005-0000-0000-0000A1030000}"/>
    <cellStyle name="Normal 3 10" xfId="536" xr:uid="{00000000-0005-0000-0000-0000A2030000}"/>
    <cellStyle name="Normal 3 11" xfId="537" xr:uid="{00000000-0005-0000-0000-0000A3030000}"/>
    <cellStyle name="Normal 3 12" xfId="538" xr:uid="{00000000-0005-0000-0000-0000A4030000}"/>
    <cellStyle name="Normal 3 13" xfId="539" xr:uid="{00000000-0005-0000-0000-0000A5030000}"/>
    <cellStyle name="Normal 3 14" xfId="540" xr:uid="{00000000-0005-0000-0000-0000A6030000}"/>
    <cellStyle name="Normal 3 2" xfId="1" xr:uid="{00000000-0005-0000-0000-0000A7030000}"/>
    <cellStyle name="Normal 3 2 2" xfId="541" xr:uid="{00000000-0005-0000-0000-0000A8030000}"/>
    <cellStyle name="Normal 3 2 3" xfId="781" xr:uid="{00000000-0005-0000-0000-0000A9030000}"/>
    <cellStyle name="Normal 3 2_CAPEX" xfId="1211" xr:uid="{00000000-0005-0000-0000-0000AA030000}"/>
    <cellStyle name="Normal 3 3" xfId="242" xr:uid="{00000000-0005-0000-0000-0000AB030000}"/>
    <cellStyle name="Normal 3 4" xfId="243" xr:uid="{00000000-0005-0000-0000-0000AC030000}"/>
    <cellStyle name="Normal 3 5" xfId="244" xr:uid="{00000000-0005-0000-0000-0000AD030000}"/>
    <cellStyle name="Normal 3 6" xfId="245" xr:uid="{00000000-0005-0000-0000-0000AE030000}"/>
    <cellStyle name="Normal 3 7" xfId="246" xr:uid="{00000000-0005-0000-0000-0000AF030000}"/>
    <cellStyle name="Normal 3 8" xfId="542" xr:uid="{00000000-0005-0000-0000-0000B0030000}"/>
    <cellStyle name="Normal 3 9" xfId="543" xr:uid="{00000000-0005-0000-0000-0000B1030000}"/>
    <cellStyle name="Normal 3_0. Investissement" xfId="247" xr:uid="{00000000-0005-0000-0000-0000B2030000}"/>
    <cellStyle name="Normal 30" xfId="544" xr:uid="{00000000-0005-0000-0000-0000B3030000}"/>
    <cellStyle name="Normal 30 2" xfId="545" xr:uid="{00000000-0005-0000-0000-0000B4030000}"/>
    <cellStyle name="Normal 30 3" xfId="546" xr:uid="{00000000-0005-0000-0000-0000B5030000}"/>
    <cellStyle name="Normal 30_Action Plan" xfId="3333" xr:uid="{00000000-0005-0000-0000-0000B6030000}"/>
    <cellStyle name="Normal 31" xfId="547" xr:uid="{00000000-0005-0000-0000-0000B7030000}"/>
    <cellStyle name="Normal 32" xfId="548" xr:uid="{00000000-0005-0000-0000-0000B8030000}"/>
    <cellStyle name="Normal 32 2" xfId="549" xr:uid="{00000000-0005-0000-0000-0000B9030000}"/>
    <cellStyle name="Normal 32_Action Plan" xfId="3334" xr:uid="{00000000-0005-0000-0000-0000BA030000}"/>
    <cellStyle name="Normal 33" xfId="550" xr:uid="{00000000-0005-0000-0000-0000BB030000}"/>
    <cellStyle name="Normal 33 2" xfId="551" xr:uid="{00000000-0005-0000-0000-0000BC030000}"/>
    <cellStyle name="Normal 33_Action Plan" xfId="3335" xr:uid="{00000000-0005-0000-0000-0000BD030000}"/>
    <cellStyle name="Normal 34" xfId="552" xr:uid="{00000000-0005-0000-0000-0000BE030000}"/>
    <cellStyle name="Normal 35" xfId="553" xr:uid="{00000000-0005-0000-0000-0000BF030000}"/>
    <cellStyle name="Normal 36" xfId="554" xr:uid="{00000000-0005-0000-0000-0000C0030000}"/>
    <cellStyle name="Normal 37" xfId="555" xr:uid="{00000000-0005-0000-0000-0000C1030000}"/>
    <cellStyle name="Normal 38" xfId="556" xr:uid="{00000000-0005-0000-0000-0000C2030000}"/>
    <cellStyle name="Normal 38 2" xfId="557" xr:uid="{00000000-0005-0000-0000-0000C3030000}"/>
    <cellStyle name="Normal 38 2 2" xfId="1212" xr:uid="{00000000-0005-0000-0000-0000C4030000}"/>
    <cellStyle name="Normal 38 2_Action Plan" xfId="3337" xr:uid="{00000000-0005-0000-0000-0000C5030000}"/>
    <cellStyle name="Normal 38_Action Plan" xfId="3336" xr:uid="{00000000-0005-0000-0000-0000C6030000}"/>
    <cellStyle name="Normal 39" xfId="558" xr:uid="{00000000-0005-0000-0000-0000C7030000}"/>
    <cellStyle name="Normal 4" xfId="248" xr:uid="{00000000-0005-0000-0000-0000C8030000}"/>
    <cellStyle name="Normal 4 2" xfId="559" xr:uid="{00000000-0005-0000-0000-0000C9030000}"/>
    <cellStyle name="Normal 4 3" xfId="560" xr:uid="{00000000-0005-0000-0000-0000CA030000}"/>
    <cellStyle name="Normal 4 5" xfId="1213" xr:uid="{00000000-0005-0000-0000-0000CB030000}"/>
    <cellStyle name="Normal 4_B14_E2_2210" xfId="1214" xr:uid="{00000000-0005-0000-0000-0000CC030000}"/>
    <cellStyle name="Normal 40" xfId="561" xr:uid="{00000000-0005-0000-0000-0000CD030000}"/>
    <cellStyle name="Normal 41" xfId="562" xr:uid="{00000000-0005-0000-0000-0000CE030000}"/>
    <cellStyle name="Normal 42" xfId="563" xr:uid="{00000000-0005-0000-0000-0000CF030000}"/>
    <cellStyle name="Normal 42 2" xfId="1215" xr:uid="{00000000-0005-0000-0000-0000D0030000}"/>
    <cellStyle name="Normal 42_Action Plan" xfId="3338" xr:uid="{00000000-0005-0000-0000-0000D1030000}"/>
    <cellStyle name="Normal 43" xfId="564" xr:uid="{00000000-0005-0000-0000-0000D2030000}"/>
    <cellStyle name="Normal 43 2" xfId="1216" xr:uid="{00000000-0005-0000-0000-0000D3030000}"/>
    <cellStyle name="Normal 43 3" xfId="1217" xr:uid="{00000000-0005-0000-0000-0000D4030000}"/>
    <cellStyle name="Normal 43 4" xfId="1218" xr:uid="{00000000-0005-0000-0000-0000D5030000}"/>
    <cellStyle name="Normal 43 5" xfId="1219" xr:uid="{00000000-0005-0000-0000-0000D6030000}"/>
    <cellStyle name="Normal 43_Action Plan" xfId="3339" xr:uid="{00000000-0005-0000-0000-0000D7030000}"/>
    <cellStyle name="Normal 44" xfId="565" xr:uid="{00000000-0005-0000-0000-0000D8030000}"/>
    <cellStyle name="Normal 45" xfId="566" xr:uid="{00000000-0005-0000-0000-0000D9030000}"/>
    <cellStyle name="Normal 45 2" xfId="1220" xr:uid="{00000000-0005-0000-0000-0000DA030000}"/>
    <cellStyle name="Normal 45_Action Plan" xfId="3340" xr:uid="{00000000-0005-0000-0000-0000DB030000}"/>
    <cellStyle name="Normal 46" xfId="567" xr:uid="{00000000-0005-0000-0000-0000DC030000}"/>
    <cellStyle name="Normal 46 2" xfId="1221" xr:uid="{00000000-0005-0000-0000-0000DD030000}"/>
    <cellStyle name="Normal 46 2 2" xfId="1222" xr:uid="{00000000-0005-0000-0000-0000DE030000}"/>
    <cellStyle name="Normal 46_CAPEX" xfId="1223" xr:uid="{00000000-0005-0000-0000-0000DF030000}"/>
    <cellStyle name="Normal 47" xfId="782" xr:uid="{00000000-0005-0000-0000-0000E0030000}"/>
    <cellStyle name="Normal 48" xfId="1224" xr:uid="{00000000-0005-0000-0000-0000E1030000}"/>
    <cellStyle name="Normal 49" xfId="1225" xr:uid="{00000000-0005-0000-0000-0000E2030000}"/>
    <cellStyle name="Normal 5" xfId="249" xr:uid="{00000000-0005-0000-0000-0000E3030000}"/>
    <cellStyle name="Normal 5 2" xfId="568" xr:uid="{00000000-0005-0000-0000-0000E4030000}"/>
    <cellStyle name="Normal 5_CAPEX" xfId="1226" xr:uid="{00000000-0005-0000-0000-0000E5030000}"/>
    <cellStyle name="Normal 6" xfId="250" xr:uid="{00000000-0005-0000-0000-0000E6030000}"/>
    <cellStyle name="Normal 6 2" xfId="251" xr:uid="{00000000-0005-0000-0000-0000E7030000}"/>
    <cellStyle name="Normal 6 2 2" xfId="569" xr:uid="{00000000-0005-0000-0000-0000E8030000}"/>
    <cellStyle name="Normal 6 2 3" xfId="570" xr:uid="{00000000-0005-0000-0000-0000E9030000}"/>
    <cellStyle name="Normal 6 2_CAPEX" xfId="1227" xr:uid="{00000000-0005-0000-0000-0000EA030000}"/>
    <cellStyle name="Normal 6 3" xfId="252" xr:uid="{00000000-0005-0000-0000-0000EB030000}"/>
    <cellStyle name="Normal 6 4" xfId="253" xr:uid="{00000000-0005-0000-0000-0000EC030000}"/>
    <cellStyle name="Normal 6 5" xfId="254" xr:uid="{00000000-0005-0000-0000-0000ED030000}"/>
    <cellStyle name="Normal 6_0. Investissement" xfId="255" xr:uid="{00000000-0005-0000-0000-0000EE030000}"/>
    <cellStyle name="Normal 60" xfId="1228" xr:uid="{00000000-0005-0000-0000-0000EF030000}"/>
    <cellStyle name="Normal 60 2" xfId="1229" xr:uid="{00000000-0005-0000-0000-0000F0030000}"/>
    <cellStyle name="Normal 60_Action Plan" xfId="3341" xr:uid="{00000000-0005-0000-0000-0000F1030000}"/>
    <cellStyle name="Normal 62" xfId="1230" xr:uid="{00000000-0005-0000-0000-0000F2030000}"/>
    <cellStyle name="Normal 7" xfId="256" xr:uid="{00000000-0005-0000-0000-0000F3030000}"/>
    <cellStyle name="Normal 7 2" xfId="571" xr:uid="{00000000-0005-0000-0000-0000F4030000}"/>
    <cellStyle name="Normal 7 2 2" xfId="572" xr:uid="{00000000-0005-0000-0000-0000F5030000}"/>
    <cellStyle name="Normal 7 2 3" xfId="573" xr:uid="{00000000-0005-0000-0000-0000F6030000}"/>
    <cellStyle name="Normal 7 2_CAPEM BY COUNTRY" xfId="1231" xr:uid="{00000000-0005-0000-0000-0000F7030000}"/>
    <cellStyle name="Normal 7 3" xfId="574" xr:uid="{00000000-0005-0000-0000-0000F8030000}"/>
    <cellStyle name="Normal 7 4" xfId="575" xr:uid="{00000000-0005-0000-0000-0000F9030000}"/>
    <cellStyle name="Normal 7 5" xfId="576" xr:uid="{00000000-0005-0000-0000-0000FA030000}"/>
    <cellStyle name="Normal 7_CAPEX" xfId="1232" xr:uid="{00000000-0005-0000-0000-0000FB030000}"/>
    <cellStyle name="Normal 8" xfId="257" xr:uid="{00000000-0005-0000-0000-0000FC030000}"/>
    <cellStyle name="Normal 8 2" xfId="577" xr:uid="{00000000-0005-0000-0000-0000FD030000}"/>
    <cellStyle name="Normal 8 2 2" xfId="578" xr:uid="{00000000-0005-0000-0000-0000FE030000}"/>
    <cellStyle name="Normal 8 2 3" xfId="579" xr:uid="{00000000-0005-0000-0000-0000FF030000}"/>
    <cellStyle name="Normal 8 2_CAPEM BY COUNTRY" xfId="1233" xr:uid="{00000000-0005-0000-0000-000000040000}"/>
    <cellStyle name="Normal 8 3" xfId="580" xr:uid="{00000000-0005-0000-0000-000001040000}"/>
    <cellStyle name="Normal 8 4" xfId="581" xr:uid="{00000000-0005-0000-0000-000002040000}"/>
    <cellStyle name="Normal 8_CAPEX" xfId="1234" xr:uid="{00000000-0005-0000-0000-000003040000}"/>
    <cellStyle name="Normal 9" xfId="258" xr:uid="{00000000-0005-0000-0000-000004040000}"/>
    <cellStyle name="Normal 9 2" xfId="582" xr:uid="{00000000-0005-0000-0000-000005040000}"/>
    <cellStyle name="Normal 9 2 2" xfId="583" xr:uid="{00000000-0005-0000-0000-000006040000}"/>
    <cellStyle name="Normal 9 2 3" xfId="584" xr:uid="{00000000-0005-0000-0000-000007040000}"/>
    <cellStyle name="Normal 9 2_CAPEM BY COUNTRY" xfId="1235" xr:uid="{00000000-0005-0000-0000-000008040000}"/>
    <cellStyle name="Normal 9 3" xfId="585" xr:uid="{00000000-0005-0000-0000-000009040000}"/>
    <cellStyle name="Normal 9 4" xfId="586" xr:uid="{00000000-0005-0000-0000-00000A040000}"/>
    <cellStyle name="Normal 9_CAPEX" xfId="1236" xr:uid="{00000000-0005-0000-0000-00000B040000}"/>
    <cellStyle name="Normal_Copie de CRD_CRC_domaine TER_ergo" xfId="2" xr:uid="{00000000-0005-0000-0000-00000C040000}"/>
    <cellStyle name="Normal_IFRIC 12 classique" xfId="780" xr:uid="{00000000-0005-0000-0000-00000D040000}"/>
    <cellStyle name="Normal_LTP 2010 - analysis v5" xfId="305" xr:uid="{00000000-0005-0000-0000-00000E040000}"/>
    <cellStyle name="Note" xfId="259" xr:uid="{00000000-0005-0000-0000-00000F040000}"/>
    <cellStyle name="Note 2" xfId="260" xr:uid="{00000000-0005-0000-0000-000010040000}"/>
    <cellStyle name="Note 3" xfId="261" xr:uid="{00000000-0005-0000-0000-000011040000}"/>
    <cellStyle name="Note 4" xfId="262" xr:uid="{00000000-0005-0000-0000-000012040000}"/>
    <cellStyle name="Note 5" xfId="263" xr:uid="{00000000-0005-0000-0000-000013040000}"/>
    <cellStyle name="Note_Action Plan" xfId="3342" xr:uid="{00000000-0005-0000-0000-000014040000}"/>
    <cellStyle name="Notes_multi" xfId="587" xr:uid="{00000000-0005-0000-0000-000015040000}"/>
    <cellStyle name="N䃯rmal_la䇲oux_larou᷸" xfId="264" xr:uid="{00000000-0005-0000-0000-000016040000}"/>
    <cellStyle name="Output" xfId="265" xr:uid="{00000000-0005-0000-0000-000017040000}"/>
    <cellStyle name="Output 2" xfId="266" xr:uid="{00000000-0005-0000-0000-000018040000}"/>
    <cellStyle name="Output 3" xfId="267" xr:uid="{00000000-0005-0000-0000-000019040000}"/>
    <cellStyle name="Output 4" xfId="268" xr:uid="{00000000-0005-0000-0000-00001A040000}"/>
    <cellStyle name="Output 5" xfId="269" xr:uid="{00000000-0005-0000-0000-00001B040000}"/>
    <cellStyle name="Output 6" xfId="270" xr:uid="{00000000-0005-0000-0000-00001C040000}"/>
    <cellStyle name="Output_Action Plan" xfId="3343" xr:uid="{00000000-0005-0000-0000-00001D040000}"/>
    <cellStyle name="p" xfId="588" xr:uid="{00000000-0005-0000-0000-00001E040000}"/>
    <cellStyle name="p_Actualisation provision contrat déficitaire SNCM 2010 V Def" xfId="589" xr:uid="{00000000-0005-0000-0000-00001F040000}"/>
    <cellStyle name="p_Actualisation provision contrat déficitaire SNCM 2010 V Def_B14_E2_2210" xfId="1237" xr:uid="{00000000-0005-0000-0000-000020040000}"/>
    <cellStyle name="p_Actualisation provision contrat déficitaire SNCM 2010 V Def_B14_E2_2210_Bridge_Zone_Sud" xfId="1238" xr:uid="{00000000-0005-0000-0000-000021040000}"/>
    <cellStyle name="p_Actualisation provision contrat déficitaire SNCM 2010 V Def_Bridge_Zone_Sud" xfId="1239" xr:uid="{00000000-0005-0000-0000-000022040000}"/>
    <cellStyle name="p_Actualisation provision contrat déficitaire SNCM 2011 V3 30 05 2011" xfId="590" xr:uid="{00000000-0005-0000-0000-000023040000}"/>
    <cellStyle name="p_Actualisation provision contrat déficitaire SNCM 2011 V3 30 05 2011_B14_E2_2210" xfId="1240" xr:uid="{00000000-0005-0000-0000-000024040000}"/>
    <cellStyle name="p_Actualisation provision contrat déficitaire SNCM 2011 V3 30 05 2011_B14_E2_2210_Bridge_Zone_Sud" xfId="1241" xr:uid="{00000000-0005-0000-0000-000025040000}"/>
    <cellStyle name="p_Actualisation provision contrat déficitaire SNCM 2011 V3 30 05 2011_Bridge_Zone_Sud" xfId="1242" xr:uid="{00000000-0005-0000-0000-000026040000}"/>
    <cellStyle name="p_B14_E2_2210" xfId="1243" xr:uid="{00000000-0005-0000-0000-000027040000}"/>
    <cellStyle name="p_B14_E2_2210_Bridge_Zone_Sud" xfId="1244" xr:uid="{00000000-0005-0000-0000-000028040000}"/>
    <cellStyle name="p_Bridge_Zone_Sud" xfId="1245" xr:uid="{00000000-0005-0000-0000-000029040000}"/>
    <cellStyle name="p_PPA SNCM - présentation CAC 28 06 2011" xfId="591" xr:uid="{00000000-0005-0000-0000-00002A040000}"/>
    <cellStyle name="p_PPA SNCM - présentation CAC 28 06 2011_B14_E2_2210" xfId="1246" xr:uid="{00000000-0005-0000-0000-00002B040000}"/>
    <cellStyle name="p_PPA SNCM - présentation CAC 28 06 2011_B14_E2_2210_Bridge_Zone_Sud" xfId="1247" xr:uid="{00000000-0005-0000-0000-00002C040000}"/>
    <cellStyle name="p_PPA SNCM - présentation CAC 28 06 2011_Bridge_Zone_Sud" xfId="1248" xr:uid="{00000000-0005-0000-0000-00002D040000}"/>
    <cellStyle name="pb_page_heading_LS" xfId="592" xr:uid="{00000000-0005-0000-0000-00002E040000}"/>
    <cellStyle name="pe" xfId="593" xr:uid="{00000000-0005-0000-0000-00002F040000}"/>
    <cellStyle name="per" xfId="594" xr:uid="{00000000-0005-0000-0000-000030040000}"/>
    <cellStyle name="Percent [0]" xfId="595" xr:uid="{00000000-0005-0000-0000-000031040000}"/>
    <cellStyle name="Percent [1]" xfId="596" xr:uid="{00000000-0005-0000-0000-000032040000}"/>
    <cellStyle name="Percent [2]" xfId="597" xr:uid="{00000000-0005-0000-0000-000033040000}"/>
    <cellStyle name="Percent 10" xfId="271" xr:uid="{00000000-0005-0000-0000-000034040000}"/>
    <cellStyle name="Percent 2" xfId="272" xr:uid="{00000000-0005-0000-0000-000035040000}"/>
    <cellStyle name="Percent 2 2" xfId="273" xr:uid="{00000000-0005-0000-0000-000036040000}"/>
    <cellStyle name="Percent 3" xfId="274" xr:uid="{00000000-0005-0000-0000-000037040000}"/>
    <cellStyle name="Percent 3 2" xfId="1249" xr:uid="{00000000-0005-0000-0000-000038040000}"/>
    <cellStyle name="Percent 32" xfId="1250" xr:uid="{00000000-0005-0000-0000-000039040000}"/>
    <cellStyle name="Percent 32 3" xfId="1251" xr:uid="{00000000-0005-0000-0000-00003A040000}"/>
    <cellStyle name="Percent 4" xfId="275" xr:uid="{00000000-0005-0000-0000-00003B040000}"/>
    <cellStyle name="Percent 5" xfId="276" xr:uid="{00000000-0005-0000-0000-00003C040000}"/>
    <cellStyle name="Percent 5 2" xfId="277" xr:uid="{00000000-0005-0000-0000-00003D040000}"/>
    <cellStyle name="Percent 5 3" xfId="278" xr:uid="{00000000-0005-0000-0000-00003E040000}"/>
    <cellStyle name="Percent 5 4" xfId="279" xr:uid="{00000000-0005-0000-0000-00003F040000}"/>
    <cellStyle name="Percent 5 5" xfId="280" xr:uid="{00000000-0005-0000-0000-000040040000}"/>
    <cellStyle name="Percent 6" xfId="281" xr:uid="{00000000-0005-0000-0000-000041040000}"/>
    <cellStyle name="Percent 7" xfId="282" xr:uid="{00000000-0005-0000-0000-000042040000}"/>
    <cellStyle name="Percent 8" xfId="283" xr:uid="{00000000-0005-0000-0000-000043040000}"/>
    <cellStyle name="Percent 9" xfId="284" xr:uid="{00000000-0005-0000-0000-000044040000}"/>
    <cellStyle name="Pound" xfId="598" xr:uid="{00000000-0005-0000-0000-000045040000}"/>
    <cellStyle name="Pound [1]" xfId="599" xr:uid="{00000000-0005-0000-0000-000046040000}"/>
    <cellStyle name="Pound [2]" xfId="600" xr:uid="{00000000-0005-0000-0000-000047040000}"/>
    <cellStyle name="Pound_CAPEM BY COUNTRY" xfId="1252" xr:uid="{00000000-0005-0000-0000-000048040000}"/>
    <cellStyle name="Pourcentage" xfId="778" builtinId="5"/>
    <cellStyle name="Pourcentage 10" xfId="601" xr:uid="{00000000-0005-0000-0000-00004A040000}"/>
    <cellStyle name="Pourcentage 11" xfId="602" xr:uid="{00000000-0005-0000-0000-00004B040000}"/>
    <cellStyle name="Pourcentage 12" xfId="603" xr:uid="{00000000-0005-0000-0000-00004C040000}"/>
    <cellStyle name="Pourcentage 13" xfId="604" xr:uid="{00000000-0005-0000-0000-00004D040000}"/>
    <cellStyle name="Pourcentage 14" xfId="605" xr:uid="{00000000-0005-0000-0000-00004E040000}"/>
    <cellStyle name="Pourcentage 15" xfId="606" xr:uid="{00000000-0005-0000-0000-00004F040000}"/>
    <cellStyle name="Pourcentage 16" xfId="607" xr:uid="{00000000-0005-0000-0000-000050040000}"/>
    <cellStyle name="Pourcentage 17" xfId="608" xr:uid="{00000000-0005-0000-0000-000051040000}"/>
    <cellStyle name="Pourcentage 17 2" xfId="1253" xr:uid="{00000000-0005-0000-0000-000052040000}"/>
    <cellStyle name="Pourcentage 18" xfId="609" xr:uid="{00000000-0005-0000-0000-000053040000}"/>
    <cellStyle name="Pourcentage 18 2" xfId="1254" xr:uid="{00000000-0005-0000-0000-000054040000}"/>
    <cellStyle name="Pourcentage 19" xfId="783" xr:uid="{00000000-0005-0000-0000-000055040000}"/>
    <cellStyle name="Pourcentage 2" xfId="285" xr:uid="{00000000-0005-0000-0000-000056040000}"/>
    <cellStyle name="Pourcentage 2 2" xfId="610" xr:uid="{00000000-0005-0000-0000-000057040000}"/>
    <cellStyle name="Pourcentage 2 3" xfId="611" xr:uid="{00000000-0005-0000-0000-000058040000}"/>
    <cellStyle name="Pourcentage 2 3 2" xfId="1255" xr:uid="{00000000-0005-0000-0000-000059040000}"/>
    <cellStyle name="Pourcentage 2 4" xfId="612" xr:uid="{00000000-0005-0000-0000-00005A040000}"/>
    <cellStyle name="Pourcentage 2 5" xfId="613" xr:uid="{00000000-0005-0000-0000-00005B040000}"/>
    <cellStyle name="Pourcentage 2 6" xfId="614" xr:uid="{00000000-0005-0000-0000-00005C040000}"/>
    <cellStyle name="Pourcentage 2 7" xfId="615" xr:uid="{00000000-0005-0000-0000-00005D040000}"/>
    <cellStyle name="Pourcentage 2 8" xfId="616" xr:uid="{00000000-0005-0000-0000-00005E040000}"/>
    <cellStyle name="Pourcentage 3" xfId="286" xr:uid="{00000000-0005-0000-0000-00005F040000}"/>
    <cellStyle name="Pourcentage 3 2" xfId="617" xr:uid="{00000000-0005-0000-0000-000060040000}"/>
    <cellStyle name="Pourcentage 4" xfId="4" xr:uid="{00000000-0005-0000-0000-000061040000}"/>
    <cellStyle name="Pourcentage 4 2" xfId="618" xr:uid="{00000000-0005-0000-0000-000062040000}"/>
    <cellStyle name="Pourcentage 5" xfId="619" xr:uid="{00000000-0005-0000-0000-000063040000}"/>
    <cellStyle name="Pourcentage 5 2" xfId="620" xr:uid="{00000000-0005-0000-0000-000064040000}"/>
    <cellStyle name="Pourcentage 6" xfId="621" xr:uid="{00000000-0005-0000-0000-000065040000}"/>
    <cellStyle name="Pourcentage 6 2" xfId="622" xr:uid="{00000000-0005-0000-0000-000066040000}"/>
    <cellStyle name="Pourcentage 7" xfId="623" xr:uid="{00000000-0005-0000-0000-000067040000}"/>
    <cellStyle name="Pourcentage 8" xfId="624" xr:uid="{00000000-0005-0000-0000-000068040000}"/>
    <cellStyle name="Pourcentage 8 2" xfId="625" xr:uid="{00000000-0005-0000-0000-000069040000}"/>
    <cellStyle name="Pourcentage 9" xfId="626" xr:uid="{00000000-0005-0000-0000-00006A040000}"/>
    <cellStyle name="Prosenttia 10" xfId="1256" xr:uid="{00000000-0005-0000-0000-00006B040000}"/>
    <cellStyle name="Prosenttia 2" xfId="1257" xr:uid="{00000000-0005-0000-0000-00006C040000}"/>
    <cellStyle name="ptit" xfId="627" xr:uid="{00000000-0005-0000-0000-00006D040000}"/>
    <cellStyle name="rat" xfId="628" xr:uid="{00000000-0005-0000-0000-00006E040000}"/>
    <cellStyle name="rate" xfId="629" xr:uid="{00000000-0005-0000-0000-00006F040000}"/>
    <cellStyle name="ratio" xfId="630" xr:uid="{00000000-0005-0000-0000-000070040000}"/>
    <cellStyle name="s" xfId="631" xr:uid="{00000000-0005-0000-0000-000071040000}"/>
    <cellStyle name="s_Actualisation provision contrat déficitaire SNCM 2010 V Def" xfId="632" xr:uid="{00000000-0005-0000-0000-000072040000}"/>
    <cellStyle name="s_Actualisation provision contrat déficitaire SNCM 2010 V Def_B14_E2_2210" xfId="1258" xr:uid="{00000000-0005-0000-0000-000073040000}"/>
    <cellStyle name="s_Actualisation provision contrat déficitaire SNCM 2010 V Def_B14_E2_2210_Bridge_Zone_Sud" xfId="1259" xr:uid="{00000000-0005-0000-0000-000074040000}"/>
    <cellStyle name="s_Actualisation provision contrat déficitaire SNCM 2010 V Def_Bridge_Zone_Sud" xfId="1260" xr:uid="{00000000-0005-0000-0000-000075040000}"/>
    <cellStyle name="s_Actualisation provision contrat déficitaire SNCM 2010 V Def_CAPEM BY COUNTRY" xfId="1261" xr:uid="{00000000-0005-0000-0000-000076040000}"/>
    <cellStyle name="s_Actualisation provision contrat déficitaire SNCM 2010 V Def_focus par entités CAFOPE2AMF" xfId="1262" xr:uid="{00000000-0005-0000-0000-000077040000}"/>
    <cellStyle name="s_Actualisation provision contrat déficitaire SNCM 2010 V Def_focus par entités CAFOPE2AMF_Bridge_Zone_Sud" xfId="1263" xr:uid="{00000000-0005-0000-0000-000078040000}"/>
    <cellStyle name="s_Actualisation provision contrat déficitaire SNCM 2010 V Def_Maquette PLT" xfId="1264" xr:uid="{00000000-0005-0000-0000-000079040000}"/>
    <cellStyle name="s_Actualisation provision contrat déficitaire SNCM 2010 V Def_Output" xfId="3371" xr:uid="{00000000-0005-0000-0000-00007A040000}"/>
    <cellStyle name="s_Actualisation provision contrat déficitaire SNCM 2010 V Def_PAO-CAF-RESOP_04_13_pro_format_variante T1" xfId="1265" xr:uid="{00000000-0005-0000-0000-00007B040000}"/>
    <cellStyle name="s_Actualisation provision contrat déficitaire SNCM 2010 V Def_PAO-CAF-RESOP_04_13_pro_format_variante T1_B14_E2_2210" xfId="1266" xr:uid="{00000000-0005-0000-0000-00007C040000}"/>
    <cellStyle name="s_Actualisation provision contrat déficitaire SNCM 2010 V Def_PAO-CAF-RESOP_04_13_pro_format_variante T1_B14_E2_2210_Bridge_Zone_Sud" xfId="1267" xr:uid="{00000000-0005-0000-0000-00007D040000}"/>
    <cellStyle name="s_Actualisation provision contrat déficitaire SNCM 2010 V Def_PAO-CAF-RESOP_04_13_pro_format_variante T1_Bridge_Zone_Sud" xfId="1268" xr:uid="{00000000-0005-0000-0000-00007E040000}"/>
    <cellStyle name="s_Actualisation provision contrat déficitaire SNCM 2010 V Def_PAO-CAF-RESOP_06_13" xfId="1269" xr:uid="{00000000-0005-0000-0000-00007F040000}"/>
    <cellStyle name="s_Actualisation provision contrat déficitaire SNCM 2010 V Def_PAO-CAF-RESOP_06_13_B14_E2_2210" xfId="1270" xr:uid="{00000000-0005-0000-0000-000080040000}"/>
    <cellStyle name="s_Actualisation provision contrat déficitaire SNCM 2010 V Def_PAO-CAF-RESOP_06_13_B14_E2_2210_Bridge_Zone_Sud" xfId="1271" xr:uid="{00000000-0005-0000-0000-000081040000}"/>
    <cellStyle name="s_Actualisation provision contrat déficitaire SNCM 2010 V Def_PAO-CAF-RESOP_06_13_Bridge_Zone_Sud" xfId="1272" xr:uid="{00000000-0005-0000-0000-000082040000}"/>
    <cellStyle name="s_Actualisation provision contrat déficitaire SNCM 2010 V Def_PAO-CAF-RESOP_08_13" xfId="1273" xr:uid="{00000000-0005-0000-0000-000083040000}"/>
    <cellStyle name="s_Actualisation provision contrat déficitaire SNCM 2010 V Def_PAO-CAF-RESOP_08_13_B14_E2_2210" xfId="1274" xr:uid="{00000000-0005-0000-0000-000084040000}"/>
    <cellStyle name="s_Actualisation provision contrat déficitaire SNCM 2010 V Def_PAO-CAF-RESOP_08_13_B14_E2_2210_Bridge_Zone_Sud" xfId="1275" xr:uid="{00000000-0005-0000-0000-000085040000}"/>
    <cellStyle name="s_Actualisation provision contrat déficitaire SNCM 2010 V Def_PAO-CAF-RESOP_08_13_Bridge_Zone_Sud" xfId="1276" xr:uid="{00000000-0005-0000-0000-000086040000}"/>
    <cellStyle name="s_Actualisation provision contrat déficitaire SNCM 2010 V Def_PAO-CAF-RESOP_09_13" xfId="1277" xr:uid="{00000000-0005-0000-0000-000087040000}"/>
    <cellStyle name="s_Actualisation provision contrat déficitaire SNCM 2010 V Def_PAO-CAF-RESOP_09_13_Bridge_Zone_Sud" xfId="1278" xr:uid="{00000000-0005-0000-0000-000088040000}"/>
    <cellStyle name="s_Actualisation provision contrat déficitaire SNCM 2010 V Def_PAO-CAF-RESOP_09_2013_Zone_IDF (version 2)" xfId="1279" xr:uid="{00000000-0005-0000-0000-000089040000}"/>
    <cellStyle name="s_Actualisation provision contrat déficitaire SNCM 2010 V Def_PAO-CAF-RESOP_10_12" xfId="1280" xr:uid="{00000000-0005-0000-0000-00008A040000}"/>
    <cellStyle name="s_Actualisation provision contrat déficitaire SNCM 2010 V Def_PAO-CAF-RESOP_10_12_Bridge_Zone_Sud" xfId="1281" xr:uid="{00000000-0005-0000-0000-00008B040000}"/>
    <cellStyle name="s_Actualisation provision contrat déficitaire SNCM 2010 V Def_PAO-CAF-RESOP_10_12_focus par entités CAFOP" xfId="1282" xr:uid="{00000000-0005-0000-0000-00008C040000}"/>
    <cellStyle name="s_Actualisation provision contrat déficitaire SNCM 2010 V Def_PAO-CAF-RESOP_10_12_focus par entités CAFOP_Bridge_Zone_Sud" xfId="1283" xr:uid="{00000000-0005-0000-0000-00008D040000}"/>
    <cellStyle name="s_Actualisation provision contrat déficitaire SNCM 2010 V Def_PAO-CAF-RESOP_11_13" xfId="1284" xr:uid="{00000000-0005-0000-0000-00008E040000}"/>
    <cellStyle name="s_Actualisation provision contrat déficitaire SNCM 2010 V Def_PAO-CAF-RESOP_B13" xfId="1285" xr:uid="{00000000-0005-0000-0000-00008F040000}"/>
    <cellStyle name="s_Actualisation provision contrat déficitaire SNCM 2010 V Def_PAO-CAF-RESOP_B13_Bridge_Zone_Sud" xfId="1286" xr:uid="{00000000-0005-0000-0000-000090040000}"/>
    <cellStyle name="s_Actualisation provision contrat déficitaire SNCM 2010 V Def_PAO-CAF-RESOP_B13_focus par entités CAFOP" xfId="1287" xr:uid="{00000000-0005-0000-0000-000091040000}"/>
    <cellStyle name="s_Actualisation provision contrat déficitaire SNCM 2010 V Def_PAO-CAF-RESOP_B13_focus par entités CAFOP_Bridge_Zone_Sud" xfId="1288" xr:uid="{00000000-0005-0000-0000-000092040000}"/>
    <cellStyle name="s_Actualisation provision contrat déficitaire SNCM 2010 V Def_PAO-CAF-RESOP_B2014" xfId="1289" xr:uid="{00000000-0005-0000-0000-000093040000}"/>
    <cellStyle name="s_Actualisation provision contrat déficitaire SNCM 2010 V Def_PAO-CAF-RESOP_B2014_Bridge_Zone_Sud" xfId="1290" xr:uid="{00000000-0005-0000-0000-000094040000}"/>
    <cellStyle name="s_Actualisation provision contrat déficitaire SNCM 2010 V Def_PAO-CAF-RESOP_B2014_v2" xfId="1291" xr:uid="{00000000-0005-0000-0000-000095040000}"/>
    <cellStyle name="s_Actualisation provision contrat déficitaire SNCM 2010 V Def_PAO-CAF-RESOP_E2_13" xfId="1292" xr:uid="{00000000-0005-0000-0000-000096040000}"/>
    <cellStyle name="s_Actualisation provision contrat déficitaire SNCM 2010 V Def_PAO-CAF-RESOP_E2_13_B14_E2_2210" xfId="1293" xr:uid="{00000000-0005-0000-0000-000097040000}"/>
    <cellStyle name="s_Actualisation provision contrat déficitaire SNCM 2010 V Def_PAO-CAF-RESOP_E2_13_B14_E2_2210_Bridge_Zone_Sud" xfId="1294" xr:uid="{00000000-0005-0000-0000-000098040000}"/>
    <cellStyle name="s_Actualisation provision contrat déficitaire SNCM 2010 V Def_PAO-CAF-RESOP_E2_13_Bridge_Zone_Sud" xfId="1295" xr:uid="{00000000-0005-0000-0000-000099040000}"/>
    <cellStyle name="s_Actualisation provision contrat déficitaire SNCM 2010 V Def_PAO-CAF-RESOP_E2_2013_03_10_19H" xfId="1296" xr:uid="{00000000-0005-0000-0000-00009A040000}"/>
    <cellStyle name="s_Actualisation provision contrat déficitaire SNCM 2010 V Def_PAO-CAF-RESOP_E2_2013_03_10_19H_Bridge_Zone_Sud" xfId="1297" xr:uid="{00000000-0005-0000-0000-00009B040000}"/>
    <cellStyle name="s_Actualisation provision contrat déficitaire SNCM 2010 V Def_PPA" xfId="1298" xr:uid="{00000000-0005-0000-0000-00009C040000}"/>
    <cellStyle name="s_Actualisation provision contrat déficitaire SNCM 2010 V Def_RESOP bef CICE&amp;PPA&amp;RepartHO" xfId="1299" xr:uid="{00000000-0005-0000-0000-00009D040000}"/>
    <cellStyle name="s_Actualisation provision contrat déficitaire SNCM 2010 V Def_Synthèse_Présentation_conso_retraitée" xfId="1300" xr:uid="{00000000-0005-0000-0000-00009E040000}"/>
    <cellStyle name="s_Actualisation provision contrat déficitaire SNCM 2011 V3 30 05 2011" xfId="633" xr:uid="{00000000-0005-0000-0000-00009F040000}"/>
    <cellStyle name="s_Actualisation provision contrat déficitaire SNCM 2011 V3 30 05 2011_B14_E2_2210" xfId="1301" xr:uid="{00000000-0005-0000-0000-0000A0040000}"/>
    <cellStyle name="s_Actualisation provision contrat déficitaire SNCM 2011 V3 30 05 2011_B14_E2_2210_Bridge_Zone_Sud" xfId="1302" xr:uid="{00000000-0005-0000-0000-0000A1040000}"/>
    <cellStyle name="s_Actualisation provision contrat déficitaire SNCM 2011 V3 30 05 2011_Bridge_Zone_Sud" xfId="1303" xr:uid="{00000000-0005-0000-0000-0000A2040000}"/>
    <cellStyle name="s_Actualisation provision contrat déficitaire SNCM 2011 V3 30 05 2011_CAPEM BY COUNTRY" xfId="1304" xr:uid="{00000000-0005-0000-0000-0000A3040000}"/>
    <cellStyle name="s_Actualisation provision contrat déficitaire SNCM 2011 V3 30 05 2011_focus par entités CAFOPE2AMF" xfId="1305" xr:uid="{00000000-0005-0000-0000-0000A4040000}"/>
    <cellStyle name="s_Actualisation provision contrat déficitaire SNCM 2011 V3 30 05 2011_focus par entités CAFOPE2AMF_Bridge_Zone_Sud" xfId="1306" xr:uid="{00000000-0005-0000-0000-0000A5040000}"/>
    <cellStyle name="s_Actualisation provision contrat déficitaire SNCM 2011 V3 30 05 2011_Maquette PLT" xfId="1307" xr:uid="{00000000-0005-0000-0000-0000A6040000}"/>
    <cellStyle name="s_Actualisation provision contrat déficitaire SNCM 2011 V3 30 05 2011_Output" xfId="3372" xr:uid="{00000000-0005-0000-0000-0000A7040000}"/>
    <cellStyle name="s_Actualisation provision contrat déficitaire SNCM 2011 V3 30 05 2011_PAO-CAF-RESOP_04_13_pro_format_variante T1" xfId="1308" xr:uid="{00000000-0005-0000-0000-0000A8040000}"/>
    <cellStyle name="s_Actualisation provision contrat déficitaire SNCM 2011 V3 30 05 2011_PAO-CAF-RESOP_04_13_pro_format_variante T1_B14_E2_2210" xfId="1309" xr:uid="{00000000-0005-0000-0000-0000A9040000}"/>
    <cellStyle name="s_Actualisation provision contrat déficitaire SNCM 2011 V3 30 05 2011_PAO-CAF-RESOP_04_13_pro_format_variante T1_B14_E2_2210_Bridge_Zone_Sud" xfId="1310" xr:uid="{00000000-0005-0000-0000-0000AA040000}"/>
    <cellStyle name="s_Actualisation provision contrat déficitaire SNCM 2011 V3 30 05 2011_PAO-CAF-RESOP_04_13_pro_format_variante T1_Bridge_Zone_Sud" xfId="1311" xr:uid="{00000000-0005-0000-0000-0000AB040000}"/>
    <cellStyle name="s_Actualisation provision contrat déficitaire SNCM 2011 V3 30 05 2011_PAO-CAF-RESOP_06_13" xfId="1312" xr:uid="{00000000-0005-0000-0000-0000AC040000}"/>
    <cellStyle name="s_Actualisation provision contrat déficitaire SNCM 2011 V3 30 05 2011_PAO-CAF-RESOP_06_13_B14_E2_2210" xfId="1313" xr:uid="{00000000-0005-0000-0000-0000AD040000}"/>
    <cellStyle name="s_Actualisation provision contrat déficitaire SNCM 2011 V3 30 05 2011_PAO-CAF-RESOP_06_13_B14_E2_2210_Bridge_Zone_Sud" xfId="1314" xr:uid="{00000000-0005-0000-0000-0000AE040000}"/>
    <cellStyle name="s_Actualisation provision contrat déficitaire SNCM 2011 V3 30 05 2011_PAO-CAF-RESOP_06_13_Bridge_Zone_Sud" xfId="1315" xr:uid="{00000000-0005-0000-0000-0000AF040000}"/>
    <cellStyle name="s_Actualisation provision contrat déficitaire SNCM 2011 V3 30 05 2011_PAO-CAF-RESOP_08_13" xfId="1316" xr:uid="{00000000-0005-0000-0000-0000B0040000}"/>
    <cellStyle name="s_Actualisation provision contrat déficitaire SNCM 2011 V3 30 05 2011_PAO-CAF-RESOP_08_13_B14_E2_2210" xfId="1317" xr:uid="{00000000-0005-0000-0000-0000B1040000}"/>
    <cellStyle name="s_Actualisation provision contrat déficitaire SNCM 2011 V3 30 05 2011_PAO-CAF-RESOP_08_13_B14_E2_2210_Bridge_Zone_Sud" xfId="1318" xr:uid="{00000000-0005-0000-0000-0000B2040000}"/>
    <cellStyle name="s_Actualisation provision contrat déficitaire SNCM 2011 V3 30 05 2011_PAO-CAF-RESOP_08_13_Bridge_Zone_Sud" xfId="1319" xr:uid="{00000000-0005-0000-0000-0000B3040000}"/>
    <cellStyle name="s_Actualisation provision contrat déficitaire SNCM 2011 V3 30 05 2011_PAO-CAF-RESOP_09_13" xfId="1320" xr:uid="{00000000-0005-0000-0000-0000B4040000}"/>
    <cellStyle name="s_Actualisation provision contrat déficitaire SNCM 2011 V3 30 05 2011_PAO-CAF-RESOP_09_13_Bridge_Zone_Sud" xfId="1321" xr:uid="{00000000-0005-0000-0000-0000B5040000}"/>
    <cellStyle name="s_Actualisation provision contrat déficitaire SNCM 2011 V3 30 05 2011_PAO-CAF-RESOP_09_2013_Zone_IDF (version 2)" xfId="1322" xr:uid="{00000000-0005-0000-0000-0000B6040000}"/>
    <cellStyle name="s_Actualisation provision contrat déficitaire SNCM 2011 V3 30 05 2011_PAO-CAF-RESOP_10_12" xfId="1323" xr:uid="{00000000-0005-0000-0000-0000B7040000}"/>
    <cellStyle name="s_Actualisation provision contrat déficitaire SNCM 2011 V3 30 05 2011_PAO-CAF-RESOP_10_12_Bridge_Zone_Sud" xfId="1324" xr:uid="{00000000-0005-0000-0000-0000B8040000}"/>
    <cellStyle name="s_Actualisation provision contrat déficitaire SNCM 2011 V3 30 05 2011_PAO-CAF-RESOP_10_12_focus par entités CAFOP" xfId="1325" xr:uid="{00000000-0005-0000-0000-0000B9040000}"/>
    <cellStyle name="s_Actualisation provision contrat déficitaire SNCM 2011 V3 30 05 2011_PAO-CAF-RESOP_10_12_focus par entités CAFOP_Bridge_Zone_Sud" xfId="1326" xr:uid="{00000000-0005-0000-0000-0000BA040000}"/>
    <cellStyle name="s_Actualisation provision contrat déficitaire SNCM 2011 V3 30 05 2011_PAO-CAF-RESOP_11_13" xfId="1327" xr:uid="{00000000-0005-0000-0000-0000BB040000}"/>
    <cellStyle name="s_Actualisation provision contrat déficitaire SNCM 2011 V3 30 05 2011_PAO-CAF-RESOP_B13" xfId="1328" xr:uid="{00000000-0005-0000-0000-0000BC040000}"/>
    <cellStyle name="s_Actualisation provision contrat déficitaire SNCM 2011 V3 30 05 2011_PAO-CAF-RESOP_B13_Bridge_Zone_Sud" xfId="1329" xr:uid="{00000000-0005-0000-0000-0000BD040000}"/>
    <cellStyle name="s_Actualisation provision contrat déficitaire SNCM 2011 V3 30 05 2011_PAO-CAF-RESOP_B13_focus par entités CAFOP" xfId="1330" xr:uid="{00000000-0005-0000-0000-0000BE040000}"/>
    <cellStyle name="s_Actualisation provision contrat déficitaire SNCM 2011 V3 30 05 2011_PAO-CAF-RESOP_B13_focus par entités CAFOP_Bridge_Zone_Sud" xfId="1331" xr:uid="{00000000-0005-0000-0000-0000BF040000}"/>
    <cellStyle name="s_Actualisation provision contrat déficitaire SNCM 2011 V3 30 05 2011_PAO-CAF-RESOP_B2014" xfId="1332" xr:uid="{00000000-0005-0000-0000-0000C0040000}"/>
    <cellStyle name="s_Actualisation provision contrat déficitaire SNCM 2011 V3 30 05 2011_PAO-CAF-RESOP_B2014_Bridge_Zone_Sud" xfId="1333" xr:uid="{00000000-0005-0000-0000-0000C1040000}"/>
    <cellStyle name="s_Actualisation provision contrat déficitaire SNCM 2011 V3 30 05 2011_PAO-CAF-RESOP_B2014_v2" xfId="1334" xr:uid="{00000000-0005-0000-0000-0000C2040000}"/>
    <cellStyle name="s_Actualisation provision contrat déficitaire SNCM 2011 V3 30 05 2011_PAO-CAF-RESOP_E2_13" xfId="1335" xr:uid="{00000000-0005-0000-0000-0000C3040000}"/>
    <cellStyle name="s_Actualisation provision contrat déficitaire SNCM 2011 V3 30 05 2011_PAO-CAF-RESOP_E2_13_B14_E2_2210" xfId="1336" xr:uid="{00000000-0005-0000-0000-0000C4040000}"/>
    <cellStyle name="s_Actualisation provision contrat déficitaire SNCM 2011 V3 30 05 2011_PAO-CAF-RESOP_E2_13_B14_E2_2210_Bridge_Zone_Sud" xfId="1337" xr:uid="{00000000-0005-0000-0000-0000C5040000}"/>
    <cellStyle name="s_Actualisation provision contrat déficitaire SNCM 2011 V3 30 05 2011_PAO-CAF-RESOP_E2_13_Bridge_Zone_Sud" xfId="1338" xr:uid="{00000000-0005-0000-0000-0000C6040000}"/>
    <cellStyle name="s_Actualisation provision contrat déficitaire SNCM 2011 V3 30 05 2011_PAO-CAF-RESOP_E2_2013_03_10_19H" xfId="1339" xr:uid="{00000000-0005-0000-0000-0000C7040000}"/>
    <cellStyle name="s_Actualisation provision contrat déficitaire SNCM 2011 V3 30 05 2011_PAO-CAF-RESOP_E2_2013_03_10_19H_Bridge_Zone_Sud" xfId="1340" xr:uid="{00000000-0005-0000-0000-0000C8040000}"/>
    <cellStyle name="s_Actualisation provision contrat déficitaire SNCM 2011 V3 30 05 2011_PPA" xfId="1341" xr:uid="{00000000-0005-0000-0000-0000C9040000}"/>
    <cellStyle name="s_Actualisation provision contrat déficitaire SNCM 2011 V3 30 05 2011_RESOP bef CICE&amp;PPA&amp;RepartHO" xfId="1342" xr:uid="{00000000-0005-0000-0000-0000CA040000}"/>
    <cellStyle name="s_Actualisation provision contrat déficitaire SNCM 2011 V3 30 05 2011_Synthèse_Présentation_conso_retraitée" xfId="1343" xr:uid="{00000000-0005-0000-0000-0000CB040000}"/>
    <cellStyle name="s_Assumptions" xfId="634" xr:uid="{00000000-0005-0000-0000-0000CC040000}"/>
    <cellStyle name="s_Assumptions_Actualisation provision contrat déficitaire SNCM 2010 V Def" xfId="635" xr:uid="{00000000-0005-0000-0000-0000CD040000}"/>
    <cellStyle name="s_Assumptions_Actualisation provision contrat déficitaire SNCM 2010 V Def_B14_E2_2210" xfId="1344" xr:uid="{00000000-0005-0000-0000-0000CE040000}"/>
    <cellStyle name="s_Assumptions_Actualisation provision contrat déficitaire SNCM 2010 V Def_B14_E2_2210_Bridge_Zone_Sud" xfId="1345" xr:uid="{00000000-0005-0000-0000-0000CF040000}"/>
    <cellStyle name="s_Assumptions_Actualisation provision contrat déficitaire SNCM 2010 V Def_Bridge_Zone_Sud" xfId="1346" xr:uid="{00000000-0005-0000-0000-0000D0040000}"/>
    <cellStyle name="s_Assumptions_Actualisation provision contrat déficitaire SNCM 2010 V Def_CAPEM BY COUNTRY" xfId="1347" xr:uid="{00000000-0005-0000-0000-0000D1040000}"/>
    <cellStyle name="s_Assumptions_Actualisation provision contrat déficitaire SNCM 2010 V Def_focus par entités CAFOPE2AMF" xfId="1348" xr:uid="{00000000-0005-0000-0000-0000D2040000}"/>
    <cellStyle name="s_Assumptions_Actualisation provision contrat déficitaire SNCM 2010 V Def_focus par entités CAFOPE2AMF_Bridge_Zone_Sud" xfId="1349" xr:uid="{00000000-0005-0000-0000-0000D3040000}"/>
    <cellStyle name="s_Assumptions_Actualisation provision contrat déficitaire SNCM 2010 V Def_Maquette PLT" xfId="1350" xr:uid="{00000000-0005-0000-0000-0000D4040000}"/>
    <cellStyle name="s_Assumptions_Actualisation provision contrat déficitaire SNCM 2010 V Def_Output" xfId="3373" xr:uid="{00000000-0005-0000-0000-0000D5040000}"/>
    <cellStyle name="s_Assumptions_Actualisation provision contrat déficitaire SNCM 2010 V Def_PAO-CAF-RESOP_04_13_pro_format_variante T1" xfId="1351" xr:uid="{00000000-0005-0000-0000-0000D6040000}"/>
    <cellStyle name="s_Assumptions_Actualisation provision contrat déficitaire SNCM 2010 V Def_PAO-CAF-RESOP_04_13_pro_format_variante T1_B14_E2_2210" xfId="1352" xr:uid="{00000000-0005-0000-0000-0000D7040000}"/>
    <cellStyle name="s_Assumptions_Actualisation provision contrat déficitaire SNCM 2010 V Def_PAO-CAF-RESOP_04_13_pro_format_variante T1_B14_E2_2210_Bridge_Zone_Sud" xfId="1353" xr:uid="{00000000-0005-0000-0000-0000D8040000}"/>
    <cellStyle name="s_Assumptions_Actualisation provision contrat déficitaire SNCM 2010 V Def_PAO-CAF-RESOP_04_13_pro_format_variante T1_Bridge_Zone_Sud" xfId="1354" xr:uid="{00000000-0005-0000-0000-0000D9040000}"/>
    <cellStyle name="s_Assumptions_Actualisation provision contrat déficitaire SNCM 2010 V Def_PAO-CAF-RESOP_06_13" xfId="1355" xr:uid="{00000000-0005-0000-0000-0000DA040000}"/>
    <cellStyle name="s_Assumptions_Actualisation provision contrat déficitaire SNCM 2010 V Def_PAO-CAF-RESOP_06_13_B14_E2_2210" xfId="1356" xr:uid="{00000000-0005-0000-0000-0000DB040000}"/>
    <cellStyle name="s_Assumptions_Actualisation provision contrat déficitaire SNCM 2010 V Def_PAO-CAF-RESOP_06_13_B14_E2_2210_Bridge_Zone_Sud" xfId="1357" xr:uid="{00000000-0005-0000-0000-0000DC040000}"/>
    <cellStyle name="s_Assumptions_Actualisation provision contrat déficitaire SNCM 2010 V Def_PAO-CAF-RESOP_06_13_Bridge_Zone_Sud" xfId="1358" xr:uid="{00000000-0005-0000-0000-0000DD040000}"/>
    <cellStyle name="s_Assumptions_Actualisation provision contrat déficitaire SNCM 2010 V Def_PAO-CAF-RESOP_08_13" xfId="1359" xr:uid="{00000000-0005-0000-0000-0000DE040000}"/>
    <cellStyle name="s_Assumptions_Actualisation provision contrat déficitaire SNCM 2010 V Def_PAO-CAF-RESOP_08_13_B14_E2_2210" xfId="1360" xr:uid="{00000000-0005-0000-0000-0000DF040000}"/>
    <cellStyle name="s_Assumptions_Actualisation provision contrat déficitaire SNCM 2010 V Def_PAO-CAF-RESOP_08_13_B14_E2_2210_Bridge_Zone_Sud" xfId="1361" xr:uid="{00000000-0005-0000-0000-0000E0040000}"/>
    <cellStyle name="s_Assumptions_Actualisation provision contrat déficitaire SNCM 2010 V Def_PAO-CAF-RESOP_08_13_Bridge_Zone_Sud" xfId="1362" xr:uid="{00000000-0005-0000-0000-0000E1040000}"/>
    <cellStyle name="s_Assumptions_Actualisation provision contrat déficitaire SNCM 2010 V Def_PAO-CAF-RESOP_09_13" xfId="1363" xr:uid="{00000000-0005-0000-0000-0000E2040000}"/>
    <cellStyle name="s_Assumptions_Actualisation provision contrat déficitaire SNCM 2010 V Def_PAO-CAF-RESOP_09_13_Bridge_Zone_Sud" xfId="1364" xr:uid="{00000000-0005-0000-0000-0000E3040000}"/>
    <cellStyle name="s_Assumptions_Actualisation provision contrat déficitaire SNCM 2010 V Def_PAO-CAF-RESOP_09_2013_Zone_IDF (version 2)" xfId="1365" xr:uid="{00000000-0005-0000-0000-0000E4040000}"/>
    <cellStyle name="s_Assumptions_Actualisation provision contrat déficitaire SNCM 2010 V Def_PAO-CAF-RESOP_10_12" xfId="1366" xr:uid="{00000000-0005-0000-0000-0000E5040000}"/>
    <cellStyle name="s_Assumptions_Actualisation provision contrat déficitaire SNCM 2010 V Def_PAO-CAF-RESOP_10_12_Bridge_Zone_Sud" xfId="1367" xr:uid="{00000000-0005-0000-0000-0000E6040000}"/>
    <cellStyle name="s_Assumptions_Actualisation provision contrat déficitaire SNCM 2010 V Def_PAO-CAF-RESOP_10_12_focus par entités CAFOP" xfId="1368" xr:uid="{00000000-0005-0000-0000-0000E7040000}"/>
    <cellStyle name="s_Assumptions_Actualisation provision contrat déficitaire SNCM 2010 V Def_PAO-CAF-RESOP_10_12_focus par entités CAFOP_Bridge_Zone_Sud" xfId="1369" xr:uid="{00000000-0005-0000-0000-0000E8040000}"/>
    <cellStyle name="s_Assumptions_Actualisation provision contrat déficitaire SNCM 2010 V Def_PAO-CAF-RESOP_11_13" xfId="1370" xr:uid="{00000000-0005-0000-0000-0000E9040000}"/>
    <cellStyle name="s_Assumptions_Actualisation provision contrat déficitaire SNCM 2010 V Def_PAO-CAF-RESOP_B13" xfId="1371" xr:uid="{00000000-0005-0000-0000-0000EA040000}"/>
    <cellStyle name="s_Assumptions_Actualisation provision contrat déficitaire SNCM 2010 V Def_PAO-CAF-RESOP_B13_Bridge_Zone_Sud" xfId="1372" xr:uid="{00000000-0005-0000-0000-0000EB040000}"/>
    <cellStyle name="s_Assumptions_Actualisation provision contrat déficitaire SNCM 2010 V Def_PAO-CAF-RESOP_B13_focus par entités CAFOP" xfId="1373" xr:uid="{00000000-0005-0000-0000-0000EC040000}"/>
    <cellStyle name="s_Assumptions_Actualisation provision contrat déficitaire SNCM 2010 V Def_PAO-CAF-RESOP_B13_focus par entités CAFOP_Bridge_Zone_Sud" xfId="1374" xr:uid="{00000000-0005-0000-0000-0000ED040000}"/>
    <cellStyle name="s_Assumptions_Actualisation provision contrat déficitaire SNCM 2010 V Def_PAO-CAF-RESOP_B2014" xfId="1375" xr:uid="{00000000-0005-0000-0000-0000EE040000}"/>
    <cellStyle name="s_Assumptions_Actualisation provision contrat déficitaire SNCM 2010 V Def_PAO-CAF-RESOP_B2014_Bridge_Zone_Sud" xfId="1376" xr:uid="{00000000-0005-0000-0000-0000EF040000}"/>
    <cellStyle name="s_Assumptions_Actualisation provision contrat déficitaire SNCM 2010 V Def_PAO-CAF-RESOP_B2014_v2" xfId="1377" xr:uid="{00000000-0005-0000-0000-0000F0040000}"/>
    <cellStyle name="s_Assumptions_Actualisation provision contrat déficitaire SNCM 2010 V Def_PAO-CAF-RESOP_E2_13" xfId="1378" xr:uid="{00000000-0005-0000-0000-0000F1040000}"/>
    <cellStyle name="s_Assumptions_Actualisation provision contrat déficitaire SNCM 2010 V Def_PAO-CAF-RESOP_E2_13_B14_E2_2210" xfId="1379" xr:uid="{00000000-0005-0000-0000-0000F2040000}"/>
    <cellStyle name="s_Assumptions_Actualisation provision contrat déficitaire SNCM 2010 V Def_PAO-CAF-RESOP_E2_13_B14_E2_2210_Bridge_Zone_Sud" xfId="1380" xr:uid="{00000000-0005-0000-0000-0000F3040000}"/>
    <cellStyle name="s_Assumptions_Actualisation provision contrat déficitaire SNCM 2010 V Def_PAO-CAF-RESOP_E2_13_Bridge_Zone_Sud" xfId="1381" xr:uid="{00000000-0005-0000-0000-0000F4040000}"/>
    <cellStyle name="s_Assumptions_Actualisation provision contrat déficitaire SNCM 2010 V Def_PAO-CAF-RESOP_E2_2013_03_10_19H" xfId="1382" xr:uid="{00000000-0005-0000-0000-0000F5040000}"/>
    <cellStyle name="s_Assumptions_Actualisation provision contrat déficitaire SNCM 2010 V Def_PAO-CAF-RESOP_E2_2013_03_10_19H_Bridge_Zone_Sud" xfId="1383" xr:uid="{00000000-0005-0000-0000-0000F6040000}"/>
    <cellStyle name="s_Assumptions_Actualisation provision contrat déficitaire SNCM 2010 V Def_PPA" xfId="1384" xr:uid="{00000000-0005-0000-0000-0000F7040000}"/>
    <cellStyle name="s_Assumptions_Actualisation provision contrat déficitaire SNCM 2010 V Def_RESOP bef CICE&amp;PPA&amp;RepartHO" xfId="1385" xr:uid="{00000000-0005-0000-0000-0000F8040000}"/>
    <cellStyle name="s_Assumptions_Actualisation provision contrat déficitaire SNCM 2010 V Def_Synthèse_Présentation_conso_retraitée" xfId="1386" xr:uid="{00000000-0005-0000-0000-0000F9040000}"/>
    <cellStyle name="s_Assumptions_Actualisation provision contrat déficitaire SNCM 2011 V3 30 05 2011" xfId="636" xr:uid="{00000000-0005-0000-0000-0000FA040000}"/>
    <cellStyle name="s_Assumptions_Actualisation provision contrat déficitaire SNCM 2011 V3 30 05 2011_B14_E2_2210" xfId="1387" xr:uid="{00000000-0005-0000-0000-0000FB040000}"/>
    <cellStyle name="s_Assumptions_Actualisation provision contrat déficitaire SNCM 2011 V3 30 05 2011_B14_E2_2210_Bridge_Zone_Sud" xfId="1388" xr:uid="{00000000-0005-0000-0000-0000FC040000}"/>
    <cellStyle name="s_Assumptions_Actualisation provision contrat déficitaire SNCM 2011 V3 30 05 2011_Bridge_Zone_Sud" xfId="1389" xr:uid="{00000000-0005-0000-0000-0000FD040000}"/>
    <cellStyle name="s_Assumptions_Actualisation provision contrat déficitaire SNCM 2011 V3 30 05 2011_CAPEM BY COUNTRY" xfId="1390" xr:uid="{00000000-0005-0000-0000-0000FE040000}"/>
    <cellStyle name="s_Assumptions_Actualisation provision contrat déficitaire SNCM 2011 V3 30 05 2011_focus par entités CAFOPE2AMF" xfId="1391" xr:uid="{00000000-0005-0000-0000-0000FF040000}"/>
    <cellStyle name="s_Assumptions_Actualisation provision contrat déficitaire SNCM 2011 V3 30 05 2011_focus par entités CAFOPE2AMF_Bridge_Zone_Sud" xfId="1392" xr:uid="{00000000-0005-0000-0000-000000050000}"/>
    <cellStyle name="s_Assumptions_Actualisation provision contrat déficitaire SNCM 2011 V3 30 05 2011_Maquette PLT" xfId="1393" xr:uid="{00000000-0005-0000-0000-000001050000}"/>
    <cellStyle name="s_Assumptions_Actualisation provision contrat déficitaire SNCM 2011 V3 30 05 2011_Output" xfId="3374" xr:uid="{00000000-0005-0000-0000-000002050000}"/>
    <cellStyle name="s_Assumptions_Actualisation provision contrat déficitaire SNCM 2011 V3 30 05 2011_PAO-CAF-RESOP_04_13_pro_format_variante T1" xfId="1394" xr:uid="{00000000-0005-0000-0000-000003050000}"/>
    <cellStyle name="s_Assumptions_Actualisation provision contrat déficitaire SNCM 2011 V3 30 05 2011_PAO-CAF-RESOP_04_13_pro_format_variante T1_B14_E2_2210" xfId="1395" xr:uid="{00000000-0005-0000-0000-000004050000}"/>
    <cellStyle name="s_Assumptions_Actualisation provision contrat déficitaire SNCM 2011 V3 30 05 2011_PAO-CAF-RESOP_04_13_pro_format_variante T1_B14_E2_2210_Bridge_Zone_Sud" xfId="1396" xr:uid="{00000000-0005-0000-0000-000005050000}"/>
    <cellStyle name="s_Assumptions_Actualisation provision contrat déficitaire SNCM 2011 V3 30 05 2011_PAO-CAF-RESOP_04_13_pro_format_variante T1_Bridge_Zone_Sud" xfId="1397" xr:uid="{00000000-0005-0000-0000-000006050000}"/>
    <cellStyle name="s_Assumptions_Actualisation provision contrat déficitaire SNCM 2011 V3 30 05 2011_PAO-CAF-RESOP_06_13" xfId="1398" xr:uid="{00000000-0005-0000-0000-000007050000}"/>
    <cellStyle name="s_Assumptions_Actualisation provision contrat déficitaire SNCM 2011 V3 30 05 2011_PAO-CAF-RESOP_06_13_B14_E2_2210" xfId="1399" xr:uid="{00000000-0005-0000-0000-000008050000}"/>
    <cellStyle name="s_Assumptions_Actualisation provision contrat déficitaire SNCM 2011 V3 30 05 2011_PAO-CAF-RESOP_06_13_B14_E2_2210_Bridge_Zone_Sud" xfId="1400" xr:uid="{00000000-0005-0000-0000-000009050000}"/>
    <cellStyle name="s_Assumptions_Actualisation provision contrat déficitaire SNCM 2011 V3 30 05 2011_PAO-CAF-RESOP_06_13_Bridge_Zone_Sud" xfId="1401" xr:uid="{00000000-0005-0000-0000-00000A050000}"/>
    <cellStyle name="s_Assumptions_Actualisation provision contrat déficitaire SNCM 2011 V3 30 05 2011_PAO-CAF-RESOP_08_13" xfId="1402" xr:uid="{00000000-0005-0000-0000-00000B050000}"/>
    <cellStyle name="s_Assumptions_Actualisation provision contrat déficitaire SNCM 2011 V3 30 05 2011_PAO-CAF-RESOP_08_13_B14_E2_2210" xfId="1403" xr:uid="{00000000-0005-0000-0000-00000C050000}"/>
    <cellStyle name="s_Assumptions_Actualisation provision contrat déficitaire SNCM 2011 V3 30 05 2011_PAO-CAF-RESOP_08_13_B14_E2_2210_Bridge_Zone_Sud" xfId="1404" xr:uid="{00000000-0005-0000-0000-00000D050000}"/>
    <cellStyle name="s_Assumptions_Actualisation provision contrat déficitaire SNCM 2011 V3 30 05 2011_PAO-CAF-RESOP_08_13_Bridge_Zone_Sud" xfId="1405" xr:uid="{00000000-0005-0000-0000-00000E050000}"/>
    <cellStyle name="s_Assumptions_Actualisation provision contrat déficitaire SNCM 2011 V3 30 05 2011_PAO-CAF-RESOP_09_13" xfId="1406" xr:uid="{00000000-0005-0000-0000-00000F050000}"/>
    <cellStyle name="s_Assumptions_Actualisation provision contrat déficitaire SNCM 2011 V3 30 05 2011_PAO-CAF-RESOP_09_13_Bridge_Zone_Sud" xfId="1407" xr:uid="{00000000-0005-0000-0000-000010050000}"/>
    <cellStyle name="s_Assumptions_Actualisation provision contrat déficitaire SNCM 2011 V3 30 05 2011_PAO-CAF-RESOP_09_2013_Zone_IDF (version 2)" xfId="1408" xr:uid="{00000000-0005-0000-0000-000011050000}"/>
    <cellStyle name="s_Assumptions_Actualisation provision contrat déficitaire SNCM 2011 V3 30 05 2011_PAO-CAF-RESOP_10_12" xfId="1409" xr:uid="{00000000-0005-0000-0000-000012050000}"/>
    <cellStyle name="s_Assumptions_Actualisation provision contrat déficitaire SNCM 2011 V3 30 05 2011_PAO-CAF-RESOP_10_12_Bridge_Zone_Sud" xfId="1410" xr:uid="{00000000-0005-0000-0000-000013050000}"/>
    <cellStyle name="s_Assumptions_Actualisation provision contrat déficitaire SNCM 2011 V3 30 05 2011_PAO-CAF-RESOP_10_12_focus par entités CAFOP" xfId="1411" xr:uid="{00000000-0005-0000-0000-000014050000}"/>
    <cellStyle name="s_Assumptions_Actualisation provision contrat déficitaire SNCM 2011 V3 30 05 2011_PAO-CAF-RESOP_10_12_focus par entités CAFOP_Bridge_Zone_Sud" xfId="1412" xr:uid="{00000000-0005-0000-0000-000015050000}"/>
    <cellStyle name="s_Assumptions_Actualisation provision contrat déficitaire SNCM 2011 V3 30 05 2011_PAO-CAF-RESOP_11_13" xfId="1413" xr:uid="{00000000-0005-0000-0000-000016050000}"/>
    <cellStyle name="s_Assumptions_Actualisation provision contrat déficitaire SNCM 2011 V3 30 05 2011_PAO-CAF-RESOP_B13" xfId="1414" xr:uid="{00000000-0005-0000-0000-000017050000}"/>
    <cellStyle name="s_Assumptions_Actualisation provision contrat déficitaire SNCM 2011 V3 30 05 2011_PAO-CAF-RESOP_B13_Bridge_Zone_Sud" xfId="1415" xr:uid="{00000000-0005-0000-0000-000018050000}"/>
    <cellStyle name="s_Assumptions_Actualisation provision contrat déficitaire SNCM 2011 V3 30 05 2011_PAO-CAF-RESOP_B13_focus par entités CAFOP" xfId="1416" xr:uid="{00000000-0005-0000-0000-000019050000}"/>
    <cellStyle name="s_Assumptions_Actualisation provision contrat déficitaire SNCM 2011 V3 30 05 2011_PAO-CAF-RESOP_B13_focus par entités CAFOP_Bridge_Zone_Sud" xfId="1417" xr:uid="{00000000-0005-0000-0000-00001A050000}"/>
    <cellStyle name="s_Assumptions_Actualisation provision contrat déficitaire SNCM 2011 V3 30 05 2011_PAO-CAF-RESOP_B2014" xfId="1418" xr:uid="{00000000-0005-0000-0000-00001B050000}"/>
    <cellStyle name="s_Assumptions_Actualisation provision contrat déficitaire SNCM 2011 V3 30 05 2011_PAO-CAF-RESOP_B2014_Bridge_Zone_Sud" xfId="1419" xr:uid="{00000000-0005-0000-0000-00001C050000}"/>
    <cellStyle name="s_Assumptions_Actualisation provision contrat déficitaire SNCM 2011 V3 30 05 2011_PAO-CAF-RESOP_B2014_v2" xfId="1420" xr:uid="{00000000-0005-0000-0000-00001D050000}"/>
    <cellStyle name="s_Assumptions_Actualisation provision contrat déficitaire SNCM 2011 V3 30 05 2011_PAO-CAF-RESOP_E2_13" xfId="1421" xr:uid="{00000000-0005-0000-0000-00001E050000}"/>
    <cellStyle name="s_Assumptions_Actualisation provision contrat déficitaire SNCM 2011 V3 30 05 2011_PAO-CAF-RESOP_E2_13_B14_E2_2210" xfId="1422" xr:uid="{00000000-0005-0000-0000-00001F050000}"/>
    <cellStyle name="s_Assumptions_Actualisation provision contrat déficitaire SNCM 2011 V3 30 05 2011_PAO-CAF-RESOP_E2_13_B14_E2_2210_Bridge_Zone_Sud" xfId="1423" xr:uid="{00000000-0005-0000-0000-000020050000}"/>
    <cellStyle name="s_Assumptions_Actualisation provision contrat déficitaire SNCM 2011 V3 30 05 2011_PAO-CAF-RESOP_E2_13_Bridge_Zone_Sud" xfId="1424" xr:uid="{00000000-0005-0000-0000-000021050000}"/>
    <cellStyle name="s_Assumptions_Actualisation provision contrat déficitaire SNCM 2011 V3 30 05 2011_PAO-CAF-RESOP_E2_2013_03_10_19H" xfId="1425" xr:uid="{00000000-0005-0000-0000-000022050000}"/>
    <cellStyle name="s_Assumptions_Actualisation provision contrat déficitaire SNCM 2011 V3 30 05 2011_PAO-CAF-RESOP_E2_2013_03_10_19H_Bridge_Zone_Sud" xfId="1426" xr:uid="{00000000-0005-0000-0000-000023050000}"/>
    <cellStyle name="s_Assumptions_Actualisation provision contrat déficitaire SNCM 2011 V3 30 05 2011_PPA" xfId="1427" xr:uid="{00000000-0005-0000-0000-000024050000}"/>
    <cellStyle name="s_Assumptions_Actualisation provision contrat déficitaire SNCM 2011 V3 30 05 2011_RESOP bef CICE&amp;PPA&amp;RepartHO" xfId="1428" xr:uid="{00000000-0005-0000-0000-000025050000}"/>
    <cellStyle name="s_Assumptions_Actualisation provision contrat déficitaire SNCM 2011 V3 30 05 2011_Synthèse_Présentation_conso_retraitée" xfId="1429" xr:uid="{00000000-0005-0000-0000-000026050000}"/>
    <cellStyle name="s_Assumptions_B14_E2_2210" xfId="1430" xr:uid="{00000000-0005-0000-0000-000027050000}"/>
    <cellStyle name="s_Assumptions_B14_E2_2210_Bridge_Zone_Sud" xfId="1431" xr:uid="{00000000-0005-0000-0000-000028050000}"/>
    <cellStyle name="s_Assumptions_BFR_TD_2014.02" xfId="1432" xr:uid="{00000000-0005-0000-0000-000029050000}"/>
    <cellStyle name="s_Assumptions_Bridge_Zone_Nord" xfId="1433" xr:uid="{00000000-0005-0000-0000-00002A050000}"/>
    <cellStyle name="s_Assumptions_CAPEM BY COUNTRY" xfId="1434" xr:uid="{00000000-0005-0000-0000-00002B050000}"/>
    <cellStyle name="s_Assumptions_LI819L_B13" xfId="637" xr:uid="{00000000-0005-0000-0000-00002C050000}"/>
    <cellStyle name="s_Assumptions_LI819L_B13_CAPEM BY COUNTRY" xfId="1435" xr:uid="{00000000-0005-0000-0000-00002D050000}"/>
    <cellStyle name="s_Assumptions_LI819L_B13_Maquette PLT" xfId="1436" xr:uid="{00000000-0005-0000-0000-00002E050000}"/>
    <cellStyle name="s_Assumptions_LI819L_B13_Output" xfId="3375" xr:uid="{00000000-0005-0000-0000-00002F050000}"/>
    <cellStyle name="s_Assumptions_LI819L_B13_PPA" xfId="1437" xr:uid="{00000000-0005-0000-0000-000030050000}"/>
    <cellStyle name="s_Assumptions_LI819L_B13_RESOP bef CICE&amp;PPA&amp;RepartHO" xfId="1438" xr:uid="{00000000-0005-0000-0000-000031050000}"/>
    <cellStyle name="s_Assumptions_Maquette PLT" xfId="1439" xr:uid="{00000000-0005-0000-0000-000032050000}"/>
    <cellStyle name="s_Assumptions_Output" xfId="3376" xr:uid="{00000000-0005-0000-0000-000033050000}"/>
    <cellStyle name="s_Assumptions_PAO-CAF-RESOP_14_01_13 à 20h" xfId="638" xr:uid="{00000000-0005-0000-0000-000034050000}"/>
    <cellStyle name="s_Assumptions_PAO-CAF-RESOP_14_01_13 à 20h_CAPEM BY COUNTRY" xfId="1440" xr:uid="{00000000-0005-0000-0000-000035050000}"/>
    <cellStyle name="s_Assumptions_PAO-CAF-RESOP_14_01_13 à 20h_Maquette PLT" xfId="1441" xr:uid="{00000000-0005-0000-0000-000036050000}"/>
    <cellStyle name="s_Assumptions_PAO-CAF-RESOP_14_01_13 à 20h_Output" xfId="3377" xr:uid="{00000000-0005-0000-0000-000037050000}"/>
    <cellStyle name="s_Assumptions_PAO-CAF-RESOP_14_01_13 à 20h_PPA" xfId="1442" xr:uid="{00000000-0005-0000-0000-000038050000}"/>
    <cellStyle name="s_Assumptions_PAO-CAF-RESOP_14_01_13 à 20h_RESOP bef CICE&amp;PPA&amp;RepartHO" xfId="1443" xr:uid="{00000000-0005-0000-0000-000039050000}"/>
    <cellStyle name="s_Assumptions_PAO-CAF-RESOP_2014.02" xfId="1444" xr:uid="{00000000-0005-0000-0000-00003A050000}"/>
    <cellStyle name="s_Assumptions_PAO-CAF-RESOP_2014.02_Bridge_Zone_Sud" xfId="1445" xr:uid="{00000000-0005-0000-0000-00003B050000}"/>
    <cellStyle name="s_Assumptions_PPA" xfId="1446" xr:uid="{00000000-0005-0000-0000-00003C050000}"/>
    <cellStyle name="s_Assumptions_RESOP bef CICE&amp;PPA&amp;RepartHO" xfId="1447" xr:uid="{00000000-0005-0000-0000-00003D050000}"/>
    <cellStyle name="s_B_S_Ratios _B" xfId="639" xr:uid="{00000000-0005-0000-0000-00003E050000}"/>
    <cellStyle name="s_B_S_Ratios _B_Actualisation provision contrat déficitaire SNCM 2010 V Def" xfId="640" xr:uid="{00000000-0005-0000-0000-00003F050000}"/>
    <cellStyle name="s_B_S_Ratios _B_Actualisation provision contrat déficitaire SNCM 2010 V Def_B14_E2_2210" xfId="1448" xr:uid="{00000000-0005-0000-0000-000040050000}"/>
    <cellStyle name="s_B_S_Ratios _B_Actualisation provision contrat déficitaire SNCM 2010 V Def_B14_E2_2210_Bridge_Zone_Sud" xfId="1449" xr:uid="{00000000-0005-0000-0000-000041050000}"/>
    <cellStyle name="s_B_S_Ratios _B_Actualisation provision contrat déficitaire SNCM 2010 V Def_Bridge_Zone_Sud" xfId="1450" xr:uid="{00000000-0005-0000-0000-000042050000}"/>
    <cellStyle name="s_B_S_Ratios _B_Actualisation provision contrat déficitaire SNCM 2010 V Def_CAPEM BY COUNTRY" xfId="1451" xr:uid="{00000000-0005-0000-0000-000043050000}"/>
    <cellStyle name="s_B_S_Ratios _B_Actualisation provision contrat déficitaire SNCM 2010 V Def_focus par entités CAFOPE2AMF" xfId="1452" xr:uid="{00000000-0005-0000-0000-000044050000}"/>
    <cellStyle name="s_B_S_Ratios _B_Actualisation provision contrat déficitaire SNCM 2010 V Def_focus par entités CAFOPE2AMF_Bridge_Zone_Sud" xfId="1453" xr:uid="{00000000-0005-0000-0000-000045050000}"/>
    <cellStyle name="s_B_S_Ratios _B_Actualisation provision contrat déficitaire SNCM 2010 V Def_Maquette PLT" xfId="1454" xr:uid="{00000000-0005-0000-0000-000046050000}"/>
    <cellStyle name="s_B_S_Ratios _B_Actualisation provision contrat déficitaire SNCM 2010 V Def_Output" xfId="3378" xr:uid="{00000000-0005-0000-0000-000047050000}"/>
    <cellStyle name="s_B_S_Ratios _B_Actualisation provision contrat déficitaire SNCM 2010 V Def_PAO-CAF-RESOP_04_13_pro_format_variante T1" xfId="1455" xr:uid="{00000000-0005-0000-0000-000048050000}"/>
    <cellStyle name="s_B_S_Ratios _B_Actualisation provision contrat déficitaire SNCM 2010 V Def_PAO-CAF-RESOP_04_13_pro_format_variante T1_B14_E2_2210" xfId="1456" xr:uid="{00000000-0005-0000-0000-000049050000}"/>
    <cellStyle name="s_B_S_Ratios _B_Actualisation provision contrat déficitaire SNCM 2010 V Def_PAO-CAF-RESOP_04_13_pro_format_variante T1_B14_E2_2210_Bridge_Zone_Sud" xfId="1457" xr:uid="{00000000-0005-0000-0000-00004A050000}"/>
    <cellStyle name="s_B_S_Ratios _B_Actualisation provision contrat déficitaire SNCM 2010 V Def_PAO-CAF-RESOP_04_13_pro_format_variante T1_Bridge_Zone_Sud" xfId="1458" xr:uid="{00000000-0005-0000-0000-00004B050000}"/>
    <cellStyle name="s_B_S_Ratios _B_Actualisation provision contrat déficitaire SNCM 2010 V Def_PAO-CAF-RESOP_06_13" xfId="1459" xr:uid="{00000000-0005-0000-0000-00004C050000}"/>
    <cellStyle name="s_B_S_Ratios _B_Actualisation provision contrat déficitaire SNCM 2010 V Def_PAO-CAF-RESOP_06_13_B14_E2_2210" xfId="1460" xr:uid="{00000000-0005-0000-0000-00004D050000}"/>
    <cellStyle name="s_B_S_Ratios _B_Actualisation provision contrat déficitaire SNCM 2010 V Def_PAO-CAF-RESOP_06_13_B14_E2_2210_Bridge_Zone_Sud" xfId="1461" xr:uid="{00000000-0005-0000-0000-00004E050000}"/>
    <cellStyle name="s_B_S_Ratios _B_Actualisation provision contrat déficitaire SNCM 2010 V Def_PAO-CAF-RESOP_06_13_Bridge_Zone_Sud" xfId="1462" xr:uid="{00000000-0005-0000-0000-00004F050000}"/>
    <cellStyle name="s_B_S_Ratios _B_Actualisation provision contrat déficitaire SNCM 2010 V Def_PAO-CAF-RESOP_08_13" xfId="1463" xr:uid="{00000000-0005-0000-0000-000050050000}"/>
    <cellStyle name="s_B_S_Ratios _B_Actualisation provision contrat déficitaire SNCM 2010 V Def_PAO-CAF-RESOP_08_13_B14_E2_2210" xfId="1464" xr:uid="{00000000-0005-0000-0000-000051050000}"/>
    <cellStyle name="s_B_S_Ratios _B_Actualisation provision contrat déficitaire SNCM 2010 V Def_PAO-CAF-RESOP_08_13_B14_E2_2210_Bridge_Zone_Sud" xfId="1465" xr:uid="{00000000-0005-0000-0000-000052050000}"/>
    <cellStyle name="s_B_S_Ratios _B_Actualisation provision contrat déficitaire SNCM 2010 V Def_PAO-CAF-RESOP_08_13_Bridge_Zone_Sud" xfId="1466" xr:uid="{00000000-0005-0000-0000-000053050000}"/>
    <cellStyle name="s_B_S_Ratios _B_Actualisation provision contrat déficitaire SNCM 2010 V Def_PAO-CAF-RESOP_09_13" xfId="1467" xr:uid="{00000000-0005-0000-0000-000054050000}"/>
    <cellStyle name="s_B_S_Ratios _B_Actualisation provision contrat déficitaire SNCM 2010 V Def_PAO-CAF-RESOP_09_13_Bridge_Zone_Sud" xfId="1468" xr:uid="{00000000-0005-0000-0000-000055050000}"/>
    <cellStyle name="s_B_S_Ratios _B_Actualisation provision contrat déficitaire SNCM 2010 V Def_PAO-CAF-RESOP_09_2013_Zone_IDF (version 2)" xfId="1469" xr:uid="{00000000-0005-0000-0000-000056050000}"/>
    <cellStyle name="s_B_S_Ratios _B_Actualisation provision contrat déficitaire SNCM 2010 V Def_PAO-CAF-RESOP_10_12" xfId="1470" xr:uid="{00000000-0005-0000-0000-000057050000}"/>
    <cellStyle name="s_B_S_Ratios _B_Actualisation provision contrat déficitaire SNCM 2010 V Def_PAO-CAF-RESOP_10_12_Bridge_Zone_Sud" xfId="1471" xr:uid="{00000000-0005-0000-0000-000058050000}"/>
    <cellStyle name="s_B_S_Ratios _B_Actualisation provision contrat déficitaire SNCM 2010 V Def_PAO-CAF-RESOP_10_12_focus par entités CAFOP" xfId="1472" xr:uid="{00000000-0005-0000-0000-000059050000}"/>
    <cellStyle name="s_B_S_Ratios _B_Actualisation provision contrat déficitaire SNCM 2010 V Def_PAO-CAF-RESOP_10_12_focus par entités CAFOP_Bridge_Zone_Sud" xfId="1473" xr:uid="{00000000-0005-0000-0000-00005A050000}"/>
    <cellStyle name="s_B_S_Ratios _B_Actualisation provision contrat déficitaire SNCM 2010 V Def_PAO-CAF-RESOP_11_13" xfId="1474" xr:uid="{00000000-0005-0000-0000-00005B050000}"/>
    <cellStyle name="s_B_S_Ratios _B_Actualisation provision contrat déficitaire SNCM 2010 V Def_PAO-CAF-RESOP_B13" xfId="1475" xr:uid="{00000000-0005-0000-0000-00005C050000}"/>
    <cellStyle name="s_B_S_Ratios _B_Actualisation provision contrat déficitaire SNCM 2010 V Def_PAO-CAF-RESOP_B13_Bridge_Zone_Sud" xfId="1476" xr:uid="{00000000-0005-0000-0000-00005D050000}"/>
    <cellStyle name="s_B_S_Ratios _B_Actualisation provision contrat déficitaire SNCM 2010 V Def_PAO-CAF-RESOP_B13_focus par entités CAFOP" xfId="1477" xr:uid="{00000000-0005-0000-0000-00005E050000}"/>
    <cellStyle name="s_B_S_Ratios _B_Actualisation provision contrat déficitaire SNCM 2010 V Def_PAO-CAF-RESOP_B13_focus par entités CAFOP_Bridge_Zone_Sud" xfId="1478" xr:uid="{00000000-0005-0000-0000-00005F050000}"/>
    <cellStyle name="s_B_S_Ratios _B_Actualisation provision contrat déficitaire SNCM 2010 V Def_PAO-CAF-RESOP_B2014" xfId="1479" xr:uid="{00000000-0005-0000-0000-000060050000}"/>
    <cellStyle name="s_B_S_Ratios _B_Actualisation provision contrat déficitaire SNCM 2010 V Def_PAO-CAF-RESOP_B2014_Bridge_Zone_Sud" xfId="1480" xr:uid="{00000000-0005-0000-0000-000061050000}"/>
    <cellStyle name="s_B_S_Ratios _B_Actualisation provision contrat déficitaire SNCM 2010 V Def_PAO-CAF-RESOP_B2014_v2" xfId="1481" xr:uid="{00000000-0005-0000-0000-000062050000}"/>
    <cellStyle name="s_B_S_Ratios _B_Actualisation provision contrat déficitaire SNCM 2010 V Def_PAO-CAF-RESOP_E2_13" xfId="1482" xr:uid="{00000000-0005-0000-0000-000063050000}"/>
    <cellStyle name="s_B_S_Ratios _B_Actualisation provision contrat déficitaire SNCM 2010 V Def_PAO-CAF-RESOP_E2_13_B14_E2_2210" xfId="1483" xr:uid="{00000000-0005-0000-0000-000064050000}"/>
    <cellStyle name="s_B_S_Ratios _B_Actualisation provision contrat déficitaire SNCM 2010 V Def_PAO-CAF-RESOP_E2_13_B14_E2_2210_Bridge_Zone_Sud" xfId="1484" xr:uid="{00000000-0005-0000-0000-000065050000}"/>
    <cellStyle name="s_B_S_Ratios _B_Actualisation provision contrat déficitaire SNCM 2010 V Def_PAO-CAF-RESOP_E2_13_Bridge_Zone_Sud" xfId="1485" xr:uid="{00000000-0005-0000-0000-000066050000}"/>
    <cellStyle name="s_B_S_Ratios _B_Actualisation provision contrat déficitaire SNCM 2010 V Def_PAO-CAF-RESOP_E2_2013_03_10_19H" xfId="1486" xr:uid="{00000000-0005-0000-0000-000067050000}"/>
    <cellStyle name="s_B_S_Ratios _B_Actualisation provision contrat déficitaire SNCM 2010 V Def_PAO-CAF-RESOP_E2_2013_03_10_19H_Bridge_Zone_Sud" xfId="1487" xr:uid="{00000000-0005-0000-0000-000068050000}"/>
    <cellStyle name="s_B_S_Ratios _B_Actualisation provision contrat déficitaire SNCM 2010 V Def_PPA" xfId="1488" xr:uid="{00000000-0005-0000-0000-000069050000}"/>
    <cellStyle name="s_B_S_Ratios _B_Actualisation provision contrat déficitaire SNCM 2010 V Def_RESOP bef CICE&amp;PPA&amp;RepartHO" xfId="1489" xr:uid="{00000000-0005-0000-0000-00006A050000}"/>
    <cellStyle name="s_B_S_Ratios _B_Actualisation provision contrat déficitaire SNCM 2010 V Def_Synthèse_Présentation_conso_retraitée" xfId="1490" xr:uid="{00000000-0005-0000-0000-00006B050000}"/>
    <cellStyle name="s_B_S_Ratios _B_Actualisation provision contrat déficitaire SNCM 2011 V3 30 05 2011" xfId="641" xr:uid="{00000000-0005-0000-0000-00006C050000}"/>
    <cellStyle name="s_B_S_Ratios _B_Actualisation provision contrat déficitaire SNCM 2011 V3 30 05 2011_B14_E2_2210" xfId="1491" xr:uid="{00000000-0005-0000-0000-00006D050000}"/>
    <cellStyle name="s_B_S_Ratios _B_Actualisation provision contrat déficitaire SNCM 2011 V3 30 05 2011_B14_E2_2210_Bridge_Zone_Sud" xfId="1492" xr:uid="{00000000-0005-0000-0000-00006E050000}"/>
    <cellStyle name="s_B_S_Ratios _B_Actualisation provision contrat déficitaire SNCM 2011 V3 30 05 2011_Bridge_Zone_Sud" xfId="1493" xr:uid="{00000000-0005-0000-0000-00006F050000}"/>
    <cellStyle name="s_B_S_Ratios _B_Actualisation provision contrat déficitaire SNCM 2011 V3 30 05 2011_CAPEM BY COUNTRY" xfId="1494" xr:uid="{00000000-0005-0000-0000-000070050000}"/>
    <cellStyle name="s_B_S_Ratios _B_Actualisation provision contrat déficitaire SNCM 2011 V3 30 05 2011_focus par entités CAFOPE2AMF" xfId="1495" xr:uid="{00000000-0005-0000-0000-000071050000}"/>
    <cellStyle name="s_B_S_Ratios _B_Actualisation provision contrat déficitaire SNCM 2011 V3 30 05 2011_focus par entités CAFOPE2AMF_Bridge_Zone_Sud" xfId="1496" xr:uid="{00000000-0005-0000-0000-000072050000}"/>
    <cellStyle name="s_B_S_Ratios _B_Actualisation provision contrat déficitaire SNCM 2011 V3 30 05 2011_Maquette PLT" xfId="1497" xr:uid="{00000000-0005-0000-0000-000073050000}"/>
    <cellStyle name="s_B_S_Ratios _B_Actualisation provision contrat déficitaire SNCM 2011 V3 30 05 2011_Output" xfId="3379" xr:uid="{00000000-0005-0000-0000-000074050000}"/>
    <cellStyle name="s_B_S_Ratios _B_Actualisation provision contrat déficitaire SNCM 2011 V3 30 05 2011_PAO-CAF-RESOP_04_13_pro_format_variante T1" xfId="1498" xr:uid="{00000000-0005-0000-0000-000075050000}"/>
    <cellStyle name="s_B_S_Ratios _B_Actualisation provision contrat déficitaire SNCM 2011 V3 30 05 2011_PAO-CAF-RESOP_04_13_pro_format_variante T1_B14_E2_2210" xfId="1499" xr:uid="{00000000-0005-0000-0000-000076050000}"/>
    <cellStyle name="s_B_S_Ratios _B_Actualisation provision contrat déficitaire SNCM 2011 V3 30 05 2011_PAO-CAF-RESOP_04_13_pro_format_variante T1_B14_E2_2210_Bridge_Zone_Sud" xfId="1500" xr:uid="{00000000-0005-0000-0000-000077050000}"/>
    <cellStyle name="s_B_S_Ratios _B_Actualisation provision contrat déficitaire SNCM 2011 V3 30 05 2011_PAO-CAF-RESOP_04_13_pro_format_variante T1_Bridge_Zone_Sud" xfId="1501" xr:uid="{00000000-0005-0000-0000-000078050000}"/>
    <cellStyle name="s_B_S_Ratios _B_Actualisation provision contrat déficitaire SNCM 2011 V3 30 05 2011_PAO-CAF-RESOP_06_13" xfId="1502" xr:uid="{00000000-0005-0000-0000-000079050000}"/>
    <cellStyle name="s_B_S_Ratios _B_Actualisation provision contrat déficitaire SNCM 2011 V3 30 05 2011_PAO-CAF-RESOP_06_13_B14_E2_2210" xfId="1503" xr:uid="{00000000-0005-0000-0000-00007A050000}"/>
    <cellStyle name="s_B_S_Ratios _B_Actualisation provision contrat déficitaire SNCM 2011 V3 30 05 2011_PAO-CAF-RESOP_06_13_B14_E2_2210_Bridge_Zone_Sud" xfId="1504" xr:uid="{00000000-0005-0000-0000-00007B050000}"/>
    <cellStyle name="s_B_S_Ratios _B_Actualisation provision contrat déficitaire SNCM 2011 V3 30 05 2011_PAO-CAF-RESOP_06_13_Bridge_Zone_Sud" xfId="1505" xr:uid="{00000000-0005-0000-0000-00007C050000}"/>
    <cellStyle name="s_B_S_Ratios _B_Actualisation provision contrat déficitaire SNCM 2011 V3 30 05 2011_PAO-CAF-RESOP_08_13" xfId="1506" xr:uid="{00000000-0005-0000-0000-00007D050000}"/>
    <cellStyle name="s_B_S_Ratios _B_Actualisation provision contrat déficitaire SNCM 2011 V3 30 05 2011_PAO-CAF-RESOP_08_13_B14_E2_2210" xfId="1507" xr:uid="{00000000-0005-0000-0000-00007E050000}"/>
    <cellStyle name="s_B_S_Ratios _B_Actualisation provision contrat déficitaire SNCM 2011 V3 30 05 2011_PAO-CAF-RESOP_08_13_B14_E2_2210_Bridge_Zone_Sud" xfId="1508" xr:uid="{00000000-0005-0000-0000-00007F050000}"/>
    <cellStyle name="s_B_S_Ratios _B_Actualisation provision contrat déficitaire SNCM 2011 V3 30 05 2011_PAO-CAF-RESOP_08_13_Bridge_Zone_Sud" xfId="1509" xr:uid="{00000000-0005-0000-0000-000080050000}"/>
    <cellStyle name="s_B_S_Ratios _B_Actualisation provision contrat déficitaire SNCM 2011 V3 30 05 2011_PAO-CAF-RESOP_09_13" xfId="1510" xr:uid="{00000000-0005-0000-0000-000081050000}"/>
    <cellStyle name="s_B_S_Ratios _B_Actualisation provision contrat déficitaire SNCM 2011 V3 30 05 2011_PAO-CAF-RESOP_09_13_Bridge_Zone_Sud" xfId="1511" xr:uid="{00000000-0005-0000-0000-000082050000}"/>
    <cellStyle name="s_B_S_Ratios _B_Actualisation provision contrat déficitaire SNCM 2011 V3 30 05 2011_PAO-CAF-RESOP_09_2013_Zone_IDF (version 2)" xfId="1512" xr:uid="{00000000-0005-0000-0000-000083050000}"/>
    <cellStyle name="s_B_S_Ratios _B_Actualisation provision contrat déficitaire SNCM 2011 V3 30 05 2011_PAO-CAF-RESOP_10_12" xfId="1513" xr:uid="{00000000-0005-0000-0000-000084050000}"/>
    <cellStyle name="s_B_S_Ratios _B_Actualisation provision contrat déficitaire SNCM 2011 V3 30 05 2011_PAO-CAF-RESOP_10_12_Bridge_Zone_Sud" xfId="1514" xr:uid="{00000000-0005-0000-0000-000085050000}"/>
    <cellStyle name="s_B_S_Ratios _B_Actualisation provision contrat déficitaire SNCM 2011 V3 30 05 2011_PAO-CAF-RESOP_10_12_focus par entités CAFOP" xfId="1515" xr:uid="{00000000-0005-0000-0000-000086050000}"/>
    <cellStyle name="s_B_S_Ratios _B_Actualisation provision contrat déficitaire SNCM 2011 V3 30 05 2011_PAO-CAF-RESOP_10_12_focus par entités CAFOP_Bridge_Zone_Sud" xfId="1516" xr:uid="{00000000-0005-0000-0000-000087050000}"/>
    <cellStyle name="s_B_S_Ratios _B_Actualisation provision contrat déficitaire SNCM 2011 V3 30 05 2011_PAO-CAF-RESOP_11_13" xfId="1517" xr:uid="{00000000-0005-0000-0000-000088050000}"/>
    <cellStyle name="s_B_S_Ratios _B_Actualisation provision contrat déficitaire SNCM 2011 V3 30 05 2011_PAO-CAF-RESOP_B13" xfId="1518" xr:uid="{00000000-0005-0000-0000-000089050000}"/>
    <cellStyle name="s_B_S_Ratios _B_Actualisation provision contrat déficitaire SNCM 2011 V3 30 05 2011_PAO-CAF-RESOP_B13_Bridge_Zone_Sud" xfId="1519" xr:uid="{00000000-0005-0000-0000-00008A050000}"/>
    <cellStyle name="s_B_S_Ratios _B_Actualisation provision contrat déficitaire SNCM 2011 V3 30 05 2011_PAO-CAF-RESOP_B13_focus par entités CAFOP" xfId="1520" xr:uid="{00000000-0005-0000-0000-00008B050000}"/>
    <cellStyle name="s_B_S_Ratios _B_Actualisation provision contrat déficitaire SNCM 2011 V3 30 05 2011_PAO-CAF-RESOP_B13_focus par entités CAFOP_Bridge_Zone_Sud" xfId="1521" xr:uid="{00000000-0005-0000-0000-00008C050000}"/>
    <cellStyle name="s_B_S_Ratios _B_Actualisation provision contrat déficitaire SNCM 2011 V3 30 05 2011_PAO-CAF-RESOP_B2014" xfId="1522" xr:uid="{00000000-0005-0000-0000-00008D050000}"/>
    <cellStyle name="s_B_S_Ratios _B_Actualisation provision contrat déficitaire SNCM 2011 V3 30 05 2011_PAO-CAF-RESOP_B2014_Bridge_Zone_Sud" xfId="1523" xr:uid="{00000000-0005-0000-0000-00008E050000}"/>
    <cellStyle name="s_B_S_Ratios _B_Actualisation provision contrat déficitaire SNCM 2011 V3 30 05 2011_PAO-CAF-RESOP_B2014_v2" xfId="1524" xr:uid="{00000000-0005-0000-0000-00008F050000}"/>
    <cellStyle name="s_B_S_Ratios _B_Actualisation provision contrat déficitaire SNCM 2011 V3 30 05 2011_PAO-CAF-RESOP_E2_13" xfId="1525" xr:uid="{00000000-0005-0000-0000-000090050000}"/>
    <cellStyle name="s_B_S_Ratios _B_Actualisation provision contrat déficitaire SNCM 2011 V3 30 05 2011_PAO-CAF-RESOP_E2_13_B14_E2_2210" xfId="1526" xr:uid="{00000000-0005-0000-0000-000091050000}"/>
    <cellStyle name="s_B_S_Ratios _B_Actualisation provision contrat déficitaire SNCM 2011 V3 30 05 2011_PAO-CAF-RESOP_E2_13_B14_E2_2210_Bridge_Zone_Sud" xfId="1527" xr:uid="{00000000-0005-0000-0000-000092050000}"/>
    <cellStyle name="s_B_S_Ratios _B_Actualisation provision contrat déficitaire SNCM 2011 V3 30 05 2011_PAO-CAF-RESOP_E2_13_Bridge_Zone_Sud" xfId="1528" xr:uid="{00000000-0005-0000-0000-000093050000}"/>
    <cellStyle name="s_B_S_Ratios _B_Actualisation provision contrat déficitaire SNCM 2011 V3 30 05 2011_PAO-CAF-RESOP_E2_2013_03_10_19H" xfId="1529" xr:uid="{00000000-0005-0000-0000-000094050000}"/>
    <cellStyle name="s_B_S_Ratios _B_Actualisation provision contrat déficitaire SNCM 2011 V3 30 05 2011_PAO-CAF-RESOP_E2_2013_03_10_19H_Bridge_Zone_Sud" xfId="1530" xr:uid="{00000000-0005-0000-0000-000095050000}"/>
    <cellStyle name="s_B_S_Ratios _B_Actualisation provision contrat déficitaire SNCM 2011 V3 30 05 2011_PPA" xfId="1531" xr:uid="{00000000-0005-0000-0000-000096050000}"/>
    <cellStyle name="s_B_S_Ratios _B_Actualisation provision contrat déficitaire SNCM 2011 V3 30 05 2011_RESOP bef CICE&amp;PPA&amp;RepartHO" xfId="1532" xr:uid="{00000000-0005-0000-0000-000097050000}"/>
    <cellStyle name="s_B_S_Ratios _B_Actualisation provision contrat déficitaire SNCM 2011 V3 30 05 2011_Synthèse_Présentation_conso_retraitée" xfId="1533" xr:uid="{00000000-0005-0000-0000-000098050000}"/>
    <cellStyle name="s_B_S_Ratios _B_B14_E2_2210" xfId="1534" xr:uid="{00000000-0005-0000-0000-000099050000}"/>
    <cellStyle name="s_B_S_Ratios _B_B14_E2_2210_Bridge_Zone_Sud" xfId="1535" xr:uid="{00000000-0005-0000-0000-00009A050000}"/>
    <cellStyle name="s_B_S_Ratios _B_BFR_TD_2014.02" xfId="1536" xr:uid="{00000000-0005-0000-0000-00009B050000}"/>
    <cellStyle name="s_B_S_Ratios _B_Bridge_Zone_Nord" xfId="1537" xr:uid="{00000000-0005-0000-0000-00009C050000}"/>
    <cellStyle name="s_B_S_Ratios _B_CAPEM BY COUNTRY" xfId="1538" xr:uid="{00000000-0005-0000-0000-00009D050000}"/>
    <cellStyle name="s_B_S_Ratios _B_LI819L_B13" xfId="642" xr:uid="{00000000-0005-0000-0000-00009E050000}"/>
    <cellStyle name="s_B_S_Ratios _B_LI819L_B13_CAPEM BY COUNTRY" xfId="1539" xr:uid="{00000000-0005-0000-0000-00009F050000}"/>
    <cellStyle name="s_B_S_Ratios _B_LI819L_B13_Maquette PLT" xfId="1540" xr:uid="{00000000-0005-0000-0000-0000A0050000}"/>
    <cellStyle name="s_B_S_Ratios _B_LI819L_B13_Output" xfId="3380" xr:uid="{00000000-0005-0000-0000-0000A1050000}"/>
    <cellStyle name="s_B_S_Ratios _B_LI819L_B13_PPA" xfId="1541" xr:uid="{00000000-0005-0000-0000-0000A2050000}"/>
    <cellStyle name="s_B_S_Ratios _B_LI819L_B13_RESOP bef CICE&amp;PPA&amp;RepartHO" xfId="1542" xr:uid="{00000000-0005-0000-0000-0000A3050000}"/>
    <cellStyle name="s_B_S_Ratios _B_Maquette PLT" xfId="1543" xr:uid="{00000000-0005-0000-0000-0000A4050000}"/>
    <cellStyle name="s_B_S_Ratios _B_Output" xfId="3381" xr:uid="{00000000-0005-0000-0000-0000A5050000}"/>
    <cellStyle name="s_B_S_Ratios _B_PAO-CAF-RESOP_14_01_13 à 20h" xfId="643" xr:uid="{00000000-0005-0000-0000-0000A6050000}"/>
    <cellStyle name="s_B_S_Ratios _B_PAO-CAF-RESOP_14_01_13 à 20h_CAPEM BY COUNTRY" xfId="1544" xr:uid="{00000000-0005-0000-0000-0000A7050000}"/>
    <cellStyle name="s_B_S_Ratios _B_PAO-CAF-RESOP_14_01_13 à 20h_Maquette PLT" xfId="1545" xr:uid="{00000000-0005-0000-0000-0000A8050000}"/>
    <cellStyle name="s_B_S_Ratios _B_PAO-CAF-RESOP_14_01_13 à 20h_Output" xfId="3382" xr:uid="{00000000-0005-0000-0000-0000A9050000}"/>
    <cellStyle name="s_B_S_Ratios _B_PAO-CAF-RESOP_14_01_13 à 20h_PPA" xfId="1546" xr:uid="{00000000-0005-0000-0000-0000AA050000}"/>
    <cellStyle name="s_B_S_Ratios _B_PAO-CAF-RESOP_14_01_13 à 20h_RESOP bef CICE&amp;PPA&amp;RepartHO" xfId="1547" xr:uid="{00000000-0005-0000-0000-0000AB050000}"/>
    <cellStyle name="s_B_S_Ratios _B_PAO-CAF-RESOP_2014.02" xfId="1548" xr:uid="{00000000-0005-0000-0000-0000AC050000}"/>
    <cellStyle name="s_B_S_Ratios _B_PAO-CAF-RESOP_2014.02_Bridge_Zone_Sud" xfId="1549" xr:uid="{00000000-0005-0000-0000-0000AD050000}"/>
    <cellStyle name="s_B_S_Ratios _B_PPA" xfId="1550" xr:uid="{00000000-0005-0000-0000-0000AE050000}"/>
    <cellStyle name="s_B_S_Ratios _B_RESOP bef CICE&amp;PPA&amp;RepartHO" xfId="1551" xr:uid="{00000000-0005-0000-0000-0000AF050000}"/>
    <cellStyle name="s_B_S_Ratios_T" xfId="644" xr:uid="{00000000-0005-0000-0000-0000B0050000}"/>
    <cellStyle name="s_B_S_Ratios_T_Actualisation provision contrat déficitaire SNCM 2010 V Def" xfId="645" xr:uid="{00000000-0005-0000-0000-0000B1050000}"/>
    <cellStyle name="s_B_S_Ratios_T_Actualisation provision contrat déficitaire SNCM 2010 V Def_B14_E2_2210" xfId="1552" xr:uid="{00000000-0005-0000-0000-0000B2050000}"/>
    <cellStyle name="s_B_S_Ratios_T_Actualisation provision contrat déficitaire SNCM 2010 V Def_B14_E2_2210_Bridge_Zone_Sud" xfId="1553" xr:uid="{00000000-0005-0000-0000-0000B3050000}"/>
    <cellStyle name="s_B_S_Ratios_T_Actualisation provision contrat déficitaire SNCM 2010 V Def_Bridge_Zone_Sud" xfId="1554" xr:uid="{00000000-0005-0000-0000-0000B4050000}"/>
    <cellStyle name="s_B_S_Ratios_T_Actualisation provision contrat déficitaire SNCM 2010 V Def_CAPEM BY COUNTRY" xfId="1555" xr:uid="{00000000-0005-0000-0000-0000B5050000}"/>
    <cellStyle name="s_B_S_Ratios_T_Actualisation provision contrat déficitaire SNCM 2010 V Def_focus par entités CAFOPE2AMF" xfId="1556" xr:uid="{00000000-0005-0000-0000-0000B6050000}"/>
    <cellStyle name="s_B_S_Ratios_T_Actualisation provision contrat déficitaire SNCM 2010 V Def_focus par entités CAFOPE2AMF_Bridge_Zone_Sud" xfId="1557" xr:uid="{00000000-0005-0000-0000-0000B7050000}"/>
    <cellStyle name="s_B_S_Ratios_T_Actualisation provision contrat déficitaire SNCM 2010 V Def_Maquette PLT" xfId="1558" xr:uid="{00000000-0005-0000-0000-0000B8050000}"/>
    <cellStyle name="s_B_S_Ratios_T_Actualisation provision contrat déficitaire SNCM 2010 V Def_Output" xfId="3383" xr:uid="{00000000-0005-0000-0000-0000B9050000}"/>
    <cellStyle name="s_B_S_Ratios_T_Actualisation provision contrat déficitaire SNCM 2010 V Def_PAO-CAF-RESOP_04_13_pro_format_variante T1" xfId="1559" xr:uid="{00000000-0005-0000-0000-0000BA050000}"/>
    <cellStyle name="s_B_S_Ratios_T_Actualisation provision contrat déficitaire SNCM 2010 V Def_PAO-CAF-RESOP_04_13_pro_format_variante T1_B14_E2_2210" xfId="1560" xr:uid="{00000000-0005-0000-0000-0000BB050000}"/>
    <cellStyle name="s_B_S_Ratios_T_Actualisation provision contrat déficitaire SNCM 2010 V Def_PAO-CAF-RESOP_04_13_pro_format_variante T1_B14_E2_2210_Bridge_Zone_Sud" xfId="1561" xr:uid="{00000000-0005-0000-0000-0000BC050000}"/>
    <cellStyle name="s_B_S_Ratios_T_Actualisation provision contrat déficitaire SNCM 2010 V Def_PAO-CAF-RESOP_04_13_pro_format_variante T1_Bridge_Zone_Sud" xfId="1562" xr:uid="{00000000-0005-0000-0000-0000BD050000}"/>
    <cellStyle name="s_B_S_Ratios_T_Actualisation provision contrat déficitaire SNCM 2010 V Def_PAO-CAF-RESOP_06_13" xfId="1563" xr:uid="{00000000-0005-0000-0000-0000BE050000}"/>
    <cellStyle name="s_B_S_Ratios_T_Actualisation provision contrat déficitaire SNCM 2010 V Def_PAO-CAF-RESOP_06_13_B14_E2_2210" xfId="1564" xr:uid="{00000000-0005-0000-0000-0000BF050000}"/>
    <cellStyle name="s_B_S_Ratios_T_Actualisation provision contrat déficitaire SNCM 2010 V Def_PAO-CAF-RESOP_06_13_B14_E2_2210_Bridge_Zone_Sud" xfId="1565" xr:uid="{00000000-0005-0000-0000-0000C0050000}"/>
    <cellStyle name="s_B_S_Ratios_T_Actualisation provision contrat déficitaire SNCM 2010 V Def_PAO-CAF-RESOP_06_13_Bridge_Zone_Sud" xfId="1566" xr:uid="{00000000-0005-0000-0000-0000C1050000}"/>
    <cellStyle name="s_B_S_Ratios_T_Actualisation provision contrat déficitaire SNCM 2010 V Def_PAO-CAF-RESOP_08_13" xfId="1567" xr:uid="{00000000-0005-0000-0000-0000C2050000}"/>
    <cellStyle name="s_B_S_Ratios_T_Actualisation provision contrat déficitaire SNCM 2010 V Def_PAO-CAF-RESOP_08_13_B14_E2_2210" xfId="1568" xr:uid="{00000000-0005-0000-0000-0000C3050000}"/>
    <cellStyle name="s_B_S_Ratios_T_Actualisation provision contrat déficitaire SNCM 2010 V Def_PAO-CAF-RESOP_08_13_B14_E2_2210_Bridge_Zone_Sud" xfId="1569" xr:uid="{00000000-0005-0000-0000-0000C4050000}"/>
    <cellStyle name="s_B_S_Ratios_T_Actualisation provision contrat déficitaire SNCM 2010 V Def_PAO-CAF-RESOP_08_13_Bridge_Zone_Sud" xfId="1570" xr:uid="{00000000-0005-0000-0000-0000C5050000}"/>
    <cellStyle name="s_B_S_Ratios_T_Actualisation provision contrat déficitaire SNCM 2010 V Def_PAO-CAF-RESOP_09_13" xfId="1571" xr:uid="{00000000-0005-0000-0000-0000C6050000}"/>
    <cellStyle name="s_B_S_Ratios_T_Actualisation provision contrat déficitaire SNCM 2010 V Def_PAO-CAF-RESOP_09_13_Bridge_Zone_Sud" xfId="1572" xr:uid="{00000000-0005-0000-0000-0000C7050000}"/>
    <cellStyle name="s_B_S_Ratios_T_Actualisation provision contrat déficitaire SNCM 2010 V Def_PAO-CAF-RESOP_09_2013_Zone_IDF (version 2)" xfId="1573" xr:uid="{00000000-0005-0000-0000-0000C8050000}"/>
    <cellStyle name="s_B_S_Ratios_T_Actualisation provision contrat déficitaire SNCM 2010 V Def_PAO-CAF-RESOP_10_12" xfId="1574" xr:uid="{00000000-0005-0000-0000-0000C9050000}"/>
    <cellStyle name="s_B_S_Ratios_T_Actualisation provision contrat déficitaire SNCM 2010 V Def_PAO-CAF-RESOP_10_12_Bridge_Zone_Sud" xfId="1575" xr:uid="{00000000-0005-0000-0000-0000CA050000}"/>
    <cellStyle name="s_B_S_Ratios_T_Actualisation provision contrat déficitaire SNCM 2010 V Def_PAO-CAF-RESOP_10_12_focus par entités CAFOP" xfId="1576" xr:uid="{00000000-0005-0000-0000-0000CB050000}"/>
    <cellStyle name="s_B_S_Ratios_T_Actualisation provision contrat déficitaire SNCM 2010 V Def_PAO-CAF-RESOP_10_12_focus par entités CAFOP_Bridge_Zone_Sud" xfId="1577" xr:uid="{00000000-0005-0000-0000-0000CC050000}"/>
    <cellStyle name="s_B_S_Ratios_T_Actualisation provision contrat déficitaire SNCM 2010 V Def_PAO-CAF-RESOP_11_13" xfId="1578" xr:uid="{00000000-0005-0000-0000-0000CD050000}"/>
    <cellStyle name="s_B_S_Ratios_T_Actualisation provision contrat déficitaire SNCM 2010 V Def_PAO-CAF-RESOP_B13" xfId="1579" xr:uid="{00000000-0005-0000-0000-0000CE050000}"/>
    <cellStyle name="s_B_S_Ratios_T_Actualisation provision contrat déficitaire SNCM 2010 V Def_PAO-CAF-RESOP_B13_Bridge_Zone_Sud" xfId="1580" xr:uid="{00000000-0005-0000-0000-0000CF050000}"/>
    <cellStyle name="s_B_S_Ratios_T_Actualisation provision contrat déficitaire SNCM 2010 V Def_PAO-CAF-RESOP_B13_focus par entités CAFOP" xfId="1581" xr:uid="{00000000-0005-0000-0000-0000D0050000}"/>
    <cellStyle name="s_B_S_Ratios_T_Actualisation provision contrat déficitaire SNCM 2010 V Def_PAO-CAF-RESOP_B13_focus par entités CAFOP_Bridge_Zone_Sud" xfId="1582" xr:uid="{00000000-0005-0000-0000-0000D1050000}"/>
    <cellStyle name="s_B_S_Ratios_T_Actualisation provision contrat déficitaire SNCM 2010 V Def_PAO-CAF-RESOP_B2014" xfId="1583" xr:uid="{00000000-0005-0000-0000-0000D2050000}"/>
    <cellStyle name="s_B_S_Ratios_T_Actualisation provision contrat déficitaire SNCM 2010 V Def_PAO-CAF-RESOP_B2014_Bridge_Zone_Sud" xfId="1584" xr:uid="{00000000-0005-0000-0000-0000D3050000}"/>
    <cellStyle name="s_B_S_Ratios_T_Actualisation provision contrat déficitaire SNCM 2010 V Def_PAO-CAF-RESOP_B2014_v2" xfId="1585" xr:uid="{00000000-0005-0000-0000-0000D4050000}"/>
    <cellStyle name="s_B_S_Ratios_T_Actualisation provision contrat déficitaire SNCM 2010 V Def_PAO-CAF-RESOP_E2_13" xfId="1586" xr:uid="{00000000-0005-0000-0000-0000D5050000}"/>
    <cellStyle name="s_B_S_Ratios_T_Actualisation provision contrat déficitaire SNCM 2010 V Def_PAO-CAF-RESOP_E2_13_B14_E2_2210" xfId="1587" xr:uid="{00000000-0005-0000-0000-0000D6050000}"/>
    <cellStyle name="s_B_S_Ratios_T_Actualisation provision contrat déficitaire SNCM 2010 V Def_PAO-CAF-RESOP_E2_13_B14_E2_2210_Bridge_Zone_Sud" xfId="1588" xr:uid="{00000000-0005-0000-0000-0000D7050000}"/>
    <cellStyle name="s_B_S_Ratios_T_Actualisation provision contrat déficitaire SNCM 2010 V Def_PAO-CAF-RESOP_E2_13_Bridge_Zone_Sud" xfId="1589" xr:uid="{00000000-0005-0000-0000-0000D8050000}"/>
    <cellStyle name="s_B_S_Ratios_T_Actualisation provision contrat déficitaire SNCM 2010 V Def_PAO-CAF-RESOP_E2_2013_03_10_19H" xfId="1590" xr:uid="{00000000-0005-0000-0000-0000D9050000}"/>
    <cellStyle name="s_B_S_Ratios_T_Actualisation provision contrat déficitaire SNCM 2010 V Def_PAO-CAF-RESOP_E2_2013_03_10_19H_Bridge_Zone_Sud" xfId="1591" xr:uid="{00000000-0005-0000-0000-0000DA050000}"/>
    <cellStyle name="s_B_S_Ratios_T_Actualisation provision contrat déficitaire SNCM 2010 V Def_PPA" xfId="1592" xr:uid="{00000000-0005-0000-0000-0000DB050000}"/>
    <cellStyle name="s_B_S_Ratios_T_Actualisation provision contrat déficitaire SNCM 2010 V Def_RESOP bef CICE&amp;PPA&amp;RepartHO" xfId="1593" xr:uid="{00000000-0005-0000-0000-0000DC050000}"/>
    <cellStyle name="s_B_S_Ratios_T_Actualisation provision contrat déficitaire SNCM 2010 V Def_Synthèse_Présentation_conso_retraitée" xfId="1594" xr:uid="{00000000-0005-0000-0000-0000DD050000}"/>
    <cellStyle name="s_B_S_Ratios_T_Actualisation provision contrat déficitaire SNCM 2011 V3 30 05 2011" xfId="646" xr:uid="{00000000-0005-0000-0000-0000DE050000}"/>
    <cellStyle name="s_B_S_Ratios_T_Actualisation provision contrat déficitaire SNCM 2011 V3 30 05 2011_B14_E2_2210" xfId="1595" xr:uid="{00000000-0005-0000-0000-0000DF050000}"/>
    <cellStyle name="s_B_S_Ratios_T_Actualisation provision contrat déficitaire SNCM 2011 V3 30 05 2011_B14_E2_2210_Bridge_Zone_Sud" xfId="1596" xr:uid="{00000000-0005-0000-0000-0000E0050000}"/>
    <cellStyle name="s_B_S_Ratios_T_Actualisation provision contrat déficitaire SNCM 2011 V3 30 05 2011_Bridge_Zone_Sud" xfId="1597" xr:uid="{00000000-0005-0000-0000-0000E1050000}"/>
    <cellStyle name="s_B_S_Ratios_T_Actualisation provision contrat déficitaire SNCM 2011 V3 30 05 2011_CAPEM BY COUNTRY" xfId="1598" xr:uid="{00000000-0005-0000-0000-0000E2050000}"/>
    <cellStyle name="s_B_S_Ratios_T_Actualisation provision contrat déficitaire SNCM 2011 V3 30 05 2011_focus par entités CAFOPE2AMF" xfId="1599" xr:uid="{00000000-0005-0000-0000-0000E3050000}"/>
    <cellStyle name="s_B_S_Ratios_T_Actualisation provision contrat déficitaire SNCM 2011 V3 30 05 2011_focus par entités CAFOPE2AMF_Bridge_Zone_Sud" xfId="1600" xr:uid="{00000000-0005-0000-0000-0000E4050000}"/>
    <cellStyle name="s_B_S_Ratios_T_Actualisation provision contrat déficitaire SNCM 2011 V3 30 05 2011_Maquette PLT" xfId="1601" xr:uid="{00000000-0005-0000-0000-0000E5050000}"/>
    <cellStyle name="s_B_S_Ratios_T_Actualisation provision contrat déficitaire SNCM 2011 V3 30 05 2011_Output" xfId="3384" xr:uid="{00000000-0005-0000-0000-0000E6050000}"/>
    <cellStyle name="s_B_S_Ratios_T_Actualisation provision contrat déficitaire SNCM 2011 V3 30 05 2011_PAO-CAF-RESOP_04_13_pro_format_variante T1" xfId="1602" xr:uid="{00000000-0005-0000-0000-0000E7050000}"/>
    <cellStyle name="s_B_S_Ratios_T_Actualisation provision contrat déficitaire SNCM 2011 V3 30 05 2011_PAO-CAF-RESOP_04_13_pro_format_variante T1_B14_E2_2210" xfId="1603" xr:uid="{00000000-0005-0000-0000-0000E8050000}"/>
    <cellStyle name="s_B_S_Ratios_T_Actualisation provision contrat déficitaire SNCM 2011 V3 30 05 2011_PAO-CAF-RESOP_04_13_pro_format_variante T1_B14_E2_2210_Bridge_Zone_Sud" xfId="1604" xr:uid="{00000000-0005-0000-0000-0000E9050000}"/>
    <cellStyle name="s_B_S_Ratios_T_Actualisation provision contrat déficitaire SNCM 2011 V3 30 05 2011_PAO-CAF-RESOP_04_13_pro_format_variante T1_Bridge_Zone_Sud" xfId="1605" xr:uid="{00000000-0005-0000-0000-0000EA050000}"/>
    <cellStyle name="s_B_S_Ratios_T_Actualisation provision contrat déficitaire SNCM 2011 V3 30 05 2011_PAO-CAF-RESOP_06_13" xfId="1606" xr:uid="{00000000-0005-0000-0000-0000EB050000}"/>
    <cellStyle name="s_B_S_Ratios_T_Actualisation provision contrat déficitaire SNCM 2011 V3 30 05 2011_PAO-CAF-RESOP_06_13_B14_E2_2210" xfId="1607" xr:uid="{00000000-0005-0000-0000-0000EC050000}"/>
    <cellStyle name="s_B_S_Ratios_T_Actualisation provision contrat déficitaire SNCM 2011 V3 30 05 2011_PAO-CAF-RESOP_06_13_B14_E2_2210_Bridge_Zone_Sud" xfId="1608" xr:uid="{00000000-0005-0000-0000-0000ED050000}"/>
    <cellStyle name="s_B_S_Ratios_T_Actualisation provision contrat déficitaire SNCM 2011 V3 30 05 2011_PAO-CAF-RESOP_06_13_Bridge_Zone_Sud" xfId="1609" xr:uid="{00000000-0005-0000-0000-0000EE050000}"/>
    <cellStyle name="s_B_S_Ratios_T_Actualisation provision contrat déficitaire SNCM 2011 V3 30 05 2011_PAO-CAF-RESOP_08_13" xfId="1610" xr:uid="{00000000-0005-0000-0000-0000EF050000}"/>
    <cellStyle name="s_B_S_Ratios_T_Actualisation provision contrat déficitaire SNCM 2011 V3 30 05 2011_PAO-CAF-RESOP_08_13_B14_E2_2210" xfId="1611" xr:uid="{00000000-0005-0000-0000-0000F0050000}"/>
    <cellStyle name="s_B_S_Ratios_T_Actualisation provision contrat déficitaire SNCM 2011 V3 30 05 2011_PAO-CAF-RESOP_08_13_B14_E2_2210_Bridge_Zone_Sud" xfId="1612" xr:uid="{00000000-0005-0000-0000-0000F1050000}"/>
    <cellStyle name="s_B_S_Ratios_T_Actualisation provision contrat déficitaire SNCM 2011 V3 30 05 2011_PAO-CAF-RESOP_08_13_Bridge_Zone_Sud" xfId="1613" xr:uid="{00000000-0005-0000-0000-0000F2050000}"/>
    <cellStyle name="s_B_S_Ratios_T_Actualisation provision contrat déficitaire SNCM 2011 V3 30 05 2011_PAO-CAF-RESOP_09_13" xfId="1614" xr:uid="{00000000-0005-0000-0000-0000F3050000}"/>
    <cellStyle name="s_B_S_Ratios_T_Actualisation provision contrat déficitaire SNCM 2011 V3 30 05 2011_PAO-CAF-RESOP_09_13_Bridge_Zone_Sud" xfId="1615" xr:uid="{00000000-0005-0000-0000-0000F4050000}"/>
    <cellStyle name="s_B_S_Ratios_T_Actualisation provision contrat déficitaire SNCM 2011 V3 30 05 2011_PAO-CAF-RESOP_09_2013_Zone_IDF (version 2)" xfId="1616" xr:uid="{00000000-0005-0000-0000-0000F5050000}"/>
    <cellStyle name="s_B_S_Ratios_T_Actualisation provision contrat déficitaire SNCM 2011 V3 30 05 2011_PAO-CAF-RESOP_10_12" xfId="1617" xr:uid="{00000000-0005-0000-0000-0000F6050000}"/>
    <cellStyle name="s_B_S_Ratios_T_Actualisation provision contrat déficitaire SNCM 2011 V3 30 05 2011_PAO-CAF-RESOP_10_12_Bridge_Zone_Sud" xfId="1618" xr:uid="{00000000-0005-0000-0000-0000F7050000}"/>
    <cellStyle name="s_B_S_Ratios_T_Actualisation provision contrat déficitaire SNCM 2011 V3 30 05 2011_PAO-CAF-RESOP_10_12_focus par entités CAFOP" xfId="1619" xr:uid="{00000000-0005-0000-0000-0000F8050000}"/>
    <cellStyle name="s_B_S_Ratios_T_Actualisation provision contrat déficitaire SNCM 2011 V3 30 05 2011_PAO-CAF-RESOP_10_12_focus par entités CAFOP_Bridge_Zone_Sud" xfId="1620" xr:uid="{00000000-0005-0000-0000-0000F9050000}"/>
    <cellStyle name="s_B_S_Ratios_T_Actualisation provision contrat déficitaire SNCM 2011 V3 30 05 2011_PAO-CAF-RESOP_11_13" xfId="1621" xr:uid="{00000000-0005-0000-0000-0000FA050000}"/>
    <cellStyle name="s_B_S_Ratios_T_Actualisation provision contrat déficitaire SNCM 2011 V3 30 05 2011_PAO-CAF-RESOP_B13" xfId="1622" xr:uid="{00000000-0005-0000-0000-0000FB050000}"/>
    <cellStyle name="s_B_S_Ratios_T_Actualisation provision contrat déficitaire SNCM 2011 V3 30 05 2011_PAO-CAF-RESOP_B13_Bridge_Zone_Sud" xfId="1623" xr:uid="{00000000-0005-0000-0000-0000FC050000}"/>
    <cellStyle name="s_B_S_Ratios_T_Actualisation provision contrat déficitaire SNCM 2011 V3 30 05 2011_PAO-CAF-RESOP_B13_focus par entités CAFOP" xfId="1624" xr:uid="{00000000-0005-0000-0000-0000FD050000}"/>
    <cellStyle name="s_B_S_Ratios_T_Actualisation provision contrat déficitaire SNCM 2011 V3 30 05 2011_PAO-CAF-RESOP_B13_focus par entités CAFOP_Bridge_Zone_Sud" xfId="1625" xr:uid="{00000000-0005-0000-0000-0000FE050000}"/>
    <cellStyle name="s_B_S_Ratios_T_Actualisation provision contrat déficitaire SNCM 2011 V3 30 05 2011_PAO-CAF-RESOP_B2014" xfId="1626" xr:uid="{00000000-0005-0000-0000-0000FF050000}"/>
    <cellStyle name="s_B_S_Ratios_T_Actualisation provision contrat déficitaire SNCM 2011 V3 30 05 2011_PAO-CAF-RESOP_B2014_Bridge_Zone_Sud" xfId="1627" xr:uid="{00000000-0005-0000-0000-000000060000}"/>
    <cellStyle name="s_B_S_Ratios_T_Actualisation provision contrat déficitaire SNCM 2011 V3 30 05 2011_PAO-CAF-RESOP_B2014_v2" xfId="1628" xr:uid="{00000000-0005-0000-0000-000001060000}"/>
    <cellStyle name="s_B_S_Ratios_T_Actualisation provision contrat déficitaire SNCM 2011 V3 30 05 2011_PAO-CAF-RESOP_E2_13" xfId="1629" xr:uid="{00000000-0005-0000-0000-000002060000}"/>
    <cellStyle name="s_B_S_Ratios_T_Actualisation provision contrat déficitaire SNCM 2011 V3 30 05 2011_PAO-CAF-RESOP_E2_13_B14_E2_2210" xfId="1630" xr:uid="{00000000-0005-0000-0000-000003060000}"/>
    <cellStyle name="s_B_S_Ratios_T_Actualisation provision contrat déficitaire SNCM 2011 V3 30 05 2011_PAO-CAF-RESOP_E2_13_B14_E2_2210_Bridge_Zone_Sud" xfId="1631" xr:uid="{00000000-0005-0000-0000-000004060000}"/>
    <cellStyle name="s_B_S_Ratios_T_Actualisation provision contrat déficitaire SNCM 2011 V3 30 05 2011_PAO-CAF-RESOP_E2_13_Bridge_Zone_Sud" xfId="1632" xr:uid="{00000000-0005-0000-0000-000005060000}"/>
    <cellStyle name="s_B_S_Ratios_T_Actualisation provision contrat déficitaire SNCM 2011 V3 30 05 2011_PAO-CAF-RESOP_E2_2013_03_10_19H" xfId="1633" xr:uid="{00000000-0005-0000-0000-000006060000}"/>
    <cellStyle name="s_B_S_Ratios_T_Actualisation provision contrat déficitaire SNCM 2011 V3 30 05 2011_PAO-CAF-RESOP_E2_2013_03_10_19H_Bridge_Zone_Sud" xfId="1634" xr:uid="{00000000-0005-0000-0000-000007060000}"/>
    <cellStyle name="s_B_S_Ratios_T_Actualisation provision contrat déficitaire SNCM 2011 V3 30 05 2011_PPA" xfId="1635" xr:uid="{00000000-0005-0000-0000-000008060000}"/>
    <cellStyle name="s_B_S_Ratios_T_Actualisation provision contrat déficitaire SNCM 2011 V3 30 05 2011_RESOP bef CICE&amp;PPA&amp;RepartHO" xfId="1636" xr:uid="{00000000-0005-0000-0000-000009060000}"/>
    <cellStyle name="s_B_S_Ratios_T_Actualisation provision contrat déficitaire SNCM 2011 V3 30 05 2011_Synthèse_Présentation_conso_retraitée" xfId="1637" xr:uid="{00000000-0005-0000-0000-00000A060000}"/>
    <cellStyle name="s_B_S_Ratios_T_B14_E2_2210" xfId="1638" xr:uid="{00000000-0005-0000-0000-00000B060000}"/>
    <cellStyle name="s_B_S_Ratios_T_B14_E2_2210_Bridge_Zone_Sud" xfId="1639" xr:uid="{00000000-0005-0000-0000-00000C060000}"/>
    <cellStyle name="s_B_S_Ratios_T_BFR_TD_2014.02" xfId="1640" xr:uid="{00000000-0005-0000-0000-00000D060000}"/>
    <cellStyle name="s_B_S_Ratios_T_Bridge_Zone_Nord" xfId="1641" xr:uid="{00000000-0005-0000-0000-00000E060000}"/>
    <cellStyle name="s_B_S_Ratios_T_CAPEM BY COUNTRY" xfId="1642" xr:uid="{00000000-0005-0000-0000-00000F060000}"/>
    <cellStyle name="s_B_S_Ratios_T_LI819L_B13" xfId="647" xr:uid="{00000000-0005-0000-0000-000010060000}"/>
    <cellStyle name="s_B_S_Ratios_T_LI819L_B13_CAPEM BY COUNTRY" xfId="1643" xr:uid="{00000000-0005-0000-0000-000011060000}"/>
    <cellStyle name="s_B_S_Ratios_T_LI819L_B13_Maquette PLT" xfId="1644" xr:uid="{00000000-0005-0000-0000-000012060000}"/>
    <cellStyle name="s_B_S_Ratios_T_LI819L_B13_Output" xfId="3385" xr:uid="{00000000-0005-0000-0000-000013060000}"/>
    <cellStyle name="s_B_S_Ratios_T_LI819L_B13_PPA" xfId="1645" xr:uid="{00000000-0005-0000-0000-000014060000}"/>
    <cellStyle name="s_B_S_Ratios_T_LI819L_B13_RESOP bef CICE&amp;PPA&amp;RepartHO" xfId="1646" xr:uid="{00000000-0005-0000-0000-000015060000}"/>
    <cellStyle name="s_B_S_Ratios_T_Maquette PLT" xfId="1647" xr:uid="{00000000-0005-0000-0000-000016060000}"/>
    <cellStyle name="s_B_S_Ratios_T_Output" xfId="3386" xr:uid="{00000000-0005-0000-0000-000017060000}"/>
    <cellStyle name="s_B_S_Ratios_T_PAO-CAF-RESOP_14_01_13 à 20h" xfId="648" xr:uid="{00000000-0005-0000-0000-000018060000}"/>
    <cellStyle name="s_B_S_Ratios_T_PAO-CAF-RESOP_14_01_13 à 20h_CAPEM BY COUNTRY" xfId="1648" xr:uid="{00000000-0005-0000-0000-000019060000}"/>
    <cellStyle name="s_B_S_Ratios_T_PAO-CAF-RESOP_14_01_13 à 20h_Maquette PLT" xfId="1649" xr:uid="{00000000-0005-0000-0000-00001A060000}"/>
    <cellStyle name="s_B_S_Ratios_T_PAO-CAF-RESOP_14_01_13 à 20h_Output" xfId="3387" xr:uid="{00000000-0005-0000-0000-00001B060000}"/>
    <cellStyle name="s_B_S_Ratios_T_PAO-CAF-RESOP_14_01_13 à 20h_PPA" xfId="1650" xr:uid="{00000000-0005-0000-0000-00001C060000}"/>
    <cellStyle name="s_B_S_Ratios_T_PAO-CAF-RESOP_14_01_13 à 20h_RESOP bef CICE&amp;PPA&amp;RepartHO" xfId="1651" xr:uid="{00000000-0005-0000-0000-00001D060000}"/>
    <cellStyle name="s_B_S_Ratios_T_PAO-CAF-RESOP_2014.02" xfId="1652" xr:uid="{00000000-0005-0000-0000-00001E060000}"/>
    <cellStyle name="s_B_S_Ratios_T_PAO-CAF-RESOP_2014.02_Bridge_Zone_Sud" xfId="1653" xr:uid="{00000000-0005-0000-0000-00001F060000}"/>
    <cellStyle name="s_B_S_Ratios_T_PPA" xfId="1654" xr:uid="{00000000-0005-0000-0000-000020060000}"/>
    <cellStyle name="s_B_S_Ratios_T_RESOP bef CICE&amp;PPA&amp;RepartHO" xfId="1655" xr:uid="{00000000-0005-0000-0000-000021060000}"/>
    <cellStyle name="s_B14_E2_2210" xfId="1656" xr:uid="{00000000-0005-0000-0000-000022060000}"/>
    <cellStyle name="s_B14_E2_2210_Bridge_Zone_Sud" xfId="1657" xr:uid="{00000000-0005-0000-0000-000023060000}"/>
    <cellStyle name="s_BFR_TD_2014.02" xfId="1658" xr:uid="{00000000-0005-0000-0000-000024060000}"/>
    <cellStyle name="s_Bridge_Zone_Nord" xfId="1659" xr:uid="{00000000-0005-0000-0000-000025060000}"/>
    <cellStyle name="s_CAPEM BY COUNTRY" xfId="1660" xr:uid="{00000000-0005-0000-0000-000026060000}"/>
    <cellStyle name="s_DCFLBO Code" xfId="649" xr:uid="{00000000-0005-0000-0000-000027060000}"/>
    <cellStyle name="s_DCFLBO Code_1" xfId="650" xr:uid="{00000000-0005-0000-0000-000028060000}"/>
    <cellStyle name="s_DCFLBO Code_1_Actualisation provision contrat déficitaire SNCM 2010 V Def" xfId="651" xr:uid="{00000000-0005-0000-0000-000029060000}"/>
    <cellStyle name="s_DCFLBO Code_1_Actualisation provision contrat déficitaire SNCM 2010 V Def_B14_E2_2210" xfId="1661" xr:uid="{00000000-0005-0000-0000-00002A060000}"/>
    <cellStyle name="s_DCFLBO Code_1_Actualisation provision contrat déficitaire SNCM 2010 V Def_B14_E2_2210_Bridge_Zone_Sud" xfId="1662" xr:uid="{00000000-0005-0000-0000-00002B060000}"/>
    <cellStyle name="s_DCFLBO Code_1_Actualisation provision contrat déficitaire SNCM 2010 V Def_Bridge_Zone_Sud" xfId="1663" xr:uid="{00000000-0005-0000-0000-00002C060000}"/>
    <cellStyle name="s_DCFLBO Code_1_Actualisation provision contrat déficitaire SNCM 2010 V Def_CAPEM BY COUNTRY" xfId="1664" xr:uid="{00000000-0005-0000-0000-00002D060000}"/>
    <cellStyle name="s_DCFLBO Code_1_Actualisation provision contrat déficitaire SNCM 2010 V Def_focus par entités CAFOPE2AMF" xfId="1665" xr:uid="{00000000-0005-0000-0000-00002E060000}"/>
    <cellStyle name="s_DCFLBO Code_1_Actualisation provision contrat déficitaire SNCM 2010 V Def_focus par entités CAFOPE2AMF_Bridge_Zone_Sud" xfId="1666" xr:uid="{00000000-0005-0000-0000-00002F060000}"/>
    <cellStyle name="s_DCFLBO Code_1_Actualisation provision contrat déficitaire SNCM 2010 V Def_Maquette PLT" xfId="1667" xr:uid="{00000000-0005-0000-0000-000030060000}"/>
    <cellStyle name="s_DCFLBO Code_1_Actualisation provision contrat déficitaire SNCM 2010 V Def_Output" xfId="3388" xr:uid="{00000000-0005-0000-0000-000031060000}"/>
    <cellStyle name="s_DCFLBO Code_1_Actualisation provision contrat déficitaire SNCM 2010 V Def_PAO-CAF-RESOP_04_13_pro_format_variante T1" xfId="1668" xr:uid="{00000000-0005-0000-0000-000032060000}"/>
    <cellStyle name="s_DCFLBO Code_1_Actualisation provision contrat déficitaire SNCM 2010 V Def_PAO-CAF-RESOP_04_13_pro_format_variante T1_B14_E2_2210" xfId="1669" xr:uid="{00000000-0005-0000-0000-000033060000}"/>
    <cellStyle name="s_DCFLBO Code_1_Actualisation provision contrat déficitaire SNCM 2010 V Def_PAO-CAF-RESOP_04_13_pro_format_variante T1_B14_E2_2210_Bridge_Zone_Sud" xfId="1670" xr:uid="{00000000-0005-0000-0000-000034060000}"/>
    <cellStyle name="s_DCFLBO Code_1_Actualisation provision contrat déficitaire SNCM 2010 V Def_PAO-CAF-RESOP_04_13_pro_format_variante T1_Bridge_Zone_Sud" xfId="1671" xr:uid="{00000000-0005-0000-0000-000035060000}"/>
    <cellStyle name="s_DCFLBO Code_1_Actualisation provision contrat déficitaire SNCM 2010 V Def_PAO-CAF-RESOP_06_13" xfId="1672" xr:uid="{00000000-0005-0000-0000-000036060000}"/>
    <cellStyle name="s_DCFLBO Code_1_Actualisation provision contrat déficitaire SNCM 2010 V Def_PAO-CAF-RESOP_06_13_B14_E2_2210" xfId="1673" xr:uid="{00000000-0005-0000-0000-000037060000}"/>
    <cellStyle name="s_DCFLBO Code_1_Actualisation provision contrat déficitaire SNCM 2010 V Def_PAO-CAF-RESOP_06_13_B14_E2_2210_Bridge_Zone_Sud" xfId="1674" xr:uid="{00000000-0005-0000-0000-000038060000}"/>
    <cellStyle name="s_DCFLBO Code_1_Actualisation provision contrat déficitaire SNCM 2010 V Def_PAO-CAF-RESOP_06_13_Bridge_Zone_Sud" xfId="1675" xr:uid="{00000000-0005-0000-0000-000039060000}"/>
    <cellStyle name="s_DCFLBO Code_1_Actualisation provision contrat déficitaire SNCM 2010 V Def_PAO-CAF-RESOP_08_13" xfId="1676" xr:uid="{00000000-0005-0000-0000-00003A060000}"/>
    <cellStyle name="s_DCFLBO Code_1_Actualisation provision contrat déficitaire SNCM 2010 V Def_PAO-CAF-RESOP_08_13_B14_E2_2210" xfId="1677" xr:uid="{00000000-0005-0000-0000-00003B060000}"/>
    <cellStyle name="s_DCFLBO Code_1_Actualisation provision contrat déficitaire SNCM 2010 V Def_PAO-CAF-RESOP_08_13_B14_E2_2210_Bridge_Zone_Sud" xfId="1678" xr:uid="{00000000-0005-0000-0000-00003C060000}"/>
    <cellStyle name="s_DCFLBO Code_1_Actualisation provision contrat déficitaire SNCM 2010 V Def_PAO-CAF-RESOP_08_13_Bridge_Zone_Sud" xfId="1679" xr:uid="{00000000-0005-0000-0000-00003D060000}"/>
    <cellStyle name="s_DCFLBO Code_1_Actualisation provision contrat déficitaire SNCM 2010 V Def_PAO-CAF-RESOP_09_13" xfId="1680" xr:uid="{00000000-0005-0000-0000-00003E060000}"/>
    <cellStyle name="s_DCFLBO Code_1_Actualisation provision contrat déficitaire SNCM 2010 V Def_PAO-CAF-RESOP_09_13_Bridge_Zone_Sud" xfId="1681" xr:uid="{00000000-0005-0000-0000-00003F060000}"/>
    <cellStyle name="s_DCFLBO Code_1_Actualisation provision contrat déficitaire SNCM 2010 V Def_PAO-CAF-RESOP_09_2013_Zone_IDF (version 2)" xfId="1682" xr:uid="{00000000-0005-0000-0000-000040060000}"/>
    <cellStyle name="s_DCFLBO Code_1_Actualisation provision contrat déficitaire SNCM 2010 V Def_PAO-CAF-RESOP_10_12" xfId="1683" xr:uid="{00000000-0005-0000-0000-000041060000}"/>
    <cellStyle name="s_DCFLBO Code_1_Actualisation provision contrat déficitaire SNCM 2010 V Def_PAO-CAF-RESOP_10_12_Bridge_Zone_Sud" xfId="1684" xr:uid="{00000000-0005-0000-0000-000042060000}"/>
    <cellStyle name="s_DCFLBO Code_1_Actualisation provision contrat déficitaire SNCM 2010 V Def_PAO-CAF-RESOP_10_12_focus par entités CAFOP" xfId="1685" xr:uid="{00000000-0005-0000-0000-000043060000}"/>
    <cellStyle name="s_DCFLBO Code_1_Actualisation provision contrat déficitaire SNCM 2010 V Def_PAO-CAF-RESOP_10_12_focus par entités CAFOP_Bridge_Zone_Sud" xfId="1686" xr:uid="{00000000-0005-0000-0000-000044060000}"/>
    <cellStyle name="s_DCFLBO Code_1_Actualisation provision contrat déficitaire SNCM 2010 V Def_PAO-CAF-RESOP_11_13" xfId="1687" xr:uid="{00000000-0005-0000-0000-000045060000}"/>
    <cellStyle name="s_DCFLBO Code_1_Actualisation provision contrat déficitaire SNCM 2010 V Def_PAO-CAF-RESOP_B13" xfId="1688" xr:uid="{00000000-0005-0000-0000-000046060000}"/>
    <cellStyle name="s_DCFLBO Code_1_Actualisation provision contrat déficitaire SNCM 2010 V Def_PAO-CAF-RESOP_B13_Bridge_Zone_Sud" xfId="1689" xr:uid="{00000000-0005-0000-0000-000047060000}"/>
    <cellStyle name="s_DCFLBO Code_1_Actualisation provision contrat déficitaire SNCM 2010 V Def_PAO-CAF-RESOP_B13_focus par entités CAFOP" xfId="1690" xr:uid="{00000000-0005-0000-0000-000048060000}"/>
    <cellStyle name="s_DCFLBO Code_1_Actualisation provision contrat déficitaire SNCM 2010 V Def_PAO-CAF-RESOP_B13_focus par entités CAFOP_Bridge_Zone_Sud" xfId="1691" xr:uid="{00000000-0005-0000-0000-000049060000}"/>
    <cellStyle name="s_DCFLBO Code_1_Actualisation provision contrat déficitaire SNCM 2010 V Def_PAO-CAF-RESOP_B2014" xfId="1692" xr:uid="{00000000-0005-0000-0000-00004A060000}"/>
    <cellStyle name="s_DCFLBO Code_1_Actualisation provision contrat déficitaire SNCM 2010 V Def_PAO-CAF-RESOP_B2014_Bridge_Zone_Sud" xfId="1693" xr:uid="{00000000-0005-0000-0000-00004B060000}"/>
    <cellStyle name="s_DCFLBO Code_1_Actualisation provision contrat déficitaire SNCM 2010 V Def_PAO-CAF-RESOP_B2014_v2" xfId="1694" xr:uid="{00000000-0005-0000-0000-00004C060000}"/>
    <cellStyle name="s_DCFLBO Code_1_Actualisation provision contrat déficitaire SNCM 2010 V Def_PAO-CAF-RESOP_E2_13" xfId="1695" xr:uid="{00000000-0005-0000-0000-00004D060000}"/>
    <cellStyle name="s_DCFLBO Code_1_Actualisation provision contrat déficitaire SNCM 2010 V Def_PAO-CAF-RESOP_E2_13_B14_E2_2210" xfId="1696" xr:uid="{00000000-0005-0000-0000-00004E060000}"/>
    <cellStyle name="s_DCFLBO Code_1_Actualisation provision contrat déficitaire SNCM 2010 V Def_PAO-CAF-RESOP_E2_13_B14_E2_2210_Bridge_Zone_Sud" xfId="1697" xr:uid="{00000000-0005-0000-0000-00004F060000}"/>
    <cellStyle name="s_DCFLBO Code_1_Actualisation provision contrat déficitaire SNCM 2010 V Def_PAO-CAF-RESOP_E2_13_Bridge_Zone_Sud" xfId="1698" xr:uid="{00000000-0005-0000-0000-000050060000}"/>
    <cellStyle name="s_DCFLBO Code_1_Actualisation provision contrat déficitaire SNCM 2010 V Def_PAO-CAF-RESOP_E2_2013_03_10_19H" xfId="1699" xr:uid="{00000000-0005-0000-0000-000051060000}"/>
    <cellStyle name="s_DCFLBO Code_1_Actualisation provision contrat déficitaire SNCM 2010 V Def_PAO-CAF-RESOP_E2_2013_03_10_19H_Bridge_Zone_Sud" xfId="1700" xr:uid="{00000000-0005-0000-0000-000052060000}"/>
    <cellStyle name="s_DCFLBO Code_1_Actualisation provision contrat déficitaire SNCM 2010 V Def_PPA" xfId="1701" xr:uid="{00000000-0005-0000-0000-000053060000}"/>
    <cellStyle name="s_DCFLBO Code_1_Actualisation provision contrat déficitaire SNCM 2010 V Def_RESOP bef CICE&amp;PPA&amp;RepartHO" xfId="1702" xr:uid="{00000000-0005-0000-0000-000054060000}"/>
    <cellStyle name="s_DCFLBO Code_1_Actualisation provision contrat déficitaire SNCM 2010 V Def_Synthèse_Présentation_conso_retraitée" xfId="1703" xr:uid="{00000000-0005-0000-0000-000055060000}"/>
    <cellStyle name="s_DCFLBO Code_1_Actualisation provision contrat déficitaire SNCM 2011 V3 30 05 2011" xfId="652" xr:uid="{00000000-0005-0000-0000-000056060000}"/>
    <cellStyle name="s_DCFLBO Code_1_Actualisation provision contrat déficitaire SNCM 2011 V3 30 05 2011_B14_E2_2210" xfId="1704" xr:uid="{00000000-0005-0000-0000-000057060000}"/>
    <cellStyle name="s_DCFLBO Code_1_Actualisation provision contrat déficitaire SNCM 2011 V3 30 05 2011_B14_E2_2210_Bridge_Zone_Sud" xfId="1705" xr:uid="{00000000-0005-0000-0000-000058060000}"/>
    <cellStyle name="s_DCFLBO Code_1_Actualisation provision contrat déficitaire SNCM 2011 V3 30 05 2011_Bridge_Zone_Sud" xfId="1706" xr:uid="{00000000-0005-0000-0000-000059060000}"/>
    <cellStyle name="s_DCFLBO Code_1_Actualisation provision contrat déficitaire SNCM 2011 V3 30 05 2011_CAPEM BY COUNTRY" xfId="1707" xr:uid="{00000000-0005-0000-0000-00005A060000}"/>
    <cellStyle name="s_DCFLBO Code_1_Actualisation provision contrat déficitaire SNCM 2011 V3 30 05 2011_focus par entités CAFOPE2AMF" xfId="1708" xr:uid="{00000000-0005-0000-0000-00005B060000}"/>
    <cellStyle name="s_DCFLBO Code_1_Actualisation provision contrat déficitaire SNCM 2011 V3 30 05 2011_focus par entités CAFOPE2AMF_Bridge_Zone_Sud" xfId="1709" xr:uid="{00000000-0005-0000-0000-00005C060000}"/>
    <cellStyle name="s_DCFLBO Code_1_Actualisation provision contrat déficitaire SNCM 2011 V3 30 05 2011_Maquette PLT" xfId="1710" xr:uid="{00000000-0005-0000-0000-00005D060000}"/>
    <cellStyle name="s_DCFLBO Code_1_Actualisation provision contrat déficitaire SNCM 2011 V3 30 05 2011_Output" xfId="3389" xr:uid="{00000000-0005-0000-0000-00005E060000}"/>
    <cellStyle name="s_DCFLBO Code_1_Actualisation provision contrat déficitaire SNCM 2011 V3 30 05 2011_PAO-CAF-RESOP_04_13_pro_format_variante T1" xfId="1711" xr:uid="{00000000-0005-0000-0000-00005F060000}"/>
    <cellStyle name="s_DCFLBO Code_1_Actualisation provision contrat déficitaire SNCM 2011 V3 30 05 2011_PAO-CAF-RESOP_04_13_pro_format_variante T1_B14_E2_2210" xfId="1712" xr:uid="{00000000-0005-0000-0000-000060060000}"/>
    <cellStyle name="s_DCFLBO Code_1_Actualisation provision contrat déficitaire SNCM 2011 V3 30 05 2011_PAO-CAF-RESOP_04_13_pro_format_variante T1_B14_E2_2210_Bridge_Zone_Sud" xfId="1713" xr:uid="{00000000-0005-0000-0000-000061060000}"/>
    <cellStyle name="s_DCFLBO Code_1_Actualisation provision contrat déficitaire SNCM 2011 V3 30 05 2011_PAO-CAF-RESOP_04_13_pro_format_variante T1_Bridge_Zone_Sud" xfId="1714" xr:uid="{00000000-0005-0000-0000-000062060000}"/>
    <cellStyle name="s_DCFLBO Code_1_Actualisation provision contrat déficitaire SNCM 2011 V3 30 05 2011_PAO-CAF-RESOP_06_13" xfId="1715" xr:uid="{00000000-0005-0000-0000-000063060000}"/>
    <cellStyle name="s_DCFLBO Code_1_Actualisation provision contrat déficitaire SNCM 2011 V3 30 05 2011_PAO-CAF-RESOP_06_13_B14_E2_2210" xfId="1716" xr:uid="{00000000-0005-0000-0000-000064060000}"/>
    <cellStyle name="s_DCFLBO Code_1_Actualisation provision contrat déficitaire SNCM 2011 V3 30 05 2011_PAO-CAF-RESOP_06_13_B14_E2_2210_Bridge_Zone_Sud" xfId="1717" xr:uid="{00000000-0005-0000-0000-000065060000}"/>
    <cellStyle name="s_DCFLBO Code_1_Actualisation provision contrat déficitaire SNCM 2011 V3 30 05 2011_PAO-CAF-RESOP_06_13_Bridge_Zone_Sud" xfId="1718" xr:uid="{00000000-0005-0000-0000-000066060000}"/>
    <cellStyle name="s_DCFLBO Code_1_Actualisation provision contrat déficitaire SNCM 2011 V3 30 05 2011_PAO-CAF-RESOP_08_13" xfId="1719" xr:uid="{00000000-0005-0000-0000-000067060000}"/>
    <cellStyle name="s_DCFLBO Code_1_Actualisation provision contrat déficitaire SNCM 2011 V3 30 05 2011_PAO-CAF-RESOP_08_13_B14_E2_2210" xfId="1720" xr:uid="{00000000-0005-0000-0000-000068060000}"/>
    <cellStyle name="s_DCFLBO Code_1_Actualisation provision contrat déficitaire SNCM 2011 V3 30 05 2011_PAO-CAF-RESOP_08_13_B14_E2_2210_Bridge_Zone_Sud" xfId="1721" xr:uid="{00000000-0005-0000-0000-000069060000}"/>
    <cellStyle name="s_DCFLBO Code_1_Actualisation provision contrat déficitaire SNCM 2011 V3 30 05 2011_PAO-CAF-RESOP_08_13_Bridge_Zone_Sud" xfId="1722" xr:uid="{00000000-0005-0000-0000-00006A060000}"/>
    <cellStyle name="s_DCFLBO Code_1_Actualisation provision contrat déficitaire SNCM 2011 V3 30 05 2011_PAO-CAF-RESOP_09_13" xfId="1723" xr:uid="{00000000-0005-0000-0000-00006B060000}"/>
    <cellStyle name="s_DCFLBO Code_1_Actualisation provision contrat déficitaire SNCM 2011 V3 30 05 2011_PAO-CAF-RESOP_09_13_Bridge_Zone_Sud" xfId="1724" xr:uid="{00000000-0005-0000-0000-00006C060000}"/>
    <cellStyle name="s_DCFLBO Code_1_Actualisation provision contrat déficitaire SNCM 2011 V3 30 05 2011_PAO-CAF-RESOP_09_2013_Zone_IDF (version 2)" xfId="1725" xr:uid="{00000000-0005-0000-0000-00006D060000}"/>
    <cellStyle name="s_DCFLBO Code_1_Actualisation provision contrat déficitaire SNCM 2011 V3 30 05 2011_PAO-CAF-RESOP_10_12" xfId="1726" xr:uid="{00000000-0005-0000-0000-00006E060000}"/>
    <cellStyle name="s_DCFLBO Code_1_Actualisation provision contrat déficitaire SNCM 2011 V3 30 05 2011_PAO-CAF-RESOP_10_12_Bridge_Zone_Sud" xfId="1727" xr:uid="{00000000-0005-0000-0000-00006F060000}"/>
    <cellStyle name="s_DCFLBO Code_1_Actualisation provision contrat déficitaire SNCM 2011 V3 30 05 2011_PAO-CAF-RESOP_10_12_focus par entités CAFOP" xfId="1728" xr:uid="{00000000-0005-0000-0000-000070060000}"/>
    <cellStyle name="s_DCFLBO Code_1_Actualisation provision contrat déficitaire SNCM 2011 V3 30 05 2011_PAO-CAF-RESOP_10_12_focus par entités CAFOP_Bridge_Zone_Sud" xfId="1729" xr:uid="{00000000-0005-0000-0000-000071060000}"/>
    <cellStyle name="s_DCFLBO Code_1_Actualisation provision contrat déficitaire SNCM 2011 V3 30 05 2011_PAO-CAF-RESOP_11_13" xfId="1730" xr:uid="{00000000-0005-0000-0000-000072060000}"/>
    <cellStyle name="s_DCFLBO Code_1_Actualisation provision contrat déficitaire SNCM 2011 V3 30 05 2011_PAO-CAF-RESOP_B13" xfId="1731" xr:uid="{00000000-0005-0000-0000-000073060000}"/>
    <cellStyle name="s_DCFLBO Code_1_Actualisation provision contrat déficitaire SNCM 2011 V3 30 05 2011_PAO-CAF-RESOP_B13_Bridge_Zone_Sud" xfId="1732" xr:uid="{00000000-0005-0000-0000-000074060000}"/>
    <cellStyle name="s_DCFLBO Code_1_Actualisation provision contrat déficitaire SNCM 2011 V3 30 05 2011_PAO-CAF-RESOP_B13_focus par entités CAFOP" xfId="1733" xr:uid="{00000000-0005-0000-0000-000075060000}"/>
    <cellStyle name="s_DCFLBO Code_1_Actualisation provision contrat déficitaire SNCM 2011 V3 30 05 2011_PAO-CAF-RESOP_B13_focus par entités CAFOP_Bridge_Zone_Sud" xfId="1734" xr:uid="{00000000-0005-0000-0000-000076060000}"/>
    <cellStyle name="s_DCFLBO Code_1_Actualisation provision contrat déficitaire SNCM 2011 V3 30 05 2011_PAO-CAF-RESOP_B2014" xfId="1735" xr:uid="{00000000-0005-0000-0000-000077060000}"/>
    <cellStyle name="s_DCFLBO Code_1_Actualisation provision contrat déficitaire SNCM 2011 V3 30 05 2011_PAO-CAF-RESOP_B2014_Bridge_Zone_Sud" xfId="1736" xr:uid="{00000000-0005-0000-0000-000078060000}"/>
    <cellStyle name="s_DCFLBO Code_1_Actualisation provision contrat déficitaire SNCM 2011 V3 30 05 2011_PAO-CAF-RESOP_B2014_v2" xfId="1737" xr:uid="{00000000-0005-0000-0000-000079060000}"/>
    <cellStyle name="s_DCFLBO Code_1_Actualisation provision contrat déficitaire SNCM 2011 V3 30 05 2011_PAO-CAF-RESOP_E2_13" xfId="1738" xr:uid="{00000000-0005-0000-0000-00007A060000}"/>
    <cellStyle name="s_DCFLBO Code_1_Actualisation provision contrat déficitaire SNCM 2011 V3 30 05 2011_PAO-CAF-RESOP_E2_13_B14_E2_2210" xfId="1739" xr:uid="{00000000-0005-0000-0000-00007B060000}"/>
    <cellStyle name="s_DCFLBO Code_1_Actualisation provision contrat déficitaire SNCM 2011 V3 30 05 2011_PAO-CAF-RESOP_E2_13_B14_E2_2210_Bridge_Zone_Sud" xfId="1740" xr:uid="{00000000-0005-0000-0000-00007C060000}"/>
    <cellStyle name="s_DCFLBO Code_1_Actualisation provision contrat déficitaire SNCM 2011 V3 30 05 2011_PAO-CAF-RESOP_E2_13_Bridge_Zone_Sud" xfId="1741" xr:uid="{00000000-0005-0000-0000-00007D060000}"/>
    <cellStyle name="s_DCFLBO Code_1_Actualisation provision contrat déficitaire SNCM 2011 V3 30 05 2011_PAO-CAF-RESOP_E2_2013_03_10_19H" xfId="1742" xr:uid="{00000000-0005-0000-0000-00007E060000}"/>
    <cellStyle name="s_DCFLBO Code_1_Actualisation provision contrat déficitaire SNCM 2011 V3 30 05 2011_PAO-CAF-RESOP_E2_2013_03_10_19H_Bridge_Zone_Sud" xfId="1743" xr:uid="{00000000-0005-0000-0000-00007F060000}"/>
    <cellStyle name="s_DCFLBO Code_1_Actualisation provision contrat déficitaire SNCM 2011 V3 30 05 2011_PPA" xfId="1744" xr:uid="{00000000-0005-0000-0000-000080060000}"/>
    <cellStyle name="s_DCFLBO Code_1_Actualisation provision contrat déficitaire SNCM 2011 V3 30 05 2011_RESOP bef CICE&amp;PPA&amp;RepartHO" xfId="1745" xr:uid="{00000000-0005-0000-0000-000081060000}"/>
    <cellStyle name="s_DCFLBO Code_1_Actualisation provision contrat déficitaire SNCM 2011 V3 30 05 2011_Synthèse_Présentation_conso_retraitée" xfId="1746" xr:uid="{00000000-0005-0000-0000-000082060000}"/>
    <cellStyle name="s_DCFLBO Code_1_B14_E2_2210" xfId="1747" xr:uid="{00000000-0005-0000-0000-000083060000}"/>
    <cellStyle name="s_DCFLBO Code_1_B14_E2_2210_Bridge_Zone_Sud" xfId="1748" xr:uid="{00000000-0005-0000-0000-000084060000}"/>
    <cellStyle name="s_DCFLBO Code_1_BFR_TD_2014.02" xfId="1749" xr:uid="{00000000-0005-0000-0000-000085060000}"/>
    <cellStyle name="s_DCFLBO Code_1_Bridge_Zone_Nord" xfId="1750" xr:uid="{00000000-0005-0000-0000-000086060000}"/>
    <cellStyle name="s_DCFLBO Code_1_CAPEM BY COUNTRY" xfId="1751" xr:uid="{00000000-0005-0000-0000-000087060000}"/>
    <cellStyle name="s_DCFLBO Code_1_LI819L_B13" xfId="653" xr:uid="{00000000-0005-0000-0000-000088060000}"/>
    <cellStyle name="s_DCFLBO Code_1_LI819L_B13_CAPEM BY COUNTRY" xfId="1752" xr:uid="{00000000-0005-0000-0000-000089060000}"/>
    <cellStyle name="s_DCFLBO Code_1_LI819L_B13_Maquette PLT" xfId="1753" xr:uid="{00000000-0005-0000-0000-00008A060000}"/>
    <cellStyle name="s_DCFLBO Code_1_LI819L_B13_Output" xfId="3390" xr:uid="{00000000-0005-0000-0000-00008B060000}"/>
    <cellStyle name="s_DCFLBO Code_1_LI819L_B13_PPA" xfId="1754" xr:uid="{00000000-0005-0000-0000-00008C060000}"/>
    <cellStyle name="s_DCFLBO Code_1_LI819L_B13_RESOP bef CICE&amp;PPA&amp;RepartHO" xfId="1755" xr:uid="{00000000-0005-0000-0000-00008D060000}"/>
    <cellStyle name="s_DCFLBO Code_1_Maquette PLT" xfId="1756" xr:uid="{00000000-0005-0000-0000-00008E060000}"/>
    <cellStyle name="s_DCFLBO Code_1_Output" xfId="3391" xr:uid="{00000000-0005-0000-0000-00008F060000}"/>
    <cellStyle name="s_DCFLBO Code_1_PAO-CAF-RESOP_14_01_13 à 20h" xfId="654" xr:uid="{00000000-0005-0000-0000-000090060000}"/>
    <cellStyle name="s_DCFLBO Code_1_PAO-CAF-RESOP_14_01_13 à 20h_CAPEM BY COUNTRY" xfId="1757" xr:uid="{00000000-0005-0000-0000-000091060000}"/>
    <cellStyle name="s_DCFLBO Code_1_PAO-CAF-RESOP_14_01_13 à 20h_Maquette PLT" xfId="1758" xr:uid="{00000000-0005-0000-0000-000092060000}"/>
    <cellStyle name="s_DCFLBO Code_1_PAO-CAF-RESOP_14_01_13 à 20h_Output" xfId="3392" xr:uid="{00000000-0005-0000-0000-000093060000}"/>
    <cellStyle name="s_DCFLBO Code_1_PAO-CAF-RESOP_14_01_13 à 20h_PPA" xfId="1759" xr:uid="{00000000-0005-0000-0000-000094060000}"/>
    <cellStyle name="s_DCFLBO Code_1_PAO-CAF-RESOP_14_01_13 à 20h_RESOP bef CICE&amp;PPA&amp;RepartHO" xfId="1760" xr:uid="{00000000-0005-0000-0000-000095060000}"/>
    <cellStyle name="s_DCFLBO Code_1_PAO-CAF-RESOP_2014.02" xfId="1761" xr:uid="{00000000-0005-0000-0000-000096060000}"/>
    <cellStyle name="s_DCFLBO Code_1_PAO-CAF-RESOP_2014.02_Bridge_Zone_Sud" xfId="1762" xr:uid="{00000000-0005-0000-0000-000097060000}"/>
    <cellStyle name="s_DCFLBO Code_1_PPA" xfId="1763" xr:uid="{00000000-0005-0000-0000-000098060000}"/>
    <cellStyle name="s_DCFLBO Code_1_RESOP bef CICE&amp;PPA&amp;RepartHO" xfId="1764" xr:uid="{00000000-0005-0000-0000-000099060000}"/>
    <cellStyle name="s_DCFLBO Code_Actualisation provision contrat déficitaire SNCM 2010 V Def" xfId="655" xr:uid="{00000000-0005-0000-0000-00009A060000}"/>
    <cellStyle name="s_DCFLBO Code_Actualisation provision contrat déficitaire SNCM 2010 V Def_B14_E2_2210" xfId="1765" xr:uid="{00000000-0005-0000-0000-00009B060000}"/>
    <cellStyle name="s_DCFLBO Code_Actualisation provision contrat déficitaire SNCM 2010 V Def_B14_E2_2210_Bridge_Zone_Sud" xfId="1766" xr:uid="{00000000-0005-0000-0000-00009C060000}"/>
    <cellStyle name="s_DCFLBO Code_Actualisation provision contrat déficitaire SNCM 2010 V Def_Bridge_Zone_Sud" xfId="1767" xr:uid="{00000000-0005-0000-0000-00009D060000}"/>
    <cellStyle name="s_DCFLBO Code_Actualisation provision contrat déficitaire SNCM 2010 V Def_CAPEM BY COUNTRY" xfId="1768" xr:uid="{00000000-0005-0000-0000-00009E060000}"/>
    <cellStyle name="s_DCFLBO Code_Actualisation provision contrat déficitaire SNCM 2010 V Def_focus par entités CAFOPE2AMF" xfId="1769" xr:uid="{00000000-0005-0000-0000-00009F060000}"/>
    <cellStyle name="s_DCFLBO Code_Actualisation provision contrat déficitaire SNCM 2010 V Def_focus par entités CAFOPE2AMF_Bridge_Zone_Sud" xfId="1770" xr:uid="{00000000-0005-0000-0000-0000A0060000}"/>
    <cellStyle name="s_DCFLBO Code_Actualisation provision contrat déficitaire SNCM 2010 V Def_Maquette PLT" xfId="1771" xr:uid="{00000000-0005-0000-0000-0000A1060000}"/>
    <cellStyle name="s_DCFLBO Code_Actualisation provision contrat déficitaire SNCM 2010 V Def_Output" xfId="3393" xr:uid="{00000000-0005-0000-0000-0000A2060000}"/>
    <cellStyle name="s_DCFLBO Code_Actualisation provision contrat déficitaire SNCM 2010 V Def_PAO-CAF-RESOP_04_13_pro_format_variante T1" xfId="1772" xr:uid="{00000000-0005-0000-0000-0000A3060000}"/>
    <cellStyle name="s_DCFLBO Code_Actualisation provision contrat déficitaire SNCM 2010 V Def_PAO-CAF-RESOP_04_13_pro_format_variante T1_Bridge_Zone_Sud" xfId="1773" xr:uid="{00000000-0005-0000-0000-0000A4060000}"/>
    <cellStyle name="s_DCFLBO Code_Actualisation provision contrat déficitaire SNCM 2010 V Def_PAO-CAF-RESOP_06_13" xfId="1774" xr:uid="{00000000-0005-0000-0000-0000A5060000}"/>
    <cellStyle name="s_DCFLBO Code_Actualisation provision contrat déficitaire SNCM 2010 V Def_PAO-CAF-RESOP_06_13_Bridge_Zone_Sud" xfId="1775" xr:uid="{00000000-0005-0000-0000-0000A6060000}"/>
    <cellStyle name="s_DCFLBO Code_Actualisation provision contrat déficitaire SNCM 2010 V Def_PAO-CAF-RESOP_08_13" xfId="1776" xr:uid="{00000000-0005-0000-0000-0000A7060000}"/>
    <cellStyle name="s_DCFLBO Code_Actualisation provision contrat déficitaire SNCM 2010 V Def_PAO-CAF-RESOP_08_13_Bridge_Zone_Sud" xfId="1777" xr:uid="{00000000-0005-0000-0000-0000A8060000}"/>
    <cellStyle name="s_DCFLBO Code_Actualisation provision contrat déficitaire SNCM 2010 V Def_PAO-CAF-RESOP_09_13" xfId="1778" xr:uid="{00000000-0005-0000-0000-0000A9060000}"/>
    <cellStyle name="s_DCFLBO Code_Actualisation provision contrat déficitaire SNCM 2010 V Def_PAO-CAF-RESOP_09_13_Bridge_Zone_Sud" xfId="1779" xr:uid="{00000000-0005-0000-0000-0000AA060000}"/>
    <cellStyle name="s_DCFLBO Code_Actualisation provision contrat déficitaire SNCM 2010 V Def_PAO-CAF-RESOP_09_2013_Zone_IDF (version 2)" xfId="1780" xr:uid="{00000000-0005-0000-0000-0000AB060000}"/>
    <cellStyle name="s_DCFLBO Code_Actualisation provision contrat déficitaire SNCM 2010 V Def_PAO-CAF-RESOP_10_12" xfId="1781" xr:uid="{00000000-0005-0000-0000-0000AC060000}"/>
    <cellStyle name="s_DCFLBO Code_Actualisation provision contrat déficitaire SNCM 2010 V Def_PAO-CAF-RESOP_10_12_Bridge_Zone_Sud" xfId="1782" xr:uid="{00000000-0005-0000-0000-0000AD060000}"/>
    <cellStyle name="s_DCFLBO Code_Actualisation provision contrat déficitaire SNCM 2010 V Def_PAO-CAF-RESOP_10_12_focus par entités CAFOP" xfId="1783" xr:uid="{00000000-0005-0000-0000-0000AE060000}"/>
    <cellStyle name="s_DCFLBO Code_Actualisation provision contrat déficitaire SNCM 2010 V Def_PAO-CAF-RESOP_10_12_focus par entités CAFOP_Bridge_Zone_Sud" xfId="1784" xr:uid="{00000000-0005-0000-0000-0000AF060000}"/>
    <cellStyle name="s_DCFLBO Code_Actualisation provision contrat déficitaire SNCM 2010 V Def_PAO-CAF-RESOP_11_13" xfId="1785" xr:uid="{00000000-0005-0000-0000-0000B0060000}"/>
    <cellStyle name="s_DCFLBO Code_Actualisation provision contrat déficitaire SNCM 2010 V Def_PAO-CAF-RESOP_B13" xfId="1786" xr:uid="{00000000-0005-0000-0000-0000B1060000}"/>
    <cellStyle name="s_DCFLBO Code_Actualisation provision contrat déficitaire SNCM 2010 V Def_PAO-CAF-RESOP_B13_Bridge_Zone_Sud" xfId="1787" xr:uid="{00000000-0005-0000-0000-0000B2060000}"/>
    <cellStyle name="s_DCFLBO Code_Actualisation provision contrat déficitaire SNCM 2010 V Def_PAO-CAF-RESOP_B13_focus par entités CAFOP" xfId="1788" xr:uid="{00000000-0005-0000-0000-0000B3060000}"/>
    <cellStyle name="s_DCFLBO Code_Actualisation provision contrat déficitaire SNCM 2010 V Def_PAO-CAF-RESOP_B13_focus par entités CAFOP_Bridge_Zone_Sud" xfId="1789" xr:uid="{00000000-0005-0000-0000-0000B4060000}"/>
    <cellStyle name="s_DCFLBO Code_Actualisation provision contrat déficitaire SNCM 2010 V Def_PAO-CAF-RESOP_B2014" xfId="1790" xr:uid="{00000000-0005-0000-0000-0000B5060000}"/>
    <cellStyle name="s_DCFLBO Code_Actualisation provision contrat déficitaire SNCM 2010 V Def_PAO-CAF-RESOP_B2014_Bridge_Zone_Sud" xfId="1791" xr:uid="{00000000-0005-0000-0000-0000B6060000}"/>
    <cellStyle name="s_DCFLBO Code_Actualisation provision contrat déficitaire SNCM 2010 V Def_PAO-CAF-RESOP_B2014_v2" xfId="1792" xr:uid="{00000000-0005-0000-0000-0000B7060000}"/>
    <cellStyle name="s_DCFLBO Code_Actualisation provision contrat déficitaire SNCM 2010 V Def_PAO-CAF-RESOP_E2_13" xfId="1793" xr:uid="{00000000-0005-0000-0000-0000B8060000}"/>
    <cellStyle name="s_DCFLBO Code_Actualisation provision contrat déficitaire SNCM 2010 V Def_PAO-CAF-RESOP_E2_13_Bridge_Zone_Sud" xfId="1794" xr:uid="{00000000-0005-0000-0000-0000B9060000}"/>
    <cellStyle name="s_DCFLBO Code_Actualisation provision contrat déficitaire SNCM 2010 V Def_PAO-CAF-RESOP_E2_2013_03_10_19H" xfId="1795" xr:uid="{00000000-0005-0000-0000-0000BA060000}"/>
    <cellStyle name="s_DCFLBO Code_Actualisation provision contrat déficitaire SNCM 2010 V Def_PAO-CAF-RESOP_E2_2013_03_10_19H_Bridge_Zone_Sud" xfId="1796" xr:uid="{00000000-0005-0000-0000-0000BB060000}"/>
    <cellStyle name="s_DCFLBO Code_Actualisation provision contrat déficitaire SNCM 2010 V Def_Synthèse_Présentation_conso_retraitée" xfId="1797" xr:uid="{00000000-0005-0000-0000-0000BC060000}"/>
    <cellStyle name="s_DCFLBO Code_Actualisation provision contrat déficitaire SNCM 2011 V3 30 05 2011" xfId="656" xr:uid="{00000000-0005-0000-0000-0000BD060000}"/>
    <cellStyle name="s_DCFLBO Code_Actualisation provision contrat déficitaire SNCM 2011 V3 30 05 2011_B14_E2_2210" xfId="1798" xr:uid="{00000000-0005-0000-0000-0000BE060000}"/>
    <cellStyle name="s_DCFLBO Code_Actualisation provision contrat déficitaire SNCM 2011 V3 30 05 2011_B14_E2_2210_Bridge_Zone_Sud" xfId="1799" xr:uid="{00000000-0005-0000-0000-0000BF060000}"/>
    <cellStyle name="s_DCFLBO Code_Actualisation provision contrat déficitaire SNCM 2011 V3 30 05 2011_Bridge_Zone_Sud" xfId="1800" xr:uid="{00000000-0005-0000-0000-0000C0060000}"/>
    <cellStyle name="s_DCFLBO Code_Actualisation provision contrat déficitaire SNCM 2011 V3 30 05 2011_CAPEM BY COUNTRY" xfId="1801" xr:uid="{00000000-0005-0000-0000-0000C1060000}"/>
    <cellStyle name="s_DCFLBO Code_Actualisation provision contrat déficitaire SNCM 2011 V3 30 05 2011_focus par entités CAFOPE2AMF" xfId="1802" xr:uid="{00000000-0005-0000-0000-0000C2060000}"/>
    <cellStyle name="s_DCFLBO Code_Actualisation provision contrat déficitaire SNCM 2011 V3 30 05 2011_focus par entités CAFOPE2AMF_Bridge_Zone_Sud" xfId="1803" xr:uid="{00000000-0005-0000-0000-0000C3060000}"/>
    <cellStyle name="s_DCFLBO Code_Actualisation provision contrat déficitaire SNCM 2011 V3 30 05 2011_Maquette PLT" xfId="1804" xr:uid="{00000000-0005-0000-0000-0000C4060000}"/>
    <cellStyle name="s_DCFLBO Code_Actualisation provision contrat déficitaire SNCM 2011 V3 30 05 2011_Output" xfId="3394" xr:uid="{00000000-0005-0000-0000-0000C5060000}"/>
    <cellStyle name="s_DCFLBO Code_Actualisation provision contrat déficitaire SNCM 2011 V3 30 05 2011_PAO-CAF-RESOP_04_13_pro_format_variante T1" xfId="1805" xr:uid="{00000000-0005-0000-0000-0000C6060000}"/>
    <cellStyle name="s_DCFLBO Code_Actualisation provision contrat déficitaire SNCM 2011 V3 30 05 2011_PAO-CAF-RESOP_04_13_pro_format_variante T1_Bridge_Zone_Sud" xfId="1806" xr:uid="{00000000-0005-0000-0000-0000C7060000}"/>
    <cellStyle name="s_DCFLBO Code_Actualisation provision contrat déficitaire SNCM 2011 V3 30 05 2011_PAO-CAF-RESOP_06_13" xfId="1807" xr:uid="{00000000-0005-0000-0000-0000C8060000}"/>
    <cellStyle name="s_DCFLBO Code_Actualisation provision contrat déficitaire SNCM 2011 V3 30 05 2011_PAO-CAF-RESOP_06_13_Bridge_Zone_Sud" xfId="1808" xr:uid="{00000000-0005-0000-0000-0000C9060000}"/>
    <cellStyle name="s_DCFLBO Code_Actualisation provision contrat déficitaire SNCM 2011 V3 30 05 2011_PAO-CAF-RESOP_08_13" xfId="1809" xr:uid="{00000000-0005-0000-0000-0000CA060000}"/>
    <cellStyle name="s_DCFLBO Code_Actualisation provision contrat déficitaire SNCM 2011 V3 30 05 2011_PAO-CAF-RESOP_08_13_Bridge_Zone_Sud" xfId="1810" xr:uid="{00000000-0005-0000-0000-0000CB060000}"/>
    <cellStyle name="s_DCFLBO Code_Actualisation provision contrat déficitaire SNCM 2011 V3 30 05 2011_PAO-CAF-RESOP_09_13" xfId="1811" xr:uid="{00000000-0005-0000-0000-0000CC060000}"/>
    <cellStyle name="s_DCFLBO Code_Actualisation provision contrat déficitaire SNCM 2011 V3 30 05 2011_PAO-CAF-RESOP_09_13_Bridge_Zone_Sud" xfId="1812" xr:uid="{00000000-0005-0000-0000-0000CD060000}"/>
    <cellStyle name="s_DCFLBO Code_Actualisation provision contrat déficitaire SNCM 2011 V3 30 05 2011_PAO-CAF-RESOP_09_2013_Zone_IDF (version 2)" xfId="1813" xr:uid="{00000000-0005-0000-0000-0000CE060000}"/>
    <cellStyle name="s_DCFLBO Code_Actualisation provision contrat déficitaire SNCM 2011 V3 30 05 2011_PAO-CAF-RESOP_10_12" xfId="1814" xr:uid="{00000000-0005-0000-0000-0000CF060000}"/>
    <cellStyle name="s_DCFLBO Code_Actualisation provision contrat déficitaire SNCM 2011 V3 30 05 2011_PAO-CAF-RESOP_10_12_Bridge_Zone_Sud" xfId="1815" xr:uid="{00000000-0005-0000-0000-0000D0060000}"/>
    <cellStyle name="s_DCFLBO Code_Actualisation provision contrat déficitaire SNCM 2011 V3 30 05 2011_PAO-CAF-RESOP_10_12_focus par entités CAFOP" xfId="1816" xr:uid="{00000000-0005-0000-0000-0000D1060000}"/>
    <cellStyle name="s_DCFLBO Code_Actualisation provision contrat déficitaire SNCM 2011 V3 30 05 2011_PAO-CAF-RESOP_10_12_focus par entités CAFOP_Bridge_Zone_Sud" xfId="1817" xr:uid="{00000000-0005-0000-0000-0000D2060000}"/>
    <cellStyle name="s_DCFLBO Code_Actualisation provision contrat déficitaire SNCM 2011 V3 30 05 2011_PAO-CAF-RESOP_11_13" xfId="1818" xr:uid="{00000000-0005-0000-0000-0000D3060000}"/>
    <cellStyle name="s_DCFLBO Code_Actualisation provision contrat déficitaire SNCM 2011 V3 30 05 2011_PAO-CAF-RESOP_B13" xfId="1819" xr:uid="{00000000-0005-0000-0000-0000D4060000}"/>
    <cellStyle name="s_DCFLBO Code_Actualisation provision contrat déficitaire SNCM 2011 V3 30 05 2011_PAO-CAF-RESOP_B13_Bridge_Zone_Sud" xfId="1820" xr:uid="{00000000-0005-0000-0000-0000D5060000}"/>
    <cellStyle name="s_DCFLBO Code_Actualisation provision contrat déficitaire SNCM 2011 V3 30 05 2011_PAO-CAF-RESOP_B13_focus par entités CAFOP" xfId="1821" xr:uid="{00000000-0005-0000-0000-0000D6060000}"/>
    <cellStyle name="s_DCFLBO Code_Actualisation provision contrat déficitaire SNCM 2011 V3 30 05 2011_PAO-CAF-RESOP_B13_focus par entités CAFOP_Bridge_Zone_Sud" xfId="1822" xr:uid="{00000000-0005-0000-0000-0000D7060000}"/>
    <cellStyle name="s_DCFLBO Code_Actualisation provision contrat déficitaire SNCM 2011 V3 30 05 2011_PAO-CAF-RESOP_B2014" xfId="1823" xr:uid="{00000000-0005-0000-0000-0000D8060000}"/>
    <cellStyle name="s_DCFLBO Code_Actualisation provision contrat déficitaire SNCM 2011 V3 30 05 2011_PAO-CAF-RESOP_B2014_Bridge_Zone_Sud" xfId="1824" xr:uid="{00000000-0005-0000-0000-0000D9060000}"/>
    <cellStyle name="s_DCFLBO Code_Actualisation provision contrat déficitaire SNCM 2011 V3 30 05 2011_PAO-CAF-RESOP_B2014_v2" xfId="1825" xr:uid="{00000000-0005-0000-0000-0000DA060000}"/>
    <cellStyle name="s_DCFLBO Code_Actualisation provision contrat déficitaire SNCM 2011 V3 30 05 2011_PAO-CAF-RESOP_E2_13" xfId="1826" xr:uid="{00000000-0005-0000-0000-0000DB060000}"/>
    <cellStyle name="s_DCFLBO Code_Actualisation provision contrat déficitaire SNCM 2011 V3 30 05 2011_PAO-CAF-RESOP_E2_13_Bridge_Zone_Sud" xfId="1827" xr:uid="{00000000-0005-0000-0000-0000DC060000}"/>
    <cellStyle name="s_DCFLBO Code_Actualisation provision contrat déficitaire SNCM 2011 V3 30 05 2011_PAO-CAF-RESOP_E2_2013_03_10_19H" xfId="1828" xr:uid="{00000000-0005-0000-0000-0000DD060000}"/>
    <cellStyle name="s_DCFLBO Code_Actualisation provision contrat déficitaire SNCM 2011 V3 30 05 2011_PAO-CAF-RESOP_E2_2013_03_10_19H_Bridge_Zone_Sud" xfId="1829" xr:uid="{00000000-0005-0000-0000-0000DE060000}"/>
    <cellStyle name="s_DCFLBO Code_Actualisation provision contrat déficitaire SNCM 2011 V3 30 05 2011_Synthèse_Présentation_conso_retraitée" xfId="1830" xr:uid="{00000000-0005-0000-0000-0000DF060000}"/>
    <cellStyle name="s_DCFLBO Code_BFR_TD_2014.02" xfId="1831" xr:uid="{00000000-0005-0000-0000-0000E0060000}"/>
    <cellStyle name="s_DCFLBO Code_Bridge_Zone_Nord" xfId="1832" xr:uid="{00000000-0005-0000-0000-0000E1060000}"/>
    <cellStyle name="s_DCFLBO Code_CAPEM BY COUNTRY" xfId="1833" xr:uid="{00000000-0005-0000-0000-0000E2060000}"/>
    <cellStyle name="s_DCFLBO Code_LI819L_B13" xfId="657" xr:uid="{00000000-0005-0000-0000-0000E3060000}"/>
    <cellStyle name="s_DCFLBO Code_LI819L_B13_CAPEM BY COUNTRY" xfId="1834" xr:uid="{00000000-0005-0000-0000-0000E4060000}"/>
    <cellStyle name="s_DCFLBO Code_LI819L_B13_Maquette PLT" xfId="1835" xr:uid="{00000000-0005-0000-0000-0000E5060000}"/>
    <cellStyle name="s_DCFLBO Code_LI819L_B13_Output" xfId="3395" xr:uid="{00000000-0005-0000-0000-0000E6060000}"/>
    <cellStyle name="s_DCFLBO Code_Maquette PLT" xfId="1836" xr:uid="{00000000-0005-0000-0000-0000E7060000}"/>
    <cellStyle name="s_DCFLBO Code_Output" xfId="3396" xr:uid="{00000000-0005-0000-0000-0000E8060000}"/>
    <cellStyle name="s_DCFLBO Code_PAO-CAF-RESOP_14_01_13 à 20h" xfId="658" xr:uid="{00000000-0005-0000-0000-0000E9060000}"/>
    <cellStyle name="s_DCFLBO Code_PAO-CAF-RESOP_14_01_13 à 20h_CAPEM BY COUNTRY" xfId="1837" xr:uid="{00000000-0005-0000-0000-0000EA060000}"/>
    <cellStyle name="s_DCFLBO Code_PAO-CAF-RESOP_14_01_13 à 20h_Maquette PLT" xfId="1838" xr:uid="{00000000-0005-0000-0000-0000EB060000}"/>
    <cellStyle name="s_DCFLBO Code_PAO-CAF-RESOP_14_01_13 à 20h_Output" xfId="3397" xr:uid="{00000000-0005-0000-0000-0000EC060000}"/>
    <cellStyle name="s_DCFLBO Code_PAO-CAF-RESOP_2014.02" xfId="1839" xr:uid="{00000000-0005-0000-0000-0000ED060000}"/>
    <cellStyle name="s_DCFLBO Code_PAO-CAF-RESOP_2014.02_Bridge_Zone_Sud" xfId="1840" xr:uid="{00000000-0005-0000-0000-0000EE060000}"/>
    <cellStyle name="s_Dilution" xfId="659" xr:uid="{00000000-0005-0000-0000-0000EF060000}"/>
    <cellStyle name="s_Dilution_Actualisation provision contrat déficitaire SNCM 2010 V Def" xfId="660" xr:uid="{00000000-0005-0000-0000-0000F0060000}"/>
    <cellStyle name="s_Dilution_Actualisation provision contrat déficitaire SNCM 2010 V Def_B14_E2_2210" xfId="1841" xr:uid="{00000000-0005-0000-0000-0000F1060000}"/>
    <cellStyle name="s_Dilution_Actualisation provision contrat déficitaire SNCM 2010 V Def_B14_E2_2210_Bridge_Zone_Sud" xfId="1842" xr:uid="{00000000-0005-0000-0000-0000F2060000}"/>
    <cellStyle name="s_Dilution_Actualisation provision contrat déficitaire SNCM 2010 V Def_Bridge_Zone_Sud" xfId="1843" xr:uid="{00000000-0005-0000-0000-0000F3060000}"/>
    <cellStyle name="s_Dilution_Actualisation provision contrat déficitaire SNCM 2010 V Def_CAPEM BY COUNTRY" xfId="1844" xr:uid="{00000000-0005-0000-0000-0000F4060000}"/>
    <cellStyle name="s_Dilution_Actualisation provision contrat déficitaire SNCM 2010 V Def_focus par entités CAFOPE2AMF" xfId="1845" xr:uid="{00000000-0005-0000-0000-0000F5060000}"/>
    <cellStyle name="s_Dilution_Actualisation provision contrat déficitaire SNCM 2010 V Def_focus par entités CAFOPE2AMF_Bridge_Zone_Sud" xfId="1846" xr:uid="{00000000-0005-0000-0000-0000F6060000}"/>
    <cellStyle name="s_Dilution_Actualisation provision contrat déficitaire SNCM 2010 V Def_Maquette PLT" xfId="1847" xr:uid="{00000000-0005-0000-0000-0000F7060000}"/>
    <cellStyle name="s_Dilution_Actualisation provision contrat déficitaire SNCM 2010 V Def_Output" xfId="3398" xr:uid="{00000000-0005-0000-0000-0000F8060000}"/>
    <cellStyle name="s_Dilution_Actualisation provision contrat déficitaire SNCM 2010 V Def_PAO-CAF-RESOP_04_13_pro_format_variante T1" xfId="1848" xr:uid="{00000000-0005-0000-0000-0000F9060000}"/>
    <cellStyle name="s_Dilution_Actualisation provision contrat déficitaire SNCM 2010 V Def_PAO-CAF-RESOP_04_13_pro_format_variante T1_B14_E2_2210" xfId="1849" xr:uid="{00000000-0005-0000-0000-0000FA060000}"/>
    <cellStyle name="s_Dilution_Actualisation provision contrat déficitaire SNCM 2010 V Def_PAO-CAF-RESOP_04_13_pro_format_variante T1_B14_E2_2210_Bridge_Zone_Sud" xfId="1850" xr:uid="{00000000-0005-0000-0000-0000FB060000}"/>
    <cellStyle name="s_Dilution_Actualisation provision contrat déficitaire SNCM 2010 V Def_PAO-CAF-RESOP_04_13_pro_format_variante T1_Bridge_Zone_Sud" xfId="1851" xr:uid="{00000000-0005-0000-0000-0000FC060000}"/>
    <cellStyle name="s_Dilution_Actualisation provision contrat déficitaire SNCM 2010 V Def_PAO-CAF-RESOP_06_13" xfId="1852" xr:uid="{00000000-0005-0000-0000-0000FD060000}"/>
    <cellStyle name="s_Dilution_Actualisation provision contrat déficitaire SNCM 2010 V Def_PAO-CAF-RESOP_06_13_B14_E2_2210" xfId="1853" xr:uid="{00000000-0005-0000-0000-0000FE060000}"/>
    <cellStyle name="s_Dilution_Actualisation provision contrat déficitaire SNCM 2010 V Def_PAO-CAF-RESOP_06_13_B14_E2_2210_Bridge_Zone_Sud" xfId="1854" xr:uid="{00000000-0005-0000-0000-0000FF060000}"/>
    <cellStyle name="s_Dilution_Actualisation provision contrat déficitaire SNCM 2010 V Def_PAO-CAF-RESOP_06_13_Bridge_Zone_Sud" xfId="1855" xr:uid="{00000000-0005-0000-0000-000000070000}"/>
    <cellStyle name="s_Dilution_Actualisation provision contrat déficitaire SNCM 2010 V Def_PAO-CAF-RESOP_08_13" xfId="1856" xr:uid="{00000000-0005-0000-0000-000001070000}"/>
    <cellStyle name="s_Dilution_Actualisation provision contrat déficitaire SNCM 2010 V Def_PAO-CAF-RESOP_08_13_B14_E2_2210" xfId="1857" xr:uid="{00000000-0005-0000-0000-000002070000}"/>
    <cellStyle name="s_Dilution_Actualisation provision contrat déficitaire SNCM 2010 V Def_PAO-CAF-RESOP_08_13_B14_E2_2210_Bridge_Zone_Sud" xfId="1858" xr:uid="{00000000-0005-0000-0000-000003070000}"/>
    <cellStyle name="s_Dilution_Actualisation provision contrat déficitaire SNCM 2010 V Def_PAO-CAF-RESOP_08_13_Bridge_Zone_Sud" xfId="1859" xr:uid="{00000000-0005-0000-0000-000004070000}"/>
    <cellStyle name="s_Dilution_Actualisation provision contrat déficitaire SNCM 2010 V Def_PAO-CAF-RESOP_09_13" xfId="1860" xr:uid="{00000000-0005-0000-0000-000005070000}"/>
    <cellStyle name="s_Dilution_Actualisation provision contrat déficitaire SNCM 2010 V Def_PAO-CAF-RESOP_09_13_Bridge_Zone_Sud" xfId="1861" xr:uid="{00000000-0005-0000-0000-000006070000}"/>
    <cellStyle name="s_Dilution_Actualisation provision contrat déficitaire SNCM 2010 V Def_PAO-CAF-RESOP_09_2013_Zone_IDF (version 2)" xfId="1862" xr:uid="{00000000-0005-0000-0000-000007070000}"/>
    <cellStyle name="s_Dilution_Actualisation provision contrat déficitaire SNCM 2010 V Def_PAO-CAF-RESOP_10_12" xfId="1863" xr:uid="{00000000-0005-0000-0000-000008070000}"/>
    <cellStyle name="s_Dilution_Actualisation provision contrat déficitaire SNCM 2010 V Def_PAO-CAF-RESOP_10_12_Bridge_Zone_Sud" xfId="1864" xr:uid="{00000000-0005-0000-0000-000009070000}"/>
    <cellStyle name="s_Dilution_Actualisation provision contrat déficitaire SNCM 2010 V Def_PAO-CAF-RESOP_10_12_focus par entités CAFOP" xfId="1865" xr:uid="{00000000-0005-0000-0000-00000A070000}"/>
    <cellStyle name="s_Dilution_Actualisation provision contrat déficitaire SNCM 2010 V Def_PAO-CAF-RESOP_10_12_focus par entités CAFOP_Bridge_Zone_Sud" xfId="1866" xr:uid="{00000000-0005-0000-0000-00000B070000}"/>
    <cellStyle name="s_Dilution_Actualisation provision contrat déficitaire SNCM 2010 V Def_PAO-CAF-RESOP_11_13" xfId="1867" xr:uid="{00000000-0005-0000-0000-00000C070000}"/>
    <cellStyle name="s_Dilution_Actualisation provision contrat déficitaire SNCM 2010 V Def_PAO-CAF-RESOP_B13" xfId="1868" xr:uid="{00000000-0005-0000-0000-00000D070000}"/>
    <cellStyle name="s_Dilution_Actualisation provision contrat déficitaire SNCM 2010 V Def_PAO-CAF-RESOP_B13_Bridge_Zone_Sud" xfId="1869" xr:uid="{00000000-0005-0000-0000-00000E070000}"/>
    <cellStyle name="s_Dilution_Actualisation provision contrat déficitaire SNCM 2010 V Def_PAO-CAF-RESOP_B13_focus par entités CAFOP" xfId="1870" xr:uid="{00000000-0005-0000-0000-00000F070000}"/>
    <cellStyle name="s_Dilution_Actualisation provision contrat déficitaire SNCM 2010 V Def_PAO-CAF-RESOP_B13_focus par entités CAFOP_Bridge_Zone_Sud" xfId="1871" xr:uid="{00000000-0005-0000-0000-000010070000}"/>
    <cellStyle name="s_Dilution_Actualisation provision contrat déficitaire SNCM 2010 V Def_PAO-CAF-RESOP_B2014" xfId="1872" xr:uid="{00000000-0005-0000-0000-000011070000}"/>
    <cellStyle name="s_Dilution_Actualisation provision contrat déficitaire SNCM 2010 V Def_PAO-CAF-RESOP_B2014_Bridge_Zone_Sud" xfId="1873" xr:uid="{00000000-0005-0000-0000-000012070000}"/>
    <cellStyle name="s_Dilution_Actualisation provision contrat déficitaire SNCM 2010 V Def_PAO-CAF-RESOP_B2014_v2" xfId="1874" xr:uid="{00000000-0005-0000-0000-000013070000}"/>
    <cellStyle name="s_Dilution_Actualisation provision contrat déficitaire SNCM 2010 V Def_PAO-CAF-RESOP_E2_13" xfId="1875" xr:uid="{00000000-0005-0000-0000-000014070000}"/>
    <cellStyle name="s_Dilution_Actualisation provision contrat déficitaire SNCM 2010 V Def_PAO-CAF-RESOP_E2_13_B14_E2_2210" xfId="1876" xr:uid="{00000000-0005-0000-0000-000015070000}"/>
    <cellStyle name="s_Dilution_Actualisation provision contrat déficitaire SNCM 2010 V Def_PAO-CAF-RESOP_E2_13_B14_E2_2210_Bridge_Zone_Sud" xfId="1877" xr:uid="{00000000-0005-0000-0000-000016070000}"/>
    <cellStyle name="s_Dilution_Actualisation provision contrat déficitaire SNCM 2010 V Def_PAO-CAF-RESOP_E2_13_Bridge_Zone_Sud" xfId="1878" xr:uid="{00000000-0005-0000-0000-000017070000}"/>
    <cellStyle name="s_Dilution_Actualisation provision contrat déficitaire SNCM 2010 V Def_PAO-CAF-RESOP_E2_2013_03_10_19H" xfId="1879" xr:uid="{00000000-0005-0000-0000-000018070000}"/>
    <cellStyle name="s_Dilution_Actualisation provision contrat déficitaire SNCM 2010 V Def_PAO-CAF-RESOP_E2_2013_03_10_19H_Bridge_Zone_Sud" xfId="1880" xr:uid="{00000000-0005-0000-0000-000019070000}"/>
    <cellStyle name="s_Dilution_Actualisation provision contrat déficitaire SNCM 2010 V Def_PPA" xfId="1881" xr:uid="{00000000-0005-0000-0000-00001A070000}"/>
    <cellStyle name="s_Dilution_Actualisation provision contrat déficitaire SNCM 2010 V Def_RESOP bef CICE&amp;PPA&amp;RepartHO" xfId="1882" xr:uid="{00000000-0005-0000-0000-00001B070000}"/>
    <cellStyle name="s_Dilution_Actualisation provision contrat déficitaire SNCM 2010 V Def_Synthèse_Présentation_conso_retraitée" xfId="1883" xr:uid="{00000000-0005-0000-0000-00001C070000}"/>
    <cellStyle name="s_Dilution_Actualisation provision contrat déficitaire SNCM 2011 V3 30 05 2011" xfId="661" xr:uid="{00000000-0005-0000-0000-00001D070000}"/>
    <cellStyle name="s_Dilution_Actualisation provision contrat déficitaire SNCM 2011 V3 30 05 2011_B14_E2_2210" xfId="1884" xr:uid="{00000000-0005-0000-0000-00001E070000}"/>
    <cellStyle name="s_Dilution_Actualisation provision contrat déficitaire SNCM 2011 V3 30 05 2011_B14_E2_2210_Bridge_Zone_Sud" xfId="1885" xr:uid="{00000000-0005-0000-0000-00001F070000}"/>
    <cellStyle name="s_Dilution_Actualisation provision contrat déficitaire SNCM 2011 V3 30 05 2011_Bridge_Zone_Sud" xfId="1886" xr:uid="{00000000-0005-0000-0000-000020070000}"/>
    <cellStyle name="s_Dilution_Actualisation provision contrat déficitaire SNCM 2011 V3 30 05 2011_CAPEM BY COUNTRY" xfId="1887" xr:uid="{00000000-0005-0000-0000-000021070000}"/>
    <cellStyle name="s_Dilution_Actualisation provision contrat déficitaire SNCM 2011 V3 30 05 2011_focus par entités CAFOPE2AMF" xfId="1888" xr:uid="{00000000-0005-0000-0000-000022070000}"/>
    <cellStyle name="s_Dilution_Actualisation provision contrat déficitaire SNCM 2011 V3 30 05 2011_focus par entités CAFOPE2AMF_Bridge_Zone_Sud" xfId="1889" xr:uid="{00000000-0005-0000-0000-000023070000}"/>
    <cellStyle name="s_Dilution_Actualisation provision contrat déficitaire SNCM 2011 V3 30 05 2011_Maquette PLT" xfId="1890" xr:uid="{00000000-0005-0000-0000-000024070000}"/>
    <cellStyle name="s_Dilution_Actualisation provision contrat déficitaire SNCM 2011 V3 30 05 2011_Output" xfId="3399" xr:uid="{00000000-0005-0000-0000-000025070000}"/>
    <cellStyle name="s_Dilution_Actualisation provision contrat déficitaire SNCM 2011 V3 30 05 2011_PAO-CAF-RESOP_04_13_pro_format_variante T1" xfId="1891" xr:uid="{00000000-0005-0000-0000-000026070000}"/>
    <cellStyle name="s_Dilution_Actualisation provision contrat déficitaire SNCM 2011 V3 30 05 2011_PAO-CAF-RESOP_04_13_pro_format_variante T1_B14_E2_2210" xfId="1892" xr:uid="{00000000-0005-0000-0000-000027070000}"/>
    <cellStyle name="s_Dilution_Actualisation provision contrat déficitaire SNCM 2011 V3 30 05 2011_PAO-CAF-RESOP_04_13_pro_format_variante T1_B14_E2_2210_Bridge_Zone_Sud" xfId="1893" xr:uid="{00000000-0005-0000-0000-000028070000}"/>
    <cellStyle name="s_Dilution_Actualisation provision contrat déficitaire SNCM 2011 V3 30 05 2011_PAO-CAF-RESOP_04_13_pro_format_variante T1_Bridge_Zone_Sud" xfId="1894" xr:uid="{00000000-0005-0000-0000-000029070000}"/>
    <cellStyle name="s_Dilution_Actualisation provision contrat déficitaire SNCM 2011 V3 30 05 2011_PAO-CAF-RESOP_06_13" xfId="1895" xr:uid="{00000000-0005-0000-0000-00002A070000}"/>
    <cellStyle name="s_Dilution_Actualisation provision contrat déficitaire SNCM 2011 V3 30 05 2011_PAO-CAF-RESOP_06_13_B14_E2_2210" xfId="1896" xr:uid="{00000000-0005-0000-0000-00002B070000}"/>
    <cellStyle name="s_Dilution_Actualisation provision contrat déficitaire SNCM 2011 V3 30 05 2011_PAO-CAF-RESOP_06_13_B14_E2_2210_Bridge_Zone_Sud" xfId="1897" xr:uid="{00000000-0005-0000-0000-00002C070000}"/>
    <cellStyle name="s_Dilution_Actualisation provision contrat déficitaire SNCM 2011 V3 30 05 2011_PAO-CAF-RESOP_06_13_Bridge_Zone_Sud" xfId="1898" xr:uid="{00000000-0005-0000-0000-00002D070000}"/>
    <cellStyle name="s_Dilution_Actualisation provision contrat déficitaire SNCM 2011 V3 30 05 2011_PAO-CAF-RESOP_08_13" xfId="1899" xr:uid="{00000000-0005-0000-0000-00002E070000}"/>
    <cellStyle name="s_Dilution_Actualisation provision contrat déficitaire SNCM 2011 V3 30 05 2011_PAO-CAF-RESOP_08_13_B14_E2_2210" xfId="1900" xr:uid="{00000000-0005-0000-0000-00002F070000}"/>
    <cellStyle name="s_Dilution_Actualisation provision contrat déficitaire SNCM 2011 V3 30 05 2011_PAO-CAF-RESOP_08_13_B14_E2_2210_Bridge_Zone_Sud" xfId="1901" xr:uid="{00000000-0005-0000-0000-000030070000}"/>
    <cellStyle name="s_Dilution_Actualisation provision contrat déficitaire SNCM 2011 V3 30 05 2011_PAO-CAF-RESOP_08_13_Bridge_Zone_Sud" xfId="1902" xr:uid="{00000000-0005-0000-0000-000031070000}"/>
    <cellStyle name="s_Dilution_Actualisation provision contrat déficitaire SNCM 2011 V3 30 05 2011_PAO-CAF-RESOP_09_13" xfId="1903" xr:uid="{00000000-0005-0000-0000-000032070000}"/>
    <cellStyle name="s_Dilution_Actualisation provision contrat déficitaire SNCM 2011 V3 30 05 2011_PAO-CAF-RESOP_09_13_Bridge_Zone_Sud" xfId="1904" xr:uid="{00000000-0005-0000-0000-000033070000}"/>
    <cellStyle name="s_Dilution_Actualisation provision contrat déficitaire SNCM 2011 V3 30 05 2011_PAO-CAF-RESOP_09_2013_Zone_IDF (version 2)" xfId="1905" xr:uid="{00000000-0005-0000-0000-000034070000}"/>
    <cellStyle name="s_Dilution_Actualisation provision contrat déficitaire SNCM 2011 V3 30 05 2011_PAO-CAF-RESOP_10_12" xfId="1906" xr:uid="{00000000-0005-0000-0000-000035070000}"/>
    <cellStyle name="s_Dilution_Actualisation provision contrat déficitaire SNCM 2011 V3 30 05 2011_PAO-CAF-RESOP_10_12_Bridge_Zone_Sud" xfId="1907" xr:uid="{00000000-0005-0000-0000-000036070000}"/>
    <cellStyle name="s_Dilution_Actualisation provision contrat déficitaire SNCM 2011 V3 30 05 2011_PAO-CAF-RESOP_10_12_focus par entités CAFOP" xfId="1908" xr:uid="{00000000-0005-0000-0000-000037070000}"/>
    <cellStyle name="s_Dilution_Actualisation provision contrat déficitaire SNCM 2011 V3 30 05 2011_PAO-CAF-RESOP_10_12_focus par entités CAFOP_Bridge_Zone_Sud" xfId="1909" xr:uid="{00000000-0005-0000-0000-000038070000}"/>
    <cellStyle name="s_Dilution_Actualisation provision contrat déficitaire SNCM 2011 V3 30 05 2011_PAO-CAF-RESOP_11_13" xfId="1910" xr:uid="{00000000-0005-0000-0000-000039070000}"/>
    <cellStyle name="s_Dilution_Actualisation provision contrat déficitaire SNCM 2011 V3 30 05 2011_PAO-CAF-RESOP_B13" xfId="1911" xr:uid="{00000000-0005-0000-0000-00003A070000}"/>
    <cellStyle name="s_Dilution_Actualisation provision contrat déficitaire SNCM 2011 V3 30 05 2011_PAO-CAF-RESOP_B13_Bridge_Zone_Sud" xfId="1912" xr:uid="{00000000-0005-0000-0000-00003B070000}"/>
    <cellStyle name="s_Dilution_Actualisation provision contrat déficitaire SNCM 2011 V3 30 05 2011_PAO-CAF-RESOP_B13_focus par entités CAFOP" xfId="1913" xr:uid="{00000000-0005-0000-0000-00003C070000}"/>
    <cellStyle name="s_Dilution_Actualisation provision contrat déficitaire SNCM 2011 V3 30 05 2011_PAO-CAF-RESOP_B13_focus par entités CAFOP_Bridge_Zone_Sud" xfId="1914" xr:uid="{00000000-0005-0000-0000-00003D070000}"/>
    <cellStyle name="s_Dilution_Actualisation provision contrat déficitaire SNCM 2011 V3 30 05 2011_PAO-CAF-RESOP_B2014" xfId="1915" xr:uid="{00000000-0005-0000-0000-00003E070000}"/>
    <cellStyle name="s_Dilution_Actualisation provision contrat déficitaire SNCM 2011 V3 30 05 2011_PAO-CAF-RESOP_B2014_Bridge_Zone_Sud" xfId="1916" xr:uid="{00000000-0005-0000-0000-00003F070000}"/>
    <cellStyle name="s_Dilution_Actualisation provision contrat déficitaire SNCM 2011 V3 30 05 2011_PAO-CAF-RESOP_B2014_v2" xfId="1917" xr:uid="{00000000-0005-0000-0000-000040070000}"/>
    <cellStyle name="s_Dilution_Actualisation provision contrat déficitaire SNCM 2011 V3 30 05 2011_PAO-CAF-RESOP_E2_13" xfId="1918" xr:uid="{00000000-0005-0000-0000-000041070000}"/>
    <cellStyle name="s_Dilution_Actualisation provision contrat déficitaire SNCM 2011 V3 30 05 2011_PAO-CAF-RESOP_E2_13_B14_E2_2210" xfId="1919" xr:uid="{00000000-0005-0000-0000-000042070000}"/>
    <cellStyle name="s_Dilution_Actualisation provision contrat déficitaire SNCM 2011 V3 30 05 2011_PAO-CAF-RESOP_E2_13_B14_E2_2210_Bridge_Zone_Sud" xfId="1920" xr:uid="{00000000-0005-0000-0000-000043070000}"/>
    <cellStyle name="s_Dilution_Actualisation provision contrat déficitaire SNCM 2011 V3 30 05 2011_PAO-CAF-RESOP_E2_13_Bridge_Zone_Sud" xfId="1921" xr:uid="{00000000-0005-0000-0000-000044070000}"/>
    <cellStyle name="s_Dilution_Actualisation provision contrat déficitaire SNCM 2011 V3 30 05 2011_PAO-CAF-RESOP_E2_2013_03_10_19H" xfId="1922" xr:uid="{00000000-0005-0000-0000-000045070000}"/>
    <cellStyle name="s_Dilution_Actualisation provision contrat déficitaire SNCM 2011 V3 30 05 2011_PAO-CAF-RESOP_E2_2013_03_10_19H_Bridge_Zone_Sud" xfId="1923" xr:uid="{00000000-0005-0000-0000-000046070000}"/>
    <cellStyle name="s_Dilution_Actualisation provision contrat déficitaire SNCM 2011 V3 30 05 2011_PPA" xfId="1924" xr:uid="{00000000-0005-0000-0000-000047070000}"/>
    <cellStyle name="s_Dilution_Actualisation provision contrat déficitaire SNCM 2011 V3 30 05 2011_RESOP bef CICE&amp;PPA&amp;RepartHO" xfId="1925" xr:uid="{00000000-0005-0000-0000-000048070000}"/>
    <cellStyle name="s_Dilution_Actualisation provision contrat déficitaire SNCM 2011 V3 30 05 2011_Synthèse_Présentation_conso_retraitée" xfId="1926" xr:uid="{00000000-0005-0000-0000-000049070000}"/>
    <cellStyle name="s_Dilution_B14_E2_2210" xfId="1927" xr:uid="{00000000-0005-0000-0000-00004A070000}"/>
    <cellStyle name="s_Dilution_B14_E2_2210_Bridge_Zone_Sud" xfId="1928" xr:uid="{00000000-0005-0000-0000-00004B070000}"/>
    <cellStyle name="s_Dilution_BFR_TD_2014.02" xfId="1929" xr:uid="{00000000-0005-0000-0000-00004C070000}"/>
    <cellStyle name="s_Dilution_Bridge_Zone_Nord" xfId="1930" xr:uid="{00000000-0005-0000-0000-00004D070000}"/>
    <cellStyle name="s_Dilution_CAPEM BY COUNTRY" xfId="1931" xr:uid="{00000000-0005-0000-0000-00004E070000}"/>
    <cellStyle name="s_Dilution_LI819L_B13" xfId="662" xr:uid="{00000000-0005-0000-0000-00004F070000}"/>
    <cellStyle name="s_Dilution_LI819L_B13_CAPEM BY COUNTRY" xfId="1932" xr:uid="{00000000-0005-0000-0000-000050070000}"/>
    <cellStyle name="s_Dilution_LI819L_B13_Maquette PLT" xfId="1933" xr:uid="{00000000-0005-0000-0000-000051070000}"/>
    <cellStyle name="s_Dilution_LI819L_B13_Output" xfId="3400" xr:uid="{00000000-0005-0000-0000-000052070000}"/>
    <cellStyle name="s_Dilution_LI819L_B13_PPA" xfId="1934" xr:uid="{00000000-0005-0000-0000-000053070000}"/>
    <cellStyle name="s_Dilution_LI819L_B13_RESOP bef CICE&amp;PPA&amp;RepartHO" xfId="1935" xr:uid="{00000000-0005-0000-0000-000054070000}"/>
    <cellStyle name="s_Dilution_Maquette PLT" xfId="1936" xr:uid="{00000000-0005-0000-0000-000055070000}"/>
    <cellStyle name="s_Dilution_Output" xfId="3401" xr:uid="{00000000-0005-0000-0000-000056070000}"/>
    <cellStyle name="s_Dilution_PAO-CAF-RESOP_14_01_13 à 20h" xfId="663" xr:uid="{00000000-0005-0000-0000-000057070000}"/>
    <cellStyle name="s_Dilution_PAO-CAF-RESOP_14_01_13 à 20h_CAPEM BY COUNTRY" xfId="1937" xr:uid="{00000000-0005-0000-0000-000058070000}"/>
    <cellStyle name="s_Dilution_PAO-CAF-RESOP_14_01_13 à 20h_Maquette PLT" xfId="1938" xr:uid="{00000000-0005-0000-0000-000059070000}"/>
    <cellStyle name="s_Dilution_PAO-CAF-RESOP_14_01_13 à 20h_Output" xfId="3402" xr:uid="{00000000-0005-0000-0000-00005A070000}"/>
    <cellStyle name="s_Dilution_PAO-CAF-RESOP_14_01_13 à 20h_PPA" xfId="1939" xr:uid="{00000000-0005-0000-0000-00005B070000}"/>
    <cellStyle name="s_Dilution_PAO-CAF-RESOP_14_01_13 à 20h_RESOP bef CICE&amp;PPA&amp;RepartHO" xfId="1940" xr:uid="{00000000-0005-0000-0000-00005C070000}"/>
    <cellStyle name="s_Dilution_PAO-CAF-RESOP_2014.02" xfId="1941" xr:uid="{00000000-0005-0000-0000-00005D070000}"/>
    <cellStyle name="s_Dilution_PAO-CAF-RESOP_2014.02_Bridge_Zone_Sud" xfId="1942" xr:uid="{00000000-0005-0000-0000-00005E070000}"/>
    <cellStyle name="s_Dilution_PPA" xfId="1943" xr:uid="{00000000-0005-0000-0000-00005F070000}"/>
    <cellStyle name="s_Dilution_RESOP bef CICE&amp;PPA&amp;RepartHO" xfId="1944" xr:uid="{00000000-0005-0000-0000-000060070000}"/>
    <cellStyle name="s_Financials_B" xfId="664" xr:uid="{00000000-0005-0000-0000-000061070000}"/>
    <cellStyle name="s_Financials_B_Actualisation provision contrat déficitaire SNCM 2010 V Def" xfId="665" xr:uid="{00000000-0005-0000-0000-000062070000}"/>
    <cellStyle name="s_Financials_B_Actualisation provision contrat déficitaire SNCM 2010 V Def_B14_E2_2210" xfId="1945" xr:uid="{00000000-0005-0000-0000-000063070000}"/>
    <cellStyle name="s_Financials_B_Actualisation provision contrat déficitaire SNCM 2010 V Def_B14_E2_2210_Bridge_Zone_Sud" xfId="1946" xr:uid="{00000000-0005-0000-0000-000064070000}"/>
    <cellStyle name="s_Financials_B_Actualisation provision contrat déficitaire SNCM 2010 V Def_Bridge_Zone_Sud" xfId="1947" xr:uid="{00000000-0005-0000-0000-000065070000}"/>
    <cellStyle name="s_Financials_B_Actualisation provision contrat déficitaire SNCM 2010 V Def_CAPEM BY COUNTRY" xfId="1948" xr:uid="{00000000-0005-0000-0000-000066070000}"/>
    <cellStyle name="s_Financials_B_Actualisation provision contrat déficitaire SNCM 2010 V Def_focus par entités CAFOPE2AMF" xfId="1949" xr:uid="{00000000-0005-0000-0000-000067070000}"/>
    <cellStyle name="s_Financials_B_Actualisation provision contrat déficitaire SNCM 2010 V Def_focus par entités CAFOPE2AMF_Bridge_Zone_Sud" xfId="1950" xr:uid="{00000000-0005-0000-0000-000068070000}"/>
    <cellStyle name="s_Financials_B_Actualisation provision contrat déficitaire SNCM 2010 V Def_Maquette PLT" xfId="1951" xr:uid="{00000000-0005-0000-0000-000069070000}"/>
    <cellStyle name="s_Financials_B_Actualisation provision contrat déficitaire SNCM 2010 V Def_Output" xfId="3403" xr:uid="{00000000-0005-0000-0000-00006A070000}"/>
    <cellStyle name="s_Financials_B_Actualisation provision contrat déficitaire SNCM 2010 V Def_PAO-CAF-RESOP_04_13_pro_format_variante T1" xfId="1952" xr:uid="{00000000-0005-0000-0000-00006B070000}"/>
    <cellStyle name="s_Financials_B_Actualisation provision contrat déficitaire SNCM 2010 V Def_PAO-CAF-RESOP_04_13_pro_format_variante T1_B14_E2_2210" xfId="1953" xr:uid="{00000000-0005-0000-0000-00006C070000}"/>
    <cellStyle name="s_Financials_B_Actualisation provision contrat déficitaire SNCM 2010 V Def_PAO-CAF-RESOP_04_13_pro_format_variante T1_B14_E2_2210_Bridge_Zone_Sud" xfId="1954" xr:uid="{00000000-0005-0000-0000-00006D070000}"/>
    <cellStyle name="s_Financials_B_Actualisation provision contrat déficitaire SNCM 2010 V Def_PAO-CAF-RESOP_04_13_pro_format_variante T1_Bridge_Zone_Sud" xfId="1955" xr:uid="{00000000-0005-0000-0000-00006E070000}"/>
    <cellStyle name="s_Financials_B_Actualisation provision contrat déficitaire SNCM 2010 V Def_PAO-CAF-RESOP_06_13" xfId="1956" xr:uid="{00000000-0005-0000-0000-00006F070000}"/>
    <cellStyle name="s_Financials_B_Actualisation provision contrat déficitaire SNCM 2010 V Def_PAO-CAF-RESOP_06_13_B14_E2_2210" xfId="1957" xr:uid="{00000000-0005-0000-0000-000070070000}"/>
    <cellStyle name="s_Financials_B_Actualisation provision contrat déficitaire SNCM 2010 V Def_PAO-CAF-RESOP_06_13_B14_E2_2210_Bridge_Zone_Sud" xfId="1958" xr:uid="{00000000-0005-0000-0000-000071070000}"/>
    <cellStyle name="s_Financials_B_Actualisation provision contrat déficitaire SNCM 2010 V Def_PAO-CAF-RESOP_06_13_Bridge_Zone_Sud" xfId="1959" xr:uid="{00000000-0005-0000-0000-000072070000}"/>
    <cellStyle name="s_Financials_B_Actualisation provision contrat déficitaire SNCM 2010 V Def_PAO-CAF-RESOP_08_13" xfId="1960" xr:uid="{00000000-0005-0000-0000-000073070000}"/>
    <cellStyle name="s_Financials_B_Actualisation provision contrat déficitaire SNCM 2010 V Def_PAO-CAF-RESOP_08_13_B14_E2_2210" xfId="1961" xr:uid="{00000000-0005-0000-0000-000074070000}"/>
    <cellStyle name="s_Financials_B_Actualisation provision contrat déficitaire SNCM 2010 V Def_PAO-CAF-RESOP_08_13_B14_E2_2210_Bridge_Zone_Sud" xfId="1962" xr:uid="{00000000-0005-0000-0000-000075070000}"/>
    <cellStyle name="s_Financials_B_Actualisation provision contrat déficitaire SNCM 2010 V Def_PAO-CAF-RESOP_08_13_Bridge_Zone_Sud" xfId="1963" xr:uid="{00000000-0005-0000-0000-000076070000}"/>
    <cellStyle name="s_Financials_B_Actualisation provision contrat déficitaire SNCM 2010 V Def_PAO-CAF-RESOP_09_13" xfId="1964" xr:uid="{00000000-0005-0000-0000-000077070000}"/>
    <cellStyle name="s_Financials_B_Actualisation provision contrat déficitaire SNCM 2010 V Def_PAO-CAF-RESOP_09_13_Bridge_Zone_Sud" xfId="1965" xr:uid="{00000000-0005-0000-0000-000078070000}"/>
    <cellStyle name="s_Financials_B_Actualisation provision contrat déficitaire SNCM 2010 V Def_PAO-CAF-RESOP_09_2013_Zone_IDF (version 2)" xfId="1966" xr:uid="{00000000-0005-0000-0000-000079070000}"/>
    <cellStyle name="s_Financials_B_Actualisation provision contrat déficitaire SNCM 2010 V Def_PAO-CAF-RESOP_10_12" xfId="1967" xr:uid="{00000000-0005-0000-0000-00007A070000}"/>
    <cellStyle name="s_Financials_B_Actualisation provision contrat déficitaire SNCM 2010 V Def_PAO-CAF-RESOP_10_12_Bridge_Zone_Sud" xfId="1968" xr:uid="{00000000-0005-0000-0000-00007B070000}"/>
    <cellStyle name="s_Financials_B_Actualisation provision contrat déficitaire SNCM 2010 V Def_PAO-CAF-RESOP_10_12_focus par entités CAFOP" xfId="1969" xr:uid="{00000000-0005-0000-0000-00007C070000}"/>
    <cellStyle name="s_Financials_B_Actualisation provision contrat déficitaire SNCM 2010 V Def_PAO-CAF-RESOP_10_12_focus par entités CAFOP_Bridge_Zone_Sud" xfId="1970" xr:uid="{00000000-0005-0000-0000-00007D070000}"/>
    <cellStyle name="s_Financials_B_Actualisation provision contrat déficitaire SNCM 2010 V Def_PAO-CAF-RESOP_11_13" xfId="1971" xr:uid="{00000000-0005-0000-0000-00007E070000}"/>
    <cellStyle name="s_Financials_B_Actualisation provision contrat déficitaire SNCM 2010 V Def_PAO-CAF-RESOP_B13" xfId="1972" xr:uid="{00000000-0005-0000-0000-00007F070000}"/>
    <cellStyle name="s_Financials_B_Actualisation provision contrat déficitaire SNCM 2010 V Def_PAO-CAF-RESOP_B13_Bridge_Zone_Sud" xfId="1973" xr:uid="{00000000-0005-0000-0000-000080070000}"/>
    <cellStyle name="s_Financials_B_Actualisation provision contrat déficitaire SNCM 2010 V Def_PAO-CAF-RESOP_B13_focus par entités CAFOP" xfId="1974" xr:uid="{00000000-0005-0000-0000-000081070000}"/>
    <cellStyle name="s_Financials_B_Actualisation provision contrat déficitaire SNCM 2010 V Def_PAO-CAF-RESOP_B13_focus par entités CAFOP_Bridge_Zone_Sud" xfId="1975" xr:uid="{00000000-0005-0000-0000-000082070000}"/>
    <cellStyle name="s_Financials_B_Actualisation provision contrat déficitaire SNCM 2010 V Def_PAO-CAF-RESOP_B2014" xfId="1976" xr:uid="{00000000-0005-0000-0000-000083070000}"/>
    <cellStyle name="s_Financials_B_Actualisation provision contrat déficitaire SNCM 2010 V Def_PAO-CAF-RESOP_B2014_Bridge_Zone_Sud" xfId="1977" xr:uid="{00000000-0005-0000-0000-000084070000}"/>
    <cellStyle name="s_Financials_B_Actualisation provision contrat déficitaire SNCM 2010 V Def_PAO-CAF-RESOP_B2014_v2" xfId="1978" xr:uid="{00000000-0005-0000-0000-000085070000}"/>
    <cellStyle name="s_Financials_B_Actualisation provision contrat déficitaire SNCM 2010 V Def_PAO-CAF-RESOP_E2_13" xfId="1979" xr:uid="{00000000-0005-0000-0000-000086070000}"/>
    <cellStyle name="s_Financials_B_Actualisation provision contrat déficitaire SNCM 2010 V Def_PAO-CAF-RESOP_E2_13_B14_E2_2210" xfId="1980" xr:uid="{00000000-0005-0000-0000-000087070000}"/>
    <cellStyle name="s_Financials_B_Actualisation provision contrat déficitaire SNCM 2010 V Def_PAO-CAF-RESOP_E2_13_B14_E2_2210_Bridge_Zone_Sud" xfId="1981" xr:uid="{00000000-0005-0000-0000-000088070000}"/>
    <cellStyle name="s_Financials_B_Actualisation provision contrat déficitaire SNCM 2010 V Def_PAO-CAF-RESOP_E2_13_Bridge_Zone_Sud" xfId="1982" xr:uid="{00000000-0005-0000-0000-000089070000}"/>
    <cellStyle name="s_Financials_B_Actualisation provision contrat déficitaire SNCM 2010 V Def_PAO-CAF-RESOP_E2_2013_03_10_19H" xfId="1983" xr:uid="{00000000-0005-0000-0000-00008A070000}"/>
    <cellStyle name="s_Financials_B_Actualisation provision contrat déficitaire SNCM 2010 V Def_PAO-CAF-RESOP_E2_2013_03_10_19H_Bridge_Zone_Sud" xfId="1984" xr:uid="{00000000-0005-0000-0000-00008B070000}"/>
    <cellStyle name="s_Financials_B_Actualisation provision contrat déficitaire SNCM 2010 V Def_PPA" xfId="1985" xr:uid="{00000000-0005-0000-0000-00008C070000}"/>
    <cellStyle name="s_Financials_B_Actualisation provision contrat déficitaire SNCM 2010 V Def_RESOP bef CICE&amp;PPA&amp;RepartHO" xfId="1986" xr:uid="{00000000-0005-0000-0000-00008D070000}"/>
    <cellStyle name="s_Financials_B_Actualisation provision contrat déficitaire SNCM 2010 V Def_Synthèse_Présentation_conso_retraitée" xfId="1987" xr:uid="{00000000-0005-0000-0000-00008E070000}"/>
    <cellStyle name="s_Financials_B_Actualisation provision contrat déficitaire SNCM 2011 V3 30 05 2011" xfId="666" xr:uid="{00000000-0005-0000-0000-00008F070000}"/>
    <cellStyle name="s_Financials_B_Actualisation provision contrat déficitaire SNCM 2011 V3 30 05 2011_B14_E2_2210" xfId="1988" xr:uid="{00000000-0005-0000-0000-000090070000}"/>
    <cellStyle name="s_Financials_B_Actualisation provision contrat déficitaire SNCM 2011 V3 30 05 2011_B14_E2_2210_Bridge_Zone_Sud" xfId="1989" xr:uid="{00000000-0005-0000-0000-000091070000}"/>
    <cellStyle name="s_Financials_B_Actualisation provision contrat déficitaire SNCM 2011 V3 30 05 2011_Bridge_Zone_Sud" xfId="1990" xr:uid="{00000000-0005-0000-0000-000092070000}"/>
    <cellStyle name="s_Financials_B_Actualisation provision contrat déficitaire SNCM 2011 V3 30 05 2011_CAPEM BY COUNTRY" xfId="1991" xr:uid="{00000000-0005-0000-0000-000093070000}"/>
    <cellStyle name="s_Financials_B_Actualisation provision contrat déficitaire SNCM 2011 V3 30 05 2011_focus par entités CAFOPE2AMF" xfId="1992" xr:uid="{00000000-0005-0000-0000-000094070000}"/>
    <cellStyle name="s_Financials_B_Actualisation provision contrat déficitaire SNCM 2011 V3 30 05 2011_focus par entités CAFOPE2AMF_Bridge_Zone_Sud" xfId="1993" xr:uid="{00000000-0005-0000-0000-000095070000}"/>
    <cellStyle name="s_Financials_B_Actualisation provision contrat déficitaire SNCM 2011 V3 30 05 2011_Maquette PLT" xfId="1994" xr:uid="{00000000-0005-0000-0000-000096070000}"/>
    <cellStyle name="s_Financials_B_Actualisation provision contrat déficitaire SNCM 2011 V3 30 05 2011_Output" xfId="3404" xr:uid="{00000000-0005-0000-0000-000097070000}"/>
    <cellStyle name="s_Financials_B_Actualisation provision contrat déficitaire SNCM 2011 V3 30 05 2011_PAO-CAF-RESOP_04_13_pro_format_variante T1" xfId="1995" xr:uid="{00000000-0005-0000-0000-000098070000}"/>
    <cellStyle name="s_Financials_B_Actualisation provision contrat déficitaire SNCM 2011 V3 30 05 2011_PAO-CAF-RESOP_04_13_pro_format_variante T1_B14_E2_2210" xfId="1996" xr:uid="{00000000-0005-0000-0000-000099070000}"/>
    <cellStyle name="s_Financials_B_Actualisation provision contrat déficitaire SNCM 2011 V3 30 05 2011_PAO-CAF-RESOP_04_13_pro_format_variante T1_B14_E2_2210_Bridge_Zone_Sud" xfId="1997" xr:uid="{00000000-0005-0000-0000-00009A070000}"/>
    <cellStyle name="s_Financials_B_Actualisation provision contrat déficitaire SNCM 2011 V3 30 05 2011_PAO-CAF-RESOP_04_13_pro_format_variante T1_Bridge_Zone_Sud" xfId="1998" xr:uid="{00000000-0005-0000-0000-00009B070000}"/>
    <cellStyle name="s_Financials_B_Actualisation provision contrat déficitaire SNCM 2011 V3 30 05 2011_PAO-CAF-RESOP_06_13" xfId="1999" xr:uid="{00000000-0005-0000-0000-00009C070000}"/>
    <cellStyle name="s_Financials_B_Actualisation provision contrat déficitaire SNCM 2011 V3 30 05 2011_PAO-CAF-RESOP_06_13_B14_E2_2210" xfId="2000" xr:uid="{00000000-0005-0000-0000-00009D070000}"/>
    <cellStyle name="s_Financials_B_Actualisation provision contrat déficitaire SNCM 2011 V3 30 05 2011_PAO-CAF-RESOP_06_13_B14_E2_2210_Bridge_Zone_Sud" xfId="2001" xr:uid="{00000000-0005-0000-0000-00009E070000}"/>
    <cellStyle name="s_Financials_B_Actualisation provision contrat déficitaire SNCM 2011 V3 30 05 2011_PAO-CAF-RESOP_06_13_Bridge_Zone_Sud" xfId="2002" xr:uid="{00000000-0005-0000-0000-00009F070000}"/>
    <cellStyle name="s_Financials_B_Actualisation provision contrat déficitaire SNCM 2011 V3 30 05 2011_PAO-CAF-RESOP_08_13" xfId="2003" xr:uid="{00000000-0005-0000-0000-0000A0070000}"/>
    <cellStyle name="s_Financials_B_Actualisation provision contrat déficitaire SNCM 2011 V3 30 05 2011_PAO-CAF-RESOP_08_13_B14_E2_2210" xfId="2004" xr:uid="{00000000-0005-0000-0000-0000A1070000}"/>
    <cellStyle name="s_Financials_B_Actualisation provision contrat déficitaire SNCM 2011 V3 30 05 2011_PAO-CAF-RESOP_08_13_B14_E2_2210_Bridge_Zone_Sud" xfId="2005" xr:uid="{00000000-0005-0000-0000-0000A2070000}"/>
    <cellStyle name="s_Financials_B_Actualisation provision contrat déficitaire SNCM 2011 V3 30 05 2011_PAO-CAF-RESOP_08_13_Bridge_Zone_Sud" xfId="2006" xr:uid="{00000000-0005-0000-0000-0000A3070000}"/>
    <cellStyle name="s_Financials_B_Actualisation provision contrat déficitaire SNCM 2011 V3 30 05 2011_PAO-CAF-RESOP_09_13" xfId="2007" xr:uid="{00000000-0005-0000-0000-0000A4070000}"/>
    <cellStyle name="s_Financials_B_Actualisation provision contrat déficitaire SNCM 2011 V3 30 05 2011_PAO-CAF-RESOP_09_13_Bridge_Zone_Sud" xfId="2008" xr:uid="{00000000-0005-0000-0000-0000A5070000}"/>
    <cellStyle name="s_Financials_B_Actualisation provision contrat déficitaire SNCM 2011 V3 30 05 2011_PAO-CAF-RESOP_09_2013_Zone_IDF (version 2)" xfId="2009" xr:uid="{00000000-0005-0000-0000-0000A6070000}"/>
    <cellStyle name="s_Financials_B_Actualisation provision contrat déficitaire SNCM 2011 V3 30 05 2011_PAO-CAF-RESOP_10_12" xfId="2010" xr:uid="{00000000-0005-0000-0000-0000A7070000}"/>
    <cellStyle name="s_Financials_B_Actualisation provision contrat déficitaire SNCM 2011 V3 30 05 2011_PAO-CAF-RESOP_10_12_Bridge_Zone_Sud" xfId="2011" xr:uid="{00000000-0005-0000-0000-0000A8070000}"/>
    <cellStyle name="s_Financials_B_Actualisation provision contrat déficitaire SNCM 2011 V3 30 05 2011_PAO-CAF-RESOP_10_12_focus par entités CAFOP" xfId="2012" xr:uid="{00000000-0005-0000-0000-0000A9070000}"/>
    <cellStyle name="s_Financials_B_Actualisation provision contrat déficitaire SNCM 2011 V3 30 05 2011_PAO-CAF-RESOP_10_12_focus par entités CAFOP_Bridge_Zone_Sud" xfId="2013" xr:uid="{00000000-0005-0000-0000-0000AA070000}"/>
    <cellStyle name="s_Financials_B_Actualisation provision contrat déficitaire SNCM 2011 V3 30 05 2011_PAO-CAF-RESOP_11_13" xfId="2014" xr:uid="{00000000-0005-0000-0000-0000AB070000}"/>
    <cellStyle name="s_Financials_B_Actualisation provision contrat déficitaire SNCM 2011 V3 30 05 2011_PAO-CAF-RESOP_B13" xfId="2015" xr:uid="{00000000-0005-0000-0000-0000AC070000}"/>
    <cellStyle name="s_Financials_B_Actualisation provision contrat déficitaire SNCM 2011 V3 30 05 2011_PAO-CAF-RESOP_B13_Bridge_Zone_Sud" xfId="2016" xr:uid="{00000000-0005-0000-0000-0000AD070000}"/>
    <cellStyle name="s_Financials_B_Actualisation provision contrat déficitaire SNCM 2011 V3 30 05 2011_PAO-CAF-RESOP_B13_focus par entités CAFOP" xfId="2017" xr:uid="{00000000-0005-0000-0000-0000AE070000}"/>
    <cellStyle name="s_Financials_B_Actualisation provision contrat déficitaire SNCM 2011 V3 30 05 2011_PAO-CAF-RESOP_B13_focus par entités CAFOP_Bridge_Zone_Sud" xfId="2018" xr:uid="{00000000-0005-0000-0000-0000AF070000}"/>
    <cellStyle name="s_Financials_B_Actualisation provision contrat déficitaire SNCM 2011 V3 30 05 2011_PAO-CAF-RESOP_B2014" xfId="2019" xr:uid="{00000000-0005-0000-0000-0000B0070000}"/>
    <cellStyle name="s_Financials_B_Actualisation provision contrat déficitaire SNCM 2011 V3 30 05 2011_PAO-CAF-RESOP_B2014_Bridge_Zone_Sud" xfId="2020" xr:uid="{00000000-0005-0000-0000-0000B1070000}"/>
    <cellStyle name="s_Financials_B_Actualisation provision contrat déficitaire SNCM 2011 V3 30 05 2011_PAO-CAF-RESOP_B2014_v2" xfId="2021" xr:uid="{00000000-0005-0000-0000-0000B2070000}"/>
    <cellStyle name="s_Financials_B_Actualisation provision contrat déficitaire SNCM 2011 V3 30 05 2011_PAO-CAF-RESOP_E2_13" xfId="2022" xr:uid="{00000000-0005-0000-0000-0000B3070000}"/>
    <cellStyle name="s_Financials_B_Actualisation provision contrat déficitaire SNCM 2011 V3 30 05 2011_PAO-CAF-RESOP_E2_13_B14_E2_2210" xfId="2023" xr:uid="{00000000-0005-0000-0000-0000B4070000}"/>
    <cellStyle name="s_Financials_B_Actualisation provision contrat déficitaire SNCM 2011 V3 30 05 2011_PAO-CAF-RESOP_E2_13_B14_E2_2210_Bridge_Zone_Sud" xfId="2024" xr:uid="{00000000-0005-0000-0000-0000B5070000}"/>
    <cellStyle name="s_Financials_B_Actualisation provision contrat déficitaire SNCM 2011 V3 30 05 2011_PAO-CAF-RESOP_E2_13_Bridge_Zone_Sud" xfId="2025" xr:uid="{00000000-0005-0000-0000-0000B6070000}"/>
    <cellStyle name="s_Financials_B_Actualisation provision contrat déficitaire SNCM 2011 V3 30 05 2011_PAO-CAF-RESOP_E2_2013_03_10_19H" xfId="2026" xr:uid="{00000000-0005-0000-0000-0000B7070000}"/>
    <cellStyle name="s_Financials_B_Actualisation provision contrat déficitaire SNCM 2011 V3 30 05 2011_PAO-CAF-RESOP_E2_2013_03_10_19H_Bridge_Zone_Sud" xfId="2027" xr:uid="{00000000-0005-0000-0000-0000B8070000}"/>
    <cellStyle name="s_Financials_B_Actualisation provision contrat déficitaire SNCM 2011 V3 30 05 2011_PPA" xfId="2028" xr:uid="{00000000-0005-0000-0000-0000B9070000}"/>
    <cellStyle name="s_Financials_B_Actualisation provision contrat déficitaire SNCM 2011 V3 30 05 2011_RESOP bef CICE&amp;PPA&amp;RepartHO" xfId="2029" xr:uid="{00000000-0005-0000-0000-0000BA070000}"/>
    <cellStyle name="s_Financials_B_Actualisation provision contrat déficitaire SNCM 2011 V3 30 05 2011_Synthèse_Présentation_conso_retraitée" xfId="2030" xr:uid="{00000000-0005-0000-0000-0000BB070000}"/>
    <cellStyle name="s_Financials_B_B14_E2_2210" xfId="2031" xr:uid="{00000000-0005-0000-0000-0000BC070000}"/>
    <cellStyle name="s_Financials_B_B14_E2_2210_Bridge_Zone_Sud" xfId="2032" xr:uid="{00000000-0005-0000-0000-0000BD070000}"/>
    <cellStyle name="s_Financials_B_BFR_TD_2014.02" xfId="2033" xr:uid="{00000000-0005-0000-0000-0000BE070000}"/>
    <cellStyle name="s_Financials_B_Bridge_Zone_Nord" xfId="2034" xr:uid="{00000000-0005-0000-0000-0000BF070000}"/>
    <cellStyle name="s_Financials_B_CAPEM BY COUNTRY" xfId="2035" xr:uid="{00000000-0005-0000-0000-0000C0070000}"/>
    <cellStyle name="s_Financials_B_LI819L_B13" xfId="667" xr:uid="{00000000-0005-0000-0000-0000C1070000}"/>
    <cellStyle name="s_Financials_B_LI819L_B13_CAPEM BY COUNTRY" xfId="2036" xr:uid="{00000000-0005-0000-0000-0000C2070000}"/>
    <cellStyle name="s_Financials_B_LI819L_B13_Maquette PLT" xfId="2037" xr:uid="{00000000-0005-0000-0000-0000C3070000}"/>
    <cellStyle name="s_Financials_B_LI819L_B13_Output" xfId="3405" xr:uid="{00000000-0005-0000-0000-0000C4070000}"/>
    <cellStyle name="s_Financials_B_LI819L_B13_PPA" xfId="2038" xr:uid="{00000000-0005-0000-0000-0000C5070000}"/>
    <cellStyle name="s_Financials_B_LI819L_B13_RESOP bef CICE&amp;PPA&amp;RepartHO" xfId="2039" xr:uid="{00000000-0005-0000-0000-0000C6070000}"/>
    <cellStyle name="s_Financials_B_Maquette PLT" xfId="2040" xr:uid="{00000000-0005-0000-0000-0000C7070000}"/>
    <cellStyle name="s_Financials_B_Output" xfId="3406" xr:uid="{00000000-0005-0000-0000-0000C8070000}"/>
    <cellStyle name="s_Financials_B_PAO-CAF-RESOP_14_01_13 à 20h" xfId="668" xr:uid="{00000000-0005-0000-0000-0000C9070000}"/>
    <cellStyle name="s_Financials_B_PAO-CAF-RESOP_14_01_13 à 20h_CAPEM BY COUNTRY" xfId="2041" xr:uid="{00000000-0005-0000-0000-0000CA070000}"/>
    <cellStyle name="s_Financials_B_PAO-CAF-RESOP_14_01_13 à 20h_Maquette PLT" xfId="2042" xr:uid="{00000000-0005-0000-0000-0000CB070000}"/>
    <cellStyle name="s_Financials_B_PAO-CAF-RESOP_14_01_13 à 20h_Output" xfId="3407" xr:uid="{00000000-0005-0000-0000-0000CC070000}"/>
    <cellStyle name="s_Financials_B_PAO-CAF-RESOP_14_01_13 à 20h_PPA" xfId="2043" xr:uid="{00000000-0005-0000-0000-0000CD070000}"/>
    <cellStyle name="s_Financials_B_PAO-CAF-RESOP_14_01_13 à 20h_RESOP bef CICE&amp;PPA&amp;RepartHO" xfId="2044" xr:uid="{00000000-0005-0000-0000-0000CE070000}"/>
    <cellStyle name="s_Financials_B_PAO-CAF-RESOP_2014.02" xfId="2045" xr:uid="{00000000-0005-0000-0000-0000CF070000}"/>
    <cellStyle name="s_Financials_B_PAO-CAF-RESOP_2014.02_Bridge_Zone_Sud" xfId="2046" xr:uid="{00000000-0005-0000-0000-0000D0070000}"/>
    <cellStyle name="s_Financials_B_PPA" xfId="2047" xr:uid="{00000000-0005-0000-0000-0000D1070000}"/>
    <cellStyle name="s_Financials_B_RESOP bef CICE&amp;PPA&amp;RepartHO" xfId="2048" xr:uid="{00000000-0005-0000-0000-0000D2070000}"/>
    <cellStyle name="s_Financials_T" xfId="669" xr:uid="{00000000-0005-0000-0000-0000D3070000}"/>
    <cellStyle name="s_Financials_T_Actualisation provision contrat déficitaire SNCM 2010 V Def" xfId="670" xr:uid="{00000000-0005-0000-0000-0000D4070000}"/>
    <cellStyle name="s_Financials_T_Actualisation provision contrat déficitaire SNCM 2010 V Def_B14_E2_2210" xfId="2049" xr:uid="{00000000-0005-0000-0000-0000D5070000}"/>
    <cellStyle name="s_Financials_T_Actualisation provision contrat déficitaire SNCM 2010 V Def_B14_E2_2210_Bridge_Zone_Sud" xfId="2050" xr:uid="{00000000-0005-0000-0000-0000D6070000}"/>
    <cellStyle name="s_Financials_T_Actualisation provision contrat déficitaire SNCM 2010 V Def_Bridge_Zone_Sud" xfId="2051" xr:uid="{00000000-0005-0000-0000-0000D7070000}"/>
    <cellStyle name="s_Financials_T_Actualisation provision contrat déficitaire SNCM 2010 V Def_CAPEM BY COUNTRY" xfId="2052" xr:uid="{00000000-0005-0000-0000-0000D8070000}"/>
    <cellStyle name="s_Financials_T_Actualisation provision contrat déficitaire SNCM 2010 V Def_focus par entités CAFOPE2AMF" xfId="2053" xr:uid="{00000000-0005-0000-0000-0000D9070000}"/>
    <cellStyle name="s_Financials_T_Actualisation provision contrat déficitaire SNCM 2010 V Def_focus par entités CAFOPE2AMF_Bridge_Zone_Sud" xfId="2054" xr:uid="{00000000-0005-0000-0000-0000DA070000}"/>
    <cellStyle name="s_Financials_T_Actualisation provision contrat déficitaire SNCM 2010 V Def_Maquette PLT" xfId="2055" xr:uid="{00000000-0005-0000-0000-0000DB070000}"/>
    <cellStyle name="s_Financials_T_Actualisation provision contrat déficitaire SNCM 2010 V Def_Output" xfId="3408" xr:uid="{00000000-0005-0000-0000-0000DC070000}"/>
    <cellStyle name="s_Financials_T_Actualisation provision contrat déficitaire SNCM 2010 V Def_PAO-CAF-RESOP_04_13_pro_format_variante T1" xfId="2056" xr:uid="{00000000-0005-0000-0000-0000DD070000}"/>
    <cellStyle name="s_Financials_T_Actualisation provision contrat déficitaire SNCM 2010 V Def_PAO-CAF-RESOP_04_13_pro_format_variante T1_B14_E2_2210" xfId="2057" xr:uid="{00000000-0005-0000-0000-0000DE070000}"/>
    <cellStyle name="s_Financials_T_Actualisation provision contrat déficitaire SNCM 2010 V Def_PAO-CAF-RESOP_04_13_pro_format_variante T1_B14_E2_2210_Bridge_Zone_Sud" xfId="2058" xr:uid="{00000000-0005-0000-0000-0000DF070000}"/>
    <cellStyle name="s_Financials_T_Actualisation provision contrat déficitaire SNCM 2010 V Def_PAO-CAF-RESOP_04_13_pro_format_variante T1_Bridge_Zone_Sud" xfId="2059" xr:uid="{00000000-0005-0000-0000-0000E0070000}"/>
    <cellStyle name="s_Financials_T_Actualisation provision contrat déficitaire SNCM 2010 V Def_PAO-CAF-RESOP_06_13" xfId="2060" xr:uid="{00000000-0005-0000-0000-0000E1070000}"/>
    <cellStyle name="s_Financials_T_Actualisation provision contrat déficitaire SNCM 2010 V Def_PAO-CAF-RESOP_06_13_B14_E2_2210" xfId="2061" xr:uid="{00000000-0005-0000-0000-0000E2070000}"/>
    <cellStyle name="s_Financials_T_Actualisation provision contrat déficitaire SNCM 2010 V Def_PAO-CAF-RESOP_06_13_B14_E2_2210_Bridge_Zone_Sud" xfId="2062" xr:uid="{00000000-0005-0000-0000-0000E3070000}"/>
    <cellStyle name="s_Financials_T_Actualisation provision contrat déficitaire SNCM 2010 V Def_PAO-CAF-RESOP_06_13_Bridge_Zone_Sud" xfId="2063" xr:uid="{00000000-0005-0000-0000-0000E4070000}"/>
    <cellStyle name="s_Financials_T_Actualisation provision contrat déficitaire SNCM 2010 V Def_PAO-CAF-RESOP_08_13" xfId="2064" xr:uid="{00000000-0005-0000-0000-0000E5070000}"/>
    <cellStyle name="s_Financials_T_Actualisation provision contrat déficitaire SNCM 2010 V Def_PAO-CAF-RESOP_08_13_B14_E2_2210" xfId="2065" xr:uid="{00000000-0005-0000-0000-0000E6070000}"/>
    <cellStyle name="s_Financials_T_Actualisation provision contrat déficitaire SNCM 2010 V Def_PAO-CAF-RESOP_08_13_B14_E2_2210_Bridge_Zone_Sud" xfId="2066" xr:uid="{00000000-0005-0000-0000-0000E7070000}"/>
    <cellStyle name="s_Financials_T_Actualisation provision contrat déficitaire SNCM 2010 V Def_PAO-CAF-RESOP_08_13_Bridge_Zone_Sud" xfId="2067" xr:uid="{00000000-0005-0000-0000-0000E8070000}"/>
    <cellStyle name="s_Financials_T_Actualisation provision contrat déficitaire SNCM 2010 V Def_PAO-CAF-RESOP_09_13" xfId="2068" xr:uid="{00000000-0005-0000-0000-0000E9070000}"/>
    <cellStyle name="s_Financials_T_Actualisation provision contrat déficitaire SNCM 2010 V Def_PAO-CAF-RESOP_09_13_Bridge_Zone_Sud" xfId="2069" xr:uid="{00000000-0005-0000-0000-0000EA070000}"/>
    <cellStyle name="s_Financials_T_Actualisation provision contrat déficitaire SNCM 2010 V Def_PAO-CAF-RESOP_09_2013_Zone_IDF (version 2)" xfId="2070" xr:uid="{00000000-0005-0000-0000-0000EB070000}"/>
    <cellStyle name="s_Financials_T_Actualisation provision contrat déficitaire SNCM 2010 V Def_PAO-CAF-RESOP_10_12" xfId="2071" xr:uid="{00000000-0005-0000-0000-0000EC070000}"/>
    <cellStyle name="s_Financials_T_Actualisation provision contrat déficitaire SNCM 2010 V Def_PAO-CAF-RESOP_10_12_Bridge_Zone_Sud" xfId="2072" xr:uid="{00000000-0005-0000-0000-0000ED070000}"/>
    <cellStyle name="s_Financials_T_Actualisation provision contrat déficitaire SNCM 2010 V Def_PAO-CAF-RESOP_10_12_focus par entités CAFOP" xfId="2073" xr:uid="{00000000-0005-0000-0000-0000EE070000}"/>
    <cellStyle name="s_Financials_T_Actualisation provision contrat déficitaire SNCM 2010 V Def_PAO-CAF-RESOP_10_12_focus par entités CAFOP_Bridge_Zone_Sud" xfId="2074" xr:uid="{00000000-0005-0000-0000-0000EF070000}"/>
    <cellStyle name="s_Financials_T_Actualisation provision contrat déficitaire SNCM 2010 V Def_PAO-CAF-RESOP_11_13" xfId="2075" xr:uid="{00000000-0005-0000-0000-0000F0070000}"/>
    <cellStyle name="s_Financials_T_Actualisation provision contrat déficitaire SNCM 2010 V Def_PAO-CAF-RESOP_B13" xfId="2076" xr:uid="{00000000-0005-0000-0000-0000F1070000}"/>
    <cellStyle name="s_Financials_T_Actualisation provision contrat déficitaire SNCM 2010 V Def_PAO-CAF-RESOP_B13_Bridge_Zone_Sud" xfId="2077" xr:uid="{00000000-0005-0000-0000-0000F2070000}"/>
    <cellStyle name="s_Financials_T_Actualisation provision contrat déficitaire SNCM 2010 V Def_PAO-CAF-RESOP_B13_focus par entités CAFOP" xfId="2078" xr:uid="{00000000-0005-0000-0000-0000F3070000}"/>
    <cellStyle name="s_Financials_T_Actualisation provision contrat déficitaire SNCM 2010 V Def_PAO-CAF-RESOP_B13_focus par entités CAFOP_Bridge_Zone_Sud" xfId="2079" xr:uid="{00000000-0005-0000-0000-0000F4070000}"/>
    <cellStyle name="s_Financials_T_Actualisation provision contrat déficitaire SNCM 2010 V Def_PAO-CAF-RESOP_B2014" xfId="2080" xr:uid="{00000000-0005-0000-0000-0000F5070000}"/>
    <cellStyle name="s_Financials_T_Actualisation provision contrat déficitaire SNCM 2010 V Def_PAO-CAF-RESOP_B2014_Bridge_Zone_Sud" xfId="2081" xr:uid="{00000000-0005-0000-0000-0000F6070000}"/>
    <cellStyle name="s_Financials_T_Actualisation provision contrat déficitaire SNCM 2010 V Def_PAO-CAF-RESOP_B2014_v2" xfId="2082" xr:uid="{00000000-0005-0000-0000-0000F7070000}"/>
    <cellStyle name="s_Financials_T_Actualisation provision contrat déficitaire SNCM 2010 V Def_PAO-CAF-RESOP_E2_13" xfId="2083" xr:uid="{00000000-0005-0000-0000-0000F8070000}"/>
    <cellStyle name="s_Financials_T_Actualisation provision contrat déficitaire SNCM 2010 V Def_PAO-CAF-RESOP_E2_13_B14_E2_2210" xfId="2084" xr:uid="{00000000-0005-0000-0000-0000F9070000}"/>
    <cellStyle name="s_Financials_T_Actualisation provision contrat déficitaire SNCM 2010 V Def_PAO-CAF-RESOP_E2_13_B14_E2_2210_Bridge_Zone_Sud" xfId="2085" xr:uid="{00000000-0005-0000-0000-0000FA070000}"/>
    <cellStyle name="s_Financials_T_Actualisation provision contrat déficitaire SNCM 2010 V Def_PAO-CAF-RESOP_E2_13_Bridge_Zone_Sud" xfId="2086" xr:uid="{00000000-0005-0000-0000-0000FB070000}"/>
    <cellStyle name="s_Financials_T_Actualisation provision contrat déficitaire SNCM 2010 V Def_PAO-CAF-RESOP_E2_2013_03_10_19H" xfId="2087" xr:uid="{00000000-0005-0000-0000-0000FC070000}"/>
    <cellStyle name="s_Financials_T_Actualisation provision contrat déficitaire SNCM 2010 V Def_PAO-CAF-RESOP_E2_2013_03_10_19H_Bridge_Zone_Sud" xfId="2088" xr:uid="{00000000-0005-0000-0000-0000FD070000}"/>
    <cellStyle name="s_Financials_T_Actualisation provision contrat déficitaire SNCM 2010 V Def_PPA" xfId="2089" xr:uid="{00000000-0005-0000-0000-0000FE070000}"/>
    <cellStyle name="s_Financials_T_Actualisation provision contrat déficitaire SNCM 2010 V Def_RESOP bef CICE&amp;PPA&amp;RepartHO" xfId="2090" xr:uid="{00000000-0005-0000-0000-0000FF070000}"/>
    <cellStyle name="s_Financials_T_Actualisation provision contrat déficitaire SNCM 2010 V Def_Synthèse_Présentation_conso_retraitée" xfId="2091" xr:uid="{00000000-0005-0000-0000-000000080000}"/>
    <cellStyle name="s_Financials_T_Actualisation provision contrat déficitaire SNCM 2011 V3 30 05 2011" xfId="671" xr:uid="{00000000-0005-0000-0000-000001080000}"/>
    <cellStyle name="s_Financials_T_Actualisation provision contrat déficitaire SNCM 2011 V3 30 05 2011_B14_E2_2210" xfId="2092" xr:uid="{00000000-0005-0000-0000-000002080000}"/>
    <cellStyle name="s_Financials_T_Actualisation provision contrat déficitaire SNCM 2011 V3 30 05 2011_B14_E2_2210_Bridge_Zone_Sud" xfId="2093" xr:uid="{00000000-0005-0000-0000-000003080000}"/>
    <cellStyle name="s_Financials_T_Actualisation provision contrat déficitaire SNCM 2011 V3 30 05 2011_Bridge_Zone_Sud" xfId="2094" xr:uid="{00000000-0005-0000-0000-000004080000}"/>
    <cellStyle name="s_Financials_T_Actualisation provision contrat déficitaire SNCM 2011 V3 30 05 2011_CAPEM BY COUNTRY" xfId="2095" xr:uid="{00000000-0005-0000-0000-000005080000}"/>
    <cellStyle name="s_Financials_T_Actualisation provision contrat déficitaire SNCM 2011 V3 30 05 2011_focus par entités CAFOPE2AMF" xfId="2096" xr:uid="{00000000-0005-0000-0000-000006080000}"/>
    <cellStyle name="s_Financials_T_Actualisation provision contrat déficitaire SNCM 2011 V3 30 05 2011_focus par entités CAFOPE2AMF_Bridge_Zone_Sud" xfId="2097" xr:uid="{00000000-0005-0000-0000-000007080000}"/>
    <cellStyle name="s_Financials_T_Actualisation provision contrat déficitaire SNCM 2011 V3 30 05 2011_Maquette PLT" xfId="2098" xr:uid="{00000000-0005-0000-0000-000008080000}"/>
    <cellStyle name="s_Financials_T_Actualisation provision contrat déficitaire SNCM 2011 V3 30 05 2011_Output" xfId="3409" xr:uid="{00000000-0005-0000-0000-000009080000}"/>
    <cellStyle name="s_Financials_T_Actualisation provision contrat déficitaire SNCM 2011 V3 30 05 2011_PAO-CAF-RESOP_04_13_pro_format_variante T1" xfId="2099" xr:uid="{00000000-0005-0000-0000-00000A080000}"/>
    <cellStyle name="s_Financials_T_Actualisation provision contrat déficitaire SNCM 2011 V3 30 05 2011_PAO-CAF-RESOP_04_13_pro_format_variante T1_B14_E2_2210" xfId="2100" xr:uid="{00000000-0005-0000-0000-00000B080000}"/>
    <cellStyle name="s_Financials_T_Actualisation provision contrat déficitaire SNCM 2011 V3 30 05 2011_PAO-CAF-RESOP_04_13_pro_format_variante T1_B14_E2_2210_Bridge_Zone_Sud" xfId="2101" xr:uid="{00000000-0005-0000-0000-00000C080000}"/>
    <cellStyle name="s_Financials_T_Actualisation provision contrat déficitaire SNCM 2011 V3 30 05 2011_PAO-CAF-RESOP_04_13_pro_format_variante T1_Bridge_Zone_Sud" xfId="2102" xr:uid="{00000000-0005-0000-0000-00000D080000}"/>
    <cellStyle name="s_Financials_T_Actualisation provision contrat déficitaire SNCM 2011 V3 30 05 2011_PAO-CAF-RESOP_06_13" xfId="2103" xr:uid="{00000000-0005-0000-0000-00000E080000}"/>
    <cellStyle name="s_Financials_T_Actualisation provision contrat déficitaire SNCM 2011 V3 30 05 2011_PAO-CAF-RESOP_06_13_B14_E2_2210" xfId="2104" xr:uid="{00000000-0005-0000-0000-00000F080000}"/>
    <cellStyle name="s_Financials_T_Actualisation provision contrat déficitaire SNCM 2011 V3 30 05 2011_PAO-CAF-RESOP_06_13_B14_E2_2210_Bridge_Zone_Sud" xfId="2105" xr:uid="{00000000-0005-0000-0000-000010080000}"/>
    <cellStyle name="s_Financials_T_Actualisation provision contrat déficitaire SNCM 2011 V3 30 05 2011_PAO-CAF-RESOP_06_13_Bridge_Zone_Sud" xfId="2106" xr:uid="{00000000-0005-0000-0000-000011080000}"/>
    <cellStyle name="s_Financials_T_Actualisation provision contrat déficitaire SNCM 2011 V3 30 05 2011_PAO-CAF-RESOP_08_13" xfId="2107" xr:uid="{00000000-0005-0000-0000-000012080000}"/>
    <cellStyle name="s_Financials_T_Actualisation provision contrat déficitaire SNCM 2011 V3 30 05 2011_PAO-CAF-RESOP_08_13_B14_E2_2210" xfId="2108" xr:uid="{00000000-0005-0000-0000-000013080000}"/>
    <cellStyle name="s_Financials_T_Actualisation provision contrat déficitaire SNCM 2011 V3 30 05 2011_PAO-CAF-RESOP_08_13_B14_E2_2210_Bridge_Zone_Sud" xfId="2109" xr:uid="{00000000-0005-0000-0000-000014080000}"/>
    <cellStyle name="s_Financials_T_Actualisation provision contrat déficitaire SNCM 2011 V3 30 05 2011_PAO-CAF-RESOP_08_13_Bridge_Zone_Sud" xfId="2110" xr:uid="{00000000-0005-0000-0000-000015080000}"/>
    <cellStyle name="s_Financials_T_Actualisation provision contrat déficitaire SNCM 2011 V3 30 05 2011_PAO-CAF-RESOP_09_13" xfId="2111" xr:uid="{00000000-0005-0000-0000-000016080000}"/>
    <cellStyle name="s_Financials_T_Actualisation provision contrat déficitaire SNCM 2011 V3 30 05 2011_PAO-CAF-RESOP_09_13_Bridge_Zone_Sud" xfId="2112" xr:uid="{00000000-0005-0000-0000-000017080000}"/>
    <cellStyle name="s_Financials_T_Actualisation provision contrat déficitaire SNCM 2011 V3 30 05 2011_PAO-CAF-RESOP_09_2013_Zone_IDF (version 2)" xfId="2113" xr:uid="{00000000-0005-0000-0000-000018080000}"/>
    <cellStyle name="s_Financials_T_Actualisation provision contrat déficitaire SNCM 2011 V3 30 05 2011_PAO-CAF-RESOP_10_12" xfId="2114" xr:uid="{00000000-0005-0000-0000-000019080000}"/>
    <cellStyle name="s_Financials_T_Actualisation provision contrat déficitaire SNCM 2011 V3 30 05 2011_PAO-CAF-RESOP_10_12_Bridge_Zone_Sud" xfId="2115" xr:uid="{00000000-0005-0000-0000-00001A080000}"/>
    <cellStyle name="s_Financials_T_Actualisation provision contrat déficitaire SNCM 2011 V3 30 05 2011_PAO-CAF-RESOP_10_12_focus par entités CAFOP" xfId="2116" xr:uid="{00000000-0005-0000-0000-00001B080000}"/>
    <cellStyle name="s_Financials_T_Actualisation provision contrat déficitaire SNCM 2011 V3 30 05 2011_PAO-CAF-RESOP_10_12_focus par entités CAFOP_Bridge_Zone_Sud" xfId="2117" xr:uid="{00000000-0005-0000-0000-00001C080000}"/>
    <cellStyle name="s_Financials_T_Actualisation provision contrat déficitaire SNCM 2011 V3 30 05 2011_PAO-CAF-RESOP_11_13" xfId="2118" xr:uid="{00000000-0005-0000-0000-00001D080000}"/>
    <cellStyle name="s_Financials_T_Actualisation provision contrat déficitaire SNCM 2011 V3 30 05 2011_PAO-CAF-RESOP_B13" xfId="2119" xr:uid="{00000000-0005-0000-0000-00001E080000}"/>
    <cellStyle name="s_Financials_T_Actualisation provision contrat déficitaire SNCM 2011 V3 30 05 2011_PAO-CAF-RESOP_B13_Bridge_Zone_Sud" xfId="2120" xr:uid="{00000000-0005-0000-0000-00001F080000}"/>
    <cellStyle name="s_Financials_T_Actualisation provision contrat déficitaire SNCM 2011 V3 30 05 2011_PAO-CAF-RESOP_B13_focus par entités CAFOP" xfId="2121" xr:uid="{00000000-0005-0000-0000-000020080000}"/>
    <cellStyle name="s_Financials_T_Actualisation provision contrat déficitaire SNCM 2011 V3 30 05 2011_PAO-CAF-RESOP_B13_focus par entités CAFOP_Bridge_Zone_Sud" xfId="2122" xr:uid="{00000000-0005-0000-0000-000021080000}"/>
    <cellStyle name="s_Financials_T_Actualisation provision contrat déficitaire SNCM 2011 V3 30 05 2011_PAO-CAF-RESOP_B2014" xfId="2123" xr:uid="{00000000-0005-0000-0000-000022080000}"/>
    <cellStyle name="s_Financials_T_Actualisation provision contrat déficitaire SNCM 2011 V3 30 05 2011_PAO-CAF-RESOP_B2014_Bridge_Zone_Sud" xfId="2124" xr:uid="{00000000-0005-0000-0000-000023080000}"/>
    <cellStyle name="s_Financials_T_Actualisation provision contrat déficitaire SNCM 2011 V3 30 05 2011_PAO-CAF-RESOP_B2014_v2" xfId="2125" xr:uid="{00000000-0005-0000-0000-000024080000}"/>
    <cellStyle name="s_Financials_T_Actualisation provision contrat déficitaire SNCM 2011 V3 30 05 2011_PAO-CAF-RESOP_E2_13" xfId="2126" xr:uid="{00000000-0005-0000-0000-000025080000}"/>
    <cellStyle name="s_Financials_T_Actualisation provision contrat déficitaire SNCM 2011 V3 30 05 2011_PAO-CAF-RESOP_E2_13_B14_E2_2210" xfId="2127" xr:uid="{00000000-0005-0000-0000-000026080000}"/>
    <cellStyle name="s_Financials_T_Actualisation provision contrat déficitaire SNCM 2011 V3 30 05 2011_PAO-CAF-RESOP_E2_13_B14_E2_2210_Bridge_Zone_Sud" xfId="2128" xr:uid="{00000000-0005-0000-0000-000027080000}"/>
    <cellStyle name="s_Financials_T_Actualisation provision contrat déficitaire SNCM 2011 V3 30 05 2011_PAO-CAF-RESOP_E2_13_Bridge_Zone_Sud" xfId="2129" xr:uid="{00000000-0005-0000-0000-000028080000}"/>
    <cellStyle name="s_Financials_T_Actualisation provision contrat déficitaire SNCM 2011 V3 30 05 2011_PAO-CAF-RESOP_E2_2013_03_10_19H" xfId="2130" xr:uid="{00000000-0005-0000-0000-000029080000}"/>
    <cellStyle name="s_Financials_T_Actualisation provision contrat déficitaire SNCM 2011 V3 30 05 2011_PAO-CAF-RESOP_E2_2013_03_10_19H_Bridge_Zone_Sud" xfId="2131" xr:uid="{00000000-0005-0000-0000-00002A080000}"/>
    <cellStyle name="s_Financials_T_Actualisation provision contrat déficitaire SNCM 2011 V3 30 05 2011_PPA" xfId="2132" xr:uid="{00000000-0005-0000-0000-00002B080000}"/>
    <cellStyle name="s_Financials_T_Actualisation provision contrat déficitaire SNCM 2011 V3 30 05 2011_RESOP bef CICE&amp;PPA&amp;RepartHO" xfId="2133" xr:uid="{00000000-0005-0000-0000-00002C080000}"/>
    <cellStyle name="s_Financials_T_Actualisation provision contrat déficitaire SNCM 2011 V3 30 05 2011_Synthèse_Présentation_conso_retraitée" xfId="2134" xr:uid="{00000000-0005-0000-0000-00002D080000}"/>
    <cellStyle name="s_Financials_T_B14_E2_2210" xfId="2135" xr:uid="{00000000-0005-0000-0000-00002E080000}"/>
    <cellStyle name="s_Financials_T_B14_E2_2210_Bridge_Zone_Sud" xfId="2136" xr:uid="{00000000-0005-0000-0000-00002F080000}"/>
    <cellStyle name="s_Financials_T_BFR_TD_2014.02" xfId="2137" xr:uid="{00000000-0005-0000-0000-000030080000}"/>
    <cellStyle name="s_Financials_T_Bridge_Zone_Nord" xfId="2138" xr:uid="{00000000-0005-0000-0000-000031080000}"/>
    <cellStyle name="s_Financials_T_CAPEM BY COUNTRY" xfId="2139" xr:uid="{00000000-0005-0000-0000-000032080000}"/>
    <cellStyle name="s_Financials_T_LI819L_B13" xfId="672" xr:uid="{00000000-0005-0000-0000-000033080000}"/>
    <cellStyle name="s_Financials_T_LI819L_B13_CAPEM BY COUNTRY" xfId="2140" xr:uid="{00000000-0005-0000-0000-000034080000}"/>
    <cellStyle name="s_Financials_T_LI819L_B13_Maquette PLT" xfId="2141" xr:uid="{00000000-0005-0000-0000-000035080000}"/>
    <cellStyle name="s_Financials_T_LI819L_B13_Output" xfId="3410" xr:uid="{00000000-0005-0000-0000-000036080000}"/>
    <cellStyle name="s_Financials_T_LI819L_B13_PPA" xfId="2142" xr:uid="{00000000-0005-0000-0000-000037080000}"/>
    <cellStyle name="s_Financials_T_LI819L_B13_RESOP bef CICE&amp;PPA&amp;RepartHO" xfId="2143" xr:uid="{00000000-0005-0000-0000-000038080000}"/>
    <cellStyle name="s_Financials_T_Maquette PLT" xfId="2144" xr:uid="{00000000-0005-0000-0000-000039080000}"/>
    <cellStyle name="s_Financials_T_Output" xfId="3411" xr:uid="{00000000-0005-0000-0000-00003A080000}"/>
    <cellStyle name="s_Financials_T_PAO-CAF-RESOP_14_01_13 à 20h" xfId="673" xr:uid="{00000000-0005-0000-0000-00003B080000}"/>
    <cellStyle name="s_Financials_T_PAO-CAF-RESOP_14_01_13 à 20h_CAPEM BY COUNTRY" xfId="2145" xr:uid="{00000000-0005-0000-0000-00003C080000}"/>
    <cellStyle name="s_Financials_T_PAO-CAF-RESOP_14_01_13 à 20h_Maquette PLT" xfId="2146" xr:uid="{00000000-0005-0000-0000-00003D080000}"/>
    <cellStyle name="s_Financials_T_PAO-CAF-RESOP_14_01_13 à 20h_Output" xfId="3412" xr:uid="{00000000-0005-0000-0000-00003E080000}"/>
    <cellStyle name="s_Financials_T_PAO-CAF-RESOP_14_01_13 à 20h_PPA" xfId="2147" xr:uid="{00000000-0005-0000-0000-00003F080000}"/>
    <cellStyle name="s_Financials_T_PAO-CAF-RESOP_14_01_13 à 20h_RESOP bef CICE&amp;PPA&amp;RepartHO" xfId="2148" xr:uid="{00000000-0005-0000-0000-000040080000}"/>
    <cellStyle name="s_Financials_T_PAO-CAF-RESOP_2014.02" xfId="2149" xr:uid="{00000000-0005-0000-0000-000041080000}"/>
    <cellStyle name="s_Financials_T_PAO-CAF-RESOP_2014.02_Bridge_Zone_Sud" xfId="2150" xr:uid="{00000000-0005-0000-0000-000042080000}"/>
    <cellStyle name="s_Financials_T_PPA" xfId="2151" xr:uid="{00000000-0005-0000-0000-000043080000}"/>
    <cellStyle name="s_Financials_T_RESOP bef CICE&amp;PPA&amp;RepartHO" xfId="2152" xr:uid="{00000000-0005-0000-0000-000044080000}"/>
    <cellStyle name="s_Grouse+Pelican" xfId="674" xr:uid="{00000000-0005-0000-0000-000045080000}"/>
    <cellStyle name="s_Grouse+Pelican_CAPEM BY COUNTRY" xfId="2153" xr:uid="{00000000-0005-0000-0000-000046080000}"/>
    <cellStyle name="s_Grouse+Pelican_Maquette PLT" xfId="2154" xr:uid="{00000000-0005-0000-0000-000047080000}"/>
    <cellStyle name="s_Grouse+Pelican_Output" xfId="3413" xr:uid="{00000000-0005-0000-0000-000048080000}"/>
    <cellStyle name="s_LI819L_B13" xfId="675" xr:uid="{00000000-0005-0000-0000-000049080000}"/>
    <cellStyle name="s_LI819L_B13_CAPEM BY COUNTRY" xfId="2155" xr:uid="{00000000-0005-0000-0000-00004A080000}"/>
    <cellStyle name="s_LI819L_B13_Maquette PLT" xfId="2156" xr:uid="{00000000-0005-0000-0000-00004B080000}"/>
    <cellStyle name="s_LI819L_B13_Output" xfId="3414" xr:uid="{00000000-0005-0000-0000-00004C080000}"/>
    <cellStyle name="s_LI819L_B13_PPA" xfId="2157" xr:uid="{00000000-0005-0000-0000-00004D080000}"/>
    <cellStyle name="s_LI819L_B13_RESOP bef CICE&amp;PPA&amp;RepartHO" xfId="2158" xr:uid="{00000000-0005-0000-0000-00004E080000}"/>
    <cellStyle name="s_Maquette PLT" xfId="2159" xr:uid="{00000000-0005-0000-0000-00004F080000}"/>
    <cellStyle name="s_Matrix_B" xfId="676" xr:uid="{00000000-0005-0000-0000-000050080000}"/>
    <cellStyle name="s_Matrix_B_Actualisation provision contrat déficitaire SNCM 2010 V Def" xfId="677" xr:uid="{00000000-0005-0000-0000-000051080000}"/>
    <cellStyle name="s_Matrix_B_Actualisation provision contrat déficitaire SNCM 2010 V Def_B14_E2_2210" xfId="2160" xr:uid="{00000000-0005-0000-0000-000052080000}"/>
    <cellStyle name="s_Matrix_B_Actualisation provision contrat déficitaire SNCM 2010 V Def_B14_E2_2210_Bridge_Zone_Sud" xfId="2161" xr:uid="{00000000-0005-0000-0000-000053080000}"/>
    <cellStyle name="s_Matrix_B_Actualisation provision contrat déficitaire SNCM 2010 V Def_Bridge_Zone_Sud" xfId="2162" xr:uid="{00000000-0005-0000-0000-000054080000}"/>
    <cellStyle name="s_Matrix_B_Actualisation provision contrat déficitaire SNCM 2010 V Def_CAPEM BY COUNTRY" xfId="2163" xr:uid="{00000000-0005-0000-0000-000055080000}"/>
    <cellStyle name="s_Matrix_B_Actualisation provision contrat déficitaire SNCM 2010 V Def_focus par entités CAFOPE2AMF" xfId="2164" xr:uid="{00000000-0005-0000-0000-000056080000}"/>
    <cellStyle name="s_Matrix_B_Actualisation provision contrat déficitaire SNCM 2010 V Def_focus par entités CAFOPE2AMF_Bridge_Zone_Sud" xfId="2165" xr:uid="{00000000-0005-0000-0000-000057080000}"/>
    <cellStyle name="s_Matrix_B_Actualisation provision contrat déficitaire SNCM 2010 V Def_Maquette PLT" xfId="2166" xr:uid="{00000000-0005-0000-0000-000058080000}"/>
    <cellStyle name="s_Matrix_B_Actualisation provision contrat déficitaire SNCM 2010 V Def_Output" xfId="3415" xr:uid="{00000000-0005-0000-0000-000059080000}"/>
    <cellStyle name="s_Matrix_B_Actualisation provision contrat déficitaire SNCM 2010 V Def_PAO-CAF-RESOP_04_13_pro_format_variante T1" xfId="2167" xr:uid="{00000000-0005-0000-0000-00005A080000}"/>
    <cellStyle name="s_Matrix_B_Actualisation provision contrat déficitaire SNCM 2010 V Def_PAO-CAF-RESOP_04_13_pro_format_variante T1_B14_E2_2210" xfId="2168" xr:uid="{00000000-0005-0000-0000-00005B080000}"/>
    <cellStyle name="s_Matrix_B_Actualisation provision contrat déficitaire SNCM 2010 V Def_PAO-CAF-RESOP_04_13_pro_format_variante T1_B14_E2_2210_Bridge_Zone_Sud" xfId="2169" xr:uid="{00000000-0005-0000-0000-00005C080000}"/>
    <cellStyle name="s_Matrix_B_Actualisation provision contrat déficitaire SNCM 2010 V Def_PAO-CAF-RESOP_04_13_pro_format_variante T1_Bridge_Zone_Sud" xfId="2170" xr:uid="{00000000-0005-0000-0000-00005D080000}"/>
    <cellStyle name="s_Matrix_B_Actualisation provision contrat déficitaire SNCM 2010 V Def_PAO-CAF-RESOP_06_13" xfId="2171" xr:uid="{00000000-0005-0000-0000-00005E080000}"/>
    <cellStyle name="s_Matrix_B_Actualisation provision contrat déficitaire SNCM 2010 V Def_PAO-CAF-RESOP_06_13_B14_E2_2210" xfId="2172" xr:uid="{00000000-0005-0000-0000-00005F080000}"/>
    <cellStyle name="s_Matrix_B_Actualisation provision contrat déficitaire SNCM 2010 V Def_PAO-CAF-RESOP_06_13_B14_E2_2210_Bridge_Zone_Sud" xfId="2173" xr:uid="{00000000-0005-0000-0000-000060080000}"/>
    <cellStyle name="s_Matrix_B_Actualisation provision contrat déficitaire SNCM 2010 V Def_PAO-CAF-RESOP_06_13_Bridge_Zone_Sud" xfId="2174" xr:uid="{00000000-0005-0000-0000-000061080000}"/>
    <cellStyle name="s_Matrix_B_Actualisation provision contrat déficitaire SNCM 2010 V Def_PAO-CAF-RESOP_08_13" xfId="2175" xr:uid="{00000000-0005-0000-0000-000062080000}"/>
    <cellStyle name="s_Matrix_B_Actualisation provision contrat déficitaire SNCM 2010 V Def_PAO-CAF-RESOP_08_13_B14_E2_2210" xfId="2176" xr:uid="{00000000-0005-0000-0000-000063080000}"/>
    <cellStyle name="s_Matrix_B_Actualisation provision contrat déficitaire SNCM 2010 V Def_PAO-CAF-RESOP_08_13_B14_E2_2210_Bridge_Zone_Sud" xfId="2177" xr:uid="{00000000-0005-0000-0000-000064080000}"/>
    <cellStyle name="s_Matrix_B_Actualisation provision contrat déficitaire SNCM 2010 V Def_PAO-CAF-RESOP_08_13_Bridge_Zone_Sud" xfId="2178" xr:uid="{00000000-0005-0000-0000-000065080000}"/>
    <cellStyle name="s_Matrix_B_Actualisation provision contrat déficitaire SNCM 2010 V Def_PAO-CAF-RESOP_09_13" xfId="2179" xr:uid="{00000000-0005-0000-0000-000066080000}"/>
    <cellStyle name="s_Matrix_B_Actualisation provision contrat déficitaire SNCM 2010 V Def_PAO-CAF-RESOP_09_13_Bridge_Zone_Sud" xfId="2180" xr:uid="{00000000-0005-0000-0000-000067080000}"/>
    <cellStyle name="s_Matrix_B_Actualisation provision contrat déficitaire SNCM 2010 V Def_PAO-CAF-RESOP_09_2013_Zone_IDF (version 2)" xfId="2181" xr:uid="{00000000-0005-0000-0000-000068080000}"/>
    <cellStyle name="s_Matrix_B_Actualisation provision contrat déficitaire SNCM 2010 V Def_PAO-CAF-RESOP_10_12" xfId="2182" xr:uid="{00000000-0005-0000-0000-000069080000}"/>
    <cellStyle name="s_Matrix_B_Actualisation provision contrat déficitaire SNCM 2010 V Def_PAO-CAF-RESOP_10_12_Bridge_Zone_Sud" xfId="2183" xr:uid="{00000000-0005-0000-0000-00006A080000}"/>
    <cellStyle name="s_Matrix_B_Actualisation provision contrat déficitaire SNCM 2010 V Def_PAO-CAF-RESOP_10_12_focus par entités CAFOP" xfId="2184" xr:uid="{00000000-0005-0000-0000-00006B080000}"/>
    <cellStyle name="s_Matrix_B_Actualisation provision contrat déficitaire SNCM 2010 V Def_PAO-CAF-RESOP_10_12_focus par entités CAFOP_Bridge_Zone_Sud" xfId="2185" xr:uid="{00000000-0005-0000-0000-00006C080000}"/>
    <cellStyle name="s_Matrix_B_Actualisation provision contrat déficitaire SNCM 2010 V Def_PAO-CAF-RESOP_11_13" xfId="2186" xr:uid="{00000000-0005-0000-0000-00006D080000}"/>
    <cellStyle name="s_Matrix_B_Actualisation provision contrat déficitaire SNCM 2010 V Def_PAO-CAF-RESOP_B13" xfId="2187" xr:uid="{00000000-0005-0000-0000-00006E080000}"/>
    <cellStyle name="s_Matrix_B_Actualisation provision contrat déficitaire SNCM 2010 V Def_PAO-CAF-RESOP_B13_Bridge_Zone_Sud" xfId="2188" xr:uid="{00000000-0005-0000-0000-00006F080000}"/>
    <cellStyle name="s_Matrix_B_Actualisation provision contrat déficitaire SNCM 2010 V Def_PAO-CAF-RESOP_B13_focus par entités CAFOP" xfId="2189" xr:uid="{00000000-0005-0000-0000-000070080000}"/>
    <cellStyle name="s_Matrix_B_Actualisation provision contrat déficitaire SNCM 2010 V Def_PAO-CAF-RESOP_B13_focus par entités CAFOP_Bridge_Zone_Sud" xfId="2190" xr:uid="{00000000-0005-0000-0000-000071080000}"/>
    <cellStyle name="s_Matrix_B_Actualisation provision contrat déficitaire SNCM 2010 V Def_PAO-CAF-RESOP_B2014" xfId="2191" xr:uid="{00000000-0005-0000-0000-000072080000}"/>
    <cellStyle name="s_Matrix_B_Actualisation provision contrat déficitaire SNCM 2010 V Def_PAO-CAF-RESOP_B2014_Bridge_Zone_Sud" xfId="2192" xr:uid="{00000000-0005-0000-0000-000073080000}"/>
    <cellStyle name="s_Matrix_B_Actualisation provision contrat déficitaire SNCM 2010 V Def_PAO-CAF-RESOP_B2014_v2" xfId="2193" xr:uid="{00000000-0005-0000-0000-000074080000}"/>
    <cellStyle name="s_Matrix_B_Actualisation provision contrat déficitaire SNCM 2010 V Def_PAO-CAF-RESOP_E2_13" xfId="2194" xr:uid="{00000000-0005-0000-0000-000075080000}"/>
    <cellStyle name="s_Matrix_B_Actualisation provision contrat déficitaire SNCM 2010 V Def_PAO-CAF-RESOP_E2_13_B14_E2_2210" xfId="2195" xr:uid="{00000000-0005-0000-0000-000076080000}"/>
    <cellStyle name="s_Matrix_B_Actualisation provision contrat déficitaire SNCM 2010 V Def_PAO-CAF-RESOP_E2_13_B14_E2_2210_Bridge_Zone_Sud" xfId="2196" xr:uid="{00000000-0005-0000-0000-000077080000}"/>
    <cellStyle name="s_Matrix_B_Actualisation provision contrat déficitaire SNCM 2010 V Def_PAO-CAF-RESOP_E2_13_Bridge_Zone_Sud" xfId="2197" xr:uid="{00000000-0005-0000-0000-000078080000}"/>
    <cellStyle name="s_Matrix_B_Actualisation provision contrat déficitaire SNCM 2010 V Def_PAO-CAF-RESOP_E2_2013_03_10_19H" xfId="2198" xr:uid="{00000000-0005-0000-0000-000079080000}"/>
    <cellStyle name="s_Matrix_B_Actualisation provision contrat déficitaire SNCM 2010 V Def_PAO-CAF-RESOP_E2_2013_03_10_19H_Bridge_Zone_Sud" xfId="2199" xr:uid="{00000000-0005-0000-0000-00007A080000}"/>
    <cellStyle name="s_Matrix_B_Actualisation provision contrat déficitaire SNCM 2010 V Def_PPA" xfId="2200" xr:uid="{00000000-0005-0000-0000-00007B080000}"/>
    <cellStyle name="s_Matrix_B_Actualisation provision contrat déficitaire SNCM 2010 V Def_RESOP bef CICE&amp;PPA&amp;RepartHO" xfId="2201" xr:uid="{00000000-0005-0000-0000-00007C080000}"/>
    <cellStyle name="s_Matrix_B_Actualisation provision contrat déficitaire SNCM 2010 V Def_Synthèse_Présentation_conso_retraitée" xfId="2202" xr:uid="{00000000-0005-0000-0000-00007D080000}"/>
    <cellStyle name="s_Matrix_B_Actualisation provision contrat déficitaire SNCM 2011 V3 30 05 2011" xfId="678" xr:uid="{00000000-0005-0000-0000-00007E080000}"/>
    <cellStyle name="s_Matrix_B_Actualisation provision contrat déficitaire SNCM 2011 V3 30 05 2011_B14_E2_2210" xfId="2203" xr:uid="{00000000-0005-0000-0000-00007F080000}"/>
    <cellStyle name="s_Matrix_B_Actualisation provision contrat déficitaire SNCM 2011 V3 30 05 2011_B14_E2_2210_Bridge_Zone_Sud" xfId="2204" xr:uid="{00000000-0005-0000-0000-000080080000}"/>
    <cellStyle name="s_Matrix_B_Actualisation provision contrat déficitaire SNCM 2011 V3 30 05 2011_Bridge_Zone_Sud" xfId="2205" xr:uid="{00000000-0005-0000-0000-000081080000}"/>
    <cellStyle name="s_Matrix_B_Actualisation provision contrat déficitaire SNCM 2011 V3 30 05 2011_CAPEM BY COUNTRY" xfId="2206" xr:uid="{00000000-0005-0000-0000-000082080000}"/>
    <cellStyle name="s_Matrix_B_Actualisation provision contrat déficitaire SNCM 2011 V3 30 05 2011_focus par entités CAFOPE2AMF" xfId="2207" xr:uid="{00000000-0005-0000-0000-000083080000}"/>
    <cellStyle name="s_Matrix_B_Actualisation provision contrat déficitaire SNCM 2011 V3 30 05 2011_focus par entités CAFOPE2AMF_Bridge_Zone_Sud" xfId="2208" xr:uid="{00000000-0005-0000-0000-000084080000}"/>
    <cellStyle name="s_Matrix_B_Actualisation provision contrat déficitaire SNCM 2011 V3 30 05 2011_Maquette PLT" xfId="2209" xr:uid="{00000000-0005-0000-0000-000085080000}"/>
    <cellStyle name="s_Matrix_B_Actualisation provision contrat déficitaire SNCM 2011 V3 30 05 2011_Output" xfId="3416" xr:uid="{00000000-0005-0000-0000-000086080000}"/>
    <cellStyle name="s_Matrix_B_Actualisation provision contrat déficitaire SNCM 2011 V3 30 05 2011_PAO-CAF-RESOP_04_13_pro_format_variante T1" xfId="2210" xr:uid="{00000000-0005-0000-0000-000087080000}"/>
    <cellStyle name="s_Matrix_B_Actualisation provision contrat déficitaire SNCM 2011 V3 30 05 2011_PAO-CAF-RESOP_04_13_pro_format_variante T1_B14_E2_2210" xfId="2211" xr:uid="{00000000-0005-0000-0000-000088080000}"/>
    <cellStyle name="s_Matrix_B_Actualisation provision contrat déficitaire SNCM 2011 V3 30 05 2011_PAO-CAF-RESOP_04_13_pro_format_variante T1_B14_E2_2210_Bridge_Zone_Sud" xfId="2212" xr:uid="{00000000-0005-0000-0000-000089080000}"/>
    <cellStyle name="s_Matrix_B_Actualisation provision contrat déficitaire SNCM 2011 V3 30 05 2011_PAO-CAF-RESOP_04_13_pro_format_variante T1_Bridge_Zone_Sud" xfId="2213" xr:uid="{00000000-0005-0000-0000-00008A080000}"/>
    <cellStyle name="s_Matrix_B_Actualisation provision contrat déficitaire SNCM 2011 V3 30 05 2011_PAO-CAF-RESOP_06_13" xfId="2214" xr:uid="{00000000-0005-0000-0000-00008B080000}"/>
    <cellStyle name="s_Matrix_B_Actualisation provision contrat déficitaire SNCM 2011 V3 30 05 2011_PAO-CAF-RESOP_06_13_B14_E2_2210" xfId="2215" xr:uid="{00000000-0005-0000-0000-00008C080000}"/>
    <cellStyle name="s_Matrix_B_Actualisation provision contrat déficitaire SNCM 2011 V3 30 05 2011_PAO-CAF-RESOP_06_13_B14_E2_2210_Bridge_Zone_Sud" xfId="2216" xr:uid="{00000000-0005-0000-0000-00008D080000}"/>
    <cellStyle name="s_Matrix_B_Actualisation provision contrat déficitaire SNCM 2011 V3 30 05 2011_PAO-CAF-RESOP_06_13_Bridge_Zone_Sud" xfId="2217" xr:uid="{00000000-0005-0000-0000-00008E080000}"/>
    <cellStyle name="s_Matrix_B_Actualisation provision contrat déficitaire SNCM 2011 V3 30 05 2011_PAO-CAF-RESOP_08_13" xfId="2218" xr:uid="{00000000-0005-0000-0000-00008F080000}"/>
    <cellStyle name="s_Matrix_B_Actualisation provision contrat déficitaire SNCM 2011 V3 30 05 2011_PAO-CAF-RESOP_08_13_B14_E2_2210" xfId="2219" xr:uid="{00000000-0005-0000-0000-000090080000}"/>
    <cellStyle name="s_Matrix_B_Actualisation provision contrat déficitaire SNCM 2011 V3 30 05 2011_PAO-CAF-RESOP_08_13_B14_E2_2210_Bridge_Zone_Sud" xfId="2220" xr:uid="{00000000-0005-0000-0000-000091080000}"/>
    <cellStyle name="s_Matrix_B_Actualisation provision contrat déficitaire SNCM 2011 V3 30 05 2011_PAO-CAF-RESOP_08_13_Bridge_Zone_Sud" xfId="2221" xr:uid="{00000000-0005-0000-0000-000092080000}"/>
    <cellStyle name="s_Matrix_B_Actualisation provision contrat déficitaire SNCM 2011 V3 30 05 2011_PAO-CAF-RESOP_09_13" xfId="2222" xr:uid="{00000000-0005-0000-0000-000093080000}"/>
    <cellStyle name="s_Matrix_B_Actualisation provision contrat déficitaire SNCM 2011 V3 30 05 2011_PAO-CAF-RESOP_09_13_Bridge_Zone_Sud" xfId="2223" xr:uid="{00000000-0005-0000-0000-000094080000}"/>
    <cellStyle name="s_Matrix_B_Actualisation provision contrat déficitaire SNCM 2011 V3 30 05 2011_PAO-CAF-RESOP_09_2013_Zone_IDF (version 2)" xfId="2224" xr:uid="{00000000-0005-0000-0000-000095080000}"/>
    <cellStyle name="s_Matrix_B_Actualisation provision contrat déficitaire SNCM 2011 V3 30 05 2011_PAO-CAF-RESOP_10_12" xfId="2225" xr:uid="{00000000-0005-0000-0000-000096080000}"/>
    <cellStyle name="s_Matrix_B_Actualisation provision contrat déficitaire SNCM 2011 V3 30 05 2011_PAO-CAF-RESOP_10_12_Bridge_Zone_Sud" xfId="2226" xr:uid="{00000000-0005-0000-0000-000097080000}"/>
    <cellStyle name="s_Matrix_B_Actualisation provision contrat déficitaire SNCM 2011 V3 30 05 2011_PAO-CAF-RESOP_10_12_focus par entités CAFOP" xfId="2227" xr:uid="{00000000-0005-0000-0000-000098080000}"/>
    <cellStyle name="s_Matrix_B_Actualisation provision contrat déficitaire SNCM 2011 V3 30 05 2011_PAO-CAF-RESOP_10_12_focus par entités CAFOP_Bridge_Zone_Sud" xfId="2228" xr:uid="{00000000-0005-0000-0000-000099080000}"/>
    <cellStyle name="s_Matrix_B_Actualisation provision contrat déficitaire SNCM 2011 V3 30 05 2011_PAO-CAF-RESOP_11_13" xfId="2229" xr:uid="{00000000-0005-0000-0000-00009A080000}"/>
    <cellStyle name="s_Matrix_B_Actualisation provision contrat déficitaire SNCM 2011 V3 30 05 2011_PAO-CAF-RESOP_B13" xfId="2230" xr:uid="{00000000-0005-0000-0000-00009B080000}"/>
    <cellStyle name="s_Matrix_B_Actualisation provision contrat déficitaire SNCM 2011 V3 30 05 2011_PAO-CAF-RESOP_B13_Bridge_Zone_Sud" xfId="2231" xr:uid="{00000000-0005-0000-0000-00009C080000}"/>
    <cellStyle name="s_Matrix_B_Actualisation provision contrat déficitaire SNCM 2011 V3 30 05 2011_PAO-CAF-RESOP_B13_focus par entités CAFOP" xfId="2232" xr:uid="{00000000-0005-0000-0000-00009D080000}"/>
    <cellStyle name="s_Matrix_B_Actualisation provision contrat déficitaire SNCM 2011 V3 30 05 2011_PAO-CAF-RESOP_B13_focus par entités CAFOP_Bridge_Zone_Sud" xfId="2233" xr:uid="{00000000-0005-0000-0000-00009E080000}"/>
    <cellStyle name="s_Matrix_B_Actualisation provision contrat déficitaire SNCM 2011 V3 30 05 2011_PAO-CAF-RESOP_B2014" xfId="2234" xr:uid="{00000000-0005-0000-0000-00009F080000}"/>
    <cellStyle name="s_Matrix_B_Actualisation provision contrat déficitaire SNCM 2011 V3 30 05 2011_PAO-CAF-RESOP_B2014_Bridge_Zone_Sud" xfId="2235" xr:uid="{00000000-0005-0000-0000-0000A0080000}"/>
    <cellStyle name="s_Matrix_B_Actualisation provision contrat déficitaire SNCM 2011 V3 30 05 2011_PAO-CAF-RESOP_B2014_v2" xfId="2236" xr:uid="{00000000-0005-0000-0000-0000A1080000}"/>
    <cellStyle name="s_Matrix_B_Actualisation provision contrat déficitaire SNCM 2011 V3 30 05 2011_PAO-CAF-RESOP_E2_13" xfId="2237" xr:uid="{00000000-0005-0000-0000-0000A2080000}"/>
    <cellStyle name="s_Matrix_B_Actualisation provision contrat déficitaire SNCM 2011 V3 30 05 2011_PAO-CAF-RESOP_E2_13_B14_E2_2210" xfId="2238" xr:uid="{00000000-0005-0000-0000-0000A3080000}"/>
    <cellStyle name="s_Matrix_B_Actualisation provision contrat déficitaire SNCM 2011 V3 30 05 2011_PAO-CAF-RESOP_E2_13_B14_E2_2210_Bridge_Zone_Sud" xfId="2239" xr:uid="{00000000-0005-0000-0000-0000A4080000}"/>
    <cellStyle name="s_Matrix_B_Actualisation provision contrat déficitaire SNCM 2011 V3 30 05 2011_PAO-CAF-RESOP_E2_13_Bridge_Zone_Sud" xfId="2240" xr:uid="{00000000-0005-0000-0000-0000A5080000}"/>
    <cellStyle name="s_Matrix_B_Actualisation provision contrat déficitaire SNCM 2011 V3 30 05 2011_PAO-CAF-RESOP_E2_2013_03_10_19H" xfId="2241" xr:uid="{00000000-0005-0000-0000-0000A6080000}"/>
    <cellStyle name="s_Matrix_B_Actualisation provision contrat déficitaire SNCM 2011 V3 30 05 2011_PAO-CAF-RESOP_E2_2013_03_10_19H_Bridge_Zone_Sud" xfId="2242" xr:uid="{00000000-0005-0000-0000-0000A7080000}"/>
    <cellStyle name="s_Matrix_B_Actualisation provision contrat déficitaire SNCM 2011 V3 30 05 2011_PPA" xfId="2243" xr:uid="{00000000-0005-0000-0000-0000A8080000}"/>
    <cellStyle name="s_Matrix_B_Actualisation provision contrat déficitaire SNCM 2011 V3 30 05 2011_RESOP bef CICE&amp;PPA&amp;RepartHO" xfId="2244" xr:uid="{00000000-0005-0000-0000-0000A9080000}"/>
    <cellStyle name="s_Matrix_B_Actualisation provision contrat déficitaire SNCM 2011 V3 30 05 2011_Synthèse_Présentation_conso_retraitée" xfId="2245" xr:uid="{00000000-0005-0000-0000-0000AA080000}"/>
    <cellStyle name="s_Matrix_B_B14_E2_2210" xfId="2246" xr:uid="{00000000-0005-0000-0000-0000AB080000}"/>
    <cellStyle name="s_Matrix_B_B14_E2_2210_Bridge_Zone_Sud" xfId="2247" xr:uid="{00000000-0005-0000-0000-0000AC080000}"/>
    <cellStyle name="s_Matrix_B_BFR_TD_2014.02" xfId="2248" xr:uid="{00000000-0005-0000-0000-0000AD080000}"/>
    <cellStyle name="s_Matrix_B_Bridge_Zone_Nord" xfId="2249" xr:uid="{00000000-0005-0000-0000-0000AE080000}"/>
    <cellStyle name="s_Matrix_B_CAPEM BY COUNTRY" xfId="2250" xr:uid="{00000000-0005-0000-0000-0000AF080000}"/>
    <cellStyle name="s_Matrix_B_LI819L_B13" xfId="679" xr:uid="{00000000-0005-0000-0000-0000B0080000}"/>
    <cellStyle name="s_Matrix_B_LI819L_B13_CAPEM BY COUNTRY" xfId="2251" xr:uid="{00000000-0005-0000-0000-0000B1080000}"/>
    <cellStyle name="s_Matrix_B_LI819L_B13_Maquette PLT" xfId="2252" xr:uid="{00000000-0005-0000-0000-0000B2080000}"/>
    <cellStyle name="s_Matrix_B_LI819L_B13_Output" xfId="3417" xr:uid="{00000000-0005-0000-0000-0000B3080000}"/>
    <cellStyle name="s_Matrix_B_LI819L_B13_PPA" xfId="2253" xr:uid="{00000000-0005-0000-0000-0000B4080000}"/>
    <cellStyle name="s_Matrix_B_LI819L_B13_RESOP bef CICE&amp;PPA&amp;RepartHO" xfId="2254" xr:uid="{00000000-0005-0000-0000-0000B5080000}"/>
    <cellStyle name="s_Matrix_B_Maquette PLT" xfId="2255" xr:uid="{00000000-0005-0000-0000-0000B6080000}"/>
    <cellStyle name="s_Matrix_B_Output" xfId="3418" xr:uid="{00000000-0005-0000-0000-0000B7080000}"/>
    <cellStyle name="s_Matrix_B_PAO-CAF-RESOP_14_01_13 à 20h" xfId="680" xr:uid="{00000000-0005-0000-0000-0000B8080000}"/>
    <cellStyle name="s_Matrix_B_PAO-CAF-RESOP_14_01_13 à 20h_CAPEM BY COUNTRY" xfId="2256" xr:uid="{00000000-0005-0000-0000-0000B9080000}"/>
    <cellStyle name="s_Matrix_B_PAO-CAF-RESOP_14_01_13 à 20h_Maquette PLT" xfId="2257" xr:uid="{00000000-0005-0000-0000-0000BA080000}"/>
    <cellStyle name="s_Matrix_B_PAO-CAF-RESOP_14_01_13 à 20h_Output" xfId="3419" xr:uid="{00000000-0005-0000-0000-0000BB080000}"/>
    <cellStyle name="s_Matrix_B_PAO-CAF-RESOP_14_01_13 à 20h_PPA" xfId="2258" xr:uid="{00000000-0005-0000-0000-0000BC080000}"/>
    <cellStyle name="s_Matrix_B_PAO-CAF-RESOP_14_01_13 à 20h_RESOP bef CICE&amp;PPA&amp;RepartHO" xfId="2259" xr:uid="{00000000-0005-0000-0000-0000BD080000}"/>
    <cellStyle name="s_Matrix_B_PAO-CAF-RESOP_2014.02" xfId="2260" xr:uid="{00000000-0005-0000-0000-0000BE080000}"/>
    <cellStyle name="s_Matrix_B_PAO-CAF-RESOP_2014.02_Bridge_Zone_Sud" xfId="2261" xr:uid="{00000000-0005-0000-0000-0000BF080000}"/>
    <cellStyle name="s_Matrix_B_PPA" xfId="2262" xr:uid="{00000000-0005-0000-0000-0000C0080000}"/>
    <cellStyle name="s_Matrix_B_RESOP bef CICE&amp;PPA&amp;RepartHO" xfId="2263" xr:uid="{00000000-0005-0000-0000-0000C1080000}"/>
    <cellStyle name="s_Matrix_T" xfId="681" xr:uid="{00000000-0005-0000-0000-0000C2080000}"/>
    <cellStyle name="s_Matrix_T_Actualisation provision contrat déficitaire SNCM 2010 V Def" xfId="682" xr:uid="{00000000-0005-0000-0000-0000C3080000}"/>
    <cellStyle name="s_Matrix_T_Actualisation provision contrat déficitaire SNCM 2010 V Def_B14_E2_2210" xfId="2264" xr:uid="{00000000-0005-0000-0000-0000C4080000}"/>
    <cellStyle name="s_Matrix_T_Actualisation provision contrat déficitaire SNCM 2010 V Def_B14_E2_2210_Bridge_Zone_Sud" xfId="2265" xr:uid="{00000000-0005-0000-0000-0000C5080000}"/>
    <cellStyle name="s_Matrix_T_Actualisation provision contrat déficitaire SNCM 2010 V Def_Bridge_Zone_Sud" xfId="2266" xr:uid="{00000000-0005-0000-0000-0000C6080000}"/>
    <cellStyle name="s_Matrix_T_Actualisation provision contrat déficitaire SNCM 2010 V Def_CAPEM BY COUNTRY" xfId="2267" xr:uid="{00000000-0005-0000-0000-0000C7080000}"/>
    <cellStyle name="s_Matrix_T_Actualisation provision contrat déficitaire SNCM 2010 V Def_focus par entités CAFOPE2AMF" xfId="2268" xr:uid="{00000000-0005-0000-0000-0000C8080000}"/>
    <cellStyle name="s_Matrix_T_Actualisation provision contrat déficitaire SNCM 2010 V Def_focus par entités CAFOPE2AMF_Bridge_Zone_Sud" xfId="2269" xr:uid="{00000000-0005-0000-0000-0000C9080000}"/>
    <cellStyle name="s_Matrix_T_Actualisation provision contrat déficitaire SNCM 2010 V Def_Maquette PLT" xfId="2270" xr:uid="{00000000-0005-0000-0000-0000CA080000}"/>
    <cellStyle name="s_Matrix_T_Actualisation provision contrat déficitaire SNCM 2010 V Def_Output" xfId="3420" xr:uid="{00000000-0005-0000-0000-0000CB080000}"/>
    <cellStyle name="s_Matrix_T_Actualisation provision contrat déficitaire SNCM 2010 V Def_PAO-CAF-RESOP_04_13_pro_format_variante T1" xfId="2271" xr:uid="{00000000-0005-0000-0000-0000CC080000}"/>
    <cellStyle name="s_Matrix_T_Actualisation provision contrat déficitaire SNCM 2010 V Def_PAO-CAF-RESOP_04_13_pro_format_variante T1_B14_E2_2210" xfId="2272" xr:uid="{00000000-0005-0000-0000-0000CD080000}"/>
    <cellStyle name="s_Matrix_T_Actualisation provision contrat déficitaire SNCM 2010 V Def_PAO-CAF-RESOP_04_13_pro_format_variante T1_B14_E2_2210_Bridge_Zone_Sud" xfId="2273" xr:uid="{00000000-0005-0000-0000-0000CE080000}"/>
    <cellStyle name="s_Matrix_T_Actualisation provision contrat déficitaire SNCM 2010 V Def_PAO-CAF-RESOP_04_13_pro_format_variante T1_Bridge_Zone_Sud" xfId="2274" xr:uid="{00000000-0005-0000-0000-0000CF080000}"/>
    <cellStyle name="s_Matrix_T_Actualisation provision contrat déficitaire SNCM 2010 V Def_PAO-CAF-RESOP_06_13" xfId="2275" xr:uid="{00000000-0005-0000-0000-0000D0080000}"/>
    <cellStyle name="s_Matrix_T_Actualisation provision contrat déficitaire SNCM 2010 V Def_PAO-CAF-RESOP_06_13_B14_E2_2210" xfId="2276" xr:uid="{00000000-0005-0000-0000-0000D1080000}"/>
    <cellStyle name="s_Matrix_T_Actualisation provision contrat déficitaire SNCM 2010 V Def_PAO-CAF-RESOP_06_13_B14_E2_2210_Bridge_Zone_Sud" xfId="2277" xr:uid="{00000000-0005-0000-0000-0000D2080000}"/>
    <cellStyle name="s_Matrix_T_Actualisation provision contrat déficitaire SNCM 2010 V Def_PAO-CAF-RESOP_06_13_Bridge_Zone_Sud" xfId="2278" xr:uid="{00000000-0005-0000-0000-0000D3080000}"/>
    <cellStyle name="s_Matrix_T_Actualisation provision contrat déficitaire SNCM 2010 V Def_PAO-CAF-RESOP_08_13" xfId="2279" xr:uid="{00000000-0005-0000-0000-0000D4080000}"/>
    <cellStyle name="s_Matrix_T_Actualisation provision contrat déficitaire SNCM 2010 V Def_PAO-CAF-RESOP_08_13_B14_E2_2210" xfId="2280" xr:uid="{00000000-0005-0000-0000-0000D5080000}"/>
    <cellStyle name="s_Matrix_T_Actualisation provision contrat déficitaire SNCM 2010 V Def_PAO-CAF-RESOP_08_13_B14_E2_2210_Bridge_Zone_Sud" xfId="2281" xr:uid="{00000000-0005-0000-0000-0000D6080000}"/>
    <cellStyle name="s_Matrix_T_Actualisation provision contrat déficitaire SNCM 2010 V Def_PAO-CAF-RESOP_08_13_Bridge_Zone_Sud" xfId="2282" xr:uid="{00000000-0005-0000-0000-0000D7080000}"/>
    <cellStyle name="s_Matrix_T_Actualisation provision contrat déficitaire SNCM 2010 V Def_PAO-CAF-RESOP_09_13" xfId="2283" xr:uid="{00000000-0005-0000-0000-0000D8080000}"/>
    <cellStyle name="s_Matrix_T_Actualisation provision contrat déficitaire SNCM 2010 V Def_PAO-CAF-RESOP_09_13_Bridge_Zone_Sud" xfId="2284" xr:uid="{00000000-0005-0000-0000-0000D9080000}"/>
    <cellStyle name="s_Matrix_T_Actualisation provision contrat déficitaire SNCM 2010 V Def_PAO-CAF-RESOP_09_2013_Zone_IDF (version 2)" xfId="2285" xr:uid="{00000000-0005-0000-0000-0000DA080000}"/>
    <cellStyle name="s_Matrix_T_Actualisation provision contrat déficitaire SNCM 2010 V Def_PAO-CAF-RESOP_10_12" xfId="2286" xr:uid="{00000000-0005-0000-0000-0000DB080000}"/>
    <cellStyle name="s_Matrix_T_Actualisation provision contrat déficitaire SNCM 2010 V Def_PAO-CAF-RESOP_10_12_Bridge_Zone_Sud" xfId="2287" xr:uid="{00000000-0005-0000-0000-0000DC080000}"/>
    <cellStyle name="s_Matrix_T_Actualisation provision contrat déficitaire SNCM 2010 V Def_PAO-CAF-RESOP_10_12_focus par entités CAFOP" xfId="2288" xr:uid="{00000000-0005-0000-0000-0000DD080000}"/>
    <cellStyle name="s_Matrix_T_Actualisation provision contrat déficitaire SNCM 2010 V Def_PAO-CAF-RESOP_10_12_focus par entités CAFOP_Bridge_Zone_Sud" xfId="2289" xr:uid="{00000000-0005-0000-0000-0000DE080000}"/>
    <cellStyle name="s_Matrix_T_Actualisation provision contrat déficitaire SNCM 2010 V Def_PAO-CAF-RESOP_11_13" xfId="2290" xr:uid="{00000000-0005-0000-0000-0000DF080000}"/>
    <cellStyle name="s_Matrix_T_Actualisation provision contrat déficitaire SNCM 2010 V Def_PAO-CAF-RESOP_B13" xfId="2291" xr:uid="{00000000-0005-0000-0000-0000E0080000}"/>
    <cellStyle name="s_Matrix_T_Actualisation provision contrat déficitaire SNCM 2010 V Def_PAO-CAF-RESOP_B13_Bridge_Zone_Sud" xfId="2292" xr:uid="{00000000-0005-0000-0000-0000E1080000}"/>
    <cellStyle name="s_Matrix_T_Actualisation provision contrat déficitaire SNCM 2010 V Def_PAO-CAF-RESOP_B13_focus par entités CAFOP" xfId="2293" xr:uid="{00000000-0005-0000-0000-0000E2080000}"/>
    <cellStyle name="s_Matrix_T_Actualisation provision contrat déficitaire SNCM 2010 V Def_PAO-CAF-RESOP_B13_focus par entités CAFOP_Bridge_Zone_Sud" xfId="2294" xr:uid="{00000000-0005-0000-0000-0000E3080000}"/>
    <cellStyle name="s_Matrix_T_Actualisation provision contrat déficitaire SNCM 2010 V Def_PAO-CAF-RESOP_B2014" xfId="2295" xr:uid="{00000000-0005-0000-0000-0000E4080000}"/>
    <cellStyle name="s_Matrix_T_Actualisation provision contrat déficitaire SNCM 2010 V Def_PAO-CAF-RESOP_B2014_Bridge_Zone_Sud" xfId="2296" xr:uid="{00000000-0005-0000-0000-0000E5080000}"/>
    <cellStyle name="s_Matrix_T_Actualisation provision contrat déficitaire SNCM 2010 V Def_PAO-CAF-RESOP_B2014_v2" xfId="2297" xr:uid="{00000000-0005-0000-0000-0000E6080000}"/>
    <cellStyle name="s_Matrix_T_Actualisation provision contrat déficitaire SNCM 2010 V Def_PAO-CAF-RESOP_E2_13" xfId="2298" xr:uid="{00000000-0005-0000-0000-0000E7080000}"/>
    <cellStyle name="s_Matrix_T_Actualisation provision contrat déficitaire SNCM 2010 V Def_PAO-CAF-RESOP_E2_13_B14_E2_2210" xfId="2299" xr:uid="{00000000-0005-0000-0000-0000E8080000}"/>
    <cellStyle name="s_Matrix_T_Actualisation provision contrat déficitaire SNCM 2010 V Def_PAO-CAF-RESOP_E2_13_B14_E2_2210_Bridge_Zone_Sud" xfId="2300" xr:uid="{00000000-0005-0000-0000-0000E9080000}"/>
    <cellStyle name="s_Matrix_T_Actualisation provision contrat déficitaire SNCM 2010 V Def_PAO-CAF-RESOP_E2_13_Bridge_Zone_Sud" xfId="2301" xr:uid="{00000000-0005-0000-0000-0000EA080000}"/>
    <cellStyle name="s_Matrix_T_Actualisation provision contrat déficitaire SNCM 2010 V Def_PAO-CAF-RESOP_E2_2013_03_10_19H" xfId="2302" xr:uid="{00000000-0005-0000-0000-0000EB080000}"/>
    <cellStyle name="s_Matrix_T_Actualisation provision contrat déficitaire SNCM 2010 V Def_PAO-CAF-RESOP_E2_2013_03_10_19H_Bridge_Zone_Sud" xfId="2303" xr:uid="{00000000-0005-0000-0000-0000EC080000}"/>
    <cellStyle name="s_Matrix_T_Actualisation provision contrat déficitaire SNCM 2010 V Def_PPA" xfId="2304" xr:uid="{00000000-0005-0000-0000-0000ED080000}"/>
    <cellStyle name="s_Matrix_T_Actualisation provision contrat déficitaire SNCM 2010 V Def_RESOP bef CICE&amp;PPA&amp;RepartHO" xfId="2305" xr:uid="{00000000-0005-0000-0000-0000EE080000}"/>
    <cellStyle name="s_Matrix_T_Actualisation provision contrat déficitaire SNCM 2010 V Def_Synthèse_Présentation_conso_retraitée" xfId="2306" xr:uid="{00000000-0005-0000-0000-0000EF080000}"/>
    <cellStyle name="s_Matrix_T_Actualisation provision contrat déficitaire SNCM 2011 V3 30 05 2011" xfId="683" xr:uid="{00000000-0005-0000-0000-0000F0080000}"/>
    <cellStyle name="s_Matrix_T_Actualisation provision contrat déficitaire SNCM 2011 V3 30 05 2011_B14_E2_2210" xfId="2307" xr:uid="{00000000-0005-0000-0000-0000F1080000}"/>
    <cellStyle name="s_Matrix_T_Actualisation provision contrat déficitaire SNCM 2011 V3 30 05 2011_B14_E2_2210_Bridge_Zone_Sud" xfId="2308" xr:uid="{00000000-0005-0000-0000-0000F2080000}"/>
    <cellStyle name="s_Matrix_T_Actualisation provision contrat déficitaire SNCM 2011 V3 30 05 2011_Bridge_Zone_Sud" xfId="2309" xr:uid="{00000000-0005-0000-0000-0000F3080000}"/>
    <cellStyle name="s_Matrix_T_Actualisation provision contrat déficitaire SNCM 2011 V3 30 05 2011_CAPEM BY COUNTRY" xfId="2310" xr:uid="{00000000-0005-0000-0000-0000F4080000}"/>
    <cellStyle name="s_Matrix_T_Actualisation provision contrat déficitaire SNCM 2011 V3 30 05 2011_focus par entités CAFOPE2AMF" xfId="2311" xr:uid="{00000000-0005-0000-0000-0000F5080000}"/>
    <cellStyle name="s_Matrix_T_Actualisation provision contrat déficitaire SNCM 2011 V3 30 05 2011_focus par entités CAFOPE2AMF_Bridge_Zone_Sud" xfId="2312" xr:uid="{00000000-0005-0000-0000-0000F6080000}"/>
    <cellStyle name="s_Matrix_T_Actualisation provision contrat déficitaire SNCM 2011 V3 30 05 2011_Maquette PLT" xfId="2313" xr:uid="{00000000-0005-0000-0000-0000F7080000}"/>
    <cellStyle name="s_Matrix_T_Actualisation provision contrat déficitaire SNCM 2011 V3 30 05 2011_Output" xfId="3421" xr:uid="{00000000-0005-0000-0000-0000F8080000}"/>
    <cellStyle name="s_Matrix_T_Actualisation provision contrat déficitaire SNCM 2011 V3 30 05 2011_PAO-CAF-RESOP_04_13_pro_format_variante T1" xfId="2314" xr:uid="{00000000-0005-0000-0000-0000F9080000}"/>
    <cellStyle name="s_Matrix_T_Actualisation provision contrat déficitaire SNCM 2011 V3 30 05 2011_PAO-CAF-RESOP_04_13_pro_format_variante T1_B14_E2_2210" xfId="2315" xr:uid="{00000000-0005-0000-0000-0000FA080000}"/>
    <cellStyle name="s_Matrix_T_Actualisation provision contrat déficitaire SNCM 2011 V3 30 05 2011_PAO-CAF-RESOP_04_13_pro_format_variante T1_B14_E2_2210_Bridge_Zone_Sud" xfId="2316" xr:uid="{00000000-0005-0000-0000-0000FB080000}"/>
    <cellStyle name="s_Matrix_T_Actualisation provision contrat déficitaire SNCM 2011 V3 30 05 2011_PAO-CAF-RESOP_04_13_pro_format_variante T1_Bridge_Zone_Sud" xfId="2317" xr:uid="{00000000-0005-0000-0000-0000FC080000}"/>
    <cellStyle name="s_Matrix_T_Actualisation provision contrat déficitaire SNCM 2011 V3 30 05 2011_PAO-CAF-RESOP_06_13" xfId="2318" xr:uid="{00000000-0005-0000-0000-0000FD080000}"/>
    <cellStyle name="s_Matrix_T_Actualisation provision contrat déficitaire SNCM 2011 V3 30 05 2011_PAO-CAF-RESOP_06_13_B14_E2_2210" xfId="2319" xr:uid="{00000000-0005-0000-0000-0000FE080000}"/>
    <cellStyle name="s_Matrix_T_Actualisation provision contrat déficitaire SNCM 2011 V3 30 05 2011_PAO-CAF-RESOP_06_13_B14_E2_2210_Bridge_Zone_Sud" xfId="2320" xr:uid="{00000000-0005-0000-0000-0000FF080000}"/>
    <cellStyle name="s_Matrix_T_Actualisation provision contrat déficitaire SNCM 2011 V3 30 05 2011_PAO-CAF-RESOP_06_13_Bridge_Zone_Sud" xfId="2321" xr:uid="{00000000-0005-0000-0000-000000090000}"/>
    <cellStyle name="s_Matrix_T_Actualisation provision contrat déficitaire SNCM 2011 V3 30 05 2011_PAO-CAF-RESOP_08_13" xfId="2322" xr:uid="{00000000-0005-0000-0000-000001090000}"/>
    <cellStyle name="s_Matrix_T_Actualisation provision contrat déficitaire SNCM 2011 V3 30 05 2011_PAO-CAF-RESOP_08_13_B14_E2_2210" xfId="2323" xr:uid="{00000000-0005-0000-0000-000002090000}"/>
    <cellStyle name="s_Matrix_T_Actualisation provision contrat déficitaire SNCM 2011 V3 30 05 2011_PAO-CAF-RESOP_08_13_B14_E2_2210_Bridge_Zone_Sud" xfId="2324" xr:uid="{00000000-0005-0000-0000-000003090000}"/>
    <cellStyle name="s_Matrix_T_Actualisation provision contrat déficitaire SNCM 2011 V3 30 05 2011_PAO-CAF-RESOP_08_13_Bridge_Zone_Sud" xfId="2325" xr:uid="{00000000-0005-0000-0000-000004090000}"/>
    <cellStyle name="s_Matrix_T_Actualisation provision contrat déficitaire SNCM 2011 V3 30 05 2011_PAO-CAF-RESOP_09_13" xfId="2326" xr:uid="{00000000-0005-0000-0000-000005090000}"/>
    <cellStyle name="s_Matrix_T_Actualisation provision contrat déficitaire SNCM 2011 V3 30 05 2011_PAO-CAF-RESOP_09_13_Bridge_Zone_Sud" xfId="2327" xr:uid="{00000000-0005-0000-0000-000006090000}"/>
    <cellStyle name="s_Matrix_T_Actualisation provision contrat déficitaire SNCM 2011 V3 30 05 2011_PAO-CAF-RESOP_09_2013_Zone_IDF (version 2)" xfId="2328" xr:uid="{00000000-0005-0000-0000-000007090000}"/>
    <cellStyle name="s_Matrix_T_Actualisation provision contrat déficitaire SNCM 2011 V3 30 05 2011_PAO-CAF-RESOP_10_12" xfId="2329" xr:uid="{00000000-0005-0000-0000-000008090000}"/>
    <cellStyle name="s_Matrix_T_Actualisation provision contrat déficitaire SNCM 2011 V3 30 05 2011_PAO-CAF-RESOP_10_12_Bridge_Zone_Sud" xfId="2330" xr:uid="{00000000-0005-0000-0000-000009090000}"/>
    <cellStyle name="s_Matrix_T_Actualisation provision contrat déficitaire SNCM 2011 V3 30 05 2011_PAO-CAF-RESOP_10_12_focus par entités CAFOP" xfId="2331" xr:uid="{00000000-0005-0000-0000-00000A090000}"/>
    <cellStyle name="s_Matrix_T_Actualisation provision contrat déficitaire SNCM 2011 V3 30 05 2011_PAO-CAF-RESOP_10_12_focus par entités CAFOP_Bridge_Zone_Sud" xfId="2332" xr:uid="{00000000-0005-0000-0000-00000B090000}"/>
    <cellStyle name="s_Matrix_T_Actualisation provision contrat déficitaire SNCM 2011 V3 30 05 2011_PAO-CAF-RESOP_11_13" xfId="2333" xr:uid="{00000000-0005-0000-0000-00000C090000}"/>
    <cellStyle name="s_Matrix_T_Actualisation provision contrat déficitaire SNCM 2011 V3 30 05 2011_PAO-CAF-RESOP_B13" xfId="2334" xr:uid="{00000000-0005-0000-0000-00000D090000}"/>
    <cellStyle name="s_Matrix_T_Actualisation provision contrat déficitaire SNCM 2011 V3 30 05 2011_PAO-CAF-RESOP_B13_Bridge_Zone_Sud" xfId="2335" xr:uid="{00000000-0005-0000-0000-00000E090000}"/>
    <cellStyle name="s_Matrix_T_Actualisation provision contrat déficitaire SNCM 2011 V3 30 05 2011_PAO-CAF-RESOP_B13_focus par entités CAFOP" xfId="2336" xr:uid="{00000000-0005-0000-0000-00000F090000}"/>
    <cellStyle name="s_Matrix_T_Actualisation provision contrat déficitaire SNCM 2011 V3 30 05 2011_PAO-CAF-RESOP_B13_focus par entités CAFOP_Bridge_Zone_Sud" xfId="2337" xr:uid="{00000000-0005-0000-0000-000010090000}"/>
    <cellStyle name="s_Matrix_T_Actualisation provision contrat déficitaire SNCM 2011 V3 30 05 2011_PAO-CAF-RESOP_B2014" xfId="2338" xr:uid="{00000000-0005-0000-0000-000011090000}"/>
    <cellStyle name="s_Matrix_T_Actualisation provision contrat déficitaire SNCM 2011 V3 30 05 2011_PAO-CAF-RESOP_B2014_Bridge_Zone_Sud" xfId="2339" xr:uid="{00000000-0005-0000-0000-000012090000}"/>
    <cellStyle name="s_Matrix_T_Actualisation provision contrat déficitaire SNCM 2011 V3 30 05 2011_PAO-CAF-RESOP_B2014_v2" xfId="2340" xr:uid="{00000000-0005-0000-0000-000013090000}"/>
    <cellStyle name="s_Matrix_T_Actualisation provision contrat déficitaire SNCM 2011 V3 30 05 2011_PAO-CAF-RESOP_E2_13" xfId="2341" xr:uid="{00000000-0005-0000-0000-000014090000}"/>
    <cellStyle name="s_Matrix_T_Actualisation provision contrat déficitaire SNCM 2011 V3 30 05 2011_PAO-CAF-RESOP_E2_13_B14_E2_2210" xfId="2342" xr:uid="{00000000-0005-0000-0000-000015090000}"/>
    <cellStyle name="s_Matrix_T_Actualisation provision contrat déficitaire SNCM 2011 V3 30 05 2011_PAO-CAF-RESOP_E2_13_B14_E2_2210_Bridge_Zone_Sud" xfId="2343" xr:uid="{00000000-0005-0000-0000-000016090000}"/>
    <cellStyle name="s_Matrix_T_Actualisation provision contrat déficitaire SNCM 2011 V3 30 05 2011_PAO-CAF-RESOP_E2_13_Bridge_Zone_Sud" xfId="2344" xr:uid="{00000000-0005-0000-0000-000017090000}"/>
    <cellStyle name="s_Matrix_T_Actualisation provision contrat déficitaire SNCM 2011 V3 30 05 2011_PAO-CAF-RESOP_E2_2013_03_10_19H" xfId="2345" xr:uid="{00000000-0005-0000-0000-000018090000}"/>
    <cellStyle name="s_Matrix_T_Actualisation provision contrat déficitaire SNCM 2011 V3 30 05 2011_PAO-CAF-RESOP_E2_2013_03_10_19H_Bridge_Zone_Sud" xfId="2346" xr:uid="{00000000-0005-0000-0000-000019090000}"/>
    <cellStyle name="s_Matrix_T_Actualisation provision contrat déficitaire SNCM 2011 V3 30 05 2011_PPA" xfId="2347" xr:uid="{00000000-0005-0000-0000-00001A090000}"/>
    <cellStyle name="s_Matrix_T_Actualisation provision contrat déficitaire SNCM 2011 V3 30 05 2011_RESOP bef CICE&amp;PPA&amp;RepartHO" xfId="2348" xr:uid="{00000000-0005-0000-0000-00001B090000}"/>
    <cellStyle name="s_Matrix_T_Actualisation provision contrat déficitaire SNCM 2011 V3 30 05 2011_Synthèse_Présentation_conso_retraitée" xfId="2349" xr:uid="{00000000-0005-0000-0000-00001C090000}"/>
    <cellStyle name="s_Matrix_T_B14_E2_2210" xfId="2350" xr:uid="{00000000-0005-0000-0000-00001D090000}"/>
    <cellStyle name="s_Matrix_T_B14_E2_2210_Bridge_Zone_Sud" xfId="2351" xr:uid="{00000000-0005-0000-0000-00001E090000}"/>
    <cellStyle name="s_Matrix_T_BFR_TD_2014.02" xfId="2352" xr:uid="{00000000-0005-0000-0000-00001F090000}"/>
    <cellStyle name="s_Matrix_T_Bridge_Zone_Nord" xfId="2353" xr:uid="{00000000-0005-0000-0000-000020090000}"/>
    <cellStyle name="s_Matrix_T_CAPEM BY COUNTRY" xfId="2354" xr:uid="{00000000-0005-0000-0000-000021090000}"/>
    <cellStyle name="s_Matrix_T_LI819L_B13" xfId="684" xr:uid="{00000000-0005-0000-0000-000022090000}"/>
    <cellStyle name="s_Matrix_T_LI819L_B13_CAPEM BY COUNTRY" xfId="2355" xr:uid="{00000000-0005-0000-0000-000023090000}"/>
    <cellStyle name="s_Matrix_T_LI819L_B13_Maquette PLT" xfId="2356" xr:uid="{00000000-0005-0000-0000-000024090000}"/>
    <cellStyle name="s_Matrix_T_LI819L_B13_Output" xfId="3422" xr:uid="{00000000-0005-0000-0000-000025090000}"/>
    <cellStyle name="s_Matrix_T_LI819L_B13_PPA" xfId="2357" xr:uid="{00000000-0005-0000-0000-000026090000}"/>
    <cellStyle name="s_Matrix_T_LI819L_B13_RESOP bef CICE&amp;PPA&amp;RepartHO" xfId="2358" xr:uid="{00000000-0005-0000-0000-000027090000}"/>
    <cellStyle name="s_Matrix_T_Maquette PLT" xfId="2359" xr:uid="{00000000-0005-0000-0000-000028090000}"/>
    <cellStyle name="s_Matrix_T_Output" xfId="3423" xr:uid="{00000000-0005-0000-0000-000029090000}"/>
    <cellStyle name="s_Matrix_T_PAO-CAF-RESOP_14_01_13 à 20h" xfId="685" xr:uid="{00000000-0005-0000-0000-00002A090000}"/>
    <cellStyle name="s_Matrix_T_PAO-CAF-RESOP_14_01_13 à 20h_CAPEM BY COUNTRY" xfId="2360" xr:uid="{00000000-0005-0000-0000-00002B090000}"/>
    <cellStyle name="s_Matrix_T_PAO-CAF-RESOP_14_01_13 à 20h_Maquette PLT" xfId="2361" xr:uid="{00000000-0005-0000-0000-00002C090000}"/>
    <cellStyle name="s_Matrix_T_PAO-CAF-RESOP_14_01_13 à 20h_Output" xfId="3424" xr:uid="{00000000-0005-0000-0000-00002D090000}"/>
    <cellStyle name="s_Matrix_T_PAO-CAF-RESOP_14_01_13 à 20h_PPA" xfId="2362" xr:uid="{00000000-0005-0000-0000-00002E090000}"/>
    <cellStyle name="s_Matrix_T_PAO-CAF-RESOP_14_01_13 à 20h_RESOP bef CICE&amp;PPA&amp;RepartHO" xfId="2363" xr:uid="{00000000-0005-0000-0000-00002F090000}"/>
    <cellStyle name="s_Matrix_T_PAO-CAF-RESOP_2014.02" xfId="2364" xr:uid="{00000000-0005-0000-0000-000030090000}"/>
    <cellStyle name="s_Matrix_T_PAO-CAF-RESOP_2014.02_Bridge_Zone_Sud" xfId="2365" xr:uid="{00000000-0005-0000-0000-000031090000}"/>
    <cellStyle name="s_Matrix_T_PPA" xfId="2366" xr:uid="{00000000-0005-0000-0000-000032090000}"/>
    <cellStyle name="s_Matrix_T_RESOP bef CICE&amp;PPA&amp;RepartHO" xfId="2367" xr:uid="{00000000-0005-0000-0000-000033090000}"/>
    <cellStyle name="s_Merger" xfId="686" xr:uid="{00000000-0005-0000-0000-000034090000}"/>
    <cellStyle name="s_Merger_Actualisation provision contrat déficitaire SNCM 2010 V Def" xfId="687" xr:uid="{00000000-0005-0000-0000-000035090000}"/>
    <cellStyle name="s_Merger_Actualisation provision contrat déficitaire SNCM 2010 V Def_B14_E2_2210" xfId="2368" xr:uid="{00000000-0005-0000-0000-000036090000}"/>
    <cellStyle name="s_Merger_Actualisation provision contrat déficitaire SNCM 2010 V Def_B14_E2_2210_Bridge_Zone_Sud" xfId="2369" xr:uid="{00000000-0005-0000-0000-000037090000}"/>
    <cellStyle name="s_Merger_Actualisation provision contrat déficitaire SNCM 2010 V Def_Bridge_Zone_Sud" xfId="2370" xr:uid="{00000000-0005-0000-0000-000038090000}"/>
    <cellStyle name="s_Merger_Actualisation provision contrat déficitaire SNCM 2010 V Def_CAPEM BY COUNTRY" xfId="2371" xr:uid="{00000000-0005-0000-0000-000039090000}"/>
    <cellStyle name="s_Merger_Actualisation provision contrat déficitaire SNCM 2010 V Def_focus par entités CAFOPE2AMF" xfId="2372" xr:uid="{00000000-0005-0000-0000-00003A090000}"/>
    <cellStyle name="s_Merger_Actualisation provision contrat déficitaire SNCM 2010 V Def_focus par entités CAFOPE2AMF_Bridge_Zone_Sud" xfId="2373" xr:uid="{00000000-0005-0000-0000-00003B090000}"/>
    <cellStyle name="s_Merger_Actualisation provision contrat déficitaire SNCM 2010 V Def_Maquette PLT" xfId="2374" xr:uid="{00000000-0005-0000-0000-00003C090000}"/>
    <cellStyle name="s_Merger_Actualisation provision contrat déficitaire SNCM 2010 V Def_Output" xfId="3425" xr:uid="{00000000-0005-0000-0000-00003D090000}"/>
    <cellStyle name="s_Merger_Actualisation provision contrat déficitaire SNCM 2010 V Def_PAO-CAF-RESOP_04_13_pro_format_variante T1" xfId="2375" xr:uid="{00000000-0005-0000-0000-00003E090000}"/>
    <cellStyle name="s_Merger_Actualisation provision contrat déficitaire SNCM 2010 V Def_PAO-CAF-RESOP_04_13_pro_format_variante T1_B14_E2_2210" xfId="2376" xr:uid="{00000000-0005-0000-0000-00003F090000}"/>
    <cellStyle name="s_Merger_Actualisation provision contrat déficitaire SNCM 2010 V Def_PAO-CAF-RESOP_04_13_pro_format_variante T1_B14_E2_2210_Bridge_Zone_Sud" xfId="2377" xr:uid="{00000000-0005-0000-0000-000040090000}"/>
    <cellStyle name="s_Merger_Actualisation provision contrat déficitaire SNCM 2010 V Def_PAO-CAF-RESOP_04_13_pro_format_variante T1_Bridge_Zone_Sud" xfId="2378" xr:uid="{00000000-0005-0000-0000-000041090000}"/>
    <cellStyle name="s_Merger_Actualisation provision contrat déficitaire SNCM 2010 V Def_PAO-CAF-RESOP_06_13" xfId="2379" xr:uid="{00000000-0005-0000-0000-000042090000}"/>
    <cellStyle name="s_Merger_Actualisation provision contrat déficitaire SNCM 2010 V Def_PAO-CAF-RESOP_06_13_B14_E2_2210" xfId="2380" xr:uid="{00000000-0005-0000-0000-000043090000}"/>
    <cellStyle name="s_Merger_Actualisation provision contrat déficitaire SNCM 2010 V Def_PAO-CAF-RESOP_06_13_B14_E2_2210_Bridge_Zone_Sud" xfId="2381" xr:uid="{00000000-0005-0000-0000-000044090000}"/>
    <cellStyle name="s_Merger_Actualisation provision contrat déficitaire SNCM 2010 V Def_PAO-CAF-RESOP_06_13_Bridge_Zone_Sud" xfId="2382" xr:uid="{00000000-0005-0000-0000-000045090000}"/>
    <cellStyle name="s_Merger_Actualisation provision contrat déficitaire SNCM 2010 V Def_PAO-CAF-RESOP_08_13" xfId="2383" xr:uid="{00000000-0005-0000-0000-000046090000}"/>
    <cellStyle name="s_Merger_Actualisation provision contrat déficitaire SNCM 2010 V Def_PAO-CAF-RESOP_08_13_B14_E2_2210" xfId="2384" xr:uid="{00000000-0005-0000-0000-000047090000}"/>
    <cellStyle name="s_Merger_Actualisation provision contrat déficitaire SNCM 2010 V Def_PAO-CAF-RESOP_08_13_B14_E2_2210_Bridge_Zone_Sud" xfId="2385" xr:uid="{00000000-0005-0000-0000-000048090000}"/>
    <cellStyle name="s_Merger_Actualisation provision contrat déficitaire SNCM 2010 V Def_PAO-CAF-RESOP_08_13_Bridge_Zone_Sud" xfId="2386" xr:uid="{00000000-0005-0000-0000-000049090000}"/>
    <cellStyle name="s_Merger_Actualisation provision contrat déficitaire SNCM 2010 V Def_PAO-CAF-RESOP_09_13" xfId="2387" xr:uid="{00000000-0005-0000-0000-00004A090000}"/>
    <cellStyle name="s_Merger_Actualisation provision contrat déficitaire SNCM 2010 V Def_PAO-CAF-RESOP_09_13_Bridge_Zone_Sud" xfId="2388" xr:uid="{00000000-0005-0000-0000-00004B090000}"/>
    <cellStyle name="s_Merger_Actualisation provision contrat déficitaire SNCM 2010 V Def_PAO-CAF-RESOP_09_2013_Zone_IDF (version 2)" xfId="2389" xr:uid="{00000000-0005-0000-0000-00004C090000}"/>
    <cellStyle name="s_Merger_Actualisation provision contrat déficitaire SNCM 2010 V Def_PAO-CAF-RESOP_10_12" xfId="2390" xr:uid="{00000000-0005-0000-0000-00004D090000}"/>
    <cellStyle name="s_Merger_Actualisation provision contrat déficitaire SNCM 2010 V Def_PAO-CAF-RESOP_10_12_Bridge_Zone_Sud" xfId="2391" xr:uid="{00000000-0005-0000-0000-00004E090000}"/>
    <cellStyle name="s_Merger_Actualisation provision contrat déficitaire SNCM 2010 V Def_PAO-CAF-RESOP_10_12_focus par entités CAFOP" xfId="2392" xr:uid="{00000000-0005-0000-0000-00004F090000}"/>
    <cellStyle name="s_Merger_Actualisation provision contrat déficitaire SNCM 2010 V Def_PAO-CAF-RESOP_10_12_focus par entités CAFOP_Bridge_Zone_Sud" xfId="2393" xr:uid="{00000000-0005-0000-0000-000050090000}"/>
    <cellStyle name="s_Merger_Actualisation provision contrat déficitaire SNCM 2010 V Def_PAO-CAF-RESOP_11_13" xfId="2394" xr:uid="{00000000-0005-0000-0000-000051090000}"/>
    <cellStyle name="s_Merger_Actualisation provision contrat déficitaire SNCM 2010 V Def_PAO-CAF-RESOP_B13" xfId="2395" xr:uid="{00000000-0005-0000-0000-000052090000}"/>
    <cellStyle name="s_Merger_Actualisation provision contrat déficitaire SNCM 2010 V Def_PAO-CAF-RESOP_B13_Bridge_Zone_Sud" xfId="2396" xr:uid="{00000000-0005-0000-0000-000053090000}"/>
    <cellStyle name="s_Merger_Actualisation provision contrat déficitaire SNCM 2010 V Def_PAO-CAF-RESOP_B13_focus par entités CAFOP" xfId="2397" xr:uid="{00000000-0005-0000-0000-000054090000}"/>
    <cellStyle name="s_Merger_Actualisation provision contrat déficitaire SNCM 2010 V Def_PAO-CAF-RESOP_B13_focus par entités CAFOP_Bridge_Zone_Sud" xfId="2398" xr:uid="{00000000-0005-0000-0000-000055090000}"/>
    <cellStyle name="s_Merger_Actualisation provision contrat déficitaire SNCM 2010 V Def_PAO-CAF-RESOP_B2014" xfId="2399" xr:uid="{00000000-0005-0000-0000-000056090000}"/>
    <cellStyle name="s_Merger_Actualisation provision contrat déficitaire SNCM 2010 V Def_PAO-CAF-RESOP_B2014_Bridge_Zone_Sud" xfId="2400" xr:uid="{00000000-0005-0000-0000-000057090000}"/>
    <cellStyle name="s_Merger_Actualisation provision contrat déficitaire SNCM 2010 V Def_PAO-CAF-RESOP_B2014_v2" xfId="2401" xr:uid="{00000000-0005-0000-0000-000058090000}"/>
    <cellStyle name="s_Merger_Actualisation provision contrat déficitaire SNCM 2010 V Def_PAO-CAF-RESOP_E2_13" xfId="2402" xr:uid="{00000000-0005-0000-0000-000059090000}"/>
    <cellStyle name="s_Merger_Actualisation provision contrat déficitaire SNCM 2010 V Def_PAO-CAF-RESOP_E2_13_B14_E2_2210" xfId="2403" xr:uid="{00000000-0005-0000-0000-00005A090000}"/>
    <cellStyle name="s_Merger_Actualisation provision contrat déficitaire SNCM 2010 V Def_PAO-CAF-RESOP_E2_13_B14_E2_2210_Bridge_Zone_Sud" xfId="2404" xr:uid="{00000000-0005-0000-0000-00005B090000}"/>
    <cellStyle name="s_Merger_Actualisation provision contrat déficitaire SNCM 2010 V Def_PAO-CAF-RESOP_E2_13_Bridge_Zone_Sud" xfId="2405" xr:uid="{00000000-0005-0000-0000-00005C090000}"/>
    <cellStyle name="s_Merger_Actualisation provision contrat déficitaire SNCM 2010 V Def_PAO-CAF-RESOP_E2_2013_03_10_19H" xfId="2406" xr:uid="{00000000-0005-0000-0000-00005D090000}"/>
    <cellStyle name="s_Merger_Actualisation provision contrat déficitaire SNCM 2010 V Def_PAO-CAF-RESOP_E2_2013_03_10_19H_Bridge_Zone_Sud" xfId="2407" xr:uid="{00000000-0005-0000-0000-00005E090000}"/>
    <cellStyle name="s_Merger_Actualisation provision contrat déficitaire SNCM 2010 V Def_PPA" xfId="2408" xr:uid="{00000000-0005-0000-0000-00005F090000}"/>
    <cellStyle name="s_Merger_Actualisation provision contrat déficitaire SNCM 2010 V Def_RESOP bef CICE&amp;PPA&amp;RepartHO" xfId="2409" xr:uid="{00000000-0005-0000-0000-000060090000}"/>
    <cellStyle name="s_Merger_Actualisation provision contrat déficitaire SNCM 2010 V Def_Synthèse_Présentation_conso_retraitée" xfId="2410" xr:uid="{00000000-0005-0000-0000-000061090000}"/>
    <cellStyle name="s_Merger_Actualisation provision contrat déficitaire SNCM 2011 V3 30 05 2011" xfId="688" xr:uid="{00000000-0005-0000-0000-000062090000}"/>
    <cellStyle name="s_Merger_Actualisation provision contrat déficitaire SNCM 2011 V3 30 05 2011_B14_E2_2210" xfId="2411" xr:uid="{00000000-0005-0000-0000-000063090000}"/>
    <cellStyle name="s_Merger_Actualisation provision contrat déficitaire SNCM 2011 V3 30 05 2011_B14_E2_2210_Bridge_Zone_Sud" xfId="2412" xr:uid="{00000000-0005-0000-0000-000064090000}"/>
    <cellStyle name="s_Merger_Actualisation provision contrat déficitaire SNCM 2011 V3 30 05 2011_Bridge_Zone_Sud" xfId="2413" xr:uid="{00000000-0005-0000-0000-000065090000}"/>
    <cellStyle name="s_Merger_Actualisation provision contrat déficitaire SNCM 2011 V3 30 05 2011_CAPEM BY COUNTRY" xfId="2414" xr:uid="{00000000-0005-0000-0000-000066090000}"/>
    <cellStyle name="s_Merger_Actualisation provision contrat déficitaire SNCM 2011 V3 30 05 2011_focus par entités CAFOPE2AMF" xfId="2415" xr:uid="{00000000-0005-0000-0000-000067090000}"/>
    <cellStyle name="s_Merger_Actualisation provision contrat déficitaire SNCM 2011 V3 30 05 2011_focus par entités CAFOPE2AMF_Bridge_Zone_Sud" xfId="2416" xr:uid="{00000000-0005-0000-0000-000068090000}"/>
    <cellStyle name="s_Merger_Actualisation provision contrat déficitaire SNCM 2011 V3 30 05 2011_Maquette PLT" xfId="2417" xr:uid="{00000000-0005-0000-0000-000069090000}"/>
    <cellStyle name="s_Merger_Actualisation provision contrat déficitaire SNCM 2011 V3 30 05 2011_Output" xfId="3426" xr:uid="{00000000-0005-0000-0000-00006A090000}"/>
    <cellStyle name="s_Merger_Actualisation provision contrat déficitaire SNCM 2011 V3 30 05 2011_PAO-CAF-RESOP_04_13_pro_format_variante T1" xfId="2418" xr:uid="{00000000-0005-0000-0000-00006B090000}"/>
    <cellStyle name="s_Merger_Actualisation provision contrat déficitaire SNCM 2011 V3 30 05 2011_PAO-CAF-RESOP_04_13_pro_format_variante T1_B14_E2_2210" xfId="2419" xr:uid="{00000000-0005-0000-0000-00006C090000}"/>
    <cellStyle name="s_Merger_Actualisation provision contrat déficitaire SNCM 2011 V3 30 05 2011_PAO-CAF-RESOP_04_13_pro_format_variante T1_B14_E2_2210_Bridge_Zone_Sud" xfId="2420" xr:uid="{00000000-0005-0000-0000-00006D090000}"/>
    <cellStyle name="s_Merger_Actualisation provision contrat déficitaire SNCM 2011 V3 30 05 2011_PAO-CAF-RESOP_04_13_pro_format_variante T1_Bridge_Zone_Sud" xfId="2421" xr:uid="{00000000-0005-0000-0000-00006E090000}"/>
    <cellStyle name="s_Merger_Actualisation provision contrat déficitaire SNCM 2011 V3 30 05 2011_PAO-CAF-RESOP_06_13" xfId="2422" xr:uid="{00000000-0005-0000-0000-00006F090000}"/>
    <cellStyle name="s_Merger_Actualisation provision contrat déficitaire SNCM 2011 V3 30 05 2011_PAO-CAF-RESOP_06_13_B14_E2_2210" xfId="2423" xr:uid="{00000000-0005-0000-0000-000070090000}"/>
    <cellStyle name="s_Merger_Actualisation provision contrat déficitaire SNCM 2011 V3 30 05 2011_PAO-CAF-RESOP_06_13_B14_E2_2210_Bridge_Zone_Sud" xfId="2424" xr:uid="{00000000-0005-0000-0000-000071090000}"/>
    <cellStyle name="s_Merger_Actualisation provision contrat déficitaire SNCM 2011 V3 30 05 2011_PAO-CAF-RESOP_06_13_Bridge_Zone_Sud" xfId="2425" xr:uid="{00000000-0005-0000-0000-000072090000}"/>
    <cellStyle name="s_Merger_Actualisation provision contrat déficitaire SNCM 2011 V3 30 05 2011_PAO-CAF-RESOP_08_13" xfId="2426" xr:uid="{00000000-0005-0000-0000-000073090000}"/>
    <cellStyle name="s_Merger_Actualisation provision contrat déficitaire SNCM 2011 V3 30 05 2011_PAO-CAF-RESOP_08_13_B14_E2_2210" xfId="2427" xr:uid="{00000000-0005-0000-0000-000074090000}"/>
    <cellStyle name="s_Merger_Actualisation provision contrat déficitaire SNCM 2011 V3 30 05 2011_PAO-CAF-RESOP_08_13_B14_E2_2210_Bridge_Zone_Sud" xfId="2428" xr:uid="{00000000-0005-0000-0000-000075090000}"/>
    <cellStyle name="s_Merger_Actualisation provision contrat déficitaire SNCM 2011 V3 30 05 2011_PAO-CAF-RESOP_08_13_Bridge_Zone_Sud" xfId="2429" xr:uid="{00000000-0005-0000-0000-000076090000}"/>
    <cellStyle name="s_Merger_Actualisation provision contrat déficitaire SNCM 2011 V3 30 05 2011_PAO-CAF-RESOP_09_13" xfId="2430" xr:uid="{00000000-0005-0000-0000-000077090000}"/>
    <cellStyle name="s_Merger_Actualisation provision contrat déficitaire SNCM 2011 V3 30 05 2011_PAO-CAF-RESOP_09_13_Bridge_Zone_Sud" xfId="2431" xr:uid="{00000000-0005-0000-0000-000078090000}"/>
    <cellStyle name="s_Merger_Actualisation provision contrat déficitaire SNCM 2011 V3 30 05 2011_PAO-CAF-RESOP_09_2013_Zone_IDF (version 2)" xfId="2432" xr:uid="{00000000-0005-0000-0000-000079090000}"/>
    <cellStyle name="s_Merger_Actualisation provision contrat déficitaire SNCM 2011 V3 30 05 2011_PAO-CAF-RESOP_10_12" xfId="2433" xr:uid="{00000000-0005-0000-0000-00007A090000}"/>
    <cellStyle name="s_Merger_Actualisation provision contrat déficitaire SNCM 2011 V3 30 05 2011_PAO-CAF-RESOP_10_12_Bridge_Zone_Sud" xfId="2434" xr:uid="{00000000-0005-0000-0000-00007B090000}"/>
    <cellStyle name="s_Merger_Actualisation provision contrat déficitaire SNCM 2011 V3 30 05 2011_PAO-CAF-RESOP_10_12_focus par entités CAFOP" xfId="2435" xr:uid="{00000000-0005-0000-0000-00007C090000}"/>
    <cellStyle name="s_Merger_Actualisation provision contrat déficitaire SNCM 2011 V3 30 05 2011_PAO-CAF-RESOP_10_12_focus par entités CAFOP_Bridge_Zone_Sud" xfId="2436" xr:uid="{00000000-0005-0000-0000-00007D090000}"/>
    <cellStyle name="s_Merger_Actualisation provision contrat déficitaire SNCM 2011 V3 30 05 2011_PAO-CAF-RESOP_11_13" xfId="2437" xr:uid="{00000000-0005-0000-0000-00007E090000}"/>
    <cellStyle name="s_Merger_Actualisation provision contrat déficitaire SNCM 2011 V3 30 05 2011_PAO-CAF-RESOP_B13" xfId="2438" xr:uid="{00000000-0005-0000-0000-00007F090000}"/>
    <cellStyle name="s_Merger_Actualisation provision contrat déficitaire SNCM 2011 V3 30 05 2011_PAO-CAF-RESOP_B13_Bridge_Zone_Sud" xfId="2439" xr:uid="{00000000-0005-0000-0000-000080090000}"/>
    <cellStyle name="s_Merger_Actualisation provision contrat déficitaire SNCM 2011 V3 30 05 2011_PAO-CAF-RESOP_B13_focus par entités CAFOP" xfId="2440" xr:uid="{00000000-0005-0000-0000-000081090000}"/>
    <cellStyle name="s_Merger_Actualisation provision contrat déficitaire SNCM 2011 V3 30 05 2011_PAO-CAF-RESOP_B13_focus par entités CAFOP_Bridge_Zone_Sud" xfId="2441" xr:uid="{00000000-0005-0000-0000-000082090000}"/>
    <cellStyle name="s_Merger_Actualisation provision contrat déficitaire SNCM 2011 V3 30 05 2011_PAO-CAF-RESOP_B2014" xfId="2442" xr:uid="{00000000-0005-0000-0000-000083090000}"/>
    <cellStyle name="s_Merger_Actualisation provision contrat déficitaire SNCM 2011 V3 30 05 2011_PAO-CAF-RESOP_B2014_Bridge_Zone_Sud" xfId="2443" xr:uid="{00000000-0005-0000-0000-000084090000}"/>
    <cellStyle name="s_Merger_Actualisation provision contrat déficitaire SNCM 2011 V3 30 05 2011_PAO-CAF-RESOP_B2014_v2" xfId="2444" xr:uid="{00000000-0005-0000-0000-000085090000}"/>
    <cellStyle name="s_Merger_Actualisation provision contrat déficitaire SNCM 2011 V3 30 05 2011_PAO-CAF-RESOP_E2_13" xfId="2445" xr:uid="{00000000-0005-0000-0000-000086090000}"/>
    <cellStyle name="s_Merger_Actualisation provision contrat déficitaire SNCM 2011 V3 30 05 2011_PAO-CAF-RESOP_E2_13_B14_E2_2210" xfId="2446" xr:uid="{00000000-0005-0000-0000-000087090000}"/>
    <cellStyle name="s_Merger_Actualisation provision contrat déficitaire SNCM 2011 V3 30 05 2011_PAO-CAF-RESOP_E2_13_B14_E2_2210_Bridge_Zone_Sud" xfId="2447" xr:uid="{00000000-0005-0000-0000-000088090000}"/>
    <cellStyle name="s_Merger_Actualisation provision contrat déficitaire SNCM 2011 V3 30 05 2011_PAO-CAF-RESOP_E2_13_Bridge_Zone_Sud" xfId="2448" xr:uid="{00000000-0005-0000-0000-000089090000}"/>
    <cellStyle name="s_Merger_Actualisation provision contrat déficitaire SNCM 2011 V3 30 05 2011_PAO-CAF-RESOP_E2_2013_03_10_19H" xfId="2449" xr:uid="{00000000-0005-0000-0000-00008A090000}"/>
    <cellStyle name="s_Merger_Actualisation provision contrat déficitaire SNCM 2011 V3 30 05 2011_PAO-CAF-RESOP_E2_2013_03_10_19H_Bridge_Zone_Sud" xfId="2450" xr:uid="{00000000-0005-0000-0000-00008B090000}"/>
    <cellStyle name="s_Merger_Actualisation provision contrat déficitaire SNCM 2011 V3 30 05 2011_PPA" xfId="2451" xr:uid="{00000000-0005-0000-0000-00008C090000}"/>
    <cellStyle name="s_Merger_Actualisation provision contrat déficitaire SNCM 2011 V3 30 05 2011_RESOP bef CICE&amp;PPA&amp;RepartHO" xfId="2452" xr:uid="{00000000-0005-0000-0000-00008D090000}"/>
    <cellStyle name="s_Merger_Actualisation provision contrat déficitaire SNCM 2011 V3 30 05 2011_Synthèse_Présentation_conso_retraitée" xfId="2453" xr:uid="{00000000-0005-0000-0000-00008E090000}"/>
    <cellStyle name="s_Merger_B14_E2_2210" xfId="2454" xr:uid="{00000000-0005-0000-0000-00008F090000}"/>
    <cellStyle name="s_Merger_B14_E2_2210_Bridge_Zone_Sud" xfId="2455" xr:uid="{00000000-0005-0000-0000-000090090000}"/>
    <cellStyle name="s_Merger_BFR_TD_2014.02" xfId="2456" xr:uid="{00000000-0005-0000-0000-000091090000}"/>
    <cellStyle name="s_Merger_Bridge_Zone_Nord" xfId="2457" xr:uid="{00000000-0005-0000-0000-000092090000}"/>
    <cellStyle name="s_Merger_CAPEM BY COUNTRY" xfId="2458" xr:uid="{00000000-0005-0000-0000-000093090000}"/>
    <cellStyle name="s_Merger_LI819L_B13" xfId="689" xr:uid="{00000000-0005-0000-0000-000094090000}"/>
    <cellStyle name="s_Merger_LI819L_B13_CAPEM BY COUNTRY" xfId="2459" xr:uid="{00000000-0005-0000-0000-000095090000}"/>
    <cellStyle name="s_Merger_LI819L_B13_Maquette PLT" xfId="2460" xr:uid="{00000000-0005-0000-0000-000096090000}"/>
    <cellStyle name="s_Merger_LI819L_B13_Output" xfId="3427" xr:uid="{00000000-0005-0000-0000-000097090000}"/>
    <cellStyle name="s_Merger_LI819L_B13_PPA" xfId="2461" xr:uid="{00000000-0005-0000-0000-000098090000}"/>
    <cellStyle name="s_Merger_LI819L_B13_RESOP bef CICE&amp;PPA&amp;RepartHO" xfId="2462" xr:uid="{00000000-0005-0000-0000-000099090000}"/>
    <cellStyle name="s_Merger_Maquette PLT" xfId="2463" xr:uid="{00000000-0005-0000-0000-00009A090000}"/>
    <cellStyle name="s_Merger_Output" xfId="3428" xr:uid="{00000000-0005-0000-0000-00009B090000}"/>
    <cellStyle name="s_Merger_PAO-CAF-RESOP_14_01_13 à 20h" xfId="690" xr:uid="{00000000-0005-0000-0000-00009C090000}"/>
    <cellStyle name="s_Merger_PAO-CAF-RESOP_14_01_13 à 20h_CAPEM BY COUNTRY" xfId="2464" xr:uid="{00000000-0005-0000-0000-00009D090000}"/>
    <cellStyle name="s_Merger_PAO-CAF-RESOP_14_01_13 à 20h_Maquette PLT" xfId="2465" xr:uid="{00000000-0005-0000-0000-00009E090000}"/>
    <cellStyle name="s_Merger_PAO-CAF-RESOP_14_01_13 à 20h_Output" xfId="3429" xr:uid="{00000000-0005-0000-0000-00009F090000}"/>
    <cellStyle name="s_Merger_PAO-CAF-RESOP_14_01_13 à 20h_PPA" xfId="2466" xr:uid="{00000000-0005-0000-0000-0000A0090000}"/>
    <cellStyle name="s_Merger_PAO-CAF-RESOP_14_01_13 à 20h_RESOP bef CICE&amp;PPA&amp;RepartHO" xfId="2467" xr:uid="{00000000-0005-0000-0000-0000A1090000}"/>
    <cellStyle name="s_Merger_PAO-CAF-RESOP_2014.02" xfId="2468" xr:uid="{00000000-0005-0000-0000-0000A2090000}"/>
    <cellStyle name="s_Merger_PAO-CAF-RESOP_2014.02_Bridge_Zone_Sud" xfId="2469" xr:uid="{00000000-0005-0000-0000-0000A3090000}"/>
    <cellStyle name="s_Merger_PPA" xfId="2470" xr:uid="{00000000-0005-0000-0000-0000A4090000}"/>
    <cellStyle name="s_Merger_RESOP bef CICE&amp;PPA&amp;RepartHO" xfId="2471" xr:uid="{00000000-0005-0000-0000-0000A5090000}"/>
    <cellStyle name="s_model2" xfId="691" xr:uid="{00000000-0005-0000-0000-0000A6090000}"/>
    <cellStyle name="s_model2_Actualisation provision contrat déficitaire SNCM 2010 V Def" xfId="692" xr:uid="{00000000-0005-0000-0000-0000A7090000}"/>
    <cellStyle name="s_model2_Actualisation provision contrat déficitaire SNCM 2010 V Def_B14_E2_2210" xfId="2472" xr:uid="{00000000-0005-0000-0000-0000A8090000}"/>
    <cellStyle name="s_model2_Actualisation provision contrat déficitaire SNCM 2010 V Def_B14_E2_2210_Bridge_Zone_Sud" xfId="2473" xr:uid="{00000000-0005-0000-0000-0000A9090000}"/>
    <cellStyle name="s_model2_Actualisation provision contrat déficitaire SNCM 2010 V Def_Bridge_Zone_Sud" xfId="2474" xr:uid="{00000000-0005-0000-0000-0000AA090000}"/>
    <cellStyle name="s_model2_Actualisation provision contrat déficitaire SNCM 2010 V Def_CAPEM BY COUNTRY" xfId="2475" xr:uid="{00000000-0005-0000-0000-0000AB090000}"/>
    <cellStyle name="s_model2_Actualisation provision contrat déficitaire SNCM 2010 V Def_focus par entités CAFOPE2AMF" xfId="2476" xr:uid="{00000000-0005-0000-0000-0000AC090000}"/>
    <cellStyle name="s_model2_Actualisation provision contrat déficitaire SNCM 2010 V Def_focus par entités CAFOPE2AMF_Bridge_Zone_Sud" xfId="2477" xr:uid="{00000000-0005-0000-0000-0000AD090000}"/>
    <cellStyle name="s_model2_Actualisation provision contrat déficitaire SNCM 2010 V Def_Maquette PLT" xfId="2478" xr:uid="{00000000-0005-0000-0000-0000AE090000}"/>
    <cellStyle name="s_model2_Actualisation provision contrat déficitaire SNCM 2010 V Def_Output" xfId="3430" xr:uid="{00000000-0005-0000-0000-0000AF090000}"/>
    <cellStyle name="s_model2_Actualisation provision contrat déficitaire SNCM 2010 V Def_PAO-CAF-RESOP_04_13_pro_format_variante T1" xfId="2479" xr:uid="{00000000-0005-0000-0000-0000B0090000}"/>
    <cellStyle name="s_model2_Actualisation provision contrat déficitaire SNCM 2010 V Def_PAO-CAF-RESOP_04_13_pro_format_variante T1_B14_E2_2210" xfId="2480" xr:uid="{00000000-0005-0000-0000-0000B1090000}"/>
    <cellStyle name="s_model2_Actualisation provision contrat déficitaire SNCM 2010 V Def_PAO-CAF-RESOP_04_13_pro_format_variante T1_B14_E2_2210_Bridge_Zone_Sud" xfId="2481" xr:uid="{00000000-0005-0000-0000-0000B2090000}"/>
    <cellStyle name="s_model2_Actualisation provision contrat déficitaire SNCM 2010 V Def_PAO-CAF-RESOP_04_13_pro_format_variante T1_Bridge_Zone_Sud" xfId="2482" xr:uid="{00000000-0005-0000-0000-0000B3090000}"/>
    <cellStyle name="s_model2_Actualisation provision contrat déficitaire SNCM 2010 V Def_PAO-CAF-RESOP_06_13" xfId="2483" xr:uid="{00000000-0005-0000-0000-0000B4090000}"/>
    <cellStyle name="s_model2_Actualisation provision contrat déficitaire SNCM 2010 V Def_PAO-CAF-RESOP_06_13_B14_E2_2210" xfId="2484" xr:uid="{00000000-0005-0000-0000-0000B5090000}"/>
    <cellStyle name="s_model2_Actualisation provision contrat déficitaire SNCM 2010 V Def_PAO-CAF-RESOP_06_13_B14_E2_2210_Bridge_Zone_Sud" xfId="2485" xr:uid="{00000000-0005-0000-0000-0000B6090000}"/>
    <cellStyle name="s_model2_Actualisation provision contrat déficitaire SNCM 2010 V Def_PAO-CAF-RESOP_06_13_Bridge_Zone_Sud" xfId="2486" xr:uid="{00000000-0005-0000-0000-0000B7090000}"/>
    <cellStyle name="s_model2_Actualisation provision contrat déficitaire SNCM 2010 V Def_PAO-CAF-RESOP_08_13" xfId="2487" xr:uid="{00000000-0005-0000-0000-0000B8090000}"/>
    <cellStyle name="s_model2_Actualisation provision contrat déficitaire SNCM 2010 V Def_PAO-CAF-RESOP_08_13_B14_E2_2210" xfId="2488" xr:uid="{00000000-0005-0000-0000-0000B9090000}"/>
    <cellStyle name="s_model2_Actualisation provision contrat déficitaire SNCM 2010 V Def_PAO-CAF-RESOP_08_13_B14_E2_2210_Bridge_Zone_Sud" xfId="2489" xr:uid="{00000000-0005-0000-0000-0000BA090000}"/>
    <cellStyle name="s_model2_Actualisation provision contrat déficitaire SNCM 2010 V Def_PAO-CAF-RESOP_08_13_Bridge_Zone_Sud" xfId="2490" xr:uid="{00000000-0005-0000-0000-0000BB090000}"/>
    <cellStyle name="s_model2_Actualisation provision contrat déficitaire SNCM 2010 V Def_PAO-CAF-RESOP_09_13" xfId="2491" xr:uid="{00000000-0005-0000-0000-0000BC090000}"/>
    <cellStyle name="s_model2_Actualisation provision contrat déficitaire SNCM 2010 V Def_PAO-CAF-RESOP_09_13_Bridge_Zone_Sud" xfId="2492" xr:uid="{00000000-0005-0000-0000-0000BD090000}"/>
    <cellStyle name="s_model2_Actualisation provision contrat déficitaire SNCM 2010 V Def_PAO-CAF-RESOP_09_2013_Zone_IDF (version 2)" xfId="2493" xr:uid="{00000000-0005-0000-0000-0000BE090000}"/>
    <cellStyle name="s_model2_Actualisation provision contrat déficitaire SNCM 2010 V Def_PAO-CAF-RESOP_10_12" xfId="2494" xr:uid="{00000000-0005-0000-0000-0000BF090000}"/>
    <cellStyle name="s_model2_Actualisation provision contrat déficitaire SNCM 2010 V Def_PAO-CAF-RESOP_10_12_Bridge_Zone_Sud" xfId="2495" xr:uid="{00000000-0005-0000-0000-0000C0090000}"/>
    <cellStyle name="s_model2_Actualisation provision contrat déficitaire SNCM 2010 V Def_PAO-CAF-RESOP_10_12_focus par entités CAFOP" xfId="2496" xr:uid="{00000000-0005-0000-0000-0000C1090000}"/>
    <cellStyle name="s_model2_Actualisation provision contrat déficitaire SNCM 2010 V Def_PAO-CAF-RESOP_10_12_focus par entités CAFOP_Bridge_Zone_Sud" xfId="2497" xr:uid="{00000000-0005-0000-0000-0000C2090000}"/>
    <cellStyle name="s_model2_Actualisation provision contrat déficitaire SNCM 2010 V Def_PAO-CAF-RESOP_11_13" xfId="2498" xr:uid="{00000000-0005-0000-0000-0000C3090000}"/>
    <cellStyle name="s_model2_Actualisation provision contrat déficitaire SNCM 2010 V Def_PAO-CAF-RESOP_B13" xfId="2499" xr:uid="{00000000-0005-0000-0000-0000C4090000}"/>
    <cellStyle name="s_model2_Actualisation provision contrat déficitaire SNCM 2010 V Def_PAO-CAF-RESOP_B13_Bridge_Zone_Sud" xfId="2500" xr:uid="{00000000-0005-0000-0000-0000C5090000}"/>
    <cellStyle name="s_model2_Actualisation provision contrat déficitaire SNCM 2010 V Def_PAO-CAF-RESOP_B13_focus par entités CAFOP" xfId="2501" xr:uid="{00000000-0005-0000-0000-0000C6090000}"/>
    <cellStyle name="s_model2_Actualisation provision contrat déficitaire SNCM 2010 V Def_PAO-CAF-RESOP_B13_focus par entités CAFOP_Bridge_Zone_Sud" xfId="2502" xr:uid="{00000000-0005-0000-0000-0000C7090000}"/>
    <cellStyle name="s_model2_Actualisation provision contrat déficitaire SNCM 2010 V Def_PAO-CAF-RESOP_B2014" xfId="2503" xr:uid="{00000000-0005-0000-0000-0000C8090000}"/>
    <cellStyle name="s_model2_Actualisation provision contrat déficitaire SNCM 2010 V Def_PAO-CAF-RESOP_B2014_Bridge_Zone_Sud" xfId="2504" xr:uid="{00000000-0005-0000-0000-0000C9090000}"/>
    <cellStyle name="s_model2_Actualisation provision contrat déficitaire SNCM 2010 V Def_PAO-CAF-RESOP_B2014_v2" xfId="2505" xr:uid="{00000000-0005-0000-0000-0000CA090000}"/>
    <cellStyle name="s_model2_Actualisation provision contrat déficitaire SNCM 2010 V Def_PAO-CAF-RESOP_E2_13" xfId="2506" xr:uid="{00000000-0005-0000-0000-0000CB090000}"/>
    <cellStyle name="s_model2_Actualisation provision contrat déficitaire SNCM 2010 V Def_PAO-CAF-RESOP_E2_13_B14_E2_2210" xfId="2507" xr:uid="{00000000-0005-0000-0000-0000CC090000}"/>
    <cellStyle name="s_model2_Actualisation provision contrat déficitaire SNCM 2010 V Def_PAO-CAF-RESOP_E2_13_B14_E2_2210_Bridge_Zone_Sud" xfId="2508" xr:uid="{00000000-0005-0000-0000-0000CD090000}"/>
    <cellStyle name="s_model2_Actualisation provision contrat déficitaire SNCM 2010 V Def_PAO-CAF-RESOP_E2_13_Bridge_Zone_Sud" xfId="2509" xr:uid="{00000000-0005-0000-0000-0000CE090000}"/>
    <cellStyle name="s_model2_Actualisation provision contrat déficitaire SNCM 2010 V Def_PAO-CAF-RESOP_E2_2013_03_10_19H" xfId="2510" xr:uid="{00000000-0005-0000-0000-0000CF090000}"/>
    <cellStyle name="s_model2_Actualisation provision contrat déficitaire SNCM 2010 V Def_PAO-CAF-RESOP_E2_2013_03_10_19H_Bridge_Zone_Sud" xfId="2511" xr:uid="{00000000-0005-0000-0000-0000D0090000}"/>
    <cellStyle name="s_model2_Actualisation provision contrat déficitaire SNCM 2010 V Def_PPA" xfId="2512" xr:uid="{00000000-0005-0000-0000-0000D1090000}"/>
    <cellStyle name="s_model2_Actualisation provision contrat déficitaire SNCM 2010 V Def_RESOP bef CICE&amp;PPA&amp;RepartHO" xfId="2513" xr:uid="{00000000-0005-0000-0000-0000D2090000}"/>
    <cellStyle name="s_model2_Actualisation provision contrat déficitaire SNCM 2010 V Def_Synthèse_Présentation_conso_retraitée" xfId="2514" xr:uid="{00000000-0005-0000-0000-0000D3090000}"/>
    <cellStyle name="s_model2_Actualisation provision contrat déficitaire SNCM 2011 V3 30 05 2011" xfId="693" xr:uid="{00000000-0005-0000-0000-0000D4090000}"/>
    <cellStyle name="s_model2_Actualisation provision contrat déficitaire SNCM 2011 V3 30 05 2011_B14_E2_2210" xfId="2515" xr:uid="{00000000-0005-0000-0000-0000D5090000}"/>
    <cellStyle name="s_model2_Actualisation provision contrat déficitaire SNCM 2011 V3 30 05 2011_B14_E2_2210_Bridge_Zone_Sud" xfId="2516" xr:uid="{00000000-0005-0000-0000-0000D6090000}"/>
    <cellStyle name="s_model2_Actualisation provision contrat déficitaire SNCM 2011 V3 30 05 2011_Bridge_Zone_Sud" xfId="2517" xr:uid="{00000000-0005-0000-0000-0000D7090000}"/>
    <cellStyle name="s_model2_Actualisation provision contrat déficitaire SNCM 2011 V3 30 05 2011_CAPEM BY COUNTRY" xfId="2518" xr:uid="{00000000-0005-0000-0000-0000D8090000}"/>
    <cellStyle name="s_model2_Actualisation provision contrat déficitaire SNCM 2011 V3 30 05 2011_focus par entités CAFOPE2AMF" xfId="2519" xr:uid="{00000000-0005-0000-0000-0000D9090000}"/>
    <cellStyle name="s_model2_Actualisation provision contrat déficitaire SNCM 2011 V3 30 05 2011_focus par entités CAFOPE2AMF_Bridge_Zone_Sud" xfId="2520" xr:uid="{00000000-0005-0000-0000-0000DA090000}"/>
    <cellStyle name="s_model2_Actualisation provision contrat déficitaire SNCM 2011 V3 30 05 2011_Maquette PLT" xfId="2521" xr:uid="{00000000-0005-0000-0000-0000DB090000}"/>
    <cellStyle name="s_model2_Actualisation provision contrat déficitaire SNCM 2011 V3 30 05 2011_Output" xfId="3431" xr:uid="{00000000-0005-0000-0000-0000DC090000}"/>
    <cellStyle name="s_model2_Actualisation provision contrat déficitaire SNCM 2011 V3 30 05 2011_PAO-CAF-RESOP_04_13_pro_format_variante T1" xfId="2522" xr:uid="{00000000-0005-0000-0000-0000DD090000}"/>
    <cellStyle name="s_model2_Actualisation provision contrat déficitaire SNCM 2011 V3 30 05 2011_PAO-CAF-RESOP_04_13_pro_format_variante T1_B14_E2_2210" xfId="2523" xr:uid="{00000000-0005-0000-0000-0000DE090000}"/>
    <cellStyle name="s_model2_Actualisation provision contrat déficitaire SNCM 2011 V3 30 05 2011_PAO-CAF-RESOP_04_13_pro_format_variante T1_B14_E2_2210_Bridge_Zone_Sud" xfId="2524" xr:uid="{00000000-0005-0000-0000-0000DF090000}"/>
    <cellStyle name="s_model2_Actualisation provision contrat déficitaire SNCM 2011 V3 30 05 2011_PAO-CAF-RESOP_04_13_pro_format_variante T1_Bridge_Zone_Sud" xfId="2525" xr:uid="{00000000-0005-0000-0000-0000E0090000}"/>
    <cellStyle name="s_model2_Actualisation provision contrat déficitaire SNCM 2011 V3 30 05 2011_PAO-CAF-RESOP_06_13" xfId="2526" xr:uid="{00000000-0005-0000-0000-0000E1090000}"/>
    <cellStyle name="s_model2_Actualisation provision contrat déficitaire SNCM 2011 V3 30 05 2011_PAO-CAF-RESOP_06_13_B14_E2_2210" xfId="2527" xr:uid="{00000000-0005-0000-0000-0000E2090000}"/>
    <cellStyle name="s_model2_Actualisation provision contrat déficitaire SNCM 2011 V3 30 05 2011_PAO-CAF-RESOP_06_13_B14_E2_2210_Bridge_Zone_Sud" xfId="2528" xr:uid="{00000000-0005-0000-0000-0000E3090000}"/>
    <cellStyle name="s_model2_Actualisation provision contrat déficitaire SNCM 2011 V3 30 05 2011_PAO-CAF-RESOP_06_13_Bridge_Zone_Sud" xfId="2529" xr:uid="{00000000-0005-0000-0000-0000E4090000}"/>
    <cellStyle name="s_model2_Actualisation provision contrat déficitaire SNCM 2011 V3 30 05 2011_PAO-CAF-RESOP_08_13" xfId="2530" xr:uid="{00000000-0005-0000-0000-0000E5090000}"/>
    <cellStyle name="s_model2_Actualisation provision contrat déficitaire SNCM 2011 V3 30 05 2011_PAO-CAF-RESOP_08_13_B14_E2_2210" xfId="2531" xr:uid="{00000000-0005-0000-0000-0000E6090000}"/>
    <cellStyle name="s_model2_Actualisation provision contrat déficitaire SNCM 2011 V3 30 05 2011_PAO-CAF-RESOP_08_13_B14_E2_2210_Bridge_Zone_Sud" xfId="2532" xr:uid="{00000000-0005-0000-0000-0000E7090000}"/>
    <cellStyle name="s_model2_Actualisation provision contrat déficitaire SNCM 2011 V3 30 05 2011_PAO-CAF-RESOP_08_13_Bridge_Zone_Sud" xfId="2533" xr:uid="{00000000-0005-0000-0000-0000E8090000}"/>
    <cellStyle name="s_model2_Actualisation provision contrat déficitaire SNCM 2011 V3 30 05 2011_PAO-CAF-RESOP_09_13" xfId="2534" xr:uid="{00000000-0005-0000-0000-0000E9090000}"/>
    <cellStyle name="s_model2_Actualisation provision contrat déficitaire SNCM 2011 V3 30 05 2011_PAO-CAF-RESOP_09_13_Bridge_Zone_Sud" xfId="2535" xr:uid="{00000000-0005-0000-0000-0000EA090000}"/>
    <cellStyle name="s_model2_Actualisation provision contrat déficitaire SNCM 2011 V3 30 05 2011_PAO-CAF-RESOP_09_2013_Zone_IDF (version 2)" xfId="2536" xr:uid="{00000000-0005-0000-0000-0000EB090000}"/>
    <cellStyle name="s_model2_Actualisation provision contrat déficitaire SNCM 2011 V3 30 05 2011_PAO-CAF-RESOP_10_12" xfId="2537" xr:uid="{00000000-0005-0000-0000-0000EC090000}"/>
    <cellStyle name="s_model2_Actualisation provision contrat déficitaire SNCM 2011 V3 30 05 2011_PAO-CAF-RESOP_10_12_Bridge_Zone_Sud" xfId="2538" xr:uid="{00000000-0005-0000-0000-0000ED090000}"/>
    <cellStyle name="s_model2_Actualisation provision contrat déficitaire SNCM 2011 V3 30 05 2011_PAO-CAF-RESOP_10_12_focus par entités CAFOP" xfId="2539" xr:uid="{00000000-0005-0000-0000-0000EE090000}"/>
    <cellStyle name="s_model2_Actualisation provision contrat déficitaire SNCM 2011 V3 30 05 2011_PAO-CAF-RESOP_10_12_focus par entités CAFOP_Bridge_Zone_Sud" xfId="2540" xr:uid="{00000000-0005-0000-0000-0000EF090000}"/>
    <cellStyle name="s_model2_Actualisation provision contrat déficitaire SNCM 2011 V3 30 05 2011_PAO-CAF-RESOP_11_13" xfId="2541" xr:uid="{00000000-0005-0000-0000-0000F0090000}"/>
    <cellStyle name="s_model2_Actualisation provision contrat déficitaire SNCM 2011 V3 30 05 2011_PAO-CAF-RESOP_B13" xfId="2542" xr:uid="{00000000-0005-0000-0000-0000F1090000}"/>
    <cellStyle name="s_model2_Actualisation provision contrat déficitaire SNCM 2011 V3 30 05 2011_PAO-CAF-RESOP_B13_Bridge_Zone_Sud" xfId="2543" xr:uid="{00000000-0005-0000-0000-0000F2090000}"/>
    <cellStyle name="s_model2_Actualisation provision contrat déficitaire SNCM 2011 V3 30 05 2011_PAO-CAF-RESOP_B13_focus par entités CAFOP" xfId="2544" xr:uid="{00000000-0005-0000-0000-0000F3090000}"/>
    <cellStyle name="s_model2_Actualisation provision contrat déficitaire SNCM 2011 V3 30 05 2011_PAO-CAF-RESOP_B13_focus par entités CAFOP_Bridge_Zone_Sud" xfId="2545" xr:uid="{00000000-0005-0000-0000-0000F4090000}"/>
    <cellStyle name="s_model2_Actualisation provision contrat déficitaire SNCM 2011 V3 30 05 2011_PAO-CAF-RESOP_B2014" xfId="2546" xr:uid="{00000000-0005-0000-0000-0000F5090000}"/>
    <cellStyle name="s_model2_Actualisation provision contrat déficitaire SNCM 2011 V3 30 05 2011_PAO-CAF-RESOP_B2014_Bridge_Zone_Sud" xfId="2547" xr:uid="{00000000-0005-0000-0000-0000F6090000}"/>
    <cellStyle name="s_model2_Actualisation provision contrat déficitaire SNCM 2011 V3 30 05 2011_PAO-CAF-RESOP_B2014_v2" xfId="2548" xr:uid="{00000000-0005-0000-0000-0000F7090000}"/>
    <cellStyle name="s_model2_Actualisation provision contrat déficitaire SNCM 2011 V3 30 05 2011_PAO-CAF-RESOP_E2_13" xfId="2549" xr:uid="{00000000-0005-0000-0000-0000F8090000}"/>
    <cellStyle name="s_model2_Actualisation provision contrat déficitaire SNCM 2011 V3 30 05 2011_PAO-CAF-RESOP_E2_13_B14_E2_2210" xfId="2550" xr:uid="{00000000-0005-0000-0000-0000F9090000}"/>
    <cellStyle name="s_model2_Actualisation provision contrat déficitaire SNCM 2011 V3 30 05 2011_PAO-CAF-RESOP_E2_13_B14_E2_2210_Bridge_Zone_Sud" xfId="2551" xr:uid="{00000000-0005-0000-0000-0000FA090000}"/>
    <cellStyle name="s_model2_Actualisation provision contrat déficitaire SNCM 2011 V3 30 05 2011_PAO-CAF-RESOP_E2_13_Bridge_Zone_Sud" xfId="2552" xr:uid="{00000000-0005-0000-0000-0000FB090000}"/>
    <cellStyle name="s_model2_Actualisation provision contrat déficitaire SNCM 2011 V3 30 05 2011_PAO-CAF-RESOP_E2_2013_03_10_19H" xfId="2553" xr:uid="{00000000-0005-0000-0000-0000FC090000}"/>
    <cellStyle name="s_model2_Actualisation provision contrat déficitaire SNCM 2011 V3 30 05 2011_PAO-CAF-RESOP_E2_2013_03_10_19H_Bridge_Zone_Sud" xfId="2554" xr:uid="{00000000-0005-0000-0000-0000FD090000}"/>
    <cellStyle name="s_model2_Actualisation provision contrat déficitaire SNCM 2011 V3 30 05 2011_PPA" xfId="2555" xr:uid="{00000000-0005-0000-0000-0000FE090000}"/>
    <cellStyle name="s_model2_Actualisation provision contrat déficitaire SNCM 2011 V3 30 05 2011_RESOP bef CICE&amp;PPA&amp;RepartHO" xfId="2556" xr:uid="{00000000-0005-0000-0000-0000FF090000}"/>
    <cellStyle name="s_model2_Actualisation provision contrat déficitaire SNCM 2011 V3 30 05 2011_Synthèse_Présentation_conso_retraitée" xfId="2557" xr:uid="{00000000-0005-0000-0000-0000000A0000}"/>
    <cellStyle name="s_model2_B14_E2_2210" xfId="2558" xr:uid="{00000000-0005-0000-0000-0000010A0000}"/>
    <cellStyle name="s_model2_B14_E2_2210_Bridge_Zone_Sud" xfId="2559" xr:uid="{00000000-0005-0000-0000-0000020A0000}"/>
    <cellStyle name="s_model2_BFR_TD_2014.02" xfId="2560" xr:uid="{00000000-0005-0000-0000-0000030A0000}"/>
    <cellStyle name="s_model2_Bridge_Zone_Nord" xfId="2561" xr:uid="{00000000-0005-0000-0000-0000040A0000}"/>
    <cellStyle name="s_model2_CAPEM BY COUNTRY" xfId="2562" xr:uid="{00000000-0005-0000-0000-0000050A0000}"/>
    <cellStyle name="s_model2_LI819L_B13" xfId="694" xr:uid="{00000000-0005-0000-0000-0000060A0000}"/>
    <cellStyle name="s_model2_LI819L_B13_CAPEM BY COUNTRY" xfId="2563" xr:uid="{00000000-0005-0000-0000-0000070A0000}"/>
    <cellStyle name="s_model2_LI819L_B13_Maquette PLT" xfId="2564" xr:uid="{00000000-0005-0000-0000-0000080A0000}"/>
    <cellStyle name="s_model2_LI819L_B13_Output" xfId="3432" xr:uid="{00000000-0005-0000-0000-0000090A0000}"/>
    <cellStyle name="s_model2_LI819L_B13_PPA" xfId="2565" xr:uid="{00000000-0005-0000-0000-00000A0A0000}"/>
    <cellStyle name="s_model2_LI819L_B13_RESOP bef CICE&amp;PPA&amp;RepartHO" xfId="2566" xr:uid="{00000000-0005-0000-0000-00000B0A0000}"/>
    <cellStyle name="s_model2_Maquette PLT" xfId="2567" xr:uid="{00000000-0005-0000-0000-00000C0A0000}"/>
    <cellStyle name="s_model2_Output" xfId="3433" xr:uid="{00000000-0005-0000-0000-00000D0A0000}"/>
    <cellStyle name="s_model2_PAO-CAF-RESOP_14_01_13 à 20h" xfId="695" xr:uid="{00000000-0005-0000-0000-00000E0A0000}"/>
    <cellStyle name="s_model2_PAO-CAF-RESOP_14_01_13 à 20h_CAPEM BY COUNTRY" xfId="2568" xr:uid="{00000000-0005-0000-0000-00000F0A0000}"/>
    <cellStyle name="s_model2_PAO-CAF-RESOP_14_01_13 à 20h_Maquette PLT" xfId="2569" xr:uid="{00000000-0005-0000-0000-0000100A0000}"/>
    <cellStyle name="s_model2_PAO-CAF-RESOP_14_01_13 à 20h_Output" xfId="3434" xr:uid="{00000000-0005-0000-0000-0000110A0000}"/>
    <cellStyle name="s_model2_PAO-CAF-RESOP_14_01_13 à 20h_PPA" xfId="2570" xr:uid="{00000000-0005-0000-0000-0000120A0000}"/>
    <cellStyle name="s_model2_PAO-CAF-RESOP_14_01_13 à 20h_RESOP bef CICE&amp;PPA&amp;RepartHO" xfId="2571" xr:uid="{00000000-0005-0000-0000-0000130A0000}"/>
    <cellStyle name="s_model2_PAO-CAF-RESOP_2014.02" xfId="2572" xr:uid="{00000000-0005-0000-0000-0000140A0000}"/>
    <cellStyle name="s_model2_PAO-CAF-RESOP_2014.02_Bridge_Zone_Sud" xfId="2573" xr:uid="{00000000-0005-0000-0000-0000150A0000}"/>
    <cellStyle name="s_model2_PPA" xfId="2574" xr:uid="{00000000-0005-0000-0000-0000160A0000}"/>
    <cellStyle name="s_model2_RESOP bef CICE&amp;PPA&amp;RepartHO" xfId="2575" xr:uid="{00000000-0005-0000-0000-0000170A0000}"/>
    <cellStyle name="s_Output" xfId="3435" xr:uid="{00000000-0005-0000-0000-0000180A0000}"/>
    <cellStyle name="s_P_L_Ratios" xfId="696" xr:uid="{00000000-0005-0000-0000-0000190A0000}"/>
    <cellStyle name="s_P_L_Ratios_Actualisation provision contrat déficitaire SNCM 2010 V Def" xfId="697" xr:uid="{00000000-0005-0000-0000-00001A0A0000}"/>
    <cellStyle name="s_P_L_Ratios_Actualisation provision contrat déficitaire SNCM 2010 V Def_B14_E2_2210" xfId="2576" xr:uid="{00000000-0005-0000-0000-00001B0A0000}"/>
    <cellStyle name="s_P_L_Ratios_Actualisation provision contrat déficitaire SNCM 2010 V Def_B14_E2_2210_Bridge_Zone_Sud" xfId="2577" xr:uid="{00000000-0005-0000-0000-00001C0A0000}"/>
    <cellStyle name="s_P_L_Ratios_Actualisation provision contrat déficitaire SNCM 2010 V Def_Bridge_Zone_Sud" xfId="2578" xr:uid="{00000000-0005-0000-0000-00001D0A0000}"/>
    <cellStyle name="s_P_L_Ratios_Actualisation provision contrat déficitaire SNCM 2010 V Def_CAPEM BY COUNTRY" xfId="2579" xr:uid="{00000000-0005-0000-0000-00001E0A0000}"/>
    <cellStyle name="s_P_L_Ratios_Actualisation provision contrat déficitaire SNCM 2010 V Def_focus par entités CAFOPE2AMF" xfId="2580" xr:uid="{00000000-0005-0000-0000-00001F0A0000}"/>
    <cellStyle name="s_P_L_Ratios_Actualisation provision contrat déficitaire SNCM 2010 V Def_focus par entités CAFOPE2AMF_Bridge_Zone_Sud" xfId="2581" xr:uid="{00000000-0005-0000-0000-0000200A0000}"/>
    <cellStyle name="s_P_L_Ratios_Actualisation provision contrat déficitaire SNCM 2010 V Def_Maquette PLT" xfId="2582" xr:uid="{00000000-0005-0000-0000-0000210A0000}"/>
    <cellStyle name="s_P_L_Ratios_Actualisation provision contrat déficitaire SNCM 2010 V Def_Output" xfId="3436" xr:uid="{00000000-0005-0000-0000-0000220A0000}"/>
    <cellStyle name="s_P_L_Ratios_Actualisation provision contrat déficitaire SNCM 2010 V Def_PAO-CAF-RESOP_04_13_pro_format_variante T1" xfId="2583" xr:uid="{00000000-0005-0000-0000-0000230A0000}"/>
    <cellStyle name="s_P_L_Ratios_Actualisation provision contrat déficitaire SNCM 2010 V Def_PAO-CAF-RESOP_04_13_pro_format_variante T1_B14_E2_2210" xfId="2584" xr:uid="{00000000-0005-0000-0000-0000240A0000}"/>
    <cellStyle name="s_P_L_Ratios_Actualisation provision contrat déficitaire SNCM 2010 V Def_PAO-CAF-RESOP_04_13_pro_format_variante T1_B14_E2_2210_Bridge_Zone_Sud" xfId="2585" xr:uid="{00000000-0005-0000-0000-0000250A0000}"/>
    <cellStyle name="s_P_L_Ratios_Actualisation provision contrat déficitaire SNCM 2010 V Def_PAO-CAF-RESOP_04_13_pro_format_variante T1_Bridge_Zone_Sud" xfId="2586" xr:uid="{00000000-0005-0000-0000-0000260A0000}"/>
    <cellStyle name="s_P_L_Ratios_Actualisation provision contrat déficitaire SNCM 2010 V Def_PAO-CAF-RESOP_06_13" xfId="2587" xr:uid="{00000000-0005-0000-0000-0000270A0000}"/>
    <cellStyle name="s_P_L_Ratios_Actualisation provision contrat déficitaire SNCM 2010 V Def_PAO-CAF-RESOP_06_13_B14_E2_2210" xfId="2588" xr:uid="{00000000-0005-0000-0000-0000280A0000}"/>
    <cellStyle name="s_P_L_Ratios_Actualisation provision contrat déficitaire SNCM 2010 V Def_PAO-CAF-RESOP_06_13_B14_E2_2210_Bridge_Zone_Sud" xfId="2589" xr:uid="{00000000-0005-0000-0000-0000290A0000}"/>
    <cellStyle name="s_P_L_Ratios_Actualisation provision contrat déficitaire SNCM 2010 V Def_PAO-CAF-RESOP_06_13_Bridge_Zone_Sud" xfId="2590" xr:uid="{00000000-0005-0000-0000-00002A0A0000}"/>
    <cellStyle name="s_P_L_Ratios_Actualisation provision contrat déficitaire SNCM 2010 V Def_PAO-CAF-RESOP_08_13" xfId="2591" xr:uid="{00000000-0005-0000-0000-00002B0A0000}"/>
    <cellStyle name="s_P_L_Ratios_Actualisation provision contrat déficitaire SNCM 2010 V Def_PAO-CAF-RESOP_08_13_B14_E2_2210" xfId="2592" xr:uid="{00000000-0005-0000-0000-00002C0A0000}"/>
    <cellStyle name="s_P_L_Ratios_Actualisation provision contrat déficitaire SNCM 2010 V Def_PAO-CAF-RESOP_08_13_B14_E2_2210_Bridge_Zone_Sud" xfId="2593" xr:uid="{00000000-0005-0000-0000-00002D0A0000}"/>
    <cellStyle name="s_P_L_Ratios_Actualisation provision contrat déficitaire SNCM 2010 V Def_PAO-CAF-RESOP_08_13_Bridge_Zone_Sud" xfId="2594" xr:uid="{00000000-0005-0000-0000-00002E0A0000}"/>
    <cellStyle name="s_P_L_Ratios_Actualisation provision contrat déficitaire SNCM 2010 V Def_PAO-CAF-RESOP_09_13" xfId="2595" xr:uid="{00000000-0005-0000-0000-00002F0A0000}"/>
    <cellStyle name="s_P_L_Ratios_Actualisation provision contrat déficitaire SNCM 2010 V Def_PAO-CAF-RESOP_09_13_Bridge_Zone_Sud" xfId="2596" xr:uid="{00000000-0005-0000-0000-0000300A0000}"/>
    <cellStyle name="s_P_L_Ratios_Actualisation provision contrat déficitaire SNCM 2010 V Def_PAO-CAF-RESOP_09_2013_Zone_IDF (version 2)" xfId="2597" xr:uid="{00000000-0005-0000-0000-0000310A0000}"/>
    <cellStyle name="s_P_L_Ratios_Actualisation provision contrat déficitaire SNCM 2010 V Def_PAO-CAF-RESOP_10_12" xfId="2598" xr:uid="{00000000-0005-0000-0000-0000320A0000}"/>
    <cellStyle name="s_P_L_Ratios_Actualisation provision contrat déficitaire SNCM 2010 V Def_PAO-CAF-RESOP_10_12_Bridge_Zone_Sud" xfId="2599" xr:uid="{00000000-0005-0000-0000-0000330A0000}"/>
    <cellStyle name="s_P_L_Ratios_Actualisation provision contrat déficitaire SNCM 2010 V Def_PAO-CAF-RESOP_10_12_focus par entités CAFOP" xfId="2600" xr:uid="{00000000-0005-0000-0000-0000340A0000}"/>
    <cellStyle name="s_P_L_Ratios_Actualisation provision contrat déficitaire SNCM 2010 V Def_PAO-CAF-RESOP_10_12_focus par entités CAFOP_Bridge_Zone_Sud" xfId="2601" xr:uid="{00000000-0005-0000-0000-0000350A0000}"/>
    <cellStyle name="s_P_L_Ratios_Actualisation provision contrat déficitaire SNCM 2010 V Def_PAO-CAF-RESOP_11_13" xfId="2602" xr:uid="{00000000-0005-0000-0000-0000360A0000}"/>
    <cellStyle name="s_P_L_Ratios_Actualisation provision contrat déficitaire SNCM 2010 V Def_PAO-CAF-RESOP_B13" xfId="2603" xr:uid="{00000000-0005-0000-0000-0000370A0000}"/>
    <cellStyle name="s_P_L_Ratios_Actualisation provision contrat déficitaire SNCM 2010 V Def_PAO-CAF-RESOP_B13_Bridge_Zone_Sud" xfId="2604" xr:uid="{00000000-0005-0000-0000-0000380A0000}"/>
    <cellStyle name="s_P_L_Ratios_Actualisation provision contrat déficitaire SNCM 2010 V Def_PAO-CAF-RESOP_B13_focus par entités CAFOP" xfId="2605" xr:uid="{00000000-0005-0000-0000-0000390A0000}"/>
    <cellStyle name="s_P_L_Ratios_Actualisation provision contrat déficitaire SNCM 2010 V Def_PAO-CAF-RESOP_B13_focus par entités CAFOP_Bridge_Zone_Sud" xfId="2606" xr:uid="{00000000-0005-0000-0000-00003A0A0000}"/>
    <cellStyle name="s_P_L_Ratios_Actualisation provision contrat déficitaire SNCM 2010 V Def_PAO-CAF-RESOP_B2014" xfId="2607" xr:uid="{00000000-0005-0000-0000-00003B0A0000}"/>
    <cellStyle name="s_P_L_Ratios_Actualisation provision contrat déficitaire SNCM 2010 V Def_PAO-CAF-RESOP_B2014_Bridge_Zone_Sud" xfId="2608" xr:uid="{00000000-0005-0000-0000-00003C0A0000}"/>
    <cellStyle name="s_P_L_Ratios_Actualisation provision contrat déficitaire SNCM 2010 V Def_PAO-CAF-RESOP_B2014_v2" xfId="2609" xr:uid="{00000000-0005-0000-0000-00003D0A0000}"/>
    <cellStyle name="s_P_L_Ratios_Actualisation provision contrat déficitaire SNCM 2010 V Def_PAO-CAF-RESOP_E2_13" xfId="2610" xr:uid="{00000000-0005-0000-0000-00003E0A0000}"/>
    <cellStyle name="s_P_L_Ratios_Actualisation provision contrat déficitaire SNCM 2010 V Def_PAO-CAF-RESOP_E2_13_B14_E2_2210" xfId="2611" xr:uid="{00000000-0005-0000-0000-00003F0A0000}"/>
    <cellStyle name="s_P_L_Ratios_Actualisation provision contrat déficitaire SNCM 2010 V Def_PAO-CAF-RESOP_E2_13_B14_E2_2210_Bridge_Zone_Sud" xfId="2612" xr:uid="{00000000-0005-0000-0000-0000400A0000}"/>
    <cellStyle name="s_P_L_Ratios_Actualisation provision contrat déficitaire SNCM 2010 V Def_PAO-CAF-RESOP_E2_13_Bridge_Zone_Sud" xfId="2613" xr:uid="{00000000-0005-0000-0000-0000410A0000}"/>
    <cellStyle name="s_P_L_Ratios_Actualisation provision contrat déficitaire SNCM 2010 V Def_PAO-CAF-RESOP_E2_2013_03_10_19H" xfId="2614" xr:uid="{00000000-0005-0000-0000-0000420A0000}"/>
    <cellStyle name="s_P_L_Ratios_Actualisation provision contrat déficitaire SNCM 2010 V Def_PAO-CAF-RESOP_E2_2013_03_10_19H_Bridge_Zone_Sud" xfId="2615" xr:uid="{00000000-0005-0000-0000-0000430A0000}"/>
    <cellStyle name="s_P_L_Ratios_Actualisation provision contrat déficitaire SNCM 2010 V Def_PPA" xfId="2616" xr:uid="{00000000-0005-0000-0000-0000440A0000}"/>
    <cellStyle name="s_P_L_Ratios_Actualisation provision contrat déficitaire SNCM 2010 V Def_RESOP bef CICE&amp;PPA&amp;RepartHO" xfId="2617" xr:uid="{00000000-0005-0000-0000-0000450A0000}"/>
    <cellStyle name="s_P_L_Ratios_Actualisation provision contrat déficitaire SNCM 2010 V Def_Synthèse_Présentation_conso_retraitée" xfId="2618" xr:uid="{00000000-0005-0000-0000-0000460A0000}"/>
    <cellStyle name="s_P_L_Ratios_Actualisation provision contrat déficitaire SNCM 2011 V3 30 05 2011" xfId="698" xr:uid="{00000000-0005-0000-0000-0000470A0000}"/>
    <cellStyle name="s_P_L_Ratios_Actualisation provision contrat déficitaire SNCM 2011 V3 30 05 2011_B14_E2_2210" xfId="2619" xr:uid="{00000000-0005-0000-0000-0000480A0000}"/>
    <cellStyle name="s_P_L_Ratios_Actualisation provision contrat déficitaire SNCM 2011 V3 30 05 2011_B14_E2_2210_Bridge_Zone_Sud" xfId="2620" xr:uid="{00000000-0005-0000-0000-0000490A0000}"/>
    <cellStyle name="s_P_L_Ratios_Actualisation provision contrat déficitaire SNCM 2011 V3 30 05 2011_Bridge_Zone_Sud" xfId="2621" xr:uid="{00000000-0005-0000-0000-00004A0A0000}"/>
    <cellStyle name="s_P_L_Ratios_Actualisation provision contrat déficitaire SNCM 2011 V3 30 05 2011_CAPEM BY COUNTRY" xfId="2622" xr:uid="{00000000-0005-0000-0000-00004B0A0000}"/>
    <cellStyle name="s_P_L_Ratios_Actualisation provision contrat déficitaire SNCM 2011 V3 30 05 2011_focus par entités CAFOPE2AMF" xfId="2623" xr:uid="{00000000-0005-0000-0000-00004C0A0000}"/>
    <cellStyle name="s_P_L_Ratios_Actualisation provision contrat déficitaire SNCM 2011 V3 30 05 2011_focus par entités CAFOPE2AMF_Bridge_Zone_Sud" xfId="2624" xr:uid="{00000000-0005-0000-0000-00004D0A0000}"/>
    <cellStyle name="s_P_L_Ratios_Actualisation provision contrat déficitaire SNCM 2011 V3 30 05 2011_Maquette PLT" xfId="2625" xr:uid="{00000000-0005-0000-0000-00004E0A0000}"/>
    <cellStyle name="s_P_L_Ratios_Actualisation provision contrat déficitaire SNCM 2011 V3 30 05 2011_Output" xfId="3437" xr:uid="{00000000-0005-0000-0000-00004F0A0000}"/>
    <cellStyle name="s_P_L_Ratios_Actualisation provision contrat déficitaire SNCM 2011 V3 30 05 2011_PAO-CAF-RESOP_04_13_pro_format_variante T1" xfId="2626" xr:uid="{00000000-0005-0000-0000-0000500A0000}"/>
    <cellStyle name="s_P_L_Ratios_Actualisation provision contrat déficitaire SNCM 2011 V3 30 05 2011_PAO-CAF-RESOP_04_13_pro_format_variante T1_B14_E2_2210" xfId="2627" xr:uid="{00000000-0005-0000-0000-0000510A0000}"/>
    <cellStyle name="s_P_L_Ratios_Actualisation provision contrat déficitaire SNCM 2011 V3 30 05 2011_PAO-CAF-RESOP_04_13_pro_format_variante T1_B14_E2_2210_Bridge_Zone_Sud" xfId="2628" xr:uid="{00000000-0005-0000-0000-0000520A0000}"/>
    <cellStyle name="s_P_L_Ratios_Actualisation provision contrat déficitaire SNCM 2011 V3 30 05 2011_PAO-CAF-RESOP_04_13_pro_format_variante T1_Bridge_Zone_Sud" xfId="2629" xr:uid="{00000000-0005-0000-0000-0000530A0000}"/>
    <cellStyle name="s_P_L_Ratios_Actualisation provision contrat déficitaire SNCM 2011 V3 30 05 2011_PAO-CAF-RESOP_06_13" xfId="2630" xr:uid="{00000000-0005-0000-0000-0000540A0000}"/>
    <cellStyle name="s_P_L_Ratios_Actualisation provision contrat déficitaire SNCM 2011 V3 30 05 2011_PAO-CAF-RESOP_06_13_B14_E2_2210" xfId="2631" xr:uid="{00000000-0005-0000-0000-0000550A0000}"/>
    <cellStyle name="s_P_L_Ratios_Actualisation provision contrat déficitaire SNCM 2011 V3 30 05 2011_PAO-CAF-RESOP_06_13_B14_E2_2210_Bridge_Zone_Sud" xfId="2632" xr:uid="{00000000-0005-0000-0000-0000560A0000}"/>
    <cellStyle name="s_P_L_Ratios_Actualisation provision contrat déficitaire SNCM 2011 V3 30 05 2011_PAO-CAF-RESOP_06_13_Bridge_Zone_Sud" xfId="2633" xr:uid="{00000000-0005-0000-0000-0000570A0000}"/>
    <cellStyle name="s_P_L_Ratios_Actualisation provision contrat déficitaire SNCM 2011 V3 30 05 2011_PAO-CAF-RESOP_08_13" xfId="2634" xr:uid="{00000000-0005-0000-0000-0000580A0000}"/>
    <cellStyle name="s_P_L_Ratios_Actualisation provision contrat déficitaire SNCM 2011 V3 30 05 2011_PAO-CAF-RESOP_08_13_B14_E2_2210" xfId="2635" xr:uid="{00000000-0005-0000-0000-0000590A0000}"/>
    <cellStyle name="s_P_L_Ratios_Actualisation provision contrat déficitaire SNCM 2011 V3 30 05 2011_PAO-CAF-RESOP_08_13_B14_E2_2210_Bridge_Zone_Sud" xfId="2636" xr:uid="{00000000-0005-0000-0000-00005A0A0000}"/>
    <cellStyle name="s_P_L_Ratios_Actualisation provision contrat déficitaire SNCM 2011 V3 30 05 2011_PAO-CAF-RESOP_08_13_Bridge_Zone_Sud" xfId="2637" xr:uid="{00000000-0005-0000-0000-00005B0A0000}"/>
    <cellStyle name="s_P_L_Ratios_Actualisation provision contrat déficitaire SNCM 2011 V3 30 05 2011_PAO-CAF-RESOP_09_13" xfId="2638" xr:uid="{00000000-0005-0000-0000-00005C0A0000}"/>
    <cellStyle name="s_P_L_Ratios_Actualisation provision contrat déficitaire SNCM 2011 V3 30 05 2011_PAO-CAF-RESOP_09_13_Bridge_Zone_Sud" xfId="2639" xr:uid="{00000000-0005-0000-0000-00005D0A0000}"/>
    <cellStyle name="s_P_L_Ratios_Actualisation provision contrat déficitaire SNCM 2011 V3 30 05 2011_PAO-CAF-RESOP_09_2013_Zone_IDF (version 2)" xfId="2640" xr:uid="{00000000-0005-0000-0000-00005E0A0000}"/>
    <cellStyle name="s_P_L_Ratios_Actualisation provision contrat déficitaire SNCM 2011 V3 30 05 2011_PAO-CAF-RESOP_10_12" xfId="2641" xr:uid="{00000000-0005-0000-0000-00005F0A0000}"/>
    <cellStyle name="s_P_L_Ratios_Actualisation provision contrat déficitaire SNCM 2011 V3 30 05 2011_PAO-CAF-RESOP_10_12_Bridge_Zone_Sud" xfId="2642" xr:uid="{00000000-0005-0000-0000-0000600A0000}"/>
    <cellStyle name="s_P_L_Ratios_Actualisation provision contrat déficitaire SNCM 2011 V3 30 05 2011_PAO-CAF-RESOP_10_12_focus par entités CAFOP" xfId="2643" xr:uid="{00000000-0005-0000-0000-0000610A0000}"/>
    <cellStyle name="s_P_L_Ratios_Actualisation provision contrat déficitaire SNCM 2011 V3 30 05 2011_PAO-CAF-RESOP_10_12_focus par entités CAFOP_Bridge_Zone_Sud" xfId="2644" xr:uid="{00000000-0005-0000-0000-0000620A0000}"/>
    <cellStyle name="s_P_L_Ratios_Actualisation provision contrat déficitaire SNCM 2011 V3 30 05 2011_PAO-CAF-RESOP_11_13" xfId="2645" xr:uid="{00000000-0005-0000-0000-0000630A0000}"/>
    <cellStyle name="s_P_L_Ratios_Actualisation provision contrat déficitaire SNCM 2011 V3 30 05 2011_PAO-CAF-RESOP_B13" xfId="2646" xr:uid="{00000000-0005-0000-0000-0000640A0000}"/>
    <cellStyle name="s_P_L_Ratios_Actualisation provision contrat déficitaire SNCM 2011 V3 30 05 2011_PAO-CAF-RESOP_B13_Bridge_Zone_Sud" xfId="2647" xr:uid="{00000000-0005-0000-0000-0000650A0000}"/>
    <cellStyle name="s_P_L_Ratios_Actualisation provision contrat déficitaire SNCM 2011 V3 30 05 2011_PAO-CAF-RESOP_B13_focus par entités CAFOP" xfId="2648" xr:uid="{00000000-0005-0000-0000-0000660A0000}"/>
    <cellStyle name="s_P_L_Ratios_Actualisation provision contrat déficitaire SNCM 2011 V3 30 05 2011_PAO-CAF-RESOP_B13_focus par entités CAFOP_Bridge_Zone_Sud" xfId="2649" xr:uid="{00000000-0005-0000-0000-0000670A0000}"/>
    <cellStyle name="s_P_L_Ratios_Actualisation provision contrat déficitaire SNCM 2011 V3 30 05 2011_PAO-CAF-RESOP_B2014" xfId="2650" xr:uid="{00000000-0005-0000-0000-0000680A0000}"/>
    <cellStyle name="s_P_L_Ratios_Actualisation provision contrat déficitaire SNCM 2011 V3 30 05 2011_PAO-CAF-RESOP_B2014_Bridge_Zone_Sud" xfId="2651" xr:uid="{00000000-0005-0000-0000-0000690A0000}"/>
    <cellStyle name="s_P_L_Ratios_Actualisation provision contrat déficitaire SNCM 2011 V3 30 05 2011_PAO-CAF-RESOP_B2014_v2" xfId="2652" xr:uid="{00000000-0005-0000-0000-00006A0A0000}"/>
    <cellStyle name="s_P_L_Ratios_Actualisation provision contrat déficitaire SNCM 2011 V3 30 05 2011_PAO-CAF-RESOP_E2_13" xfId="2653" xr:uid="{00000000-0005-0000-0000-00006B0A0000}"/>
    <cellStyle name="s_P_L_Ratios_Actualisation provision contrat déficitaire SNCM 2011 V3 30 05 2011_PAO-CAF-RESOP_E2_13_B14_E2_2210" xfId="2654" xr:uid="{00000000-0005-0000-0000-00006C0A0000}"/>
    <cellStyle name="s_P_L_Ratios_Actualisation provision contrat déficitaire SNCM 2011 V3 30 05 2011_PAO-CAF-RESOP_E2_13_B14_E2_2210_Bridge_Zone_Sud" xfId="2655" xr:uid="{00000000-0005-0000-0000-00006D0A0000}"/>
    <cellStyle name="s_P_L_Ratios_Actualisation provision contrat déficitaire SNCM 2011 V3 30 05 2011_PAO-CAF-RESOP_E2_13_Bridge_Zone_Sud" xfId="2656" xr:uid="{00000000-0005-0000-0000-00006E0A0000}"/>
    <cellStyle name="s_P_L_Ratios_Actualisation provision contrat déficitaire SNCM 2011 V3 30 05 2011_PAO-CAF-RESOP_E2_2013_03_10_19H" xfId="2657" xr:uid="{00000000-0005-0000-0000-00006F0A0000}"/>
    <cellStyle name="s_P_L_Ratios_Actualisation provision contrat déficitaire SNCM 2011 V3 30 05 2011_PAO-CAF-RESOP_E2_2013_03_10_19H_Bridge_Zone_Sud" xfId="2658" xr:uid="{00000000-0005-0000-0000-0000700A0000}"/>
    <cellStyle name="s_P_L_Ratios_Actualisation provision contrat déficitaire SNCM 2011 V3 30 05 2011_PPA" xfId="2659" xr:uid="{00000000-0005-0000-0000-0000710A0000}"/>
    <cellStyle name="s_P_L_Ratios_Actualisation provision contrat déficitaire SNCM 2011 V3 30 05 2011_RESOP bef CICE&amp;PPA&amp;RepartHO" xfId="2660" xr:uid="{00000000-0005-0000-0000-0000720A0000}"/>
    <cellStyle name="s_P_L_Ratios_Actualisation provision contrat déficitaire SNCM 2011 V3 30 05 2011_Synthèse_Présentation_conso_retraitée" xfId="2661" xr:uid="{00000000-0005-0000-0000-0000730A0000}"/>
    <cellStyle name="s_P_L_Ratios_B" xfId="699" xr:uid="{00000000-0005-0000-0000-0000740A0000}"/>
    <cellStyle name="s_P_L_Ratios_B_Actualisation provision contrat déficitaire SNCM 2010 V Def" xfId="700" xr:uid="{00000000-0005-0000-0000-0000750A0000}"/>
    <cellStyle name="s_P_L_Ratios_B_Actualisation provision contrat déficitaire SNCM 2010 V Def_B14_E2_2210" xfId="2662" xr:uid="{00000000-0005-0000-0000-0000760A0000}"/>
    <cellStyle name="s_P_L_Ratios_B_Actualisation provision contrat déficitaire SNCM 2010 V Def_B14_E2_2210_Bridge_Zone_Sud" xfId="2663" xr:uid="{00000000-0005-0000-0000-0000770A0000}"/>
    <cellStyle name="s_P_L_Ratios_B_Actualisation provision contrat déficitaire SNCM 2010 V Def_Bridge_Zone_Sud" xfId="2664" xr:uid="{00000000-0005-0000-0000-0000780A0000}"/>
    <cellStyle name="s_P_L_Ratios_B_Actualisation provision contrat déficitaire SNCM 2010 V Def_CAPEM BY COUNTRY" xfId="2665" xr:uid="{00000000-0005-0000-0000-0000790A0000}"/>
    <cellStyle name="s_P_L_Ratios_B_Actualisation provision contrat déficitaire SNCM 2010 V Def_focus par entités CAFOPE2AMF" xfId="2666" xr:uid="{00000000-0005-0000-0000-00007A0A0000}"/>
    <cellStyle name="s_P_L_Ratios_B_Actualisation provision contrat déficitaire SNCM 2010 V Def_focus par entités CAFOPE2AMF_Bridge_Zone_Sud" xfId="2667" xr:uid="{00000000-0005-0000-0000-00007B0A0000}"/>
    <cellStyle name="s_P_L_Ratios_B_Actualisation provision contrat déficitaire SNCM 2010 V Def_Maquette PLT" xfId="2668" xr:uid="{00000000-0005-0000-0000-00007C0A0000}"/>
    <cellStyle name="s_P_L_Ratios_B_Actualisation provision contrat déficitaire SNCM 2010 V Def_Output" xfId="3438" xr:uid="{00000000-0005-0000-0000-00007D0A0000}"/>
    <cellStyle name="s_P_L_Ratios_B_Actualisation provision contrat déficitaire SNCM 2010 V Def_PAO-CAF-RESOP_04_13_pro_format_variante T1" xfId="2669" xr:uid="{00000000-0005-0000-0000-00007E0A0000}"/>
    <cellStyle name="s_P_L_Ratios_B_Actualisation provision contrat déficitaire SNCM 2010 V Def_PAO-CAF-RESOP_04_13_pro_format_variante T1_B14_E2_2210" xfId="2670" xr:uid="{00000000-0005-0000-0000-00007F0A0000}"/>
    <cellStyle name="s_P_L_Ratios_B_Actualisation provision contrat déficitaire SNCM 2010 V Def_PAO-CAF-RESOP_04_13_pro_format_variante T1_B14_E2_2210_Bridge_Zone_Sud" xfId="2671" xr:uid="{00000000-0005-0000-0000-0000800A0000}"/>
    <cellStyle name="s_P_L_Ratios_B_Actualisation provision contrat déficitaire SNCM 2010 V Def_PAO-CAF-RESOP_04_13_pro_format_variante T1_Bridge_Zone_Sud" xfId="2672" xr:uid="{00000000-0005-0000-0000-0000810A0000}"/>
    <cellStyle name="s_P_L_Ratios_B_Actualisation provision contrat déficitaire SNCM 2010 V Def_PAO-CAF-RESOP_06_13" xfId="2673" xr:uid="{00000000-0005-0000-0000-0000820A0000}"/>
    <cellStyle name="s_P_L_Ratios_B_Actualisation provision contrat déficitaire SNCM 2010 V Def_PAO-CAF-RESOP_06_13_B14_E2_2210" xfId="2674" xr:uid="{00000000-0005-0000-0000-0000830A0000}"/>
    <cellStyle name="s_P_L_Ratios_B_Actualisation provision contrat déficitaire SNCM 2010 V Def_PAO-CAF-RESOP_06_13_B14_E2_2210_Bridge_Zone_Sud" xfId="2675" xr:uid="{00000000-0005-0000-0000-0000840A0000}"/>
    <cellStyle name="s_P_L_Ratios_B_Actualisation provision contrat déficitaire SNCM 2010 V Def_PAO-CAF-RESOP_06_13_Bridge_Zone_Sud" xfId="2676" xr:uid="{00000000-0005-0000-0000-0000850A0000}"/>
    <cellStyle name="s_P_L_Ratios_B_Actualisation provision contrat déficitaire SNCM 2010 V Def_PAO-CAF-RESOP_08_13" xfId="2677" xr:uid="{00000000-0005-0000-0000-0000860A0000}"/>
    <cellStyle name="s_P_L_Ratios_B_Actualisation provision contrat déficitaire SNCM 2010 V Def_PAO-CAF-RESOP_08_13_B14_E2_2210" xfId="2678" xr:uid="{00000000-0005-0000-0000-0000870A0000}"/>
    <cellStyle name="s_P_L_Ratios_B_Actualisation provision contrat déficitaire SNCM 2010 V Def_PAO-CAF-RESOP_08_13_B14_E2_2210_Bridge_Zone_Sud" xfId="2679" xr:uid="{00000000-0005-0000-0000-0000880A0000}"/>
    <cellStyle name="s_P_L_Ratios_B_Actualisation provision contrat déficitaire SNCM 2010 V Def_PAO-CAF-RESOP_08_13_Bridge_Zone_Sud" xfId="2680" xr:uid="{00000000-0005-0000-0000-0000890A0000}"/>
    <cellStyle name="s_P_L_Ratios_B_Actualisation provision contrat déficitaire SNCM 2010 V Def_PAO-CAF-RESOP_09_13" xfId="2681" xr:uid="{00000000-0005-0000-0000-00008A0A0000}"/>
    <cellStyle name="s_P_L_Ratios_B_Actualisation provision contrat déficitaire SNCM 2010 V Def_PAO-CAF-RESOP_09_13_Bridge_Zone_Sud" xfId="2682" xr:uid="{00000000-0005-0000-0000-00008B0A0000}"/>
    <cellStyle name="s_P_L_Ratios_B_Actualisation provision contrat déficitaire SNCM 2010 V Def_PAO-CAF-RESOP_09_2013_Zone_IDF (version 2)" xfId="2683" xr:uid="{00000000-0005-0000-0000-00008C0A0000}"/>
    <cellStyle name="s_P_L_Ratios_B_Actualisation provision contrat déficitaire SNCM 2010 V Def_PAO-CAF-RESOP_10_12" xfId="2684" xr:uid="{00000000-0005-0000-0000-00008D0A0000}"/>
    <cellStyle name="s_P_L_Ratios_B_Actualisation provision contrat déficitaire SNCM 2010 V Def_PAO-CAF-RESOP_10_12_Bridge_Zone_Sud" xfId="2685" xr:uid="{00000000-0005-0000-0000-00008E0A0000}"/>
    <cellStyle name="s_P_L_Ratios_B_Actualisation provision contrat déficitaire SNCM 2010 V Def_PAO-CAF-RESOP_10_12_focus par entités CAFOP" xfId="2686" xr:uid="{00000000-0005-0000-0000-00008F0A0000}"/>
    <cellStyle name="s_P_L_Ratios_B_Actualisation provision contrat déficitaire SNCM 2010 V Def_PAO-CAF-RESOP_10_12_focus par entités CAFOP_Bridge_Zone_Sud" xfId="2687" xr:uid="{00000000-0005-0000-0000-0000900A0000}"/>
    <cellStyle name="s_P_L_Ratios_B_Actualisation provision contrat déficitaire SNCM 2010 V Def_PAO-CAF-RESOP_11_13" xfId="2688" xr:uid="{00000000-0005-0000-0000-0000910A0000}"/>
    <cellStyle name="s_P_L_Ratios_B_Actualisation provision contrat déficitaire SNCM 2010 V Def_PAO-CAF-RESOP_B13" xfId="2689" xr:uid="{00000000-0005-0000-0000-0000920A0000}"/>
    <cellStyle name="s_P_L_Ratios_B_Actualisation provision contrat déficitaire SNCM 2010 V Def_PAO-CAF-RESOP_B13_Bridge_Zone_Sud" xfId="2690" xr:uid="{00000000-0005-0000-0000-0000930A0000}"/>
    <cellStyle name="s_P_L_Ratios_B_Actualisation provision contrat déficitaire SNCM 2010 V Def_PAO-CAF-RESOP_B13_focus par entités CAFOP" xfId="2691" xr:uid="{00000000-0005-0000-0000-0000940A0000}"/>
    <cellStyle name="s_P_L_Ratios_B_Actualisation provision contrat déficitaire SNCM 2010 V Def_PAO-CAF-RESOP_B13_focus par entités CAFOP_Bridge_Zone_Sud" xfId="2692" xr:uid="{00000000-0005-0000-0000-0000950A0000}"/>
    <cellStyle name="s_P_L_Ratios_B_Actualisation provision contrat déficitaire SNCM 2010 V Def_PAO-CAF-RESOP_B2014" xfId="2693" xr:uid="{00000000-0005-0000-0000-0000960A0000}"/>
    <cellStyle name="s_P_L_Ratios_B_Actualisation provision contrat déficitaire SNCM 2010 V Def_PAO-CAF-RESOP_B2014_Bridge_Zone_Sud" xfId="2694" xr:uid="{00000000-0005-0000-0000-0000970A0000}"/>
    <cellStyle name="s_P_L_Ratios_B_Actualisation provision contrat déficitaire SNCM 2010 V Def_PAO-CAF-RESOP_B2014_v2" xfId="2695" xr:uid="{00000000-0005-0000-0000-0000980A0000}"/>
    <cellStyle name="s_P_L_Ratios_B_Actualisation provision contrat déficitaire SNCM 2010 V Def_PAO-CAF-RESOP_E2_13" xfId="2696" xr:uid="{00000000-0005-0000-0000-0000990A0000}"/>
    <cellStyle name="s_P_L_Ratios_B_Actualisation provision contrat déficitaire SNCM 2010 V Def_PAO-CAF-RESOP_E2_13_B14_E2_2210" xfId="2697" xr:uid="{00000000-0005-0000-0000-00009A0A0000}"/>
    <cellStyle name="s_P_L_Ratios_B_Actualisation provision contrat déficitaire SNCM 2010 V Def_PAO-CAF-RESOP_E2_13_B14_E2_2210_Bridge_Zone_Sud" xfId="2698" xr:uid="{00000000-0005-0000-0000-00009B0A0000}"/>
    <cellStyle name="s_P_L_Ratios_B_Actualisation provision contrat déficitaire SNCM 2010 V Def_PAO-CAF-RESOP_E2_13_Bridge_Zone_Sud" xfId="2699" xr:uid="{00000000-0005-0000-0000-00009C0A0000}"/>
    <cellStyle name="s_P_L_Ratios_B_Actualisation provision contrat déficitaire SNCM 2010 V Def_PAO-CAF-RESOP_E2_2013_03_10_19H" xfId="2700" xr:uid="{00000000-0005-0000-0000-00009D0A0000}"/>
    <cellStyle name="s_P_L_Ratios_B_Actualisation provision contrat déficitaire SNCM 2010 V Def_PAO-CAF-RESOP_E2_2013_03_10_19H_Bridge_Zone_Sud" xfId="2701" xr:uid="{00000000-0005-0000-0000-00009E0A0000}"/>
    <cellStyle name="s_P_L_Ratios_B_Actualisation provision contrat déficitaire SNCM 2010 V Def_PPA" xfId="2702" xr:uid="{00000000-0005-0000-0000-00009F0A0000}"/>
    <cellStyle name="s_P_L_Ratios_B_Actualisation provision contrat déficitaire SNCM 2010 V Def_RESOP bef CICE&amp;PPA&amp;RepartHO" xfId="2703" xr:uid="{00000000-0005-0000-0000-0000A00A0000}"/>
    <cellStyle name="s_P_L_Ratios_B_Actualisation provision contrat déficitaire SNCM 2010 V Def_Synthèse_Présentation_conso_retraitée" xfId="2704" xr:uid="{00000000-0005-0000-0000-0000A10A0000}"/>
    <cellStyle name="s_P_L_Ratios_B_Actualisation provision contrat déficitaire SNCM 2011 V3 30 05 2011" xfId="701" xr:uid="{00000000-0005-0000-0000-0000A20A0000}"/>
    <cellStyle name="s_P_L_Ratios_B_Actualisation provision contrat déficitaire SNCM 2011 V3 30 05 2011_B14_E2_2210" xfId="2705" xr:uid="{00000000-0005-0000-0000-0000A30A0000}"/>
    <cellStyle name="s_P_L_Ratios_B_Actualisation provision contrat déficitaire SNCM 2011 V3 30 05 2011_B14_E2_2210_Bridge_Zone_Sud" xfId="2706" xr:uid="{00000000-0005-0000-0000-0000A40A0000}"/>
    <cellStyle name="s_P_L_Ratios_B_Actualisation provision contrat déficitaire SNCM 2011 V3 30 05 2011_Bridge_Zone_Sud" xfId="2707" xr:uid="{00000000-0005-0000-0000-0000A50A0000}"/>
    <cellStyle name="s_P_L_Ratios_B_Actualisation provision contrat déficitaire SNCM 2011 V3 30 05 2011_CAPEM BY COUNTRY" xfId="2708" xr:uid="{00000000-0005-0000-0000-0000A60A0000}"/>
    <cellStyle name="s_P_L_Ratios_B_Actualisation provision contrat déficitaire SNCM 2011 V3 30 05 2011_focus par entités CAFOPE2AMF" xfId="2709" xr:uid="{00000000-0005-0000-0000-0000A70A0000}"/>
    <cellStyle name="s_P_L_Ratios_B_Actualisation provision contrat déficitaire SNCM 2011 V3 30 05 2011_focus par entités CAFOPE2AMF_Bridge_Zone_Sud" xfId="2710" xr:uid="{00000000-0005-0000-0000-0000A80A0000}"/>
    <cellStyle name="s_P_L_Ratios_B_Actualisation provision contrat déficitaire SNCM 2011 V3 30 05 2011_Maquette PLT" xfId="2711" xr:uid="{00000000-0005-0000-0000-0000A90A0000}"/>
    <cellStyle name="s_P_L_Ratios_B_Actualisation provision contrat déficitaire SNCM 2011 V3 30 05 2011_Output" xfId="3439" xr:uid="{00000000-0005-0000-0000-0000AA0A0000}"/>
    <cellStyle name="s_P_L_Ratios_B_Actualisation provision contrat déficitaire SNCM 2011 V3 30 05 2011_PAO-CAF-RESOP_04_13_pro_format_variante T1" xfId="2712" xr:uid="{00000000-0005-0000-0000-0000AB0A0000}"/>
    <cellStyle name="s_P_L_Ratios_B_Actualisation provision contrat déficitaire SNCM 2011 V3 30 05 2011_PAO-CAF-RESOP_04_13_pro_format_variante T1_B14_E2_2210" xfId="2713" xr:uid="{00000000-0005-0000-0000-0000AC0A0000}"/>
    <cellStyle name="s_P_L_Ratios_B_Actualisation provision contrat déficitaire SNCM 2011 V3 30 05 2011_PAO-CAF-RESOP_04_13_pro_format_variante T1_B14_E2_2210_Bridge_Zone_Sud" xfId="2714" xr:uid="{00000000-0005-0000-0000-0000AD0A0000}"/>
    <cellStyle name="s_P_L_Ratios_B_Actualisation provision contrat déficitaire SNCM 2011 V3 30 05 2011_PAO-CAF-RESOP_04_13_pro_format_variante T1_Bridge_Zone_Sud" xfId="2715" xr:uid="{00000000-0005-0000-0000-0000AE0A0000}"/>
    <cellStyle name="s_P_L_Ratios_B_Actualisation provision contrat déficitaire SNCM 2011 V3 30 05 2011_PAO-CAF-RESOP_06_13" xfId="2716" xr:uid="{00000000-0005-0000-0000-0000AF0A0000}"/>
    <cellStyle name="s_P_L_Ratios_B_Actualisation provision contrat déficitaire SNCM 2011 V3 30 05 2011_PAO-CAF-RESOP_06_13_B14_E2_2210" xfId="2717" xr:uid="{00000000-0005-0000-0000-0000B00A0000}"/>
    <cellStyle name="s_P_L_Ratios_B_Actualisation provision contrat déficitaire SNCM 2011 V3 30 05 2011_PAO-CAF-RESOP_06_13_B14_E2_2210_Bridge_Zone_Sud" xfId="2718" xr:uid="{00000000-0005-0000-0000-0000B10A0000}"/>
    <cellStyle name="s_P_L_Ratios_B_Actualisation provision contrat déficitaire SNCM 2011 V3 30 05 2011_PAO-CAF-RESOP_06_13_Bridge_Zone_Sud" xfId="2719" xr:uid="{00000000-0005-0000-0000-0000B20A0000}"/>
    <cellStyle name="s_P_L_Ratios_B_Actualisation provision contrat déficitaire SNCM 2011 V3 30 05 2011_PAO-CAF-RESOP_08_13" xfId="2720" xr:uid="{00000000-0005-0000-0000-0000B30A0000}"/>
    <cellStyle name="s_P_L_Ratios_B_Actualisation provision contrat déficitaire SNCM 2011 V3 30 05 2011_PAO-CAF-RESOP_08_13_B14_E2_2210" xfId="2721" xr:uid="{00000000-0005-0000-0000-0000B40A0000}"/>
    <cellStyle name="s_P_L_Ratios_B_Actualisation provision contrat déficitaire SNCM 2011 V3 30 05 2011_PAO-CAF-RESOP_08_13_B14_E2_2210_Bridge_Zone_Sud" xfId="2722" xr:uid="{00000000-0005-0000-0000-0000B50A0000}"/>
    <cellStyle name="s_P_L_Ratios_B_Actualisation provision contrat déficitaire SNCM 2011 V3 30 05 2011_PAO-CAF-RESOP_08_13_Bridge_Zone_Sud" xfId="2723" xr:uid="{00000000-0005-0000-0000-0000B60A0000}"/>
    <cellStyle name="s_P_L_Ratios_B_Actualisation provision contrat déficitaire SNCM 2011 V3 30 05 2011_PAO-CAF-RESOP_09_13" xfId="2724" xr:uid="{00000000-0005-0000-0000-0000B70A0000}"/>
    <cellStyle name="s_P_L_Ratios_B_Actualisation provision contrat déficitaire SNCM 2011 V3 30 05 2011_PAO-CAF-RESOP_09_13_Bridge_Zone_Sud" xfId="2725" xr:uid="{00000000-0005-0000-0000-0000B80A0000}"/>
    <cellStyle name="s_P_L_Ratios_B_Actualisation provision contrat déficitaire SNCM 2011 V3 30 05 2011_PAO-CAF-RESOP_09_2013_Zone_IDF (version 2)" xfId="2726" xr:uid="{00000000-0005-0000-0000-0000B90A0000}"/>
    <cellStyle name="s_P_L_Ratios_B_Actualisation provision contrat déficitaire SNCM 2011 V3 30 05 2011_PAO-CAF-RESOP_10_12" xfId="2727" xr:uid="{00000000-0005-0000-0000-0000BA0A0000}"/>
    <cellStyle name="s_P_L_Ratios_B_Actualisation provision contrat déficitaire SNCM 2011 V3 30 05 2011_PAO-CAF-RESOP_10_12_Bridge_Zone_Sud" xfId="2728" xr:uid="{00000000-0005-0000-0000-0000BB0A0000}"/>
    <cellStyle name="s_P_L_Ratios_B_Actualisation provision contrat déficitaire SNCM 2011 V3 30 05 2011_PAO-CAF-RESOP_10_12_focus par entités CAFOP" xfId="2729" xr:uid="{00000000-0005-0000-0000-0000BC0A0000}"/>
    <cellStyle name="s_P_L_Ratios_B_Actualisation provision contrat déficitaire SNCM 2011 V3 30 05 2011_PAO-CAF-RESOP_10_12_focus par entités CAFOP_Bridge_Zone_Sud" xfId="2730" xr:uid="{00000000-0005-0000-0000-0000BD0A0000}"/>
    <cellStyle name="s_P_L_Ratios_B_Actualisation provision contrat déficitaire SNCM 2011 V3 30 05 2011_PAO-CAF-RESOP_11_13" xfId="2731" xr:uid="{00000000-0005-0000-0000-0000BE0A0000}"/>
    <cellStyle name="s_P_L_Ratios_B_Actualisation provision contrat déficitaire SNCM 2011 V3 30 05 2011_PAO-CAF-RESOP_B13" xfId="2732" xr:uid="{00000000-0005-0000-0000-0000BF0A0000}"/>
    <cellStyle name="s_P_L_Ratios_B_Actualisation provision contrat déficitaire SNCM 2011 V3 30 05 2011_PAO-CAF-RESOP_B13_Bridge_Zone_Sud" xfId="2733" xr:uid="{00000000-0005-0000-0000-0000C00A0000}"/>
    <cellStyle name="s_P_L_Ratios_B_Actualisation provision contrat déficitaire SNCM 2011 V3 30 05 2011_PAO-CAF-RESOP_B13_focus par entités CAFOP" xfId="2734" xr:uid="{00000000-0005-0000-0000-0000C10A0000}"/>
    <cellStyle name="s_P_L_Ratios_B_Actualisation provision contrat déficitaire SNCM 2011 V3 30 05 2011_PAO-CAF-RESOP_B13_focus par entités CAFOP_Bridge_Zone_Sud" xfId="2735" xr:uid="{00000000-0005-0000-0000-0000C20A0000}"/>
    <cellStyle name="s_P_L_Ratios_B_Actualisation provision contrat déficitaire SNCM 2011 V3 30 05 2011_PAO-CAF-RESOP_B2014" xfId="2736" xr:uid="{00000000-0005-0000-0000-0000C30A0000}"/>
    <cellStyle name="s_P_L_Ratios_B_Actualisation provision contrat déficitaire SNCM 2011 V3 30 05 2011_PAO-CAF-RESOP_B2014_Bridge_Zone_Sud" xfId="2737" xr:uid="{00000000-0005-0000-0000-0000C40A0000}"/>
    <cellStyle name="s_P_L_Ratios_B_Actualisation provision contrat déficitaire SNCM 2011 V3 30 05 2011_PAO-CAF-RESOP_B2014_v2" xfId="2738" xr:uid="{00000000-0005-0000-0000-0000C50A0000}"/>
    <cellStyle name="s_P_L_Ratios_B_Actualisation provision contrat déficitaire SNCM 2011 V3 30 05 2011_PAO-CAF-RESOP_E2_13" xfId="2739" xr:uid="{00000000-0005-0000-0000-0000C60A0000}"/>
    <cellStyle name="s_P_L_Ratios_B_Actualisation provision contrat déficitaire SNCM 2011 V3 30 05 2011_PAO-CAF-RESOP_E2_13_B14_E2_2210" xfId="2740" xr:uid="{00000000-0005-0000-0000-0000C70A0000}"/>
    <cellStyle name="s_P_L_Ratios_B_Actualisation provision contrat déficitaire SNCM 2011 V3 30 05 2011_PAO-CAF-RESOP_E2_13_B14_E2_2210_Bridge_Zone_Sud" xfId="2741" xr:uid="{00000000-0005-0000-0000-0000C80A0000}"/>
    <cellStyle name="s_P_L_Ratios_B_Actualisation provision contrat déficitaire SNCM 2011 V3 30 05 2011_PAO-CAF-RESOP_E2_13_Bridge_Zone_Sud" xfId="2742" xr:uid="{00000000-0005-0000-0000-0000C90A0000}"/>
    <cellStyle name="s_P_L_Ratios_B_Actualisation provision contrat déficitaire SNCM 2011 V3 30 05 2011_PAO-CAF-RESOP_E2_2013_03_10_19H" xfId="2743" xr:uid="{00000000-0005-0000-0000-0000CA0A0000}"/>
    <cellStyle name="s_P_L_Ratios_B_Actualisation provision contrat déficitaire SNCM 2011 V3 30 05 2011_PAO-CAF-RESOP_E2_2013_03_10_19H_Bridge_Zone_Sud" xfId="2744" xr:uid="{00000000-0005-0000-0000-0000CB0A0000}"/>
    <cellStyle name="s_P_L_Ratios_B_Actualisation provision contrat déficitaire SNCM 2011 V3 30 05 2011_PPA" xfId="2745" xr:uid="{00000000-0005-0000-0000-0000CC0A0000}"/>
    <cellStyle name="s_P_L_Ratios_B_Actualisation provision contrat déficitaire SNCM 2011 V3 30 05 2011_RESOP bef CICE&amp;PPA&amp;RepartHO" xfId="2746" xr:uid="{00000000-0005-0000-0000-0000CD0A0000}"/>
    <cellStyle name="s_P_L_Ratios_B_Actualisation provision contrat déficitaire SNCM 2011 V3 30 05 2011_Synthèse_Présentation_conso_retraitée" xfId="2747" xr:uid="{00000000-0005-0000-0000-0000CE0A0000}"/>
    <cellStyle name="s_P_L_Ratios_B_B14_E2_2210" xfId="2748" xr:uid="{00000000-0005-0000-0000-0000CF0A0000}"/>
    <cellStyle name="s_P_L_Ratios_B_B14_E2_2210_Bridge_Zone_Sud" xfId="2749" xr:uid="{00000000-0005-0000-0000-0000D00A0000}"/>
    <cellStyle name="s_P_L_Ratios_B_BFR_TD_2014.02" xfId="2750" xr:uid="{00000000-0005-0000-0000-0000D10A0000}"/>
    <cellStyle name="s_P_L_Ratios_B_Bridge_Zone_Nord" xfId="2751" xr:uid="{00000000-0005-0000-0000-0000D20A0000}"/>
    <cellStyle name="s_P_L_Ratios_B_CAPEM BY COUNTRY" xfId="2752" xr:uid="{00000000-0005-0000-0000-0000D30A0000}"/>
    <cellStyle name="s_P_L_Ratios_B_LI819L_B13" xfId="702" xr:uid="{00000000-0005-0000-0000-0000D40A0000}"/>
    <cellStyle name="s_P_L_Ratios_B_LI819L_B13_CAPEM BY COUNTRY" xfId="2753" xr:uid="{00000000-0005-0000-0000-0000D50A0000}"/>
    <cellStyle name="s_P_L_Ratios_B_LI819L_B13_Maquette PLT" xfId="2754" xr:uid="{00000000-0005-0000-0000-0000D60A0000}"/>
    <cellStyle name="s_P_L_Ratios_B_LI819L_B13_Output" xfId="3440" xr:uid="{00000000-0005-0000-0000-0000D70A0000}"/>
    <cellStyle name="s_P_L_Ratios_B_LI819L_B13_PPA" xfId="2755" xr:uid="{00000000-0005-0000-0000-0000D80A0000}"/>
    <cellStyle name="s_P_L_Ratios_B_LI819L_B13_RESOP bef CICE&amp;PPA&amp;RepartHO" xfId="2756" xr:uid="{00000000-0005-0000-0000-0000D90A0000}"/>
    <cellStyle name="s_P_L_Ratios_B_Maquette PLT" xfId="2757" xr:uid="{00000000-0005-0000-0000-0000DA0A0000}"/>
    <cellStyle name="s_P_L_Ratios_B_Output" xfId="3441" xr:uid="{00000000-0005-0000-0000-0000DB0A0000}"/>
    <cellStyle name="s_P_L_Ratios_B_PAO-CAF-RESOP_14_01_13 à 20h" xfId="703" xr:uid="{00000000-0005-0000-0000-0000DC0A0000}"/>
    <cellStyle name="s_P_L_Ratios_B_PAO-CAF-RESOP_14_01_13 à 20h_CAPEM BY COUNTRY" xfId="2758" xr:uid="{00000000-0005-0000-0000-0000DD0A0000}"/>
    <cellStyle name="s_P_L_Ratios_B_PAO-CAF-RESOP_14_01_13 à 20h_Maquette PLT" xfId="2759" xr:uid="{00000000-0005-0000-0000-0000DE0A0000}"/>
    <cellStyle name="s_P_L_Ratios_B_PAO-CAF-RESOP_14_01_13 à 20h_Output" xfId="3442" xr:uid="{00000000-0005-0000-0000-0000DF0A0000}"/>
    <cellStyle name="s_P_L_Ratios_B_PAO-CAF-RESOP_14_01_13 à 20h_PPA" xfId="2760" xr:uid="{00000000-0005-0000-0000-0000E00A0000}"/>
    <cellStyle name="s_P_L_Ratios_B_PAO-CAF-RESOP_14_01_13 à 20h_RESOP bef CICE&amp;PPA&amp;RepartHO" xfId="2761" xr:uid="{00000000-0005-0000-0000-0000E10A0000}"/>
    <cellStyle name="s_P_L_Ratios_B_PAO-CAF-RESOP_2014.02" xfId="2762" xr:uid="{00000000-0005-0000-0000-0000E20A0000}"/>
    <cellStyle name="s_P_L_Ratios_B_PAO-CAF-RESOP_2014.02_Bridge_Zone_Sud" xfId="2763" xr:uid="{00000000-0005-0000-0000-0000E30A0000}"/>
    <cellStyle name="s_P_L_Ratios_B_PPA" xfId="2764" xr:uid="{00000000-0005-0000-0000-0000E40A0000}"/>
    <cellStyle name="s_P_L_Ratios_B_RESOP bef CICE&amp;PPA&amp;RepartHO" xfId="2765" xr:uid="{00000000-0005-0000-0000-0000E50A0000}"/>
    <cellStyle name="s_P_L_Ratios_B14_E2_2210" xfId="2766" xr:uid="{00000000-0005-0000-0000-0000E60A0000}"/>
    <cellStyle name="s_P_L_Ratios_B14_E2_2210_Bridge_Zone_Sud" xfId="2767" xr:uid="{00000000-0005-0000-0000-0000E70A0000}"/>
    <cellStyle name="s_P_L_Ratios_BFR_TD_2014.02" xfId="2768" xr:uid="{00000000-0005-0000-0000-0000E80A0000}"/>
    <cellStyle name="s_P_L_Ratios_Bridge_Zone_Nord" xfId="2769" xr:uid="{00000000-0005-0000-0000-0000E90A0000}"/>
    <cellStyle name="s_P_L_Ratios_CAPEM BY COUNTRY" xfId="2770" xr:uid="{00000000-0005-0000-0000-0000EA0A0000}"/>
    <cellStyle name="s_P_L_Ratios_LI819L_B13" xfId="704" xr:uid="{00000000-0005-0000-0000-0000EB0A0000}"/>
    <cellStyle name="s_P_L_Ratios_LI819L_B13_CAPEM BY COUNTRY" xfId="2771" xr:uid="{00000000-0005-0000-0000-0000EC0A0000}"/>
    <cellStyle name="s_P_L_Ratios_LI819L_B13_Maquette PLT" xfId="2772" xr:uid="{00000000-0005-0000-0000-0000ED0A0000}"/>
    <cellStyle name="s_P_L_Ratios_LI819L_B13_Output" xfId="3443" xr:uid="{00000000-0005-0000-0000-0000EE0A0000}"/>
    <cellStyle name="s_P_L_Ratios_LI819L_B13_PPA" xfId="2773" xr:uid="{00000000-0005-0000-0000-0000EF0A0000}"/>
    <cellStyle name="s_P_L_Ratios_LI819L_B13_RESOP bef CICE&amp;PPA&amp;RepartHO" xfId="2774" xr:uid="{00000000-0005-0000-0000-0000F00A0000}"/>
    <cellStyle name="s_P_L_Ratios_Maquette PLT" xfId="2775" xr:uid="{00000000-0005-0000-0000-0000F10A0000}"/>
    <cellStyle name="s_P_L_Ratios_Output" xfId="3444" xr:uid="{00000000-0005-0000-0000-0000F20A0000}"/>
    <cellStyle name="s_P_L_Ratios_PAO-CAF-RESOP_14_01_13 à 20h" xfId="705" xr:uid="{00000000-0005-0000-0000-0000F30A0000}"/>
    <cellStyle name="s_P_L_Ratios_PAO-CAF-RESOP_14_01_13 à 20h_CAPEM BY COUNTRY" xfId="2776" xr:uid="{00000000-0005-0000-0000-0000F40A0000}"/>
    <cellStyle name="s_P_L_Ratios_PAO-CAF-RESOP_14_01_13 à 20h_Maquette PLT" xfId="2777" xr:uid="{00000000-0005-0000-0000-0000F50A0000}"/>
    <cellStyle name="s_P_L_Ratios_PAO-CAF-RESOP_14_01_13 à 20h_Output" xfId="3445" xr:uid="{00000000-0005-0000-0000-0000F60A0000}"/>
    <cellStyle name="s_P_L_Ratios_PAO-CAF-RESOP_14_01_13 à 20h_PPA" xfId="2778" xr:uid="{00000000-0005-0000-0000-0000F70A0000}"/>
    <cellStyle name="s_P_L_Ratios_PAO-CAF-RESOP_14_01_13 à 20h_RESOP bef CICE&amp;PPA&amp;RepartHO" xfId="2779" xr:uid="{00000000-0005-0000-0000-0000F80A0000}"/>
    <cellStyle name="s_P_L_Ratios_PAO-CAF-RESOP_2014.02" xfId="2780" xr:uid="{00000000-0005-0000-0000-0000F90A0000}"/>
    <cellStyle name="s_P_L_Ratios_PAO-CAF-RESOP_2014.02_Bridge_Zone_Sud" xfId="2781" xr:uid="{00000000-0005-0000-0000-0000FA0A0000}"/>
    <cellStyle name="s_P_L_Ratios_PPA" xfId="2782" xr:uid="{00000000-0005-0000-0000-0000FB0A0000}"/>
    <cellStyle name="s_P_L_Ratios_RESOP bef CICE&amp;PPA&amp;RepartHO" xfId="2783" xr:uid="{00000000-0005-0000-0000-0000FC0A0000}"/>
    <cellStyle name="s_PAO-CAF-RESOP_14_01_13 à 20h" xfId="706" xr:uid="{00000000-0005-0000-0000-0000FD0A0000}"/>
    <cellStyle name="s_PAO-CAF-RESOP_14_01_13 à 20h_CAPEM BY COUNTRY" xfId="2784" xr:uid="{00000000-0005-0000-0000-0000FE0A0000}"/>
    <cellStyle name="s_PAO-CAF-RESOP_14_01_13 à 20h_Maquette PLT" xfId="2785" xr:uid="{00000000-0005-0000-0000-0000FF0A0000}"/>
    <cellStyle name="s_PAO-CAF-RESOP_14_01_13 à 20h_Output" xfId="3446" xr:uid="{00000000-0005-0000-0000-0000000B0000}"/>
    <cellStyle name="s_PAO-CAF-RESOP_14_01_13 à 20h_PPA" xfId="2786" xr:uid="{00000000-0005-0000-0000-0000010B0000}"/>
    <cellStyle name="s_PAO-CAF-RESOP_14_01_13 à 20h_RESOP bef CICE&amp;PPA&amp;RepartHO" xfId="2787" xr:uid="{00000000-0005-0000-0000-0000020B0000}"/>
    <cellStyle name="s_PAO-CAF-RESOP_2014.02" xfId="2788" xr:uid="{00000000-0005-0000-0000-0000030B0000}"/>
    <cellStyle name="s_PAO-CAF-RESOP_2014.02_Bridge_Zone_Sud" xfId="2789" xr:uid="{00000000-0005-0000-0000-0000040B0000}"/>
    <cellStyle name="s_PPA" xfId="2790" xr:uid="{00000000-0005-0000-0000-0000050B0000}"/>
    <cellStyle name="s_RESOP bef CICE&amp;PPA&amp;RepartHO" xfId="2791" xr:uid="{00000000-0005-0000-0000-0000060B0000}"/>
    <cellStyle name="s_S_By_S" xfId="707" xr:uid="{00000000-0005-0000-0000-0000070B0000}"/>
    <cellStyle name="s_S_By_S_Actualisation provision contrat déficitaire SNCM 2010 V Def" xfId="708" xr:uid="{00000000-0005-0000-0000-0000080B0000}"/>
    <cellStyle name="s_S_By_S_Actualisation provision contrat déficitaire SNCM 2010 V Def_B14_E2_2210" xfId="2792" xr:uid="{00000000-0005-0000-0000-0000090B0000}"/>
    <cellStyle name="s_S_By_S_Actualisation provision contrat déficitaire SNCM 2010 V Def_B14_E2_2210_Bridge_Zone_Sud" xfId="2793" xr:uid="{00000000-0005-0000-0000-00000A0B0000}"/>
    <cellStyle name="s_S_By_S_Actualisation provision contrat déficitaire SNCM 2010 V Def_Bridge_Zone_Sud" xfId="2794" xr:uid="{00000000-0005-0000-0000-00000B0B0000}"/>
    <cellStyle name="s_S_By_S_Actualisation provision contrat déficitaire SNCM 2010 V Def_CAPEM BY COUNTRY" xfId="2795" xr:uid="{00000000-0005-0000-0000-00000C0B0000}"/>
    <cellStyle name="s_S_By_S_Actualisation provision contrat déficitaire SNCM 2010 V Def_focus par entités CAFOPE2AMF" xfId="2796" xr:uid="{00000000-0005-0000-0000-00000D0B0000}"/>
    <cellStyle name="s_S_By_S_Actualisation provision contrat déficitaire SNCM 2010 V Def_focus par entités CAFOPE2AMF_Bridge_Zone_Sud" xfId="2797" xr:uid="{00000000-0005-0000-0000-00000E0B0000}"/>
    <cellStyle name="s_S_By_S_Actualisation provision contrat déficitaire SNCM 2010 V Def_Maquette PLT" xfId="2798" xr:uid="{00000000-0005-0000-0000-00000F0B0000}"/>
    <cellStyle name="s_S_By_S_Actualisation provision contrat déficitaire SNCM 2010 V Def_Output" xfId="3447" xr:uid="{00000000-0005-0000-0000-0000100B0000}"/>
    <cellStyle name="s_S_By_S_Actualisation provision contrat déficitaire SNCM 2010 V Def_PAO-CAF-RESOP_04_13_pro_format_variante T1" xfId="2799" xr:uid="{00000000-0005-0000-0000-0000110B0000}"/>
    <cellStyle name="s_S_By_S_Actualisation provision contrat déficitaire SNCM 2010 V Def_PAO-CAF-RESOP_04_13_pro_format_variante T1_B14_E2_2210" xfId="2800" xr:uid="{00000000-0005-0000-0000-0000120B0000}"/>
    <cellStyle name="s_S_By_S_Actualisation provision contrat déficitaire SNCM 2010 V Def_PAO-CAF-RESOP_04_13_pro_format_variante T1_B14_E2_2210_Bridge_Zone_Sud" xfId="2801" xr:uid="{00000000-0005-0000-0000-0000130B0000}"/>
    <cellStyle name="s_S_By_S_Actualisation provision contrat déficitaire SNCM 2010 V Def_PAO-CAF-RESOP_04_13_pro_format_variante T1_Bridge_Zone_Sud" xfId="2802" xr:uid="{00000000-0005-0000-0000-0000140B0000}"/>
    <cellStyle name="s_S_By_S_Actualisation provision contrat déficitaire SNCM 2010 V Def_PAO-CAF-RESOP_06_13" xfId="2803" xr:uid="{00000000-0005-0000-0000-0000150B0000}"/>
    <cellStyle name="s_S_By_S_Actualisation provision contrat déficitaire SNCM 2010 V Def_PAO-CAF-RESOP_06_13_B14_E2_2210" xfId="2804" xr:uid="{00000000-0005-0000-0000-0000160B0000}"/>
    <cellStyle name="s_S_By_S_Actualisation provision contrat déficitaire SNCM 2010 V Def_PAO-CAF-RESOP_06_13_B14_E2_2210_Bridge_Zone_Sud" xfId="2805" xr:uid="{00000000-0005-0000-0000-0000170B0000}"/>
    <cellStyle name="s_S_By_S_Actualisation provision contrat déficitaire SNCM 2010 V Def_PAO-CAF-RESOP_06_13_Bridge_Zone_Sud" xfId="2806" xr:uid="{00000000-0005-0000-0000-0000180B0000}"/>
    <cellStyle name="s_S_By_S_Actualisation provision contrat déficitaire SNCM 2010 V Def_PAO-CAF-RESOP_08_13" xfId="2807" xr:uid="{00000000-0005-0000-0000-0000190B0000}"/>
    <cellStyle name="s_S_By_S_Actualisation provision contrat déficitaire SNCM 2010 V Def_PAO-CAF-RESOP_08_13_B14_E2_2210" xfId="2808" xr:uid="{00000000-0005-0000-0000-00001A0B0000}"/>
    <cellStyle name="s_S_By_S_Actualisation provision contrat déficitaire SNCM 2010 V Def_PAO-CAF-RESOP_08_13_B14_E2_2210_Bridge_Zone_Sud" xfId="2809" xr:uid="{00000000-0005-0000-0000-00001B0B0000}"/>
    <cellStyle name="s_S_By_S_Actualisation provision contrat déficitaire SNCM 2010 V Def_PAO-CAF-RESOP_08_13_Bridge_Zone_Sud" xfId="2810" xr:uid="{00000000-0005-0000-0000-00001C0B0000}"/>
    <cellStyle name="s_S_By_S_Actualisation provision contrat déficitaire SNCM 2010 V Def_PAO-CAF-RESOP_09_13" xfId="2811" xr:uid="{00000000-0005-0000-0000-00001D0B0000}"/>
    <cellStyle name="s_S_By_S_Actualisation provision contrat déficitaire SNCM 2010 V Def_PAO-CAF-RESOP_09_13_Bridge_Zone_Sud" xfId="2812" xr:uid="{00000000-0005-0000-0000-00001E0B0000}"/>
    <cellStyle name="s_S_By_S_Actualisation provision contrat déficitaire SNCM 2010 V Def_PAO-CAF-RESOP_09_2013_Zone_IDF (version 2)" xfId="2813" xr:uid="{00000000-0005-0000-0000-00001F0B0000}"/>
    <cellStyle name="s_S_By_S_Actualisation provision contrat déficitaire SNCM 2010 V Def_PAO-CAF-RESOP_10_12" xfId="2814" xr:uid="{00000000-0005-0000-0000-0000200B0000}"/>
    <cellStyle name="s_S_By_S_Actualisation provision contrat déficitaire SNCM 2010 V Def_PAO-CAF-RESOP_10_12_Bridge_Zone_Sud" xfId="2815" xr:uid="{00000000-0005-0000-0000-0000210B0000}"/>
    <cellStyle name="s_S_By_S_Actualisation provision contrat déficitaire SNCM 2010 V Def_PAO-CAF-RESOP_10_12_focus par entités CAFOP" xfId="2816" xr:uid="{00000000-0005-0000-0000-0000220B0000}"/>
    <cellStyle name="s_S_By_S_Actualisation provision contrat déficitaire SNCM 2010 V Def_PAO-CAF-RESOP_10_12_focus par entités CAFOP_Bridge_Zone_Sud" xfId="2817" xr:uid="{00000000-0005-0000-0000-0000230B0000}"/>
    <cellStyle name="s_S_By_S_Actualisation provision contrat déficitaire SNCM 2010 V Def_PAO-CAF-RESOP_11_13" xfId="2818" xr:uid="{00000000-0005-0000-0000-0000240B0000}"/>
    <cellStyle name="s_S_By_S_Actualisation provision contrat déficitaire SNCM 2010 V Def_PAO-CAF-RESOP_B13" xfId="2819" xr:uid="{00000000-0005-0000-0000-0000250B0000}"/>
    <cellStyle name="s_S_By_S_Actualisation provision contrat déficitaire SNCM 2010 V Def_PAO-CAF-RESOP_B13_Bridge_Zone_Sud" xfId="2820" xr:uid="{00000000-0005-0000-0000-0000260B0000}"/>
    <cellStyle name="s_S_By_S_Actualisation provision contrat déficitaire SNCM 2010 V Def_PAO-CAF-RESOP_B13_focus par entités CAFOP" xfId="2821" xr:uid="{00000000-0005-0000-0000-0000270B0000}"/>
    <cellStyle name="s_S_By_S_Actualisation provision contrat déficitaire SNCM 2010 V Def_PAO-CAF-RESOP_B13_focus par entités CAFOP_Bridge_Zone_Sud" xfId="2822" xr:uid="{00000000-0005-0000-0000-0000280B0000}"/>
    <cellStyle name="s_S_By_S_Actualisation provision contrat déficitaire SNCM 2010 V Def_PAO-CAF-RESOP_B2014" xfId="2823" xr:uid="{00000000-0005-0000-0000-0000290B0000}"/>
    <cellStyle name="s_S_By_S_Actualisation provision contrat déficitaire SNCM 2010 V Def_PAO-CAF-RESOP_B2014_Bridge_Zone_Sud" xfId="2824" xr:uid="{00000000-0005-0000-0000-00002A0B0000}"/>
    <cellStyle name="s_S_By_S_Actualisation provision contrat déficitaire SNCM 2010 V Def_PAO-CAF-RESOP_B2014_v2" xfId="2825" xr:uid="{00000000-0005-0000-0000-00002B0B0000}"/>
    <cellStyle name="s_S_By_S_Actualisation provision contrat déficitaire SNCM 2010 V Def_PAO-CAF-RESOP_E2_13" xfId="2826" xr:uid="{00000000-0005-0000-0000-00002C0B0000}"/>
    <cellStyle name="s_S_By_S_Actualisation provision contrat déficitaire SNCM 2010 V Def_PAO-CAF-RESOP_E2_13_B14_E2_2210" xfId="2827" xr:uid="{00000000-0005-0000-0000-00002D0B0000}"/>
    <cellStyle name="s_S_By_S_Actualisation provision contrat déficitaire SNCM 2010 V Def_PAO-CAF-RESOP_E2_13_B14_E2_2210_Bridge_Zone_Sud" xfId="2828" xr:uid="{00000000-0005-0000-0000-00002E0B0000}"/>
    <cellStyle name="s_S_By_S_Actualisation provision contrat déficitaire SNCM 2010 V Def_PAO-CAF-RESOP_E2_13_Bridge_Zone_Sud" xfId="2829" xr:uid="{00000000-0005-0000-0000-00002F0B0000}"/>
    <cellStyle name="s_S_By_S_Actualisation provision contrat déficitaire SNCM 2010 V Def_PAO-CAF-RESOP_E2_2013_03_10_19H" xfId="2830" xr:uid="{00000000-0005-0000-0000-0000300B0000}"/>
    <cellStyle name="s_S_By_S_Actualisation provision contrat déficitaire SNCM 2010 V Def_PAO-CAF-RESOP_E2_2013_03_10_19H_Bridge_Zone_Sud" xfId="2831" xr:uid="{00000000-0005-0000-0000-0000310B0000}"/>
    <cellStyle name="s_S_By_S_Actualisation provision contrat déficitaire SNCM 2010 V Def_PPA" xfId="2832" xr:uid="{00000000-0005-0000-0000-0000320B0000}"/>
    <cellStyle name="s_S_By_S_Actualisation provision contrat déficitaire SNCM 2010 V Def_RESOP bef CICE&amp;PPA&amp;RepartHO" xfId="2833" xr:uid="{00000000-0005-0000-0000-0000330B0000}"/>
    <cellStyle name="s_S_By_S_Actualisation provision contrat déficitaire SNCM 2010 V Def_Synthèse_Présentation_conso_retraitée" xfId="2834" xr:uid="{00000000-0005-0000-0000-0000340B0000}"/>
    <cellStyle name="s_S_By_S_Actualisation provision contrat déficitaire SNCM 2011 V3 30 05 2011" xfId="709" xr:uid="{00000000-0005-0000-0000-0000350B0000}"/>
    <cellStyle name="s_S_By_S_Actualisation provision contrat déficitaire SNCM 2011 V3 30 05 2011_B14_E2_2210" xfId="2835" xr:uid="{00000000-0005-0000-0000-0000360B0000}"/>
    <cellStyle name="s_S_By_S_Actualisation provision contrat déficitaire SNCM 2011 V3 30 05 2011_B14_E2_2210_Bridge_Zone_Sud" xfId="2836" xr:uid="{00000000-0005-0000-0000-0000370B0000}"/>
    <cellStyle name="s_S_By_S_Actualisation provision contrat déficitaire SNCM 2011 V3 30 05 2011_Bridge_Zone_Sud" xfId="2837" xr:uid="{00000000-0005-0000-0000-0000380B0000}"/>
    <cellStyle name="s_S_By_S_Actualisation provision contrat déficitaire SNCM 2011 V3 30 05 2011_CAPEM BY COUNTRY" xfId="2838" xr:uid="{00000000-0005-0000-0000-0000390B0000}"/>
    <cellStyle name="s_S_By_S_Actualisation provision contrat déficitaire SNCM 2011 V3 30 05 2011_focus par entités CAFOPE2AMF" xfId="2839" xr:uid="{00000000-0005-0000-0000-00003A0B0000}"/>
    <cellStyle name="s_S_By_S_Actualisation provision contrat déficitaire SNCM 2011 V3 30 05 2011_focus par entités CAFOPE2AMF_Bridge_Zone_Sud" xfId="2840" xr:uid="{00000000-0005-0000-0000-00003B0B0000}"/>
    <cellStyle name="s_S_By_S_Actualisation provision contrat déficitaire SNCM 2011 V3 30 05 2011_Maquette PLT" xfId="2841" xr:uid="{00000000-0005-0000-0000-00003C0B0000}"/>
    <cellStyle name="s_S_By_S_Actualisation provision contrat déficitaire SNCM 2011 V3 30 05 2011_Output" xfId="3448" xr:uid="{00000000-0005-0000-0000-00003D0B0000}"/>
    <cellStyle name="s_S_By_S_Actualisation provision contrat déficitaire SNCM 2011 V3 30 05 2011_PAO-CAF-RESOP_04_13_pro_format_variante T1" xfId="2842" xr:uid="{00000000-0005-0000-0000-00003E0B0000}"/>
    <cellStyle name="s_S_By_S_Actualisation provision contrat déficitaire SNCM 2011 V3 30 05 2011_PAO-CAF-RESOP_04_13_pro_format_variante T1_B14_E2_2210" xfId="2843" xr:uid="{00000000-0005-0000-0000-00003F0B0000}"/>
    <cellStyle name="s_S_By_S_Actualisation provision contrat déficitaire SNCM 2011 V3 30 05 2011_PAO-CAF-RESOP_04_13_pro_format_variante T1_B14_E2_2210_Bridge_Zone_Sud" xfId="2844" xr:uid="{00000000-0005-0000-0000-0000400B0000}"/>
    <cellStyle name="s_S_By_S_Actualisation provision contrat déficitaire SNCM 2011 V3 30 05 2011_PAO-CAF-RESOP_04_13_pro_format_variante T1_Bridge_Zone_Sud" xfId="2845" xr:uid="{00000000-0005-0000-0000-0000410B0000}"/>
    <cellStyle name="s_S_By_S_Actualisation provision contrat déficitaire SNCM 2011 V3 30 05 2011_PAO-CAF-RESOP_06_13" xfId="2846" xr:uid="{00000000-0005-0000-0000-0000420B0000}"/>
    <cellStyle name="s_S_By_S_Actualisation provision contrat déficitaire SNCM 2011 V3 30 05 2011_PAO-CAF-RESOP_06_13_B14_E2_2210" xfId="2847" xr:uid="{00000000-0005-0000-0000-0000430B0000}"/>
    <cellStyle name="s_S_By_S_Actualisation provision contrat déficitaire SNCM 2011 V3 30 05 2011_PAO-CAF-RESOP_06_13_B14_E2_2210_Bridge_Zone_Sud" xfId="2848" xr:uid="{00000000-0005-0000-0000-0000440B0000}"/>
    <cellStyle name="s_S_By_S_Actualisation provision contrat déficitaire SNCM 2011 V3 30 05 2011_PAO-CAF-RESOP_06_13_Bridge_Zone_Sud" xfId="2849" xr:uid="{00000000-0005-0000-0000-0000450B0000}"/>
    <cellStyle name="s_S_By_S_Actualisation provision contrat déficitaire SNCM 2011 V3 30 05 2011_PAO-CAF-RESOP_08_13" xfId="2850" xr:uid="{00000000-0005-0000-0000-0000460B0000}"/>
    <cellStyle name="s_S_By_S_Actualisation provision contrat déficitaire SNCM 2011 V3 30 05 2011_PAO-CAF-RESOP_08_13_B14_E2_2210" xfId="2851" xr:uid="{00000000-0005-0000-0000-0000470B0000}"/>
    <cellStyle name="s_S_By_S_Actualisation provision contrat déficitaire SNCM 2011 V3 30 05 2011_PAO-CAF-RESOP_08_13_B14_E2_2210_Bridge_Zone_Sud" xfId="2852" xr:uid="{00000000-0005-0000-0000-0000480B0000}"/>
    <cellStyle name="s_S_By_S_Actualisation provision contrat déficitaire SNCM 2011 V3 30 05 2011_PAO-CAF-RESOP_08_13_Bridge_Zone_Sud" xfId="2853" xr:uid="{00000000-0005-0000-0000-0000490B0000}"/>
    <cellStyle name="s_S_By_S_Actualisation provision contrat déficitaire SNCM 2011 V3 30 05 2011_PAO-CAF-RESOP_09_13" xfId="2854" xr:uid="{00000000-0005-0000-0000-00004A0B0000}"/>
    <cellStyle name="s_S_By_S_Actualisation provision contrat déficitaire SNCM 2011 V3 30 05 2011_PAO-CAF-RESOP_09_13_Bridge_Zone_Sud" xfId="2855" xr:uid="{00000000-0005-0000-0000-00004B0B0000}"/>
    <cellStyle name="s_S_By_S_Actualisation provision contrat déficitaire SNCM 2011 V3 30 05 2011_PAO-CAF-RESOP_09_2013_Zone_IDF (version 2)" xfId="2856" xr:uid="{00000000-0005-0000-0000-00004C0B0000}"/>
    <cellStyle name="s_S_By_S_Actualisation provision contrat déficitaire SNCM 2011 V3 30 05 2011_PAO-CAF-RESOP_10_12" xfId="2857" xr:uid="{00000000-0005-0000-0000-00004D0B0000}"/>
    <cellStyle name="s_S_By_S_Actualisation provision contrat déficitaire SNCM 2011 V3 30 05 2011_PAO-CAF-RESOP_10_12_Bridge_Zone_Sud" xfId="2858" xr:uid="{00000000-0005-0000-0000-00004E0B0000}"/>
    <cellStyle name="s_S_By_S_Actualisation provision contrat déficitaire SNCM 2011 V3 30 05 2011_PAO-CAF-RESOP_10_12_focus par entités CAFOP" xfId="2859" xr:uid="{00000000-0005-0000-0000-00004F0B0000}"/>
    <cellStyle name="s_S_By_S_Actualisation provision contrat déficitaire SNCM 2011 V3 30 05 2011_PAO-CAF-RESOP_10_12_focus par entités CAFOP_Bridge_Zone_Sud" xfId="2860" xr:uid="{00000000-0005-0000-0000-0000500B0000}"/>
    <cellStyle name="s_S_By_S_Actualisation provision contrat déficitaire SNCM 2011 V3 30 05 2011_PAO-CAF-RESOP_11_13" xfId="2861" xr:uid="{00000000-0005-0000-0000-0000510B0000}"/>
    <cellStyle name="s_S_By_S_Actualisation provision contrat déficitaire SNCM 2011 V3 30 05 2011_PAO-CAF-RESOP_B13" xfId="2862" xr:uid="{00000000-0005-0000-0000-0000520B0000}"/>
    <cellStyle name="s_S_By_S_Actualisation provision contrat déficitaire SNCM 2011 V3 30 05 2011_PAO-CAF-RESOP_B13_Bridge_Zone_Sud" xfId="2863" xr:uid="{00000000-0005-0000-0000-0000530B0000}"/>
    <cellStyle name="s_S_By_S_Actualisation provision contrat déficitaire SNCM 2011 V3 30 05 2011_PAO-CAF-RESOP_B13_focus par entités CAFOP" xfId="2864" xr:uid="{00000000-0005-0000-0000-0000540B0000}"/>
    <cellStyle name="s_S_By_S_Actualisation provision contrat déficitaire SNCM 2011 V3 30 05 2011_PAO-CAF-RESOP_B13_focus par entités CAFOP_Bridge_Zone_Sud" xfId="2865" xr:uid="{00000000-0005-0000-0000-0000550B0000}"/>
    <cellStyle name="s_S_By_S_Actualisation provision contrat déficitaire SNCM 2011 V3 30 05 2011_PAO-CAF-RESOP_B2014" xfId="2866" xr:uid="{00000000-0005-0000-0000-0000560B0000}"/>
    <cellStyle name="s_S_By_S_Actualisation provision contrat déficitaire SNCM 2011 V3 30 05 2011_PAO-CAF-RESOP_B2014_Bridge_Zone_Sud" xfId="2867" xr:uid="{00000000-0005-0000-0000-0000570B0000}"/>
    <cellStyle name="s_S_By_S_Actualisation provision contrat déficitaire SNCM 2011 V3 30 05 2011_PAO-CAF-RESOP_B2014_v2" xfId="2868" xr:uid="{00000000-0005-0000-0000-0000580B0000}"/>
    <cellStyle name="s_S_By_S_Actualisation provision contrat déficitaire SNCM 2011 V3 30 05 2011_PAO-CAF-RESOP_E2_13" xfId="2869" xr:uid="{00000000-0005-0000-0000-0000590B0000}"/>
    <cellStyle name="s_S_By_S_Actualisation provision contrat déficitaire SNCM 2011 V3 30 05 2011_PAO-CAF-RESOP_E2_13_B14_E2_2210" xfId="2870" xr:uid="{00000000-0005-0000-0000-00005A0B0000}"/>
    <cellStyle name="s_S_By_S_Actualisation provision contrat déficitaire SNCM 2011 V3 30 05 2011_PAO-CAF-RESOP_E2_13_B14_E2_2210_Bridge_Zone_Sud" xfId="2871" xr:uid="{00000000-0005-0000-0000-00005B0B0000}"/>
    <cellStyle name="s_S_By_S_Actualisation provision contrat déficitaire SNCM 2011 V3 30 05 2011_PAO-CAF-RESOP_E2_13_Bridge_Zone_Sud" xfId="2872" xr:uid="{00000000-0005-0000-0000-00005C0B0000}"/>
    <cellStyle name="s_S_By_S_Actualisation provision contrat déficitaire SNCM 2011 V3 30 05 2011_PAO-CAF-RESOP_E2_2013_03_10_19H" xfId="2873" xr:uid="{00000000-0005-0000-0000-00005D0B0000}"/>
    <cellStyle name="s_S_By_S_Actualisation provision contrat déficitaire SNCM 2011 V3 30 05 2011_PAO-CAF-RESOP_E2_2013_03_10_19H_Bridge_Zone_Sud" xfId="2874" xr:uid="{00000000-0005-0000-0000-00005E0B0000}"/>
    <cellStyle name="s_S_By_S_Actualisation provision contrat déficitaire SNCM 2011 V3 30 05 2011_PPA" xfId="2875" xr:uid="{00000000-0005-0000-0000-00005F0B0000}"/>
    <cellStyle name="s_S_By_S_Actualisation provision contrat déficitaire SNCM 2011 V3 30 05 2011_RESOP bef CICE&amp;PPA&amp;RepartHO" xfId="2876" xr:uid="{00000000-0005-0000-0000-0000600B0000}"/>
    <cellStyle name="s_S_By_S_Actualisation provision contrat déficitaire SNCM 2011 V3 30 05 2011_Synthèse_Présentation_conso_retraitée" xfId="2877" xr:uid="{00000000-0005-0000-0000-0000610B0000}"/>
    <cellStyle name="s_S_By_S_B14_E2_2210" xfId="2878" xr:uid="{00000000-0005-0000-0000-0000620B0000}"/>
    <cellStyle name="s_S_By_S_B14_E2_2210_Bridge_Zone_Sud" xfId="2879" xr:uid="{00000000-0005-0000-0000-0000630B0000}"/>
    <cellStyle name="s_S_By_S_BFR_TD_2014.02" xfId="2880" xr:uid="{00000000-0005-0000-0000-0000640B0000}"/>
    <cellStyle name="s_S_By_S_Bridge_Zone_Nord" xfId="2881" xr:uid="{00000000-0005-0000-0000-0000650B0000}"/>
    <cellStyle name="s_S_By_S_CAPEM BY COUNTRY" xfId="2882" xr:uid="{00000000-0005-0000-0000-0000660B0000}"/>
    <cellStyle name="s_S_By_S_LI819L_B13" xfId="710" xr:uid="{00000000-0005-0000-0000-0000670B0000}"/>
    <cellStyle name="s_S_By_S_LI819L_B13_CAPEM BY COUNTRY" xfId="2883" xr:uid="{00000000-0005-0000-0000-0000680B0000}"/>
    <cellStyle name="s_S_By_S_LI819L_B13_Maquette PLT" xfId="2884" xr:uid="{00000000-0005-0000-0000-0000690B0000}"/>
    <cellStyle name="s_S_By_S_LI819L_B13_Output" xfId="3449" xr:uid="{00000000-0005-0000-0000-00006A0B0000}"/>
    <cellStyle name="s_S_By_S_LI819L_B13_PPA" xfId="2885" xr:uid="{00000000-0005-0000-0000-00006B0B0000}"/>
    <cellStyle name="s_S_By_S_LI819L_B13_RESOP bef CICE&amp;PPA&amp;RepartHO" xfId="2886" xr:uid="{00000000-0005-0000-0000-00006C0B0000}"/>
    <cellStyle name="s_S_By_S_Maquette PLT" xfId="2887" xr:uid="{00000000-0005-0000-0000-00006D0B0000}"/>
    <cellStyle name="s_S_By_S_Output" xfId="3450" xr:uid="{00000000-0005-0000-0000-00006E0B0000}"/>
    <cellStyle name="s_S_By_S_PAO-CAF-RESOP_14_01_13 à 20h" xfId="711" xr:uid="{00000000-0005-0000-0000-00006F0B0000}"/>
    <cellStyle name="s_S_By_S_PAO-CAF-RESOP_14_01_13 à 20h_CAPEM BY COUNTRY" xfId="2888" xr:uid="{00000000-0005-0000-0000-0000700B0000}"/>
    <cellStyle name="s_S_By_S_PAO-CAF-RESOP_14_01_13 à 20h_Maquette PLT" xfId="2889" xr:uid="{00000000-0005-0000-0000-0000710B0000}"/>
    <cellStyle name="s_S_By_S_PAO-CAF-RESOP_14_01_13 à 20h_Output" xfId="3451" xr:uid="{00000000-0005-0000-0000-0000720B0000}"/>
    <cellStyle name="s_S_By_S_PAO-CAF-RESOP_14_01_13 à 20h_PPA" xfId="2890" xr:uid="{00000000-0005-0000-0000-0000730B0000}"/>
    <cellStyle name="s_S_By_S_PAO-CAF-RESOP_14_01_13 à 20h_RESOP bef CICE&amp;PPA&amp;RepartHO" xfId="2891" xr:uid="{00000000-0005-0000-0000-0000740B0000}"/>
    <cellStyle name="s_S_By_S_PAO-CAF-RESOP_2014.02" xfId="2892" xr:uid="{00000000-0005-0000-0000-0000750B0000}"/>
    <cellStyle name="s_S_By_S_PAO-CAF-RESOP_2014.02_Bridge_Zone_Sud" xfId="2893" xr:uid="{00000000-0005-0000-0000-0000760B0000}"/>
    <cellStyle name="s_S_By_S_PPA" xfId="2894" xr:uid="{00000000-0005-0000-0000-0000770B0000}"/>
    <cellStyle name="s_S_By_S_RESOP bef CICE&amp;PPA&amp;RepartHO" xfId="2895" xr:uid="{00000000-0005-0000-0000-0000780B0000}"/>
    <cellStyle name="s_Sheet5" xfId="712" xr:uid="{00000000-0005-0000-0000-0000790B0000}"/>
    <cellStyle name="s_Sheet5_Actualisation provision contrat déficitaire SNCM 2010 V Def" xfId="713" xr:uid="{00000000-0005-0000-0000-00007A0B0000}"/>
    <cellStyle name="s_Sheet5_Actualisation provision contrat déficitaire SNCM 2010 V Def_B14_E2_2210" xfId="2896" xr:uid="{00000000-0005-0000-0000-00007B0B0000}"/>
    <cellStyle name="s_Sheet5_Actualisation provision contrat déficitaire SNCM 2010 V Def_B14_E2_2210_Bridge_Zone_Sud" xfId="2897" xr:uid="{00000000-0005-0000-0000-00007C0B0000}"/>
    <cellStyle name="s_Sheet5_Actualisation provision contrat déficitaire SNCM 2010 V Def_Bridge_Zone_Sud" xfId="2898" xr:uid="{00000000-0005-0000-0000-00007D0B0000}"/>
    <cellStyle name="s_Sheet5_Actualisation provision contrat déficitaire SNCM 2010 V Def_CAPEM BY COUNTRY" xfId="2899" xr:uid="{00000000-0005-0000-0000-00007E0B0000}"/>
    <cellStyle name="s_Sheet5_Actualisation provision contrat déficitaire SNCM 2010 V Def_focus par entités CAFOPE2AMF" xfId="2900" xr:uid="{00000000-0005-0000-0000-00007F0B0000}"/>
    <cellStyle name="s_Sheet5_Actualisation provision contrat déficitaire SNCM 2010 V Def_focus par entités CAFOPE2AMF_Bridge_Zone_Sud" xfId="2901" xr:uid="{00000000-0005-0000-0000-0000800B0000}"/>
    <cellStyle name="s_Sheet5_Actualisation provision contrat déficitaire SNCM 2010 V Def_Maquette PLT" xfId="2902" xr:uid="{00000000-0005-0000-0000-0000810B0000}"/>
    <cellStyle name="s_Sheet5_Actualisation provision contrat déficitaire SNCM 2010 V Def_Output" xfId="3452" xr:uid="{00000000-0005-0000-0000-0000820B0000}"/>
    <cellStyle name="s_Sheet5_Actualisation provision contrat déficitaire SNCM 2010 V Def_PAO-CAF-RESOP_04_13_pro_format_variante T1" xfId="2903" xr:uid="{00000000-0005-0000-0000-0000830B0000}"/>
    <cellStyle name="s_Sheet5_Actualisation provision contrat déficitaire SNCM 2010 V Def_PAO-CAF-RESOP_04_13_pro_format_variante T1_B14_E2_2210" xfId="2904" xr:uid="{00000000-0005-0000-0000-0000840B0000}"/>
    <cellStyle name="s_Sheet5_Actualisation provision contrat déficitaire SNCM 2010 V Def_PAO-CAF-RESOP_04_13_pro_format_variante T1_B14_E2_2210_Bridge_Zone_Sud" xfId="2905" xr:uid="{00000000-0005-0000-0000-0000850B0000}"/>
    <cellStyle name="s_Sheet5_Actualisation provision contrat déficitaire SNCM 2010 V Def_PAO-CAF-RESOP_04_13_pro_format_variante T1_Bridge_Zone_Sud" xfId="2906" xr:uid="{00000000-0005-0000-0000-0000860B0000}"/>
    <cellStyle name="s_Sheet5_Actualisation provision contrat déficitaire SNCM 2010 V Def_PAO-CAF-RESOP_06_13" xfId="2907" xr:uid="{00000000-0005-0000-0000-0000870B0000}"/>
    <cellStyle name="s_Sheet5_Actualisation provision contrat déficitaire SNCM 2010 V Def_PAO-CAF-RESOP_06_13_B14_E2_2210" xfId="2908" xr:uid="{00000000-0005-0000-0000-0000880B0000}"/>
    <cellStyle name="s_Sheet5_Actualisation provision contrat déficitaire SNCM 2010 V Def_PAO-CAF-RESOP_06_13_B14_E2_2210_Bridge_Zone_Sud" xfId="2909" xr:uid="{00000000-0005-0000-0000-0000890B0000}"/>
    <cellStyle name="s_Sheet5_Actualisation provision contrat déficitaire SNCM 2010 V Def_PAO-CAF-RESOP_06_13_Bridge_Zone_Sud" xfId="2910" xr:uid="{00000000-0005-0000-0000-00008A0B0000}"/>
    <cellStyle name="s_Sheet5_Actualisation provision contrat déficitaire SNCM 2010 V Def_PAO-CAF-RESOP_08_13" xfId="2911" xr:uid="{00000000-0005-0000-0000-00008B0B0000}"/>
    <cellStyle name="s_Sheet5_Actualisation provision contrat déficitaire SNCM 2010 V Def_PAO-CAF-RESOP_08_13_B14_E2_2210" xfId="2912" xr:uid="{00000000-0005-0000-0000-00008C0B0000}"/>
    <cellStyle name="s_Sheet5_Actualisation provision contrat déficitaire SNCM 2010 V Def_PAO-CAF-RESOP_08_13_B14_E2_2210_Bridge_Zone_Sud" xfId="2913" xr:uid="{00000000-0005-0000-0000-00008D0B0000}"/>
    <cellStyle name="s_Sheet5_Actualisation provision contrat déficitaire SNCM 2010 V Def_PAO-CAF-RESOP_08_13_Bridge_Zone_Sud" xfId="2914" xr:uid="{00000000-0005-0000-0000-00008E0B0000}"/>
    <cellStyle name="s_Sheet5_Actualisation provision contrat déficitaire SNCM 2010 V Def_PAO-CAF-RESOP_09_13" xfId="2915" xr:uid="{00000000-0005-0000-0000-00008F0B0000}"/>
    <cellStyle name="s_Sheet5_Actualisation provision contrat déficitaire SNCM 2010 V Def_PAO-CAF-RESOP_09_13_Bridge_Zone_Sud" xfId="2916" xr:uid="{00000000-0005-0000-0000-0000900B0000}"/>
    <cellStyle name="s_Sheet5_Actualisation provision contrat déficitaire SNCM 2010 V Def_PAO-CAF-RESOP_09_2013_Zone_IDF (version 2)" xfId="2917" xr:uid="{00000000-0005-0000-0000-0000910B0000}"/>
    <cellStyle name="s_Sheet5_Actualisation provision contrat déficitaire SNCM 2010 V Def_PAO-CAF-RESOP_10_12" xfId="2918" xr:uid="{00000000-0005-0000-0000-0000920B0000}"/>
    <cellStyle name="s_Sheet5_Actualisation provision contrat déficitaire SNCM 2010 V Def_PAO-CAF-RESOP_10_12_Bridge_Zone_Sud" xfId="2919" xr:uid="{00000000-0005-0000-0000-0000930B0000}"/>
    <cellStyle name="s_Sheet5_Actualisation provision contrat déficitaire SNCM 2010 V Def_PAO-CAF-RESOP_10_12_focus par entités CAFOP" xfId="2920" xr:uid="{00000000-0005-0000-0000-0000940B0000}"/>
    <cellStyle name="s_Sheet5_Actualisation provision contrat déficitaire SNCM 2010 V Def_PAO-CAF-RESOP_10_12_focus par entités CAFOP_Bridge_Zone_Sud" xfId="2921" xr:uid="{00000000-0005-0000-0000-0000950B0000}"/>
    <cellStyle name="s_Sheet5_Actualisation provision contrat déficitaire SNCM 2010 V Def_PAO-CAF-RESOP_11_13" xfId="2922" xr:uid="{00000000-0005-0000-0000-0000960B0000}"/>
    <cellStyle name="s_Sheet5_Actualisation provision contrat déficitaire SNCM 2010 V Def_PAO-CAF-RESOP_B13" xfId="2923" xr:uid="{00000000-0005-0000-0000-0000970B0000}"/>
    <cellStyle name="s_Sheet5_Actualisation provision contrat déficitaire SNCM 2010 V Def_PAO-CAF-RESOP_B13_Bridge_Zone_Sud" xfId="2924" xr:uid="{00000000-0005-0000-0000-0000980B0000}"/>
    <cellStyle name="s_Sheet5_Actualisation provision contrat déficitaire SNCM 2010 V Def_PAO-CAF-RESOP_B13_focus par entités CAFOP" xfId="2925" xr:uid="{00000000-0005-0000-0000-0000990B0000}"/>
    <cellStyle name="s_Sheet5_Actualisation provision contrat déficitaire SNCM 2010 V Def_PAO-CAF-RESOP_B13_focus par entités CAFOP_Bridge_Zone_Sud" xfId="2926" xr:uid="{00000000-0005-0000-0000-00009A0B0000}"/>
    <cellStyle name="s_Sheet5_Actualisation provision contrat déficitaire SNCM 2010 V Def_PAO-CAF-RESOP_B2014" xfId="2927" xr:uid="{00000000-0005-0000-0000-00009B0B0000}"/>
    <cellStyle name="s_Sheet5_Actualisation provision contrat déficitaire SNCM 2010 V Def_PAO-CAF-RESOP_B2014_Bridge_Zone_Sud" xfId="2928" xr:uid="{00000000-0005-0000-0000-00009C0B0000}"/>
    <cellStyle name="s_Sheet5_Actualisation provision contrat déficitaire SNCM 2010 V Def_PAO-CAF-RESOP_B2014_v2" xfId="2929" xr:uid="{00000000-0005-0000-0000-00009D0B0000}"/>
    <cellStyle name="s_Sheet5_Actualisation provision contrat déficitaire SNCM 2010 V Def_PAO-CAF-RESOP_E2_13" xfId="2930" xr:uid="{00000000-0005-0000-0000-00009E0B0000}"/>
    <cellStyle name="s_Sheet5_Actualisation provision contrat déficitaire SNCM 2010 V Def_PAO-CAF-RESOP_E2_13_B14_E2_2210" xfId="2931" xr:uid="{00000000-0005-0000-0000-00009F0B0000}"/>
    <cellStyle name="s_Sheet5_Actualisation provision contrat déficitaire SNCM 2010 V Def_PAO-CAF-RESOP_E2_13_B14_E2_2210_Bridge_Zone_Sud" xfId="2932" xr:uid="{00000000-0005-0000-0000-0000A00B0000}"/>
    <cellStyle name="s_Sheet5_Actualisation provision contrat déficitaire SNCM 2010 V Def_PAO-CAF-RESOP_E2_13_Bridge_Zone_Sud" xfId="2933" xr:uid="{00000000-0005-0000-0000-0000A10B0000}"/>
    <cellStyle name="s_Sheet5_Actualisation provision contrat déficitaire SNCM 2010 V Def_PAO-CAF-RESOP_E2_2013_03_10_19H" xfId="2934" xr:uid="{00000000-0005-0000-0000-0000A20B0000}"/>
    <cellStyle name="s_Sheet5_Actualisation provision contrat déficitaire SNCM 2010 V Def_PAO-CAF-RESOP_E2_2013_03_10_19H_Bridge_Zone_Sud" xfId="2935" xr:uid="{00000000-0005-0000-0000-0000A30B0000}"/>
    <cellStyle name="s_Sheet5_Actualisation provision contrat déficitaire SNCM 2010 V Def_PPA" xfId="2936" xr:uid="{00000000-0005-0000-0000-0000A40B0000}"/>
    <cellStyle name="s_Sheet5_Actualisation provision contrat déficitaire SNCM 2010 V Def_RESOP bef CICE&amp;PPA&amp;RepartHO" xfId="2937" xr:uid="{00000000-0005-0000-0000-0000A50B0000}"/>
    <cellStyle name="s_Sheet5_Actualisation provision contrat déficitaire SNCM 2010 V Def_Synthèse_Présentation_conso_retraitée" xfId="2938" xr:uid="{00000000-0005-0000-0000-0000A60B0000}"/>
    <cellStyle name="s_Sheet5_Actualisation provision contrat déficitaire SNCM 2011 V3 30 05 2011" xfId="714" xr:uid="{00000000-0005-0000-0000-0000A70B0000}"/>
    <cellStyle name="s_Sheet5_Actualisation provision contrat déficitaire SNCM 2011 V3 30 05 2011_B14_E2_2210" xfId="2939" xr:uid="{00000000-0005-0000-0000-0000A80B0000}"/>
    <cellStyle name="s_Sheet5_Actualisation provision contrat déficitaire SNCM 2011 V3 30 05 2011_B14_E2_2210_Bridge_Zone_Sud" xfId="2940" xr:uid="{00000000-0005-0000-0000-0000A90B0000}"/>
    <cellStyle name="s_Sheet5_Actualisation provision contrat déficitaire SNCM 2011 V3 30 05 2011_Bridge_Zone_Sud" xfId="2941" xr:uid="{00000000-0005-0000-0000-0000AA0B0000}"/>
    <cellStyle name="s_Sheet5_Actualisation provision contrat déficitaire SNCM 2011 V3 30 05 2011_CAPEM BY COUNTRY" xfId="2942" xr:uid="{00000000-0005-0000-0000-0000AB0B0000}"/>
    <cellStyle name="s_Sheet5_Actualisation provision contrat déficitaire SNCM 2011 V3 30 05 2011_focus par entités CAFOPE2AMF" xfId="2943" xr:uid="{00000000-0005-0000-0000-0000AC0B0000}"/>
    <cellStyle name="s_Sheet5_Actualisation provision contrat déficitaire SNCM 2011 V3 30 05 2011_focus par entités CAFOPE2AMF_Bridge_Zone_Sud" xfId="2944" xr:uid="{00000000-0005-0000-0000-0000AD0B0000}"/>
    <cellStyle name="s_Sheet5_Actualisation provision contrat déficitaire SNCM 2011 V3 30 05 2011_Maquette PLT" xfId="2945" xr:uid="{00000000-0005-0000-0000-0000AE0B0000}"/>
    <cellStyle name="s_Sheet5_Actualisation provision contrat déficitaire SNCM 2011 V3 30 05 2011_Output" xfId="3453" xr:uid="{00000000-0005-0000-0000-0000AF0B0000}"/>
    <cellStyle name="s_Sheet5_Actualisation provision contrat déficitaire SNCM 2011 V3 30 05 2011_PAO-CAF-RESOP_04_13_pro_format_variante T1" xfId="2946" xr:uid="{00000000-0005-0000-0000-0000B00B0000}"/>
    <cellStyle name="s_Sheet5_Actualisation provision contrat déficitaire SNCM 2011 V3 30 05 2011_PAO-CAF-RESOP_04_13_pro_format_variante T1_B14_E2_2210" xfId="2947" xr:uid="{00000000-0005-0000-0000-0000B10B0000}"/>
    <cellStyle name="s_Sheet5_Actualisation provision contrat déficitaire SNCM 2011 V3 30 05 2011_PAO-CAF-RESOP_04_13_pro_format_variante T1_B14_E2_2210_Bridge_Zone_Sud" xfId="2948" xr:uid="{00000000-0005-0000-0000-0000B20B0000}"/>
    <cellStyle name="s_Sheet5_Actualisation provision contrat déficitaire SNCM 2011 V3 30 05 2011_PAO-CAF-RESOP_04_13_pro_format_variante T1_Bridge_Zone_Sud" xfId="2949" xr:uid="{00000000-0005-0000-0000-0000B30B0000}"/>
    <cellStyle name="s_Sheet5_Actualisation provision contrat déficitaire SNCM 2011 V3 30 05 2011_PAO-CAF-RESOP_06_13" xfId="2950" xr:uid="{00000000-0005-0000-0000-0000B40B0000}"/>
    <cellStyle name="s_Sheet5_Actualisation provision contrat déficitaire SNCM 2011 V3 30 05 2011_PAO-CAF-RESOP_06_13_B14_E2_2210" xfId="2951" xr:uid="{00000000-0005-0000-0000-0000B50B0000}"/>
    <cellStyle name="s_Sheet5_Actualisation provision contrat déficitaire SNCM 2011 V3 30 05 2011_PAO-CAF-RESOP_06_13_B14_E2_2210_Bridge_Zone_Sud" xfId="2952" xr:uid="{00000000-0005-0000-0000-0000B60B0000}"/>
    <cellStyle name="s_Sheet5_Actualisation provision contrat déficitaire SNCM 2011 V3 30 05 2011_PAO-CAF-RESOP_06_13_Bridge_Zone_Sud" xfId="2953" xr:uid="{00000000-0005-0000-0000-0000B70B0000}"/>
    <cellStyle name="s_Sheet5_Actualisation provision contrat déficitaire SNCM 2011 V3 30 05 2011_PAO-CAF-RESOP_08_13" xfId="2954" xr:uid="{00000000-0005-0000-0000-0000B80B0000}"/>
    <cellStyle name="s_Sheet5_Actualisation provision contrat déficitaire SNCM 2011 V3 30 05 2011_PAO-CAF-RESOP_08_13_B14_E2_2210" xfId="2955" xr:uid="{00000000-0005-0000-0000-0000B90B0000}"/>
    <cellStyle name="s_Sheet5_Actualisation provision contrat déficitaire SNCM 2011 V3 30 05 2011_PAO-CAF-RESOP_08_13_B14_E2_2210_Bridge_Zone_Sud" xfId="2956" xr:uid="{00000000-0005-0000-0000-0000BA0B0000}"/>
    <cellStyle name="s_Sheet5_Actualisation provision contrat déficitaire SNCM 2011 V3 30 05 2011_PAO-CAF-RESOP_08_13_Bridge_Zone_Sud" xfId="2957" xr:uid="{00000000-0005-0000-0000-0000BB0B0000}"/>
    <cellStyle name="s_Sheet5_Actualisation provision contrat déficitaire SNCM 2011 V3 30 05 2011_PAO-CAF-RESOP_09_13" xfId="2958" xr:uid="{00000000-0005-0000-0000-0000BC0B0000}"/>
    <cellStyle name="s_Sheet5_Actualisation provision contrat déficitaire SNCM 2011 V3 30 05 2011_PAO-CAF-RESOP_09_13_Bridge_Zone_Sud" xfId="2959" xr:uid="{00000000-0005-0000-0000-0000BD0B0000}"/>
    <cellStyle name="s_Sheet5_Actualisation provision contrat déficitaire SNCM 2011 V3 30 05 2011_PAO-CAF-RESOP_09_2013_Zone_IDF (version 2)" xfId="2960" xr:uid="{00000000-0005-0000-0000-0000BE0B0000}"/>
    <cellStyle name="s_Sheet5_Actualisation provision contrat déficitaire SNCM 2011 V3 30 05 2011_PAO-CAF-RESOP_10_12" xfId="2961" xr:uid="{00000000-0005-0000-0000-0000BF0B0000}"/>
    <cellStyle name="s_Sheet5_Actualisation provision contrat déficitaire SNCM 2011 V3 30 05 2011_PAO-CAF-RESOP_10_12_Bridge_Zone_Sud" xfId="2962" xr:uid="{00000000-0005-0000-0000-0000C00B0000}"/>
    <cellStyle name="s_Sheet5_Actualisation provision contrat déficitaire SNCM 2011 V3 30 05 2011_PAO-CAF-RESOP_10_12_focus par entités CAFOP" xfId="2963" xr:uid="{00000000-0005-0000-0000-0000C10B0000}"/>
    <cellStyle name="s_Sheet5_Actualisation provision contrat déficitaire SNCM 2011 V3 30 05 2011_PAO-CAF-RESOP_10_12_focus par entités CAFOP_Bridge_Zone_Sud" xfId="2964" xr:uid="{00000000-0005-0000-0000-0000C20B0000}"/>
    <cellStyle name="s_Sheet5_Actualisation provision contrat déficitaire SNCM 2011 V3 30 05 2011_PAO-CAF-RESOP_11_13" xfId="2965" xr:uid="{00000000-0005-0000-0000-0000C30B0000}"/>
    <cellStyle name="s_Sheet5_Actualisation provision contrat déficitaire SNCM 2011 V3 30 05 2011_PAO-CAF-RESOP_B13" xfId="2966" xr:uid="{00000000-0005-0000-0000-0000C40B0000}"/>
    <cellStyle name="s_Sheet5_Actualisation provision contrat déficitaire SNCM 2011 V3 30 05 2011_PAO-CAF-RESOP_B13_Bridge_Zone_Sud" xfId="2967" xr:uid="{00000000-0005-0000-0000-0000C50B0000}"/>
    <cellStyle name="s_Sheet5_Actualisation provision contrat déficitaire SNCM 2011 V3 30 05 2011_PAO-CAF-RESOP_B13_focus par entités CAFOP" xfId="2968" xr:uid="{00000000-0005-0000-0000-0000C60B0000}"/>
    <cellStyle name="s_Sheet5_Actualisation provision contrat déficitaire SNCM 2011 V3 30 05 2011_PAO-CAF-RESOP_B13_focus par entités CAFOP_Bridge_Zone_Sud" xfId="2969" xr:uid="{00000000-0005-0000-0000-0000C70B0000}"/>
    <cellStyle name="s_Sheet5_Actualisation provision contrat déficitaire SNCM 2011 V3 30 05 2011_PAO-CAF-RESOP_B2014" xfId="2970" xr:uid="{00000000-0005-0000-0000-0000C80B0000}"/>
    <cellStyle name="s_Sheet5_Actualisation provision contrat déficitaire SNCM 2011 V3 30 05 2011_PAO-CAF-RESOP_B2014_Bridge_Zone_Sud" xfId="2971" xr:uid="{00000000-0005-0000-0000-0000C90B0000}"/>
    <cellStyle name="s_Sheet5_Actualisation provision contrat déficitaire SNCM 2011 V3 30 05 2011_PAO-CAF-RESOP_B2014_v2" xfId="2972" xr:uid="{00000000-0005-0000-0000-0000CA0B0000}"/>
    <cellStyle name="s_Sheet5_Actualisation provision contrat déficitaire SNCM 2011 V3 30 05 2011_PAO-CAF-RESOP_E2_13" xfId="2973" xr:uid="{00000000-0005-0000-0000-0000CB0B0000}"/>
    <cellStyle name="s_Sheet5_Actualisation provision contrat déficitaire SNCM 2011 V3 30 05 2011_PAO-CAF-RESOP_E2_13_B14_E2_2210" xfId="2974" xr:uid="{00000000-0005-0000-0000-0000CC0B0000}"/>
    <cellStyle name="s_Sheet5_Actualisation provision contrat déficitaire SNCM 2011 V3 30 05 2011_PAO-CAF-RESOP_E2_13_B14_E2_2210_Bridge_Zone_Sud" xfId="2975" xr:uid="{00000000-0005-0000-0000-0000CD0B0000}"/>
    <cellStyle name="s_Sheet5_Actualisation provision contrat déficitaire SNCM 2011 V3 30 05 2011_PAO-CAF-RESOP_E2_13_Bridge_Zone_Sud" xfId="2976" xr:uid="{00000000-0005-0000-0000-0000CE0B0000}"/>
    <cellStyle name="s_Sheet5_Actualisation provision contrat déficitaire SNCM 2011 V3 30 05 2011_PAO-CAF-RESOP_E2_2013_03_10_19H" xfId="2977" xr:uid="{00000000-0005-0000-0000-0000CF0B0000}"/>
    <cellStyle name="s_Sheet5_Actualisation provision contrat déficitaire SNCM 2011 V3 30 05 2011_PAO-CAF-RESOP_E2_2013_03_10_19H_Bridge_Zone_Sud" xfId="2978" xr:uid="{00000000-0005-0000-0000-0000D00B0000}"/>
    <cellStyle name="s_Sheet5_Actualisation provision contrat déficitaire SNCM 2011 V3 30 05 2011_PPA" xfId="2979" xr:uid="{00000000-0005-0000-0000-0000D10B0000}"/>
    <cellStyle name="s_Sheet5_Actualisation provision contrat déficitaire SNCM 2011 V3 30 05 2011_RESOP bef CICE&amp;PPA&amp;RepartHO" xfId="2980" xr:uid="{00000000-0005-0000-0000-0000D20B0000}"/>
    <cellStyle name="s_Sheet5_Actualisation provision contrat déficitaire SNCM 2011 V3 30 05 2011_Synthèse_Présentation_conso_retraitée" xfId="2981" xr:uid="{00000000-0005-0000-0000-0000D30B0000}"/>
    <cellStyle name="s_Sheet5_B14_E2_2210" xfId="2982" xr:uid="{00000000-0005-0000-0000-0000D40B0000}"/>
    <cellStyle name="s_Sheet5_B14_E2_2210_Bridge_Zone_Sud" xfId="2983" xr:uid="{00000000-0005-0000-0000-0000D50B0000}"/>
    <cellStyle name="s_Sheet5_BFR_TD_2014.02" xfId="2984" xr:uid="{00000000-0005-0000-0000-0000D60B0000}"/>
    <cellStyle name="s_Sheet5_Bridge_Zone_Nord" xfId="2985" xr:uid="{00000000-0005-0000-0000-0000D70B0000}"/>
    <cellStyle name="s_Sheet5_CAPEM BY COUNTRY" xfId="2986" xr:uid="{00000000-0005-0000-0000-0000D80B0000}"/>
    <cellStyle name="s_Sheet5_LI819L_B13" xfId="715" xr:uid="{00000000-0005-0000-0000-0000D90B0000}"/>
    <cellStyle name="s_Sheet5_LI819L_B13_CAPEM BY COUNTRY" xfId="2987" xr:uid="{00000000-0005-0000-0000-0000DA0B0000}"/>
    <cellStyle name="s_Sheet5_LI819L_B13_Maquette PLT" xfId="2988" xr:uid="{00000000-0005-0000-0000-0000DB0B0000}"/>
    <cellStyle name="s_Sheet5_LI819L_B13_Output" xfId="3454" xr:uid="{00000000-0005-0000-0000-0000DC0B0000}"/>
    <cellStyle name="s_Sheet5_LI819L_B13_PPA" xfId="2989" xr:uid="{00000000-0005-0000-0000-0000DD0B0000}"/>
    <cellStyle name="s_Sheet5_LI819L_B13_RESOP bef CICE&amp;PPA&amp;RepartHO" xfId="2990" xr:uid="{00000000-0005-0000-0000-0000DE0B0000}"/>
    <cellStyle name="s_Sheet5_Maquette PLT" xfId="2991" xr:uid="{00000000-0005-0000-0000-0000DF0B0000}"/>
    <cellStyle name="s_Sheet5_Output" xfId="3455" xr:uid="{00000000-0005-0000-0000-0000E00B0000}"/>
    <cellStyle name="s_Sheet5_PAO-CAF-RESOP_14_01_13 à 20h" xfId="716" xr:uid="{00000000-0005-0000-0000-0000E10B0000}"/>
    <cellStyle name="s_Sheet5_PAO-CAF-RESOP_14_01_13 à 20h_CAPEM BY COUNTRY" xfId="2992" xr:uid="{00000000-0005-0000-0000-0000E20B0000}"/>
    <cellStyle name="s_Sheet5_PAO-CAF-RESOP_14_01_13 à 20h_Maquette PLT" xfId="2993" xr:uid="{00000000-0005-0000-0000-0000E30B0000}"/>
    <cellStyle name="s_Sheet5_PAO-CAF-RESOP_14_01_13 à 20h_Output" xfId="3456" xr:uid="{00000000-0005-0000-0000-0000E40B0000}"/>
    <cellStyle name="s_Sheet5_PAO-CAF-RESOP_14_01_13 à 20h_PPA" xfId="2994" xr:uid="{00000000-0005-0000-0000-0000E50B0000}"/>
    <cellStyle name="s_Sheet5_PAO-CAF-RESOP_14_01_13 à 20h_RESOP bef CICE&amp;PPA&amp;RepartHO" xfId="2995" xr:uid="{00000000-0005-0000-0000-0000E60B0000}"/>
    <cellStyle name="s_Sheet5_PAO-CAF-RESOP_2014.02" xfId="2996" xr:uid="{00000000-0005-0000-0000-0000E70B0000}"/>
    <cellStyle name="s_Sheet5_PAO-CAF-RESOP_2014.02_Bridge_Zone_Sud" xfId="2997" xr:uid="{00000000-0005-0000-0000-0000E80B0000}"/>
    <cellStyle name="s_Sheet5_PPA" xfId="2998" xr:uid="{00000000-0005-0000-0000-0000E90B0000}"/>
    <cellStyle name="s_Sheet5_RESOP bef CICE&amp;PPA&amp;RepartHO" xfId="2999" xr:uid="{00000000-0005-0000-0000-0000EA0B0000}"/>
    <cellStyle name="s_Valuation " xfId="717" xr:uid="{00000000-0005-0000-0000-0000EB0B0000}"/>
    <cellStyle name="s_Valuation _Actualisation provision contrat déficitaire SNCM 2010 V Def" xfId="718" xr:uid="{00000000-0005-0000-0000-0000EC0B0000}"/>
    <cellStyle name="s_Valuation _Actualisation provision contrat déficitaire SNCM 2010 V Def_B14_E2_2210" xfId="3000" xr:uid="{00000000-0005-0000-0000-0000ED0B0000}"/>
    <cellStyle name="s_Valuation _Actualisation provision contrat déficitaire SNCM 2010 V Def_B14_E2_2210_Bridge_Zone_Sud" xfId="3001" xr:uid="{00000000-0005-0000-0000-0000EE0B0000}"/>
    <cellStyle name="s_Valuation _Actualisation provision contrat déficitaire SNCM 2010 V Def_Bridge_Zone_Sud" xfId="3002" xr:uid="{00000000-0005-0000-0000-0000EF0B0000}"/>
    <cellStyle name="s_Valuation _Actualisation provision contrat déficitaire SNCM 2010 V Def_CAPEM BY COUNTRY" xfId="3003" xr:uid="{00000000-0005-0000-0000-0000F00B0000}"/>
    <cellStyle name="s_Valuation _Actualisation provision contrat déficitaire SNCM 2010 V Def_focus par entités CAFOPE2AMF" xfId="3004" xr:uid="{00000000-0005-0000-0000-0000F10B0000}"/>
    <cellStyle name="s_Valuation _Actualisation provision contrat déficitaire SNCM 2010 V Def_focus par entités CAFOPE2AMF_Bridge_Zone_Sud" xfId="3005" xr:uid="{00000000-0005-0000-0000-0000F20B0000}"/>
    <cellStyle name="s_Valuation _Actualisation provision contrat déficitaire SNCM 2010 V Def_Maquette PLT" xfId="3006" xr:uid="{00000000-0005-0000-0000-0000F30B0000}"/>
    <cellStyle name="s_Valuation _Actualisation provision contrat déficitaire SNCM 2010 V Def_Output" xfId="3457" xr:uid="{00000000-0005-0000-0000-0000F40B0000}"/>
    <cellStyle name="s_Valuation _Actualisation provision contrat déficitaire SNCM 2010 V Def_PAO-CAF-RESOP_04_13_pro_format_variante T1" xfId="3007" xr:uid="{00000000-0005-0000-0000-0000F50B0000}"/>
    <cellStyle name="s_Valuation _Actualisation provision contrat déficitaire SNCM 2010 V Def_PAO-CAF-RESOP_04_13_pro_format_variante T1_B14_E2_2210" xfId="3008" xr:uid="{00000000-0005-0000-0000-0000F60B0000}"/>
    <cellStyle name="s_Valuation _Actualisation provision contrat déficitaire SNCM 2010 V Def_PAO-CAF-RESOP_04_13_pro_format_variante T1_B14_E2_2210_Bridge_Zone_Sud" xfId="3009" xr:uid="{00000000-0005-0000-0000-0000F70B0000}"/>
    <cellStyle name="s_Valuation _Actualisation provision contrat déficitaire SNCM 2010 V Def_PAO-CAF-RESOP_04_13_pro_format_variante T1_Bridge_Zone_Sud" xfId="3010" xr:uid="{00000000-0005-0000-0000-0000F80B0000}"/>
    <cellStyle name="s_Valuation _Actualisation provision contrat déficitaire SNCM 2010 V Def_PAO-CAF-RESOP_06_13" xfId="3011" xr:uid="{00000000-0005-0000-0000-0000F90B0000}"/>
    <cellStyle name="s_Valuation _Actualisation provision contrat déficitaire SNCM 2010 V Def_PAO-CAF-RESOP_06_13_B14_E2_2210" xfId="3012" xr:uid="{00000000-0005-0000-0000-0000FA0B0000}"/>
    <cellStyle name="s_Valuation _Actualisation provision contrat déficitaire SNCM 2010 V Def_PAO-CAF-RESOP_06_13_B14_E2_2210_Bridge_Zone_Sud" xfId="3013" xr:uid="{00000000-0005-0000-0000-0000FB0B0000}"/>
    <cellStyle name="s_Valuation _Actualisation provision contrat déficitaire SNCM 2010 V Def_PAO-CAF-RESOP_06_13_Bridge_Zone_Sud" xfId="3014" xr:uid="{00000000-0005-0000-0000-0000FC0B0000}"/>
    <cellStyle name="s_Valuation _Actualisation provision contrat déficitaire SNCM 2010 V Def_PAO-CAF-RESOP_08_13" xfId="3015" xr:uid="{00000000-0005-0000-0000-0000FD0B0000}"/>
    <cellStyle name="s_Valuation _Actualisation provision contrat déficitaire SNCM 2010 V Def_PAO-CAF-RESOP_08_13_B14_E2_2210" xfId="3016" xr:uid="{00000000-0005-0000-0000-0000FE0B0000}"/>
    <cellStyle name="s_Valuation _Actualisation provision contrat déficitaire SNCM 2010 V Def_PAO-CAF-RESOP_08_13_B14_E2_2210_Bridge_Zone_Sud" xfId="3017" xr:uid="{00000000-0005-0000-0000-0000FF0B0000}"/>
    <cellStyle name="s_Valuation _Actualisation provision contrat déficitaire SNCM 2010 V Def_PAO-CAF-RESOP_08_13_Bridge_Zone_Sud" xfId="3018" xr:uid="{00000000-0005-0000-0000-0000000C0000}"/>
    <cellStyle name="s_Valuation _Actualisation provision contrat déficitaire SNCM 2010 V Def_PAO-CAF-RESOP_09_13" xfId="3019" xr:uid="{00000000-0005-0000-0000-0000010C0000}"/>
    <cellStyle name="s_Valuation _Actualisation provision contrat déficitaire SNCM 2010 V Def_PAO-CAF-RESOP_09_13_Bridge_Zone_Sud" xfId="3020" xr:uid="{00000000-0005-0000-0000-0000020C0000}"/>
    <cellStyle name="s_Valuation _Actualisation provision contrat déficitaire SNCM 2010 V Def_PAO-CAF-RESOP_09_2013_Zone_IDF (version 2)" xfId="3021" xr:uid="{00000000-0005-0000-0000-0000030C0000}"/>
    <cellStyle name="s_Valuation _Actualisation provision contrat déficitaire SNCM 2010 V Def_PAO-CAF-RESOP_10_12" xfId="3022" xr:uid="{00000000-0005-0000-0000-0000040C0000}"/>
    <cellStyle name="s_Valuation _Actualisation provision contrat déficitaire SNCM 2010 V Def_PAO-CAF-RESOP_10_12_Bridge_Zone_Sud" xfId="3023" xr:uid="{00000000-0005-0000-0000-0000050C0000}"/>
    <cellStyle name="s_Valuation _Actualisation provision contrat déficitaire SNCM 2010 V Def_PAO-CAF-RESOP_10_12_focus par entités CAFOP" xfId="3024" xr:uid="{00000000-0005-0000-0000-0000060C0000}"/>
    <cellStyle name="s_Valuation _Actualisation provision contrat déficitaire SNCM 2010 V Def_PAO-CAF-RESOP_10_12_focus par entités CAFOP_Bridge_Zone_Sud" xfId="3025" xr:uid="{00000000-0005-0000-0000-0000070C0000}"/>
    <cellStyle name="s_Valuation _Actualisation provision contrat déficitaire SNCM 2010 V Def_PAO-CAF-RESOP_11_13" xfId="3026" xr:uid="{00000000-0005-0000-0000-0000080C0000}"/>
    <cellStyle name="s_Valuation _Actualisation provision contrat déficitaire SNCM 2010 V Def_PAO-CAF-RESOP_B13" xfId="3027" xr:uid="{00000000-0005-0000-0000-0000090C0000}"/>
    <cellStyle name="s_Valuation _Actualisation provision contrat déficitaire SNCM 2010 V Def_PAO-CAF-RESOP_B13_Bridge_Zone_Sud" xfId="3028" xr:uid="{00000000-0005-0000-0000-00000A0C0000}"/>
    <cellStyle name="s_Valuation _Actualisation provision contrat déficitaire SNCM 2010 V Def_PAO-CAF-RESOP_B13_focus par entités CAFOP" xfId="3029" xr:uid="{00000000-0005-0000-0000-00000B0C0000}"/>
    <cellStyle name="s_Valuation _Actualisation provision contrat déficitaire SNCM 2010 V Def_PAO-CAF-RESOP_B13_focus par entités CAFOP_Bridge_Zone_Sud" xfId="3030" xr:uid="{00000000-0005-0000-0000-00000C0C0000}"/>
    <cellStyle name="s_Valuation _Actualisation provision contrat déficitaire SNCM 2010 V Def_PAO-CAF-RESOP_B2014" xfId="3031" xr:uid="{00000000-0005-0000-0000-00000D0C0000}"/>
    <cellStyle name="s_Valuation _Actualisation provision contrat déficitaire SNCM 2010 V Def_PAO-CAF-RESOP_B2014_Bridge_Zone_Sud" xfId="3032" xr:uid="{00000000-0005-0000-0000-00000E0C0000}"/>
    <cellStyle name="s_Valuation _Actualisation provision contrat déficitaire SNCM 2010 V Def_PAO-CAF-RESOP_B2014_v2" xfId="3033" xr:uid="{00000000-0005-0000-0000-00000F0C0000}"/>
    <cellStyle name="s_Valuation _Actualisation provision contrat déficitaire SNCM 2010 V Def_PAO-CAF-RESOP_E2_13" xfId="3034" xr:uid="{00000000-0005-0000-0000-0000100C0000}"/>
    <cellStyle name="s_Valuation _Actualisation provision contrat déficitaire SNCM 2010 V Def_PAO-CAF-RESOP_E2_13_B14_E2_2210" xfId="3035" xr:uid="{00000000-0005-0000-0000-0000110C0000}"/>
    <cellStyle name="s_Valuation _Actualisation provision contrat déficitaire SNCM 2010 V Def_PAO-CAF-RESOP_E2_13_B14_E2_2210_Bridge_Zone_Sud" xfId="3036" xr:uid="{00000000-0005-0000-0000-0000120C0000}"/>
    <cellStyle name="s_Valuation _Actualisation provision contrat déficitaire SNCM 2010 V Def_PAO-CAF-RESOP_E2_13_Bridge_Zone_Sud" xfId="3037" xr:uid="{00000000-0005-0000-0000-0000130C0000}"/>
    <cellStyle name="s_Valuation _Actualisation provision contrat déficitaire SNCM 2010 V Def_PAO-CAF-RESOP_E2_2013_03_10_19H" xfId="3038" xr:uid="{00000000-0005-0000-0000-0000140C0000}"/>
    <cellStyle name="s_Valuation _Actualisation provision contrat déficitaire SNCM 2010 V Def_PAO-CAF-RESOP_E2_2013_03_10_19H_Bridge_Zone_Sud" xfId="3039" xr:uid="{00000000-0005-0000-0000-0000150C0000}"/>
    <cellStyle name="s_Valuation _Actualisation provision contrat déficitaire SNCM 2010 V Def_PPA" xfId="3040" xr:uid="{00000000-0005-0000-0000-0000160C0000}"/>
    <cellStyle name="s_Valuation _Actualisation provision contrat déficitaire SNCM 2010 V Def_RESOP bef CICE&amp;PPA&amp;RepartHO" xfId="3041" xr:uid="{00000000-0005-0000-0000-0000170C0000}"/>
    <cellStyle name="s_Valuation _Actualisation provision contrat déficitaire SNCM 2010 V Def_Synthèse_Présentation_conso_retraitée" xfId="3042" xr:uid="{00000000-0005-0000-0000-0000180C0000}"/>
    <cellStyle name="s_Valuation _Actualisation provision contrat déficitaire SNCM 2011 V3 30 05 2011" xfId="719" xr:uid="{00000000-0005-0000-0000-0000190C0000}"/>
    <cellStyle name="s_Valuation _Actualisation provision contrat déficitaire SNCM 2011 V3 30 05 2011_B14_E2_2210" xfId="3043" xr:uid="{00000000-0005-0000-0000-00001A0C0000}"/>
    <cellStyle name="s_Valuation _Actualisation provision contrat déficitaire SNCM 2011 V3 30 05 2011_B14_E2_2210_Bridge_Zone_Sud" xfId="3044" xr:uid="{00000000-0005-0000-0000-00001B0C0000}"/>
    <cellStyle name="s_Valuation _Actualisation provision contrat déficitaire SNCM 2011 V3 30 05 2011_Bridge_Zone_Sud" xfId="3045" xr:uid="{00000000-0005-0000-0000-00001C0C0000}"/>
    <cellStyle name="s_Valuation _Actualisation provision contrat déficitaire SNCM 2011 V3 30 05 2011_CAPEM BY COUNTRY" xfId="3046" xr:uid="{00000000-0005-0000-0000-00001D0C0000}"/>
    <cellStyle name="s_Valuation _Actualisation provision contrat déficitaire SNCM 2011 V3 30 05 2011_focus par entités CAFOPE2AMF" xfId="3047" xr:uid="{00000000-0005-0000-0000-00001E0C0000}"/>
    <cellStyle name="s_Valuation _Actualisation provision contrat déficitaire SNCM 2011 V3 30 05 2011_focus par entités CAFOPE2AMF_Bridge_Zone_Sud" xfId="3048" xr:uid="{00000000-0005-0000-0000-00001F0C0000}"/>
    <cellStyle name="s_Valuation _Actualisation provision contrat déficitaire SNCM 2011 V3 30 05 2011_Maquette PLT" xfId="3049" xr:uid="{00000000-0005-0000-0000-0000200C0000}"/>
    <cellStyle name="s_Valuation _Actualisation provision contrat déficitaire SNCM 2011 V3 30 05 2011_Output" xfId="3458" xr:uid="{00000000-0005-0000-0000-0000210C0000}"/>
    <cellStyle name="s_Valuation _Actualisation provision contrat déficitaire SNCM 2011 V3 30 05 2011_PAO-CAF-RESOP_04_13_pro_format_variante T1" xfId="3050" xr:uid="{00000000-0005-0000-0000-0000220C0000}"/>
    <cellStyle name="s_Valuation _Actualisation provision contrat déficitaire SNCM 2011 V3 30 05 2011_PAO-CAF-RESOP_04_13_pro_format_variante T1_B14_E2_2210" xfId="3051" xr:uid="{00000000-0005-0000-0000-0000230C0000}"/>
    <cellStyle name="s_Valuation _Actualisation provision contrat déficitaire SNCM 2011 V3 30 05 2011_PAO-CAF-RESOP_04_13_pro_format_variante T1_B14_E2_2210_Bridge_Zone_Sud" xfId="3052" xr:uid="{00000000-0005-0000-0000-0000240C0000}"/>
    <cellStyle name="s_Valuation _Actualisation provision contrat déficitaire SNCM 2011 V3 30 05 2011_PAO-CAF-RESOP_04_13_pro_format_variante T1_Bridge_Zone_Sud" xfId="3053" xr:uid="{00000000-0005-0000-0000-0000250C0000}"/>
    <cellStyle name="s_Valuation _Actualisation provision contrat déficitaire SNCM 2011 V3 30 05 2011_PAO-CAF-RESOP_06_13" xfId="3054" xr:uid="{00000000-0005-0000-0000-0000260C0000}"/>
    <cellStyle name="s_Valuation _Actualisation provision contrat déficitaire SNCM 2011 V3 30 05 2011_PAO-CAF-RESOP_06_13_B14_E2_2210" xfId="3055" xr:uid="{00000000-0005-0000-0000-0000270C0000}"/>
    <cellStyle name="s_Valuation _Actualisation provision contrat déficitaire SNCM 2011 V3 30 05 2011_PAO-CAF-RESOP_06_13_B14_E2_2210_Bridge_Zone_Sud" xfId="3056" xr:uid="{00000000-0005-0000-0000-0000280C0000}"/>
    <cellStyle name="s_Valuation _Actualisation provision contrat déficitaire SNCM 2011 V3 30 05 2011_PAO-CAF-RESOP_06_13_Bridge_Zone_Sud" xfId="3057" xr:uid="{00000000-0005-0000-0000-0000290C0000}"/>
    <cellStyle name="s_Valuation _Actualisation provision contrat déficitaire SNCM 2011 V3 30 05 2011_PAO-CAF-RESOP_08_13" xfId="3058" xr:uid="{00000000-0005-0000-0000-00002A0C0000}"/>
    <cellStyle name="s_Valuation _Actualisation provision contrat déficitaire SNCM 2011 V3 30 05 2011_PAO-CAF-RESOP_08_13_B14_E2_2210" xfId="3059" xr:uid="{00000000-0005-0000-0000-00002B0C0000}"/>
    <cellStyle name="s_Valuation _Actualisation provision contrat déficitaire SNCM 2011 V3 30 05 2011_PAO-CAF-RESOP_08_13_B14_E2_2210_Bridge_Zone_Sud" xfId="3060" xr:uid="{00000000-0005-0000-0000-00002C0C0000}"/>
    <cellStyle name="s_Valuation _Actualisation provision contrat déficitaire SNCM 2011 V3 30 05 2011_PAO-CAF-RESOP_08_13_Bridge_Zone_Sud" xfId="3061" xr:uid="{00000000-0005-0000-0000-00002D0C0000}"/>
    <cellStyle name="s_Valuation _Actualisation provision contrat déficitaire SNCM 2011 V3 30 05 2011_PAO-CAF-RESOP_09_13" xfId="3062" xr:uid="{00000000-0005-0000-0000-00002E0C0000}"/>
    <cellStyle name="s_Valuation _Actualisation provision contrat déficitaire SNCM 2011 V3 30 05 2011_PAO-CAF-RESOP_09_13_Bridge_Zone_Sud" xfId="3063" xr:uid="{00000000-0005-0000-0000-00002F0C0000}"/>
    <cellStyle name="s_Valuation _Actualisation provision contrat déficitaire SNCM 2011 V3 30 05 2011_PAO-CAF-RESOP_09_2013_Zone_IDF (version 2)" xfId="3064" xr:uid="{00000000-0005-0000-0000-0000300C0000}"/>
    <cellStyle name="s_Valuation _Actualisation provision contrat déficitaire SNCM 2011 V3 30 05 2011_PAO-CAF-RESOP_10_12" xfId="3065" xr:uid="{00000000-0005-0000-0000-0000310C0000}"/>
    <cellStyle name="s_Valuation _Actualisation provision contrat déficitaire SNCM 2011 V3 30 05 2011_PAO-CAF-RESOP_10_12_Bridge_Zone_Sud" xfId="3066" xr:uid="{00000000-0005-0000-0000-0000320C0000}"/>
    <cellStyle name="s_Valuation _Actualisation provision contrat déficitaire SNCM 2011 V3 30 05 2011_PAO-CAF-RESOP_10_12_focus par entités CAFOP" xfId="3067" xr:uid="{00000000-0005-0000-0000-0000330C0000}"/>
    <cellStyle name="s_Valuation _Actualisation provision contrat déficitaire SNCM 2011 V3 30 05 2011_PAO-CAF-RESOP_10_12_focus par entités CAFOP_Bridge_Zone_Sud" xfId="3068" xr:uid="{00000000-0005-0000-0000-0000340C0000}"/>
    <cellStyle name="s_Valuation _Actualisation provision contrat déficitaire SNCM 2011 V3 30 05 2011_PAO-CAF-RESOP_11_13" xfId="3069" xr:uid="{00000000-0005-0000-0000-0000350C0000}"/>
    <cellStyle name="s_Valuation _Actualisation provision contrat déficitaire SNCM 2011 V3 30 05 2011_PAO-CAF-RESOP_B13" xfId="3070" xr:uid="{00000000-0005-0000-0000-0000360C0000}"/>
    <cellStyle name="s_Valuation _Actualisation provision contrat déficitaire SNCM 2011 V3 30 05 2011_PAO-CAF-RESOP_B13_Bridge_Zone_Sud" xfId="3071" xr:uid="{00000000-0005-0000-0000-0000370C0000}"/>
    <cellStyle name="s_Valuation _Actualisation provision contrat déficitaire SNCM 2011 V3 30 05 2011_PAO-CAF-RESOP_B13_focus par entités CAFOP" xfId="3072" xr:uid="{00000000-0005-0000-0000-0000380C0000}"/>
    <cellStyle name="s_Valuation _Actualisation provision contrat déficitaire SNCM 2011 V3 30 05 2011_PAO-CAF-RESOP_B13_focus par entités CAFOP_Bridge_Zone_Sud" xfId="3073" xr:uid="{00000000-0005-0000-0000-0000390C0000}"/>
    <cellStyle name="s_Valuation _Actualisation provision contrat déficitaire SNCM 2011 V3 30 05 2011_PAO-CAF-RESOP_B2014" xfId="3074" xr:uid="{00000000-0005-0000-0000-00003A0C0000}"/>
    <cellStyle name="s_Valuation _Actualisation provision contrat déficitaire SNCM 2011 V3 30 05 2011_PAO-CAF-RESOP_B2014_Bridge_Zone_Sud" xfId="3075" xr:uid="{00000000-0005-0000-0000-00003B0C0000}"/>
    <cellStyle name="s_Valuation _Actualisation provision contrat déficitaire SNCM 2011 V3 30 05 2011_PAO-CAF-RESOP_B2014_v2" xfId="3076" xr:uid="{00000000-0005-0000-0000-00003C0C0000}"/>
    <cellStyle name="s_Valuation _Actualisation provision contrat déficitaire SNCM 2011 V3 30 05 2011_PAO-CAF-RESOP_E2_13" xfId="3077" xr:uid="{00000000-0005-0000-0000-00003D0C0000}"/>
    <cellStyle name="s_Valuation _Actualisation provision contrat déficitaire SNCM 2011 V3 30 05 2011_PAO-CAF-RESOP_E2_13_B14_E2_2210" xfId="3078" xr:uid="{00000000-0005-0000-0000-00003E0C0000}"/>
    <cellStyle name="s_Valuation _Actualisation provision contrat déficitaire SNCM 2011 V3 30 05 2011_PAO-CAF-RESOP_E2_13_B14_E2_2210_Bridge_Zone_Sud" xfId="3079" xr:uid="{00000000-0005-0000-0000-00003F0C0000}"/>
    <cellStyle name="s_Valuation _Actualisation provision contrat déficitaire SNCM 2011 V3 30 05 2011_PAO-CAF-RESOP_E2_13_Bridge_Zone_Sud" xfId="3080" xr:uid="{00000000-0005-0000-0000-0000400C0000}"/>
    <cellStyle name="s_Valuation _Actualisation provision contrat déficitaire SNCM 2011 V3 30 05 2011_PAO-CAF-RESOP_E2_2013_03_10_19H" xfId="3081" xr:uid="{00000000-0005-0000-0000-0000410C0000}"/>
    <cellStyle name="s_Valuation _Actualisation provision contrat déficitaire SNCM 2011 V3 30 05 2011_PAO-CAF-RESOP_E2_2013_03_10_19H_Bridge_Zone_Sud" xfId="3082" xr:uid="{00000000-0005-0000-0000-0000420C0000}"/>
    <cellStyle name="s_Valuation _Actualisation provision contrat déficitaire SNCM 2011 V3 30 05 2011_PPA" xfId="3083" xr:uid="{00000000-0005-0000-0000-0000430C0000}"/>
    <cellStyle name="s_Valuation _Actualisation provision contrat déficitaire SNCM 2011 V3 30 05 2011_RESOP bef CICE&amp;PPA&amp;RepartHO" xfId="3084" xr:uid="{00000000-0005-0000-0000-0000440C0000}"/>
    <cellStyle name="s_Valuation _Actualisation provision contrat déficitaire SNCM 2011 V3 30 05 2011_Synthèse_Présentation_conso_retraitée" xfId="3085" xr:uid="{00000000-0005-0000-0000-0000450C0000}"/>
    <cellStyle name="s_Valuation _B14_E2_2210" xfId="3086" xr:uid="{00000000-0005-0000-0000-0000460C0000}"/>
    <cellStyle name="s_Valuation _B14_E2_2210_Bridge_Zone_Sud" xfId="3087" xr:uid="{00000000-0005-0000-0000-0000470C0000}"/>
    <cellStyle name="s_Valuation _BFR_TD_2014.02" xfId="3088" xr:uid="{00000000-0005-0000-0000-0000480C0000}"/>
    <cellStyle name="s_Valuation _Bridge_Zone_Nord" xfId="3089" xr:uid="{00000000-0005-0000-0000-0000490C0000}"/>
    <cellStyle name="s_Valuation _CAPEM BY COUNTRY" xfId="3090" xr:uid="{00000000-0005-0000-0000-00004A0C0000}"/>
    <cellStyle name="s_Valuation _LI819L_B13" xfId="720" xr:uid="{00000000-0005-0000-0000-00004B0C0000}"/>
    <cellStyle name="s_Valuation _LI819L_B13_CAPEM BY COUNTRY" xfId="3091" xr:uid="{00000000-0005-0000-0000-00004C0C0000}"/>
    <cellStyle name="s_Valuation _LI819L_B13_Maquette PLT" xfId="3092" xr:uid="{00000000-0005-0000-0000-00004D0C0000}"/>
    <cellStyle name="s_Valuation _LI819L_B13_Output" xfId="3459" xr:uid="{00000000-0005-0000-0000-00004E0C0000}"/>
    <cellStyle name="s_Valuation _LI819L_B13_PPA" xfId="3093" xr:uid="{00000000-0005-0000-0000-00004F0C0000}"/>
    <cellStyle name="s_Valuation _LI819L_B13_RESOP bef CICE&amp;PPA&amp;RepartHO" xfId="3094" xr:uid="{00000000-0005-0000-0000-0000500C0000}"/>
    <cellStyle name="s_Valuation _Maquette PLT" xfId="3095" xr:uid="{00000000-0005-0000-0000-0000510C0000}"/>
    <cellStyle name="s_Valuation _Output" xfId="3460" xr:uid="{00000000-0005-0000-0000-0000520C0000}"/>
    <cellStyle name="s_Valuation _PAO-CAF-RESOP_14_01_13 à 20h" xfId="721" xr:uid="{00000000-0005-0000-0000-0000530C0000}"/>
    <cellStyle name="s_Valuation _PAO-CAF-RESOP_14_01_13 à 20h_CAPEM BY COUNTRY" xfId="3096" xr:uid="{00000000-0005-0000-0000-0000540C0000}"/>
    <cellStyle name="s_Valuation _PAO-CAF-RESOP_14_01_13 à 20h_Maquette PLT" xfId="3097" xr:uid="{00000000-0005-0000-0000-0000550C0000}"/>
    <cellStyle name="s_Valuation _PAO-CAF-RESOP_14_01_13 à 20h_Output" xfId="3461" xr:uid="{00000000-0005-0000-0000-0000560C0000}"/>
    <cellStyle name="s_Valuation _PAO-CAF-RESOP_14_01_13 à 20h_PPA" xfId="3098" xr:uid="{00000000-0005-0000-0000-0000570C0000}"/>
    <cellStyle name="s_Valuation _PAO-CAF-RESOP_14_01_13 à 20h_RESOP bef CICE&amp;PPA&amp;RepartHO" xfId="3099" xr:uid="{00000000-0005-0000-0000-0000580C0000}"/>
    <cellStyle name="s_Valuation _PAO-CAF-RESOP_2014.02" xfId="3100" xr:uid="{00000000-0005-0000-0000-0000590C0000}"/>
    <cellStyle name="s_Valuation _PAO-CAF-RESOP_2014.02_Bridge_Zone_Sud" xfId="3101" xr:uid="{00000000-0005-0000-0000-00005A0C0000}"/>
    <cellStyle name="s_Valuation _PPA" xfId="3102" xr:uid="{00000000-0005-0000-0000-00005B0C0000}"/>
    <cellStyle name="s_Valuation _RESOP bef CICE&amp;PPA&amp;RepartHO" xfId="3103" xr:uid="{00000000-0005-0000-0000-00005C0C0000}"/>
    <cellStyle name="SAPBEXHLevel1" xfId="722" xr:uid="{00000000-0005-0000-0000-00005D0C0000}"/>
    <cellStyle name="SAPBEXstdData" xfId="723" xr:uid="{00000000-0005-0000-0000-00005E0C0000}"/>
    <cellStyle name="Satisfaisant 2" xfId="724" xr:uid="{00000000-0005-0000-0000-00005F0C0000}"/>
    <cellStyle name="Shading" xfId="725" xr:uid="{00000000-0005-0000-0000-0000600C0000}"/>
    <cellStyle name="Single Cell Column Heading" xfId="726" xr:uid="{00000000-0005-0000-0000-0000610C0000}"/>
    <cellStyle name="Smart Bold" xfId="3104" xr:uid="{00000000-0005-0000-0000-0000620C0000}"/>
    <cellStyle name="Smart Forecast" xfId="3105" xr:uid="{00000000-0005-0000-0000-0000630C0000}"/>
    <cellStyle name="Smart General" xfId="3106" xr:uid="{00000000-0005-0000-0000-0000640C0000}"/>
    <cellStyle name="Smart Highlight" xfId="3107" xr:uid="{00000000-0005-0000-0000-0000650C0000}"/>
    <cellStyle name="Smart Percent" xfId="3108" xr:uid="{00000000-0005-0000-0000-0000660C0000}"/>
    <cellStyle name="Smart Source" xfId="3109" xr:uid="{00000000-0005-0000-0000-0000670C0000}"/>
    <cellStyle name="Smart Subtitle 1" xfId="3110" xr:uid="{00000000-0005-0000-0000-0000680C0000}"/>
    <cellStyle name="Smart Subtitle 2" xfId="3111" xr:uid="{00000000-0005-0000-0000-0000690C0000}"/>
    <cellStyle name="Smart Subtotal" xfId="3112" xr:uid="{00000000-0005-0000-0000-00006A0C0000}"/>
    <cellStyle name="Smart Title" xfId="3113" xr:uid="{00000000-0005-0000-0000-00006B0C0000}"/>
    <cellStyle name="Smart Total" xfId="3114" xr:uid="{00000000-0005-0000-0000-00006C0C0000}"/>
    <cellStyle name="Sortie 2" xfId="727" xr:uid="{00000000-0005-0000-0000-00006D0C0000}"/>
    <cellStyle name="Standaard 2" xfId="728" xr:uid="{00000000-0005-0000-0000-00006E0C0000}"/>
    <cellStyle name="Standaard 2 2 10" xfId="3115" xr:uid="{00000000-0005-0000-0000-00006F0C0000}"/>
    <cellStyle name="Standaard 2 2 10 2" xfId="3116" xr:uid="{00000000-0005-0000-0000-0000700C0000}"/>
    <cellStyle name="Standaard 2_CAPEX" xfId="3117" xr:uid="{00000000-0005-0000-0000-0000710C0000}"/>
    <cellStyle name="Standaard_Blad1" xfId="729" xr:uid="{00000000-0005-0000-0000-0000720C0000}"/>
    <cellStyle name="Standard__Utopia Index Index und Guidance (Deutsch)" xfId="730" xr:uid="{00000000-0005-0000-0000-0000730C0000}"/>
    <cellStyle name="Style 1" xfId="731" xr:uid="{00000000-0005-0000-0000-0000740C0000}"/>
    <cellStyle name="STYLE1" xfId="732" xr:uid="{00000000-0005-0000-0000-0000750C0000}"/>
    <cellStyle name="STYLE1 2" xfId="733" xr:uid="{00000000-0005-0000-0000-0000760C0000}"/>
    <cellStyle name="STYLE2" xfId="734" xr:uid="{00000000-0005-0000-0000-0000770C0000}"/>
    <cellStyle name="STYLE2 2" xfId="735" xr:uid="{00000000-0005-0000-0000-0000780C0000}"/>
    <cellStyle name="STYLE3" xfId="736" xr:uid="{00000000-0005-0000-0000-0000790C0000}"/>
    <cellStyle name="STYLE3 2" xfId="737" xr:uid="{00000000-0005-0000-0000-00007A0C0000}"/>
    <cellStyle name="STYLE4" xfId="738" xr:uid="{00000000-0005-0000-0000-00007B0C0000}"/>
    <cellStyle name="STYLE4 2" xfId="739" xr:uid="{00000000-0005-0000-0000-00007C0C0000}"/>
    <cellStyle name="STYLE5" xfId="740" xr:uid="{00000000-0005-0000-0000-00007D0C0000}"/>
    <cellStyle name="STYLE5 2" xfId="741" xr:uid="{00000000-0005-0000-0000-00007E0C0000}"/>
    <cellStyle name="STYLE6" xfId="742" xr:uid="{00000000-0005-0000-0000-00007F0C0000}"/>
    <cellStyle name="STYLE6 2" xfId="743" xr:uid="{00000000-0005-0000-0000-0000800C0000}"/>
    <cellStyle name="STYLE7" xfId="744" xr:uid="{00000000-0005-0000-0000-0000810C0000}"/>
    <cellStyle name="STYLE7 2" xfId="745" xr:uid="{00000000-0005-0000-0000-0000820C0000}"/>
    <cellStyle name="STYLE8" xfId="746" xr:uid="{00000000-0005-0000-0000-0000830C0000}"/>
    <cellStyle name="STYLE8 2" xfId="747" xr:uid="{00000000-0005-0000-0000-0000840C0000}"/>
    <cellStyle name="STYLE9" xfId="748" xr:uid="{00000000-0005-0000-0000-0000850C0000}"/>
    <cellStyle name="STYLE9 2" xfId="749" xr:uid="{00000000-0005-0000-0000-0000860C0000}"/>
    <cellStyle name="t" xfId="750" xr:uid="{00000000-0005-0000-0000-0000870C0000}"/>
    <cellStyle name="t_Actualisation provision contrat déficitaire SNCM 2010 V Def" xfId="751" xr:uid="{00000000-0005-0000-0000-0000880C0000}"/>
    <cellStyle name="t_Actualisation provision contrat déficitaire SNCM 2010 V Def_B14_E2_2210" xfId="3118" xr:uid="{00000000-0005-0000-0000-0000890C0000}"/>
    <cellStyle name="t_Actualisation provision contrat déficitaire SNCM 2010 V Def_B14_E2_2210_Bridge_Zone_Sud" xfId="3119" xr:uid="{00000000-0005-0000-0000-00008A0C0000}"/>
    <cellStyle name="t_Actualisation provision contrat déficitaire SNCM 2010 V Def_Bridge_Zone_Sud" xfId="3120" xr:uid="{00000000-0005-0000-0000-00008B0C0000}"/>
    <cellStyle name="t_Actualisation provision contrat déficitaire SNCM 2010 V Def_CAPEM BY COUNTRY" xfId="3121" xr:uid="{00000000-0005-0000-0000-00008C0C0000}"/>
    <cellStyle name="t_Actualisation provision contrat déficitaire SNCM 2010 V Def_focus par entités CAFOPE2AMF" xfId="3122" xr:uid="{00000000-0005-0000-0000-00008D0C0000}"/>
    <cellStyle name="t_Actualisation provision contrat déficitaire SNCM 2010 V Def_focus par entités CAFOPE2AMF_Bridge_Zone_Sud" xfId="3123" xr:uid="{00000000-0005-0000-0000-00008E0C0000}"/>
    <cellStyle name="t_Actualisation provision contrat déficitaire SNCM 2010 V Def_Maquette PLT" xfId="3124" xr:uid="{00000000-0005-0000-0000-00008F0C0000}"/>
    <cellStyle name="t_Actualisation provision contrat déficitaire SNCM 2010 V Def_Output" xfId="3462" xr:uid="{00000000-0005-0000-0000-0000900C0000}"/>
    <cellStyle name="t_Actualisation provision contrat déficitaire SNCM 2010 V Def_PAO-CAF-RESOP_04_13_pro_format_variante T1" xfId="3125" xr:uid="{00000000-0005-0000-0000-0000910C0000}"/>
    <cellStyle name="t_Actualisation provision contrat déficitaire SNCM 2010 V Def_PAO-CAF-RESOP_04_13_pro_format_variante T1_B14_E2_2210" xfId="3126" xr:uid="{00000000-0005-0000-0000-0000920C0000}"/>
    <cellStyle name="t_Actualisation provision contrat déficitaire SNCM 2010 V Def_PAO-CAF-RESOP_04_13_pro_format_variante T1_B14_E2_2210_Bridge_Zone_Sud" xfId="3127" xr:uid="{00000000-0005-0000-0000-0000930C0000}"/>
    <cellStyle name="t_Actualisation provision contrat déficitaire SNCM 2010 V Def_PAO-CAF-RESOP_04_13_pro_format_variante T1_Bridge_Zone_Sud" xfId="3128" xr:uid="{00000000-0005-0000-0000-0000940C0000}"/>
    <cellStyle name="t_Actualisation provision contrat déficitaire SNCM 2010 V Def_PAO-CAF-RESOP_06_13" xfId="3129" xr:uid="{00000000-0005-0000-0000-0000950C0000}"/>
    <cellStyle name="t_Actualisation provision contrat déficitaire SNCM 2010 V Def_PAO-CAF-RESOP_06_13_B14_E2_2210" xfId="3130" xr:uid="{00000000-0005-0000-0000-0000960C0000}"/>
    <cellStyle name="t_Actualisation provision contrat déficitaire SNCM 2010 V Def_PAO-CAF-RESOP_06_13_B14_E2_2210_Bridge_Zone_Sud" xfId="3131" xr:uid="{00000000-0005-0000-0000-0000970C0000}"/>
    <cellStyle name="t_Actualisation provision contrat déficitaire SNCM 2010 V Def_PAO-CAF-RESOP_06_13_Bridge_Zone_Sud" xfId="3132" xr:uid="{00000000-0005-0000-0000-0000980C0000}"/>
    <cellStyle name="t_Actualisation provision contrat déficitaire SNCM 2010 V Def_PAO-CAF-RESOP_08_13" xfId="3133" xr:uid="{00000000-0005-0000-0000-0000990C0000}"/>
    <cellStyle name="t_Actualisation provision contrat déficitaire SNCM 2010 V Def_PAO-CAF-RESOP_08_13_B14_E2_2210" xfId="3134" xr:uid="{00000000-0005-0000-0000-00009A0C0000}"/>
    <cellStyle name="t_Actualisation provision contrat déficitaire SNCM 2010 V Def_PAO-CAF-RESOP_08_13_B14_E2_2210_Bridge_Zone_Sud" xfId="3135" xr:uid="{00000000-0005-0000-0000-00009B0C0000}"/>
    <cellStyle name="t_Actualisation provision contrat déficitaire SNCM 2010 V Def_PAO-CAF-RESOP_08_13_Bridge_Zone_Sud" xfId="3136" xr:uid="{00000000-0005-0000-0000-00009C0C0000}"/>
    <cellStyle name="t_Actualisation provision contrat déficitaire SNCM 2010 V Def_PAO-CAF-RESOP_09_13" xfId="3137" xr:uid="{00000000-0005-0000-0000-00009D0C0000}"/>
    <cellStyle name="t_Actualisation provision contrat déficitaire SNCM 2010 V Def_PAO-CAF-RESOP_09_13_Bridge_Zone_Sud" xfId="3138" xr:uid="{00000000-0005-0000-0000-00009E0C0000}"/>
    <cellStyle name="t_Actualisation provision contrat déficitaire SNCM 2010 V Def_PAO-CAF-RESOP_09_2013_Zone_IDF (version 2)" xfId="3139" xr:uid="{00000000-0005-0000-0000-00009F0C0000}"/>
    <cellStyle name="t_Actualisation provision contrat déficitaire SNCM 2010 V Def_PAO-CAF-RESOP_10_12" xfId="3140" xr:uid="{00000000-0005-0000-0000-0000A00C0000}"/>
    <cellStyle name="t_Actualisation provision contrat déficitaire SNCM 2010 V Def_PAO-CAF-RESOP_10_12_Bridge_Zone_Sud" xfId="3141" xr:uid="{00000000-0005-0000-0000-0000A10C0000}"/>
    <cellStyle name="t_Actualisation provision contrat déficitaire SNCM 2010 V Def_PAO-CAF-RESOP_10_12_focus par entités CAFOP" xfId="3142" xr:uid="{00000000-0005-0000-0000-0000A20C0000}"/>
    <cellStyle name="t_Actualisation provision contrat déficitaire SNCM 2010 V Def_PAO-CAF-RESOP_10_12_focus par entités CAFOP_Bridge_Zone_Sud" xfId="3143" xr:uid="{00000000-0005-0000-0000-0000A30C0000}"/>
    <cellStyle name="t_Actualisation provision contrat déficitaire SNCM 2010 V Def_PAO-CAF-RESOP_11_13" xfId="3144" xr:uid="{00000000-0005-0000-0000-0000A40C0000}"/>
    <cellStyle name="t_Actualisation provision contrat déficitaire SNCM 2010 V Def_PAO-CAF-RESOP_B13" xfId="3145" xr:uid="{00000000-0005-0000-0000-0000A50C0000}"/>
    <cellStyle name="t_Actualisation provision contrat déficitaire SNCM 2010 V Def_PAO-CAF-RESOP_B13_Bridge_Zone_Sud" xfId="3146" xr:uid="{00000000-0005-0000-0000-0000A60C0000}"/>
    <cellStyle name="t_Actualisation provision contrat déficitaire SNCM 2010 V Def_PAO-CAF-RESOP_B13_focus par entités CAFOP" xfId="3147" xr:uid="{00000000-0005-0000-0000-0000A70C0000}"/>
    <cellStyle name="t_Actualisation provision contrat déficitaire SNCM 2010 V Def_PAO-CAF-RESOP_B13_focus par entités CAFOP_Bridge_Zone_Sud" xfId="3148" xr:uid="{00000000-0005-0000-0000-0000A80C0000}"/>
    <cellStyle name="t_Actualisation provision contrat déficitaire SNCM 2010 V Def_PAO-CAF-RESOP_B2014" xfId="3149" xr:uid="{00000000-0005-0000-0000-0000A90C0000}"/>
    <cellStyle name="t_Actualisation provision contrat déficitaire SNCM 2010 V Def_PAO-CAF-RESOP_B2014_Bridge_Zone_Sud" xfId="3150" xr:uid="{00000000-0005-0000-0000-0000AA0C0000}"/>
    <cellStyle name="t_Actualisation provision contrat déficitaire SNCM 2010 V Def_PAO-CAF-RESOP_B2014_v2" xfId="3151" xr:uid="{00000000-0005-0000-0000-0000AB0C0000}"/>
    <cellStyle name="t_Actualisation provision contrat déficitaire SNCM 2010 V Def_PAO-CAF-RESOP_E2_13" xfId="3152" xr:uid="{00000000-0005-0000-0000-0000AC0C0000}"/>
    <cellStyle name="t_Actualisation provision contrat déficitaire SNCM 2010 V Def_PAO-CAF-RESOP_E2_13_B14_E2_2210" xfId="3153" xr:uid="{00000000-0005-0000-0000-0000AD0C0000}"/>
    <cellStyle name="t_Actualisation provision contrat déficitaire SNCM 2010 V Def_PAO-CAF-RESOP_E2_13_B14_E2_2210_Bridge_Zone_Sud" xfId="3154" xr:uid="{00000000-0005-0000-0000-0000AE0C0000}"/>
    <cellStyle name="t_Actualisation provision contrat déficitaire SNCM 2010 V Def_PAO-CAF-RESOP_E2_13_Bridge_Zone_Sud" xfId="3155" xr:uid="{00000000-0005-0000-0000-0000AF0C0000}"/>
    <cellStyle name="t_Actualisation provision contrat déficitaire SNCM 2010 V Def_PAO-CAF-RESOP_E2_2013_03_10_19H" xfId="3156" xr:uid="{00000000-0005-0000-0000-0000B00C0000}"/>
    <cellStyle name="t_Actualisation provision contrat déficitaire SNCM 2010 V Def_PAO-CAF-RESOP_E2_2013_03_10_19H_Bridge_Zone_Sud" xfId="3157" xr:uid="{00000000-0005-0000-0000-0000B10C0000}"/>
    <cellStyle name="t_Actualisation provision contrat déficitaire SNCM 2010 V Def_PPA" xfId="3158" xr:uid="{00000000-0005-0000-0000-0000B20C0000}"/>
    <cellStyle name="t_Actualisation provision contrat déficitaire SNCM 2010 V Def_RESOP bef CICE&amp;PPA&amp;RepartHO" xfId="3159" xr:uid="{00000000-0005-0000-0000-0000B30C0000}"/>
    <cellStyle name="t_Actualisation provision contrat déficitaire SNCM 2010 V Def_Synthèse_Présentation_conso_retraitée" xfId="3160" xr:uid="{00000000-0005-0000-0000-0000B40C0000}"/>
    <cellStyle name="t_Actualisation provision contrat déficitaire SNCM 2011 V3 30 05 2011" xfId="752" xr:uid="{00000000-0005-0000-0000-0000B50C0000}"/>
    <cellStyle name="t_Actualisation provision contrat déficitaire SNCM 2011 V3 30 05 2011_B14_E2_2210" xfId="3161" xr:uid="{00000000-0005-0000-0000-0000B60C0000}"/>
    <cellStyle name="t_Actualisation provision contrat déficitaire SNCM 2011 V3 30 05 2011_B14_E2_2210_Bridge_Zone_Sud" xfId="3162" xr:uid="{00000000-0005-0000-0000-0000B70C0000}"/>
    <cellStyle name="t_Actualisation provision contrat déficitaire SNCM 2011 V3 30 05 2011_Bridge_Zone_Sud" xfId="3163" xr:uid="{00000000-0005-0000-0000-0000B80C0000}"/>
    <cellStyle name="t_Actualisation provision contrat déficitaire SNCM 2011 V3 30 05 2011_CAPEM BY COUNTRY" xfId="3164" xr:uid="{00000000-0005-0000-0000-0000B90C0000}"/>
    <cellStyle name="t_Actualisation provision contrat déficitaire SNCM 2011 V3 30 05 2011_focus par entités CAFOPE2AMF" xfId="3165" xr:uid="{00000000-0005-0000-0000-0000BA0C0000}"/>
    <cellStyle name="t_Actualisation provision contrat déficitaire SNCM 2011 V3 30 05 2011_focus par entités CAFOPE2AMF_Bridge_Zone_Sud" xfId="3166" xr:uid="{00000000-0005-0000-0000-0000BB0C0000}"/>
    <cellStyle name="t_Actualisation provision contrat déficitaire SNCM 2011 V3 30 05 2011_Maquette PLT" xfId="3167" xr:uid="{00000000-0005-0000-0000-0000BC0C0000}"/>
    <cellStyle name="t_Actualisation provision contrat déficitaire SNCM 2011 V3 30 05 2011_Output" xfId="3463" xr:uid="{00000000-0005-0000-0000-0000BD0C0000}"/>
    <cellStyle name="t_Actualisation provision contrat déficitaire SNCM 2011 V3 30 05 2011_PAO-CAF-RESOP_04_13_pro_format_variante T1" xfId="3168" xr:uid="{00000000-0005-0000-0000-0000BE0C0000}"/>
    <cellStyle name="t_Actualisation provision contrat déficitaire SNCM 2011 V3 30 05 2011_PAO-CAF-RESOP_04_13_pro_format_variante T1_B14_E2_2210" xfId="3169" xr:uid="{00000000-0005-0000-0000-0000BF0C0000}"/>
    <cellStyle name="t_Actualisation provision contrat déficitaire SNCM 2011 V3 30 05 2011_PAO-CAF-RESOP_04_13_pro_format_variante T1_B14_E2_2210_Bridge_Zone_Sud" xfId="3170" xr:uid="{00000000-0005-0000-0000-0000C00C0000}"/>
    <cellStyle name="t_Actualisation provision contrat déficitaire SNCM 2011 V3 30 05 2011_PAO-CAF-RESOP_04_13_pro_format_variante T1_Bridge_Zone_Sud" xfId="3171" xr:uid="{00000000-0005-0000-0000-0000C10C0000}"/>
    <cellStyle name="t_Actualisation provision contrat déficitaire SNCM 2011 V3 30 05 2011_PAO-CAF-RESOP_06_13" xfId="3172" xr:uid="{00000000-0005-0000-0000-0000C20C0000}"/>
    <cellStyle name="t_Actualisation provision contrat déficitaire SNCM 2011 V3 30 05 2011_PAO-CAF-RESOP_06_13_B14_E2_2210" xfId="3173" xr:uid="{00000000-0005-0000-0000-0000C30C0000}"/>
    <cellStyle name="t_Actualisation provision contrat déficitaire SNCM 2011 V3 30 05 2011_PAO-CAF-RESOP_06_13_B14_E2_2210_Bridge_Zone_Sud" xfId="3174" xr:uid="{00000000-0005-0000-0000-0000C40C0000}"/>
    <cellStyle name="t_Actualisation provision contrat déficitaire SNCM 2011 V3 30 05 2011_PAO-CAF-RESOP_06_13_Bridge_Zone_Sud" xfId="3175" xr:uid="{00000000-0005-0000-0000-0000C50C0000}"/>
    <cellStyle name="t_Actualisation provision contrat déficitaire SNCM 2011 V3 30 05 2011_PAO-CAF-RESOP_08_13" xfId="3176" xr:uid="{00000000-0005-0000-0000-0000C60C0000}"/>
    <cellStyle name="t_Actualisation provision contrat déficitaire SNCM 2011 V3 30 05 2011_PAO-CAF-RESOP_08_13_B14_E2_2210" xfId="3177" xr:uid="{00000000-0005-0000-0000-0000C70C0000}"/>
    <cellStyle name="t_Actualisation provision contrat déficitaire SNCM 2011 V3 30 05 2011_PAO-CAF-RESOP_08_13_B14_E2_2210_Bridge_Zone_Sud" xfId="3178" xr:uid="{00000000-0005-0000-0000-0000C80C0000}"/>
    <cellStyle name="t_Actualisation provision contrat déficitaire SNCM 2011 V3 30 05 2011_PAO-CAF-RESOP_08_13_Bridge_Zone_Sud" xfId="3179" xr:uid="{00000000-0005-0000-0000-0000C90C0000}"/>
    <cellStyle name="t_Actualisation provision contrat déficitaire SNCM 2011 V3 30 05 2011_PAO-CAF-RESOP_09_13" xfId="3180" xr:uid="{00000000-0005-0000-0000-0000CA0C0000}"/>
    <cellStyle name="t_Actualisation provision contrat déficitaire SNCM 2011 V3 30 05 2011_PAO-CAF-RESOP_09_13_Bridge_Zone_Sud" xfId="3181" xr:uid="{00000000-0005-0000-0000-0000CB0C0000}"/>
    <cellStyle name="t_Actualisation provision contrat déficitaire SNCM 2011 V3 30 05 2011_PAO-CAF-RESOP_09_2013_Zone_IDF (version 2)" xfId="3182" xr:uid="{00000000-0005-0000-0000-0000CC0C0000}"/>
    <cellStyle name="t_Actualisation provision contrat déficitaire SNCM 2011 V3 30 05 2011_PAO-CAF-RESOP_10_12" xfId="3183" xr:uid="{00000000-0005-0000-0000-0000CD0C0000}"/>
    <cellStyle name="t_Actualisation provision contrat déficitaire SNCM 2011 V3 30 05 2011_PAO-CAF-RESOP_10_12_Bridge_Zone_Sud" xfId="3184" xr:uid="{00000000-0005-0000-0000-0000CE0C0000}"/>
    <cellStyle name="t_Actualisation provision contrat déficitaire SNCM 2011 V3 30 05 2011_PAO-CAF-RESOP_10_12_focus par entités CAFOP" xfId="3185" xr:uid="{00000000-0005-0000-0000-0000CF0C0000}"/>
    <cellStyle name="t_Actualisation provision contrat déficitaire SNCM 2011 V3 30 05 2011_PAO-CAF-RESOP_10_12_focus par entités CAFOP_Bridge_Zone_Sud" xfId="3186" xr:uid="{00000000-0005-0000-0000-0000D00C0000}"/>
    <cellStyle name="t_Actualisation provision contrat déficitaire SNCM 2011 V3 30 05 2011_PAO-CAF-RESOP_11_13" xfId="3187" xr:uid="{00000000-0005-0000-0000-0000D10C0000}"/>
    <cellStyle name="t_Actualisation provision contrat déficitaire SNCM 2011 V3 30 05 2011_PAO-CAF-RESOP_B13" xfId="3188" xr:uid="{00000000-0005-0000-0000-0000D20C0000}"/>
    <cellStyle name="t_Actualisation provision contrat déficitaire SNCM 2011 V3 30 05 2011_PAO-CAF-RESOP_B13_Bridge_Zone_Sud" xfId="3189" xr:uid="{00000000-0005-0000-0000-0000D30C0000}"/>
    <cellStyle name="t_Actualisation provision contrat déficitaire SNCM 2011 V3 30 05 2011_PAO-CAF-RESOP_B13_focus par entités CAFOP" xfId="3190" xr:uid="{00000000-0005-0000-0000-0000D40C0000}"/>
    <cellStyle name="t_Actualisation provision contrat déficitaire SNCM 2011 V3 30 05 2011_PAO-CAF-RESOP_B13_focus par entités CAFOP_Bridge_Zone_Sud" xfId="3191" xr:uid="{00000000-0005-0000-0000-0000D50C0000}"/>
    <cellStyle name="t_Actualisation provision contrat déficitaire SNCM 2011 V3 30 05 2011_PAO-CAF-RESOP_B2014" xfId="3192" xr:uid="{00000000-0005-0000-0000-0000D60C0000}"/>
    <cellStyle name="t_Actualisation provision contrat déficitaire SNCM 2011 V3 30 05 2011_PAO-CAF-RESOP_B2014_Bridge_Zone_Sud" xfId="3193" xr:uid="{00000000-0005-0000-0000-0000D70C0000}"/>
    <cellStyle name="t_Actualisation provision contrat déficitaire SNCM 2011 V3 30 05 2011_PAO-CAF-RESOP_B2014_v2" xfId="3194" xr:uid="{00000000-0005-0000-0000-0000D80C0000}"/>
    <cellStyle name="t_Actualisation provision contrat déficitaire SNCM 2011 V3 30 05 2011_PAO-CAF-RESOP_E2_13" xfId="3195" xr:uid="{00000000-0005-0000-0000-0000D90C0000}"/>
    <cellStyle name="t_Actualisation provision contrat déficitaire SNCM 2011 V3 30 05 2011_PAO-CAF-RESOP_E2_13_B14_E2_2210" xfId="3196" xr:uid="{00000000-0005-0000-0000-0000DA0C0000}"/>
    <cellStyle name="t_Actualisation provision contrat déficitaire SNCM 2011 V3 30 05 2011_PAO-CAF-RESOP_E2_13_B14_E2_2210_Bridge_Zone_Sud" xfId="3197" xr:uid="{00000000-0005-0000-0000-0000DB0C0000}"/>
    <cellStyle name="t_Actualisation provision contrat déficitaire SNCM 2011 V3 30 05 2011_PAO-CAF-RESOP_E2_13_Bridge_Zone_Sud" xfId="3198" xr:uid="{00000000-0005-0000-0000-0000DC0C0000}"/>
    <cellStyle name="t_Actualisation provision contrat déficitaire SNCM 2011 V3 30 05 2011_PAO-CAF-RESOP_E2_2013_03_10_19H" xfId="3199" xr:uid="{00000000-0005-0000-0000-0000DD0C0000}"/>
    <cellStyle name="t_Actualisation provision contrat déficitaire SNCM 2011 V3 30 05 2011_PAO-CAF-RESOP_E2_2013_03_10_19H_Bridge_Zone_Sud" xfId="3200" xr:uid="{00000000-0005-0000-0000-0000DE0C0000}"/>
    <cellStyle name="t_Actualisation provision contrat déficitaire SNCM 2011 V3 30 05 2011_PPA" xfId="3201" xr:uid="{00000000-0005-0000-0000-0000DF0C0000}"/>
    <cellStyle name="t_Actualisation provision contrat déficitaire SNCM 2011 V3 30 05 2011_RESOP bef CICE&amp;PPA&amp;RepartHO" xfId="3202" xr:uid="{00000000-0005-0000-0000-0000E00C0000}"/>
    <cellStyle name="t_Actualisation provision contrat déficitaire SNCM 2011 V3 30 05 2011_Synthèse_Présentation_conso_retraitée" xfId="3203" xr:uid="{00000000-0005-0000-0000-0000E10C0000}"/>
    <cellStyle name="t_B14_E2_2210" xfId="3204" xr:uid="{00000000-0005-0000-0000-0000E20C0000}"/>
    <cellStyle name="t_B14_E2_2210_Bridge_Zone_Sud" xfId="3205" xr:uid="{00000000-0005-0000-0000-0000E30C0000}"/>
    <cellStyle name="t_BFR_TD_2014.02" xfId="3206" xr:uid="{00000000-0005-0000-0000-0000E40C0000}"/>
    <cellStyle name="t_Bridge_Zone_Nord" xfId="3207" xr:uid="{00000000-0005-0000-0000-0000E50C0000}"/>
    <cellStyle name="t_CAPEM BY COUNTRY" xfId="3208" xr:uid="{00000000-0005-0000-0000-0000E60C0000}"/>
    <cellStyle name="t_LI819L_B13" xfId="753" xr:uid="{00000000-0005-0000-0000-0000E70C0000}"/>
    <cellStyle name="t_LI819L_B13_CAPEM BY COUNTRY" xfId="3209" xr:uid="{00000000-0005-0000-0000-0000E80C0000}"/>
    <cellStyle name="t_LI819L_B13_Maquette PLT" xfId="3210" xr:uid="{00000000-0005-0000-0000-0000E90C0000}"/>
    <cellStyle name="t_LI819L_B13_Output" xfId="3464" xr:uid="{00000000-0005-0000-0000-0000EA0C0000}"/>
    <cellStyle name="t_LI819L_B13_PPA" xfId="3211" xr:uid="{00000000-0005-0000-0000-0000EB0C0000}"/>
    <cellStyle name="t_LI819L_B13_RESOP bef CICE&amp;PPA&amp;RepartHO" xfId="3212" xr:uid="{00000000-0005-0000-0000-0000EC0C0000}"/>
    <cellStyle name="t_Manager" xfId="754" xr:uid="{00000000-0005-0000-0000-0000ED0C0000}"/>
    <cellStyle name="t_Manager_Actualisation provision contrat déficitaire SNCM 2010 V Def" xfId="755" xr:uid="{00000000-0005-0000-0000-0000EE0C0000}"/>
    <cellStyle name="t_Manager_Actualisation provision contrat déficitaire SNCM 2010 V Def_B14_E2_2210" xfId="3213" xr:uid="{00000000-0005-0000-0000-0000EF0C0000}"/>
    <cellStyle name="t_Manager_Actualisation provision contrat déficitaire SNCM 2010 V Def_B14_E2_2210_Bridge_Zone_Sud" xfId="3214" xr:uid="{00000000-0005-0000-0000-0000F00C0000}"/>
    <cellStyle name="t_Manager_Actualisation provision contrat déficitaire SNCM 2010 V Def_Bridge_Zone_Sud" xfId="3215" xr:uid="{00000000-0005-0000-0000-0000F10C0000}"/>
    <cellStyle name="t_Manager_Actualisation provision contrat déficitaire SNCM 2010 V Def_CAPEM BY COUNTRY" xfId="3216" xr:uid="{00000000-0005-0000-0000-0000F20C0000}"/>
    <cellStyle name="t_Manager_Actualisation provision contrat déficitaire SNCM 2010 V Def_focus par entités CAFOPE2AMF" xfId="3217" xr:uid="{00000000-0005-0000-0000-0000F30C0000}"/>
    <cellStyle name="t_Manager_Actualisation provision contrat déficitaire SNCM 2010 V Def_focus par entités CAFOPE2AMF_Bridge_Zone_Sud" xfId="3218" xr:uid="{00000000-0005-0000-0000-0000F40C0000}"/>
    <cellStyle name="t_Manager_Actualisation provision contrat déficitaire SNCM 2010 V Def_Maquette PLT" xfId="3219" xr:uid="{00000000-0005-0000-0000-0000F50C0000}"/>
    <cellStyle name="t_Manager_Actualisation provision contrat déficitaire SNCM 2010 V Def_Output" xfId="3465" xr:uid="{00000000-0005-0000-0000-0000F60C0000}"/>
    <cellStyle name="t_Manager_Actualisation provision contrat déficitaire SNCM 2010 V Def_PAO-CAF-RESOP_04_13_pro_format_variante T1" xfId="3220" xr:uid="{00000000-0005-0000-0000-0000F70C0000}"/>
    <cellStyle name="t_Manager_Actualisation provision contrat déficitaire SNCM 2010 V Def_PAO-CAF-RESOP_04_13_pro_format_variante T1_B14_E2_2210" xfId="3221" xr:uid="{00000000-0005-0000-0000-0000F80C0000}"/>
    <cellStyle name="t_Manager_Actualisation provision contrat déficitaire SNCM 2010 V Def_PAO-CAF-RESOP_04_13_pro_format_variante T1_B14_E2_2210_Bridge_Zone_Sud" xfId="3222" xr:uid="{00000000-0005-0000-0000-0000F90C0000}"/>
    <cellStyle name="t_Manager_Actualisation provision contrat déficitaire SNCM 2010 V Def_PAO-CAF-RESOP_04_13_pro_format_variante T1_Bridge_Zone_Sud" xfId="3223" xr:uid="{00000000-0005-0000-0000-0000FA0C0000}"/>
    <cellStyle name="t_Manager_Actualisation provision contrat déficitaire SNCM 2010 V Def_PAO-CAF-RESOP_06_13" xfId="3224" xr:uid="{00000000-0005-0000-0000-0000FB0C0000}"/>
    <cellStyle name="t_Manager_Actualisation provision contrat déficitaire SNCM 2010 V Def_PAO-CAF-RESOP_06_13_B14_E2_2210" xfId="3225" xr:uid="{00000000-0005-0000-0000-0000FC0C0000}"/>
    <cellStyle name="t_Manager_Actualisation provision contrat déficitaire SNCM 2010 V Def_PAO-CAF-RESOP_06_13_B14_E2_2210_Bridge_Zone_Sud" xfId="3226" xr:uid="{00000000-0005-0000-0000-0000FD0C0000}"/>
    <cellStyle name="t_Manager_Actualisation provision contrat déficitaire SNCM 2010 V Def_PAO-CAF-RESOP_06_13_Bridge_Zone_Sud" xfId="3227" xr:uid="{00000000-0005-0000-0000-0000FE0C0000}"/>
    <cellStyle name="t_Manager_Actualisation provision contrat déficitaire SNCM 2010 V Def_PAO-CAF-RESOP_08_13" xfId="3228" xr:uid="{00000000-0005-0000-0000-0000FF0C0000}"/>
    <cellStyle name="t_Manager_Actualisation provision contrat déficitaire SNCM 2010 V Def_PAO-CAF-RESOP_08_13_B14_E2_2210" xfId="3229" xr:uid="{00000000-0005-0000-0000-0000000D0000}"/>
    <cellStyle name="t_Manager_Actualisation provision contrat déficitaire SNCM 2010 V Def_PAO-CAF-RESOP_08_13_B14_E2_2210_Bridge_Zone_Sud" xfId="3230" xr:uid="{00000000-0005-0000-0000-0000010D0000}"/>
    <cellStyle name="t_Manager_Actualisation provision contrat déficitaire SNCM 2010 V Def_PAO-CAF-RESOP_08_13_Bridge_Zone_Sud" xfId="3231" xr:uid="{00000000-0005-0000-0000-0000020D0000}"/>
    <cellStyle name="t_Manager_Actualisation provision contrat déficitaire SNCM 2010 V Def_PAO-CAF-RESOP_09_13" xfId="3232" xr:uid="{00000000-0005-0000-0000-0000030D0000}"/>
    <cellStyle name="t_Manager_Actualisation provision contrat déficitaire SNCM 2010 V Def_PAO-CAF-RESOP_09_13_Bridge_Zone_Sud" xfId="3233" xr:uid="{00000000-0005-0000-0000-0000040D0000}"/>
    <cellStyle name="t_Manager_Actualisation provision contrat déficitaire SNCM 2010 V Def_PAO-CAF-RESOP_09_2013_Zone_IDF (version 2)" xfId="3234" xr:uid="{00000000-0005-0000-0000-0000050D0000}"/>
    <cellStyle name="t_Manager_Actualisation provision contrat déficitaire SNCM 2010 V Def_PAO-CAF-RESOP_10_12" xfId="3235" xr:uid="{00000000-0005-0000-0000-0000060D0000}"/>
    <cellStyle name="t_Manager_Actualisation provision contrat déficitaire SNCM 2010 V Def_PAO-CAF-RESOP_10_12_Bridge_Zone_Sud" xfId="3236" xr:uid="{00000000-0005-0000-0000-0000070D0000}"/>
    <cellStyle name="t_Manager_Actualisation provision contrat déficitaire SNCM 2010 V Def_PAO-CAF-RESOP_10_12_focus par entités CAFOP" xfId="3237" xr:uid="{00000000-0005-0000-0000-0000080D0000}"/>
    <cellStyle name="t_Manager_Actualisation provision contrat déficitaire SNCM 2010 V Def_PAO-CAF-RESOP_10_12_focus par entités CAFOP_Bridge_Zone_Sud" xfId="3238" xr:uid="{00000000-0005-0000-0000-0000090D0000}"/>
    <cellStyle name="t_Manager_Actualisation provision contrat déficitaire SNCM 2010 V Def_PAO-CAF-RESOP_11_13" xfId="3239" xr:uid="{00000000-0005-0000-0000-00000A0D0000}"/>
    <cellStyle name="t_Manager_Actualisation provision contrat déficitaire SNCM 2010 V Def_PAO-CAF-RESOP_B13" xfId="3240" xr:uid="{00000000-0005-0000-0000-00000B0D0000}"/>
    <cellStyle name="t_Manager_Actualisation provision contrat déficitaire SNCM 2010 V Def_PAO-CAF-RESOP_B13_Bridge_Zone_Sud" xfId="3241" xr:uid="{00000000-0005-0000-0000-00000C0D0000}"/>
    <cellStyle name="t_Manager_Actualisation provision contrat déficitaire SNCM 2010 V Def_PAO-CAF-RESOP_B13_focus par entités CAFOP" xfId="3242" xr:uid="{00000000-0005-0000-0000-00000D0D0000}"/>
    <cellStyle name="t_Manager_Actualisation provision contrat déficitaire SNCM 2010 V Def_PAO-CAF-RESOP_B13_focus par entités CAFOP_Bridge_Zone_Sud" xfId="3243" xr:uid="{00000000-0005-0000-0000-00000E0D0000}"/>
    <cellStyle name="t_Manager_Actualisation provision contrat déficitaire SNCM 2010 V Def_PAO-CAF-RESOP_B2014" xfId="3244" xr:uid="{00000000-0005-0000-0000-00000F0D0000}"/>
    <cellStyle name="t_Manager_Actualisation provision contrat déficitaire SNCM 2010 V Def_PAO-CAF-RESOP_B2014_Bridge_Zone_Sud" xfId="3245" xr:uid="{00000000-0005-0000-0000-0000100D0000}"/>
    <cellStyle name="t_Manager_Actualisation provision contrat déficitaire SNCM 2010 V Def_PAO-CAF-RESOP_B2014_v2" xfId="3246" xr:uid="{00000000-0005-0000-0000-0000110D0000}"/>
    <cellStyle name="t_Manager_Actualisation provision contrat déficitaire SNCM 2010 V Def_PAO-CAF-RESOP_E2_13" xfId="3247" xr:uid="{00000000-0005-0000-0000-0000120D0000}"/>
    <cellStyle name="t_Manager_Actualisation provision contrat déficitaire SNCM 2010 V Def_PAO-CAF-RESOP_E2_13_B14_E2_2210" xfId="3248" xr:uid="{00000000-0005-0000-0000-0000130D0000}"/>
    <cellStyle name="t_Manager_Actualisation provision contrat déficitaire SNCM 2010 V Def_PAO-CAF-RESOP_E2_13_B14_E2_2210_Bridge_Zone_Sud" xfId="3249" xr:uid="{00000000-0005-0000-0000-0000140D0000}"/>
    <cellStyle name="t_Manager_Actualisation provision contrat déficitaire SNCM 2010 V Def_PAO-CAF-RESOP_E2_13_Bridge_Zone_Sud" xfId="3250" xr:uid="{00000000-0005-0000-0000-0000150D0000}"/>
    <cellStyle name="t_Manager_Actualisation provision contrat déficitaire SNCM 2010 V Def_PAO-CAF-RESOP_E2_2013_03_10_19H" xfId="3251" xr:uid="{00000000-0005-0000-0000-0000160D0000}"/>
    <cellStyle name="t_Manager_Actualisation provision contrat déficitaire SNCM 2010 V Def_PAO-CAF-RESOP_E2_2013_03_10_19H_Bridge_Zone_Sud" xfId="3252" xr:uid="{00000000-0005-0000-0000-0000170D0000}"/>
    <cellStyle name="t_Manager_Actualisation provision contrat déficitaire SNCM 2010 V Def_PPA" xfId="3253" xr:uid="{00000000-0005-0000-0000-0000180D0000}"/>
    <cellStyle name="t_Manager_Actualisation provision contrat déficitaire SNCM 2010 V Def_RESOP bef CICE&amp;PPA&amp;RepartHO" xfId="3254" xr:uid="{00000000-0005-0000-0000-0000190D0000}"/>
    <cellStyle name="t_Manager_Actualisation provision contrat déficitaire SNCM 2010 V Def_Synthèse_Présentation_conso_retraitée" xfId="3255" xr:uid="{00000000-0005-0000-0000-00001A0D0000}"/>
    <cellStyle name="t_Manager_Actualisation provision contrat déficitaire SNCM 2011 V3 30 05 2011" xfId="756" xr:uid="{00000000-0005-0000-0000-00001B0D0000}"/>
    <cellStyle name="t_Manager_Actualisation provision contrat déficitaire SNCM 2011 V3 30 05 2011_B14_E2_2210" xfId="3256" xr:uid="{00000000-0005-0000-0000-00001C0D0000}"/>
    <cellStyle name="t_Manager_Actualisation provision contrat déficitaire SNCM 2011 V3 30 05 2011_B14_E2_2210_Bridge_Zone_Sud" xfId="3257" xr:uid="{00000000-0005-0000-0000-00001D0D0000}"/>
    <cellStyle name="t_Manager_Actualisation provision contrat déficitaire SNCM 2011 V3 30 05 2011_Bridge_Zone_Sud" xfId="3258" xr:uid="{00000000-0005-0000-0000-00001E0D0000}"/>
    <cellStyle name="t_Manager_Actualisation provision contrat déficitaire SNCM 2011 V3 30 05 2011_CAPEM BY COUNTRY" xfId="3259" xr:uid="{00000000-0005-0000-0000-00001F0D0000}"/>
    <cellStyle name="t_Manager_Actualisation provision contrat déficitaire SNCM 2011 V3 30 05 2011_focus par entités CAFOPE2AMF" xfId="3260" xr:uid="{00000000-0005-0000-0000-0000200D0000}"/>
    <cellStyle name="t_Manager_Actualisation provision contrat déficitaire SNCM 2011 V3 30 05 2011_focus par entités CAFOPE2AMF_Bridge_Zone_Sud" xfId="3261" xr:uid="{00000000-0005-0000-0000-0000210D0000}"/>
    <cellStyle name="t_Manager_Actualisation provision contrat déficitaire SNCM 2011 V3 30 05 2011_Maquette PLT" xfId="3262" xr:uid="{00000000-0005-0000-0000-0000220D0000}"/>
    <cellStyle name="t_Manager_Actualisation provision contrat déficitaire SNCM 2011 V3 30 05 2011_Output" xfId="3466" xr:uid="{00000000-0005-0000-0000-0000230D0000}"/>
    <cellStyle name="t_Manager_Actualisation provision contrat déficitaire SNCM 2011 V3 30 05 2011_PAO-CAF-RESOP_04_13_pro_format_variante T1" xfId="3263" xr:uid="{00000000-0005-0000-0000-0000240D0000}"/>
    <cellStyle name="t_Manager_Actualisation provision contrat déficitaire SNCM 2011 V3 30 05 2011_PAO-CAF-RESOP_04_13_pro_format_variante T1_B14_E2_2210" xfId="3264" xr:uid="{00000000-0005-0000-0000-0000250D0000}"/>
    <cellStyle name="t_Manager_Actualisation provision contrat déficitaire SNCM 2011 V3 30 05 2011_PAO-CAF-RESOP_04_13_pro_format_variante T1_B14_E2_2210_Bridge_Zone_Sud" xfId="3265" xr:uid="{00000000-0005-0000-0000-0000260D0000}"/>
    <cellStyle name="t_Manager_Actualisation provision contrat déficitaire SNCM 2011 V3 30 05 2011_PAO-CAF-RESOP_04_13_pro_format_variante T1_Bridge_Zone_Sud" xfId="3266" xr:uid="{00000000-0005-0000-0000-0000270D0000}"/>
    <cellStyle name="t_Manager_Actualisation provision contrat déficitaire SNCM 2011 V3 30 05 2011_PAO-CAF-RESOP_06_13" xfId="3267" xr:uid="{00000000-0005-0000-0000-0000280D0000}"/>
    <cellStyle name="t_Manager_Actualisation provision contrat déficitaire SNCM 2011 V3 30 05 2011_PAO-CAF-RESOP_06_13_B14_E2_2210" xfId="3268" xr:uid="{00000000-0005-0000-0000-0000290D0000}"/>
    <cellStyle name="t_Manager_Actualisation provision contrat déficitaire SNCM 2011 V3 30 05 2011_PAO-CAF-RESOP_06_13_B14_E2_2210_Bridge_Zone_Sud" xfId="3269" xr:uid="{00000000-0005-0000-0000-00002A0D0000}"/>
    <cellStyle name="t_Manager_Actualisation provision contrat déficitaire SNCM 2011 V3 30 05 2011_PAO-CAF-RESOP_06_13_Bridge_Zone_Sud" xfId="3270" xr:uid="{00000000-0005-0000-0000-00002B0D0000}"/>
    <cellStyle name="t_Manager_Actualisation provision contrat déficitaire SNCM 2011 V3 30 05 2011_PAO-CAF-RESOP_08_13" xfId="3271" xr:uid="{00000000-0005-0000-0000-00002C0D0000}"/>
    <cellStyle name="t_Manager_Actualisation provision contrat déficitaire SNCM 2011 V3 30 05 2011_PAO-CAF-RESOP_08_13_B14_E2_2210" xfId="3272" xr:uid="{00000000-0005-0000-0000-00002D0D0000}"/>
    <cellStyle name="t_Manager_Actualisation provision contrat déficitaire SNCM 2011 V3 30 05 2011_PAO-CAF-RESOP_08_13_B14_E2_2210_Bridge_Zone_Sud" xfId="3273" xr:uid="{00000000-0005-0000-0000-00002E0D0000}"/>
    <cellStyle name="t_Manager_Actualisation provision contrat déficitaire SNCM 2011 V3 30 05 2011_PAO-CAF-RESOP_08_13_Bridge_Zone_Sud" xfId="3274" xr:uid="{00000000-0005-0000-0000-00002F0D0000}"/>
    <cellStyle name="t_Manager_Actualisation provision contrat déficitaire SNCM 2011 V3 30 05 2011_PAO-CAF-RESOP_09_13" xfId="3275" xr:uid="{00000000-0005-0000-0000-0000300D0000}"/>
    <cellStyle name="t_Manager_Actualisation provision contrat déficitaire SNCM 2011 V3 30 05 2011_PAO-CAF-RESOP_09_13_Bridge_Zone_Sud" xfId="3276" xr:uid="{00000000-0005-0000-0000-0000310D0000}"/>
    <cellStyle name="t_Manager_Actualisation provision contrat déficitaire SNCM 2011 V3 30 05 2011_PAO-CAF-RESOP_09_2013_Zone_IDF (version 2)" xfId="3277" xr:uid="{00000000-0005-0000-0000-0000320D0000}"/>
    <cellStyle name="t_Manager_Actualisation provision contrat déficitaire SNCM 2011 V3 30 05 2011_PAO-CAF-RESOP_10_12" xfId="3278" xr:uid="{00000000-0005-0000-0000-0000330D0000}"/>
    <cellStyle name="t_Manager_Actualisation provision contrat déficitaire SNCM 2011 V3 30 05 2011_PAO-CAF-RESOP_10_12_Bridge_Zone_Sud" xfId="3279" xr:uid="{00000000-0005-0000-0000-0000340D0000}"/>
    <cellStyle name="t_Manager_Actualisation provision contrat déficitaire SNCM 2011 V3 30 05 2011_PAO-CAF-RESOP_10_12_focus par entités CAFOP" xfId="3280" xr:uid="{00000000-0005-0000-0000-0000350D0000}"/>
    <cellStyle name="t_Manager_Actualisation provision contrat déficitaire SNCM 2011 V3 30 05 2011_PAO-CAF-RESOP_10_12_focus par entités CAFOP_Bridge_Zone_Sud" xfId="3281" xr:uid="{00000000-0005-0000-0000-0000360D0000}"/>
    <cellStyle name="t_Manager_Actualisation provision contrat déficitaire SNCM 2011 V3 30 05 2011_PAO-CAF-RESOP_11_13" xfId="3282" xr:uid="{00000000-0005-0000-0000-0000370D0000}"/>
    <cellStyle name="t_Manager_Actualisation provision contrat déficitaire SNCM 2011 V3 30 05 2011_PAO-CAF-RESOP_B13" xfId="3283" xr:uid="{00000000-0005-0000-0000-0000380D0000}"/>
    <cellStyle name="t_Manager_Actualisation provision contrat déficitaire SNCM 2011 V3 30 05 2011_PAO-CAF-RESOP_B13_Bridge_Zone_Sud" xfId="3284" xr:uid="{00000000-0005-0000-0000-0000390D0000}"/>
    <cellStyle name="t_Manager_Actualisation provision contrat déficitaire SNCM 2011 V3 30 05 2011_PAO-CAF-RESOP_B13_focus par entités CAFOP" xfId="3285" xr:uid="{00000000-0005-0000-0000-00003A0D0000}"/>
    <cellStyle name="t_Manager_Actualisation provision contrat déficitaire SNCM 2011 V3 30 05 2011_PAO-CAF-RESOP_B13_focus par entités CAFOP_Bridge_Zone_Sud" xfId="3286" xr:uid="{00000000-0005-0000-0000-00003B0D0000}"/>
    <cellStyle name="t_Manager_Actualisation provision contrat déficitaire SNCM 2011 V3 30 05 2011_PAO-CAF-RESOP_B2014" xfId="3287" xr:uid="{00000000-0005-0000-0000-00003C0D0000}"/>
    <cellStyle name="t_Manager_Actualisation provision contrat déficitaire SNCM 2011 V3 30 05 2011_PAO-CAF-RESOP_B2014_Bridge_Zone_Sud" xfId="3288" xr:uid="{00000000-0005-0000-0000-00003D0D0000}"/>
    <cellStyle name="t_Manager_Actualisation provision contrat déficitaire SNCM 2011 V3 30 05 2011_PAO-CAF-RESOP_B2014_v2" xfId="3289" xr:uid="{00000000-0005-0000-0000-00003E0D0000}"/>
    <cellStyle name="t_Manager_Actualisation provision contrat déficitaire SNCM 2011 V3 30 05 2011_PAO-CAF-RESOP_E2_13" xfId="3290" xr:uid="{00000000-0005-0000-0000-00003F0D0000}"/>
    <cellStyle name="t_Manager_Actualisation provision contrat déficitaire SNCM 2011 V3 30 05 2011_PAO-CAF-RESOP_E2_13_B14_E2_2210" xfId="3291" xr:uid="{00000000-0005-0000-0000-0000400D0000}"/>
    <cellStyle name="t_Manager_Actualisation provision contrat déficitaire SNCM 2011 V3 30 05 2011_PAO-CAF-RESOP_E2_13_B14_E2_2210_Bridge_Zone_Sud" xfId="3292" xr:uid="{00000000-0005-0000-0000-0000410D0000}"/>
    <cellStyle name="t_Manager_Actualisation provision contrat déficitaire SNCM 2011 V3 30 05 2011_PAO-CAF-RESOP_E2_13_Bridge_Zone_Sud" xfId="3293" xr:uid="{00000000-0005-0000-0000-0000420D0000}"/>
    <cellStyle name="t_Manager_Actualisation provision contrat déficitaire SNCM 2011 V3 30 05 2011_PAO-CAF-RESOP_E2_2013_03_10_19H" xfId="3294" xr:uid="{00000000-0005-0000-0000-0000430D0000}"/>
    <cellStyle name="t_Manager_Actualisation provision contrat déficitaire SNCM 2011 V3 30 05 2011_PAO-CAF-RESOP_E2_2013_03_10_19H_Bridge_Zone_Sud" xfId="3295" xr:uid="{00000000-0005-0000-0000-0000440D0000}"/>
    <cellStyle name="t_Manager_Actualisation provision contrat déficitaire SNCM 2011 V3 30 05 2011_PPA" xfId="3296" xr:uid="{00000000-0005-0000-0000-0000450D0000}"/>
    <cellStyle name="t_Manager_Actualisation provision contrat déficitaire SNCM 2011 V3 30 05 2011_RESOP bef CICE&amp;PPA&amp;RepartHO" xfId="3297" xr:uid="{00000000-0005-0000-0000-0000460D0000}"/>
    <cellStyle name="t_Manager_Actualisation provision contrat déficitaire SNCM 2011 V3 30 05 2011_Synthèse_Présentation_conso_retraitée" xfId="3298" xr:uid="{00000000-0005-0000-0000-0000470D0000}"/>
    <cellStyle name="t_Manager_B14_E2_2210" xfId="3299" xr:uid="{00000000-0005-0000-0000-0000480D0000}"/>
    <cellStyle name="t_Manager_B14_E2_2210_Bridge_Zone_Sud" xfId="3300" xr:uid="{00000000-0005-0000-0000-0000490D0000}"/>
    <cellStyle name="t_Manager_BFR_TD_2014.02" xfId="3301" xr:uid="{00000000-0005-0000-0000-00004A0D0000}"/>
    <cellStyle name="t_Manager_Bridge_Zone_Nord" xfId="3302" xr:uid="{00000000-0005-0000-0000-00004B0D0000}"/>
    <cellStyle name="t_Manager_CAPEM BY COUNTRY" xfId="3303" xr:uid="{00000000-0005-0000-0000-00004C0D0000}"/>
    <cellStyle name="t_Manager_LI819L_B13" xfId="757" xr:uid="{00000000-0005-0000-0000-00004D0D0000}"/>
    <cellStyle name="t_Manager_LI819L_B13_CAPEM BY COUNTRY" xfId="3304" xr:uid="{00000000-0005-0000-0000-00004E0D0000}"/>
    <cellStyle name="t_Manager_LI819L_B13_Maquette PLT" xfId="3305" xr:uid="{00000000-0005-0000-0000-00004F0D0000}"/>
    <cellStyle name="t_Manager_LI819L_B13_Output" xfId="3467" xr:uid="{00000000-0005-0000-0000-0000500D0000}"/>
    <cellStyle name="t_Manager_LI819L_B13_PPA" xfId="3306" xr:uid="{00000000-0005-0000-0000-0000510D0000}"/>
    <cellStyle name="t_Manager_LI819L_B13_RESOP bef CICE&amp;PPA&amp;RepartHO" xfId="3307" xr:uid="{00000000-0005-0000-0000-0000520D0000}"/>
    <cellStyle name="t_Manager_Maquette PLT" xfId="3308" xr:uid="{00000000-0005-0000-0000-0000530D0000}"/>
    <cellStyle name="t_Manager_Output" xfId="3468" xr:uid="{00000000-0005-0000-0000-0000540D0000}"/>
    <cellStyle name="t_Manager_PAO-CAF-RESOP_14_01_13 à 20h" xfId="758" xr:uid="{00000000-0005-0000-0000-0000550D0000}"/>
    <cellStyle name="t_Manager_PAO-CAF-RESOP_14_01_13 à 20h_CAPEM BY COUNTRY" xfId="3309" xr:uid="{00000000-0005-0000-0000-0000560D0000}"/>
    <cellStyle name="t_Manager_PAO-CAF-RESOP_14_01_13 à 20h_Maquette PLT" xfId="3310" xr:uid="{00000000-0005-0000-0000-0000570D0000}"/>
    <cellStyle name="t_Manager_PAO-CAF-RESOP_14_01_13 à 20h_Output" xfId="3469" xr:uid="{00000000-0005-0000-0000-0000580D0000}"/>
    <cellStyle name="t_Manager_PAO-CAF-RESOP_14_01_13 à 20h_PPA" xfId="3311" xr:uid="{00000000-0005-0000-0000-0000590D0000}"/>
    <cellStyle name="t_Manager_PAO-CAF-RESOP_14_01_13 à 20h_RESOP bef CICE&amp;PPA&amp;RepartHO" xfId="3312" xr:uid="{00000000-0005-0000-0000-00005A0D0000}"/>
    <cellStyle name="t_Manager_PAO-CAF-RESOP_2014.02" xfId="3313" xr:uid="{00000000-0005-0000-0000-00005B0D0000}"/>
    <cellStyle name="t_Manager_PAO-CAF-RESOP_2014.02_Bridge_Zone_Sud" xfId="3314" xr:uid="{00000000-0005-0000-0000-00005C0D0000}"/>
    <cellStyle name="t_Manager_PPA" xfId="3315" xr:uid="{00000000-0005-0000-0000-00005D0D0000}"/>
    <cellStyle name="t_Manager_RESOP bef CICE&amp;PPA&amp;RepartHO" xfId="3316" xr:uid="{00000000-0005-0000-0000-00005E0D0000}"/>
    <cellStyle name="t_Maquette PLT" xfId="3317" xr:uid="{00000000-0005-0000-0000-00005F0D0000}"/>
    <cellStyle name="t_Output" xfId="3470" xr:uid="{00000000-0005-0000-0000-0000600D0000}"/>
    <cellStyle name="t_PAO-CAF-RESOP_14_01_13 à 20h" xfId="759" xr:uid="{00000000-0005-0000-0000-0000610D0000}"/>
    <cellStyle name="t_PAO-CAF-RESOP_14_01_13 à 20h_CAPEM BY COUNTRY" xfId="3318" xr:uid="{00000000-0005-0000-0000-0000620D0000}"/>
    <cellStyle name="t_PAO-CAF-RESOP_14_01_13 à 20h_Maquette PLT" xfId="3319" xr:uid="{00000000-0005-0000-0000-0000630D0000}"/>
    <cellStyle name="t_PAO-CAF-RESOP_14_01_13 à 20h_Output" xfId="3471" xr:uid="{00000000-0005-0000-0000-0000640D0000}"/>
    <cellStyle name="t_PAO-CAF-RESOP_14_01_13 à 20h_PPA" xfId="3320" xr:uid="{00000000-0005-0000-0000-0000650D0000}"/>
    <cellStyle name="t_PAO-CAF-RESOP_14_01_13 à 20h_RESOP bef CICE&amp;PPA&amp;RepartHO" xfId="3321" xr:uid="{00000000-0005-0000-0000-0000660D0000}"/>
    <cellStyle name="t_PAO-CAF-RESOP_2014.02" xfId="3322" xr:uid="{00000000-0005-0000-0000-0000670D0000}"/>
    <cellStyle name="t_PAO-CAF-RESOP_2014.02_Bridge_Zone_Sud" xfId="3323" xr:uid="{00000000-0005-0000-0000-0000680D0000}"/>
    <cellStyle name="t_PPA" xfId="3324" xr:uid="{00000000-0005-0000-0000-0000690D0000}"/>
    <cellStyle name="t_RESOP bef CICE&amp;PPA&amp;RepartHO" xfId="3325" xr:uid="{00000000-0005-0000-0000-00006A0D0000}"/>
    <cellStyle name="Text Level 1" xfId="760" xr:uid="{00000000-0005-0000-0000-00006B0D0000}"/>
    <cellStyle name="Text Level 2" xfId="761" xr:uid="{00000000-0005-0000-0000-00006C0D0000}"/>
    <cellStyle name="Text Level 3" xfId="762" xr:uid="{00000000-0005-0000-0000-00006D0D0000}"/>
    <cellStyle name="Text Level 4" xfId="763" xr:uid="{00000000-0005-0000-0000-00006E0D0000}"/>
    <cellStyle name="Texte explicatif 2" xfId="764" xr:uid="{00000000-0005-0000-0000-00006F0D0000}"/>
    <cellStyle name="Title" xfId="287" xr:uid="{00000000-0005-0000-0000-0000700D0000}"/>
    <cellStyle name="Title 2" xfId="288" xr:uid="{00000000-0005-0000-0000-0000710D0000}"/>
    <cellStyle name="Title 3" xfId="289" xr:uid="{00000000-0005-0000-0000-0000720D0000}"/>
    <cellStyle name="Title 4" xfId="290" xr:uid="{00000000-0005-0000-0000-0000730D0000}"/>
    <cellStyle name="Title 5" xfId="291" xr:uid="{00000000-0005-0000-0000-0000740D0000}"/>
    <cellStyle name="Title 6" xfId="292" xr:uid="{00000000-0005-0000-0000-0000750D0000}"/>
    <cellStyle name="Title_Decote croissance organique" xfId="3326" xr:uid="{00000000-0005-0000-0000-0000760D0000}"/>
    <cellStyle name="Titles" xfId="765" xr:uid="{00000000-0005-0000-0000-0000770D0000}"/>
    <cellStyle name="Titre 2" xfId="766" xr:uid="{00000000-0005-0000-0000-0000780D0000}"/>
    <cellStyle name="Titre colonnes" xfId="293" xr:uid="{00000000-0005-0000-0000-0000790D0000}"/>
    <cellStyle name="Titre lignes" xfId="294" xr:uid="{00000000-0005-0000-0000-00007A0D0000}"/>
    <cellStyle name="Titre 1 2" xfId="767" xr:uid="{00000000-0005-0000-0000-00007B0D0000}"/>
    <cellStyle name="Titre 2 2" xfId="768" xr:uid="{00000000-0005-0000-0000-00007C0D0000}"/>
    <cellStyle name="Titre 3 2" xfId="769" xr:uid="{00000000-0005-0000-0000-00007D0D0000}"/>
    <cellStyle name="Titre 4 2" xfId="770" xr:uid="{00000000-0005-0000-0000-00007E0D0000}"/>
    <cellStyle name="Top_Double_Bottom" xfId="771" xr:uid="{00000000-0005-0000-0000-00007F0D0000}"/>
    <cellStyle name="Total 2" xfId="295" xr:uid="{00000000-0005-0000-0000-0000800D0000}"/>
    <cellStyle name="Total 3" xfId="296" xr:uid="{00000000-0005-0000-0000-0000810D0000}"/>
    <cellStyle name="Total 4" xfId="297" xr:uid="{00000000-0005-0000-0000-0000820D0000}"/>
    <cellStyle name="Total 5" xfId="298" xr:uid="{00000000-0005-0000-0000-0000830D0000}"/>
    <cellStyle name="Total 6" xfId="299" xr:uid="{00000000-0005-0000-0000-0000840D0000}"/>
    <cellStyle name="UNDERRUBRIK" xfId="772" xr:uid="{00000000-0005-0000-0000-0000850D0000}"/>
    <cellStyle name="Vérification 2" xfId="773" xr:uid="{00000000-0005-0000-0000-0000860D0000}"/>
    <cellStyle name="Warning Text" xfId="300" xr:uid="{00000000-0005-0000-0000-0000870D0000}"/>
    <cellStyle name="Warning Text 2" xfId="301" xr:uid="{00000000-0005-0000-0000-0000880D0000}"/>
    <cellStyle name="Warning Text 3" xfId="302" xr:uid="{00000000-0005-0000-0000-0000890D0000}"/>
    <cellStyle name="Warning Text 4" xfId="303" xr:uid="{00000000-0005-0000-0000-00008A0D0000}"/>
    <cellStyle name="Warning Text 5" xfId="304" xr:uid="{00000000-0005-0000-0000-00008B0D0000}"/>
    <cellStyle name="Warning Text_Feuil1" xfId="774" xr:uid="{00000000-0005-0000-0000-00008C0D0000}"/>
    <cellStyle name="Year" xfId="775" xr:uid="{00000000-0005-0000-0000-00008D0D0000}"/>
    <cellStyle name="zoe" xfId="776" xr:uid="{00000000-0005-0000-0000-00008E0D0000}"/>
    <cellStyle name="常规_Sheet1_Sub-consolidation Scope 2008 12 SX432 Lanzhou" xfId="777" xr:uid="{00000000-0005-0000-0000-00008F0D0000}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AD$38" noThreeD="1"/>
</file>

<file path=xl/ctrlProps/ctrlProp2.xml><?xml version="1.0" encoding="utf-8"?>
<formControlPr xmlns="http://schemas.microsoft.com/office/spreadsheetml/2009/9/main" objectType="CheckBox" checked="Checked" fmlaLink="$AD$43" noThreeD="1"/>
</file>

<file path=xl/ctrlProps/ctrlProp3.xml><?xml version="1.0" encoding="utf-8"?>
<formControlPr xmlns="http://schemas.microsoft.com/office/spreadsheetml/2009/9/main" objectType="CheckBox" checked="Checked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Contex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30250" y="1140731"/>
          <a:ext cx="1458232" cy="5631090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8</xdr:col>
      <xdr:colOff>2961820</xdr:colOff>
      <xdr:row>6</xdr:row>
      <xdr:rowOff>367393</xdr:rowOff>
    </xdr:from>
    <xdr:to>
      <xdr:col>11</xdr:col>
      <xdr:colOff>264989</xdr:colOff>
      <xdr:row>6</xdr:row>
      <xdr:rowOff>774526</xdr:rowOff>
    </xdr:to>
    <xdr:sp macro="[0]!Refresh_Activity_List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8</xdr:col>
      <xdr:colOff>2961820</xdr:colOff>
      <xdr:row>7</xdr:row>
      <xdr:rowOff>40821</xdr:rowOff>
    </xdr:from>
    <xdr:to>
      <xdr:col>11</xdr:col>
      <xdr:colOff>264989</xdr:colOff>
      <xdr:row>8</xdr:row>
      <xdr:rowOff>107776</xdr:rowOff>
    </xdr:to>
    <xdr:sp macro="[0]!Refresh_report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35</xdr:row>
          <xdr:rowOff>222250</xdr:rowOff>
        </xdr:from>
        <xdr:to>
          <xdr:col>11</xdr:col>
          <xdr:colOff>577850</xdr:colOff>
          <xdr:row>38</xdr:row>
          <xdr:rowOff>76200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2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41</xdr:row>
          <xdr:rowOff>12700</xdr:rowOff>
        </xdr:from>
        <xdr:to>
          <xdr:col>11</xdr:col>
          <xdr:colOff>577850</xdr:colOff>
          <xdr:row>43</xdr:row>
          <xdr:rowOff>88900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2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83</xdr:row>
          <xdr:rowOff>114300</xdr:rowOff>
        </xdr:from>
        <xdr:to>
          <xdr:col>11</xdr:col>
          <xdr:colOff>577850</xdr:colOff>
          <xdr:row>85</xdr:row>
          <xdr:rowOff>76200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2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167158</xdr:rowOff>
    </xdr:from>
    <xdr:to>
      <xdr:col>2</xdr:col>
      <xdr:colOff>4045124</xdr:colOff>
      <xdr:row>17</xdr:row>
      <xdr:rowOff>95006</xdr:rowOff>
    </xdr:to>
    <xdr:sp macro="[0]!Save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66833</xdr:rowOff>
    </xdr:from>
    <xdr:to>
      <xdr:col>2</xdr:col>
      <xdr:colOff>4045124</xdr:colOff>
      <xdr:row>20</xdr:row>
      <xdr:rowOff>105677</xdr:rowOff>
    </xdr:to>
    <xdr:sp macro="[0]!RetrieveData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386843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660400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18637539" y="2870200"/>
          <a:ext cx="1044575" cy="715818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439F-9C7D-4CEB-BAB7-6B3A08FE7895}">
  <sheetPr codeName="Feuil1"/>
  <dimension ref="A1"/>
  <sheetViews>
    <sheetView workbookViewId="0"/>
  </sheetViews>
  <sheetFormatPr baseColWidth="10" defaultRowHeight="1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2"/>
  <sheetViews>
    <sheetView showGridLines="0" tabSelected="1" topLeftCell="E4" zoomScale="70" zoomScaleNormal="70" workbookViewId="0"/>
  </sheetViews>
  <sheetFormatPr baseColWidth="10" defaultColWidth="11.453125" defaultRowHeight="13.5" outlineLevelCol="1"/>
  <cols>
    <col min="1" max="1" width="39.1796875" style="5" hidden="1" customWidth="1"/>
    <col min="2" max="2" width="34.26953125" style="5" hidden="1" customWidth="1"/>
    <col min="3" max="3" width="18.81640625" style="5" hidden="1" customWidth="1"/>
    <col min="4" max="4" width="7.54296875" style="5" hidden="1" customWidth="1"/>
    <col min="5" max="5" width="2.7265625" style="5" customWidth="1"/>
    <col min="6" max="6" width="24.7265625" style="5" customWidth="1"/>
    <col min="7" max="7" width="19.6328125" style="5" bestFit="1" customWidth="1"/>
    <col min="8" max="8" width="30.6328125" style="5" bestFit="1" customWidth="1"/>
    <col min="9" max="9" width="49.54296875" style="5" bestFit="1" customWidth="1"/>
    <col min="10" max="10" width="1.6328125" style="5" bestFit="1" customWidth="1"/>
    <col min="11" max="11" width="23.6328125" style="5" customWidth="1"/>
    <col min="12" max="12" width="6" style="5" customWidth="1"/>
    <col min="13" max="13" width="11.453125" style="5" hidden="1" customWidth="1" outlineLevel="1"/>
    <col min="14" max="14" width="27.1796875" style="5" hidden="1" customWidth="1" outlineLevel="1"/>
    <col min="15" max="15" width="40.1796875" style="5" hidden="1" customWidth="1" outlineLevel="1"/>
    <col min="16" max="16" width="26.81640625" style="5" hidden="1" customWidth="1" outlineLevel="1"/>
    <col min="17" max="17" width="40.1796875" style="5" hidden="1" customWidth="1" outlineLevel="1"/>
    <col min="18" max="18" width="37.1796875" style="5" hidden="1" customWidth="1" outlineLevel="1"/>
    <col min="19" max="19" width="11.453125" style="5" hidden="1" customWidth="1" outlineLevel="1"/>
    <col min="20" max="20" width="14.453125" style="5" hidden="1" customWidth="1" outlineLevel="1"/>
    <col min="21" max="21" width="11.453125" style="5" hidden="1" customWidth="1" outlineLevel="1"/>
    <col min="22" max="22" width="4.26953125" style="5" hidden="1" customWidth="1" outlineLevel="1"/>
    <col min="23" max="23" width="6.26953125" style="5" hidden="1" customWidth="1" outlineLevel="1"/>
    <col min="24" max="24" width="68.453125" style="5" hidden="1" customWidth="1" outlineLevel="1"/>
    <col min="25" max="26" width="11.453125" style="5" hidden="1" customWidth="1" outlineLevel="1"/>
    <col min="27" max="27" width="11.453125" style="5" customWidth="1" collapsed="1"/>
    <col min="28" max="32" width="11.453125" style="5" customWidth="1"/>
    <col min="33" max="16384" width="11.453125" style="5"/>
  </cols>
  <sheetData>
    <row r="1" spans="1:24" ht="15.75" hidden="1" customHeight="1" thickBot="1">
      <c r="A1" s="29" t="s">
        <v>133</v>
      </c>
      <c r="B1" s="20"/>
      <c r="D1" s="30"/>
      <c r="E1" s="30"/>
      <c r="F1" s="30"/>
      <c r="I1" s="31" t="s">
        <v>82</v>
      </c>
      <c r="J1" s="30"/>
      <c r="K1" s="30"/>
      <c r="L1" s="30"/>
      <c r="M1" s="4"/>
      <c r="N1" s="60" t="s">
        <v>130</v>
      </c>
      <c r="O1" s="60">
        <f ca="1">DAY(TODAY())</f>
        <v>10</v>
      </c>
      <c r="P1" s="60" t="str">
        <f ca="1">IF(MONTH(TODAY())&lt;10,"0"&amp;MONTH(TODAY()),MONTH(TODAY()))</f>
        <v>09</v>
      </c>
      <c r="Q1" s="60">
        <f ca="1">YEAR(TODAY())</f>
        <v>2024</v>
      </c>
    </row>
    <row r="2" spans="1:24" ht="19.5" hidden="1" customHeight="1" thickBot="1">
      <c r="A2" s="20"/>
      <c r="B2" s="20"/>
      <c r="D2" s="30"/>
      <c r="E2" s="30"/>
      <c r="F2" s="30"/>
      <c r="G2" s="30"/>
      <c r="H2" s="32"/>
      <c r="I2" s="30"/>
      <c r="J2" s="30"/>
      <c r="K2" s="30"/>
      <c r="L2" s="30"/>
      <c r="M2" s="4"/>
      <c r="N2" s="56" t="s">
        <v>127</v>
      </c>
      <c r="O2" s="57">
        <v>0</v>
      </c>
      <c r="P2" s="56" t="s">
        <v>129</v>
      </c>
      <c r="Q2" s="57" t="s">
        <v>232</v>
      </c>
    </row>
    <row r="3" spans="1:24" ht="16.25" hidden="1" thickBot="1">
      <c r="A3" s="24" t="s">
        <v>65</v>
      </c>
      <c r="B3" s="20"/>
      <c r="D3" s="6"/>
      <c r="M3" s="4"/>
      <c r="N3" s="56" t="s">
        <v>126</v>
      </c>
      <c r="O3" s="59" t="str">
        <f ca="1">$O$1&amp;"/"&amp;$P$1&amp;"/"&amp;$Q$1</f>
        <v>10/09/2024</v>
      </c>
      <c r="P3" s="58" t="str">
        <f>IF(Flag_Send_Date=1,_xll.DBSS($O$3,Server&amp;"}Z_Update_LTP",$I$13,$I$10,$I$12,$I$11,$O$4,ReportName,"STR_VAR1"),"")</f>
        <v/>
      </c>
      <c r="Q3" s="4"/>
    </row>
    <row r="4" spans="1:24" ht="20.25" customHeight="1" thickBot="1">
      <c r="A4" s="265" t="s">
        <v>66</v>
      </c>
      <c r="B4" s="266" t="s">
        <v>180</v>
      </c>
      <c r="C4" s="267"/>
      <c r="D4" s="268"/>
      <c r="E4" s="267"/>
      <c r="F4" s="269"/>
      <c r="G4" s="269"/>
      <c r="H4" s="300" t="str">
        <f>_xll.DBRA(Server&amp;$N$6,$N7,$I$15)</f>
        <v>Sélection du contexte</v>
      </c>
      <c r="I4" s="300"/>
      <c r="J4" s="301"/>
      <c r="K4" s="269"/>
      <c r="M4" s="4"/>
      <c r="N4" s="56" t="s">
        <v>128</v>
      </c>
      <c r="O4" s="57" t="str">
        <f>_xll.TM1USER(xServer)</f>
        <v>karima.barki</v>
      </c>
      <c r="P4" s="4"/>
      <c r="Q4" s="4"/>
    </row>
    <row r="5" spans="1:24" ht="12.75" customHeight="1" thickBot="1">
      <c r="A5" s="265" t="s">
        <v>67</v>
      </c>
      <c r="B5" s="266" t="str">
        <f>LEFT(Server,LEN(Server)-1)</f>
        <v>tango_core_model</v>
      </c>
      <c r="C5" s="267"/>
      <c r="D5" s="267"/>
      <c r="E5" s="267"/>
      <c r="F5" s="269"/>
      <c r="G5" s="269"/>
      <c r="H5" s="300"/>
      <c r="I5" s="300"/>
      <c r="J5" s="301"/>
      <c r="K5" s="269"/>
      <c r="M5" s="4"/>
      <c r="N5" s="4"/>
      <c r="O5" s="4"/>
      <c r="P5" s="4"/>
      <c r="Q5" s="4"/>
      <c r="R5" s="116" t="s">
        <v>141</v>
      </c>
      <c r="T5" s="116" t="s">
        <v>141</v>
      </c>
    </row>
    <row r="6" spans="1:24" ht="27.75" customHeight="1" thickBot="1">
      <c r="A6" s="265" t="s">
        <v>68</v>
      </c>
      <c r="B6" s="266" t="str">
        <f>_xll.DBRW("tango_core_model:z_Admin_Param","SERVER_NAME","STR_VAR1")</f>
        <v>91.236.254.119</v>
      </c>
      <c r="C6" s="267"/>
      <c r="D6" s="268"/>
      <c r="E6" s="267"/>
      <c r="F6" s="269"/>
      <c r="G6" s="269"/>
      <c r="H6" s="300"/>
      <c r="I6" s="300"/>
      <c r="J6" s="301"/>
      <c r="K6" s="269"/>
      <c r="M6" s="4"/>
      <c r="N6" s="33" t="s">
        <v>84</v>
      </c>
      <c r="O6" s="42" t="s">
        <v>107</v>
      </c>
      <c r="P6" s="4"/>
      <c r="Q6" s="4"/>
      <c r="R6" s="5" t="str">
        <f>$I$14</f>
        <v>K Devise locale</v>
      </c>
      <c r="T6" s="5" t="str">
        <f>$I$14</f>
        <v>K Devise locale</v>
      </c>
    </row>
    <row r="7" spans="1:24" ht="72.75" customHeight="1" thickBot="1">
      <c r="A7" s="25" t="s">
        <v>69</v>
      </c>
      <c r="B7" s="26">
        <v>0</v>
      </c>
      <c r="D7" s="6"/>
      <c r="F7" s="7"/>
      <c r="G7" s="7"/>
      <c r="H7" s="7"/>
      <c r="I7" s="7"/>
      <c r="J7" s="7"/>
      <c r="K7" s="7"/>
      <c r="L7" s="7"/>
      <c r="M7" s="4"/>
      <c r="N7" s="34" t="s">
        <v>85</v>
      </c>
      <c r="O7" s="43" t="s">
        <v>92</v>
      </c>
      <c r="P7" s="43" t="s">
        <v>106</v>
      </c>
      <c r="Q7" s="4"/>
    </row>
    <row r="8" spans="1:24" ht="26">
      <c r="A8" s="25" t="s">
        <v>70</v>
      </c>
      <c r="B8" s="26">
        <v>0</v>
      </c>
      <c r="D8" s="6"/>
      <c r="G8" s="41" t="str">
        <f>_xll.DBRA(Server&amp;$N$6,$N15,$I$15)</f>
        <v>Etape 0 -</v>
      </c>
      <c r="H8" s="270" t="str">
        <f>_xll.DBRA(Server&amp;$N$6,$N7,$I$15)</f>
        <v>Sélection du contexte</v>
      </c>
      <c r="I8" s="10"/>
      <c r="K8" s="7"/>
      <c r="L8" s="7"/>
      <c r="M8" s="4"/>
      <c r="N8" s="45" t="s">
        <v>87</v>
      </c>
      <c r="O8" s="44" t="str">
        <f>IF($P$8="1",_xll.DBRA(Server&amp;"LTP_Components",$N22,$I$15),$O$9)</f>
        <v>PBZ &amp; Plan d'Action - Ajustements Corp.</v>
      </c>
      <c r="P8" s="44" t="str">
        <f>_xll.DBR(Server&amp;"z_Client_Properties","LTP_Corp_Security",_xll.TM1USER(xServer))</f>
        <v>1</v>
      </c>
      <c r="Q8" s="4" t="s">
        <v>219</v>
      </c>
      <c r="R8" s="5" t="str">
        <f>IF($P$8="1",_xll.DBRA(Server&amp;"LTP_Components",$Q8,$I$15),$Q8)</f>
        <v>Plan d'Action - Ajustements Corp.</v>
      </c>
    </row>
    <row r="9" spans="1:24" ht="14.5" customHeight="1" thickBot="1">
      <c r="A9"/>
      <c r="B9" s="27"/>
      <c r="D9" s="6"/>
      <c r="G9" s="16"/>
      <c r="I9" s="10"/>
      <c r="K9" s="7"/>
      <c r="L9" s="7"/>
      <c r="M9" s="4"/>
      <c r="N9" s="45" t="s">
        <v>83</v>
      </c>
      <c r="O9" s="46" t="str">
        <f>_xll.DBRA(Server&amp;"LTP_Components",$N26,$I$15)</f>
        <v>PBZ &amp; Plan d'Action - Pays</v>
      </c>
      <c r="P9" s="4"/>
      <c r="Q9" s="4" t="s">
        <v>193</v>
      </c>
      <c r="R9" s="5" t="str">
        <f>IF($P$8="1",_xll.DBRA(Server&amp;"LTP_Components",$Q9,$I$15),$Q9)</f>
        <v>Plan d'Action - Pays</v>
      </c>
    </row>
    <row r="10" spans="1:24" ht="25.5" customHeight="1">
      <c r="A10" s="24" t="s">
        <v>71</v>
      </c>
      <c r="B10" s="27"/>
      <c r="D10" s="6"/>
      <c r="G10" s="17"/>
      <c r="H10" s="271" t="str">
        <f>_xll.DBRA(Server&amp;$N$6,$N9,$I$15)</f>
        <v>Phase</v>
      </c>
      <c r="I10" s="272" t="str">
        <f>_xll.SUBNM(Server&amp;"Phase","LTP_Current",ActualLTP)</f>
        <v>LTP_2025_VC</v>
      </c>
      <c r="K10" s="7"/>
      <c r="L10" s="7"/>
      <c r="M10" s="4"/>
      <c r="N10" s="36" t="s">
        <v>88</v>
      </c>
      <c r="O10" s="4"/>
      <c r="P10" s="4"/>
      <c r="Q10" s="4" t="s">
        <v>220</v>
      </c>
      <c r="R10" s="5" t="str">
        <f>IF($P$8="1",_xll.DBRA(Server&amp;"LTP_Components",$Q10,$I$15),$Q10)</f>
        <v>Ventilation UGT Corporate</v>
      </c>
      <c r="V10" s="105">
        <f>_xll.ELLEV(Server&amp;"Phase",xPhase)</f>
        <v>0</v>
      </c>
      <c r="W10" s="101" t="s">
        <v>181</v>
      </c>
      <c r="X10" s="7" t="str">
        <f>IF(V10&lt;&gt;0,"Selected "&amp;H10&amp;" is a consolidated element; Input and save data are not possible","OK")</f>
        <v>OK</v>
      </c>
    </row>
    <row r="11" spans="1:24" ht="25.5" customHeight="1">
      <c r="A11" s="25" t="s">
        <v>72</v>
      </c>
      <c r="B11" s="26" t="s">
        <v>93</v>
      </c>
      <c r="D11" s="6"/>
      <c r="G11" s="104"/>
      <c r="H11" s="271" t="str">
        <f>_xll.DBRA(Server&amp;$N$6,$N10,$I$15)</f>
        <v>Composant LTP</v>
      </c>
      <c r="I11" s="272" t="s">
        <v>227</v>
      </c>
      <c r="K11" s="7"/>
      <c r="L11" s="7"/>
      <c r="M11" s="4"/>
      <c r="N11" s="35" t="s">
        <v>86</v>
      </c>
      <c r="O11" s="78" t="s">
        <v>140</v>
      </c>
      <c r="P11" s="79" t="s">
        <v>141</v>
      </c>
      <c r="Q11" s="4" t="s">
        <v>221</v>
      </c>
      <c r="R11" s="5" t="str">
        <f>IF($P$8="1",_xll.DBRA(Server&amp;"LTP_Components",$Q11,$I$15),$Q11)</f>
        <v>Plan de cession - Ajustements Corp.</v>
      </c>
      <c r="V11" s="105">
        <f>_xll.ELLEV(Server&amp;"LTP_Components",ctx_compo_ltp_Context)</f>
        <v>0</v>
      </c>
      <c r="W11" s="101" t="s">
        <v>181</v>
      </c>
      <c r="X11" s="7" t="str">
        <f>IF(V11&lt;&gt;0,"Selected "&amp;H11&amp;" is a consolidated element; Input and save data are not possible","OK")</f>
        <v>OK</v>
      </c>
    </row>
    <row r="12" spans="1:24" ht="25.5" customHeight="1">
      <c r="A12" s="25" t="s">
        <v>73</v>
      </c>
      <c r="B12" s="26" t="s">
        <v>94</v>
      </c>
      <c r="D12" s="6"/>
      <c r="H12" s="271" t="str">
        <f>_xll.DBRA(Server&amp;$N$6,$N11,$I$15)</f>
        <v>Organisation légale</v>
      </c>
      <c r="I12" s="323" t="str">
        <f>_xll.SUBNM(Server&amp;"Legal_Organization","",_xll.DBR(Server&amp;"z_Client_Properties","Default_Legal_Organization",_xll.TM1USER(xServer)),"Code_Name")</f>
        <v>TRANSDEV All</v>
      </c>
      <c r="J12" s="303" t="str">
        <f>X14</f>
        <v>Incorrect Context! Save date will be impossible!</v>
      </c>
      <c r="K12" s="303"/>
      <c r="L12" s="7"/>
      <c r="M12" s="4"/>
      <c r="N12" s="35" t="s">
        <v>57</v>
      </c>
      <c r="O12" s="78" t="s">
        <v>142</v>
      </c>
      <c r="P12" s="79" t="s">
        <v>114</v>
      </c>
      <c r="Q12" s="4" t="s">
        <v>222</v>
      </c>
      <c r="R12" s="5" t="str">
        <f>IF($P$8="1",_xll.DBRA(Server&amp;"LTP_Components",$Q12,$I$15),$Q12)</f>
        <v>Plan de cession - Pays</v>
      </c>
      <c r="V12" s="105">
        <f>_xll.ELLEV(Server&amp;"Legal_Organization",ctx_legal_Context)</f>
        <v>6</v>
      </c>
      <c r="W12" s="101" t="s">
        <v>181</v>
      </c>
      <c r="X12" s="7" t="str">
        <f>IF(V12&lt;&gt;0,"Selected "&amp;H12&amp;" is a consolidated element; Input and save data are not possible","OK")</f>
        <v>Selected Organisation légale is a consolidated element; Input and save data are not possible</v>
      </c>
    </row>
    <row r="13" spans="1:24" s="8" customFormat="1" ht="25.5" customHeight="1">
      <c r="A13" s="25" t="s">
        <v>134</v>
      </c>
      <c r="B13" s="26" t="s">
        <v>136</v>
      </c>
      <c r="D13" s="6"/>
      <c r="H13" s="271" t="str">
        <f>_xll.DBRA(Server&amp;$N$6,$N12,$I$15)</f>
        <v>Activité</v>
      </c>
      <c r="I13" s="272" t="s">
        <v>294</v>
      </c>
      <c r="J13" s="303"/>
      <c r="K13" s="303"/>
      <c r="L13" s="9"/>
      <c r="M13" s="4"/>
      <c r="N13" s="35" t="s">
        <v>54</v>
      </c>
      <c r="O13" s="4"/>
      <c r="P13" s="4"/>
      <c r="Q13" s="4" t="s">
        <v>223</v>
      </c>
      <c r="R13" s="5" t="str">
        <f>IF($P$8="1",_xll.DBRA(Server&amp;"LTP_Components",$Q13,$I$15),$Q13)</f>
        <v>CEXT - Aju. Corp.</v>
      </c>
      <c r="V13" s="105">
        <f>_xll.ELLEV(Server&amp;"Activity",ctx_activity_Context)</f>
        <v>2</v>
      </c>
      <c r="W13" s="101" t="s">
        <v>181</v>
      </c>
      <c r="X13" s="7" t="str">
        <f>IF(V13&lt;&gt;0,"Selected "&amp;H13&amp;" is a consolidated element; Input and save data are not possible","OK")</f>
        <v>Selected Activité is a consolidated element; Input and save data are not possible</v>
      </c>
    </row>
    <row r="14" spans="1:24" s="8" customFormat="1" ht="25.5" customHeight="1" thickBot="1">
      <c r="A14" s="25" t="s">
        <v>135</v>
      </c>
      <c r="B14" s="26" t="s">
        <v>137</v>
      </c>
      <c r="D14" s="6"/>
      <c r="G14" s="103"/>
      <c r="H14" s="271" t="str">
        <f>_xll.DBRA(Server&amp;$N$6,$N13,$I$15)</f>
        <v>Devise</v>
      </c>
      <c r="I14" s="273" t="str">
        <f>_xll.DBRA(Server&amp;"Currency","KLCL",I15)</f>
        <v>K Devise locale</v>
      </c>
      <c r="J14" s="303"/>
      <c r="K14" s="303"/>
      <c r="L14" s="9"/>
      <c r="M14" s="4"/>
      <c r="N14" s="37" t="s">
        <v>55</v>
      </c>
      <c r="O14" s="4" t="s">
        <v>240</v>
      </c>
      <c r="P14" s="4" t="str">
        <f>_xll.DBRW(xServer&amp;":}ElementAttributes_Legal_Organization",ctx_legal_Context,"Country_Entity")</f>
        <v/>
      </c>
      <c r="Q14" s="4" t="s">
        <v>224</v>
      </c>
      <c r="R14" s="5" t="str">
        <f>IF($P$8="1",_xll.DBRA(Server&amp;"LTP_Components",$Q14,$I$15),$Q14)</f>
        <v>CEXT - Pays</v>
      </c>
      <c r="V14" s="102" t="str">
        <f>_xll.DBRW(Server&amp;"TC_CONTROL_LEGAL_ACTIVITY",ctx_legal_Context,ctx_activity_Context,"STR_VAR1")</f>
        <v>1</v>
      </c>
      <c r="W14" s="101" t="s">
        <v>182</v>
      </c>
      <c r="X14" s="7" t="str">
        <f>IF(AND(V14="1",V13=0,V12=0),"Your selection is correct, you can input and save your data","Incorrect Context! Save date will be impossible!")</f>
        <v>Incorrect Context! Save date will be impossible!</v>
      </c>
    </row>
    <row r="15" spans="1:24" s="8" customFormat="1" ht="25.5" customHeight="1">
      <c r="A15" s="25" t="s">
        <v>74</v>
      </c>
      <c r="B15" s="26" t="str">
        <f>_xll.DBR(Server&amp;"z_Admin_Param","YEAR_LTP","STR_VAR1")</f>
        <v>2025</v>
      </c>
      <c r="D15" s="6"/>
      <c r="G15" s="17"/>
      <c r="H15" s="271" t="str">
        <f>_xll.DBRA(Server&amp;$N$6,$N14,$I$15)</f>
        <v>Langue</v>
      </c>
      <c r="I15" s="274" t="str">
        <f>B18</f>
        <v>French</v>
      </c>
      <c r="K15" s="9"/>
      <c r="L15" s="9"/>
      <c r="M15" s="4"/>
      <c r="N15" s="38" t="s">
        <v>89</v>
      </c>
      <c r="O15" s="4" t="s">
        <v>246</v>
      </c>
      <c r="P15" s="259">
        <f>IFERROR(IF(SEARCH("Corp",I11,1)&lt;&gt;0,1,0),0)</f>
        <v>1</v>
      </c>
      <c r="Q15" s="4" t="s">
        <v>225</v>
      </c>
      <c r="R15" s="5" t="str">
        <f>IF($P$8="1",_xll.DBRA(Server&amp;"LTP_Components",$Q15,$I$15),$Q15)</f>
        <v>CORG - Aju. Corp.</v>
      </c>
      <c r="X15" s="8" t="str">
        <f>IF(AND(V14="1",V13=0,V12=0),"OK","KO")</f>
        <v>KO</v>
      </c>
    </row>
    <row r="16" spans="1:24" ht="23.5">
      <c r="A16" s="25" t="s">
        <v>105</v>
      </c>
      <c r="B16" s="26" t="str">
        <f>_xll.DBR(Server&amp;"z_Admin_Param","PHASE_LTP","STR_VAR1")</f>
        <v>LTP_2025_VC</v>
      </c>
      <c r="D16" s="4"/>
      <c r="E16" s="8"/>
      <c r="F16" s="8"/>
      <c r="G16" s="17"/>
      <c r="H16" s="8"/>
      <c r="I16" s="8"/>
      <c r="J16" s="19"/>
      <c r="K16" s="19"/>
      <c r="L16" s="8"/>
      <c r="M16" s="4"/>
      <c r="N16" s="39" t="s">
        <v>90</v>
      </c>
      <c r="O16" s="4"/>
      <c r="P16" s="4"/>
      <c r="Q16" s="4" t="s">
        <v>226</v>
      </c>
      <c r="R16" s="5" t="str">
        <f>IF($P$8="1",_xll.DBRA(Server&amp;"LTP_Components",$Q16,$I$15),$Q16)</f>
        <v>CORG - Pays</v>
      </c>
    </row>
    <row r="17" spans="1:18" ht="23.5">
      <c r="A17" s="25" t="s">
        <v>75</v>
      </c>
      <c r="B17" s="26" t="str">
        <f>_xll.DBR(Server&amp;"z_Client_Properties","Language",_xll.TM1USER(xServer))</f>
        <v>French</v>
      </c>
      <c r="D17" s="4"/>
      <c r="E17" s="8"/>
      <c r="F17" s="8"/>
      <c r="G17" s="16"/>
      <c r="J17" s="19"/>
      <c r="K17" s="19"/>
      <c r="L17" s="8"/>
      <c r="M17" s="4"/>
      <c r="N17" s="39" t="s">
        <v>91</v>
      </c>
      <c r="O17" s="4"/>
      <c r="P17" s="4"/>
      <c r="Q17" s="4" t="s">
        <v>227</v>
      </c>
      <c r="R17" s="5" t="str">
        <f>IF($P$8="1",_xll.DBRA(Server&amp;"LTP_Components",$Q17,$I$15),$Q17)</f>
        <v>PBZ &amp; Plan d'Action - Ajustements Corp.</v>
      </c>
    </row>
    <row r="18" spans="1:18" ht="26.25" customHeight="1">
      <c r="A18" s="64" t="s">
        <v>76</v>
      </c>
      <c r="B18" s="28" t="str">
        <f>_xll.DBR(Server&amp;"z_Client_Properties","Language",_xll.TM1USER(xServer))</f>
        <v>French</v>
      </c>
      <c r="D18" s="4"/>
      <c r="E18" s="8"/>
      <c r="F18" s="8"/>
      <c r="G18" s="47"/>
      <c r="H18" s="100"/>
      <c r="I18" s="19"/>
      <c r="J18" s="19"/>
      <c r="K18" s="19"/>
      <c r="L18" s="8"/>
      <c r="M18" s="4"/>
      <c r="N18" s="39" t="s">
        <v>138</v>
      </c>
      <c r="O18" s="4"/>
      <c r="P18" s="4"/>
      <c r="Q18" s="4" t="s">
        <v>228</v>
      </c>
      <c r="R18" s="5" t="str">
        <f>IF($P$8="1",_xll.DBRA(Server&amp;"LTP_Components",$Q18,$I$15),$Q18)</f>
        <v>PBZ &amp; Plan d'Action - Pays</v>
      </c>
    </row>
    <row r="19" spans="1:18" ht="23.25" customHeight="1">
      <c r="A19" s="65"/>
      <c r="B19" s="28" t="str">
        <f>IF(B18="English","French","English")</f>
        <v>English</v>
      </c>
      <c r="D19" s="4"/>
      <c r="E19" s="8"/>
      <c r="F19" s="8"/>
      <c r="G19" s="16"/>
      <c r="J19" s="8"/>
      <c r="K19"/>
      <c r="L19" s="8"/>
      <c r="M19" s="4"/>
      <c r="N19" s="39" t="s">
        <v>143</v>
      </c>
      <c r="O19" s="4"/>
      <c r="P19" s="4"/>
      <c r="Q19" s="4"/>
    </row>
    <row r="20" spans="1:18" ht="23.25" customHeight="1">
      <c r="A20" s="65"/>
      <c r="B20" s="28"/>
      <c r="D20" s="4"/>
      <c r="E20" s="8"/>
      <c r="F20" s="8"/>
      <c r="G20" s="16"/>
      <c r="J20" s="8"/>
      <c r="K20"/>
      <c r="L20" s="8"/>
      <c r="M20" s="4"/>
      <c r="N20" s="39" t="s">
        <v>139</v>
      </c>
      <c r="O20" s="4"/>
      <c r="P20" s="4"/>
      <c r="Q20" s="4"/>
      <c r="R20" s="5" t="e">
        <f>IF($P$8="1",_xll.DBRA(Server&amp;"LTP_Components",$Q20,$I$15),$Q20)</f>
        <v>#VALUE!</v>
      </c>
    </row>
    <row r="21" spans="1:18" ht="26.25" customHeight="1" thickBot="1">
      <c r="A21" s="65"/>
      <c r="B21" s="28"/>
      <c r="D21" s="4"/>
      <c r="E21" s="8"/>
      <c r="F21" s="8"/>
      <c r="G21" s="178" t="str">
        <f>IF(xLanguage="English","Step 1 - ","Etape 1 - ")</f>
        <v xml:space="preserve">Etape 1 - </v>
      </c>
      <c r="H21" s="270" t="s">
        <v>218</v>
      </c>
      <c r="I21" s="19"/>
      <c r="J21" s="19"/>
      <c r="K21" s="8"/>
      <c r="L21" s="8"/>
      <c r="M21" s="4"/>
      <c r="N21" s="39" t="s">
        <v>185</v>
      </c>
      <c r="P21" s="4"/>
      <c r="Q21" s="4"/>
      <c r="R21" s="5" t="e">
        <f>IF($P$8="1",_xll.DBRA(Server&amp;"LTP_Components",$Q21,$I$15),$Q21)</f>
        <v>#VALUE!</v>
      </c>
    </row>
    <row r="22" spans="1:18" ht="23.25" customHeight="1">
      <c r="A22" s="66"/>
      <c r="B22" s="28"/>
      <c r="D22" s="4"/>
      <c r="E22" s="8"/>
      <c r="F22" s="8"/>
      <c r="G22" s="16"/>
      <c r="I22" s="19"/>
      <c r="J22" s="19"/>
      <c r="K22" s="8"/>
      <c r="L22" s="8"/>
      <c r="M22" s="4"/>
      <c r="N22" s="38" t="s">
        <v>233</v>
      </c>
      <c r="P22" s="4"/>
      <c r="Q22" s="4"/>
    </row>
    <row r="23" spans="1:18" ht="31.5" customHeight="1">
      <c r="A23" s="65"/>
      <c r="B23" s="28"/>
      <c r="D23" s="4"/>
      <c r="E23" s="8"/>
      <c r="F23" s="8"/>
      <c r="G23" s="16"/>
      <c r="H23" s="193"/>
      <c r="I23" s="19"/>
      <c r="J23" s="19"/>
      <c r="K23" s="8"/>
      <c r="L23" s="8"/>
      <c r="M23" s="4"/>
      <c r="N23" s="39"/>
      <c r="P23" s="4"/>
      <c r="Q23" s="4"/>
    </row>
    <row r="24" spans="1:18" ht="31.5" customHeight="1">
      <c r="A24" s="65"/>
      <c r="B24" s="28"/>
      <c r="D24" s="4"/>
      <c r="E24" s="8"/>
      <c r="F24" s="8"/>
      <c r="G24" s="47"/>
      <c r="H24" s="194"/>
      <c r="I24" s="19"/>
      <c r="J24" s="19"/>
      <c r="K24" s="8"/>
      <c r="L24" s="8"/>
      <c r="M24" s="4"/>
      <c r="N24" s="39"/>
      <c r="P24" s="4"/>
      <c r="Q24" s="4"/>
    </row>
    <row r="25" spans="1:18" ht="31.5" customHeight="1">
      <c r="A25" s="65"/>
      <c r="B25" s="28"/>
      <c r="D25" s="4"/>
      <c r="E25" s="8"/>
      <c r="F25" s="8"/>
      <c r="G25" s="16"/>
      <c r="H25" s="195"/>
      <c r="I25" s="19"/>
      <c r="J25" s="19"/>
      <c r="K25" s="8"/>
      <c r="L25" s="8"/>
      <c r="M25" s="4"/>
      <c r="N25" s="39"/>
      <c r="P25" s="4"/>
      <c r="Q25" s="4"/>
    </row>
    <row r="26" spans="1:18" ht="23.25" customHeight="1" thickBot="1">
      <c r="A26" s="64"/>
      <c r="B26" s="28"/>
      <c r="D26" s="4"/>
      <c r="E26" s="8"/>
      <c r="F26" s="8"/>
      <c r="G26" s="16"/>
      <c r="H26" s="180"/>
      <c r="J26" s="8"/>
      <c r="K26" s="8"/>
      <c r="L26" s="8"/>
      <c r="M26" s="4"/>
      <c r="N26" s="40" t="s">
        <v>241</v>
      </c>
      <c r="P26" s="4"/>
      <c r="Q26" s="4"/>
    </row>
    <row r="27" spans="1:18" ht="26">
      <c r="A27" s="65"/>
      <c r="B27" s="28"/>
      <c r="D27" s="4"/>
      <c r="E27" s="8"/>
      <c r="F27" s="8"/>
      <c r="G27" s="47"/>
      <c r="H27" s="179"/>
      <c r="I27" s="19"/>
      <c r="J27" s="8"/>
      <c r="K27" s="8"/>
      <c r="L27" s="8"/>
      <c r="M27" s="4"/>
      <c r="N27" s="4"/>
      <c r="P27" s="4"/>
      <c r="Q27" s="4"/>
    </row>
    <row r="28" spans="1:18">
      <c r="A28" s="66"/>
      <c r="B28" s="28" t="s">
        <v>77</v>
      </c>
      <c r="D28" s="4"/>
      <c r="E28" s="8"/>
      <c r="F28" s="8"/>
      <c r="G28" s="8"/>
      <c r="H28" s="8"/>
      <c r="I28" s="8"/>
      <c r="J28" s="8"/>
      <c r="K28" s="8"/>
      <c r="L28" s="8"/>
      <c r="M28" s="4"/>
      <c r="N28" s="4"/>
      <c r="P28" s="4"/>
      <c r="Q28" s="4"/>
    </row>
    <row r="29" spans="1:18">
      <c r="A29"/>
      <c r="B29"/>
      <c r="D29" s="4"/>
      <c r="E29" s="8"/>
      <c r="F29" s="8"/>
      <c r="G29" s="8"/>
      <c r="H29" s="8"/>
      <c r="I29" s="8"/>
      <c r="J29" s="8"/>
      <c r="K29" s="8"/>
      <c r="L29" s="8"/>
      <c r="M29" s="4"/>
      <c r="N29" s="4"/>
      <c r="P29" s="4"/>
      <c r="Q29" s="4"/>
    </row>
    <row r="30" spans="1:18" ht="15.5">
      <c r="A30" s="24" t="s">
        <v>78</v>
      </c>
      <c r="B30"/>
      <c r="D30" s="4"/>
      <c r="E30" s="8"/>
      <c r="F30" s="8"/>
      <c r="G30" s="8"/>
      <c r="H30" s="8"/>
      <c r="I30" s="8"/>
      <c r="J30" s="8"/>
      <c r="K30" s="8"/>
      <c r="L30" s="8"/>
      <c r="M30" s="4"/>
      <c r="N30" s="4"/>
      <c r="P30" s="4"/>
      <c r="Q30" s="4"/>
    </row>
    <row r="31" spans="1:18" ht="15.5">
      <c r="A31" t="s">
        <v>79</v>
      </c>
      <c r="B31" s="21"/>
      <c r="D31" s="4"/>
      <c r="E31" s="8"/>
      <c r="F31" s="8"/>
      <c r="G31" s="8"/>
      <c r="H31" s="8"/>
      <c r="I31" s="8"/>
      <c r="J31" s="8"/>
      <c r="K31" s="8"/>
      <c r="L31" s="8"/>
      <c r="M31" s="4"/>
      <c r="N31" s="4"/>
      <c r="P31" s="4"/>
      <c r="Q31" s="4"/>
    </row>
    <row r="32" spans="1:18">
      <c r="A32" t="s">
        <v>80</v>
      </c>
      <c r="B32" s="22"/>
      <c r="D32" s="4"/>
      <c r="E32" s="8"/>
      <c r="F32" s="8"/>
      <c r="G32" s="8"/>
      <c r="H32" s="8"/>
      <c r="I32" s="8"/>
      <c r="J32" s="8"/>
      <c r="K32" s="8"/>
      <c r="L32" s="8"/>
      <c r="M32" s="4"/>
      <c r="N32" s="4"/>
      <c r="O32" s="4"/>
      <c r="P32" s="4"/>
      <c r="Q32" s="4"/>
    </row>
    <row r="33" spans="1:17">
      <c r="A33" t="s">
        <v>81</v>
      </c>
      <c r="B33" s="23"/>
      <c r="D33" s="4"/>
      <c r="E33" s="8"/>
      <c r="F33" s="8"/>
      <c r="G33" s="8"/>
      <c r="H33" s="8"/>
      <c r="I33" s="8"/>
      <c r="J33" s="8"/>
      <c r="K33" s="8"/>
      <c r="L33" s="8"/>
      <c r="M33" s="4"/>
      <c r="N33" s="4"/>
      <c r="O33" s="4"/>
      <c r="P33" s="4"/>
      <c r="Q33" s="4"/>
    </row>
    <row r="34" spans="1:17">
      <c r="A34"/>
      <c r="B34"/>
      <c r="D34" s="4"/>
      <c r="E34" s="8"/>
      <c r="F34" s="8"/>
      <c r="G34" s="8"/>
      <c r="H34" s="8"/>
      <c r="I34" s="8"/>
      <c r="J34" s="8"/>
      <c r="K34" s="8"/>
      <c r="L34" s="8"/>
      <c r="M34" s="4"/>
      <c r="N34" s="4"/>
      <c r="O34" s="4"/>
      <c r="P34" s="4"/>
      <c r="Q34" s="4"/>
    </row>
    <row r="35" spans="1:17" hidden="1">
      <c r="A35"/>
      <c r="B35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idden="1">
      <c r="D38" s="4"/>
      <c r="E38" s="4"/>
      <c r="F38" s="1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hidden="1" customHeight="1">
      <c r="D39" s="4"/>
      <c r="E39" s="4"/>
      <c r="F39" s="1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idden="1">
      <c r="D40" s="4"/>
      <c r="E40" s="4"/>
      <c r="F40" s="11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idden="1">
      <c r="D41" s="4"/>
      <c r="E41" s="4"/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idden="1">
      <c r="D42" s="4"/>
      <c r="E42" s="4"/>
      <c r="F42" s="11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idden="1">
      <c r="D43" s="4"/>
      <c r="E43" s="4"/>
      <c r="F43" s="11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idden="1">
      <c r="D44" s="4"/>
      <c r="E44" s="4"/>
      <c r="F44" s="11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idden="1">
      <c r="D45" s="4"/>
      <c r="E45" s="4"/>
      <c r="F45" s="11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idden="1">
      <c r="D46" s="4"/>
      <c r="E46" s="4"/>
      <c r="F46" s="11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idden="1">
      <c r="D47" s="4"/>
      <c r="E47" s="4"/>
      <c r="F47" s="11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idden="1">
      <c r="D48" s="4"/>
      <c r="E48" s="4"/>
      <c r="F48" s="11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4:17" hidden="1">
      <c r="D49" s="4"/>
      <c r="E49" s="4"/>
      <c r="F49" s="11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02" t="s">
        <v>177</v>
      </c>
      <c r="B98" s="302"/>
    </row>
    <row r="99" spans="1:2">
      <c r="A99" s="89" t="s">
        <v>83</v>
      </c>
      <c r="B99" s="90" t="str">
        <f>_xll.SUBNM(Server&amp;"Phase","",$I$10,"")</f>
        <v>LTP_2025_VC</v>
      </c>
    </row>
    <row r="100" spans="1:2">
      <c r="A100" s="89" t="s">
        <v>178</v>
      </c>
      <c r="B100" s="90" t="str">
        <f>_xll.SUBNM(Server&amp;"Legal_Organization","",$I$12,"")</f>
        <v>VTD_corp</v>
      </c>
    </row>
    <row r="101" spans="1:2">
      <c r="A101" s="89" t="s">
        <v>57</v>
      </c>
      <c r="B101" s="90" t="str">
        <f>_xll.SUBNM(Server&amp;"Activity","",$I$13,"")</f>
        <v>Tot_act</v>
      </c>
    </row>
    <row r="102" spans="1:2">
      <c r="A102" s="89" t="s">
        <v>179</v>
      </c>
      <c r="B102" s="90" t="str">
        <f>_xll.SUBNM(Server&amp;"LTP_Components","",$I$11,"")</f>
        <v>ZGP&amp;AP_Corp</v>
      </c>
    </row>
  </sheetData>
  <sheetProtection algorithmName="SHA-512" hashValue="miqEO/Ff7EuwxwXn21ixFuDUlJNfl6Y4PdsBuYXotxJ1ypjqlIqHGJRTNAOiuR4S6rYjZB6U24UFa9WlMY7DoQ==" saltValue="BuaMxxLsCEQhyQ8ZpJmTOw==" spinCount="100000" sheet="1" objects="1" scenarios="1" formatColumns="0" formatRows="0"/>
  <mergeCells count="4">
    <mergeCell ref="H4:I6"/>
    <mergeCell ref="J4:J6"/>
    <mergeCell ref="A98:B98"/>
    <mergeCell ref="J12:K14"/>
  </mergeCells>
  <conditionalFormatting sqref="X10: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 xr:uid="{00000000-0002-0000-0000-000000000000}">
      <formula1>Language</formula1>
    </dataValidation>
    <dataValidation type="list" allowBlank="1" showInputMessage="1" showErrorMessage="1" sqref="I13" xr:uid="{00000000-0002-0000-0000-000001000000}">
      <formula1>ActivityList</formula1>
    </dataValidation>
    <dataValidation type="list" allowBlank="1" showInputMessage="1" showErrorMessage="1" sqref="I11" xr:uid="{00000000-0002-0000-0000-000002000000}">
      <formula1>xListLTPComponents</formula1>
    </dataValidation>
  </dataValidations>
  <hyperlinks>
    <hyperlink ref="H21" location="'Plan Input'!A1" display="Plan Input" xr:uid="{00000000-0004-0000-0000-000000000000}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0000000-000E-0000-0100-00000500000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V10:V13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FF0000"/>
  </sheetPr>
  <dimension ref="A1:AH184"/>
  <sheetViews>
    <sheetView showGridLines="0" zoomScale="73" zoomScaleNormal="55" zoomScalePageLayoutView="40" workbookViewId="0">
      <pane xSplit="3" ySplit="22" topLeftCell="D23" activePane="bottomRight" state="frozen"/>
      <selection activeCell="G25" sqref="A25:G25"/>
      <selection pane="topRight" activeCell="G25" sqref="A25:G25"/>
      <selection pane="bottomLeft" activeCell="G25" sqref="A25:G25"/>
      <selection pane="bottomRight" activeCell="G26" sqref="G26"/>
    </sheetView>
  </sheetViews>
  <sheetFormatPr baseColWidth="10" defaultColWidth="11.453125" defaultRowHeight="18" customHeight="1" outlineLevelRow="1" outlineLevelCol="1"/>
  <cols>
    <col min="1" max="1" width="34" style="125" hidden="1" customWidth="1" outlineLevel="1"/>
    <col min="2" max="2" width="15.7265625" style="125" hidden="1" customWidth="1" outlineLevel="1"/>
    <col min="3" max="3" width="80.453125" style="69" customWidth="1" collapsed="1"/>
    <col min="4" max="11" width="10.1328125" style="1" bestFit="1" customWidth="1"/>
    <col min="12" max="12" width="9.7265625" style="2" bestFit="1" customWidth="1"/>
    <col min="13" max="13" width="63.7265625" style="2" bestFit="1" customWidth="1"/>
    <col min="14" max="14" width="16.453125" style="2" hidden="1" customWidth="1"/>
    <col min="15" max="15" width="3.54296875" style="2" hidden="1" customWidth="1"/>
    <col min="16" max="16" width="5.1796875" style="2" hidden="1" customWidth="1"/>
    <col min="17" max="17" width="3.54296875" style="2" hidden="1" customWidth="1"/>
    <col min="18" max="18" width="3.81640625" style="2" hidden="1" customWidth="1"/>
    <col min="19" max="19" width="60.453125" style="2" hidden="1" customWidth="1"/>
    <col min="20" max="28" width="9" style="2" hidden="1" customWidth="1"/>
    <col min="29" max="29" width="6.54296875" style="1" hidden="1" customWidth="1"/>
    <col min="30" max="30" width="10.1796875" style="1" hidden="1" customWidth="1"/>
    <col min="31" max="31" width="6.54296875" style="1" customWidth="1"/>
    <col min="32" max="16384" width="11.453125" style="1"/>
  </cols>
  <sheetData>
    <row r="1" spans="1:34" ht="16" hidden="1">
      <c r="A1" s="108"/>
      <c r="B1" s="81"/>
      <c r="C1" s="13" t="str">
        <f>_xll.SUBNM(Server&amp;"Phase","",Context!I10,"")</f>
        <v>LTP_2025_VC</v>
      </c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34" ht="16" hidden="1">
      <c r="A2" s="81"/>
      <c r="B2" s="81"/>
      <c r="C2" s="13" t="str">
        <f>MID(C1,5,4)</f>
        <v>2025</v>
      </c>
      <c r="D2" s="14" t="str">
        <f>"F_year_"&amp;$C$2-1</f>
        <v>F_year_2024</v>
      </c>
      <c r="E2" s="14" t="str">
        <f>"F_year_"&amp;$C$2</f>
        <v>F_year_2025</v>
      </c>
      <c r="F2" s="14" t="str">
        <f>"F_year_"&amp;$C$2+1</f>
        <v>F_year_2026</v>
      </c>
      <c r="G2" s="14" t="str">
        <f>"F_year_"&amp;$C$2+2</f>
        <v>F_year_2027</v>
      </c>
      <c r="H2" s="14" t="str">
        <f>"F_year_"&amp;$C$2+3</f>
        <v>F_year_2028</v>
      </c>
      <c r="I2" s="14" t="str">
        <f>"F_year_"&amp;$C$2+4</f>
        <v>F_year_2029</v>
      </c>
      <c r="J2" s="14" t="str">
        <f>"F_year_"&amp;$C$2+5</f>
        <v>F_year_2030</v>
      </c>
      <c r="K2" s="14" t="str">
        <f>"F_year_"&amp;$C$2+6</f>
        <v>F_year_2031</v>
      </c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4" ht="16" hidden="1">
      <c r="A3" s="81"/>
      <c r="B3" s="81"/>
      <c r="C3" t="str">
        <f>_xll.VIEW(xServer&amp;":ST_LTP_TAXES_INTERESTS_RATES",Context!$I$10,"!",xCountryEntity,"!")</f>
        <v>tango_core_model:ST_LTP_TAXES_INTERESTS_RATES</v>
      </c>
      <c r="D3" s="14" t="str">
        <f>_xll.DBRA(Server&amp;"Period",$C$2,"Prior Year")</f>
        <v>2024</v>
      </c>
      <c r="E3" s="14" t="str">
        <f>$C$2</f>
        <v>2025</v>
      </c>
      <c r="F3" s="14" t="str">
        <f>_xll.DBRA(Server&amp;"Period",C$2,"Next Year")</f>
        <v>2026</v>
      </c>
      <c r="G3" s="14" t="str">
        <f>_xll.DBRA(Server&amp;"Period",F$3,"Next Year")</f>
        <v>2027</v>
      </c>
      <c r="H3" s="14" t="str">
        <f>_xll.DBRA(Server&amp;"Period",G$3,"Next Year")</f>
        <v>2028</v>
      </c>
      <c r="I3" s="14" t="str">
        <f>_xll.DBRA(Server&amp;"Period",H$3,"Next Year")</f>
        <v>2029</v>
      </c>
      <c r="J3" s="14" t="str">
        <f>_xll.DBRA(Server&amp;"Period",I$3,"Next Year")</f>
        <v>2030</v>
      </c>
      <c r="K3" s="14" t="str">
        <f>_xll.DBRA(Server&amp;"Period",J$3,"Next Year")</f>
        <v>2031</v>
      </c>
      <c r="L3" s="110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34" ht="16" hidden="1">
      <c r="A4" s="81"/>
      <c r="B4" s="81"/>
      <c r="C4" s="13" t="s">
        <v>243</v>
      </c>
      <c r="D4" s="258" t="e">
        <f>_xll.DBRW($C$3,Context!$I$10,D$2,xCountryEntity,$C4)</f>
        <v>#VALUE!</v>
      </c>
      <c r="E4" s="258" t="e">
        <f>_xll.DBRW($C$3,Context!$I$10,E$2,xCountryEntity,$C4)</f>
        <v>#VALUE!</v>
      </c>
      <c r="F4" s="258" t="e">
        <f>_xll.DBRW($C$3,Context!$I$10,F$2,xCountryEntity,$C4)</f>
        <v>#VALUE!</v>
      </c>
      <c r="G4" s="258" t="e">
        <f>_xll.DBRW($C$3,Context!$I$10,G$2,xCountryEntity,$C4)</f>
        <v>#VALUE!</v>
      </c>
      <c r="H4" s="258" t="e">
        <f>_xll.DBRW($C$3,Context!$I$10,H$2,xCountryEntity,$C4)</f>
        <v>#VALUE!</v>
      </c>
      <c r="I4" s="258" t="e">
        <f>_xll.DBRW($C$3,Context!$I$10,I$2,xCountryEntity,$C4)</f>
        <v>#VALUE!</v>
      </c>
      <c r="J4" s="258" t="e">
        <f>_xll.DBRW($C$3,Context!$I$10,J$2,xCountryEntity,$C4)</f>
        <v>#VALUE!</v>
      </c>
      <c r="K4" s="258" t="e">
        <f>_xll.DBRW($C$3,Context!$I$10,K$2,xCountryEntity,$C4)</f>
        <v>#VALUE!</v>
      </c>
      <c r="L4" s="110"/>
      <c r="M4" s="296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34" ht="16" hidden="1">
      <c r="A5" s="81"/>
      <c r="B5" s="81"/>
      <c r="C5" s="13" t="s">
        <v>244</v>
      </c>
      <c r="D5" s="258" t="e">
        <f>_xll.DBRW($C$3,Context!$I$10,D$2,xCountryEntity,$C5)</f>
        <v>#VALUE!</v>
      </c>
      <c r="E5" s="258" t="e">
        <f>_xll.DBRW($C$3,Context!$I$10,E$2,xCountryEntity,$C5)</f>
        <v>#VALUE!</v>
      </c>
      <c r="F5" s="258" t="e">
        <f>_xll.DBRW($C$3,Context!$I$10,F$2,xCountryEntity,$C5)</f>
        <v>#VALUE!</v>
      </c>
      <c r="G5" s="258" t="e">
        <f>_xll.DBRW($C$3,Context!$I$10,G$2,xCountryEntity,$C5)</f>
        <v>#VALUE!</v>
      </c>
      <c r="H5" s="258" t="e">
        <f>_xll.DBRW($C$3,Context!$I$10,H$2,xCountryEntity,$C5)</f>
        <v>#VALUE!</v>
      </c>
      <c r="I5" s="258" t="e">
        <f>_xll.DBRW($C$3,Context!$I$10,I$2,xCountryEntity,$C5)</f>
        <v>#VALUE!</v>
      </c>
      <c r="J5" s="258" t="e">
        <f>_xll.DBRW($C$3,Context!$I$10,J$2,xCountryEntity,$C5)</f>
        <v>#VALUE!</v>
      </c>
      <c r="K5" s="258" t="e">
        <f>_xll.DBRW($C$3,Context!$I$10,K$2,xCountryEntity,$C5)</f>
        <v>#VALUE!</v>
      </c>
      <c r="L5" s="110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ht="16" hidden="1">
      <c r="A6" s="81"/>
      <c r="B6" s="81"/>
      <c r="C6" s="13" t="s">
        <v>245</v>
      </c>
      <c r="D6" s="258" t="e">
        <f>_xll.DBRW($C$3,Context!$I$10,D$2,xCountryEntity,$C6)</f>
        <v>#VALUE!</v>
      </c>
      <c r="E6" s="258" t="e">
        <f>_xll.DBRW($C$3,Context!$I$10,E$2,xCountryEntity,$C6)</f>
        <v>#VALUE!</v>
      </c>
      <c r="F6" s="258" t="e">
        <f>_xll.DBRW($C$3,Context!$I$10,F$2,xCountryEntity,$C6)</f>
        <v>#VALUE!</v>
      </c>
      <c r="G6" s="258" t="e">
        <f>_xll.DBRW($C$3,Context!$I$10,G$2,xCountryEntity,$C6)</f>
        <v>#VALUE!</v>
      </c>
      <c r="H6" s="258" t="e">
        <f>_xll.DBRW($C$3,Context!$I$10,H$2,xCountryEntity,$C6)</f>
        <v>#VALUE!</v>
      </c>
      <c r="I6" s="258" t="e">
        <f>_xll.DBRW($C$3,Context!$I$10,I$2,xCountryEntity,$C6)</f>
        <v>#VALUE!</v>
      </c>
      <c r="J6" s="258" t="e">
        <f>_xll.DBRW($C$3,Context!$I$10,J$2,xCountryEntity,$C6)</f>
        <v>#VALUE!</v>
      </c>
      <c r="K6" s="258" t="e">
        <f>_xll.DBRW($C$3,Context!$I$10,K$2,xCountryEntity,$C6)</f>
        <v>#VALUE!</v>
      </c>
      <c r="L6" s="110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34" ht="16" hidden="1">
      <c r="A7" s="81"/>
      <c r="B7" s="8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34" ht="36.25">
      <c r="A8" s="81"/>
      <c r="B8" s="81"/>
      <c r="C8" s="275"/>
      <c r="D8" s="304" t="s">
        <v>218</v>
      </c>
      <c r="E8" s="305"/>
      <c r="F8" s="305"/>
      <c r="G8" s="305"/>
      <c r="H8" s="305"/>
      <c r="I8" s="305"/>
      <c r="J8" s="305"/>
      <c r="K8" s="275"/>
      <c r="N8" s="68"/>
      <c r="O8" s="68"/>
      <c r="P8" s="68"/>
      <c r="Q8" s="68"/>
      <c r="R8" s="68"/>
      <c r="S8" s="196" t="s">
        <v>250</v>
      </c>
      <c r="T8" s="68"/>
      <c r="U8" s="68"/>
      <c r="V8" s="68"/>
      <c r="W8" s="68"/>
      <c r="X8" s="68"/>
      <c r="Y8" s="68"/>
      <c r="Z8" s="68"/>
      <c r="AA8" s="68"/>
      <c r="AB8" s="68"/>
    </row>
    <row r="9" spans="1:34" s="295" customFormat="1" ht="49.5" customHeight="1" thickBot="1">
      <c r="A9" s="286"/>
      <c r="B9" s="286"/>
      <c r="C9" s="293"/>
      <c r="D9" s="315" t="str">
        <f>Context!I11&amp;" - "&amp;Context!I12&amp;" - "&amp;ctx_activity_Context</f>
        <v>ZGP &amp; Action Plan - Corp. Adjustments - TRANSDEV All - Total Activités</v>
      </c>
      <c r="E9" s="315"/>
      <c r="F9" s="315"/>
      <c r="G9" s="315"/>
      <c r="H9" s="315"/>
      <c r="I9" s="315"/>
      <c r="J9" s="315"/>
      <c r="K9" s="315"/>
      <c r="L9" s="127"/>
      <c r="M9" s="127"/>
      <c r="N9" s="294"/>
      <c r="O9" s="294"/>
      <c r="P9" s="294"/>
      <c r="Q9" s="294"/>
      <c r="R9" s="294"/>
      <c r="S9" s="111" t="s">
        <v>84</v>
      </c>
      <c r="T9" s="294"/>
      <c r="U9" s="294"/>
      <c r="V9" s="294"/>
      <c r="W9" s="294"/>
      <c r="X9" s="294"/>
      <c r="Y9" s="294"/>
      <c r="Z9" s="294"/>
      <c r="AA9" s="294"/>
      <c r="AB9" s="294"/>
    </row>
    <row r="10" spans="1:34" ht="2" customHeight="1" thickBo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N10" s="68"/>
      <c r="O10" s="68"/>
      <c r="P10" s="68"/>
      <c r="Q10" s="68"/>
      <c r="R10" s="68"/>
      <c r="S10" s="112" t="s">
        <v>143</v>
      </c>
      <c r="T10" s="68"/>
      <c r="U10" s="68"/>
      <c r="V10" s="68"/>
      <c r="W10" s="68"/>
      <c r="X10" s="68"/>
      <c r="Y10" s="68"/>
      <c r="Z10" s="68"/>
      <c r="AA10" s="68"/>
      <c r="AB10" s="68"/>
    </row>
    <row r="11" spans="1:34" ht="2" customHeight="1" thickBot="1">
      <c r="A11" s="81"/>
      <c r="B11" s="81"/>
      <c r="C11" s="1"/>
      <c r="D11" s="72"/>
      <c r="L11" s="113"/>
      <c r="N11" s="68"/>
      <c r="O11" s="68"/>
      <c r="P11" s="68"/>
      <c r="Q11" s="68"/>
      <c r="R11" s="68"/>
      <c r="S11" s="112" t="s">
        <v>104</v>
      </c>
      <c r="T11" s="68"/>
      <c r="U11" s="68"/>
      <c r="V11" s="68"/>
      <c r="W11" s="68"/>
      <c r="X11" s="68"/>
      <c r="Y11" s="68"/>
      <c r="Z11" s="68"/>
      <c r="AA11" s="68"/>
      <c r="AB11" s="68"/>
    </row>
    <row r="12" spans="1:34" ht="8" customHeight="1">
      <c r="A12" s="8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M12" s="80"/>
      <c r="N12" s="68"/>
      <c r="O12" s="68"/>
      <c r="P12" s="68"/>
      <c r="Q12" s="68"/>
      <c r="R12" s="68"/>
      <c r="S12" s="112" t="s">
        <v>184</v>
      </c>
      <c r="T12" s="68"/>
      <c r="U12" s="68"/>
      <c r="V12" s="68"/>
      <c r="W12" s="68"/>
      <c r="X12" s="68"/>
      <c r="Y12" s="68"/>
      <c r="Z12" s="68"/>
      <c r="AA12" s="68"/>
      <c r="AB12" s="68"/>
    </row>
    <row r="13" spans="1:34" ht="13.5" customHeight="1">
      <c r="A13" s="115" t="s">
        <v>140</v>
      </c>
      <c r="B13" s="116" t="s">
        <v>141</v>
      </c>
      <c r="C13" s="177"/>
      <c r="D13" s="177"/>
      <c r="E13" s="306" t="str">
        <f>Context!$J$12</f>
        <v>Incorrect Context! Save date will be impossible!</v>
      </c>
      <c r="F13" s="306"/>
      <c r="G13" s="71"/>
      <c r="H13" s="71"/>
      <c r="M13" s="80"/>
      <c r="N13" s="68"/>
      <c r="O13" s="68"/>
      <c r="P13" s="68"/>
      <c r="Q13" s="68"/>
      <c r="R13" s="68"/>
      <c r="S13" s="117" t="s">
        <v>185</v>
      </c>
      <c r="T13" s="68"/>
      <c r="U13" s="68"/>
      <c r="V13" s="68"/>
      <c r="W13" s="68"/>
      <c r="X13" s="68"/>
      <c r="Y13" s="68"/>
      <c r="Z13" s="68"/>
      <c r="AA13" s="68"/>
      <c r="AB13" s="68"/>
    </row>
    <row r="14" spans="1:34" ht="8" customHeight="1">
      <c r="A14" s="115" t="s">
        <v>142</v>
      </c>
      <c r="B14" s="116" t="str">
        <f>_xll.SUBNM(Server&amp;"Currency","",Context!$I$14,"")</f>
        <v>KLCL</v>
      </c>
      <c r="C14" s="177"/>
      <c r="D14" s="177"/>
      <c r="E14" s="306" t="s">
        <v>186</v>
      </c>
      <c r="F14" s="306"/>
      <c r="G14" s="71"/>
      <c r="H14" s="71"/>
      <c r="M14" s="80"/>
      <c r="N14" s="68"/>
      <c r="O14" s="68"/>
      <c r="P14" s="68"/>
      <c r="Q14" s="68"/>
      <c r="R14" s="68"/>
      <c r="S14" s="117" t="s">
        <v>115</v>
      </c>
      <c r="T14" s="68"/>
      <c r="U14" s="68"/>
      <c r="V14" s="68"/>
      <c r="W14" s="68"/>
      <c r="X14" s="68"/>
      <c r="Y14" s="68"/>
      <c r="Z14" s="68"/>
      <c r="AA14" s="68"/>
      <c r="AB14" s="68"/>
      <c r="AH14"/>
    </row>
    <row r="15" spans="1:34" ht="25.5" customHeight="1">
      <c r="A15" s="81"/>
      <c r="B15" s="81"/>
      <c r="C15" s="125"/>
      <c r="D15" s="177"/>
      <c r="E15" s="306"/>
      <c r="F15" s="306"/>
      <c r="G15" s="71"/>
      <c r="H15" s="71"/>
      <c r="J15" s="71"/>
      <c r="M15" s="80"/>
      <c r="N15" s="68"/>
      <c r="O15" s="68"/>
      <c r="P15" s="68"/>
      <c r="Q15" s="68"/>
      <c r="R15" s="68"/>
      <c r="S15" s="117" t="s">
        <v>116</v>
      </c>
      <c r="T15" s="68"/>
      <c r="U15" s="68"/>
      <c r="V15" s="68"/>
      <c r="W15" s="68"/>
      <c r="X15" s="68"/>
      <c r="Y15" s="68"/>
      <c r="Z15" s="68"/>
      <c r="AA15" s="68"/>
      <c r="AB15" s="68"/>
    </row>
    <row r="16" spans="1:34" ht="7" customHeight="1">
      <c r="A16" s="81"/>
      <c r="B16" s="81"/>
      <c r="C16" s="177"/>
      <c r="D16" s="177"/>
      <c r="L16" s="113"/>
      <c r="N16" s="68"/>
      <c r="O16" s="68"/>
      <c r="P16" s="68"/>
      <c r="Q16" s="68"/>
      <c r="R16" s="68"/>
      <c r="S16" s="118" t="s">
        <v>117</v>
      </c>
      <c r="T16" s="68"/>
      <c r="U16" s="68"/>
      <c r="V16" s="68"/>
      <c r="W16" s="68"/>
      <c r="X16" s="68"/>
      <c r="Y16" s="68"/>
      <c r="Z16" s="68"/>
      <c r="AA16" s="68"/>
      <c r="AB16" s="68"/>
    </row>
    <row r="17" spans="1:28" ht="5" customHeight="1" thickBot="1">
      <c r="A17" s="81"/>
      <c r="B17" s="81"/>
      <c r="C17" s="177"/>
      <c r="D17" s="177"/>
      <c r="L17" s="113"/>
      <c r="N17" s="68"/>
      <c r="O17" s="68"/>
      <c r="P17" s="68"/>
      <c r="Q17" s="68"/>
      <c r="R17" s="68"/>
      <c r="S17" s="119" t="s">
        <v>118</v>
      </c>
      <c r="T17" s="68"/>
      <c r="U17" s="68"/>
      <c r="V17" s="68"/>
      <c r="W17" s="68"/>
      <c r="X17" s="68"/>
      <c r="Y17" s="68"/>
      <c r="Z17" s="68"/>
      <c r="AA17" s="68"/>
      <c r="AB17" s="68"/>
    </row>
    <row r="18" spans="1:28" ht="8" customHeight="1">
      <c r="A18" s="81"/>
      <c r="B18" s="81"/>
      <c r="C18" s="1"/>
      <c r="D18" s="307" t="str">
        <f>Context!I10</f>
        <v>LTP_2025_VC</v>
      </c>
      <c r="E18" s="308"/>
      <c r="F18" s="308"/>
      <c r="G18" s="308"/>
      <c r="H18" s="308"/>
      <c r="I18" s="308"/>
      <c r="J18" s="308"/>
      <c r="K18" s="308"/>
      <c r="L18" s="113"/>
      <c r="N18" s="68"/>
      <c r="O18" s="68"/>
      <c r="P18" s="68"/>
      <c r="Q18" s="68"/>
      <c r="R18" s="68"/>
      <c r="S18" t="s">
        <v>176</v>
      </c>
      <c r="T18" s="68"/>
      <c r="U18" s="68"/>
      <c r="V18" s="68"/>
      <c r="W18" s="68"/>
      <c r="X18" s="68"/>
      <c r="Y18" s="68"/>
      <c r="Z18" s="68"/>
      <c r="AA18" s="68"/>
      <c r="AB18" s="68"/>
    </row>
    <row r="19" spans="1:28" ht="13.5" customHeight="1" thickBot="1">
      <c r="A19" s="81"/>
      <c r="B19" s="81"/>
      <c r="C19" s="1"/>
      <c r="D19" s="309"/>
      <c r="E19" s="310"/>
      <c r="F19" s="310"/>
      <c r="G19" s="310"/>
      <c r="H19" s="310"/>
      <c r="I19" s="310"/>
      <c r="J19" s="310"/>
      <c r="K19" s="310"/>
      <c r="L19" s="113"/>
      <c r="N19" s="68"/>
      <c r="O19" s="68"/>
      <c r="P19" s="68"/>
      <c r="Q19" s="68"/>
      <c r="R19" s="68"/>
      <c r="S19" s="117" t="s">
        <v>119</v>
      </c>
      <c r="T19" s="68"/>
      <c r="U19" s="68"/>
      <c r="V19" s="68"/>
      <c r="W19" s="68"/>
      <c r="X19" s="68"/>
      <c r="Y19" s="68"/>
      <c r="Z19" s="68"/>
      <c r="AA19" s="68"/>
      <c r="AB19" s="68"/>
    </row>
    <row r="20" spans="1:28" ht="15" customHeight="1" thickTop="1">
      <c r="A20" s="81"/>
      <c r="B20" s="81"/>
      <c r="C20" s="1"/>
      <c r="D20" s="311" t="str">
        <f>_xll.DBRA(Server&amp;"Period",D$3,Context!$I$15)</f>
        <v>2024</v>
      </c>
      <c r="E20" s="313" t="str">
        <f>_xll.DBRA(Server&amp;"Period",E$3,Context!$I$15)</f>
        <v>2025</v>
      </c>
      <c r="F20" s="313" t="str">
        <f>_xll.DBRA(Server&amp;"Period",F$3,Context!$I$15)</f>
        <v>2026</v>
      </c>
      <c r="G20" s="313" t="str">
        <f>_xll.DBRA(Server&amp;"Period",G$3,Context!$I$15)</f>
        <v>2027</v>
      </c>
      <c r="H20" s="313" t="str">
        <f>_xll.DBRA(Server&amp;"Period",H$3,Context!$I$15)</f>
        <v>2028</v>
      </c>
      <c r="I20" s="313" t="str">
        <f>_xll.DBRA(Server&amp;"Period",I$3,Context!$I$15)</f>
        <v>2029</v>
      </c>
      <c r="J20" s="313" t="str">
        <f>_xll.DBRA(Server&amp;"Period",J$3,Context!$I$15)</f>
        <v>2030</v>
      </c>
      <c r="K20" s="313" t="str">
        <f>_xll.DBRA(Server&amp;"Period",K$3,Context!$I$15)</f>
        <v>2031</v>
      </c>
      <c r="L20" s="113"/>
      <c r="N20" s="68"/>
      <c r="O20" s="68"/>
      <c r="P20" s="68"/>
      <c r="Q20" s="68"/>
      <c r="R20" s="68"/>
      <c r="S20" s="117" t="s">
        <v>173</v>
      </c>
      <c r="T20" s="68"/>
      <c r="U20" s="68"/>
      <c r="V20" s="68"/>
      <c r="W20" s="68"/>
      <c r="X20" s="68"/>
      <c r="Y20" s="68"/>
      <c r="Z20" s="68"/>
      <c r="AA20" s="68"/>
      <c r="AB20" s="68"/>
    </row>
    <row r="21" spans="1:28" ht="9.75" customHeight="1" thickBot="1">
      <c r="A21" s="81"/>
      <c r="B21" s="81"/>
      <c r="C21" s="1"/>
      <c r="D21" s="312"/>
      <c r="E21" s="314"/>
      <c r="F21" s="314"/>
      <c r="G21" s="314"/>
      <c r="H21" s="314"/>
      <c r="I21" s="314"/>
      <c r="J21" s="314"/>
      <c r="K21" s="314"/>
      <c r="L21" s="113"/>
      <c r="N21" s="68"/>
      <c r="O21" s="68"/>
      <c r="P21" s="68"/>
      <c r="Q21" s="68"/>
      <c r="R21" s="68"/>
      <c r="S21" s="35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s="292" customFormat="1" ht="15" customHeight="1" thickTop="1">
      <c r="A22" s="286"/>
      <c r="B22" s="286"/>
      <c r="C22" s="287"/>
      <c r="D22" s="288" t="str">
        <f>_xll.DBRW("tango_core_model:TC_LTP_Version_Annee_Ouverture",$C$1,D$2,"STR_VAR1")</f>
        <v/>
      </c>
      <c r="E22" s="288" t="str">
        <f>_xll.DBRW("tango_core_model:TC_LTP_Version_Annee_Ouverture",$C$1,E$2,"STR_VAR1")</f>
        <v/>
      </c>
      <c r="F22" s="288" t="str">
        <f>_xll.DBRW("tango_core_model:TC_LTP_Version_Annee_Ouverture",$C$1,F$2,"STR_VAR1")</f>
        <v/>
      </c>
      <c r="G22" s="288" t="str">
        <f>_xll.DBRW("tango_core_model:TC_LTP_Version_Annee_Ouverture",$C$1,G$2,"STR_VAR1")</f>
        <v/>
      </c>
      <c r="H22" s="288" t="str">
        <f>_xll.DBRW("tango_core_model:TC_LTP_Version_Annee_Ouverture",$C$1,H$2,"STR_VAR1")</f>
        <v/>
      </c>
      <c r="I22" s="288" t="str">
        <f>_xll.DBRW("tango_core_model:TC_LTP_Version_Annee_Ouverture",$C$1,I$2,"STR_VAR1")</f>
        <v/>
      </c>
      <c r="J22" s="288" t="str">
        <f>_xll.DBRW("tango_core_model:TC_LTP_Version_Annee_Ouverture",$C$1,J$2,"STR_VAR1")</f>
        <v/>
      </c>
      <c r="K22" s="288" t="str">
        <f>_xll.DBRW("tango_core_model:TC_LTP_Version_Annee_Ouverture",$C$1,K$2,"STR_VAR1")</f>
        <v/>
      </c>
      <c r="L22" s="289"/>
      <c r="M22" s="289"/>
      <c r="N22" s="290"/>
      <c r="O22" s="290"/>
      <c r="P22" s="290"/>
      <c r="Q22" s="290"/>
      <c r="R22" s="290"/>
      <c r="S22" s="291" t="s">
        <v>174</v>
      </c>
      <c r="T22" s="290"/>
      <c r="U22" s="290"/>
      <c r="V22" s="290"/>
      <c r="W22" s="290"/>
      <c r="X22" s="290"/>
      <c r="Y22" s="290"/>
      <c r="Z22" s="290"/>
      <c r="AA22" s="290"/>
      <c r="AB22" s="290"/>
    </row>
    <row r="23" spans="1:28" ht="23.25" customHeight="1">
      <c r="A23" s="81"/>
      <c r="B23" s="108" t="s">
        <v>103</v>
      </c>
      <c r="C23" s="250" t="str">
        <f>_xll.DBRA(Server&amp;$S$9,$S$15,Context!$I$15)&amp;" " &amp;_xll.DBRA(Server&amp;$S$9,$T$100,Context!$I$15)</f>
        <v>I - INDICATEURS P&amp;L (KLCL)</v>
      </c>
      <c r="D23" s="84"/>
      <c r="E23" s="85"/>
      <c r="F23" s="85"/>
      <c r="G23" s="85"/>
      <c r="H23" s="85"/>
      <c r="I23" s="85"/>
      <c r="J23" s="85"/>
      <c r="K23" s="85"/>
      <c r="L23" s="1"/>
      <c r="N23" s="68"/>
      <c r="O23" s="68"/>
      <c r="P23" s="68"/>
      <c r="Q23" s="68"/>
      <c r="R23" s="68"/>
      <c r="S23" s="120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6.75" customHeight="1" thickBot="1">
      <c r="A24" s="81"/>
      <c r="B24" s="81"/>
      <c r="C24" s="86"/>
      <c r="D24" s="87"/>
      <c r="E24" s="87"/>
      <c r="F24" s="87"/>
      <c r="G24" s="87"/>
      <c r="H24" s="87"/>
      <c r="I24" s="87"/>
      <c r="J24" s="87"/>
      <c r="K24" s="87"/>
      <c r="L24" s="1"/>
      <c r="N24" s="68"/>
      <c r="O24" s="68"/>
      <c r="P24" s="68"/>
      <c r="Q24" s="68"/>
      <c r="R24" s="68"/>
      <c r="S24" s="121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162" t="s">
        <v>144</v>
      </c>
      <c r="B25" s="162" t="s">
        <v>144</v>
      </c>
      <c r="C25" s="198" t="str">
        <f>_xll.DBRA(Server&amp;$B$23,$B25,Context!$I$15)</f>
        <v>Revenus des activités contractuelles</v>
      </c>
      <c r="D25" s="203">
        <f>_xll.DBRW(Server&amp;Cube1,Context!$I$13,Context!$T$6,Context!$I$11,'Plan Input'!$B$12,Context!$I$12,'Plan Input'!D$2,Context!$I$10,'Plan Input'!$A25)</f>
        <v>0</v>
      </c>
      <c r="E25" s="203">
        <f>_xll.DBRW(Server&amp;Cube1,Context!$I$13,Context!$T$6,Context!$I$11,'Plan Input'!$B$12,Context!$I$12,'Plan Input'!E$2,Context!$I$10,'Plan Input'!$A25)</f>
        <v>0</v>
      </c>
      <c r="F25" s="203">
        <f>_xll.DBRW(Server&amp;Cube1,Context!$I$13,Context!$T$6,Context!$I$11,'Plan Input'!$B$12,Context!$I$12,'Plan Input'!F$2,Context!$I$10,'Plan Input'!$A25)</f>
        <v>0</v>
      </c>
      <c r="G25" s="204">
        <v>4000</v>
      </c>
      <c r="H25" s="204">
        <v>0</v>
      </c>
      <c r="I25" s="204">
        <v>0</v>
      </c>
      <c r="J25" s="204">
        <v>0</v>
      </c>
      <c r="K25" s="204">
        <v>0</v>
      </c>
      <c r="L25" s="1"/>
      <c r="N25" s="68"/>
      <c r="O25" s="68"/>
      <c r="P25" s="68"/>
      <c r="Q25" s="68"/>
      <c r="R25" s="68"/>
      <c r="S25" s="112" t="s">
        <v>63</v>
      </c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162" t="s">
        <v>0</v>
      </c>
      <c r="B26" s="162" t="s">
        <v>0</v>
      </c>
      <c r="C26" s="198" t="str">
        <f>_xll.DBRA(Server&amp;$B$23,$B26,Context!$I$15)</f>
        <v>Produit des activités de fin. pour autrui (IFRIC12)</v>
      </c>
      <c r="D26" s="203">
        <f>_xll.DBRW(Server&amp;Cube1,Context!$I$13,Context!$T$6,Context!$I$11,'Plan Input'!$B$12,Context!$I$12,'Plan Input'!D$2,Context!$I$10,'Plan Input'!$A26)</f>
        <v>0</v>
      </c>
      <c r="E26" s="203">
        <f>_xll.DBRW(Server&amp;Cube1,Context!$I$13,Context!$T$6,Context!$I$11,'Plan Input'!$B$12,Context!$I$12,'Plan Input'!E$2,Context!$I$10,'Plan Input'!$A26)</f>
        <v>0</v>
      </c>
      <c r="F26" s="203">
        <f>_xll.DBRW(Server&amp;Cube1,Context!$I$13,Context!$T$6,Context!$I$11,'Plan Input'!$B$12,Context!$I$12,'Plan Input'!F$2,Context!$I$10,'Plan Input'!$A26)</f>
        <v>0</v>
      </c>
      <c r="G26" s="249">
        <f>G127</f>
        <v>0</v>
      </c>
      <c r="H26" s="249">
        <f t="shared" ref="H26:K26" si="0">H127</f>
        <v>0</v>
      </c>
      <c r="I26" s="249">
        <f t="shared" si="0"/>
        <v>0</v>
      </c>
      <c r="J26" s="249">
        <f t="shared" si="0"/>
        <v>0</v>
      </c>
      <c r="K26" s="249">
        <f t="shared" si="0"/>
        <v>0</v>
      </c>
      <c r="L26" s="1"/>
      <c r="N26" s="68"/>
      <c r="O26" s="68"/>
      <c r="P26" s="68"/>
      <c r="Q26" s="68"/>
      <c r="R26" s="68"/>
      <c r="S26" s="11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162" t="s">
        <v>59</v>
      </c>
      <c r="B27" s="162" t="s">
        <v>59</v>
      </c>
      <c r="C27" s="133" t="str">
        <f>_xll.DBRA(Server&amp;$B$23,$B27,Context!$I$15)</f>
        <v>Produit des activités ordinaires</v>
      </c>
      <c r="D27" s="207">
        <f>_xll.DBRW(Server&amp;Cube1,Context!$I$13,Context!$T$6,Context!$I$11,'Plan Input'!$B$12,Context!$I$12,'Plan Input'!D$2,Context!$I$10,'Plan Input'!$A27)</f>
        <v>0</v>
      </c>
      <c r="E27" s="207">
        <f>_xll.DBRW(Server&amp;Cube1,Context!$I$13,Context!$T$6,Context!$I$11,'Plan Input'!$B$12,Context!$I$12,'Plan Input'!E$2,Context!$I$10,'Plan Input'!$A27)</f>
        <v>0</v>
      </c>
      <c r="F27" s="207">
        <f>_xll.DBRW(Server&amp;Cube1,Context!$I$13,Context!$T$6,Context!$I$11,'Plan Input'!$B$12,Context!$I$12,'Plan Input'!F$2,Context!$I$10,'Plan Input'!$A27)</f>
        <v>0</v>
      </c>
      <c r="G27" s="207">
        <f>G25+G26</f>
        <v>4000</v>
      </c>
      <c r="H27" s="207">
        <f t="shared" ref="H27:K27" si="1">H25+H26</f>
        <v>0</v>
      </c>
      <c r="I27" s="207">
        <f t="shared" si="1"/>
        <v>0</v>
      </c>
      <c r="J27" s="207">
        <f t="shared" si="1"/>
        <v>0</v>
      </c>
      <c r="K27" s="207">
        <f t="shared" si="1"/>
        <v>0</v>
      </c>
      <c r="L27" s="1"/>
      <c r="M27" s="263"/>
      <c r="N27" s="68"/>
      <c r="O27" s="68"/>
      <c r="P27" s="68"/>
      <c r="Q27" s="68"/>
      <c r="R27" s="68"/>
      <c r="S27" s="11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8.25" customHeight="1">
      <c r="A28" s="162"/>
      <c r="B28" s="162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N28" s="68"/>
      <c r="O28" s="68"/>
      <c r="P28" s="68"/>
      <c r="Q28" s="68"/>
      <c r="R28" s="68"/>
      <c r="S28" s="11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.5">
      <c r="A29" s="162" t="s">
        <v>238</v>
      </c>
      <c r="B29" s="162" t="s">
        <v>238</v>
      </c>
      <c r="C29" s="200" t="str">
        <f>_xll.DBRA(Server&amp;$B$23,$B29,Context!$I$15)</f>
        <v>Coûts opérationnels excl. FS &amp; éléments non cash</v>
      </c>
      <c r="D29" s="241">
        <f>_xll.DBRW(Server&amp;Cube1,Context!$I$13,Context!$T$6,Context!$I$11,'Plan Input'!$B$12,Context!$I$12,'Plan Input'!D$2,Context!$I$10,'Plan Input'!$A29)</f>
        <v>0</v>
      </c>
      <c r="E29" s="241">
        <f>_xll.DBRW(Server&amp;Cube1,Context!$I$13,Context!$T$6,Context!$I$11,'Plan Input'!$B$12,Context!$I$12,'Plan Input'!E$2,Context!$I$10,'Plan Input'!$A29)</f>
        <v>0</v>
      </c>
      <c r="F29" s="241">
        <f>_xll.DBRW(Server&amp;Cube1,Context!$I$13,Context!$T$6,Context!$I$11,'Plan Input'!$B$12,Context!$I$12,'Plan Input'!F$2,Context!$I$10,'Plan Input'!$A29)</f>
        <v>0</v>
      </c>
      <c r="G29" s="204">
        <v>0</v>
      </c>
      <c r="H29" s="204">
        <v>0</v>
      </c>
      <c r="I29" s="204">
        <v>0</v>
      </c>
      <c r="J29" s="204">
        <v>0</v>
      </c>
      <c r="K29" s="204">
        <v>0</v>
      </c>
      <c r="L29" s="1"/>
      <c r="N29" s="68"/>
      <c r="O29" s="68"/>
      <c r="P29" s="68"/>
      <c r="Q29" s="68"/>
      <c r="R29" s="68"/>
      <c r="S29" s="11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162" t="s">
        <v>146</v>
      </c>
      <c r="B30" s="162" t="s">
        <v>146</v>
      </c>
      <c r="C30" s="200" t="str">
        <f>_xll.DBRA(Server&amp;$B$23,$B30,Context!$I$15)</f>
        <v>Management fees</v>
      </c>
      <c r="D30" s="241">
        <f>_xll.DBRW(Server&amp;Cube1,Context!$I$13,Context!$T$6,Context!$I$11,'Plan Input'!$B$12,Context!$I$12,'Plan Input'!D$2,Context!$I$10,'Plan Input'!$A30)</f>
        <v>0</v>
      </c>
      <c r="E30" s="241">
        <f>_xll.DBRW(Server&amp;Cube1,Context!$I$13,Context!$T$6,Context!$I$11,'Plan Input'!$B$12,Context!$I$12,'Plan Input'!E$2,Context!$I$10,'Plan Input'!$A30)</f>
        <v>0</v>
      </c>
      <c r="F30" s="241">
        <f>_xll.DBRW(Server&amp;Cube1,Context!$I$13,Context!$T$6,Context!$I$11,'Plan Input'!$B$12,Context!$I$12,'Plan Input'!F$2,Context!$I$10,'Plan Input'!$A30)</f>
        <v>0</v>
      </c>
      <c r="G30" s="204">
        <v>0</v>
      </c>
      <c r="H30" s="204">
        <v>0</v>
      </c>
      <c r="I30" s="204">
        <v>0</v>
      </c>
      <c r="J30" s="204">
        <v>0</v>
      </c>
      <c r="K30" s="204">
        <v>0</v>
      </c>
      <c r="L30" s="1"/>
      <c r="N30" s="68"/>
      <c r="O30" s="68"/>
      <c r="P30" s="68"/>
      <c r="Q30" s="68"/>
      <c r="R30" s="68"/>
      <c r="S30" s="11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162" t="s">
        <v>8</v>
      </c>
      <c r="B31" s="162" t="s">
        <v>8</v>
      </c>
      <c r="C31" s="133" t="str">
        <f>_xll.DBRA(Server&amp;$B$23,$B31,Context!$I$15)</f>
        <v>CAF OPERATIONNELLE</v>
      </c>
      <c r="D31" s="207">
        <f>_xll.DBRW(Server&amp;Cube1,Context!$I$13,Context!$T$6,Context!$I$11,'Plan Input'!$B$12,Context!$I$12,'Plan Input'!D$2,Context!$I$10,'Plan Input'!$A31)</f>
        <v>0</v>
      </c>
      <c r="E31" s="207">
        <f>_xll.DBRW(Server&amp;Cube1,Context!$I$13,Context!$T$6,Context!$I$11,'Plan Input'!$B$12,Context!$I$12,'Plan Input'!E$2,Context!$I$10,'Plan Input'!$A31)</f>
        <v>0</v>
      </c>
      <c r="F31" s="207">
        <f>_xll.DBRW(Server&amp;Cube1,Context!$I$13,Context!$T$6,Context!$I$11,'Plan Input'!$B$12,Context!$I$12,'Plan Input'!F$2,Context!$I$10,'Plan Input'!$A31)</f>
        <v>0</v>
      </c>
      <c r="G31" s="207">
        <f>G27+G29+G30</f>
        <v>4000</v>
      </c>
      <c r="H31" s="207">
        <f t="shared" ref="H31:K31" si="2">H27+H29+H30</f>
        <v>0</v>
      </c>
      <c r="I31" s="207">
        <f t="shared" si="2"/>
        <v>0</v>
      </c>
      <c r="J31" s="207">
        <f t="shared" si="2"/>
        <v>0</v>
      </c>
      <c r="K31" s="207">
        <f t="shared" si="2"/>
        <v>0</v>
      </c>
      <c r="L31" s="1"/>
      <c r="N31" s="68"/>
      <c r="O31" s="68"/>
      <c r="P31" s="68"/>
      <c r="Q31" s="68"/>
      <c r="R31" s="68"/>
      <c r="S31" s="11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.5">
      <c r="A32" s="162" t="s">
        <v>235</v>
      </c>
      <c r="B32" s="162" t="s">
        <v>235</v>
      </c>
      <c r="C32" s="200" t="str">
        <f>_xll.DBRA(Server&amp;$B$23,$B32,Context!$I$15)</f>
        <v>Amortissements</v>
      </c>
      <c r="D32" s="241">
        <f>_xll.DBRW(Server&amp;Cube1,Context!$I$13,Context!$T$6,Context!$I$11,'Plan Input'!$B$12,Context!$I$12,'Plan Input'!D$2,Context!$I$10,'Plan Input'!$A32)</f>
        <v>0</v>
      </c>
      <c r="E32" s="241">
        <f>_xll.DBRW(Server&amp;Cube1,Context!$I$13,Context!$T$6,Context!$I$11,'Plan Input'!$B$12,Context!$I$12,'Plan Input'!E$2,Context!$I$10,'Plan Input'!$A32)</f>
        <v>0</v>
      </c>
      <c r="F32" s="241">
        <f>_xll.DBRW(Server&amp;Cube1,Context!$I$13,Context!$T$6,Context!$I$11,'Plan Input'!$B$12,Context!$I$12,'Plan Input'!F$2,Context!$I$10,'Plan Input'!$A32)</f>
        <v>0</v>
      </c>
      <c r="G32" s="204">
        <v>0</v>
      </c>
      <c r="H32" s="204">
        <v>0</v>
      </c>
      <c r="I32" s="204">
        <v>0</v>
      </c>
      <c r="J32" s="204">
        <v>0</v>
      </c>
      <c r="K32" s="204">
        <v>0</v>
      </c>
      <c r="L32" s="1"/>
      <c r="N32" s="68"/>
      <c r="O32" s="68"/>
      <c r="P32" s="68"/>
      <c r="Q32" s="68"/>
      <c r="R32" s="68"/>
      <c r="S32" s="118"/>
      <c r="T32" s="68"/>
      <c r="U32" s="68"/>
      <c r="V32" s="68"/>
      <c r="W32" s="68"/>
      <c r="X32" s="68"/>
      <c r="Y32" s="68"/>
      <c r="Z32" s="68"/>
      <c r="AA32" s="68"/>
      <c r="AB32" s="68"/>
    </row>
    <row r="33" spans="1:30" ht="18.5">
      <c r="A33" s="162" t="s">
        <v>236</v>
      </c>
      <c r="B33" s="162" t="s">
        <v>236</v>
      </c>
      <c r="C33" s="200" t="str">
        <f>_xll.DBRA(Server&amp;$B$23,$B33,Context!$I$15)</f>
        <v>Provisions</v>
      </c>
      <c r="D33" s="241">
        <f>_xll.DBRW(Server&amp;Cube1,Context!$I$13,Context!$T$6,Context!$I$11,'Plan Input'!$B$12,Context!$I$12,'Plan Input'!D$2,Context!$I$10,'Plan Input'!$A33)</f>
        <v>0</v>
      </c>
      <c r="E33" s="241">
        <f>_xll.DBRW(Server&amp;Cube1,Context!$I$13,Context!$T$6,Context!$I$11,'Plan Input'!$B$12,Context!$I$12,'Plan Input'!E$2,Context!$I$10,'Plan Input'!$A33)</f>
        <v>0</v>
      </c>
      <c r="F33" s="241">
        <f>_xll.DBRW(Server&amp;Cube1,Context!$I$13,Context!$T$6,Context!$I$11,'Plan Input'!$B$12,Context!$I$12,'Plan Input'!F$2,Context!$I$10,'Plan Input'!$A33)</f>
        <v>0</v>
      </c>
      <c r="G33" s="204">
        <v>0</v>
      </c>
      <c r="H33" s="204">
        <v>0</v>
      </c>
      <c r="I33" s="204">
        <v>0</v>
      </c>
      <c r="J33" s="204">
        <v>0</v>
      </c>
      <c r="K33" s="204">
        <v>0</v>
      </c>
      <c r="L33" s="1"/>
      <c r="N33" s="68"/>
      <c r="O33" s="68"/>
      <c r="P33" s="68"/>
      <c r="Q33" s="68"/>
      <c r="R33" s="68"/>
      <c r="S33" s="118"/>
      <c r="T33" s="68"/>
      <c r="U33" s="68"/>
      <c r="V33" s="68"/>
      <c r="W33" s="68"/>
      <c r="X33" s="68"/>
      <c r="Y33" s="68"/>
      <c r="Z33" s="68"/>
      <c r="AA33" s="68"/>
      <c r="AB33" s="68"/>
    </row>
    <row r="34" spans="1:30" ht="19.25" thickBot="1">
      <c r="A34" s="162" t="s">
        <v>237</v>
      </c>
      <c r="B34" s="162" t="s">
        <v>237</v>
      </c>
      <c r="C34" s="200" t="str">
        <f>_xll.DBRA(Server&amp;$B$23,$B34,Context!$I$15)</f>
        <v>Autres éléments non cash (gain ou perte sur cession, dépréciation)</v>
      </c>
      <c r="D34" s="241">
        <f>_xll.DBRW(Server&amp;Cube1,Context!$I$13,Context!$T$6,Context!$I$11,'Plan Input'!$B$12,Context!$I$12,'Plan Input'!D$2,Context!$I$10,'Plan Input'!$A34)</f>
        <v>0</v>
      </c>
      <c r="E34" s="241">
        <f>_xll.DBRW(Server&amp;Cube1,Context!$I$13,Context!$T$6,Context!$I$11,'Plan Input'!$B$12,Context!$I$12,'Plan Input'!E$2,Context!$I$10,'Plan Input'!$A34)</f>
        <v>0</v>
      </c>
      <c r="F34" s="241">
        <f>_xll.DBRW(Server&amp;Cube1,Context!$I$13,Context!$T$6,Context!$I$11,'Plan Input'!$B$12,Context!$I$12,'Plan Input'!F$2,Context!$I$10,'Plan Input'!$A34)</f>
        <v>0</v>
      </c>
      <c r="G34" s="204">
        <v>0</v>
      </c>
      <c r="H34" s="204">
        <v>0</v>
      </c>
      <c r="I34" s="204">
        <v>0</v>
      </c>
      <c r="J34" s="204">
        <v>0</v>
      </c>
      <c r="K34" s="204">
        <v>0</v>
      </c>
      <c r="L34" s="1"/>
      <c r="N34" s="68"/>
      <c r="O34" s="68"/>
      <c r="P34" s="68"/>
      <c r="Q34" s="68"/>
      <c r="R34" s="68"/>
      <c r="S34" s="118"/>
      <c r="T34" s="68"/>
      <c r="U34" s="68"/>
      <c r="V34" s="68"/>
      <c r="W34" s="68"/>
      <c r="X34" s="68"/>
      <c r="Y34" s="68"/>
      <c r="Z34" s="68"/>
      <c r="AA34" s="68"/>
      <c r="AB34" s="68"/>
    </row>
    <row r="35" spans="1:30" ht="18" customHeight="1" thickBot="1">
      <c r="A35" s="162" t="s">
        <v>242</v>
      </c>
      <c r="B35" s="162" t="s">
        <v>242</v>
      </c>
      <c r="C35" s="202" t="str">
        <f>_xll.DBRA(Server&amp;$B$23,$B35,Context!$I$15)</f>
        <v>Résultat entreprises. assoc. et co-entr.</v>
      </c>
      <c r="D35" s="211">
        <f>_xll.DBRW(Server&amp;Cube1,Context!$I$13,Context!$T$6,Context!$I$11,'Plan Input'!$B$12,Context!$I$12,'Plan Input'!D$2,Context!$I$10,'Plan Input'!$A35)</f>
        <v>0</v>
      </c>
      <c r="E35" s="211">
        <f>_xll.DBRW(Server&amp;Cube1,Context!$I$13,Context!$T$6,Context!$I$11,'Plan Input'!$B$12,Context!$I$12,'Plan Input'!E$2,Context!$I$10,'Plan Input'!$A35)</f>
        <v>0</v>
      </c>
      <c r="F35" s="211">
        <f>_xll.DBRW(Server&amp;Cube1,Context!$I$13,Context!$T$6,Context!$I$11,'Plan Input'!$B$12,Context!$I$12,'Plan Input'!F$2,Context!$I$10,'Plan Input'!$A35)</f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1"/>
      <c r="N35" s="68"/>
      <c r="O35" s="68"/>
      <c r="P35" s="68"/>
      <c r="Q35" s="68"/>
      <c r="R35" s="68"/>
      <c r="S35" s="118"/>
      <c r="T35" s="68"/>
      <c r="U35" s="68"/>
      <c r="V35" s="68"/>
      <c r="W35" s="68"/>
      <c r="X35" s="68"/>
      <c r="Y35" s="68"/>
      <c r="Z35" s="68"/>
      <c r="AA35" s="68"/>
      <c r="AB35" s="68"/>
    </row>
    <row r="36" spans="1:30" ht="18" customHeight="1" thickBot="1">
      <c r="A36" s="162" t="s">
        <v>60</v>
      </c>
      <c r="B36" s="162" t="s">
        <v>60</v>
      </c>
      <c r="C36" s="133" t="str">
        <f>_xll.DBRA(Server&amp;$B$23,$B36,Context!$I$15)</f>
        <v>RESULTAT OPERATIONNEL</v>
      </c>
      <c r="D36" s="207">
        <f>_xll.DBRW(Server&amp;Cube1,Context!$I$13,Context!$T$6,Context!$I$11,'Plan Input'!$B$12,Context!$I$12,'Plan Input'!D$2,Context!$I$10,'Plan Input'!$A36)</f>
        <v>0</v>
      </c>
      <c r="E36" s="207">
        <f>_xll.DBRW(Server&amp;Cube1,Context!$I$13,Context!$T$6,Context!$I$11,'Plan Input'!$B$12,Context!$I$12,'Plan Input'!E$2,Context!$I$10,'Plan Input'!$A36)</f>
        <v>0</v>
      </c>
      <c r="F36" s="207">
        <f>_xll.DBRW(Server&amp;Cube1,Context!$I$13,Context!$T$6,Context!$I$11,'Plan Input'!$B$12,Context!$I$12,'Plan Input'!F$2,Context!$I$10,'Plan Input'!$A36)</f>
        <v>0</v>
      </c>
      <c r="G36" s="207">
        <f>G31+SUM(G32:G34)+G35</f>
        <v>4000</v>
      </c>
      <c r="H36" s="207">
        <f t="shared" ref="H36:K36" si="3">H31+SUM(H32:H34)+H35</f>
        <v>0</v>
      </c>
      <c r="I36" s="207">
        <f t="shared" si="3"/>
        <v>0</v>
      </c>
      <c r="J36" s="207">
        <f t="shared" si="3"/>
        <v>0</v>
      </c>
      <c r="K36" s="207">
        <f t="shared" si="3"/>
        <v>0</v>
      </c>
      <c r="L36" s="1"/>
      <c r="N36" s="68"/>
      <c r="O36" s="68"/>
      <c r="P36" s="68"/>
      <c r="Q36" s="68"/>
      <c r="R36" s="68"/>
      <c r="S36" s="118"/>
      <c r="T36" s="68"/>
      <c r="U36" s="68"/>
      <c r="V36" s="68"/>
      <c r="W36" s="68"/>
      <c r="X36" s="68"/>
      <c r="Y36" s="68"/>
      <c r="Z36" s="68"/>
      <c r="AA36" s="68"/>
      <c r="AB36" s="68"/>
    </row>
    <row r="37" spans="1:30" ht="8.25" customHeight="1">
      <c r="A37" s="162"/>
      <c r="B37" s="162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N37" s="68"/>
      <c r="O37" s="68"/>
      <c r="P37" s="68"/>
      <c r="Q37" s="68"/>
      <c r="R37" s="68"/>
      <c r="S37" s="118"/>
      <c r="T37" s="68"/>
      <c r="U37" s="68"/>
      <c r="V37" s="68"/>
      <c r="W37" s="68"/>
      <c r="X37" s="68"/>
      <c r="Y37" s="68"/>
      <c r="Z37" s="68"/>
      <c r="AA37" s="68"/>
      <c r="AB37" s="68"/>
    </row>
    <row r="38" spans="1:30" ht="18" customHeight="1">
      <c r="A38" s="162" t="s">
        <v>1</v>
      </c>
      <c r="B38" s="162" t="s">
        <v>1</v>
      </c>
      <c r="C38" s="198" t="str">
        <f>_xll.DBRA(Server&amp;$B$23,$B38,Context!$I$15)&amp;IF(xLanguage="French"," : Proposition de calcul"," : Calculation proposal")</f>
        <v>Coût de l'endettement financier net : Proposition de calcul</v>
      </c>
      <c r="D38" s="241"/>
      <c r="E38" s="241"/>
      <c r="F38" s="241"/>
      <c r="G38" s="260">
        <f ca="1">IFERROR(IF(AVERAGE(F109:G109)&lt;0,AVERAGE(F109:G109)*G$6,AVERAGE(F109:G109)*G$5),0)</f>
        <v>0</v>
      </c>
      <c r="H38" s="260">
        <f ca="1">IFERROR(IF(AVERAGE(G109:H109)&lt;0,AVERAGE(G109:H109)*H$6,AVERAGE(G109:H109)*H$5),0)</f>
        <v>0</v>
      </c>
      <c r="I38" s="260">
        <f ca="1">IFERROR(IF(AVERAGE(H109:I109)&lt;0,AVERAGE(H109:I109)*I$6,AVERAGE(H109:I109)*I$5),0)</f>
        <v>0</v>
      </c>
      <c r="J38" s="260">
        <f ca="1">IFERROR(IF(AVERAGE(I109:J109)&lt;0,AVERAGE(I109:J109)*J$6,AVERAGE(I109:J109)*J$5),0)</f>
        <v>0</v>
      </c>
      <c r="K38" s="260">
        <f ca="1">IFERROR(IF(AVERAGE(J109:K109)&lt;0,AVERAGE(J109:K109)*K$6,AVERAGE(J109:K109)*K$5),0)</f>
        <v>0</v>
      </c>
      <c r="L38" s="255"/>
      <c r="M38" s="261" t="str">
        <f>IF(xLanguage="French", "Utilisation du calcul automatique pour les intérêts","Use automatic calculation for interests")</f>
        <v>Utilisation du calcul automatique pour les intérêts</v>
      </c>
      <c r="N38" s="68"/>
      <c r="O38" s="68"/>
      <c r="P38" s="68"/>
      <c r="Q38" s="68"/>
      <c r="R38" s="68"/>
      <c r="S38" s="118"/>
      <c r="T38" s="68"/>
      <c r="U38" s="68"/>
      <c r="V38" s="68"/>
      <c r="W38" s="68"/>
      <c r="X38" s="68"/>
      <c r="Y38" s="68"/>
      <c r="Z38" s="68"/>
      <c r="AA38" s="68"/>
      <c r="AB38" s="68"/>
      <c r="AC38" s="299" t="str">
        <f>_xll.DBRW(Server&amp;Cube1,Context!$I$13,Context!$T$5,Context!$I$11,'Plan Input'!$B$12,Context!$I$12,'Plan Input'!G$2,Context!$I$10,"TPL21_checkbox_Tech")</f>
        <v/>
      </c>
      <c r="AD38" s="262" t="b">
        <v>1</v>
      </c>
    </row>
    <row r="39" spans="1:30" ht="18" customHeight="1">
      <c r="A39" s="162" t="s">
        <v>1</v>
      </c>
      <c r="B39" s="162" t="s">
        <v>1</v>
      </c>
      <c r="C39" s="198" t="str">
        <f>_xll.DBRA(Server&amp;$B$23,$B39,Context!$I$15)</f>
        <v>Coût de l'endettement financier net</v>
      </c>
      <c r="D39" s="241">
        <f>_xll.DBRW(Server&amp;Cube1,Context!$I$13,Context!$T$6,Context!$I$11,'Plan Input'!$B$12,Context!$I$12,'Plan Input'!D$2,Context!$I$10,'Plan Input'!$A39)</f>
        <v>0</v>
      </c>
      <c r="E39" s="241">
        <f>_xll.DBRW(Server&amp;Cube1,Context!$I$13,Context!$T$6,Context!$I$11,'Plan Input'!$B$12,Context!$I$12,'Plan Input'!E$2,Context!$I$10,'Plan Input'!$A39)</f>
        <v>0</v>
      </c>
      <c r="F39" s="241">
        <f>_xll.DBRW(Server&amp;Cube1,Context!$I$13,Context!$T$6,Context!$I$11,'Plan Input'!$B$12,Context!$I$12,'Plan Input'!F$2,Context!$I$10,'Plan Input'!$A39)</f>
        <v>0</v>
      </c>
      <c r="G39" s="327">
        <f ca="1">G38</f>
        <v>0</v>
      </c>
      <c r="H39" s="327">
        <f ca="1">H38</f>
        <v>0</v>
      </c>
      <c r="I39" s="327">
        <f ca="1">I38</f>
        <v>0</v>
      </c>
      <c r="J39" s="327">
        <f ca="1">J38</f>
        <v>0</v>
      </c>
      <c r="K39" s="327">
        <f ca="1">K38</f>
        <v>0</v>
      </c>
      <c r="L39" s="280">
        <f ca="1">SUM(G39:K39)</f>
        <v>0</v>
      </c>
      <c r="M39" s="279" t="str">
        <f ca="1">IF(L39=0,IF(xLanguage="French","Attention les intérêts n'ont pas été renseignés!","Warning: Interests have not been filled in!"),"")</f>
        <v>Attention les intérêts n'ont pas été renseignés!</v>
      </c>
      <c r="N39" s="68"/>
      <c r="O39" s="68"/>
      <c r="P39" s="68"/>
      <c r="Q39" s="68"/>
      <c r="R39" s="68"/>
      <c r="S39" s="118"/>
      <c r="T39" s="68"/>
      <c r="U39" s="68"/>
      <c r="V39" s="68"/>
      <c r="W39" s="68"/>
      <c r="X39" s="68"/>
      <c r="Y39" s="68"/>
      <c r="Z39" s="68"/>
      <c r="AA39" s="68"/>
      <c r="AB39" s="68"/>
    </row>
    <row r="40" spans="1:30" ht="18" customHeight="1" thickBot="1">
      <c r="A40" s="162" t="s">
        <v>2</v>
      </c>
      <c r="B40" s="162" t="s">
        <v>2</v>
      </c>
      <c r="C40" s="198" t="str">
        <f>_xll.DBRA(Server&amp;$B$23,$B40,Context!$I$15)</f>
        <v>Autres résultats financiers</v>
      </c>
      <c r="D40" s="241">
        <f>_xll.DBRW(Server&amp;Cube1,Context!$I$13,Context!$T$6,Context!$I$11,'Plan Input'!$B$12,Context!$I$12,'Plan Input'!D$2,Context!$I$10,'Plan Input'!$A40)</f>
        <v>0</v>
      </c>
      <c r="E40" s="241">
        <f>_xll.DBRW(Server&amp;Cube1,Context!$I$13,Context!$T$6,Context!$I$11,'Plan Input'!$B$12,Context!$I$12,'Plan Input'!E$2,Context!$I$10,'Plan Input'!$A40)</f>
        <v>0</v>
      </c>
      <c r="F40" s="241">
        <f>_xll.DBRW(Server&amp;Cube1,Context!$I$13,Context!$T$6,Context!$I$11,'Plan Input'!$B$12,Context!$I$12,'Plan Input'!F$2,Context!$I$10,'Plan Input'!$A40)</f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1"/>
      <c r="N40" s="68"/>
      <c r="O40" s="68"/>
      <c r="P40" s="68"/>
      <c r="Q40" s="68"/>
      <c r="R40" s="68"/>
      <c r="S40" s="118"/>
      <c r="T40" s="68"/>
      <c r="U40" s="68"/>
      <c r="V40" s="68"/>
      <c r="W40" s="68"/>
      <c r="X40" s="68"/>
      <c r="Y40" s="68"/>
      <c r="Z40" s="68"/>
      <c r="AA40" s="68"/>
      <c r="AB40" s="68"/>
    </row>
    <row r="41" spans="1:30" ht="18" customHeight="1" thickBot="1">
      <c r="A41" s="162" t="s">
        <v>3</v>
      </c>
      <c r="B41" s="162" t="s">
        <v>3</v>
      </c>
      <c r="C41" s="133" t="str">
        <f>_xll.DBRA(Server&amp;$B$23,$B41,Context!$I$15)</f>
        <v>RESULTAT avant Impôts</v>
      </c>
      <c r="D41" s="207">
        <f>_xll.DBRW(Server&amp;Cube1,Context!$I$13,Context!$T$6,Context!$I$11,'Plan Input'!$B$12,Context!$I$12,'Plan Input'!D$2,Context!$I$10,'Plan Input'!$A41)</f>
        <v>0</v>
      </c>
      <c r="E41" s="207">
        <f>_xll.DBRW(Server&amp;Cube1,Context!$I$13,Context!$T$6,Context!$I$11,'Plan Input'!$B$12,Context!$I$12,'Plan Input'!E$2,Context!$I$10,'Plan Input'!$A41)</f>
        <v>0</v>
      </c>
      <c r="F41" s="207">
        <f>_xll.DBRW(Server&amp;Cube1,Context!$I$13,Context!$T$6,Context!$I$11,'Plan Input'!$B$12,Context!$I$12,'Plan Input'!F$2,Context!$I$10,'Plan Input'!$A41)</f>
        <v>0</v>
      </c>
      <c r="G41" s="207">
        <f ca="1">G36+SUM(G39:G40)</f>
        <v>4000</v>
      </c>
      <c r="H41" s="207">
        <f t="shared" ref="H41:K41" ca="1" si="4">H36+SUM(H39:H40)</f>
        <v>0</v>
      </c>
      <c r="I41" s="207">
        <f t="shared" ca="1" si="4"/>
        <v>0</v>
      </c>
      <c r="J41" s="207">
        <f t="shared" ca="1" si="4"/>
        <v>0</v>
      </c>
      <c r="K41" s="207">
        <f t="shared" ca="1" si="4"/>
        <v>0</v>
      </c>
      <c r="L41" s="1"/>
      <c r="N41" s="68"/>
      <c r="O41" s="68"/>
      <c r="P41" s="68"/>
      <c r="Q41" s="68"/>
      <c r="R41" s="68"/>
      <c r="S41" s="118"/>
      <c r="T41" s="68"/>
      <c r="U41" s="68"/>
      <c r="V41" s="68"/>
      <c r="W41" s="68"/>
      <c r="X41" s="68"/>
      <c r="Y41" s="68"/>
      <c r="Z41" s="68"/>
      <c r="AA41" s="68"/>
      <c r="AB41" s="68"/>
    </row>
    <row r="42" spans="1:30" ht="8.25" customHeight="1">
      <c r="A42" s="162"/>
      <c r="B42" s="162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N42" s="68"/>
      <c r="O42" s="68"/>
      <c r="P42" s="68"/>
      <c r="Q42" s="68"/>
      <c r="R42" s="68"/>
      <c r="S42" s="118"/>
      <c r="T42" s="68"/>
      <c r="U42" s="68"/>
      <c r="V42" s="68"/>
      <c r="W42" s="68"/>
      <c r="X42" s="68"/>
      <c r="Y42" s="68"/>
      <c r="Z42" s="68"/>
      <c r="AA42" s="68"/>
      <c r="AB42" s="68"/>
    </row>
    <row r="43" spans="1:30" ht="18" customHeight="1">
      <c r="A43" s="162" t="s">
        <v>4</v>
      </c>
      <c r="B43" s="162" t="s">
        <v>4</v>
      </c>
      <c r="C43" s="198" t="str">
        <f>_xll.DBRA(Server&amp;$B$23,$B43,Context!$I$15)&amp;IF(xLanguage="French"," : Proposition de calcul"," : Calculation proposal")</f>
        <v>Charges d'impôts sur les sociétés : Proposition de calcul</v>
      </c>
      <c r="D43" s="241"/>
      <c r="E43" s="241"/>
      <c r="F43" s="241"/>
      <c r="G43" s="260" t="e">
        <f ca="1">IF(G41&gt;0,-G41*G$4,0)</f>
        <v>#VALUE!</v>
      </c>
      <c r="H43" s="260">
        <f t="shared" ref="H43:J43" ca="1" si="5">IF(H41&gt;0,-H41*H$4,0)</f>
        <v>0</v>
      </c>
      <c r="I43" s="260">
        <f ca="1">IF(I41&gt;0,-I41*I$4,0)</f>
        <v>0</v>
      </c>
      <c r="J43" s="260">
        <f t="shared" ca="1" si="5"/>
        <v>0</v>
      </c>
      <c r="K43" s="260">
        <f ca="1">IF(K41&gt;0,-K41*K$4,0)</f>
        <v>0</v>
      </c>
      <c r="L43" s="1"/>
      <c r="M43" s="261" t="str">
        <f>IF(xLanguage="French", "Utilisation du calcul automatique pour le calcul de l'impôt","Use automatic calculation for income tax")</f>
        <v>Utilisation du calcul automatique pour le calcul de l'impôt</v>
      </c>
      <c r="N43" s="68"/>
      <c r="O43" s="68"/>
      <c r="P43" s="68"/>
      <c r="Q43" s="68"/>
      <c r="R43" s="68"/>
      <c r="S43" s="118"/>
      <c r="T43" s="68"/>
      <c r="U43" s="68"/>
      <c r="V43" s="68"/>
      <c r="W43" s="68"/>
      <c r="X43" s="68"/>
      <c r="Y43" s="68"/>
      <c r="Z43" s="68"/>
      <c r="AA43" s="68"/>
      <c r="AB43" s="68"/>
      <c r="AC43" s="299" t="str">
        <f>_xll.DBRW(Server&amp;Cube1,Context!$I$13,Context!$T$5,Context!$I$11,'Plan Input'!$B$12,Context!$I$12,'Plan Input'!G$2,Context!$I$10,"TPL4_checkbox_Tech")</f>
        <v/>
      </c>
      <c r="AD43" s="262" t="b">
        <v>1</v>
      </c>
    </row>
    <row r="44" spans="1:30" ht="18" customHeight="1" thickBot="1">
      <c r="A44" s="162" t="s">
        <v>4</v>
      </c>
      <c r="B44" s="162" t="s">
        <v>4</v>
      </c>
      <c r="C44" s="198" t="str">
        <f>_xll.DBRA(Server&amp;$B$23,$B44,Context!$I$15)</f>
        <v>Charges d'impôts sur les sociétés</v>
      </c>
      <c r="D44" s="241">
        <f>_xll.DBRW(Server&amp;Cube1,Context!$I$13,Context!$T$6,Context!$I$11,'Plan Input'!$B$12,Context!$I$12,'Plan Input'!D$2,Context!$I$10,'Plan Input'!$A44)</f>
        <v>0</v>
      </c>
      <c r="E44" s="241">
        <f>_xll.DBRW(Server&amp;Cube1,Context!$I$13,Context!$T$6,Context!$I$11,'Plan Input'!$B$12,Context!$I$12,'Plan Input'!E$2,Context!$I$10,'Plan Input'!$A44)</f>
        <v>0</v>
      </c>
      <c r="F44" s="241">
        <f>_xll.DBRW(Server&amp;Cube1,Context!$I$13,Context!$T$6,Context!$I$11,'Plan Input'!$B$12,Context!$I$12,'Plan Input'!F$2,Context!$I$10,'Plan Input'!$A44)</f>
        <v>0</v>
      </c>
      <c r="G44" s="327" t="e">
        <f ca="1">G43</f>
        <v>#VALUE!</v>
      </c>
      <c r="H44" s="327">
        <f ca="1">H43</f>
        <v>0</v>
      </c>
      <c r="I44" s="327">
        <f ca="1">I43</f>
        <v>0</v>
      </c>
      <c r="J44" s="327">
        <f ca="1">J43</f>
        <v>0</v>
      </c>
      <c r="K44" s="327">
        <f ca="1">K43</f>
        <v>0</v>
      </c>
      <c r="L44" s="280" t="e">
        <f ca="1">SUM(G44:K44)</f>
        <v>#VALUE!</v>
      </c>
      <c r="M44" s="279" t="e">
        <f ca="1">IF(L44=0,IF(xLanguage="French","Attention l'impôt n'a pas été renseigné!","Warning: Income tax has not been filled in!"),"")</f>
        <v>#VALUE!</v>
      </c>
      <c r="N44" s="68"/>
      <c r="O44" s="68"/>
      <c r="P44" s="68"/>
      <c r="Q44" s="68"/>
      <c r="R44" s="68"/>
      <c r="S44" s="118"/>
      <c r="T44" s="68"/>
      <c r="U44" s="68"/>
      <c r="V44" s="68"/>
      <c r="W44" s="68"/>
      <c r="X44" s="68"/>
      <c r="Y44" s="68"/>
      <c r="Z44" s="68"/>
      <c r="AA44" s="68"/>
      <c r="AB44" s="68"/>
    </row>
    <row r="45" spans="1:30" ht="18" customHeight="1" thickBot="1">
      <c r="A45" s="162" t="s">
        <v>5</v>
      </c>
      <c r="B45" s="162" t="s">
        <v>5</v>
      </c>
      <c r="C45" s="133" t="str">
        <f>_xll.DBRA(Server&amp;$B$23,$B45,Context!$I$15)</f>
        <v>RESULTAT NET</v>
      </c>
      <c r="D45" s="207">
        <f>_xll.DBRW(Server&amp;Cube1,Context!$I$13,Context!$T$6,Context!$I$11,'Plan Input'!$B$12,Context!$I$12,'Plan Input'!D$2,Context!$I$10,'Plan Input'!$A45)</f>
        <v>0</v>
      </c>
      <c r="E45" s="207">
        <f>_xll.DBRW(Server&amp;Cube1,Context!$I$13,Context!$T$6,Context!$I$11,'Plan Input'!$B$12,Context!$I$12,'Plan Input'!E$2,Context!$I$10,'Plan Input'!$A45)</f>
        <v>0</v>
      </c>
      <c r="F45" s="207">
        <f>_xll.DBRW(Server&amp;Cube1,Context!$I$13,Context!$T$6,Context!$I$11,'Plan Input'!$B$12,Context!$I$12,'Plan Input'!F$2,Context!$I$10,'Plan Input'!$A45)</f>
        <v>0</v>
      </c>
      <c r="G45" s="207" t="e">
        <f ca="1">G41+SUM(G44)</f>
        <v>#VALUE!</v>
      </c>
      <c r="H45" s="207">
        <f ca="1">H41+SUM(H44)</f>
        <v>0</v>
      </c>
      <c r="I45" s="207">
        <f t="shared" ref="I45:K45" ca="1" si="6">I41+SUM(I44)</f>
        <v>0</v>
      </c>
      <c r="J45" s="207">
        <f t="shared" ca="1" si="6"/>
        <v>0</v>
      </c>
      <c r="K45" s="207">
        <f t="shared" ca="1" si="6"/>
        <v>0</v>
      </c>
      <c r="L45" s="1"/>
      <c r="N45" s="68"/>
      <c r="O45" s="68"/>
      <c r="P45" s="68"/>
      <c r="Q45" s="68"/>
      <c r="R45" s="68"/>
      <c r="S45" s="118"/>
      <c r="T45" s="68"/>
      <c r="U45" s="68"/>
      <c r="V45" s="68"/>
      <c r="W45" s="68"/>
      <c r="X45" s="68"/>
      <c r="Y45" s="68"/>
      <c r="Z45" s="68"/>
      <c r="AA45" s="68"/>
      <c r="AB45" s="68"/>
    </row>
    <row r="46" spans="1:30" ht="8.25" customHeight="1">
      <c r="A46" s="162"/>
      <c r="B46" s="162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N46" s="68"/>
      <c r="O46" s="68"/>
      <c r="P46" s="68"/>
      <c r="Q46" s="68"/>
      <c r="R46" s="68"/>
      <c r="S46" s="118"/>
      <c r="T46" s="68"/>
      <c r="U46" s="68"/>
      <c r="V46" s="68"/>
      <c r="W46" s="68"/>
      <c r="X46" s="68"/>
      <c r="Y46" s="68"/>
      <c r="Z46" s="68"/>
      <c r="AA46" s="68"/>
      <c r="AB46" s="68"/>
    </row>
    <row r="47" spans="1:30" ht="18" customHeight="1">
      <c r="A47" s="162" t="s">
        <v>6</v>
      </c>
      <c r="B47" s="162" t="s">
        <v>6</v>
      </c>
      <c r="C47" s="198" t="str">
        <f>_xll.DBRA(Server&amp;$B$23,$B47,Context!$I$15)</f>
        <v>Participation ne donnant pas le contrôle</v>
      </c>
      <c r="D47" s="241">
        <f>_xll.DBRW(Server&amp;Cube1,Context!$I$13,Context!$T$6,Context!$I$11,'Plan Input'!$B$12,Context!$I$12,'Plan Input'!D$2,Context!$I$10,'Plan Input'!$A47)</f>
        <v>0</v>
      </c>
      <c r="E47" s="241">
        <f>_xll.DBRW(Server&amp;Cube1,Context!$I$13,Context!$T$6,Context!$I$11,'Plan Input'!$B$12,Context!$I$12,'Plan Input'!E$2,Context!$I$10,'Plan Input'!$A47)</f>
        <v>0</v>
      </c>
      <c r="F47" s="241">
        <f>_xll.DBRW(Server&amp;Cube1,Context!$I$13,Context!$T$6,Context!$I$11,'Plan Input'!$B$12,Context!$I$12,'Plan Input'!F$2,Context!$I$10,'Plan Input'!$A47)</f>
        <v>0</v>
      </c>
      <c r="G47" s="204">
        <v>0</v>
      </c>
      <c r="H47" s="204">
        <v>0</v>
      </c>
      <c r="I47" s="204">
        <v>0</v>
      </c>
      <c r="J47" s="204">
        <v>0</v>
      </c>
      <c r="K47" s="204">
        <v>0</v>
      </c>
      <c r="L47" s="1"/>
      <c r="N47" s="68"/>
      <c r="O47" s="68"/>
      <c r="P47" s="68"/>
      <c r="Q47" s="68"/>
      <c r="R47" s="68"/>
      <c r="S47" s="118"/>
      <c r="T47" s="68"/>
      <c r="U47" s="68"/>
      <c r="V47" s="68"/>
      <c r="W47" s="68"/>
      <c r="X47" s="68"/>
      <c r="Y47" s="68"/>
      <c r="Z47" s="68"/>
      <c r="AA47" s="68"/>
      <c r="AB47" s="68"/>
    </row>
    <row r="48" spans="1:30" ht="8.25" customHeight="1" thickBot="1">
      <c r="A48" s="162"/>
      <c r="B48" s="162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N48" s="68"/>
      <c r="O48" s="68"/>
      <c r="P48" s="68"/>
      <c r="Q48" s="68"/>
      <c r="R48" s="68"/>
      <c r="S48" s="11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162" t="s">
        <v>7</v>
      </c>
      <c r="B49" s="162" t="s">
        <v>7</v>
      </c>
      <c r="C49" s="133" t="str">
        <f>_xll.DBRA(Server&amp;$B$23,$B49,Context!$I$15)</f>
        <v>RESULTAT NET PART DU GROUPE</v>
      </c>
      <c r="D49" s="207">
        <f>_xll.DBRW(Server&amp;Cube1,Context!$I$13,Context!$T$6,Context!$I$11,'Plan Input'!$B$12,Context!$I$12,'Plan Input'!D$2,Context!$I$10,'Plan Input'!$A49)</f>
        <v>0</v>
      </c>
      <c r="E49" s="207">
        <f>_xll.DBRW(Server&amp;Cube1,Context!$I$13,Context!$T$6,Context!$I$11,'Plan Input'!$B$12,Context!$I$12,'Plan Input'!E$2,Context!$I$10,'Plan Input'!$A49)</f>
        <v>0</v>
      </c>
      <c r="F49" s="207">
        <f>_xll.DBRW(Server&amp;Cube1,Context!$I$13,Context!$T$6,Context!$I$11,'Plan Input'!$B$12,Context!$I$12,'Plan Input'!F$2,Context!$I$10,'Plan Input'!$A49)</f>
        <v>0</v>
      </c>
      <c r="G49" s="207" t="e">
        <f ca="1">G45+G47</f>
        <v>#VALUE!</v>
      </c>
      <c r="H49" s="207">
        <f t="shared" ref="H49:K49" ca="1" si="7">H45+H47</f>
        <v>0</v>
      </c>
      <c r="I49" s="207">
        <f t="shared" ca="1" si="7"/>
        <v>0</v>
      </c>
      <c r="J49" s="207">
        <f t="shared" ca="1" si="7"/>
        <v>0</v>
      </c>
      <c r="K49" s="207">
        <f t="shared" ca="1" si="7"/>
        <v>0</v>
      </c>
      <c r="L49" s="1"/>
      <c r="N49" s="68"/>
      <c r="O49" s="68"/>
      <c r="P49" s="68"/>
      <c r="Q49" s="68"/>
      <c r="R49" s="68"/>
      <c r="S49" s="11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N50" s="68"/>
      <c r="O50" s="68"/>
      <c r="P50" s="68"/>
      <c r="Q50" s="68"/>
      <c r="R50" s="68"/>
      <c r="S50" s="118" t="s">
        <v>64</v>
      </c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.5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N51" s="68"/>
      <c r="O51" s="68"/>
      <c r="P51" s="68"/>
      <c r="Q51" s="68"/>
      <c r="R51" s="68"/>
      <c r="S51" s="118" t="s">
        <v>187</v>
      </c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23.25" customHeight="1">
      <c r="A52" s="81"/>
      <c r="B52" s="81"/>
      <c r="C52" s="250" t="str">
        <f>_xll.DBRA(Server&amp;$S$9,$S$16,Context!$I$15)&amp;" " &amp;_xll.DBRA(Server&amp;$S$9,$T$100,Context!$I$15)</f>
        <v>II - TABLEAU DE FINANCEMENT (KLCL)</v>
      </c>
      <c r="D52" s="92" t="str">
        <f>D$3</f>
        <v>2024</v>
      </c>
      <c r="E52" s="92" t="str">
        <f t="shared" ref="E52:K52" si="8">E$3</f>
        <v>2025</v>
      </c>
      <c r="F52" s="92" t="str">
        <f t="shared" si="8"/>
        <v>2026</v>
      </c>
      <c r="G52" s="92" t="str">
        <f t="shared" si="8"/>
        <v>2027</v>
      </c>
      <c r="H52" s="92" t="str">
        <f t="shared" si="8"/>
        <v>2028</v>
      </c>
      <c r="I52" s="92" t="str">
        <f t="shared" si="8"/>
        <v>2029</v>
      </c>
      <c r="J52" s="92" t="str">
        <f t="shared" si="8"/>
        <v>2030</v>
      </c>
      <c r="K52" s="92" t="str">
        <f t="shared" si="8"/>
        <v>2031</v>
      </c>
      <c r="L52" s="1"/>
      <c r="N52" s="68"/>
      <c r="O52" s="68"/>
      <c r="P52" s="68"/>
      <c r="Q52" s="68"/>
      <c r="R52" s="68"/>
      <c r="S52" s="118" t="s">
        <v>108</v>
      </c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4.25" customHeight="1" thickBot="1">
      <c r="A53" s="81"/>
      <c r="B53" s="81"/>
      <c r="C53" s="251"/>
      <c r="L53" s="1"/>
      <c r="N53" s="68"/>
      <c r="O53" s="68"/>
      <c r="P53" s="68"/>
      <c r="Q53" s="68"/>
      <c r="R53" s="68"/>
      <c r="S53" s="118" t="s">
        <v>109</v>
      </c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6.5" customHeight="1">
      <c r="A54" s="81" t="s">
        <v>60</v>
      </c>
      <c r="B54" s="81"/>
      <c r="C54" s="213" t="str">
        <f>_xll.DBRA(Server&amp;$B$23,$A54,Context!$I$15)</f>
        <v>RESULTAT OPERATIONNEL</v>
      </c>
      <c r="D54" s="214">
        <f>_xll.DBRW(Server&amp;Cube1,Context!$I$13,Context!$T$6,Context!$I$11,'Plan Input'!$B$12,Context!$I$12,'Plan Input'!D$2,Context!$I$10,'Plan Input'!$A54)</f>
        <v>0</v>
      </c>
      <c r="E54" s="214">
        <f>_xll.DBRW(Server&amp;Cube1,Context!$I$13,Context!$T$6,Context!$I$11,'Plan Input'!$B$12,Context!$I$12,'Plan Input'!E$2,Context!$I$10,'Plan Input'!$A54)</f>
        <v>0</v>
      </c>
      <c r="F54" s="214">
        <f>_xll.DBRW(Server&amp;Cube1,Context!$I$13,Context!$T$6,Context!$I$11,'Plan Input'!$B$12,Context!$I$12,'Plan Input'!F$2,Context!$I$10,'Plan Input'!$A54)</f>
        <v>0</v>
      </c>
      <c r="G54" s="214">
        <f>G36</f>
        <v>4000</v>
      </c>
      <c r="H54" s="214">
        <f t="shared" ref="H54:K54" si="9">H36</f>
        <v>0</v>
      </c>
      <c r="I54" s="214">
        <f t="shared" si="9"/>
        <v>0</v>
      </c>
      <c r="J54" s="214">
        <f t="shared" si="9"/>
        <v>0</v>
      </c>
      <c r="K54" s="214">
        <f t="shared" si="9"/>
        <v>0</v>
      </c>
      <c r="L54" s="1"/>
      <c r="N54" s="68"/>
      <c r="O54" s="68"/>
      <c r="P54" s="68"/>
      <c r="Q54" s="68"/>
      <c r="R54" s="68"/>
      <c r="S54" s="118" t="s">
        <v>110</v>
      </c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235</v>
      </c>
      <c r="B55" s="81"/>
      <c r="C55" s="200" t="str">
        <f>_xll.DBRA(Server&amp;$B$23,$A55,Context!$I$15)</f>
        <v>Amortissements</v>
      </c>
      <c r="D55" s="241">
        <f>-_xll.DBRW(Server&amp;Cube1,Context!$I$13,Context!$T$6,Context!$I$11,'Plan Input'!$B$12,Context!$I$12,'Plan Input'!D$2,Context!$I$10,'Plan Input'!$A55)</f>
        <v>0</v>
      </c>
      <c r="E55" s="241">
        <f>-_xll.DBRW(Server&amp;Cube1,Context!$I$13,Context!$T$6,Context!$I$11,'Plan Input'!$B$12,Context!$I$12,'Plan Input'!E$2,Context!$I$10,'Plan Input'!$A55)</f>
        <v>0</v>
      </c>
      <c r="F55" s="241">
        <f>-_xll.DBRW(Server&amp;Cube1,Context!$I$13,Context!$T$6,Context!$I$11,'Plan Input'!$B$12,Context!$I$12,'Plan Input'!F$2,Context!$I$10,'Plan Input'!$A55)</f>
        <v>0</v>
      </c>
      <c r="G55" s="249">
        <f>-G32</f>
        <v>0</v>
      </c>
      <c r="H55" s="249">
        <f t="shared" ref="H55:K55" si="10">-H32</f>
        <v>0</v>
      </c>
      <c r="I55" s="249">
        <f t="shared" si="10"/>
        <v>0</v>
      </c>
      <c r="J55" s="249">
        <f t="shared" si="10"/>
        <v>0</v>
      </c>
      <c r="K55" s="249">
        <f t="shared" si="10"/>
        <v>0</v>
      </c>
      <c r="L55" s="1"/>
      <c r="N55" s="68"/>
      <c r="O55" s="68"/>
      <c r="P55" s="68"/>
      <c r="Q55" s="68"/>
      <c r="R55" s="68"/>
      <c r="S55" s="118" t="s">
        <v>111</v>
      </c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 t="s">
        <v>236</v>
      </c>
      <c r="B56" s="81"/>
      <c r="C56" s="200" t="str">
        <f>_xll.DBRA(Server&amp;$B$23,$A56,Context!$I$15)</f>
        <v>Provisions</v>
      </c>
      <c r="D56" s="241">
        <f>-_xll.DBRW(Server&amp;Cube1,Context!$I$13,Context!$T$6,Context!$I$11,'Plan Input'!$B$12,Context!$I$12,'Plan Input'!D$2,Context!$I$10,'Plan Input'!$A56)</f>
        <v>0</v>
      </c>
      <c r="E56" s="241">
        <f>-_xll.DBRW(Server&amp;Cube1,Context!$I$13,Context!$T$6,Context!$I$11,'Plan Input'!$B$12,Context!$I$12,'Plan Input'!E$2,Context!$I$10,'Plan Input'!$A56)</f>
        <v>0</v>
      </c>
      <c r="F56" s="241">
        <f>-_xll.DBRW(Server&amp;Cube1,Context!$I$13,Context!$T$6,Context!$I$11,'Plan Input'!$B$12,Context!$I$12,'Plan Input'!F$2,Context!$I$10,'Plan Input'!$A56)</f>
        <v>0</v>
      </c>
      <c r="G56" s="249">
        <f>-G33</f>
        <v>0</v>
      </c>
      <c r="H56" s="249">
        <f t="shared" ref="H56:K56" si="11">-H33</f>
        <v>0</v>
      </c>
      <c r="I56" s="249">
        <f t="shared" si="11"/>
        <v>0</v>
      </c>
      <c r="J56" s="249">
        <f t="shared" si="11"/>
        <v>0</v>
      </c>
      <c r="K56" s="249">
        <f t="shared" si="11"/>
        <v>0</v>
      </c>
      <c r="L56" s="1"/>
      <c r="N56" s="68"/>
      <c r="O56" s="68"/>
      <c r="P56" s="68"/>
      <c r="Q56" s="68"/>
      <c r="R56" s="68"/>
      <c r="S56" s="11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 t="s">
        <v>237</v>
      </c>
      <c r="B57" s="81"/>
      <c r="C57" s="200" t="str">
        <f>_xll.DBRA(Server&amp;$B$23,$A57,Context!$I$15)</f>
        <v>Autres éléments non cash (gain ou perte sur cession, dépréciation)</v>
      </c>
      <c r="D57" s="241">
        <f>-_xll.DBRW(Server&amp;Cube1,Context!$I$13,Context!$T$6,Context!$I$11,'Plan Input'!$B$12,Context!$I$12,'Plan Input'!D$2,Context!$I$10,'Plan Input'!$A57)</f>
        <v>0</v>
      </c>
      <c r="E57" s="241">
        <f>-_xll.DBRW(Server&amp;Cube1,Context!$I$13,Context!$T$6,Context!$I$11,'Plan Input'!$B$12,Context!$I$12,'Plan Input'!E$2,Context!$I$10,'Plan Input'!$A57)</f>
        <v>0</v>
      </c>
      <c r="F57" s="241">
        <f>-_xll.DBRW(Server&amp;Cube1,Context!$I$13,Context!$T$6,Context!$I$11,'Plan Input'!$B$12,Context!$I$12,'Plan Input'!F$2,Context!$I$10,'Plan Input'!$A57)</f>
        <v>0</v>
      </c>
      <c r="G57" s="249">
        <f>-G34</f>
        <v>0</v>
      </c>
      <c r="H57" s="249">
        <f t="shared" ref="H57:K57" si="12">-H34</f>
        <v>0</v>
      </c>
      <c r="I57" s="249">
        <f t="shared" si="12"/>
        <v>0</v>
      </c>
      <c r="J57" s="249">
        <f t="shared" si="12"/>
        <v>0</v>
      </c>
      <c r="K57" s="249">
        <f t="shared" si="12"/>
        <v>0</v>
      </c>
      <c r="L57" s="1"/>
      <c r="N57" s="68"/>
      <c r="O57" s="68"/>
      <c r="P57" s="68"/>
      <c r="Q57" s="68"/>
      <c r="R57" s="68"/>
      <c r="S57" s="11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 t="s">
        <v>242</v>
      </c>
      <c r="B58" s="81"/>
      <c r="C58" s="200" t="str">
        <f>_xll.DBRA(Server&amp;$B$23,$A58,Context!$I$15)</f>
        <v>Résultat entreprises. assoc. et co-entr.</v>
      </c>
      <c r="D58" s="241">
        <f>-_xll.DBRW(Server&amp;Cube1,Context!$I$13,Context!$T$6,Context!$I$11,'Plan Input'!$B$12,Context!$I$12,'Plan Input'!D$2,Context!$I$10,'Plan Input'!$A58)</f>
        <v>0</v>
      </c>
      <c r="E58" s="241">
        <f>-_xll.DBRW(Server&amp;Cube1,Context!$I$13,Context!$T$6,Context!$I$11,'Plan Input'!$B$12,Context!$I$12,'Plan Input'!E$2,Context!$I$10,'Plan Input'!$A58)</f>
        <v>0</v>
      </c>
      <c r="F58" s="241">
        <f>-_xll.DBRW(Server&amp;Cube1,Context!$I$13,Context!$T$6,Context!$I$11,'Plan Input'!$B$12,Context!$I$12,'Plan Input'!F$2,Context!$I$10,'Plan Input'!$A58)</f>
        <v>0</v>
      </c>
      <c r="G58" s="249">
        <f>-G35</f>
        <v>0</v>
      </c>
      <c r="H58" s="249">
        <f t="shared" ref="H58:K58" si="13">-H35</f>
        <v>0</v>
      </c>
      <c r="I58" s="249">
        <f t="shared" si="13"/>
        <v>0</v>
      </c>
      <c r="J58" s="249">
        <f t="shared" si="13"/>
        <v>0</v>
      </c>
      <c r="K58" s="249">
        <f t="shared" si="13"/>
        <v>0</v>
      </c>
      <c r="L58" s="1"/>
      <c r="N58" s="68"/>
      <c r="O58" s="68"/>
      <c r="P58" s="68"/>
      <c r="Q58" s="68"/>
      <c r="R58" s="68"/>
      <c r="S58" s="11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6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N59" s="68"/>
      <c r="O59" s="68"/>
      <c r="P59" s="68"/>
      <c r="Q59" s="68"/>
      <c r="R59" s="68"/>
      <c r="S59" s="11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 t="s">
        <v>8</v>
      </c>
      <c r="B60" s="81"/>
      <c r="C60" s="213" t="str">
        <f>_xll.DBRA(Server&amp;$B$23,$A60,Context!$I$15)</f>
        <v>CAF OPERATIONNELLE</v>
      </c>
      <c r="D60" s="219">
        <f>_xll.DBRW(Server&amp;Cube1,Context!$I$13,Context!$T$6,Context!$I$11,'Plan Input'!$B$12,Context!$I$12,'Plan Input'!D$2,Context!$I$10,'Plan Input'!$A60)</f>
        <v>0</v>
      </c>
      <c r="E60" s="219">
        <f>_xll.DBRW(Server&amp;Cube1,Context!$I$13,Context!$T$6,Context!$I$11,'Plan Input'!$B$12,Context!$I$12,'Plan Input'!E$2,Context!$I$10,'Plan Input'!$A60)</f>
        <v>0</v>
      </c>
      <c r="F60" s="219">
        <f>_xll.DBRW(Server&amp;Cube1,Context!$I$13,Context!$T$6,Context!$I$11,'Plan Input'!$B$12,Context!$I$12,'Plan Input'!F$2,Context!$I$10,'Plan Input'!$A60)</f>
        <v>0</v>
      </c>
      <c r="G60" s="219">
        <f>SUM(G54:G58)</f>
        <v>4000</v>
      </c>
      <c r="H60" s="219">
        <f t="shared" ref="H60:K60" si="14">SUM(H54:H58)</f>
        <v>0</v>
      </c>
      <c r="I60" s="219">
        <f t="shared" si="14"/>
        <v>0</v>
      </c>
      <c r="J60" s="219">
        <f t="shared" si="14"/>
        <v>0</v>
      </c>
      <c r="K60" s="219">
        <f t="shared" si="14"/>
        <v>0</v>
      </c>
      <c r="L60" s="1"/>
      <c r="N60" s="68"/>
      <c r="O60" s="68"/>
      <c r="P60" s="68"/>
      <c r="Q60" s="68"/>
      <c r="R60" s="68"/>
      <c r="S60" s="11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 t="s">
        <v>9</v>
      </c>
      <c r="B61" s="81"/>
      <c r="C61" s="198" t="str">
        <f>_xll.DBRA(Server&amp;$B$23,$A61,Context!$I$15)</f>
        <v>CAF financière</v>
      </c>
      <c r="D61" s="241">
        <f>_xll.DBRW(Server&amp;Cube1,Context!$I$13,Context!$T$6,Context!$I$11,'Plan Input'!$B$12,Context!$I$12,'Plan Input'!D$2,Context!$I$10,'Plan Input'!$A61)</f>
        <v>0</v>
      </c>
      <c r="E61" s="241">
        <f>_xll.DBRW(Server&amp;Cube1,Context!$I$13,Context!$T$6,Context!$I$11,'Plan Input'!$B$12,Context!$I$12,'Plan Input'!E$2,Context!$I$10,'Plan Input'!$A61)</f>
        <v>0</v>
      </c>
      <c r="F61" s="241">
        <f>_xll.DBRW(Server&amp;Cube1,Context!$I$13,Context!$T$6,Context!$I$11,'Plan Input'!$B$12,Context!$I$12,'Plan Input'!F$2,Context!$I$10,'Plan Input'!$A61)</f>
        <v>0</v>
      </c>
      <c r="G61" s="204">
        <v>0</v>
      </c>
      <c r="H61" s="204">
        <v>0</v>
      </c>
      <c r="I61" s="204">
        <v>0</v>
      </c>
      <c r="J61" s="204">
        <v>0</v>
      </c>
      <c r="K61" s="204">
        <v>0</v>
      </c>
      <c r="L61" s="1"/>
      <c r="N61" s="68"/>
      <c r="O61" s="68"/>
      <c r="P61" s="68"/>
      <c r="Q61" s="68"/>
      <c r="R61" s="68"/>
      <c r="S61" s="11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6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N62" s="68"/>
      <c r="O62" s="68"/>
      <c r="P62" s="68"/>
      <c r="Q62" s="68"/>
      <c r="R62" s="68"/>
      <c r="S62" s="11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 t="s">
        <v>11</v>
      </c>
      <c r="B63" s="81"/>
      <c r="C63" s="213" t="str">
        <f>_xll.DBRA(Server&amp;$B$23,$A63,Context!$I$15)</f>
        <v>CAPACITE D'AUTOFINANCEMENT</v>
      </c>
      <c r="D63" s="219">
        <f>_xll.DBRW(Server&amp;Cube1,Context!$I$13,Context!$T$6,Context!$I$11,'Plan Input'!$B$12,Context!$I$12,'Plan Input'!D$2,Context!$I$10,'Plan Input'!$A63)</f>
        <v>0</v>
      </c>
      <c r="E63" s="219">
        <f>_xll.DBRW(Server&amp;Cube1,Context!$I$13,Context!$T$6,Context!$I$11,'Plan Input'!$B$12,Context!$I$12,'Plan Input'!E$2,Context!$I$10,'Plan Input'!$A63)</f>
        <v>0</v>
      </c>
      <c r="F63" s="219">
        <f>_xll.DBRW(Server&amp;Cube1,Context!$I$13,Context!$T$6,Context!$I$11,'Plan Input'!$B$12,Context!$I$12,'Plan Input'!F$2,Context!$I$10,'Plan Input'!$A63)</f>
        <v>0</v>
      </c>
      <c r="G63" s="219">
        <f>SUM(G60:G61)</f>
        <v>4000</v>
      </c>
      <c r="H63" s="219">
        <f t="shared" ref="H63:K63" si="15">SUM(H60:H61)</f>
        <v>0</v>
      </c>
      <c r="I63" s="219">
        <f t="shared" si="15"/>
        <v>0</v>
      </c>
      <c r="J63" s="219">
        <f t="shared" si="15"/>
        <v>0</v>
      </c>
      <c r="K63" s="219">
        <f t="shared" si="15"/>
        <v>0</v>
      </c>
      <c r="L63" s="1"/>
      <c r="N63" s="68"/>
      <c r="O63" s="68"/>
      <c r="P63" s="68"/>
      <c r="Q63" s="68"/>
      <c r="R63" s="68"/>
      <c r="S63" s="11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 t="s">
        <v>12</v>
      </c>
      <c r="B64" s="81"/>
      <c r="C64" s="198" t="str">
        <f>_xll.DBRA(Server&amp;$B$23,$A64,Context!$I$15)</f>
        <v>Impôts versés &amp; BFR fiscal</v>
      </c>
      <c r="D64" s="241">
        <f>_xll.DBRW(Server&amp;Cube1,Context!$I$13,Context!$T$6,Context!$I$11,'Plan Input'!$B$12,Context!$I$12,'Plan Input'!D$2,Context!$I$10,'Plan Input'!$A64)</f>
        <v>0</v>
      </c>
      <c r="E64" s="241">
        <f>_xll.DBRW(Server&amp;Cube1,Context!$I$13,Context!$T$6,Context!$I$11,'Plan Input'!$B$12,Context!$I$12,'Plan Input'!E$2,Context!$I$10,'Plan Input'!$A64)</f>
        <v>0</v>
      </c>
      <c r="F64" s="241">
        <f>_xll.DBRW(Server&amp;Cube1,Context!$I$13,Context!$T$6,Context!$I$11,'Plan Input'!$B$12,Context!$I$12,'Plan Input'!F$2,Context!$I$10,'Plan Input'!$A64)</f>
        <v>0</v>
      </c>
      <c r="G64" s="204">
        <v>0</v>
      </c>
      <c r="H64" s="204">
        <v>0</v>
      </c>
      <c r="I64" s="204">
        <v>0</v>
      </c>
      <c r="J64" s="204">
        <v>0</v>
      </c>
      <c r="K64" s="204">
        <v>0</v>
      </c>
      <c r="L64" s="1"/>
      <c r="N64" s="68"/>
      <c r="O64" s="68"/>
      <c r="P64" s="68"/>
      <c r="Q64" s="68"/>
      <c r="R64" s="68"/>
      <c r="S64" s="11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 t="s">
        <v>13</v>
      </c>
      <c r="B65" s="81"/>
      <c r="C65" s="198" t="str">
        <f>_xll.DBRA(Server&amp;$B$23,$A65,Context!$I$15)</f>
        <v>Variation / BFR opérationnel</v>
      </c>
      <c r="D65" s="241">
        <f>_xll.DBRW(Server&amp;Cube1,Context!$I$13,Context!$T$6,Context!$I$11,'Plan Input'!$B$12,Context!$I$12,'Plan Input'!D$2,Context!$I$10,'Plan Input'!$A65)</f>
        <v>0</v>
      </c>
      <c r="E65" s="241">
        <f>_xll.DBRW(Server&amp;Cube1,Context!$I$13,Context!$T$6,Context!$I$11,'Plan Input'!$B$12,Context!$I$12,'Plan Input'!E$2,Context!$I$10,'Plan Input'!$A65)</f>
        <v>0</v>
      </c>
      <c r="F65" s="241">
        <f>_xll.DBRW(Server&amp;Cube1,Context!$I$13,Context!$T$6,Context!$I$11,'Plan Input'!$B$12,Context!$I$12,'Plan Input'!F$2,Context!$I$10,'Plan Input'!$A65)</f>
        <v>0</v>
      </c>
      <c r="G65" s="204">
        <v>0</v>
      </c>
      <c r="H65" s="204">
        <v>0</v>
      </c>
      <c r="I65" s="204">
        <v>0</v>
      </c>
      <c r="J65" s="204">
        <v>0</v>
      </c>
      <c r="K65" s="204">
        <v>0</v>
      </c>
      <c r="L65" s="1"/>
      <c r="N65" s="68"/>
      <c r="O65" s="68"/>
      <c r="P65" s="68"/>
      <c r="Q65" s="68"/>
      <c r="R65" s="68"/>
      <c r="S65" s="11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6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N66" s="68"/>
      <c r="O66" s="68"/>
      <c r="P66" s="68"/>
      <c r="Q66" s="68"/>
      <c r="R66" s="68"/>
      <c r="S66" s="11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 t="s">
        <v>14</v>
      </c>
      <c r="B67" s="81"/>
      <c r="C67" s="213" t="str">
        <f>_xll.DBRA(Server&amp;$B$23,$A67,Context!$I$15)</f>
        <v>FLUX NETS SUR ACTIVITES OPERATIONNELLES</v>
      </c>
      <c r="D67" s="219">
        <f>_xll.DBRW(Server&amp;Cube1,Context!$I$13,Context!$T$6,Context!$I$11,'Plan Input'!$B$12,Context!$I$12,'Plan Input'!D$2,Context!$I$10,'Plan Input'!$A67)</f>
        <v>0</v>
      </c>
      <c r="E67" s="219">
        <f>_xll.DBRW(Server&amp;Cube1,Context!$I$13,Context!$T$6,Context!$I$11,'Plan Input'!$B$12,Context!$I$12,'Plan Input'!E$2,Context!$I$10,'Plan Input'!$A67)</f>
        <v>0</v>
      </c>
      <c r="F67" s="219">
        <f>_xll.DBRW(Server&amp;Cube1,Context!$I$13,Context!$T$6,Context!$I$11,'Plan Input'!$B$12,Context!$I$12,'Plan Input'!F$2,Context!$I$10,'Plan Input'!$A67)</f>
        <v>0</v>
      </c>
      <c r="G67" s="219">
        <f>SUM(G63:G65)</f>
        <v>4000</v>
      </c>
      <c r="H67" s="219">
        <f t="shared" ref="H67:K67" si="16">SUM(H63:H65)</f>
        <v>0</v>
      </c>
      <c r="I67" s="219">
        <f t="shared" si="16"/>
        <v>0</v>
      </c>
      <c r="J67" s="219">
        <f t="shared" si="16"/>
        <v>0</v>
      </c>
      <c r="K67" s="219">
        <f t="shared" si="16"/>
        <v>0</v>
      </c>
      <c r="L67" s="1"/>
      <c r="N67" s="68"/>
      <c r="O67" s="68"/>
      <c r="P67" s="68"/>
      <c r="Q67" s="68"/>
      <c r="R67" s="68"/>
      <c r="S67" s="11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6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N68" s="68"/>
      <c r="O68" s="68"/>
      <c r="P68" s="68"/>
      <c r="Q68" s="68"/>
      <c r="R68" s="68"/>
      <c r="S68" s="11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 t="s">
        <v>234</v>
      </c>
      <c r="B69" s="81"/>
      <c r="C69" s="198" t="str">
        <f>_xll.DBRA(Server&amp;$B$23,$A69,Context!$I$15)</f>
        <v>CAPEX - Tout mode de financement (excl. IFRIC12)</v>
      </c>
      <c r="D69" s="241">
        <f>_xll.DBRW(Server&amp;Cube1,Context!$I$13,Context!$T$6,Context!$I$11,'Plan Input'!$B$12,Context!$I$12,'Plan Input'!D$2,Context!$I$10,'Plan Input'!$A69)</f>
        <v>0</v>
      </c>
      <c r="E69" s="241">
        <f>_xll.DBRW(Server&amp;Cube1,Context!$I$13,Context!$T$6,Context!$I$11,'Plan Input'!$B$12,Context!$I$12,'Plan Input'!E$2,Context!$I$10,'Plan Input'!$A69)</f>
        <v>0</v>
      </c>
      <c r="F69" s="241">
        <f>_xll.DBRW(Server&amp;Cube1,Context!$I$13,Context!$T$6,Context!$I$11,'Plan Input'!$B$12,Context!$I$12,'Plan Input'!F$2,Context!$I$10,'Plan Input'!$A69)</f>
        <v>0</v>
      </c>
      <c r="G69" s="204">
        <v>0</v>
      </c>
      <c r="H69" s="204">
        <v>0</v>
      </c>
      <c r="I69" s="204">
        <v>0</v>
      </c>
      <c r="J69" s="204">
        <v>0</v>
      </c>
      <c r="K69" s="204">
        <v>0</v>
      </c>
      <c r="L69" s="1"/>
      <c r="N69" s="68"/>
      <c r="O69" s="68"/>
      <c r="P69" s="68"/>
      <c r="Q69" s="68"/>
      <c r="R69" s="68"/>
      <c r="S69" s="11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 t="s">
        <v>15</v>
      </c>
      <c r="B70" s="81"/>
      <c r="C70" s="198" t="str">
        <f>_xll.DBRA(Server&amp;$B$23,$A70,Context!$I$15)</f>
        <v>Nouveaux Actifs Financiers Opérationnels - IFRIC 12 impact EFN</v>
      </c>
      <c r="D70" s="241">
        <f>_xll.DBRW(Server&amp;Cube1,Context!$I$13,Context!$T$6,Context!$I$11,'Plan Input'!$B$12,Context!$I$12,'Plan Input'!D$2,Context!$I$10,'Plan Input'!$A70)</f>
        <v>0</v>
      </c>
      <c r="E70" s="241">
        <f>_xll.DBRW(Server&amp;Cube1,Context!$I$13,Context!$T$6,Context!$I$11,'Plan Input'!$B$12,Context!$I$12,'Plan Input'!E$2,Context!$I$10,'Plan Input'!$A70)</f>
        <v>0</v>
      </c>
      <c r="F70" s="241">
        <f>_xll.DBRW(Server&amp;Cube1,Context!$I$13,Context!$T$6,Context!$I$11,'Plan Input'!$B$12,Context!$I$12,'Plan Input'!F$2,Context!$I$10,'Plan Input'!$A70)</f>
        <v>0</v>
      </c>
      <c r="G70" s="249">
        <f>G128</f>
        <v>0</v>
      </c>
      <c r="H70" s="249">
        <f t="shared" ref="H70:K70" si="17">H128</f>
        <v>0</v>
      </c>
      <c r="I70" s="249">
        <f t="shared" si="17"/>
        <v>0</v>
      </c>
      <c r="J70" s="249">
        <f t="shared" si="17"/>
        <v>0</v>
      </c>
      <c r="K70" s="249">
        <f t="shared" si="17"/>
        <v>0</v>
      </c>
      <c r="L70" s="1"/>
      <c r="N70" s="68"/>
      <c r="O70" s="68"/>
      <c r="P70" s="68"/>
      <c r="Q70" s="68"/>
      <c r="R70" s="68"/>
      <c r="S70" s="11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 t="s">
        <v>16</v>
      </c>
      <c r="B71" s="81"/>
      <c r="C71" s="198" t="str">
        <f>_xll.DBRA(Server&amp;$B$23,$A71,Context!$I$15)</f>
        <v>Investissements financiers (y.c. EFN stés acquises)</v>
      </c>
      <c r="D71" s="241">
        <f>_xll.DBRW(Server&amp;Cube1,Context!$I$13,Context!$T$6,Context!$I$11,'Plan Input'!$B$12,Context!$I$12,'Plan Input'!D$2,Context!$I$10,'Plan Input'!$A71)</f>
        <v>0</v>
      </c>
      <c r="E71" s="241">
        <f>_xll.DBRW(Server&amp;Cube1,Context!$I$13,Context!$T$6,Context!$I$11,'Plan Input'!$B$12,Context!$I$12,'Plan Input'!E$2,Context!$I$10,'Plan Input'!$A71)</f>
        <v>0</v>
      </c>
      <c r="F71" s="241">
        <f>_xll.DBRW(Server&amp;Cube1,Context!$I$13,Context!$T$6,Context!$I$11,'Plan Input'!$B$12,Context!$I$12,'Plan Input'!F$2,Context!$I$10,'Plan Input'!$A71)</f>
        <v>0</v>
      </c>
      <c r="G71" s="298">
        <v>0</v>
      </c>
      <c r="H71" s="298">
        <v>0</v>
      </c>
      <c r="I71" s="298">
        <v>0</v>
      </c>
      <c r="J71" s="298">
        <v>0</v>
      </c>
      <c r="K71" s="298">
        <v>0</v>
      </c>
      <c r="L71" s="1"/>
      <c r="N71" s="68"/>
      <c r="O71" s="68"/>
      <c r="P71" s="68"/>
      <c r="Q71" s="68"/>
      <c r="R71" s="68"/>
      <c r="S71" s="11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 t="s">
        <v>18</v>
      </c>
      <c r="B72" s="81"/>
      <c r="C72" s="198" t="str">
        <f>_xll.DBRA(Server&amp;$B$23,$A72,Context!$I$15)</f>
        <v>Cessions d'actifs industriels</v>
      </c>
      <c r="D72" s="241">
        <f>_xll.DBRW(Server&amp;Cube1,Context!$I$13,Context!$T$6,Context!$I$11,'Plan Input'!$B$12,Context!$I$12,'Plan Input'!D$2,Context!$I$10,'Plan Input'!$A72)</f>
        <v>0</v>
      </c>
      <c r="E72" s="241">
        <f>_xll.DBRW(Server&amp;Cube1,Context!$I$13,Context!$T$6,Context!$I$11,'Plan Input'!$B$12,Context!$I$12,'Plan Input'!E$2,Context!$I$10,'Plan Input'!$A72)</f>
        <v>0</v>
      </c>
      <c r="F72" s="241">
        <f>_xll.DBRW(Server&amp;Cube1,Context!$I$13,Context!$T$6,Context!$I$11,'Plan Input'!$B$12,Context!$I$12,'Plan Input'!F$2,Context!$I$10,'Plan Input'!$A72)</f>
        <v>0</v>
      </c>
      <c r="G72" s="204">
        <v>0</v>
      </c>
      <c r="H72" s="204">
        <v>0</v>
      </c>
      <c r="I72" s="204">
        <v>0</v>
      </c>
      <c r="J72" s="204">
        <v>0</v>
      </c>
      <c r="K72" s="204">
        <v>0</v>
      </c>
      <c r="L72" s="1"/>
      <c r="N72" s="68"/>
      <c r="O72" s="68"/>
      <c r="P72" s="68"/>
      <c r="Q72" s="68"/>
      <c r="R72" s="68"/>
      <c r="S72" s="11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 t="s">
        <v>19</v>
      </c>
      <c r="B73" s="81"/>
      <c r="C73" s="198" t="str">
        <f>_xll.DBRA(Server&amp;$B$23,$A73,Context!$I$15)</f>
        <v>Remboursement Actifs Financiers Opérationnels - IFRIC 12 impact EFN</v>
      </c>
      <c r="D73" s="241">
        <f>_xll.DBRW(Server&amp;Cube1,Context!$I$13,Context!$T$6,Context!$I$11,'Plan Input'!$B$12,Context!$I$12,'Plan Input'!D$2,Context!$I$10,'Plan Input'!$A73)</f>
        <v>0</v>
      </c>
      <c r="E73" s="241">
        <f>_xll.DBRW(Server&amp;Cube1,Context!$I$13,Context!$T$6,Context!$I$11,'Plan Input'!$B$12,Context!$I$12,'Plan Input'!E$2,Context!$I$10,'Plan Input'!$A73)</f>
        <v>0</v>
      </c>
      <c r="F73" s="241">
        <f>_xll.DBRW(Server&amp;Cube1,Context!$I$13,Context!$T$6,Context!$I$11,'Plan Input'!$B$12,Context!$I$12,'Plan Input'!F$2,Context!$I$10,'Plan Input'!$A73)</f>
        <v>0</v>
      </c>
      <c r="G73" s="249">
        <f>G129</f>
        <v>0</v>
      </c>
      <c r="H73" s="249">
        <f t="shared" ref="H73:K73" si="18">H129</f>
        <v>0</v>
      </c>
      <c r="I73" s="249">
        <f t="shared" si="18"/>
        <v>0</v>
      </c>
      <c r="J73" s="249">
        <f t="shared" si="18"/>
        <v>0</v>
      </c>
      <c r="K73" s="249">
        <f t="shared" si="18"/>
        <v>0</v>
      </c>
      <c r="L73" s="1"/>
      <c r="N73" s="68"/>
      <c r="O73" s="68"/>
      <c r="P73" s="68"/>
      <c r="Q73" s="68"/>
      <c r="R73" s="68"/>
      <c r="S73" s="11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 t="s">
        <v>20</v>
      </c>
      <c r="B74" s="81"/>
      <c r="C74" s="198" t="str">
        <f>_xll.DBRA(Server&amp;$B$23,$A74,Context!$I$15)</f>
        <v>Cessions d'immos financières (y.c. EFN stés cédées)</v>
      </c>
      <c r="D74" s="241">
        <f>_xll.DBRW(Server&amp;Cube1,Context!$I$13,Context!$T$6,Context!$I$11,'Plan Input'!$B$12,Context!$I$12,'Plan Input'!D$2,Context!$I$10,'Plan Input'!$A74)</f>
        <v>0</v>
      </c>
      <c r="E74" s="241">
        <f>_xll.DBRW(Server&amp;Cube1,Context!$I$13,Context!$T$6,Context!$I$11,'Plan Input'!$B$12,Context!$I$12,'Plan Input'!E$2,Context!$I$10,'Plan Input'!$A74)</f>
        <v>0</v>
      </c>
      <c r="F74" s="241">
        <f>_xll.DBRW(Server&amp;Cube1,Context!$I$13,Context!$T$6,Context!$I$11,'Plan Input'!$B$12,Context!$I$12,'Plan Input'!F$2,Context!$I$10,'Plan Input'!$A74)</f>
        <v>0</v>
      </c>
      <c r="G74" s="298">
        <v>0</v>
      </c>
      <c r="H74" s="298">
        <v>0</v>
      </c>
      <c r="I74" s="298">
        <v>0</v>
      </c>
      <c r="J74" s="298">
        <v>0</v>
      </c>
      <c r="K74" s="298">
        <v>0</v>
      </c>
      <c r="L74" s="1"/>
      <c r="N74" s="68"/>
      <c r="O74" s="68"/>
      <c r="P74" s="68"/>
      <c r="Q74" s="68"/>
      <c r="R74" s="68"/>
      <c r="S74" s="11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 outlineLevel="1">
      <c r="A75" s="81" t="s">
        <v>22</v>
      </c>
      <c r="B75" s="81"/>
      <c r="C75" s="198" t="str">
        <f>_xll.DBRA(Server&amp;$B$23,$A75,Context!$I$15)</f>
        <v>Variation des autres actifs financiers</v>
      </c>
      <c r="D75" s="241">
        <f>_xll.DBRW(Server&amp;Cube1,Context!$I$13,Context!$T$6,Context!$I$11,'Plan Input'!$B$12,Context!$I$12,'Plan Input'!D$2,Context!$I$10,'Plan Input'!$A75)</f>
        <v>0</v>
      </c>
      <c r="E75" s="241">
        <f>_xll.DBRW(Server&amp;Cube1,Context!$I$13,Context!$T$6,Context!$I$11,'Plan Input'!$B$12,Context!$I$12,'Plan Input'!E$2,Context!$I$10,'Plan Input'!$A75)</f>
        <v>0</v>
      </c>
      <c r="F75" s="241">
        <f>_xll.DBRW(Server&amp;Cube1,Context!$I$13,Context!$T$6,Context!$I$11,'Plan Input'!$B$12,Context!$I$12,'Plan Input'!F$2,Context!$I$10,'Plan Input'!$A75)</f>
        <v>0</v>
      </c>
      <c r="G75" s="257"/>
      <c r="H75" s="257"/>
      <c r="I75" s="257"/>
      <c r="J75" s="257"/>
      <c r="K75" s="257"/>
      <c r="L75" s="1"/>
      <c r="N75" s="68"/>
      <c r="O75" s="68"/>
      <c r="P75" s="68"/>
      <c r="Q75" s="68"/>
      <c r="R75" s="68"/>
      <c r="S75" s="11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 outlineLevel="1">
      <c r="A76" s="81" t="s">
        <v>23</v>
      </c>
      <c r="B76" s="81"/>
      <c r="C76" s="198" t="str">
        <f>_xll.DBRA(Server&amp;$B$23,$A76,Context!$I$15)</f>
        <v>Dividendes reçus des ent. associées (ME)</v>
      </c>
      <c r="D76" s="241">
        <f>_xll.DBRW(Server&amp;Cube1,Context!$I$13,Context!$T$6,Context!$I$11,'Plan Input'!$B$12,Context!$I$12,'Plan Input'!D$2,Context!$I$10,'Plan Input'!$A76)</f>
        <v>0</v>
      </c>
      <c r="E76" s="241">
        <f>_xll.DBRW(Server&amp;Cube1,Context!$I$13,Context!$T$6,Context!$I$11,'Plan Input'!$B$12,Context!$I$12,'Plan Input'!E$2,Context!$I$10,'Plan Input'!$A76)</f>
        <v>0</v>
      </c>
      <c r="F76" s="241">
        <f>_xll.DBRW(Server&amp;Cube1,Context!$I$13,Context!$T$6,Context!$I$11,'Plan Input'!$B$12,Context!$I$12,'Plan Input'!F$2,Context!$I$10,'Plan Input'!$A76)</f>
        <v>0</v>
      </c>
      <c r="G76" s="257"/>
      <c r="H76" s="257"/>
      <c r="I76" s="257"/>
      <c r="J76" s="257"/>
      <c r="K76" s="257"/>
      <c r="L76" s="1"/>
      <c r="N76" s="68"/>
      <c r="O76" s="68"/>
      <c r="P76" s="68"/>
      <c r="Q76" s="68"/>
      <c r="R76" s="68"/>
      <c r="S76" s="11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 t="s">
        <v>24</v>
      </c>
      <c r="B77" s="81"/>
      <c r="C77" s="198" t="str">
        <f>_xll.DBRA(Server&amp;$B$23,$A77,Context!$I$15)</f>
        <v>Dividendes reçus des titres Non Consolidés</v>
      </c>
      <c r="D77" s="241">
        <f>_xll.DBRW(Server&amp;Cube1,Context!$I$13,Context!$T$6,Context!$I$11,'Plan Input'!$B$12,Context!$I$12,'Plan Input'!D$2,Context!$I$10,'Plan Input'!$A77)</f>
        <v>0</v>
      </c>
      <c r="E77" s="241">
        <f>_xll.DBRW(Server&amp;Cube1,Context!$I$13,Context!$T$6,Context!$I$11,'Plan Input'!$B$12,Context!$I$12,'Plan Input'!E$2,Context!$I$10,'Plan Input'!$A77)</f>
        <v>0</v>
      </c>
      <c r="F77" s="241">
        <f>_xll.DBRW(Server&amp;Cube1,Context!$I$13,Context!$T$6,Context!$I$11,'Plan Input'!$B$12,Context!$I$12,'Plan Input'!F$2,Context!$I$10,'Plan Input'!$A77)</f>
        <v>0</v>
      </c>
      <c r="G77" s="204">
        <v>0</v>
      </c>
      <c r="H77" s="204">
        <v>0</v>
      </c>
      <c r="I77" s="204">
        <v>0</v>
      </c>
      <c r="J77" s="204">
        <v>0</v>
      </c>
      <c r="K77" s="204">
        <v>0</v>
      </c>
      <c r="L77" s="1"/>
      <c r="N77" s="68"/>
      <c r="O77" s="68"/>
      <c r="P77" s="68"/>
      <c r="Q77" s="68"/>
      <c r="R77" s="68"/>
      <c r="S77" s="11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 outlineLevel="1">
      <c r="A78" s="81" t="s">
        <v>25</v>
      </c>
      <c r="B78" s="81"/>
      <c r="C78" s="198" t="str">
        <f>_xll.DBRA(Server&amp;$B$23,$A78,Context!$I$15)</f>
        <v>Transferts internes</v>
      </c>
      <c r="D78" s="241">
        <f>_xll.DBRW(Server&amp;Cube1,Context!$I$13,Context!$T$6,Context!$I$11,'Plan Input'!$B$12,Context!$I$12,'Plan Input'!D$2,Context!$I$10,'Plan Input'!$A78)</f>
        <v>0</v>
      </c>
      <c r="E78" s="241">
        <f>_xll.DBRW(Server&amp;Cube1,Context!$I$13,Context!$T$6,Context!$I$11,'Plan Input'!$B$12,Context!$I$12,'Plan Input'!E$2,Context!$I$10,'Plan Input'!$A78)</f>
        <v>0</v>
      </c>
      <c r="F78" s="241">
        <f>_xll.DBRW(Server&amp;Cube1,Context!$I$13,Context!$T$6,Context!$I$11,'Plan Input'!$B$12,Context!$I$12,'Plan Input'!F$2,Context!$I$10,'Plan Input'!$A78)</f>
        <v>0</v>
      </c>
      <c r="G78" s="257"/>
      <c r="H78" s="257"/>
      <c r="I78" s="257"/>
      <c r="J78" s="257"/>
      <c r="K78" s="257"/>
      <c r="L78" s="1"/>
      <c r="N78" s="68"/>
      <c r="O78" s="68"/>
      <c r="P78" s="68"/>
      <c r="Q78" s="68"/>
      <c r="R78" s="68"/>
      <c r="S78" s="11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3.5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N79" s="68"/>
      <c r="O79" s="68"/>
      <c r="P79" s="68"/>
      <c r="Q79" s="68"/>
      <c r="R79" s="68"/>
      <c r="S79" s="11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 t="s">
        <v>26</v>
      </c>
      <c r="B80" s="81"/>
      <c r="C80" s="222" t="str">
        <f>_xll.DBRA(Server&amp;$B$23,$A80,Context!$I$15)</f>
        <v>FLUX NET D'INVESTISSEMENTS</v>
      </c>
      <c r="D80" s="219">
        <f>_xll.DBRW(Server&amp;Cube1,Context!$I$13,Context!$T$6,Context!$I$11,'Plan Input'!$B$12,Context!$I$12,'Plan Input'!D$2,Context!$I$10,'Plan Input'!$A80)</f>
        <v>0</v>
      </c>
      <c r="E80" s="219">
        <f>_xll.DBRW(Server&amp;Cube1,Context!$I$13,Context!$T$6,Context!$I$11,'Plan Input'!$B$12,Context!$I$12,'Plan Input'!E$2,Context!$I$10,'Plan Input'!$A80)</f>
        <v>0</v>
      </c>
      <c r="F80" s="219">
        <f>_xll.DBRW(Server&amp;Cube1,Context!$I$13,Context!$T$6,Context!$I$11,'Plan Input'!$B$12,Context!$I$12,'Plan Input'!F$2,Context!$I$10,'Plan Input'!$A80)</f>
        <v>0</v>
      </c>
      <c r="G80" s="219">
        <f>SUM(G69:G78)</f>
        <v>0</v>
      </c>
      <c r="H80" s="219">
        <f t="shared" ref="H80:K80" si="19">SUM(H69:H78)</f>
        <v>0</v>
      </c>
      <c r="I80" s="219">
        <f t="shared" si="19"/>
        <v>0</v>
      </c>
      <c r="J80" s="219">
        <f t="shared" si="19"/>
        <v>0</v>
      </c>
      <c r="K80" s="219">
        <f t="shared" si="19"/>
        <v>0</v>
      </c>
      <c r="L80" s="1"/>
      <c r="N80" s="68"/>
      <c r="O80" s="68"/>
      <c r="P80" s="68"/>
      <c r="Q80" s="68"/>
      <c r="R80" s="68"/>
      <c r="S80" s="118"/>
      <c r="T80" s="68"/>
      <c r="U80" s="68"/>
      <c r="V80" s="68"/>
      <c r="W80" s="68"/>
      <c r="X80" s="68"/>
      <c r="Y80" s="68"/>
      <c r="Z80" s="68"/>
      <c r="AA80" s="68"/>
      <c r="AB80" s="68"/>
    </row>
    <row r="81" spans="1:30" ht="8.25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N81" s="68"/>
      <c r="O81" s="68"/>
      <c r="P81" s="68"/>
      <c r="Q81" s="68"/>
      <c r="R81" s="68"/>
      <c r="S81" s="118"/>
      <c r="T81" s="68"/>
      <c r="U81" s="68"/>
      <c r="V81" s="68"/>
      <c r="W81" s="68"/>
      <c r="X81" s="68"/>
      <c r="Y81" s="68"/>
      <c r="Z81" s="68"/>
      <c r="AA81" s="68"/>
      <c r="AB81" s="68"/>
    </row>
    <row r="82" spans="1:30" ht="18" customHeight="1" thickBot="1">
      <c r="A82" s="81" t="s">
        <v>27</v>
      </c>
      <c r="B82" s="81"/>
      <c r="C82" s="223" t="str">
        <f>_xll.DBRA(Server&amp;$B$23,$A82,Context!$I$15)</f>
        <v>FREE CASH FLOW OPERATIONNEL</v>
      </c>
      <c r="D82" s="219">
        <f>_xll.DBRW(Server&amp;Cube1,Context!$I$13,Context!$T$6,Context!$I$11,'Plan Input'!$B$12,Context!$I$12,'Plan Input'!D$2,Context!$I$10,'Plan Input'!$A82)</f>
        <v>0</v>
      </c>
      <c r="E82" s="219">
        <f>_xll.DBRW(Server&amp;Cube1,Context!$I$13,Context!$T$6,Context!$I$11,'Plan Input'!$B$12,Context!$I$12,'Plan Input'!E$2,Context!$I$10,'Plan Input'!$A82)</f>
        <v>0</v>
      </c>
      <c r="F82" s="219">
        <f>_xll.DBRW(Server&amp;Cube1,Context!$I$13,Context!$T$6,Context!$I$11,'Plan Input'!$B$12,Context!$I$12,'Plan Input'!F$2,Context!$I$10,'Plan Input'!$A82)</f>
        <v>0</v>
      </c>
      <c r="G82" s="219">
        <f>G67+G80</f>
        <v>4000</v>
      </c>
      <c r="H82" s="219">
        <f t="shared" ref="H82:K82" si="20">H67+H80</f>
        <v>0</v>
      </c>
      <c r="I82" s="219">
        <f t="shared" si="20"/>
        <v>0</v>
      </c>
      <c r="J82" s="219">
        <f t="shared" si="20"/>
        <v>0</v>
      </c>
      <c r="K82" s="219">
        <f t="shared" si="20"/>
        <v>0</v>
      </c>
      <c r="L82" s="1"/>
      <c r="N82" s="68"/>
      <c r="O82" s="68"/>
      <c r="P82" s="68"/>
      <c r="Q82" s="68"/>
      <c r="R82" s="68"/>
      <c r="S82" s="118"/>
      <c r="T82" s="68"/>
      <c r="U82" s="68"/>
      <c r="V82" s="68"/>
      <c r="W82" s="68"/>
      <c r="X82" s="68"/>
      <c r="Y82" s="68"/>
      <c r="Z82" s="68"/>
      <c r="AA82" s="68"/>
      <c r="AB82" s="68"/>
    </row>
    <row r="83" spans="1:30" ht="6.75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N83" s="68"/>
      <c r="O83" s="68"/>
      <c r="P83" s="68"/>
      <c r="Q83" s="68"/>
      <c r="R83" s="68"/>
      <c r="S83" s="118"/>
      <c r="T83" s="68"/>
      <c r="U83" s="68"/>
      <c r="V83" s="68"/>
      <c r="W83" s="68"/>
      <c r="X83" s="68"/>
      <c r="Y83" s="68"/>
      <c r="Z83" s="68"/>
      <c r="AA83" s="68"/>
      <c r="AB83" s="68"/>
    </row>
    <row r="84" spans="1:30" ht="18" customHeight="1">
      <c r="A84" s="81" t="s">
        <v>1</v>
      </c>
      <c r="B84" s="81"/>
      <c r="C84" s="198" t="str">
        <f>_xll.DBRA(Server&amp;$B$23,$A84,Context!$I$15)</f>
        <v>Coût de l'endettement financier net</v>
      </c>
      <c r="D84" s="241">
        <f>_xll.DBRW(Server&amp;Cube1,Context!$I$13,Context!$T$6,Context!$I$11,'Plan Input'!$B$12,Context!$I$12,'Plan Input'!D$2,Context!$I$10,'Plan Input'!$A84)</f>
        <v>0</v>
      </c>
      <c r="E84" s="241">
        <f>_xll.DBRW(Server&amp;Cube1,Context!$I$13,Context!$T$6,Context!$I$11,'Plan Input'!$B$12,Context!$I$12,'Plan Input'!E$2,Context!$I$10,'Plan Input'!$A84)</f>
        <v>0</v>
      </c>
      <c r="F84" s="241">
        <f>_xll.DBRW(Server&amp;Cube1,Context!$I$13,Context!$T$6,Context!$I$11,'Plan Input'!$B$12,Context!$I$12,'Plan Input'!F$2,Context!$I$10,'Plan Input'!$A84)</f>
        <v>0</v>
      </c>
      <c r="G84" s="249">
        <f ca="1">G39</f>
        <v>0</v>
      </c>
      <c r="H84" s="249">
        <f t="shared" ref="H84:K84" ca="1" si="21">H39</f>
        <v>0</v>
      </c>
      <c r="I84" s="249">
        <f t="shared" ca="1" si="21"/>
        <v>0</v>
      </c>
      <c r="J84" s="249">
        <f t="shared" ca="1" si="21"/>
        <v>0</v>
      </c>
      <c r="K84" s="249">
        <f t="shared" ca="1" si="21"/>
        <v>0</v>
      </c>
      <c r="L84" s="1"/>
      <c r="N84" s="68"/>
      <c r="O84" s="68"/>
      <c r="P84" s="68"/>
      <c r="Q84" s="68"/>
      <c r="R84" s="68"/>
      <c r="S84" s="118"/>
      <c r="T84" s="68"/>
      <c r="U84" s="68"/>
      <c r="V84" s="68"/>
      <c r="W84" s="68"/>
      <c r="X84" s="68"/>
      <c r="Y84" s="68"/>
      <c r="Z84" s="68"/>
      <c r="AA84" s="68"/>
      <c r="AB84" s="68"/>
    </row>
    <row r="85" spans="1:30" ht="18" customHeight="1">
      <c r="A85" s="81" t="s">
        <v>33</v>
      </c>
      <c r="B85" s="81"/>
      <c r="C85" s="198" t="str">
        <f>_xll.DBRA(Server&amp;$B$23,$A85,Context!$I$15)&amp;IF(xLanguage="French"," : Proposition de calcul"," : Calculation proposal")</f>
        <v>Dividendes reçus-versés du/au groupe nets : Proposition de calcul</v>
      </c>
      <c r="D85" s="241"/>
      <c r="E85" s="241"/>
      <c r="F85" s="241"/>
      <c r="G85" s="260">
        <f>IF(F49&gt;0,-F49,0)</f>
        <v>0</v>
      </c>
      <c r="H85" s="260" t="e">
        <f t="shared" ref="H85:J85" ca="1" si="22">IF(G49&gt;0,-G49,0)</f>
        <v>#VALUE!</v>
      </c>
      <c r="I85" s="260">
        <f t="shared" ca="1" si="22"/>
        <v>0</v>
      </c>
      <c r="J85" s="260">
        <f t="shared" ca="1" si="22"/>
        <v>0</v>
      </c>
      <c r="K85" s="260">
        <f ca="1">IF(J49&gt;0,-J49,0)</f>
        <v>0</v>
      </c>
      <c r="L85" s="1"/>
      <c r="M85" s="261" t="str">
        <f>IF(xLanguage="French", "Utilisation du calcul automatique pour le calcul des dividendes","Use automatic calculation for dividends")</f>
        <v>Utilisation du calcul automatique pour le calcul des dividendes</v>
      </c>
      <c r="N85" s="68"/>
      <c r="O85" s="68"/>
      <c r="P85" s="68"/>
      <c r="Q85" s="68"/>
      <c r="R85" s="68"/>
      <c r="S85" s="118"/>
      <c r="T85" s="68"/>
      <c r="U85" s="68"/>
      <c r="V85" s="68"/>
      <c r="W85" s="68"/>
      <c r="X85" s="68"/>
      <c r="Y85" s="68"/>
      <c r="Z85" s="68"/>
      <c r="AA85" s="68"/>
      <c r="AB85" s="68"/>
      <c r="AC85" s="1" t="str">
        <f>_xll.DBRW(Server&amp;Cube1,Context!$I$13,Context!$T$5,Context!$I$11,'Plan Input'!$B$12,Context!$I$12,'Plan Input'!G$2,Context!$I$10,"NFI4401_checkbox_Tech")</f>
        <v/>
      </c>
      <c r="AD85" s="262" t="b">
        <v>1</v>
      </c>
    </row>
    <row r="86" spans="1:30" ht="18" customHeight="1">
      <c r="A86" s="81" t="s">
        <v>33</v>
      </c>
      <c r="B86" s="81"/>
      <c r="C86" s="198" t="str">
        <f>_xll.DBRA(Server&amp;$B$23,$A86,Context!$I$15)</f>
        <v>Dividendes reçus-versés du/au groupe nets</v>
      </c>
      <c r="D86" s="241">
        <f>_xll.DBRW(Server&amp;Cube1,Context!$I$13,Context!$T$6,Context!$I$11,'Plan Input'!$B$12,Context!$I$12,'Plan Input'!D$2,Context!$I$10,'Plan Input'!$A86)</f>
        <v>0</v>
      </c>
      <c r="E86" s="241">
        <f>_xll.DBRW(Server&amp;Cube1,Context!$I$13,Context!$T$6,Context!$I$11,'Plan Input'!$B$12,Context!$I$12,'Plan Input'!E$2,Context!$I$10,'Plan Input'!$A86)</f>
        <v>0</v>
      </c>
      <c r="F86" s="241">
        <f>_xll.DBRW(Server&amp;Cube1,Context!$I$13,Context!$T$6,Context!$I$11,'Plan Input'!$B$12,Context!$I$12,'Plan Input'!F$2,Context!$I$10,'Plan Input'!$A86)</f>
        <v>0</v>
      </c>
      <c r="G86" s="327">
        <f>G85</f>
        <v>0</v>
      </c>
      <c r="H86" s="327" t="e">
        <f ca="1">H85</f>
        <v>#VALUE!</v>
      </c>
      <c r="I86" s="327">
        <f ca="1">I85</f>
        <v>0</v>
      </c>
      <c r="J86" s="327">
        <f ca="1">J85</f>
        <v>0</v>
      </c>
      <c r="K86" s="327">
        <f ca="1">K85</f>
        <v>0</v>
      </c>
      <c r="L86" s="280" t="e">
        <f ca="1">SUM(G86:K86)</f>
        <v>#VALUE!</v>
      </c>
      <c r="M86" s="279" t="e">
        <f ca="1">IF(L86=0,IF(xLanguage="French","Attention les dividendes n'ont pas été renseignés!","Warning: Dividends have not been filled in!"),"")</f>
        <v>#VALUE!</v>
      </c>
      <c r="N86" s="68"/>
      <c r="O86" s="68"/>
      <c r="P86" s="68"/>
      <c r="Q86" s="68"/>
      <c r="R86" s="68"/>
      <c r="S86" s="118"/>
      <c r="T86" s="68"/>
      <c r="U86" s="68"/>
      <c r="V86" s="68"/>
      <c r="W86" s="68"/>
      <c r="X86" s="68"/>
      <c r="Y86" s="68"/>
      <c r="Z86" s="68"/>
      <c r="AA86" s="68"/>
      <c r="AB86" s="68"/>
    </row>
    <row r="87" spans="1:30" ht="18" customHeight="1">
      <c r="A87" s="81" t="s">
        <v>34</v>
      </c>
      <c r="B87" s="81"/>
      <c r="C87" s="198" t="str">
        <f>_xll.DBRA(Server&amp;$B$23,$A87,Context!$I$15)</f>
        <v>Dividendes versés hors groupe</v>
      </c>
      <c r="D87" s="241">
        <f>_xll.DBRW(Server&amp;Cube1,Context!$I$13,Context!$T$6,Context!$I$11,'Plan Input'!$B$12,Context!$I$12,'Plan Input'!D$2,Context!$I$10,'Plan Input'!$A87)</f>
        <v>0</v>
      </c>
      <c r="E87" s="241">
        <f>_xll.DBRW(Server&amp;Cube1,Context!$I$13,Context!$T$6,Context!$I$11,'Plan Input'!$B$12,Context!$I$12,'Plan Input'!E$2,Context!$I$10,'Plan Input'!$A87)</f>
        <v>0</v>
      </c>
      <c r="F87" s="241">
        <f>_xll.DBRW(Server&amp;Cube1,Context!$I$13,Context!$T$6,Context!$I$11,'Plan Input'!$B$12,Context!$I$12,'Plan Input'!F$2,Context!$I$10,'Plan Input'!$A87)</f>
        <v>0</v>
      </c>
      <c r="G87" s="204">
        <v>0</v>
      </c>
      <c r="H87" s="204">
        <v>0</v>
      </c>
      <c r="I87" s="204">
        <v>0</v>
      </c>
      <c r="J87" s="204">
        <v>0</v>
      </c>
      <c r="K87" s="204">
        <v>0</v>
      </c>
      <c r="L87" s="1"/>
      <c r="N87" s="68"/>
      <c r="O87" s="68"/>
      <c r="P87" s="68"/>
      <c r="Q87" s="68"/>
      <c r="R87" s="68"/>
      <c r="S87" s="118"/>
      <c r="T87" s="68"/>
      <c r="U87" s="68"/>
      <c r="V87" s="68"/>
      <c r="W87" s="68"/>
      <c r="X87" s="68"/>
      <c r="Y87" s="68"/>
      <c r="Z87" s="68"/>
      <c r="AA87" s="68"/>
      <c r="AB87" s="68"/>
    </row>
    <row r="88" spans="1:30" ht="18" customHeight="1" outlineLevel="1">
      <c r="A88" s="81" t="s">
        <v>32</v>
      </c>
      <c r="B88" s="81"/>
      <c r="C88" s="198" t="str">
        <f>_xll.DBRA(Server&amp;$B$23,$A88,Context!$I$15)</f>
        <v>Augmentation Capital et Autocontrôle</v>
      </c>
      <c r="D88" s="241">
        <f>_xll.DBRW(Server&amp;Cube1,Context!$I$13,Context!$T$6,Context!$I$11,'Plan Input'!$B$12,Context!$I$12,'Plan Input'!D$2,Context!$I$10,'Plan Input'!$A88)</f>
        <v>0</v>
      </c>
      <c r="E88" s="241">
        <f>_xll.DBRW(Server&amp;Cube1,Context!$I$13,Context!$T$6,Context!$I$11,'Plan Input'!$B$12,Context!$I$12,'Plan Input'!E$2,Context!$I$10,'Plan Input'!$A88)</f>
        <v>0</v>
      </c>
      <c r="F88" s="241">
        <f>_xll.DBRW(Server&amp;Cube1,Context!$I$13,Context!$T$6,Context!$I$11,'Plan Input'!$B$12,Context!$I$12,'Plan Input'!F$2,Context!$I$10,'Plan Input'!$A88)</f>
        <v>0</v>
      </c>
      <c r="G88" s="134"/>
      <c r="H88" s="134"/>
      <c r="I88" s="134"/>
      <c r="J88" s="134"/>
      <c r="K88" s="134"/>
      <c r="L88" s="1"/>
      <c r="N88" s="68"/>
      <c r="O88" s="68"/>
      <c r="P88" s="68"/>
      <c r="Q88" s="68"/>
      <c r="R88" s="68"/>
      <c r="S88" s="118"/>
      <c r="T88" s="68"/>
      <c r="U88" s="68"/>
      <c r="V88" s="68"/>
      <c r="W88" s="68"/>
      <c r="X88" s="68"/>
      <c r="Y88" s="68"/>
      <c r="Z88" s="68"/>
      <c r="AA88" s="68"/>
      <c r="AB88" s="68"/>
    </row>
    <row r="89" spans="1:30" ht="18" customHeight="1" outlineLevel="1">
      <c r="A89" s="81" t="s">
        <v>31</v>
      </c>
      <c r="B89" s="81"/>
      <c r="C89" s="198" t="str">
        <f>_xll.DBRA(Server&amp;$B$23,$A89,Context!$I$15)</f>
        <v>Variation du capital souscrit par les minoritaires</v>
      </c>
      <c r="D89" s="241">
        <f>_xll.DBRW(Server&amp;Cube1,Context!$I$13,Context!$T$6,Context!$I$11,'Plan Input'!$B$12,Context!$I$12,'Plan Input'!D$2,Context!$I$10,'Plan Input'!$A89)</f>
        <v>0</v>
      </c>
      <c r="E89" s="241">
        <f>_xll.DBRW(Server&amp;Cube1,Context!$I$13,Context!$T$6,Context!$I$11,'Plan Input'!$B$12,Context!$I$12,'Plan Input'!E$2,Context!$I$10,'Plan Input'!$A89)</f>
        <v>0</v>
      </c>
      <c r="F89" s="241">
        <f>_xll.DBRW(Server&amp;Cube1,Context!$I$13,Context!$T$6,Context!$I$11,'Plan Input'!$B$12,Context!$I$12,'Plan Input'!F$2,Context!$I$10,'Plan Input'!$A89)</f>
        <v>0</v>
      </c>
      <c r="G89" s="134"/>
      <c r="H89" s="134"/>
      <c r="I89" s="134"/>
      <c r="J89" s="134"/>
      <c r="K89" s="134"/>
      <c r="L89" s="1"/>
      <c r="N89" s="68"/>
      <c r="O89" s="68"/>
      <c r="P89" s="68"/>
      <c r="Q89" s="68"/>
      <c r="R89" s="68"/>
      <c r="S89" s="118"/>
      <c r="T89" s="68"/>
      <c r="U89" s="68"/>
      <c r="V89" s="68"/>
      <c r="W89" s="68"/>
      <c r="X89" s="68"/>
      <c r="Y89" s="68"/>
      <c r="Z89" s="68"/>
      <c r="AA89" s="68"/>
      <c r="AB89" s="68"/>
    </row>
    <row r="90" spans="1:30" ht="14.25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N90" s="68"/>
      <c r="O90" s="68"/>
      <c r="P90" s="68"/>
      <c r="Q90" s="68"/>
      <c r="R90" s="68"/>
      <c r="S90" s="118"/>
      <c r="T90" s="68"/>
      <c r="U90" s="68"/>
      <c r="V90" s="68"/>
      <c r="W90" s="68"/>
      <c r="X90" s="68"/>
      <c r="Y90" s="68"/>
      <c r="Z90" s="68"/>
      <c r="AA90" s="68"/>
      <c r="AB90" s="68"/>
    </row>
    <row r="91" spans="1:30" ht="18" customHeight="1">
      <c r="A91" s="81" t="s">
        <v>35</v>
      </c>
      <c r="B91" s="81"/>
      <c r="C91" s="213" t="str">
        <f>_xll.DBRA(Server&amp;$B$23,$A91,Context!$I$15)</f>
        <v>FLUX NETS SUR ACTIVITES DE FINANCEMENT</v>
      </c>
      <c r="D91" s="219">
        <f>_xll.DBRW(Server&amp;Cube1,Context!$I$13,Context!$T$6,Context!$I$11,'Plan Input'!$B$12,Context!$I$12,'Plan Input'!D$2,Context!$I$10,'Plan Input'!$A91)</f>
        <v>0</v>
      </c>
      <c r="E91" s="219">
        <f>_xll.DBRW(Server&amp;Cube1,Context!$I$13,Context!$T$6,Context!$I$11,'Plan Input'!$B$12,Context!$I$12,'Plan Input'!E$2,Context!$I$10,'Plan Input'!$A91)</f>
        <v>0</v>
      </c>
      <c r="F91" s="219">
        <f>_xll.DBRW(Server&amp;Cube1,Context!$I$13,Context!$T$6,Context!$I$11,'Plan Input'!$B$12,Context!$I$12,'Plan Input'!F$2,Context!$I$10,'Plan Input'!$A91)</f>
        <v>0</v>
      </c>
      <c r="G91" s="219">
        <f ca="1">SUM(G86:G89)+G84</f>
        <v>0</v>
      </c>
      <c r="H91" s="219" t="e">
        <f t="shared" ref="H91:K91" ca="1" si="23">SUM(H86:H89)+H84</f>
        <v>#VALUE!</v>
      </c>
      <c r="I91" s="219">
        <f t="shared" ca="1" si="23"/>
        <v>0</v>
      </c>
      <c r="J91" s="219">
        <f t="shared" ca="1" si="23"/>
        <v>0</v>
      </c>
      <c r="K91" s="219">
        <f t="shared" ca="1" si="23"/>
        <v>0</v>
      </c>
      <c r="L91" s="1"/>
      <c r="N91" s="68"/>
      <c r="O91" s="68"/>
      <c r="P91" s="68"/>
      <c r="Q91" s="68"/>
      <c r="R91" s="68"/>
      <c r="S91" s="118"/>
      <c r="T91" s="68"/>
      <c r="U91" s="68"/>
      <c r="V91" s="68"/>
      <c r="W91" s="68"/>
      <c r="X91" s="68"/>
      <c r="Y91" s="68"/>
      <c r="Z91" s="68"/>
      <c r="AA91" s="68"/>
      <c r="AB91" s="68"/>
    </row>
    <row r="92" spans="1:30" ht="8.25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N92" s="68"/>
      <c r="O92" s="68"/>
      <c r="P92" s="68"/>
      <c r="Q92" s="68"/>
      <c r="R92" s="68"/>
      <c r="S92" s="118"/>
      <c r="T92" s="68"/>
      <c r="U92" s="68"/>
      <c r="V92" s="68"/>
      <c r="W92" s="68"/>
      <c r="X92" s="68"/>
      <c r="Y92" s="68"/>
      <c r="Z92" s="68"/>
      <c r="AA92" s="68"/>
      <c r="AB92" s="68"/>
    </row>
    <row r="93" spans="1:30" ht="18" customHeight="1">
      <c r="A93" s="81" t="s">
        <v>61</v>
      </c>
      <c r="B93" s="81"/>
      <c r="C93" s="213" t="str">
        <f>_xll.DBRA(Server&amp;$B$23,$A93,Context!$I$15)</f>
        <v>AUTRES FLUX (change/ juste valeur/reclast…)</v>
      </c>
      <c r="D93" s="242">
        <f>_xll.DBRW(Server&amp;Cube1,Context!$I$13,Context!$T$6,Context!$I$11,'Plan Input'!$B$12,Context!$I$12,'Plan Input'!D$2,Context!$I$10,'Plan Input'!$A93)</f>
        <v>0</v>
      </c>
      <c r="E93" s="242">
        <f>_xll.DBRW(Server&amp;Cube1,Context!$I$13,Context!$T$6,Context!$I$11,'Plan Input'!$B$12,Context!$I$12,'Plan Input'!E$2,Context!$I$10,'Plan Input'!$A93)</f>
        <v>0</v>
      </c>
      <c r="F93" s="242">
        <f>_xll.DBRW(Server&amp;Cube1,Context!$I$13,Context!$T$6,Context!$I$11,'Plan Input'!$B$12,Context!$I$12,'Plan Input'!F$2,Context!$I$10,'Plan Input'!$A93)</f>
        <v>0</v>
      </c>
      <c r="G93" s="219">
        <f>_xll.DBRW(Server&amp;Cube1,Context!$I$13,Context!$T$6,Context!$I$11,'Plan Input'!$B$12,Context!$I$12,'Plan Input'!G$2,Context!$I$10,'Plan Input'!$A93)</f>
        <v>0</v>
      </c>
      <c r="H93" s="219">
        <f>_xll.DBRW(Server&amp;Cube1,Context!$I$13,Context!$T$6,Context!$I$11,'Plan Input'!$B$12,Context!$I$12,'Plan Input'!H$2,Context!$I$10,'Plan Input'!$A93)</f>
        <v>0</v>
      </c>
      <c r="I93" s="219">
        <f>_xll.DBRW(Server&amp;Cube1,Context!$I$13,Context!$T$6,Context!$I$11,'Plan Input'!$B$12,Context!$I$12,'Plan Input'!I$2,Context!$I$10,'Plan Input'!$A93)</f>
        <v>0</v>
      </c>
      <c r="J93" s="219">
        <f>_xll.DBRW(Server&amp;Cube1,Context!$I$13,Context!$T$6,Context!$I$11,'Plan Input'!$B$12,Context!$I$12,'Plan Input'!J$2,Context!$I$10,'Plan Input'!$A93)</f>
        <v>0</v>
      </c>
      <c r="K93" s="220">
        <f>_xll.DBRW(Server&amp;Cube1,Context!$I$13,Context!$T$6,Context!$I$11,'Plan Input'!$B$12,Context!$I$12,'Plan Input'!K$2,Context!$I$10,'Plan Input'!$A93)</f>
        <v>0</v>
      </c>
      <c r="L93" s="1"/>
      <c r="N93" s="68"/>
      <c r="O93" s="68"/>
      <c r="P93" s="68"/>
      <c r="Q93" s="68"/>
      <c r="R93" s="68"/>
      <c r="S93" s="118"/>
      <c r="T93" s="68"/>
      <c r="U93" s="68"/>
      <c r="V93" s="68"/>
      <c r="W93" s="68"/>
      <c r="X93" s="68"/>
      <c r="Y93" s="68"/>
      <c r="Z93" s="68"/>
      <c r="AA93" s="68"/>
      <c r="AB93" s="68"/>
    </row>
    <row r="94" spans="1:30" ht="8.25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N94" s="68"/>
      <c r="O94" s="68"/>
      <c r="P94" s="68"/>
      <c r="Q94" s="68"/>
      <c r="R94" s="68"/>
      <c r="S94" s="118"/>
      <c r="T94" s="68"/>
      <c r="U94" s="68"/>
      <c r="V94" s="68"/>
      <c r="W94" s="68"/>
      <c r="X94" s="68"/>
      <c r="Y94" s="68"/>
      <c r="Z94" s="68"/>
      <c r="AA94" s="68"/>
      <c r="AB94" s="68"/>
    </row>
    <row r="95" spans="1:30" ht="18" customHeight="1">
      <c r="A95" s="81" t="s">
        <v>36</v>
      </c>
      <c r="B95" s="81"/>
      <c r="C95" s="213" t="str">
        <f>_xll.DBRA(Server&amp;$B$23,$A95,Context!$I$15)</f>
        <v>FLUX NET DE VARIATION EFN</v>
      </c>
      <c r="D95" s="219">
        <f>_xll.DBRW(Server&amp;Cube1,Context!$I$13,Context!$T$6,Context!$I$11,'Plan Input'!$B$12,Context!$I$12,'Plan Input'!D$2,Context!$I$10,'Plan Input'!$A95)</f>
        <v>0</v>
      </c>
      <c r="E95" s="219">
        <f>_xll.DBRW(Server&amp;Cube1,Context!$I$13,Context!$T$6,Context!$I$11,'Plan Input'!$B$12,Context!$I$12,'Plan Input'!E$2,Context!$I$10,'Plan Input'!$A95)</f>
        <v>0</v>
      </c>
      <c r="F95" s="219">
        <f>_xll.DBRW(Server&amp;Cube1,Context!$I$13,Context!$T$6,Context!$I$11,'Plan Input'!$B$12,Context!$I$12,'Plan Input'!F$2,Context!$I$10,'Plan Input'!$A95)</f>
        <v>0</v>
      </c>
      <c r="G95" s="219">
        <f ca="1">G82+G91+G93</f>
        <v>4000</v>
      </c>
      <c r="H95" s="219" t="e">
        <f t="shared" ref="H95:K95" ca="1" si="24">H82+H91+H93</f>
        <v>#VALUE!</v>
      </c>
      <c r="I95" s="219">
        <f t="shared" ca="1" si="24"/>
        <v>0</v>
      </c>
      <c r="J95" s="219">
        <f t="shared" ca="1" si="24"/>
        <v>0</v>
      </c>
      <c r="K95" s="219">
        <f t="shared" ca="1" si="24"/>
        <v>0</v>
      </c>
      <c r="L95" s="1"/>
      <c r="N95" s="68"/>
      <c r="O95" s="68"/>
      <c r="P95" s="68"/>
      <c r="Q95" s="68"/>
      <c r="R95" s="68"/>
      <c r="S95" s="118"/>
      <c r="T95" s="68"/>
      <c r="U95" s="68"/>
      <c r="V95" s="68"/>
      <c r="W95" s="68"/>
      <c r="X95" s="68"/>
      <c r="Y95" s="68"/>
      <c r="Z95" s="68"/>
      <c r="AA95" s="68"/>
      <c r="AB95" s="68"/>
    </row>
    <row r="96" spans="1:30" ht="18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N96" s="68"/>
      <c r="O96" s="68"/>
      <c r="P96" s="68"/>
      <c r="Q96" s="68"/>
      <c r="R96" s="68"/>
      <c r="S96" s="11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6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68"/>
      <c r="O97" s="68"/>
      <c r="P97" s="68"/>
      <c r="Q97" s="68"/>
      <c r="R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23.25" customHeight="1">
      <c r="A98" s="81"/>
      <c r="B98" s="81"/>
      <c r="C98" s="250" t="str">
        <f>_xll.DBRA(Server&amp;$S$9,$S$17,Context!$I$15)&amp;" " &amp;_xll.DBRA(Server&amp;$S$9,$T$100,Context!$I$15)</f>
        <v>III - BILAN (KLCL)</v>
      </c>
      <c r="D98" s="94" t="str">
        <f>D$3</f>
        <v>2024</v>
      </c>
      <c r="E98" s="94" t="str">
        <f t="shared" ref="E98:K98" si="25">E$3</f>
        <v>2025</v>
      </c>
      <c r="F98" s="94" t="str">
        <f t="shared" si="25"/>
        <v>2026</v>
      </c>
      <c r="G98" s="94" t="str">
        <f t="shared" si="25"/>
        <v>2027</v>
      </c>
      <c r="H98" s="94" t="str">
        <f t="shared" si="25"/>
        <v>2028</v>
      </c>
      <c r="I98" s="94" t="str">
        <f t="shared" si="25"/>
        <v>2029</v>
      </c>
      <c r="J98" s="94" t="str">
        <f t="shared" si="25"/>
        <v>2030</v>
      </c>
      <c r="K98" s="94" t="str">
        <f t="shared" si="25"/>
        <v>2031</v>
      </c>
      <c r="L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18.5">
      <c r="A99" s="81"/>
      <c r="B99" s="81"/>
      <c r="C99" s="93"/>
      <c r="L99" s="1"/>
      <c r="N99" s="68"/>
      <c r="O99" s="68"/>
      <c r="P99" s="68"/>
      <c r="Q99" s="68"/>
      <c r="R99" s="68"/>
      <c r="S99" s="68"/>
      <c r="T99" s="118" t="s">
        <v>108</v>
      </c>
      <c r="U99" s="68"/>
      <c r="V99" s="68"/>
      <c r="W99" s="68"/>
      <c r="X99" s="68"/>
      <c r="Y99" s="68"/>
      <c r="Z99" s="68"/>
      <c r="AA99" s="68"/>
      <c r="AB99" s="68"/>
    </row>
    <row r="100" spans="1:28" ht="18.5">
      <c r="A100" s="162" t="s">
        <v>230</v>
      </c>
      <c r="B100" s="162" t="s">
        <v>230</v>
      </c>
      <c r="C100" s="198" t="str">
        <f>_xll.DBRA(Server&amp;$B$23,$A100,Context!$I$15)</f>
        <v>Goodwill &amp; Immo. Corp. et incorp. Nettes &amp; droits d'utilisation + BFR /investissement net</v>
      </c>
      <c r="D100" s="243">
        <f>_xll.DBRW(Server&amp;Cube1,Context!$I$13,Context!$T$6,Context!$I$11,'Plan Input'!$B$12,Context!$I$12,'Plan Input'!D$2,Context!$I$10,'Plan Input'!$A100)</f>
        <v>0</v>
      </c>
      <c r="E100" s="243">
        <f>_xll.DBRW(Server&amp;Cube1,Context!$I$13,Context!$T$6,Context!$I$11,'Plan Input'!$B$12,Context!$I$12,'Plan Input'!E$2,Context!$I$10,'Plan Input'!$A100)</f>
        <v>0</v>
      </c>
      <c r="F100" s="247">
        <f>_xll.DBRW(Server&amp;Cube1,Context!$I$13,Context!$T$6,Context!$I$11,'Plan Input'!$B$12,Context!$I$12,'Plan Input'!F$2,Context!$I$10,'Plan Input'!$A100)</f>
        <v>0</v>
      </c>
      <c r="G100" s="253">
        <f>F100+G32-G69-G71-G72+G34-G74</f>
        <v>0</v>
      </c>
      <c r="H100" s="253">
        <f t="shared" ref="H100:K100" si="26">G100+H32-H69-H71-H72+H34-H74</f>
        <v>0</v>
      </c>
      <c r="I100" s="253">
        <f t="shared" si="26"/>
        <v>0</v>
      </c>
      <c r="J100" s="253">
        <f t="shared" si="26"/>
        <v>0</v>
      </c>
      <c r="K100" s="253">
        <f t="shared" si="26"/>
        <v>0</v>
      </c>
      <c r="L100" s="1"/>
      <c r="N100" s="68"/>
      <c r="O100" s="68"/>
      <c r="P100" s="68"/>
      <c r="Q100" s="68"/>
      <c r="R100" s="68"/>
      <c r="S100" s="68"/>
      <c r="T100" s="118" t="s">
        <v>114</v>
      </c>
      <c r="U100" s="68"/>
      <c r="V100" s="68"/>
      <c r="W100" s="68"/>
      <c r="X100" s="68"/>
      <c r="Y100" s="68"/>
      <c r="Z100" s="68"/>
      <c r="AA100" s="68"/>
      <c r="AB100" s="68"/>
    </row>
    <row r="101" spans="1:28" ht="18.5">
      <c r="A101" s="162" t="s">
        <v>37</v>
      </c>
      <c r="B101" s="162" t="s">
        <v>37</v>
      </c>
      <c r="C101" s="198" t="str">
        <f>_xll.DBRA(Server&amp;$B$23,$A101,Context!$I$15)</f>
        <v>Participations dans les entreprises associées (ME)</v>
      </c>
      <c r="D101" s="203">
        <f>_xll.DBRW(Server&amp;Cube1,Context!$I$13,Context!$T$6,Context!$I$11,'Plan Input'!$B$12,Context!$I$12,'Plan Input'!D$2,Context!$I$10,'Plan Input'!$A101)</f>
        <v>0</v>
      </c>
      <c r="E101" s="203">
        <f>_xll.DBRW(Server&amp;Cube1,Context!$I$13,Context!$T$6,Context!$I$11,'Plan Input'!$B$12,Context!$I$12,'Plan Input'!E$2,Context!$I$10,'Plan Input'!$A101)</f>
        <v>0</v>
      </c>
      <c r="F101" s="244">
        <f>_xll.DBRW(Server&amp;Cube1,Context!$I$13,Context!$T$6,Context!$I$11,'Plan Input'!$B$12,Context!$I$12,'Plan Input'!F$2,Context!$I$10,'Plan Input'!$A101)</f>
        <v>0</v>
      </c>
      <c r="G101" s="226">
        <f>G35+F101-G76</f>
        <v>0</v>
      </c>
      <c r="H101" s="226">
        <f>H35+G101-H76</f>
        <v>0</v>
      </c>
      <c r="I101" s="226">
        <f>I35+H101-I76</f>
        <v>0</v>
      </c>
      <c r="J101" s="226">
        <f>J35+I101-J76</f>
        <v>0</v>
      </c>
      <c r="K101" s="226">
        <f>K35+J101-K76</f>
        <v>0</v>
      </c>
      <c r="L101" s="1"/>
      <c r="N101" s="68"/>
      <c r="O101" s="68"/>
      <c r="P101" s="68"/>
      <c r="Q101" s="68"/>
      <c r="R101" s="68"/>
      <c r="S101" s="68"/>
      <c r="T101" s="118" t="s">
        <v>112</v>
      </c>
      <c r="U101" s="68"/>
      <c r="V101" s="68"/>
      <c r="W101" s="68"/>
      <c r="X101" s="68"/>
      <c r="Y101" s="68"/>
      <c r="Z101" s="68"/>
      <c r="AA101" s="68"/>
      <c r="AB101" s="68"/>
    </row>
    <row r="102" spans="1:28" ht="19.25" thickBot="1">
      <c r="A102" s="162" t="s">
        <v>38</v>
      </c>
      <c r="B102" s="162" t="s">
        <v>38</v>
      </c>
      <c r="C102" s="198" t="str">
        <f>_xll.DBRA(Server&amp;$B$23,$A102,Context!$I$15)</f>
        <v>BFR net / impôts sur les bénéfices et différés</v>
      </c>
      <c r="D102" s="203">
        <f>_xll.DBRW(Server&amp;Cube1,Context!$I$13,Context!$T$6,Context!$I$11,'Plan Input'!$B$12,Context!$I$12,'Plan Input'!D$2,Context!$I$10,'Plan Input'!$A102)</f>
        <v>0</v>
      </c>
      <c r="E102" s="203">
        <f>_xll.DBRW(Server&amp;Cube1,Context!$I$13,Context!$T$6,Context!$I$11,'Plan Input'!$B$12,Context!$I$12,'Plan Input'!E$2,Context!$I$10,'Plan Input'!$A102)</f>
        <v>0</v>
      </c>
      <c r="F102" s="244">
        <f>_xll.DBRW(Server&amp;Cube1,Context!$I$13,Context!$T$6,Context!$I$11,'Plan Input'!$B$12,Context!$I$12,'Plan Input'!F$2,Context!$I$10,'Plan Input'!$A102)</f>
        <v>0</v>
      </c>
      <c r="G102" s="226" t="e">
        <f ca="1">+F102+G44-G64</f>
        <v>#VALUE!</v>
      </c>
      <c r="H102" s="226" t="e">
        <f t="shared" ref="H102:K102" ca="1" si="27">+G102+H44-H64</f>
        <v>#VALUE!</v>
      </c>
      <c r="I102" s="226" t="e">
        <f t="shared" ca="1" si="27"/>
        <v>#VALUE!</v>
      </c>
      <c r="J102" s="226" t="e">
        <f t="shared" ca="1" si="27"/>
        <v>#VALUE!</v>
      </c>
      <c r="K102" s="226" t="e">
        <f t="shared" ca="1" si="27"/>
        <v>#VALUE!</v>
      </c>
      <c r="L102" s="1"/>
      <c r="N102" s="68"/>
      <c r="O102" s="68"/>
      <c r="P102" s="68"/>
      <c r="Q102" s="68"/>
      <c r="R102" s="68"/>
      <c r="S102" s="297"/>
      <c r="T102" s="119" t="s">
        <v>113</v>
      </c>
      <c r="U102" s="68"/>
      <c r="V102" s="68"/>
      <c r="W102" s="68"/>
      <c r="X102" s="68"/>
      <c r="Y102" s="68"/>
      <c r="Z102" s="68"/>
      <c r="AA102" s="68"/>
      <c r="AB102" s="68"/>
    </row>
    <row r="103" spans="1:28" ht="16">
      <c r="A103" s="162" t="s">
        <v>39</v>
      </c>
      <c r="B103" s="162" t="s">
        <v>39</v>
      </c>
      <c r="C103" s="198" t="str">
        <f>_xll.DBRA(Server&amp;$B$23,$A103,Context!$I$15)</f>
        <v>BFR opérationnel net</v>
      </c>
      <c r="D103" s="203">
        <f>_xll.DBRW(Server&amp;Cube1,Context!$I$13,Context!$T$6,Context!$I$11,'Plan Input'!$B$12,Context!$I$12,'Plan Input'!D$2,Context!$I$10,'Plan Input'!$A103)</f>
        <v>0</v>
      </c>
      <c r="E103" s="203">
        <f>_xll.DBRW(Server&amp;Cube1,Context!$I$13,Context!$T$6,Context!$I$11,'Plan Input'!$B$12,Context!$I$12,'Plan Input'!E$2,Context!$I$10,'Plan Input'!$A103)</f>
        <v>0</v>
      </c>
      <c r="F103" s="244">
        <f>_xll.DBRW(Server&amp;Cube1,Context!$I$13,Context!$T$6,Context!$I$11,'Plan Input'!$B$12,Context!$I$12,'Plan Input'!F$2,Context!$I$10,'Plan Input'!$A103)</f>
        <v>0</v>
      </c>
      <c r="G103" s="226">
        <f>+F103-G65-G93</f>
        <v>0</v>
      </c>
      <c r="H103" s="226">
        <f>+G103-H65-H93</f>
        <v>0</v>
      </c>
      <c r="I103" s="226">
        <f>+H103-I65-I93</f>
        <v>0</v>
      </c>
      <c r="J103" s="226">
        <f>+I103-J65-J93</f>
        <v>0</v>
      </c>
      <c r="K103" s="226">
        <f>+J103-K65-K93</f>
        <v>0</v>
      </c>
      <c r="L103" s="1"/>
      <c r="N103" s="68"/>
      <c r="O103" s="68"/>
      <c r="P103" s="68"/>
      <c r="Q103" s="68"/>
      <c r="R103" s="68"/>
      <c r="S103" s="68"/>
      <c r="T103" s="39" t="s">
        <v>90</v>
      </c>
      <c r="U103" s="68"/>
      <c r="V103" s="68"/>
      <c r="W103" s="68"/>
      <c r="X103" s="68"/>
      <c r="Y103" s="68"/>
      <c r="Z103" s="68"/>
      <c r="AA103" s="68"/>
      <c r="AB103" s="68"/>
    </row>
    <row r="104" spans="1:28" ht="16.75" thickBot="1">
      <c r="A104" s="162" t="s">
        <v>40</v>
      </c>
      <c r="B104" s="162" t="s">
        <v>40</v>
      </c>
      <c r="C104" s="198" t="str">
        <f>_xll.DBRA(Server&amp;$B$23,$A104,Context!$I$15)</f>
        <v>Provisions pour risques et charges</v>
      </c>
      <c r="D104" s="203">
        <f>_xll.DBRW(Server&amp;Cube1,Context!$I$13,Context!$T$6,Context!$I$11,'Plan Input'!$B$12,Context!$I$12,'Plan Input'!D$2,Context!$I$10,'Plan Input'!$A104)</f>
        <v>0</v>
      </c>
      <c r="E104" s="203">
        <f>_xll.DBRW(Server&amp;Cube1,Context!$I$13,Context!$T$6,Context!$I$11,'Plan Input'!$B$12,Context!$I$12,'Plan Input'!E$2,Context!$I$10,'Plan Input'!$A104)</f>
        <v>0</v>
      </c>
      <c r="F104" s="244">
        <f>_xll.DBRW(Server&amp;Cube1,Context!$I$13,Context!$T$6,Context!$I$11,'Plan Input'!$B$12,Context!$I$12,'Plan Input'!F$2,Context!$I$10,'Plan Input'!$A104)</f>
        <v>0</v>
      </c>
      <c r="G104" s="226">
        <f>+F104-G56</f>
        <v>0</v>
      </c>
      <c r="H104" s="226">
        <f>+G104-H56</f>
        <v>0</v>
      </c>
      <c r="I104" s="226">
        <f>+H104-I56</f>
        <v>0</v>
      </c>
      <c r="J104" s="226">
        <f>+I104-J56</f>
        <v>0</v>
      </c>
      <c r="K104" s="226">
        <f>+J104-K56</f>
        <v>0</v>
      </c>
      <c r="L104" s="1"/>
      <c r="N104" s="68"/>
      <c r="O104" s="68"/>
      <c r="P104" s="68"/>
      <c r="Q104" s="68"/>
      <c r="R104" s="68"/>
      <c r="S104" s="68"/>
      <c r="T104" s="39" t="s">
        <v>91</v>
      </c>
      <c r="U104" s="68"/>
      <c r="V104" s="68"/>
      <c r="W104" s="68"/>
      <c r="X104" s="68"/>
      <c r="Y104" s="68"/>
      <c r="Z104" s="68"/>
      <c r="AA104" s="68"/>
      <c r="AB104" s="68"/>
    </row>
    <row r="105" spans="1:28" ht="16.75" thickBot="1">
      <c r="A105" s="162" t="s">
        <v>42</v>
      </c>
      <c r="B105" s="162" t="s">
        <v>42</v>
      </c>
      <c r="C105" s="213" t="str">
        <f>_xll.DBRA(Server&amp;$B$23,$A105,Context!$I$15)</f>
        <v>TOTAL CAPITAUX EMPLOYES</v>
      </c>
      <c r="D105" s="219">
        <f>_xll.DBRW(Server&amp;Cube1,Context!$I$13,Context!$T$6,Context!$I$11,'Plan Input'!$B$12,Context!$I$12,'Plan Input'!D$2,Context!$I$10,'Plan Input'!$A105)</f>
        <v>0</v>
      </c>
      <c r="E105" s="219">
        <f>_xll.DBRW(Server&amp;Cube1,Context!$I$13,Context!$T$6,Context!$I$11,'Plan Input'!$B$12,Context!$I$12,'Plan Input'!E$2,Context!$I$10,'Plan Input'!$A105)</f>
        <v>0</v>
      </c>
      <c r="F105" s="219">
        <f>_xll.DBRW(Server&amp;Cube1,Context!$I$13,Context!$T$6,Context!$I$11,'Plan Input'!$B$12,Context!$I$12,'Plan Input'!F$2,Context!$I$10,'Plan Input'!$A105)</f>
        <v>0</v>
      </c>
      <c r="G105" s="228" t="e">
        <f ca="1">SUM(G100:G104)</f>
        <v>#VALUE!</v>
      </c>
      <c r="H105" s="228" t="e">
        <f t="shared" ref="H105:K105" ca="1" si="28">SUM(H100:H104)</f>
        <v>#VALUE!</v>
      </c>
      <c r="I105" s="228" t="e">
        <f t="shared" ca="1" si="28"/>
        <v>#VALUE!</v>
      </c>
      <c r="J105" s="228" t="e">
        <f t="shared" ca="1" si="28"/>
        <v>#VALUE!</v>
      </c>
      <c r="K105" s="228" t="e">
        <f t="shared" ca="1" si="28"/>
        <v>#VALUE!</v>
      </c>
      <c r="L105" s="1"/>
      <c r="N105" s="68"/>
      <c r="O105" s="68"/>
      <c r="P105" s="68"/>
      <c r="Q105" s="68"/>
      <c r="R105" s="68"/>
      <c r="S105" s="68"/>
      <c r="T105" s="39" t="s">
        <v>138</v>
      </c>
      <c r="U105" s="68"/>
      <c r="V105" s="68"/>
      <c r="W105" s="68"/>
      <c r="X105" s="68"/>
      <c r="Y105" s="68"/>
      <c r="Z105" s="68"/>
      <c r="AA105" s="68"/>
      <c r="AB105" s="68"/>
    </row>
    <row r="106" spans="1:28" ht="16.75" thickBot="1">
      <c r="A106" s="162" t="s">
        <v>44</v>
      </c>
      <c r="B106" s="162" t="s">
        <v>44</v>
      </c>
      <c r="C106" s="198" t="str">
        <f>_xll.DBRA(Server&amp;$B$23,$A106,Context!$I$15)</f>
        <v>Actifs financiers opérationnels (Net)</v>
      </c>
      <c r="D106" s="203">
        <f>_xll.DBRW(Server&amp;Cube1,Context!$I$13,Context!$T$6,Context!$I$11,'Plan Input'!$B$12,Context!$I$12,'Plan Input'!D$2,Context!$I$10,'Plan Input'!$A106)</f>
        <v>0</v>
      </c>
      <c r="E106" s="203">
        <f>_xll.DBRW(Server&amp;Cube1,Context!$I$13,Context!$T$6,Context!$I$11,'Plan Input'!$B$12,Context!$I$12,'Plan Input'!E$2,Context!$I$10,'Plan Input'!$A106)</f>
        <v>0</v>
      </c>
      <c r="F106" s="245">
        <f>_xll.DBRW(Server&amp;Cube1,Context!$I$13,Context!$T$6,Context!$I$11,'Plan Input'!$B$12,Context!$I$12,'Plan Input'!F$2,Context!$I$10,'Plan Input'!$A106)</f>
        <v>0</v>
      </c>
      <c r="G106" s="226">
        <f>+F106-G70-G73</f>
        <v>0</v>
      </c>
      <c r="H106" s="226">
        <f>+G106-H70-H73</f>
        <v>0</v>
      </c>
      <c r="I106" s="226">
        <f>+H106-I70-I73</f>
        <v>0</v>
      </c>
      <c r="J106" s="226">
        <f>+I106-J70-J73</f>
        <v>0</v>
      </c>
      <c r="K106" s="226">
        <f>+J106-K70-K73</f>
        <v>0</v>
      </c>
      <c r="L106" s="1"/>
      <c r="N106" s="68"/>
      <c r="O106" s="68"/>
      <c r="P106" s="68"/>
      <c r="Q106" s="68"/>
      <c r="R106" s="68"/>
      <c r="S106" s="68"/>
      <c r="T106" s="38" t="s">
        <v>188</v>
      </c>
      <c r="U106" s="68"/>
      <c r="V106" s="68"/>
      <c r="W106" s="68"/>
      <c r="X106" s="68"/>
      <c r="Y106" s="68"/>
      <c r="Z106" s="68"/>
      <c r="AA106" s="68"/>
      <c r="AB106" s="68"/>
    </row>
    <row r="107" spans="1:28" ht="16">
      <c r="A107" s="162" t="s">
        <v>217</v>
      </c>
      <c r="B107" s="162" t="s">
        <v>217</v>
      </c>
      <c r="C107" s="213" t="str">
        <f>_xll.DBRA(Server&amp;$B$23,$A107,Context!$I$15)</f>
        <v>Capitaux Employés (y.c IFRIC12)</v>
      </c>
      <c r="D107" s="219">
        <f>_xll.DBRW(Server&amp;Cube1,Context!$I$13,Context!$T$6,Context!$I$11,'Plan Input'!$B$12,Context!$I$12,'Plan Input'!D$2,Context!$I$10,'Plan Input'!$A107)</f>
        <v>0</v>
      </c>
      <c r="E107" s="219">
        <f>_xll.DBRW(Server&amp;Cube1,Context!$I$13,Context!$T$6,Context!$I$11,'Plan Input'!$B$12,Context!$I$12,'Plan Input'!E$2,Context!$I$10,'Plan Input'!$A107)</f>
        <v>0</v>
      </c>
      <c r="F107" s="219">
        <f>_xll.DBRW(Server&amp;Cube1,Context!$I$13,Context!$T$6,Context!$I$11,'Plan Input'!$B$12,Context!$I$12,'Plan Input'!F$2,Context!$I$10,'Plan Input'!$A107)</f>
        <v>0</v>
      </c>
      <c r="G107" s="228" t="e">
        <f ca="1">G105+G106</f>
        <v>#VALUE!</v>
      </c>
      <c r="H107" s="228" t="e">
        <f t="shared" ref="H107:K107" ca="1" si="29">H105+H106</f>
        <v>#VALUE!</v>
      </c>
      <c r="I107" s="228" t="e">
        <f t="shared" ca="1" si="29"/>
        <v>#VALUE!</v>
      </c>
      <c r="J107" s="228" t="e">
        <f t="shared" ca="1" si="29"/>
        <v>#VALUE!</v>
      </c>
      <c r="K107" s="228" t="e">
        <f t="shared" ca="1" si="29"/>
        <v>#VALUE!</v>
      </c>
      <c r="L107" s="1"/>
      <c r="N107" s="68"/>
      <c r="O107" s="68"/>
      <c r="P107" s="68"/>
      <c r="Q107" s="68"/>
      <c r="R107" s="68"/>
      <c r="S107" s="68"/>
      <c r="T107" s="39" t="s">
        <v>189</v>
      </c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162"/>
      <c r="B108" s="162"/>
      <c r="C108" s="230"/>
      <c r="D108" s="208"/>
      <c r="E108" s="208"/>
      <c r="F108" s="208"/>
      <c r="G108" s="208"/>
      <c r="H108" s="208"/>
      <c r="I108" s="208"/>
      <c r="J108" s="208"/>
      <c r="K108" s="208"/>
      <c r="L108" s="1"/>
      <c r="N108" s="68"/>
      <c r="O108" s="68"/>
      <c r="P108" s="68"/>
      <c r="Q108" s="68"/>
      <c r="R108" s="68"/>
      <c r="S108" s="68"/>
      <c r="T108" s="40" t="s">
        <v>190</v>
      </c>
      <c r="U108" s="68"/>
      <c r="V108" s="68"/>
      <c r="W108" s="68"/>
      <c r="X108" s="68"/>
      <c r="Y108" s="68"/>
      <c r="Z108" s="68"/>
      <c r="AA108" s="68"/>
      <c r="AB108" s="68"/>
    </row>
    <row r="109" spans="1:28" ht="16">
      <c r="A109" s="162" t="s">
        <v>43</v>
      </c>
      <c r="B109" s="162" t="s">
        <v>43</v>
      </c>
      <c r="C109" s="213" t="str">
        <f>_xll.DBRA(Server&amp;$B$23,$A109,Context!$I$15)</f>
        <v>ENDETTEMENT FINANCIER NET</v>
      </c>
      <c r="D109" s="219">
        <f>_xll.DBRW(Server&amp;Cube1,Context!$I$13,Context!$T$6,Context!$I$11,'Plan Input'!$B$12,Context!$I$12,'Plan Input'!D$2,Context!$I$10,'Plan Input'!$A109)</f>
        <v>0</v>
      </c>
      <c r="E109" s="219">
        <f>_xll.DBRW(Server&amp;Cube1,Context!$I$13,Context!$T$6,Context!$I$11,'Plan Input'!$B$12,Context!$I$12,'Plan Input'!E$2,Context!$I$10,'Plan Input'!$A109)</f>
        <v>0</v>
      </c>
      <c r="F109" s="219">
        <f>_xll.DBRW(Server&amp;Cube1,Context!$I$13,Context!$T$6,Context!$I$11,'Plan Input'!$B$12,Context!$I$12,'Plan Input'!F$2,Context!$I$10,'Plan Input'!$A109)</f>
        <v>0</v>
      </c>
      <c r="G109" s="228">
        <f ca="1">F109+G95</f>
        <v>4000</v>
      </c>
      <c r="H109" s="228" t="e">
        <f ca="1">G109+H95</f>
        <v>#VALUE!</v>
      </c>
      <c r="I109" s="228" t="e">
        <f ca="1">H109+I95</f>
        <v>#VALUE!</v>
      </c>
      <c r="J109" s="228" t="e">
        <f ca="1">I109+J95</f>
        <v>#VALUE!</v>
      </c>
      <c r="K109" s="228" t="e">
        <f ca="1">J109+K95</f>
        <v>#VALUE!</v>
      </c>
      <c r="L109" s="1"/>
      <c r="N109" s="68"/>
      <c r="O109" s="68"/>
      <c r="P109" s="68"/>
      <c r="Q109" s="68"/>
      <c r="R109" s="68"/>
      <c r="S109" s="68"/>
      <c r="T109" s="39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>
      <c r="A110" s="162"/>
      <c r="B110" s="162"/>
      <c r="C110" s="199"/>
      <c r="D110" s="208"/>
      <c r="E110" s="208"/>
      <c r="F110" s="208"/>
      <c r="G110" s="208"/>
      <c r="H110" s="208"/>
      <c r="I110" s="208"/>
      <c r="J110" s="208"/>
      <c r="K110" s="208"/>
      <c r="L110" s="1"/>
      <c r="N110" s="68"/>
      <c r="O110" s="68"/>
      <c r="P110" s="68"/>
      <c r="Q110" s="68"/>
      <c r="R110" s="68"/>
      <c r="S110" s="68"/>
      <c r="T110" s="39" t="s">
        <v>97</v>
      </c>
      <c r="U110" s="68"/>
      <c r="V110" s="68"/>
      <c r="W110" s="68"/>
      <c r="X110" s="68"/>
      <c r="Y110" s="68"/>
      <c r="Z110" s="68"/>
      <c r="AA110" s="68"/>
      <c r="AB110" s="68"/>
    </row>
    <row r="111" spans="1:28" ht="16">
      <c r="A111" s="162" t="s">
        <v>45</v>
      </c>
      <c r="B111" s="162" t="s">
        <v>45</v>
      </c>
      <c r="C111" s="198" t="str">
        <f>_xll.DBRA(Server&amp;$B$23,$A111,Context!$I$15)</f>
        <v>Autres actifs financiers</v>
      </c>
      <c r="D111" s="203">
        <f>_xll.DBRW(Server&amp;Cube1,Context!$I$13,Context!$T$6,Context!$I$11,'Plan Input'!$B$12,Context!$I$12,'Plan Input'!D$2,Context!$I$10,'Plan Input'!$A111)</f>
        <v>0</v>
      </c>
      <c r="E111" s="203">
        <f>_xll.DBRW(Server&amp;Cube1,Context!$I$13,Context!$T$6,Context!$I$11,'Plan Input'!$B$12,Context!$I$12,'Plan Input'!E$2,Context!$I$10,'Plan Input'!$A111)</f>
        <v>0</v>
      </c>
      <c r="F111" s="244">
        <f>_xll.DBRW(Server&amp;Cube1,Context!$I$13,Context!$T$6,Context!$I$11,'Plan Input'!$B$12,Context!$I$12,'Plan Input'!F$2,Context!$I$10,'Plan Input'!$A111)</f>
        <v>0</v>
      </c>
      <c r="G111" s="226">
        <f ca="1">F111+G39+G40-G61-G75-G84</f>
        <v>0</v>
      </c>
      <c r="H111" s="226">
        <f t="shared" ref="H111:K111" ca="1" si="30">G111+H39+H40-H61-H75-H84</f>
        <v>0</v>
      </c>
      <c r="I111" s="226">
        <f t="shared" ca="1" si="30"/>
        <v>0</v>
      </c>
      <c r="J111" s="226">
        <f t="shared" ca="1" si="30"/>
        <v>0</v>
      </c>
      <c r="K111" s="226">
        <f t="shared" ca="1" si="30"/>
        <v>0</v>
      </c>
      <c r="L111" s="1"/>
      <c r="N111" s="68"/>
      <c r="O111" s="68"/>
      <c r="P111" s="68"/>
      <c r="Q111" s="68"/>
      <c r="R111" s="68"/>
      <c r="S111" s="68"/>
      <c r="T111" s="39" t="s">
        <v>97</v>
      </c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 thickBot="1">
      <c r="A112" s="162"/>
      <c r="B112" s="162"/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N112" s="68"/>
      <c r="O112" s="68"/>
      <c r="P112" s="68"/>
      <c r="Q112" s="68"/>
      <c r="R112" s="68"/>
      <c r="S112" s="68"/>
      <c r="T112" s="39" t="s">
        <v>98</v>
      </c>
      <c r="U112" s="68"/>
      <c r="V112" s="68"/>
      <c r="W112" s="68"/>
      <c r="X112" s="68"/>
      <c r="Y112" s="68"/>
      <c r="Z112" s="68"/>
      <c r="AA112" s="68"/>
      <c r="AB112" s="68"/>
    </row>
    <row r="113" spans="1:32" ht="16">
      <c r="A113" s="162" t="s">
        <v>46</v>
      </c>
      <c r="B113" s="162" t="s">
        <v>46</v>
      </c>
      <c r="C113" s="213" t="str">
        <f>_xll.DBRA(Server&amp;$B$23,$A113,Context!$I$15)</f>
        <v>DETTE NETTE ECONOMIQUE</v>
      </c>
      <c r="D113" s="219">
        <f>_xll.DBRW(Server&amp;Cube1,Context!$I$13,Context!$T$6,Context!$I$11,'Plan Input'!$B$12,Context!$I$12,'Plan Input'!D$2,Context!$I$10,'Plan Input'!$A113)</f>
        <v>0</v>
      </c>
      <c r="E113" s="219">
        <f>_xll.DBRW(Server&amp;Cube1,Context!$I$13,Context!$T$6,Context!$I$11,'Plan Input'!$B$12,Context!$I$12,'Plan Input'!E$2,Context!$I$10,'Plan Input'!$A113)</f>
        <v>0</v>
      </c>
      <c r="F113" s="219">
        <f>_xll.DBRW(Server&amp;Cube1,Context!$I$13,Context!$T$6,Context!$I$11,'Plan Input'!$B$12,Context!$I$12,'Plan Input'!F$2,Context!$I$10,'Plan Input'!$A113)</f>
        <v>0</v>
      </c>
      <c r="G113" s="228">
        <f ca="1">SUM(G109:G111)</f>
        <v>4000</v>
      </c>
      <c r="H113" s="228" t="e">
        <f t="shared" ref="H113:K113" ca="1" si="31">SUM(H109:H111)</f>
        <v>#VALUE!</v>
      </c>
      <c r="I113" s="228" t="e">
        <f t="shared" ca="1" si="31"/>
        <v>#VALUE!</v>
      </c>
      <c r="J113" s="228" t="e">
        <f t="shared" ca="1" si="31"/>
        <v>#VALUE!</v>
      </c>
      <c r="K113" s="228" t="e">
        <f t="shared" ca="1" si="31"/>
        <v>#VALUE!</v>
      </c>
      <c r="L113" s="1"/>
      <c r="N113" s="68"/>
      <c r="O113" s="68"/>
      <c r="P113" s="68"/>
      <c r="Q113" s="68"/>
      <c r="R113" s="68"/>
      <c r="S113" s="68"/>
      <c r="T113" s="39" t="s">
        <v>99</v>
      </c>
      <c r="U113" s="68"/>
      <c r="V113" s="68"/>
      <c r="W113" s="68"/>
      <c r="X113" s="68"/>
      <c r="Y113" s="68"/>
      <c r="Z113" s="68"/>
      <c r="AA113" s="68"/>
      <c r="AB113" s="68"/>
    </row>
    <row r="114" spans="1:32" ht="4.5" customHeight="1">
      <c r="A114" s="162"/>
      <c r="B114" s="162"/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N114" s="68"/>
      <c r="O114" s="68"/>
      <c r="P114" s="68"/>
      <c r="Q114" s="68"/>
      <c r="R114" s="68"/>
      <c r="S114" s="68"/>
      <c r="T114" s="39" t="s">
        <v>100</v>
      </c>
      <c r="U114" s="68"/>
      <c r="V114" s="68"/>
      <c r="W114" s="68"/>
      <c r="X114" s="68"/>
      <c r="Y114" s="68"/>
      <c r="Z114" s="68"/>
      <c r="AA114" s="68"/>
      <c r="AB114" s="68"/>
    </row>
    <row r="115" spans="1:32" ht="16">
      <c r="A115" s="162" t="s">
        <v>47</v>
      </c>
      <c r="B115" s="162" t="s">
        <v>47</v>
      </c>
      <c r="C115" s="198" t="str">
        <f>_xll.DBRA(Server&amp;$B$23,$A115,Context!$I$15)</f>
        <v>Actifs/passifs des activités non poursuivies nets</v>
      </c>
      <c r="D115" s="203">
        <f>_xll.DBRW(Server&amp;Cube1,Context!$I$13,Context!$T$6,Context!$I$11,'Plan Input'!$B$12,Context!$I$12,'Plan Input'!D$2,Context!$I$10,'Plan Input'!$A115)</f>
        <v>0</v>
      </c>
      <c r="E115" s="203">
        <f>_xll.DBRW(Server&amp;Cube1,Context!$I$13,Context!$T$6,Context!$I$11,'Plan Input'!$B$12,Context!$I$12,'Plan Input'!E$2,Context!$I$10,'Plan Input'!$A115)</f>
        <v>0</v>
      </c>
      <c r="F115" s="246">
        <f>_xll.DBRW(Server&amp;Cube1,Context!$I$13,Context!$T$6,Context!$I$11,'Plan Input'!$B$12,Context!$I$12,'Plan Input'!F$2,Context!$I$10,'Plan Input'!$A115)</f>
        <v>0</v>
      </c>
      <c r="G115" s="226">
        <v>0</v>
      </c>
      <c r="H115" s="226">
        <v>0</v>
      </c>
      <c r="I115" s="226">
        <v>0</v>
      </c>
      <c r="J115" s="226">
        <v>0</v>
      </c>
      <c r="K115" s="226">
        <v>0</v>
      </c>
      <c r="L115" s="192"/>
      <c r="M115" s="192"/>
      <c r="N115" s="68"/>
      <c r="O115" s="68"/>
      <c r="P115" s="68"/>
      <c r="Q115" s="68"/>
      <c r="R115" s="68"/>
      <c r="S115" s="68"/>
      <c r="T115" s="39" t="s">
        <v>101</v>
      </c>
      <c r="U115" s="68"/>
      <c r="V115" s="68"/>
      <c r="W115" s="68"/>
      <c r="X115" s="68"/>
      <c r="Y115" s="68"/>
      <c r="Z115" s="68"/>
      <c r="AA115" s="68"/>
      <c r="AB115" s="68"/>
      <c r="AC115" s="192"/>
      <c r="AD115" s="192"/>
      <c r="AE115" s="192"/>
      <c r="AF115" s="192"/>
    </row>
    <row r="116" spans="1:32" ht="16.75" thickBot="1">
      <c r="A116" s="162" t="s">
        <v>48</v>
      </c>
      <c r="B116" s="162" t="s">
        <v>48</v>
      </c>
      <c r="C116" s="198" t="str">
        <f>_xll.DBRA(Server&amp;$B$23,$A116,Context!$I$15)</f>
        <v>Titres de participation nets</v>
      </c>
      <c r="D116" s="203">
        <f>_xll.DBRW(Server&amp;Cube1,Context!$I$13,Context!$T$6,Context!$I$11,'Plan Input'!$B$12,Context!$I$12,'Plan Input'!D$2,Context!$I$10,'Plan Input'!$A116)</f>
        <v>0</v>
      </c>
      <c r="E116" s="203">
        <f>_xll.DBRW(Server&amp;Cube1,Context!$I$13,Context!$T$6,Context!$I$11,'Plan Input'!$B$12,Context!$I$12,'Plan Input'!E$2,Context!$I$10,'Plan Input'!$A116)</f>
        <v>0</v>
      </c>
      <c r="F116" s="246">
        <f>_xll.DBRW(Server&amp;Cube1,Context!$I$13,Context!$T$6,Context!$I$11,'Plan Input'!$B$12,Context!$I$12,'Plan Input'!F$2,Context!$I$10,'Plan Input'!$A116)</f>
        <v>0</v>
      </c>
      <c r="G116" s="226">
        <f>F116-G77-G78</f>
        <v>0</v>
      </c>
      <c r="H116" s="226">
        <f>G116-H77-H78</f>
        <v>0</v>
      </c>
      <c r="I116" s="226">
        <f>H116-I77-I78</f>
        <v>0</v>
      </c>
      <c r="J116" s="226">
        <f>I116-J77-J78</f>
        <v>0</v>
      </c>
      <c r="K116" s="226">
        <f>J116-K77-K78</f>
        <v>0</v>
      </c>
      <c r="L116" s="1"/>
      <c r="N116" s="68"/>
      <c r="O116" s="68"/>
      <c r="P116" s="68"/>
      <c r="Q116" s="68"/>
      <c r="R116" s="68"/>
      <c r="S116" s="68"/>
      <c r="T116" s="40" t="s">
        <v>102</v>
      </c>
      <c r="U116" s="68"/>
      <c r="V116" s="68"/>
      <c r="W116" s="68"/>
      <c r="X116" s="68"/>
      <c r="Y116" s="68"/>
      <c r="Z116" s="68"/>
      <c r="AA116" s="68"/>
      <c r="AB116" s="68"/>
    </row>
    <row r="117" spans="1:32" ht="16.75" thickBot="1">
      <c r="A117" s="162" t="s">
        <v>49</v>
      </c>
      <c r="B117" s="162" t="s">
        <v>49</v>
      </c>
      <c r="C117" s="198" t="str">
        <f>_xll.DBRA(Server&amp;$B$23,$A117,Context!$I$15)</f>
        <v>Comptes de liaison élimination titres/snette</v>
      </c>
      <c r="D117" s="203">
        <f>_xll.DBRW(Server&amp;Cube1,Context!$I$13,Context!$T$6,Context!$I$11,'Plan Input'!$B$12,Context!$I$12,'Plan Input'!D$2,Context!$I$10,'Plan Input'!$A117)</f>
        <v>0</v>
      </c>
      <c r="E117" s="203">
        <f>_xll.DBRW(Server&amp;Cube1,Context!$I$13,Context!$T$6,Context!$I$11,'Plan Input'!$B$12,Context!$I$12,'Plan Input'!E$2,Context!$I$10,'Plan Input'!$A117)</f>
        <v>0</v>
      </c>
      <c r="F117" s="246">
        <f>_xll.DBRW(Server&amp;Cube1,Context!$I$13,Context!$T$6,Context!$I$11,'Plan Input'!$B$12,Context!$I$12,'Plan Input'!F$2,Context!$I$10,'Plan Input'!$A117)</f>
        <v>0</v>
      </c>
      <c r="G117" s="226">
        <f>F117</f>
        <v>0</v>
      </c>
      <c r="H117" s="226">
        <f t="shared" ref="H117:K117" si="32">G117</f>
        <v>0</v>
      </c>
      <c r="I117" s="226">
        <f t="shared" si="32"/>
        <v>0</v>
      </c>
      <c r="J117" s="226">
        <f t="shared" si="32"/>
        <v>0</v>
      </c>
      <c r="K117" s="226">
        <f t="shared" si="32"/>
        <v>0</v>
      </c>
      <c r="L117" s="1"/>
      <c r="N117" s="68"/>
      <c r="O117" s="68"/>
      <c r="P117" s="68"/>
      <c r="Q117" s="68"/>
      <c r="R117" s="68"/>
      <c r="S117" s="68"/>
      <c r="T117" s="123" t="s">
        <v>56</v>
      </c>
      <c r="U117" s="68"/>
      <c r="V117" s="68"/>
      <c r="W117" s="68"/>
      <c r="X117" s="68"/>
      <c r="Y117" s="68"/>
      <c r="Z117" s="68"/>
      <c r="AA117" s="68"/>
      <c r="AB117" s="68"/>
    </row>
    <row r="118" spans="1:32" ht="16">
      <c r="A118" s="162" t="s">
        <v>50</v>
      </c>
      <c r="B118" s="162" t="s">
        <v>50</v>
      </c>
      <c r="C118" s="198" t="str">
        <f>_xll.DBRA(Server&amp;$B$23,$A118,Context!$I$15)</f>
        <v>Capitaux propres Groupe</v>
      </c>
      <c r="D118" s="203">
        <f>_xll.DBRW(Server&amp;Cube1,Context!$I$13,Context!$T$6,Context!$I$11,'Plan Input'!$B$12,Context!$I$12,'Plan Input'!D$2,Context!$I$10,'Plan Input'!$A118)</f>
        <v>0</v>
      </c>
      <c r="E118" s="203">
        <f>_xll.DBRW(Server&amp;Cube1,Context!$I$13,Context!$T$6,Context!$I$11,'Plan Input'!$B$12,Context!$I$12,'Plan Input'!E$2,Context!$I$10,'Plan Input'!$A118)</f>
        <v>0</v>
      </c>
      <c r="F118" s="246">
        <f>_xll.DBRW(Server&amp;Cube1,Context!$I$13,Context!$T$6,Context!$I$11,'Plan Input'!$B$12,Context!$I$12,'Plan Input'!F$2,Context!$I$10,'Plan Input'!$A118)</f>
        <v>0</v>
      </c>
      <c r="G118" s="226" t="e">
        <f ca="1">F118-(G49+G86)-G89-G88</f>
        <v>#VALUE!</v>
      </c>
      <c r="H118" s="226" t="e">
        <f ca="1">G118-(H49+H86)-H89-H88</f>
        <v>#VALUE!</v>
      </c>
      <c r="I118" s="226" t="e">
        <f ca="1">H118-(I49+I86)-I89-I88</f>
        <v>#VALUE!</v>
      </c>
      <c r="J118" s="226" t="e">
        <f ca="1">I118-(J49+J86)-J89-J88</f>
        <v>#VALUE!</v>
      </c>
      <c r="K118" s="226" t="e">
        <f ca="1">J118-(K49+K86)-K89-K88</f>
        <v>#VALUE!</v>
      </c>
      <c r="L118" s="1"/>
      <c r="N118" s="68"/>
      <c r="O118" s="68"/>
      <c r="P118" s="68"/>
      <c r="Q118" s="68"/>
      <c r="R118" s="68"/>
      <c r="S118" s="68"/>
      <c r="T118" s="38" t="s">
        <v>147</v>
      </c>
      <c r="U118" s="68"/>
      <c r="V118" s="68"/>
      <c r="W118" s="68"/>
      <c r="X118" s="68"/>
      <c r="Y118" s="68"/>
      <c r="Z118" s="68"/>
      <c r="AA118" s="68"/>
      <c r="AB118" s="68"/>
    </row>
    <row r="119" spans="1:32" ht="16">
      <c r="A119" s="162" t="s">
        <v>51</v>
      </c>
      <c r="B119" s="162" t="s">
        <v>51</v>
      </c>
      <c r="C119" s="198" t="str">
        <f>_xll.DBRA(Server&amp;$B$23,$A119,Context!$I$15)</f>
        <v>Capitaux propres attribuables aux participations ne donnant pas le contrôle</v>
      </c>
      <c r="D119" s="203">
        <f>_xll.DBRW(Server&amp;Cube1,Context!$I$13,Context!$T$6,Context!$I$11,'Plan Input'!$B$12,Context!$I$12,'Plan Input'!D$2,Context!$I$10,'Plan Input'!$A119)</f>
        <v>0</v>
      </c>
      <c r="E119" s="203">
        <f>_xll.DBRW(Server&amp;Cube1,Context!$I$13,Context!$T$6,Context!$I$11,'Plan Input'!$B$12,Context!$I$12,'Plan Input'!E$2,Context!$I$10,'Plan Input'!$A119)</f>
        <v>0</v>
      </c>
      <c r="F119" s="246">
        <f>_xll.DBRW(Server&amp;Cube1,Context!$I$13,Context!$T$6,Context!$I$11,'Plan Input'!$B$12,Context!$I$12,'Plan Input'!F$2,Context!$I$10,'Plan Input'!$A119)</f>
        <v>0</v>
      </c>
      <c r="G119" s="226">
        <f>+F119+G47-(+G87)</f>
        <v>0</v>
      </c>
      <c r="H119" s="226">
        <f>+G119+H47-(+H87)</f>
        <v>0</v>
      </c>
      <c r="I119" s="226">
        <f>+H119+I47-(+I87)</f>
        <v>0</v>
      </c>
      <c r="J119" s="226">
        <f>+I119+J47-(+J87)</f>
        <v>0</v>
      </c>
      <c r="K119" s="226">
        <f>+J119+K47-(+K87)</f>
        <v>0</v>
      </c>
      <c r="L119" s="1"/>
      <c r="N119" s="68"/>
      <c r="O119" s="68"/>
      <c r="P119" s="68"/>
      <c r="Q119" s="68"/>
      <c r="R119" s="68"/>
      <c r="S119" s="68"/>
      <c r="T119" s="39" t="s">
        <v>148</v>
      </c>
      <c r="U119" s="68"/>
      <c r="V119" s="68"/>
      <c r="W119" s="68"/>
      <c r="X119" s="68"/>
      <c r="Y119" s="68"/>
      <c r="Z119" s="68"/>
      <c r="AA119" s="68"/>
      <c r="AB119" s="68"/>
    </row>
    <row r="120" spans="1:32" ht="4.5" customHeight="1" thickBot="1">
      <c r="A120" s="162"/>
      <c r="B120" s="162"/>
      <c r="C120" s="199"/>
      <c r="D120" s="208"/>
      <c r="E120" s="208"/>
      <c r="F120" s="232"/>
      <c r="G120" s="208"/>
      <c r="H120" s="208"/>
      <c r="I120" s="208"/>
      <c r="J120" s="208"/>
      <c r="K120" s="208"/>
      <c r="L120" s="1"/>
      <c r="N120" s="68"/>
      <c r="O120" s="68"/>
      <c r="P120" s="68"/>
      <c r="Q120" s="68"/>
      <c r="R120" s="68"/>
      <c r="S120" s="68"/>
      <c r="T120" s="39" t="s">
        <v>148</v>
      </c>
      <c r="U120" s="68"/>
      <c r="V120" s="68"/>
      <c r="W120" s="68"/>
      <c r="X120" s="68"/>
      <c r="Y120" s="68"/>
      <c r="Z120" s="68"/>
      <c r="AA120" s="68"/>
      <c r="AB120" s="68"/>
    </row>
    <row r="121" spans="1:32" ht="16">
      <c r="A121" s="162" t="s">
        <v>62</v>
      </c>
      <c r="B121" s="162" t="s">
        <v>62</v>
      </c>
      <c r="C121" s="213" t="str">
        <f>_xll.DBRA(Server&amp;$B$23,$A121,Context!$I$15)</f>
        <v>CAPITAUX PROPRES &amp; TITRES</v>
      </c>
      <c r="D121" s="219">
        <f>_xll.DBRW(Server&amp;Cube1,Context!$I$13,Context!$T$6,Context!$I$11,'Plan Input'!$B$12,Context!$I$12,'Plan Input'!D$2,Context!$I$10,'Plan Input'!$A121)</f>
        <v>0</v>
      </c>
      <c r="E121" s="219">
        <f>_xll.DBRW(Server&amp;Cube1,Context!$I$13,Context!$T$6,Context!$I$11,'Plan Input'!$B$12,Context!$I$12,'Plan Input'!E$2,Context!$I$10,'Plan Input'!$A121)</f>
        <v>0</v>
      </c>
      <c r="F121" s="219">
        <f>_xll.DBRW(Server&amp;Cube1,Context!$I$13,Context!$T$6,Context!$I$11,'Plan Input'!$B$12,Context!$I$12,'Plan Input'!F$2,Context!$I$10,'Plan Input'!$A121)</f>
        <v>0</v>
      </c>
      <c r="G121" s="219" t="e">
        <f ca="1">SUM(G115:G119)</f>
        <v>#VALUE!</v>
      </c>
      <c r="H121" s="219" t="e">
        <f t="shared" ref="H121:K121" ca="1" si="33">SUM(H115:H119)</f>
        <v>#VALUE!</v>
      </c>
      <c r="I121" s="219" t="e">
        <f t="shared" ca="1" si="33"/>
        <v>#VALUE!</v>
      </c>
      <c r="J121" s="219" t="e">
        <f t="shared" ca="1" si="33"/>
        <v>#VALUE!</v>
      </c>
      <c r="K121" s="219" t="e">
        <f t="shared" ca="1" si="33"/>
        <v>#VALUE!</v>
      </c>
      <c r="L121" s="1"/>
      <c r="N121" s="68"/>
      <c r="O121" s="68"/>
      <c r="P121" s="68"/>
      <c r="Q121" s="68"/>
      <c r="R121" s="68"/>
      <c r="S121" s="68"/>
      <c r="T121" s="39" t="s">
        <v>149</v>
      </c>
      <c r="U121" s="68"/>
      <c r="V121" s="68"/>
      <c r="W121" s="68"/>
      <c r="X121" s="68"/>
      <c r="Y121" s="68"/>
      <c r="Z121" s="68"/>
      <c r="AA121" s="68"/>
      <c r="AB121" s="68"/>
    </row>
    <row r="122" spans="1:32" ht="16">
      <c r="A122" s="81"/>
      <c r="B122" s="81"/>
      <c r="C122" s="240" t="s">
        <v>239</v>
      </c>
      <c r="D122" s="239">
        <f>D107+D113+D121</f>
        <v>0</v>
      </c>
      <c r="E122" s="239">
        <f t="shared" ref="E122:K122" si="34">E107+E113+E121</f>
        <v>0</v>
      </c>
      <c r="F122" s="239">
        <f t="shared" si="34"/>
        <v>0</v>
      </c>
      <c r="G122" s="239" t="e">
        <f t="shared" ca="1" si="34"/>
        <v>#VALUE!</v>
      </c>
      <c r="H122" s="239" t="e">
        <f t="shared" ca="1" si="34"/>
        <v>#VALUE!</v>
      </c>
      <c r="I122" s="239" t="e">
        <f t="shared" ca="1" si="34"/>
        <v>#VALUE!</v>
      </c>
      <c r="J122" s="239" t="e">
        <f t="shared" ca="1" si="34"/>
        <v>#VALUE!</v>
      </c>
      <c r="K122" s="239" t="e">
        <f t="shared" ca="1" si="34"/>
        <v>#VALUE!</v>
      </c>
      <c r="L122" s="1"/>
      <c r="N122" s="68"/>
      <c r="O122" s="68"/>
      <c r="P122" s="68"/>
      <c r="Q122" s="68"/>
      <c r="R122" s="68"/>
      <c r="S122" s="68"/>
      <c r="T122" s="39" t="s">
        <v>150</v>
      </c>
      <c r="U122" s="68"/>
      <c r="V122" s="68"/>
      <c r="W122" s="68"/>
      <c r="X122" s="68"/>
      <c r="Y122" s="68"/>
      <c r="Z122" s="68"/>
      <c r="AA122" s="68"/>
      <c r="AB122" s="68"/>
    </row>
    <row r="123" spans="1:32" ht="17.25" customHeight="1">
      <c r="A123" s="81"/>
      <c r="B123" s="81"/>
      <c r="C123" s="276" t="s">
        <v>247</v>
      </c>
      <c r="D123" s="277"/>
      <c r="E123" s="278" t="str">
        <f>IFERROR(E39/AVERAGE(D109:E109),"-")</f>
        <v>-</v>
      </c>
      <c r="F123" s="278" t="str">
        <f t="shared" ref="F123:K123" si="35">IFERROR(F39/AVERAGE(E109:F109),"-")</f>
        <v>-</v>
      </c>
      <c r="G123" s="278">
        <f t="shared" ca="1" si="35"/>
        <v>0</v>
      </c>
      <c r="H123" s="278" t="str">
        <f t="shared" ca="1" si="35"/>
        <v>-</v>
      </c>
      <c r="I123" s="278" t="str">
        <f t="shared" ca="1" si="35"/>
        <v>-</v>
      </c>
      <c r="J123" s="278" t="str">
        <f t="shared" ca="1" si="35"/>
        <v>-</v>
      </c>
      <c r="K123" s="278" t="str">
        <f t="shared" ca="1" si="35"/>
        <v>-</v>
      </c>
      <c r="L123" s="1"/>
      <c r="N123" s="68"/>
      <c r="O123" s="68"/>
      <c r="P123" s="68"/>
      <c r="Q123" s="68"/>
      <c r="R123" s="68"/>
      <c r="S123" s="68"/>
      <c r="T123" s="39" t="s">
        <v>149</v>
      </c>
      <c r="U123" s="68"/>
      <c r="V123" s="68"/>
      <c r="W123" s="68"/>
      <c r="X123" s="68"/>
      <c r="Y123" s="68"/>
      <c r="Z123" s="68"/>
      <c r="AA123" s="68"/>
      <c r="AB123" s="68"/>
    </row>
    <row r="124" spans="1:32" ht="16">
      <c r="A124" s="81"/>
      <c r="B124" s="81"/>
      <c r="C124" s="240"/>
      <c r="D124" s="239"/>
      <c r="E124" s="239"/>
      <c r="F124" s="239"/>
      <c r="G124" s="239"/>
      <c r="H124" s="239"/>
      <c r="I124" s="239"/>
      <c r="J124" s="239"/>
      <c r="K124" s="239"/>
      <c r="L124" s="1"/>
      <c r="N124" s="68"/>
      <c r="O124" s="68"/>
      <c r="P124" s="68"/>
      <c r="Q124" s="68"/>
      <c r="R124" s="68"/>
      <c r="S124" s="68"/>
      <c r="T124" s="39" t="s">
        <v>150</v>
      </c>
      <c r="U124" s="68"/>
      <c r="V124" s="68"/>
      <c r="W124" s="68"/>
      <c r="X124" s="68"/>
      <c r="Y124" s="68"/>
      <c r="Z124" s="68"/>
      <c r="AA124" s="68"/>
      <c r="AB124" s="68"/>
    </row>
    <row r="125" spans="1:32" ht="23.25" customHeight="1">
      <c r="A125" s="81"/>
      <c r="B125" s="81"/>
      <c r="C125" s="250" t="str">
        <f>_xll.DBRA(Server&amp;$S$9,"IFRIC12",Context!$I$15)&amp;" " &amp;_xll.DBRA(Server&amp;$S$9,$T$100,Context!$I$15)</f>
        <v>IV - IFRIC 12 (KLCL)</v>
      </c>
      <c r="D125" s="12"/>
      <c r="E125" s="12"/>
      <c r="F125" s="12"/>
      <c r="G125" s="12"/>
      <c r="H125" s="12"/>
      <c r="I125" s="12"/>
      <c r="J125" s="12"/>
      <c r="K125" s="12"/>
      <c r="L125" s="1"/>
      <c r="N125" s="68"/>
      <c r="O125" s="68"/>
      <c r="P125" s="68"/>
      <c r="Q125" s="68"/>
      <c r="R125" s="68"/>
      <c r="S125" s="39" t="s">
        <v>171</v>
      </c>
      <c r="T125" s="39" t="s">
        <v>151</v>
      </c>
      <c r="U125" s="68"/>
      <c r="V125" s="68"/>
      <c r="W125" s="68"/>
      <c r="X125" s="68"/>
      <c r="Y125" s="68"/>
      <c r="Z125" s="68"/>
      <c r="AA125" s="68"/>
      <c r="AB125" s="68"/>
    </row>
    <row r="126" spans="1:32" ht="18" customHeight="1">
      <c r="A126" s="81"/>
      <c r="B126" s="81"/>
      <c r="C126" s="238" t="str">
        <f>_xll.DBRA(Server&amp;$S$9,"IFRIC12_1",Context!$I$15)</f>
        <v/>
      </c>
      <c r="D126" s="92" t="str">
        <f>D$3</f>
        <v>2024</v>
      </c>
      <c r="E126" s="92" t="str">
        <f t="shared" ref="E126:K126" si="36">E$3</f>
        <v>2025</v>
      </c>
      <c r="F126" s="92" t="str">
        <f t="shared" si="36"/>
        <v>2026</v>
      </c>
      <c r="G126" s="92" t="str">
        <f t="shared" si="36"/>
        <v>2027</v>
      </c>
      <c r="H126" s="92" t="str">
        <f t="shared" si="36"/>
        <v>2028</v>
      </c>
      <c r="I126" s="92" t="str">
        <f t="shared" si="36"/>
        <v>2029</v>
      </c>
      <c r="J126" s="92" t="str">
        <f t="shared" si="36"/>
        <v>2030</v>
      </c>
      <c r="K126" s="92" t="str">
        <f t="shared" si="36"/>
        <v>2031</v>
      </c>
      <c r="L126" s="1"/>
      <c r="M126" s="281" t="str">
        <f>IF(xLanguage="French", "Convention de signe","Sign Convention")</f>
        <v>Convention de signe</v>
      </c>
      <c r="N126" s="68"/>
      <c r="O126" s="68"/>
      <c r="P126" s="68"/>
      <c r="Q126" s="68"/>
      <c r="R126" s="68"/>
      <c r="S126" s="39" t="s">
        <v>172</v>
      </c>
      <c r="T126" s="39" t="s">
        <v>152</v>
      </c>
      <c r="U126" s="68"/>
      <c r="V126" s="68"/>
      <c r="W126" s="68"/>
      <c r="X126" s="68"/>
      <c r="Y126" s="68"/>
      <c r="Z126" s="68"/>
      <c r="AA126" s="68"/>
      <c r="AB126" s="68"/>
    </row>
    <row r="127" spans="1:32" ht="18" customHeight="1">
      <c r="A127" s="81" t="s">
        <v>0</v>
      </c>
      <c r="B127" s="81"/>
      <c r="C127" s="130" t="str">
        <f>_xll.DBRA(Server&amp;$B$23,$A127,Context!$I$15)</f>
        <v>Produit des activités de fin. pour autrui (IFRIC12)</v>
      </c>
      <c r="D127" s="247">
        <f>_xll.DBRW(Server&amp;Cube1,Context!$I$13,Context!$T$6,Context!$I$11,'Plan Input'!$B$12,Context!$I$12,'Plan Input'!D$2,Context!$I$10,'Plan Input'!$A127)</f>
        <v>0</v>
      </c>
      <c r="E127" s="247">
        <f>_xll.DBRW(Server&amp;Cube1,Context!$I$13,Context!$T$6,Context!$I$11,'Plan Input'!$B$12,Context!$I$12,'Plan Input'!E$2,Context!$I$10,'Plan Input'!$A127)</f>
        <v>0</v>
      </c>
      <c r="F127" s="247">
        <f>_xll.DBRW(Server&amp;Cube1,Context!$I$13,Context!$T$6,Context!$I$11,'Plan Input'!$B$12,Context!$I$12,'Plan Input'!F$2,Context!$I$10,'Plan Input'!$A127)</f>
        <v>0</v>
      </c>
      <c r="G127" s="233">
        <v>0</v>
      </c>
      <c r="H127" s="233">
        <v>0</v>
      </c>
      <c r="I127" s="233">
        <v>0</v>
      </c>
      <c r="J127" s="233">
        <v>0</v>
      </c>
      <c r="K127" s="233">
        <v>0</v>
      </c>
      <c r="L127" s="1"/>
      <c r="M127" s="283" t="s">
        <v>248</v>
      </c>
      <c r="N127" s="68"/>
      <c r="O127" s="68"/>
      <c r="P127" s="68"/>
      <c r="Q127" s="68"/>
      <c r="R127" s="68"/>
      <c r="S127" s="39" t="s">
        <v>191</v>
      </c>
      <c r="T127" s="39" t="s">
        <v>153</v>
      </c>
      <c r="U127" s="68"/>
      <c r="V127" s="68"/>
      <c r="W127" s="68"/>
      <c r="X127" s="68"/>
      <c r="Y127" s="68"/>
      <c r="Z127" s="68"/>
      <c r="AA127" s="68"/>
      <c r="AB127" s="68"/>
    </row>
    <row r="128" spans="1:32" ht="18" customHeight="1" thickBot="1">
      <c r="A128" s="81" t="s">
        <v>15</v>
      </c>
      <c r="B128" s="81"/>
      <c r="C128" s="96" t="str">
        <f>_xll.DBRA(Server&amp;$B$23,$A128,Context!$I$15)</f>
        <v>Nouveaux Actifs Financiers Opérationnels - IFRIC 12 impact EFN</v>
      </c>
      <c r="D128" s="203">
        <f>_xll.DBRW(Server&amp;Cube1,Context!$I$13,Context!$T$6,Context!$I$11,'Plan Input'!$B$12,Context!$I$12,'Plan Input'!D$2,Context!$I$10,'Plan Input'!$A128)</f>
        <v>0</v>
      </c>
      <c r="E128" s="203">
        <f>_xll.DBRW(Server&amp;Cube1,Context!$I$13,Context!$T$6,Context!$I$11,'Plan Input'!$B$12,Context!$I$12,'Plan Input'!E$2,Context!$I$10,'Plan Input'!$A128)</f>
        <v>0</v>
      </c>
      <c r="F128" s="203">
        <f>_xll.DBRW(Server&amp;Cube1,Context!$I$13,Context!$T$6,Context!$I$11,'Plan Input'!$B$12,Context!$I$12,'Plan Input'!F$2,Context!$I$10,'Plan Input'!$A128)</f>
        <v>0</v>
      </c>
      <c r="G128" s="234">
        <v>0</v>
      </c>
      <c r="H128" s="234">
        <v>0</v>
      </c>
      <c r="I128" s="234">
        <v>0</v>
      </c>
      <c r="J128" s="234">
        <v>0</v>
      </c>
      <c r="K128" s="234">
        <v>0</v>
      </c>
      <c r="L128" s="1"/>
      <c r="M128" s="283" t="s">
        <v>249</v>
      </c>
      <c r="N128" s="68"/>
      <c r="O128" s="68"/>
      <c r="P128" s="68"/>
      <c r="Q128" s="68"/>
      <c r="R128" s="68"/>
      <c r="S128" s="40" t="s">
        <v>192</v>
      </c>
      <c r="T128" s="39" t="s">
        <v>154</v>
      </c>
      <c r="U128" s="68"/>
      <c r="V128" s="68"/>
      <c r="W128" s="68"/>
      <c r="X128" s="68"/>
      <c r="Y128" s="68"/>
      <c r="Z128" s="68"/>
      <c r="AA128" s="68"/>
      <c r="AB128" s="68"/>
    </row>
    <row r="129" spans="1:28" ht="18" customHeight="1" thickBot="1">
      <c r="A129" s="81" t="s">
        <v>19</v>
      </c>
      <c r="B129" s="81"/>
      <c r="C129" s="131" t="str">
        <f>_xll.DBRA(Server&amp;$B$23,$A129,Context!$I$15)</f>
        <v>Remboursement Actifs Financiers Opérationnels - IFRIC 12 impact EFN</v>
      </c>
      <c r="D129" s="248">
        <f>_xll.DBRW(Server&amp;Cube1,Context!$I$13,Context!$T$6,Context!$I$11,'Plan Input'!$B$12,Context!$I$12,'Plan Input'!D$2,Context!$I$10,'Plan Input'!$A129)</f>
        <v>0</v>
      </c>
      <c r="E129" s="248">
        <f>_xll.DBRW(Server&amp;Cube1,Context!$I$13,Context!$T$6,Context!$I$11,'Plan Input'!$B$12,Context!$I$12,'Plan Input'!E$2,Context!$I$10,'Plan Input'!$A129)</f>
        <v>0</v>
      </c>
      <c r="F129" s="248">
        <f>_xll.DBRW(Server&amp;Cube1,Context!$I$13,Context!$T$6,Context!$I$11,'Plan Input'!$B$12,Context!$I$12,'Plan Input'!F$2,Context!$I$10,'Plan Input'!$A129)</f>
        <v>0</v>
      </c>
      <c r="G129" s="235">
        <v>0</v>
      </c>
      <c r="H129" s="235">
        <v>0</v>
      </c>
      <c r="I129" s="235">
        <v>0</v>
      </c>
      <c r="J129" s="235">
        <v>0</v>
      </c>
      <c r="K129" s="235">
        <v>0</v>
      </c>
      <c r="L129" s="1"/>
      <c r="M129" s="283" t="s">
        <v>248</v>
      </c>
      <c r="N129" s="68"/>
      <c r="O129" s="68"/>
      <c r="P129" s="68"/>
      <c r="Q129" s="68"/>
      <c r="R129" s="68"/>
      <c r="S129" s="83" t="s">
        <v>53</v>
      </c>
      <c r="T129" s="39" t="s">
        <v>155</v>
      </c>
      <c r="U129" s="68"/>
      <c r="V129" s="68"/>
      <c r="W129" s="68"/>
      <c r="X129" s="68"/>
      <c r="Y129" s="68"/>
      <c r="Z129" s="68"/>
      <c r="AA129" s="68"/>
      <c r="AB129" s="68"/>
    </row>
    <row r="130" spans="1:28" ht="4.5" customHeight="1">
      <c r="A130" s="208" t="e">
        <f ca="1">_xll.DBRW(Server&amp;Cube1,Context!$I$13,Context!$T$6,Context!$I$11,'Plan Input'!$B$12,Context!$I$12,'Plan Input'!A$2,Context!$I$10,'Plan Input'!$A130)</f>
        <v>#VALUE!</v>
      </c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84"/>
      <c r="N130" s="68"/>
      <c r="O130" s="68"/>
      <c r="P130" s="68"/>
      <c r="Q130" s="68"/>
      <c r="R130" s="68"/>
      <c r="S130" s="68"/>
      <c r="T130" s="39" t="s">
        <v>156</v>
      </c>
      <c r="U130" s="68"/>
      <c r="V130" s="68"/>
      <c r="W130" s="68"/>
      <c r="X130" s="68"/>
      <c r="Y130" s="68"/>
      <c r="Z130" s="68"/>
      <c r="AA130" s="68"/>
      <c r="AB130" s="68"/>
    </row>
    <row r="131" spans="1:28" ht="9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84"/>
      <c r="N131" s="68"/>
      <c r="O131" s="68"/>
      <c r="P131" s="68"/>
      <c r="Q131" s="68"/>
      <c r="R131" s="68"/>
      <c r="S131" s="68"/>
      <c r="T131" s="39" t="s">
        <v>156</v>
      </c>
      <c r="U131" s="68"/>
      <c r="V131" s="68"/>
      <c r="W131" s="68"/>
      <c r="X131" s="68"/>
      <c r="Y131" s="68"/>
      <c r="Z131" s="68"/>
      <c r="AA131" s="68"/>
      <c r="AB131" s="68"/>
    </row>
    <row r="132" spans="1:28" ht="18" customHeight="1">
      <c r="A132" s="208"/>
      <c r="B132" s="208"/>
      <c r="C132" s="238" t="str">
        <f>_xll.DBRA(Server&amp;$S$9,"IFRIC12_2",Context!$I$15)</f>
        <v/>
      </c>
      <c r="D132" s="208"/>
      <c r="E132" s="208"/>
      <c r="F132" s="208"/>
      <c r="G132" s="208"/>
      <c r="H132" s="208"/>
      <c r="I132" s="208"/>
      <c r="J132" s="208"/>
      <c r="K132" s="208"/>
      <c r="L132" s="208"/>
      <c r="M132" s="284"/>
      <c r="N132" s="68"/>
      <c r="O132" s="68"/>
      <c r="P132" s="68"/>
      <c r="Q132" s="68"/>
      <c r="R132" s="68"/>
      <c r="S132" s="68"/>
      <c r="T132" s="39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194</v>
      </c>
      <c r="B133" s="81"/>
      <c r="C133" s="130" t="str">
        <f>_xll.DBRA(Server&amp;$B$23,$A133,Context!$I$15)</f>
        <v>Nouveaux Actifs Financiers Opérationnels - IFRIC 12 bifurqué IFRS16</v>
      </c>
      <c r="D133" s="247">
        <f>_xll.DBRW(Server&amp;Cube1,Context!$I$13,Context!$T$6,Context!$I$11,'Plan Input'!$B$12,Context!$I$12,'Plan Input'!D$2,Context!$I$10,'Plan Input'!$A133)</f>
        <v>0</v>
      </c>
      <c r="E133" s="247">
        <f>_xll.DBRW(Server&amp;Cube1,Context!$I$13,Context!$T$6,Context!$I$11,'Plan Input'!$B$12,Context!$I$12,'Plan Input'!E$2,Context!$I$10,'Plan Input'!$A133)</f>
        <v>0</v>
      </c>
      <c r="F133" s="247">
        <f>_xll.DBRW(Server&amp;Cube1,Context!$I$13,Context!$T$6,Context!$I$11,'Plan Input'!$B$12,Context!$I$12,'Plan Input'!F$2,Context!$I$10,'Plan Input'!$A133)</f>
        <v>0</v>
      </c>
      <c r="G133" s="233">
        <v>0</v>
      </c>
      <c r="H133" s="233">
        <v>0</v>
      </c>
      <c r="I133" s="233">
        <v>0</v>
      </c>
      <c r="J133" s="233">
        <v>0</v>
      </c>
      <c r="K133" s="233">
        <v>0</v>
      </c>
      <c r="L133" s="1"/>
      <c r="M133" s="283" t="s">
        <v>249</v>
      </c>
      <c r="N133" s="68"/>
      <c r="O133" s="68"/>
      <c r="P133" s="68"/>
      <c r="Q133" s="68"/>
      <c r="R133" s="68"/>
      <c r="S133" s="68"/>
      <c r="T133" s="39" t="s">
        <v>157</v>
      </c>
      <c r="U133" s="68"/>
      <c r="V133" s="68"/>
      <c r="W133" s="68"/>
      <c r="X133" s="68"/>
      <c r="Y133" s="68"/>
      <c r="Z133" s="68"/>
      <c r="AA133" s="68"/>
      <c r="AB133" s="68"/>
    </row>
    <row r="134" spans="1:28" ht="18" customHeight="1">
      <c r="A134" s="81" t="s">
        <v>195</v>
      </c>
      <c r="B134" s="81"/>
      <c r="C134" s="131" t="str">
        <f>_xll.DBRA(Server&amp;$B$23,$A134,Context!$I$15)</f>
        <v>Remboursement Actifs Financiers Opérationnels - IFRIC 12 bifurqué IFRS16</v>
      </c>
      <c r="D134" s="248">
        <f>_xll.DBRW(Server&amp;Cube1,Context!$I$13,Context!$T$6,Context!$I$11,'Plan Input'!$B$12,Context!$I$12,'Plan Input'!D$2,Context!$I$10,'Plan Input'!$A134)</f>
        <v>0</v>
      </c>
      <c r="E134" s="248">
        <f>_xll.DBRW(Server&amp;Cube1,Context!$I$13,Context!$T$6,Context!$I$11,'Plan Input'!$B$12,Context!$I$12,'Plan Input'!E$2,Context!$I$10,'Plan Input'!$A134)</f>
        <v>0</v>
      </c>
      <c r="F134" s="248">
        <f>_xll.DBRW(Server&amp;Cube1,Context!$I$13,Context!$T$6,Context!$I$11,'Plan Input'!$B$12,Context!$I$12,'Plan Input'!F$2,Context!$I$10,'Plan Input'!$A134)</f>
        <v>0</v>
      </c>
      <c r="G134" s="235">
        <v>0</v>
      </c>
      <c r="H134" s="235">
        <v>0</v>
      </c>
      <c r="I134" s="235">
        <v>0</v>
      </c>
      <c r="J134" s="235">
        <v>0</v>
      </c>
      <c r="K134" s="235">
        <v>0</v>
      </c>
      <c r="L134" s="1"/>
      <c r="M134" s="283" t="s">
        <v>248</v>
      </c>
      <c r="N134" s="68"/>
      <c r="O134" s="68"/>
      <c r="P134" s="68"/>
      <c r="Q134" s="68"/>
      <c r="R134" s="68"/>
      <c r="S134" s="68"/>
      <c r="T134" s="39" t="s">
        <v>158</v>
      </c>
      <c r="U134" s="68"/>
      <c r="V134" s="68"/>
      <c r="W134" s="68"/>
      <c r="X134" s="68"/>
      <c r="Y134" s="68"/>
      <c r="Z134" s="68"/>
      <c r="AA134" s="68"/>
      <c r="AB134" s="68"/>
    </row>
    <row r="135" spans="1:28" ht="4.5" customHeight="1">
      <c r="A135" s="208"/>
      <c r="B135" s="208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85"/>
      <c r="N135" s="68"/>
      <c r="O135" s="68"/>
      <c r="P135" s="68"/>
      <c r="Q135" s="68"/>
      <c r="R135" s="68"/>
      <c r="S135" s="68"/>
      <c r="T135" s="49" t="s">
        <v>159</v>
      </c>
      <c r="U135" s="68"/>
      <c r="V135" s="68"/>
      <c r="W135" s="68"/>
      <c r="X135" s="68"/>
      <c r="Y135" s="68"/>
      <c r="Z135" s="68"/>
      <c r="AA135" s="68"/>
      <c r="AB135" s="68"/>
    </row>
    <row r="136" spans="1:28" ht="9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85"/>
      <c r="N136" s="68"/>
      <c r="O136" s="68"/>
      <c r="P136" s="68"/>
      <c r="Q136" s="68"/>
      <c r="R136" s="68"/>
      <c r="S136" s="68"/>
      <c r="T136" s="39" t="s">
        <v>160</v>
      </c>
      <c r="U136" s="68"/>
      <c r="V136" s="68"/>
      <c r="W136" s="68"/>
      <c r="X136" s="68"/>
      <c r="Y136" s="68"/>
      <c r="Z136" s="68"/>
      <c r="AA136" s="68"/>
      <c r="AB136" s="68"/>
    </row>
    <row r="137" spans="1:28" ht="18" customHeight="1">
      <c r="A137" s="208"/>
      <c r="B137" s="208"/>
      <c r="C137" s="238" t="str">
        <f>_xll.DBRA(Server&amp;$S$9,"IFRIC12_3",Context!$I$15)</f>
        <v/>
      </c>
      <c r="D137" s="208"/>
      <c r="E137" s="208"/>
      <c r="F137" s="208"/>
      <c r="G137" s="208"/>
      <c r="H137" s="208"/>
      <c r="I137" s="208"/>
      <c r="J137" s="208"/>
      <c r="K137" s="208"/>
      <c r="L137" s="208"/>
      <c r="M137" s="285"/>
      <c r="N137" s="68"/>
      <c r="O137" s="68"/>
      <c r="P137" s="68"/>
      <c r="Q137" s="68"/>
      <c r="R137" s="68"/>
      <c r="S137" s="68"/>
      <c r="T137" s="39" t="s">
        <v>161</v>
      </c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196</v>
      </c>
      <c r="B138" s="81"/>
      <c r="C138" s="130" t="str">
        <f>_xll.DBRA(Server&amp;$B$23,$A138,Context!$I$15)</f>
        <v>Nouveaux Actifs Financiers Opérationnels - IFRIC 12 Hors Bilan</v>
      </c>
      <c r="D138" s="247">
        <f>_xll.DBRW(Server&amp;Cube1,Context!$I$13,Context!$T$6,Context!$I$11,'Plan Input'!$B$12,Context!$I$12,'Plan Input'!D$2,Context!$I$10,'Plan Input'!$A138)</f>
        <v>0</v>
      </c>
      <c r="E138" s="247">
        <f>_xll.DBRW(Server&amp;Cube1,Context!$I$13,Context!$T$6,Context!$I$11,'Plan Input'!$B$12,Context!$I$12,'Plan Input'!E$2,Context!$I$10,'Plan Input'!$A138)</f>
        <v>0</v>
      </c>
      <c r="F138" s="247">
        <f>_xll.DBRW(Server&amp;Cube1,Context!$I$13,Context!$T$6,Context!$I$11,'Plan Input'!$B$12,Context!$I$12,'Plan Input'!F$2,Context!$I$10,'Plan Input'!$A138)</f>
        <v>0</v>
      </c>
      <c r="G138" s="233">
        <v>0</v>
      </c>
      <c r="H138" s="233">
        <v>0</v>
      </c>
      <c r="I138" s="233">
        <v>0</v>
      </c>
      <c r="J138" s="233">
        <v>0</v>
      </c>
      <c r="K138" s="233">
        <v>0</v>
      </c>
      <c r="L138" s="1"/>
      <c r="M138" s="283" t="s">
        <v>249</v>
      </c>
      <c r="N138" s="68"/>
      <c r="O138" s="68"/>
      <c r="P138" s="68"/>
      <c r="Q138" s="68"/>
      <c r="R138" s="68"/>
      <c r="S138" s="68"/>
      <c r="T138" s="39" t="s">
        <v>162</v>
      </c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197</v>
      </c>
      <c r="B139" s="81"/>
      <c r="C139" s="131" t="str">
        <f>_xll.DBRA(Server&amp;$B$23,$A139,Context!$I$15)</f>
        <v>Remboursement Actifs Financiers Opérationnels - IFRIC 12 Hors bilan</v>
      </c>
      <c r="D139" s="248">
        <f>_xll.DBRW(Server&amp;Cube1,Context!$I$13,Context!$T$6,Context!$I$11,'Plan Input'!$B$12,Context!$I$12,'Plan Input'!D$2,Context!$I$10,'Plan Input'!$A139)</f>
        <v>0</v>
      </c>
      <c r="E139" s="248">
        <f>_xll.DBRW(Server&amp;Cube1,Context!$I$13,Context!$T$6,Context!$I$11,'Plan Input'!$B$12,Context!$I$12,'Plan Input'!E$2,Context!$I$10,'Plan Input'!$A139)</f>
        <v>0</v>
      </c>
      <c r="F139" s="248">
        <f>_xll.DBRW(Server&amp;Cube1,Context!$I$13,Context!$T$6,Context!$I$11,'Plan Input'!$B$12,Context!$I$12,'Plan Input'!F$2,Context!$I$10,'Plan Input'!$A139)</f>
        <v>0</v>
      </c>
      <c r="G139" s="235">
        <v>0</v>
      </c>
      <c r="H139" s="235">
        <v>0</v>
      </c>
      <c r="I139" s="235">
        <v>0</v>
      </c>
      <c r="J139" s="235">
        <v>0</v>
      </c>
      <c r="K139" s="235">
        <v>0</v>
      </c>
      <c r="L139" s="1"/>
      <c r="M139" s="283" t="s">
        <v>248</v>
      </c>
      <c r="N139" s="68"/>
      <c r="O139" s="68"/>
      <c r="P139" s="68"/>
      <c r="Q139" s="68"/>
      <c r="R139" s="68"/>
      <c r="S139" s="68"/>
      <c r="T139" s="39" t="s">
        <v>52</v>
      </c>
      <c r="U139" s="68"/>
      <c r="V139" s="68"/>
      <c r="W139" s="68"/>
      <c r="X139" s="68"/>
      <c r="Y139" s="68"/>
      <c r="Z139" s="68"/>
      <c r="AA139" s="68"/>
      <c r="AB139" s="68"/>
    </row>
    <row r="140" spans="1:28" ht="6" customHeight="1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82"/>
      <c r="N140" s="68"/>
      <c r="O140" s="68"/>
      <c r="P140" s="68"/>
      <c r="Q140" s="68"/>
      <c r="R140" s="68"/>
      <c r="S140" s="68"/>
      <c r="T140" s="39" t="s">
        <v>163</v>
      </c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39" t="s">
        <v>164</v>
      </c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39" t="s">
        <v>165</v>
      </c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208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39" t="s">
        <v>166</v>
      </c>
      <c r="U143" s="68"/>
      <c r="V143" s="68"/>
      <c r="W143" s="68"/>
      <c r="X143" s="68"/>
      <c r="Y143" s="68"/>
      <c r="Z143" s="68"/>
      <c r="AA143" s="68"/>
      <c r="AB143" s="68"/>
    </row>
    <row r="144" spans="1:28" ht="6" customHeight="1">
      <c r="A144" s="208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39" t="s">
        <v>167</v>
      </c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>
      <c r="A145" s="208"/>
      <c r="B145" s="208"/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39" t="s">
        <v>168</v>
      </c>
      <c r="U145" s="68"/>
      <c r="V145" s="68"/>
      <c r="W145" s="68"/>
      <c r="X145" s="68"/>
      <c r="Y145" s="68"/>
      <c r="Z145" s="68"/>
      <c r="AA145" s="68"/>
      <c r="AB145" s="68"/>
    </row>
    <row r="146" spans="1:28" ht="6" customHeight="1">
      <c r="A146" s="208"/>
      <c r="B146" s="208"/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39" t="s">
        <v>169</v>
      </c>
      <c r="U146" s="68"/>
      <c r="V146" s="68"/>
      <c r="W146" s="68"/>
      <c r="X146" s="68"/>
      <c r="Y146" s="68"/>
      <c r="Z146" s="68"/>
      <c r="AA146" s="68"/>
      <c r="AB146" s="68"/>
    </row>
    <row r="147" spans="1:28" ht="16">
      <c r="A147" s="208"/>
      <c r="B147" s="208"/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39" t="s">
        <v>170</v>
      </c>
      <c r="U147" s="68"/>
      <c r="V147" s="68"/>
      <c r="W147" s="68"/>
      <c r="X147" s="68"/>
      <c r="Y147" s="68"/>
      <c r="Z147" s="68"/>
      <c r="AA147" s="68"/>
      <c r="AB147" s="68"/>
    </row>
    <row r="148" spans="1:28" ht="16">
      <c r="A148" s="208"/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6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8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8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18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18" customHeight="1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8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 collapsed="1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6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5.75" customHeight="1" outlineLevel="1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5.75" customHeight="1" outlineLevel="1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1.25" customHeight="1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6" customHeight="1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18" customHeight="1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6" customHeight="1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16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18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18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18" customHeight="1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18" customHeight="1" collapsed="1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8" ht="18" customHeight="1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8" ht="6" customHeight="1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8" ht="18" customHeight="1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8" ht="6" customHeight="1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8" ht="18" customHeight="1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8" ht="6" customHeight="1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8" ht="18" customHeight="1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8" ht="52.5" customHeight="1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</sheetData>
  <sheetProtection algorithmName="SHA-512" hashValue="Zi7UpOdgZhC9BzRUwBCLHMjlRHzMvokxH5t2NCu8Io/Y1cRzT8xZ3S369TaO+r/b5KZEpihSkJ3r9Fo1wtFlZQ==" saltValue="Il+5EbOQm2clmUrQ4U/30w==" spinCount="100000" sheet="1" objects="1" scenarios="1"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 xr:uid="{00000000-0004-0000-0200-000000000000}"/>
    <hyperlink ref="G20" location="'Operating Lease'!A1" display="'Operating Lease'!A1" xr:uid="{00000000-0004-0000-0200-000001000000}"/>
    <hyperlink ref="I11" location="Capex!A1" display="Capex" xr:uid="{00000000-0004-0000-0200-000002000000}"/>
    <hyperlink ref="H12" location="'Operating Lease'!A1" display="'Operating Lease'!A1" xr:uid="{00000000-0004-0000-0200-000003000000}"/>
    <hyperlink ref="G12" location="'Operating Lease'!A1" display="'Operating Lease'!A1" xr:uid="{00000000-0004-0000-0200-000004000000}"/>
    <hyperlink ref="I10" location="Context!A1" display="Context!A1" xr:uid="{00000000-0004-0000-0200-000005000000}"/>
    <hyperlink ref="H11" location="Capex!A1" display="Capex" xr:uid="{00000000-0004-0000-0200-000006000000}"/>
    <hyperlink ref="G11" location="'Operating Lease'!A1" display="'Operating Lease'!A1" xr:uid="{00000000-0004-0000-0200-000007000000}"/>
    <hyperlink ref="G18" location="'Operating Lease'!A1" display="'Operating Lease'!A1" xr:uid="{00000000-0004-0000-0200-000008000000}"/>
    <hyperlink ref="H10" location="Context!A1" display="Context!A1" xr:uid="{00000000-0004-0000-0200-000009000000}"/>
    <hyperlink ref="G10" location="'Operating Lease'!A1" display="'Operating Lease'!A1" xr:uid="{00000000-0004-0000-0200-00000A000000}"/>
    <hyperlink ref="G17" location="'Operating Lease'!A1" display="'Operating Lease'!A1" xr:uid="{00000000-0004-0000-0200-00000B000000}"/>
    <hyperlink ref="H7" location="Context!A1" display="Context!A1" xr:uid="{00000000-0004-0000-0200-00000C000000}"/>
    <hyperlink ref="I7" location="Context!A1" display="Context!A1" xr:uid="{00000000-0004-0000-0200-00000D000000}"/>
    <hyperlink ref="I6" location="Context!A1" display="Context!A1" xr:uid="{00000000-0004-0000-0200-00000E000000}"/>
    <hyperlink ref="H6" location="Context!A1" display="Context!A1" xr:uid="{00000000-0004-0000-0200-00000F000000}"/>
    <hyperlink ref="G16" location="'Operating Lease'!A1" display="'Operating Lease'!A1" xr:uid="{00000000-0004-0000-0200-000010000000}"/>
    <hyperlink ref="J7" location="Capex!A1" display="Capex" xr:uid="{00000000-0004-0000-0200-000011000000}"/>
    <hyperlink ref="J3" location="Context!A1" display="Context!A1" xr:uid="{00000000-0004-0000-0200-000012000000}"/>
    <hyperlink ref="I3" location="Context!A1" display="Context!A1" xr:uid="{00000000-0004-0000-0200-000013000000}"/>
    <hyperlink ref="H16" location="'Operating Lease'!A1" display="'Operating Lease'!A1" xr:uid="{00000000-0004-0000-0200-000014000000}"/>
    <hyperlink ref="C2" location="Context!A1" display="Context!A1" xr:uid="{00000000-0004-0000-0200-000015000000}"/>
    <hyperlink ref="C7" location="'Operating Lease'!A1" display="'Operating Lease'!A1" xr:uid="{00000000-0004-0000-0200-000016000000}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customProperties>
    <customPr name="TM1Action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5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127000</xdr:colOff>
                    <xdr:row>35</xdr:row>
                    <xdr:rowOff>222250</xdr:rowOff>
                  </from>
                  <to>
                    <xdr:col>11</xdr:col>
                    <xdr:colOff>577850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6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127000</xdr:colOff>
                    <xdr:row>41</xdr:row>
                    <xdr:rowOff>12700</xdr:rowOff>
                  </from>
                  <to>
                    <xdr:col>11</xdr:col>
                    <xdr:colOff>577850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7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127000</xdr:colOff>
                    <xdr:row>83</xdr:row>
                    <xdr:rowOff>114300</xdr:rowOff>
                  </from>
                  <to>
                    <xdr:col>11</xdr:col>
                    <xdr:colOff>577850</xdr:colOff>
                    <xdr:row>85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FRS16Simulation">
    <tabColor rgb="FFF2B999"/>
  </sheetPr>
  <dimension ref="A1:AH33"/>
  <sheetViews>
    <sheetView showGridLines="0" topLeftCell="C5" zoomScale="85" zoomScaleNormal="115" workbookViewId="0">
      <selection activeCell="S6" sqref="S6"/>
    </sheetView>
  </sheetViews>
  <sheetFormatPr baseColWidth="10" defaultColWidth="9.1796875" defaultRowHeight="12.25" outlineLevelRow="1" outlineLevelCol="1"/>
  <cols>
    <col min="1" max="2" width="9.1796875" style="166" hidden="1" customWidth="1" outlineLevel="1"/>
    <col min="3" max="3" width="4.26953125" style="166" customWidth="1" collapsed="1"/>
    <col min="4" max="6" width="10.453125" style="166" customWidth="1"/>
    <col min="7" max="7" width="11.1796875" style="166" customWidth="1"/>
    <col min="8" max="8" width="14.81640625" style="166" customWidth="1"/>
    <col min="9" max="13" width="10.453125" style="166" customWidth="1"/>
    <col min="14" max="14" width="2.1796875" style="166" customWidth="1"/>
    <col min="15" max="15" width="9" style="166" hidden="1" customWidth="1" outlineLevel="1"/>
    <col min="16" max="16" width="14.1796875" style="166" customWidth="1" collapsed="1"/>
    <col min="17" max="21" width="14.1796875" style="166" customWidth="1"/>
    <col min="22" max="26" width="14.1796875" style="167" hidden="1" customWidth="1" outlineLevel="1"/>
    <col min="27" max="33" width="14.1796875" style="166" hidden="1" customWidth="1" outlineLevel="1"/>
    <col min="34" max="34" width="9.1796875" style="166" collapsed="1"/>
    <col min="35" max="16384" width="9.1796875" style="166"/>
  </cols>
  <sheetData>
    <row r="1" spans="1:33" ht="16" hidden="1" outlineLevel="1">
      <c r="J1" s="48" t="s">
        <v>83</v>
      </c>
      <c r="K1" s="13" t="str">
        <f>_xll.SUBNM(Server&amp;"Phase","",Context!$I$10,"")</f>
        <v>LTP_2025_VC</v>
      </c>
      <c r="O1" s="14" t="str">
        <f>"F_year_"&amp;$K$2</f>
        <v>F_year_2025</v>
      </c>
      <c r="P1" s="14" t="str">
        <f>_xll.DBRA(Server&amp;$J$2,O1,"Next Year")</f>
        <v>F_year_2026</v>
      </c>
      <c r="Q1" s="14" t="str">
        <f>_xll.DBRA(Server&amp;$J$2,P1,"Next Year")</f>
        <v>F_year_2027</v>
      </c>
      <c r="R1" s="14" t="str">
        <f>_xll.DBRA(Server&amp;$J$2,Q1,"Next Year")</f>
        <v>F_year_2028</v>
      </c>
      <c r="S1" s="14" t="str">
        <f>_xll.DBRA(Server&amp;$J$2,R1,"Next Year")</f>
        <v>F_year_2029</v>
      </c>
      <c r="T1" s="14" t="str">
        <f>_xll.DBRA(Server&amp;$J$2,S1,"Next Year")</f>
        <v>F_year_2030</v>
      </c>
      <c r="U1" s="14" t="str">
        <f>_xll.DBRA(Server&amp;$J$2,T1,"Next Year")</f>
        <v>F_year_2031</v>
      </c>
      <c r="V1" s="14" t="str">
        <f>_xll.DBRA(Server&amp;$J$2,U1,"Next Year")</f>
        <v>F_year_2032</v>
      </c>
      <c r="W1" s="14" t="str">
        <f>_xll.DBRA(Server&amp;$J$2,V1,"Next Year")</f>
        <v>F_year_2033</v>
      </c>
      <c r="X1" s="14" t="str">
        <f>_xll.DBRA(Server&amp;$J$2,W1,"Next Year")</f>
        <v>F_year_2034</v>
      </c>
      <c r="Y1" s="14" t="str">
        <f>_xll.DBRA(Server&amp;$J$2,X1,"Next Year")</f>
        <v>F_year_2035</v>
      </c>
      <c r="Z1" s="14" t="str">
        <f>_xll.DBRA(Server&amp;$J$2,Y1,"Next Year")</f>
        <v>F_year_2036</v>
      </c>
      <c r="AA1" s="14" t="str">
        <f>_xll.DBRA(Server&amp;$J$2,Z1,"Next Year")</f>
        <v>F_year_2037</v>
      </c>
      <c r="AB1" s="14" t="str">
        <f>_xll.DBRA(Server&amp;$J$2,AA1,"Next Year")</f>
        <v>F_year_2038</v>
      </c>
      <c r="AC1" s="14" t="str">
        <f>_xll.DBRA(Server&amp;$J$2,AB1,"Next Year")</f>
        <v>F_year_2039</v>
      </c>
      <c r="AD1" s="14" t="str">
        <f>_xll.DBRA(Server&amp;$J$2,AC1,"Next Year")</f>
        <v>F_year_2040</v>
      </c>
      <c r="AE1" s="14" t="str">
        <f>_xll.DBRA(Server&amp;$J$2,AD1,"Next Year")</f>
        <v>F_year_2041</v>
      </c>
      <c r="AF1" s="14" t="str">
        <f>_xll.DBRA(Server&amp;$J$2,AE1,"Next Year")</f>
        <v/>
      </c>
      <c r="AG1" s="14" t="e">
        <f>_xll.DBRA(Server&amp;$J$2,AF1,"Next Year")</f>
        <v>#VALUE!</v>
      </c>
    </row>
    <row r="2" spans="1:33" ht="16" hidden="1" outlineLevel="1">
      <c r="J2" s="48" t="s">
        <v>96</v>
      </c>
      <c r="K2" s="13" t="str">
        <f>MID(K1,5,4)</f>
        <v>2025</v>
      </c>
      <c r="O2" s="14" t="str">
        <f>K2</f>
        <v>2025</v>
      </c>
      <c r="P2" s="14" t="str">
        <f>_xll.DBRA(Server&amp;$J$2,O2,"Next Year")</f>
        <v>2026</v>
      </c>
      <c r="Q2" s="14" t="str">
        <f>_xll.DBRA(Server&amp;$J$2,P2,"Next Year")</f>
        <v>2027</v>
      </c>
      <c r="R2" s="14" t="str">
        <f>_xll.DBRA(Server&amp;$J$2,Q2,"Next Year")</f>
        <v>2028</v>
      </c>
      <c r="S2" s="14" t="str">
        <f>_xll.DBRA(Server&amp;$J$2,R2,"Next Year")</f>
        <v>2029</v>
      </c>
      <c r="T2" s="14" t="str">
        <f>_xll.DBRA(Server&amp;$J$2,S2,"Next Year")</f>
        <v>2030</v>
      </c>
      <c r="U2" s="14" t="str">
        <f>_xll.DBRA(Server&amp;$J$2,T2,"Next Year")</f>
        <v>2031</v>
      </c>
      <c r="V2" s="14" t="str">
        <f>_xll.DBRA(Server&amp;$J$2,U2,"Next Year")</f>
        <v>2032</v>
      </c>
      <c r="W2" s="14" t="str">
        <f>_xll.DBRA(Server&amp;$J$2,V2,"Next Year")</f>
        <v>2033</v>
      </c>
      <c r="X2" s="14" t="str">
        <f>_xll.DBRA(Server&amp;$J$2,W2,"Next Year")</f>
        <v>2034</v>
      </c>
      <c r="Y2" s="14" t="str">
        <f>_xll.DBRA(Server&amp;$J$2,X2,"Next Year")</f>
        <v>2035</v>
      </c>
      <c r="Z2" s="14" t="str">
        <f>_xll.DBRA(Server&amp;$J$2,Y2,"Next Year")</f>
        <v>2036</v>
      </c>
      <c r="AA2" s="14" t="str">
        <f>_xll.DBRA(Server&amp;$J$2,Z2,"Next Year")</f>
        <v>2037</v>
      </c>
      <c r="AB2" s="14" t="str">
        <f>_xll.DBRA(Server&amp;$J$2,AA2,"Next Year")</f>
        <v>2038</v>
      </c>
      <c r="AC2" s="14" t="str">
        <f>_xll.DBRA(Server&amp;$J$2,AB2,"Next Year")</f>
        <v>2039</v>
      </c>
      <c r="AD2" s="14" t="str">
        <f>_xll.DBRA(Server&amp;$J$2,AC2,"Next Year")</f>
        <v>2040</v>
      </c>
      <c r="AE2" s="14" t="str">
        <f>_xll.DBRA(Server&amp;$J$2,AD2,"Next Year")</f>
        <v>2041</v>
      </c>
      <c r="AF2" s="14" t="str">
        <f>_xll.DBRA(Server&amp;$J$2,AE2,"Next Year")</f>
        <v/>
      </c>
      <c r="AG2" s="14" t="e">
        <f>_xll.DBRA(Server&amp;$J$2,AF2,"Next Year")</f>
        <v>#VALUE!</v>
      </c>
    </row>
    <row r="3" spans="1:33" hidden="1" outlineLevel="1">
      <c r="P3" s="166">
        <f>VALUE(P2)</f>
        <v>2026</v>
      </c>
      <c r="Q3" s="166">
        <f t="shared" ref="Q3:AG3" si="0">VALUE(Q2)</f>
        <v>2027</v>
      </c>
      <c r="R3" s="166">
        <f t="shared" si="0"/>
        <v>2028</v>
      </c>
      <c r="S3" s="166">
        <f t="shared" si="0"/>
        <v>2029</v>
      </c>
      <c r="T3" s="166">
        <f t="shared" si="0"/>
        <v>2030</v>
      </c>
      <c r="U3" s="166">
        <f t="shared" si="0"/>
        <v>2031</v>
      </c>
      <c r="V3" s="166">
        <f t="shared" si="0"/>
        <v>2032</v>
      </c>
      <c r="W3" s="166">
        <f t="shared" si="0"/>
        <v>2033</v>
      </c>
      <c r="X3" s="166">
        <f t="shared" si="0"/>
        <v>2034</v>
      </c>
      <c r="Y3" s="166">
        <f t="shared" si="0"/>
        <v>2035</v>
      </c>
      <c r="Z3" s="166">
        <f t="shared" si="0"/>
        <v>2036</v>
      </c>
      <c r="AA3" s="166">
        <f t="shared" si="0"/>
        <v>2037</v>
      </c>
      <c r="AB3" s="166">
        <f t="shared" si="0"/>
        <v>2038</v>
      </c>
      <c r="AC3" s="166">
        <f t="shared" si="0"/>
        <v>2039</v>
      </c>
      <c r="AD3" s="166">
        <f t="shared" si="0"/>
        <v>2040</v>
      </c>
      <c r="AE3" s="166">
        <f t="shared" si="0"/>
        <v>2041</v>
      </c>
      <c r="AF3" s="166" t="e">
        <f t="shared" si="0"/>
        <v>#VALUE!</v>
      </c>
      <c r="AG3" s="166" t="e">
        <f t="shared" si="0"/>
        <v>#VALUE!</v>
      </c>
    </row>
    <row r="4" spans="1:33" hidden="1" outlineLevel="1"/>
    <row r="5" spans="1:33" ht="13.25" collapsed="1">
      <c r="P5"/>
      <c r="V5" s="166"/>
      <c r="W5" s="166"/>
      <c r="X5" s="166"/>
      <c r="Y5" s="166"/>
      <c r="Z5" s="166"/>
    </row>
    <row r="6" spans="1:33" ht="51" customHeight="1">
      <c r="D6" s="164" t="s">
        <v>114</v>
      </c>
      <c r="E6" s="140" t="str">
        <f>IF(xLanguage="English","Lease Duration","Durée du lease")</f>
        <v>Durée du lease</v>
      </c>
      <c r="F6" s="140" t="str">
        <f>IF(xLanguage="English","Asset value","Valeur de l'actif")</f>
        <v>Valeur de l'actif</v>
      </c>
      <c r="G6" s="140" t="str">
        <f>IF(xLanguage="English","Annual lease cost (-)","Loyer annuel (-)")</f>
        <v>Loyer annuel (-)</v>
      </c>
      <c r="H6" s="140" t="str">
        <f>IF(xLanguage="English","Number of months  for the 1st year","Nb de mois pour la 1ère année")</f>
        <v>Nb de mois pour la 1ère année</v>
      </c>
      <c r="I6" s="141" t="str">
        <f>IF(xLanguage="English","Start Up year","Année de démarrage")</f>
        <v>Année de démarrage</v>
      </c>
      <c r="J6" s="142" t="str">
        <f>IF(xLanguage="English","Implicit interest rate","Taux d'intérêt implicite")</f>
        <v>Taux d'intérêt implicite</v>
      </c>
      <c r="K6" s="140" t="str">
        <f>IF(xLanguage="English","Monthly lease factor","lease factor mensuel")</f>
        <v>lease factor mensuel</v>
      </c>
      <c r="L6" s="140" t="str">
        <f>IF(xLanguage="English","Right of use","Droits d'utilisation")</f>
        <v>Droits d'utilisation</v>
      </c>
      <c r="M6" s="140" t="str">
        <f>IF(xLanguage="English","Right of use / asset value","Droits d'utilisation / Valeur de l'actif")</f>
        <v>Droits d'utilisation / Valeur de l'actif</v>
      </c>
      <c r="N6" s="165"/>
      <c r="O6" s="165"/>
      <c r="P6"/>
      <c r="V6" s="166"/>
      <c r="W6" s="166"/>
      <c r="X6" s="166"/>
      <c r="Y6" s="166"/>
      <c r="Z6" s="166"/>
    </row>
    <row r="7" spans="1:33" s="167" customFormat="1" ht="12.75" customHeight="1">
      <c r="G7" s="168"/>
      <c r="I7" s="168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</row>
    <row r="8" spans="1:33" s="167" customFormat="1" ht="12.75" customHeight="1" thickBot="1">
      <c r="E8" s="150">
        <v>10</v>
      </c>
      <c r="F8" s="150">
        <v>500</v>
      </c>
      <c r="G8" s="150">
        <v>-2</v>
      </c>
      <c r="H8" s="150">
        <v>0</v>
      </c>
      <c r="I8" s="163">
        <v>2020</v>
      </c>
      <c r="J8" s="151">
        <v>9.4999999999999998E-3</v>
      </c>
      <c r="K8" s="152">
        <f>-G8/F8/12</f>
        <v>3.3333333333333332E-4</v>
      </c>
      <c r="L8" s="153">
        <f>-PV(J8/12,E8*12,-G8/12,0)*(1+J8/12)^1</f>
        <v>19.087285491374701</v>
      </c>
      <c r="M8" s="152">
        <f>-L8/F8</f>
        <v>-3.8174570982749401E-2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1:33" s="167" customFormat="1" ht="12.75" customHeight="1" outlineLevel="1">
      <c r="G9" s="168"/>
      <c r="I9" s="168"/>
      <c r="J9" s="169"/>
      <c r="K9" s="169" t="s">
        <v>207</v>
      </c>
      <c r="L9" s="169"/>
      <c r="M9" s="169"/>
      <c r="O9" s="134"/>
      <c r="P9" s="170">
        <f t="shared" ref="P9:AG9" si="1">IF($I$8=P12,$H$8+1,IF($I$8&gt;P12,0,IF(O9+12&lt;12*$E$8,O9+12,12*$E$8)))</f>
        <v>12</v>
      </c>
      <c r="Q9" s="170">
        <f t="shared" si="1"/>
        <v>24</v>
      </c>
      <c r="R9" s="170">
        <f t="shared" si="1"/>
        <v>36</v>
      </c>
      <c r="S9" s="170">
        <f t="shared" si="1"/>
        <v>48</v>
      </c>
      <c r="T9" s="170">
        <f t="shared" si="1"/>
        <v>60</v>
      </c>
      <c r="U9" s="170">
        <f t="shared" si="1"/>
        <v>72</v>
      </c>
      <c r="V9" s="170">
        <f t="shared" si="1"/>
        <v>84</v>
      </c>
      <c r="W9" s="170">
        <f t="shared" si="1"/>
        <v>96</v>
      </c>
      <c r="X9" s="170">
        <f t="shared" si="1"/>
        <v>108</v>
      </c>
      <c r="Y9" s="170">
        <f t="shared" si="1"/>
        <v>120</v>
      </c>
      <c r="Z9" s="170">
        <f t="shared" si="1"/>
        <v>120</v>
      </c>
      <c r="AA9" s="170">
        <f t="shared" si="1"/>
        <v>120</v>
      </c>
      <c r="AB9" s="170">
        <f t="shared" si="1"/>
        <v>120</v>
      </c>
      <c r="AC9" s="170">
        <f t="shared" si="1"/>
        <v>120</v>
      </c>
      <c r="AD9" s="170">
        <f t="shared" si="1"/>
        <v>120</v>
      </c>
      <c r="AE9" s="170">
        <f t="shared" si="1"/>
        <v>120</v>
      </c>
      <c r="AF9" s="170" t="e">
        <f t="shared" si="1"/>
        <v>#VALUE!</v>
      </c>
      <c r="AG9" s="170" t="e">
        <f t="shared" si="1"/>
        <v>#VALUE!</v>
      </c>
    </row>
    <row r="10" spans="1:33" s="167" customFormat="1" ht="12.75" customHeight="1" outlineLevel="1">
      <c r="G10" s="168"/>
      <c r="I10" s="168"/>
      <c r="J10" s="169"/>
      <c r="K10" s="169" t="s">
        <v>208</v>
      </c>
      <c r="L10" s="169"/>
      <c r="M10" s="169"/>
      <c r="O10" s="134"/>
      <c r="P10" s="171">
        <f t="shared" ref="P10:AG10" si="2">IF($I$8=P12,$H$8,IF($I$8&gt;P12,0,IF(O10+12&lt;12*$E$8,O10+12,12*$E$8)))</f>
        <v>12</v>
      </c>
      <c r="Q10" s="171">
        <f t="shared" si="2"/>
        <v>24</v>
      </c>
      <c r="R10" s="171">
        <f t="shared" si="2"/>
        <v>36</v>
      </c>
      <c r="S10" s="171">
        <f t="shared" si="2"/>
        <v>48</v>
      </c>
      <c r="T10" s="171">
        <f t="shared" si="2"/>
        <v>60</v>
      </c>
      <c r="U10" s="171">
        <f t="shared" si="2"/>
        <v>72</v>
      </c>
      <c r="V10" s="171">
        <f t="shared" si="2"/>
        <v>84</v>
      </c>
      <c r="W10" s="171">
        <f t="shared" si="2"/>
        <v>96</v>
      </c>
      <c r="X10" s="171">
        <f t="shared" si="2"/>
        <v>108</v>
      </c>
      <c r="Y10" s="171">
        <f t="shared" si="2"/>
        <v>120</v>
      </c>
      <c r="Z10" s="171">
        <f t="shared" si="2"/>
        <v>120</v>
      </c>
      <c r="AA10" s="171">
        <f t="shared" si="2"/>
        <v>120</v>
      </c>
      <c r="AB10" s="171">
        <f t="shared" si="2"/>
        <v>120</v>
      </c>
      <c r="AC10" s="171">
        <f t="shared" si="2"/>
        <v>120</v>
      </c>
      <c r="AD10" s="171">
        <f t="shared" si="2"/>
        <v>120</v>
      </c>
      <c r="AE10" s="171">
        <f t="shared" si="2"/>
        <v>120</v>
      </c>
      <c r="AF10" s="171" t="e">
        <f t="shared" si="2"/>
        <v>#VALUE!</v>
      </c>
      <c r="AG10" s="171" t="e">
        <f t="shared" si="2"/>
        <v>#VALUE!</v>
      </c>
    </row>
    <row r="11" spans="1:33" ht="16" outlineLevel="1">
      <c r="K11" s="169" t="s">
        <v>206</v>
      </c>
      <c r="O11" s="134"/>
      <c r="P11" s="171">
        <f t="shared" ref="P11:AG11" si="3">$G$8*(P10-O10)/12</f>
        <v>-2</v>
      </c>
      <c r="Q11" s="171">
        <f t="shared" si="3"/>
        <v>-2</v>
      </c>
      <c r="R11" s="171">
        <f t="shared" si="3"/>
        <v>-2</v>
      </c>
      <c r="S11" s="171">
        <f t="shared" si="3"/>
        <v>-2</v>
      </c>
      <c r="T11" s="171">
        <f t="shared" si="3"/>
        <v>-2</v>
      </c>
      <c r="U11" s="171">
        <f t="shared" si="3"/>
        <v>-2</v>
      </c>
      <c r="V11" s="171">
        <f t="shared" si="3"/>
        <v>-2</v>
      </c>
      <c r="W11" s="171">
        <f t="shared" si="3"/>
        <v>-2</v>
      </c>
      <c r="X11" s="171">
        <f t="shared" si="3"/>
        <v>-2</v>
      </c>
      <c r="Y11" s="171">
        <f t="shared" si="3"/>
        <v>-2</v>
      </c>
      <c r="Z11" s="171">
        <f t="shared" si="3"/>
        <v>0</v>
      </c>
      <c r="AA11" s="171">
        <f t="shared" si="3"/>
        <v>0</v>
      </c>
      <c r="AB11" s="171">
        <f t="shared" si="3"/>
        <v>0</v>
      </c>
      <c r="AC11" s="171">
        <f t="shared" si="3"/>
        <v>0</v>
      </c>
      <c r="AD11" s="171">
        <f t="shared" si="3"/>
        <v>0</v>
      </c>
      <c r="AE11" s="171">
        <f t="shared" si="3"/>
        <v>0</v>
      </c>
      <c r="AF11" s="171" t="e">
        <f t="shared" si="3"/>
        <v>#VALUE!</v>
      </c>
      <c r="AG11" s="171" t="e">
        <f t="shared" si="3"/>
        <v>#VALUE!</v>
      </c>
    </row>
    <row r="12" spans="1:33" ht="21.75" customHeight="1">
      <c r="L12" s="172"/>
      <c r="P12" s="173">
        <f>P3</f>
        <v>2026</v>
      </c>
      <c r="Q12" s="173">
        <f t="shared" ref="Q12:AG12" si="4">Q3</f>
        <v>2027</v>
      </c>
      <c r="R12" s="173">
        <f t="shared" si="4"/>
        <v>2028</v>
      </c>
      <c r="S12" s="173">
        <f t="shared" si="4"/>
        <v>2029</v>
      </c>
      <c r="T12" s="173">
        <f t="shared" si="4"/>
        <v>2030</v>
      </c>
      <c r="U12" s="173">
        <f t="shared" si="4"/>
        <v>2031</v>
      </c>
      <c r="V12" s="174">
        <f t="shared" si="4"/>
        <v>2032</v>
      </c>
      <c r="W12" s="174">
        <f t="shared" si="4"/>
        <v>2033</v>
      </c>
      <c r="X12" s="174">
        <f t="shared" si="4"/>
        <v>2034</v>
      </c>
      <c r="Y12" s="174">
        <f t="shared" si="4"/>
        <v>2035</v>
      </c>
      <c r="Z12" s="174">
        <f t="shared" si="4"/>
        <v>2036</v>
      </c>
      <c r="AA12" s="174">
        <f t="shared" si="4"/>
        <v>2037</v>
      </c>
      <c r="AB12" s="174">
        <f t="shared" si="4"/>
        <v>2038</v>
      </c>
      <c r="AC12" s="174">
        <f t="shared" si="4"/>
        <v>2039</v>
      </c>
      <c r="AD12" s="174">
        <f t="shared" si="4"/>
        <v>2040</v>
      </c>
      <c r="AE12" s="174">
        <f t="shared" si="4"/>
        <v>2041</v>
      </c>
      <c r="AF12" s="174" t="e">
        <f t="shared" si="4"/>
        <v>#VALUE!</v>
      </c>
      <c r="AG12" s="174" t="e">
        <f t="shared" si="4"/>
        <v>#VALUE!</v>
      </c>
    </row>
    <row r="13" spans="1:33" ht="18.5">
      <c r="D13" s="135" t="s">
        <v>202</v>
      </c>
      <c r="E13" s="135"/>
      <c r="F13" s="135"/>
      <c r="G13" s="135"/>
      <c r="H13" s="135"/>
      <c r="I13" s="135"/>
      <c r="J13" s="135"/>
      <c r="K13" s="135"/>
      <c r="L13" s="135"/>
      <c r="M13" s="135"/>
      <c r="O13" s="135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spans="1:33" ht="16">
      <c r="A14" s="145" t="s">
        <v>209</v>
      </c>
      <c r="D14" s="95" t="str">
        <f>_xll.DBRA(xServer&amp;":Indicator_LTP",$A14,xLanguage)</f>
        <v>IFRS16-Nouveaux  Autres Lease - Amortissement</v>
      </c>
      <c r="E14" s="95"/>
      <c r="F14" s="95"/>
      <c r="G14" s="95"/>
      <c r="H14" s="95"/>
      <c r="I14" s="157"/>
      <c r="J14" s="95"/>
      <c r="K14" s="95"/>
      <c r="L14" s="95"/>
      <c r="M14" s="95"/>
      <c r="O14" s="95"/>
      <c r="P14" s="186">
        <f>-$L$8/$E$8/12*P10</f>
        <v>-1.9087285491374701</v>
      </c>
      <c r="Q14" s="186">
        <f t="shared" ref="Q14:AG14" si="5">-$L$8/$E$8*(Q10-P10)/12</f>
        <v>-1.9087285491374704</v>
      </c>
      <c r="R14" s="186">
        <f t="shared" si="5"/>
        <v>-1.9087285491374704</v>
      </c>
      <c r="S14" s="186">
        <f t="shared" si="5"/>
        <v>-1.9087285491374704</v>
      </c>
      <c r="T14" s="186">
        <f t="shared" si="5"/>
        <v>-1.9087285491374704</v>
      </c>
      <c r="U14" s="186">
        <f t="shared" si="5"/>
        <v>-1.9087285491374704</v>
      </c>
      <c r="V14" s="154">
        <f t="shared" si="5"/>
        <v>-1.9087285491374704</v>
      </c>
      <c r="W14" s="154">
        <f t="shared" si="5"/>
        <v>-1.9087285491374704</v>
      </c>
      <c r="X14" s="154">
        <f t="shared" si="5"/>
        <v>-1.9087285491374704</v>
      </c>
      <c r="Y14" s="154">
        <f t="shared" si="5"/>
        <v>-1.9087285491374704</v>
      </c>
      <c r="Z14" s="154">
        <f t="shared" si="5"/>
        <v>0</v>
      </c>
      <c r="AA14" s="154">
        <f t="shared" si="5"/>
        <v>0</v>
      </c>
      <c r="AB14" s="154">
        <f t="shared" si="5"/>
        <v>0</v>
      </c>
      <c r="AC14" s="154">
        <f t="shared" si="5"/>
        <v>0</v>
      </c>
      <c r="AD14" s="154">
        <f t="shared" si="5"/>
        <v>0</v>
      </c>
      <c r="AE14" s="154">
        <f t="shared" si="5"/>
        <v>0</v>
      </c>
      <c r="AF14" s="154" t="e">
        <f t="shared" si="5"/>
        <v>#VALUE!</v>
      </c>
      <c r="AG14" s="186" t="e">
        <f t="shared" si="5"/>
        <v>#VALUE!</v>
      </c>
    </row>
    <row r="15" spans="1:33" ht="16">
      <c r="A15" s="145" t="s">
        <v>210</v>
      </c>
      <c r="D15" s="98" t="str">
        <f>_xll.DBRA(xServer&amp;":Indicator_LTP",$A15,xLanguage)</f>
        <v>IFRS16-Nouveaux  Autres Lease - Charge d'intérêt</v>
      </c>
      <c r="E15" s="98"/>
      <c r="F15" s="98"/>
      <c r="G15" s="98"/>
      <c r="H15" s="98"/>
      <c r="I15" s="158"/>
      <c r="J15" s="98"/>
      <c r="K15" s="98"/>
      <c r="L15" s="98"/>
      <c r="M15" s="98"/>
      <c r="O15" s="98"/>
      <c r="P15" s="181">
        <f>IF(P9=0,0,CUMIPMT($J$8/12,$E$8*12,$L$8,1,P9,1))-SUM($M$15:M15)</f>
        <v>-0.15814660295723648</v>
      </c>
      <c r="Q15" s="181">
        <f>IF(Q9=0,0,CUMIPMT($J$8/12,$E$8*12,$L$8,1,Q9,1))-SUM($M$15:P15)</f>
        <v>-0.1558154861751877</v>
      </c>
      <c r="R15" s="181">
        <f>IF(R9=0,0,CUMIPMT($J$8/12,$E$8*12,$L$8,1,R9,1))-SUM($M$15:Q15)</f>
        <v>-0.13821924770601779</v>
      </c>
      <c r="S15" s="181">
        <f>IF(S9=0,0,CUMIPMT($J$8/12,$E$8*12,$L$8,1,S9,1))-SUM($M$15:R15)</f>
        <v>-0.12045511518615015</v>
      </c>
      <c r="T15" s="181">
        <f>IF(T9=0,0,CUMIPMT($J$8/12,$E$8*12,$L$8,1,T9,1))-SUM($M$15:S15)</f>
        <v>-0.10252148665887528</v>
      </c>
      <c r="U15" s="181">
        <f>IF(U9=0,0,CUMIPMT($J$8/12,$E$8*12,$L$8,1,U9,1))-SUM($M$15:T15)</f>
        <v>-8.4416744882455319E-2</v>
      </c>
      <c r="V15" s="143">
        <f>IF(V9=0,0,CUMIPMT($J$8/12,$E$8*12,$L$8,1,V9,1))-SUM($M$15:U15)</f>
        <v>-6.6139257184280709E-2</v>
      </c>
      <c r="W15" s="143">
        <f>IF(W9=0,0,CUMIPMT($J$8/12,$E$8*12,$L$8,1,W9,1))-SUM($M$15:V15)</f>
        <v>-4.7687375313644864E-2</v>
      </c>
      <c r="X15" s="143">
        <f>IF(X9=0,0,CUMIPMT($J$8/12,$E$8*12,$L$8,1,X9,1))-SUM($M$15:W15)</f>
        <v>-2.9059435293103064E-2</v>
      </c>
      <c r="Y15" s="143">
        <f>IF(Y9=0,0,CUMIPMT($J$8/12,$E$8*12,$L$8,1,Y9,1))-SUM($M$15:X15)</f>
        <v>-1.0253757268390729E-2</v>
      </c>
      <c r="Z15" s="143">
        <f>IF(Z9=0,0,CUMIPMT($J$8/12,$E$8*12,$L$8,1,Z9,1))-SUM($M$15:Y15)</f>
        <v>0</v>
      </c>
      <c r="AA15" s="143">
        <f>IF(AA9=0,0,CUMIPMT($J$8/12,$E$8*12,$L$8,1,AA9,1))-SUM($M$15:Z15)</f>
        <v>0</v>
      </c>
      <c r="AB15" s="143">
        <f>IF(AB9=0,0,CUMIPMT($J$8/12,$E$8*12,$L$8,1,AB9,1))-SUM($M$15:AA15)</f>
        <v>0</v>
      </c>
      <c r="AC15" s="143">
        <f>IF(AC9=0,0,CUMIPMT($J$8/12,$E$8*12,$L$8,1,AC9,1))-SUM($M$15:AB15)</f>
        <v>0</v>
      </c>
      <c r="AD15" s="143">
        <f>IF(AD9=0,0,CUMIPMT($J$8/12,$E$8*12,$L$8,1,AD9,1))-SUM($M$15:AC15)</f>
        <v>0</v>
      </c>
      <c r="AE15" s="143">
        <f>IF(AE9=0,0,CUMIPMT($J$8/12,$E$8*12,$L$8,1,AE9,1))-SUM($M$15:AD15)</f>
        <v>0</v>
      </c>
      <c r="AF15" s="143" t="e">
        <f>IF(AF9=0,0,CUMIPMT($J$8/12,$E$8*12,$L$8,1,AF9,1))-SUM($M$15:AE15)</f>
        <v>#VALUE!</v>
      </c>
      <c r="AG15" s="143" t="e">
        <f>IF(AG9=0,0,CUMIPMT($J$8/12,$E$8*12,$L$8,1,AG9,1))-SUM($M$15:AF15)</f>
        <v>#VALUE!</v>
      </c>
    </row>
    <row r="16" spans="1:33" ht="16">
      <c r="A16" s="132" t="s">
        <v>203</v>
      </c>
      <c r="D16" s="187" t="str">
        <f>IF(xLanguage="English","PROFIT OR LOSS before Tax Impact","Impact sur le résultat avant impôts")</f>
        <v>Impact sur le résultat avant impôts</v>
      </c>
      <c r="E16" s="187"/>
      <c r="F16" s="187"/>
      <c r="G16" s="187"/>
      <c r="H16" s="187"/>
      <c r="I16" s="188"/>
      <c r="J16" s="187"/>
      <c r="K16" s="187"/>
      <c r="L16" s="187"/>
      <c r="M16" s="187"/>
      <c r="O16" s="187"/>
      <c r="P16" s="189">
        <f t="shared" ref="P16:AG16" si="6">SUM(P14:P15)</f>
        <v>-2.0668751520947066</v>
      </c>
      <c r="Q16" s="189">
        <f t="shared" si="6"/>
        <v>-2.0645440353126583</v>
      </c>
      <c r="R16" s="189">
        <f t="shared" si="6"/>
        <v>-2.0469477968434884</v>
      </c>
      <c r="S16" s="189">
        <f t="shared" si="6"/>
        <v>-2.0291836643236207</v>
      </c>
      <c r="T16" s="189">
        <f t="shared" si="6"/>
        <v>-2.0112500357963459</v>
      </c>
      <c r="U16" s="189">
        <f t="shared" si="6"/>
        <v>-1.9931452940199257</v>
      </c>
      <c r="V16" s="189">
        <f t="shared" si="6"/>
        <v>-1.9748678063217511</v>
      </c>
      <c r="W16" s="189">
        <f t="shared" si="6"/>
        <v>-1.9564159244511152</v>
      </c>
      <c r="X16" s="189">
        <f t="shared" si="6"/>
        <v>-1.9377879844305734</v>
      </c>
      <c r="Y16" s="189">
        <f t="shared" si="6"/>
        <v>-1.9189823064058611</v>
      </c>
      <c r="Z16" s="189">
        <f t="shared" si="6"/>
        <v>0</v>
      </c>
      <c r="AA16" s="189">
        <f t="shared" si="6"/>
        <v>0</v>
      </c>
      <c r="AB16" s="189">
        <f t="shared" si="6"/>
        <v>0</v>
      </c>
      <c r="AC16" s="189">
        <f t="shared" si="6"/>
        <v>0</v>
      </c>
      <c r="AD16" s="189">
        <f t="shared" si="6"/>
        <v>0</v>
      </c>
      <c r="AE16" s="189">
        <f t="shared" si="6"/>
        <v>0</v>
      </c>
      <c r="AF16" s="189" t="e">
        <f t="shared" si="6"/>
        <v>#VALUE!</v>
      </c>
      <c r="AG16" s="189" t="e">
        <f t="shared" si="6"/>
        <v>#VALUE!</v>
      </c>
    </row>
    <row r="17" spans="1:33" ht="13.5">
      <c r="A17" s="136"/>
      <c r="D17" s="136"/>
      <c r="E17" s="136"/>
      <c r="F17" s="136"/>
      <c r="G17" s="136"/>
      <c r="H17" s="136"/>
      <c r="I17" s="155"/>
      <c r="J17" s="137"/>
      <c r="K17" s="136"/>
      <c r="L17" s="136"/>
      <c r="M17" s="136"/>
      <c r="O17" s="136"/>
      <c r="P17" s="144"/>
      <c r="Q17" s="144"/>
      <c r="R17" s="144"/>
      <c r="S17" s="144"/>
      <c r="T17" s="144"/>
      <c r="U17" s="144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1:33" ht="18.5">
      <c r="A18" s="136"/>
      <c r="D18" s="135" t="str">
        <f>IF(xLanguage="English","Change of NFD","Variation de l'EFN")</f>
        <v>Variation de l'EFN</v>
      </c>
      <c r="E18" s="135"/>
      <c r="F18" s="135"/>
      <c r="G18" s="135"/>
      <c r="H18" s="135"/>
      <c r="I18" s="156"/>
      <c r="J18" s="135"/>
      <c r="K18" s="135"/>
      <c r="L18" s="135"/>
      <c r="M18" s="135"/>
      <c r="O18" s="135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</row>
    <row r="19" spans="1:33" ht="16">
      <c r="A19" s="145" t="s">
        <v>211</v>
      </c>
      <c r="D19" s="95" t="str">
        <f>_xll.DBRA(xServer&amp;":Indicator_LTP",$A19,xLanguage)</f>
        <v>IFRS16- CAPEX - Autres</v>
      </c>
      <c r="E19" s="95"/>
      <c r="F19" s="95"/>
      <c r="G19" s="95"/>
      <c r="H19" s="95"/>
      <c r="I19" s="157"/>
      <c r="J19" s="95"/>
      <c r="K19" s="95"/>
      <c r="L19" s="95"/>
      <c r="M19" s="95"/>
      <c r="O19" s="95"/>
      <c r="P19" s="186">
        <f t="shared" ref="P19:AG19" si="7">IF($I$8=P12,-$L$8,0)</f>
        <v>0</v>
      </c>
      <c r="Q19" s="186">
        <f t="shared" si="7"/>
        <v>0</v>
      </c>
      <c r="R19" s="186">
        <f t="shared" si="7"/>
        <v>0</v>
      </c>
      <c r="S19" s="186">
        <f t="shared" si="7"/>
        <v>0</v>
      </c>
      <c r="T19" s="186">
        <f t="shared" si="7"/>
        <v>0</v>
      </c>
      <c r="U19" s="186">
        <f t="shared" si="7"/>
        <v>0</v>
      </c>
      <c r="V19" s="154">
        <f t="shared" si="7"/>
        <v>0</v>
      </c>
      <c r="W19" s="154">
        <f t="shared" si="7"/>
        <v>0</v>
      </c>
      <c r="X19" s="154">
        <f t="shared" si="7"/>
        <v>0</v>
      </c>
      <c r="Y19" s="154">
        <f t="shared" si="7"/>
        <v>0</v>
      </c>
      <c r="Z19" s="154">
        <f t="shared" si="7"/>
        <v>0</v>
      </c>
      <c r="AA19" s="154">
        <f t="shared" si="7"/>
        <v>0</v>
      </c>
      <c r="AB19" s="154">
        <f t="shared" si="7"/>
        <v>0</v>
      </c>
      <c r="AC19" s="154">
        <f t="shared" si="7"/>
        <v>0</v>
      </c>
      <c r="AD19" s="154">
        <f t="shared" si="7"/>
        <v>0</v>
      </c>
      <c r="AE19" s="154">
        <f t="shared" si="7"/>
        <v>0</v>
      </c>
      <c r="AF19" s="154" t="e">
        <f t="shared" si="7"/>
        <v>#VALUE!</v>
      </c>
      <c r="AG19" s="186" t="e">
        <f t="shared" si="7"/>
        <v>#VALUE!</v>
      </c>
    </row>
    <row r="20" spans="1:33" ht="16">
      <c r="A20" s="132" t="s">
        <v>201</v>
      </c>
      <c r="D20" s="97" t="str">
        <f>_xll.DBRA(xServer&amp;":Indicator_LTP",$A20,xLanguage)</f>
        <v>IFRS16-Existing Lease - Charge d'intérêt</v>
      </c>
      <c r="E20" s="97"/>
      <c r="F20" s="97"/>
      <c r="G20" s="97"/>
      <c r="H20" s="97"/>
      <c r="I20" s="159"/>
      <c r="J20" s="97"/>
      <c r="K20" s="97"/>
      <c r="L20" s="97"/>
      <c r="M20" s="97"/>
      <c r="O20" s="97"/>
      <c r="P20" s="181">
        <f t="shared" ref="P20:AG20" si="8">P15</f>
        <v>-0.15814660295723648</v>
      </c>
      <c r="Q20" s="181">
        <f t="shared" si="8"/>
        <v>-0.1558154861751877</v>
      </c>
      <c r="R20" s="181">
        <f t="shared" si="8"/>
        <v>-0.13821924770601779</v>
      </c>
      <c r="S20" s="181">
        <f t="shared" si="8"/>
        <v>-0.12045511518615015</v>
      </c>
      <c r="T20" s="181">
        <f t="shared" si="8"/>
        <v>-0.10252148665887528</v>
      </c>
      <c r="U20" s="181">
        <f t="shared" si="8"/>
        <v>-8.4416744882455319E-2</v>
      </c>
      <c r="V20" s="143">
        <f t="shared" si="8"/>
        <v>-6.6139257184280709E-2</v>
      </c>
      <c r="W20" s="143">
        <f t="shared" si="8"/>
        <v>-4.7687375313644864E-2</v>
      </c>
      <c r="X20" s="143">
        <f t="shared" si="8"/>
        <v>-2.9059435293103064E-2</v>
      </c>
      <c r="Y20" s="143">
        <f t="shared" si="8"/>
        <v>-1.0253757268390729E-2</v>
      </c>
      <c r="Z20" s="143">
        <f t="shared" si="8"/>
        <v>0</v>
      </c>
      <c r="AA20" s="143">
        <f t="shared" si="8"/>
        <v>0</v>
      </c>
      <c r="AB20" s="143">
        <f t="shared" si="8"/>
        <v>0</v>
      </c>
      <c r="AC20" s="143">
        <f t="shared" si="8"/>
        <v>0</v>
      </c>
      <c r="AD20" s="143">
        <f t="shared" si="8"/>
        <v>0</v>
      </c>
      <c r="AE20" s="143">
        <f t="shared" si="8"/>
        <v>0</v>
      </c>
      <c r="AF20" s="143" t="e">
        <f t="shared" si="8"/>
        <v>#VALUE!</v>
      </c>
      <c r="AG20" s="143" t="e">
        <f t="shared" si="8"/>
        <v>#VALUE!</v>
      </c>
    </row>
    <row r="21" spans="1:33" ht="16" outlineLevel="1">
      <c r="A21" s="132" t="s">
        <v>203</v>
      </c>
      <c r="D21" s="97" t="s">
        <v>204</v>
      </c>
      <c r="E21" s="97"/>
      <c r="F21" s="97"/>
      <c r="G21" s="97"/>
      <c r="H21" s="97"/>
      <c r="I21" s="159"/>
      <c r="J21" s="97"/>
      <c r="K21" s="97"/>
      <c r="L21" s="97"/>
      <c r="M21" s="97"/>
      <c r="O21" s="97"/>
      <c r="P21" s="181">
        <f t="shared" ref="P21:AG21" si="9">-P22</f>
        <v>-1.8418533970427635</v>
      </c>
      <c r="Q21" s="181">
        <f t="shared" si="9"/>
        <v>-1.8441845138248123</v>
      </c>
      <c r="R21" s="181">
        <f>-R22</f>
        <v>-1.8617807522939822</v>
      </c>
      <c r="S21" s="181">
        <f t="shared" si="9"/>
        <v>-1.8795448848138498</v>
      </c>
      <c r="T21" s="181">
        <f t="shared" si="9"/>
        <v>-1.8974785133411247</v>
      </c>
      <c r="U21" s="181">
        <f t="shared" si="9"/>
        <v>-1.9155832551175447</v>
      </c>
      <c r="V21" s="143">
        <f t="shared" si="9"/>
        <v>-1.9338607428157193</v>
      </c>
      <c r="W21" s="143">
        <f t="shared" si="9"/>
        <v>-1.9523126246863551</v>
      </c>
      <c r="X21" s="143">
        <f t="shared" si="9"/>
        <v>-1.9709405647068969</v>
      </c>
      <c r="Y21" s="143">
        <f t="shared" si="9"/>
        <v>-1.9897462427316093</v>
      </c>
      <c r="Z21" s="143">
        <f t="shared" si="9"/>
        <v>0</v>
      </c>
      <c r="AA21" s="143">
        <f t="shared" si="9"/>
        <v>0</v>
      </c>
      <c r="AB21" s="143">
        <f t="shared" si="9"/>
        <v>0</v>
      </c>
      <c r="AC21" s="143">
        <f t="shared" si="9"/>
        <v>0</v>
      </c>
      <c r="AD21" s="143">
        <f t="shared" si="9"/>
        <v>0</v>
      </c>
      <c r="AE21" s="143">
        <f t="shared" si="9"/>
        <v>0</v>
      </c>
      <c r="AF21" s="143" t="e">
        <f t="shared" si="9"/>
        <v>#VALUE!</v>
      </c>
      <c r="AG21" s="143" t="e">
        <f t="shared" si="9"/>
        <v>#VALUE!</v>
      </c>
    </row>
    <row r="22" spans="1:33" ht="16" outlineLevel="1">
      <c r="A22" s="145" t="s">
        <v>212</v>
      </c>
      <c r="D22" s="97" t="str">
        <f>_xll.DBRA(xServer&amp;":Indicator_LTP",$A22,xLanguage)</f>
        <v>IFRS16-Nouveaux  Autres Lease_Tech_Decroissance_Dette_IFRS16_Var1</v>
      </c>
      <c r="E22" s="97"/>
      <c r="F22" s="97"/>
      <c r="G22" s="97"/>
      <c r="H22" s="97"/>
      <c r="I22" s="159"/>
      <c r="J22" s="97"/>
      <c r="K22" s="97"/>
      <c r="L22" s="97"/>
      <c r="M22" s="97"/>
      <c r="O22" s="97"/>
      <c r="P22" s="181">
        <f t="shared" ref="P22:AG22" si="10">-(P11-P20)</f>
        <v>1.8418533970427635</v>
      </c>
      <c r="Q22" s="181">
        <f t="shared" si="10"/>
        <v>1.8441845138248123</v>
      </c>
      <c r="R22" s="181">
        <f t="shared" si="10"/>
        <v>1.8617807522939822</v>
      </c>
      <c r="S22" s="181">
        <f t="shared" si="10"/>
        <v>1.8795448848138498</v>
      </c>
      <c r="T22" s="181">
        <f t="shared" si="10"/>
        <v>1.8974785133411247</v>
      </c>
      <c r="U22" s="181">
        <f t="shared" si="10"/>
        <v>1.9155832551175447</v>
      </c>
      <c r="V22" s="143">
        <f t="shared" si="10"/>
        <v>1.9338607428157193</v>
      </c>
      <c r="W22" s="143">
        <f t="shared" si="10"/>
        <v>1.9523126246863551</v>
      </c>
      <c r="X22" s="143">
        <f t="shared" si="10"/>
        <v>1.9709405647068969</v>
      </c>
      <c r="Y22" s="143">
        <f t="shared" si="10"/>
        <v>1.9897462427316093</v>
      </c>
      <c r="Z22" s="143">
        <f t="shared" si="10"/>
        <v>0</v>
      </c>
      <c r="AA22" s="143">
        <f t="shared" si="10"/>
        <v>0</v>
      </c>
      <c r="AB22" s="143">
        <f t="shared" si="10"/>
        <v>0</v>
      </c>
      <c r="AC22" s="143">
        <f t="shared" si="10"/>
        <v>0</v>
      </c>
      <c r="AD22" s="143">
        <f t="shared" si="10"/>
        <v>0</v>
      </c>
      <c r="AE22" s="143">
        <f t="shared" si="10"/>
        <v>0</v>
      </c>
      <c r="AF22" s="143" t="e">
        <f t="shared" si="10"/>
        <v>#VALUE!</v>
      </c>
      <c r="AG22" s="143" t="e">
        <f t="shared" si="10"/>
        <v>#VALUE!</v>
      </c>
    </row>
    <row r="23" spans="1:33" ht="16">
      <c r="A23" s="132" t="s">
        <v>36</v>
      </c>
      <c r="D23" s="190" t="str">
        <f>_xll.DBRA(xServer&amp;":Indicator_LTP",$A23,xLanguage)</f>
        <v>FLUX NET DE VARIATION EFN</v>
      </c>
      <c r="E23" s="190"/>
      <c r="F23" s="190"/>
      <c r="G23" s="190"/>
      <c r="H23" s="190"/>
      <c r="I23" s="191"/>
      <c r="J23" s="190"/>
      <c r="K23" s="190"/>
      <c r="L23" s="190"/>
      <c r="M23" s="190"/>
      <c r="O23" s="187"/>
      <c r="P23" s="189">
        <f>SUM(P19:P22)</f>
        <v>-0.15814660295723648</v>
      </c>
      <c r="Q23" s="189">
        <f t="shared" ref="Q23:AG23" si="11">SUM(Q19:Q22)</f>
        <v>-0.1558154861751877</v>
      </c>
      <c r="R23" s="189">
        <f t="shared" si="11"/>
        <v>-0.13821924770601779</v>
      </c>
      <c r="S23" s="189">
        <f t="shared" si="11"/>
        <v>-0.12045511518615015</v>
      </c>
      <c r="T23" s="189">
        <f t="shared" si="11"/>
        <v>-0.10252148665887528</v>
      </c>
      <c r="U23" s="189">
        <f t="shared" si="11"/>
        <v>-8.4416744882455319E-2</v>
      </c>
      <c r="V23" s="189">
        <f t="shared" si="11"/>
        <v>-6.6139257184280709E-2</v>
      </c>
      <c r="W23" s="189">
        <f t="shared" si="11"/>
        <v>-4.7687375313644864E-2</v>
      </c>
      <c r="X23" s="189">
        <f t="shared" si="11"/>
        <v>-2.9059435293103064E-2</v>
      </c>
      <c r="Y23" s="189">
        <f t="shared" si="11"/>
        <v>-1.0253757268390729E-2</v>
      </c>
      <c r="Z23" s="189">
        <f t="shared" si="11"/>
        <v>0</v>
      </c>
      <c r="AA23" s="189">
        <f t="shared" si="11"/>
        <v>0</v>
      </c>
      <c r="AB23" s="189">
        <f t="shared" si="11"/>
        <v>0</v>
      </c>
      <c r="AC23" s="189">
        <f t="shared" si="11"/>
        <v>0</v>
      </c>
      <c r="AD23" s="189">
        <f t="shared" si="11"/>
        <v>0</v>
      </c>
      <c r="AE23" s="189">
        <f t="shared" si="11"/>
        <v>0</v>
      </c>
      <c r="AF23" s="189" t="e">
        <f t="shared" si="11"/>
        <v>#VALUE!</v>
      </c>
      <c r="AG23" s="189" t="e">
        <f t="shared" si="11"/>
        <v>#VALUE!</v>
      </c>
    </row>
    <row r="24" spans="1:33" ht="13.5">
      <c r="A24" s="136"/>
      <c r="D24" s="136"/>
      <c r="E24" s="136"/>
      <c r="F24" s="136"/>
      <c r="G24" s="136"/>
      <c r="H24" s="136"/>
      <c r="I24" s="155"/>
      <c r="J24" s="137"/>
      <c r="K24" s="136"/>
      <c r="L24" s="136"/>
      <c r="M24" s="136"/>
      <c r="O24" s="136"/>
      <c r="P24" s="138"/>
      <c r="Q24" s="138"/>
      <c r="R24" s="138"/>
      <c r="S24" s="138"/>
      <c r="T24" s="138"/>
      <c r="U24" s="138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1:33" ht="18.5">
      <c r="A25" s="136"/>
      <c r="D25" s="135" t="str">
        <f>IF(xLanguage="English","Balance sheet","Bilan")</f>
        <v>Bilan</v>
      </c>
      <c r="E25" s="135"/>
      <c r="F25" s="135"/>
      <c r="G25" s="135"/>
      <c r="H25" s="135"/>
      <c r="I25" s="156"/>
      <c r="J25" s="135"/>
      <c r="K25" s="135"/>
      <c r="L25" s="135"/>
      <c r="M25" s="135"/>
      <c r="O25" s="135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</row>
    <row r="26" spans="1:33" ht="16">
      <c r="A26" s="161" t="s">
        <v>198</v>
      </c>
      <c r="D26" s="95" t="str">
        <f>_xll.DBRA(xServer&amp;":Indicator_LTP",$A26,xLanguage)</f>
        <v>Droits d'utilisation (Net)</v>
      </c>
      <c r="E26" s="95"/>
      <c r="F26" s="95"/>
      <c r="G26" s="95"/>
      <c r="H26" s="95"/>
      <c r="I26" s="157"/>
      <c r="J26" s="95"/>
      <c r="K26" s="95"/>
      <c r="L26" s="95"/>
      <c r="M26" s="95"/>
      <c r="O26" s="187"/>
      <c r="P26" s="189">
        <f>-P19+M26+P14</f>
        <v>-1.9087285491374701</v>
      </c>
      <c r="Q26" s="189">
        <f t="shared" ref="Q26:AG26" si="12">-Q19+P26+Q14</f>
        <v>-3.8174570982749403</v>
      </c>
      <c r="R26" s="189">
        <f t="shared" si="12"/>
        <v>-5.7261856474124109</v>
      </c>
      <c r="S26" s="189">
        <f t="shared" si="12"/>
        <v>-7.6349141965498815</v>
      </c>
      <c r="T26" s="189">
        <f t="shared" si="12"/>
        <v>-9.543642745687352</v>
      </c>
      <c r="U26" s="189">
        <f t="shared" si="12"/>
        <v>-11.452371294824822</v>
      </c>
      <c r="V26" s="189">
        <f t="shared" si="12"/>
        <v>-13.361099843962291</v>
      </c>
      <c r="W26" s="189">
        <f t="shared" si="12"/>
        <v>-15.269828393099761</v>
      </c>
      <c r="X26" s="189">
        <f t="shared" si="12"/>
        <v>-17.178556942237233</v>
      </c>
      <c r="Y26" s="189">
        <f t="shared" si="12"/>
        <v>-19.087285491374704</v>
      </c>
      <c r="Z26" s="189">
        <f t="shared" si="12"/>
        <v>-19.087285491374704</v>
      </c>
      <c r="AA26" s="189">
        <f t="shared" si="12"/>
        <v>-19.087285491374704</v>
      </c>
      <c r="AB26" s="189">
        <f t="shared" si="12"/>
        <v>-19.087285491374704</v>
      </c>
      <c r="AC26" s="189">
        <f t="shared" si="12"/>
        <v>-19.087285491374704</v>
      </c>
      <c r="AD26" s="189">
        <f t="shared" si="12"/>
        <v>-19.087285491374704</v>
      </c>
      <c r="AE26" s="189">
        <f t="shared" si="12"/>
        <v>-19.087285491374704</v>
      </c>
      <c r="AF26" s="189" t="e">
        <f t="shared" si="12"/>
        <v>#VALUE!</v>
      </c>
      <c r="AG26" s="189" t="e">
        <f t="shared" si="12"/>
        <v>#VALUE!</v>
      </c>
    </row>
    <row r="27" spans="1:33" ht="16">
      <c r="A27" s="162" t="s">
        <v>42</v>
      </c>
      <c r="D27" s="190" t="str">
        <f>_xll.DBRA(xServer&amp;":Indicator_LTP",$A27,xLanguage)</f>
        <v>TOTAL CAPITAUX EMPLOYES</v>
      </c>
      <c r="E27" s="190"/>
      <c r="F27" s="190"/>
      <c r="G27" s="190"/>
      <c r="H27" s="190"/>
      <c r="I27" s="191"/>
      <c r="J27" s="190"/>
      <c r="K27" s="190"/>
      <c r="L27" s="190"/>
      <c r="M27" s="190"/>
      <c r="O27" s="187"/>
      <c r="P27" s="189">
        <f t="shared" ref="P27:Z27" si="13">SUM(P26:P26)</f>
        <v>-1.9087285491374701</v>
      </c>
      <c r="Q27" s="189">
        <f t="shared" si="13"/>
        <v>-3.8174570982749403</v>
      </c>
      <c r="R27" s="189">
        <f t="shared" si="13"/>
        <v>-5.7261856474124109</v>
      </c>
      <c r="S27" s="189">
        <f t="shared" si="13"/>
        <v>-7.6349141965498815</v>
      </c>
      <c r="T27" s="189">
        <f t="shared" si="13"/>
        <v>-9.543642745687352</v>
      </c>
      <c r="U27" s="189">
        <f t="shared" si="13"/>
        <v>-11.452371294824822</v>
      </c>
      <c r="V27" s="189">
        <f t="shared" si="13"/>
        <v>-13.361099843962291</v>
      </c>
      <c r="W27" s="189">
        <f t="shared" si="13"/>
        <v>-15.269828393099761</v>
      </c>
      <c r="X27" s="189">
        <f t="shared" si="13"/>
        <v>-17.178556942237233</v>
      </c>
      <c r="Y27" s="189">
        <f t="shared" si="13"/>
        <v>-19.087285491374704</v>
      </c>
      <c r="Z27" s="189">
        <f t="shared" si="13"/>
        <v>-19.087285491374704</v>
      </c>
      <c r="AA27" s="189">
        <f t="shared" ref="AA27:AG27" si="14">SUM(AA26:AA26)</f>
        <v>-19.087285491374704</v>
      </c>
      <c r="AB27" s="189">
        <f t="shared" si="14"/>
        <v>-19.087285491374704</v>
      </c>
      <c r="AC27" s="189">
        <f t="shared" si="14"/>
        <v>-19.087285491374704</v>
      </c>
      <c r="AD27" s="189">
        <f t="shared" si="14"/>
        <v>-19.087285491374704</v>
      </c>
      <c r="AE27" s="189">
        <f t="shared" si="14"/>
        <v>-19.087285491374704</v>
      </c>
      <c r="AF27" s="189" t="e">
        <f t="shared" si="14"/>
        <v>#VALUE!</v>
      </c>
      <c r="AG27" s="189" t="e">
        <f t="shared" si="14"/>
        <v>#VALUE!</v>
      </c>
    </row>
    <row r="28" spans="1:33" ht="16">
      <c r="A28" s="161" t="s">
        <v>199</v>
      </c>
      <c r="D28" s="97" t="str">
        <f>_xll.DBRA(xServer&amp;":Indicator_LTP",$A28,xLanguage)</f>
        <v>IFRS16 Dette de Location</v>
      </c>
      <c r="E28" s="97"/>
      <c r="F28" s="97"/>
      <c r="G28" s="97"/>
      <c r="H28" s="97"/>
      <c r="I28" s="159"/>
      <c r="J28" s="97"/>
      <c r="K28" s="97"/>
      <c r="L28" s="97"/>
      <c r="M28" s="97"/>
      <c r="O28" s="97"/>
      <c r="P28" s="186">
        <f>M28+SUM(P19,P22)</f>
        <v>1.8418533970427635</v>
      </c>
      <c r="Q28" s="186">
        <f t="shared" ref="Q28:AG28" si="15">P28+SUM(Q19,Q22)</f>
        <v>3.6860379108675758</v>
      </c>
      <c r="R28" s="186">
        <f t="shared" si="15"/>
        <v>5.547818663161558</v>
      </c>
      <c r="S28" s="186">
        <f t="shared" si="15"/>
        <v>7.4273635479754079</v>
      </c>
      <c r="T28" s="186">
        <f t="shared" si="15"/>
        <v>9.3248420613165326</v>
      </c>
      <c r="U28" s="186">
        <f t="shared" si="15"/>
        <v>11.240425316434077</v>
      </c>
      <c r="V28" s="184">
        <f t="shared" si="15"/>
        <v>13.174286059249797</v>
      </c>
      <c r="W28" s="184">
        <f t="shared" si="15"/>
        <v>15.126598683936152</v>
      </c>
      <c r="X28" s="184">
        <f t="shared" si="15"/>
        <v>17.097539248643049</v>
      </c>
      <c r="Y28" s="184">
        <f t="shared" si="15"/>
        <v>19.087285491374658</v>
      </c>
      <c r="Z28" s="184">
        <f t="shared" si="15"/>
        <v>19.087285491374658</v>
      </c>
      <c r="AA28" s="184">
        <f t="shared" si="15"/>
        <v>19.087285491374658</v>
      </c>
      <c r="AB28" s="184">
        <f t="shared" si="15"/>
        <v>19.087285491374658</v>
      </c>
      <c r="AC28" s="184">
        <f t="shared" si="15"/>
        <v>19.087285491374658</v>
      </c>
      <c r="AD28" s="184">
        <f t="shared" si="15"/>
        <v>19.087285491374658</v>
      </c>
      <c r="AE28" s="184">
        <f t="shared" si="15"/>
        <v>19.087285491374658</v>
      </c>
      <c r="AF28" s="184" t="e">
        <f t="shared" si="15"/>
        <v>#VALUE!</v>
      </c>
      <c r="AG28" s="184" t="e">
        <f t="shared" si="15"/>
        <v>#VALUE!</v>
      </c>
    </row>
    <row r="29" spans="1:33" ht="16">
      <c r="A29" s="161" t="s">
        <v>200</v>
      </c>
      <c r="D29" s="97" t="str">
        <f>_xll.DBRA(xServer&amp;":Indicator_LTP",$A29,xLanguage)</f>
        <v>Autre Dette</v>
      </c>
      <c r="E29" s="97"/>
      <c r="F29" s="97"/>
      <c r="G29" s="97"/>
      <c r="H29" s="97"/>
      <c r="I29" s="159"/>
      <c r="J29" s="97"/>
      <c r="K29" s="97"/>
      <c r="L29" s="97"/>
      <c r="M29" s="97"/>
      <c r="O29" s="97"/>
      <c r="P29" s="181">
        <f>M29+SUM(P20,P21)</f>
        <v>-2</v>
      </c>
      <c r="Q29" s="181">
        <f t="shared" ref="Q29:AG29" si="16">P29+SUM(Q20,Q21)</f>
        <v>-4</v>
      </c>
      <c r="R29" s="181">
        <f t="shared" si="16"/>
        <v>-6</v>
      </c>
      <c r="S29" s="181">
        <f t="shared" si="16"/>
        <v>-8</v>
      </c>
      <c r="T29" s="181">
        <f t="shared" si="16"/>
        <v>-10</v>
      </c>
      <c r="U29" s="181">
        <f t="shared" si="16"/>
        <v>-12</v>
      </c>
      <c r="V29" s="184">
        <f t="shared" si="16"/>
        <v>-14</v>
      </c>
      <c r="W29" s="184">
        <f t="shared" si="16"/>
        <v>-16</v>
      </c>
      <c r="X29" s="184">
        <f t="shared" si="16"/>
        <v>-18</v>
      </c>
      <c r="Y29" s="184">
        <f t="shared" si="16"/>
        <v>-20</v>
      </c>
      <c r="Z29" s="184">
        <f t="shared" si="16"/>
        <v>-20</v>
      </c>
      <c r="AA29" s="184">
        <f t="shared" si="16"/>
        <v>-20</v>
      </c>
      <c r="AB29" s="184">
        <f t="shared" si="16"/>
        <v>-20</v>
      </c>
      <c r="AC29" s="184">
        <f t="shared" si="16"/>
        <v>-20</v>
      </c>
      <c r="AD29" s="184">
        <f t="shared" si="16"/>
        <v>-20</v>
      </c>
      <c r="AE29" s="184">
        <f t="shared" si="16"/>
        <v>-20</v>
      </c>
      <c r="AF29" s="184" t="e">
        <f t="shared" si="16"/>
        <v>#VALUE!</v>
      </c>
      <c r="AG29" s="184" t="e">
        <f t="shared" si="16"/>
        <v>#VALUE!</v>
      </c>
    </row>
    <row r="30" spans="1:33" ht="16">
      <c r="A30" s="132" t="s">
        <v>213</v>
      </c>
      <c r="D30" s="190" t="str">
        <f>_xll.DBRA(xServer&amp;":Indicator_LTP",$A30,xLanguage)</f>
        <v>ENDETTEMENT FINANCIER NET (EFN)</v>
      </c>
      <c r="E30" s="190"/>
      <c r="F30" s="190"/>
      <c r="G30" s="190"/>
      <c r="H30" s="190"/>
      <c r="I30" s="191"/>
      <c r="J30" s="190"/>
      <c r="K30" s="190"/>
      <c r="L30" s="190"/>
      <c r="M30" s="190"/>
      <c r="O30" s="187"/>
      <c r="P30" s="189">
        <f>P23</f>
        <v>-0.15814660295723648</v>
      </c>
      <c r="Q30" s="189">
        <f>P30+Q23</f>
        <v>-0.31396208913242418</v>
      </c>
      <c r="R30" s="189">
        <f>Q30+R23</f>
        <v>-0.45218133683844197</v>
      </c>
      <c r="S30" s="189">
        <f>R30+S23</f>
        <v>-0.57263645202459212</v>
      </c>
      <c r="T30" s="189">
        <f>S30+T23</f>
        <v>-0.67515793868346741</v>
      </c>
      <c r="U30" s="189">
        <f>T30+U23</f>
        <v>-0.75957468356592273</v>
      </c>
      <c r="V30" s="189">
        <f t="shared" ref="V30:AG30" si="17">U30+V23</f>
        <v>-0.82571394075020343</v>
      </c>
      <c r="W30" s="189">
        <f t="shared" si="17"/>
        <v>-0.8734013160638483</v>
      </c>
      <c r="X30" s="189">
        <f t="shared" si="17"/>
        <v>-0.90246075135695136</v>
      </c>
      <c r="Y30" s="189">
        <f t="shared" si="17"/>
        <v>-0.91271450862534209</v>
      </c>
      <c r="Z30" s="189">
        <f t="shared" si="17"/>
        <v>-0.91271450862534209</v>
      </c>
      <c r="AA30" s="189">
        <f t="shared" si="17"/>
        <v>-0.91271450862534209</v>
      </c>
      <c r="AB30" s="189">
        <f t="shared" si="17"/>
        <v>-0.91271450862534209</v>
      </c>
      <c r="AC30" s="189">
        <f t="shared" si="17"/>
        <v>-0.91271450862534209</v>
      </c>
      <c r="AD30" s="189">
        <f t="shared" si="17"/>
        <v>-0.91271450862534209</v>
      </c>
      <c r="AE30" s="189">
        <f t="shared" si="17"/>
        <v>-0.91271450862534209</v>
      </c>
      <c r="AF30" s="189" t="e">
        <f t="shared" si="17"/>
        <v>#VALUE!</v>
      </c>
      <c r="AG30" s="189" t="e">
        <f t="shared" si="17"/>
        <v>#VALUE!</v>
      </c>
    </row>
    <row r="31" spans="1:33" ht="16">
      <c r="A31" s="162" t="s">
        <v>50</v>
      </c>
      <c r="D31" s="99" t="str">
        <f>_xll.DBRA(xServer&amp;":Indicator_LTP",$A31,xLanguage)</f>
        <v>Capitaux propres Groupe</v>
      </c>
      <c r="E31" s="99"/>
      <c r="F31" s="99"/>
      <c r="G31" s="99"/>
      <c r="H31" s="99"/>
      <c r="I31" s="160"/>
      <c r="J31" s="99"/>
      <c r="K31" s="99"/>
      <c r="L31" s="99"/>
      <c r="M31" s="99"/>
      <c r="O31" s="99"/>
      <c r="P31" s="186">
        <f>-P16</f>
        <v>2.0668751520947066</v>
      </c>
      <c r="Q31" s="186">
        <f t="shared" ref="Q31:AG31" si="18">P31-Q16</f>
        <v>4.1314191874073654</v>
      </c>
      <c r="R31" s="186">
        <f t="shared" si="18"/>
        <v>6.1783669842508537</v>
      </c>
      <c r="S31" s="186">
        <f t="shared" si="18"/>
        <v>8.2075506485744754</v>
      </c>
      <c r="T31" s="186">
        <f t="shared" si="18"/>
        <v>10.218800684370821</v>
      </c>
      <c r="U31" s="186">
        <f t="shared" si="18"/>
        <v>12.211945978390746</v>
      </c>
      <c r="V31" s="184">
        <f t="shared" si="18"/>
        <v>14.186813784712497</v>
      </c>
      <c r="W31" s="184">
        <f t="shared" si="18"/>
        <v>16.143229709163613</v>
      </c>
      <c r="X31" s="184">
        <f t="shared" si="18"/>
        <v>18.081017693594188</v>
      </c>
      <c r="Y31" s="184">
        <f t="shared" si="18"/>
        <v>20.00000000000005</v>
      </c>
      <c r="Z31" s="184">
        <f t="shared" si="18"/>
        <v>20.00000000000005</v>
      </c>
      <c r="AA31" s="184">
        <f t="shared" si="18"/>
        <v>20.00000000000005</v>
      </c>
      <c r="AB31" s="184">
        <f t="shared" si="18"/>
        <v>20.00000000000005</v>
      </c>
      <c r="AC31" s="184">
        <f t="shared" si="18"/>
        <v>20.00000000000005</v>
      </c>
      <c r="AD31" s="184">
        <f t="shared" si="18"/>
        <v>20.00000000000005</v>
      </c>
      <c r="AE31" s="184">
        <f t="shared" si="18"/>
        <v>20.00000000000005</v>
      </c>
      <c r="AF31" s="184" t="e">
        <f t="shared" si="18"/>
        <v>#VALUE!</v>
      </c>
      <c r="AG31" s="184" t="e">
        <f t="shared" si="18"/>
        <v>#VALUE!</v>
      </c>
    </row>
    <row r="32" spans="1:33" ht="16">
      <c r="A32" s="162" t="s">
        <v>62</v>
      </c>
      <c r="D32" s="187" t="str">
        <f>_xll.DBRA(xServer&amp;":Indicator_LTP",$A32,xLanguage)</f>
        <v>CAPITAUX PROPRES &amp; TITRES</v>
      </c>
      <c r="E32" s="187"/>
      <c r="F32" s="187"/>
      <c r="G32" s="187"/>
      <c r="H32" s="187"/>
      <c r="I32" s="188"/>
      <c r="J32" s="187"/>
      <c r="K32" s="187"/>
      <c r="L32" s="187"/>
      <c r="M32" s="187"/>
      <c r="O32" s="187"/>
      <c r="P32" s="189">
        <f t="shared" ref="P32:AG32" si="19">P31</f>
        <v>2.0668751520947066</v>
      </c>
      <c r="Q32" s="189">
        <f t="shared" si="19"/>
        <v>4.1314191874073654</v>
      </c>
      <c r="R32" s="189">
        <f t="shared" si="19"/>
        <v>6.1783669842508537</v>
      </c>
      <c r="S32" s="189">
        <f t="shared" si="19"/>
        <v>8.2075506485744754</v>
      </c>
      <c r="T32" s="189">
        <f t="shared" si="19"/>
        <v>10.218800684370821</v>
      </c>
      <c r="U32" s="189">
        <f t="shared" si="19"/>
        <v>12.211945978390746</v>
      </c>
      <c r="V32" s="189">
        <f t="shared" si="19"/>
        <v>14.186813784712497</v>
      </c>
      <c r="W32" s="189">
        <f t="shared" si="19"/>
        <v>16.143229709163613</v>
      </c>
      <c r="X32" s="189">
        <f t="shared" si="19"/>
        <v>18.081017693594188</v>
      </c>
      <c r="Y32" s="189">
        <f t="shared" si="19"/>
        <v>20.00000000000005</v>
      </c>
      <c r="Z32" s="189">
        <f t="shared" si="19"/>
        <v>20.00000000000005</v>
      </c>
      <c r="AA32" s="189">
        <f t="shared" si="19"/>
        <v>20.00000000000005</v>
      </c>
      <c r="AB32" s="189">
        <f t="shared" si="19"/>
        <v>20.00000000000005</v>
      </c>
      <c r="AC32" s="189">
        <f t="shared" si="19"/>
        <v>20.00000000000005</v>
      </c>
      <c r="AD32" s="189">
        <f t="shared" si="19"/>
        <v>20.00000000000005</v>
      </c>
      <c r="AE32" s="189">
        <f t="shared" si="19"/>
        <v>20.00000000000005</v>
      </c>
      <c r="AF32" s="189" t="e">
        <f t="shared" si="19"/>
        <v>#VALUE!</v>
      </c>
      <c r="AG32" s="189" t="e">
        <f t="shared" si="19"/>
        <v>#VALUE!</v>
      </c>
    </row>
    <row r="33" spans="4:33" s="175" customFormat="1" ht="13.5">
      <c r="D33" s="146" t="s">
        <v>205</v>
      </c>
      <c r="E33" s="146"/>
      <c r="F33" s="146"/>
      <c r="G33" s="146"/>
      <c r="H33" s="146"/>
      <c r="I33" s="146"/>
      <c r="J33" s="147"/>
      <c r="K33" s="146"/>
      <c r="L33" s="146"/>
      <c r="M33" s="146"/>
      <c r="N33" s="166"/>
      <c r="O33" s="148"/>
      <c r="P33" s="148">
        <f t="shared" ref="P33:AG33" si="20">P27+P30+P32</f>
        <v>0</v>
      </c>
      <c r="Q33" s="146">
        <f t="shared" si="20"/>
        <v>0</v>
      </c>
      <c r="R33" s="149">
        <f t="shared" si="20"/>
        <v>0</v>
      </c>
      <c r="S33" s="149">
        <f t="shared" si="20"/>
        <v>0</v>
      </c>
      <c r="T33" s="149">
        <f t="shared" si="20"/>
        <v>0</v>
      </c>
      <c r="U33" s="149">
        <f t="shared" si="20"/>
        <v>0</v>
      </c>
      <c r="V33" s="149">
        <f t="shared" si="20"/>
        <v>0</v>
      </c>
      <c r="W33" s="149">
        <f t="shared" si="20"/>
        <v>0</v>
      </c>
      <c r="X33" s="185">
        <f t="shared" si="20"/>
        <v>0</v>
      </c>
      <c r="Y33" s="185">
        <f t="shared" si="20"/>
        <v>0</v>
      </c>
      <c r="Z33" s="185">
        <f t="shared" si="20"/>
        <v>0</v>
      </c>
      <c r="AA33" s="185">
        <f t="shared" si="20"/>
        <v>0</v>
      </c>
      <c r="AB33" s="185">
        <f t="shared" si="20"/>
        <v>0</v>
      </c>
      <c r="AC33" s="185">
        <f t="shared" si="20"/>
        <v>0</v>
      </c>
      <c r="AD33" s="185">
        <f t="shared" si="20"/>
        <v>0</v>
      </c>
      <c r="AE33" s="185">
        <f t="shared" si="20"/>
        <v>0</v>
      </c>
      <c r="AF33" s="185" t="e">
        <f t="shared" si="20"/>
        <v>#VALUE!</v>
      </c>
      <c r="AG33" s="185" t="e">
        <f t="shared" si="20"/>
        <v>#VALUE!</v>
      </c>
    </row>
  </sheetData>
  <sheetProtection algorithmName="SHA-512" hashValue="O9lgiLMDnpLbupocXrlk2ZQSFaoRiYYcFzHb/vWMG+jAUVajL5eLAxhk3+MeNapjGfmx+/USOjiK00H0ULrJdg==" saltValue="VTC1Eh8KhMcYsvXVJl65DQ==" spinCount="100000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660400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0C2A4"/>
  </sheetPr>
  <dimension ref="A1:E59"/>
  <sheetViews>
    <sheetView showGridLines="0" topLeftCell="B1" workbookViewId="0"/>
  </sheetViews>
  <sheetFormatPr baseColWidth="10" defaultColWidth="9.1796875" defaultRowHeight="13"/>
  <cols>
    <col min="1" max="1" width="19.453125" hidden="1" customWidth="1"/>
    <col min="2" max="2" width="46.81640625" bestFit="1" customWidth="1"/>
    <col min="3" max="3" width="73" customWidth="1"/>
    <col min="4" max="4" width="20.7265625" customWidth="1"/>
    <col min="5" max="5" width="10.54296875" customWidth="1"/>
  </cols>
  <sheetData>
    <row r="1" spans="1:5">
      <c r="A1" t="s">
        <v>123</v>
      </c>
    </row>
    <row r="2" spans="1:5">
      <c r="A2">
        <f>0</f>
        <v>0</v>
      </c>
      <c r="B2" s="62"/>
      <c r="C2" s="52"/>
      <c r="D2" s="63"/>
      <c r="E2" s="61"/>
    </row>
    <row r="3" spans="1:5">
      <c r="A3">
        <f>1</f>
        <v>1</v>
      </c>
      <c r="B3" s="62"/>
      <c r="C3" s="53"/>
      <c r="D3" s="63"/>
      <c r="E3" s="61"/>
    </row>
    <row r="4" spans="1:5">
      <c r="A4">
        <f>2</f>
        <v>2</v>
      </c>
      <c r="B4" s="62"/>
      <c r="C4" s="53"/>
      <c r="D4" s="63"/>
      <c r="E4" s="61"/>
    </row>
    <row r="5" spans="1:5">
      <c r="A5">
        <f>3</f>
        <v>3</v>
      </c>
      <c r="B5" s="62"/>
      <c r="C5" s="53"/>
      <c r="D5" s="63"/>
      <c r="E5" s="61"/>
    </row>
    <row r="6" spans="1:5">
      <c r="A6" t="s">
        <v>121</v>
      </c>
      <c r="B6" s="62"/>
      <c r="C6" s="53"/>
      <c r="D6" s="63"/>
      <c r="E6" s="61"/>
    </row>
    <row r="7" spans="1:5">
      <c r="A7" t="s">
        <v>122</v>
      </c>
      <c r="B7" s="62"/>
      <c r="D7" s="63"/>
      <c r="E7" s="61"/>
    </row>
    <row r="8" spans="1:5">
      <c r="A8" t="s">
        <v>124</v>
      </c>
    </row>
    <row r="9" spans="1:5">
      <c r="B9" t="str">
        <f>_xll.TM1RPTVIEW(Server&amp;"TC_CONTROL_LEGAL_ACTIVITY:ARPT1", 1,TM1RPTFMTRNG,TM1RPTFMTIDCOL)</f>
        <v>tango_core_model:TC_CONTROL_LEGAL_ACTIVITY:ARPT1</v>
      </c>
    </row>
    <row r="10" spans="1:5">
      <c r="B10" s="54" t="str">
        <f>"{[Legal_Organization].["&amp;$D$12&amp;"]}"</f>
        <v>{[Legal_Organization].[TRANSDEV All]}</v>
      </c>
    </row>
    <row r="11" spans="1:5" ht="130">
      <c r="B11" s="107"/>
      <c r="C11" s="129" t="str">
        <f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[TC_CONTROL_LEGAL_ACTIVITY].([Legal_Organization].[TRANSDEV All],[z_Str_Var].[STR_VAR1])='1'
)}</v>
      </c>
      <c r="D11" s="54" t="s">
        <v>183</v>
      </c>
    </row>
    <row r="12" spans="1:5">
      <c r="B12" s="55" t="s">
        <v>125</v>
      </c>
      <c r="D12" s="50" t="str">
        <f>_xll.SUBNM(Server&amp;"Legal_Organization","",Context!$I$12,Context!$I$15)</f>
        <v>TRANSDEV All</v>
      </c>
    </row>
    <row r="13" spans="1:5">
      <c r="B13" s="50"/>
      <c r="D13" s="50"/>
    </row>
    <row r="14" spans="1:5">
      <c r="E14" s="51" t="s">
        <v>120</v>
      </c>
    </row>
    <row r="15" spans="1:5">
      <c r="A15">
        <f>IF(_xll.TM1RPTELISCONSOLIDATED($C$15,$C15),IF(_xll.TM1RPTELLEV($C$15,$C15)&lt;=3,_xll.TM1RPTELLEV($C$15,$C15),"D"),"N")</f>
        <v>0</v>
      </c>
      <c r="B15" s="324" t="str">
        <f>_xll.TM1RPTROW($B$9,Server&amp;"Legal_Organization","","",Context!$I$15,0,$B$10,,1)</f>
        <v>TRANSDEV All</v>
      </c>
      <c r="C15" s="325" t="str">
        <f>_xll.TM1RPTROW($B$9,Server&amp;"Activity","",,"",0,$C$11)</f>
        <v>Tot_act</v>
      </c>
      <c r="D15" s="63" t="str">
        <f>_xll.DBRA(Server&amp;"Activity",$C15,Context!$I$15)</f>
        <v>Total Activités</v>
      </c>
      <c r="E15" s="61" t="str">
        <f>_xll.DBRW($B$9,$B15,$C15,E$14)</f>
        <v>1</v>
      </c>
    </row>
    <row r="16" spans="1:5">
      <c r="A16" t="str">
        <f>IF(_xll.TM1RPTELISCONSOLIDATED($C$15,$C16),IF(_xll.TM1RPTELLEV($C$15,$C16)&lt;=3,_xll.TM1RPTELLEV($C$15,$C16),"D"),"N")</f>
        <v>N</v>
      </c>
      <c r="B16" s="324" t="s">
        <v>231</v>
      </c>
      <c r="C16" s="326" t="s">
        <v>251</v>
      </c>
      <c r="D16" s="63" t="str">
        <f>_xll.DBRA(Server&amp;"Activity",$C16,Context!$I$15)</f>
        <v>Bus (Urbain)</v>
      </c>
      <c r="E16" s="61" t="str">
        <f>_xll.DBRW($B$9,$B16,$C16,E$14)</f>
        <v>1</v>
      </c>
    </row>
    <row r="17" spans="1:5">
      <c r="A17" t="str">
        <f>IF(_xll.TM1RPTELISCONSOLIDATED($C$15,$C17),IF(_xll.TM1RPTELLEV($C$15,$C17)&lt;=3,_xll.TM1RPTELLEV($C$15,$C17),"D"),"N")</f>
        <v>N</v>
      </c>
      <c r="B17" s="324" t="s">
        <v>231</v>
      </c>
      <c r="C17" s="326" t="s">
        <v>252</v>
      </c>
      <c r="D17" s="63" t="str">
        <f>_xll.DBRA(Server&amp;"Activity",$C17,Context!$I$15)</f>
        <v>Rail léger</v>
      </c>
      <c r="E17" s="61" t="str">
        <f>_xll.DBRW($B$9,$B17,$C17,E$14)</f>
        <v>1</v>
      </c>
    </row>
    <row r="18" spans="1:5">
      <c r="A18" t="str">
        <f>IF(_xll.TM1RPTELISCONSOLIDATED($C$15,$C18),IF(_xll.TM1RPTELLEV($C$15,$C18)&lt;=3,_xll.TM1RPTELLEV($C$15,$C18),"D"),"N")</f>
        <v>N</v>
      </c>
      <c r="B18" s="324" t="s">
        <v>231</v>
      </c>
      <c r="C18" s="326" t="s">
        <v>253</v>
      </c>
      <c r="D18" s="63" t="str">
        <f>_xll.DBRA(Server&amp;"Activity",$C18,Context!$I$15)</f>
        <v>Métro</v>
      </c>
      <c r="E18" s="61" t="str">
        <f>_xll.DBRW($B$9,$B18,$C18,E$14)</f>
        <v>1</v>
      </c>
    </row>
    <row r="19" spans="1:5">
      <c r="A19" t="str">
        <f>IF(_xll.TM1RPTELISCONSOLIDATED($C$15,$C19),IF(_xll.TM1RPTELLEV($C$15,$C19)&lt;=3,_xll.TM1RPTELLEV($C$15,$C19),"D"),"N")</f>
        <v>N</v>
      </c>
      <c r="B19" s="324" t="s">
        <v>231</v>
      </c>
      <c r="C19" s="326" t="s">
        <v>254</v>
      </c>
      <c r="D19" s="63" t="str">
        <f>_xll.DBRA(Server&amp;"Activity",$C19,Context!$I$15)</f>
        <v>Multi-modal (Urbain)</v>
      </c>
      <c r="E19" s="61" t="str">
        <f>_xll.DBRW($B$9,$B19,$C19,E$14)</f>
        <v>1</v>
      </c>
    </row>
    <row r="20" spans="1:5">
      <c r="A20" t="str">
        <f>IF(_xll.TM1RPTELISCONSOLIDATED($C$15,$C20),IF(_xll.TM1RPTELLEV($C$15,$C20)&lt;=3,_xll.TM1RPTELLEV($C$15,$C20),"D"),"N")</f>
        <v>N</v>
      </c>
      <c r="B20" s="324" t="s">
        <v>231</v>
      </c>
      <c r="C20" s="326" t="s">
        <v>255</v>
      </c>
      <c r="D20" s="63" t="str">
        <f>_xll.DBRA(Server&amp;"Activity",$C20,Context!$I$15)</f>
        <v>Vélopartage</v>
      </c>
      <c r="E20" s="61" t="str">
        <f>_xll.DBRW($B$9,$B20,$C20,E$14)</f>
        <v>1</v>
      </c>
    </row>
    <row r="21" spans="1:5">
      <c r="A21" t="str">
        <f>IF(_xll.TM1RPTELISCONSOLIDATED($C$15,$C21),IF(_xll.TM1RPTELLEV($C$15,$C21)&lt;=3,_xll.TM1RPTELLEV($C$15,$C21),"D"),"N")</f>
        <v>N</v>
      </c>
      <c r="B21" s="324" t="s">
        <v>231</v>
      </c>
      <c r="C21" s="326" t="s">
        <v>256</v>
      </c>
      <c r="D21" s="63" t="str">
        <f>_xll.DBRA(Server&amp;"Activity",$C21,Context!$I$15)</f>
        <v>Autopartage</v>
      </c>
      <c r="E21" s="61" t="str">
        <f>_xll.DBRW($B$9,$B21,$C21,E$14)</f>
        <v>1</v>
      </c>
    </row>
    <row r="22" spans="1:5">
      <c r="A22" t="str">
        <f>IF(_xll.TM1RPTELISCONSOLIDATED($C$15,$C22),IF(_xll.TM1RPTELLEV($C$15,$C22)&lt;=3,_xll.TM1RPTELLEV($C$15,$C22),"D"),"N")</f>
        <v>N</v>
      </c>
      <c r="B22" s="324" t="s">
        <v>231</v>
      </c>
      <c r="C22" s="326" t="s">
        <v>257</v>
      </c>
      <c r="D22" s="63" t="str">
        <f>_xll.DBRA(Server&amp;"Activity",$C22,Context!$I$15)</f>
        <v>Bateau</v>
      </c>
      <c r="E22" s="61" t="str">
        <f>_xll.DBRW($B$9,$B22,$C22,E$14)</f>
        <v>1</v>
      </c>
    </row>
    <row r="23" spans="1:5">
      <c r="A23" t="str">
        <f>IF(_xll.TM1RPTELISCONSOLIDATED($C$15,$C23),IF(_xll.TM1RPTELLEV($C$15,$C23)&lt;=3,_xll.TM1RPTELLEV($C$15,$C23),"D"),"N")</f>
        <v>N</v>
      </c>
      <c r="B23" s="324" t="s">
        <v>231</v>
      </c>
      <c r="C23" s="326" t="s">
        <v>258</v>
      </c>
      <c r="D23" s="63" t="str">
        <f>_xll.DBRA(Server&amp;"Activity",$C23,Context!$I$15)</f>
        <v>Urbain - activité technique de saisie</v>
      </c>
      <c r="E23" s="61" t="str">
        <f>_xll.DBRW($B$9,$B23,$C23,E$14)</f>
        <v>1</v>
      </c>
    </row>
    <row r="24" spans="1:5">
      <c r="A24" t="str">
        <f>IF(_xll.TM1RPTELISCONSOLIDATED($C$15,$C24),IF(_xll.TM1RPTELLEV($C$15,$C24)&lt;=3,_xll.TM1RPTELLEV($C$15,$C24),"D"),"N")</f>
        <v>N</v>
      </c>
      <c r="B24" s="324" t="s">
        <v>231</v>
      </c>
      <c r="C24" s="326" t="s">
        <v>259</v>
      </c>
      <c r="D24" s="63" t="str">
        <f>_xll.DBRA(Server&amp;"Activity",$C24,Context!$I$15)</f>
        <v>Bus/Car (Périurbain)</v>
      </c>
      <c r="E24" s="61" t="str">
        <f>_xll.DBRW($B$9,$B24,$C24,E$14)</f>
        <v>1</v>
      </c>
    </row>
    <row r="25" spans="1:5">
      <c r="A25" t="str">
        <f>IF(_xll.TM1RPTELISCONSOLIDATED($C$15,$C25),IF(_xll.TM1RPTELLEV($C$15,$C25)&lt;=3,_xll.TM1RPTELLEV($C$15,$C25),"D"),"N")</f>
        <v>N</v>
      </c>
      <c r="B25" s="324" t="s">
        <v>231</v>
      </c>
      <c r="C25" s="326" t="s">
        <v>260</v>
      </c>
      <c r="D25" s="63" t="str">
        <f>_xll.DBRA(Server&amp;"Activity",$C25,Context!$I$15)</f>
        <v>Rail lourd (Périurbain)</v>
      </c>
      <c r="E25" s="61" t="str">
        <f>_xll.DBRW($B$9,$B25,$C25,E$14)</f>
        <v>1</v>
      </c>
    </row>
    <row r="26" spans="1:5">
      <c r="A26" t="str">
        <f>IF(_xll.TM1RPTELISCONSOLIDATED($C$15,$C26),IF(_xll.TM1RPTELLEV($C$15,$C26)&lt;=3,_xll.TM1RPTELLEV($C$15,$C26),"D"),"N")</f>
        <v>N</v>
      </c>
      <c r="B26" s="324" t="s">
        <v>231</v>
      </c>
      <c r="C26" s="326" t="s">
        <v>261</v>
      </c>
      <c r="D26" s="63" t="str">
        <f>_xll.DBRA(Server&amp;"Activity",$C26,Context!$I$15)</f>
        <v>Multi-modal (Périurbain)</v>
      </c>
      <c r="E26" s="61" t="str">
        <f>_xll.DBRW($B$9,$B26,$C26,E$14)</f>
        <v>1</v>
      </c>
    </row>
    <row r="27" spans="1:5">
      <c r="A27" t="str">
        <f>IF(_xll.TM1RPTELISCONSOLIDATED($C$15,$C27),IF(_xll.TM1RPTELLEV($C$15,$C27)&lt;=3,_xll.TM1RPTELLEV($C$15,$C27),"D"),"N")</f>
        <v>N</v>
      </c>
      <c r="B27" s="324" t="s">
        <v>231</v>
      </c>
      <c r="C27" s="326" t="s">
        <v>262</v>
      </c>
      <c r="D27" s="63" t="str">
        <f>_xll.DBRA(Server&amp;"Activity",$C27,Context!$I$15)</f>
        <v>Périurbain - Activité technique de saisie</v>
      </c>
      <c r="E27" s="61" t="str">
        <f>_xll.DBRW($B$9,$B27,$C27,E$14)</f>
        <v>1</v>
      </c>
    </row>
    <row r="28" spans="1:5">
      <c r="A28" t="str">
        <f>IF(_xll.TM1RPTELISCONSOLIDATED($C$15,$C28),IF(_xll.TM1RPTELLEV($C$15,$C28)&lt;=3,_xll.TM1RPTELLEV($C$15,$C28),"D"),"N")</f>
        <v>N</v>
      </c>
      <c r="B28" s="324" t="s">
        <v>231</v>
      </c>
      <c r="C28" s="326" t="s">
        <v>263</v>
      </c>
      <c r="D28" s="63" t="str">
        <f>_xll.DBRA(Server&amp;"Activity",$C28,Context!$I$15)</f>
        <v>Paratransit</v>
      </c>
      <c r="E28" s="61" t="str">
        <f>_xll.DBRW($B$9,$B28,$C28,E$14)</f>
        <v>1</v>
      </c>
    </row>
    <row r="29" spans="1:5">
      <c r="A29" t="str">
        <f>IF(_xll.TM1RPTELISCONSOLIDATED($C$15,$C29),IF(_xll.TM1RPTELLEV($C$15,$C29)&lt;=3,_xll.TM1RPTELLEV($C$15,$C29),"D"),"N")</f>
        <v>N</v>
      </c>
      <c r="B29" s="324" t="s">
        <v>231</v>
      </c>
      <c r="C29" s="326" t="s">
        <v>264</v>
      </c>
      <c r="D29" s="63" t="str">
        <f>_xll.DBRA(Server&amp;"Activity",$C29,Context!$I$15)</f>
        <v>Ambulance</v>
      </c>
      <c r="E29" s="61" t="str">
        <f>_xll.DBRW($B$9,$B29,$C29,E$14)</f>
        <v>1</v>
      </c>
    </row>
    <row r="30" spans="1:5">
      <c r="A30" t="str">
        <f>IF(_xll.TM1RPTELISCONSOLIDATED($C$15,$C30),IF(_xll.TM1RPTELLEV($C$15,$C30)&lt;=3,_xll.TM1RPTELLEV($C$15,$C30),"D"),"N")</f>
        <v>N</v>
      </c>
      <c r="B30" s="324" t="s">
        <v>231</v>
      </c>
      <c r="C30" s="326" t="s">
        <v>265</v>
      </c>
      <c r="D30" s="63" t="str">
        <f>_xll.DBRA(Server&amp;"Activity",$C30,Context!$I$15)</f>
        <v>Transport à la demande subventionné - Activité technique de saisie</v>
      </c>
      <c r="E30" s="61" t="str">
        <f>_xll.DBRW($B$9,$B30,$C30,E$14)</f>
        <v>1</v>
      </c>
    </row>
    <row r="31" spans="1:5">
      <c r="A31" t="str">
        <f>IF(_xll.TM1RPTELISCONSOLIDATED($C$15,$C31),IF(_xll.TM1RPTELLEV($C$15,$C31)&lt;=3,_xll.TM1RPTELLEV($C$15,$C31),"D"),"N")</f>
        <v>N</v>
      </c>
      <c r="B31" s="324" t="s">
        <v>231</v>
      </c>
      <c r="C31" s="326" t="s">
        <v>266</v>
      </c>
      <c r="D31" s="63" t="str">
        <f>_xll.DBRA(Server&amp;"Activity",$C31,Context!$I$15)</f>
        <v>Transport scolaire</v>
      </c>
      <c r="E31" s="61" t="str">
        <f>_xll.DBRW($B$9,$B31,$C31,E$14)</f>
        <v>1</v>
      </c>
    </row>
    <row r="32" spans="1:5">
      <c r="A32" t="str">
        <f>IF(_xll.TM1RPTELISCONSOLIDATED($C$15,$C32),IF(_xll.TM1RPTELLEV($C$15,$C32)&lt;=3,_xll.TM1RPTELLEV($C$15,$C32),"D"),"N")</f>
        <v>N</v>
      </c>
      <c r="B32" s="324" t="s">
        <v>231</v>
      </c>
      <c r="C32" s="326" t="s">
        <v>267</v>
      </c>
      <c r="D32" s="63" t="str">
        <f>_xll.DBRA(Server&amp;"Activity",$C32,Context!$I$15)</f>
        <v>Lignes régulières</v>
      </c>
      <c r="E32" s="61" t="str">
        <f>_xll.DBRW($B$9,$B32,$C32,E$14)</f>
        <v>1</v>
      </c>
    </row>
    <row r="33" spans="1:5">
      <c r="A33" t="str">
        <f>IF(_xll.TM1RPTELISCONSOLIDATED($C$15,$C33),IF(_xll.TM1RPTELLEV($C$15,$C33)&lt;=3,_xll.TM1RPTELLEV($C$15,$C33),"D"),"N")</f>
        <v>N</v>
      </c>
      <c r="B33" s="324" t="s">
        <v>231</v>
      </c>
      <c r="C33" s="326" t="s">
        <v>268</v>
      </c>
      <c r="D33" s="63" t="str">
        <f>_xll.DBRA(Server&amp;"Activity",$C33,Context!$I$15)</f>
        <v>Charter / occasionnel</v>
      </c>
      <c r="E33" s="61" t="str">
        <f>_xll.DBRW($B$9,$B33,$C33,E$14)</f>
        <v>1</v>
      </c>
    </row>
    <row r="34" spans="1:5">
      <c r="A34" t="str">
        <f>IF(_xll.TM1RPTELISCONSOLIDATED($C$15,$C34),IF(_xll.TM1RPTELLEV($C$15,$C34)&lt;=3,_xll.TM1RPTELLEV($C$15,$C34),"D"),"N")</f>
        <v>N</v>
      </c>
      <c r="B34" s="324" t="s">
        <v>231</v>
      </c>
      <c r="C34" s="326" t="s">
        <v>269</v>
      </c>
      <c r="D34" s="63" t="str">
        <f>_xll.DBRA(Server&amp;"Activity",$C34,Context!$I$15)</f>
        <v>Sous-traitance urbaine</v>
      </c>
      <c r="E34" s="61" t="str">
        <f>_xll.DBRW($B$9,$B34,$C34,E$14)</f>
        <v>1</v>
      </c>
    </row>
    <row r="35" spans="1:5">
      <c r="A35" t="str">
        <f>IF(_xll.TM1RPTELISCONSOLIDATED($C$15,$C35),IF(_xll.TM1RPTELLEV($C$15,$C35)&lt;=3,_xll.TM1RPTELLEV($C$15,$C35),"D"),"N")</f>
        <v>N</v>
      </c>
      <c r="B35" s="324" t="s">
        <v>231</v>
      </c>
      <c r="C35" s="326" t="s">
        <v>270</v>
      </c>
      <c r="D35" s="63" t="str">
        <f>_xll.DBRA(Server&amp;"Activity",$C35,Context!$I$15)</f>
        <v>Mutualisés (Interurbain)</v>
      </c>
      <c r="E35" s="61" t="str">
        <f>_xll.DBRW($B$9,$B35,$C35,E$14)</f>
        <v>1</v>
      </c>
    </row>
    <row r="36" spans="1:5">
      <c r="A36" t="str">
        <f>IF(_xll.TM1RPTELISCONSOLIDATED($C$15,$C36),IF(_xll.TM1RPTELLEV($C$15,$C36)&lt;=3,_xll.TM1RPTELLEV($C$15,$C36),"D"),"N")</f>
        <v>N</v>
      </c>
      <c r="B36" s="324" t="s">
        <v>231</v>
      </c>
      <c r="C36" s="326" t="s">
        <v>271</v>
      </c>
      <c r="D36" s="63" t="str">
        <f>_xll.DBRA(Server&amp;"Activity",$C36,Context!$I$15)</f>
        <v>Interurbain - Activité technique de saisie</v>
      </c>
      <c r="E36" s="61" t="str">
        <f>_xll.DBRW($B$9,$B36,$C36,E$14)</f>
        <v>1</v>
      </c>
    </row>
    <row r="37" spans="1:5">
      <c r="A37" t="str">
        <f>IF(_xll.TM1RPTELISCONSOLIDATED($C$15,$C37),IF(_xll.TM1RPTELLEV($C$15,$C37)&lt;=3,_xll.TM1RPTELLEV($C$15,$C37),"D"),"N")</f>
        <v>N</v>
      </c>
      <c r="B37" s="324" t="s">
        <v>231</v>
      </c>
      <c r="C37" s="326" t="s">
        <v>272</v>
      </c>
      <c r="D37" s="63" t="str">
        <f>_xll.DBRA(Server&amp;"Activity",$C37,Context!$I$15)</f>
        <v>Cars longue distance</v>
      </c>
      <c r="E37" s="61" t="str">
        <f>_xll.DBRW($B$9,$B37,$C37,E$14)</f>
        <v>1</v>
      </c>
    </row>
    <row r="38" spans="1:5">
      <c r="A38" t="str">
        <f>IF(_xll.TM1RPTELISCONSOLIDATED($C$15,$C38),IF(_xll.TM1RPTELLEV($C$15,$C38)&lt;=3,_xll.TM1RPTELLEV($C$15,$C38),"D"),"N")</f>
        <v>N</v>
      </c>
      <c r="B38" s="324" t="s">
        <v>231</v>
      </c>
      <c r="C38" s="326" t="s">
        <v>273</v>
      </c>
      <c r="D38" s="63" t="str">
        <f>_xll.DBRA(Server&amp;"Activity",$C38,Context!$I$15)</f>
        <v>Rail lourd régional</v>
      </c>
      <c r="E38" s="61" t="str">
        <f>_xll.DBRW($B$9,$B38,$C38,E$14)</f>
        <v>1</v>
      </c>
    </row>
    <row r="39" spans="1:5">
      <c r="A39" t="str">
        <f>IF(_xll.TM1RPTELISCONSOLIDATED($C$15,$C39),IF(_xll.TM1RPTELLEV($C$15,$C39)&lt;=3,_xll.TM1RPTELLEV($C$15,$C39),"D"),"N")</f>
        <v>N</v>
      </c>
      <c r="B39" s="324" t="s">
        <v>231</v>
      </c>
      <c r="C39" s="326" t="s">
        <v>274</v>
      </c>
      <c r="D39" s="63" t="str">
        <f>_xll.DBRA(Server&amp;"Activity",$C39,Context!$I$15)</f>
        <v>Rail lourd national / international</v>
      </c>
      <c r="E39" s="61" t="str">
        <f>_xll.DBRW($B$9,$B39,$C39,E$14)</f>
        <v>1</v>
      </c>
    </row>
    <row r="40" spans="1:5">
      <c r="A40" t="str">
        <f>IF(_xll.TM1RPTELISCONSOLIDATED($C$15,$C40),IF(_xll.TM1RPTELLEV($C$15,$C40)&lt;=3,_xll.TM1RPTELLEV($C$15,$C40),"D"),"N")</f>
        <v>N</v>
      </c>
      <c r="B40" s="324" t="s">
        <v>231</v>
      </c>
      <c r="C40" s="326" t="s">
        <v>275</v>
      </c>
      <c r="D40" s="63" t="str">
        <f>_xll.DBRA(Server&amp;"Activity",$C40,Context!$I$15)</f>
        <v>Rail lourd - Activité technique de saisie</v>
      </c>
      <c r="E40" s="61" t="str">
        <f>_xll.DBRW($B$9,$B40,$C40,E$14)</f>
        <v>1</v>
      </c>
    </row>
    <row r="41" spans="1:5">
      <c r="A41" t="str">
        <f>IF(_xll.TM1RPTELISCONSOLIDATED($C$15,$C41),IF(_xll.TM1RPTELLEV($C$15,$C41)&lt;=3,_xll.TM1RPTELLEV($C$15,$C41),"D"),"N")</f>
        <v>N</v>
      </c>
      <c r="B41" s="324" t="s">
        <v>231</v>
      </c>
      <c r="C41" s="326" t="s">
        <v>276</v>
      </c>
      <c r="D41" s="63" t="str">
        <f>_xll.DBRA(Server&amp;"Activity",$C41,Context!$I$15)</f>
        <v>Maintenance Rail</v>
      </c>
      <c r="E41" s="61" t="str">
        <f>_xll.DBRW($B$9,$B41,$C41,E$14)</f>
        <v>1</v>
      </c>
    </row>
    <row r="42" spans="1:5">
      <c r="A42" t="str">
        <f>IF(_xll.TM1RPTELISCONSOLIDATED($C$15,$C42),IF(_xll.TM1RPTELLEV($C$15,$C42)&lt;=3,_xll.TM1RPTELLEV($C$15,$C42),"D"),"N")</f>
        <v>N</v>
      </c>
      <c r="B42" s="324" t="s">
        <v>231</v>
      </c>
      <c r="C42" s="326" t="s">
        <v>277</v>
      </c>
      <c r="D42" s="63" t="str">
        <f>_xll.DBRA(Server&amp;"Activity",$C42,Context!$I$15)</f>
        <v>Ferries</v>
      </c>
      <c r="E42" s="61" t="str">
        <f>_xll.DBRW($B$9,$B42,$C42,E$14)</f>
        <v>1</v>
      </c>
    </row>
    <row r="43" spans="1:5">
      <c r="A43" t="str">
        <f>IF(_xll.TM1RPTELISCONSOLIDATED($C$15,$C43),IF(_xll.TM1RPTELLEV($C$15,$C43)&lt;=3,_xll.TM1RPTELLEV($C$15,$C43),"D"),"N")</f>
        <v>N</v>
      </c>
      <c r="B43" s="324" t="s">
        <v>231</v>
      </c>
      <c r="C43" s="326" t="s">
        <v>278</v>
      </c>
      <c r="D43" s="63" t="str">
        <f>_xll.DBRA(Server&amp;"Activity",$C43,Context!$I$15)</f>
        <v>Véhicule exclusif</v>
      </c>
      <c r="E43" s="61" t="str">
        <f>_xll.DBRW($B$9,$B43,$C43,E$14)</f>
        <v>1</v>
      </c>
    </row>
    <row r="44" spans="1:5">
      <c r="A44" t="str">
        <f>IF(_xll.TM1RPTELISCONSOLIDATED($C$15,$C44),IF(_xll.TM1RPTELLEV($C$15,$C44)&lt;=3,_xll.TM1RPTELLEV($C$15,$C44),"D"),"N")</f>
        <v>N</v>
      </c>
      <c r="B44" s="324" t="s">
        <v>231</v>
      </c>
      <c r="C44" s="326" t="s">
        <v>279</v>
      </c>
      <c r="D44" s="63" t="str">
        <f>_xll.DBRA(Server&amp;"Activity",$C44,Context!$I$15)</f>
        <v>Véhicule partagé</v>
      </c>
      <c r="E44" s="61" t="str">
        <f>_xll.DBRW($B$9,$B44,$C44,E$14)</f>
        <v>1</v>
      </c>
    </row>
    <row r="45" spans="1:5">
      <c r="A45" t="str">
        <f>IF(_xll.TM1RPTELISCONSOLIDATED($C$15,$C45),IF(_xll.TM1RPTELLEV($C$15,$C45)&lt;=3,_xll.TM1RPTELLEV($C$15,$C45),"D"),"N")</f>
        <v>N</v>
      </c>
      <c r="B45" s="324" t="s">
        <v>231</v>
      </c>
      <c r="C45" s="326" t="s">
        <v>280</v>
      </c>
      <c r="D45" s="63" t="str">
        <f>_xll.DBRA(Server&amp;"Activity",$C45,Context!$I$15)</f>
        <v>Transport à la demande commercial - Activité technique de saisie</v>
      </c>
      <c r="E45" s="61" t="str">
        <f>_xll.DBRW($B$9,$B45,$C45,E$14)</f>
        <v>1</v>
      </c>
    </row>
    <row r="46" spans="1:5">
      <c r="A46" t="str">
        <f>IF(_xll.TM1RPTELISCONSOLIDATED($C$15,$C46),IF(_xll.TM1RPTELLEV($C$15,$C46)&lt;=3,_xll.TM1RPTELLEV($C$15,$C46),"D"),"N")</f>
        <v>N</v>
      </c>
      <c r="B46" s="324" t="s">
        <v>231</v>
      </c>
      <c r="C46" s="326" t="s">
        <v>281</v>
      </c>
      <c r="D46" s="63" t="str">
        <f>_xll.DBRA(Server&amp;"Activity",$C46,Context!$I$15)</f>
        <v>Tarmac</v>
      </c>
      <c r="E46" s="61" t="str">
        <f>_xll.DBRW($B$9,$B46,$C46,E$14)</f>
        <v>1</v>
      </c>
    </row>
    <row r="47" spans="1:5">
      <c r="A47" t="str">
        <f>IF(_xll.TM1RPTELISCONSOLIDATED($C$15,$C47),IF(_xll.TM1RPTELLEV($C$15,$C47)&lt;=3,_xll.TM1RPTELLEV($C$15,$C47),"D"),"N")</f>
        <v>N</v>
      </c>
      <c r="B47" s="324" t="s">
        <v>231</v>
      </c>
      <c r="C47" s="326" t="s">
        <v>282</v>
      </c>
      <c r="D47" s="63" t="str">
        <f>_xll.DBRA(Server&amp;"Activity",$C47,Context!$I$15)</f>
        <v>Zone aéroportuaire</v>
      </c>
      <c r="E47" s="61" t="str">
        <f>_xll.DBRW($B$9,$B47,$C47,E$14)</f>
        <v>1</v>
      </c>
    </row>
    <row r="48" spans="1:5">
      <c r="A48" t="str">
        <f>IF(_xll.TM1RPTELISCONSOLIDATED($C$15,$C48),IF(_xll.TM1RPTELLEV($C$15,$C48)&lt;=3,_xll.TM1RPTELLEV($C$15,$C48),"D"),"N")</f>
        <v>N</v>
      </c>
      <c r="B48" s="324" t="s">
        <v>231</v>
      </c>
      <c r="C48" s="326" t="s">
        <v>283</v>
      </c>
      <c r="D48" s="63" t="str">
        <f>_xll.DBRA(Server&amp;"Activity",$C48,Context!$I$15)</f>
        <v>Transport aéroportuaire - Activité technique de saisie</v>
      </c>
      <c r="E48" s="61" t="str">
        <f>_xll.DBRW($B$9,$B48,$C48,E$14)</f>
        <v>1</v>
      </c>
    </row>
    <row r="49" spans="1:5">
      <c r="A49" t="str">
        <f>IF(_xll.TM1RPTELISCONSOLIDATED($C$15,$C49),IF(_xll.TM1RPTELLEV($C$15,$C49)&lt;=3,_xll.TM1RPTELLEV($C$15,$C49),"D"),"N")</f>
        <v>N</v>
      </c>
      <c r="B49" s="324" t="s">
        <v>231</v>
      </c>
      <c r="C49" s="326" t="s">
        <v>284</v>
      </c>
      <c r="D49" s="63" t="str">
        <f>_xll.DBRA(Server&amp;"Activity",$C49,Context!$I$15)</f>
        <v>Services aéroportuaires</v>
      </c>
      <c r="E49" s="61" t="str">
        <f>_xll.DBRW($B$9,$B49,$C49,E$14)</f>
        <v>1</v>
      </c>
    </row>
    <row r="50" spans="1:5">
      <c r="A50" t="str">
        <f>IF(_xll.TM1RPTELISCONSOLIDATED($C$15,$C50),IF(_xll.TM1RPTELLEV($C$15,$C50)&lt;=3,_xll.TM1RPTELLEV($C$15,$C50),"D"),"N")</f>
        <v>N</v>
      </c>
      <c r="B50" s="324" t="s">
        <v>231</v>
      </c>
      <c r="C50" s="326" t="s">
        <v>285</v>
      </c>
      <c r="D50" s="63" t="str">
        <f>_xll.DBRA(Server&amp;"Activity",$C50,Context!$I$15)</f>
        <v>Consulting/AMO</v>
      </c>
      <c r="E50" s="61" t="str">
        <f>_xll.DBRW($B$9,$B50,$C50,E$14)</f>
        <v>1</v>
      </c>
    </row>
    <row r="51" spans="1:5">
      <c r="A51" t="str">
        <f>IF(_xll.TM1RPTELISCONSOLIDATED($C$15,$C51),IF(_xll.TM1RPTELLEV($C$15,$C51)&lt;=3,_xll.TM1RPTELLEV($C$15,$C51),"D"),"N")</f>
        <v>N</v>
      </c>
      <c r="B51" s="324" t="s">
        <v>231</v>
      </c>
      <c r="C51" s="326" t="s">
        <v>286</v>
      </c>
      <c r="D51" s="63" t="str">
        <f>_xll.DBRA(Server&amp;"Activity",$C51,Context!$I$15)</f>
        <v>Prestations intermodalité</v>
      </c>
      <c r="E51" s="61" t="str">
        <f>_xll.DBRW($B$9,$B51,$C51,E$14)</f>
        <v>1</v>
      </c>
    </row>
    <row r="52" spans="1:5">
      <c r="A52" t="str">
        <f>IF(_xll.TM1RPTELISCONSOLIDATED($C$15,$C52),IF(_xll.TM1RPTELLEV($C$15,$C52)&lt;=3,_xll.TM1RPTELLEV($C$15,$C52),"D"),"N")</f>
        <v>N</v>
      </c>
      <c r="B52" s="324" t="s">
        <v>231</v>
      </c>
      <c r="C52" s="326" t="s">
        <v>287</v>
      </c>
      <c r="D52" s="63" t="str">
        <f>_xll.DBRA(Server&amp;"Activity",$C52,Context!$I$15)</f>
        <v>Services digital (ex: Cityway)</v>
      </c>
      <c r="E52" s="61" t="str">
        <f>_xll.DBRW($B$9,$B52,$C52,E$14)</f>
        <v>1</v>
      </c>
    </row>
    <row r="53" spans="1:5">
      <c r="A53" t="str">
        <f>IF(_xll.TM1RPTELISCONSOLIDATED($C$15,$C53),IF(_xll.TM1RPTELLEV($C$15,$C53)&lt;=3,_xll.TM1RPTELLEV($C$15,$C53),"D"),"N")</f>
        <v>N</v>
      </c>
      <c r="B53" s="324" t="s">
        <v>231</v>
      </c>
      <c r="C53" s="326" t="s">
        <v>288</v>
      </c>
      <c r="D53" s="63" t="str">
        <f>_xll.DBRA(Server&amp;"Activity",$C53,Context!$I$15)</f>
        <v>Contrôle technique</v>
      </c>
      <c r="E53" s="61" t="str">
        <f>_xll.DBRW($B$9,$B53,$C53,E$14)</f>
        <v>1</v>
      </c>
    </row>
    <row r="54" spans="1:5">
      <c r="A54" t="str">
        <f>IF(_xll.TM1RPTELISCONSOLIDATED($C$15,$C54),IF(_xll.TM1RPTELLEV($C$15,$C54)&lt;=3,_xll.TM1RPTELLEV($C$15,$C54),"D"),"N")</f>
        <v>N</v>
      </c>
      <c r="B54" s="324" t="s">
        <v>231</v>
      </c>
      <c r="C54" s="326" t="s">
        <v>289</v>
      </c>
      <c r="D54" s="63" t="str">
        <f>_xll.DBRA(Server&amp;"Activity",$C54,Context!$I$15)</f>
        <v>Centre d'appels / courtage</v>
      </c>
      <c r="E54" s="61" t="str">
        <f>_xll.DBRW($B$9,$B54,$C54,E$14)</f>
        <v>1</v>
      </c>
    </row>
    <row r="55" spans="1:5">
      <c r="A55" t="str">
        <f>IF(_xll.TM1RPTELISCONSOLIDATED($C$15,$C55),IF(_xll.TM1RPTELLEV($C$15,$C55)&lt;=3,_xll.TM1RPTELLEV($C$15,$C55),"D"),"N")</f>
        <v>N</v>
      </c>
      <c r="B55" s="324" t="s">
        <v>231</v>
      </c>
      <c r="C55" s="326" t="s">
        <v>290</v>
      </c>
      <c r="D55" s="63" t="str">
        <f>_xll.DBRA(Server&amp;"Activity",$C55,Context!$I$15)</f>
        <v>Agence de voyage</v>
      </c>
      <c r="E55" s="61" t="str">
        <f>_xll.DBRW($B$9,$B55,$C55,E$14)</f>
        <v>1</v>
      </c>
    </row>
    <row r="56" spans="1:5">
      <c r="A56" t="str">
        <f>IF(_xll.TM1RPTELISCONSOLIDATED($C$15,$C56),IF(_xll.TM1RPTELLEV($C$15,$C56)&lt;=3,_xll.TM1RPTELLEV($C$15,$C56),"D"),"N")</f>
        <v>N</v>
      </c>
      <c r="B56" s="324" t="s">
        <v>231</v>
      </c>
      <c r="C56" s="326" t="s">
        <v>291</v>
      </c>
      <c r="D56" s="63" t="str">
        <f>_xll.DBRA(Server&amp;"Activity",$C56,Context!$I$15)</f>
        <v>Achat pour revente</v>
      </c>
      <c r="E56" s="61" t="str">
        <f>_xll.DBRW($B$9,$B56,$C56,E$14)</f>
        <v>1</v>
      </c>
    </row>
    <row r="57" spans="1:5">
      <c r="A57" t="str">
        <f>IF(_xll.TM1RPTELISCONSOLIDATED($C$15,$C57),IF(_xll.TM1RPTELLEV($C$15,$C57)&lt;=3,_xll.TM1RPTELLEV($C$15,$C57),"D"),"N")</f>
        <v>N</v>
      </c>
      <c r="B57" s="324" t="s">
        <v>231</v>
      </c>
      <c r="C57" s="326" t="s">
        <v>292</v>
      </c>
      <c r="D57" s="63" t="str">
        <f>_xll.DBRA(Server&amp;"Activity",$C57,Context!$I$15)</f>
        <v>Autres services - Activité technique de saisie</v>
      </c>
      <c r="E57" s="61" t="str">
        <f>_xll.DBRW($B$9,$B57,$C57,E$14)</f>
        <v>1</v>
      </c>
    </row>
    <row r="58" spans="1:5">
      <c r="A58" t="str">
        <f>IF(_xll.TM1RPTELISCONSOLIDATED($C$15,$C58),IF(_xll.TM1RPTELLEV($C$15,$C58)&lt;=3,_xll.TM1RPTELLEV($C$15,$C58),"D"),"N")</f>
        <v>N</v>
      </c>
      <c r="B58" s="324" t="s">
        <v>231</v>
      </c>
      <c r="C58" s="326" t="s">
        <v>293</v>
      </c>
      <c r="D58" s="63" t="str">
        <f>_xll.DBRA(Server&amp;"Activity",$C58,Context!$I$15)</f>
        <v>Holding</v>
      </c>
      <c r="E58" s="61" t="str">
        <f>_xll.DBRW($B$9,$B58,$C58,E$14)</f>
        <v>1</v>
      </c>
    </row>
    <row r="59" spans="1:5">
      <c r="A59" t="e">
        <f>IF(_xll.TM1RPTELISCONSOLIDATED($C$15,$C59),IF(_xll.TM1RPTELLEV($C$15,$C59)&lt;=3,_xll.TM1RPTELLEV($C$15,$C59),"D"),"N")</f>
        <v>#REF!</v>
      </c>
      <c r="B59" s="197" t="s">
        <v>231</v>
      </c>
      <c r="C59" s="106"/>
      <c r="D59" s="63" t="e">
        <f>_xll.DBRA(Server&amp;"Activity",$C59,Context!$I$15)</f>
        <v>#VALUE!</v>
      </c>
      <c r="E59" s="61" t="e">
        <f>_xll.DBRW($B$9,$B59,$C59,E$14)</f>
        <v>#VALUE!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P216"/>
  <sheetViews>
    <sheetView showGridLines="0" topLeftCell="A13" zoomScale="55" zoomScaleNormal="55" zoomScalePageLayoutView="40" workbookViewId="0">
      <selection activeCell="G25" sqref="A25:G25"/>
    </sheetView>
  </sheetViews>
  <sheetFormatPr baseColWidth="10" defaultColWidth="11.453125" defaultRowHeight="18" customHeight="1"/>
  <cols>
    <col min="1" max="1" width="34" style="125" customWidth="1"/>
    <col min="2" max="2" width="52.453125" style="125" customWidth="1"/>
    <col min="3" max="3" width="34" style="69" customWidth="1"/>
    <col min="4" max="11" width="20" style="1" customWidth="1"/>
    <col min="12" max="12" width="16.1796875" style="2" customWidth="1"/>
    <col min="13" max="13" width="46" style="2" customWidth="1"/>
    <col min="14" max="14" width="16.453125" style="2" customWidth="1"/>
    <col min="15" max="15" width="3.54296875" style="2" customWidth="1"/>
    <col min="16" max="16" width="5.1796875" style="2" customWidth="1"/>
    <col min="17" max="17" width="3.54296875" style="2" customWidth="1"/>
    <col min="18" max="18" width="3.81640625" style="2" customWidth="1"/>
    <col min="19" max="19" width="60.453125" style="2" customWidth="1"/>
    <col min="20" max="28" width="9" style="2" customWidth="1"/>
    <col min="29" max="30" width="10.1796875" style="1" customWidth="1"/>
    <col min="31" max="40" width="6.54296875" style="1" customWidth="1"/>
    <col min="41" max="41" width="6.453125" style="1" customWidth="1"/>
    <col min="42" max="42" width="6.453125" style="73" customWidth="1"/>
    <col min="43" max="16384" width="11.453125" style="1"/>
  </cols>
  <sheetData>
    <row r="1" spans="1:42" ht="28.5" customHeight="1">
      <c r="A1" s="81"/>
      <c r="B1" s="81"/>
      <c r="C1" s="13"/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42" ht="25.5" customHeight="1">
      <c r="A2" s="81"/>
      <c r="B2" s="81"/>
      <c r="C2" s="13"/>
      <c r="D2" s="14"/>
      <c r="E2" s="14"/>
      <c r="F2" s="14"/>
      <c r="G2" s="14"/>
      <c r="H2" s="14"/>
      <c r="I2" s="14"/>
      <c r="J2" s="14"/>
      <c r="K2" s="14"/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42" ht="33" customHeight="1">
      <c r="A3" s="81"/>
      <c r="B3" s="81"/>
      <c r="C3" s="13"/>
      <c r="D3" s="14"/>
      <c r="E3" s="14"/>
      <c r="F3" s="14"/>
      <c r="G3" s="14"/>
      <c r="H3" s="14"/>
      <c r="I3" s="14"/>
      <c r="J3" s="14"/>
      <c r="K3" s="14"/>
      <c r="L3" s="1"/>
      <c r="M3" s="1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42" ht="33" customHeight="1">
      <c r="A4" s="81"/>
      <c r="B4" s="81"/>
      <c r="C4" s="13"/>
      <c r="D4" s="14"/>
      <c r="E4" s="14"/>
      <c r="F4" s="14"/>
      <c r="G4" s="14"/>
      <c r="H4" s="14"/>
      <c r="I4" s="14"/>
      <c r="J4" s="14"/>
      <c r="K4" s="14"/>
      <c r="L4" s="1"/>
      <c r="M4" s="1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42" ht="33" customHeight="1">
      <c r="A5" s="81"/>
      <c r="B5" s="81"/>
      <c r="C5" s="13"/>
      <c r="D5" s="14"/>
      <c r="E5" s="14"/>
      <c r="F5" s="14"/>
      <c r="G5" s="14"/>
      <c r="H5" s="14"/>
      <c r="I5" s="14"/>
      <c r="J5" s="14"/>
      <c r="K5" s="14"/>
      <c r="L5" s="1"/>
      <c r="M5" s="1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42" ht="33" customHeight="1">
      <c r="A6" s="81"/>
      <c r="B6" s="81"/>
      <c r="C6" s="13"/>
      <c r="D6" s="14"/>
      <c r="E6" s="14"/>
      <c r="F6" s="14"/>
      <c r="G6" s="14"/>
      <c r="H6" s="14"/>
      <c r="I6" s="14"/>
      <c r="J6" s="14"/>
      <c r="K6" s="14"/>
      <c r="L6" s="1"/>
      <c r="M6" s="1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42" ht="18" customHeight="1">
      <c r="A7" s="81"/>
      <c r="B7" s="81"/>
      <c r="L7" s="1"/>
      <c r="M7" s="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42" ht="56.25" customHeight="1">
      <c r="A8" s="81"/>
      <c r="B8" s="81"/>
      <c r="C8" s="76"/>
      <c r="D8" s="316"/>
      <c r="E8" s="316"/>
      <c r="F8" s="316"/>
      <c r="G8" s="76"/>
      <c r="H8" s="76"/>
      <c r="I8" s="317"/>
      <c r="J8" s="317"/>
      <c r="K8" s="76"/>
      <c r="L8" s="1"/>
      <c r="M8" s="1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1:42" ht="35.25" customHeight="1">
      <c r="A9" s="81"/>
      <c r="B9" s="81"/>
      <c r="C9" s="77"/>
      <c r="D9" s="77"/>
      <c r="E9" s="77"/>
      <c r="F9" s="77"/>
      <c r="G9" s="77"/>
      <c r="H9" s="77"/>
      <c r="I9" s="317"/>
      <c r="J9" s="317"/>
      <c r="K9" s="77"/>
      <c r="L9" s="1"/>
      <c r="M9" s="1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</row>
    <row r="10" spans="1:42" ht="18" customHeigh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L10" s="1"/>
      <c r="M10" s="1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42" ht="18.75" customHeight="1">
      <c r="A11" s="81"/>
      <c r="B11" s="81"/>
      <c r="C11" s="1"/>
      <c r="D11" s="72"/>
      <c r="L11" s="1"/>
      <c r="M11" s="1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P11" s="1"/>
    </row>
    <row r="12" spans="1:42" ht="18" customHeight="1">
      <c r="A12" s="10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L12" s="1"/>
      <c r="M12" s="1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P12" s="1"/>
    </row>
    <row r="13" spans="1:42" ht="25.5" customHeight="1">
      <c r="A13" s="81"/>
      <c r="B13" s="81"/>
      <c r="C13" s="70"/>
      <c r="D13" s="3"/>
      <c r="E13" s="71"/>
      <c r="F13" s="71"/>
      <c r="G13" s="71"/>
      <c r="H13" s="71"/>
      <c r="I13" s="75"/>
      <c r="J13" s="318"/>
      <c r="K13" s="318"/>
      <c r="L13" s="1"/>
      <c r="M13" s="1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P13" s="1"/>
    </row>
    <row r="14" spans="1:42" ht="25.5" customHeight="1">
      <c r="A14" s="81"/>
      <c r="B14" s="81"/>
      <c r="C14" s="70"/>
      <c r="D14" s="3"/>
      <c r="E14" s="71"/>
      <c r="F14" s="71"/>
      <c r="G14" s="71"/>
      <c r="H14" s="71"/>
      <c r="I14" s="75"/>
      <c r="J14" s="318"/>
      <c r="K14" s="318"/>
      <c r="L14" s="1"/>
      <c r="M14" s="1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P14" s="1"/>
    </row>
    <row r="15" spans="1:42" ht="25.5" customHeight="1">
      <c r="A15" s="81"/>
      <c r="B15" s="81"/>
      <c r="C15" s="70"/>
      <c r="D15" s="3"/>
      <c r="E15" s="71"/>
      <c r="F15" s="71"/>
      <c r="G15" s="71"/>
      <c r="H15" s="71"/>
      <c r="J15" s="71"/>
      <c r="L15" s="1"/>
      <c r="M15" s="1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P15" s="1"/>
    </row>
    <row r="16" spans="1:42" ht="18.75" customHeight="1">
      <c r="A16" s="81"/>
      <c r="B16" s="81"/>
      <c r="C16" s="1"/>
      <c r="D16" s="72"/>
      <c r="L16" s="1"/>
      <c r="M16" s="1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P16" s="1"/>
    </row>
    <row r="17" spans="1:28" s="1" customFormat="1" ht="18.75" customHeight="1" thickBot="1">
      <c r="A17" s="81"/>
      <c r="B17" s="81"/>
      <c r="D17" s="7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</row>
    <row r="18" spans="1:28" s="1" customFormat="1" ht="16">
      <c r="A18" s="81"/>
      <c r="B18" s="81"/>
      <c r="D18" s="319"/>
      <c r="E18" s="319"/>
      <c r="F18" s="319"/>
      <c r="G18" s="319"/>
      <c r="H18" s="319"/>
      <c r="I18" s="319"/>
      <c r="J18" s="319"/>
      <c r="K18" s="319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</row>
    <row r="19" spans="1:28" s="1" customFormat="1" ht="13.5" customHeight="1">
      <c r="A19" s="81"/>
      <c r="B19" s="81"/>
      <c r="D19" s="320"/>
      <c r="E19" s="320"/>
      <c r="F19" s="320"/>
      <c r="G19" s="320"/>
      <c r="H19" s="320"/>
      <c r="I19" s="320"/>
      <c r="J19" s="320"/>
      <c r="K19" s="320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</row>
    <row r="20" spans="1:28" s="1" customFormat="1" ht="15" customHeight="1">
      <c r="A20" s="81"/>
      <c r="B20" s="81"/>
      <c r="D20" s="321"/>
      <c r="E20" s="321"/>
      <c r="F20" s="321"/>
      <c r="G20" s="321"/>
      <c r="H20" s="321"/>
      <c r="I20" s="321"/>
      <c r="J20" s="321"/>
      <c r="K20" s="321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</row>
    <row r="21" spans="1:28" s="1" customFormat="1" ht="9.75" customHeight="1" thickBot="1">
      <c r="A21" s="81"/>
      <c r="B21" s="81"/>
      <c r="D21" s="322"/>
      <c r="E21" s="322"/>
      <c r="F21" s="322"/>
      <c r="G21" s="322"/>
      <c r="H21" s="322"/>
      <c r="I21" s="322"/>
      <c r="J21" s="322"/>
      <c r="K21" s="322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ht="21" customHeight="1" thickTop="1">
      <c r="A22" s="81"/>
      <c r="B22" s="81"/>
      <c r="C22" s="70"/>
      <c r="D22" s="3"/>
      <c r="E22" s="71"/>
      <c r="F22" s="71"/>
      <c r="G22" s="71"/>
      <c r="H22" s="71"/>
      <c r="I22" s="71"/>
      <c r="J22" s="71"/>
      <c r="K22" s="71"/>
      <c r="L22" s="1"/>
      <c r="M22" s="1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</row>
    <row r="23" spans="1:28" ht="23.25" customHeight="1">
      <c r="A23" s="81"/>
      <c r="B23" s="108" t="s">
        <v>103</v>
      </c>
      <c r="C23" s="252"/>
      <c r="D23" s="3"/>
      <c r="E23" s="71"/>
      <c r="F23" s="71"/>
      <c r="G23" s="71"/>
      <c r="H23" s="71"/>
      <c r="I23" s="71"/>
      <c r="J23" s="71"/>
      <c r="K23" s="71"/>
      <c r="L23" s="1"/>
      <c r="M23" s="1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9" customHeight="1">
      <c r="A24" s="81"/>
      <c r="B24" s="81"/>
      <c r="C24" s="82"/>
      <c r="D24" s="122"/>
      <c r="E24" s="122"/>
      <c r="F24" s="122"/>
      <c r="G24" s="122"/>
      <c r="H24" s="122"/>
      <c r="I24" s="122"/>
      <c r="J24" s="122"/>
      <c r="K24" s="122"/>
      <c r="L24" s="1"/>
      <c r="M24" s="1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81" t="s">
        <v>58</v>
      </c>
      <c r="B25" s="81" t="s">
        <v>58</v>
      </c>
      <c r="C25" s="198"/>
      <c r="D25" s="203"/>
      <c r="E25" s="203"/>
      <c r="F25" s="203"/>
      <c r="G25" s="204" t="str">
        <f>IF(Flag_Send_Data=1,_xll.DBSW('Plan Input'!G25*1000,Server&amp;Cube1,Context!$I$13,Context!$T$5,Context!$I$11,'Plan Input'!$B$12,Context!$I$12,'Plan Input'!G$2,Context!$I$10,'Plan Input'!$A25),"")</f>
        <v/>
      </c>
      <c r="H25" s="204" t="str">
        <f>IF(Flag_Send_Data=1,_xll.DBSW('Plan Input'!H25*1000,Server&amp;Cube1,Context!$I$13,Context!$T$5,Context!$I$11,'Plan Input'!$B$12,Context!$I$12,'Plan Input'!H$2,Context!$I$10,'Plan Input'!$A25),"")</f>
        <v/>
      </c>
      <c r="I25" s="204" t="str">
        <f>IF(Flag_Send_Data=1,_xll.DBSW('Plan Input'!I25*1000,Server&amp;Cube1,Context!$I$13,Context!$T$5,Context!$I$11,'Plan Input'!$B$12,Context!$I$12,'Plan Input'!I$2,Context!$I$10,'Plan Input'!$A25),"")</f>
        <v/>
      </c>
      <c r="J25" s="204" t="str">
        <f>IF(Flag_Send_Data=1,_xll.DBSW('Plan Input'!J25*1000,Server&amp;Cube1,Context!$I$13,Context!$T$5,Context!$I$11,'Plan Input'!$B$12,Context!$I$12,'Plan Input'!J$2,Context!$I$10,'Plan Input'!$A25),"")</f>
        <v/>
      </c>
      <c r="K25" s="204" t="str">
        <f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81"/>
      <c r="B26" s="81"/>
      <c r="C26" s="198"/>
      <c r="D26" s="205"/>
      <c r="E26" s="205"/>
      <c r="F26" s="205"/>
      <c r="G26" s="206"/>
      <c r="H26" s="206"/>
      <c r="I26" s="206"/>
      <c r="J26" s="206"/>
      <c r="K26" s="206"/>
      <c r="L26" s="1"/>
      <c r="M26" s="1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81"/>
      <c r="B27" s="81"/>
      <c r="C27" s="133"/>
      <c r="D27" s="207"/>
      <c r="E27" s="207"/>
      <c r="F27" s="207"/>
      <c r="G27" s="207"/>
      <c r="H27" s="207"/>
      <c r="I27" s="207"/>
      <c r="J27" s="207"/>
      <c r="K27" s="207"/>
      <c r="L27" s="1"/>
      <c r="M27" s="1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18" customHeight="1">
      <c r="A28" s="81"/>
      <c r="B28" s="81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M28" s="1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" customHeight="1">
      <c r="A29" s="81"/>
      <c r="B29" s="81"/>
      <c r="C29" s="200"/>
      <c r="D29" s="209"/>
      <c r="E29" s="209"/>
      <c r="F29" s="209"/>
      <c r="G29" s="204" t="str">
        <f>IF(Flag_Send_Data=1,_xll.DBSW('Plan Input'!G29*1000,Server&amp;Cube1,Context!$I$13,Context!$T$5,Context!$I$11,'Plan Input'!$B$12,Context!$I$12,'Plan Input'!G$2,Context!$I$10,'Plan Input'!$A29),"")</f>
        <v/>
      </c>
      <c r="H29" s="204" t="str">
        <f>IF(Flag_Send_Data=1,_xll.DBSW('Plan Input'!H29*1000,Server&amp;Cube1,Context!$I$13,Context!$T$5,Context!$I$11,'Plan Input'!$B$12,Context!$I$12,'Plan Input'!H$2,Context!$I$10,'Plan Input'!$A29),"")</f>
        <v/>
      </c>
      <c r="I29" s="204" t="str">
        <f>IF(Flag_Send_Data=1,_xll.DBSW('Plan Input'!I29*1000,Server&amp;Cube1,Context!$I$13,Context!$T$5,Context!$I$11,'Plan Input'!$B$12,Context!$I$12,'Plan Input'!I$2,Context!$I$10,'Plan Input'!$A29),"")</f>
        <v/>
      </c>
      <c r="J29" s="204" t="str">
        <f>IF(Flag_Send_Data=1,_xll.DBSW('Plan Input'!J29*1000,Server&amp;Cube1,Context!$I$13,Context!$T$5,Context!$I$11,'Plan Input'!$B$12,Context!$I$12,'Plan Input'!J$2,Context!$I$10,'Plan Input'!$A29),"")</f>
        <v/>
      </c>
      <c r="K29" s="204" t="str">
        <f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81"/>
      <c r="B30" s="81"/>
      <c r="C30" s="200"/>
      <c r="D30" s="209"/>
      <c r="E30" s="209"/>
      <c r="F30" s="209"/>
      <c r="G30" s="204" t="str">
        <f>IF(Flag_Send_Data=1,_xll.DBSW('Plan Input'!G30*1000,Server&amp;Cube1,Context!$I$13,Context!$T$5,Context!$I$11,'Plan Input'!$B$12,Context!$I$12,'Plan Input'!G$2,Context!$I$10,'Plan Input'!$A30),"")</f>
        <v/>
      </c>
      <c r="H30" s="204" t="str">
        <f>IF(Flag_Send_Data=1,_xll.DBSW('Plan Input'!H30*1000,Server&amp;Cube1,Context!$I$13,Context!$T$5,Context!$I$11,'Plan Input'!$B$12,Context!$I$12,'Plan Input'!H$2,Context!$I$10,'Plan Input'!$A30),"")</f>
        <v/>
      </c>
      <c r="I30" s="204" t="str">
        <f>IF(Flag_Send_Data=1,_xll.DBSW('Plan Input'!I30*1000,Server&amp;Cube1,Context!$I$13,Context!$T$5,Context!$I$11,'Plan Input'!$B$12,Context!$I$12,'Plan Input'!I$2,Context!$I$10,'Plan Input'!$A30),"")</f>
        <v/>
      </c>
      <c r="J30" s="204" t="str">
        <f>IF(Flag_Send_Data=1,_xll.DBSW('Plan Input'!J30*1000,Server&amp;Cube1,Context!$I$13,Context!$T$5,Context!$I$11,'Plan Input'!$B$12,Context!$I$12,'Plan Input'!J$2,Context!$I$10,'Plan Input'!$A30),"")</f>
        <v/>
      </c>
      <c r="K30" s="204" t="str">
        <f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81"/>
      <c r="B31" s="81"/>
      <c r="C31" s="201"/>
      <c r="D31" s="210"/>
      <c r="E31" s="210"/>
      <c r="F31" s="210"/>
      <c r="G31" s="210"/>
      <c r="H31" s="210"/>
      <c r="I31" s="210"/>
      <c r="J31" s="210"/>
      <c r="K31" s="210"/>
      <c r="L31" s="1"/>
      <c r="M31" s="1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" customHeight="1">
      <c r="A32" s="81"/>
      <c r="B32" s="81"/>
      <c r="C32" s="200"/>
      <c r="D32" s="209"/>
      <c r="E32" s="209"/>
      <c r="F32" s="209"/>
      <c r="G32" s="204" t="str">
        <f>IF(Flag_Send_Data=1,_xll.DBSW('Plan Input'!G32*1000,Server&amp;Cube1,Context!$I$13,Context!$T$5,Context!$I$11,'Plan Input'!$B$12,Context!$I$12,'Plan Input'!G$2,Context!$I$10,'Plan Input'!$A32),"")</f>
        <v/>
      </c>
      <c r="H32" s="204" t="str">
        <f>IF(Flag_Send_Data=1,_xll.DBSW('Plan Input'!H32*1000,Server&amp;Cube1,Context!$I$13,Context!$T$5,Context!$I$11,'Plan Input'!$B$12,Context!$I$12,'Plan Input'!H$2,Context!$I$10,'Plan Input'!$A32),"")</f>
        <v/>
      </c>
      <c r="I32" s="204" t="str">
        <f>IF(Flag_Send_Data=1,_xll.DBSW('Plan Input'!I32*1000,Server&amp;Cube1,Context!$I$13,Context!$T$5,Context!$I$11,'Plan Input'!$B$12,Context!$I$12,'Plan Input'!I$2,Context!$I$10,'Plan Input'!$A32),"")</f>
        <v/>
      </c>
      <c r="J32" s="204" t="str">
        <f>IF(Flag_Send_Data=1,_xll.DBSW('Plan Input'!J32*1000,Server&amp;Cube1,Context!$I$13,Context!$T$5,Context!$I$11,'Plan Input'!$B$12,Context!$I$12,'Plan Input'!J$2,Context!$I$10,'Plan Input'!$A32),"")</f>
        <v/>
      </c>
      <c r="K32" s="204" t="str">
        <f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</row>
    <row r="33" spans="1:28" ht="18" customHeight="1">
      <c r="A33" s="81"/>
      <c r="B33" s="81"/>
      <c r="C33" s="200"/>
      <c r="D33" s="209"/>
      <c r="E33" s="209"/>
      <c r="F33" s="209"/>
      <c r="G33" s="204" t="str">
        <f>IF(Flag_Send_Data=1,_xll.DBSW('Plan Input'!G33*1000,Server&amp;Cube1,Context!$I$13,Context!$T$5,Context!$I$11,'Plan Input'!$B$12,Context!$I$12,'Plan Input'!G$2,Context!$I$10,'Plan Input'!$A33),"")</f>
        <v/>
      </c>
      <c r="H33" s="204" t="str">
        <f>IF(Flag_Send_Data=1,_xll.DBSW('Plan Input'!H33*1000,Server&amp;Cube1,Context!$I$13,Context!$T$5,Context!$I$11,'Plan Input'!$B$12,Context!$I$12,'Plan Input'!H$2,Context!$I$10,'Plan Input'!$A33),"")</f>
        <v/>
      </c>
      <c r="I33" s="204" t="str">
        <f>IF(Flag_Send_Data=1,_xll.DBSW('Plan Input'!I33*1000,Server&amp;Cube1,Context!$I$13,Context!$T$5,Context!$I$11,'Plan Input'!$B$12,Context!$I$12,'Plan Input'!I$2,Context!$I$10,'Plan Input'!$A33),"")</f>
        <v/>
      </c>
      <c r="J33" s="204" t="str">
        <f>IF(Flag_Send_Data=1,_xll.DBSW('Plan Input'!J33*1000,Server&amp;Cube1,Context!$I$13,Context!$T$5,Context!$I$11,'Plan Input'!$B$12,Context!$I$12,'Plan Input'!J$2,Context!$I$10,'Plan Input'!$A33),"")</f>
        <v/>
      </c>
      <c r="K33" s="204" t="str">
        <f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</row>
    <row r="34" spans="1:28" ht="18" customHeight="1" thickBot="1">
      <c r="A34" s="81"/>
      <c r="B34" s="81"/>
      <c r="C34" s="200"/>
      <c r="D34" s="209"/>
      <c r="E34" s="209"/>
      <c r="F34" s="209"/>
      <c r="G34" s="204" t="str">
        <f>IF(Flag_Send_Data=1,_xll.DBSW('Plan Input'!G34*1000,Server&amp;Cube1,Context!$I$13,Context!$T$5,Context!$I$11,'Plan Input'!$B$12,Context!$I$12,'Plan Input'!G$2,Context!$I$10,'Plan Input'!$A34),"")</f>
        <v/>
      </c>
      <c r="H34" s="204" t="str">
        <f>IF(Flag_Send_Data=1,_xll.DBSW('Plan Input'!H34*1000,Server&amp;Cube1,Context!$I$13,Context!$T$5,Context!$I$11,'Plan Input'!$B$12,Context!$I$12,'Plan Input'!H$2,Context!$I$10,'Plan Input'!$A34),"")</f>
        <v/>
      </c>
      <c r="I34" s="204" t="str">
        <f>IF(Flag_Send_Data=1,_xll.DBSW('Plan Input'!I34*1000,Server&amp;Cube1,Context!$I$13,Context!$T$5,Context!$I$11,'Plan Input'!$B$12,Context!$I$12,'Plan Input'!I$2,Context!$I$10,'Plan Input'!$A34),"")</f>
        <v/>
      </c>
      <c r="J34" s="204" t="str">
        <f>IF(Flag_Send_Data=1,_xll.DBSW('Plan Input'!J34*1000,Server&amp;Cube1,Context!$I$13,Context!$T$5,Context!$I$11,'Plan Input'!$B$12,Context!$I$12,'Plan Input'!J$2,Context!$I$10,'Plan Input'!$A34),"")</f>
        <v/>
      </c>
      <c r="K34" s="204" t="str">
        <f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</row>
    <row r="35" spans="1:28" ht="18" customHeight="1" thickBot="1">
      <c r="A35" s="81"/>
      <c r="B35" s="81"/>
      <c r="C35" s="202"/>
      <c r="D35" s="211"/>
      <c r="E35" s="211"/>
      <c r="F35" s="211"/>
      <c r="G35" s="212" t="str">
        <f>IF(Flag_Send_Data=1,_xll.DBSW('Plan Input'!G35*1000,Server&amp;Cube1,Context!$I$13,Context!$T$5,Context!$I$11,'Plan Input'!$B$12,Context!$I$12,'Plan Input'!G$2,Context!$I$10,'Plan Input'!$A35),"")</f>
        <v/>
      </c>
      <c r="H35" s="212" t="str">
        <f>IF(Flag_Send_Data=1,_xll.DBSW('Plan Input'!H35*1000,Server&amp;Cube1,Context!$I$13,Context!$T$5,Context!$I$11,'Plan Input'!$B$12,Context!$I$12,'Plan Input'!H$2,Context!$I$10,'Plan Input'!$A35),"")</f>
        <v/>
      </c>
      <c r="I35" s="212" t="str">
        <f>IF(Flag_Send_Data=1,_xll.DBSW('Plan Input'!I35*1000,Server&amp;Cube1,Context!$I$13,Context!$T$5,Context!$I$11,'Plan Input'!$B$12,Context!$I$12,'Plan Input'!I$2,Context!$I$10,'Plan Input'!$A35),"")</f>
        <v/>
      </c>
      <c r="J35" s="212" t="str">
        <f>IF(Flag_Send_Data=1,_xll.DBSW('Plan Input'!J35*1000,Server&amp;Cube1,Context!$I$13,Context!$T$5,Context!$I$11,'Plan Input'!$B$12,Context!$I$12,'Plan Input'!J$2,Context!$I$10,'Plan Input'!$A35),"")</f>
        <v/>
      </c>
      <c r="K35" s="212" t="str">
        <f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</row>
    <row r="36" spans="1:28" ht="18" customHeight="1" thickBot="1">
      <c r="A36" s="81"/>
      <c r="B36" s="81"/>
      <c r="C36" s="133"/>
      <c r="D36" s="207"/>
      <c r="E36" s="207"/>
      <c r="F36" s="207"/>
      <c r="G36" s="207"/>
      <c r="H36" s="207"/>
      <c r="I36" s="207"/>
      <c r="J36" s="207"/>
      <c r="K36" s="207"/>
      <c r="L36" s="1"/>
      <c r="M36" s="1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</row>
    <row r="37" spans="1:28" ht="18" customHeight="1">
      <c r="A37" s="81"/>
      <c r="B37" s="81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M37" s="1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</row>
    <row r="38" spans="1:28" ht="18" customHeight="1">
      <c r="A38" s="81"/>
      <c r="B38" s="81"/>
      <c r="C38" s="198"/>
      <c r="D38" s="209"/>
      <c r="E38" s="209"/>
      <c r="F38" s="209"/>
      <c r="G38" s="206"/>
      <c r="H38" s="206"/>
      <c r="I38" s="206"/>
      <c r="J38" s="206"/>
      <c r="K38" s="206"/>
      <c r="L38" s="1"/>
      <c r="M38" s="264" t="str">
        <f>IF(Flag_Send_Data=1,_xll.DBSW(IF(xTPL21=TRUE,"1","0"),Server&amp;Cube1,Context!$I$13,Context!$T$5,Context!$I$11,'Plan Input'!$B$12,Context!$I$12,'Plan Input'!G$2,Context!$I$10,"TPL21_checkbox_Tech"),"")</f>
        <v/>
      </c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</row>
    <row r="39" spans="1:28" ht="18" customHeight="1">
      <c r="A39" s="81"/>
      <c r="B39" s="81"/>
      <c r="C39" s="198"/>
      <c r="D39" s="209"/>
      <c r="E39" s="209"/>
      <c r="F39" s="209"/>
      <c r="G39" s="204" t="str">
        <f>IF(Flag_Send_Data=1,_xll.DBSW('Plan Input'!G39*1000,Server&amp;Cube1,Context!$I$13,Context!$T$5,Context!$I$11,'Plan Input'!$B$12,Context!$I$12,'Plan Input'!G$2,Context!$I$10,'Plan Input'!$A39),"")</f>
        <v/>
      </c>
      <c r="H39" s="204" t="str">
        <f>IF(Flag_Send_Data=1,_xll.DBSW('Plan Input'!H39*1000,Server&amp;Cube1,Context!$I$13,Context!$T$5,Context!$I$11,'Plan Input'!$B$12,Context!$I$12,'Plan Input'!H$2,Context!$I$10,'Plan Input'!$A39),"")</f>
        <v/>
      </c>
      <c r="I39" s="204" t="str">
        <f>IF(Flag_Send_Data=1,_xll.DBSW('Plan Input'!I39*1000,Server&amp;Cube1,Context!$I$13,Context!$T$5,Context!$I$11,'Plan Input'!$B$12,Context!$I$12,'Plan Input'!I$2,Context!$I$10,'Plan Input'!$A39),"")</f>
        <v/>
      </c>
      <c r="J39" s="204" t="str">
        <f>IF(Flag_Send_Data=1,_xll.DBSW('Plan Input'!J39*1000,Server&amp;Cube1,Context!$I$13,Context!$T$5,Context!$I$11,'Plan Input'!$B$12,Context!$I$12,'Plan Input'!J$2,Context!$I$10,'Plan Input'!$A39),"")</f>
        <v/>
      </c>
      <c r="K39" s="204" t="str">
        <f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</row>
    <row r="40" spans="1:28" ht="18" customHeight="1" thickBot="1">
      <c r="A40" s="81"/>
      <c r="B40" s="81"/>
      <c r="C40" s="198"/>
      <c r="D40" s="209"/>
      <c r="E40" s="209"/>
      <c r="F40" s="209"/>
      <c r="G40" s="204" t="str">
        <f>IF(Flag_Send_Data=1,_xll.DBSW('Plan Input'!G40*1000,Server&amp;Cube1,Context!$I$13,Context!$T$5,Context!$I$11,'Plan Input'!$B$12,Context!$I$12,'Plan Input'!G$2,Context!$I$10,'Plan Input'!$A40),"")</f>
        <v/>
      </c>
      <c r="H40" s="204" t="str">
        <f>IF(Flag_Send_Data=1,_xll.DBSW('Plan Input'!H40*1000,Server&amp;Cube1,Context!$I$13,Context!$T$5,Context!$I$11,'Plan Input'!$B$12,Context!$I$12,'Plan Input'!H$2,Context!$I$10,'Plan Input'!$A40),"")</f>
        <v/>
      </c>
      <c r="I40" s="204" t="str">
        <f>IF(Flag_Send_Data=1,_xll.DBSW('Plan Input'!I40*1000,Server&amp;Cube1,Context!$I$13,Context!$T$5,Context!$I$11,'Plan Input'!$B$12,Context!$I$12,'Plan Input'!I$2,Context!$I$10,'Plan Input'!$A40),"")</f>
        <v/>
      </c>
      <c r="J40" s="204" t="str">
        <f>IF(Flag_Send_Data=1,_xll.DBSW('Plan Input'!J40*1000,Server&amp;Cube1,Context!$I$13,Context!$T$5,Context!$I$11,'Plan Input'!$B$12,Context!$I$12,'Plan Input'!J$2,Context!$I$10,'Plan Input'!$A40),"")</f>
        <v/>
      </c>
      <c r="K40" s="204" t="str">
        <f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</row>
    <row r="41" spans="1:28" ht="18" customHeight="1" thickBot="1">
      <c r="A41" s="81"/>
      <c r="B41" s="81"/>
      <c r="C41" s="133"/>
      <c r="D41" s="207"/>
      <c r="E41" s="207"/>
      <c r="F41" s="207"/>
      <c r="G41" s="207"/>
      <c r="H41" s="207"/>
      <c r="I41" s="207"/>
      <c r="J41" s="207"/>
      <c r="K41" s="207"/>
      <c r="L41" s="1"/>
      <c r="M41" s="1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</row>
    <row r="42" spans="1:28" ht="18" customHeight="1">
      <c r="A42" s="81"/>
      <c r="B42" s="81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M42" s="1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</row>
    <row r="43" spans="1:28" ht="18" customHeight="1">
      <c r="A43" s="81"/>
      <c r="B43" s="81"/>
      <c r="C43" s="198"/>
      <c r="D43" s="209"/>
      <c r="E43" s="209"/>
      <c r="F43" s="209"/>
      <c r="G43" s="206"/>
      <c r="H43" s="206"/>
      <c r="I43" s="206"/>
      <c r="J43" s="206"/>
      <c r="K43" s="206"/>
      <c r="L43" s="1"/>
      <c r="M43" s="264" t="str">
        <f>IF(Flag_Send_Data=1,_xll.DBSW(IF(xTPL4=TRUE,"1","0"),Server&amp;Cube1,Context!$I$13,Context!$T$5,Context!$I$11,'Plan Input'!$B$12,Context!$I$12,'Plan Input'!G$2,Context!$I$10,"TPL4_checkbox_Tech"),"")</f>
        <v/>
      </c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</row>
    <row r="44" spans="1:28" ht="18" customHeight="1" thickBot="1">
      <c r="A44" s="81"/>
      <c r="B44" s="81"/>
      <c r="C44" s="198"/>
      <c r="D44" s="256"/>
      <c r="E44" s="256"/>
      <c r="F44" s="256"/>
      <c r="G44" s="204" t="str">
        <f>IF(Flag_Send_Data=1,_xll.DBSW('Plan Input'!G44*1000,Server&amp;Cube1,Context!$I$13,Context!$T$5,Context!$I$11,'Plan Input'!$B$12,Context!$I$12,'Plan Input'!G$2,Context!$I$10,'Plan Input'!$A44),"")</f>
        <v/>
      </c>
      <c r="H44" s="204" t="str">
        <f>IF(Flag_Send_Data=1,_xll.DBSW('Plan Input'!H44*1000,Server&amp;Cube1,Context!$I$13,Context!$T$5,Context!$I$11,'Plan Input'!$B$12,Context!$I$12,'Plan Input'!H$2,Context!$I$10,'Plan Input'!$A44),"")</f>
        <v/>
      </c>
      <c r="I44" s="204" t="str">
        <f>IF(Flag_Send_Data=1,_xll.DBSW('Plan Input'!I44*1000,Server&amp;Cube1,Context!$I$13,Context!$T$5,Context!$I$11,'Plan Input'!$B$12,Context!$I$12,'Plan Input'!I$2,Context!$I$10,'Plan Input'!$A44),"")</f>
        <v/>
      </c>
      <c r="J44" s="204" t="str">
        <f>IF(Flag_Send_Data=1,_xll.DBSW('Plan Input'!J44*1000,Server&amp;Cube1,Context!$I$13,Context!$T$5,Context!$I$11,'Plan Input'!$B$12,Context!$I$12,'Plan Input'!J$2,Context!$I$10,'Plan Input'!$A44),"")</f>
        <v/>
      </c>
      <c r="K44" s="204" t="str">
        <f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</row>
    <row r="45" spans="1:28" ht="18" customHeight="1" thickBot="1">
      <c r="A45" s="81"/>
      <c r="B45" s="81"/>
      <c r="C45" s="133"/>
      <c r="D45" s="207"/>
      <c r="E45" s="207"/>
      <c r="F45" s="207"/>
      <c r="G45" s="207"/>
      <c r="H45" s="207"/>
      <c r="I45" s="207"/>
      <c r="J45" s="207"/>
      <c r="K45" s="207"/>
      <c r="L45" s="1"/>
      <c r="M45" s="1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</row>
    <row r="46" spans="1:28" ht="18" customHeight="1">
      <c r="A46" s="81"/>
      <c r="B46" s="81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M46" s="1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</row>
    <row r="47" spans="1:28" ht="18" customHeight="1">
      <c r="A47" s="81"/>
      <c r="B47" s="81"/>
      <c r="C47" s="198"/>
      <c r="D47" s="209"/>
      <c r="E47" s="209"/>
      <c r="F47" s="209"/>
      <c r="G47" s="204" t="str">
        <f>IF(Flag_Send_Data=1,_xll.DBSW('Plan Input'!G47*1000,Server&amp;Cube1,Context!$I$13,Context!$T$5,Context!$I$11,'Plan Input'!$B$12,Context!$I$12,'Plan Input'!G$2,Context!$I$10,'Plan Input'!$A47),"")</f>
        <v/>
      </c>
      <c r="H47" s="204" t="str">
        <f>IF(Flag_Send_Data=1,_xll.DBSW('Plan Input'!H47*1000,Server&amp;Cube1,Context!$I$13,Context!$T$5,Context!$I$11,'Plan Input'!$B$12,Context!$I$12,'Plan Input'!H$2,Context!$I$10,'Plan Input'!$A47),"")</f>
        <v/>
      </c>
      <c r="I47" s="204" t="str">
        <f>IF(Flag_Send_Data=1,_xll.DBSW('Plan Input'!I47*1000,Server&amp;Cube1,Context!$I$13,Context!$T$5,Context!$I$11,'Plan Input'!$B$12,Context!$I$12,'Plan Input'!I$2,Context!$I$10,'Plan Input'!$A47),"")</f>
        <v/>
      </c>
      <c r="J47" s="204" t="str">
        <f>IF(Flag_Send_Data=1,_xll.DBSW('Plan Input'!J47*1000,Server&amp;Cube1,Context!$I$13,Context!$T$5,Context!$I$11,'Plan Input'!$B$12,Context!$I$12,'Plan Input'!J$2,Context!$I$10,'Plan Input'!$A47),"")</f>
        <v/>
      </c>
      <c r="K47" s="204" t="str">
        <f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</row>
    <row r="48" spans="1:28" ht="18" customHeight="1" thickBot="1">
      <c r="A48" s="81"/>
      <c r="B48" s="81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M48" s="1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81"/>
      <c r="B49" s="81"/>
      <c r="C49" s="133"/>
      <c r="D49" s="207"/>
      <c r="E49" s="207"/>
      <c r="F49" s="207"/>
      <c r="G49" s="207"/>
      <c r="H49" s="207"/>
      <c r="I49" s="207"/>
      <c r="J49" s="207"/>
      <c r="K49" s="207"/>
      <c r="L49" s="1"/>
      <c r="M49" s="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M50" s="1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" customHeight="1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M51" s="1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18" customHeight="1">
      <c r="A52" s="81" t="s">
        <v>131</v>
      </c>
      <c r="B52" s="81"/>
      <c r="C52" s="250"/>
      <c r="D52" s="91"/>
      <c r="E52" s="91"/>
      <c r="F52" s="91"/>
      <c r="G52" s="91" t="str">
        <f>IF(Flag_Send_Data=1,_xll.DBSW('Plan Input'!#REF!*1000,Server&amp;Cube1,Context!$I$13,Context!$T$5,Context!$I$11,'Plan Input'!$B$12,Context!$I$12,'Plan Input'!G$2,Context!$I$10,'Plan Input'!#REF!),"")</f>
        <v/>
      </c>
      <c r="H52" s="91" t="str">
        <f>IF(Flag_Send_Data=1,_xll.DBSW('Plan Input'!#REF!*1000,Server&amp;Cube1,Context!$I$13,Context!$T$5,Context!$I$11,'Plan Input'!$B$12,Context!$I$12,'Plan Input'!H$2,Context!$I$10,'Plan Input'!#REF!),"")</f>
        <v/>
      </c>
      <c r="I52" s="91" t="str">
        <f>IF(Flag_Send_Data=1,_xll.DBSW('Plan Input'!#REF!*1000,Server&amp;Cube1,Context!$I$13,Context!$T$5,Context!$I$11,'Plan Input'!$B$12,Context!$I$12,'Plan Input'!I$2,Context!$I$10,'Plan Input'!#REF!),"")</f>
        <v/>
      </c>
      <c r="J52" s="91" t="str">
        <f>IF(Flag_Send_Data=1,_xll.DBSW('Plan Input'!#REF!*1000,Server&amp;Cube1,Context!$I$13,Context!$T$5,Context!$I$11,'Plan Input'!$B$12,Context!$I$12,'Plan Input'!J$2,Context!$I$10,'Plan Input'!#REF!),"")</f>
        <v/>
      </c>
      <c r="K52" s="91" t="str">
        <f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8" customHeight="1" thickBot="1">
      <c r="A53" s="81"/>
      <c r="B53" s="81"/>
      <c r="C53" s="251"/>
      <c r="D53" s="92"/>
      <c r="E53" s="92"/>
      <c r="F53" s="92"/>
      <c r="G53" s="92"/>
      <c r="H53" s="92"/>
      <c r="I53" s="92"/>
      <c r="J53" s="92"/>
      <c r="K53" s="92"/>
      <c r="L53" s="1"/>
      <c r="M53" s="1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8" customHeight="1">
      <c r="A54" s="81" t="s">
        <v>145</v>
      </c>
      <c r="B54" s="81" t="s">
        <v>145</v>
      </c>
      <c r="C54" s="213"/>
      <c r="D54" s="214"/>
      <c r="E54" s="214"/>
      <c r="F54" s="214"/>
      <c r="G54" s="214"/>
      <c r="H54" s="214"/>
      <c r="I54" s="214"/>
      <c r="J54" s="214"/>
      <c r="K54" s="215"/>
      <c r="L54" s="1"/>
      <c r="M54" s="1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132</v>
      </c>
      <c r="B55" s="81"/>
      <c r="C55" s="216"/>
      <c r="D55" s="217"/>
      <c r="E55" s="217"/>
      <c r="F55" s="217"/>
      <c r="G55" s="218"/>
      <c r="H55" s="218"/>
      <c r="I55" s="218"/>
      <c r="J55" s="218"/>
      <c r="K55" s="218"/>
      <c r="L55" s="1"/>
      <c r="M55" s="1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/>
      <c r="B56" s="81"/>
      <c r="C56" s="216"/>
      <c r="D56" s="217"/>
      <c r="E56" s="217"/>
      <c r="F56" s="217"/>
      <c r="G56" s="218"/>
      <c r="H56" s="218"/>
      <c r="I56" s="218"/>
      <c r="J56" s="218"/>
      <c r="K56" s="218"/>
      <c r="L56" s="1"/>
      <c r="M56" s="1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/>
      <c r="B57" s="81"/>
      <c r="C57" s="216"/>
      <c r="D57" s="217"/>
      <c r="E57" s="217"/>
      <c r="F57" s="217"/>
      <c r="G57" s="218"/>
      <c r="H57" s="218"/>
      <c r="I57" s="218"/>
      <c r="J57" s="218"/>
      <c r="K57" s="218"/>
      <c r="L57" s="1"/>
      <c r="M57" s="1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/>
      <c r="B58" s="81"/>
      <c r="C58" s="216"/>
      <c r="D58" s="217"/>
      <c r="E58" s="217"/>
      <c r="F58" s="217"/>
      <c r="G58" s="218"/>
      <c r="H58" s="218"/>
      <c r="I58" s="218"/>
      <c r="J58" s="218"/>
      <c r="K58" s="218"/>
      <c r="L58" s="1"/>
      <c r="M58" s="1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18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M59" s="1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/>
      <c r="B60" s="81"/>
      <c r="C60" s="213"/>
      <c r="D60" s="219"/>
      <c r="E60" s="219"/>
      <c r="F60" s="219"/>
      <c r="G60" s="219"/>
      <c r="H60" s="219"/>
      <c r="I60" s="219"/>
      <c r="J60" s="219"/>
      <c r="K60" s="219"/>
      <c r="L60" s="1"/>
      <c r="M60" s="1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/>
      <c r="B61" s="81"/>
      <c r="C61" s="198"/>
      <c r="D61" s="209"/>
      <c r="E61" s="209"/>
      <c r="F61" s="209"/>
      <c r="G61" s="204" t="str">
        <f>IF(Flag_Send_Data=1,_xll.DBSW('Plan Input'!G61*1000,Server&amp;Cube1,Context!$I$13,Context!$T$5,Context!$I$11,'Plan Input'!$B$12,Context!$I$12,'Plan Input'!G$2,Context!$I$10,'Plan Input'!$A61),"")</f>
        <v/>
      </c>
      <c r="H61" s="204" t="str">
        <f>IF(Flag_Send_Data=1,_xll.DBSW('Plan Input'!H61*1000,Server&amp;Cube1,Context!$I$13,Context!$T$5,Context!$I$11,'Plan Input'!$B$12,Context!$I$12,'Plan Input'!H$2,Context!$I$10,'Plan Input'!$A61),"")</f>
        <v/>
      </c>
      <c r="I61" s="204" t="str">
        <f>IF(Flag_Send_Data=1,_xll.DBSW('Plan Input'!I61*1000,Server&amp;Cube1,Context!$I$13,Context!$T$5,Context!$I$11,'Plan Input'!$B$12,Context!$I$12,'Plan Input'!I$2,Context!$I$10,'Plan Input'!$A61),"")</f>
        <v/>
      </c>
      <c r="J61" s="204" t="str">
        <f>IF(Flag_Send_Data=1,_xll.DBSW('Plan Input'!J61*1000,Server&amp;Cube1,Context!$I$13,Context!$T$5,Context!$I$11,'Plan Input'!$B$12,Context!$I$12,'Plan Input'!J$2,Context!$I$10,'Plan Input'!$A61),"")</f>
        <v/>
      </c>
      <c r="K61" s="204" t="str">
        <f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18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M62" s="1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/>
      <c r="B63" s="81"/>
      <c r="C63" s="213"/>
      <c r="D63" s="219"/>
      <c r="E63" s="219"/>
      <c r="F63" s="219"/>
      <c r="G63" s="219"/>
      <c r="H63" s="219"/>
      <c r="I63" s="219"/>
      <c r="J63" s="219"/>
      <c r="K63" s="220"/>
      <c r="L63" s="1"/>
      <c r="M63" s="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/>
      <c r="B64" s="81"/>
      <c r="C64" s="198"/>
      <c r="D64" s="209"/>
      <c r="E64" s="209"/>
      <c r="F64" s="209"/>
      <c r="G64" s="204" t="str">
        <f>IF(Flag_Send_Data=1,_xll.DBSW('Plan Input'!G64*1000,Server&amp;Cube1,Context!$I$13,Context!$T$5,Context!$I$11,'Plan Input'!$B$12,Context!$I$12,'Plan Input'!G$2,Context!$I$10,'Plan Input'!$A64),"")</f>
        <v/>
      </c>
      <c r="H64" s="204" t="str">
        <f>IF(Flag_Send_Data=1,_xll.DBSW('Plan Input'!H64*1000,Server&amp;Cube1,Context!$I$13,Context!$T$5,Context!$I$11,'Plan Input'!$B$12,Context!$I$12,'Plan Input'!H$2,Context!$I$10,'Plan Input'!$A64),"")</f>
        <v/>
      </c>
      <c r="I64" s="204" t="str">
        <f>IF(Flag_Send_Data=1,_xll.DBSW('Plan Input'!I64*1000,Server&amp;Cube1,Context!$I$13,Context!$T$5,Context!$I$11,'Plan Input'!$B$12,Context!$I$12,'Plan Input'!I$2,Context!$I$10,'Plan Input'!$A64),"")</f>
        <v/>
      </c>
      <c r="J64" s="204" t="str">
        <f>IF(Flag_Send_Data=1,_xll.DBSW('Plan Input'!J64*1000,Server&amp;Cube1,Context!$I$13,Context!$T$5,Context!$I$11,'Plan Input'!$B$12,Context!$I$12,'Plan Input'!J$2,Context!$I$10,'Plan Input'!$A64),"")</f>
        <v/>
      </c>
      <c r="K64" s="204" t="str">
        <f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/>
      <c r="B65" s="81"/>
      <c r="C65" s="198"/>
      <c r="D65" s="209"/>
      <c r="E65" s="209"/>
      <c r="F65" s="209"/>
      <c r="G65" s="204" t="str">
        <f>IF(Flag_Send_Data=1,_xll.DBSW('Plan Input'!G65*1000,Server&amp;Cube1,Context!$I$13,Context!$T$5,Context!$I$11,'Plan Input'!$B$12,Context!$I$12,'Plan Input'!G$2,Context!$I$10,'Plan Input'!$A65),"")</f>
        <v/>
      </c>
      <c r="H65" s="204" t="str">
        <f>IF(Flag_Send_Data=1,_xll.DBSW('Plan Input'!H65*1000,Server&amp;Cube1,Context!$I$13,Context!$T$5,Context!$I$11,'Plan Input'!$B$12,Context!$I$12,'Plan Input'!H$2,Context!$I$10,'Plan Input'!$A65),"")</f>
        <v/>
      </c>
      <c r="I65" s="204" t="str">
        <f>IF(Flag_Send_Data=1,_xll.DBSW('Plan Input'!I65*1000,Server&amp;Cube1,Context!$I$13,Context!$T$5,Context!$I$11,'Plan Input'!$B$12,Context!$I$12,'Plan Input'!I$2,Context!$I$10,'Plan Input'!$A65),"")</f>
        <v/>
      </c>
      <c r="J65" s="204" t="str">
        <f>IF(Flag_Send_Data=1,_xll.DBSW('Plan Input'!J65*1000,Server&amp;Cube1,Context!$I$13,Context!$T$5,Context!$I$11,'Plan Input'!$B$12,Context!$I$12,'Plan Input'!J$2,Context!$I$10,'Plan Input'!$A65),"")</f>
        <v/>
      </c>
      <c r="K65" s="204" t="str">
        <f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18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M66" s="1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/>
      <c r="B67" s="81"/>
      <c r="C67" s="213"/>
      <c r="D67" s="219"/>
      <c r="E67" s="219"/>
      <c r="F67" s="219"/>
      <c r="G67" s="219"/>
      <c r="H67" s="219"/>
      <c r="I67" s="219"/>
      <c r="J67" s="219"/>
      <c r="K67" s="220"/>
      <c r="L67" s="1"/>
      <c r="M67" s="1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18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M68" s="1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/>
      <c r="B69" s="81"/>
      <c r="C69" s="198"/>
      <c r="D69" s="209"/>
      <c r="E69" s="209"/>
      <c r="F69" s="209"/>
      <c r="G69" s="204" t="str">
        <f>IF(Flag_Send_Data=1,_xll.DBSW('Plan Input'!G69*1000,Server&amp;Cube1,Context!$I$13,Context!$T$5,Context!$I$11,'Plan Input'!$B$12,Context!$I$12,'Plan Input'!G$2,Context!$I$10,'Plan Input'!$A69),"")</f>
        <v/>
      </c>
      <c r="H69" s="204" t="str">
        <f>IF(Flag_Send_Data=1,_xll.DBSW('Plan Input'!H69*1000,Server&amp;Cube1,Context!$I$13,Context!$T$5,Context!$I$11,'Plan Input'!$B$12,Context!$I$12,'Plan Input'!H$2,Context!$I$10,'Plan Input'!$A69),"")</f>
        <v/>
      </c>
      <c r="I69" s="204" t="str">
        <f>IF(Flag_Send_Data=1,_xll.DBSW('Plan Input'!I69*1000,Server&amp;Cube1,Context!$I$13,Context!$T$5,Context!$I$11,'Plan Input'!$B$12,Context!$I$12,'Plan Input'!I$2,Context!$I$10,'Plan Input'!$A69),"")</f>
        <v/>
      </c>
      <c r="J69" s="204" t="str">
        <f>IF(Flag_Send_Data=1,_xll.DBSW('Plan Input'!J69*1000,Server&amp;Cube1,Context!$I$13,Context!$T$5,Context!$I$11,'Plan Input'!$B$12,Context!$I$12,'Plan Input'!J$2,Context!$I$10,'Plan Input'!$A69),"")</f>
        <v/>
      </c>
      <c r="K69" s="204" t="str">
        <f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/>
      <c r="B70" s="81"/>
      <c r="C70" s="198"/>
      <c r="D70" s="209"/>
      <c r="E70" s="209"/>
      <c r="F70" s="209"/>
      <c r="G70" s="206"/>
      <c r="H70" s="206"/>
      <c r="I70" s="206"/>
      <c r="J70" s="206"/>
      <c r="K70" s="206"/>
      <c r="L70" s="1"/>
      <c r="M70" s="1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/>
      <c r="B71" s="81"/>
      <c r="C71" s="198"/>
      <c r="D71" s="209"/>
      <c r="E71" s="209"/>
      <c r="F71" s="209"/>
      <c r="G71" s="254" t="str">
        <f>IF(Flag_Send_Data=1,_xll.DBSW('Plan Input'!G71*1000,Server&amp;Cube1,Context!$I$13,Context!$T$5,Context!$I$11,'Plan Input'!$B$12,Context!$I$12,'Plan Input'!G$2,Context!$I$10,'Plan Input'!$A71),"")</f>
        <v/>
      </c>
      <c r="H71" s="254" t="str">
        <f>IF(Flag_Send_Data=1,_xll.DBSW('Plan Input'!H71*1000,Server&amp;Cube1,Context!$I$13,Context!$T$5,Context!$I$11,'Plan Input'!$B$12,Context!$I$12,'Plan Input'!H$2,Context!$I$10,'Plan Input'!$A71),"")</f>
        <v/>
      </c>
      <c r="I71" s="254" t="str">
        <f>IF(Flag_Send_Data=1,_xll.DBSW('Plan Input'!I71*1000,Server&amp;Cube1,Context!$I$13,Context!$T$5,Context!$I$11,'Plan Input'!$B$12,Context!$I$12,'Plan Input'!I$2,Context!$I$10,'Plan Input'!$A71),"")</f>
        <v/>
      </c>
      <c r="J71" s="254" t="str">
        <f>IF(Flag_Send_Data=1,_xll.DBSW('Plan Input'!J71*1000,Server&amp;Cube1,Context!$I$13,Context!$T$5,Context!$I$11,'Plan Input'!$B$12,Context!$I$12,'Plan Input'!J$2,Context!$I$10,'Plan Input'!$A71),"")</f>
        <v/>
      </c>
      <c r="K71" s="254" t="str">
        <f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/>
      <c r="B72" s="81"/>
      <c r="C72" s="198"/>
      <c r="D72" s="209"/>
      <c r="E72" s="209"/>
      <c r="F72" s="209"/>
      <c r="G72" s="204" t="str">
        <f>IF(Flag_Send_Data=1,_xll.DBSW('Plan Input'!G72*1000,Server&amp;Cube1,Context!$I$13,Context!$T$5,Context!$I$11,'Plan Input'!$B$12,Context!$I$12,'Plan Input'!G$2,Context!$I$10,'Plan Input'!$A72),"")</f>
        <v/>
      </c>
      <c r="H72" s="204" t="str">
        <f>IF(Flag_Send_Data=1,_xll.DBSW('Plan Input'!H72*1000,Server&amp;Cube1,Context!$I$13,Context!$T$5,Context!$I$11,'Plan Input'!$B$12,Context!$I$12,'Plan Input'!H$2,Context!$I$10,'Plan Input'!$A72),"")</f>
        <v/>
      </c>
      <c r="I72" s="204" t="str">
        <f>IF(Flag_Send_Data=1,_xll.DBSW('Plan Input'!I72*1000,Server&amp;Cube1,Context!$I$13,Context!$T$5,Context!$I$11,'Plan Input'!$B$12,Context!$I$12,'Plan Input'!I$2,Context!$I$10,'Plan Input'!$A72),"")</f>
        <v/>
      </c>
      <c r="J72" s="204" t="str">
        <f>IF(Flag_Send_Data=1,_xll.DBSW('Plan Input'!J72*1000,Server&amp;Cube1,Context!$I$13,Context!$T$5,Context!$I$11,'Plan Input'!$B$12,Context!$I$12,'Plan Input'!J$2,Context!$I$10,'Plan Input'!$A72),"")</f>
        <v/>
      </c>
      <c r="K72" s="204" t="str">
        <f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/>
      <c r="B73" s="81"/>
      <c r="C73" s="198"/>
      <c r="D73" s="209"/>
      <c r="E73" s="209"/>
      <c r="F73" s="209"/>
      <c r="G73" s="206"/>
      <c r="H73" s="206"/>
      <c r="I73" s="206"/>
      <c r="J73" s="206"/>
      <c r="K73" s="206"/>
      <c r="L73" s="1"/>
      <c r="M73" s="1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/>
      <c r="B74" s="81"/>
      <c r="C74" s="198"/>
      <c r="D74" s="209"/>
      <c r="E74" s="209"/>
      <c r="F74" s="209"/>
      <c r="G74" s="254" t="str">
        <f>IF(Flag_Send_Data=1,_xll.DBSW('Plan Input'!G74*1000,Server&amp;Cube1,Context!$I$13,Context!$T$5,Context!$I$11,'Plan Input'!$B$12,Context!$I$12,'Plan Input'!G$2,Context!$I$10,'Plan Input'!$A74),"")</f>
        <v/>
      </c>
      <c r="H74" s="254" t="str">
        <f>IF(Flag_Send_Data=1,_xll.DBSW('Plan Input'!H74*1000,Server&amp;Cube1,Context!$I$13,Context!$T$5,Context!$I$11,'Plan Input'!$B$12,Context!$I$12,'Plan Input'!H$2,Context!$I$10,'Plan Input'!$A74),"")</f>
        <v/>
      </c>
      <c r="I74" s="254" t="str">
        <f>IF(Flag_Send_Data=1,_xll.DBSW('Plan Input'!I74*1000,Server&amp;Cube1,Context!$I$13,Context!$T$5,Context!$I$11,'Plan Input'!$B$12,Context!$I$12,'Plan Input'!I$2,Context!$I$10,'Plan Input'!$A74),"")</f>
        <v/>
      </c>
      <c r="J74" s="254" t="str">
        <f>IF(Flag_Send_Data=1,_xll.DBSW('Plan Input'!J74*1000,Server&amp;Cube1,Context!$I$13,Context!$T$5,Context!$I$11,'Plan Input'!$B$12,Context!$I$12,'Plan Input'!J$2,Context!$I$10,'Plan Input'!$A74),"")</f>
        <v/>
      </c>
      <c r="K74" s="254" t="str">
        <f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>
      <c r="A75" s="81"/>
      <c r="B75" s="81"/>
      <c r="C75" s="198"/>
      <c r="D75" s="209"/>
      <c r="E75" s="209"/>
      <c r="F75" s="209"/>
      <c r="G75" s="134"/>
      <c r="H75" s="134"/>
      <c r="I75" s="134"/>
      <c r="J75" s="134"/>
      <c r="K75" s="134"/>
      <c r="L75" s="1"/>
      <c r="M75" s="1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>
      <c r="A76" s="81"/>
      <c r="B76" s="81"/>
      <c r="C76" s="198"/>
      <c r="D76" s="209"/>
      <c r="E76" s="209"/>
      <c r="F76" s="209"/>
      <c r="G76" s="134"/>
      <c r="H76" s="134"/>
      <c r="I76" s="134"/>
      <c r="J76" s="134"/>
      <c r="K76" s="134"/>
      <c r="L76" s="1"/>
      <c r="M76" s="1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/>
      <c r="B77" s="81"/>
      <c r="C77" s="198"/>
      <c r="D77" s="209"/>
      <c r="E77" s="209"/>
      <c r="F77" s="209"/>
      <c r="G77" s="204" t="str">
        <f>IF(Flag_Send_Data=1,_xll.DBSW('Plan Input'!G77*1000,Server&amp;Cube1,Context!$I$13,Context!$T$5,Context!$I$11,'Plan Input'!$B$12,Context!$I$12,'Plan Input'!G$2,Context!$I$10,'Plan Input'!$A77),"")</f>
        <v/>
      </c>
      <c r="H77" s="204" t="str">
        <f>IF(Flag_Send_Data=1,_xll.DBSW('Plan Input'!H77*1000,Server&amp;Cube1,Context!$I$13,Context!$T$5,Context!$I$11,'Plan Input'!$B$12,Context!$I$12,'Plan Input'!H$2,Context!$I$10,'Plan Input'!$A77),"")</f>
        <v/>
      </c>
      <c r="I77" s="204" t="str">
        <f>IF(Flag_Send_Data=1,_xll.DBSW('Plan Input'!I77*1000,Server&amp;Cube1,Context!$I$13,Context!$T$5,Context!$I$11,'Plan Input'!$B$12,Context!$I$12,'Plan Input'!I$2,Context!$I$10,'Plan Input'!$A77),"")</f>
        <v/>
      </c>
      <c r="J77" s="204" t="str">
        <f>IF(Flag_Send_Data=1,_xll.DBSW('Plan Input'!J77*1000,Server&amp;Cube1,Context!$I$13,Context!$T$5,Context!$I$11,'Plan Input'!$B$12,Context!$I$12,'Plan Input'!J$2,Context!$I$10,'Plan Input'!$A77),"")</f>
        <v/>
      </c>
      <c r="K77" s="204" t="str">
        <f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>
      <c r="A78" s="81"/>
      <c r="B78" s="81"/>
      <c r="C78" s="198"/>
      <c r="D78" s="209"/>
      <c r="E78" s="209"/>
      <c r="F78" s="209"/>
      <c r="G78" s="134"/>
      <c r="H78" s="134"/>
      <c r="I78" s="134"/>
      <c r="J78" s="134"/>
      <c r="K78" s="134"/>
      <c r="L78" s="1"/>
      <c r="M78" s="1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8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M79" s="1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/>
      <c r="B80" s="81"/>
      <c r="C80" s="222"/>
      <c r="D80" s="219"/>
      <c r="E80" s="219"/>
      <c r="F80" s="219"/>
      <c r="G80" s="219"/>
      <c r="H80" s="219"/>
      <c r="I80" s="219"/>
      <c r="J80" s="219"/>
      <c r="K80" s="219"/>
      <c r="L80" s="1"/>
      <c r="M80" s="1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</row>
    <row r="81" spans="1:28" ht="18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M81" s="1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</row>
    <row r="82" spans="1:28" ht="18" customHeight="1" thickBot="1">
      <c r="A82" s="81"/>
      <c r="B82" s="81"/>
      <c r="C82" s="223"/>
      <c r="D82" s="219"/>
      <c r="E82" s="219"/>
      <c r="F82" s="219"/>
      <c r="G82" s="219"/>
      <c r="H82" s="219"/>
      <c r="I82" s="219"/>
      <c r="J82" s="219"/>
      <c r="K82" s="220"/>
      <c r="L82" s="1"/>
      <c r="M82" s="1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</row>
    <row r="83" spans="1:28" ht="18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M83" s="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</row>
    <row r="84" spans="1:28" ht="18" customHeight="1">
      <c r="A84" s="81"/>
      <c r="B84" s="81"/>
      <c r="C84" s="198"/>
      <c r="D84" s="209"/>
      <c r="E84" s="209"/>
      <c r="F84" s="209"/>
      <c r="G84" s="206"/>
      <c r="H84" s="206"/>
      <c r="I84" s="206"/>
      <c r="J84" s="206"/>
      <c r="K84" s="206"/>
      <c r="L84" s="1"/>
      <c r="M84" s="1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</row>
    <row r="85" spans="1:28" ht="18" customHeight="1">
      <c r="A85" s="81"/>
      <c r="B85" s="81"/>
      <c r="C85" s="198"/>
      <c r="D85" s="209"/>
      <c r="E85" s="209"/>
      <c r="F85" s="209"/>
      <c r="G85" s="206"/>
      <c r="H85" s="206"/>
      <c r="I85" s="206"/>
      <c r="J85" s="206"/>
      <c r="K85" s="206"/>
      <c r="L85" s="1"/>
      <c r="M85" s="264" t="str">
        <f>IF(Flag_Send_Data=1,_xll.DBSW(IF(xNFI4401=TRUE,"1","0"),Server&amp;Cube1,Context!$I$13,Context!$T$5,Context!$I$11,'Plan Input'!$B$12,Context!$I$12,'Plan Input'!G$2,Context!$I$10,"NFI4401_checkbox_Tech"),"")</f>
        <v/>
      </c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</row>
    <row r="86" spans="1:28" ht="18" customHeight="1">
      <c r="A86" s="81"/>
      <c r="B86" s="81"/>
      <c r="C86" s="198"/>
      <c r="D86" s="209"/>
      <c r="E86" s="209"/>
      <c r="F86" s="209"/>
      <c r="G86" s="204" t="str">
        <f>IF(Flag_Send_Data=1,_xll.DBSW('Plan Input'!G86*1000,Server&amp;Cube1,Context!$I$13,Context!$T$5,Context!$I$11,'Plan Input'!$B$12,Context!$I$12,'Plan Input'!G$2,Context!$I$10,'Plan Input'!$A86),"")</f>
        <v/>
      </c>
      <c r="H86" s="204" t="str">
        <f>IF(Flag_Send_Data=1,_xll.DBSW('Plan Input'!H86*1000,Server&amp;Cube1,Context!$I$13,Context!$T$5,Context!$I$11,'Plan Input'!$B$12,Context!$I$12,'Plan Input'!H$2,Context!$I$10,'Plan Input'!$A86),"")</f>
        <v/>
      </c>
      <c r="I86" s="204" t="str">
        <f>IF(Flag_Send_Data=1,_xll.DBSW('Plan Input'!I86*1000,Server&amp;Cube1,Context!$I$13,Context!$T$5,Context!$I$11,'Plan Input'!$B$12,Context!$I$12,'Plan Input'!I$2,Context!$I$10,'Plan Input'!$A86),"")</f>
        <v/>
      </c>
      <c r="J86" s="204" t="str">
        <f>IF(Flag_Send_Data=1,_xll.DBSW('Plan Input'!J86*1000,Server&amp;Cube1,Context!$I$13,Context!$T$5,Context!$I$11,'Plan Input'!$B$12,Context!$I$12,'Plan Input'!J$2,Context!$I$10,'Plan Input'!$A86),"")</f>
        <v/>
      </c>
      <c r="K86" s="204" t="str">
        <f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</row>
    <row r="87" spans="1:28" ht="18" customHeight="1">
      <c r="A87" s="81"/>
      <c r="B87" s="81"/>
      <c r="C87" s="198"/>
      <c r="D87" s="209"/>
      <c r="E87" s="209"/>
      <c r="F87" s="209"/>
      <c r="G87" s="204" t="str">
        <f>IF(Flag_Send_Data=1,_xll.DBSW('Plan Input'!G87*1000,Server&amp;Cube1,Context!$I$13,Context!$T$5,Context!$I$11,'Plan Input'!$B$12,Context!$I$12,'Plan Input'!G$2,Context!$I$10,'Plan Input'!$A87),"")</f>
        <v/>
      </c>
      <c r="H87" s="204" t="str">
        <f>IF(Flag_Send_Data=1,_xll.DBSW('Plan Input'!H87*1000,Server&amp;Cube1,Context!$I$13,Context!$T$5,Context!$I$11,'Plan Input'!$B$12,Context!$I$12,'Plan Input'!H$2,Context!$I$10,'Plan Input'!$A87),"")</f>
        <v/>
      </c>
      <c r="I87" s="204" t="str">
        <f>IF(Flag_Send_Data=1,_xll.DBSW('Plan Input'!I87*1000,Server&amp;Cube1,Context!$I$13,Context!$T$5,Context!$I$11,'Plan Input'!$B$12,Context!$I$12,'Plan Input'!I$2,Context!$I$10,'Plan Input'!$A87),"")</f>
        <v/>
      </c>
      <c r="J87" s="204" t="str">
        <f>IF(Flag_Send_Data=1,_xll.DBSW('Plan Input'!J87*1000,Server&amp;Cube1,Context!$I$13,Context!$T$5,Context!$I$11,'Plan Input'!$B$12,Context!$I$12,'Plan Input'!J$2,Context!$I$10,'Plan Input'!$A87),"")</f>
        <v/>
      </c>
      <c r="K87" s="204" t="str">
        <f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</row>
    <row r="88" spans="1:28" ht="18" customHeight="1">
      <c r="A88" s="81"/>
      <c r="B88" s="81"/>
      <c r="C88" s="198"/>
      <c r="D88" s="209"/>
      <c r="E88" s="209"/>
      <c r="F88" s="209"/>
      <c r="G88" s="134"/>
      <c r="H88" s="134"/>
      <c r="I88" s="134"/>
      <c r="J88" s="134"/>
      <c r="K88" s="134"/>
      <c r="L88" s="1"/>
      <c r="M88" s="1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</row>
    <row r="89" spans="1:28" ht="18" customHeight="1">
      <c r="A89" s="81"/>
      <c r="B89" s="81"/>
      <c r="C89" s="198"/>
      <c r="D89" s="209"/>
      <c r="E89" s="209"/>
      <c r="F89" s="209"/>
      <c r="G89" s="134"/>
      <c r="H89" s="134"/>
      <c r="I89" s="134"/>
      <c r="J89" s="134"/>
      <c r="K89" s="134"/>
      <c r="L89" s="1"/>
      <c r="M89" s="1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</row>
    <row r="90" spans="1:28" ht="18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M90" s="1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</row>
    <row r="91" spans="1:28" ht="18" customHeight="1">
      <c r="A91" s="81"/>
      <c r="B91" s="81"/>
      <c r="C91" s="213"/>
      <c r="D91" s="219"/>
      <c r="E91" s="219"/>
      <c r="F91" s="219"/>
      <c r="G91" s="219"/>
      <c r="H91" s="219"/>
      <c r="I91" s="219"/>
      <c r="J91" s="219"/>
      <c r="K91" s="219"/>
      <c r="L91" s="1"/>
      <c r="M91" s="1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</row>
    <row r="92" spans="1:28" ht="18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M92" s="1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</row>
    <row r="93" spans="1:28" ht="18" customHeight="1">
      <c r="A93" s="81"/>
      <c r="B93" s="81"/>
      <c r="C93" s="213"/>
      <c r="D93" s="225"/>
      <c r="E93" s="225"/>
      <c r="F93" s="225"/>
      <c r="G93" s="219"/>
      <c r="H93" s="219"/>
      <c r="I93" s="219"/>
      <c r="J93" s="219"/>
      <c r="K93" s="220"/>
      <c r="L93" s="1"/>
      <c r="M93" s="1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</row>
    <row r="94" spans="1:28" ht="18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M94" s="1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</row>
    <row r="95" spans="1:28" ht="18" customHeight="1">
      <c r="A95" s="81"/>
      <c r="B95" s="81"/>
      <c r="C95" s="213"/>
      <c r="D95" s="219"/>
      <c r="E95" s="219"/>
      <c r="F95" s="219"/>
      <c r="G95" s="219"/>
      <c r="H95" s="219"/>
      <c r="I95" s="219"/>
      <c r="J95" s="219"/>
      <c r="K95" s="220"/>
      <c r="L95" s="1"/>
      <c r="M95" s="1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</row>
    <row r="96" spans="1:28" ht="16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M96" s="1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6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"/>
      <c r="M97" s="1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18" customHeight="1">
      <c r="A98" s="162" t="s">
        <v>44</v>
      </c>
      <c r="B98" s="162" t="s">
        <v>44</v>
      </c>
      <c r="C98" s="250"/>
      <c r="D98" s="94"/>
      <c r="E98" s="94"/>
      <c r="F98" s="94"/>
      <c r="G98" s="94"/>
      <c r="H98" s="94"/>
      <c r="I98" s="94"/>
      <c r="J98" s="94"/>
      <c r="K98" s="94"/>
      <c r="L98" s="1"/>
      <c r="M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6" customHeight="1">
      <c r="A99" s="81"/>
      <c r="B99" s="81"/>
      <c r="C99" s="93"/>
      <c r="L99" s="1"/>
      <c r="M99" s="1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</row>
    <row r="100" spans="1:28" ht="18" customHeight="1">
      <c r="A100" s="161" t="s">
        <v>217</v>
      </c>
      <c r="B100" s="161" t="s">
        <v>217</v>
      </c>
      <c r="C100" s="198"/>
      <c r="D100" s="205"/>
      <c r="E100" s="205"/>
      <c r="F100" s="205"/>
      <c r="G100" s="226"/>
      <c r="H100" s="226"/>
      <c r="I100" s="226"/>
      <c r="J100" s="226"/>
      <c r="K100" s="226"/>
      <c r="L100" s="1"/>
      <c r="M100" s="1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</row>
    <row r="101" spans="1:28" ht="6" customHeight="1">
      <c r="A101" s="176"/>
      <c r="B101" s="176"/>
      <c r="C101" s="198"/>
      <c r="D101" s="205"/>
      <c r="E101" s="205"/>
      <c r="F101" s="205"/>
      <c r="G101" s="226"/>
      <c r="H101" s="226"/>
      <c r="I101" s="226"/>
      <c r="J101" s="226"/>
      <c r="K101" s="226"/>
      <c r="L101" s="1"/>
      <c r="M101" s="1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</row>
    <row r="102" spans="1:28" ht="18" customHeight="1">
      <c r="A102" s="161" t="s">
        <v>199</v>
      </c>
      <c r="B102" s="161" t="s">
        <v>199</v>
      </c>
      <c r="C102" s="198"/>
      <c r="D102" s="205"/>
      <c r="E102" s="205"/>
      <c r="F102" s="205"/>
      <c r="G102" s="226"/>
      <c r="H102" s="226"/>
      <c r="I102" s="226"/>
      <c r="J102" s="226"/>
      <c r="K102" s="226"/>
      <c r="L102" s="1"/>
      <c r="M102" s="1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</row>
    <row r="103" spans="1:28" ht="18" customHeight="1">
      <c r="A103" s="161" t="s">
        <v>200</v>
      </c>
      <c r="B103" s="161" t="s">
        <v>200</v>
      </c>
      <c r="C103" s="198"/>
      <c r="D103" s="205"/>
      <c r="E103" s="205"/>
      <c r="F103" s="227"/>
      <c r="G103" s="226"/>
      <c r="H103" s="226"/>
      <c r="I103" s="226"/>
      <c r="J103" s="226"/>
      <c r="K103" s="226"/>
      <c r="L103" s="1"/>
      <c r="M103" s="1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</row>
    <row r="104" spans="1:28" ht="6" customHeight="1">
      <c r="A104" s="81"/>
      <c r="B104" s="81"/>
      <c r="C104" s="198"/>
      <c r="D104" s="205"/>
      <c r="E104" s="205"/>
      <c r="F104" s="227"/>
      <c r="G104" s="226"/>
      <c r="H104" s="226"/>
      <c r="I104" s="226"/>
      <c r="J104" s="226"/>
      <c r="K104" s="226"/>
      <c r="L104" s="1"/>
      <c r="M104" s="1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</row>
    <row r="105" spans="1:28" ht="18" customHeight="1">
      <c r="A105" s="81" t="s">
        <v>43</v>
      </c>
      <c r="B105" s="81" t="s">
        <v>43</v>
      </c>
      <c r="C105" s="198"/>
      <c r="D105" s="205"/>
      <c r="E105" s="205"/>
      <c r="F105" s="227"/>
      <c r="G105" s="226"/>
      <c r="H105" s="226"/>
      <c r="I105" s="226"/>
      <c r="J105" s="226"/>
      <c r="K105" s="226"/>
      <c r="L105" s="1"/>
      <c r="M105" s="1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</row>
    <row r="106" spans="1:28" ht="6" customHeight="1" thickBot="1">
      <c r="A106" s="81"/>
      <c r="B106" s="81"/>
      <c r="C106" s="199"/>
      <c r="D106" s="208"/>
      <c r="E106" s="208"/>
      <c r="F106" s="208"/>
      <c r="G106" s="208"/>
      <c r="H106" s="208"/>
      <c r="I106" s="208"/>
      <c r="J106" s="208"/>
      <c r="K106" s="208"/>
      <c r="L106" s="1"/>
      <c r="M106" s="1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</row>
    <row r="107" spans="1:28" ht="18" customHeight="1">
      <c r="A107" s="81" t="s">
        <v>44</v>
      </c>
      <c r="B107" s="81" t="s">
        <v>44</v>
      </c>
      <c r="C107" s="213"/>
      <c r="D107" s="219"/>
      <c r="E107" s="219"/>
      <c r="F107" s="219"/>
      <c r="G107" s="228"/>
      <c r="H107" s="219"/>
      <c r="I107" s="219"/>
      <c r="J107" s="219"/>
      <c r="K107" s="220"/>
      <c r="L107" s="1"/>
      <c r="M107" s="1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81" t="s">
        <v>45</v>
      </c>
      <c r="B108" s="81" t="s">
        <v>45</v>
      </c>
      <c r="C108" s="198"/>
      <c r="D108" s="205"/>
      <c r="E108" s="205"/>
      <c r="F108" s="229"/>
      <c r="G108" s="226"/>
      <c r="H108" s="226"/>
      <c r="I108" s="226"/>
      <c r="J108" s="226"/>
      <c r="K108" s="226"/>
      <c r="L108" s="1"/>
      <c r="M108" s="1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</row>
    <row r="109" spans="1:28" ht="6" customHeight="1">
      <c r="A109" s="81"/>
      <c r="B109" s="81"/>
      <c r="C109" s="213"/>
      <c r="D109" s="219"/>
      <c r="E109" s="219"/>
      <c r="F109" s="219"/>
      <c r="G109" s="228"/>
      <c r="H109" s="219"/>
      <c r="I109" s="219"/>
      <c r="J109" s="219"/>
      <c r="K109" s="219"/>
      <c r="L109" s="1"/>
      <c r="M109" s="1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 thickBot="1">
      <c r="A110" s="81" t="s">
        <v>46</v>
      </c>
      <c r="B110" s="81"/>
      <c r="C110" s="230"/>
      <c r="D110" s="208"/>
      <c r="E110" s="208"/>
      <c r="F110" s="208"/>
      <c r="G110" s="208"/>
      <c r="H110" s="208"/>
      <c r="I110" s="208"/>
      <c r="J110" s="208"/>
      <c r="K110" s="208"/>
      <c r="L110" s="1"/>
      <c r="M110" s="1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</row>
    <row r="111" spans="1:28" ht="6" customHeight="1">
      <c r="A111" s="81"/>
      <c r="B111" s="81"/>
      <c r="C111" s="213"/>
      <c r="D111" s="219"/>
      <c r="E111" s="219"/>
      <c r="F111" s="219"/>
      <c r="G111" s="228"/>
      <c r="H111" s="219"/>
      <c r="I111" s="219"/>
      <c r="J111" s="219"/>
      <c r="K111" s="220"/>
      <c r="L111" s="1"/>
      <c r="M111" s="1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>
      <c r="A112" s="81" t="s">
        <v>47</v>
      </c>
      <c r="B112" s="81" t="s">
        <v>47</v>
      </c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M112" s="1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</row>
    <row r="113" spans="1:29" ht="18" customHeight="1">
      <c r="A113" s="81" t="s">
        <v>48</v>
      </c>
      <c r="B113" s="81" t="s">
        <v>48</v>
      </c>
      <c r="C113" s="198"/>
      <c r="D113" s="205"/>
      <c r="E113" s="205"/>
      <c r="F113" s="227"/>
      <c r="G113" s="226"/>
      <c r="H113" s="226"/>
      <c r="I113" s="226"/>
      <c r="J113" s="226"/>
      <c r="K113" s="226"/>
      <c r="L113" s="1"/>
      <c r="M113" s="1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</row>
    <row r="114" spans="1:29" ht="4.5" customHeight="1" thickBot="1">
      <c r="A114" s="81" t="s">
        <v>49</v>
      </c>
      <c r="B114" s="81" t="s">
        <v>49</v>
      </c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M114" s="1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</row>
    <row r="115" spans="1:29" ht="18" customHeight="1">
      <c r="A115" s="81" t="s">
        <v>50</v>
      </c>
      <c r="B115" s="81" t="s">
        <v>50</v>
      </c>
      <c r="C115" s="213"/>
      <c r="D115" s="219"/>
      <c r="E115" s="219"/>
      <c r="F115" s="219"/>
      <c r="G115" s="228"/>
      <c r="H115" s="219"/>
      <c r="I115" s="219"/>
      <c r="J115" s="219"/>
      <c r="K115" s="220"/>
      <c r="L115" s="1"/>
      <c r="M115" s="1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</row>
    <row r="116" spans="1:29" ht="18" customHeight="1">
      <c r="A116" s="81" t="s">
        <v>51</v>
      </c>
      <c r="B116" s="81" t="s">
        <v>51</v>
      </c>
      <c r="C116" s="199"/>
      <c r="D116" s="208"/>
      <c r="E116" s="208"/>
      <c r="F116" s="208"/>
      <c r="G116" s="208"/>
      <c r="H116" s="208"/>
      <c r="I116" s="208"/>
      <c r="J116" s="208"/>
      <c r="K116" s="208"/>
      <c r="L116" s="1"/>
      <c r="M116" s="1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</row>
    <row r="117" spans="1:29" ht="6" customHeight="1">
      <c r="A117" s="81"/>
      <c r="B117" s="81"/>
      <c r="C117" s="198"/>
      <c r="D117" s="205"/>
      <c r="E117" s="205"/>
      <c r="F117" s="231"/>
      <c r="G117" s="226"/>
      <c r="H117" s="226"/>
      <c r="I117" s="226"/>
      <c r="J117" s="226"/>
      <c r="K117" s="226"/>
      <c r="L117" s="1"/>
      <c r="M117" s="1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</row>
    <row r="118" spans="1:29" ht="18" customHeight="1">
      <c r="A118" s="81" t="s">
        <v>62</v>
      </c>
      <c r="B118" s="81"/>
      <c r="C118" s="198"/>
      <c r="D118" s="205"/>
      <c r="E118" s="205"/>
      <c r="F118" s="231"/>
      <c r="G118" s="226"/>
      <c r="H118" s="226"/>
      <c r="I118" s="226"/>
      <c r="J118" s="226"/>
      <c r="K118" s="226"/>
      <c r="L118" s="1"/>
      <c r="M118" s="1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</row>
    <row r="119" spans="1:29" ht="52.5" customHeight="1">
      <c r="A119" s="81"/>
      <c r="B119" s="81"/>
      <c r="C119" s="198"/>
      <c r="D119" s="205"/>
      <c r="E119" s="205"/>
      <c r="F119" s="231"/>
      <c r="G119" s="226"/>
      <c r="H119" s="226"/>
      <c r="I119" s="226"/>
      <c r="J119" s="226"/>
      <c r="K119" s="226"/>
      <c r="L119" s="1"/>
      <c r="M119" s="1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</row>
    <row r="120" spans="1:29" ht="4.5" customHeight="1">
      <c r="A120" s="81"/>
      <c r="B120" s="81"/>
      <c r="C120" s="198"/>
      <c r="D120" s="205"/>
      <c r="E120" s="205"/>
      <c r="F120" s="231"/>
      <c r="G120" s="226"/>
      <c r="H120" s="226"/>
      <c r="I120" s="226"/>
      <c r="J120" s="226"/>
      <c r="K120" s="226"/>
      <c r="L120" s="1"/>
      <c r="M120" s="1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7"/>
      <c r="Z120" s="67"/>
      <c r="AA120" s="67"/>
      <c r="AB120" s="67"/>
      <c r="AC120" s="74"/>
    </row>
    <row r="121" spans="1:29" ht="18" customHeight="1">
      <c r="A121" s="81"/>
      <c r="B121" s="81"/>
      <c r="C121" s="198"/>
      <c r="D121" s="205"/>
      <c r="E121" s="205"/>
      <c r="F121" s="231"/>
      <c r="G121" s="226"/>
      <c r="H121" s="226"/>
      <c r="I121" s="226"/>
      <c r="J121" s="226"/>
      <c r="K121" s="226"/>
      <c r="L121" s="1"/>
      <c r="M121" s="1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7"/>
      <c r="Z121" s="67"/>
      <c r="AA121" s="67"/>
      <c r="AB121" s="67"/>
      <c r="AC121" s="74"/>
    </row>
    <row r="122" spans="1:29" ht="18" customHeight="1" thickBot="1">
      <c r="A122" s="81"/>
      <c r="B122" s="81"/>
      <c r="C122" s="199"/>
      <c r="D122" s="208"/>
      <c r="E122" s="208"/>
      <c r="F122" s="232"/>
      <c r="G122" s="208"/>
      <c r="H122" s="208"/>
      <c r="I122" s="208"/>
      <c r="J122" s="208"/>
      <c r="K122" s="208"/>
      <c r="L122" s="1"/>
      <c r="M122" s="1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7"/>
      <c r="Z122" s="67"/>
      <c r="AA122" s="67"/>
      <c r="AB122" s="67"/>
      <c r="AC122" s="74"/>
    </row>
    <row r="123" spans="1:29" ht="18" customHeight="1">
      <c r="A123" s="81"/>
      <c r="B123" s="81"/>
      <c r="C123" s="199"/>
      <c r="D123" s="208"/>
      <c r="E123" s="208"/>
      <c r="F123" s="208"/>
      <c r="G123" s="208"/>
      <c r="H123" s="208"/>
      <c r="I123" s="208"/>
      <c r="J123" s="208"/>
      <c r="K123" s="208"/>
      <c r="L123" s="1"/>
      <c r="M123" s="1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7"/>
      <c r="Z123" s="67"/>
      <c r="AA123" s="67"/>
      <c r="AB123" s="67"/>
      <c r="AC123" s="74"/>
    </row>
    <row r="124" spans="1:29" ht="18" customHeight="1">
      <c r="A124" s="81"/>
      <c r="B124" s="81"/>
      <c r="C124" s="199"/>
      <c r="D124" s="208"/>
      <c r="E124" s="208"/>
      <c r="F124" s="208"/>
      <c r="G124" s="208"/>
      <c r="H124" s="208"/>
      <c r="I124" s="208"/>
      <c r="J124" s="208"/>
      <c r="K124" s="208"/>
      <c r="L124" s="1"/>
      <c r="M124" s="1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7"/>
      <c r="Z124" s="67"/>
      <c r="AA124" s="67"/>
      <c r="AB124" s="67"/>
      <c r="AC124" s="74"/>
    </row>
    <row r="125" spans="1:29" ht="18" customHeight="1">
      <c r="A125" s="81" t="s">
        <v>8</v>
      </c>
      <c r="B125" s="81"/>
      <c r="C125" s="250"/>
      <c r="D125" s="12"/>
      <c r="E125" s="12"/>
      <c r="F125" s="12"/>
      <c r="G125" s="12"/>
      <c r="H125" s="12"/>
      <c r="I125" s="12"/>
      <c r="J125" s="12"/>
      <c r="K125" s="12"/>
      <c r="L125" s="1"/>
      <c r="M125" s="1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</row>
    <row r="126" spans="1:29" ht="18" customHeight="1">
      <c r="A126" s="81" t="s">
        <v>9</v>
      </c>
      <c r="B126" s="81" t="s">
        <v>9</v>
      </c>
      <c r="C126" s="238"/>
      <c r="D126" s="92"/>
      <c r="E126" s="92"/>
      <c r="F126" s="92"/>
      <c r="G126" s="92" t="str">
        <f>IF(Flag_Send_Data=1,_xll.DBSW('Plan Input'!G138*1000,Server&amp;Cube1,Context!$I$13,Context!$T$5,Context!$I$11,'Plan Input'!$B$12,Context!$I$12,'Plan Input'!G$2,Context!$I$10,'Plan Input'!$A138),"")</f>
        <v/>
      </c>
      <c r="H126" s="92" t="str">
        <f>IF(Flag_Send_Data=1,_xll.DBSW('Plan Input'!H138*1000,Server&amp;Cube1,Context!$I$13,Context!$T$5,Context!$I$11,'Plan Input'!$B$12,Context!$I$12,'Plan Input'!H$2,Context!$I$10,'Plan Input'!$A138),"")</f>
        <v/>
      </c>
      <c r="I126" s="92" t="str">
        <f>IF(Flag_Send_Data=1,_xll.DBSW('Plan Input'!I138*1000,Server&amp;Cube1,Context!$I$13,Context!$T$5,Context!$I$11,'Plan Input'!$B$12,Context!$I$12,'Plan Input'!I$2,Context!$I$10,'Plan Input'!$A138),"")</f>
        <v/>
      </c>
      <c r="J126" s="92" t="str">
        <f>IF(Flag_Send_Data=1,_xll.DBSW('Plan Input'!J138*1000,Server&amp;Cube1,Context!$I$13,Context!$T$5,Context!$I$11,'Plan Input'!$B$12,Context!$I$12,'Plan Input'!J$2,Context!$I$10,'Plan Input'!$A138),"")</f>
        <v/>
      </c>
      <c r="K126" s="92" t="str">
        <f>IF(Flag_Send_Data=1,_xll.DBSW('Plan Input'!K138*1000,Server&amp;Cube1,Context!$I$13,Context!$T$5,Context!$I$11,'Plan Input'!$B$12,Context!$I$12,'Plan Input'!K$2,Context!$I$10,'Plan Input'!$A138),"")</f>
        <v/>
      </c>
      <c r="L126" s="1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</row>
    <row r="127" spans="1:29" ht="16">
      <c r="A127" s="81" t="s">
        <v>10</v>
      </c>
      <c r="B127" s="81" t="s">
        <v>10</v>
      </c>
      <c r="C127" s="130"/>
      <c r="D127" s="236"/>
      <c r="E127" s="236"/>
      <c r="F127" s="236"/>
      <c r="G127" s="233" t="str">
        <f>IF(Flag_Send_Data=1,_xll.DBSW('Plan Input'!G127*1000,Server&amp;Cube1,Context!$I$13,Context!$T$5,Context!$I$11,'Plan Input'!$B$12,Context!$I$12,'Plan Input'!G$2,Context!$I$10,'Plan Input'!$A127),"")</f>
        <v/>
      </c>
      <c r="H127" s="233" t="str">
        <f>IF(Flag_Send_Data=1,_xll.DBSW('Plan Input'!H127*1000,Server&amp;Cube1,Context!$I$13,Context!$T$5,Context!$I$11,'Plan Input'!$B$12,Context!$I$12,'Plan Input'!H$2,Context!$I$10,'Plan Input'!$A127),"")</f>
        <v/>
      </c>
      <c r="I127" s="233" t="str">
        <f>IF(Flag_Send_Data=1,_xll.DBSW('Plan Input'!I127*1000,Server&amp;Cube1,Context!$I$13,Context!$T$5,Context!$I$11,'Plan Input'!$B$12,Context!$I$12,'Plan Input'!I$2,Context!$I$10,'Plan Input'!$A127),"")</f>
        <v/>
      </c>
      <c r="J127" s="233" t="str">
        <f>IF(Flag_Send_Data=1,_xll.DBSW('Plan Input'!J127*1000,Server&amp;Cube1,Context!$I$13,Context!$T$5,Context!$I$11,'Plan Input'!$B$12,Context!$I$12,'Plan Input'!J$2,Context!$I$10,'Plan Input'!$A127),"")</f>
        <v/>
      </c>
      <c r="K127" s="233" t="str">
        <f>IF(Flag_Send_Data=1,_xll.DBSW('Plan Input'!K127*1000,Server&amp;Cube1,Context!$I$13,Context!$T$5,Context!$I$11,'Plan Input'!$B$12,Context!$I$12,'Plan Input'!K$2,Context!$I$10,'Plan Input'!$A127),"")</f>
        <v/>
      </c>
      <c r="L127" s="1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</row>
    <row r="128" spans="1:29" ht="16">
      <c r="A128" s="81"/>
      <c r="B128" s="81"/>
      <c r="C128" s="96"/>
      <c r="D128" s="205"/>
      <c r="E128" s="205"/>
      <c r="F128" s="205"/>
      <c r="G128" s="234" t="str">
        <f>IF(Flag_Send_Data=1,_xll.DBSW('Plan Input'!G128*1000,Server&amp;Cube1,Context!$I$13,Context!$T$5,Context!$I$11,'Plan Input'!$B$12,Context!$I$12,'Plan Input'!G$2,Context!$I$10,'Plan Input'!$A128),"")</f>
        <v/>
      </c>
      <c r="H128" s="234" t="str">
        <f>IF(Flag_Send_Data=1,_xll.DBSW('Plan Input'!H128*1000,Server&amp;Cube1,Context!$I$13,Context!$T$5,Context!$I$11,'Plan Input'!$B$12,Context!$I$12,'Plan Input'!H$2,Context!$I$10,'Plan Input'!$A128),"")</f>
        <v/>
      </c>
      <c r="I128" s="234" t="str">
        <f>IF(Flag_Send_Data=1,_xll.DBSW('Plan Input'!I128*1000,Server&amp;Cube1,Context!$I$13,Context!$T$5,Context!$I$11,'Plan Input'!$B$12,Context!$I$12,'Plan Input'!I$2,Context!$I$10,'Plan Input'!$A128),"")</f>
        <v/>
      </c>
      <c r="J128" s="234" t="str">
        <f>IF(Flag_Send_Data=1,_xll.DBSW('Plan Input'!J128*1000,Server&amp;Cube1,Context!$I$13,Context!$T$5,Context!$I$11,'Plan Input'!$B$12,Context!$I$12,'Plan Input'!J$2,Context!$I$10,'Plan Input'!$A128),"")</f>
        <v/>
      </c>
      <c r="K128" s="234" t="str">
        <f>IF(Flag_Send_Data=1,_xll.DBSW('Plan Input'!K128*1000,Server&amp;Cube1,Context!$I$13,Context!$T$5,Context!$I$11,'Plan Input'!$B$12,Context!$I$12,'Plan Input'!K$2,Context!$I$10,'Plan Input'!$A128),"")</f>
        <v/>
      </c>
      <c r="L128" s="1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</row>
    <row r="129" spans="1:28" ht="16">
      <c r="A129" s="81" t="s">
        <v>11</v>
      </c>
      <c r="B129" s="81"/>
      <c r="C129" s="131"/>
      <c r="D129" s="237"/>
      <c r="E129" s="237"/>
      <c r="F129" s="237"/>
      <c r="G129" s="235" t="str">
        <f>IF(Flag_Send_Data=1,_xll.DBSW('Plan Input'!G129*1000,Server&amp;Cube1,Context!$I$13,Context!$T$5,Context!$I$11,'Plan Input'!$B$12,Context!$I$12,'Plan Input'!G$2,Context!$I$10,'Plan Input'!$A129),"")</f>
        <v/>
      </c>
      <c r="H129" s="235" t="str">
        <f>IF(Flag_Send_Data=1,_xll.DBSW('Plan Input'!H129*1000,Server&amp;Cube1,Context!$I$13,Context!$T$5,Context!$I$11,'Plan Input'!$B$12,Context!$I$12,'Plan Input'!H$2,Context!$I$10,'Plan Input'!$A129),"")</f>
        <v/>
      </c>
      <c r="I129" s="235" t="str">
        <f>IF(Flag_Send_Data=1,_xll.DBSW('Plan Input'!I129*1000,Server&amp;Cube1,Context!$I$13,Context!$T$5,Context!$I$11,'Plan Input'!$B$12,Context!$I$12,'Plan Input'!I$2,Context!$I$10,'Plan Input'!$A129),"")</f>
        <v/>
      </c>
      <c r="J129" s="235" t="str">
        <f>IF(Flag_Send_Data=1,_xll.DBSW('Plan Input'!J129*1000,Server&amp;Cube1,Context!$I$13,Context!$T$5,Context!$I$11,'Plan Input'!$B$12,Context!$I$12,'Plan Input'!J$2,Context!$I$10,'Plan Input'!$A129),"")</f>
        <v/>
      </c>
      <c r="K129" s="235" t="str">
        <f>IF(Flag_Send_Data=1,_xll.DBSW('Plan Input'!K129*1000,Server&amp;Cube1,Context!$I$13,Context!$T$5,Context!$I$11,'Plan Input'!$B$12,Context!$I$12,'Plan Input'!K$2,Context!$I$10,'Plan Input'!$A129),"")</f>
        <v/>
      </c>
      <c r="L129" s="1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</row>
    <row r="130" spans="1:28" ht="18" customHeight="1">
      <c r="A130" s="81" t="s">
        <v>12</v>
      </c>
      <c r="B130" s="81" t="s">
        <v>12</v>
      </c>
      <c r="C130" s="208"/>
      <c r="D130" s="208"/>
      <c r="E130" s="208"/>
      <c r="F130" s="208"/>
      <c r="G130" s="208"/>
      <c r="H130" s="208"/>
      <c r="I130" s="208"/>
      <c r="J130" s="208"/>
      <c r="K130" s="208"/>
      <c r="L130" s="1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</row>
    <row r="131" spans="1:28" ht="18" customHeight="1">
      <c r="A131" s="81" t="s">
        <v>13</v>
      </c>
      <c r="B131" s="81" t="s">
        <v>13</v>
      </c>
      <c r="C131" s="208"/>
      <c r="D131" s="208"/>
      <c r="E131" s="208"/>
      <c r="F131" s="208"/>
      <c r="G131" s="208"/>
      <c r="H131" s="208"/>
      <c r="I131" s="208"/>
      <c r="J131" s="208"/>
      <c r="K131" s="208"/>
      <c r="L131" s="1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</row>
    <row r="132" spans="1:28" ht="6" customHeight="1">
      <c r="A132" s="81"/>
      <c r="B132" s="81"/>
      <c r="C132" s="238"/>
      <c r="D132" s="208"/>
      <c r="E132" s="208"/>
      <c r="F132" s="208"/>
      <c r="G132" s="208"/>
      <c r="H132" s="208"/>
      <c r="I132" s="208"/>
      <c r="J132" s="208"/>
      <c r="K132" s="208"/>
      <c r="L132" s="1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14</v>
      </c>
      <c r="B133" s="81"/>
      <c r="C133" s="130"/>
      <c r="D133" s="236"/>
      <c r="E133" s="236"/>
      <c r="F133" s="236"/>
      <c r="G133" s="233" t="str">
        <f>IF(Flag_Send_Data=1,_xll.DBSW('Plan Input'!G133*1000,Server&amp;Cube1,Context!$I$13,Context!$T$5,Context!$I$11,'Plan Input'!$B$12,Context!$I$12,'Plan Input'!G$2,Context!$I$10,'Plan Input'!$A133),"")</f>
        <v/>
      </c>
      <c r="H133" s="233" t="str">
        <f>IF(Flag_Send_Data=1,_xll.DBSW('Plan Input'!H133*1000,Server&amp;Cube1,Context!$I$13,Context!$T$5,Context!$I$11,'Plan Input'!$B$12,Context!$I$12,'Plan Input'!H$2,Context!$I$10,'Plan Input'!$A133),"")</f>
        <v/>
      </c>
      <c r="I133" s="233" t="str">
        <f>IF(Flag_Send_Data=1,_xll.DBSW('Plan Input'!I133*1000,Server&amp;Cube1,Context!$I$13,Context!$T$5,Context!$I$11,'Plan Input'!$B$12,Context!$I$12,'Plan Input'!I$2,Context!$I$10,'Plan Input'!$A133),"")</f>
        <v/>
      </c>
      <c r="J133" s="233" t="str">
        <f>IF(Flag_Send_Data=1,_xll.DBSW('Plan Input'!J133*1000,Server&amp;Cube1,Context!$I$13,Context!$T$5,Context!$I$11,'Plan Input'!$B$12,Context!$I$12,'Plan Input'!J$2,Context!$I$10,'Plan Input'!$A133),"")</f>
        <v/>
      </c>
      <c r="K133" s="233" t="str">
        <f>IF(Flag_Send_Data=1,_xll.DBSW('Plan Input'!K133*1000,Server&amp;Cube1,Context!$I$13,Context!$T$5,Context!$I$11,'Plan Input'!$B$12,Context!$I$12,'Plan Input'!K$2,Context!$I$10,'Plan Input'!$A133),"")</f>
        <v/>
      </c>
      <c r="L133" s="1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</row>
    <row r="134" spans="1:28" ht="6" customHeight="1">
      <c r="A134" s="81"/>
      <c r="B134" s="81"/>
      <c r="C134" s="131"/>
      <c r="D134" s="237"/>
      <c r="E134" s="237"/>
      <c r="F134" s="237"/>
      <c r="G134" s="235" t="str">
        <f>IF(Flag_Send_Data=1,_xll.DBSW('Plan Input'!G134*1000,Server&amp;Cube1,Context!$I$13,Context!$T$5,Context!$I$11,'Plan Input'!$B$12,Context!$I$12,'Plan Input'!G$2,Context!$I$10,'Plan Input'!$A134),"")</f>
        <v/>
      </c>
      <c r="H134" s="235" t="str">
        <f>IF(Flag_Send_Data=1,_xll.DBSW('Plan Input'!H134*1000,Server&amp;Cube1,Context!$I$13,Context!$T$5,Context!$I$11,'Plan Input'!$B$12,Context!$I$12,'Plan Input'!H$2,Context!$I$10,'Plan Input'!$A134),"")</f>
        <v/>
      </c>
      <c r="I134" s="235" t="str">
        <f>IF(Flag_Send_Data=1,_xll.DBSW('Plan Input'!I134*1000,Server&amp;Cube1,Context!$I$13,Context!$T$5,Context!$I$11,'Plan Input'!$B$12,Context!$I$12,'Plan Input'!I$2,Context!$I$10,'Plan Input'!$A134),"")</f>
        <v/>
      </c>
      <c r="J134" s="235" t="str">
        <f>IF(Flag_Send_Data=1,_xll.DBSW('Plan Input'!J134*1000,Server&amp;Cube1,Context!$I$13,Context!$T$5,Context!$I$11,'Plan Input'!$B$12,Context!$I$12,'Plan Input'!J$2,Context!$I$10,'Plan Input'!$A134),"")</f>
        <v/>
      </c>
      <c r="K134" s="235" t="str">
        <f>IF(Flag_Send_Data=1,_xll.DBSW('Plan Input'!K134*1000,Server&amp;Cube1,Context!$I$13,Context!$T$5,Context!$I$11,'Plan Input'!$B$12,Context!$I$12,'Plan Input'!K$2,Context!$I$10,'Plan Input'!$A134),"")</f>
        <v/>
      </c>
      <c r="L134" s="1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</row>
    <row r="135" spans="1:28" ht="16">
      <c r="A135" s="81"/>
      <c r="B135" s="81"/>
      <c r="C135" s="208"/>
      <c r="D135" s="208"/>
      <c r="E135" s="208"/>
      <c r="F135" s="208"/>
      <c r="G135" s="208"/>
      <c r="H135" s="208"/>
      <c r="I135" s="208"/>
      <c r="J135" s="208"/>
      <c r="K135" s="208"/>
      <c r="L135" s="1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</row>
    <row r="136" spans="1:28" ht="16">
      <c r="A136" s="81"/>
      <c r="B136" s="81"/>
      <c r="C136" s="208"/>
      <c r="D136" s="208"/>
      <c r="E136" s="208"/>
      <c r="F136" s="208"/>
      <c r="G136" s="208"/>
      <c r="H136" s="208"/>
      <c r="I136" s="208"/>
      <c r="J136" s="208"/>
      <c r="K136" s="208"/>
      <c r="L136" s="1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</row>
    <row r="137" spans="1:28" ht="16">
      <c r="A137" s="81"/>
      <c r="B137" s="81"/>
      <c r="C137" s="238"/>
      <c r="D137" s="208"/>
      <c r="E137" s="208"/>
      <c r="F137" s="208"/>
      <c r="G137" s="208"/>
      <c r="H137" s="208"/>
      <c r="I137" s="208"/>
      <c r="J137" s="208"/>
      <c r="K137" s="208"/>
      <c r="L137" s="1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15</v>
      </c>
      <c r="B138" s="81" t="s">
        <v>15</v>
      </c>
      <c r="C138" s="130"/>
      <c r="D138" s="236"/>
      <c r="E138" s="236"/>
      <c r="F138" s="236"/>
      <c r="G138" s="233" t="str">
        <f>IF(Flag_Send_Data=1,_xll.DBSW('Plan Input'!G138*1000,Server&amp;Cube1,Context!$I$13,Context!$T$5,Context!$I$11,'Plan Input'!$B$12,Context!$I$12,'Plan Input'!G$2,Context!$I$10,'Plan Input'!$A138),"")</f>
        <v/>
      </c>
      <c r="H138" s="233" t="str">
        <f>IF(Flag_Send_Data=1,_xll.DBSW('Plan Input'!H138*1000,Server&amp;Cube1,Context!$I$13,Context!$T$5,Context!$I$11,'Plan Input'!$B$12,Context!$I$12,'Plan Input'!H$2,Context!$I$10,'Plan Input'!$A138),"")</f>
        <v/>
      </c>
      <c r="I138" s="233" t="str">
        <f>IF(Flag_Send_Data=1,_xll.DBSW('Plan Input'!I138*1000,Server&amp;Cube1,Context!$I$13,Context!$T$5,Context!$I$11,'Plan Input'!$B$12,Context!$I$12,'Plan Input'!I$2,Context!$I$10,'Plan Input'!$A138),"")</f>
        <v/>
      </c>
      <c r="J138" s="233" t="str">
        <f>IF(Flag_Send_Data=1,_xll.DBSW('Plan Input'!J138*1000,Server&amp;Cube1,Context!$I$13,Context!$T$5,Context!$I$11,'Plan Input'!$B$12,Context!$I$12,'Plan Input'!J$2,Context!$I$10,'Plan Input'!$A138),"")</f>
        <v/>
      </c>
      <c r="K138" s="233" t="str">
        <f>IF(Flag_Send_Data=1,_xll.DBSW('Plan Input'!K138*1000,Server&amp;Cube1,Context!$I$13,Context!$T$5,Context!$I$11,'Plan Input'!$B$12,Context!$I$12,'Plan Input'!K$2,Context!$I$10,'Plan Input'!$A138),"")</f>
        <v/>
      </c>
      <c r="L138" s="1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16</v>
      </c>
      <c r="B139" s="81" t="s">
        <v>16</v>
      </c>
      <c r="C139" s="131"/>
      <c r="D139" s="237"/>
      <c r="E139" s="237"/>
      <c r="F139" s="237"/>
      <c r="G139" s="235" t="str">
        <f>IF(Flag_Send_Data=1,_xll.DBSW('Plan Input'!G139*1000,Server&amp;Cube1,Context!$I$13,Context!$T$5,Context!$I$11,'Plan Input'!$B$12,Context!$I$12,'Plan Input'!G$2,Context!$I$10,'Plan Input'!$A139),"")</f>
        <v/>
      </c>
      <c r="H139" s="235" t="str">
        <f>IF(Flag_Send_Data=1,_xll.DBSW('Plan Input'!H139*1000,Server&amp;Cube1,Context!$I$13,Context!$T$5,Context!$I$11,'Plan Input'!$B$12,Context!$I$12,'Plan Input'!H$2,Context!$I$10,'Plan Input'!$A139),"")</f>
        <v/>
      </c>
      <c r="I139" s="235" t="str">
        <f>IF(Flag_Send_Data=1,_xll.DBSW('Plan Input'!I139*1000,Server&amp;Cube1,Context!$I$13,Context!$T$5,Context!$I$11,'Plan Input'!$B$12,Context!$I$12,'Plan Input'!I$2,Context!$I$10,'Plan Input'!$A139),"")</f>
        <v/>
      </c>
      <c r="J139" s="235" t="str">
        <f>IF(Flag_Send_Data=1,_xll.DBSW('Plan Input'!J139*1000,Server&amp;Cube1,Context!$I$13,Context!$T$5,Context!$I$11,'Plan Input'!$B$12,Context!$I$12,'Plan Input'!J$2,Context!$I$10,'Plan Input'!$A139),"")</f>
        <v/>
      </c>
      <c r="K139" s="235" t="str">
        <f>IF(Flag_Send_Data=1,_xll.DBSW('Plan Input'!K139*1000,Server&amp;Cube1,Context!$I$13,Context!$T$5,Context!$I$11,'Plan Input'!$B$12,Context!$I$12,'Plan Input'!K$2,Context!$I$10,'Plan Input'!$A139),"")</f>
        <v/>
      </c>
      <c r="L139" s="1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</row>
    <row r="140" spans="1:28" ht="18" customHeight="1">
      <c r="A140" s="81" t="s">
        <v>17</v>
      </c>
      <c r="B140" s="81" t="s">
        <v>17</v>
      </c>
      <c r="C140" s="208"/>
      <c r="D140" s="208"/>
      <c r="E140" s="208"/>
      <c r="F140" s="208"/>
      <c r="G140" s="208"/>
      <c r="H140" s="208"/>
      <c r="I140" s="208"/>
      <c r="J140" s="208"/>
      <c r="K140" s="208"/>
      <c r="L140" s="1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81" t="s">
        <v>18</v>
      </c>
      <c r="B141" s="81" t="s">
        <v>18</v>
      </c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81" t="s">
        <v>19</v>
      </c>
      <c r="B142" s="81" t="s">
        <v>19</v>
      </c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81" t="s">
        <v>20</v>
      </c>
      <c r="B143" s="81" t="s">
        <v>20</v>
      </c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</row>
    <row r="144" spans="1:28" ht="18" customHeight="1">
      <c r="A144" s="81" t="s">
        <v>21</v>
      </c>
      <c r="B144" s="81" t="s">
        <v>21</v>
      </c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 collapsed="1">
      <c r="A145" s="81" t="s">
        <v>22</v>
      </c>
      <c r="B145" s="81" t="s">
        <v>22</v>
      </c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</row>
    <row r="146" spans="1:28" ht="18" customHeight="1">
      <c r="A146" s="81" t="s">
        <v>23</v>
      </c>
      <c r="B146" s="81" t="s">
        <v>23</v>
      </c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</row>
    <row r="147" spans="1:28" ht="18" customHeight="1">
      <c r="A147" s="81" t="s">
        <v>24</v>
      </c>
      <c r="B147" s="81" t="s">
        <v>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</row>
    <row r="148" spans="1:28" ht="16">
      <c r="A148" s="81" t="s">
        <v>25</v>
      </c>
      <c r="B148" s="81" t="s">
        <v>25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6">
      <c r="A149" s="161" t="s">
        <v>216</v>
      </c>
      <c r="B149" s="161" t="s">
        <v>216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6">
      <c r="A150" s="161" t="s">
        <v>215</v>
      </c>
      <c r="B150" s="161" t="s">
        <v>215</v>
      </c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1.25" customHeight="1">
      <c r="A151" s="81"/>
      <c r="B151" s="81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81" t="s">
        <v>26</v>
      </c>
      <c r="B152" s="81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6" customHeight="1">
      <c r="A153" s="81"/>
      <c r="B153" s="81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81" t="s">
        <v>27</v>
      </c>
      <c r="B154" s="81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6" customHeight="1">
      <c r="A155" s="81"/>
      <c r="B155" s="81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6">
      <c r="A156" s="81"/>
      <c r="B156" s="81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>
      <c r="A157" s="81" t="s">
        <v>28</v>
      </c>
      <c r="B157" s="81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81" t="s">
        <v>175</v>
      </c>
      <c r="B158" s="81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161" t="s">
        <v>214</v>
      </c>
      <c r="B159" s="161" t="s">
        <v>214</v>
      </c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8" customHeight="1">
      <c r="A160" s="81" t="s">
        <v>29</v>
      </c>
      <c r="B160" s="81" t="s">
        <v>29</v>
      </c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8" customHeight="1">
      <c r="A161" s="81" t="s">
        <v>30</v>
      </c>
      <c r="B161" s="81" t="s">
        <v>30</v>
      </c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8" customHeight="1" collapsed="1">
      <c r="A162" s="81" t="s">
        <v>31</v>
      </c>
      <c r="B162" s="81" t="s">
        <v>31</v>
      </c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8" customHeight="1">
      <c r="A163" s="81" t="s">
        <v>32</v>
      </c>
      <c r="B163" s="81" t="s">
        <v>32</v>
      </c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81" t="s">
        <v>33</v>
      </c>
      <c r="B164" s="81" t="s">
        <v>33</v>
      </c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18" customHeight="1">
      <c r="A165" s="81" t="s">
        <v>34</v>
      </c>
      <c r="B165" s="81" t="s">
        <v>34</v>
      </c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6" customHeight="1">
      <c r="A166" s="81"/>
      <c r="B166" s="81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18" customHeight="1">
      <c r="A167" s="81" t="s">
        <v>35</v>
      </c>
      <c r="B167" s="81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6" customHeight="1">
      <c r="A168" s="81"/>
      <c r="B168" s="81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81" t="s">
        <v>61</v>
      </c>
      <c r="B169" s="81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6" customHeight="1">
      <c r="A170" s="81"/>
      <c r="B170" s="81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81" t="s">
        <v>36</v>
      </c>
      <c r="B171" s="81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52.5" customHeight="1">
      <c r="A172" s="81"/>
      <c r="B172" s="81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23.25" customHeight="1">
      <c r="A173" s="81"/>
      <c r="B173" s="81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9" customHeight="1">
      <c r="A174" s="81"/>
      <c r="B174" s="81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81" t="s">
        <v>230</v>
      </c>
      <c r="B175" s="81" t="s">
        <v>230</v>
      </c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81"/>
      <c r="B176" s="81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9" ht="18" customHeight="1">
      <c r="A177" s="161" t="s">
        <v>198</v>
      </c>
      <c r="B177" s="161" t="s">
        <v>198</v>
      </c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9" ht="18" customHeight="1">
      <c r="A178" s="81" t="s">
        <v>37</v>
      </c>
      <c r="B178" s="81" t="s">
        <v>37</v>
      </c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9" ht="18" customHeight="1">
      <c r="A179" s="81" t="s">
        <v>38</v>
      </c>
      <c r="B179" s="81" t="s">
        <v>38</v>
      </c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9" ht="18" customHeight="1">
      <c r="A180" s="81" t="s">
        <v>39</v>
      </c>
      <c r="B180" s="81" t="s">
        <v>39</v>
      </c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9" ht="18" customHeight="1">
      <c r="A181" s="81" t="s">
        <v>40</v>
      </c>
      <c r="B181" s="81" t="s">
        <v>40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9" ht="18" customHeight="1">
      <c r="A182" s="81" t="s">
        <v>41</v>
      </c>
      <c r="B182" s="81" t="s">
        <v>41</v>
      </c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9" ht="6" customHeight="1">
      <c r="A183" s="81"/>
      <c r="B183" s="81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9" ht="18" customHeight="1">
      <c r="A184" s="81" t="s">
        <v>229</v>
      </c>
      <c r="B184" s="81" t="s">
        <v>229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  <row r="185" spans="1:29" ht="18" customHeight="1">
      <c r="A185" s="81"/>
      <c r="B185" s="81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67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7"/>
      <c r="Y185" s="67"/>
      <c r="Z185" s="67"/>
      <c r="AA185" s="67"/>
      <c r="AB185" s="67"/>
      <c r="AC185" s="74"/>
    </row>
    <row r="186" spans="1:29" ht="18" customHeight="1">
      <c r="A186" s="81"/>
      <c r="B186" s="81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67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7"/>
      <c r="Y186" s="67"/>
      <c r="Z186" s="67"/>
      <c r="AA186" s="67"/>
      <c r="AB186" s="67"/>
      <c r="AC186" s="74"/>
    </row>
    <row r="187" spans="1:29" ht="18" customHeight="1">
      <c r="A187" s="81"/>
      <c r="B187" s="81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67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7"/>
      <c r="Y187" s="67"/>
      <c r="Z187" s="67"/>
      <c r="AA187" s="67"/>
      <c r="AB187" s="67"/>
      <c r="AC187" s="74"/>
    </row>
    <row r="188" spans="1:29" ht="18" customHeight="1">
      <c r="A188" s="81"/>
      <c r="B188" s="81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74"/>
    </row>
    <row r="189" spans="1:29" ht="18" customHeight="1">
      <c r="A189" s="81"/>
      <c r="B189" s="81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74"/>
    </row>
    <row r="190" spans="1:29" ht="18" customHeight="1">
      <c r="A190" s="81"/>
      <c r="B190" s="81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74"/>
    </row>
    <row r="191" spans="1:29" ht="18" customHeight="1">
      <c r="A191" s="81"/>
      <c r="B191" s="81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74"/>
    </row>
    <row r="192" spans="1:29" ht="18" customHeight="1">
      <c r="A192" s="81"/>
      <c r="B192" s="81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74"/>
    </row>
    <row r="193" spans="1:29" ht="18" customHeight="1">
      <c r="A193" s="81"/>
      <c r="B193" s="81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74"/>
    </row>
    <row r="194" spans="1:29" ht="18" customHeight="1">
      <c r="A194" s="81"/>
      <c r="B194" s="81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74"/>
    </row>
    <row r="195" spans="1:29" ht="18" customHeight="1">
      <c r="A195" s="81"/>
      <c r="B195" s="81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74"/>
    </row>
    <row r="196" spans="1:29" ht="18" customHeight="1"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</row>
    <row r="197" spans="1:29" ht="18" customHeight="1"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</row>
    <row r="198" spans="1:29" ht="18" customHeight="1"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</row>
    <row r="199" spans="1:29" ht="18" customHeight="1"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P199" s="126"/>
      <c r="Q199" s="127"/>
    </row>
    <row r="200" spans="1:29" ht="18" customHeight="1"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P200" s="126"/>
      <c r="Q200" s="127"/>
    </row>
    <row r="201" spans="1:29" ht="18" customHeight="1"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P201" s="126"/>
      <c r="Q201" s="127"/>
    </row>
    <row r="202" spans="1:29" ht="18" customHeight="1"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P202" s="126"/>
      <c r="Q202" s="127"/>
    </row>
    <row r="203" spans="1:29" ht="18" customHeight="1"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P203" s="126"/>
      <c r="Q203" s="127"/>
    </row>
    <row r="204" spans="1:29" ht="18" customHeight="1"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P204" s="126"/>
      <c r="Q204" s="127"/>
    </row>
    <row r="205" spans="1:29" ht="18" customHeight="1"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P205" s="126"/>
      <c r="Q205" s="127"/>
    </row>
    <row r="206" spans="1:29" ht="18" customHeight="1"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P206" s="126"/>
      <c r="Q206" s="127"/>
    </row>
    <row r="207" spans="1:29" ht="18" customHeight="1">
      <c r="A207" s="128"/>
      <c r="B207" s="12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1"/>
      <c r="N207" s="1"/>
      <c r="O207" s="1"/>
      <c r="P207" s="126"/>
      <c r="Q207" s="127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28"/>
      <c r="B208" s="128"/>
      <c r="C208" s="1"/>
      <c r="L208" s="1"/>
      <c r="M208" s="1"/>
      <c r="N208" s="1"/>
      <c r="O208" s="1"/>
      <c r="P208" s="126"/>
      <c r="Q208" s="127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28"/>
      <c r="B209" s="128"/>
      <c r="C209" s="1"/>
      <c r="L209" s="1"/>
      <c r="M209" s="1"/>
      <c r="N209" s="1"/>
      <c r="O209" s="1"/>
      <c r="P209" s="126"/>
      <c r="Q209" s="127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28"/>
      <c r="B210" s="128"/>
      <c r="C210" s="1"/>
      <c r="L210" s="1"/>
      <c r="M210" s="1"/>
      <c r="N210" s="1"/>
      <c r="O210" s="1"/>
      <c r="P210" s="126"/>
      <c r="Q210" s="127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28"/>
      <c r="B211" s="128"/>
      <c r="C211" s="1"/>
      <c r="L211" s="1"/>
      <c r="M211" s="1"/>
      <c r="N211" s="1"/>
      <c r="O211" s="1"/>
      <c r="Q211" s="127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28"/>
      <c r="B212" s="128"/>
      <c r="C212" s="1"/>
      <c r="L212" s="1"/>
      <c r="M212" s="1"/>
      <c r="N212" s="1"/>
      <c r="O212" s="1"/>
      <c r="Q212" s="127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28"/>
      <c r="B213" s="128"/>
      <c r="C213" s="1"/>
      <c r="L213" s="1"/>
      <c r="M213" s="1"/>
      <c r="N213" s="1"/>
      <c r="O213" s="1"/>
      <c r="Q213" s="127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28"/>
      <c r="B214" s="128"/>
      <c r="C214" s="1"/>
      <c r="L214" s="1"/>
      <c r="M214" s="1"/>
      <c r="N214" s="1"/>
      <c r="O214" s="1"/>
      <c r="Q214" s="127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28"/>
      <c r="B215" s="128"/>
      <c r="C215" s="1"/>
      <c r="L215" s="1"/>
      <c r="M215" s="1"/>
      <c r="N215" s="1"/>
      <c r="O215" s="1"/>
      <c r="Q215" s="127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28"/>
      <c r="B216" s="128"/>
      <c r="C216" s="1"/>
      <c r="L216" s="1"/>
      <c r="M216" s="1"/>
      <c r="N216" s="1"/>
      <c r="O216" s="1"/>
      <c r="Q216" s="127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K20:K21"/>
    <mergeCell ref="D20:D21"/>
    <mergeCell ref="E20:E21"/>
    <mergeCell ref="F20:F21"/>
    <mergeCell ref="G20:G21"/>
    <mergeCell ref="H20:H21"/>
    <mergeCell ref="I20:I21"/>
    <mergeCell ref="J20:J21"/>
    <mergeCell ref="D8:F8"/>
    <mergeCell ref="I8:J9"/>
    <mergeCell ref="J13:K13"/>
    <mergeCell ref="J14:K14"/>
    <mergeCell ref="D18:K19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AFEED4-8659-4BCF-9B6F-804E210A43E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81</vt:i4>
      </vt:variant>
    </vt:vector>
  </HeadingPairs>
  <TitlesOfParts>
    <vt:vector size="86" baseType="lpstr">
      <vt:lpstr>Context</vt:lpstr>
      <vt:lpstr>Plan Input</vt:lpstr>
      <vt:lpstr>IFRS16 Simulation</vt:lpstr>
      <vt:lpstr>Control</vt:lpstr>
      <vt:lpstr>Plan Input_DBS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ctx_compo_ltp_Context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ellev_activity</vt:lpstr>
      <vt:lpstr>ellev_legal_org</vt:lpstr>
      <vt:lpstr>ellev_ltp_compo</vt:lpstr>
      <vt:lpstr>ellev_phase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xComposantLTP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  <vt:lpstr>Context!Print_Area</vt:lpstr>
      <vt:lpstr>'Plan Input'!Print_Area</vt:lpstr>
      <vt:lpstr>'Plan Input_DBS'!Print_Area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Mila Barki</cp:lastModifiedBy>
  <cp:lastPrinted>2013-04-05T12:01:44Z</cp:lastPrinted>
  <dcterms:created xsi:type="dcterms:W3CDTF">2012-01-30T16:11:20Z</dcterms:created>
  <dcterms:modified xsi:type="dcterms:W3CDTF">2024-09-10T09:09:35Z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