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7605" windowHeight="3930" tabRatio="852" firstSheet="1" activeTab="1"/>
  </bookViews>
  <sheets>
    <sheet name="Context" sheetId="66" state="hidden" r:id="rId1"/>
    <sheet name="Suivi_Variations_Effectifs_ETP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Suivi_Variations_Effectifs_ETP!$I$31:$P$55</definedName>
    <definedName name="AutoRefresh_Input_PL">Suivi_Variations_Effectifs_ETP!$T$11</definedName>
    <definedName name="AutoRefresh_Suivi_Variations_Effectifs_ETP">Suivi_Variations_Effectifs_ETP!$G$11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Suivi_Variations_Effectifs_ETP!$E:$S,Suivi_Variations_Effectifs_ETP!$16:$31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haseList">Suivi_Variations_Effectifs_ETP!$AG$22:$AG$25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3" localSheetId="1">Suivi_Variations_Effectifs_ETP!$51:$53</definedName>
    <definedName name="TM1RPTFMTIDCOL" localSheetId="1">Suivi_Variations_Effectifs_ETP!$A$1:$A$8</definedName>
    <definedName name="TM1RPTFMTRNG" localSheetId="1">Suivi_Variations_Effectifs_ETP!$F$1:$S$8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Suivi_Variations_Effectifs_ETP!$E$16:$AS$64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53" i="58" l="1"/>
  <c r="A52" i="58"/>
  <c r="F37" i="58"/>
  <c r="G39" i="58"/>
  <c r="G40" i="58"/>
  <c r="G41" i="58"/>
  <c r="G42" i="58"/>
  <c r="G43" i="58"/>
  <c r="G23" i="58"/>
  <c r="G44" i="58"/>
  <c r="G45" i="58"/>
  <c r="G25" i="58"/>
  <c r="H13" i="58"/>
  <c r="K12" i="58"/>
  <c r="AG22" i="58"/>
  <c r="K11" i="58"/>
  <c r="AE22" i="58"/>
  <c r="I14" i="58"/>
  <c r="V53" i="58"/>
  <c r="AG23" i="58"/>
  <c r="J12" i="58"/>
  <c r="J11" i="58"/>
  <c r="U53" i="58"/>
  <c r="I12" i="58"/>
  <c r="T53" i="58"/>
  <c r="J53" i="58"/>
  <c r="K53" i="58"/>
  <c r="P53" i="58"/>
  <c r="Q53" i="58"/>
  <c r="R53" i="58"/>
  <c r="I53" i="58"/>
  <c r="M53" i="58"/>
  <c r="N53" i="58"/>
  <c r="O53" i="58"/>
  <c r="V52" i="58"/>
  <c r="U52" i="58"/>
  <c r="T52" i="58"/>
  <c r="J52" i="58"/>
  <c r="K52" i="58"/>
  <c r="P52" i="58"/>
  <c r="Q52" i="58"/>
  <c r="R52" i="58"/>
  <c r="I52" i="58"/>
  <c r="M52" i="58"/>
  <c r="N52" i="58"/>
  <c r="O52" i="58"/>
  <c r="G26" i="58"/>
  <c r="B5" i="66"/>
  <c r="AG18" i="58"/>
  <c r="B13" i="66"/>
  <c r="C13" i="66"/>
  <c r="D13" i="66"/>
  <c r="E13" i="66"/>
  <c r="F13" i="66"/>
  <c r="AG24" i="58"/>
  <c r="L19" i="58"/>
  <c r="I34" i="58"/>
  <c r="AE25" i="58"/>
  <c r="AE26" i="58"/>
  <c r="AE27" i="58"/>
  <c r="AE28" i="58"/>
  <c r="AE29" i="58"/>
  <c r="B17" i="66"/>
  <c r="C17" i="66"/>
  <c r="K34" i="58"/>
  <c r="M34" i="58"/>
  <c r="N34" i="58"/>
  <c r="J31" i="58"/>
  <c r="K31" i="58"/>
  <c r="F29" i="58"/>
  <c r="AG25" i="58"/>
  <c r="O12" i="58"/>
  <c r="F61" i="58"/>
  <c r="F60" i="58"/>
  <c r="F59" i="58"/>
  <c r="F58" i="58"/>
  <c r="F35" i="58"/>
  <c r="F51" i="58"/>
  <c r="J51" i="58"/>
  <c r="K51" i="58"/>
  <c r="P51" i="58"/>
  <c r="Q51" i="58"/>
  <c r="I51" i="58"/>
  <c r="M51" i="58"/>
  <c r="N51" i="58"/>
  <c r="O51" i="58"/>
  <c r="V51" i="58"/>
  <c r="U51" i="58"/>
  <c r="T51" i="58"/>
  <c r="J34" i="58"/>
  <c r="P34" i="58"/>
  <c r="Q34" i="58"/>
  <c r="F33" i="58"/>
  <c r="I31" i="58"/>
  <c r="I29" i="58"/>
  <c r="F34" i="58"/>
  <c r="R51" i="58"/>
  <c r="R34" i="58"/>
  <c r="O34" i="58"/>
  <c r="P31" i="58"/>
  <c r="R31" i="58"/>
  <c r="M31" i="58"/>
  <c r="M29" i="58"/>
  <c r="O31" i="58"/>
  <c r="F27" i="58"/>
  <c r="F23" i="58"/>
  <c r="F57" i="58"/>
  <c r="F19" i="58"/>
  <c r="S31" i="58"/>
  <c r="F26" i="58"/>
  <c r="F22" i="58"/>
  <c r="F25" i="58"/>
  <c r="F24" i="58"/>
  <c r="A5" i="58"/>
  <c r="A4" i="58"/>
  <c r="A3" i="58"/>
  <c r="A2" i="58"/>
  <c r="A51" i="58"/>
  <c r="B14" i="66"/>
  <c r="B16" i="66"/>
  <c r="B15" i="66"/>
</calcChain>
</file>

<file path=xl/sharedStrings.xml><?xml version="1.0" encoding="utf-8"?>
<sst xmlns="http://schemas.openxmlformats.org/spreadsheetml/2006/main" count="118" uniqueCount="108">
  <si>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</si>
  <si>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</si>
  <si>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</si>
  <si>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</si>
  <si>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</si>
  <si>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</si>
  <si>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</si>
  <si>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</si>
  <si>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</si>
  <si>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</si>
  <si>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</si>
  <si>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</si>
  <si>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</si>
  <si>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</si>
  <si>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</si>
  <si>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</si>
  <si>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</si>
  <si>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</si>
  <si>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</si>
  <si>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</si>
  <si>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</si>
  <si>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</si>
  <si>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</si>
  <si>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</si>
  <si>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</si>
  <si>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</si>
  <si>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</si>
  <si>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</si>
  <si>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</si>
  <si>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</si>
  <si>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</si>
  <si>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</si>
  <si>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</si>
  <si>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</si>
  <si>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</si>
  <si>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</si>
  <si>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</si>
  <si>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</si>
  <si>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</si>
  <si>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</si>
  <si>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Forecast Version 2</t>
  </si>
  <si>
    <t>List 1</t>
  </si>
  <si>
    <t>Period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</si>
  <si>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</si>
  <si>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</si>
  <si>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</si>
  <si>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</si>
  <si>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</si>
  <si>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</si>
  <si>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Legal_Organization_Corp</t>
  </si>
  <si>
    <t>Indicator_Corp</t>
  </si>
  <si>
    <t>Tiers</t>
  </si>
  <si>
    <t>D</t>
  </si>
  <si>
    <t>N</t>
  </si>
  <si>
    <t>[Begin Format Range]</t>
  </si>
  <si>
    <t>[End Format Range]</t>
  </si>
  <si>
    <t>Langue</t>
  </si>
  <si>
    <t>ACT_TOT</t>
  </si>
  <si>
    <t>Eléments fixes</t>
  </si>
  <si>
    <t>RP_Comments_PL_Corp</t>
  </si>
  <si>
    <t>Month</t>
  </si>
  <si>
    <t>Previous Month</t>
  </si>
  <si>
    <t>YTD</t>
  </si>
  <si>
    <t>Actual_N_1</t>
  </si>
  <si>
    <t>RESOP</t>
  </si>
  <si>
    <t>Variances</t>
  </si>
  <si>
    <t>Variance</t>
  </si>
  <si>
    <t>Couts_Bruts</t>
  </si>
  <si>
    <t>Output</t>
  </si>
  <si>
    <t>Tot_tiers</t>
  </si>
  <si>
    <t>VTD</t>
  </si>
  <si>
    <t>Trend arrows</t>
  </si>
  <si>
    <t>ì</t>
  </si>
  <si>
    <t>î</t>
  </si>
  <si>
    <t>è</t>
  </si>
  <si>
    <t>Phase for comments</t>
  </si>
  <si>
    <t>Ytd</t>
  </si>
  <si>
    <t>Coûts Bruts - Coûts Nets Réalisé :</t>
  </si>
  <si>
    <t>ACT</t>
  </si>
  <si>
    <t>AutoRefresh_Suivi_Variations_Effectifs_ETP</t>
  </si>
  <si>
    <t>Suivi_variations_effectifs_ETP</t>
  </si>
  <si>
    <t>LCL</t>
  </si>
  <si>
    <t>Total_conso</t>
  </si>
  <si>
    <t>NO_APP</t>
  </si>
  <si>
    <t>Indicators</t>
  </si>
  <si>
    <t>Tot_Eff</t>
  </si>
  <si>
    <t>Eff_CDI</t>
  </si>
  <si>
    <t>Eff_Autres</t>
  </si>
  <si>
    <t>Tot_ETP</t>
  </si>
  <si>
    <t>ETP_CDI</t>
  </si>
  <si>
    <t>ETP_Autres</t>
  </si>
  <si>
    <t>Entrees_Sorties</t>
  </si>
  <si>
    <t>Tot_proj</t>
  </si>
  <si>
    <t>Suivi_Variations_Effectifs_ETP</t>
  </si>
  <si>
    <t>Indicator_Corp for comments</t>
  </si>
  <si>
    <t>Budget</t>
  </si>
  <si>
    <t>Forecast_1</t>
  </si>
  <si>
    <t>Forecast_2</t>
  </si>
  <si>
    <t>List 2</t>
  </si>
  <si>
    <t>Actual</t>
  </si>
  <si>
    <t>Code - List 2</t>
  </si>
  <si>
    <t>Forecast2_N_1</t>
  </si>
  <si>
    <t>Effectifs total</t>
  </si>
  <si>
    <t>Réalisé</t>
  </si>
  <si>
    <t>tango_core_model:</t>
  </si>
  <si>
    <t>TFR-AP019298</t>
  </si>
  <si>
    <t>Directions Métiers</t>
  </si>
  <si>
    <t>Holding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</si>
</sst>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#,##0.0"/>
    <numFmt numFmtId="173" formatCode="00"/>
    <numFmt numFmtId="174" formatCode="#,##0;&quot;(&quot;#,##0&quot;)&quot;"/>
  </numFmts>
  <fonts count="8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1"/>
      <color rgb="FF0070C0"/>
      <name val="Calibri"/>
      <family val="2"/>
    </font>
    <font>
      <b/>
      <sz val="12"/>
      <color rgb="FF0070C0"/>
      <name val="Arial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8"/>
      <name val="Wingdings"/>
      <charset val="2"/>
    </font>
    <font>
      <b/>
      <sz val="14"/>
      <color rgb="FF7E408F"/>
      <name val="Calibri"/>
      <family val="2"/>
    </font>
    <font>
      <b/>
      <sz val="12"/>
      <color rgb="FFFF0000"/>
      <name val="Calibri"/>
      <family val="2"/>
    </font>
    <font>
      <b/>
      <sz val="21"/>
      <color indexed="9"/>
      <name val="Calibri"/>
      <family val="2"/>
    </font>
    <font>
      <b/>
      <sz val="18"/>
      <name val="Calibri"/>
      <family val="2"/>
    </font>
    <font>
      <b/>
      <sz val="20"/>
      <name val="Calibri"/>
      <family val="2"/>
    </font>
    <font>
      <sz val="16"/>
      <name val="Calibri"/>
      <family val="2"/>
    </font>
    <font>
      <b/>
      <sz val="16"/>
      <name val="Calibri"/>
      <family val="2"/>
    </font>
    <font>
      <b/>
      <sz val="21"/>
      <color indexed="57"/>
      <name val="Wingdings"/>
      <charset val="2"/>
    </font>
    <font>
      <b/>
      <sz val="18"/>
      <color indexed="57"/>
      <name val="Wingdings"/>
      <charset val="2"/>
    </font>
    <font>
      <b/>
      <sz val="28"/>
      <color theme="0"/>
      <name val="Calibri"/>
      <family val="2"/>
    </font>
    <font>
      <sz val="18"/>
      <name val="Calibri"/>
      <family val="2"/>
    </font>
    <font>
      <b/>
      <sz val="16"/>
      <color indexed="9"/>
      <name val="Calibri"/>
      <family val="2"/>
    </font>
    <font>
      <b/>
      <sz val="16"/>
      <color indexed="57"/>
      <name val="Wingdings"/>
      <charset val="2"/>
    </font>
    <font>
      <b/>
      <sz val="15"/>
      <name val="Calibri"/>
      <family val="2"/>
    </font>
    <font>
      <b/>
      <sz val="15"/>
      <color indexed="57"/>
      <name val="Wingdings"/>
      <charset val="2"/>
    </font>
    <font>
      <sz val="16"/>
      <color indexed="57"/>
      <name val="Wingdings"/>
      <charset val="2"/>
    </font>
    <font>
      <b/>
      <sz val="14"/>
      <color rgb="FFFF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rgb="FF7E408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F707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</fills>
  <borders count="6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/>
      <bottom style="medium">
        <color auto="1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/>
      <right style="medium">
        <color indexed="23"/>
      </right>
      <top/>
      <bottom style="medium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rgb="FF7E408F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medium">
        <color rgb="FFFF0000"/>
      </bottom>
      <diagonal/>
    </border>
  </borders>
  <cellStyleXfs count="288">
    <xf numFmtId="0" fontId="0" fillId="0" borderId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2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5" fillId="3" borderId="0" applyNumberFormat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6" fontId="26" fillId="22" borderId="0" applyNumberFormat="0" applyBorder="0">
      <alignment horizontal="right"/>
      <protection locked="0"/>
    </xf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167" fontId="27" fillId="23" borderId="0" applyNumberFormat="0" applyBorder="0">
      <alignment horizontal="right" vertical="center"/>
      <protection locked="0"/>
    </xf>
    <xf numFmtId="168" fontId="27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8" fillId="25" borderId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8" fillId="25" borderId="0"/>
    <xf numFmtId="0" fontId="28" fillId="25" borderId="0"/>
    <xf numFmtId="169" fontId="30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28" fillId="25" borderId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12" borderId="0" applyNumberFormat="0" applyBorder="0" applyAlignment="0" applyProtection="0"/>
    <xf numFmtId="0" fontId="31" fillId="27" borderId="10" applyNumberFormat="0" applyAlignment="0" applyProtection="0"/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170" fontId="34" fillId="28" borderId="0" applyNumberFormat="0" applyBorder="0">
      <alignment horizontal="left" vertical="center"/>
      <protection locked="0"/>
    </xf>
    <xf numFmtId="170" fontId="35" fillId="22" borderId="0" applyNumberFormat="0" applyBorder="0">
      <alignment horizontal="left"/>
      <protection locked="0"/>
    </xf>
    <xf numFmtId="0" fontId="36" fillId="0" borderId="6" applyNumberFormat="0" applyFill="0" applyAlignment="0" applyProtection="0"/>
    <xf numFmtId="0" fontId="37" fillId="0" borderId="11" applyNumberFormat="0" applyFill="0" applyAlignment="0" applyProtection="0"/>
    <xf numFmtId="0" fontId="38" fillId="0" borderId="12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10" fillId="20" borderId="3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13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8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5" fillId="0" borderId="0" xfId="222" applyFont="1" applyAlignment="1" applyProtection="1"/>
    <xf numFmtId="0" fontId="46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7" fillId="30" borderId="14" xfId="0" applyFont="1" applyFill="1" applyBorder="1" applyAlignment="1" applyProtection="1">
      <alignment horizontal="left"/>
      <protection locked="0"/>
    </xf>
    <xf numFmtId="0" fontId="45" fillId="30" borderId="15" xfId="0" applyFont="1" applyFill="1" applyBorder="1" applyProtection="1">
      <protection locked="0"/>
    </xf>
    <xf numFmtId="0" fontId="44" fillId="31" borderId="16" xfId="0" applyFont="1" applyFill="1" applyBorder="1" applyProtection="1">
      <protection locked="0"/>
    </xf>
    <xf numFmtId="0" fontId="44" fillId="0" borderId="16" xfId="0" applyFont="1" applyBorder="1" applyProtection="1">
      <protection locked="0"/>
    </xf>
    <xf numFmtId="0" fontId="44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6" fillId="32" borderId="0" xfId="0" applyFont="1" applyFill="1" applyBorder="1" applyAlignment="1" applyProtection="1">
      <alignment horizontal="left" vertical="center"/>
    </xf>
    <xf numFmtId="0" fontId="5" fillId="29" borderId="19" xfId="0" applyFont="1" applyFill="1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Protection="1"/>
    <xf numFmtId="0" fontId="48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4" fillId="0" borderId="20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3" fillId="36" borderId="23" xfId="205" applyFont="1" applyFill="1" applyBorder="1" applyAlignment="1" applyProtection="1">
      <alignment horizontal="center" vertical="center"/>
    </xf>
    <xf numFmtId="0" fontId="0" fillId="35" borderId="0" xfId="0" applyFill="1" applyProtection="1"/>
    <xf numFmtId="0" fontId="0" fillId="35" borderId="18" xfId="0" applyFill="1" applyBorder="1" applyProtection="1"/>
    <xf numFmtId="0" fontId="0" fillId="35" borderId="27" xfId="0" applyFill="1" applyBorder="1" applyProtection="1"/>
    <xf numFmtId="0" fontId="4" fillId="35" borderId="0" xfId="205" applyFont="1" applyFill="1" applyBorder="1" applyAlignment="1" applyProtection="1">
      <alignment vertical="center"/>
    </xf>
    <xf numFmtId="0" fontId="4" fillId="35" borderId="27" xfId="205" applyFont="1" applyFill="1" applyBorder="1" applyAlignment="1" applyProtection="1">
      <alignment vertical="center"/>
    </xf>
    <xf numFmtId="0" fontId="2" fillId="35" borderId="27" xfId="0" applyFont="1" applyFill="1" applyBorder="1" applyProtection="1"/>
    <xf numFmtId="0" fontId="43" fillId="35" borderId="27" xfId="0" applyFont="1" applyFill="1" applyBorder="1" applyProtection="1"/>
    <xf numFmtId="0" fontId="50" fillId="35" borderId="0" xfId="0" applyFont="1" applyFill="1" applyAlignment="1" applyProtection="1">
      <alignment horizontal="right"/>
    </xf>
    <xf numFmtId="0" fontId="0" fillId="35" borderId="0" xfId="0" applyFill="1" applyBorder="1" applyProtection="1"/>
    <xf numFmtId="0" fontId="2" fillId="35" borderId="0" xfId="0" applyFont="1" applyFill="1" applyProtection="1"/>
    <xf numFmtId="0" fontId="43" fillId="35" borderId="0" xfId="0" applyFont="1" applyFill="1" applyAlignment="1" applyProtection="1">
      <alignment horizontal="right"/>
    </xf>
    <xf numFmtId="0" fontId="4" fillId="37" borderId="0" xfId="205" applyFont="1" applyFill="1" applyBorder="1" applyAlignment="1" applyProtection="1">
      <alignment vertical="center"/>
    </xf>
    <xf numFmtId="0" fontId="0" fillId="35" borderId="17" xfId="0" applyFill="1" applyBorder="1" applyProtection="1"/>
    <xf numFmtId="0" fontId="43" fillId="35" borderId="0" xfId="0" applyFont="1" applyFill="1" applyBorder="1" applyAlignment="1" applyProtection="1">
      <alignment horizontal="right"/>
    </xf>
    <xf numFmtId="0" fontId="49" fillId="35" borderId="0" xfId="0" applyFont="1" applyFill="1" applyBorder="1" applyProtection="1"/>
    <xf numFmtId="0" fontId="0" fillId="36" borderId="4" xfId="0" applyFill="1" applyBorder="1" applyProtection="1">
      <protection locked="0"/>
    </xf>
    <xf numFmtId="0" fontId="12" fillId="0" borderId="0" xfId="0" applyFont="1"/>
    <xf numFmtId="0" fontId="51" fillId="0" borderId="0" xfId="0" applyFont="1" applyAlignment="1" applyProtection="1">
      <alignment horizontal="right"/>
    </xf>
    <xf numFmtId="0" fontId="2" fillId="0" borderId="25" xfId="0" applyFont="1" applyFill="1" applyBorder="1" applyProtection="1"/>
    <xf numFmtId="0" fontId="40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 wrapText="1"/>
    </xf>
    <xf numFmtId="0" fontId="53" fillId="38" borderId="0" xfId="0" applyFont="1" applyFill="1" applyBorder="1" applyProtection="1"/>
    <xf numFmtId="0" fontId="53" fillId="30" borderId="28" xfId="0" applyFont="1" applyFill="1" applyBorder="1" applyProtection="1"/>
    <xf numFmtId="0" fontId="12" fillId="35" borderId="0" xfId="0" applyFont="1" applyFill="1" applyAlignment="1" applyProtection="1">
      <alignment horizontal="right" vertical="center"/>
    </xf>
    <xf numFmtId="0" fontId="51" fillId="35" borderId="0" xfId="0" applyFont="1" applyFill="1" applyProtection="1"/>
    <xf numFmtId="0" fontId="48" fillId="35" borderId="0" xfId="0" applyFont="1" applyFill="1" applyProtection="1"/>
    <xf numFmtId="0" fontId="12" fillId="35" borderId="27" xfId="0" applyFont="1" applyFill="1" applyBorder="1" applyProtection="1"/>
    <xf numFmtId="0" fontId="43" fillId="35" borderId="0" xfId="0" applyFont="1" applyFill="1" applyBorder="1" applyProtection="1"/>
    <xf numFmtId="0" fontId="54" fillId="0" borderId="0" xfId="205" applyFont="1" applyFill="1" applyBorder="1" applyAlignment="1" applyProtection="1">
      <alignment vertical="center"/>
    </xf>
    <xf numFmtId="0" fontId="55" fillId="0" borderId="0" xfId="0" applyFont="1"/>
    <xf numFmtId="0" fontId="0" fillId="0" borderId="0" xfId="0" applyFill="1" applyBorder="1" applyProtection="1"/>
    <xf numFmtId="0" fontId="12" fillId="0" borderId="0" xfId="0" applyFont="1" applyFill="1" applyBorder="1" applyProtection="1"/>
    <xf numFmtId="0" fontId="2" fillId="0" borderId="0" xfId="0" applyFont="1" applyFill="1" applyBorder="1" applyProtection="1"/>
    <xf numFmtId="0" fontId="12" fillId="0" borderId="0" xfId="0" applyFont="1" applyFill="1" applyProtection="1"/>
    <xf numFmtId="0" fontId="43" fillId="0" borderId="0" xfId="0" applyFont="1" applyFill="1" applyBorder="1" applyProtection="1"/>
    <xf numFmtId="0" fontId="0" fillId="0" borderId="0" xfId="0" applyFill="1"/>
    <xf numFmtId="0" fontId="0" fillId="35" borderId="34" xfId="0" applyFill="1" applyBorder="1" applyProtection="1"/>
    <xf numFmtId="0" fontId="56" fillId="0" borderId="0" xfId="0" applyFont="1"/>
    <xf numFmtId="0" fontId="41" fillId="0" borderId="0" xfId="205" applyFont="1" applyFill="1" applyBorder="1" applyAlignment="1" applyProtection="1">
      <alignment vertical="center"/>
    </xf>
    <xf numFmtId="0" fontId="41" fillId="0" borderId="0" xfId="222" applyFont="1" applyFill="1" applyBorder="1" applyAlignment="1">
      <alignment vertical="center" wrapText="1"/>
    </xf>
    <xf numFmtId="0" fontId="48" fillId="0" borderId="0" xfId="0" applyFont="1" applyFill="1" applyBorder="1" applyAlignment="1" applyProtection="1">
      <alignment horizontal="center"/>
    </xf>
    <xf numFmtId="0" fontId="0" fillId="0" borderId="0" xfId="0" applyFill="1" applyBorder="1"/>
    <xf numFmtId="0" fontId="52" fillId="0" borderId="0" xfId="0" applyNumberFormat="1" applyFont="1" applyFill="1" applyBorder="1"/>
    <xf numFmtId="0" fontId="4" fillId="0" borderId="0" xfId="0" applyFont="1" applyFill="1" applyBorder="1" applyAlignment="1" applyProtection="1">
      <alignment horizontal="left" inden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0" fontId="49" fillId="38" borderId="0" xfId="0" applyFont="1" applyFill="1" applyBorder="1" applyProtection="1"/>
    <xf numFmtId="0" fontId="58" fillId="35" borderId="0" xfId="0" applyFont="1" applyFill="1" applyProtection="1"/>
    <xf numFmtId="0" fontId="3" fillId="0" borderId="0" xfId="222" applyFont="1" applyProtection="1"/>
    <xf numFmtId="0" fontId="59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59" fillId="0" borderId="0" xfId="205" applyFont="1" applyFill="1" applyBorder="1" applyAlignment="1" applyProtection="1">
      <alignment horizontal="right" vertical="center" indent="1"/>
    </xf>
    <xf numFmtId="0" fontId="60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7" fillId="0" borderId="0" xfId="0" applyFont="1" applyFill="1" applyBorder="1" applyAlignment="1" applyProtection="1">
      <alignment horizontal="center" vertical="center" wrapText="1"/>
    </xf>
    <xf numFmtId="0" fontId="12" fillId="35" borderId="42" xfId="0" applyFont="1" applyFill="1" applyBorder="1" applyProtection="1"/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3" fontId="0" fillId="0" borderId="0" xfId="0" applyNumberFormat="1" applyAlignment="1" applyProtection="1">
      <alignment horizontal="center"/>
      <protection locked="0"/>
    </xf>
    <xf numFmtId="0" fontId="58" fillId="35" borderId="0" xfId="0" applyFont="1" applyFill="1" applyBorder="1" applyAlignment="1" applyProtection="1">
      <alignment vertical="center"/>
    </xf>
    <xf numFmtId="0" fontId="7" fillId="32" borderId="44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/>
    <xf numFmtId="0" fontId="40" fillId="0" borderId="29" xfId="0" applyFont="1" applyFill="1" applyBorder="1" applyAlignment="1" applyProtection="1">
      <alignment vertical="center" wrapText="1"/>
    </xf>
    <xf numFmtId="172" fontId="6" fillId="0" borderId="43" xfId="0" applyNumberFormat="1" applyFont="1" applyFill="1" applyBorder="1" applyAlignment="1">
      <alignment horizontal="right" vertical="center" indent="1"/>
    </xf>
    <xf numFmtId="0" fontId="7" fillId="32" borderId="46" xfId="0" applyFont="1" applyFill="1" applyBorder="1" applyAlignment="1" applyProtection="1">
      <alignment horizontal="center" vertical="center" wrapText="1"/>
    </xf>
    <xf numFmtId="0" fontId="63" fillId="0" borderId="26" xfId="0" applyFont="1" applyBorder="1" applyAlignment="1" applyProtection="1">
      <alignment horizontal="center"/>
    </xf>
    <xf numFmtId="0" fontId="9" fillId="0" borderId="0" xfId="196" applyFont="1" applyFill="1" applyBorder="1" applyAlignment="1" applyProtection="1">
      <alignment horizontal="center" vertical="center" wrapText="1"/>
    </xf>
    <xf numFmtId="0" fontId="2" fillId="35" borderId="18" xfId="0" applyFont="1" applyFill="1" applyBorder="1" applyProtection="1"/>
    <xf numFmtId="0" fontId="43" fillId="35" borderId="0" xfId="0" applyFont="1" applyFill="1" applyBorder="1" applyAlignment="1" applyProtection="1">
      <alignment horizontal="left"/>
    </xf>
    <xf numFmtId="0" fontId="41" fillId="0" borderId="0" xfId="222" applyFont="1" applyFill="1" applyBorder="1" applyAlignment="1" applyProtection="1">
      <alignment vertical="center" wrapText="1"/>
    </xf>
    <xf numFmtId="0" fontId="7" fillId="0" borderId="31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>
      <alignment horizontal="left" vertical="center"/>
    </xf>
    <xf numFmtId="172" fontId="41" fillId="0" borderId="0" xfId="205" applyNumberFormat="1" applyFont="1" applyFill="1" applyBorder="1" applyAlignment="1" applyProtection="1">
      <alignment horizontal="right" vertical="center" indent="1"/>
    </xf>
    <xf numFmtId="0" fontId="0" fillId="0" borderId="47" xfId="0" applyBorder="1" applyProtection="1"/>
    <xf numFmtId="0" fontId="2" fillId="0" borderId="50" xfId="0" applyFont="1" applyBorder="1" applyProtection="1"/>
    <xf numFmtId="0" fontId="0" fillId="0" borderId="51" xfId="0" applyBorder="1" applyProtection="1"/>
    <xf numFmtId="0" fontId="0" fillId="0" borderId="51" xfId="0" applyFill="1" applyBorder="1" applyProtection="1"/>
    <xf numFmtId="0" fontId="2" fillId="0" borderId="47" xfId="0" applyFont="1" applyBorder="1" applyProtection="1"/>
    <xf numFmtId="0" fontId="48" fillId="0" borderId="23" xfId="0" applyFont="1" applyBorder="1" applyAlignment="1" applyProtection="1">
      <alignment horizontal="center"/>
    </xf>
    <xf numFmtId="0" fontId="41" fillId="39" borderId="0" xfId="222" applyFont="1" applyFill="1" applyBorder="1" applyAlignment="1">
      <alignment vertical="center" wrapText="1"/>
    </xf>
    <xf numFmtId="0" fontId="41" fillId="39" borderId="33" xfId="205" applyFont="1" applyFill="1" applyBorder="1" applyAlignment="1" applyProtection="1">
      <alignment vertical="center"/>
    </xf>
    <xf numFmtId="0" fontId="65" fillId="37" borderId="0" xfId="205" applyFont="1" applyFill="1" applyBorder="1" applyAlignment="1" applyProtection="1">
      <alignment vertical="center"/>
    </xf>
    <xf numFmtId="0" fontId="2" fillId="35" borderId="42" xfId="0" applyFont="1" applyFill="1" applyBorder="1" applyProtection="1"/>
    <xf numFmtId="0" fontId="64" fillId="0" borderId="0" xfId="0" applyFont="1" applyFill="1" applyBorder="1" applyAlignment="1" applyProtection="1">
      <alignment horizontal="left" vertical="center"/>
    </xf>
    <xf numFmtId="0" fontId="5" fillId="29" borderId="19" xfId="0" applyFont="1" applyFill="1" applyBorder="1" applyAlignment="1" applyProtection="1">
      <alignment vertical="center"/>
    </xf>
    <xf numFmtId="0" fontId="2" fillId="0" borderId="23" xfId="0" applyFont="1" applyBorder="1" applyProtection="1"/>
    <xf numFmtId="0" fontId="0" fillId="0" borderId="50" xfId="0" applyBorder="1" applyProtection="1"/>
    <xf numFmtId="0" fontId="4" fillId="0" borderId="51" xfId="205" applyFont="1" applyFill="1" applyBorder="1" applyAlignment="1" applyProtection="1">
      <alignment vertical="center"/>
    </xf>
    <xf numFmtId="0" fontId="0" fillId="0" borderId="53" xfId="0" applyBorder="1" applyProtection="1"/>
    <xf numFmtId="0" fontId="0" fillId="0" borderId="42" xfId="0" applyBorder="1" applyProtection="1"/>
    <xf numFmtId="0" fontId="0" fillId="0" borderId="54" xfId="0" applyBorder="1" applyProtection="1"/>
    <xf numFmtId="0" fontId="0" fillId="0" borderId="55" xfId="0" applyBorder="1" applyProtection="1"/>
    <xf numFmtId="0" fontId="0" fillId="0" borderId="24" xfId="0" applyBorder="1"/>
    <xf numFmtId="174" fontId="4" fillId="0" borderId="0" xfId="205" applyNumberFormat="1" applyFont="1" applyFill="1" applyBorder="1" applyAlignment="1" applyProtection="1">
      <alignment vertical="center"/>
    </xf>
    <xf numFmtId="174" fontId="0" fillId="0" borderId="0" xfId="0" applyNumberFormat="1"/>
    <xf numFmtId="174" fontId="12" fillId="0" borderId="0" xfId="0" applyNumberFormat="1" applyFont="1"/>
    <xf numFmtId="9" fontId="4" fillId="0" borderId="0" xfId="205" applyNumberFormat="1" applyFont="1" applyFill="1" applyBorder="1" applyAlignment="1" applyProtection="1">
      <alignment vertical="center"/>
    </xf>
    <xf numFmtId="9" fontId="0" fillId="0" borderId="0" xfId="0" applyNumberFormat="1"/>
    <xf numFmtId="9" fontId="12" fillId="0" borderId="0" xfId="0" applyNumberFormat="1" applyFont="1"/>
    <xf numFmtId="0" fontId="2" fillId="0" borderId="25" xfId="0" applyFont="1" applyBorder="1" applyProtection="1"/>
    <xf numFmtId="0" fontId="67" fillId="41" borderId="0" xfId="222" applyFont="1" applyFill="1" applyBorder="1" applyAlignment="1" applyProtection="1">
      <alignment vertical="center" wrapText="1"/>
    </xf>
    <xf numFmtId="0" fontId="70" fillId="42" borderId="0" xfId="222" applyFont="1" applyFill="1" applyBorder="1" applyAlignment="1" applyProtection="1">
      <alignment vertical="center" wrapText="1"/>
    </xf>
    <xf numFmtId="0" fontId="69" fillId="39" borderId="0" xfId="222" applyFont="1" applyFill="1" applyBorder="1" applyAlignment="1" applyProtection="1">
      <alignment vertical="center" wrapText="1"/>
    </xf>
    <xf numFmtId="0" fontId="41" fillId="43" borderId="0" xfId="222" applyFont="1" applyFill="1" applyBorder="1" applyAlignment="1" applyProtection="1">
      <alignment vertical="center" wrapText="1"/>
    </xf>
    <xf numFmtId="9" fontId="66" fillId="32" borderId="52" xfId="0" applyNumberFormat="1" applyFont="1" applyFill="1" applyBorder="1" applyAlignment="1">
      <alignment horizontal="right" vertical="center" indent="1"/>
    </xf>
    <xf numFmtId="0" fontId="68" fillId="40" borderId="0" xfId="222" applyFont="1" applyFill="1" applyBorder="1" applyAlignment="1" applyProtection="1">
      <alignment horizontal="right" vertical="center" wrapText="1"/>
    </xf>
    <xf numFmtId="0" fontId="71" fillId="44" borderId="52" xfId="196" applyFont="1" applyFill="1" applyBorder="1" applyAlignment="1">
      <alignment horizontal="center" vertical="center"/>
    </xf>
    <xf numFmtId="9" fontId="68" fillId="40" borderId="0" xfId="222" applyNumberFormat="1" applyFont="1" applyFill="1" applyBorder="1" applyAlignment="1" applyProtection="1">
      <alignment vertical="center" wrapText="1"/>
    </xf>
    <xf numFmtId="9" fontId="67" fillId="41" borderId="57" xfId="222" applyNumberFormat="1" applyFont="1" applyFill="1" applyBorder="1" applyAlignment="1" applyProtection="1">
      <alignment vertical="center" wrapText="1"/>
    </xf>
    <xf numFmtId="9" fontId="70" fillId="42" borderId="58" xfId="222" applyNumberFormat="1" applyFont="1" applyFill="1" applyBorder="1" applyAlignment="1" applyProtection="1">
      <alignment vertical="center" wrapText="1"/>
    </xf>
    <xf numFmtId="9" fontId="69" fillId="39" borderId="56" xfId="222" applyNumberFormat="1" applyFont="1" applyFill="1" applyBorder="1" applyAlignment="1" applyProtection="1">
      <alignment vertical="center" wrapText="1"/>
    </xf>
    <xf numFmtId="174" fontId="41" fillId="35" borderId="0" xfId="205" applyNumberFormat="1" applyFont="1" applyFill="1" applyBorder="1" applyAlignment="1" applyProtection="1">
      <alignment vertical="center"/>
    </xf>
    <xf numFmtId="174" fontId="41" fillId="0" borderId="0" xfId="205" applyNumberFormat="1" applyFont="1" applyFill="1" applyBorder="1" applyAlignment="1" applyProtection="1">
      <alignment vertical="center"/>
    </xf>
    <xf numFmtId="9" fontId="41" fillId="0" borderId="0" xfId="205" applyNumberFormat="1" applyFont="1" applyFill="1" applyBorder="1" applyAlignment="1" applyProtection="1">
      <alignment vertical="center"/>
    </xf>
    <xf numFmtId="174" fontId="4" fillId="0" borderId="0" xfId="0" applyNumberFormat="1" applyFont="1" applyProtection="1"/>
    <xf numFmtId="174" fontId="4" fillId="0" borderId="0" xfId="0" applyNumberFormat="1" applyFont="1" applyAlignment="1" applyProtection="1"/>
    <xf numFmtId="174" fontId="4" fillId="0" borderId="0" xfId="0" applyNumberFormat="1" applyFont="1" applyBorder="1" applyAlignment="1" applyProtection="1"/>
    <xf numFmtId="0" fontId="72" fillId="40" borderId="0" xfId="196" applyFont="1" applyFill="1" applyBorder="1" applyAlignment="1" applyProtection="1">
      <alignment horizontal="center" vertical="center"/>
    </xf>
    <xf numFmtId="0" fontId="72" fillId="41" borderId="57" xfId="196" applyFont="1" applyFill="1" applyBorder="1" applyAlignment="1" applyProtection="1">
      <alignment horizontal="center" vertical="center"/>
    </xf>
    <xf numFmtId="0" fontId="72" fillId="42" borderId="58" xfId="196" applyFont="1" applyFill="1" applyBorder="1" applyAlignment="1" applyProtection="1">
      <alignment horizontal="center" vertical="center"/>
    </xf>
    <xf numFmtId="0" fontId="72" fillId="35" borderId="0" xfId="196" applyFont="1" applyFill="1" applyBorder="1" applyAlignment="1" applyProtection="1">
      <alignment horizontal="center" vertical="center"/>
    </xf>
    <xf numFmtId="0" fontId="72" fillId="39" borderId="56" xfId="196" applyFont="1" applyFill="1" applyBorder="1" applyAlignment="1" applyProtection="1">
      <alignment horizontal="center" vertical="center"/>
    </xf>
    <xf numFmtId="174" fontId="70" fillId="42" borderId="59" xfId="222" applyNumberFormat="1" applyFont="1" applyFill="1" applyBorder="1" applyAlignment="1" applyProtection="1">
      <alignment vertical="center" wrapText="1"/>
    </xf>
    <xf numFmtId="174" fontId="69" fillId="39" borderId="56" xfId="222" applyNumberFormat="1" applyFont="1" applyFill="1" applyBorder="1" applyAlignment="1" applyProtection="1">
      <alignment vertical="center" wrapText="1"/>
    </xf>
    <xf numFmtId="174" fontId="69" fillId="39" borderId="0" xfId="222" applyNumberFormat="1" applyFont="1" applyFill="1" applyBorder="1" applyAlignment="1" applyProtection="1">
      <alignment vertical="center" wrapText="1"/>
    </xf>
    <xf numFmtId="0" fontId="68" fillId="40" borderId="0" xfId="222" applyFont="1" applyFill="1" applyBorder="1" applyAlignment="1" applyProtection="1">
      <alignment horizontal="left" vertical="center"/>
    </xf>
    <xf numFmtId="0" fontId="67" fillId="41" borderId="0" xfId="222" applyFont="1" applyFill="1" applyBorder="1" applyAlignment="1" applyProtection="1">
      <alignment horizontal="left" vertical="center"/>
    </xf>
    <xf numFmtId="0" fontId="70" fillId="42" borderId="0" xfId="222" applyFont="1" applyFill="1" applyBorder="1" applyAlignment="1" applyProtection="1">
      <alignment horizontal="left" vertical="center"/>
    </xf>
    <xf numFmtId="0" fontId="69" fillId="39" borderId="0" xfId="222" applyFont="1" applyFill="1" applyBorder="1" applyAlignment="1" applyProtection="1">
      <alignment horizontal="left" vertical="center"/>
    </xf>
    <xf numFmtId="0" fontId="41" fillId="43" borderId="0" xfId="222" applyFont="1" applyFill="1" applyBorder="1" applyAlignment="1" applyProtection="1">
      <alignment horizontal="left" vertical="center"/>
    </xf>
    <xf numFmtId="171" fontId="68" fillId="40" borderId="0" xfId="222" applyNumberFormat="1" applyFont="1" applyFill="1" applyBorder="1" applyAlignment="1" applyProtection="1">
      <alignment horizontal="left" vertical="center"/>
    </xf>
    <xf numFmtId="174" fontId="74" fillId="0" borderId="0" xfId="205" applyNumberFormat="1" applyFont="1" applyFill="1" applyBorder="1" applyAlignment="1" applyProtection="1">
      <alignment horizontal="right" vertical="center" indent="1"/>
    </xf>
    <xf numFmtId="9" fontId="75" fillId="32" borderId="52" xfId="0" applyNumberFormat="1" applyFont="1" applyFill="1" applyBorder="1" applyAlignment="1">
      <alignment horizontal="right" vertical="center" indent="1"/>
    </xf>
    <xf numFmtId="0" fontId="76" fillId="44" borderId="52" xfId="196" applyFont="1" applyFill="1" applyBorder="1" applyAlignment="1">
      <alignment horizontal="center" vertical="center"/>
    </xf>
    <xf numFmtId="174" fontId="70" fillId="40" borderId="0" xfId="222" applyNumberFormat="1" applyFont="1" applyFill="1" applyBorder="1" applyAlignment="1" applyProtection="1">
      <alignment vertical="center" wrapText="1"/>
    </xf>
    <xf numFmtId="174" fontId="76" fillId="40" borderId="0" xfId="196" applyNumberFormat="1" applyFont="1" applyFill="1" applyBorder="1" applyAlignment="1" applyProtection="1">
      <alignment horizontal="center" vertical="center"/>
    </xf>
    <xf numFmtId="174" fontId="67" fillId="40" borderId="0" xfId="222" applyNumberFormat="1" applyFont="1" applyFill="1" applyBorder="1" applyAlignment="1" applyProtection="1">
      <alignment vertical="center" wrapText="1"/>
    </xf>
    <xf numFmtId="174" fontId="3" fillId="0" borderId="0" xfId="0" applyNumberFormat="1" applyFont="1" applyProtection="1"/>
    <xf numFmtId="174" fontId="77" fillId="42" borderId="59" xfId="222" applyNumberFormat="1" applyFont="1" applyFill="1" applyBorder="1" applyAlignment="1" applyProtection="1">
      <alignment vertical="center" wrapText="1"/>
    </xf>
    <xf numFmtId="174" fontId="78" fillId="42" borderId="59" xfId="196" applyNumberFormat="1" applyFont="1" applyFill="1" applyBorder="1" applyAlignment="1" applyProtection="1">
      <alignment horizontal="center" vertical="center"/>
    </xf>
    <xf numFmtId="174" fontId="41" fillId="39" borderId="56" xfId="222" applyNumberFormat="1" applyFont="1" applyFill="1" applyBorder="1" applyAlignment="1" applyProtection="1">
      <alignment vertical="center" wrapText="1"/>
    </xf>
    <xf numFmtId="174" fontId="78" fillId="39" borderId="56" xfId="196" applyNumberFormat="1" applyFont="1" applyFill="1" applyBorder="1" applyAlignment="1" applyProtection="1">
      <alignment horizontal="center" vertical="center"/>
    </xf>
    <xf numFmtId="174" fontId="78" fillId="35" borderId="0" xfId="196" applyNumberFormat="1" applyFont="1" applyFill="1" applyBorder="1" applyAlignment="1" applyProtection="1">
      <alignment horizontal="center" vertical="center"/>
    </xf>
    <xf numFmtId="174" fontId="74" fillId="41" borderId="0" xfId="222" applyNumberFormat="1" applyFont="1" applyFill="1" applyBorder="1" applyAlignment="1" applyProtection="1">
      <alignment vertical="center" wrapText="1"/>
    </xf>
    <xf numFmtId="174" fontId="69" fillId="41" borderId="0" xfId="222" applyNumberFormat="1" applyFont="1" applyFill="1" applyBorder="1" applyAlignment="1" applyProtection="1">
      <alignment vertical="center" wrapText="1"/>
    </xf>
    <xf numFmtId="174" fontId="79" fillId="41" borderId="0" xfId="196" applyNumberFormat="1" applyFont="1" applyFill="1" applyBorder="1" applyAlignment="1" applyProtection="1">
      <alignment horizontal="center" vertical="center"/>
    </xf>
    <xf numFmtId="0" fontId="62" fillId="45" borderId="0" xfId="0" applyFont="1" applyFill="1" applyAlignment="1" applyProtection="1">
      <alignment vertical="center"/>
    </xf>
    <xf numFmtId="0" fontId="57" fillId="45" borderId="0" xfId="0" applyFont="1" applyFill="1" applyAlignment="1" applyProtection="1">
      <alignment vertical="center"/>
    </xf>
    <xf numFmtId="0" fontId="7" fillId="47" borderId="32" xfId="0" applyFont="1" applyFill="1" applyBorder="1" applyAlignment="1" applyProtection="1">
      <alignment horizontal="center" vertical="center" wrapText="1"/>
    </xf>
    <xf numFmtId="0" fontId="7" fillId="47" borderId="41" xfId="0" applyFont="1" applyFill="1" applyBorder="1" applyAlignment="1" applyProtection="1">
      <alignment horizontal="center" vertical="center" wrapText="1"/>
    </xf>
    <xf numFmtId="0" fontId="7" fillId="47" borderId="45" xfId="0" applyFont="1" applyFill="1" applyBorder="1" applyAlignment="1" applyProtection="1">
      <alignment horizontal="center" vertical="center" wrapText="1"/>
    </xf>
    <xf numFmtId="174" fontId="6" fillId="32" borderId="0" xfId="0" applyNumberFormat="1" applyFont="1" applyFill="1" applyBorder="1" applyAlignment="1">
      <alignment horizontal="right" vertical="center" indent="1"/>
    </xf>
    <xf numFmtId="0" fontId="4" fillId="0" borderId="60" xfId="205" applyFont="1" applyFill="1" applyBorder="1" applyAlignment="1" applyProtection="1">
      <alignment vertical="center"/>
    </xf>
    <xf numFmtId="0" fontId="9" fillId="0" borderId="60" xfId="196" applyFont="1" applyFill="1" applyBorder="1" applyAlignment="1" applyProtection="1">
      <alignment horizontal="center" vertical="center" wrapText="1"/>
    </xf>
    <xf numFmtId="0" fontId="7" fillId="0" borderId="60" xfId="0" applyFont="1" applyFill="1" applyBorder="1" applyAlignment="1" applyProtection="1">
      <alignment vertical="center" wrapText="1"/>
    </xf>
    <xf numFmtId="174" fontId="75" fillId="32" borderId="0" xfId="0" applyNumberFormat="1" applyFont="1" applyFill="1" applyBorder="1" applyAlignment="1">
      <alignment horizontal="right" vertical="center" indent="1"/>
    </xf>
    <xf numFmtId="0" fontId="45" fillId="30" borderId="14" xfId="0" applyFont="1" applyFill="1" applyBorder="1" applyAlignment="1" applyProtection="1">
      <alignment horizontal="left" vertical="center"/>
      <protection locked="0"/>
    </xf>
    <xf numFmtId="0" fontId="62" fillId="45" borderId="0" xfId="0" applyFont="1" applyFill="1" applyAlignment="1" applyProtection="1">
      <alignment horizontal="right" vertical="center"/>
    </xf>
    <xf numFmtId="0" fontId="80" fillId="0" borderId="60" xfId="0" applyFont="1" applyFill="1" applyBorder="1" applyAlignment="1" applyProtection="1">
      <alignment horizontal="left" vertical="center"/>
    </xf>
    <xf numFmtId="0" fontId="61" fillId="31" borderId="21" xfId="205" applyFont="1" applyFill="1" applyBorder="1" applyAlignment="1" applyProtection="1">
      <alignment horizontal="left" vertical="center"/>
      <protection locked="0"/>
    </xf>
    <xf numFmtId="0" fontId="61" fillId="31" borderId="0" xfId="205" applyFont="1" applyFill="1" applyBorder="1" applyAlignment="1" applyProtection="1">
      <alignment horizontal="left" vertical="center"/>
      <protection locked="0"/>
    </xf>
    <xf numFmtId="0" fontId="61" fillId="31" borderId="38" xfId="205" applyFont="1" applyFill="1" applyBorder="1" applyAlignment="1" applyProtection="1">
      <alignment horizontal="left" vertical="center"/>
      <protection locked="0"/>
    </xf>
    <xf numFmtId="0" fontId="61" fillId="31" borderId="35" xfId="205" applyFont="1" applyFill="1" applyBorder="1" applyAlignment="1" applyProtection="1">
      <alignment horizontal="left" vertical="center"/>
      <protection locked="0"/>
    </xf>
    <xf numFmtId="0" fontId="61" fillId="31" borderId="36" xfId="205" applyFont="1" applyFill="1" applyBorder="1" applyAlignment="1" applyProtection="1">
      <alignment horizontal="left" vertical="center"/>
      <protection locked="0"/>
    </xf>
    <xf numFmtId="0" fontId="61" fillId="31" borderId="37" xfId="205" applyFont="1" applyFill="1" applyBorder="1" applyAlignment="1" applyProtection="1">
      <alignment horizontal="left" vertical="center"/>
      <protection locked="0"/>
    </xf>
    <xf numFmtId="0" fontId="62" fillId="45" borderId="0" xfId="0" applyFont="1" applyFill="1" applyAlignment="1" applyProtection="1">
      <alignment horizontal="center" vertical="center"/>
    </xf>
    <xf numFmtId="0" fontId="58" fillId="0" borderId="47" xfId="0" applyFont="1" applyBorder="1" applyAlignment="1" applyProtection="1">
      <alignment horizontal="center"/>
    </xf>
    <xf numFmtId="0" fontId="58" fillId="0" borderId="48" xfId="0" applyFont="1" applyBorder="1" applyAlignment="1" applyProtection="1">
      <alignment horizontal="center"/>
    </xf>
    <xf numFmtId="0" fontId="58" fillId="0" borderId="49" xfId="0" applyFont="1" applyBorder="1" applyAlignment="1" applyProtection="1">
      <alignment horizontal="center"/>
    </xf>
    <xf numFmtId="0" fontId="40" fillId="46" borderId="0" xfId="0" applyFont="1" applyFill="1" applyBorder="1" applyAlignment="1" applyProtection="1">
      <alignment horizontal="center" vertical="center" wrapText="1"/>
    </xf>
    <xf numFmtId="0" fontId="40" fillId="46" borderId="29" xfId="0" applyFont="1" applyFill="1" applyBorder="1" applyAlignment="1" applyProtection="1">
      <alignment horizontal="center" vertical="center" wrapText="1"/>
    </xf>
    <xf numFmtId="0" fontId="40" fillId="0" borderId="0" xfId="0" applyFont="1" applyFill="1" applyBorder="1" applyAlignment="1" applyProtection="1">
      <alignment horizontal="center" vertical="center" wrapText="1"/>
    </xf>
    <xf numFmtId="0" fontId="6" fillId="32" borderId="0" xfId="0" applyFont="1" applyFill="1" applyBorder="1" applyAlignment="1">
      <alignment horizontal="left" vertical="center"/>
    </xf>
    <xf numFmtId="0" fontId="61" fillId="31" borderId="39" xfId="205" applyFont="1" applyFill="1" applyBorder="1" applyAlignment="1" applyProtection="1">
      <alignment horizontal="left" vertical="center"/>
      <protection locked="0"/>
    </xf>
    <xf numFmtId="0" fontId="61" fillId="31" borderId="34" xfId="205" applyFont="1" applyFill="1" applyBorder="1" applyAlignment="1" applyProtection="1">
      <alignment horizontal="left" vertical="center"/>
      <protection locked="0"/>
    </xf>
    <xf numFmtId="0" fontId="61" fillId="31" borderId="40" xfId="205" applyFont="1" applyFill="1" applyBorder="1" applyAlignment="1" applyProtection="1">
      <alignment horizontal="left" vertical="center"/>
      <protection locked="0"/>
    </xf>
    <xf numFmtId="0" fontId="7" fillId="47" borderId="31" xfId="0" applyFont="1" applyFill="1" applyBorder="1" applyAlignment="1" applyProtection="1">
      <alignment horizontal="center" vertical="center" wrapText="1"/>
    </xf>
    <xf numFmtId="0" fontId="7" fillId="47" borderId="30" xfId="0" applyFont="1" applyFill="1" applyBorder="1" applyAlignment="1" applyProtection="1">
      <alignment horizontal="center" vertical="center" wrapText="1"/>
    </xf>
    <xf numFmtId="0" fontId="7" fillId="47" borderId="46" xfId="0" applyFont="1" applyFill="1" applyBorder="1" applyAlignment="1" applyProtection="1">
      <alignment horizontal="center" vertical="center" wrapText="1"/>
    </xf>
    <xf numFmtId="0" fontId="73" fillId="48" borderId="0" xfId="0" applyFont="1" applyFill="1" applyAlignment="1" applyProtection="1">
      <alignment horizontal="right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30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7F8399"/>
      <color rgb="FF6F7072"/>
      <color rgb="FF3F1260"/>
      <color rgb="FFEAEAEA"/>
      <color rgb="FFDDDDDD"/>
      <color rgb="FF7E408F"/>
      <color rgb="FFFF5353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15</xdr:row>
      <xdr:rowOff>142875</xdr:rowOff>
    </xdr:from>
    <xdr:to>
      <xdr:col>5</xdr:col>
      <xdr:colOff>2905125</xdr:colOff>
      <xdr:row>17</xdr:row>
      <xdr:rowOff>57150</xdr:rowOff>
    </xdr:to>
    <xdr:sp macro="" textlink="">
      <xdr:nvSpPr>
        <xdr:cNvPr id="10" name="SaveData_Input_PL" hidden="1">
          <a:extLst>
            <a:ext uri="{63B3BB69-23CF-44E3-9099-C40C66FF867C}">
              <a14:compatExt xmlns:a14="http://schemas.microsoft.com/office/drawing/2010/main" spid="_x0000_s16079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85725</xdr:rowOff>
        </xdr:from>
        <xdr:to>
          <xdr:col>5</xdr:col>
          <xdr:colOff>2295525</xdr:colOff>
          <xdr:row>17</xdr:row>
          <xdr:rowOff>47625</xdr:rowOff>
        </xdr:to>
        <xdr:sp macro="" textlink="">
          <xdr:nvSpPr>
            <xdr:cNvPr id="160787" name="Refresh_Report" hidden="1">
              <a:extLst>
                <a:ext uri="{63B3BB69-23CF-44E3-9099-C40C66FF867C}">
                  <a14:compatExt spid="_x0000_s160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15</xdr:col>
      <xdr:colOff>271895</xdr:colOff>
      <xdr:row>18</xdr:row>
      <xdr:rowOff>116032</xdr:rowOff>
    </xdr:from>
    <xdr:to>
      <xdr:col>15</xdr:col>
      <xdr:colOff>1066733</xdr:colOff>
      <xdr:row>19</xdr:row>
      <xdr:rowOff>371677</xdr:rowOff>
    </xdr:to>
    <xdr:pic>
      <xdr:nvPicPr>
        <xdr:cNvPr id="14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8304" y="808759"/>
          <a:ext cx="794838" cy="7751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2645646</xdr:colOff>
      <xdr:row>20</xdr:row>
      <xdr:rowOff>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91" y="692727"/>
          <a:ext cx="2645646" cy="9005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G31"/>
  <sheetViews>
    <sheetView workbookViewId="0"/>
  </sheetViews>
  <sheetFormatPr baseColWidth="10" defaultColWidth="9.140625" defaultRowHeight="12.75" x14ac:dyDescent="0.2"/>
  <cols>
    <col min="1" max="1" width="38.28515625" style="8" bestFit="1" customWidth="1"/>
    <col min="2" max="2" width="17.85546875" style="8" bestFit="1" customWidth="1"/>
    <col min="3" max="3" width="9.140625" style="8"/>
    <col min="4" max="4" width="27.7109375" style="8" customWidth="1"/>
    <col min="5" max="16384" width="9.140625" style="8"/>
  </cols>
  <sheetData>
    <row r="1" spans="1:7" ht="18" x14ac:dyDescent="0.25">
      <c r="A1" s="6" t="s">
        <v>77</v>
      </c>
      <c r="B1" s="7"/>
    </row>
    <row r="2" spans="1:7" x14ac:dyDescent="0.2">
      <c r="A2" s="7"/>
      <c r="B2" s="7"/>
    </row>
    <row r="3" spans="1:7" ht="15.75" x14ac:dyDescent="0.25">
      <c r="A3" s="9" t="s">
        <v>5</v>
      </c>
      <c r="B3" s="7"/>
    </row>
    <row r="4" spans="1:7" x14ac:dyDescent="0.2">
      <c r="A4" s="10" t="s">
        <v>4</v>
      </c>
      <c r="B4" s="11" t="s">
        <v>104</v>
      </c>
    </row>
    <row r="5" spans="1:7" x14ac:dyDescent="0.2">
      <c r="A5" s="10" t="s">
        <v>7</v>
      </c>
      <c r="B5" s="12" t="str">
        <f>LEFT(Server,LEN(Server)-1)</f>
        <v>tango_core_model</v>
      </c>
    </row>
    <row r="6" spans="1:7" x14ac:dyDescent="0.2">
      <c r="A6" s="10" t="s">
        <v>3</v>
      </c>
      <c r="B6" s="12" t="s">
        <v>105</v>
      </c>
    </row>
    <row r="7" spans="1:7" x14ac:dyDescent="0.2">
      <c r="A7" s="10" t="s">
        <v>18</v>
      </c>
      <c r="B7" s="12">
        <v>0</v>
      </c>
    </row>
    <row r="8" spans="1:7" x14ac:dyDescent="0.2">
      <c r="A8" s="10" t="s">
        <v>34</v>
      </c>
      <c r="B8" s="12">
        <v>0</v>
      </c>
    </row>
    <row r="10" spans="1:7" ht="15.75" x14ac:dyDescent="0.25">
      <c r="A10" s="9" t="s">
        <v>6</v>
      </c>
    </row>
    <row r="11" spans="1:7" ht="13.5" customHeight="1" x14ac:dyDescent="0.2">
      <c r="A11" s="10" t="s">
        <v>14</v>
      </c>
      <c r="B11" s="12" t="s">
        <v>44</v>
      </c>
    </row>
    <row r="12" spans="1:7" ht="13.5" customHeight="1" x14ac:dyDescent="0.2">
      <c r="A12" s="10" t="s">
        <v>15</v>
      </c>
      <c r="B12" s="12" t="s">
        <v>59</v>
      </c>
      <c r="C12" s="89" t="s">
        <v>60</v>
      </c>
      <c r="D12" s="89" t="s">
        <v>61</v>
      </c>
      <c r="E12" s="89" t="s">
        <v>61</v>
      </c>
      <c r="F12" s="89" t="s">
        <v>62</v>
      </c>
      <c r="G12" s="89"/>
    </row>
    <row r="13" spans="1:7" x14ac:dyDescent="0.2">
      <c r="A13" s="10" t="s">
        <v>9</v>
      </c>
      <c r="B13" s="12" t="str">
        <f ca="1">_xll.DBR(Server&amp;"z_Admin_Param","MONTH_CORPORATE","STR_VAR1")</f>
        <v>2013.03</v>
      </c>
      <c r="C13" s="90" t="str">
        <f ca="1">RIGHT($B$13,2)</f>
        <v>03</v>
      </c>
      <c r="D13" s="91">
        <f ca="1">IF($C$13="01","1",$C$13-1)</f>
        <v>2</v>
      </c>
      <c r="E13" s="8" t="str">
        <f ca="1">IF(OR($D$13= 10,$D$13= 11,$D$13= 12),$D$13,"0"&amp;D13)</f>
        <v>02</v>
      </c>
      <c r="F13" s="8" t="str">
        <f ca="1">LEFT($B$13,5)&amp;$E$13&amp;"_YTD"</f>
        <v>2013.02_YTD</v>
      </c>
    </row>
    <row r="14" spans="1:7" x14ac:dyDescent="0.2">
      <c r="A14" s="10" t="s">
        <v>19</v>
      </c>
      <c r="B14" s="12" t="str">
        <f ca="1">_xll.DBR(Server&amp;"z_Admin_Param","BUDGET_VERSION_BUDGET_FORECAST","STR_VAR1")</f>
        <v>VC</v>
      </c>
    </row>
    <row r="15" spans="1:7" x14ac:dyDescent="0.2">
      <c r="A15" s="10" t="s">
        <v>20</v>
      </c>
      <c r="B15" s="12" t="str">
        <f ca="1">_xll.DBR(Server&amp;"z_Admin_Param","FORECAST_1_VERSION_BUDGET_FORECAST","STR_VAR1")</f>
        <v>VC</v>
      </c>
    </row>
    <row r="16" spans="1:7" x14ac:dyDescent="0.2">
      <c r="A16" s="10" t="s">
        <v>40</v>
      </c>
      <c r="B16" s="12" t="str">
        <f ca="1">_xll.DBR(Server&amp;"z_Admin_Param","FORECAST_2_VERSION_BUDGET_FORECAST","STR_VAR1")</f>
        <v>VC</v>
      </c>
    </row>
    <row r="17" spans="1:6" x14ac:dyDescent="0.2">
      <c r="A17" s="10" t="s">
        <v>2</v>
      </c>
      <c r="B17" s="13" t="str">
        <f ca="1">_xll.DBR(Server&amp;"z_Client_Properties","Language",_xll.TM1USER(xServer))</f>
        <v>English</v>
      </c>
      <c r="C17" s="8" t="str">
        <f ca="1">IF(LocalLanguage="French","Français",LocalLanguage)</f>
        <v>English</v>
      </c>
    </row>
    <row r="18" spans="1:6" x14ac:dyDescent="0.2">
      <c r="A18" s="189" t="s">
        <v>28</v>
      </c>
      <c r="B18" s="25" t="s">
        <v>1</v>
      </c>
    </row>
    <row r="19" spans="1:6" x14ac:dyDescent="0.2">
      <c r="A19" s="189"/>
      <c r="B19" s="25" t="s">
        <v>45</v>
      </c>
    </row>
    <row r="20" spans="1:6" x14ac:dyDescent="0.2">
      <c r="A20" s="189"/>
      <c r="B20" s="25" t="s">
        <v>11</v>
      </c>
    </row>
    <row r="21" spans="1:6" x14ac:dyDescent="0.2">
      <c r="A21" s="189"/>
      <c r="B21" s="25" t="s">
        <v>12</v>
      </c>
    </row>
    <row r="22" spans="1:6" x14ac:dyDescent="0.2">
      <c r="A22" s="189"/>
      <c r="B22" s="25" t="s">
        <v>13</v>
      </c>
    </row>
    <row r="23" spans="1:6" x14ac:dyDescent="0.2">
      <c r="A23" s="189" t="s">
        <v>29</v>
      </c>
      <c r="B23" s="25" t="s">
        <v>25</v>
      </c>
    </row>
    <row r="24" spans="1:6" x14ac:dyDescent="0.2">
      <c r="A24" s="189"/>
      <c r="B24" s="25" t="s">
        <v>26</v>
      </c>
    </row>
    <row r="25" spans="1:6" x14ac:dyDescent="0.2">
      <c r="A25" s="189"/>
      <c r="B25" s="25" t="s">
        <v>27</v>
      </c>
    </row>
    <row r="27" spans="1:6" ht="15.75" x14ac:dyDescent="0.25">
      <c r="A27" s="9" t="s">
        <v>21</v>
      </c>
      <c r="F27" s="8" t="s">
        <v>8</v>
      </c>
    </row>
    <row r="28" spans="1:6" ht="13.5" customHeight="1" x14ac:dyDescent="0.25">
      <c r="A28" s="8" t="s">
        <v>22</v>
      </c>
      <c r="B28" s="22"/>
    </row>
    <row r="29" spans="1:6" x14ac:dyDescent="0.2">
      <c r="A29" s="8" t="s">
        <v>23</v>
      </c>
      <c r="B29" s="23"/>
    </row>
    <row r="30" spans="1:6" x14ac:dyDescent="0.2">
      <c r="A30" s="8" t="s">
        <v>24</v>
      </c>
      <c r="B30" s="24"/>
    </row>
    <row r="31" spans="1:6" x14ac:dyDescent="0.2">
      <c r="A31" s="8" t="s">
        <v>43</v>
      </c>
      <c r="B31" s="47"/>
    </row>
  </sheetData>
  <sheetProtection sheet="1" objects="1" scenarios="1" formatColumns="0" formatRows="0"/>
  <mergeCells count="2">
    <mergeCell ref="A18:A22"/>
    <mergeCell ref="A23:A25"/>
  </mergeCells>
  <phoneticPr fontId="4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36"/>
  </sheetPr>
  <dimension ref="A1:AU157"/>
  <sheetViews>
    <sheetView showGridLines="0" tabSelected="1" topLeftCell="E16" zoomScale="55" zoomScaleNormal="55" zoomScaleSheetLayoutView="70" workbookViewId="0">
      <selection activeCell="J24" sqref="J24"/>
    </sheetView>
  </sheetViews>
  <sheetFormatPr baseColWidth="10" defaultColWidth="11.42578125" defaultRowHeight="18" customHeight="1" outlineLevelRow="1" x14ac:dyDescent="0.2"/>
  <cols>
    <col min="1" max="1" width="20.42578125" style="1" hidden="1" customWidth="1"/>
    <col min="2" max="2" width="8.140625" style="14" hidden="1" customWidth="1"/>
    <col min="3" max="3" width="25.140625" style="14" hidden="1" customWidth="1"/>
    <col min="4" max="4" width="29" style="14" hidden="1" customWidth="1"/>
    <col min="5" max="5" width="4.140625" style="26" customWidth="1"/>
    <col min="6" max="6" width="55" style="14" customWidth="1"/>
    <col min="7" max="7" width="28.7109375" style="26" customWidth="1"/>
    <col min="8" max="8" width="5.42578125" style="26" customWidth="1"/>
    <col min="9" max="11" width="19.7109375" style="26" customWidth="1"/>
    <col min="12" max="12" width="2.7109375" style="26" customWidth="1"/>
    <col min="13" max="13" width="18.7109375" style="26" customWidth="1"/>
    <col min="14" max="15" width="15.42578125" style="26" hidden="1" customWidth="1"/>
    <col min="16" max="16" width="18.7109375" style="26" customWidth="1"/>
    <col min="17" max="18" width="15.42578125" style="26" hidden="1" customWidth="1"/>
    <col min="19" max="19" width="2.7109375" style="26" customWidth="1"/>
    <col min="20" max="20" width="22.7109375" style="2" hidden="1" customWidth="1"/>
    <col min="21" max="21" width="12.85546875" style="2" hidden="1" customWidth="1"/>
    <col min="22" max="22" width="20.85546875" style="2" hidden="1" customWidth="1"/>
    <col min="23" max="23" width="14.28515625" style="14" hidden="1" customWidth="1"/>
    <col min="24" max="24" width="6.42578125" style="14" hidden="1" customWidth="1"/>
    <col min="25" max="29" width="9" style="14" hidden="1" customWidth="1"/>
    <col min="30" max="30" width="25.140625" style="14" hidden="1" customWidth="1"/>
    <col min="31" max="31" width="18.140625" style="14" hidden="1" customWidth="1"/>
    <col min="32" max="32" width="19.85546875" style="14" hidden="1" customWidth="1"/>
    <col min="33" max="33" width="18.85546875" style="14" hidden="1" customWidth="1"/>
    <col min="34" max="34" width="16.28515625" style="14" hidden="1" customWidth="1"/>
    <col min="35" max="35" width="6.140625" style="14" hidden="1" customWidth="1"/>
    <col min="36" max="36" width="6.5703125" style="14" hidden="1" customWidth="1"/>
    <col min="37" max="43" width="6.5703125" style="1" hidden="1" customWidth="1"/>
    <col min="44" max="45" width="6.42578125" style="1" hidden="1" customWidth="1"/>
    <col min="46" max="51" width="11.42578125" style="1" customWidth="1"/>
    <col min="52" max="16384" width="11.42578125" style="1"/>
  </cols>
  <sheetData>
    <row r="1" spans="1:35" customFormat="1" ht="18" hidden="1" customHeight="1" x14ac:dyDescent="0.2">
      <c r="A1" t="s">
        <v>54</v>
      </c>
      <c r="T1" s="73"/>
      <c r="U1" s="73"/>
      <c r="V1" s="73"/>
    </row>
    <row r="2" spans="1:35" customFormat="1" ht="30" hidden="1" customHeight="1" x14ac:dyDescent="0.2">
      <c r="A2">
        <f>0</f>
        <v>0</v>
      </c>
      <c r="F2" s="158"/>
      <c r="G2" s="138"/>
      <c r="H2" s="102"/>
      <c r="I2" s="169"/>
      <c r="J2" s="169"/>
      <c r="K2" s="169"/>
      <c r="L2" s="147"/>
      <c r="M2" s="167"/>
      <c r="N2" s="167"/>
      <c r="O2" s="168"/>
      <c r="P2" s="167"/>
      <c r="Q2" s="140"/>
      <c r="R2" s="150"/>
      <c r="S2" s="105"/>
      <c r="T2" s="71"/>
      <c r="U2" s="71"/>
      <c r="V2" s="70"/>
    </row>
    <row r="3" spans="1:35" customFormat="1" ht="30" hidden="1" customHeight="1" x14ac:dyDescent="0.2">
      <c r="A3">
        <f>1</f>
        <v>1</v>
      </c>
      <c r="F3" s="159"/>
      <c r="G3" s="133"/>
      <c r="H3" s="102"/>
      <c r="I3" s="176"/>
      <c r="J3" s="176"/>
      <c r="K3" s="176"/>
      <c r="L3" s="147"/>
      <c r="M3" s="177"/>
      <c r="N3" s="177"/>
      <c r="O3" s="178"/>
      <c r="P3" s="177"/>
      <c r="Q3" s="141"/>
      <c r="R3" s="151"/>
      <c r="S3" s="105"/>
      <c r="T3" s="71"/>
      <c r="U3" s="71"/>
      <c r="V3" s="70"/>
    </row>
    <row r="4" spans="1:35" customFormat="1" ht="30" hidden="1" customHeight="1" x14ac:dyDescent="0.2">
      <c r="A4">
        <f>2</f>
        <v>2</v>
      </c>
      <c r="F4" s="160"/>
      <c r="G4" s="134"/>
      <c r="H4" s="102"/>
      <c r="I4" s="155"/>
      <c r="J4" s="155"/>
      <c r="K4" s="155"/>
      <c r="L4" s="170"/>
      <c r="M4" s="171"/>
      <c r="N4" s="171"/>
      <c r="O4" s="172"/>
      <c r="P4" s="171"/>
      <c r="Q4" s="142"/>
      <c r="R4" s="152"/>
      <c r="S4" s="105"/>
      <c r="T4" s="71"/>
      <c r="U4" s="71"/>
      <c r="V4" s="70"/>
    </row>
    <row r="5" spans="1:35" customFormat="1" ht="30" hidden="1" customHeight="1" x14ac:dyDescent="0.2">
      <c r="A5">
        <f>3</f>
        <v>3</v>
      </c>
      <c r="F5" s="161"/>
      <c r="G5" s="135"/>
      <c r="H5" s="102"/>
      <c r="I5" s="156"/>
      <c r="J5" s="156"/>
      <c r="K5" s="157"/>
      <c r="L5" s="147"/>
      <c r="M5" s="173"/>
      <c r="N5" s="173"/>
      <c r="O5" s="174"/>
      <c r="P5" s="173"/>
      <c r="Q5" s="143"/>
      <c r="R5" s="154"/>
      <c r="S5" s="105"/>
      <c r="T5" s="71"/>
      <c r="U5" s="71"/>
      <c r="V5" s="70"/>
    </row>
    <row r="6" spans="1:35" customFormat="1" ht="30" hidden="1" customHeight="1" x14ac:dyDescent="0.2">
      <c r="A6" t="s">
        <v>52</v>
      </c>
      <c r="F6" s="162"/>
      <c r="G6" s="136"/>
      <c r="H6" s="102"/>
      <c r="I6" s="145"/>
      <c r="J6" s="145"/>
      <c r="K6" s="144"/>
      <c r="L6" s="148"/>
      <c r="M6" s="145"/>
      <c r="N6" s="145"/>
      <c r="O6" s="175"/>
      <c r="P6" s="145"/>
      <c r="Q6" s="146"/>
      <c r="R6" s="153"/>
      <c r="S6" s="105"/>
      <c r="T6" s="71"/>
      <c r="U6" s="71"/>
      <c r="V6" s="70"/>
    </row>
    <row r="7" spans="1:35" customFormat="1" ht="30" hidden="1" customHeight="1" x14ac:dyDescent="0.2">
      <c r="A7" t="s">
        <v>53</v>
      </c>
      <c r="F7" s="162"/>
      <c r="G7" s="136"/>
      <c r="H7" s="102"/>
      <c r="I7" s="145"/>
      <c r="J7" s="145"/>
      <c r="K7" s="144"/>
      <c r="L7" s="149"/>
      <c r="M7" s="145"/>
      <c r="N7" s="145"/>
      <c r="O7" s="175"/>
      <c r="P7" s="145"/>
      <c r="Q7" s="146"/>
      <c r="R7" s="153"/>
      <c r="S7" s="105"/>
      <c r="T7" s="71"/>
      <c r="U7" s="71"/>
      <c r="V7" s="74"/>
    </row>
    <row r="8" spans="1:35" customFormat="1" ht="18" hidden="1" customHeight="1" x14ac:dyDescent="0.2">
      <c r="A8" t="s">
        <v>55</v>
      </c>
      <c r="Q8" s="130"/>
      <c r="T8" s="73"/>
      <c r="U8" s="73"/>
      <c r="V8" s="73"/>
    </row>
    <row r="9" spans="1:35" customFormat="1" ht="18" hidden="1" customHeight="1" x14ac:dyDescent="0.2">
      <c r="T9" s="73"/>
      <c r="U9" s="73"/>
      <c r="V9" s="73"/>
    </row>
    <row r="10" spans="1:35" customFormat="1" ht="18" hidden="1" customHeight="1" x14ac:dyDescent="0.2">
      <c r="T10" s="73"/>
      <c r="U10" s="73"/>
      <c r="V10" s="73"/>
    </row>
    <row r="11" spans="1:35" ht="22.5" hidden="1" customHeight="1" x14ac:dyDescent="0.25">
      <c r="B11" s="32"/>
      <c r="C11" s="32"/>
      <c r="D11" s="32"/>
      <c r="E11" s="32"/>
      <c r="F11" s="22"/>
      <c r="G11" s="22" t="s">
        <v>79</v>
      </c>
      <c r="H11" s="45" t="s">
        <v>0</v>
      </c>
      <c r="I11" s="53" t="s">
        <v>57</v>
      </c>
      <c r="J11" s="54" t="str">
        <f ca="1">IF($G$29=$AG$22,"BUDG_TOT",IF($G$29=$AG$23,"FC_2_TOT",IF($G$29=$AG$24,"BUDG_TOT","FC_1_TOT")))</f>
        <v>BUDG_TOT</v>
      </c>
      <c r="K11" s="54" t="str">
        <f ca="1">IF($G$29=$AG$22,"ACT_TOT",IF($G$29=$AG$23,"BUDG_TOT",IF($G$29=$AG$24,"FC_1_TOT","FC_2_TOT")))</f>
        <v>ACT_TOT</v>
      </c>
      <c r="L11" s="46"/>
      <c r="M11" s="101" t="s">
        <v>75</v>
      </c>
      <c r="N11" s="101"/>
      <c r="O11" s="78" t="s">
        <v>78</v>
      </c>
      <c r="P11" s="46"/>
      <c r="Q11" s="46"/>
      <c r="R11" s="46"/>
      <c r="S11" s="46"/>
      <c r="T11" s="72"/>
      <c r="U11" s="72"/>
    </row>
    <row r="12" spans="1:35" ht="22.5" hidden="1" customHeight="1" x14ac:dyDescent="0.25">
      <c r="B12" s="32"/>
      <c r="C12" s="32"/>
      <c r="D12" s="32"/>
      <c r="E12" s="32"/>
      <c r="F12" s="32"/>
      <c r="G12" s="41"/>
      <c r="H12" s="42" t="s">
        <v>42</v>
      </c>
      <c r="I12" s="43" t="str">
        <f ca="1">_xll.DBRA(Server&amp;$H$12,$H$13,"Prior Year")</f>
        <v>2011</v>
      </c>
      <c r="J12" s="43" t="str">
        <f ca="1">IF($G$29=$AG$23,$I$12,$H$13)</f>
        <v>2012</v>
      </c>
      <c r="K12" s="43" t="str">
        <f ca="1">$H$13</f>
        <v>2012</v>
      </c>
      <c r="L12" s="32"/>
      <c r="M12" s="114" t="s">
        <v>94</v>
      </c>
      <c r="N12" s="43"/>
      <c r="O12" s="43" t="str">
        <f ca="1">$I$14</f>
        <v>Tot_Eff</v>
      </c>
      <c r="P12" s="43"/>
      <c r="Q12" s="43"/>
      <c r="R12" s="43"/>
      <c r="S12" s="43"/>
      <c r="T12" s="64"/>
      <c r="U12" s="64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</row>
    <row r="13" spans="1:35" ht="22.5" hidden="1" customHeight="1" x14ac:dyDescent="0.2">
      <c r="B13" s="32"/>
      <c r="C13" s="32"/>
      <c r="D13" s="32"/>
      <c r="E13" s="32"/>
      <c r="F13" s="32"/>
      <c r="G13" s="32"/>
      <c r="H13" s="55" t="str">
        <f ca="1">_xll.SUBNM(Server&amp;"Period","",$G$25,"")</f>
        <v>2012</v>
      </c>
      <c r="I13" s="40"/>
      <c r="J13" s="40"/>
      <c r="K13" s="40"/>
      <c r="L13" s="32"/>
      <c r="M13" s="32"/>
      <c r="N13" s="32"/>
      <c r="O13" s="32"/>
      <c r="P13" s="32"/>
      <c r="Q13" s="32"/>
      <c r="R13" s="32"/>
      <c r="S13" s="32"/>
      <c r="T13" s="62"/>
      <c r="U13" s="6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</row>
    <row r="14" spans="1:35" ht="22.5" hidden="1" customHeight="1" x14ac:dyDescent="0.25">
      <c r="B14" s="32"/>
      <c r="C14" s="32"/>
      <c r="D14" s="32"/>
      <c r="E14" s="32"/>
      <c r="F14" s="40"/>
      <c r="G14" s="40"/>
      <c r="H14" s="59" t="s">
        <v>50</v>
      </c>
      <c r="I14" s="92" t="str">
        <f ca="1">IF($G$27=$AE$22,$AD$30,IF($G$27=$AE$25,$AD$31,IF($G$27=$AE$26,$AD$33,IF($G$27=$AE$27,$AD$34,IF($G$27=$AE$28,$AD$35,IF($G$27=$AE$29,$AD$36,""))))))</f>
        <v>Tot_Eff</v>
      </c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62"/>
      <c r="U14" s="6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</row>
    <row r="15" spans="1:35" ht="22.5" hidden="1" customHeight="1" thickBot="1" x14ac:dyDescent="0.25">
      <c r="B15" s="32"/>
      <c r="C15" s="32"/>
      <c r="D15" s="32"/>
      <c r="E15" s="68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62"/>
      <c r="U15" s="62"/>
      <c r="V15" s="6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</row>
    <row r="16" spans="1:35" ht="19.5" customHeight="1" x14ac:dyDescent="0.2">
      <c r="B16" s="32"/>
      <c r="C16" s="32"/>
      <c r="D16" s="33"/>
      <c r="E16" s="62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62"/>
      <c r="U16" s="62"/>
      <c r="V16" s="62"/>
    </row>
    <row r="17" spans="2:44" ht="18" customHeight="1" x14ac:dyDescent="0.2">
      <c r="B17" s="32"/>
      <c r="C17" s="32"/>
      <c r="D17" s="33"/>
      <c r="E17" s="62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62"/>
      <c r="U17" s="62"/>
      <c r="V17" s="62"/>
    </row>
    <row r="18" spans="2:44" ht="18" customHeight="1" x14ac:dyDescent="0.25">
      <c r="B18" s="32"/>
      <c r="C18" s="57" t="s">
        <v>58</v>
      </c>
      <c r="D18" s="34"/>
      <c r="E18" s="6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AF18" s="49" t="s">
        <v>56</v>
      </c>
      <c r="AG18" s="14" t="str">
        <f>IF($G$24="Français","French","English")</f>
        <v>French</v>
      </c>
    </row>
    <row r="19" spans="2:44" ht="41.25" customHeight="1" x14ac:dyDescent="0.25">
      <c r="B19" s="32"/>
      <c r="C19" s="56" t="s">
        <v>51</v>
      </c>
      <c r="D19" s="58" t="s">
        <v>69</v>
      </c>
      <c r="E19" s="63"/>
      <c r="F19" s="212" t="str">
        <f ca="1">_xll.DBRA(Server&amp;$AD$21,$AD$37,$AG$18)</f>
        <v>Suivi des variations d'effectifs et d'ETP</v>
      </c>
      <c r="G19" s="212"/>
      <c r="H19" s="212"/>
      <c r="I19" s="212"/>
      <c r="J19" s="212"/>
      <c r="K19" s="212"/>
      <c r="L19" s="198" t="str">
        <f ca="1">_xll.DBRA(Server&amp;$AD$21,$AD$43,$AG$18)</f>
        <v>Restitution</v>
      </c>
      <c r="M19" s="198"/>
      <c r="N19" s="179"/>
      <c r="O19" s="179"/>
      <c r="P19" s="179"/>
      <c r="Q19" s="179"/>
      <c r="R19" s="190"/>
      <c r="S19" s="180"/>
      <c r="T19" s="75"/>
      <c r="U19" s="75"/>
      <c r="V19" s="75"/>
      <c r="AF19" s="26"/>
    </row>
    <row r="20" spans="2:44" ht="30" customHeight="1" thickBot="1" x14ac:dyDescent="0.3">
      <c r="B20" s="32"/>
      <c r="C20" s="56" t="s">
        <v>48</v>
      </c>
      <c r="D20" s="58" t="s">
        <v>70</v>
      </c>
      <c r="E20" s="63"/>
      <c r="F20" s="212"/>
      <c r="G20" s="212"/>
      <c r="H20" s="212"/>
      <c r="I20" s="212"/>
      <c r="J20" s="212"/>
      <c r="K20" s="212"/>
      <c r="L20" s="198"/>
      <c r="M20" s="198"/>
      <c r="N20" s="179"/>
      <c r="O20" s="179"/>
      <c r="P20" s="179"/>
      <c r="Q20" s="179"/>
      <c r="R20" s="190"/>
      <c r="S20" s="180"/>
      <c r="T20" s="75"/>
      <c r="U20" s="75"/>
      <c r="V20" s="75"/>
      <c r="AF20" s="26"/>
    </row>
    <row r="21" spans="2:44" ht="30" customHeight="1" thickBot="1" x14ac:dyDescent="0.3">
      <c r="B21" s="32"/>
      <c r="C21" s="56" t="s">
        <v>47</v>
      </c>
      <c r="D21" s="58" t="s">
        <v>92</v>
      </c>
      <c r="E21" s="63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AD21" s="31" t="s">
        <v>38</v>
      </c>
      <c r="AE21" s="111" t="s">
        <v>41</v>
      </c>
      <c r="AF21" s="111" t="s">
        <v>100</v>
      </c>
      <c r="AG21" s="111" t="s">
        <v>98</v>
      </c>
    </row>
    <row r="22" spans="2:44" ht="30" customHeight="1" thickBot="1" x14ac:dyDescent="0.3">
      <c r="B22" s="32"/>
      <c r="C22" s="56" t="s">
        <v>16</v>
      </c>
      <c r="D22" s="58" t="s">
        <v>81</v>
      </c>
      <c r="E22" s="63"/>
      <c r="F22" s="18" t="str">
        <f ca="1">_xll.DBRA(Server&amp;$AD$21,$AD$22,$AG$18)</f>
        <v>Sélection du contexte</v>
      </c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AD22" s="106" t="s">
        <v>35</v>
      </c>
      <c r="AE22" s="119" t="str">
        <f ca="1">_xll.DBRA(Server&amp;$AD$21,$AD30,$AG$18)</f>
        <v>Effectifs total</v>
      </c>
      <c r="AF22" s="118" t="s">
        <v>0</v>
      </c>
      <c r="AG22" s="121" t="str">
        <f ca="1">_xll.DBRA(Server&amp;$AD$21,$AF25,$AG$18)</f>
        <v>Réalisé</v>
      </c>
    </row>
    <row r="23" spans="2:44" ht="30" customHeight="1" outlineLevel="1" thickBot="1" x14ac:dyDescent="0.3">
      <c r="B23" s="32"/>
      <c r="C23" s="56"/>
      <c r="D23" s="88"/>
      <c r="E23" s="63"/>
      <c r="F23" s="19" t="str">
        <f ca="1">_xll.DBRA(Server&amp;$AD$21,$AD$27,$AG$18)</f>
        <v>Organisation légale</v>
      </c>
      <c r="G23" s="29" t="str">
        <f ca="1">_xll.SUBNM(Server&amp;"Legal_Organization_Corp","Corp_FR",_xll.DBR(Server&amp;"z_Client_Properties","Default_Legal_Organization_Corp",_xll.TM1USER(xServer)),$G$24)</f>
        <v>VTD</v>
      </c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6"/>
      <c r="X23" s="26"/>
      <c r="Y23" s="26"/>
      <c r="Z23" s="26"/>
      <c r="AA23" s="26"/>
      <c r="AB23" s="26"/>
      <c r="AC23" s="26"/>
      <c r="AD23" s="119"/>
      <c r="AE23" s="108"/>
      <c r="AF23" s="132"/>
      <c r="AG23" s="122" t="str">
        <f ca="1">_xll.DBRA(Server&amp;$AD$21,$AF26,$AG$18)</f>
        <v>Budget</v>
      </c>
      <c r="AH23" s="26"/>
      <c r="AI23" s="26"/>
      <c r="AJ23" s="26"/>
    </row>
    <row r="24" spans="2:44" ht="30" customHeight="1" outlineLevel="1" thickBot="1" x14ac:dyDescent="0.3">
      <c r="B24" s="32"/>
      <c r="C24" s="56"/>
      <c r="D24" s="88"/>
      <c r="E24" s="63"/>
      <c r="F24" s="19" t="str">
        <f ca="1">_xll.DBRA(Server&amp;$AD$21,$AD$29,$AG$18)</f>
        <v>Langue</v>
      </c>
      <c r="G24" s="30" t="s">
        <v>45</v>
      </c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6"/>
      <c r="X24" s="26"/>
      <c r="Y24" s="26"/>
      <c r="Z24" s="26"/>
      <c r="AA24" s="26"/>
      <c r="AB24" s="26"/>
      <c r="AC24" s="26"/>
      <c r="AD24" s="119"/>
      <c r="AE24" s="108"/>
      <c r="AF24" s="132"/>
      <c r="AG24" s="122" t="str">
        <f ca="1">_xll.DBRA(Server&amp;$AD$21,$AF27,$AG$18)</f>
        <v>Estimé 1</v>
      </c>
      <c r="AH24" s="26"/>
      <c r="AI24" s="26"/>
      <c r="AJ24" s="26"/>
    </row>
    <row r="25" spans="2:44" ht="30" customHeight="1" thickBot="1" x14ac:dyDescent="0.3">
      <c r="B25" s="32"/>
      <c r="C25" s="56" t="s">
        <v>17</v>
      </c>
      <c r="D25" s="58" t="s">
        <v>82</v>
      </c>
      <c r="E25" s="63"/>
      <c r="F25" s="19" t="str">
        <f ca="1">_xll.DBRA(Server&amp;$AD$21,$AD$25,$AG$18)</f>
        <v>Période</v>
      </c>
      <c r="G25" s="29" t="str">
        <f ca="1">_xll.SUBNM(Server&amp;"Period","","2012")</f>
        <v>2012</v>
      </c>
      <c r="H25" s="30"/>
      <c r="I25" s="2"/>
      <c r="J25" s="16"/>
      <c r="K25" s="17"/>
      <c r="L25" s="17"/>
      <c r="M25" s="17"/>
      <c r="N25" s="17"/>
      <c r="O25" s="17"/>
      <c r="P25" s="17"/>
      <c r="Q25" s="17"/>
      <c r="R25" s="17"/>
      <c r="S25" s="17"/>
      <c r="T25" s="30"/>
      <c r="U25" s="30"/>
      <c r="W25" s="26"/>
      <c r="X25" s="26"/>
      <c r="Y25" s="26"/>
      <c r="Z25" s="26"/>
      <c r="AA25" s="26"/>
      <c r="AB25" s="26"/>
      <c r="AC25" s="26"/>
      <c r="AD25" s="107" t="s">
        <v>42</v>
      </c>
      <c r="AE25" s="120" t="str">
        <f ca="1">_xll.DBRA(Server&amp;$AD$21,$AD31,$AG$18)</f>
        <v>Effectifs en CDI</v>
      </c>
      <c r="AF25" s="50" t="s">
        <v>99</v>
      </c>
      <c r="AG25" s="123" t="str">
        <f ca="1">_xll.DBRA(Server&amp;$AD$21,$AF28,$AG$18)</f>
        <v>Estimé 2</v>
      </c>
      <c r="AH25" s="26"/>
      <c r="AI25" s="26"/>
      <c r="AJ25" s="26"/>
    </row>
    <row r="26" spans="2:44" ht="30" customHeight="1" x14ac:dyDescent="0.25">
      <c r="B26" s="32"/>
      <c r="C26" s="56" t="s">
        <v>46</v>
      </c>
      <c r="D26" s="58" t="s">
        <v>83</v>
      </c>
      <c r="E26" s="63"/>
      <c r="F26" s="19" t="str">
        <f ca="1">_xll.DBRA(Server&amp;$AD$21,$AD$26,$AG$18)</f>
        <v>Organisation managériale</v>
      </c>
      <c r="G26" s="29" t="str">
        <f ca="1">_xll.SUBNM(Server&amp;"Management_Organization_Corp","Corp_FR","VTD","Français")</f>
        <v>VTD</v>
      </c>
      <c r="H26" s="30"/>
      <c r="I26" s="2"/>
      <c r="J26" s="16"/>
      <c r="K26" s="17"/>
      <c r="L26" s="17"/>
      <c r="M26" s="17"/>
      <c r="N26" s="17"/>
      <c r="O26" s="17"/>
      <c r="P26" s="17"/>
      <c r="Q26" s="17"/>
      <c r="R26" s="17"/>
      <c r="S26" s="17"/>
      <c r="T26" s="30"/>
      <c r="U26" s="30"/>
      <c r="AD26" s="108" t="s">
        <v>36</v>
      </c>
      <c r="AE26" s="108" t="str">
        <f ca="1">_xll.DBRA(Server&amp;$AD$21,$AD33,$AG$18)</f>
        <v>Effectifs Autres</v>
      </c>
      <c r="AF26" s="50" t="s">
        <v>95</v>
      </c>
    </row>
    <row r="27" spans="2:44" ht="30" customHeight="1" x14ac:dyDescent="0.25">
      <c r="B27" s="32"/>
      <c r="C27" s="56"/>
      <c r="D27" s="58"/>
      <c r="E27" s="63"/>
      <c r="F27" s="19" t="str">
        <f ca="1">_xll.DBRA(Server&amp;$AD$21,$AD$28,$AG$18)</f>
        <v>Indicateurs</v>
      </c>
      <c r="G27" s="30" t="s">
        <v>102</v>
      </c>
      <c r="H27" s="30"/>
      <c r="I27" s="2"/>
      <c r="J27" s="16"/>
      <c r="K27" s="1"/>
      <c r="L27" s="17"/>
      <c r="M27" s="1"/>
      <c r="N27" s="1"/>
      <c r="O27" s="1"/>
      <c r="P27" s="1"/>
      <c r="Q27" s="1"/>
      <c r="R27" s="1"/>
      <c r="S27" s="1"/>
      <c r="T27" s="30"/>
      <c r="U27" s="30"/>
      <c r="AD27" s="108" t="s">
        <v>37</v>
      </c>
      <c r="AE27" s="120" t="str">
        <f ca="1">_xll.DBRA(Server&amp;$AD$21,$AD34,$AG$18)</f>
        <v>Nombre d'Equivalent Temps Plein</v>
      </c>
      <c r="AF27" s="50" t="s">
        <v>96</v>
      </c>
    </row>
    <row r="28" spans="2:44" ht="21.75" customHeight="1" thickBot="1" x14ac:dyDescent="0.3">
      <c r="B28" s="32"/>
      <c r="C28" s="56"/>
      <c r="D28" s="88"/>
      <c r="E28" s="63"/>
      <c r="F28" s="1"/>
      <c r="G28" s="1"/>
      <c r="H28" s="30"/>
      <c r="I28" s="2"/>
      <c r="J28" s="16"/>
      <c r="K28" s="1"/>
      <c r="L28" s="17"/>
      <c r="M28" s="1"/>
      <c r="N28" s="1"/>
      <c r="O28" s="1"/>
      <c r="P28" s="1"/>
      <c r="Q28" s="1"/>
      <c r="R28" s="1"/>
      <c r="S28" s="1"/>
      <c r="T28" s="30"/>
      <c r="U28" s="30"/>
      <c r="W28" s="26"/>
      <c r="X28" s="26"/>
      <c r="Y28" s="26"/>
      <c r="Z28" s="26"/>
      <c r="AA28" s="26"/>
      <c r="AB28" s="26"/>
      <c r="AC28" s="26"/>
      <c r="AD28" s="109" t="s">
        <v>84</v>
      </c>
      <c r="AE28" s="108" t="str">
        <f ca="1">_xll.DBRA(Server&amp;$AD$21,$AD35,$AG$18)</f>
        <v>Nombre d'Equivalent Temps Plein en CDI</v>
      </c>
      <c r="AF28" s="50" t="s">
        <v>97</v>
      </c>
      <c r="AG28" s="26"/>
      <c r="AH28" s="26"/>
      <c r="AI28" s="26"/>
      <c r="AJ28" s="26"/>
    </row>
    <row r="29" spans="2:44" ht="30" customHeight="1" thickBot="1" x14ac:dyDescent="0.3">
      <c r="B29" s="32"/>
      <c r="C29" s="32"/>
      <c r="D29" s="34"/>
      <c r="E29" s="62"/>
      <c r="F29" s="117" t="str">
        <f ca="1">_xll.DBRA(Server&amp;$AD$21,$AF$22,$AG$18)</f>
        <v>Phase</v>
      </c>
      <c r="G29" s="30" t="s">
        <v>103</v>
      </c>
      <c r="H29" s="30"/>
      <c r="I29" s="202" t="str">
        <f ca="1">_xll.DBRA(Server&amp;$H$12,$H$13,$AG$18)</f>
        <v>2012</v>
      </c>
      <c r="J29" s="202"/>
      <c r="K29" s="202"/>
      <c r="L29" s="17"/>
      <c r="M29" s="202" t="str">
        <f ca="1">_xll.DBRA(Server&amp;$AD$21,$AD$40,$AG$18)</f>
        <v>Variances</v>
      </c>
      <c r="N29" s="202"/>
      <c r="O29" s="202"/>
      <c r="P29" s="202"/>
      <c r="Q29" s="202"/>
      <c r="R29" s="202"/>
      <c r="S29" s="51"/>
      <c r="T29" s="30"/>
      <c r="U29" s="30"/>
      <c r="V29" s="204"/>
      <c r="AD29" s="110" t="s">
        <v>39</v>
      </c>
      <c r="AE29" s="124" t="str">
        <f ca="1">_xll.DBRA(Server&amp;$AD$21,$AD36,$AG$18)</f>
        <v>Nombre d'Equivalent Temps Plein Autres (intérimaires, stagiaires, apprentis,…)</v>
      </c>
      <c r="AF29" s="125" t="s">
        <v>101</v>
      </c>
      <c r="AI29" s="199" t="s">
        <v>71</v>
      </c>
      <c r="AJ29" s="200"/>
      <c r="AK29" s="201"/>
    </row>
    <row r="30" spans="2:44" ht="18" customHeight="1" thickBot="1" x14ac:dyDescent="0.35">
      <c r="B30" s="32"/>
      <c r="C30" s="35"/>
      <c r="D30" s="34"/>
      <c r="E30" s="62"/>
      <c r="F30" s="2"/>
      <c r="G30" s="2"/>
      <c r="H30" s="2"/>
      <c r="I30" s="203"/>
      <c r="J30" s="203"/>
      <c r="K30" s="203"/>
      <c r="L30" s="17"/>
      <c r="M30" s="203"/>
      <c r="N30" s="203"/>
      <c r="O30" s="203"/>
      <c r="P30" s="203"/>
      <c r="Q30" s="203"/>
      <c r="R30" s="203"/>
      <c r="S30" s="95"/>
      <c r="V30" s="204"/>
      <c r="AD30" t="s">
        <v>85</v>
      </c>
      <c r="AE30" s="26"/>
      <c r="AF30" s="26"/>
      <c r="AI30" s="98" t="s">
        <v>72</v>
      </c>
      <c r="AJ30" s="98" t="s">
        <v>73</v>
      </c>
      <c r="AK30" s="98" t="s">
        <v>74</v>
      </c>
    </row>
    <row r="31" spans="2:44" ht="39.75" customHeight="1" thickTop="1" x14ac:dyDescent="0.2">
      <c r="B31" s="32"/>
      <c r="C31" s="32"/>
      <c r="D31" s="36"/>
      <c r="E31" s="1"/>
      <c r="F31" s="1"/>
      <c r="G31" s="1"/>
      <c r="H31" s="20"/>
      <c r="I31" s="181" t="str">
        <f ca="1">_xll.DBRA(Server&amp;$AD$21,$AD$38,$AG$18)</f>
        <v>Réalisé N-1</v>
      </c>
      <c r="J31" s="182" t="str">
        <f ca="1">IF($G$29=$AG$23,_xll.DBRA(Server&amp;$AD$21,$AF$29,$AG$18),_xll.DBRA(Server&amp;$H$11,$J$11,$AG$18))</f>
        <v>Budget</v>
      </c>
      <c r="K31" s="183" t="str">
        <f ca="1">_xll.DBRA(Server&amp;$H$11,$K$11,$AG$18)</f>
        <v>Réalisé</v>
      </c>
      <c r="L31" s="17"/>
      <c r="M31" s="209" t="str">
        <f ca="1">$K$31&amp;" / "&amp;$I$31</f>
        <v>Réalisé / Réalisé N-1</v>
      </c>
      <c r="N31" s="210"/>
      <c r="O31" s="93" t="str">
        <f ca="1">_xll.DBRA(Server&amp;$AD$21,$AD$41,$AG$18)</f>
        <v>Variance</v>
      </c>
      <c r="P31" s="211" t="str">
        <f ca="1">$K$31&amp;" / "&amp;$J$31</f>
        <v>Réalisé / Budget</v>
      </c>
      <c r="Q31" s="210"/>
      <c r="R31" s="97" t="str">
        <f ca="1">_xll.DBRA(Server&amp;$AD$21,$AD$41,$AG$18)</f>
        <v>Variance</v>
      </c>
      <c r="S31" s="103" t="str">
        <f ca="1">_xll.DBRA(Server&amp;"Period",S$12,$AG$18)</f>
        <v/>
      </c>
      <c r="T31" s="20"/>
      <c r="U31" s="20"/>
      <c r="V31" s="87"/>
      <c r="AD31" t="s">
        <v>86</v>
      </c>
      <c r="AE31" s="26"/>
      <c r="AF31" s="26"/>
      <c r="AK31" s="3"/>
      <c r="AL31" s="3"/>
      <c r="AM31" s="3"/>
      <c r="AN31" s="3"/>
      <c r="AO31" s="3"/>
      <c r="AP31" s="3"/>
      <c r="AQ31" s="3"/>
      <c r="AR31" s="3"/>
    </row>
    <row r="32" spans="2:44" s="4" customFormat="1" ht="12.75" customHeight="1" x14ac:dyDescent="0.25">
      <c r="B32" s="32"/>
      <c r="C32" s="59"/>
      <c r="D32" s="115"/>
      <c r="E32" s="64"/>
      <c r="F32" s="116"/>
      <c r="G32" s="116"/>
      <c r="H32" s="20"/>
      <c r="J32" s="99"/>
      <c r="K32" s="52"/>
      <c r="L32" s="87"/>
      <c r="M32" s="52"/>
      <c r="N32" s="52"/>
      <c r="O32" s="52"/>
      <c r="P32" s="52"/>
      <c r="Q32" s="52"/>
      <c r="R32" s="52"/>
      <c r="S32" s="52"/>
      <c r="T32" s="20"/>
      <c r="U32" s="20"/>
      <c r="V32" s="1"/>
      <c r="W32" s="26"/>
      <c r="X32" s="26"/>
      <c r="Y32" s="26"/>
      <c r="Z32" s="26"/>
      <c r="AA32" s="26"/>
      <c r="AB32" s="26"/>
      <c r="AC32" s="26"/>
      <c r="AD32"/>
      <c r="AE32" s="26"/>
      <c r="AF32" s="26"/>
      <c r="AG32" s="26"/>
      <c r="AH32" s="26"/>
      <c r="AI32" s="26"/>
      <c r="AJ32" s="26"/>
    </row>
    <row r="33" spans="2:36" s="4" customFormat="1" ht="18.75" customHeight="1" thickBot="1" x14ac:dyDescent="0.3">
      <c r="B33" s="32"/>
      <c r="C33" s="59"/>
      <c r="D33" s="37"/>
      <c r="E33" s="64"/>
      <c r="F33" s="191" t="str">
        <f ca="1">_xll.DBRA(Server&amp;$AD$21,$AD$45,$AG$18)</f>
        <v>ENTREES/SORTIES</v>
      </c>
      <c r="G33" s="191"/>
      <c r="H33" s="20"/>
      <c r="I33" s="185"/>
      <c r="J33" s="186"/>
      <c r="K33" s="187"/>
      <c r="L33" s="87"/>
      <c r="M33" s="187"/>
      <c r="N33" s="52"/>
      <c r="O33" s="52"/>
      <c r="P33" s="187"/>
      <c r="Q33" s="52"/>
      <c r="R33" s="52"/>
      <c r="S33" s="52"/>
      <c r="T33" s="20"/>
      <c r="U33" s="20"/>
      <c r="V33" s="1"/>
      <c r="W33" s="26"/>
      <c r="X33" s="26"/>
      <c r="Y33" s="26"/>
      <c r="Z33" s="26"/>
      <c r="AA33" s="26"/>
      <c r="AB33" s="26"/>
      <c r="AC33" s="26"/>
      <c r="AD33" t="s">
        <v>87</v>
      </c>
      <c r="AE33" s="26"/>
      <c r="AF33" s="26"/>
      <c r="AG33" s="26"/>
      <c r="AH33" s="26"/>
      <c r="AI33" s="26"/>
      <c r="AJ33" s="26"/>
    </row>
    <row r="34" spans="2:36" s="4" customFormat="1" ht="27" customHeight="1" x14ac:dyDescent="0.25">
      <c r="B34" s="32"/>
      <c r="C34" s="32"/>
      <c r="D34" s="79"/>
      <c r="E34" s="65"/>
      <c r="F34" s="205" t="str">
        <f ca="1">G26</f>
        <v>VTD</v>
      </c>
      <c r="G34" s="205"/>
      <c r="H34" s="104"/>
      <c r="I34" s="184">
        <f ca="1">_xll.DBRW(Server&amp;Cube1,$D$22,$D$25,$D$26,$D$21,$D$20,$G$23,$G$26,$D$19,I$12,I$11,$I$14)</f>
        <v>0</v>
      </c>
      <c r="J34" s="184">
        <f ca="1">_xll.DBRW(Server&amp;Cube1,$D$22,$D$25,$D$26,$D$21,$D$20,$G$23,$G$26,$D$19,J$12,J$11,$I$14)</f>
        <v>292</v>
      </c>
      <c r="K34" s="184">
        <f ca="1">_xll.DBRW(Server&amp;Cube1,$D$22,$D$25,$D$26,$D$21,$D$20,$G$23,$G$26,$D$19,K$12,K$11,$I$14)</f>
        <v>257.83333333333337</v>
      </c>
      <c r="L34" s="164"/>
      <c r="M34" s="188">
        <f ca="1">IFERROR($K34-$I34,"")</f>
        <v>257.83333333333337</v>
      </c>
      <c r="N34" s="165">
        <f ca="1">IFERROR(IF($I34=0,0,IF($I34&lt;0,$M34/-$I34,$M34/$I34)),"")</f>
        <v>0</v>
      </c>
      <c r="O34" s="166" t="str">
        <f ca="1">IF(N34&gt;0.01,$AI$30,IF(N34&lt;-0.01,$AJ$30,$AK$30))</f>
        <v>è</v>
      </c>
      <c r="P34" s="188">
        <f ca="1">IFERROR($K$34-$J$34,"")</f>
        <v>-34.166666666666629</v>
      </c>
      <c r="Q34" s="137">
        <f ca="1">IFERROR(IF($J$34=0,0,IF($J$34&lt;0,$P$34/-$J$34,$P$34/$J$34)),"")</f>
        <v>-0.1170091324200912</v>
      </c>
      <c r="R34" s="139" t="str">
        <f ca="1">IF(Q34&gt;0.01,$AI$30,IF(Q34&lt;-0.01,$AJ$30,$AK$30))</f>
        <v>î</v>
      </c>
      <c r="S34" s="96"/>
      <c r="T34" s="104"/>
      <c r="U34" s="76"/>
      <c r="V34" s="77"/>
      <c r="W34" s="26"/>
      <c r="X34" s="26"/>
      <c r="Y34" s="26"/>
      <c r="Z34" s="26"/>
      <c r="AA34" s="26"/>
      <c r="AB34" s="26"/>
      <c r="AC34" s="26"/>
      <c r="AD34" t="s">
        <v>88</v>
      </c>
      <c r="AE34" s="26"/>
      <c r="AF34" s="26"/>
      <c r="AG34" s="26"/>
      <c r="AH34" s="26"/>
      <c r="AI34" s="26"/>
      <c r="AJ34" s="26"/>
    </row>
    <row r="35" spans="2:36" s="4" customFormat="1" ht="17.25" hidden="1" customHeight="1" x14ac:dyDescent="0.25">
      <c r="B35" s="32"/>
      <c r="C35" s="32"/>
      <c r="D35" s="38"/>
      <c r="E35" s="66"/>
      <c r="F35" s="60" t="str">
        <f ca="1">"[Management_Organization_Corp].["&amp;$G$26&amp;"].Children"</f>
        <v>[Management_Organization_Corp].[VTD].Children</v>
      </c>
      <c r="G35" s="1"/>
      <c r="H35" s="1"/>
      <c r="I35" s="126"/>
      <c r="J35" s="126"/>
      <c r="K35" s="126"/>
      <c r="L35" s="126"/>
      <c r="M35" s="126"/>
      <c r="N35" s="129"/>
      <c r="O35" s="1"/>
      <c r="P35" s="126"/>
      <c r="Q35" s="129"/>
      <c r="R35" s="1"/>
      <c r="S35" s="1"/>
      <c r="T35" s="1"/>
      <c r="U35" s="1"/>
      <c r="V35" s="1"/>
      <c r="W35" s="26"/>
      <c r="X35" s="26"/>
      <c r="Y35" s="26"/>
      <c r="Z35" s="26"/>
      <c r="AA35" s="26"/>
      <c r="AB35" s="26"/>
      <c r="AC35" s="26"/>
      <c r="AD35" t="s">
        <v>89</v>
      </c>
      <c r="AE35" s="26"/>
      <c r="AF35" s="26"/>
      <c r="AG35" s="26"/>
      <c r="AH35" s="26"/>
      <c r="AI35" s="26"/>
      <c r="AJ35" s="26"/>
    </row>
    <row r="36" spans="2:36" s="4" customFormat="1" ht="17.25" hidden="1" customHeight="1" x14ac:dyDescent="0.25">
      <c r="B36" s="32"/>
      <c r="C36" s="32"/>
      <c r="D36" s="38"/>
      <c r="E36" s="66"/>
      <c r="F36" s="1"/>
      <c r="G36" s="1"/>
      <c r="H36" s="1"/>
      <c r="I36" s="126"/>
      <c r="J36" s="126"/>
      <c r="K36" s="126"/>
      <c r="L36" s="126"/>
      <c r="M36" s="126"/>
      <c r="N36" s="129"/>
      <c r="O36" s="1"/>
      <c r="P36" s="126"/>
      <c r="Q36" s="129"/>
      <c r="R36" s="1"/>
      <c r="S36" s="1"/>
      <c r="T36" s="1"/>
      <c r="U36" s="1"/>
      <c r="V36" s="1"/>
      <c r="W36" s="26"/>
      <c r="X36" s="26"/>
      <c r="Y36" s="26"/>
      <c r="Z36" s="26"/>
      <c r="AA36" s="26"/>
      <c r="AB36" s="26"/>
      <c r="AC36" s="26"/>
      <c r="AD36" t="s">
        <v>90</v>
      </c>
      <c r="AE36" s="26"/>
      <c r="AF36" s="26"/>
      <c r="AG36" s="26"/>
      <c r="AH36" s="26"/>
      <c r="AI36" s="26"/>
      <c r="AJ36" s="26"/>
    </row>
    <row r="37" spans="2:36" customFormat="1" ht="17.25" hidden="1" customHeight="1" x14ac:dyDescent="0.25">
      <c r="E37" s="67"/>
      <c r="F37" s="69" t="str">
        <f ca="1">_xll.TM1RPTVIEW(Server&amp;"RP_PL_Corp:ARPT3", 0, _xll.TM1RPTTITLE(Server&amp;"Currency",$G$39), _xll.TM1RPTTITLE(Server&amp;"Gaap",$G$40), _xll.TM1RPTTITLE(Server&amp;"Integration_Rate",$G$41), _xll.TM1RPTTITLE(Server&amp;"Projets",$G$42), _xll.TM1RPTTITLE(Server&amp;"Matricules",$G$43), _xll.TM1RPTTITLE(Server&amp;"Legal_Organization_Corp",$G$44), _xll.TM1RPTTITLE(Server&amp;"Tiers",$G$45), TM1RPTFMTRNG,TM1RPTFMTIDCOL)</f>
        <v>tango_core_model:RP_PL_Corp:ARPT3</v>
      </c>
      <c r="I37" s="127"/>
      <c r="J37" s="127"/>
      <c r="K37" s="127"/>
      <c r="L37" s="127"/>
      <c r="M37" s="127"/>
      <c r="N37" s="130"/>
      <c r="P37" s="127"/>
      <c r="Q37" s="130"/>
      <c r="AD37" s="50" t="s">
        <v>80</v>
      </c>
    </row>
    <row r="38" spans="2:36" customFormat="1" ht="17.25" hidden="1" customHeight="1" x14ac:dyDescent="0.2">
      <c r="E38" s="67"/>
      <c r="I38" s="127"/>
      <c r="J38" s="127"/>
      <c r="K38" s="127"/>
      <c r="L38" s="127"/>
      <c r="M38" s="127"/>
      <c r="N38" s="130"/>
      <c r="P38" s="127"/>
      <c r="Q38" s="130"/>
      <c r="AD38" t="s">
        <v>63</v>
      </c>
    </row>
    <row r="39" spans="2:36" customFormat="1" ht="17.25" hidden="1" customHeight="1" x14ac:dyDescent="0.25">
      <c r="E39" s="67"/>
      <c r="F39" s="61" t="s">
        <v>16</v>
      </c>
      <c r="G39" t="str">
        <f ca="1">_xll.SUBNM(Server&amp;"Currency","",$D$22)</f>
        <v>LCL</v>
      </c>
      <c r="H39" s="48"/>
      <c r="I39" s="128"/>
      <c r="J39" s="128"/>
      <c r="K39" s="128"/>
      <c r="L39" s="128"/>
      <c r="M39" s="128"/>
      <c r="N39" s="131"/>
      <c r="O39" s="48"/>
      <c r="P39" s="128"/>
      <c r="Q39" s="131"/>
      <c r="R39" s="48"/>
      <c r="S39" s="48"/>
      <c r="AD39" s="86" t="s">
        <v>64</v>
      </c>
    </row>
    <row r="40" spans="2:36" customFormat="1" ht="17.25" hidden="1" customHeight="1" x14ac:dyDescent="0.25">
      <c r="E40" s="67"/>
      <c r="F40" s="61" t="s">
        <v>17</v>
      </c>
      <c r="G40" t="str">
        <f ca="1">_xll.SUBNM(Server&amp;"Gaap","",$D$25)</f>
        <v>Total_conso</v>
      </c>
      <c r="H40" s="48"/>
      <c r="I40" s="128"/>
      <c r="J40" s="128"/>
      <c r="K40" s="128"/>
      <c r="L40" s="128"/>
      <c r="M40" s="128"/>
      <c r="N40" s="131"/>
      <c r="O40" s="48"/>
      <c r="P40" s="128"/>
      <c r="Q40" s="131"/>
      <c r="R40" s="48"/>
      <c r="S40" s="48"/>
      <c r="AD40" s="94" t="s">
        <v>65</v>
      </c>
    </row>
    <row r="41" spans="2:36" customFormat="1" ht="17.25" hidden="1" customHeight="1" x14ac:dyDescent="0.25">
      <c r="E41" s="67"/>
      <c r="F41" s="61" t="s">
        <v>46</v>
      </c>
      <c r="G41" t="str">
        <f ca="1">_xll.SUBNM(Server&amp;"Integration_Rate","",$D$26)</f>
        <v>NO_APP</v>
      </c>
      <c r="H41" s="48"/>
      <c r="I41" s="128"/>
      <c r="J41" s="128"/>
      <c r="K41" s="128"/>
      <c r="L41" s="128"/>
      <c r="M41" s="128"/>
      <c r="N41" s="131"/>
      <c r="O41" s="48"/>
      <c r="P41" s="128"/>
      <c r="Q41" s="131"/>
      <c r="R41" s="48"/>
      <c r="S41" s="48"/>
      <c r="AD41" s="94" t="s">
        <v>66</v>
      </c>
    </row>
    <row r="42" spans="2:36" customFormat="1" ht="17.25" hidden="1" customHeight="1" x14ac:dyDescent="0.25">
      <c r="E42" s="67"/>
      <c r="F42" s="61" t="s">
        <v>47</v>
      </c>
      <c r="G42" t="str">
        <f ca="1">_xll.SUBNM(Server&amp;"Projets","",$D$21)</f>
        <v>Tot_proj</v>
      </c>
      <c r="H42" s="48"/>
      <c r="I42" s="128"/>
      <c r="J42" s="128"/>
      <c r="K42" s="128"/>
      <c r="L42" s="128"/>
      <c r="M42" s="128"/>
      <c r="N42" s="131"/>
      <c r="O42" s="48"/>
      <c r="P42" s="128"/>
      <c r="Q42" s="131"/>
      <c r="R42" s="48"/>
      <c r="S42" s="48"/>
      <c r="AD42" t="s">
        <v>67</v>
      </c>
    </row>
    <row r="43" spans="2:36" customFormat="1" ht="17.25" hidden="1" customHeight="1" x14ac:dyDescent="0.25">
      <c r="E43" s="67"/>
      <c r="F43" s="61" t="s">
        <v>48</v>
      </c>
      <c r="G43" t="str">
        <f ca="1">_xll.SUBNM(Server&amp;"Matricules","",$D$20)</f>
        <v>VTD</v>
      </c>
      <c r="H43" s="48"/>
      <c r="I43" s="128"/>
      <c r="J43" s="128"/>
      <c r="K43" s="128"/>
      <c r="L43" s="128"/>
      <c r="M43" s="128"/>
      <c r="N43" s="131"/>
      <c r="O43" s="48"/>
      <c r="P43" s="128"/>
      <c r="Q43" s="131"/>
      <c r="R43" s="48"/>
      <c r="S43" s="48"/>
      <c r="AD43" t="s">
        <v>68</v>
      </c>
    </row>
    <row r="44" spans="2:36" customFormat="1" ht="17.25" hidden="1" customHeight="1" x14ac:dyDescent="0.25">
      <c r="E44" s="67"/>
      <c r="F44" s="61" t="s">
        <v>49</v>
      </c>
      <c r="G44" t="str">
        <f ca="1">_xll.SUBNM(Server&amp;"Legal_Organization_Corp","",$G$23)</f>
        <v>VTD</v>
      </c>
      <c r="H44" s="48"/>
      <c r="I44" s="128"/>
      <c r="J44" s="128"/>
      <c r="K44" s="128"/>
      <c r="L44" s="128"/>
      <c r="M44" s="128"/>
      <c r="N44" s="131"/>
      <c r="O44" s="48"/>
      <c r="P44" s="128"/>
      <c r="Q44" s="131"/>
      <c r="R44" s="48"/>
      <c r="S44" s="48"/>
      <c r="AD44" t="s">
        <v>76</v>
      </c>
    </row>
    <row r="45" spans="2:36" customFormat="1" ht="17.25" hidden="1" customHeight="1" x14ac:dyDescent="0.25">
      <c r="E45" s="67"/>
      <c r="F45" s="61" t="s">
        <v>51</v>
      </c>
      <c r="G45" t="str">
        <f ca="1">_xll.SUBNM(Server&amp;"Tiers","",$D$19)</f>
        <v>Tot_tiers</v>
      </c>
      <c r="H45" s="48"/>
      <c r="I45" s="128"/>
      <c r="J45" s="128"/>
      <c r="K45" s="128"/>
      <c r="L45" s="128"/>
      <c r="M45" s="128"/>
      <c r="N45" s="131"/>
      <c r="O45" s="48"/>
      <c r="P45" s="128"/>
      <c r="Q45" s="131"/>
      <c r="R45" s="48"/>
      <c r="S45" s="48"/>
      <c r="AD45" t="s">
        <v>91</v>
      </c>
    </row>
    <row r="46" spans="2:36" customFormat="1" ht="17.25" hidden="1" customHeight="1" x14ac:dyDescent="0.2">
      <c r="E46" s="67"/>
      <c r="F46" s="14"/>
      <c r="G46" s="26"/>
      <c r="H46" s="48"/>
      <c r="I46" s="128"/>
      <c r="J46" s="128"/>
      <c r="K46" s="128"/>
      <c r="L46" s="128"/>
      <c r="M46" s="128"/>
      <c r="N46" s="131"/>
      <c r="O46" s="48"/>
      <c r="P46" s="128"/>
      <c r="Q46" s="131"/>
      <c r="R46" s="48"/>
      <c r="S46" s="48"/>
    </row>
    <row r="47" spans="2:36" customFormat="1" ht="17.25" hidden="1" customHeight="1" x14ac:dyDescent="0.25">
      <c r="E47" s="67"/>
      <c r="F47" s="61"/>
      <c r="H47" s="48"/>
      <c r="I47" s="128"/>
      <c r="J47" s="128"/>
      <c r="K47" s="128"/>
      <c r="L47" s="128"/>
      <c r="M47" s="128"/>
      <c r="N47" s="131"/>
      <c r="O47" s="48"/>
      <c r="P47" s="128"/>
      <c r="Q47" s="131"/>
      <c r="R47" s="48"/>
      <c r="S47" s="48"/>
    </row>
    <row r="48" spans="2:36" customFormat="1" ht="17.25" hidden="1" customHeight="1" x14ac:dyDescent="0.2">
      <c r="E48" s="67"/>
      <c r="I48" s="127"/>
      <c r="J48" s="127"/>
      <c r="K48" s="127"/>
      <c r="L48" s="127"/>
      <c r="M48" s="127"/>
      <c r="N48" s="130"/>
      <c r="P48" s="127"/>
      <c r="Q48" s="130"/>
    </row>
    <row r="49" spans="1:47" customFormat="1" ht="17.25" hidden="1" customHeight="1" x14ac:dyDescent="0.2">
      <c r="E49" s="67"/>
      <c r="I49" s="127"/>
      <c r="J49" s="127"/>
      <c r="K49" s="127"/>
      <c r="L49" s="127"/>
      <c r="M49" s="127"/>
      <c r="N49" s="130"/>
      <c r="P49" s="127"/>
      <c r="Q49" s="130"/>
    </row>
    <row r="50" spans="1:47" customFormat="1" ht="17.25" hidden="1" customHeight="1" x14ac:dyDescent="0.2">
      <c r="E50" s="67"/>
      <c r="I50" s="127"/>
      <c r="J50" s="127"/>
      <c r="K50" s="127"/>
      <c r="L50" s="127"/>
      <c r="M50" s="127"/>
      <c r="N50" s="130"/>
      <c r="P50" s="127"/>
      <c r="Q50" s="130"/>
    </row>
    <row r="51" spans="1:47" customFormat="1" ht="21.75" customHeight="1" x14ac:dyDescent="0.2">
      <c r="A51">
        <f ca="1">IF(_xll.TM1RPTELISCONSOLIDATED($F$51,$F51),IF(_xll.TM1RPTELLEV($F$51,$F51)&lt;=3,_xll.TM1RPTELLEV($F$51,$F51),"D"),"N")</f>
        <v>0</v>
      </c>
      <c r="F51" s="163" t="str">
        <f ca="1">_xll.TM1RPTROW($F$37,Server&amp;"Management_Organization_Corp","","",$G$24,0,$F$35,,1)</f>
        <v>Fonctions centrales</v>
      </c>
      <c r="G51" s="138"/>
      <c r="H51" s="102"/>
      <c r="I51" s="169">
        <f ca="1">_xll.DBRW(Server&amp;Cube1,$D$22,$D$25,$D$26,$D$21,$D$20,$G$23,$F51,$D$19,I$12,I$11,$I$14)</f>
        <v>0</v>
      </c>
      <c r="J51" s="169">
        <f ca="1">_xll.DBRW(Server&amp;Cube1,$D$22,$D$25,$D$26,$D$21,$D$20,$G$23,$F51,$D$19,J$12,J$11,$I$14)</f>
        <v>201</v>
      </c>
      <c r="K51" s="169">
        <f ca="1">_xll.DBRW(Server&amp;Cube1,$D$22,$D$25,$D$26,$D$21,$D$20,$G$23,$F51,$D$19,K$12,K$11,$I$14)</f>
        <v>179.75</v>
      </c>
      <c r="L51" s="147"/>
      <c r="M51" s="167">
        <f ca="1">IFERROR($K51-$I51,"")</f>
        <v>179.75</v>
      </c>
      <c r="N51" s="167">
        <f ca="1">IFERROR(IF($I51=0,0,IF($I51&lt;0,$M51/-$I51,$M51/$I51)),"")</f>
        <v>0</v>
      </c>
      <c r="O51" s="168" t="str">
        <f ca="1">IF(N51&gt;0.01,$AI$30,IF(N51&lt;-0.01,$AJ$30,$AK$30))</f>
        <v>è</v>
      </c>
      <c r="P51" s="167">
        <f ca="1">IFERROR($K51-$J51,"")</f>
        <v>-21.25</v>
      </c>
      <c r="Q51" s="140">
        <f ca="1">IFERROR(IF($J51=0,0,IF($J51&lt;0,$P51/-$J51,$P51/$J51)),"")</f>
        <v>-0.10572139303482588</v>
      </c>
      <c r="R51" s="150" t="str">
        <f ca="1">IF(Q51&gt;0.01,$AI$30,IF(Q51&lt;-0.01,$AJ$30,$AK$30))</f>
        <v>î</v>
      </c>
      <c r="S51" s="105"/>
      <c r="T51" s="112">
        <f ca="1">_xll.DBRW($F$37,$G$39,$G$40,$G$41,$G$42,$G$43,$G$44,$F51,$G$45,$I$12,I$11,$I$14)</f>
        <v>0</v>
      </c>
      <c r="U51" s="112">
        <f ca="1">_xll.DBRW($F$37,$G$39,$G$40,$G$41,$G$42,$G$43,$G$44,$F51,$G$45,$J$12,J$11,$I$14)</f>
        <v>201</v>
      </c>
      <c r="V51" s="113">
        <f ca="1">_xll.DBRW($F$37,$G$39,$G$40,$G$41,$G$42,$G$43,$G$44,$F51,$G$45,$K$12,K$11,$I$14)</f>
        <v>179.75</v>
      </c>
      <c r="AD51" s="86"/>
    </row>
    <row r="52" spans="1:47" customFormat="1" ht="21.75" customHeight="1" x14ac:dyDescent="0.2">
      <c r="A52">
        <f ca="1">IF(_xll.TM1RPTELISCONSOLIDATED($F$51,$F52),IF(_xll.TM1RPTELLEV($F$51,$F52)&lt;=3,_xll.TM1RPTELLEV($F$51,$F52),"D"),"N")</f>
        <v>0</v>
      </c>
      <c r="F52" s="163" t="s">
        <v>106</v>
      </c>
      <c r="G52" s="138"/>
      <c r="H52" s="102"/>
      <c r="I52" s="169">
        <f ca="1">_xll.DBRW(Server&amp;Cube1,$D$22,$D$25,$D$26,$D$21,$D$20,$G$23,$F52,$D$19,I$12,I$11,$I$14)</f>
        <v>0</v>
      </c>
      <c r="J52" s="169">
        <f ca="1">_xll.DBRW(Server&amp;Cube1,$D$22,$D$25,$D$26,$D$21,$D$20,$G$23,$F52,$D$19,J$12,J$11,$I$14)</f>
        <v>87</v>
      </c>
      <c r="K52" s="169">
        <f ca="1">_xll.DBRW(Server&amp;Cube1,$D$22,$D$25,$D$26,$D$21,$D$20,$G$23,$F52,$D$19,K$12,K$11,$I$14)</f>
        <v>77.416666666666657</v>
      </c>
      <c r="L52" s="147"/>
      <c r="M52" s="167">
        <f t="shared" ref="M52:M53" ca="1" si="0">IFERROR($K52-$I52,"")</f>
        <v>77.416666666666657</v>
      </c>
      <c r="N52" s="167">
        <f t="shared" ref="N52:N53" ca="1" si="1">IFERROR(IF($I52=0,0,IF($I52&lt;0,$M52/-$I52,$M52/$I52)),"")</f>
        <v>0</v>
      </c>
      <c r="O52" s="168" t="str">
        <f t="shared" ref="O52:O53" ca="1" si="2">IF(N52&gt;0.01,$AI$30,IF(N52&lt;-0.01,$AJ$30,$AK$30))</f>
        <v>è</v>
      </c>
      <c r="P52" s="167">
        <f t="shared" ref="P52:P53" ca="1" si="3">IFERROR($K52-$J52,"")</f>
        <v>-9.5833333333333428</v>
      </c>
      <c r="Q52" s="140">
        <f t="shared" ref="Q52:Q53" ca="1" si="4">IFERROR(IF($J52=0,0,IF($J52&lt;0,$P52/-$J52,$P52/$J52)),"")</f>
        <v>-0.11015325670498095</v>
      </c>
      <c r="R52" s="150" t="str">
        <f t="shared" ref="R52:R53" ca="1" si="5">IF(Q52&gt;0.01,$AI$30,IF(Q52&lt;-0.01,$AJ$30,$AK$30))</f>
        <v>î</v>
      </c>
      <c r="S52" s="105"/>
      <c r="T52" s="112">
        <f ca="1">_xll.DBRW($F$37,$G$39,$G$40,$G$41,$G$42,$G$43,$G$44,$F52,$G$45,$I$12,I$11,$I$14)</f>
        <v>0</v>
      </c>
      <c r="U52" s="112">
        <f ca="1">_xll.DBRW($F$37,$G$39,$G$40,$G$41,$G$42,$G$43,$G$44,$F52,$G$45,$J$12,J$11,$I$14)</f>
        <v>87</v>
      </c>
      <c r="V52" s="113">
        <f ca="1">_xll.DBRW($F$37,$G$39,$G$40,$G$41,$G$42,$G$43,$G$44,$F52,$G$45,$K$12,K$11,$I$14)</f>
        <v>77.416666666666657</v>
      </c>
      <c r="AD52" s="86"/>
    </row>
    <row r="53" spans="1:47" customFormat="1" ht="21.75" customHeight="1" x14ac:dyDescent="0.2">
      <c r="A53">
        <f ca="1">IF(_xll.TM1RPTELISCONSOLIDATED($F$51,$F53),IF(_xll.TM1RPTELLEV($F$51,$F53)&lt;=3,_xll.TM1RPTELLEV($F$51,$F53),"D"),"N")</f>
        <v>0</v>
      </c>
      <c r="F53" s="163" t="s">
        <v>107</v>
      </c>
      <c r="G53" s="138"/>
      <c r="H53" s="102"/>
      <c r="I53" s="169">
        <f ca="1">_xll.DBRW(Server&amp;Cube1,$D$22,$D$25,$D$26,$D$21,$D$20,$G$23,$F53,$D$19,I$12,I$11,$I$14)</f>
        <v>0</v>
      </c>
      <c r="J53" s="169">
        <f ca="1">_xll.DBRW(Server&amp;Cube1,$D$22,$D$25,$D$26,$D$21,$D$20,$G$23,$F53,$D$19,J$12,J$11,$I$14)</f>
        <v>4</v>
      </c>
      <c r="K53" s="169">
        <f ca="1">_xll.DBRW(Server&amp;Cube1,$D$22,$D$25,$D$26,$D$21,$D$20,$G$23,$F53,$D$19,K$12,K$11,$I$14)</f>
        <v>2</v>
      </c>
      <c r="L53" s="147"/>
      <c r="M53" s="167">
        <f t="shared" ca="1" si="0"/>
        <v>2</v>
      </c>
      <c r="N53" s="167">
        <f t="shared" ca="1" si="1"/>
        <v>0</v>
      </c>
      <c r="O53" s="168" t="str">
        <f t="shared" ca="1" si="2"/>
        <v>è</v>
      </c>
      <c r="P53" s="167">
        <f t="shared" ca="1" si="3"/>
        <v>-2</v>
      </c>
      <c r="Q53" s="140">
        <f t="shared" ca="1" si="4"/>
        <v>-0.5</v>
      </c>
      <c r="R53" s="150" t="str">
        <f t="shared" ca="1" si="5"/>
        <v>î</v>
      </c>
      <c r="S53" s="105"/>
      <c r="T53" s="112">
        <f ca="1">_xll.DBRW($F$37,$G$39,$G$40,$G$41,$G$42,$G$43,$G$44,$F53,$G$45,$I$12,I$11,$I$14)</f>
        <v>0</v>
      </c>
      <c r="U53" s="112">
        <f ca="1">_xll.DBRW($F$37,$G$39,$G$40,$G$41,$G$42,$G$43,$G$44,$F53,$G$45,$J$12,J$11,$I$14)</f>
        <v>4</v>
      </c>
      <c r="V53" s="113">
        <f ca="1">_xll.DBRW($F$37,$G$39,$G$40,$G$41,$G$42,$G$43,$G$44,$F53,$G$45,$K$12,K$11,$I$14)</f>
        <v>2</v>
      </c>
      <c r="AD53" s="86"/>
    </row>
    <row r="54" spans="1:47" s="4" customFormat="1" ht="17.25" hidden="1" customHeight="1" x14ac:dyDescent="0.25">
      <c r="B54" s="32"/>
      <c r="C54" s="32"/>
      <c r="D54" s="38"/>
      <c r="E54" s="66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W54" s="26"/>
      <c r="X54" s="26"/>
      <c r="Y54" s="26"/>
      <c r="Z54" s="26"/>
      <c r="AA54" s="26"/>
      <c r="AB54" s="26"/>
      <c r="AC54" s="26"/>
      <c r="AD54" s="15"/>
      <c r="AE54" s="26"/>
      <c r="AF54" s="26"/>
      <c r="AG54" s="26"/>
      <c r="AH54" s="26"/>
      <c r="AI54" s="26"/>
      <c r="AJ54" s="26"/>
    </row>
    <row r="55" spans="1:47" s="4" customFormat="1" ht="17.25" customHeight="1" x14ac:dyDescent="0.25">
      <c r="B55" s="32"/>
      <c r="C55" s="32"/>
      <c r="D55" s="38"/>
      <c r="E55" s="66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W55" s="26"/>
      <c r="X55" s="26"/>
      <c r="Y55" s="26"/>
      <c r="Z55" s="26"/>
      <c r="AA55" s="26"/>
      <c r="AB55" s="26"/>
      <c r="AC55" s="26"/>
      <c r="AD55" s="15"/>
      <c r="AE55" s="26"/>
      <c r="AF55" s="26"/>
      <c r="AG55" s="26"/>
      <c r="AH55" s="26"/>
      <c r="AI55" s="26"/>
      <c r="AJ55" s="26"/>
    </row>
    <row r="56" spans="1:47" s="4" customFormat="1" ht="17.25" customHeight="1" x14ac:dyDescent="0.25">
      <c r="B56" s="32"/>
      <c r="C56" s="32"/>
      <c r="D56" s="100" t="s">
        <v>93</v>
      </c>
      <c r="E56" s="66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W56" s="26"/>
      <c r="X56" s="26"/>
      <c r="Y56" s="26"/>
      <c r="Z56" s="26"/>
      <c r="AA56" s="26"/>
      <c r="AB56" s="26"/>
      <c r="AC56" s="26"/>
      <c r="AD56" s="15"/>
      <c r="AE56" s="26"/>
      <c r="AF56" s="26"/>
      <c r="AG56" s="26"/>
      <c r="AH56" s="26"/>
      <c r="AI56" s="26"/>
      <c r="AJ56" s="26"/>
    </row>
    <row r="57" spans="1:47" s="4" customFormat="1" ht="27" customHeight="1" thickBot="1" x14ac:dyDescent="0.35">
      <c r="B57" s="32"/>
      <c r="C57" s="32"/>
      <c r="D57" s="33" t="s">
        <v>10</v>
      </c>
      <c r="E57" s="66"/>
      <c r="F57" s="5" t="str">
        <f ca="1">_xll.DBRA(Server&amp;$AD$21,$D$57,$AG$18)</f>
        <v>Commentaires</v>
      </c>
      <c r="G57" s="80"/>
      <c r="H57" s="80"/>
      <c r="I57" s="80"/>
      <c r="J57" s="80"/>
      <c r="K57" s="81"/>
      <c r="L57" s="82"/>
      <c r="M57" s="82"/>
      <c r="N57" s="83"/>
      <c r="O57" s="84"/>
      <c r="P57" s="84"/>
      <c r="Q57" s="84"/>
      <c r="R57" s="85"/>
      <c r="S57" s="85"/>
      <c r="W57" s="26"/>
      <c r="X57" s="26"/>
      <c r="Y57" s="26"/>
      <c r="Z57" s="26"/>
      <c r="AA57" s="26"/>
      <c r="AB57" s="26"/>
      <c r="AC57" s="26"/>
      <c r="AD57" s="15"/>
      <c r="AE57" s="26"/>
      <c r="AF57" s="26"/>
      <c r="AG57" s="26"/>
      <c r="AH57" s="26"/>
      <c r="AI57" s="26"/>
      <c r="AJ57" s="26"/>
    </row>
    <row r="58" spans="1:47" s="4" customFormat="1" ht="27" customHeight="1" x14ac:dyDescent="0.25">
      <c r="B58" s="32"/>
      <c r="C58" s="32"/>
      <c r="D58" s="33" t="s">
        <v>30</v>
      </c>
      <c r="E58" s="66"/>
      <c r="F58" s="195" t="str">
        <f ca="1">_xll.DBRW(Server&amp;Cube2,$D$25,$D$26,$D$21,$G$23,$G$26,$D$19,$G$25,$O$11,$O$12,$D$56,$D$58)</f>
        <v/>
      </c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  <c r="S58" s="197"/>
      <c r="W58" s="26"/>
      <c r="X58" s="26"/>
      <c r="Y58" s="26"/>
      <c r="Z58" s="26"/>
      <c r="AA58" s="26"/>
      <c r="AB58" s="26"/>
      <c r="AC58" s="26"/>
      <c r="AD58" s="15"/>
      <c r="AE58" s="26"/>
      <c r="AF58" s="26"/>
      <c r="AG58" s="26"/>
      <c r="AH58" s="26"/>
      <c r="AI58" s="26"/>
      <c r="AJ58" s="26"/>
    </row>
    <row r="59" spans="1:47" s="4" customFormat="1" ht="27" customHeight="1" x14ac:dyDescent="0.25">
      <c r="B59" s="32"/>
      <c r="C59" s="32"/>
      <c r="D59" s="33" t="s">
        <v>31</v>
      </c>
      <c r="E59" s="66"/>
      <c r="F59" s="192" t="str">
        <f ca="1">_xll.DBRW(Server&amp;Cube2,$D$25,$D$26,$D$21,$G$23,$G$26,$D$19,$G$25,$O$11,$O$12,$D$56,$D$59)</f>
        <v/>
      </c>
      <c r="G59" s="193"/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4"/>
      <c r="W59" s="26"/>
      <c r="X59" s="26"/>
      <c r="Y59" s="26"/>
      <c r="Z59" s="26"/>
      <c r="AA59" s="26"/>
      <c r="AB59" s="26"/>
      <c r="AC59" s="26"/>
      <c r="AD59" s="15"/>
      <c r="AE59" s="26"/>
      <c r="AF59" s="26"/>
      <c r="AG59" s="26"/>
      <c r="AH59" s="26"/>
      <c r="AI59" s="26"/>
      <c r="AJ59" s="26"/>
    </row>
    <row r="60" spans="1:47" s="4" customFormat="1" ht="27" customHeight="1" x14ac:dyDescent="0.25">
      <c r="B60" s="32"/>
      <c r="C60" s="32"/>
      <c r="D60" s="33" t="s">
        <v>32</v>
      </c>
      <c r="E60" s="66"/>
      <c r="F60" s="192" t="str">
        <f ca="1">_xll.DBRW(Server&amp;Cube2,$D$25,$D$26,$D$21,$G$23,$G$26,$D$19,$G$25,$O$11,$O$12,$D$56,$D$60)</f>
        <v/>
      </c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3"/>
      <c r="R60" s="193"/>
      <c r="S60" s="194"/>
      <c r="W60" s="26"/>
      <c r="X60" s="26"/>
      <c r="Y60" s="26"/>
      <c r="Z60" s="26"/>
      <c r="AA60" s="26"/>
      <c r="AB60" s="26"/>
      <c r="AC60" s="26"/>
      <c r="AD60" s="15"/>
      <c r="AE60" s="26"/>
      <c r="AF60" s="26"/>
      <c r="AG60" s="26"/>
      <c r="AH60" s="26"/>
      <c r="AI60" s="26"/>
      <c r="AJ60" s="26"/>
    </row>
    <row r="61" spans="1:47" s="4" customFormat="1" ht="27" customHeight="1" thickBot="1" x14ac:dyDescent="0.3">
      <c r="B61" s="32"/>
      <c r="C61" s="32"/>
      <c r="D61" s="33" t="s">
        <v>33</v>
      </c>
      <c r="E61" s="66"/>
      <c r="F61" s="206" t="str">
        <f ca="1">_xll.DBRW(Server&amp;Cube2,$D$25,$D$26,$D$21,$G$23,$G$26,$D$19,$G$25,$O$11,$O$12,$D$56,$D$61)</f>
        <v/>
      </c>
      <c r="G61" s="207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8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</row>
    <row r="62" spans="1:47" s="4" customFormat="1" ht="17.25" customHeight="1" x14ac:dyDescent="0.25">
      <c r="B62" s="32"/>
      <c r="C62" s="32"/>
      <c r="D62" s="38"/>
      <c r="E62" s="66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</row>
    <row r="63" spans="1:47" s="4" customFormat="1" ht="17.25" customHeight="1" x14ac:dyDescent="0.25">
      <c r="B63" s="32"/>
      <c r="C63" s="32"/>
      <c r="D63" s="38"/>
      <c r="E63" s="66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</row>
    <row r="64" spans="1:47" s="4" customFormat="1" ht="17.25" customHeight="1" x14ac:dyDescent="0.25">
      <c r="B64" s="32"/>
      <c r="C64" s="32"/>
      <c r="D64" s="38"/>
      <c r="E64" s="66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</row>
    <row r="65" spans="1:47" s="4" customFormat="1" ht="17.25" customHeight="1" x14ac:dyDescent="0.25">
      <c r="B65" s="32"/>
      <c r="C65" s="32"/>
      <c r="D65" s="38"/>
      <c r="E65" s="66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</row>
    <row r="66" spans="1:47" s="4" customFormat="1" ht="17.25" customHeight="1" x14ac:dyDescent="0.25">
      <c r="B66" s="32"/>
      <c r="C66" s="32"/>
      <c r="D66" s="38"/>
      <c r="E66" s="66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</row>
    <row r="67" spans="1:47" s="4" customFormat="1" ht="17.25" customHeight="1" x14ac:dyDescent="0.25">
      <c r="B67" s="32"/>
      <c r="C67" s="32"/>
      <c r="D67" s="38"/>
      <c r="E67" s="66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</row>
    <row r="68" spans="1:47" s="4" customFormat="1" ht="17.25" customHeight="1" x14ac:dyDescent="0.25">
      <c r="B68" s="32"/>
      <c r="C68" s="32"/>
      <c r="D68" s="38"/>
      <c r="E68" s="66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</row>
    <row r="69" spans="1:47" ht="22.5" customHeight="1" x14ac:dyDescent="0.25">
      <c r="B69" s="32"/>
      <c r="C69" s="39"/>
      <c r="D69" s="38"/>
      <c r="E69" s="64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4"/>
      <c r="U69" s="4"/>
      <c r="V69" s="4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</row>
    <row r="70" spans="1:47" s="21" customFormat="1" ht="20.25" customHeight="1" x14ac:dyDescent="0.25">
      <c r="B70" s="32"/>
      <c r="C70" s="32"/>
      <c r="D70" s="38"/>
      <c r="E70" s="62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4"/>
      <c r="U70" s="4"/>
      <c r="V70" s="4"/>
      <c r="W70" s="26"/>
      <c r="X70" s="26"/>
      <c r="Y70" s="14"/>
      <c r="Z70" s="14"/>
      <c r="AA70" s="14"/>
      <c r="AB70" s="14"/>
      <c r="AC70" s="14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</row>
    <row r="71" spans="1:47" s="21" customFormat="1" ht="23.25" customHeight="1" x14ac:dyDescent="0.25">
      <c r="B71" s="32"/>
      <c r="C71" s="32"/>
      <c r="D71" s="38"/>
      <c r="E71" s="62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4"/>
      <c r="U71" s="4"/>
      <c r="V71" s="4"/>
      <c r="W71" s="26"/>
      <c r="X71" s="26"/>
      <c r="Y71" s="14"/>
      <c r="Z71" s="14"/>
      <c r="AA71" s="14"/>
      <c r="AB71" s="14"/>
      <c r="AC71" s="14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</row>
    <row r="72" spans="1:47" s="21" customFormat="1" ht="23.25" customHeight="1" x14ac:dyDescent="0.25">
      <c r="B72" s="32"/>
      <c r="C72" s="32"/>
      <c r="D72" s="38"/>
      <c r="E72" s="62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4"/>
      <c r="U72" s="4"/>
      <c r="V72" s="4"/>
      <c r="W72" s="26"/>
      <c r="X72" s="26"/>
      <c r="Y72" s="14"/>
      <c r="Z72" s="14"/>
      <c r="AA72" s="14"/>
      <c r="AB72" s="14"/>
      <c r="AC72" s="14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</row>
    <row r="73" spans="1:47" s="21" customFormat="1" ht="23.25" customHeight="1" x14ac:dyDescent="0.25">
      <c r="B73" s="32"/>
      <c r="C73" s="32"/>
      <c r="D73" s="38"/>
      <c r="E73" s="62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4"/>
      <c r="U73" s="4"/>
      <c r="V73" s="4"/>
      <c r="W73" s="26"/>
      <c r="X73" s="26"/>
      <c r="Y73" s="14"/>
      <c r="Z73" s="14"/>
      <c r="AA73" s="14"/>
      <c r="AB73" s="14"/>
      <c r="AC73" s="14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</row>
    <row r="74" spans="1:47" s="21" customFormat="1" ht="23.25" customHeight="1" x14ac:dyDescent="0.25">
      <c r="B74" s="32"/>
      <c r="C74" s="32"/>
      <c r="D74" s="38"/>
      <c r="E74" s="62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4"/>
      <c r="U74" s="4"/>
      <c r="V74" s="4"/>
      <c r="W74" s="26"/>
      <c r="X74" s="26"/>
      <c r="Y74" s="14"/>
      <c r="Z74" s="14"/>
      <c r="AA74" s="14"/>
      <c r="AB74" s="14"/>
      <c r="AC74" s="14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</row>
    <row r="75" spans="1:47" s="21" customFormat="1" ht="15.75" x14ac:dyDescent="0.25">
      <c r="B75" s="32"/>
      <c r="C75" s="32"/>
      <c r="D75" s="38"/>
      <c r="E75" s="62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4"/>
      <c r="W75" s="14"/>
      <c r="X75" s="14"/>
      <c r="Y75" s="14"/>
      <c r="Z75" s="14"/>
      <c r="AA75" s="14"/>
      <c r="AB75" s="14"/>
      <c r="AC75" s="14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</row>
    <row r="76" spans="1:47" s="21" customFormat="1" ht="12.75" x14ac:dyDescent="0.2">
      <c r="B76" s="32"/>
      <c r="C76" s="32"/>
      <c r="D76" s="33"/>
      <c r="E76" s="6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4"/>
      <c r="W76" s="14"/>
      <c r="X76" s="14"/>
      <c r="Y76" s="14"/>
      <c r="Z76" s="14"/>
      <c r="AA76" s="14"/>
      <c r="AB76" s="14"/>
      <c r="AC76" s="14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</row>
    <row r="77" spans="1:47" s="21" customFormat="1" ht="12.75" x14ac:dyDescent="0.2">
      <c r="B77" s="32"/>
      <c r="C77" s="32"/>
      <c r="D77" s="33"/>
      <c r="E77" s="62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4"/>
      <c r="W77" s="14"/>
      <c r="X77" s="14"/>
      <c r="Y77" s="14"/>
      <c r="Z77" s="14"/>
      <c r="AA77" s="14"/>
      <c r="AB77" s="14"/>
      <c r="AC77" s="14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</row>
    <row r="78" spans="1:47" s="14" customFormat="1" ht="12.75" x14ac:dyDescent="0.2">
      <c r="A78" s="26"/>
      <c r="B78" s="32"/>
      <c r="C78" s="32"/>
      <c r="D78" s="33"/>
      <c r="E78" s="62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4"/>
      <c r="U78" s="26"/>
      <c r="V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</row>
    <row r="79" spans="1:47" s="14" customFormat="1" ht="18" customHeight="1" x14ac:dyDescent="0.2">
      <c r="A79" s="26"/>
      <c r="B79" s="32"/>
      <c r="C79" s="32"/>
      <c r="D79" s="33"/>
      <c r="E79" s="62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4"/>
      <c r="U79" s="26"/>
      <c r="V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</row>
    <row r="80" spans="1:47" s="14" customFormat="1" ht="18" customHeight="1" x14ac:dyDescent="0.2">
      <c r="A80" s="26"/>
      <c r="B80" s="32"/>
      <c r="C80" s="32"/>
      <c r="D80" s="33"/>
      <c r="E80" s="62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4"/>
      <c r="U80" s="27"/>
      <c r="V80" s="27"/>
      <c r="X80" s="15"/>
      <c r="Y80" s="15"/>
      <c r="Z80" s="15"/>
      <c r="AA80" s="15"/>
      <c r="AB80" s="15"/>
      <c r="AC80" s="15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</row>
    <row r="81" spans="1:22" s="14" customFormat="1" ht="18" customHeight="1" x14ac:dyDescent="0.2">
      <c r="A81" s="26"/>
      <c r="B81" s="32"/>
      <c r="C81" s="32"/>
      <c r="D81" s="33"/>
      <c r="E81" s="62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4"/>
      <c r="U81" s="27"/>
      <c r="V81" s="27"/>
    </row>
    <row r="82" spans="1:22" s="14" customFormat="1" ht="18" customHeight="1" x14ac:dyDescent="0.2">
      <c r="A82" s="26"/>
      <c r="B82" s="32"/>
      <c r="C82" s="32"/>
      <c r="D82" s="33"/>
      <c r="E82" s="6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4"/>
      <c r="U82" s="26"/>
      <c r="V82" s="26"/>
    </row>
    <row r="83" spans="1:22" s="14" customFormat="1" ht="18" customHeight="1" x14ac:dyDescent="0.2">
      <c r="A83" s="26"/>
      <c r="B83" s="32"/>
      <c r="C83" s="32"/>
      <c r="D83" s="33"/>
      <c r="E83" s="62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4"/>
      <c r="U83" s="26"/>
      <c r="V83" s="26"/>
    </row>
    <row r="84" spans="1:22" s="14" customFormat="1" ht="18" customHeight="1" x14ac:dyDescent="0.2">
      <c r="A84" s="26"/>
      <c r="E84" s="26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4"/>
      <c r="U84" s="26"/>
      <c r="V84" s="26"/>
    </row>
    <row r="85" spans="1:22" s="14" customFormat="1" ht="18" customHeight="1" x14ac:dyDescent="0.2">
      <c r="A85" s="26"/>
      <c r="E85" s="26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4"/>
      <c r="U85" s="26"/>
      <c r="V85" s="26"/>
    </row>
    <row r="86" spans="1:22" s="14" customFormat="1" ht="18" customHeight="1" x14ac:dyDescent="0.2">
      <c r="A86" s="26"/>
      <c r="E86" s="26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4"/>
      <c r="U86" s="26"/>
      <c r="V86" s="26"/>
    </row>
    <row r="87" spans="1:22" s="14" customFormat="1" ht="18" customHeight="1" x14ac:dyDescent="0.2">
      <c r="A87" s="26"/>
      <c r="E87" s="26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4"/>
      <c r="U87" s="26"/>
      <c r="V87" s="26"/>
    </row>
    <row r="88" spans="1:22" s="14" customFormat="1" ht="18" customHeight="1" x14ac:dyDescent="0.2">
      <c r="A88" s="26"/>
      <c r="E88" s="26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4"/>
      <c r="U88" s="26"/>
      <c r="V88" s="26"/>
    </row>
    <row r="89" spans="1:22" s="14" customFormat="1" ht="18" customHeight="1" x14ac:dyDescent="0.2">
      <c r="A89" s="26"/>
      <c r="E89" s="26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4"/>
      <c r="U89" s="26"/>
      <c r="V89" s="26"/>
    </row>
    <row r="90" spans="1:22" s="14" customFormat="1" ht="18" customHeight="1" x14ac:dyDescent="0.2">
      <c r="A90" s="26"/>
      <c r="E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</row>
    <row r="91" spans="1:22" s="14" customFormat="1" ht="18" customHeight="1" x14ac:dyDescent="0.2">
      <c r="A91" s="26"/>
      <c r="E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</row>
    <row r="92" spans="1:22" s="14" customFormat="1" ht="18" customHeight="1" x14ac:dyDescent="0.2">
      <c r="A92" s="26"/>
      <c r="E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</row>
    <row r="93" spans="1:22" s="14" customFormat="1" ht="18" customHeight="1" x14ac:dyDescent="0.2">
      <c r="A93" s="26"/>
      <c r="E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</row>
    <row r="94" spans="1:22" s="14" customFormat="1" ht="18" customHeight="1" x14ac:dyDescent="0.2">
      <c r="A94" s="26"/>
      <c r="E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</row>
    <row r="95" spans="1:22" s="14" customFormat="1" ht="18" customHeight="1" x14ac:dyDescent="0.2">
      <c r="A95" s="26"/>
      <c r="D95" s="27"/>
      <c r="E95" s="27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</row>
    <row r="96" spans="1:22" s="14" customFormat="1" ht="18" customHeight="1" x14ac:dyDescent="0.2">
      <c r="A96" s="26"/>
      <c r="E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</row>
    <row r="97" spans="1:22" s="14" customFormat="1" ht="18" customHeight="1" x14ac:dyDescent="0.2">
      <c r="A97" s="26"/>
      <c r="E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</row>
    <row r="98" spans="1:22" s="14" customFormat="1" ht="18" customHeight="1" x14ac:dyDescent="0.2">
      <c r="A98" s="26"/>
      <c r="E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</row>
    <row r="99" spans="1:22" s="14" customFormat="1" ht="18" customHeight="1" x14ac:dyDescent="0.2">
      <c r="A99" s="26"/>
      <c r="E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</row>
    <row r="100" spans="1:22" s="14" customFormat="1" ht="18" customHeight="1" x14ac:dyDescent="0.2">
      <c r="A100" s="26"/>
      <c r="E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</row>
    <row r="101" spans="1:22" s="14" customFormat="1" ht="18" customHeight="1" x14ac:dyDescent="0.2">
      <c r="A101" s="26"/>
      <c r="E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</row>
    <row r="102" spans="1:22" s="14" customFormat="1" ht="18" customHeight="1" x14ac:dyDescent="0.2">
      <c r="A102" s="26"/>
      <c r="E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</row>
    <row r="103" spans="1:22" s="14" customFormat="1" ht="18" customHeight="1" x14ac:dyDescent="0.2">
      <c r="A103" s="26"/>
      <c r="E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</row>
    <row r="104" spans="1:22" s="14" customFormat="1" ht="18" customHeight="1" x14ac:dyDescent="0.2">
      <c r="A104" s="26"/>
      <c r="E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</row>
    <row r="105" spans="1:22" s="14" customFormat="1" ht="18" customHeight="1" x14ac:dyDescent="0.2">
      <c r="A105" s="26"/>
      <c r="E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</row>
    <row r="106" spans="1:22" s="14" customFormat="1" ht="18" customHeight="1" x14ac:dyDescent="0.2">
      <c r="A106" s="26"/>
      <c r="E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</row>
    <row r="107" spans="1:22" s="14" customFormat="1" ht="18" customHeight="1" x14ac:dyDescent="0.2">
      <c r="A107" s="26"/>
      <c r="E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</row>
    <row r="108" spans="1:22" s="14" customFormat="1" ht="18" customHeight="1" x14ac:dyDescent="0.2">
      <c r="A108" s="26"/>
      <c r="E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</row>
    <row r="109" spans="1:22" s="14" customFormat="1" ht="18" customHeight="1" x14ac:dyDescent="0.2">
      <c r="A109" s="26"/>
      <c r="E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</row>
    <row r="110" spans="1:22" s="14" customFormat="1" ht="18" customHeight="1" x14ac:dyDescent="0.2">
      <c r="A110" s="26"/>
      <c r="E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</row>
    <row r="111" spans="1:22" s="14" customFormat="1" ht="18" customHeight="1" x14ac:dyDescent="0.2">
      <c r="A111" s="26"/>
      <c r="E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</row>
    <row r="112" spans="1:22" s="14" customFormat="1" ht="18" customHeight="1" x14ac:dyDescent="0.2">
      <c r="A112" s="26"/>
      <c r="E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</row>
    <row r="113" spans="1:22" s="14" customFormat="1" ht="18" customHeight="1" x14ac:dyDescent="0.2">
      <c r="A113" s="26"/>
      <c r="E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</row>
    <row r="114" spans="1:22" s="14" customFormat="1" ht="18" customHeight="1" x14ac:dyDescent="0.2">
      <c r="A114" s="26"/>
      <c r="E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</row>
    <row r="115" spans="1:22" s="14" customFormat="1" ht="18" customHeight="1" x14ac:dyDescent="0.2">
      <c r="A115" s="26"/>
      <c r="E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</row>
    <row r="116" spans="1:22" s="14" customFormat="1" ht="18" customHeight="1" x14ac:dyDescent="0.2">
      <c r="A116" s="26"/>
      <c r="E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</row>
    <row r="117" spans="1:22" s="14" customFormat="1" ht="18" customHeight="1" x14ac:dyDescent="0.2">
      <c r="A117" s="26"/>
      <c r="E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</row>
    <row r="118" spans="1:22" s="14" customFormat="1" ht="18" customHeight="1" x14ac:dyDescent="0.2">
      <c r="A118" s="26"/>
      <c r="E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</row>
    <row r="119" spans="1:22" s="14" customFormat="1" ht="18" customHeight="1" x14ac:dyDescent="0.2">
      <c r="A119" s="26"/>
      <c r="E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</row>
    <row r="120" spans="1:22" s="14" customFormat="1" ht="18" customHeight="1" x14ac:dyDescent="0.2">
      <c r="A120" s="26"/>
      <c r="E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</row>
    <row r="121" spans="1:22" s="14" customFormat="1" ht="18" customHeight="1" x14ac:dyDescent="0.2">
      <c r="A121" s="26"/>
      <c r="E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</row>
    <row r="122" spans="1:22" s="14" customFormat="1" ht="18" customHeight="1" x14ac:dyDescent="0.2">
      <c r="A122" s="26"/>
      <c r="E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</row>
    <row r="123" spans="1:22" s="14" customFormat="1" ht="18" customHeight="1" x14ac:dyDescent="0.2">
      <c r="A123" s="26"/>
      <c r="E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</row>
    <row r="124" spans="1:22" s="14" customFormat="1" ht="18" customHeight="1" x14ac:dyDescent="0.2">
      <c r="A124" s="26"/>
      <c r="E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</row>
    <row r="125" spans="1:22" s="14" customFormat="1" ht="18" customHeight="1" x14ac:dyDescent="0.2">
      <c r="A125" s="26"/>
      <c r="E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</row>
    <row r="126" spans="1:22" s="14" customFormat="1" ht="18" customHeight="1" x14ac:dyDescent="0.2">
      <c r="A126" s="26"/>
      <c r="E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</row>
    <row r="127" spans="1:22" s="14" customFormat="1" ht="18" customHeight="1" x14ac:dyDescent="0.2">
      <c r="A127" s="26"/>
      <c r="E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</row>
    <row r="128" spans="1:22" s="14" customFormat="1" ht="18" customHeight="1" x14ac:dyDescent="0.2">
      <c r="A128" s="26"/>
      <c r="E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</row>
    <row r="129" spans="1:22" s="14" customFormat="1" ht="18" customHeight="1" x14ac:dyDescent="0.2">
      <c r="A129" s="26"/>
      <c r="E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</row>
    <row r="130" spans="1:22" s="14" customFormat="1" ht="18" customHeight="1" x14ac:dyDescent="0.2">
      <c r="A130" s="26"/>
      <c r="E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</row>
    <row r="131" spans="1:22" s="14" customFormat="1" ht="18" customHeight="1" x14ac:dyDescent="0.2">
      <c r="A131" s="26"/>
      <c r="E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</row>
    <row r="132" spans="1:22" s="14" customFormat="1" ht="18" customHeight="1" x14ac:dyDescent="0.2">
      <c r="A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</row>
    <row r="133" spans="1:22" s="14" customFormat="1" ht="18" customHeight="1" x14ac:dyDescent="0.2">
      <c r="A133" s="26"/>
      <c r="E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</row>
    <row r="134" spans="1:22" s="14" customFormat="1" ht="18" customHeight="1" x14ac:dyDescent="0.2">
      <c r="A134" s="26"/>
      <c r="E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</row>
    <row r="135" spans="1:22" s="14" customFormat="1" ht="18" customHeight="1" x14ac:dyDescent="0.2">
      <c r="A135" s="26"/>
      <c r="E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</row>
    <row r="136" spans="1:22" s="14" customFormat="1" ht="18" customHeight="1" x14ac:dyDescent="0.2">
      <c r="A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</row>
    <row r="137" spans="1:22" s="14" customFormat="1" ht="18" customHeight="1" x14ac:dyDescent="0.2">
      <c r="A137" s="26"/>
      <c r="E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</row>
    <row r="138" spans="1:22" s="14" customFormat="1" ht="18" customHeight="1" x14ac:dyDescent="0.2">
      <c r="A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</row>
    <row r="139" spans="1:22" s="14" customFormat="1" ht="18" customHeight="1" x14ac:dyDescent="0.2">
      <c r="A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</row>
    <row r="140" spans="1:22" s="14" customFormat="1" ht="18" customHeight="1" x14ac:dyDescent="0.2">
      <c r="A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</row>
    <row r="141" spans="1:22" s="14" customFormat="1" ht="18" customHeight="1" x14ac:dyDescent="0.2">
      <c r="A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</row>
    <row r="142" spans="1:22" s="14" customFormat="1" ht="18" customHeight="1" x14ac:dyDescent="0.2">
      <c r="A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</row>
    <row r="143" spans="1:22" s="14" customFormat="1" ht="18" customHeight="1" x14ac:dyDescent="0.2">
      <c r="A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</row>
    <row r="144" spans="1:22" s="14" customFormat="1" ht="18" customHeight="1" x14ac:dyDescent="0.2">
      <c r="A144" s="26"/>
      <c r="E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</row>
    <row r="145" spans="1:22" s="14" customFormat="1" ht="18" customHeight="1" x14ac:dyDescent="0.2">
      <c r="A145" s="26"/>
      <c r="E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</row>
    <row r="146" spans="1:22" s="14" customFormat="1" ht="18" customHeight="1" x14ac:dyDescent="0.2">
      <c r="A146" s="26"/>
      <c r="E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</row>
    <row r="147" spans="1:22" s="14" customFormat="1" ht="18" customHeight="1" x14ac:dyDescent="0.2">
      <c r="A147" s="26"/>
      <c r="E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</row>
    <row r="148" spans="1:22" s="14" customFormat="1" ht="18" customHeight="1" x14ac:dyDescent="0.2">
      <c r="A148" s="26"/>
      <c r="E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</row>
    <row r="149" spans="1:22" s="14" customFormat="1" ht="18" customHeight="1" x14ac:dyDescent="0.2">
      <c r="A149" s="26"/>
      <c r="E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</row>
    <row r="150" spans="1:22" s="14" customFormat="1" ht="18" customHeight="1" x14ac:dyDescent="0.2">
      <c r="A150" s="26"/>
      <c r="E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</row>
    <row r="151" spans="1:22" s="14" customFormat="1" ht="18" customHeight="1" x14ac:dyDescent="0.2">
      <c r="A151" s="26"/>
      <c r="E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</row>
    <row r="152" spans="1:22" s="14" customFormat="1" ht="18" customHeight="1" x14ac:dyDescent="0.2">
      <c r="A152" s="26"/>
      <c r="E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</row>
    <row r="153" spans="1:22" s="14" customFormat="1" ht="18" customHeight="1" x14ac:dyDescent="0.2">
      <c r="A153" s="26"/>
      <c r="E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</row>
    <row r="154" spans="1:22" s="14" customFormat="1" ht="18" customHeight="1" x14ac:dyDescent="0.2">
      <c r="A154" s="26"/>
      <c r="E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</row>
    <row r="155" spans="1:22" s="14" customFormat="1" ht="18" customHeight="1" x14ac:dyDescent="0.2">
      <c r="A155" s="26"/>
      <c r="E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</row>
    <row r="156" spans="1:22" s="14" customFormat="1" ht="18" customHeight="1" x14ac:dyDescent="0.2">
      <c r="A156" s="26"/>
      <c r="E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</row>
    <row r="157" spans="1:22" s="14" customFormat="1" ht="18" customHeight="1" x14ac:dyDescent="0.2">
      <c r="A157" s="26"/>
      <c r="E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</row>
  </sheetData>
  <sheetProtection sheet="1" objects="1" scenarios="1" formatColumns="0" formatRows="0"/>
  <protectedRanges>
    <protectedRange sqref="G58:S60" name="Commentaires"/>
  </protectedRanges>
  <mergeCells count="15">
    <mergeCell ref="AI29:AK29"/>
    <mergeCell ref="I29:K30"/>
    <mergeCell ref="V29:V30"/>
    <mergeCell ref="F34:G34"/>
    <mergeCell ref="F61:S61"/>
    <mergeCell ref="M31:N31"/>
    <mergeCell ref="P31:Q31"/>
    <mergeCell ref="M29:R30"/>
    <mergeCell ref="R19:R20"/>
    <mergeCell ref="F33:G33"/>
    <mergeCell ref="F60:S60"/>
    <mergeCell ref="F58:S58"/>
    <mergeCell ref="F59:S59"/>
    <mergeCell ref="L19:M20"/>
    <mergeCell ref="F19:K20"/>
  </mergeCells>
  <phoneticPr fontId="0" type="noConversion"/>
  <conditionalFormatting sqref="O34">
    <cfRule type="cellIs" dxfId="29" priority="6966" operator="equal">
      <formula>$AI$30</formula>
    </cfRule>
  </conditionalFormatting>
  <conditionalFormatting sqref="O34">
    <cfRule type="cellIs" dxfId="28" priority="6965" operator="equal">
      <formula>$AJ$30</formula>
    </cfRule>
  </conditionalFormatting>
  <conditionalFormatting sqref="O34">
    <cfRule type="cellIs" dxfId="27" priority="6964" operator="equal">
      <formula>$AK$30</formula>
    </cfRule>
  </conditionalFormatting>
  <conditionalFormatting sqref="R34">
    <cfRule type="cellIs" dxfId="26" priority="6963" operator="equal">
      <formula>$AI$30</formula>
    </cfRule>
  </conditionalFormatting>
  <conditionalFormatting sqref="R34">
    <cfRule type="cellIs" dxfId="25" priority="6962" operator="equal">
      <formula>$AJ$30</formula>
    </cfRule>
  </conditionalFormatting>
  <conditionalFormatting sqref="R34">
    <cfRule type="cellIs" dxfId="24" priority="6961" operator="equal">
      <formula>$AK$30</formula>
    </cfRule>
  </conditionalFormatting>
  <conditionalFormatting sqref="O2:O7">
    <cfRule type="cellIs" dxfId="23" priority="6942" operator="equal">
      <formula>$AI$30</formula>
    </cfRule>
  </conditionalFormatting>
  <conditionalFormatting sqref="O2:O7">
    <cfRule type="cellIs" dxfId="22" priority="6941" operator="equal">
      <formula>$AJ$30</formula>
    </cfRule>
  </conditionalFormatting>
  <conditionalFormatting sqref="O2:O7">
    <cfRule type="cellIs" dxfId="21" priority="6940" operator="equal">
      <formula>$AK$30</formula>
    </cfRule>
  </conditionalFormatting>
  <conditionalFormatting sqref="R2:R7">
    <cfRule type="cellIs" dxfId="20" priority="6930" operator="equal">
      <formula>$AI$30</formula>
    </cfRule>
  </conditionalFormatting>
  <conditionalFormatting sqref="R2:R7">
    <cfRule type="cellIs" dxfId="19" priority="6929" operator="equal">
      <formula>$AJ$30</formula>
    </cfRule>
  </conditionalFormatting>
  <conditionalFormatting sqref="R2:R7">
    <cfRule type="cellIs" dxfId="18" priority="6928" operator="equal">
      <formula>$AK$30</formula>
    </cfRule>
  </conditionalFormatting>
  <conditionalFormatting sqref="O51:O53">
    <cfRule type="cellIs" dxfId="5" priority="6" operator="equal">
      <formula>$AI$30</formula>
    </cfRule>
  </conditionalFormatting>
  <conditionalFormatting sqref="O51:O53">
    <cfRule type="cellIs" dxfId="4" priority="5" operator="equal">
      <formula>$AJ$30</formula>
    </cfRule>
  </conditionalFormatting>
  <conditionalFormatting sqref="O51:O53">
    <cfRule type="cellIs" dxfId="3" priority="4" operator="equal">
      <formula>$AK$30</formula>
    </cfRule>
  </conditionalFormatting>
  <conditionalFormatting sqref="R51:R53">
    <cfRule type="cellIs" dxfId="2" priority="3" operator="equal">
      <formula>$AI$30</formula>
    </cfRule>
  </conditionalFormatting>
  <conditionalFormatting sqref="R51:R53">
    <cfRule type="cellIs" dxfId="1" priority="2" operator="equal">
      <formula>$AJ$30</formula>
    </cfRule>
  </conditionalFormatting>
  <conditionalFormatting sqref="R51:R53">
    <cfRule type="cellIs" dxfId="0" priority="1" operator="equal">
      <formula>$AK$30</formula>
    </cfRule>
  </conditionalFormatting>
  <dataValidations count="4">
    <dataValidation type="list" allowBlank="1" showInputMessage="1" showErrorMessage="1" sqref="T29:U29 G24">
      <formula1>Language</formula1>
    </dataValidation>
    <dataValidation type="list" allowBlank="1" showInputMessage="1" showErrorMessage="1" sqref="T31">
      <formula1>$AE$22:$AE$26</formula1>
    </dataValidation>
    <dataValidation type="list" allowBlank="1" showInputMessage="1" showErrorMessage="1" sqref="G27">
      <formula1>$AE$22:$AE$29</formula1>
    </dataValidation>
    <dataValidation type="list" allowBlank="1" showInputMessage="1" showErrorMessage="1" sqref="G29">
      <formula1>PhaseList</formula1>
    </dataValidation>
  </dataValidations>
  <printOptions horizontalCentered="1"/>
  <pageMargins left="0" right="0" top="7.874015748031496E-2" bottom="7.874015748031496E-2" header="0.35433070866141736" footer="0.15748031496062992"/>
  <pageSetup paperSize="9" scale="50" orientation="portrait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60787" r:id="rId4" name="Refresh_Report">
          <controlPr defaultSize="0" print="0" autoLine="0" r:id="rId5">
            <anchor moveWithCells="1">
              <from>
                <xdr:col>5</xdr:col>
                <xdr:colOff>47625</xdr:colOff>
                <xdr:row>15</xdr:row>
                <xdr:rowOff>85725</xdr:rowOff>
              </from>
              <to>
                <xdr:col>5</xdr:col>
                <xdr:colOff>2295525</xdr:colOff>
                <xdr:row>17</xdr:row>
                <xdr:rowOff>47625</xdr:rowOff>
              </to>
            </anchor>
          </controlPr>
        </control>
      </mc:Choice>
      <mc:Fallback>
        <control shapeId="160787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25</vt:i4>
      </vt:variant>
    </vt:vector>
  </HeadingPairs>
  <TitlesOfParts>
    <vt:vector size="27" baseType="lpstr">
      <vt:lpstr>Context</vt:lpstr>
      <vt:lpstr>Suivi_Variations_Effectifs_ETP</vt:lpstr>
      <vt:lpstr>ActualBudgetAdmin</vt:lpstr>
      <vt:lpstr>ActualForecast1Admin</vt:lpstr>
      <vt:lpstr>ActualForecast2Admin</vt:lpstr>
      <vt:lpstr>ActualMonth</vt:lpstr>
      <vt:lpstr>ActualMonthYTD</vt:lpstr>
      <vt:lpstr>AutoFit</vt:lpstr>
      <vt:lpstr>AutoRefresh_Input_PL</vt:lpstr>
      <vt:lpstr>AutoRefresh_Suivi_Variations_Effectifs_ETP</vt:lpstr>
      <vt:lpstr>Cube1</vt:lpstr>
      <vt:lpstr>Cube2</vt:lpstr>
      <vt:lpstr>Flag_Send_Comment</vt:lpstr>
      <vt:lpstr>Flag_Send_Data</vt:lpstr>
      <vt:lpstr>Suivi_Variations_Effectifs_ETP!Impression_des_titres</vt:lpstr>
      <vt:lpstr>Language</vt:lpstr>
      <vt:lpstr>LocalLanguage</vt:lpstr>
      <vt:lpstr>LocalLanguage2</vt:lpstr>
      <vt:lpstr>Note</vt:lpstr>
      <vt:lpstr>PhaseList</vt:lpstr>
      <vt:lpstr>Server</vt:lpstr>
      <vt:lpstr>Suivi_Variations_Effectifs_ETP!TM1RPTDATARNGARPT3</vt:lpstr>
      <vt:lpstr>Suivi_Variations_Effectifs_ETP!TM1RPTFMTIDCOL</vt:lpstr>
      <vt:lpstr>Suivi_Variations_Effectifs_ETP!TM1RPTFMTRNG</vt:lpstr>
      <vt:lpstr>xHost</vt:lpstr>
      <vt:lpstr>xServer</vt:lpstr>
      <vt:lpstr>Suivi_Variations_Effectifs_ETP!Zone_d_impression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2012-06-25T09:55:39Z</cp:lastPrinted>
  <dcterms:created xsi:type="dcterms:W3CDTF">2011-06-21T16:52:24Z</dcterms:created>
  <dcterms:modified xsi:type="dcterms:W3CDTF">2013-04-18T12:11:34Z</dcterms:modified>
</cp:coreProperties>
</file>