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8655" windowHeight="6840" tabRatio="852" firstSheet="1" activeTab="1"/>
  </bookViews>
  <sheets>
    <sheet name="Context" sheetId="66" state="hidden" r:id="rId1"/>
    <sheet name="Saisie_ind_sécurité_real" sheetId="58" r:id="rId2"/>
  </sheets>
  <functionGroups builtInGroupCount="17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Year">Context!$C$13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Saisie_ind_sécurité_real!$I$30:$Z$42</definedName>
    <definedName name="AutoRefresh_Input_PL">Saisie_ind_sécurité_real!$AC$13</definedName>
    <definedName name="AutoRefresh_Saisie_ind_sécurité_real">Saisie_ind_sécurité_real!$G$13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3" localSheetId="1">Saisie_ind_sécurité_real!$35:$35</definedName>
    <definedName name="TM1RPTDATARNGARPT4" localSheetId="1">Saisie_ind_sécurité_real!$38:$38</definedName>
    <definedName name="TM1RPTDATARNGARPT5" localSheetId="1">Saisie_ind_sécurité_real!$41:$41</definedName>
    <definedName name="TM1RPTFMTIDCOL" localSheetId="1">Saisie_ind_sécurité_real!$A$1:$A$8</definedName>
    <definedName name="TM1RPTFMTRNG" localSheetId="1">Saisie_ind_sécurité_real!$F$1:$Z$8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Saisie_ind_sécurité_real!$E$20:$AA$50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F10" i="58" l="1"/>
  <c r="B5" i="66"/>
  <c r="G27" i="58"/>
  <c r="AP20" i="58"/>
  <c r="B13" i="66"/>
  <c r="C13" i="66"/>
  <c r="G25" i="58"/>
  <c r="H15" i="58"/>
  <c r="M14" i="58"/>
  <c r="I14" i="58"/>
  <c r="F16" i="58"/>
  <c r="M13" i="58"/>
  <c r="J13" i="58"/>
  <c r="I16" i="58"/>
  <c r="Z14" i="58"/>
  <c r="O13" i="58"/>
  <c r="Y14" i="58"/>
  <c r="X14" i="58"/>
  <c r="W14" i="58"/>
  <c r="V14" i="58"/>
  <c r="U14" i="58"/>
  <c r="T14" i="58"/>
  <c r="S14" i="58"/>
  <c r="R14" i="58"/>
  <c r="Q14" i="58"/>
  <c r="P14" i="58"/>
  <c r="O14" i="58"/>
  <c r="L14" i="58"/>
  <c r="L13" i="58"/>
  <c r="AN25" i="58"/>
  <c r="J14" i="58"/>
  <c r="F11" i="58"/>
  <c r="F12" i="58"/>
  <c r="G26" i="58"/>
  <c r="G10" i="58"/>
  <c r="F41" i="58"/>
  <c r="L41" i="58"/>
  <c r="F38" i="58"/>
  <c r="L38" i="58"/>
  <c r="F35" i="58"/>
  <c r="L35" i="58"/>
  <c r="L34" i="58"/>
  <c r="L30" i="58"/>
  <c r="L28" i="58"/>
  <c r="G21" i="58"/>
  <c r="B17" i="66"/>
  <c r="C17" i="66"/>
  <c r="AE41" i="58"/>
  <c r="AD41" i="58"/>
  <c r="AC41" i="58"/>
  <c r="AB41" i="58"/>
  <c r="AE38" i="58"/>
  <c r="AD38" i="58"/>
  <c r="AC38" i="58"/>
  <c r="AE35" i="58"/>
  <c r="AD35" i="58"/>
  <c r="AC35" i="58"/>
  <c r="AB38" i="58"/>
  <c r="AB35" i="58"/>
  <c r="O35" i="58"/>
  <c r="F34" i="58"/>
  <c r="AN24" i="58"/>
  <c r="AN26" i="58"/>
  <c r="F49" i="58"/>
  <c r="F48" i="58"/>
  <c r="F47" i="58"/>
  <c r="F46" i="58"/>
  <c r="Y21" i="58"/>
  <c r="F45" i="58"/>
  <c r="I28" i="58"/>
  <c r="Z41" i="58"/>
  <c r="Y41" i="58"/>
  <c r="X41" i="58"/>
  <c r="W41" i="58"/>
  <c r="V41" i="58"/>
  <c r="U41" i="58"/>
  <c r="T41" i="58"/>
  <c r="S41" i="58"/>
  <c r="R41" i="58"/>
  <c r="Q41" i="58"/>
  <c r="P41" i="58"/>
  <c r="O41" i="58"/>
  <c r="M41" i="58"/>
  <c r="J41" i="58"/>
  <c r="I41" i="58"/>
  <c r="Y40" i="58"/>
  <c r="X40" i="58"/>
  <c r="W40" i="58"/>
  <c r="V40" i="58"/>
  <c r="U40" i="58"/>
  <c r="T40" i="58"/>
  <c r="S40" i="58"/>
  <c r="R40" i="58"/>
  <c r="Q40" i="58"/>
  <c r="P40" i="58"/>
  <c r="O40" i="58"/>
  <c r="N40" i="58"/>
  <c r="M40" i="58"/>
  <c r="J40" i="58"/>
  <c r="I40" i="58"/>
  <c r="F40" i="58"/>
  <c r="J38" i="58"/>
  <c r="Z38" i="58"/>
  <c r="Y38" i="58"/>
  <c r="X38" i="58"/>
  <c r="W38" i="58"/>
  <c r="V38" i="58"/>
  <c r="U38" i="58"/>
  <c r="T38" i="58"/>
  <c r="S38" i="58"/>
  <c r="R38" i="58"/>
  <c r="Q38" i="58"/>
  <c r="P38" i="58"/>
  <c r="O38" i="58"/>
  <c r="M38" i="58"/>
  <c r="I38" i="58"/>
  <c r="J37" i="58"/>
  <c r="R37" i="58"/>
  <c r="Z37" i="58"/>
  <c r="Y37" i="58"/>
  <c r="X37" i="58"/>
  <c r="W37" i="58"/>
  <c r="V37" i="58"/>
  <c r="U37" i="58"/>
  <c r="T37" i="58"/>
  <c r="S37" i="58"/>
  <c r="Q37" i="58"/>
  <c r="P37" i="58"/>
  <c r="O37" i="58"/>
  <c r="M37" i="58"/>
  <c r="I37" i="58"/>
  <c r="F37" i="58"/>
  <c r="Z35" i="58"/>
  <c r="Y35" i="58"/>
  <c r="X35" i="58"/>
  <c r="W35" i="58"/>
  <c r="V35" i="58"/>
  <c r="U35" i="58"/>
  <c r="T35" i="58"/>
  <c r="S35" i="58"/>
  <c r="R35" i="58"/>
  <c r="Q35" i="58"/>
  <c r="P35" i="58"/>
  <c r="M35" i="58"/>
  <c r="J35" i="58"/>
  <c r="I35" i="58"/>
  <c r="I34" i="58"/>
  <c r="Z34" i="58"/>
  <c r="Y34" i="58"/>
  <c r="X34" i="58"/>
  <c r="W34" i="58"/>
  <c r="V34" i="58"/>
  <c r="U34" i="58"/>
  <c r="T34" i="58"/>
  <c r="S34" i="58"/>
  <c r="R34" i="58"/>
  <c r="Q34" i="58"/>
  <c r="P34" i="58"/>
  <c r="O34" i="58"/>
  <c r="M34" i="58"/>
  <c r="J34" i="58"/>
  <c r="J28" i="58"/>
  <c r="J30" i="58"/>
  <c r="I30" i="58"/>
  <c r="Z30" i="58"/>
  <c r="Y30" i="58"/>
  <c r="X30" i="58"/>
  <c r="W30" i="58"/>
  <c r="V30" i="58"/>
  <c r="U30" i="58"/>
  <c r="T30" i="58"/>
  <c r="S30" i="58"/>
  <c r="R30" i="58"/>
  <c r="Q30" i="58"/>
  <c r="P30" i="58"/>
  <c r="O30" i="58"/>
  <c r="F33" i="58"/>
  <c r="O28" i="58"/>
  <c r="F27" i="58"/>
  <c r="F26" i="58"/>
  <c r="F24" i="58"/>
  <c r="F25" i="58"/>
  <c r="M30" i="58"/>
  <c r="F30" i="58"/>
  <c r="M28" i="58"/>
  <c r="F28" i="58"/>
  <c r="A41" i="58"/>
  <c r="A5" i="58"/>
  <c r="A4" i="58"/>
  <c r="A3" i="58"/>
  <c r="A2" i="58"/>
  <c r="A38" i="58"/>
  <c r="A35" i="58"/>
  <c r="AN27" i="58"/>
  <c r="B14" i="66"/>
  <c r="C14" i="66"/>
  <c r="B16" i="66"/>
  <c r="C16" i="66"/>
  <c r="B15" i="66"/>
  <c r="C15" i="66"/>
</calcChain>
</file>

<file path=xl/sharedStrings.xml><?xml version="1.0" encoding="utf-8"?>
<sst xmlns="http://schemas.openxmlformats.org/spreadsheetml/2006/main" count="92" uniqueCount="83">
  <si>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</si>
  <si>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</si>
  <si>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</si>
  <si>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</si>
  <si>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</si>
  <si>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</si>
  <si>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</si>
  <si>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</si>
  <si>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</si>
  <si>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</si>
  <si>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Comments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</si>
  <si>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</si>
  <si>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</si>
  <si>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</si>
  <si>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</si>
  <si>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</si>
  <si>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</si>
  <si>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</si>
  <si>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</si>
  <si>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</si>
  <si>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</si>
  <si>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</si>
  <si>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</si>
  <si>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</si>
  <si>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</si>
  <si>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</si>
  <si>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</si>
  <si>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</si>
  <si>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</si>
  <si>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</si>
  <si>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Comment_1</t>
  </si>
  <si>
    <t>Comment_2</t>
  </si>
  <si>
    <t>Comment_3</t>
  </si>
  <si>
    <t>Comment_4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</si>
  <si>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</si>
  <si>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</si>
  <si>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</si>
  <si>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</si>
  <si>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</si>
  <si>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</si>
  <si>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Forecast Version 2</t>
  </si>
  <si>
    <t>List 1</t>
  </si>
  <si>
    <t>Period</t>
  </si>
  <si>
    <t>YearToDate ?</t>
  </si>
  <si>
    <t>P&amp;L Input :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</si>
  <si>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</si>
  <si>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</si>
  <si>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</si>
  <si>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</si>
  <si>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</si>
  <si>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</si>
  <si>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Indicator_Corp</t>
  </si>
  <si>
    <t>Tiers</t>
  </si>
  <si>
    <t>D</t>
  </si>
  <si>
    <t>N</t>
  </si>
  <si>
    <t>[Begin Format Range]</t>
  </si>
  <si>
    <t>[End Format Range]</t>
  </si>
  <si>
    <t>Langue</t>
  </si>
  <si>
    <t>Budget</t>
  </si>
  <si>
    <t>Forecast_1</t>
  </si>
  <si>
    <t>Forecast_2</t>
  </si>
  <si>
    <t>Actual</t>
  </si>
  <si>
    <t>Total</t>
  </si>
  <si>
    <t>ACT_TOT</t>
  </si>
  <si>
    <t>Eléments fixes</t>
  </si>
  <si>
    <t>NA</t>
  </si>
  <si>
    <t>NO_APP</t>
  </si>
  <si>
    <t>LCL</t>
  </si>
  <si>
    <t>Local_Gaap_Mgmt_tool</t>
  </si>
  <si>
    <t>nb_m_La_Perouse</t>
  </si>
  <si>
    <t>nb_m_Sereinis</t>
  </si>
  <si>
    <t>nb_m_Lyon</t>
  </si>
  <si>
    <t>Saisie_Indicateurs_Operationnels</t>
  </si>
  <si>
    <t>AutoRefresh_Saisie_ind_sécurité_real</t>
  </si>
  <si>
    <t>RP_Comments_PL_Corp</t>
  </si>
  <si>
    <t>Réalisé</t>
  </si>
  <si>
    <t>Input</t>
  </si>
  <si>
    <t>Indicator_Corp for comments</t>
  </si>
  <si>
    <t>Ind_ope</t>
  </si>
  <si>
    <t>Traduction Phase</t>
  </si>
  <si>
    <t>Indicateurs_Ope</t>
  </si>
  <si>
    <t>tango_core_model:</t>
  </si>
  <si>
    <t>TFR-AP019298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</si>
</sst>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#,##0;&quot;(&quot;#,##0&quot;)&quot;"/>
  </numFmts>
  <fonts count="6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sz val="10"/>
      <color indexed="62"/>
      <name val="Calibri"/>
      <family val="2"/>
    </font>
    <font>
      <b/>
      <sz val="10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20"/>
      <name val="Wingdings"/>
      <charset val="2"/>
    </font>
    <font>
      <b/>
      <sz val="20"/>
      <color indexed="9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Calibri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8"/>
      <color indexed="46"/>
      <name val="Calibri"/>
      <family val="2"/>
    </font>
    <font>
      <b/>
      <sz val="11"/>
      <color rgb="FF0070C0"/>
      <name val="Calibri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0"/>
      <color rgb="FFFF0000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EAEAEA"/>
        <bgColor rgb="FF000000"/>
      </patternFill>
    </fill>
    <fill>
      <patternFill patternType="solid">
        <fgColor rgb="FF7E408F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399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 style="medium">
        <color indexed="9"/>
      </right>
      <top/>
      <bottom/>
      <diagonal/>
    </border>
    <border>
      <left/>
      <right style="thick">
        <color indexed="9"/>
      </right>
      <top/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/>
      <bottom style="medium">
        <color auto="1"/>
      </bottom>
      <diagonal/>
    </border>
    <border>
      <left/>
      <right style="thick">
        <color indexed="9"/>
      </right>
      <top/>
      <bottom style="thick">
        <color indexed="9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/>
      <right style="thick">
        <color theme="0"/>
      </right>
      <top style="medium">
        <color theme="1"/>
      </top>
      <bottom/>
      <diagonal/>
    </border>
    <border>
      <left/>
      <right/>
      <top style="medium">
        <color theme="1"/>
      </top>
      <bottom style="thin">
        <color indexed="9"/>
      </bottom>
      <diagonal/>
    </border>
    <border>
      <left style="thick">
        <color theme="0"/>
      </left>
      <right/>
      <top style="medium">
        <color theme="1"/>
      </top>
      <bottom/>
      <diagonal/>
    </border>
    <border>
      <left/>
      <right style="thick">
        <color theme="0"/>
      </right>
      <top style="medium">
        <color theme="1"/>
      </top>
      <bottom style="thin">
        <color indexed="9"/>
      </bottom>
      <diagonal/>
    </border>
  </borders>
  <cellStyleXfs count="288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12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0" fillId="20" borderId="3" applyNumberFormat="0" applyAlignment="0" applyProtection="0"/>
    <xf numFmtId="0" fontId="12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0" fillId="4" borderId="0" applyNumberFormat="0" applyBorder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2" fillId="0" borderId="8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8" fillId="7" borderId="1" applyNumberFormat="0" applyAlignment="0" applyProtection="0"/>
    <xf numFmtId="0" fontId="15" fillId="3" borderId="0" applyNumberFormat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166" fontId="26" fillId="22" borderId="0" applyNumberFormat="0" applyBorder="0">
      <alignment horizontal="right"/>
      <protection locked="0"/>
    </xf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0" fontId="17" fillId="0" borderId="2" applyNumberFormat="0" applyFill="0" applyAlignment="0" applyProtection="0"/>
    <xf numFmtId="167" fontId="27" fillId="23" borderId="0" applyNumberFormat="0" applyBorder="0">
      <alignment horizontal="right" vertical="center"/>
      <protection locked="0"/>
    </xf>
    <xf numFmtId="168" fontId="27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8" fillId="25" borderId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9" fillId="26" borderId="0" applyNumberFormat="0" applyBorder="0" applyAlignment="0" applyProtection="0"/>
    <xf numFmtId="0" fontId="28" fillId="25" borderId="0"/>
    <xf numFmtId="0" fontId="28" fillId="25" borderId="0"/>
    <xf numFmtId="169" fontId="30" fillId="0" borderId="0"/>
    <xf numFmtId="0" fontId="2" fillId="0" borderId="0"/>
    <xf numFmtId="0" fontId="1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13" fillId="21" borderId="5" applyNumberFormat="0" applyFont="0" applyAlignment="0" applyProtection="0"/>
    <xf numFmtId="0" fontId="28" fillId="25" borderId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0" fontId="31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0" fillId="12" borderId="0" applyNumberFormat="0" applyBorder="0" applyAlignment="0" applyProtection="0"/>
    <xf numFmtId="0" fontId="31" fillId="27" borderId="10" applyNumberFormat="0" applyAlignment="0" applyProtection="0"/>
    <xf numFmtId="0" fontId="19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170" fontId="34" fillId="28" borderId="0" applyNumberFormat="0" applyBorder="0">
      <alignment horizontal="left" vertical="center"/>
      <protection locked="0"/>
    </xf>
    <xf numFmtId="170" fontId="35" fillId="22" borderId="0" applyNumberFormat="0" applyBorder="0">
      <alignment horizontal="left"/>
      <protection locked="0"/>
    </xf>
    <xf numFmtId="0" fontId="36" fillId="0" borderId="6" applyNumberFormat="0" applyFill="0" applyAlignment="0" applyProtection="0"/>
    <xf numFmtId="0" fontId="37" fillId="0" borderId="11" applyNumberFormat="0" applyFill="0" applyAlignment="0" applyProtection="0"/>
    <xf numFmtId="0" fontId="38" fillId="0" borderId="12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39" fillId="0" borderId="13" applyNumberFormat="0" applyFill="0" applyAlignment="0" applyProtection="0"/>
    <xf numFmtId="0" fontId="10" fillId="20" borderId="3" applyNumberFormat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48">
    <xf numFmtId="0" fontId="0" fillId="0" borderId="0" xfId="0"/>
    <xf numFmtId="0" fontId="63" fillId="31" borderId="44" xfId="205" applyFont="1" applyFill="1" applyBorder="1" applyAlignment="1" applyProtection="1">
      <alignment horizontal="left" vertical="center"/>
      <protection locked="0"/>
    </xf>
    <xf numFmtId="0" fontId="63" fillId="31" borderId="37" xfId="205" applyFont="1" applyFill="1" applyBorder="1" applyAlignment="1" applyProtection="1">
      <alignment horizontal="left" vertical="center"/>
      <protection locked="0"/>
    </xf>
    <xf numFmtId="0" fontId="63" fillId="31" borderId="17" xfId="205" applyFont="1" applyFill="1" applyBorder="1" applyAlignment="1" applyProtection="1">
      <alignment horizontal="left" vertical="center"/>
      <protection locked="0"/>
    </xf>
    <xf numFmtId="0" fontId="63" fillId="31" borderId="43" xfId="205" applyFont="1" applyFill="1" applyBorder="1" applyAlignment="1" applyProtection="1">
      <alignment horizontal="left" vertical="center"/>
      <protection locked="0"/>
    </xf>
    <xf numFmtId="0" fontId="63" fillId="31" borderId="42" xfId="205" applyFont="1" applyFill="1" applyBorder="1" applyAlignment="1" applyProtection="1">
      <alignment horizontal="left" vertical="center"/>
      <protection locked="0"/>
    </xf>
    <xf numFmtId="0" fontId="63" fillId="31" borderId="0" xfId="205" applyFont="1" applyFill="1" applyBorder="1" applyAlignment="1" applyProtection="1">
      <alignment horizontal="left" vertical="center"/>
      <protection locked="0"/>
    </xf>
    <xf numFmtId="0" fontId="63" fillId="31" borderId="21" xfId="205" applyFont="1" applyFill="1" applyBorder="1" applyAlignment="1" applyProtection="1">
      <alignment horizontal="left" vertical="center"/>
      <protection locked="0"/>
    </xf>
    <xf numFmtId="0" fontId="63" fillId="31" borderId="41" xfId="205" applyFont="1" applyFill="1" applyBorder="1" applyAlignment="1" applyProtection="1">
      <alignment horizontal="left" vertical="center"/>
      <protection locked="0"/>
    </xf>
    <xf numFmtId="0" fontId="63" fillId="31" borderId="40" xfId="205" applyFont="1" applyFill="1" applyBorder="1" applyAlignment="1" applyProtection="1">
      <alignment horizontal="left" vertical="center"/>
      <protection locked="0"/>
    </xf>
    <xf numFmtId="0" fontId="63" fillId="31" borderId="39" xfId="205" applyFont="1" applyFill="1" applyBorder="1" applyAlignment="1" applyProtection="1">
      <alignment horizontal="left" vertical="center"/>
      <protection locked="0"/>
    </xf>
    <xf numFmtId="0" fontId="46" fillId="30" borderId="14" xfId="0" applyFont="1" applyFill="1" applyBorder="1" applyAlignment="1" applyProtection="1">
      <alignment horizontal="left" vertical="center"/>
      <protection locked="0"/>
    </xf>
    <xf numFmtId="0" fontId="6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 applyProtection="1">
      <alignment horizontal="center" vertical="center" wrapText="1"/>
    </xf>
    <xf numFmtId="0" fontId="41" fillId="0" borderId="0" xfId="0" applyFont="1" applyFill="1" applyBorder="1" applyAlignment="1" applyProtection="1">
      <alignment horizontal="center" vertical="center" wrapText="1"/>
    </xf>
    <xf numFmtId="0" fontId="4" fillId="0" borderId="0" xfId="205" applyFont="1" applyFill="1" applyBorder="1" applyAlignment="1" applyProtection="1">
      <alignment vertical="center"/>
    </xf>
    <xf numFmtId="0" fontId="4" fillId="0" borderId="0" xfId="205" applyFont="1" applyFill="1" applyBorder="1" applyAlignment="1" applyProtection="1">
      <alignment horizontal="left" vertical="center"/>
    </xf>
    <xf numFmtId="0" fontId="8" fillId="0" borderId="0" xfId="205" applyFont="1" applyBorder="1" applyAlignment="1" applyProtection="1">
      <alignment vertical="center"/>
    </xf>
    <xf numFmtId="0" fontId="4" fillId="0" borderId="0" xfId="205" applyFont="1" applyFill="1" applyAlignment="1" applyProtection="1">
      <alignment vertical="center"/>
    </xf>
    <xf numFmtId="0" fontId="5" fillId="0" borderId="0" xfId="222" applyFont="1" applyAlignment="1" applyProtection="1"/>
    <xf numFmtId="0" fontId="47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8" fillId="30" borderId="14" xfId="0" applyFont="1" applyFill="1" applyBorder="1" applyAlignment="1" applyProtection="1">
      <alignment horizontal="left"/>
      <protection locked="0"/>
    </xf>
    <xf numFmtId="0" fontId="46" fillId="30" borderId="15" xfId="0" applyFont="1" applyFill="1" applyBorder="1" applyProtection="1">
      <protection locked="0"/>
    </xf>
    <xf numFmtId="0" fontId="45" fillId="31" borderId="16" xfId="0" applyFont="1" applyFill="1" applyBorder="1" applyProtection="1">
      <protection locked="0"/>
    </xf>
    <xf numFmtId="0" fontId="45" fillId="0" borderId="16" xfId="0" applyFont="1" applyBorder="1" applyProtection="1">
      <protection locked="0"/>
    </xf>
    <xf numFmtId="0" fontId="45" fillId="0" borderId="16" xfId="0" applyNumberFormat="1" applyFont="1" applyBorder="1" applyProtection="1">
      <protection locked="0"/>
    </xf>
    <xf numFmtId="0" fontId="0" fillId="0" borderId="0" xfId="0" applyProtection="1"/>
    <xf numFmtId="0" fontId="0" fillId="0" borderId="0" xfId="0" applyBorder="1" applyProtection="1"/>
    <xf numFmtId="0" fontId="4" fillId="0" borderId="0" xfId="0" applyFont="1" applyFill="1" applyAlignment="1" applyProtection="1">
      <alignment horizontal="left" indent="1"/>
    </xf>
    <xf numFmtId="0" fontId="0" fillId="0" borderId="0" xfId="0" applyFill="1" applyAlignment="1" applyProtection="1"/>
    <xf numFmtId="0" fontId="6" fillId="32" borderId="0" xfId="0" applyFont="1" applyFill="1" applyBorder="1" applyAlignment="1" applyProtection="1">
      <alignment horizontal="left" vertical="center"/>
    </xf>
    <xf numFmtId="0" fontId="5" fillId="29" borderId="19" xfId="0" applyFont="1" applyFill="1" applyBorder="1" applyAlignment="1" applyProtection="1">
      <alignment horizontal="left" vertical="center"/>
    </xf>
    <xf numFmtId="0" fontId="40" fillId="0" borderId="0" xfId="0" applyFont="1" applyFill="1" applyAlignment="1" applyProtection="1"/>
    <xf numFmtId="0" fontId="5" fillId="0" borderId="0" xfId="0" applyFont="1" applyFill="1" applyBorder="1" applyAlignment="1" applyProtection="1">
      <alignment horizontal="left" vertical="center"/>
    </xf>
    <xf numFmtId="0" fontId="4" fillId="0" borderId="0" xfId="0" applyFont="1" applyBorder="1" applyProtection="1"/>
    <xf numFmtId="0" fontId="4" fillId="0" borderId="0" xfId="0" applyFont="1" applyProtection="1"/>
    <xf numFmtId="0" fontId="49" fillId="33" borderId="4" xfId="0" applyFont="1" applyFill="1" applyBorder="1" applyAlignment="1" applyProtection="1">
      <alignment horizontal="center"/>
    </xf>
    <xf numFmtId="0" fontId="0" fillId="34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5" fillId="0" borderId="20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2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0" fillId="0" borderId="23" xfId="0" applyBorder="1" applyProtection="1"/>
    <xf numFmtId="0" fontId="2" fillId="0" borderId="24" xfId="0" applyFont="1" applyBorder="1" applyProtection="1"/>
    <xf numFmtId="0" fontId="2" fillId="0" borderId="26" xfId="0" applyFont="1" applyBorder="1" applyProtection="1"/>
    <xf numFmtId="0" fontId="0" fillId="0" borderId="24" xfId="0" applyBorder="1" applyProtection="1"/>
    <xf numFmtId="0" fontId="3" fillId="36" borderId="24" xfId="205" applyFont="1" applyFill="1" applyBorder="1" applyAlignment="1" applyProtection="1">
      <alignment horizontal="center" vertical="center"/>
    </xf>
    <xf numFmtId="0" fontId="0" fillId="0" borderId="27" xfId="0" applyBorder="1" applyProtection="1"/>
    <xf numFmtId="0" fontId="0" fillId="0" borderId="26" xfId="0" applyBorder="1" applyProtection="1"/>
    <xf numFmtId="0" fontId="49" fillId="0" borderId="27" xfId="0" applyFont="1" applyBorder="1" applyAlignment="1" applyProtection="1">
      <alignment horizontal="center"/>
    </xf>
    <xf numFmtId="0" fontId="4" fillId="0" borderId="28" xfId="205" applyFont="1" applyFill="1" applyBorder="1" applyAlignment="1" applyProtection="1">
      <alignment vertical="center"/>
    </xf>
    <xf numFmtId="0" fontId="0" fillId="35" borderId="0" xfId="0" applyFill="1" applyProtection="1"/>
    <xf numFmtId="0" fontId="0" fillId="35" borderId="18" xfId="0" applyFill="1" applyBorder="1" applyProtection="1"/>
    <xf numFmtId="0" fontId="0" fillId="35" borderId="29" xfId="0" applyFill="1" applyBorder="1" applyProtection="1"/>
    <xf numFmtId="0" fontId="4" fillId="35" borderId="0" xfId="205" applyFont="1" applyFill="1" applyBorder="1" applyAlignment="1" applyProtection="1">
      <alignment vertical="center"/>
    </xf>
    <xf numFmtId="0" fontId="4" fillId="35" borderId="29" xfId="205" applyFont="1" applyFill="1" applyBorder="1" applyAlignment="1" applyProtection="1">
      <alignment vertical="center"/>
    </xf>
    <xf numFmtId="0" fontId="2" fillId="35" borderId="29" xfId="0" applyFont="1" applyFill="1" applyBorder="1" applyProtection="1"/>
    <xf numFmtId="0" fontId="44" fillId="35" borderId="29" xfId="0" applyFont="1" applyFill="1" applyBorder="1" applyProtection="1"/>
    <xf numFmtId="0" fontId="51" fillId="35" borderId="0" xfId="0" applyFont="1" applyFill="1" applyAlignment="1" applyProtection="1">
      <alignment horizontal="right"/>
    </xf>
    <xf numFmtId="0" fontId="0" fillId="35" borderId="0" xfId="0" applyFill="1" applyBorder="1" applyProtection="1"/>
    <xf numFmtId="0" fontId="2" fillId="35" borderId="0" xfId="0" applyFont="1" applyFill="1" applyProtection="1"/>
    <xf numFmtId="0" fontId="44" fillId="35" borderId="0" xfId="0" applyFont="1" applyFill="1" applyAlignment="1" applyProtection="1">
      <alignment horizontal="right"/>
    </xf>
    <xf numFmtId="0" fontId="4" fillId="37" borderId="0" xfId="205" applyFont="1" applyFill="1" applyBorder="1" applyAlignment="1" applyProtection="1">
      <alignment vertical="center"/>
    </xf>
    <xf numFmtId="0" fontId="53" fillId="37" borderId="0" xfId="205" applyFont="1" applyFill="1" applyBorder="1" applyAlignment="1" applyProtection="1">
      <alignment horizontal="right" vertical="center"/>
    </xf>
    <xf numFmtId="0" fontId="3" fillId="37" borderId="0" xfId="205" applyFont="1" applyFill="1" applyBorder="1" applyAlignment="1" applyProtection="1">
      <alignment horizontal="center" vertical="center"/>
    </xf>
    <xf numFmtId="0" fontId="0" fillId="35" borderId="17" xfId="0" applyFill="1" applyBorder="1" applyProtection="1"/>
    <xf numFmtId="0" fontId="44" fillId="35" borderId="0" xfId="0" applyFont="1" applyFill="1" applyBorder="1" applyAlignment="1" applyProtection="1">
      <alignment horizontal="right"/>
    </xf>
    <xf numFmtId="0" fontId="50" fillId="35" borderId="0" xfId="0" applyFont="1" applyFill="1" applyBorder="1" applyProtection="1"/>
    <xf numFmtId="0" fontId="2" fillId="35" borderId="0" xfId="0" applyFont="1" applyFill="1" applyBorder="1" applyProtection="1"/>
    <xf numFmtId="0" fontId="9" fillId="0" borderId="31" xfId="196" applyFont="1" applyFill="1" applyBorder="1" applyAlignment="1" applyProtection="1">
      <alignment horizontal="center" vertical="center" wrapText="1"/>
    </xf>
    <xf numFmtId="0" fontId="0" fillId="36" borderId="4" xfId="0" applyFill="1" applyBorder="1" applyProtection="1">
      <protection locked="0"/>
    </xf>
    <xf numFmtId="0" fontId="52" fillId="0" borderId="0" xfId="0" applyFont="1" applyAlignment="1" applyProtection="1">
      <alignment horizontal="right"/>
    </xf>
    <xf numFmtId="0" fontId="52" fillId="0" borderId="27" xfId="0" applyFont="1" applyBorder="1" applyAlignment="1" applyProtection="1">
      <alignment horizontal="center"/>
    </xf>
    <xf numFmtId="0" fontId="2" fillId="0" borderId="27" xfId="0" applyFont="1" applyBorder="1" applyProtection="1"/>
    <xf numFmtId="0" fontId="2" fillId="0" borderId="26" xfId="0" applyFont="1" applyFill="1" applyBorder="1" applyProtection="1"/>
    <xf numFmtId="0" fontId="2" fillId="0" borderId="25" xfId="0" applyFont="1" applyFill="1" applyBorder="1" applyProtection="1"/>
    <xf numFmtId="0" fontId="4" fillId="0" borderId="26" xfId="205" applyFont="1" applyFill="1" applyBorder="1" applyAlignment="1" applyProtection="1">
      <alignment vertical="center"/>
    </xf>
    <xf numFmtId="0" fontId="0" fillId="0" borderId="25" xfId="0" applyBorder="1" applyProtection="1"/>
    <xf numFmtId="0" fontId="41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vertical="center" wrapText="1"/>
    </xf>
    <xf numFmtId="0" fontId="55" fillId="38" borderId="0" xfId="0" applyFont="1" applyFill="1" applyBorder="1" applyProtection="1"/>
    <xf numFmtId="0" fontId="55" fillId="30" borderId="30" xfId="0" applyFont="1" applyFill="1" applyBorder="1" applyProtection="1"/>
    <xf numFmtId="0" fontId="12" fillId="35" borderId="0" xfId="0" applyFont="1" applyFill="1" applyAlignment="1" applyProtection="1">
      <alignment horizontal="right" vertical="center"/>
    </xf>
    <xf numFmtId="0" fontId="52" fillId="35" borderId="0" xfId="0" applyFont="1" applyFill="1" applyProtection="1"/>
    <xf numFmtId="0" fontId="49" fillId="35" borderId="0" xfId="0" applyFont="1" applyFill="1" applyProtection="1"/>
    <xf numFmtId="0" fontId="12" fillId="35" borderId="29" xfId="0" applyFont="1" applyFill="1" applyBorder="1" applyProtection="1"/>
    <xf numFmtId="0" fontId="44" fillId="35" borderId="0" xfId="0" applyFont="1" applyFill="1" applyBorder="1" applyProtection="1"/>
    <xf numFmtId="0" fontId="56" fillId="0" borderId="0" xfId="222" applyFont="1" applyFill="1" applyBorder="1" applyAlignment="1" applyProtection="1">
      <alignment horizontal="left" vertical="center"/>
    </xf>
    <xf numFmtId="0" fontId="42" fillId="0" borderId="36" xfId="205" applyFont="1" applyFill="1" applyBorder="1" applyAlignment="1" applyProtection="1">
      <alignment vertical="center"/>
    </xf>
    <xf numFmtId="0" fontId="57" fillId="0" borderId="0" xfId="205" applyFont="1" applyFill="1" applyBorder="1" applyAlignment="1" applyProtection="1">
      <alignment vertical="center"/>
    </xf>
    <xf numFmtId="0" fontId="42" fillId="29" borderId="0" xfId="222" applyFont="1" applyFill="1" applyBorder="1" applyAlignment="1">
      <alignment vertical="center" wrapText="1"/>
    </xf>
    <xf numFmtId="0" fontId="0" fillId="0" borderId="0" xfId="0" applyFill="1" applyBorder="1" applyProtection="1"/>
    <xf numFmtId="0" fontId="12" fillId="0" borderId="0" xfId="0" applyFont="1" applyFill="1" applyBorder="1" applyProtection="1"/>
    <xf numFmtId="0" fontId="2" fillId="0" borderId="0" xfId="0" applyFont="1" applyFill="1" applyBorder="1" applyProtection="1"/>
    <xf numFmtId="0" fontId="12" fillId="0" borderId="0" xfId="0" applyFont="1" applyFill="1" applyProtection="1"/>
    <xf numFmtId="0" fontId="44" fillId="0" borderId="0" xfId="0" applyFont="1" applyFill="1" applyBorder="1" applyProtection="1"/>
    <xf numFmtId="0" fontId="0" fillId="35" borderId="37" xfId="0" applyFill="1" applyBorder="1" applyProtection="1"/>
    <xf numFmtId="0" fontId="58" fillId="0" borderId="0" xfId="0" applyFont="1"/>
    <xf numFmtId="0" fontId="42" fillId="0" borderId="0" xfId="205" applyFont="1" applyFill="1" applyBorder="1" applyAlignment="1" applyProtection="1">
      <alignment vertical="center"/>
    </xf>
    <xf numFmtId="0" fontId="42" fillId="0" borderId="0" xfId="222" applyFont="1" applyFill="1" applyBorder="1" applyAlignment="1">
      <alignment vertical="center" wrapText="1"/>
    </xf>
    <xf numFmtId="0" fontId="49" fillId="0" borderId="0" xfId="0" applyFont="1" applyFill="1" applyBorder="1" applyAlignment="1" applyProtection="1">
      <alignment horizontal="center"/>
    </xf>
    <xf numFmtId="0" fontId="0" fillId="0" borderId="0" xfId="0" applyFill="1" applyBorder="1"/>
    <xf numFmtId="0" fontId="54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left" indent="1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right" vertical="center"/>
    </xf>
    <xf numFmtId="0" fontId="50" fillId="38" borderId="0" xfId="0" applyFont="1" applyFill="1" applyBorder="1" applyProtection="1"/>
    <xf numFmtId="0" fontId="60" fillId="35" borderId="0" xfId="0" applyFont="1" applyFill="1" applyProtection="1"/>
    <xf numFmtId="171" fontId="42" fillId="29" borderId="0" xfId="222" applyNumberFormat="1" applyFont="1" applyFill="1" applyBorder="1" applyAlignment="1">
      <alignment horizontal="left" vertical="center" wrapText="1"/>
    </xf>
    <xf numFmtId="0" fontId="42" fillId="29" borderId="0" xfId="222" applyFont="1" applyFill="1" applyBorder="1" applyAlignment="1">
      <alignment horizontal="left" vertical="center" wrapText="1"/>
    </xf>
    <xf numFmtId="0" fontId="3" fillId="0" borderId="0" xfId="222" applyFont="1" applyProtection="1"/>
    <xf numFmtId="0" fontId="61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61" fillId="0" borderId="0" xfId="205" applyFont="1" applyFill="1" applyBorder="1" applyAlignment="1" applyProtection="1">
      <alignment horizontal="right" vertical="center" indent="1"/>
    </xf>
    <xf numFmtId="0" fontId="62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49" fillId="35" borderId="17" xfId="0" applyFont="1" applyFill="1" applyBorder="1" applyProtection="1"/>
    <xf numFmtId="0" fontId="52" fillId="35" borderId="17" xfId="0" applyFont="1" applyFill="1" applyBorder="1" applyAlignment="1" applyProtection="1">
      <alignment horizontal="right"/>
    </xf>
    <xf numFmtId="0" fontId="65" fillId="0" borderId="0" xfId="0" applyFont="1" applyProtection="1"/>
    <xf numFmtId="0" fontId="2" fillId="35" borderId="18" xfId="0" applyFont="1" applyFill="1" applyBorder="1" applyProtection="1"/>
    <xf numFmtId="172" fontId="4" fillId="0" borderId="0" xfId="205" applyNumberFormat="1" applyFont="1" applyFill="1" applyBorder="1" applyAlignment="1" applyProtection="1">
      <alignment horizontal="right" vertical="center" indent="1"/>
    </xf>
    <xf numFmtId="172" fontId="42" fillId="0" borderId="36" xfId="205" applyNumberFormat="1" applyFont="1" applyFill="1" applyBorder="1" applyAlignment="1" applyProtection="1">
      <alignment horizontal="right" vertical="center" indent="1"/>
    </xf>
    <xf numFmtId="172" fontId="0" fillId="0" borderId="0" xfId="0" applyNumberFormat="1"/>
    <xf numFmtId="172" fontId="4" fillId="0" borderId="0" xfId="205" applyNumberFormat="1" applyFont="1" applyFill="1" applyBorder="1" applyAlignment="1" applyProtection="1">
      <alignment vertical="center"/>
    </xf>
    <xf numFmtId="172" fontId="42" fillId="31" borderId="36" xfId="205" applyNumberFormat="1" applyFont="1" applyFill="1" applyBorder="1" applyAlignment="1" applyProtection="1">
      <alignment horizontal="right" vertical="center" indent="1"/>
      <protection locked="0"/>
    </xf>
    <xf numFmtId="0" fontId="7" fillId="0" borderId="0" xfId="0" applyFont="1" applyFill="1" applyBorder="1" applyAlignment="1" applyProtection="1">
      <alignment horizontal="center" vertical="center" wrapText="1"/>
    </xf>
    <xf numFmtId="0" fontId="59" fillId="39" borderId="0" xfId="0" applyFont="1" applyFill="1" applyAlignment="1" applyProtection="1">
      <alignment horizontal="center" vertical="center"/>
    </xf>
    <xf numFmtId="0" fontId="4" fillId="40" borderId="0" xfId="0" applyFont="1" applyFill="1" applyAlignment="1" applyProtection="1">
      <alignment horizontal="left" indent="1"/>
    </xf>
    <xf numFmtId="0" fontId="64" fillId="41" borderId="0" xfId="0" applyFont="1" applyFill="1" applyAlignment="1" applyProtection="1">
      <alignment horizontal="right" vertical="center"/>
    </xf>
    <xf numFmtId="0" fontId="4" fillId="41" borderId="0" xfId="0" applyFont="1" applyFill="1" applyAlignment="1" applyProtection="1">
      <alignment horizontal="left" indent="1"/>
    </xf>
    <xf numFmtId="0" fontId="41" fillId="42" borderId="0" xfId="0" applyFont="1" applyFill="1" applyBorder="1" applyAlignment="1" applyProtection="1">
      <alignment horizontal="center" vertical="center" wrapText="1"/>
    </xf>
    <xf numFmtId="0" fontId="41" fillId="42" borderId="32" xfId="0" applyFont="1" applyFill="1" applyBorder="1" applyAlignment="1" applyProtection="1">
      <alignment horizontal="center" vertical="center" wrapText="1"/>
    </xf>
    <xf numFmtId="0" fontId="41" fillId="42" borderId="35" xfId="0" applyFont="1" applyFill="1" applyBorder="1" applyAlignment="1" applyProtection="1">
      <alignment horizontal="center" vertical="center" wrapText="1"/>
    </xf>
    <xf numFmtId="0" fontId="41" fillId="42" borderId="38" xfId="0" applyFont="1" applyFill="1" applyBorder="1" applyAlignment="1" applyProtection="1">
      <alignment horizontal="center" vertical="center" wrapText="1"/>
    </xf>
    <xf numFmtId="0" fontId="7" fillId="43" borderId="33" xfId="0" applyFont="1" applyFill="1" applyBorder="1" applyAlignment="1" applyProtection="1">
      <alignment horizontal="center" vertical="center" wrapText="1"/>
    </xf>
    <xf numFmtId="0" fontId="7" fillId="43" borderId="34" xfId="0" applyFont="1" applyFill="1" applyBorder="1" applyAlignment="1" applyProtection="1">
      <alignment horizontal="center" vertical="center" wrapText="1"/>
    </xf>
    <xf numFmtId="0" fontId="6" fillId="32" borderId="45" xfId="0" applyFont="1" applyFill="1" applyBorder="1" applyAlignment="1">
      <alignment horizontal="left" vertical="center"/>
    </xf>
    <xf numFmtId="0" fontId="6" fillId="32" borderId="45" xfId="0" applyFont="1" applyFill="1" applyBorder="1" applyAlignment="1">
      <alignment horizontal="left" vertical="center"/>
    </xf>
    <xf numFmtId="172" fontId="6" fillId="32" borderId="46" xfId="0" applyNumberFormat="1" applyFont="1" applyFill="1" applyBorder="1" applyAlignment="1">
      <alignment horizontal="right" vertical="center" indent="1"/>
    </xf>
    <xf numFmtId="172" fontId="6" fillId="32" borderId="47" xfId="0" applyNumberFormat="1" applyFont="1" applyFill="1" applyBorder="1" applyAlignment="1">
      <alignment horizontal="right" vertical="center" indent="1"/>
    </xf>
    <xf numFmtId="172" fontId="6" fillId="32" borderId="48" xfId="0" applyNumberFormat="1" applyFont="1" applyFill="1" applyBorder="1" applyAlignment="1">
      <alignment horizontal="right" vertical="center" indent="1"/>
    </xf>
    <xf numFmtId="172" fontId="6" fillId="32" borderId="49" xfId="0" applyNumberFormat="1" applyFont="1" applyFill="1" applyBorder="1" applyAlignment="1">
      <alignment horizontal="right" vertical="center" indent="1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D0C2A4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7E408F"/>
      <color rgb="FFFF5353"/>
      <color rgb="FF3F1260"/>
      <color rgb="FFDDDDDD"/>
      <color rgb="FFFFFF99"/>
      <color rgb="FF6F7072"/>
      <color rgb="FFEAEAEA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17</xdr:row>
      <xdr:rowOff>142875</xdr:rowOff>
    </xdr:from>
    <xdr:to>
      <xdr:col>5</xdr:col>
      <xdr:colOff>2905125</xdr:colOff>
      <xdr:row>19</xdr:row>
      <xdr:rowOff>57150</xdr:rowOff>
    </xdr:to>
    <xdr:sp macro="" textlink="">
      <xdr:nvSpPr>
        <xdr:cNvPr id="10" name="SaveData_Input_PL" hidden="1">
          <a:extLst>
            <a:ext uri="{63B3BB69-23CF-44E3-9099-C40C66FF867C}">
              <a14:compatExt xmlns:a14="http://schemas.microsoft.com/office/drawing/2010/main" spid="_x0000_s16079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24</xdr:col>
      <xdr:colOff>589685</xdr:colOff>
      <xdr:row>20</xdr:row>
      <xdr:rowOff>121226</xdr:rowOff>
    </xdr:from>
    <xdr:to>
      <xdr:col>26</xdr:col>
      <xdr:colOff>169719</xdr:colOff>
      <xdr:row>21</xdr:row>
      <xdr:rowOff>305664</xdr:rowOff>
    </xdr:to>
    <xdr:grpSp>
      <xdr:nvGrpSpPr>
        <xdr:cNvPr id="11" name="Group 3"/>
        <xdr:cNvGrpSpPr>
          <a:grpSpLocks/>
        </xdr:cNvGrpSpPr>
      </xdr:nvGrpSpPr>
      <xdr:grpSpPr bwMode="auto">
        <a:xfrm>
          <a:off x="18444730" y="813953"/>
          <a:ext cx="1000125" cy="703984"/>
          <a:chOff x="1741" y="124"/>
          <a:chExt cx="105" cy="74"/>
        </a:xfrm>
      </xdr:grpSpPr>
      <xdr:pic>
        <xdr:nvPicPr>
          <xdr:cNvPr id="12" name="Picture 3" descr="doc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3" name="Picture 16" descr="stylo_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85725</xdr:rowOff>
        </xdr:from>
        <xdr:to>
          <xdr:col>5</xdr:col>
          <xdr:colOff>2247900</xdr:colOff>
          <xdr:row>19</xdr:row>
          <xdr:rowOff>47625</xdr:rowOff>
        </xdr:to>
        <xdr:sp macro="" textlink="">
          <xdr:nvSpPr>
            <xdr:cNvPr id="160787" name="Refresh_Report" hidden="1">
              <a:extLst>
                <a:ext uri="{63B3BB69-23CF-44E3-9099-C40C66FF867C}">
                  <a14:compatExt spid="_x0000_s160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F31"/>
  <sheetViews>
    <sheetView workbookViewId="0"/>
  </sheetViews>
  <sheetFormatPr baseColWidth="10" defaultColWidth="9.140625" defaultRowHeight="12.75" x14ac:dyDescent="0.2"/>
  <cols>
    <col min="1" max="1" width="38.28515625" style="22" bestFit="1" customWidth="1"/>
    <col min="2" max="2" width="17.85546875" style="22" bestFit="1" customWidth="1"/>
    <col min="3" max="3" width="9.140625" style="22"/>
    <col min="4" max="4" width="27.7109375" style="22" customWidth="1"/>
    <col min="5" max="16384" width="9.140625" style="22"/>
  </cols>
  <sheetData>
    <row r="1" spans="1:3" ht="18" x14ac:dyDescent="0.25">
      <c r="A1" s="20" t="s">
        <v>44</v>
      </c>
      <c r="B1" s="21"/>
    </row>
    <row r="2" spans="1:3" x14ac:dyDescent="0.2">
      <c r="A2" s="21"/>
      <c r="B2" s="21"/>
    </row>
    <row r="3" spans="1:3" ht="15.75" x14ac:dyDescent="0.25">
      <c r="A3" s="23" t="s">
        <v>5</v>
      </c>
      <c r="B3" s="21"/>
    </row>
    <row r="4" spans="1:3" x14ac:dyDescent="0.2">
      <c r="A4" s="24" t="s">
        <v>4</v>
      </c>
      <c r="B4" s="25" t="s">
        <v>81</v>
      </c>
    </row>
    <row r="5" spans="1:3" x14ac:dyDescent="0.2">
      <c r="A5" s="24" t="s">
        <v>7</v>
      </c>
      <c r="B5" s="26" t="str">
        <f>LEFT(Server,LEN(Server)-1)</f>
        <v>tango_core_model</v>
      </c>
    </row>
    <row r="6" spans="1:3" x14ac:dyDescent="0.2">
      <c r="A6" s="24" t="s">
        <v>3</v>
      </c>
      <c r="B6" s="26" t="s">
        <v>82</v>
      </c>
    </row>
    <row r="7" spans="1:3" x14ac:dyDescent="0.2">
      <c r="A7" s="24" t="s">
        <v>18</v>
      </c>
      <c r="B7" s="26">
        <v>0</v>
      </c>
    </row>
    <row r="8" spans="1:3" x14ac:dyDescent="0.2">
      <c r="A8" s="24" t="s">
        <v>34</v>
      </c>
      <c r="B8" s="26">
        <v>0</v>
      </c>
    </row>
    <row r="10" spans="1:3" ht="15.75" x14ac:dyDescent="0.25">
      <c r="A10" s="23" t="s">
        <v>6</v>
      </c>
    </row>
    <row r="11" spans="1:3" ht="13.5" customHeight="1" x14ac:dyDescent="0.2">
      <c r="A11" s="24" t="s">
        <v>14</v>
      </c>
      <c r="B11" s="26" t="s">
        <v>46</v>
      </c>
    </row>
    <row r="12" spans="1:3" ht="13.5" customHeight="1" x14ac:dyDescent="0.2">
      <c r="A12" s="24" t="s">
        <v>15</v>
      </c>
      <c r="B12" s="26" t="s">
        <v>74</v>
      </c>
    </row>
    <row r="13" spans="1:3" x14ac:dyDescent="0.2">
      <c r="A13" s="24" t="s">
        <v>9</v>
      </c>
      <c r="B13" s="26" t="str">
        <f ca="1">_xll.DBR(Server&amp;"z_Admin_Param","MONTH_CORPORATE","STR_VAR1")</f>
        <v>2013.03</v>
      </c>
      <c r="C13" s="22" t="str">
        <f ca="1">LEFT(ActualMonth,4)</f>
        <v>2013</v>
      </c>
    </row>
    <row r="14" spans="1:3" x14ac:dyDescent="0.2">
      <c r="A14" s="24" t="s">
        <v>19</v>
      </c>
      <c r="B14" s="26" t="str">
        <f ca="1">_xll.DBR(Server&amp;"z_Admin_Param","BUDGET_VERSION_BUDGET_FORECAST","STR_VAR1")</f>
        <v>VC</v>
      </c>
      <c r="C14" s="22" t="str">
        <f ca="1">IF(B14="VF","","_"&amp;B14)</f>
        <v>_VC</v>
      </c>
    </row>
    <row r="15" spans="1:3" x14ac:dyDescent="0.2">
      <c r="A15" s="24" t="s">
        <v>20</v>
      </c>
      <c r="B15" s="26" t="str">
        <f ca="1">_xll.DBR(Server&amp;"z_Admin_Param","FORECAST_1_VERSION_BUDGET_FORECAST","STR_VAR1")</f>
        <v>VC</v>
      </c>
      <c r="C15" s="22" t="str">
        <f ca="1">IF(B15="VF","","_"&amp;B15)</f>
        <v>_VC</v>
      </c>
    </row>
    <row r="16" spans="1:3" x14ac:dyDescent="0.2">
      <c r="A16" s="24" t="s">
        <v>40</v>
      </c>
      <c r="B16" s="26" t="str">
        <f ca="1">_xll.DBR(Server&amp;"z_Admin_Param","FORECAST_2_VERSION_BUDGET_FORECAST","STR_VAR1")</f>
        <v>VC</v>
      </c>
      <c r="C16" s="22" t="str">
        <f ca="1">IF(B16="VF","","_"&amp;B16)</f>
        <v>_VC</v>
      </c>
    </row>
    <row r="17" spans="1:6" x14ac:dyDescent="0.2">
      <c r="A17" s="24" t="s">
        <v>2</v>
      </c>
      <c r="B17" s="27" t="str">
        <f ca="1">_xll.DBR(Server&amp;"z_Client_Properties","Language",_xll.TM1USER(xServer))</f>
        <v>French</v>
      </c>
      <c r="C17" s="22" t="str">
        <f ca="1">IF(LocalLanguage="French","Français",LocalLanguage)</f>
        <v>Français</v>
      </c>
    </row>
    <row r="18" spans="1:6" x14ac:dyDescent="0.2">
      <c r="A18" s="11" t="s">
        <v>28</v>
      </c>
      <c r="B18" s="41" t="s">
        <v>1</v>
      </c>
    </row>
    <row r="19" spans="1:6" x14ac:dyDescent="0.2">
      <c r="A19" s="11"/>
      <c r="B19" s="41" t="s">
        <v>47</v>
      </c>
    </row>
    <row r="20" spans="1:6" x14ac:dyDescent="0.2">
      <c r="A20" s="11"/>
      <c r="B20" s="41" t="s">
        <v>11</v>
      </c>
    </row>
    <row r="21" spans="1:6" x14ac:dyDescent="0.2">
      <c r="A21" s="11"/>
      <c r="B21" s="41" t="s">
        <v>12</v>
      </c>
    </row>
    <row r="22" spans="1:6" x14ac:dyDescent="0.2">
      <c r="A22" s="11"/>
      <c r="B22" s="41" t="s">
        <v>13</v>
      </c>
    </row>
    <row r="23" spans="1:6" x14ac:dyDescent="0.2">
      <c r="A23" s="11" t="s">
        <v>29</v>
      </c>
      <c r="B23" s="41" t="s">
        <v>25</v>
      </c>
    </row>
    <row r="24" spans="1:6" x14ac:dyDescent="0.2">
      <c r="A24" s="11"/>
      <c r="B24" s="41" t="s">
        <v>26</v>
      </c>
    </row>
    <row r="25" spans="1:6" x14ac:dyDescent="0.2">
      <c r="A25" s="11"/>
      <c r="B25" s="41" t="s">
        <v>27</v>
      </c>
    </row>
    <row r="27" spans="1:6" ht="15.75" x14ac:dyDescent="0.25">
      <c r="A27" s="23" t="s">
        <v>21</v>
      </c>
      <c r="F27" s="22" t="s">
        <v>8</v>
      </c>
    </row>
    <row r="28" spans="1:6" ht="13.5" customHeight="1" x14ac:dyDescent="0.25">
      <c r="A28" s="22" t="s">
        <v>22</v>
      </c>
      <c r="B28" s="38"/>
    </row>
    <row r="29" spans="1:6" x14ac:dyDescent="0.2">
      <c r="A29" s="22" t="s">
        <v>23</v>
      </c>
      <c r="B29" s="39"/>
    </row>
    <row r="30" spans="1:6" x14ac:dyDescent="0.2">
      <c r="A30" s="22" t="s">
        <v>24</v>
      </c>
      <c r="B30" s="40"/>
    </row>
    <row r="31" spans="1:6" x14ac:dyDescent="0.2">
      <c r="A31" s="22" t="s">
        <v>45</v>
      </c>
      <c r="B31" s="75"/>
    </row>
  </sheetData>
  <sheetProtection sheet="1" objects="1" scenarios="1" formatColumns="0" formatRows="0"/>
  <mergeCells count="2">
    <mergeCell ref="A18:A22"/>
    <mergeCell ref="A23:A25"/>
  </mergeCells>
  <phoneticPr fontId="4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0000"/>
    <pageSetUpPr fitToPage="1"/>
  </sheetPr>
  <dimension ref="A1:BA145"/>
  <sheetViews>
    <sheetView showGridLines="0" tabSelected="1" topLeftCell="E18" zoomScale="55" zoomScaleNormal="55" zoomScaleSheetLayoutView="70" workbookViewId="0">
      <selection activeCell="Y25" sqref="Y25"/>
    </sheetView>
  </sheetViews>
  <sheetFormatPr baseColWidth="10" defaultColWidth="11.42578125" defaultRowHeight="18" customHeight="1" x14ac:dyDescent="0.2"/>
  <cols>
    <col min="1" max="1" width="20.42578125" style="15" hidden="1" customWidth="1"/>
    <col min="2" max="2" width="8.140625" style="28" hidden="1" customWidth="1"/>
    <col min="3" max="3" width="24.42578125" style="28" hidden="1" customWidth="1"/>
    <col min="4" max="4" width="29" style="28" hidden="1" customWidth="1"/>
    <col min="5" max="5" width="5.7109375" style="42" customWidth="1"/>
    <col min="6" max="6" width="45.7109375" style="28" customWidth="1"/>
    <col min="7" max="7" width="46.85546875" style="42" customWidth="1"/>
    <col min="8" max="8" width="7.7109375" style="42" customWidth="1"/>
    <col min="9" max="9" width="11.85546875" style="42" customWidth="1"/>
    <col min="10" max="10" width="11.5703125" style="42" customWidth="1"/>
    <col min="11" max="11" width="2.7109375" style="42" customWidth="1"/>
    <col min="12" max="13" width="11.85546875" style="42" customWidth="1"/>
    <col min="14" max="14" width="2.7109375" style="42" customWidth="1"/>
    <col min="15" max="15" width="11.28515625" style="42" customWidth="1"/>
    <col min="16" max="16" width="10.85546875" style="42" customWidth="1"/>
    <col min="17" max="17" width="12.28515625" style="42" customWidth="1"/>
    <col min="18" max="18" width="10" style="42" customWidth="1"/>
    <col min="19" max="20" width="10.5703125" style="42" customWidth="1"/>
    <col min="21" max="21" width="9.7109375" style="42" customWidth="1"/>
    <col min="22" max="23" width="11.5703125" style="42" customWidth="1"/>
    <col min="24" max="24" width="10.28515625" style="42" customWidth="1"/>
    <col min="25" max="25" width="10.85546875" style="42" customWidth="1"/>
    <col min="26" max="26" width="10.28515625" style="42" customWidth="1"/>
    <col min="27" max="27" width="5.7109375" style="42" customWidth="1"/>
    <col min="28" max="28" width="15.140625" style="16" hidden="1" customWidth="1"/>
    <col min="29" max="29" width="20.5703125" style="16" hidden="1" customWidth="1"/>
    <col min="30" max="30" width="12.85546875" style="16" hidden="1" customWidth="1"/>
    <col min="31" max="31" width="20.85546875" style="16" hidden="1" customWidth="1"/>
    <col min="32" max="32" width="14.28515625" style="28" hidden="1" customWidth="1"/>
    <col min="33" max="38" width="9" style="28" hidden="1" customWidth="1"/>
    <col min="39" max="39" width="25.140625" style="28" hidden="1" customWidth="1"/>
    <col min="40" max="40" width="10.5703125" style="28" hidden="1" customWidth="1"/>
    <col min="41" max="41" width="11.5703125" style="28" hidden="1" customWidth="1"/>
    <col min="42" max="42" width="7.140625" style="28" hidden="1" customWidth="1"/>
    <col min="43" max="43" width="6.5703125" style="28" hidden="1" customWidth="1"/>
    <col min="44" max="44" width="6.140625" style="28" hidden="1" customWidth="1"/>
    <col min="45" max="45" width="6.5703125" style="28" hidden="1" customWidth="1"/>
    <col min="46" max="52" width="6.5703125" style="15" customWidth="1"/>
    <col min="53" max="54" width="6.42578125" style="15" customWidth="1"/>
    <col min="55" max="56" width="11.42578125" style="15" customWidth="1"/>
    <col min="57" max="16384" width="11.42578125" style="15"/>
  </cols>
  <sheetData>
    <row r="1" spans="1:44" customFormat="1" ht="16.5" hidden="1" customHeight="1" x14ac:dyDescent="0.2">
      <c r="A1" t="s">
        <v>55</v>
      </c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B1" s="106"/>
      <c r="AC1" s="106"/>
      <c r="AD1" s="106"/>
      <c r="AE1" s="106"/>
    </row>
    <row r="2" spans="1:44" customFormat="1" ht="16.5" hidden="1" customHeight="1" x14ac:dyDescent="0.2">
      <c r="A2">
        <f ca="1">0</f>
        <v>0</v>
      </c>
      <c r="F2" s="114"/>
      <c r="G2" s="95"/>
      <c r="H2" s="95"/>
      <c r="I2" s="127"/>
      <c r="J2" s="127"/>
      <c r="K2" s="128"/>
      <c r="L2" s="127"/>
      <c r="M2" s="127"/>
      <c r="N2" s="128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B2" s="104"/>
      <c r="AC2" s="104"/>
      <c r="AD2" s="104"/>
      <c r="AE2" s="103"/>
    </row>
    <row r="3" spans="1:44" customFormat="1" ht="16.5" hidden="1" customHeight="1" x14ac:dyDescent="0.2">
      <c r="A3">
        <f ca="1">1</f>
        <v>1</v>
      </c>
      <c r="F3" s="114"/>
      <c r="G3" s="95"/>
      <c r="H3" s="95"/>
      <c r="I3" s="127"/>
      <c r="J3" s="127"/>
      <c r="K3" s="128"/>
      <c r="L3" s="127"/>
      <c r="M3" s="127"/>
      <c r="N3" s="128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B3" s="104"/>
      <c r="AC3" s="104"/>
      <c r="AD3" s="104"/>
      <c r="AE3" s="103"/>
    </row>
    <row r="4" spans="1:44" customFormat="1" ht="16.5" hidden="1" customHeight="1" x14ac:dyDescent="0.2">
      <c r="A4">
        <f ca="1">2</f>
        <v>2</v>
      </c>
      <c r="F4" s="114"/>
      <c r="G4" s="95"/>
      <c r="H4" s="95"/>
      <c r="I4" s="127"/>
      <c r="J4" s="127"/>
      <c r="K4" s="128"/>
      <c r="L4" s="127"/>
      <c r="M4" s="127"/>
      <c r="N4" s="128"/>
      <c r="O4" s="127"/>
      <c r="P4" s="127"/>
      <c r="Q4" s="127"/>
      <c r="R4" s="127"/>
      <c r="S4" s="127"/>
      <c r="T4" s="127"/>
      <c r="U4" s="127"/>
      <c r="V4" s="127"/>
      <c r="W4" s="127"/>
      <c r="X4" s="127"/>
      <c r="Y4" s="127"/>
      <c r="Z4" s="127"/>
      <c r="AB4" s="104"/>
      <c r="AC4" s="104"/>
      <c r="AD4" s="104"/>
      <c r="AE4" s="103"/>
    </row>
    <row r="5" spans="1:44" customFormat="1" ht="16.5" hidden="1" customHeight="1" x14ac:dyDescent="0.2">
      <c r="A5">
        <f ca="1">3</f>
        <v>3</v>
      </c>
      <c r="F5" s="114"/>
      <c r="G5" s="95"/>
      <c r="H5" s="95"/>
      <c r="I5" s="127"/>
      <c r="J5" s="127"/>
      <c r="K5" s="128"/>
      <c r="L5" s="127"/>
      <c r="M5" s="127"/>
      <c r="N5" s="128"/>
      <c r="O5" s="127"/>
      <c r="P5" s="127"/>
      <c r="Q5" s="127"/>
      <c r="R5" s="127"/>
      <c r="S5" s="127"/>
      <c r="T5" s="127"/>
      <c r="U5" s="127"/>
      <c r="V5" s="127"/>
      <c r="W5" s="127"/>
      <c r="X5" s="127"/>
      <c r="Y5" s="127"/>
      <c r="Z5" s="127"/>
      <c r="AB5" s="104"/>
      <c r="AC5" s="104"/>
      <c r="AD5" s="104"/>
      <c r="AE5" s="103"/>
    </row>
    <row r="6" spans="1:44" customFormat="1" ht="16.5" hidden="1" customHeight="1" x14ac:dyDescent="0.2">
      <c r="A6" t="s">
        <v>53</v>
      </c>
      <c r="F6" s="114"/>
      <c r="G6" s="95"/>
      <c r="H6" s="95"/>
      <c r="I6" s="127"/>
      <c r="J6" s="127"/>
      <c r="K6" s="128"/>
      <c r="L6" s="127"/>
      <c r="M6" s="127"/>
      <c r="N6" s="128"/>
      <c r="O6" s="127"/>
      <c r="P6" s="127"/>
      <c r="Q6" s="127"/>
      <c r="R6" s="127"/>
      <c r="S6" s="127"/>
      <c r="T6" s="127"/>
      <c r="U6" s="127"/>
      <c r="V6" s="127"/>
      <c r="W6" s="127"/>
      <c r="X6" s="127"/>
      <c r="Y6" s="127"/>
      <c r="Z6" s="127"/>
      <c r="AB6" s="104"/>
      <c r="AC6" s="104"/>
      <c r="AD6" s="104"/>
      <c r="AE6" s="103"/>
    </row>
    <row r="7" spans="1:44" customFormat="1" ht="16.5" hidden="1" customHeight="1" x14ac:dyDescent="0.2">
      <c r="A7" t="s">
        <v>54</v>
      </c>
      <c r="F7" s="114"/>
      <c r="G7" s="95"/>
      <c r="H7" s="95"/>
      <c r="I7" s="127"/>
      <c r="J7" s="127"/>
      <c r="K7" s="128"/>
      <c r="L7" s="127"/>
      <c r="M7" s="127"/>
      <c r="N7" s="128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B7" s="104"/>
      <c r="AC7" s="104"/>
      <c r="AD7" s="104"/>
      <c r="AE7" s="107"/>
    </row>
    <row r="8" spans="1:44" customFormat="1" ht="16.5" hidden="1" customHeight="1" x14ac:dyDescent="0.2">
      <c r="A8" t="s">
        <v>56</v>
      </c>
      <c r="AB8" s="106"/>
      <c r="AC8" s="106"/>
      <c r="AD8" s="106"/>
      <c r="AE8" s="106"/>
    </row>
    <row r="9" spans="1:44" customFormat="1" ht="16.5" hidden="1" customHeight="1" x14ac:dyDescent="0.2">
      <c r="AB9" s="106"/>
      <c r="AC9" s="106"/>
      <c r="AD9" s="106"/>
      <c r="AE9" s="106"/>
    </row>
    <row r="10" spans="1:44" customFormat="1" ht="16.5" hidden="1" customHeight="1" x14ac:dyDescent="0.25">
      <c r="F10" s="102" t="str">
        <f ca="1">_xll.TM1RPTVIEW(Server&amp;"RP_PL_Corp:ARPT3", 0, _xll.TM1RPTTITLE(Server&amp;"Currency",$D$25), _xll.TM1RPTTITLE(Server&amp;"Gaap",$D$26), _xll.TM1RPTTITLE(Server&amp;"Integration_Rate",$D$24), _xll.TM1RPTTITLE(Server&amp;"Projets",$D$22), _xll.TM1RPTTITLE(Server&amp;"Matricules",$D$23), _xll.TM1RPTTITLE(Server&amp;"Legal_Organization_Corp",$G$27), _xll.TM1RPTTITLE(Server&amp;"Tiers",$D$21), TM1RPTFMTRNG,TM1RPTFMTIDCOL)</f>
        <v>tango_core_model:RP_PL_Corp:ARPT3</v>
      </c>
      <c r="G10" s="94" t="str">
        <f ca="1">"[Management_Organization_Corp].["&amp;$G$26&amp;"].Children"</f>
        <v>[Management_Organization_Corp].[].Children</v>
      </c>
      <c r="AB10" s="106"/>
      <c r="AC10" s="106"/>
      <c r="AD10" s="106"/>
      <c r="AE10" s="106"/>
    </row>
    <row r="11" spans="1:44" customFormat="1" ht="16.5" hidden="1" customHeight="1" x14ac:dyDescent="0.25">
      <c r="F11" s="102" t="str">
        <f ca="1">_xll.TM1RPTVIEW(Server&amp;"RP_PL_Corp:ARPT4", 0, _xll.TM1RPTTITLE(Server&amp;"Currency",$D$25), _xll.TM1RPTTITLE(Server&amp;"Gaap",$D$26), _xll.TM1RPTTITLE(Server&amp;"Integration_Rate",$D$24), _xll.TM1RPTTITLE(Server&amp;"Projets",$D$22), _xll.TM1RPTTITLE(Server&amp;"Matricules",$D$23), _xll.TM1RPTTITLE(Server&amp;"Legal_Organization_Corp",$G$27), _xll.TM1RPTTITLE(Server&amp;"Tiers",$D$21), TM1RPTFMTRNG,TM1RPTFMTIDCOL)</f>
        <v>tango_core_model:RP_PL_Corp:ARPT4</v>
      </c>
      <c r="AB11" s="106"/>
      <c r="AC11" s="106"/>
      <c r="AD11" s="106"/>
      <c r="AE11" s="106"/>
    </row>
    <row r="12" spans="1:44" customFormat="1" ht="16.5" hidden="1" customHeight="1" x14ac:dyDescent="0.25">
      <c r="F12" s="102" t="str">
        <f ca="1">_xll.TM1RPTVIEW(Server&amp;"RP_PL_Corp:ARPT5", 0, _xll.TM1RPTTITLE(Server&amp;"Currency",$D$25), _xll.TM1RPTTITLE(Server&amp;"Gaap",$D$26), _xll.TM1RPTTITLE(Server&amp;"Integration_Rate",$D$24), _xll.TM1RPTTITLE(Server&amp;"Projets",$D$22), _xll.TM1RPTTITLE(Server&amp;"Matricules",$D$23), _xll.TM1RPTTITLE(Server&amp;"Legal_Organization_Corp",$G$27), _xll.TM1RPTTITLE(Server&amp;"Tiers",$D$21), TM1RPTFMTRNG,TM1RPTFMTIDCOL)</f>
        <v>tango_core_model:RP_PL_Corp:ARPT5</v>
      </c>
      <c r="AB12" s="106"/>
      <c r="AC12" s="106"/>
      <c r="AD12" s="106"/>
      <c r="AE12" s="106"/>
    </row>
    <row r="13" spans="1:44" ht="16.5" hidden="1" customHeight="1" x14ac:dyDescent="0.25">
      <c r="B13" s="56"/>
      <c r="C13" s="56"/>
      <c r="D13" s="56"/>
      <c r="E13" s="56"/>
      <c r="F13" s="38"/>
      <c r="G13" s="38" t="s">
        <v>73</v>
      </c>
      <c r="H13" s="71" t="s">
        <v>0</v>
      </c>
      <c r="I13" s="85" t="s">
        <v>63</v>
      </c>
      <c r="J13" s="86" t="str">
        <f ca="1">IF(OR($F$16=$AM$30,$F$16=$AM$32),"BUDG_TOT",IF($F$16=$AM$31,"FC_2_TOT","FC_1_TOT"))</f>
        <v>BUDG_TOT</v>
      </c>
      <c r="K13" s="64"/>
      <c r="L13" s="86" t="str">
        <f ca="1">IF($F$16=$AM$30,"ACT_TOT",IF($F$16=$AM$31,"BUDG_TOT",IF($F$16=$AM$32,"FC_1_TOT","FC_2_TOT")))</f>
        <v>ACT_TOT</v>
      </c>
      <c r="M13" s="86" t="str">
        <f ca="1">IF($F$16=$AM$30,"ACT_TOT",IF($F$16=$AM$31,"BUDG_TOT",IF($F$16=$AM$32,"FC_1_TOT","FC_2_TOT")))</f>
        <v>ACT_TOT</v>
      </c>
      <c r="N13" s="72"/>
      <c r="O13" s="111" t="str">
        <f ca="1">IF($F$16=$AM$30,"MAN_AJUST",IF($F$16=$AM$31,"MAN_BUDG",IF($F$16=$AM$32,"MAN_FC_1","MAN_FC_2")))</f>
        <v>MAN_AJUST</v>
      </c>
      <c r="P13" s="72"/>
      <c r="Q13" s="72"/>
      <c r="R13" s="72"/>
      <c r="S13" s="72"/>
      <c r="T13" s="72"/>
      <c r="U13" s="72"/>
      <c r="V13" s="72"/>
      <c r="W13" s="72"/>
      <c r="X13" s="64"/>
      <c r="Y13" s="64"/>
      <c r="Z13" s="73"/>
      <c r="AA13" s="56"/>
      <c r="AB13" s="105"/>
      <c r="AC13" s="105"/>
      <c r="AD13" s="105"/>
    </row>
    <row r="14" spans="1:44" ht="16.5" hidden="1" customHeight="1" x14ac:dyDescent="0.25">
      <c r="B14" s="56"/>
      <c r="C14" s="56"/>
      <c r="D14" s="56"/>
      <c r="E14" s="56"/>
      <c r="F14" s="56"/>
      <c r="G14" s="65"/>
      <c r="H14" s="66" t="s">
        <v>42</v>
      </c>
      <c r="I14" s="67" t="str">
        <f ca="1">_xll.DBRA(Server&amp;$H$14,$M$14,"Prior Year")</f>
        <v>2012</v>
      </c>
      <c r="J14" s="67" t="str">
        <f ca="1">IF($G30=$AN$25,_xll.DBRA(Server&amp;$H$14,$M$14,"Prior Year"),$M$14)</f>
        <v>2013</v>
      </c>
      <c r="K14" s="64"/>
      <c r="L14" s="64" t="str">
        <f ca="1">_xll.DBRA(Server&amp;$H$14,$M$14,"Prior Year")&amp;".12"</f>
        <v>2012.12</v>
      </c>
      <c r="M14" s="67" t="str">
        <f ca="1">LEFT(H15,4)</f>
        <v>2013</v>
      </c>
      <c r="N14" s="56"/>
      <c r="O14" s="67" t="str">
        <f ca="1">IF($I$16="NO",$M$14&amp;".01",$M$14&amp;".01")</f>
        <v>2013.01</v>
      </c>
      <c r="P14" s="67" t="str">
        <f ca="1">IF($I$16="NO",$M$14&amp;".02",$M$14&amp;".02")</f>
        <v>2013.02</v>
      </c>
      <c r="Q14" s="67" t="str">
        <f ca="1">IF($I$16="NO",$M$14&amp;".03",$M$14&amp;".03")</f>
        <v>2013.03</v>
      </c>
      <c r="R14" s="67" t="str">
        <f ca="1">IF($I$16="NO",$M$14&amp;".04",$M$14&amp;".04")</f>
        <v>2013.04</v>
      </c>
      <c r="S14" s="67" t="str">
        <f ca="1">IF($I$16="NO",$M$14&amp;".05",$M$14&amp;".05")</f>
        <v>2013.05</v>
      </c>
      <c r="T14" s="67" t="str">
        <f ca="1">IF($I$16="NO",$M$14&amp;".06",$M$14&amp;".06")</f>
        <v>2013.06</v>
      </c>
      <c r="U14" s="67" t="str">
        <f ca="1">IF($I$16="NO",$M$14&amp;".07",$M$14&amp;".07")</f>
        <v>2013.07</v>
      </c>
      <c r="V14" s="67" t="str">
        <f ca="1">IF($I$16="NO",$M$14&amp;".08",$M$14&amp;".08")</f>
        <v>2013.08</v>
      </c>
      <c r="W14" s="67" t="str">
        <f ca="1">IF($I$16="NO",$M$14&amp;".09",$M$14&amp;".09")</f>
        <v>2013.09</v>
      </c>
      <c r="X14" s="64" t="str">
        <f ca="1">IF($I$16="NO",$M$14&amp;".10",$M$14&amp;".10")</f>
        <v>2013.10</v>
      </c>
      <c r="Y14" s="56" t="str">
        <f ca="1">IF($I$16="NO",$M$14&amp;".11",$M$14&amp;".11")</f>
        <v>2013.11</v>
      </c>
      <c r="Z14" s="56" t="str">
        <f ca="1">IF($I$16="NO",$M$14&amp;".12",$M$14&amp;".12")</f>
        <v>2013.12</v>
      </c>
      <c r="AA14" s="56"/>
      <c r="AB14" s="96"/>
      <c r="AC14" s="98"/>
      <c r="AD14" s="98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</row>
    <row r="15" spans="1:44" ht="16.5" hidden="1" customHeight="1" x14ac:dyDescent="0.2">
      <c r="B15" s="56"/>
      <c r="C15" s="56"/>
      <c r="D15" s="56"/>
      <c r="E15" s="56"/>
      <c r="F15" s="124" t="s">
        <v>79</v>
      </c>
      <c r="G15" s="56"/>
      <c r="H15" s="87" t="str">
        <f ca="1">_xll.SUBNM(Server&amp;"Period","",$G$25,"")</f>
        <v>2013</v>
      </c>
      <c r="I15" s="64"/>
      <c r="J15" s="64"/>
      <c r="K15" s="64"/>
      <c r="L15" s="64"/>
      <c r="M15" s="64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64"/>
      <c r="Y15" s="56"/>
      <c r="Z15" s="56"/>
      <c r="AA15" s="56"/>
      <c r="AB15" s="96"/>
      <c r="AC15" s="96"/>
      <c r="AD15" s="9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</row>
    <row r="16" spans="1:44" ht="16.5" hidden="1" customHeight="1" x14ac:dyDescent="0.2">
      <c r="B16" s="56"/>
      <c r="C16" s="56"/>
      <c r="D16" s="56"/>
      <c r="E16" s="56"/>
      <c r="F16" s="29" t="str">
        <f ca="1">_xll.SUBNM(Server&amp;"z_translate_report","",G30,"")</f>
        <v>Actual</v>
      </c>
      <c r="G16" s="64"/>
      <c r="H16" s="68" t="s">
        <v>43</v>
      </c>
      <c r="I16" s="69" t="str">
        <f ca="1">IF(RIGHT(H15,3)="ytd","YES","NO")</f>
        <v>NO</v>
      </c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96"/>
      <c r="AC16" s="96"/>
      <c r="AD16" s="9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</row>
    <row r="17" spans="2:53" ht="16.5" hidden="1" customHeight="1" thickBot="1" x14ac:dyDescent="0.3">
      <c r="B17" s="56"/>
      <c r="C17" s="56"/>
      <c r="D17" s="56"/>
      <c r="E17" s="101"/>
      <c r="F17" s="70"/>
      <c r="G17" s="70"/>
      <c r="H17" s="123" t="s">
        <v>77</v>
      </c>
      <c r="I17" s="122" t="s">
        <v>78</v>
      </c>
      <c r="J17" s="70"/>
      <c r="K17" s="70"/>
      <c r="L17" s="101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64"/>
      <c r="AB17" s="96"/>
      <c r="AC17" s="96"/>
      <c r="AD17" s="96"/>
      <c r="AE17" s="9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</row>
    <row r="18" spans="2:53" ht="19.5" customHeight="1" x14ac:dyDescent="0.2">
      <c r="B18" s="56"/>
      <c r="C18" s="56"/>
      <c r="D18" s="57"/>
      <c r="E18" s="96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96"/>
      <c r="AC18" s="96"/>
      <c r="AD18" s="96"/>
      <c r="AE18" s="96"/>
    </row>
    <row r="19" spans="2:53" ht="18" customHeight="1" x14ac:dyDescent="0.2">
      <c r="B19" s="56"/>
      <c r="C19" s="56"/>
      <c r="D19" s="57"/>
      <c r="E19" s="96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96"/>
      <c r="AC19" s="96"/>
      <c r="AD19" s="96"/>
      <c r="AE19" s="96"/>
    </row>
    <row r="20" spans="2:53" ht="18" customHeight="1" x14ac:dyDescent="0.25">
      <c r="B20" s="56"/>
      <c r="C20" s="89" t="s">
        <v>64</v>
      </c>
      <c r="D20" s="58"/>
      <c r="E20" s="9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29"/>
      <c r="AO20" s="76" t="s">
        <v>57</v>
      </c>
      <c r="AP20" s="28" t="str">
        <f ca="1">IF($G$28="Français","French","English")</f>
        <v>French</v>
      </c>
    </row>
    <row r="21" spans="2:53" ht="41.25" customHeight="1" thickBot="1" x14ac:dyDescent="0.3">
      <c r="B21" s="56"/>
      <c r="C21" s="88" t="s">
        <v>52</v>
      </c>
      <c r="D21" s="90" t="s">
        <v>65</v>
      </c>
      <c r="E21" s="97"/>
      <c r="F21" s="133"/>
      <c r="G21" s="132" t="str">
        <f ca="1">_xll.DBRA(Server&amp;$AM$23,$AN$29,$AP$20)</f>
        <v>Indicateurs opérationnels</v>
      </c>
      <c r="H21" s="132"/>
      <c r="I21" s="132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4" t="str">
        <f ca="1">_xll.DBRA(Server&amp;$AM$23,$AM$35,$AP$20)</f>
        <v>Saisie</v>
      </c>
      <c r="Z21" s="135"/>
      <c r="AA21" s="29"/>
      <c r="AB21" s="108"/>
      <c r="AC21" s="108"/>
      <c r="AD21" s="108"/>
      <c r="AE21" s="108"/>
      <c r="AO21" s="42"/>
    </row>
    <row r="22" spans="2:53" ht="30" customHeight="1" thickBot="1" x14ac:dyDescent="0.3">
      <c r="B22" s="56"/>
      <c r="C22" s="88" t="s">
        <v>49</v>
      </c>
      <c r="D22" s="90" t="s">
        <v>65</v>
      </c>
      <c r="E22" s="97"/>
      <c r="F22" s="133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4"/>
      <c r="Z22" s="135"/>
      <c r="AA22" s="29"/>
      <c r="AB22" s="108"/>
      <c r="AC22" s="108"/>
      <c r="AD22" s="108"/>
      <c r="AE22" s="108"/>
      <c r="AN22" s="54" t="s">
        <v>41</v>
      </c>
      <c r="AO22" s="42"/>
    </row>
    <row r="23" spans="2:53" ht="18" customHeight="1" thickBot="1" x14ac:dyDescent="0.3">
      <c r="B23" s="56"/>
      <c r="C23" s="88" t="s">
        <v>50</v>
      </c>
      <c r="D23" s="90" t="s">
        <v>65</v>
      </c>
      <c r="E23" s="97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29"/>
      <c r="AB23" s="15"/>
      <c r="AC23" s="15"/>
      <c r="AD23" s="15"/>
      <c r="AE23" s="15"/>
      <c r="AM23" s="51" t="s">
        <v>38</v>
      </c>
      <c r="AN23" s="77" t="s">
        <v>0</v>
      </c>
      <c r="AO23" s="42"/>
    </row>
    <row r="24" spans="2:53" ht="23.25" customHeight="1" thickBot="1" x14ac:dyDescent="0.3">
      <c r="B24" s="56"/>
      <c r="C24" s="88" t="s">
        <v>48</v>
      </c>
      <c r="D24" s="90" t="s">
        <v>66</v>
      </c>
      <c r="E24" s="97"/>
      <c r="F24" s="32" t="str">
        <f ca="1">_xll.DBRA(Server&amp;$AM$23,$AM$24,$AP$20)</f>
        <v>Sélection du contexte</v>
      </c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29"/>
      <c r="AB24" s="44"/>
      <c r="AC24" s="44"/>
      <c r="AD24" s="44"/>
      <c r="AE24" s="44"/>
      <c r="AM24" s="52" t="s">
        <v>35</v>
      </c>
      <c r="AN24" s="50" t="str">
        <f ca="1">_xll.DBRA(Server&amp;$AM$23,$AM$30,$AP$20)</f>
        <v>Réalisé</v>
      </c>
      <c r="AO24" s="42"/>
    </row>
    <row r="25" spans="2:53" ht="23.25" customHeight="1" x14ac:dyDescent="0.25">
      <c r="B25" s="56"/>
      <c r="C25" s="88" t="s">
        <v>16</v>
      </c>
      <c r="D25" s="90" t="s">
        <v>67</v>
      </c>
      <c r="E25" s="97"/>
      <c r="F25" s="33" t="str">
        <f ca="1">_xll.DBRA(Server&amp;$AM$23,$AM$25,$AP$20)</f>
        <v>Période</v>
      </c>
      <c r="G25" s="45" t="str">
        <f ca="1">_xll.SUBNM(Server&amp;"Period","Corp_FR",ActualYear,$AP$20)</f>
        <v>2013</v>
      </c>
      <c r="H25" s="46"/>
      <c r="I25" s="16"/>
      <c r="J25" s="30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29"/>
      <c r="AB25" s="35"/>
      <c r="AC25" s="46"/>
      <c r="AD25" s="46"/>
      <c r="AF25" s="42"/>
      <c r="AG25" s="42"/>
      <c r="AH25" s="42"/>
      <c r="AI25" s="42"/>
      <c r="AJ25" s="42"/>
      <c r="AK25" s="42"/>
      <c r="AL25" s="42"/>
      <c r="AM25" s="48" t="s">
        <v>42</v>
      </c>
      <c r="AN25" s="53" t="str">
        <f ca="1">_xll.DBRA(Server&amp;$AM$23,$AM$31,$AP$20)</f>
        <v>Budget</v>
      </c>
      <c r="AO25" s="42"/>
      <c r="AP25" s="42"/>
      <c r="AQ25" s="42"/>
      <c r="AR25" s="42"/>
      <c r="AS25" s="42"/>
    </row>
    <row r="26" spans="2:53" ht="21.75" customHeight="1" x14ac:dyDescent="0.25">
      <c r="B26" s="56"/>
      <c r="C26" s="88" t="s">
        <v>17</v>
      </c>
      <c r="D26" s="90" t="s">
        <v>68</v>
      </c>
      <c r="E26" s="97"/>
      <c r="F26" s="33" t="str">
        <f ca="1">_xll.DBRA(Server&amp;$AM$23,$AM$26,$AP$20)</f>
        <v>Organisation managériale</v>
      </c>
      <c r="G26" s="45" t="str">
        <f ca="1">_xll.SUBNM(Server&amp;"Management_Organization_Corp","Corp_FR",_xll.DBR(Server&amp;"z_Client_Properties","Default_Management_Organization_Corp",_xll.TM1USER(xServer)),$G$28)</f>
        <v/>
      </c>
      <c r="H26" s="46"/>
      <c r="I26" s="16"/>
      <c r="J26" s="30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29"/>
      <c r="AB26" s="35"/>
      <c r="AC26" s="46"/>
      <c r="AD26" s="46"/>
      <c r="AM26" s="53" t="s">
        <v>36</v>
      </c>
      <c r="AN26" s="81" t="str">
        <f ca="1">_xll.DBRA(Server&amp;$AM$23,$AM$32,$AP$20)</f>
        <v>Estimé 1</v>
      </c>
      <c r="AO26" s="42"/>
    </row>
    <row r="27" spans="2:53" ht="21.75" customHeight="1" thickBot="1" x14ac:dyDescent="0.4">
      <c r="B27" s="56"/>
      <c r="C27" s="88"/>
      <c r="D27" s="90"/>
      <c r="E27" s="97"/>
      <c r="F27" s="33" t="str">
        <f ca="1">_xll.DBRA(Server&amp;$AM$23,$AM$27,$AP$20)</f>
        <v>Organisation légale</v>
      </c>
      <c r="G27" s="45" t="str">
        <f ca="1">_xll.SUBNM(Server&amp;"Legal_Organization_Corp","Corp_FR",_xll.DBR(Server&amp;"z_Client_Properties","Default_Legal_Organization_Corp",_xll.TM1USER(xServer)),$G$28)</f>
        <v/>
      </c>
      <c r="H27" s="46"/>
      <c r="I27" s="16"/>
      <c r="J27" s="30"/>
      <c r="K27" s="15"/>
      <c r="L27" s="15"/>
      <c r="M27" s="15"/>
      <c r="N27" s="31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31"/>
      <c r="Z27" s="34"/>
      <c r="AA27" s="29"/>
      <c r="AB27" s="35"/>
      <c r="AC27" s="46"/>
      <c r="AD27" s="46"/>
      <c r="AM27" s="53" t="s">
        <v>37</v>
      </c>
      <c r="AN27" s="82" t="str">
        <f ca="1">_xll.DBRA(Server&amp;$AM$23,$AM$33,$AP$20)</f>
        <v>Estimé 2</v>
      </c>
      <c r="AO27" s="42"/>
    </row>
    <row r="28" spans="2:53" ht="21" customHeight="1" thickBot="1" x14ac:dyDescent="0.25">
      <c r="B28" s="56"/>
      <c r="C28" s="56"/>
      <c r="D28" s="58"/>
      <c r="E28" s="96"/>
      <c r="F28" s="33" t="str">
        <f ca="1">_xll.DBRA(Server&amp;$AM$23,$AM$28,$AP$20)</f>
        <v>Langue</v>
      </c>
      <c r="G28" s="46" t="s">
        <v>47</v>
      </c>
      <c r="H28" s="46"/>
      <c r="I28" s="138" t="str">
        <f ca="1">_xll.DBRA(Server&amp;"Period",$I$14,$AP$20)</f>
        <v>2012</v>
      </c>
      <c r="J28" s="136" t="str">
        <f ca="1">_xll.DBRA(Server&amp;"Period",$J$14,$AP$20)</f>
        <v>2013</v>
      </c>
      <c r="K28" s="15"/>
      <c r="L28" s="138" t="str">
        <f ca="1">_xll.DBRA(Server&amp;"Period",$L$14,$AP$20)</f>
        <v>déc-12</v>
      </c>
      <c r="M28" s="136" t="str">
        <f ca="1">_xll.DBRA(Server&amp;"Period",$M$14,$AP$20)</f>
        <v>2013</v>
      </c>
      <c r="N28" s="31"/>
      <c r="O28" s="136" t="str">
        <f ca="1">_xll.DBRA(Server&amp;"Period",$M$14,$AP$20)</f>
        <v>2013</v>
      </c>
      <c r="P28" s="136"/>
      <c r="Q28" s="136"/>
      <c r="R28" s="136"/>
      <c r="S28" s="136"/>
      <c r="T28" s="136"/>
      <c r="U28" s="136"/>
      <c r="V28" s="136"/>
      <c r="W28" s="136"/>
      <c r="X28" s="136"/>
      <c r="Y28" s="136"/>
      <c r="Z28" s="136"/>
      <c r="AA28" s="29"/>
      <c r="AB28" s="35"/>
      <c r="AC28" s="46"/>
      <c r="AD28" s="46"/>
      <c r="AE28" s="14"/>
      <c r="AM28" s="78" t="s">
        <v>39</v>
      </c>
      <c r="AN28" s="47"/>
      <c r="AO28" s="42"/>
    </row>
    <row r="29" spans="2:53" ht="24" customHeight="1" thickBot="1" x14ac:dyDescent="0.25">
      <c r="B29" s="56"/>
      <c r="C29" s="59"/>
      <c r="D29" s="58"/>
      <c r="E29" s="96"/>
      <c r="F29" s="33"/>
      <c r="G29" s="16"/>
      <c r="H29" s="16"/>
      <c r="I29" s="139"/>
      <c r="J29" s="137"/>
      <c r="K29" s="83"/>
      <c r="L29" s="139"/>
      <c r="M29" s="137"/>
      <c r="N29" s="31"/>
      <c r="O29" s="137"/>
      <c r="P29" s="137"/>
      <c r="Q29" s="137"/>
      <c r="R29" s="137"/>
      <c r="S29" s="137"/>
      <c r="T29" s="137"/>
      <c r="U29" s="137"/>
      <c r="V29" s="137"/>
      <c r="W29" s="137"/>
      <c r="X29" s="137"/>
      <c r="Y29" s="137"/>
      <c r="Z29" s="137"/>
      <c r="AA29" s="29"/>
      <c r="AE29" s="14"/>
      <c r="AM29" s="48" t="s">
        <v>0</v>
      </c>
      <c r="AN29" s="47" t="s">
        <v>80</v>
      </c>
      <c r="AO29" s="42"/>
    </row>
    <row r="30" spans="2:53" ht="19.5" customHeight="1" thickTop="1" x14ac:dyDescent="0.2">
      <c r="B30" s="56"/>
      <c r="C30" s="56" t="s">
        <v>69</v>
      </c>
      <c r="D30" s="60"/>
      <c r="E30" s="15"/>
      <c r="F30" s="33" t="str">
        <f ca="1">_xll.DBRA(Server&amp;$AM$23,$AM$29,$AP$20)</f>
        <v>Phase</v>
      </c>
      <c r="G30" s="46" t="s">
        <v>75</v>
      </c>
      <c r="H30" s="35"/>
      <c r="I30" s="140" t="str">
        <f ca="1">_xll.DBRA(Server&amp;"Phase",$I$13,$AP$20)</f>
        <v>Réalisé</v>
      </c>
      <c r="J30" s="140" t="str">
        <f ca="1">_xll.DBRA(Server&amp;"Phase",$J$13,$AP$20)</f>
        <v>Budget</v>
      </c>
      <c r="K30" s="83"/>
      <c r="L30" s="140" t="str">
        <f ca="1">_xll.DBRA(Server&amp;"Phase",$M$13,$AP$20)</f>
        <v>Réalisé</v>
      </c>
      <c r="M30" s="140" t="str">
        <f ca="1">_xll.DBRA(Server&amp;"Phase",$M$13,$AP$20)</f>
        <v>Réalisé</v>
      </c>
      <c r="N30" s="31"/>
      <c r="O30" s="140" t="str">
        <f ca="1">_xll.DBRA(Server&amp;"Period",O$14,$AP$20)</f>
        <v>janv-13</v>
      </c>
      <c r="P30" s="140" t="str">
        <f ca="1">_xll.DBRA(Server&amp;"Period",P$14,$AP$20)</f>
        <v>févr-13</v>
      </c>
      <c r="Q30" s="140" t="str">
        <f ca="1">_xll.DBRA(Server&amp;"Period",Q$14,$AP$20)</f>
        <v>mars-13</v>
      </c>
      <c r="R30" s="140" t="str">
        <f ca="1">_xll.DBRA(Server&amp;"Period",R$14,$AP$20)</f>
        <v>avr-13</v>
      </c>
      <c r="S30" s="140" t="str">
        <f ca="1">_xll.DBRA(Server&amp;"Period",S$14,$AP$20)</f>
        <v>mai-13</v>
      </c>
      <c r="T30" s="140" t="str">
        <f ca="1">_xll.DBRA(Server&amp;"Period",T$14,$AP$20)</f>
        <v>juin-13</v>
      </c>
      <c r="U30" s="140" t="str">
        <f ca="1">_xll.DBRA(Server&amp;"Period",U$14,$AP$20)</f>
        <v>juil-13</v>
      </c>
      <c r="V30" s="140" t="str">
        <f ca="1">_xll.DBRA(Server&amp;"Period",V$14,$AP$20)</f>
        <v>août-13</v>
      </c>
      <c r="W30" s="140" t="str">
        <f ca="1">_xll.DBRA(Server&amp;"Period",W$14,$AP$20)</f>
        <v>sept-13</v>
      </c>
      <c r="X30" s="140" t="str">
        <f ca="1">_xll.DBRA(Server&amp;"Period",X$14,$AP$20)</f>
        <v>oct-13</v>
      </c>
      <c r="Y30" s="140" t="str">
        <f ca="1">_xll.DBRA(Server&amp;"Period",Y$14,$AP$20)</f>
        <v>nov-13</v>
      </c>
      <c r="Z30" s="140" t="str">
        <f ca="1">_xll.DBRA(Server&amp;"Period",Z$14,$AP$20)</f>
        <v>déc-13</v>
      </c>
      <c r="AA30" s="29"/>
      <c r="AB30" s="35"/>
      <c r="AC30" s="35"/>
      <c r="AD30" s="35"/>
      <c r="AE30" s="13"/>
      <c r="AM30" s="49" t="s">
        <v>61</v>
      </c>
      <c r="AN30" s="47"/>
      <c r="AO30" s="42"/>
      <c r="AT30" s="17"/>
      <c r="AU30" s="17"/>
      <c r="AV30" s="17"/>
      <c r="AW30" s="17"/>
      <c r="AX30" s="17"/>
      <c r="AY30" s="17"/>
      <c r="AZ30" s="17"/>
      <c r="BA30" s="17"/>
    </row>
    <row r="31" spans="2:53" s="18" customFormat="1" ht="23.25" customHeight="1" thickBot="1" x14ac:dyDescent="0.25">
      <c r="B31" s="56"/>
      <c r="C31" s="56" t="s">
        <v>70</v>
      </c>
      <c r="D31" s="61"/>
      <c r="E31" s="98"/>
      <c r="F31" s="35"/>
      <c r="G31" s="35"/>
      <c r="H31" s="35"/>
      <c r="I31" s="141"/>
      <c r="J31" s="141"/>
      <c r="K31" s="13"/>
      <c r="L31" s="141"/>
      <c r="M31" s="141"/>
      <c r="N31" s="13"/>
      <c r="O31" s="141"/>
      <c r="P31" s="141"/>
      <c r="Q31" s="141"/>
      <c r="R31" s="141"/>
      <c r="S31" s="141"/>
      <c r="T31" s="141"/>
      <c r="U31" s="141"/>
      <c r="V31" s="141"/>
      <c r="W31" s="141"/>
      <c r="X31" s="141"/>
      <c r="Y31" s="141"/>
      <c r="Z31" s="141"/>
      <c r="AA31" s="15"/>
      <c r="AB31" s="35"/>
      <c r="AC31" s="35"/>
      <c r="AD31" s="35"/>
      <c r="AE31" s="13"/>
      <c r="AF31" s="28"/>
      <c r="AG31" s="28"/>
      <c r="AH31" s="28"/>
      <c r="AI31" s="28"/>
      <c r="AJ31" s="28"/>
      <c r="AK31" s="28"/>
      <c r="AL31" s="28"/>
      <c r="AM31" s="79" t="s">
        <v>58</v>
      </c>
      <c r="AN31" s="55"/>
      <c r="AO31" s="42"/>
      <c r="AP31" s="28"/>
      <c r="AQ31" s="28"/>
      <c r="AR31" s="28"/>
      <c r="AS31" s="28"/>
    </row>
    <row r="32" spans="2:53" s="18" customFormat="1" ht="18.75" customHeight="1" x14ac:dyDescent="0.2">
      <c r="B32" s="56"/>
      <c r="C32" s="56" t="s">
        <v>71</v>
      </c>
      <c r="D32" s="61"/>
      <c r="E32" s="98"/>
      <c r="F32" s="35"/>
      <c r="G32" s="35"/>
      <c r="H32" s="35"/>
      <c r="J32" s="74"/>
      <c r="K32" s="13"/>
      <c r="L32" s="131"/>
      <c r="M32" s="84"/>
      <c r="N32" s="13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15"/>
      <c r="AB32" s="35"/>
      <c r="AC32" s="35"/>
      <c r="AD32" s="35"/>
      <c r="AE32" s="15"/>
      <c r="AF32" s="42"/>
      <c r="AG32" s="42"/>
      <c r="AH32" s="42"/>
      <c r="AI32" s="42"/>
      <c r="AJ32" s="42"/>
      <c r="AK32" s="42"/>
      <c r="AL32" s="42"/>
      <c r="AM32" s="79" t="s">
        <v>59</v>
      </c>
      <c r="AN32" s="42"/>
      <c r="AO32" s="42"/>
      <c r="AP32" s="42"/>
      <c r="AQ32" s="42"/>
      <c r="AR32" s="42"/>
      <c r="AS32" s="42"/>
    </row>
    <row r="33" spans="1:45" s="18" customFormat="1" ht="25.5" customHeight="1" thickBot="1" x14ac:dyDescent="0.3">
      <c r="B33" s="56"/>
      <c r="C33" s="91" t="s">
        <v>51</v>
      </c>
      <c r="D33" s="61"/>
      <c r="E33" s="98"/>
      <c r="F33" s="92" t="str">
        <f ca="1">UPPER(_xll.DBRA(Server&amp;$AM$23,#REF!,$AP$20))</f>
        <v/>
      </c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92"/>
      <c r="AC33" s="15"/>
      <c r="AD33" s="15"/>
      <c r="AE33" s="15"/>
      <c r="AF33" s="28"/>
      <c r="AG33" s="28"/>
      <c r="AH33" s="28"/>
      <c r="AI33" s="28"/>
      <c r="AJ33" s="28"/>
      <c r="AK33" s="28"/>
      <c r="AL33" s="28"/>
      <c r="AM33" s="80" t="s">
        <v>60</v>
      </c>
      <c r="AN33" s="28"/>
      <c r="AO33" s="28"/>
      <c r="AP33" s="28"/>
      <c r="AQ33" s="28"/>
      <c r="AR33" s="28"/>
      <c r="AS33" s="28"/>
    </row>
    <row r="34" spans="1:45" s="18" customFormat="1" ht="27" customHeight="1" x14ac:dyDescent="0.25">
      <c r="B34" s="56"/>
      <c r="C34" s="56"/>
      <c r="D34" s="112" t="s">
        <v>69</v>
      </c>
      <c r="E34" s="99"/>
      <c r="F34" s="142" t="str">
        <f ca="1">_xll.DBRA(Server&amp;$C$33,$D$34,$G$28)</f>
        <v>Nombre de m² (La Pérouse)</v>
      </c>
      <c r="G34" s="142"/>
      <c r="H34" s="143"/>
      <c r="I34" s="144" t="str">
        <f ca="1">_xll.DBRW(Server&amp;Cube1,$D$25,$D$26,$D$24,$D$22,$D$23,$G$27,$G$26,$D$21,I$14,I$13,$D$34)</f>
        <v/>
      </c>
      <c r="J34" s="145" t="str">
        <f ca="1">_xll.DBRW(Server&amp;Cube1,$D$25,$D$26,$D$24,$D$22,$D$23,$G$27,$G$26,$D$21,J$14,J$13,$D$34)</f>
        <v/>
      </c>
      <c r="K34" s="126"/>
      <c r="L34" s="145" t="str">
        <f ca="1">_xll.DBRW(Server&amp;Cube1,$D$25,$D$26,$D$24,$D$22,$D$23,$G$27,$G$26,$D$21,L$14,L$13,$D$34)</f>
        <v/>
      </c>
      <c r="M34" s="145" t="str">
        <f ca="1">_xll.DBRW(Server&amp;Cube1,$D$25,$D$26,$D$24,$D$22,$D$23,$G$27,$G$26,$D$21,M$14,M$13,$D$34)</f>
        <v/>
      </c>
      <c r="N34" s="126"/>
      <c r="O34" s="145" t="str">
        <f ca="1">_xll.DBRW(Server&amp;Cube1,$D$25,$D$26,$D$24,$D$22,$D$23,$G$27,$G$26,$D$21,O$14,$M$13,$D$34)</f>
        <v/>
      </c>
      <c r="P34" s="145" t="str">
        <f ca="1">_xll.DBRW(Server&amp;Cube1,$D$25,$D$26,$D$24,$D$22,$D$23,$G$27,$G$26,$D$21,P$14,$M$13,$D$34)</f>
        <v/>
      </c>
      <c r="Q34" s="145" t="str">
        <f ca="1">_xll.DBRW(Server&amp;Cube1,$D$25,$D$26,$D$24,$D$22,$D$23,$G$27,$G$26,$D$21,Q$14,$M$13,$D$34)</f>
        <v/>
      </c>
      <c r="R34" s="145" t="str">
        <f ca="1">_xll.DBRW(Server&amp;Cube1,$D$25,$D$26,$D$24,$D$22,$D$23,$G$27,$G$26,$D$21,R$14,$M$13,$D$34)</f>
        <v/>
      </c>
      <c r="S34" s="145" t="str">
        <f ca="1">_xll.DBRW(Server&amp;Cube1,$D$25,$D$26,$D$24,$D$22,$D$23,$G$27,$G$26,$D$21,S$14,$M$13,$D$34)</f>
        <v/>
      </c>
      <c r="T34" s="145" t="str">
        <f ca="1">_xll.DBRW(Server&amp;Cube1,$D$25,$D$26,$D$24,$D$22,$D$23,$G$27,$G$26,$D$21,T$14,$M$13,$D$34)</f>
        <v/>
      </c>
      <c r="U34" s="145" t="str">
        <f ca="1">_xll.DBRW(Server&amp;Cube1,$D$25,$D$26,$D$24,$D$22,$D$23,$G$27,$G$26,$D$21,U$14,$M$13,$D$34)</f>
        <v/>
      </c>
      <c r="V34" s="145" t="str">
        <f ca="1">_xll.DBRW(Server&amp;Cube1,$D$25,$D$26,$D$24,$D$22,$D$23,$G$27,$G$26,$D$21,V$14,$M$13,$D$34)</f>
        <v/>
      </c>
      <c r="W34" s="145" t="str">
        <f ca="1">_xll.DBRW(Server&amp;Cube1,$D$25,$D$26,$D$24,$D$22,$D$23,$G$27,$G$26,$D$21,W$14,$M$13,$D$34)</f>
        <v/>
      </c>
      <c r="X34" s="145" t="str">
        <f ca="1">_xll.DBRW(Server&amp;Cube1,$D$25,$D$26,$D$24,$D$22,$D$23,$G$27,$G$26,$D$21,X$14,$M$13,$D$34)</f>
        <v/>
      </c>
      <c r="Y34" s="145" t="str">
        <f ca="1">_xll.DBRW(Server&amp;Cube1,$D$25,$D$26,$D$24,$D$22,$D$23,$G$27,$G$26,$D$21,Y$14,$M$13,$D$34)</f>
        <v/>
      </c>
      <c r="Z34" s="145" t="str">
        <f ca="1">_xll.DBRW(Server&amp;Cube1,$D$25,$D$26,$D$24,$D$22,$D$23,$G$27,$G$26,$D$21,Z$14,$M$13,$D$34)</f>
        <v/>
      </c>
      <c r="AA34" s="15"/>
      <c r="AB34" s="12"/>
      <c r="AC34" s="12"/>
      <c r="AD34" s="109"/>
      <c r="AE34" s="110"/>
      <c r="AF34" s="42"/>
      <c r="AG34" s="42"/>
      <c r="AH34" s="42"/>
      <c r="AI34" s="42"/>
      <c r="AJ34" s="42"/>
      <c r="AK34" s="42"/>
      <c r="AL34" s="42"/>
      <c r="AM34" s="79" t="s">
        <v>62</v>
      </c>
      <c r="AN34" s="42"/>
      <c r="AO34" s="42"/>
      <c r="AP34" s="42"/>
      <c r="AQ34" s="42"/>
      <c r="AR34" s="42"/>
      <c r="AS34" s="42"/>
    </row>
    <row r="35" spans="1:45" customFormat="1" ht="17.25" customHeight="1" x14ac:dyDescent="0.2">
      <c r="A35" t="str">
        <f ca="1">IF(_xll.TM1RPTELISCONSOLIDATED($F$35,$F35),IF(_xll.TM1RPTELLEV($F$35,$F35)&lt;=3,_xll.TM1RPTELLEV($F$35,$F35),"D"),"N")</f>
        <v>N</v>
      </c>
      <c r="F35" s="113" t="str">
        <f ca="1">_xll.TM1RPTROW($F$10,Server&amp;"Management_Organization_Corp","","",$G$28,0,$G$10,,1)</f>
        <v/>
      </c>
      <c r="G35" s="95"/>
      <c r="H35" s="95"/>
      <c r="I35" s="127" t="str">
        <f ca="1">_xll.DBRW(Server&amp;Cube1,$D$25,$D$26,$D$24,$D$22,$D$23,$G$27,$F35,$D$21,I$14,I$13,$D$34)</f>
        <v/>
      </c>
      <c r="J35" s="127" t="str">
        <f ca="1">_xll.DBRW(Server&amp;Cube1,$D$25,$D$26,$D$24,$D$22,$D$23,$G$27,$F35,$D$21,J$14,J$13,$D$34)</f>
        <v/>
      </c>
      <c r="K35" s="128"/>
      <c r="L35" s="127" t="str">
        <f ca="1">_xll.DBRW(Server&amp;Cube1,$D$25,$D$26,$D$24,$D$22,$D$23,$G$27,$F35,$D$21,L$14,L$13,$D$34)</f>
        <v/>
      </c>
      <c r="M35" s="127" t="str">
        <f ca="1">_xll.DBRW(Server&amp;Cube1,$D$25,$D$26,$D$24,$D$22,$D$23,$G$27,$F35,$D$21,M$14,M$13,$D$34)</f>
        <v/>
      </c>
      <c r="N35" s="128"/>
      <c r="O35" s="127" t="str">
        <f ca="1">_xll.DBRW(Server&amp;Cube1,$D$25,$D$26,$D$24,$D$22,$D$23,$G$27,$F35,$D$21,O$14,$O$13,$D$34)</f>
        <v/>
      </c>
      <c r="P35" s="127" t="str">
        <f ca="1">_xll.DBRW(Server&amp;Cube1,$D$25,$D$26,$D$24,$D$22,$D$23,$G$27,$F35,$D$21,P$14,$O$13,$D$34)</f>
        <v/>
      </c>
      <c r="Q35" s="127" t="str">
        <f ca="1">_xll.DBRW(Server&amp;Cube1,$D$25,$D$26,$D$24,$D$22,$D$23,$G$27,$F35,$D$21,Q$14,$O$13,$D$34)</f>
        <v/>
      </c>
      <c r="R35" s="127" t="str">
        <f ca="1">_xll.DBRW(Server&amp;Cube1,$D$25,$D$26,$D$24,$D$22,$D$23,$G$27,$F35,$D$21,R$14,$O$13,$D$34)</f>
        <v/>
      </c>
      <c r="S35" s="127" t="str">
        <f ca="1">_xll.DBRW(Server&amp;Cube1,$D$25,$D$26,$D$24,$D$22,$D$23,$G$27,$F35,$D$21,S$14,$O$13,$D$34)</f>
        <v/>
      </c>
      <c r="T35" s="127" t="str">
        <f ca="1">_xll.DBRW(Server&amp;Cube1,$D$25,$D$26,$D$24,$D$22,$D$23,$G$27,$F35,$D$21,T$14,$O$13,$D$34)</f>
        <v/>
      </c>
      <c r="U35" s="127" t="str">
        <f ca="1">_xll.DBRW(Server&amp;Cube1,$D$25,$D$26,$D$24,$D$22,$D$23,$G$27,$F35,$D$21,U$14,$O$13,$D$34)</f>
        <v/>
      </c>
      <c r="V35" s="127" t="str">
        <f ca="1">_xll.DBRW(Server&amp;Cube1,$D$25,$D$26,$D$24,$D$22,$D$23,$G$27,$F35,$D$21,V$14,$O$13,$D$34)</f>
        <v/>
      </c>
      <c r="W35" s="127" t="str">
        <f ca="1">_xll.DBRW(Server&amp;Cube1,$D$25,$D$26,$D$24,$D$22,$D$23,$G$27,$F35,$D$21,W$14,$O$13,$D$34)</f>
        <v/>
      </c>
      <c r="X35" s="127" t="str">
        <f ca="1">_xll.DBRW(Server&amp;Cube1,$D$25,$D$26,$D$24,$D$22,$D$23,$G$27,$F35,$D$21,X$14,$O$13,$D$34)</f>
        <v/>
      </c>
      <c r="Y35" s="127" t="str">
        <f ca="1">_xll.DBRW(Server&amp;Cube1,$D$25,$D$26,$D$24,$D$22,$D$23,$G$27,$F35,$D$21,Y$14,$O$13,$D$34)</f>
        <v/>
      </c>
      <c r="Z35" s="127" t="str">
        <f ca="1">_xll.DBRW(Server&amp;Cube1,$D$25,$D$26,$D$24,$D$22,$D$23,$G$27,$F35,$D$21,Z$14,$O$13,$D$34)</f>
        <v/>
      </c>
      <c r="AB35" s="95" t="str">
        <f ca="1">_xll.DBRW($F$10,$D$25,$D$26,$D$24,$D$22,$D$23,$G$27,$F35,$D$21,$M$14,$I$13,$D$34)</f>
        <v/>
      </c>
      <c r="AC35" s="95" t="str">
        <f ca="1">_xll.DBRW($F$10,$D$25,$D$26,$D$24,$D$22,$D$23,$G$27,$F35,$D$21,$M$14,$J$13,$D$34)</f>
        <v/>
      </c>
      <c r="AD35" s="95" t="str">
        <f ca="1">_xll.DBRW($F$10,$D$25,$D$26,$D$24,$D$22,$D$23,$G$27,$F35,$D$21,$M$14,$M$13,$D$34)</f>
        <v/>
      </c>
      <c r="AE35" s="93" t="str">
        <f ca="1">_xll.DBRW($F$10,$D$25,$D$26,$D$24,$D$22,$D$23,$G$27,$F35,$D$21,$I$14,$I$13,$D$34)</f>
        <v/>
      </c>
      <c r="AM35" s="121" t="s">
        <v>76</v>
      </c>
    </row>
    <row r="36" spans="1:45" s="18" customFormat="1" ht="17.25" customHeight="1" thickBot="1" x14ac:dyDescent="0.3">
      <c r="B36" s="56"/>
      <c r="C36" s="56"/>
      <c r="D36" s="62"/>
      <c r="E36" s="100"/>
      <c r="F36" s="15"/>
      <c r="G36" s="15"/>
      <c r="H36" s="15"/>
      <c r="I36" s="129"/>
      <c r="J36" s="129"/>
      <c r="K36" s="129"/>
      <c r="L36" s="129"/>
      <c r="M36" s="129"/>
      <c r="N36" s="129"/>
      <c r="O36" s="129"/>
      <c r="P36" s="129"/>
      <c r="Q36" s="129"/>
      <c r="R36" s="129"/>
      <c r="S36" s="129"/>
      <c r="T36" s="129"/>
      <c r="U36" s="129"/>
      <c r="V36" s="129"/>
      <c r="W36" s="129"/>
      <c r="X36" s="129"/>
      <c r="Y36" s="129"/>
      <c r="Z36" s="129"/>
      <c r="AA36" s="15"/>
      <c r="AF36" s="42"/>
      <c r="AG36" s="42"/>
      <c r="AH36" s="42"/>
      <c r="AI36" s="42"/>
      <c r="AJ36" s="42"/>
      <c r="AK36" s="42"/>
      <c r="AL36" s="42"/>
      <c r="AM36" s="29"/>
      <c r="AN36" s="42"/>
      <c r="AO36" s="42"/>
      <c r="AP36" s="42"/>
      <c r="AQ36" s="42"/>
      <c r="AR36" s="42"/>
      <c r="AS36" s="42"/>
    </row>
    <row r="37" spans="1:45" s="18" customFormat="1" ht="24" customHeight="1" x14ac:dyDescent="0.25">
      <c r="B37" s="56"/>
      <c r="C37" s="56"/>
      <c r="D37" s="112" t="s">
        <v>70</v>
      </c>
      <c r="E37" s="100"/>
      <c r="F37" s="142" t="str">
        <f ca="1">_xll.DBRA(Server&amp;$C$33,$D$37,$G$28)</f>
        <v>Nombre de m² (Sérénis)</v>
      </c>
      <c r="G37" s="142"/>
      <c r="H37" s="143"/>
      <c r="I37" s="144" t="str">
        <f ca="1">_xll.DBRW(Server&amp;Cube1,$D$25,$D$26,$D$24,$D$22,$D$23,$G$27,$G$26,$D$21,I$14,I$13,$D$37)</f>
        <v/>
      </c>
      <c r="J37" s="146" t="str">
        <f ca="1">_xll.DBRW(Server&amp;Cube1,$D$25,$D$26,$D$24,$D$22,$D$23,$G$27,$G$26,$D$21,J$14,J$13,$D$37)</f>
        <v/>
      </c>
      <c r="K37" s="126"/>
      <c r="L37" s="145"/>
      <c r="M37" s="145" t="str">
        <f ca="1">_xll.DBRW(Server&amp;Cube1,$D$25,$D$26,$D$24,$D$22,$D$23,$G$27,$G$26,$D$21,M$14,M$13,$D$37)</f>
        <v/>
      </c>
      <c r="N37" s="126"/>
      <c r="O37" s="145" t="str">
        <f ca="1">_xll.DBRW(Server&amp;Cube1,$D$25,$D$26,$D$24,$D$22,$D$23,$G$27,$G$26,$D$21,O$14,$M$13,$D$37)</f>
        <v/>
      </c>
      <c r="P37" s="145" t="str">
        <f ca="1">_xll.DBRW(Server&amp;Cube1,$D$25,$D$26,$D$24,$D$22,$D$23,$G$27,$G$26,$D$21,P$14,$M$13,$D$37)</f>
        <v/>
      </c>
      <c r="Q37" s="145" t="str">
        <f ca="1">_xll.DBRW(Server&amp;Cube1,$D$25,$D$26,$D$24,$D$22,$D$23,$G$27,$G$26,$D$21,Q$14,$M$13,$D$37)</f>
        <v/>
      </c>
      <c r="R37" s="145" t="str">
        <f ca="1">_xll.DBRW(Server&amp;Cube1,$D$25,$D$26,$D$24,$D$22,$D$23,$G$27,$G$26,$D$21,R$14,$M$13,$D$37)</f>
        <v/>
      </c>
      <c r="S37" s="145" t="str">
        <f ca="1">_xll.DBRW(Server&amp;Cube1,$D$25,$D$26,$D$24,$D$22,$D$23,$G$27,$G$26,$D$21,S$14,$M$13,$D$37)</f>
        <v/>
      </c>
      <c r="T37" s="145" t="str">
        <f ca="1">_xll.DBRW(Server&amp;Cube1,$D$25,$D$26,$D$24,$D$22,$D$23,$G$27,$G$26,$D$21,T$14,$M$13,$D$37)</f>
        <v/>
      </c>
      <c r="U37" s="145" t="str">
        <f ca="1">_xll.DBRW(Server&amp;Cube1,$D$25,$D$26,$D$24,$D$22,$D$23,$G$27,$G$26,$D$21,U$14,$M$13,$D$37)</f>
        <v/>
      </c>
      <c r="V37" s="145" t="str">
        <f ca="1">_xll.DBRW(Server&amp;Cube1,$D$25,$D$26,$D$24,$D$22,$D$23,$G$27,$G$26,$D$21,V$14,$M$13,$D$37)</f>
        <v/>
      </c>
      <c r="W37" s="145" t="str">
        <f ca="1">_xll.DBRW(Server&amp;Cube1,$D$25,$D$26,$D$24,$D$22,$D$23,$G$27,$G$26,$D$21,W$14,$M$13,$D$37)</f>
        <v/>
      </c>
      <c r="X37" s="145" t="str">
        <f ca="1">_xll.DBRW(Server&amp;Cube1,$D$25,$D$26,$D$24,$D$22,$D$23,$G$27,$G$26,$D$21,X$14,$M$13,$D$37)</f>
        <v/>
      </c>
      <c r="Y37" s="145" t="str">
        <f ca="1">_xll.DBRW(Server&amp;Cube1,$D$25,$D$26,$D$24,$D$22,$D$23,$G$27,$G$26,$D$21,Y$14,$M$13,$D$37)</f>
        <v/>
      </c>
      <c r="Z37" s="145" t="str">
        <f ca="1">_xll.DBRW(Server&amp;Cube1,$D$25,$D$26,$D$24,$D$22,$D$23,$G$27,$G$26,$D$21,Z$14,$M$13,$D$37)</f>
        <v/>
      </c>
      <c r="AA37" s="15"/>
      <c r="AF37" s="42"/>
      <c r="AG37" s="42"/>
      <c r="AH37" s="42"/>
      <c r="AI37" s="42"/>
      <c r="AJ37" s="42"/>
      <c r="AK37" s="42"/>
      <c r="AL37" s="42"/>
      <c r="AM37" s="29"/>
      <c r="AN37" s="42"/>
      <c r="AO37" s="42"/>
      <c r="AP37" s="42"/>
      <c r="AQ37" s="42"/>
      <c r="AR37" s="42"/>
      <c r="AS37" s="42"/>
    </row>
    <row r="38" spans="1:45" customFormat="1" ht="17.25" customHeight="1" x14ac:dyDescent="0.2">
      <c r="A38" t="str">
        <f ca="1">IF(_xll.TM1RPTELISCONSOLIDATED($F$38,$F38),IF(_xll.TM1RPTELLEV($F$38,$F38)&lt;=3,_xll.TM1RPTELLEV($F$38,$F38),"D"),"N")</f>
        <v>N</v>
      </c>
      <c r="F38" s="113" t="str">
        <f ca="1">_xll.TM1RPTROW($F$11,Server&amp;"Management_Organization_Corp","","",$G$28,0,$G$10,,1)</f>
        <v/>
      </c>
      <c r="G38" s="95"/>
      <c r="H38" s="95"/>
      <c r="I38" s="127" t="str">
        <f ca="1">_xll.DBRW(Server&amp;Cube1,$D$25,$D$26,$D$24,$D$22,$D$23,$G$27,$F38,$D$21,I$14,I$13,$D$37)</f>
        <v/>
      </c>
      <c r="J38" s="127" t="str">
        <f ca="1">_xll.DBRW(Server&amp;Cube1,$D$25,$D$26,$D$24,$D$22,$D$23,$G$27,$F38,$D$21,J$14,J$13,$D$37)</f>
        <v/>
      </c>
      <c r="K38" s="128"/>
      <c r="L38" s="127" t="str">
        <f ca="1">_xll.DBRW(Server&amp;Cube1,$D$25,$D$26,$D$24,$D$22,$D$23,$G$27,$F38,$D$21,L$14,L$13,$D$37)</f>
        <v/>
      </c>
      <c r="M38" s="127" t="str">
        <f ca="1">_xll.DBRW(Server&amp;Cube1,$D$25,$D$26,$D$24,$D$22,$D$23,$G$27,$F38,$D$21,M$14,M$13,$D$37)</f>
        <v/>
      </c>
      <c r="N38" s="128"/>
      <c r="O38" s="127" t="str">
        <f ca="1">_xll.DBRW(Server&amp;Cube1,$D$25,$D$26,$D$24,$D$22,$D$23,$G$27,$F38,$D$21,O$14,$O$13,$D$37)</f>
        <v/>
      </c>
      <c r="P38" s="127" t="str">
        <f ca="1">_xll.DBRW(Server&amp;Cube1,$D$25,$D$26,$D$24,$D$22,$D$23,$G$27,$F38,$D$21,P$14,$O$13,$D$37)</f>
        <v/>
      </c>
      <c r="Q38" s="127" t="str">
        <f ca="1">_xll.DBRW(Server&amp;Cube1,$D$25,$D$26,$D$24,$D$22,$D$23,$G$27,$F38,$D$21,Q$14,$O$13,$D$37)</f>
        <v/>
      </c>
      <c r="R38" s="127" t="str">
        <f ca="1">_xll.DBRW(Server&amp;Cube1,$D$25,$D$26,$D$24,$D$22,$D$23,$G$27,$F38,$D$21,R$14,$O$13,$D$37)</f>
        <v/>
      </c>
      <c r="S38" s="127" t="str">
        <f ca="1">_xll.DBRW(Server&amp;Cube1,$D$25,$D$26,$D$24,$D$22,$D$23,$G$27,$F38,$D$21,S$14,$O$13,$D$37)</f>
        <v/>
      </c>
      <c r="T38" s="127" t="str">
        <f ca="1">_xll.DBRW(Server&amp;Cube1,$D$25,$D$26,$D$24,$D$22,$D$23,$G$27,$F38,$D$21,T$14,$O$13,$D$37)</f>
        <v/>
      </c>
      <c r="U38" s="127" t="str">
        <f ca="1">_xll.DBRW(Server&amp;Cube1,$D$25,$D$26,$D$24,$D$22,$D$23,$G$27,$F38,$D$21,U$14,$O$13,$D$37)</f>
        <v/>
      </c>
      <c r="V38" s="127" t="str">
        <f ca="1">_xll.DBRW(Server&amp;Cube1,$D$25,$D$26,$D$24,$D$22,$D$23,$G$27,$F38,$D$21,V$14,$O$13,$D$37)</f>
        <v/>
      </c>
      <c r="W38" s="127" t="str">
        <f ca="1">_xll.DBRW(Server&amp;Cube1,$D$25,$D$26,$D$24,$D$22,$D$23,$G$27,$F38,$D$21,W$14,$O$13,$D$37)</f>
        <v/>
      </c>
      <c r="X38" s="127" t="str">
        <f ca="1">_xll.DBRW(Server&amp;Cube1,$D$25,$D$26,$D$24,$D$22,$D$23,$G$27,$F38,$D$21,X$14,$O$13,$D$37)</f>
        <v/>
      </c>
      <c r="Y38" s="127" t="str">
        <f ca="1">_xll.DBRW(Server&amp;Cube1,$D$25,$D$26,$D$24,$D$22,$D$23,$G$27,$F38,$D$21,Y$14,$O$13,$D$37)</f>
        <v/>
      </c>
      <c r="Z38" s="127" t="str">
        <f ca="1">_xll.DBRW(Server&amp;Cube1,$D$25,$D$26,$D$24,$D$22,$D$23,$G$27,$F38,$D$21,Z$14,$O$13,$D$37)</f>
        <v/>
      </c>
      <c r="AB38" s="95" t="str">
        <f ca="1">_xll.DBRW($F$11,$D$25,$D$26,$D$24,$D$22,$D$23,$G$27,$F38,$D$21,$M$14,$I$13,$D$34)</f>
        <v/>
      </c>
      <c r="AC38" s="95" t="str">
        <f ca="1">_xll.DBRW($F$11,$D$25,$D$26,$D$24,$D$22,$D$23,$G$27,$F38,$D$21,$M$14,$J$13,$D$34)</f>
        <v/>
      </c>
      <c r="AD38" s="95" t="str">
        <f ca="1">_xll.DBRW($F$11,$D$25,$D$26,$D$24,$D$22,$D$23,$G$27,$F38,$D$21,$M$14,$M$13,$D$34)</f>
        <v/>
      </c>
      <c r="AE38" s="93" t="str">
        <f ca="1">_xll.DBRW($F$11,$D$25,$D$26,$D$24,$D$22,$D$23,$G$27,$F38,$D$21,$I$14,$I$13,$D$34)</f>
        <v/>
      </c>
    </row>
    <row r="39" spans="1:45" s="18" customFormat="1" ht="17.25" customHeight="1" thickBot="1" x14ac:dyDescent="0.3">
      <c r="B39" s="56"/>
      <c r="C39" s="56"/>
      <c r="D39" s="62"/>
      <c r="E39" s="100"/>
      <c r="F39" s="15"/>
      <c r="G39" s="15"/>
      <c r="H39" s="15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29"/>
      <c r="Z39" s="129"/>
      <c r="AA39" s="15"/>
      <c r="AF39" s="42"/>
      <c r="AG39" s="42"/>
      <c r="AH39" s="42"/>
      <c r="AI39" s="42"/>
      <c r="AJ39" s="42"/>
      <c r="AK39" s="42"/>
      <c r="AL39" s="42"/>
      <c r="AM39" s="29"/>
      <c r="AN39" s="42"/>
      <c r="AO39" s="42"/>
      <c r="AP39" s="42"/>
      <c r="AQ39" s="42"/>
      <c r="AR39" s="42"/>
      <c r="AS39" s="42"/>
    </row>
    <row r="40" spans="1:45" s="18" customFormat="1" ht="17.25" customHeight="1" x14ac:dyDescent="0.25">
      <c r="B40" s="56"/>
      <c r="C40" s="56"/>
      <c r="D40" s="112" t="s">
        <v>71</v>
      </c>
      <c r="E40" s="100"/>
      <c r="F40" s="142" t="str">
        <f ca="1">_xll.DBRA(Server&amp;$C$33,$D$40,$G$28)</f>
        <v>Nombre de m² (Lyon)</v>
      </c>
      <c r="G40" s="142"/>
      <c r="H40" s="143"/>
      <c r="I40" s="147" t="str">
        <f ca="1">_xll.DBRW(Server&amp;Cube1,$D$25,$D$26,$D$24,$D$22,$D$23,$G$27,$G$26,$D$21,I$14,I$13,$D$40)</f>
        <v/>
      </c>
      <c r="J40" s="145" t="str">
        <f ca="1">_xll.DBRW(Server&amp;Cube1,$D$25,$D$26,$D$24,$D$22,$D$23,$G$27,$G$26,$D$21,J$14,J$13,$D$40)</f>
        <v/>
      </c>
      <c r="K40" s="126"/>
      <c r="L40" s="145"/>
      <c r="M40" s="145" t="str">
        <f ca="1">_xll.DBRW(Server&amp;Cube1,$D$25,$D$26,$D$24,$D$22,$D$23,$G$27,$G$26,$D$21,M$14,M$13,$D$40)</f>
        <v/>
      </c>
      <c r="N40" s="126" t="str">
        <f ca="1">_xll.DBRW(Server&amp;Cube1,$D$25,$D$26,$D$24,$D$22,$D$23,$G$27,$G$26,$D$21,O$14,$M$13,$D$40)</f>
        <v/>
      </c>
      <c r="O40" s="145" t="str">
        <f ca="1">_xll.DBRW(Server&amp;Cube1,$D$25,$D$26,$D$24,$D$22,$D$23,$G$27,$G$26,$D$21,P$14,$M$13,$D$40)</f>
        <v/>
      </c>
      <c r="P40" s="145" t="str">
        <f ca="1">_xll.DBRW(Server&amp;Cube1,$D$25,$D$26,$D$24,$D$22,$D$23,$G$27,$G$26,$D$21,Q$14,$M$13,$D$40)</f>
        <v/>
      </c>
      <c r="Q40" s="145" t="str">
        <f ca="1">_xll.DBRW(Server&amp;Cube1,$D$25,$D$26,$D$24,$D$22,$D$23,$G$27,$G$26,$D$21,R$14,$M$13,$D$40)</f>
        <v/>
      </c>
      <c r="R40" s="145" t="str">
        <f ca="1">_xll.DBRW(Server&amp;Cube1,$D$25,$D$26,$D$24,$D$22,$D$23,$G$27,$G$26,$D$21,S$14,$M$13,$D$40)</f>
        <v/>
      </c>
      <c r="S40" s="145" t="str">
        <f ca="1">_xll.DBRW(Server&amp;Cube1,$D$25,$D$26,$D$24,$D$22,$D$23,$G$27,$G$26,$D$21,T$14,$M$13,$D$40)</f>
        <v/>
      </c>
      <c r="T40" s="145" t="str">
        <f ca="1">_xll.DBRW(Server&amp;Cube1,$D$25,$D$26,$D$24,$D$22,$D$23,$G$27,$G$26,$D$21,U$14,$M$13,$D$40)</f>
        <v/>
      </c>
      <c r="U40" s="145" t="str">
        <f ca="1">_xll.DBRW(Server&amp;Cube1,$D$25,$D$26,$D$24,$D$22,$D$23,$G$27,$G$26,$D$21,V$14,$M$13,$D$40)</f>
        <v/>
      </c>
      <c r="V40" s="145" t="str">
        <f ca="1">_xll.DBRW(Server&amp;Cube1,$D$25,$D$26,$D$24,$D$22,$D$23,$G$27,$G$26,$D$21,W$14,$M$13,$D$40)</f>
        <v/>
      </c>
      <c r="W40" s="145" t="str">
        <f ca="1">_xll.DBRW(Server&amp;Cube1,$D$25,$D$26,$D$24,$D$22,$D$23,$G$27,$G$26,$D$21,X$14,$M$13,$D$40)</f>
        <v/>
      </c>
      <c r="X40" s="145" t="str">
        <f ca="1">_xll.DBRW(Server&amp;Cube1,$D$25,$D$26,$D$24,$D$22,$D$23,$G$27,$G$26,$D$21,Y$14,$M$13,$D$40)</f>
        <v/>
      </c>
      <c r="Y40" s="145" t="str">
        <f ca="1">_xll.DBRW(Server&amp;Cube1,$D$25,$D$26,$D$24,$D$22,$D$23,$G$27,$G$26,$D$21,Z$14,$M$13,$D$40)</f>
        <v/>
      </c>
      <c r="AA40" s="15"/>
      <c r="AF40" s="42"/>
      <c r="AG40" s="42"/>
      <c r="AH40" s="42"/>
      <c r="AI40" s="42"/>
      <c r="AJ40" s="42"/>
      <c r="AK40" s="42"/>
      <c r="AL40" s="42"/>
      <c r="AM40" s="29"/>
      <c r="AN40" s="42"/>
      <c r="AO40" s="42"/>
      <c r="AP40" s="42"/>
      <c r="AQ40" s="42"/>
      <c r="AR40" s="42"/>
      <c r="AS40" s="42"/>
    </row>
    <row r="41" spans="1:45" customFormat="1" ht="17.25" customHeight="1" x14ac:dyDescent="0.2">
      <c r="A41" t="str">
        <f ca="1">IF(_xll.TM1RPTELISCONSOLIDATED($F$41,$F41),IF(_xll.TM1RPTELLEV($F$41,$F41)&lt;=3,_xll.TM1RPTELLEV($F$41,$F41),"D"),"N")</f>
        <v>N</v>
      </c>
      <c r="F41" s="113" t="str">
        <f ca="1">_xll.TM1RPTROW($F$12,Server&amp;"Management_Organization_Corp","","",$G$28,0,$G$10,,1)</f>
        <v/>
      </c>
      <c r="G41" s="95"/>
      <c r="H41" s="95"/>
      <c r="I41" s="127" t="str">
        <f ca="1">_xll.DBRW(Server&amp;Cube1,$D$25,$D$26,$D$24,$D$22,$D$23,$G$27,$F41,$D$21,I$14,I$13,$D$40)</f>
        <v/>
      </c>
      <c r="J41" s="127" t="str">
        <f ca="1">_xll.DBRW(Server&amp;Cube1,$D$25,$D$26,$D$24,$D$22,$D$23,$G$27,$F41,$D$21,J$14,J$13,$D$40)</f>
        <v/>
      </c>
      <c r="K41" s="128"/>
      <c r="L41" s="127" t="str">
        <f ca="1">_xll.DBRW(Server&amp;Cube1,$D$25,$D$26,$D$24,$D$22,$D$23,$G$27,$F41,$D$21,L$14,L$13,$D$40)</f>
        <v/>
      </c>
      <c r="M41" s="127" t="str">
        <f ca="1">_xll.DBRW(Server&amp;Cube1,$D$25,$D$26,$D$24,$D$22,$D$23,$G$27,$F41,$D$21,M$14,M$13,$D$40)</f>
        <v/>
      </c>
      <c r="N41" s="128"/>
      <c r="O41" s="127" t="str">
        <f ca="1">_xll.DBRW(Server&amp;Cube1,$D$25,$D$26,$D$24,$D$22,$D$23,$G$27,$F41,$D$21,O$14,$O$13,$D$40)</f>
        <v/>
      </c>
      <c r="P41" s="127" t="str">
        <f ca="1">_xll.DBRW(Server&amp;Cube1,$D$25,$D$26,$D$24,$D$22,$D$23,$G$27,$F41,$D$21,P$14,$O$13,$D$40)</f>
        <v/>
      </c>
      <c r="Q41" s="127" t="str">
        <f ca="1">_xll.DBRW(Server&amp;Cube1,$D$25,$D$26,$D$24,$D$22,$D$23,$G$27,$F41,$D$21,Q$14,$O$13,$D$40)</f>
        <v/>
      </c>
      <c r="R41" s="127" t="str">
        <f ca="1">_xll.DBRW(Server&amp;Cube1,$D$25,$D$26,$D$24,$D$22,$D$23,$G$27,$F41,$D$21,R$14,$O$13,$D$40)</f>
        <v/>
      </c>
      <c r="S41" s="127" t="str">
        <f ca="1">_xll.DBRW(Server&amp;Cube1,$D$25,$D$26,$D$24,$D$22,$D$23,$G$27,$F41,$D$21,S$14,$O$13,$D$40)</f>
        <v/>
      </c>
      <c r="T41" s="127" t="str">
        <f ca="1">_xll.DBRW(Server&amp;Cube1,$D$25,$D$26,$D$24,$D$22,$D$23,$G$27,$F41,$D$21,T$14,$O$13,$D$40)</f>
        <v/>
      </c>
      <c r="U41" s="127" t="str">
        <f ca="1">_xll.DBRW(Server&amp;Cube1,$D$25,$D$26,$D$24,$D$22,$D$23,$G$27,$F41,$D$21,U$14,$O$13,$D$40)</f>
        <v/>
      </c>
      <c r="V41" s="127" t="str">
        <f ca="1">_xll.DBRW(Server&amp;Cube1,$D$25,$D$26,$D$24,$D$22,$D$23,$G$27,$F41,$D$21,V$14,$O$13,$D$40)</f>
        <v/>
      </c>
      <c r="W41" s="127" t="str">
        <f ca="1">_xll.DBRW(Server&amp;Cube1,$D$25,$D$26,$D$24,$D$22,$D$23,$G$27,$F41,$D$21,W$14,$O$13,$D$40)</f>
        <v/>
      </c>
      <c r="X41" s="127" t="str">
        <f ca="1">_xll.DBRW(Server&amp;Cube1,$D$25,$D$26,$D$24,$D$22,$D$23,$G$27,$F41,$D$21,X$14,$O$13,$D$40)</f>
        <v/>
      </c>
      <c r="Y41" s="127" t="str">
        <f ca="1">_xll.DBRW(Server&amp;Cube1,$D$25,$D$26,$D$24,$D$22,$D$23,$G$27,$F41,$D$21,Y$14,$O$13,$D$40)</f>
        <v/>
      </c>
      <c r="Z41" s="127" t="str">
        <f ca="1">_xll.DBRW(Server&amp;Cube1,$D$25,$D$26,$D$24,$D$22,$D$23,$G$27,$F41,$D$21,Z$14,$O$13,$D$40)</f>
        <v/>
      </c>
      <c r="AB41" s="95" t="str">
        <f ca="1">_xll.DBRW($F$12,$D$25,$D$26,$D$24,$D$22,$D$23,$G$27,$F41,$D$21,$M$14,$I$13,$D$34)</f>
        <v/>
      </c>
      <c r="AC41" s="95" t="str">
        <f ca="1">_xll.DBRW($F$12,$D$25,$D$26,$D$24,$D$22,$D$23,$G$27,$F41,$D$21,$M$14,$J$13,$D$34)</f>
        <v/>
      </c>
      <c r="AD41" s="95" t="str">
        <f ca="1">_xll.DBRW($F$12,$D$25,$D$26,$D$24,$D$22,$D$23,$G$27,$F41,$D$21,$M$14,$M$13,$D$34)</f>
        <v/>
      </c>
      <c r="AE41" s="93" t="str">
        <f ca="1">_xll.DBRW($F$12,$D$25,$D$26,$D$24,$D$22,$D$23,$G$27,$F41,$D$21,$I$14,$I$13,$D$34)</f>
        <v/>
      </c>
    </row>
    <row r="42" spans="1:45" s="18" customFormat="1" ht="17.25" customHeight="1" x14ac:dyDescent="0.25">
      <c r="B42" s="56"/>
      <c r="C42" s="56"/>
      <c r="D42" s="62"/>
      <c r="E42" s="100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F42" s="42"/>
      <c r="AG42" s="42"/>
      <c r="AH42" s="42"/>
      <c r="AI42" s="42"/>
      <c r="AJ42" s="42"/>
      <c r="AK42" s="42"/>
      <c r="AL42" s="42"/>
      <c r="AM42" s="29"/>
      <c r="AN42" s="42"/>
      <c r="AO42" s="42"/>
      <c r="AP42" s="42"/>
      <c r="AQ42" s="42"/>
      <c r="AR42" s="42"/>
      <c r="AS42" s="42"/>
    </row>
    <row r="43" spans="1:45" s="18" customFormat="1" ht="17.25" customHeight="1" x14ac:dyDescent="0.25">
      <c r="B43" s="56"/>
      <c r="C43" s="56"/>
      <c r="D43" s="62"/>
      <c r="E43" s="100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F43" s="42"/>
      <c r="AG43" s="42"/>
      <c r="AH43" s="42"/>
      <c r="AI43" s="42"/>
      <c r="AJ43" s="42"/>
      <c r="AK43" s="42"/>
      <c r="AL43" s="42"/>
      <c r="AM43" s="29"/>
      <c r="AN43" s="42"/>
      <c r="AO43" s="42"/>
      <c r="AP43" s="42"/>
      <c r="AQ43" s="42"/>
      <c r="AR43" s="42"/>
      <c r="AS43" s="42"/>
    </row>
    <row r="44" spans="1:45" s="18" customFormat="1" ht="17.25" customHeight="1" x14ac:dyDescent="0.25">
      <c r="B44" s="56"/>
      <c r="C44" s="56"/>
      <c r="D44" s="125" t="s">
        <v>72</v>
      </c>
      <c r="E44" s="100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F44" s="42"/>
      <c r="AG44" s="42"/>
      <c r="AH44" s="42"/>
      <c r="AI44" s="42"/>
      <c r="AJ44" s="42"/>
      <c r="AK44" s="42"/>
      <c r="AL44" s="42"/>
      <c r="AM44" s="29"/>
      <c r="AN44" s="42"/>
      <c r="AO44" s="42"/>
      <c r="AP44" s="42"/>
      <c r="AQ44" s="42"/>
      <c r="AR44" s="42"/>
      <c r="AS44" s="42"/>
    </row>
    <row r="45" spans="1:45" s="18" customFormat="1" ht="17.25" customHeight="1" thickBot="1" x14ac:dyDescent="0.35">
      <c r="B45" s="56"/>
      <c r="C45" s="56"/>
      <c r="D45" s="57" t="s">
        <v>10</v>
      </c>
      <c r="E45" s="100"/>
      <c r="F45" s="19" t="str">
        <f ca="1">_xll.DBRA(Server&amp;$AM$23,$D$45,$AP$20)</f>
        <v>Commentaires</v>
      </c>
      <c r="G45" s="115"/>
      <c r="H45" s="115"/>
      <c r="I45" s="115"/>
      <c r="J45" s="115"/>
      <c r="K45" s="115"/>
      <c r="L45" s="115"/>
      <c r="M45" s="116"/>
      <c r="N45" s="117"/>
      <c r="O45" s="117"/>
      <c r="P45" s="118"/>
      <c r="Q45" s="119"/>
      <c r="R45" s="119"/>
      <c r="S45" s="119"/>
      <c r="T45" s="120"/>
      <c r="U45" s="120"/>
      <c r="V45" s="116"/>
      <c r="W45" s="116"/>
      <c r="X45" s="116"/>
      <c r="Y45" s="116"/>
      <c r="Z45" s="116"/>
      <c r="AA45" s="15"/>
      <c r="AF45" s="42"/>
      <c r="AG45" s="42"/>
      <c r="AH45" s="42"/>
      <c r="AI45" s="42"/>
      <c r="AJ45" s="42"/>
      <c r="AK45" s="42"/>
      <c r="AL45" s="42"/>
      <c r="AM45" s="29"/>
      <c r="AN45" s="42"/>
      <c r="AO45" s="42"/>
      <c r="AP45" s="42"/>
      <c r="AQ45" s="42"/>
      <c r="AR45" s="42"/>
      <c r="AS45" s="42"/>
    </row>
    <row r="46" spans="1:45" s="18" customFormat="1" ht="17.25" customHeight="1" x14ac:dyDescent="0.25">
      <c r="B46" s="56"/>
      <c r="C46" s="56"/>
      <c r="D46" s="57" t="s">
        <v>30</v>
      </c>
      <c r="E46" s="100"/>
      <c r="F46" s="10" t="str">
        <f ca="1">_xll.DBRW(Server&amp;Cube2,$D$26,$D$24,$D$22,$G$27,$G$26,$D$21,$G$25,$O$13,$I$17,$D$44,$D$46)</f>
        <v/>
      </c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8"/>
      <c r="AA46" s="15"/>
      <c r="AF46" s="42"/>
      <c r="AG46" s="42"/>
      <c r="AH46" s="42"/>
      <c r="AI46" s="42"/>
      <c r="AJ46" s="42"/>
      <c r="AK46" s="42"/>
      <c r="AL46" s="42"/>
      <c r="AM46" s="29"/>
      <c r="AN46" s="42"/>
      <c r="AO46" s="42"/>
      <c r="AP46" s="42"/>
      <c r="AQ46" s="42"/>
      <c r="AR46" s="42"/>
      <c r="AS46" s="42"/>
    </row>
    <row r="47" spans="1:45" s="18" customFormat="1" ht="17.25" customHeight="1" x14ac:dyDescent="0.25">
      <c r="B47" s="56"/>
      <c r="C47" s="56"/>
      <c r="D47" s="57" t="s">
        <v>31</v>
      </c>
      <c r="E47" s="100"/>
      <c r="F47" s="7" t="str">
        <f ca="1">_xll.DBRW(Server&amp;Cube2,$D$26,$D$24,$D$22,$G$27,$G$26,$D$21,$G$25,$O$13,$I$17,$D$44,$D$47)</f>
        <v/>
      </c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5"/>
      <c r="AA47" s="15"/>
      <c r="AF47" s="42"/>
      <c r="AG47" s="42"/>
      <c r="AH47" s="42"/>
      <c r="AI47" s="42"/>
      <c r="AJ47" s="42"/>
      <c r="AK47" s="42"/>
      <c r="AL47" s="42"/>
      <c r="AM47" s="29"/>
      <c r="AN47" s="42"/>
      <c r="AO47" s="42"/>
      <c r="AP47" s="42"/>
      <c r="AQ47" s="42"/>
      <c r="AR47" s="42"/>
      <c r="AS47" s="42"/>
    </row>
    <row r="48" spans="1:45" s="18" customFormat="1" ht="17.25" customHeight="1" x14ac:dyDescent="0.25">
      <c r="B48" s="56"/>
      <c r="C48" s="56"/>
      <c r="D48" s="57" t="s">
        <v>32</v>
      </c>
      <c r="E48" s="100"/>
      <c r="F48" s="7" t="str">
        <f ca="1">_xll.DBRW(Server&amp;Cube2,$D$26,$D$24,$D$22,$G$27,$G$26,$D$21,$G$25,$O$13,$I$17,$D$44,$D$48)</f>
        <v/>
      </c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5"/>
      <c r="AA48" s="15"/>
      <c r="AF48" s="42"/>
      <c r="AG48" s="42"/>
      <c r="AH48" s="42"/>
      <c r="AI48" s="42"/>
      <c r="AJ48" s="42"/>
      <c r="AK48" s="42"/>
      <c r="AL48" s="42"/>
      <c r="AM48" s="29"/>
      <c r="AN48" s="42"/>
      <c r="AO48" s="42"/>
      <c r="AP48" s="42"/>
      <c r="AQ48" s="42"/>
      <c r="AR48" s="42"/>
      <c r="AS48" s="42"/>
    </row>
    <row r="49" spans="2:45" s="18" customFormat="1" ht="17.25" customHeight="1" thickBot="1" x14ac:dyDescent="0.3">
      <c r="B49" s="56"/>
      <c r="C49" s="56"/>
      <c r="D49" s="57" t="s">
        <v>33</v>
      </c>
      <c r="E49" s="100"/>
      <c r="F49" s="4" t="str">
        <f ca="1">_xll.DBRW(Server&amp;Cube2,$D$26,$D$24,$D$22,$G$27,$G$26,$D$21,$G$25,$O$13,$I$17,$D$44,$D$49)</f>
        <v/>
      </c>
      <c r="G49" s="3"/>
      <c r="H49" s="3"/>
      <c r="I49" s="3"/>
      <c r="J49" s="3"/>
      <c r="K49" s="3"/>
      <c r="L49" s="2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1"/>
      <c r="AA49" s="15"/>
      <c r="AF49" s="42"/>
      <c r="AG49" s="42"/>
      <c r="AH49" s="42"/>
      <c r="AI49" s="42"/>
      <c r="AJ49" s="42"/>
      <c r="AK49" s="42"/>
      <c r="AL49" s="42"/>
      <c r="AM49" s="29"/>
      <c r="AN49" s="42"/>
      <c r="AO49" s="42"/>
      <c r="AP49" s="42"/>
      <c r="AQ49" s="42"/>
      <c r="AR49" s="42"/>
      <c r="AS49" s="42"/>
    </row>
    <row r="50" spans="2:45" s="18" customFormat="1" ht="17.25" customHeight="1" x14ac:dyDescent="0.25">
      <c r="B50" s="56"/>
      <c r="C50" s="56"/>
      <c r="D50" s="62"/>
      <c r="E50" s="100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F50" s="42"/>
      <c r="AG50" s="42"/>
      <c r="AH50" s="42"/>
      <c r="AI50" s="42"/>
      <c r="AJ50" s="42"/>
      <c r="AK50" s="42"/>
      <c r="AL50" s="42"/>
      <c r="AM50" s="29"/>
      <c r="AN50" s="42"/>
      <c r="AO50" s="42"/>
      <c r="AP50" s="42"/>
      <c r="AQ50" s="42"/>
      <c r="AR50" s="42"/>
      <c r="AS50" s="42"/>
    </row>
    <row r="51" spans="2:45" s="18" customFormat="1" ht="17.25" customHeight="1" x14ac:dyDescent="0.25">
      <c r="B51" s="56"/>
      <c r="C51" s="56"/>
      <c r="D51" s="62"/>
      <c r="E51" s="100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F51" s="42"/>
      <c r="AG51" s="42"/>
      <c r="AH51" s="42"/>
      <c r="AI51" s="42"/>
      <c r="AJ51" s="42"/>
      <c r="AK51" s="42"/>
      <c r="AL51" s="42"/>
      <c r="AM51" s="29"/>
      <c r="AN51" s="42"/>
      <c r="AO51" s="42"/>
      <c r="AP51" s="42"/>
      <c r="AQ51" s="42"/>
      <c r="AR51" s="42"/>
      <c r="AS51" s="42"/>
    </row>
    <row r="52" spans="2:45" s="18" customFormat="1" ht="17.25" customHeight="1" x14ac:dyDescent="0.25">
      <c r="B52" s="56"/>
      <c r="C52" s="56"/>
      <c r="D52" s="62"/>
      <c r="E52" s="100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F52" s="42"/>
      <c r="AG52" s="42"/>
      <c r="AH52" s="42"/>
      <c r="AI52" s="42"/>
      <c r="AJ52" s="42"/>
      <c r="AK52" s="42"/>
      <c r="AL52" s="42"/>
      <c r="AM52" s="29"/>
      <c r="AN52" s="42"/>
      <c r="AO52" s="42"/>
      <c r="AP52" s="42"/>
      <c r="AQ52" s="42"/>
      <c r="AR52" s="42"/>
      <c r="AS52" s="42"/>
    </row>
    <row r="53" spans="2:45" s="18" customFormat="1" ht="17.25" customHeight="1" x14ac:dyDescent="0.25">
      <c r="B53" s="56"/>
      <c r="C53" s="56"/>
      <c r="D53" s="62"/>
      <c r="E53" s="100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F53" s="42"/>
      <c r="AG53" s="42"/>
      <c r="AH53" s="42"/>
      <c r="AI53" s="42"/>
      <c r="AJ53" s="42"/>
      <c r="AK53" s="42"/>
      <c r="AL53" s="42"/>
      <c r="AM53" s="29"/>
      <c r="AN53" s="42"/>
      <c r="AO53" s="42"/>
      <c r="AP53" s="42"/>
      <c r="AQ53" s="42"/>
      <c r="AR53" s="42"/>
      <c r="AS53" s="42"/>
    </row>
    <row r="54" spans="2:45" s="18" customFormat="1" ht="17.25" customHeight="1" x14ac:dyDescent="0.25">
      <c r="B54" s="56"/>
      <c r="C54" s="56"/>
      <c r="D54" s="62"/>
      <c r="E54" s="100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F54" s="42"/>
      <c r="AG54" s="42"/>
      <c r="AH54" s="42"/>
      <c r="AI54" s="42"/>
      <c r="AJ54" s="42"/>
      <c r="AK54" s="42"/>
      <c r="AL54" s="42"/>
      <c r="AM54" s="29"/>
      <c r="AN54" s="42"/>
      <c r="AO54" s="42"/>
      <c r="AP54" s="42"/>
      <c r="AQ54" s="42"/>
      <c r="AR54" s="42"/>
      <c r="AS54" s="42"/>
    </row>
    <row r="55" spans="2:45" s="18" customFormat="1" ht="17.25" customHeight="1" x14ac:dyDescent="0.25">
      <c r="B55" s="56"/>
      <c r="C55" s="56"/>
      <c r="D55" s="62"/>
      <c r="E55" s="100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F55" s="42"/>
      <c r="AG55" s="42"/>
      <c r="AH55" s="42"/>
      <c r="AI55" s="42"/>
      <c r="AJ55" s="42"/>
      <c r="AK55" s="42"/>
      <c r="AL55" s="42"/>
      <c r="AM55" s="29"/>
      <c r="AN55" s="42"/>
      <c r="AO55" s="42"/>
      <c r="AP55" s="42"/>
      <c r="AQ55" s="42"/>
      <c r="AR55" s="42"/>
      <c r="AS55" s="42"/>
    </row>
    <row r="56" spans="2:45" s="18" customFormat="1" ht="17.25" customHeight="1" x14ac:dyDescent="0.25">
      <c r="B56" s="56"/>
      <c r="C56" s="56"/>
      <c r="D56" s="62"/>
      <c r="E56" s="100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F56" s="42"/>
      <c r="AG56" s="42"/>
      <c r="AH56" s="42"/>
      <c r="AI56" s="42"/>
      <c r="AJ56" s="42"/>
      <c r="AK56" s="42"/>
      <c r="AL56" s="42"/>
      <c r="AM56" s="29"/>
      <c r="AN56" s="42"/>
      <c r="AO56" s="42"/>
      <c r="AP56" s="42"/>
      <c r="AQ56" s="42"/>
      <c r="AR56" s="42"/>
      <c r="AS56" s="42"/>
    </row>
    <row r="57" spans="2:45" ht="22.5" customHeight="1" x14ac:dyDescent="0.25">
      <c r="B57" s="56"/>
      <c r="C57" s="63"/>
      <c r="D57" s="62"/>
      <c r="E57" s="98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18"/>
      <c r="AC57" s="18"/>
      <c r="AD57" s="18"/>
      <c r="AE57" s="18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</row>
    <row r="58" spans="2:45" s="37" customFormat="1" ht="20.25" customHeight="1" x14ac:dyDescent="0.25">
      <c r="B58" s="56"/>
      <c r="C58" s="56"/>
      <c r="D58" s="62"/>
      <c r="E58" s="9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18"/>
      <c r="AC58" s="18"/>
      <c r="AD58" s="18"/>
      <c r="AE58" s="18"/>
      <c r="AF58" s="42"/>
      <c r="AG58" s="42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</row>
    <row r="59" spans="2:45" s="37" customFormat="1" ht="23.25" customHeight="1" x14ac:dyDescent="0.25">
      <c r="B59" s="56"/>
      <c r="C59" s="56"/>
      <c r="D59" s="62"/>
      <c r="E59" s="9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18"/>
      <c r="AC59" s="18"/>
      <c r="AD59" s="18"/>
      <c r="AE59" s="18"/>
      <c r="AF59" s="42"/>
      <c r="AG59" s="42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</row>
    <row r="60" spans="2:45" s="37" customFormat="1" ht="23.25" customHeight="1" x14ac:dyDescent="0.25">
      <c r="B60" s="56"/>
      <c r="C60" s="56"/>
      <c r="D60" s="62"/>
      <c r="E60" s="9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18"/>
      <c r="AC60" s="18"/>
      <c r="AD60" s="18"/>
      <c r="AE60" s="18"/>
      <c r="AF60" s="42"/>
      <c r="AG60" s="42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</row>
    <row r="61" spans="2:45" s="37" customFormat="1" ht="23.25" customHeight="1" x14ac:dyDescent="0.25">
      <c r="B61" s="56"/>
      <c r="C61" s="56"/>
      <c r="D61" s="62"/>
      <c r="E61" s="9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18"/>
      <c r="AC61" s="18"/>
      <c r="AD61" s="18"/>
      <c r="AE61" s="18"/>
      <c r="AF61" s="42"/>
      <c r="AG61" s="42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</row>
    <row r="62" spans="2:45" s="37" customFormat="1" ht="23.25" customHeight="1" x14ac:dyDescent="0.25">
      <c r="B62" s="56"/>
      <c r="C62" s="56"/>
      <c r="D62" s="62"/>
      <c r="E62" s="9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18"/>
      <c r="AC62" s="18"/>
      <c r="AD62" s="18"/>
      <c r="AE62" s="18"/>
      <c r="AF62" s="42"/>
      <c r="AG62" s="42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</row>
    <row r="63" spans="2:45" s="37" customFormat="1" ht="15.75" x14ac:dyDescent="0.25">
      <c r="B63" s="56"/>
      <c r="C63" s="56"/>
      <c r="D63" s="62"/>
      <c r="E63" s="9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</row>
    <row r="64" spans="2:45" s="37" customFormat="1" ht="12.75" x14ac:dyDescent="0.2">
      <c r="B64" s="56"/>
      <c r="C64" s="56"/>
      <c r="D64" s="57"/>
      <c r="E64" s="9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</row>
    <row r="65" spans="1:45" s="37" customFormat="1" ht="12.75" x14ac:dyDescent="0.2">
      <c r="B65" s="56"/>
      <c r="C65" s="56"/>
      <c r="D65" s="57"/>
      <c r="E65" s="9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</row>
    <row r="66" spans="1:45" s="28" customFormat="1" ht="12.75" x14ac:dyDescent="0.2">
      <c r="A66" s="42"/>
      <c r="B66" s="56"/>
      <c r="C66" s="56"/>
      <c r="D66" s="57"/>
      <c r="E66" s="96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C66" s="42"/>
      <c r="AD66" s="42"/>
      <c r="AE66" s="42"/>
    </row>
    <row r="67" spans="1:45" s="28" customFormat="1" ht="18" customHeight="1" x14ac:dyDescent="0.2">
      <c r="A67" s="42"/>
      <c r="B67" s="56"/>
      <c r="C67" s="56"/>
      <c r="D67" s="57"/>
      <c r="E67" s="96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C67" s="42"/>
      <c r="AD67" s="42"/>
      <c r="AE67" s="42"/>
    </row>
    <row r="68" spans="1:45" s="28" customFormat="1" ht="18" customHeight="1" x14ac:dyDescent="0.2">
      <c r="A68" s="42"/>
      <c r="B68" s="56"/>
      <c r="C68" s="56"/>
      <c r="D68" s="57"/>
      <c r="E68" s="96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3"/>
      <c r="AC68" s="43"/>
      <c r="AD68" s="43"/>
      <c r="AE68" s="43"/>
      <c r="AG68" s="29"/>
      <c r="AH68" s="29"/>
      <c r="AI68" s="29"/>
      <c r="AJ68" s="29"/>
      <c r="AK68" s="29"/>
      <c r="AL68" s="29"/>
      <c r="AM68" s="29"/>
      <c r="AN68" s="29"/>
      <c r="AO68" s="29"/>
      <c r="AP68" s="29"/>
    </row>
    <row r="69" spans="1:45" s="28" customFormat="1" ht="18" customHeight="1" x14ac:dyDescent="0.2">
      <c r="A69" s="42"/>
      <c r="B69" s="56"/>
      <c r="C69" s="56"/>
      <c r="D69" s="57"/>
      <c r="E69" s="96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3"/>
      <c r="AC69" s="43"/>
      <c r="AD69" s="43"/>
      <c r="AE69" s="43"/>
    </row>
    <row r="70" spans="1:45" s="28" customFormat="1" ht="18" customHeight="1" x14ac:dyDescent="0.2">
      <c r="A70" s="42"/>
      <c r="B70" s="56"/>
      <c r="C70" s="56"/>
      <c r="D70" s="57"/>
      <c r="E70" s="96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C70" s="42"/>
      <c r="AD70" s="42"/>
      <c r="AE70" s="42"/>
    </row>
    <row r="71" spans="1:45" s="28" customFormat="1" ht="18" customHeight="1" x14ac:dyDescent="0.2">
      <c r="A71" s="42"/>
      <c r="B71" s="56"/>
      <c r="C71" s="56"/>
      <c r="D71" s="57"/>
      <c r="E71" s="96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C71" s="42"/>
      <c r="AD71" s="42"/>
      <c r="AE71" s="42"/>
    </row>
    <row r="72" spans="1:45" s="28" customFormat="1" ht="18" customHeight="1" x14ac:dyDescent="0.2">
      <c r="A72" s="42"/>
      <c r="E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C72" s="42"/>
      <c r="AD72" s="42"/>
      <c r="AE72" s="42"/>
    </row>
    <row r="73" spans="1:45" s="28" customFormat="1" ht="18" customHeight="1" x14ac:dyDescent="0.2">
      <c r="A73" s="42"/>
      <c r="E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C73" s="42"/>
      <c r="AD73" s="42"/>
      <c r="AE73" s="42"/>
    </row>
    <row r="74" spans="1:45" s="28" customFormat="1" ht="18" customHeight="1" x14ac:dyDescent="0.2">
      <c r="A74" s="42"/>
      <c r="E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C74" s="42"/>
      <c r="AD74" s="42"/>
      <c r="AE74" s="42"/>
    </row>
    <row r="75" spans="1:45" s="28" customFormat="1" ht="18" customHeight="1" x14ac:dyDescent="0.2">
      <c r="A75" s="42"/>
      <c r="E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C75" s="42"/>
      <c r="AD75" s="42"/>
      <c r="AE75" s="42"/>
    </row>
    <row r="76" spans="1:45" s="28" customFormat="1" ht="18" customHeight="1" x14ac:dyDescent="0.2">
      <c r="A76" s="42"/>
      <c r="E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C76" s="42"/>
      <c r="AD76" s="42"/>
      <c r="AE76" s="42"/>
    </row>
    <row r="77" spans="1:45" s="28" customFormat="1" ht="18" customHeight="1" x14ac:dyDescent="0.2">
      <c r="A77" s="42"/>
      <c r="E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C77" s="42"/>
      <c r="AD77" s="42"/>
      <c r="AE77" s="42"/>
    </row>
    <row r="78" spans="1:45" s="28" customFormat="1" ht="18" customHeight="1" x14ac:dyDescent="0.2">
      <c r="A78" s="42"/>
      <c r="E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C78" s="42"/>
      <c r="AD78" s="42"/>
      <c r="AE78" s="42"/>
    </row>
    <row r="79" spans="1:45" s="28" customFormat="1" ht="18" customHeight="1" x14ac:dyDescent="0.2">
      <c r="A79" s="42"/>
      <c r="E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C79" s="42"/>
      <c r="AD79" s="42"/>
      <c r="AE79" s="42"/>
    </row>
    <row r="80" spans="1:45" s="28" customFormat="1" ht="18" customHeight="1" x14ac:dyDescent="0.2">
      <c r="A80" s="42"/>
      <c r="E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C80" s="42"/>
      <c r="AD80" s="42"/>
      <c r="AE80" s="42"/>
    </row>
    <row r="81" spans="1:31" s="28" customFormat="1" ht="18" customHeight="1" x14ac:dyDescent="0.2">
      <c r="A81" s="42"/>
      <c r="E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C81" s="42"/>
      <c r="AD81" s="42"/>
      <c r="AE81" s="42"/>
    </row>
    <row r="82" spans="1:31" s="28" customFormat="1" ht="18" customHeight="1" x14ac:dyDescent="0.2">
      <c r="A82" s="42"/>
      <c r="E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C82" s="42"/>
      <c r="AD82" s="42"/>
      <c r="AE82" s="42"/>
    </row>
    <row r="83" spans="1:31" s="28" customFormat="1" ht="18" customHeight="1" x14ac:dyDescent="0.2">
      <c r="A83" s="42"/>
      <c r="D83" s="43"/>
      <c r="E83" s="43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C83" s="42"/>
      <c r="AD83" s="42"/>
      <c r="AE83" s="42"/>
    </row>
    <row r="84" spans="1:31" s="28" customFormat="1" ht="18" customHeight="1" x14ac:dyDescent="0.2">
      <c r="A84" s="42"/>
      <c r="E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C84" s="42"/>
      <c r="AD84" s="42"/>
      <c r="AE84" s="42"/>
    </row>
    <row r="85" spans="1:31" s="28" customFormat="1" ht="18" customHeight="1" x14ac:dyDescent="0.2">
      <c r="A85" s="42"/>
      <c r="E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C85" s="42"/>
      <c r="AD85" s="42"/>
      <c r="AE85" s="42"/>
    </row>
    <row r="86" spans="1:31" s="28" customFormat="1" ht="18" customHeight="1" x14ac:dyDescent="0.2">
      <c r="A86" s="42"/>
      <c r="E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C86" s="42"/>
      <c r="AD86" s="42"/>
      <c r="AE86" s="42"/>
    </row>
    <row r="87" spans="1:31" s="28" customFormat="1" ht="18" customHeight="1" x14ac:dyDescent="0.2">
      <c r="A87" s="42"/>
      <c r="E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C87" s="42"/>
      <c r="AD87" s="42"/>
      <c r="AE87" s="42"/>
    </row>
    <row r="88" spans="1:31" s="28" customFormat="1" ht="18" customHeight="1" x14ac:dyDescent="0.2">
      <c r="A88" s="42"/>
      <c r="E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C88" s="42"/>
      <c r="AD88" s="42"/>
      <c r="AE88" s="42"/>
    </row>
    <row r="89" spans="1:31" s="28" customFormat="1" ht="18" customHeight="1" x14ac:dyDescent="0.2">
      <c r="A89" s="42"/>
      <c r="E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C89" s="42"/>
      <c r="AD89" s="42"/>
      <c r="AE89" s="42"/>
    </row>
    <row r="90" spans="1:31" s="28" customFormat="1" ht="18" customHeight="1" x14ac:dyDescent="0.2">
      <c r="A90" s="42"/>
      <c r="E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C90" s="42"/>
      <c r="AD90" s="42"/>
      <c r="AE90" s="42"/>
    </row>
    <row r="91" spans="1:31" s="28" customFormat="1" ht="18" customHeight="1" x14ac:dyDescent="0.2">
      <c r="A91" s="42"/>
      <c r="E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C91" s="42"/>
      <c r="AD91" s="42"/>
      <c r="AE91" s="42"/>
    </row>
    <row r="92" spans="1:31" s="28" customFormat="1" ht="18" customHeight="1" x14ac:dyDescent="0.2">
      <c r="A92" s="42"/>
      <c r="E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C92" s="42"/>
      <c r="AD92" s="42"/>
      <c r="AE92" s="42"/>
    </row>
    <row r="93" spans="1:31" s="28" customFormat="1" ht="18" customHeight="1" x14ac:dyDescent="0.2">
      <c r="A93" s="42"/>
      <c r="E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C93" s="42"/>
      <c r="AD93" s="42"/>
      <c r="AE93" s="42"/>
    </row>
    <row r="94" spans="1:31" s="28" customFormat="1" ht="18" customHeight="1" x14ac:dyDescent="0.2">
      <c r="A94" s="42"/>
      <c r="E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C94" s="42"/>
      <c r="AD94" s="42"/>
      <c r="AE94" s="42"/>
    </row>
    <row r="95" spans="1:31" s="28" customFormat="1" ht="18" customHeight="1" x14ac:dyDescent="0.2">
      <c r="A95" s="42"/>
      <c r="E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C95" s="42"/>
      <c r="AD95" s="42"/>
      <c r="AE95" s="42"/>
    </row>
    <row r="96" spans="1:31" s="28" customFormat="1" ht="18" customHeight="1" x14ac:dyDescent="0.2">
      <c r="A96" s="42"/>
      <c r="E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C96" s="42"/>
      <c r="AD96" s="42"/>
      <c r="AE96" s="42"/>
    </row>
    <row r="97" spans="1:31" s="28" customFormat="1" ht="18" customHeight="1" x14ac:dyDescent="0.2">
      <c r="A97" s="42"/>
      <c r="E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C97" s="42"/>
      <c r="AD97" s="42"/>
      <c r="AE97" s="42"/>
    </row>
    <row r="98" spans="1:31" s="28" customFormat="1" ht="18" customHeight="1" x14ac:dyDescent="0.2">
      <c r="A98" s="42"/>
      <c r="E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C98" s="42"/>
      <c r="AD98" s="42"/>
      <c r="AE98" s="42"/>
    </row>
    <row r="99" spans="1:31" s="28" customFormat="1" ht="18" customHeight="1" x14ac:dyDescent="0.2">
      <c r="A99" s="42"/>
      <c r="E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C99" s="42"/>
      <c r="AD99" s="42"/>
      <c r="AE99" s="42"/>
    </row>
    <row r="100" spans="1:31" s="28" customFormat="1" ht="18" customHeight="1" x14ac:dyDescent="0.2">
      <c r="A100" s="42"/>
      <c r="E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C100" s="42"/>
      <c r="AD100" s="42"/>
      <c r="AE100" s="42"/>
    </row>
    <row r="101" spans="1:31" s="28" customFormat="1" ht="18" customHeight="1" x14ac:dyDescent="0.2">
      <c r="A101" s="42"/>
      <c r="E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C101" s="42"/>
      <c r="AD101" s="42"/>
      <c r="AE101" s="42"/>
    </row>
    <row r="102" spans="1:31" s="28" customFormat="1" ht="18" customHeight="1" x14ac:dyDescent="0.2">
      <c r="A102" s="42"/>
      <c r="E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C102" s="42"/>
      <c r="AD102" s="42"/>
      <c r="AE102" s="42"/>
    </row>
    <row r="103" spans="1:31" s="28" customFormat="1" ht="18" customHeight="1" x14ac:dyDescent="0.2">
      <c r="A103" s="42"/>
      <c r="E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C103" s="42"/>
      <c r="AD103" s="42"/>
      <c r="AE103" s="42"/>
    </row>
    <row r="104" spans="1:31" s="28" customFormat="1" ht="18" customHeight="1" x14ac:dyDescent="0.2">
      <c r="A104" s="42"/>
      <c r="E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C104" s="42"/>
      <c r="AD104" s="42"/>
      <c r="AE104" s="42"/>
    </row>
    <row r="105" spans="1:31" s="28" customFormat="1" ht="18" customHeight="1" x14ac:dyDescent="0.2">
      <c r="A105" s="42"/>
      <c r="E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C105" s="42"/>
      <c r="AD105" s="42"/>
      <c r="AE105" s="42"/>
    </row>
    <row r="106" spans="1:31" s="28" customFormat="1" ht="18" customHeight="1" x14ac:dyDescent="0.2">
      <c r="A106" s="42"/>
      <c r="E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C106" s="42"/>
      <c r="AD106" s="42"/>
      <c r="AE106" s="42"/>
    </row>
    <row r="107" spans="1:31" s="28" customFormat="1" ht="18" customHeight="1" x14ac:dyDescent="0.2">
      <c r="A107" s="42"/>
      <c r="E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C107" s="42"/>
      <c r="AD107" s="42"/>
      <c r="AE107" s="42"/>
    </row>
    <row r="108" spans="1:31" s="28" customFormat="1" ht="18" customHeight="1" x14ac:dyDescent="0.2">
      <c r="A108" s="42"/>
      <c r="E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C108" s="42"/>
      <c r="AD108" s="42"/>
      <c r="AE108" s="42"/>
    </row>
    <row r="109" spans="1:31" s="28" customFormat="1" ht="18" customHeight="1" x14ac:dyDescent="0.2">
      <c r="A109" s="42"/>
      <c r="E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C109" s="42"/>
      <c r="AD109" s="42"/>
      <c r="AE109" s="42"/>
    </row>
    <row r="110" spans="1:31" s="28" customFormat="1" ht="18" customHeight="1" x14ac:dyDescent="0.2">
      <c r="A110" s="42"/>
      <c r="E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C110" s="42"/>
      <c r="AD110" s="42"/>
      <c r="AE110" s="42"/>
    </row>
    <row r="111" spans="1:31" s="28" customFormat="1" ht="18" customHeight="1" x14ac:dyDescent="0.2">
      <c r="A111" s="42"/>
      <c r="E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C111" s="42"/>
      <c r="AD111" s="42"/>
      <c r="AE111" s="42"/>
    </row>
    <row r="112" spans="1:31" s="28" customFormat="1" ht="18" customHeight="1" x14ac:dyDescent="0.2">
      <c r="A112" s="42"/>
      <c r="E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C112" s="42"/>
      <c r="AD112" s="42"/>
      <c r="AE112" s="42"/>
    </row>
    <row r="113" spans="1:31" s="28" customFormat="1" ht="18" customHeight="1" x14ac:dyDescent="0.2">
      <c r="A113" s="42"/>
      <c r="E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C113" s="42"/>
      <c r="AD113" s="42"/>
      <c r="AE113" s="42"/>
    </row>
    <row r="114" spans="1:31" s="28" customFormat="1" ht="18" customHeight="1" x14ac:dyDescent="0.2">
      <c r="A114" s="42"/>
      <c r="E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C114" s="42"/>
      <c r="AD114" s="42"/>
      <c r="AE114" s="42"/>
    </row>
    <row r="115" spans="1:31" s="28" customFormat="1" ht="18" customHeight="1" x14ac:dyDescent="0.2">
      <c r="A115" s="42"/>
      <c r="E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C115" s="42"/>
      <c r="AD115" s="42"/>
      <c r="AE115" s="42"/>
    </row>
    <row r="116" spans="1:31" s="28" customFormat="1" ht="18" customHeight="1" x14ac:dyDescent="0.2">
      <c r="A116" s="42"/>
      <c r="E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C116" s="42"/>
      <c r="AD116" s="42"/>
      <c r="AE116" s="42"/>
    </row>
    <row r="117" spans="1:31" s="28" customFormat="1" ht="18" customHeight="1" x14ac:dyDescent="0.2">
      <c r="A117" s="42"/>
      <c r="E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C117" s="42"/>
      <c r="AD117" s="42"/>
      <c r="AE117" s="42"/>
    </row>
    <row r="118" spans="1:31" s="28" customFormat="1" ht="18" customHeight="1" x14ac:dyDescent="0.2">
      <c r="A118" s="42"/>
      <c r="E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C118" s="42"/>
      <c r="AD118" s="42"/>
      <c r="AE118" s="42"/>
    </row>
    <row r="119" spans="1:31" s="28" customFormat="1" ht="18" customHeight="1" x14ac:dyDescent="0.2">
      <c r="A119" s="42"/>
      <c r="E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C119" s="42"/>
      <c r="AD119" s="42"/>
      <c r="AE119" s="42"/>
    </row>
    <row r="120" spans="1:31" s="28" customFormat="1" ht="18" customHeight="1" x14ac:dyDescent="0.2">
      <c r="A120" s="42"/>
      <c r="E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C120" s="42"/>
      <c r="AD120" s="42"/>
      <c r="AE120" s="42"/>
    </row>
    <row r="121" spans="1:31" s="28" customFormat="1" ht="18" customHeight="1" x14ac:dyDescent="0.2">
      <c r="A121" s="42"/>
      <c r="E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C121" s="42"/>
      <c r="AD121" s="42"/>
      <c r="AE121" s="42"/>
    </row>
    <row r="122" spans="1:31" s="28" customFormat="1" ht="18" customHeight="1" x14ac:dyDescent="0.2">
      <c r="A122" s="42"/>
      <c r="E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C122" s="42"/>
      <c r="AD122" s="42"/>
      <c r="AE122" s="42"/>
    </row>
    <row r="123" spans="1:31" s="28" customFormat="1" ht="18" customHeight="1" x14ac:dyDescent="0.2">
      <c r="A123" s="42"/>
      <c r="E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C123" s="42"/>
      <c r="AD123" s="42"/>
      <c r="AE123" s="42"/>
    </row>
    <row r="124" spans="1:31" s="28" customFormat="1" ht="18" customHeight="1" x14ac:dyDescent="0.2">
      <c r="A124" s="42"/>
      <c r="E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C124" s="42"/>
      <c r="AD124" s="42"/>
      <c r="AE124" s="42"/>
    </row>
    <row r="125" spans="1:31" s="28" customFormat="1" ht="18" customHeight="1" x14ac:dyDescent="0.2">
      <c r="A125" s="42"/>
      <c r="E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C125" s="42"/>
      <c r="AD125" s="42"/>
      <c r="AE125" s="42"/>
    </row>
    <row r="126" spans="1:31" s="28" customFormat="1" ht="18" customHeight="1" x14ac:dyDescent="0.2">
      <c r="A126" s="42"/>
      <c r="E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C126" s="42"/>
      <c r="AD126" s="42"/>
      <c r="AE126" s="42"/>
    </row>
    <row r="127" spans="1:31" s="28" customFormat="1" ht="18" customHeight="1" x14ac:dyDescent="0.2">
      <c r="A127" s="42"/>
      <c r="E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C127" s="42"/>
      <c r="AD127" s="42"/>
      <c r="AE127" s="42"/>
    </row>
    <row r="128" spans="1:31" s="28" customFormat="1" ht="18" customHeight="1" x14ac:dyDescent="0.2">
      <c r="A128" s="42"/>
      <c r="E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C128" s="42"/>
      <c r="AD128" s="42"/>
      <c r="AE128" s="42"/>
    </row>
    <row r="129" spans="1:31" s="28" customFormat="1" ht="18" customHeight="1" x14ac:dyDescent="0.2">
      <c r="A129" s="42"/>
      <c r="E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C129" s="42"/>
      <c r="AD129" s="42"/>
      <c r="AE129" s="42"/>
    </row>
    <row r="130" spans="1:31" s="28" customFormat="1" ht="18" customHeight="1" x14ac:dyDescent="0.2">
      <c r="A130" s="42"/>
      <c r="E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C130" s="42"/>
      <c r="AD130" s="42"/>
      <c r="AE130" s="42"/>
    </row>
    <row r="131" spans="1:31" s="28" customFormat="1" ht="18" customHeight="1" x14ac:dyDescent="0.2">
      <c r="A131" s="42"/>
      <c r="E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C131" s="42"/>
      <c r="AD131" s="42"/>
      <c r="AE131" s="42"/>
    </row>
    <row r="132" spans="1:31" s="28" customFormat="1" ht="18" customHeight="1" x14ac:dyDescent="0.2">
      <c r="A132" s="42"/>
      <c r="E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C132" s="42"/>
      <c r="AD132" s="42"/>
      <c r="AE132" s="42"/>
    </row>
    <row r="133" spans="1:31" s="28" customFormat="1" ht="18" customHeight="1" x14ac:dyDescent="0.2">
      <c r="A133" s="42"/>
      <c r="E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C133" s="42"/>
      <c r="AD133" s="42"/>
      <c r="AE133" s="42"/>
    </row>
    <row r="134" spans="1:31" s="28" customFormat="1" ht="18" customHeight="1" x14ac:dyDescent="0.2">
      <c r="A134" s="42"/>
      <c r="E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C134" s="42"/>
      <c r="AD134" s="42"/>
      <c r="AE134" s="42"/>
    </row>
    <row r="135" spans="1:31" s="28" customFormat="1" ht="18" customHeight="1" x14ac:dyDescent="0.2">
      <c r="A135" s="42"/>
      <c r="E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C135" s="42"/>
      <c r="AD135" s="42"/>
      <c r="AE135" s="42"/>
    </row>
    <row r="136" spans="1:31" s="28" customFormat="1" ht="18" customHeight="1" x14ac:dyDescent="0.2">
      <c r="A136" s="42"/>
      <c r="E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C136" s="42"/>
      <c r="AD136" s="42"/>
      <c r="AE136" s="42"/>
    </row>
    <row r="137" spans="1:31" s="28" customFormat="1" ht="18" customHeight="1" x14ac:dyDescent="0.2">
      <c r="A137" s="42"/>
      <c r="E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C137" s="42"/>
      <c r="AD137" s="42"/>
      <c r="AE137" s="42"/>
    </row>
    <row r="138" spans="1:31" s="28" customFormat="1" ht="18" customHeight="1" x14ac:dyDescent="0.2">
      <c r="A138" s="42"/>
      <c r="E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C138" s="42"/>
      <c r="AD138" s="42"/>
      <c r="AE138" s="42"/>
    </row>
    <row r="139" spans="1:31" s="28" customFormat="1" ht="18" customHeight="1" x14ac:dyDescent="0.2">
      <c r="A139" s="42"/>
      <c r="E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C139" s="42"/>
      <c r="AD139" s="42"/>
      <c r="AE139" s="42"/>
    </row>
    <row r="140" spans="1:31" s="28" customFormat="1" ht="18" customHeight="1" x14ac:dyDescent="0.2">
      <c r="A140" s="42"/>
      <c r="E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C140" s="42"/>
      <c r="AD140" s="42"/>
      <c r="AE140" s="42"/>
    </row>
    <row r="141" spans="1:31" s="28" customFormat="1" ht="18" customHeight="1" x14ac:dyDescent="0.2">
      <c r="A141" s="42"/>
      <c r="E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C141" s="42"/>
      <c r="AD141" s="42"/>
      <c r="AE141" s="42"/>
    </row>
    <row r="142" spans="1:31" s="28" customFormat="1" ht="18" customHeight="1" x14ac:dyDescent="0.2">
      <c r="A142" s="42"/>
      <c r="E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C142" s="42"/>
      <c r="AD142" s="42"/>
      <c r="AE142" s="42"/>
    </row>
    <row r="143" spans="1:31" s="28" customFormat="1" ht="18" customHeight="1" x14ac:dyDescent="0.2">
      <c r="A143" s="42"/>
      <c r="E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C143" s="42"/>
      <c r="AD143" s="42"/>
      <c r="AE143" s="42"/>
    </row>
    <row r="144" spans="1:31" s="28" customFormat="1" ht="18" customHeight="1" x14ac:dyDescent="0.2">
      <c r="A144" s="42"/>
      <c r="E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C144" s="42"/>
      <c r="AD144" s="42"/>
      <c r="AE144" s="42"/>
    </row>
    <row r="145" spans="1:31" s="28" customFormat="1" ht="18" customHeight="1" x14ac:dyDescent="0.2">
      <c r="A145" s="42"/>
      <c r="E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C145" s="42"/>
      <c r="AD145" s="42"/>
      <c r="AE145" s="42"/>
    </row>
  </sheetData>
  <sheetProtection sheet="1" objects="1" scenarios="1" formatColumns="0" formatRows="0"/>
  <protectedRanges>
    <protectedRange sqref="G46:V48" name="Commentaires"/>
  </protectedRanges>
  <mergeCells count="35">
    <mergeCell ref="G21:X22"/>
    <mergeCell ref="F40:G40"/>
    <mergeCell ref="F46:Z46"/>
    <mergeCell ref="F47:Z47"/>
    <mergeCell ref="F48:Z48"/>
    <mergeCell ref="F49:Z49"/>
    <mergeCell ref="J28:J29"/>
    <mergeCell ref="M28:M29"/>
    <mergeCell ref="O28:Z29"/>
    <mergeCell ref="I30:I31"/>
    <mergeCell ref="J30:J31"/>
    <mergeCell ref="M30:M31"/>
    <mergeCell ref="O30:O31"/>
    <mergeCell ref="P30:P31"/>
    <mergeCell ref="Q30:Q31"/>
    <mergeCell ref="R30:R31"/>
    <mergeCell ref="S30:S31"/>
    <mergeCell ref="T30:T31"/>
    <mergeCell ref="L28:L29"/>
    <mergeCell ref="L30:L31"/>
    <mergeCell ref="Y21:Y22"/>
    <mergeCell ref="F37:G37"/>
    <mergeCell ref="AE28:AE29"/>
    <mergeCell ref="AE30:AE31"/>
    <mergeCell ref="AB34:AC34"/>
    <mergeCell ref="F34:G34"/>
    <mergeCell ref="N31:N32"/>
    <mergeCell ref="W30:W31"/>
    <mergeCell ref="X30:X31"/>
    <mergeCell ref="Y30:Y31"/>
    <mergeCell ref="U30:U31"/>
    <mergeCell ref="V30:V31"/>
    <mergeCell ref="K31:K32"/>
    <mergeCell ref="Z30:Z31"/>
    <mergeCell ref="I28:I29"/>
  </mergeCells>
  <phoneticPr fontId="0" type="noConversion"/>
  <dataValidations count="2">
    <dataValidation type="list" allowBlank="1" showInputMessage="1" showErrorMessage="1" sqref="AC28:AD28 G28:H28">
      <formula1>Language</formula1>
    </dataValidation>
    <dataValidation type="list" allowBlank="1" showInputMessage="1" showErrorMessage="1" sqref="AC30:AD30 G30">
      <formula1>$AN$24:$AN$27</formula1>
    </dataValidation>
  </dataValidations>
  <printOptions horizontalCentered="1"/>
  <pageMargins left="0.15748031496062992" right="0.11811023622047245" top="0.27559055118110237" bottom="0.19685039370078741" header="0.35433070866141736" footer="0.15748031496062992"/>
  <pageSetup paperSize="9" scale="42" orientation="landscape" r:id="rId1"/>
  <headerFooter alignWithMargins="0"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0787" r:id="rId4" name="Refresh_Report">
          <controlPr defaultSize="0" autoLine="0" r:id="rId5">
            <anchor moveWithCells="1">
              <from>
                <xdr:col>5</xdr:col>
                <xdr:colOff>0</xdr:colOff>
                <xdr:row>17</xdr:row>
                <xdr:rowOff>85725</xdr:rowOff>
              </from>
              <to>
                <xdr:col>5</xdr:col>
                <xdr:colOff>2247900</xdr:colOff>
                <xdr:row>19</xdr:row>
                <xdr:rowOff>47625</xdr:rowOff>
              </to>
            </anchor>
          </controlPr>
        </control>
      </mc:Choice>
      <mc:Fallback>
        <control shapeId="160787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25</vt:i4>
      </vt:variant>
    </vt:vector>
  </HeadingPairs>
  <TitlesOfParts>
    <vt:vector size="27" baseType="lpstr">
      <vt:lpstr>Context</vt:lpstr>
      <vt:lpstr>Saisie_ind_sécurité_real</vt:lpstr>
      <vt:lpstr>ActualBudgetAdmin</vt:lpstr>
      <vt:lpstr>ActualForecast1Admin</vt:lpstr>
      <vt:lpstr>ActualForecast2Admin</vt:lpstr>
      <vt:lpstr>ActualMonth</vt:lpstr>
      <vt:lpstr>ActualYear</vt:lpstr>
      <vt:lpstr>AutoFit</vt:lpstr>
      <vt:lpstr>AutoRefresh_Input_PL</vt:lpstr>
      <vt:lpstr>AutoRefresh_Saisie_ind_sécurité_real</vt:lpstr>
      <vt:lpstr>Cube1</vt:lpstr>
      <vt:lpstr>Cube2</vt:lpstr>
      <vt:lpstr>Flag_Send_Comment</vt:lpstr>
      <vt:lpstr>Flag_Send_Data</vt:lpstr>
      <vt:lpstr>Language</vt:lpstr>
      <vt:lpstr>LocalLanguage</vt:lpstr>
      <vt:lpstr>LocalLanguage2</vt:lpstr>
      <vt:lpstr>Note</vt:lpstr>
      <vt:lpstr>Server</vt:lpstr>
      <vt:lpstr>Saisie_ind_sécurité_real!TM1RPTDATARNGARPT3</vt:lpstr>
      <vt:lpstr>Saisie_ind_sécurité_real!TM1RPTDATARNGARPT4</vt:lpstr>
      <vt:lpstr>Saisie_ind_sécurité_real!TM1RPTDATARNGARPT5</vt:lpstr>
      <vt:lpstr>Saisie_ind_sécurité_real!TM1RPTFMTIDCOL</vt:lpstr>
      <vt:lpstr>Saisie_ind_sécurité_real!TM1RPTFMTRNG</vt:lpstr>
      <vt:lpstr>xHost</vt:lpstr>
      <vt:lpstr>xServer</vt:lpstr>
      <vt:lpstr>Saisie_ind_sécurité_real!Zone_d_impression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2012-05-31T14:31:53Z</cp:lastPrinted>
  <dcterms:created xsi:type="dcterms:W3CDTF">2011-06-21T16:52:24Z</dcterms:created>
  <dcterms:modified xsi:type="dcterms:W3CDTF">2013-04-09T08:25:21Z</dcterms:modified>
</cp:coreProperties>
</file>