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70" windowWidth="17355" windowHeight="9180"/>
  </bookViews>
  <sheets>
    <sheet name="Matrice SOX TCM" sheetId="1" r:id="rId1"/>
    <sheet name="Context" sheetId="5" state="hidden" r:id="rId2"/>
    <sheet name="{AR}01" sheetId="4" state="hidden" r:id="rId3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Month">Context!$B$12</definedName>
    <definedName name="ActualYear">Context!$B$11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Context!$B$9</definedName>
    <definedName name="Cube2">Context!$B$10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">'Matrice SOX TCM'!$U$13</definedName>
    <definedName name="CURRENT_PERIOD_CUMUL">'Matrice SOX TCM'!$V$13</definedName>
    <definedName name="CURRENT_YEAR">'Matrice SOX TCM'!$U$12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NDICATEUR_SOX">'Matrice SOX TCM'!$C$12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Context!$B$14:$B$17</definedName>
    <definedName name="LEGAL">'Matrice SOX TCM'!$P$15</definedName>
    <definedName name="LocalLanguage">Context!$B$13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DX">'Matrice SOX TCM'!$V$14</definedName>
    <definedName name="MONTH_ACTUAL">'Matrice SOX TCM'!$U$14</definedName>
    <definedName name="PREVIOUS_YEAR">'Matrice SOX TCM'!$V$12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upp_Zero">'Matrice SOX TCM'!$U$16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2" localSheetId="0">'Matrice SOX TCM'!$22:$22</definedName>
    <definedName name="TM1RPTFMTIDCOL" localSheetId="0">'Matrice SOX TCM'!$A$1:$A$8</definedName>
    <definedName name="TM1RPTFMTRNG" localSheetId="0">'Matrice SOX TCM'!$B$1:$AA$8</definedName>
    <definedName name="Top_Hierarchy">'Matrice SOX TCM'!$B$21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P15" i="1" l="1"/>
  <c r="B9" i="1"/>
  <c r="C9" i="1"/>
  <c r="U13" i="1"/>
  <c r="P21" i="1"/>
  <c r="Q21" i="1"/>
  <c r="R21" i="1"/>
  <c r="S21" i="1"/>
  <c r="T21" i="1"/>
  <c r="U21" i="1"/>
  <c r="V21" i="1"/>
  <c r="W21" i="1"/>
  <c r="X21" i="1"/>
  <c r="Y21" i="1"/>
  <c r="Z21" i="1"/>
  <c r="AA21" i="1"/>
  <c r="C12" i="1"/>
  <c r="U14" i="1"/>
  <c r="B13" i="1"/>
  <c r="B21" i="1"/>
  <c r="V14" i="1"/>
  <c r="B22" i="1"/>
  <c r="V13" i="1"/>
  <c r="U12" i="1"/>
  <c r="V12" i="1"/>
  <c r="O22" i="1"/>
  <c r="P22" i="1"/>
  <c r="N22" i="1"/>
  <c r="D22" i="1"/>
  <c r="E22" i="1"/>
  <c r="F22" i="1"/>
  <c r="G22" i="1"/>
  <c r="H22" i="1"/>
  <c r="I22" i="1"/>
  <c r="J22" i="1"/>
  <c r="K22" i="1"/>
  <c r="L22" i="1"/>
  <c r="M22" i="1"/>
  <c r="C22" i="1"/>
  <c r="Q22" i="1"/>
  <c r="AA22" i="1"/>
  <c r="R22" i="1"/>
  <c r="B5" i="5"/>
  <c r="B13" i="5"/>
  <c r="B12" i="5"/>
  <c r="B11" i="5"/>
  <c r="Z22" i="1"/>
  <c r="Y22" i="1"/>
  <c r="X22" i="1"/>
  <c r="W22" i="1"/>
  <c r="V22" i="1"/>
  <c r="U22" i="1"/>
  <c r="T22" i="1"/>
  <c r="S22" i="1"/>
  <c r="A22" i="1"/>
  <c r="A5" i="1"/>
  <c r="A4" i="1"/>
  <c r="A3" i="1"/>
  <c r="A2" i="1"/>
</calcChain>
</file>

<file path=xl/sharedStrings.xml><?xml version="1.0" encoding="utf-8"?>
<sst xmlns="http://schemas.openxmlformats.org/spreadsheetml/2006/main" count="482" uniqueCount="476">
  <si>
    <t>z_Indicateur_SOX</t>
  </si>
  <si>
    <t>Legal_Organization</t>
  </si>
  <si>
    <t>Total_Utilisateurs</t>
  </si>
  <si>
    <t>Non affecté</t>
  </si>
  <si>
    <t>Utilisateurs_Courants</t>
  </si>
  <si>
    <t>a-c.jaffard</t>
  </si>
  <si>
    <t>Admin</t>
  </si>
  <si>
    <t>ADMIN.DSI</t>
  </si>
  <si>
    <t>admin_vba_process</t>
  </si>
  <si>
    <t>AGNES.DEZE</t>
  </si>
  <si>
    <t>AGOSTINHO.FERREIRA</t>
  </si>
  <si>
    <t>AIMAD.SEFIANI</t>
  </si>
  <si>
    <t>Alain.Fargeau</t>
  </si>
  <si>
    <t>ALAIN.LAROUSSE</t>
  </si>
  <si>
    <t>ALAIN.PITTAVINO</t>
  </si>
  <si>
    <t>ALBERT.BELINGARD</t>
  </si>
  <si>
    <t>Alex.Murray</t>
  </si>
  <si>
    <t>Alex.Satyanadhan</t>
  </si>
  <si>
    <t>ALEXANDRE.TOULLEC</t>
  </si>
  <si>
    <t>ALEXIA.BAUMELOU</t>
  </si>
  <si>
    <t>ALICE.LEUNG-SAM-FONG</t>
  </si>
  <si>
    <t>ALINE.PATERNOTTE</t>
  </si>
  <si>
    <t>Allison.Leech</t>
  </si>
  <si>
    <t>Alvaro.Pimenta</t>
  </si>
  <si>
    <t>Amandio.Oliveira</t>
  </si>
  <si>
    <t>Andre.Leitao</t>
  </si>
  <si>
    <t>Andrew.Timmins</t>
  </si>
  <si>
    <t>ANKE.NEUMANN</t>
  </si>
  <si>
    <t>ANNE-MARIE.CASIMIRO</t>
  </si>
  <si>
    <t>Annie.Lessard</t>
  </si>
  <si>
    <t>ANTHONY.MELIN</t>
  </si>
  <si>
    <t>Antonio.Fernandes</t>
  </si>
  <si>
    <t>ARNAUD.HESPEL</t>
  </si>
  <si>
    <t>ARNAUD.LAVILLE</t>
  </si>
  <si>
    <t>ARNAUD.SZALEK</t>
  </si>
  <si>
    <t>arnaud.vitou</t>
  </si>
  <si>
    <t>Artur.Sousa</t>
  </si>
  <si>
    <t>AUDE.ANCEL</t>
  </si>
  <si>
    <t>AURELIE.VUAGNAT</t>
  </si>
  <si>
    <t>BEATRICE.AYAD</t>
  </si>
  <si>
    <t>BEATRICE.GELBMANN</t>
  </si>
  <si>
    <t>BEATRICE.PICHON</t>
  </si>
  <si>
    <t>Ben.Crookes</t>
  </si>
  <si>
    <t>BENNO.SCHEP</t>
  </si>
  <si>
    <t>BERNADETTE.HENNE</t>
  </si>
  <si>
    <t>BERNARD.COLLET</t>
  </si>
  <si>
    <t>BETTY.GODEST</t>
  </si>
  <si>
    <t>BJORN.WEIDSTAM</t>
  </si>
  <si>
    <t>BOYKA.NIKOLOVA</t>
  </si>
  <si>
    <t>BRIGITTE.FORFERT</t>
  </si>
  <si>
    <t>Bruno.Lancelot</t>
  </si>
  <si>
    <t>BRUNO.ROSSET</t>
  </si>
  <si>
    <t>C.JAMY-STOWASSER</t>
  </si>
  <si>
    <t>Carlos.Carneiro</t>
  </si>
  <si>
    <t>CAROL.LU</t>
  </si>
  <si>
    <t>CAROLINE.TORLET</t>
  </si>
  <si>
    <t>CATHERINE.GUILBERT</t>
  </si>
  <si>
    <t>CATHERINE.REBOLLO</t>
  </si>
  <si>
    <t>CATHERINE.VANGYSEL</t>
  </si>
  <si>
    <t>CATHERINE.VIDAL</t>
  </si>
  <si>
    <t>CATHY.FEMENIA</t>
  </si>
  <si>
    <t>Cedric.Rouveyrol</t>
  </si>
  <si>
    <t>CELINE.DESOLI</t>
  </si>
  <si>
    <t>CELINE.ROLAND</t>
  </si>
  <si>
    <t>CHANTAL.MORI</t>
  </si>
  <si>
    <t>CHANTAL.POTVIN</t>
  </si>
  <si>
    <t>CHARLOTTE.MAUCHIEN</t>
  </si>
  <si>
    <t>CHLOE.LAI</t>
  </si>
  <si>
    <t>CHRISTELLE.BAILLY</t>
  </si>
  <si>
    <t>CHRISTELLE.FRESNAIS</t>
  </si>
  <si>
    <t>CHRISTIAN.KERCKHOVE</t>
  </si>
  <si>
    <t>CHRISTILIA.MUSCAT</t>
  </si>
  <si>
    <t>CHRISTINE.BARON</t>
  </si>
  <si>
    <t>CHRISTINE.GASPARINI</t>
  </si>
  <si>
    <t>CHRISTINE.PEYROT</t>
  </si>
  <si>
    <t>CHRISTOPHE.C.HUSSON</t>
  </si>
  <si>
    <t>CHRISTOPHE.CARER</t>
  </si>
  <si>
    <t>CHRISTOPHE.PELTIER</t>
  </si>
  <si>
    <t>CHRISTY.WEEMS</t>
  </si>
  <si>
    <t>CLAIRE.CAMPANELLA</t>
  </si>
  <si>
    <t>CLEMENCE.KUREK</t>
  </si>
  <si>
    <t>CLEMENT.MENASSIER</t>
  </si>
  <si>
    <t>clotilde.maillard</t>
  </si>
  <si>
    <t>Colin.Ivey</t>
  </si>
  <si>
    <t>Colin.Jennings</t>
  </si>
  <si>
    <t>CONSULTANT.TM1</t>
  </si>
  <si>
    <t>CORINE.LAINE</t>
  </si>
  <si>
    <t>corinne.bardak</t>
  </si>
  <si>
    <t>CORINNE.DAVID</t>
  </si>
  <si>
    <t>CORINNE.LOZANO</t>
  </si>
  <si>
    <t>CYRIL.BOURDIN</t>
  </si>
  <si>
    <t>DAMIEN.HUYSENTRUYT</t>
  </si>
  <si>
    <t>DANIEL.MAIA</t>
  </si>
  <si>
    <t>DANIEL.MORENO</t>
  </si>
  <si>
    <t>Daniel.Rivet</t>
  </si>
  <si>
    <t>DANIELLE.FOUQUY</t>
  </si>
  <si>
    <t>DARATHAY.LOVAN</t>
  </si>
  <si>
    <t>Daryl.Caesar</t>
  </si>
  <si>
    <t>David.Cruz</t>
  </si>
  <si>
    <t>David.Nott</t>
  </si>
  <si>
    <t>DENIS.MONTANES</t>
  </si>
  <si>
    <t>Dinis.Pereira</t>
  </si>
  <si>
    <t>DOMINIQUE.LEMAY</t>
  </si>
  <si>
    <t>Edward.Thomas</t>
  </si>
  <si>
    <t>ELIZABETH.CORTES</t>
  </si>
  <si>
    <t>ELLEN.ZHUANG</t>
  </si>
  <si>
    <t>EMILE.CADIEUX</t>
  </si>
  <si>
    <t>EMILIE.DEL-GALLO</t>
  </si>
  <si>
    <t>EMILIE.HENRY</t>
  </si>
  <si>
    <t>EMMANUEL.BOURDILLAT</t>
  </si>
  <si>
    <t>EMMANUEL.LEMAIGNEN</t>
  </si>
  <si>
    <t>EMMANUEL.SEMEN</t>
  </si>
  <si>
    <t>EMMELINE.MORO</t>
  </si>
  <si>
    <t>ERIC.ANTOINE</t>
  </si>
  <si>
    <t>ERIC.PELOTON</t>
  </si>
  <si>
    <t>ERIC.VALLEE</t>
  </si>
  <si>
    <t>ERIC.VANDERMOERE</t>
  </si>
  <si>
    <t>ETIENNE.WANIART</t>
  </si>
  <si>
    <t>EUNICE.NOGUEIRA</t>
  </si>
  <si>
    <t>EVELYNE.HIERSO</t>
  </si>
  <si>
    <t>EVRARD.PLUMEAU</t>
  </si>
  <si>
    <t>F-O.ROSSIGNOLLE</t>
  </si>
  <si>
    <t>FABIENNE.CAUSSIDOU</t>
  </si>
  <si>
    <t>FABIENNE.CAUSSIDOU_LTP</t>
  </si>
  <si>
    <t>FABIENNE.DUMONTIER</t>
  </si>
  <si>
    <t>FABRICE.ANDRIVEAU</t>
  </si>
  <si>
    <t>FABRICE.SAKEZIN</t>
  </si>
  <si>
    <t>Fatna.BELGACEM</t>
  </si>
  <si>
    <t>Filipe.Lima</t>
  </si>
  <si>
    <t>Findlay.Calderwood</t>
  </si>
  <si>
    <t>FLORENCE.GARRIVET</t>
  </si>
  <si>
    <t>FLORENCE.LACAILLE</t>
  </si>
  <si>
    <t>FLORENCE.PRIANON</t>
  </si>
  <si>
    <t>FLORIAN.SCRITE</t>
  </si>
  <si>
    <t>FRANCE.LABRIE</t>
  </si>
  <si>
    <t>FRANCOIS.MARCHAND</t>
  </si>
  <si>
    <t>FRANCOIS.REGEMBAL</t>
  </si>
  <si>
    <t>FREDERIC.BRET</t>
  </si>
  <si>
    <t>FREDERIC.CHAPUIS</t>
  </si>
  <si>
    <t>FREDERIC.MONTEIRO</t>
  </si>
  <si>
    <t>FREDERIQUE.PUYJALON</t>
  </si>
  <si>
    <t>GAELE.LAVOUE</t>
  </si>
  <si>
    <t>GAELLE.OLIVIER</t>
  </si>
  <si>
    <t>GAYLORD.COIGNARD</t>
  </si>
  <si>
    <t>Geoffroy.Denis</t>
  </si>
  <si>
    <t>GERARD.MERIC</t>
  </si>
  <si>
    <t>GILLES.ODIC</t>
  </si>
  <si>
    <t>GISELE.BOMBARDIER</t>
  </si>
  <si>
    <t>Graham.Richards</t>
  </si>
  <si>
    <t>GUILLAUME.JEANNENEY</t>
  </si>
  <si>
    <t>Guy.Malboeuf</t>
  </si>
  <si>
    <t>Helen.Kojevnikova</t>
  </si>
  <si>
    <t>helene.douarre-emery</t>
  </si>
  <si>
    <t>HELENE.VALLERANT</t>
  </si>
  <si>
    <t>HENNIE.VAN-SCHAIK</t>
  </si>
  <si>
    <t>Henry.Grzwyna</t>
  </si>
  <si>
    <t>HERNAN.PEREZ</t>
  </si>
  <si>
    <t>HERVE.MONNIER</t>
  </si>
  <si>
    <t>HUBERT.HAYS-NARBONNE</t>
  </si>
  <si>
    <t>HUGO.BACELOS</t>
  </si>
  <si>
    <t>Hugues.de-vasselot</t>
  </si>
  <si>
    <t>IAN.HOU</t>
  </si>
  <si>
    <t>Ian.Kerr</t>
  </si>
  <si>
    <t>ISABEL.GOMES</t>
  </si>
  <si>
    <t>ISABELLE.HOUDART</t>
  </si>
  <si>
    <t>ISABELLE.MONTAGU</t>
  </si>
  <si>
    <t>ISABELLE.PREVOST</t>
  </si>
  <si>
    <t>JACK.STANISIC</t>
  </si>
  <si>
    <t>JACQUELINE.BATHEDOU</t>
  </si>
  <si>
    <t>JAE-CHUL.CHOI</t>
  </si>
  <si>
    <t>JAN.HORSTMANN</t>
  </si>
  <si>
    <t>JASPER.MUIS</t>
  </si>
  <si>
    <t>JAVIER.ANGOITIA</t>
  </si>
  <si>
    <t>JEAN-BAPTISTE.DUPONT</t>
  </si>
  <si>
    <t>Jean-Claude.Levesque</t>
  </si>
  <si>
    <t>JEAN-MARC.MORENO</t>
  </si>
  <si>
    <t>JEAN-MARIE.ESTEBE</t>
  </si>
  <si>
    <t>JEAN-MARIE.LOISEL</t>
  </si>
  <si>
    <t>JEAN-MICHEL.CARLE</t>
  </si>
  <si>
    <t>JEAN-PHILIPPE.BIET</t>
  </si>
  <si>
    <t>JEAN-PIERRE.POCHAT</t>
  </si>
  <si>
    <t>JEAN.BORDEAUX-MONTRIEUX</t>
  </si>
  <si>
    <t>JEAN.STURZENEGGER</t>
  </si>
  <si>
    <t>JENNIFER.RUSNIAK</t>
  </si>
  <si>
    <t>JEREMY.GRENIER</t>
  </si>
  <si>
    <t>JEROEN.KLOEZEMAN</t>
  </si>
  <si>
    <t>JEROME.GIRARDEAU</t>
  </si>
  <si>
    <t>JESSICA.SULTAN</t>
  </si>
  <si>
    <t>Joao.Araujo</t>
  </si>
  <si>
    <t>JOAO.SOARES</t>
  </si>
  <si>
    <t>Joao.Varzeas</t>
  </si>
  <si>
    <t>JOEL.LAGESSE</t>
  </si>
  <si>
    <t>JOEL.LAGESSE_LTP</t>
  </si>
  <si>
    <t>Jonathan.Metcalfe</t>
  </si>
  <si>
    <t>JOSE-MIGUEL.RIBEIRO</t>
  </si>
  <si>
    <t>Jose.Gomes</t>
  </si>
  <si>
    <t>Josh.Thornton</t>
  </si>
  <si>
    <t>Julian.McGowan</t>
  </si>
  <si>
    <t>JULIAN.SCHMIDT</t>
  </si>
  <si>
    <t>JULIE.BUREL</t>
  </si>
  <si>
    <t>JULIE.CHAUVIN</t>
  </si>
  <si>
    <t>JULIE.DANIELLS</t>
  </si>
  <si>
    <t>JULIEN.DAMANCE</t>
  </si>
  <si>
    <t>JULIEN.LEMAY</t>
  </si>
  <si>
    <t>JULIEN.NAVES</t>
  </si>
  <si>
    <t>JULIEN.NAVES_LTP</t>
  </si>
  <si>
    <t>JULIO.REYES</t>
  </si>
  <si>
    <t>Justin.Miller</t>
  </si>
  <si>
    <t>KARSTEN.GRAEBER</t>
  </si>
  <si>
    <t>katie.lozay</t>
  </si>
  <si>
    <t>KATRIN.KEIDAT</t>
  </si>
  <si>
    <t>KAVITA.PATEL</t>
  </si>
  <si>
    <t>kelly.Marchal</t>
  </si>
  <si>
    <t>Kerry.Davy</t>
  </si>
  <si>
    <t>KEVIN.OOMS</t>
  </si>
  <si>
    <t>LAETITIA.AUBERTIN</t>
  </si>
  <si>
    <t>Lance.Henry</t>
  </si>
  <si>
    <t>LAURENT.TERRIS</t>
  </si>
  <si>
    <t>Len.Kidd</t>
  </si>
  <si>
    <t>LILIANA.VIEIRA</t>
  </si>
  <si>
    <t>LINE.KOSIOR</t>
  </si>
  <si>
    <t>LOIC.GOUNON</t>
  </si>
  <si>
    <t>LOIC.HUET</t>
  </si>
  <si>
    <t>LOIC.HUET_LTP</t>
  </si>
  <si>
    <t>LORRAINE.DUSSAULT</t>
  </si>
  <si>
    <t>louise.roberts</t>
  </si>
  <si>
    <t>lounis.nait-amer</t>
  </si>
  <si>
    <t>LUCILLE.WARD</t>
  </si>
  <si>
    <t>Luis.Bispo</t>
  </si>
  <si>
    <t>Luis.Salvador</t>
  </si>
  <si>
    <t>LYDIE.JOUBAULT</t>
  </si>
  <si>
    <t>M-C.MERCEREAU</t>
  </si>
  <si>
    <t>M-O.GAZAGNE</t>
  </si>
  <si>
    <t>M.FAVRE-DES-COTES</t>
  </si>
  <si>
    <t>MAGALI.ANTONI</t>
  </si>
  <si>
    <t>MAGGY.TSANG</t>
  </si>
  <si>
    <t>Magnus.Nordlof</t>
  </si>
  <si>
    <t>MALA.ETH</t>
  </si>
  <si>
    <t>MAMADOU.DIEDHIOU</t>
  </si>
  <si>
    <t>MARC.GARCZYNSKI</t>
  </si>
  <si>
    <t>MARC.HATE</t>
  </si>
  <si>
    <t>MARC.LAFORGUE</t>
  </si>
  <si>
    <t>marcel.van-herk</t>
  </si>
  <si>
    <t>Marco.Augusto</t>
  </si>
  <si>
    <t>MARCOS.GARCIA</t>
  </si>
  <si>
    <t>MARIANA.COUTINHO</t>
  </si>
  <si>
    <t>MARIE-HELENE.GEHNERT</t>
  </si>
  <si>
    <t>MARIE-NOELLE.MAZON</t>
  </si>
  <si>
    <t>MARIE.FELICE</t>
  </si>
  <si>
    <t>MARIE.PARDO</t>
  </si>
  <si>
    <t>Mark.Brogle</t>
  </si>
  <si>
    <t>Mark.Paterson</t>
  </si>
  <si>
    <t>MARTIJN.NENNIE</t>
  </si>
  <si>
    <t>MARTIN.GAUVREAU</t>
  </si>
  <si>
    <t>MARTINE.MOLINARI</t>
  </si>
  <si>
    <t>MARY.MORRELL</t>
  </si>
  <si>
    <t>Matt.Baynie</t>
  </si>
  <si>
    <t>MATT.BUSHARD</t>
  </si>
  <si>
    <t>Matthias.Adler</t>
  </si>
  <si>
    <t>MAUD.BERTHAULT</t>
  </si>
  <si>
    <t>MELANIE.DECHAMPS</t>
  </si>
  <si>
    <t>michael.deruiter</t>
  </si>
  <si>
    <t>Michel.Cloutier</t>
  </si>
  <si>
    <t>Michel.Leboeuf</t>
  </si>
  <si>
    <t>Michel.Maanen</t>
  </si>
  <si>
    <t>Mijo.Frianjovic</t>
  </si>
  <si>
    <t>MILIND.KALELKAR</t>
  </si>
  <si>
    <t>MONTSE.LOBATO</t>
  </si>
  <si>
    <t>Morris.Caputi</t>
  </si>
  <si>
    <t>Murray.Goosen</t>
  </si>
  <si>
    <t>MYRIAM.JOUHRI</t>
  </si>
  <si>
    <t>NADIR.MEZIANI</t>
  </si>
  <si>
    <t>NANA.PEPRAH</t>
  </si>
  <si>
    <t>NATHALIE.CAZENEUVE</t>
  </si>
  <si>
    <t>NATHALIE.DEQUESNE</t>
  </si>
  <si>
    <t>NATHALIE.MORISSETTE</t>
  </si>
  <si>
    <t>NATHALIE.RATTE</t>
  </si>
  <si>
    <t>NATHALIE.RESMOND</t>
  </si>
  <si>
    <t>NICOLAS.FISHER</t>
  </si>
  <si>
    <t>NICOLAS.LERALL</t>
  </si>
  <si>
    <t>NICOLAS.RAUCOURT</t>
  </si>
  <si>
    <t>NICOLE.DUTILLY</t>
  </si>
  <si>
    <t>NICOLE.THIBAUD</t>
  </si>
  <si>
    <t>OLIVIER.BARRE</t>
  </si>
  <si>
    <t>OLIVIER.CADET</t>
  </si>
  <si>
    <t>OLIVIER.FERRAND</t>
  </si>
  <si>
    <t>OLIVIER.HASSOUN</t>
  </si>
  <si>
    <t>PAIVI.KATAJISTO</t>
  </si>
  <si>
    <t>PASCAL.MADELAIGUE</t>
  </si>
  <si>
    <t>PAUL.BRUNOFORTE</t>
  </si>
  <si>
    <t>PAULIN.CALVEZ</t>
  </si>
  <si>
    <t>PAULO.REIS</t>
  </si>
  <si>
    <t>Paulo.Silva</t>
  </si>
  <si>
    <t>Peter.Bale</t>
  </si>
  <si>
    <t>PETER.DE-RAADT</t>
  </si>
  <si>
    <t>Peter.Lodge</t>
  </si>
  <si>
    <t>PETRA.HEAVEY</t>
  </si>
  <si>
    <t>Phil.Kershaw</t>
  </si>
  <si>
    <t>PHILIPPE.FLEURY</t>
  </si>
  <si>
    <t>philippe.rodrigues</t>
  </si>
  <si>
    <t>Phong.Tran</t>
  </si>
  <si>
    <t>Pierre.Jaffard</t>
  </si>
  <si>
    <t>PIERRE.TALGORN</t>
  </si>
  <si>
    <t>R.FAURE-MILLER</t>
  </si>
  <si>
    <t>RADOUANE.BOUNATTA</t>
  </si>
  <si>
    <t>RAPHAEL.ROUX</t>
  </si>
  <si>
    <t>Ravi.Patel</t>
  </si>
  <si>
    <t>Rebecca.Hawkins</t>
  </si>
  <si>
    <t>Reece.Smith</t>
  </si>
  <si>
    <t>RENAUD.MARTIAL</t>
  </si>
  <si>
    <t>Rhett.Flanigan</t>
  </si>
  <si>
    <t>Ricardo.Afonso</t>
  </si>
  <si>
    <t>Ricardo.Paulo</t>
  </si>
  <si>
    <t>RICHARD.DREVET</t>
  </si>
  <si>
    <t>ROBBERT.DE-WIT</t>
  </si>
  <si>
    <t>Robyn.Kleinshmidt</t>
  </si>
  <si>
    <t>ROLAND.PILOD</t>
  </si>
  <si>
    <t>ROMAIN.CHAMPENOIS</t>
  </si>
  <si>
    <t>Ron .Cloudsdale</t>
  </si>
  <si>
    <t>rosa.castrosanchez</t>
  </si>
  <si>
    <t>ROSE-ANNE.SIMON</t>
  </si>
  <si>
    <t>ROZENN.DECREVECOEUR</t>
  </si>
  <si>
    <t>Rui.Silva</t>
  </si>
  <si>
    <t>SAAD.HAMERY</t>
  </si>
  <si>
    <t>SABINE.CONGNARD</t>
  </si>
  <si>
    <t>SALIMA.ZEGHOUDI</t>
  </si>
  <si>
    <t>Sam.Distefano</t>
  </si>
  <si>
    <t>Sam.Robinson</t>
  </si>
  <si>
    <t>SANDRINE.GIMENEZ</t>
  </si>
  <si>
    <t>SATU.AHOLA</t>
  </si>
  <si>
    <t>SEBASTIEN.BOUDRIAS</t>
  </si>
  <si>
    <t>SEBASTIEN.MARCHE</t>
  </si>
  <si>
    <t>SEBASTIEN.NOEL</t>
  </si>
  <si>
    <t>Sergio.Adegas</t>
  </si>
  <si>
    <t>Sergio.Costa</t>
  </si>
  <si>
    <t>Sergio.Ferreira</t>
  </si>
  <si>
    <t>Shane.Ellison</t>
  </si>
  <si>
    <t>SHAUN.TAN</t>
  </si>
  <si>
    <t>Sheena.Sasi Kumar</t>
  </si>
  <si>
    <t>shruti.mathur</t>
  </si>
  <si>
    <t>SIMONE.ETCHEVERRY</t>
  </si>
  <si>
    <t>SOFIA.FERNANDES</t>
  </si>
  <si>
    <t>SOFIANE.HOCHART</t>
  </si>
  <si>
    <t>SOLENE.KERMORGANT-MASSON</t>
  </si>
  <si>
    <t>SONIA.PALUMBO</t>
  </si>
  <si>
    <t>Sonia.Poulin</t>
  </si>
  <si>
    <t>sophie.dominguez</t>
  </si>
  <si>
    <t>SOPHIE.ROLLAN</t>
  </si>
  <si>
    <t>SOPHIE.ROLLAN_LTP</t>
  </si>
  <si>
    <t>STEFAN.MANS</t>
  </si>
  <si>
    <t>STEPHANE.BISSON</t>
  </si>
  <si>
    <t>STEPHANE.GIGON</t>
  </si>
  <si>
    <t>STEPHANIE.DUCORNET</t>
  </si>
  <si>
    <t>STEPHANIE.LEVIS</t>
  </si>
  <si>
    <t>STEPHANIE.PFEIFFER</t>
  </si>
  <si>
    <t>STEVE.BREIDENBAUGH</t>
  </si>
  <si>
    <t>SUNKYUNG.CHOI</t>
  </si>
  <si>
    <t>Susete.Almeida</t>
  </si>
  <si>
    <t>SYLVAIN.FLECHAIRE</t>
  </si>
  <si>
    <t>Sylvain.Prevot</t>
  </si>
  <si>
    <t>SYLVAIN.RUCHAUD</t>
  </si>
  <si>
    <t>SYLVIE.GENEST</t>
  </si>
  <si>
    <t>Sylvie.Levare</t>
  </si>
  <si>
    <t>SYLVIE.MAITRE</t>
  </si>
  <si>
    <t>Sze.Ling</t>
  </si>
  <si>
    <t>tango-anglais2</t>
  </si>
  <si>
    <t>Teresa.Reis</t>
  </si>
  <si>
    <t>Theo.Fatseas</t>
  </si>
  <si>
    <t>THIBAUD.NICOLLE</t>
  </si>
  <si>
    <t>THIERRY.ERVEDOZA</t>
  </si>
  <si>
    <t>THOMAS.MALIET</t>
  </si>
  <si>
    <t>Tim.Carr</t>
  </si>
  <si>
    <t>Tony.Hopkins</t>
  </si>
  <si>
    <t>Tony.Ralph</t>
  </si>
  <si>
    <t>USER.TEST</t>
  </si>
  <si>
    <t>VALERIE.BERTHIAUME</t>
  </si>
  <si>
    <t>VALERIE.CHARIER</t>
  </si>
  <si>
    <t>VALERIE.GUERRY</t>
  </si>
  <si>
    <t>VALERIE.MORIN</t>
  </si>
  <si>
    <t>VERONIQUE.BONICHON</t>
  </si>
  <si>
    <t>VERONIQUE.BOUGAMONT</t>
  </si>
  <si>
    <t>VERONIQUE.GEY</t>
  </si>
  <si>
    <t>VERONIQUE.PECQUENARD</t>
  </si>
  <si>
    <t>VIET.NGUYEN</t>
  </si>
  <si>
    <t>VINCENT.KRUSZEWSKI</t>
  </si>
  <si>
    <t>VINCENT.MALIVERNAY</t>
  </si>
  <si>
    <t>VIOLAINE.DUCLOS</t>
  </si>
  <si>
    <t>VIRGINIE.VACHERON</t>
  </si>
  <si>
    <t>VITOR.CARDOSO</t>
  </si>
  <si>
    <t>VLADLENA.DOROFEEVA</t>
  </si>
  <si>
    <t>WADE.PENNINGTON</t>
  </si>
  <si>
    <t>Warren.Fowler</t>
  </si>
  <si>
    <t>Wayne.Spalding</t>
  </si>
  <si>
    <t>XAVIER.DURANTET</t>
  </si>
  <si>
    <t>XIAO.DONG</t>
  </si>
  <si>
    <t>YAHYA.CHATAR</t>
  </si>
  <si>
    <t>yann.leriche</t>
  </si>
  <si>
    <t>YANNICK.DERRIEN</t>
  </si>
  <si>
    <t>YASMINA.MICOUD</t>
  </si>
  <si>
    <t>yoann.poulvelarie</t>
  </si>
  <si>
    <t>YOHANN.REGNAUX</t>
  </si>
  <si>
    <t>YOUNES.ROUISSI</t>
  </si>
  <si>
    <t>YVELINE.GUILLOU</t>
  </si>
  <si>
    <t>YVES.NOURRY</t>
  </si>
  <si>
    <t>Utilisateurs_Histo</t>
  </si>
  <si>
    <t>ACHILLE.ESSOMBE</t>
  </si>
  <si>
    <t>ANDREEA.TICOI</t>
  </si>
  <si>
    <t>anne-catherine.jaffard</t>
  </si>
  <si>
    <t>ANNE-MARIE.FREMONT</t>
  </si>
  <si>
    <t>ANNIKA.REHLAENDER</t>
  </si>
  <si>
    <t>ARSENE.BOSSON</t>
  </si>
  <si>
    <t>ASTRID.DEGEYER</t>
  </si>
  <si>
    <t>Billy.Clem</t>
  </si>
  <si>
    <t>DAPO.KELEKO</t>
  </si>
  <si>
    <t>Edouard.CASTRO</t>
  </si>
  <si>
    <t>edwin.yap</t>
  </si>
  <si>
    <t>ELODIE.CHOUISNARD</t>
  </si>
  <si>
    <t>Enis.sliti</t>
  </si>
  <si>
    <t>HERVE.LACOMBE</t>
  </si>
  <si>
    <t>INGE.TAN</t>
  </si>
  <si>
    <t>LEO.PINGEOT</t>
  </si>
  <si>
    <t>Marcus.Deering</t>
  </si>
  <si>
    <t>MIGUEL.FERNANDES</t>
  </si>
  <si>
    <t>P-E.Dubois</t>
  </si>
  <si>
    <t>ROSA.CASTRO</t>
  </si>
  <si>
    <t>SANDRINE.PATANCHON</t>
  </si>
  <si>
    <t>SOFIA.MAMOUNI</t>
  </si>
  <si>
    <t>STEWART.SHUTE</t>
  </si>
  <si>
    <t>VENUS.CHAU</t>
  </si>
  <si>
    <t>VIRGINIE.MERLE</t>
  </si>
  <si>
    <t>XINJIANG.WANG</t>
  </si>
  <si>
    <t>D</t>
  </si>
  <si>
    <t>N</t>
  </si>
  <si>
    <t>[Begin Format Range]</t>
  </si>
  <si>
    <t>[End Format Range]</t>
  </si>
  <si>
    <t>Stats Tango Core Model - Analyse 2 Years</t>
  </si>
  <si>
    <t>Administration Generic Context :</t>
  </si>
  <si>
    <t>Server Name :</t>
  </si>
  <si>
    <t>xServer</t>
  </si>
  <si>
    <t>Host Server :</t>
  </si>
  <si>
    <t>TFR-AP019298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</si>
  <si>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</si>
  <si>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</si>
  <si>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</si>
  <si>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</si>
  <si>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</si>
  <si>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</si>
  <si>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</si>
  <si>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Local language</t>
  </si>
  <si>
    <t>Language List :</t>
  </si>
  <si>
    <t>English</t>
  </si>
  <si>
    <t>French</t>
  </si>
  <si>
    <t>Dutch</t>
  </si>
  <si>
    <t>German</t>
  </si>
  <si>
    <t>Portuguese</t>
  </si>
  <si>
    <t>STR_VAR1</t>
  </si>
  <si>
    <t>CURRENT_YEAR</t>
  </si>
  <si>
    <t>PREVIOUS_YEAR</t>
  </si>
  <si>
    <t>CURRENT_PERIOD</t>
  </si>
  <si>
    <t>CURRENT_PERIOD_CUMUL</t>
  </si>
  <si>
    <t>MONTH_ACTUAL</t>
  </si>
  <si>
    <t>Afficher_tout</t>
  </si>
  <si>
    <t>Prenom</t>
  </si>
  <si>
    <t>Nom</t>
  </si>
  <si>
    <t>AdresseMail</t>
  </si>
  <si>
    <t>Zone</t>
  </si>
  <si>
    <t>Profil</t>
  </si>
  <si>
    <t>Fonction</t>
  </si>
  <si>
    <t>EstCourant</t>
  </si>
  <si>
    <t>EstCountry_PM</t>
  </si>
  <si>
    <t>EstLTP</t>
  </si>
  <si>
    <t>DateCreation</t>
  </si>
  <si>
    <t>DateSuppression</t>
  </si>
  <si>
    <t>DateMAJ</t>
  </si>
  <si>
    <t>Inactif &lt; 12 mois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</si>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</sst>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\ _€_-;\-* #,##0\ _€_-;_-* &quot;-&quot;\ _€_-;_-@_-"/>
    <numFmt numFmtId="164" formatCode="_-* #,##0.00\ _F_-;\-* #,##0.00\ _F_-;_-* &quot;-&quot;??\ _F_-;_-@_-"/>
    <numFmt numFmtId="165" formatCode="_(* #,##0.00_);_(* \(#,##0.00\);_(* &quot;-&quot;??_);_(@_)"/>
    <numFmt numFmtId="166" formatCode="#,###,##0.00"/>
    <numFmt numFmtId="167" formatCode="#,###,##0.0"/>
    <numFmt numFmtId="168" formatCode="#,###,##0"/>
    <numFmt numFmtId="169" formatCode="0.00_)"/>
    <numFmt numFmtId="170" formatCode="#,###,##0.000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name val="Arial"/>
      <family val="2"/>
    </font>
    <font>
      <b/>
      <sz val="10"/>
      <color theme="0" tint="-0.49998474074526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5"/>
      <color theme="0" tint="-0.1499984740745262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7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2">
    <xf numFmtId="0" fontId="0" fillId="0" borderId="0"/>
    <xf numFmtId="0" fontId="4" fillId="0" borderId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11" borderId="4" applyNumberFormat="0" applyAlignment="0" applyProtection="0"/>
    <xf numFmtId="0" fontId="12" fillId="11" borderId="4" applyNumberFormat="0" applyAlignment="0" applyProtection="0"/>
    <xf numFmtId="0" fontId="12" fillId="11" borderId="4" applyNumberFormat="0" applyAlignment="0" applyProtection="0"/>
    <xf numFmtId="0" fontId="12" fillId="11" borderId="4" applyNumberFormat="0" applyAlignment="0" applyProtection="0"/>
    <xf numFmtId="0" fontId="13" fillId="23" borderId="5" applyNumberFormat="0" applyAlignment="0" applyProtection="0"/>
    <xf numFmtId="0" fontId="13" fillId="23" borderId="5" applyNumberFormat="0" applyAlignment="0" applyProtection="0"/>
    <xf numFmtId="0" fontId="13" fillId="23" borderId="5" applyNumberFormat="0" applyAlignment="0" applyProtection="0"/>
    <xf numFmtId="0" fontId="13" fillId="23" borderId="5" applyNumberFormat="0" applyAlignment="0" applyProtection="0"/>
    <xf numFmtId="0" fontId="7" fillId="0" borderId="6">
      <alignment horizontal="left" wrapText="1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4" applyNumberFormat="0" applyAlignment="0" applyProtection="0"/>
    <xf numFmtId="0" fontId="21" fillId="11" borderId="4" applyNumberFormat="0" applyAlignment="0" applyProtection="0"/>
    <xf numFmtId="0" fontId="21" fillId="11" borderId="4" applyNumberFormat="0" applyAlignment="0" applyProtection="0"/>
    <xf numFmtId="0" fontId="21" fillId="11" borderId="4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6" fontId="22" fillId="24" borderId="0" applyNumberFormat="0" applyBorder="0">
      <alignment horizontal="right"/>
      <protection locked="0"/>
    </xf>
    <xf numFmtId="0" fontId="23" fillId="0" borderId="10" applyNumberFormat="0" applyFill="0" applyAlignment="0" applyProtection="0"/>
    <xf numFmtId="0" fontId="23" fillId="0" borderId="10" applyNumberFormat="0" applyFill="0" applyAlignment="0" applyProtection="0"/>
    <xf numFmtId="0" fontId="23" fillId="0" borderId="10" applyNumberFormat="0" applyFill="0" applyAlignment="0" applyProtection="0"/>
    <xf numFmtId="0" fontId="23" fillId="0" borderId="10" applyNumberFormat="0" applyFill="0" applyAlignment="0" applyProtection="0"/>
    <xf numFmtId="167" fontId="24" fillId="25" borderId="0" applyNumberFormat="0" applyBorder="0">
      <alignment horizontal="right" vertical="center"/>
      <protection locked="0"/>
    </xf>
    <xf numFmtId="168" fontId="24" fillId="26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25" fillId="27" borderId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5" fillId="27" borderId="0"/>
    <xf numFmtId="0" fontId="25" fillId="27" borderId="0"/>
    <xf numFmtId="169" fontId="27" fillId="0" borderId="0"/>
    <xf numFmtId="0" fontId="4" fillId="0" borderId="0"/>
    <xf numFmtId="0" fontId="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3" borderId="11" applyNumberFormat="0" applyFont="0" applyAlignment="0" applyProtection="0"/>
    <xf numFmtId="0" fontId="9" fillId="3" borderId="11" applyNumberFormat="0" applyFont="0" applyAlignment="0" applyProtection="0"/>
    <xf numFmtId="0" fontId="9" fillId="3" borderId="11" applyNumberFormat="0" applyFont="0" applyAlignment="0" applyProtection="0"/>
    <xf numFmtId="0" fontId="9" fillId="3" borderId="11" applyNumberFormat="0" applyFont="0" applyAlignment="0" applyProtection="0"/>
    <xf numFmtId="0" fontId="25" fillId="27" borderId="0"/>
    <xf numFmtId="0" fontId="28" fillId="11" borderId="12" applyNumberFormat="0" applyAlignment="0" applyProtection="0"/>
    <xf numFmtId="0" fontId="28" fillId="11" borderId="12" applyNumberFormat="0" applyAlignment="0" applyProtection="0"/>
    <xf numFmtId="0" fontId="28" fillId="11" borderId="12" applyNumberFormat="0" applyAlignment="0" applyProtection="0"/>
    <xf numFmtId="0" fontId="28" fillId="11" borderId="12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0" fontId="30" fillId="29" borderId="0" applyNumberFormat="0" applyBorder="0">
      <alignment horizontal="left" vertical="center"/>
      <protection locked="0"/>
    </xf>
    <xf numFmtId="170" fontId="31" fillId="24" borderId="0" applyNumberFormat="0" applyBorder="0">
      <alignment horizontal="left"/>
      <protection locked="0"/>
    </xf>
    <xf numFmtId="0" fontId="32" fillId="0" borderId="13" applyNumberFormat="0" applyFill="0" applyAlignment="0" applyProtection="0"/>
    <xf numFmtId="0" fontId="32" fillId="0" borderId="13" applyNumberFormat="0" applyFill="0" applyAlignment="0" applyProtection="0"/>
    <xf numFmtId="0" fontId="32" fillId="0" borderId="13" applyNumberFormat="0" applyFill="0" applyAlignment="0" applyProtection="0"/>
    <xf numFmtId="0" fontId="32" fillId="0" borderId="13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53">
    <xf numFmtId="0" fontId="0" fillId="0" borderId="0" xfId="0"/>
    <xf numFmtId="0" fontId="5" fillId="0" borderId="0" xfId="1" applyFont="1" applyFill="1" applyProtection="1">
      <protection locked="0"/>
    </xf>
    <xf numFmtId="0" fontId="4" fillId="0" borderId="0" xfId="1" applyFont="1" applyProtection="1">
      <protection locked="0"/>
    </xf>
    <xf numFmtId="0" fontId="4" fillId="0" borderId="0" xfId="1" applyProtection="1">
      <protection locked="0"/>
    </xf>
    <xf numFmtId="0" fontId="6" fillId="4" borderId="1" xfId="1" applyFont="1" applyFill="1" applyBorder="1" applyAlignment="1" applyProtection="1">
      <alignment horizontal="left"/>
      <protection locked="0"/>
    </xf>
    <xf numFmtId="0" fontId="7" fillId="5" borderId="2" xfId="1" applyFont="1" applyFill="1" applyBorder="1" applyProtection="1">
      <protection locked="0"/>
    </xf>
    <xf numFmtId="0" fontId="8" fillId="4" borderId="3" xfId="1" applyFont="1" applyFill="1" applyBorder="1" applyProtection="1">
      <protection locked="0"/>
    </xf>
    <xf numFmtId="0" fontId="4" fillId="4" borderId="3" xfId="1" applyFont="1" applyFill="1" applyBorder="1" applyProtection="1">
      <protection locked="0"/>
    </xf>
    <xf numFmtId="0" fontId="4" fillId="4" borderId="3" xfId="1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0" fillId="4" borderId="0" xfId="0" applyFill="1"/>
    <xf numFmtId="0" fontId="1" fillId="30" borderId="14" xfId="0" applyFont="1" applyFill="1" applyBorder="1"/>
    <xf numFmtId="0" fontId="1" fillId="30" borderId="15" xfId="0" applyFont="1" applyFill="1" applyBorder="1"/>
    <xf numFmtId="0" fontId="0" fillId="31" borderId="14" xfId="0" applyFill="1" applyBorder="1"/>
    <xf numFmtId="0" fontId="0" fillId="31" borderId="15" xfId="0" applyFill="1" applyBorder="1"/>
    <xf numFmtId="0" fontId="0" fillId="32" borderId="14" xfId="0" applyFill="1" applyBorder="1"/>
    <xf numFmtId="0" fontId="0" fillId="33" borderId="16" xfId="0" applyFill="1" applyBorder="1"/>
    <xf numFmtId="0" fontId="0" fillId="5" borderId="14" xfId="0" applyFill="1" applyBorder="1"/>
    <xf numFmtId="0" fontId="0" fillId="33" borderId="14" xfId="0" applyFill="1" applyBorder="1"/>
    <xf numFmtId="0" fontId="0" fillId="33" borderId="17" xfId="0" applyFill="1" applyBorder="1"/>
    <xf numFmtId="0" fontId="0" fillId="0" borderId="14" xfId="0" applyBorder="1"/>
    <xf numFmtId="0" fontId="0" fillId="33" borderId="14" xfId="0" applyFill="1" applyBorder="1" applyAlignment="1">
      <alignment horizontal="center"/>
    </xf>
    <xf numFmtId="0" fontId="34" fillId="4" borderId="0" xfId="0" applyFont="1" applyFill="1"/>
    <xf numFmtId="0" fontId="0" fillId="4" borderId="0" xfId="0" applyFill="1" applyAlignment="1">
      <alignment horizontal="center"/>
    </xf>
    <xf numFmtId="0" fontId="35" fillId="4" borderId="0" xfId="0" applyFont="1" applyFill="1"/>
    <xf numFmtId="0" fontId="36" fillId="4" borderId="0" xfId="0" applyFont="1" applyFill="1"/>
    <xf numFmtId="0" fontId="2" fillId="34" borderId="6" xfId="0" applyNumberFormat="1" applyFont="1" applyFill="1" applyBorder="1"/>
    <xf numFmtId="0" fontId="2" fillId="34" borderId="6" xfId="0" applyNumberFormat="1" applyFont="1" applyFill="1" applyBorder="1" applyAlignment="1">
      <alignment horizontal="left"/>
    </xf>
    <xf numFmtId="0" fontId="2" fillId="4" borderId="0" xfId="0" applyFont="1" applyFill="1"/>
    <xf numFmtId="0" fontId="35" fillId="4" borderId="0" xfId="0" applyFont="1" applyFill="1" applyBorder="1"/>
    <xf numFmtId="0" fontId="0" fillId="4" borderId="0" xfId="0" quotePrefix="1" applyFill="1"/>
    <xf numFmtId="0" fontId="3" fillId="35" borderId="18" xfId="0" applyNumberFormat="1" applyFont="1" applyFill="1" applyBorder="1" applyAlignment="1">
      <alignment horizontal="center" vertical="center"/>
    </xf>
    <xf numFmtId="49" fontId="0" fillId="0" borderId="14" xfId="0" applyNumberFormat="1" applyBorder="1" applyAlignment="1">
      <alignment horizontal="left" indent="2"/>
    </xf>
    <xf numFmtId="0" fontId="1" fillId="30" borderId="15" xfId="0" applyFont="1" applyFill="1" applyBorder="1" applyAlignment="1">
      <alignment horizontal="center"/>
    </xf>
    <xf numFmtId="0" fontId="0" fillId="31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0" fillId="0" borderId="0" xfId="0" applyAlignment="1">
      <alignment vertical="center"/>
    </xf>
    <xf numFmtId="0" fontId="36" fillId="31" borderId="19" xfId="0" applyFont="1" applyFill="1" applyBorder="1" applyAlignment="1">
      <alignment horizontal="center" vertical="center"/>
    </xf>
    <xf numFmtId="0" fontId="38" fillId="5" borderId="19" xfId="0" applyFont="1" applyFill="1" applyBorder="1" applyAlignment="1">
      <alignment horizontal="center" vertical="center"/>
    </xf>
    <xf numFmtId="0" fontId="38" fillId="5" borderId="19" xfId="0" applyFont="1" applyFill="1" applyBorder="1" applyAlignment="1">
      <alignment horizontal="center" vertical="center" wrapText="1"/>
    </xf>
    <xf numFmtId="1" fontId="0" fillId="4" borderId="6" xfId="0" applyNumberFormat="1" applyFill="1" applyBorder="1" applyAlignment="1" applyProtection="1">
      <alignment horizontal="center"/>
      <protection locked="0"/>
    </xf>
    <xf numFmtId="0" fontId="39" fillId="4" borderId="0" xfId="0" applyFont="1" applyFill="1"/>
    <xf numFmtId="0" fontId="0" fillId="4" borderId="0" xfId="0" applyFill="1" applyAlignment="1">
      <alignment vertical="center"/>
    </xf>
    <xf numFmtId="41" fontId="0" fillId="4" borderId="14" xfId="0" applyNumberFormat="1" applyFill="1" applyBorder="1" applyAlignment="1">
      <alignment horizontal="center"/>
    </xf>
    <xf numFmtId="0" fontId="37" fillId="4" borderId="0" xfId="0" applyFont="1" applyFill="1" applyBorder="1" applyAlignment="1">
      <alignment horizontal="left"/>
    </xf>
    <xf numFmtId="0" fontId="2" fillId="0" borderId="23" xfId="0" applyNumberFormat="1" applyFont="1" applyFill="1" applyBorder="1"/>
    <xf numFmtId="0" fontId="37" fillId="4" borderId="22" xfId="0" applyFont="1" applyFill="1" applyBorder="1" applyAlignment="1"/>
    <xf numFmtId="0" fontId="2" fillId="4" borderId="0" xfId="0" applyFont="1" applyFill="1" applyAlignment="1">
      <alignment horizontal="left" indent="16"/>
    </xf>
    <xf numFmtId="0" fontId="37" fillId="5" borderId="20" xfId="0" applyFont="1" applyFill="1" applyBorder="1" applyAlignment="1">
      <alignment horizontal="left"/>
    </xf>
    <xf numFmtId="0" fontId="37" fillId="5" borderId="21" xfId="0" applyFont="1" applyFill="1" applyBorder="1" applyAlignment="1">
      <alignment horizontal="left"/>
    </xf>
    <xf numFmtId="0" fontId="37" fillId="5" borderId="22" xfId="0" applyFont="1" applyFill="1" applyBorder="1" applyAlignment="1">
      <alignment horizontal="left"/>
    </xf>
    <xf numFmtId="0" fontId="7" fillId="5" borderId="2" xfId="1" applyFont="1" applyFill="1" applyBorder="1" applyAlignment="1" applyProtection="1">
      <alignment horizontal="left" vertical="center"/>
      <protection locked="0"/>
    </xf>
  </cellXfs>
  <cellStyles count="232">
    <cellStyle name="20% - Accent1 2" xfId="2"/>
    <cellStyle name="20% - Accent1 3" xfId="3"/>
    <cellStyle name="20% - Accent1 4" xfId="4"/>
    <cellStyle name="20% - Accent1 5" xfId="5"/>
    <cellStyle name="20% - Accent2 2" xfId="6"/>
    <cellStyle name="20% - Accent2 3" xfId="7"/>
    <cellStyle name="20% - Accent2 4" xfId="8"/>
    <cellStyle name="20% - Accent2 5" xfId="9"/>
    <cellStyle name="20% - Accent3 2" xfId="10"/>
    <cellStyle name="20% - Accent3 3" xfId="11"/>
    <cellStyle name="20% - Accent3 4" xfId="12"/>
    <cellStyle name="20% - Accent3 5" xfId="13"/>
    <cellStyle name="20% - Accent4 2" xfId="14"/>
    <cellStyle name="20% - Accent4 3" xfId="15"/>
    <cellStyle name="20% - Accent4 4" xfId="16"/>
    <cellStyle name="20% - Accent4 5" xfId="17"/>
    <cellStyle name="20% - Accent5 2" xfId="18"/>
    <cellStyle name="20% - Accent5 3" xfId="19"/>
    <cellStyle name="20% - Accent5 4" xfId="20"/>
    <cellStyle name="20% - Accent5 5" xfId="21"/>
    <cellStyle name="20% - Accent6 2" xfId="22"/>
    <cellStyle name="20% - Accent6 3" xfId="23"/>
    <cellStyle name="20% - Accent6 4" xfId="24"/>
    <cellStyle name="20% - Accent6 5" xfId="25"/>
    <cellStyle name="40% - Accent1 2" xfId="26"/>
    <cellStyle name="40% - Accent1 3" xfId="27"/>
    <cellStyle name="40% - Accent1 4" xfId="28"/>
    <cellStyle name="40% - Accent1 5" xfId="29"/>
    <cellStyle name="40% - Accent2 2" xfId="30"/>
    <cellStyle name="40% - Accent2 3" xfId="31"/>
    <cellStyle name="40% - Accent2 4" xfId="32"/>
    <cellStyle name="40% - Accent2 5" xfId="33"/>
    <cellStyle name="40% - Accent3 2" xfId="34"/>
    <cellStyle name="40% - Accent3 3" xfId="35"/>
    <cellStyle name="40% - Accent3 4" xfId="36"/>
    <cellStyle name="40% - Accent3 5" xfId="37"/>
    <cellStyle name="40% - Accent4 2" xfId="38"/>
    <cellStyle name="40% - Accent4 3" xfId="39"/>
    <cellStyle name="40% - Accent4 4" xfId="40"/>
    <cellStyle name="40% - Accent4 5" xfId="41"/>
    <cellStyle name="40% - Accent5 2" xfId="42"/>
    <cellStyle name="40% - Accent5 3" xfId="43"/>
    <cellStyle name="40% - Accent5 4" xfId="44"/>
    <cellStyle name="40% - Accent5 5" xfId="45"/>
    <cellStyle name="40% - Accent6 2" xfId="46"/>
    <cellStyle name="40% - Accent6 3" xfId="47"/>
    <cellStyle name="40% - Accent6 4" xfId="48"/>
    <cellStyle name="40% - Accent6 5" xfId="49"/>
    <cellStyle name="60% - Accent1 2" xfId="50"/>
    <cellStyle name="60% - Accent1 3" xfId="51"/>
    <cellStyle name="60% - Accent1 4" xfId="52"/>
    <cellStyle name="60% - Accent1 5" xfId="53"/>
    <cellStyle name="60% - Accent2 2" xfId="54"/>
    <cellStyle name="60% - Accent2 3" xfId="55"/>
    <cellStyle name="60% - Accent2 4" xfId="56"/>
    <cellStyle name="60% - Accent2 5" xfId="57"/>
    <cellStyle name="60% - Accent3 2" xfId="58"/>
    <cellStyle name="60% - Accent3 3" xfId="59"/>
    <cellStyle name="60% - Accent3 4" xfId="60"/>
    <cellStyle name="60% - Accent3 5" xfId="61"/>
    <cellStyle name="60% - Accent4 2" xfId="62"/>
    <cellStyle name="60% - Accent4 3" xfId="63"/>
    <cellStyle name="60% - Accent4 4" xfId="64"/>
    <cellStyle name="60% - Accent4 5" xfId="65"/>
    <cellStyle name="60% - Accent5 2" xfId="66"/>
    <cellStyle name="60% - Accent5 3" xfId="67"/>
    <cellStyle name="60% - Accent5 4" xfId="68"/>
    <cellStyle name="60% - Accent5 5" xfId="69"/>
    <cellStyle name="60% - Accent6 2" xfId="70"/>
    <cellStyle name="60% - Accent6 3" xfId="71"/>
    <cellStyle name="60% - Accent6 4" xfId="72"/>
    <cellStyle name="60% - Accent6 5" xfId="73"/>
    <cellStyle name="Accent1 2" xfId="74"/>
    <cellStyle name="Accent1 3" xfId="75"/>
    <cellStyle name="Accent1 4" xfId="76"/>
    <cellStyle name="Accent1 5" xfId="77"/>
    <cellStyle name="Accent2 2" xfId="78"/>
    <cellStyle name="Accent2 3" xfId="79"/>
    <cellStyle name="Accent2 4" xfId="80"/>
    <cellStyle name="Accent2 5" xfId="81"/>
    <cellStyle name="Accent3 2" xfId="82"/>
    <cellStyle name="Accent3 3" xfId="83"/>
    <cellStyle name="Accent3 4" xfId="84"/>
    <cellStyle name="Accent3 5" xfId="85"/>
    <cellStyle name="Accent4 2" xfId="86"/>
    <cellStyle name="Accent4 3" xfId="87"/>
    <cellStyle name="Accent4 4" xfId="88"/>
    <cellStyle name="Accent4 5" xfId="89"/>
    <cellStyle name="Accent5 2" xfId="90"/>
    <cellStyle name="Accent5 3" xfId="91"/>
    <cellStyle name="Accent5 4" xfId="92"/>
    <cellStyle name="Accent5 5" xfId="93"/>
    <cellStyle name="Accent6 2" xfId="94"/>
    <cellStyle name="Accent6 3" xfId="95"/>
    <cellStyle name="Accent6 4" xfId="96"/>
    <cellStyle name="Accent6 5" xfId="97"/>
    <cellStyle name="Bad 2" xfId="98"/>
    <cellStyle name="Bad 3" xfId="99"/>
    <cellStyle name="Bad 4" xfId="100"/>
    <cellStyle name="Bad 5" xfId="101"/>
    <cellStyle name="Calculation 2" xfId="102"/>
    <cellStyle name="Calculation 3" xfId="103"/>
    <cellStyle name="Calculation 4" xfId="104"/>
    <cellStyle name="Calculation 5" xfId="105"/>
    <cellStyle name="Check Cell 2" xfId="106"/>
    <cellStyle name="Check Cell 3" xfId="107"/>
    <cellStyle name="Check Cell 4" xfId="108"/>
    <cellStyle name="Check Cell 5" xfId="109"/>
    <cellStyle name="ColumnHeading" xfId="110"/>
    <cellStyle name="Comma 2" xfId="111"/>
    <cellStyle name="Comma 3" xfId="112"/>
    <cellStyle name="Comma 4" xfId="113"/>
    <cellStyle name="Comma 5" xfId="114"/>
    <cellStyle name="Comma 6" xfId="115"/>
    <cellStyle name="Comma 7" xfId="116"/>
    <cellStyle name="Comma 8" xfId="117"/>
    <cellStyle name="Euro" xfId="118"/>
    <cellStyle name="Explanatory Text 2" xfId="119"/>
    <cellStyle name="Explanatory Text 3" xfId="120"/>
    <cellStyle name="Explanatory Text 4" xfId="121"/>
    <cellStyle name="Explanatory Text 5" xfId="122"/>
    <cellStyle name="Good 2" xfId="123"/>
    <cellStyle name="Good 3" xfId="124"/>
    <cellStyle name="Good 4" xfId="125"/>
    <cellStyle name="Good 5" xfId="126"/>
    <cellStyle name="Heading 1 2" xfId="127"/>
    <cellStyle name="Heading 1 3" xfId="128"/>
    <cellStyle name="Heading 1 4" xfId="129"/>
    <cellStyle name="Heading 1 5" xfId="130"/>
    <cellStyle name="Heading 2 2" xfId="131"/>
    <cellStyle name="Heading 2 3" xfId="132"/>
    <cellStyle name="Heading 2 4" xfId="133"/>
    <cellStyle name="Heading 2 5" xfId="134"/>
    <cellStyle name="Heading 3 2" xfId="135"/>
    <cellStyle name="Heading 3 3" xfId="136"/>
    <cellStyle name="Heading 3 4" xfId="137"/>
    <cellStyle name="Heading 3 5" xfId="138"/>
    <cellStyle name="Heading 4 2" xfId="139"/>
    <cellStyle name="Heading 4 3" xfId="140"/>
    <cellStyle name="Heading 4 4" xfId="141"/>
    <cellStyle name="Heading 4 5" xfId="142"/>
    <cellStyle name="Hyperlink 2" xfId="143"/>
    <cellStyle name="Hyperlink 3" xfId="144"/>
    <cellStyle name="Input 2" xfId="145"/>
    <cellStyle name="Input 3" xfId="146"/>
    <cellStyle name="Input 4" xfId="147"/>
    <cellStyle name="Input 5" xfId="148"/>
    <cellStyle name="Lien hypertexte 3" xfId="149"/>
    <cellStyle name="Ligne détail" xfId="150"/>
    <cellStyle name="Linked Cell 2" xfId="151"/>
    <cellStyle name="Linked Cell 3" xfId="152"/>
    <cellStyle name="Linked Cell 4" xfId="153"/>
    <cellStyle name="Linked Cell 5" xfId="154"/>
    <cellStyle name="MEV4" xfId="155"/>
    <cellStyle name="MEV5" xfId="156"/>
    <cellStyle name="Milliers 2" xfId="157"/>
    <cellStyle name="Milliers 3" xfId="158"/>
    <cellStyle name="Milliers 4" xfId="159"/>
    <cellStyle name="N?rmal_la?oux_larou?" xfId="160"/>
    <cellStyle name="Neutral 2" xfId="161"/>
    <cellStyle name="Neutral 3" xfId="162"/>
    <cellStyle name="Neutral 4" xfId="163"/>
    <cellStyle name="Neutral 5" xfId="164"/>
    <cellStyle name="Norma?_On Hol?" xfId="165"/>
    <cellStyle name="Normaᷬ_On Holᷤ" xfId="166"/>
    <cellStyle name="Normal" xfId="0" builtinId="0"/>
    <cellStyle name="Normal - Style1" xfId="167"/>
    <cellStyle name="Normal 10" xfId="168"/>
    <cellStyle name="Normal 11" xfId="169"/>
    <cellStyle name="Normal 2" xfId="1"/>
    <cellStyle name="Normal 2 2" xfId="170"/>
    <cellStyle name="Normal 2 3" xfId="171"/>
    <cellStyle name="Normal 2 4" xfId="172"/>
    <cellStyle name="Normal 2 5" xfId="173"/>
    <cellStyle name="Normal 2_CRD hybride yc EMB" xfId="174"/>
    <cellStyle name="Normal 3" xfId="175"/>
    <cellStyle name="Normal 3 2" xfId="176"/>
    <cellStyle name="Normal 3 3" xfId="177"/>
    <cellStyle name="Normal 3 4" xfId="178"/>
    <cellStyle name="Normal 3 5" xfId="179"/>
    <cellStyle name="Normal 3 6" xfId="180"/>
    <cellStyle name="Normal 3_0. Investissement" xfId="181"/>
    <cellStyle name="Normal 4" xfId="182"/>
    <cellStyle name="Normal 5" xfId="183"/>
    <cellStyle name="Normal 6" xfId="184"/>
    <cellStyle name="Normal 6 2" xfId="185"/>
    <cellStyle name="Normal 6 3" xfId="186"/>
    <cellStyle name="Normal 6 4" xfId="187"/>
    <cellStyle name="Normal 6 5" xfId="188"/>
    <cellStyle name="Normal 6_0. Investissement" xfId="189"/>
    <cellStyle name="Normal 7" xfId="190"/>
    <cellStyle name="Normal 8" xfId="191"/>
    <cellStyle name="Normal 9" xfId="192"/>
    <cellStyle name="Note 2" xfId="193"/>
    <cellStyle name="Note 3" xfId="194"/>
    <cellStyle name="Note 4" xfId="195"/>
    <cellStyle name="Note 5" xfId="196"/>
    <cellStyle name="N䃯rmal_la䇲oux_larou᷸" xfId="197"/>
    <cellStyle name="Output 2" xfId="198"/>
    <cellStyle name="Output 3" xfId="199"/>
    <cellStyle name="Output 4" xfId="200"/>
    <cellStyle name="Output 5" xfId="201"/>
    <cellStyle name="Percent 10" xfId="202"/>
    <cellStyle name="Percent 2" xfId="203"/>
    <cellStyle name="Percent 2 2" xfId="204"/>
    <cellStyle name="Percent 3" xfId="205"/>
    <cellStyle name="Percent 4" xfId="206"/>
    <cellStyle name="Percent 5" xfId="207"/>
    <cellStyle name="Percent 5 2" xfId="208"/>
    <cellStyle name="Percent 5 3" xfId="209"/>
    <cellStyle name="Percent 5 4" xfId="210"/>
    <cellStyle name="Percent 5 5" xfId="211"/>
    <cellStyle name="Percent 6" xfId="212"/>
    <cellStyle name="Percent 7" xfId="213"/>
    <cellStyle name="Percent 8" xfId="214"/>
    <cellStyle name="Percent 9" xfId="215"/>
    <cellStyle name="Pourcentage 2" xfId="216"/>
    <cellStyle name="Pourcentage 3" xfId="217"/>
    <cellStyle name="Title 2" xfId="218"/>
    <cellStyle name="Title 3" xfId="219"/>
    <cellStyle name="Title 4" xfId="220"/>
    <cellStyle name="Title 5" xfId="221"/>
    <cellStyle name="Titre colonnes" xfId="222"/>
    <cellStyle name="Titre lignes" xfId="223"/>
    <cellStyle name="Total 2" xfId="224"/>
    <cellStyle name="Total 3" xfId="225"/>
    <cellStyle name="Total 4" xfId="226"/>
    <cellStyle name="Total 5" xfId="227"/>
    <cellStyle name="Warning Text 2" xfId="228"/>
    <cellStyle name="Warning Text 3" xfId="229"/>
    <cellStyle name="Warning Text 4" xfId="230"/>
    <cellStyle name="Warning Text 5" xfId="231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u/>
        <color theme="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u/>
        <color theme="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7382"/>
  <ax:ocxPr ax:name="_ExtentY" ax:value="2064"/>
  <ax:ocxPr ax:name="_StockProps" ax:value="0"/>
  <ax:ocxPr ax:name="ServerName" ax:value="Tango_core_model_bck"/>
  <ax:ocxPr ax:name="ProcessName" ax:value="DB_Activity"/>
  <ax:ocxPr ax:name="Name" ax:value=""/>
  <ax:ocxPr ax:name="Type" ax:value=""/>
  <ax:ocxPr ax:name="Value" ax:value=""/>
  <ax:ocxPr ax:name="Prompt" ax:value=""/>
  <ax:ocxPr ax:name="BackColor" ax:value="13160660"/>
  <ax:ocxPr ax:name="ForeColor" ax:value="0"/>
  <ax:ocxPr ax:name="Font">
    <ax:font ax:persistence="persistPropertyBag">
      <ax:ocxPr ax:name="Name" ax:value="Arial"/>
      <ax:ocxPr ax:name="Size" ax:value="9,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afraichir / Regénérer le repor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Voulez-vous vraiment exécuter ce processus ?"/>
  <ax:ocxPr ax:name="SuccessMessage" ax:value="Processus terminé avec succès."/>
  <ax:ocxPr ax:name="FailureMessage" ax:value="Echec du processus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15</xdr:row>
      <xdr:rowOff>152401</xdr:rowOff>
    </xdr:from>
    <xdr:to>
      <xdr:col>15</xdr:col>
      <xdr:colOff>19050</xdr:colOff>
      <xdr:row>18</xdr:row>
      <xdr:rowOff>161559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23976"/>
          <a:ext cx="2562225" cy="5806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15</xdr:row>
          <xdr:rowOff>76200</xdr:rowOff>
        </xdr:from>
        <xdr:to>
          <xdr:col>18</xdr:col>
          <xdr:colOff>666750</xdr:colOff>
          <xdr:row>19</xdr:row>
          <xdr:rowOff>57150</xdr:rowOff>
        </xdr:to>
        <xdr:sp macro="" textlink="">
          <xdr:nvSpPr>
            <xdr:cNvPr id="1030" name="TI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</xdr:col>
      <xdr:colOff>1438272</xdr:colOff>
      <xdr:row>19</xdr:row>
      <xdr:rowOff>133349</xdr:rowOff>
    </xdr:from>
    <xdr:to>
      <xdr:col>1</xdr:col>
      <xdr:colOff>2543174</xdr:colOff>
      <xdr:row>20</xdr:row>
      <xdr:rowOff>390524</xdr:rowOff>
    </xdr:to>
    <xdr:sp macro="" textlink="">
      <xdr:nvSpPr>
        <xdr:cNvPr id="18" name="Pentagone 3"/>
        <xdr:cNvSpPr/>
      </xdr:nvSpPr>
      <xdr:spPr>
        <a:xfrm flipH="1">
          <a:off x="1438272" y="3571874"/>
          <a:ext cx="1104902" cy="390525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Cliquez Ici </a:t>
          </a:r>
        </a:p>
      </xdr:txBody>
    </xdr:sp>
    <xdr:clientData/>
  </xdr:twoCellAnchor>
  <xdr:twoCellAnchor>
    <xdr:from>
      <xdr:col>19</xdr:col>
      <xdr:colOff>38100</xdr:colOff>
      <xdr:row>9</xdr:row>
      <xdr:rowOff>19049</xdr:rowOff>
    </xdr:from>
    <xdr:to>
      <xdr:col>27</xdr:col>
      <xdr:colOff>219075</xdr:colOff>
      <xdr:row>19</xdr:row>
      <xdr:rowOff>57149</xdr:rowOff>
    </xdr:to>
    <xdr:sp macro="" textlink="">
      <xdr:nvSpPr>
        <xdr:cNvPr id="6" name="Rectangle 5"/>
        <xdr:cNvSpPr/>
      </xdr:nvSpPr>
      <xdr:spPr>
        <a:xfrm>
          <a:off x="5353050" y="19049"/>
          <a:ext cx="5667375" cy="19716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>
              <a:solidFill>
                <a:srgbClr val="FF0000"/>
              </a:solidFill>
            </a:rPr>
            <a:t>Formulaire</a:t>
          </a:r>
          <a:r>
            <a:rPr lang="fr-FR" sz="2000" b="1" baseline="0">
              <a:solidFill>
                <a:srgbClr val="FF0000"/>
              </a:solidFill>
            </a:rPr>
            <a:t> CLEAR</a:t>
          </a:r>
        </a:p>
        <a:p>
          <a:pPr algn="ctr"/>
          <a:endParaRPr lang="fr-FR" sz="1600" baseline="0">
            <a:solidFill>
              <a:srgbClr val="FF0000"/>
            </a:solidFill>
          </a:endParaRPr>
        </a:p>
        <a:p>
          <a:pPr algn="ctr"/>
          <a:r>
            <a:rPr lang="fr-FR" sz="1600" baseline="0">
              <a:solidFill>
                <a:srgbClr val="FF0000"/>
              </a:solidFill>
            </a:rPr>
            <a:t>Les valeurs représentent les droits des utilisateurs sur  l'organisation Légale sélectionnée</a:t>
          </a:r>
        </a:p>
        <a:p>
          <a:pPr algn="ctr"/>
          <a:endParaRPr lang="fr-FR" sz="1600" baseline="0">
            <a:solidFill>
              <a:srgbClr val="FF0000"/>
            </a:solidFill>
          </a:endParaRPr>
        </a:p>
        <a:p>
          <a:pPr algn="ctr"/>
          <a:r>
            <a:rPr lang="fr-FR" sz="1600" baseline="0">
              <a:solidFill>
                <a:srgbClr val="FF0000"/>
              </a:solidFill>
            </a:rPr>
            <a:t>Le formulaire est renseigné par défaut sur les 12 derniers mois</a:t>
          </a:r>
          <a:endParaRPr lang="fr-FR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D24"/>
  <sheetViews>
    <sheetView tabSelected="1" workbookViewId="0">
      <pane xSplit="2" ySplit="21" topLeftCell="C22" activePane="bottomRight" state="frozen"/>
      <selection activeCell="B10" sqref="B10"/>
      <selection pane="topRight" activeCell="C10" sqref="C10"/>
      <selection pane="bottomLeft" activeCell="B22" sqref="B22"/>
      <selection pane="bottomRight" activeCell="P15" sqref="P15:S15"/>
    </sheetView>
  </sheetViews>
  <sheetFormatPr baseColWidth="10" defaultRowHeight="15" outlineLevelCol="2" x14ac:dyDescent="0.25"/>
  <cols>
    <col min="1" max="1" width="20.140625" hidden="1" customWidth="1"/>
    <col min="2" max="2" width="38.5703125" bestFit="1" customWidth="1" collapsed="1"/>
    <col min="3" max="3" width="37.140625" hidden="1" customWidth="1" outlineLevel="1"/>
    <col min="4" max="4" width="17.7109375" hidden="1" customWidth="1" outlineLevel="1"/>
    <col min="5" max="5" width="43" hidden="1" customWidth="1" outlineLevel="1"/>
    <col min="6" max="6" width="27.140625" hidden="1" customWidth="1" outlineLevel="1" collapsed="1"/>
    <col min="7" max="7" width="11.85546875" hidden="1" customWidth="1" outlineLevel="2"/>
    <col min="8" max="8" width="37.5703125" hidden="1" customWidth="1" outlineLevel="2"/>
    <col min="9" max="9" width="13.42578125" hidden="1" customWidth="1" outlineLevel="2"/>
    <col min="10" max="10" width="15.140625" hidden="1" customWidth="1" outlineLevel="2"/>
    <col min="11" max="11" width="13.42578125" hidden="1" customWidth="1" outlineLevel="2"/>
    <col min="12" max="12" width="12.7109375" hidden="1" customWidth="1" outlineLevel="2"/>
    <col min="13" max="13" width="16.140625" hidden="1" customWidth="1" outlineLevel="2"/>
    <col min="14" max="14" width="9" hidden="1" customWidth="1" outlineLevel="2"/>
    <col min="15" max="15" width="15.140625" style="9" hidden="1" customWidth="1" outlineLevel="1"/>
    <col min="16" max="27" width="10.28515625" customWidth="1"/>
    <col min="28" max="28" width="6" customWidth="1"/>
  </cols>
  <sheetData>
    <row r="1" spans="1:28" hidden="1" x14ac:dyDescent="0.25">
      <c r="A1" t="s">
        <v>433</v>
      </c>
      <c r="AB1" s="10"/>
    </row>
    <row r="2" spans="1:28" hidden="1" x14ac:dyDescent="0.25">
      <c r="A2">
        <f>0</f>
        <v>0</v>
      </c>
      <c r="B2" s="11"/>
      <c r="C2" s="12"/>
      <c r="D2" s="12"/>
      <c r="E2" s="12"/>
      <c r="F2" s="12"/>
      <c r="G2" s="12"/>
      <c r="H2" s="12"/>
      <c r="I2" s="33"/>
      <c r="J2" s="33"/>
      <c r="K2" s="33"/>
      <c r="L2" s="12"/>
      <c r="M2" s="12"/>
      <c r="N2" s="12"/>
      <c r="O2" s="33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0"/>
    </row>
    <row r="3" spans="1:28" hidden="1" x14ac:dyDescent="0.25">
      <c r="A3">
        <f>1</f>
        <v>1</v>
      </c>
      <c r="B3" s="13"/>
      <c r="C3" s="14"/>
      <c r="D3" s="14"/>
      <c r="E3" s="14"/>
      <c r="F3" s="14"/>
      <c r="G3" s="14"/>
      <c r="H3" s="14"/>
      <c r="I3" s="34"/>
      <c r="J3" s="34"/>
      <c r="K3" s="34"/>
      <c r="L3" s="14"/>
      <c r="M3" s="14"/>
      <c r="N3" s="14"/>
      <c r="O3" s="3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0"/>
    </row>
    <row r="4" spans="1:28" hidden="1" x14ac:dyDescent="0.25">
      <c r="A4">
        <f>2</f>
        <v>2</v>
      </c>
      <c r="B4" s="15"/>
      <c r="C4" s="16"/>
      <c r="D4" s="16"/>
      <c r="E4" s="16"/>
      <c r="F4" s="16"/>
      <c r="G4" s="16"/>
      <c r="H4" s="16"/>
      <c r="I4" s="35"/>
      <c r="J4" s="35"/>
      <c r="K4" s="35"/>
      <c r="L4" s="16"/>
      <c r="M4" s="16"/>
      <c r="N4" s="16"/>
      <c r="O4" s="35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0"/>
    </row>
    <row r="5" spans="1:28" hidden="1" x14ac:dyDescent="0.25">
      <c r="A5">
        <f>3</f>
        <v>3</v>
      </c>
      <c r="B5" s="17"/>
      <c r="C5" s="16"/>
      <c r="D5" s="16"/>
      <c r="E5" s="16"/>
      <c r="F5" s="16"/>
      <c r="G5" s="16"/>
      <c r="H5" s="16"/>
      <c r="I5" s="35"/>
      <c r="J5" s="35"/>
      <c r="K5" s="35"/>
      <c r="L5" s="16"/>
      <c r="M5" s="16"/>
      <c r="N5" s="16"/>
      <c r="O5" s="35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0"/>
    </row>
    <row r="6" spans="1:28" hidden="1" x14ac:dyDescent="0.25">
      <c r="A6" t="s">
        <v>431</v>
      </c>
      <c r="B6" s="18"/>
      <c r="C6" s="19"/>
      <c r="D6" s="19"/>
      <c r="E6" s="19"/>
      <c r="F6" s="19"/>
      <c r="G6" s="19"/>
      <c r="H6" s="19"/>
      <c r="I6" s="36"/>
      <c r="J6" s="36"/>
      <c r="K6" s="36"/>
      <c r="L6" s="19"/>
      <c r="M6" s="19"/>
      <c r="N6" s="19"/>
      <c r="O6" s="36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0"/>
    </row>
    <row r="7" spans="1:28" hidden="1" x14ac:dyDescent="0.25">
      <c r="A7" t="s">
        <v>432</v>
      </c>
      <c r="B7" s="20"/>
      <c r="C7" s="18"/>
      <c r="D7" s="18"/>
      <c r="E7" s="18"/>
      <c r="F7" s="18"/>
      <c r="G7" s="18"/>
      <c r="H7" s="18"/>
      <c r="I7" s="21"/>
      <c r="J7" s="21"/>
      <c r="K7" s="21"/>
      <c r="L7" s="18"/>
      <c r="M7" s="18"/>
      <c r="N7" s="18"/>
      <c r="O7" s="21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10"/>
    </row>
    <row r="8" spans="1:28" hidden="1" x14ac:dyDescent="0.25">
      <c r="A8" t="s">
        <v>434</v>
      </c>
      <c r="B8" s="10"/>
      <c r="C8" s="10"/>
      <c r="D8" s="10"/>
      <c r="E8" s="10"/>
      <c r="F8" s="10"/>
      <c r="G8" s="10"/>
      <c r="H8" s="10"/>
      <c r="I8" s="23"/>
      <c r="J8" s="23"/>
      <c r="K8" s="23"/>
      <c r="L8" s="10"/>
      <c r="M8" s="10"/>
      <c r="N8" s="10"/>
      <c r="O8" s="23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hidden="1" x14ac:dyDescent="0.25">
      <c r="B9" s="10" t="str">
        <f ca="1">_xll.TM1RPTVIEW(Server&amp;"z_Matrice_SOX:2",1,_xll.TM1RPTTITLE(Server&amp;"Legal_Organization",P15),_xll.TM1RPTTITLE(Server&amp;"z_Indicateur_SOX",C12),TM1RPTFMTRNG,TM1RPTFMTIDCOL)</f>
        <v>tango_core_model:z_Matrice_SOX:2</v>
      </c>
      <c r="C9" s="22" t="str">
        <f ca="1">_xll.VIEW(Server&amp;"z_Admin_Param","!","!")</f>
        <v>tango_core_model:z_Admin_Param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23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</row>
    <row r="10" spans="1:28" x14ac:dyDescent="0.25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23"/>
      <c r="P10" s="10"/>
      <c r="Q10" s="10"/>
      <c r="R10" s="10"/>
      <c r="S10" s="10"/>
      <c r="T10" s="24" t="s">
        <v>455</v>
      </c>
      <c r="U10" s="10"/>
      <c r="V10" s="10"/>
      <c r="W10" s="10"/>
      <c r="X10" s="10"/>
      <c r="Y10" s="10"/>
      <c r="Z10" s="10"/>
      <c r="AA10" s="10"/>
      <c r="AB10" s="10"/>
    </row>
    <row r="11" spans="1:28" x14ac:dyDescent="0.25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23"/>
      <c r="P11" s="10"/>
      <c r="Q11" s="10"/>
      <c r="R11" s="10"/>
      <c r="S11" s="10"/>
      <c r="T11" s="24" t="s">
        <v>455</v>
      </c>
      <c r="U11" s="10"/>
      <c r="V11" s="10"/>
      <c r="W11" s="10"/>
      <c r="X11" s="10"/>
      <c r="Y11" s="10"/>
      <c r="Z11" s="10"/>
      <c r="AA11" s="10"/>
      <c r="AB11" s="10"/>
    </row>
    <row r="12" spans="1:28" x14ac:dyDescent="0.25">
      <c r="B12" s="25" t="s">
        <v>0</v>
      </c>
      <c r="C12" s="31" t="str">
        <f ca="1">_xll.SUBNM(Server&amp;"z_Indicateur_SOX","","Statut")</f>
        <v>Statut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23"/>
      <c r="P12" s="10"/>
      <c r="Q12" s="10"/>
      <c r="R12" s="10"/>
      <c r="S12" s="10"/>
      <c r="T12" s="24" t="s">
        <v>456</v>
      </c>
      <c r="U12" s="26" t="str">
        <f ca="1">MID(CURRENT_PERIOD,1,4)</f>
        <v>2016</v>
      </c>
      <c r="V12" s="27">
        <f ca="1">VALUE(CURRENT_YEAR)-1</f>
        <v>2015</v>
      </c>
      <c r="W12" s="24" t="s">
        <v>457</v>
      </c>
      <c r="X12" s="10"/>
      <c r="Y12" s="10"/>
      <c r="Z12" s="10"/>
      <c r="AA12" s="10"/>
      <c r="AB12" s="10"/>
    </row>
    <row r="13" spans="1:28" ht="15.75" x14ac:dyDescent="0.25">
      <c r="B13" s="25" t="str">
        <f>Server&amp;"z_Stat_Utilisateur"</f>
        <v>tango_core_model:z_Stat_Utilisateur</v>
      </c>
      <c r="C13" s="10"/>
      <c r="D13" s="45"/>
      <c r="E13" s="45"/>
      <c r="F13" s="45"/>
      <c r="G13" s="10"/>
      <c r="H13" s="10"/>
      <c r="I13" s="10"/>
      <c r="J13" s="10"/>
      <c r="K13" s="10"/>
      <c r="L13" s="10"/>
      <c r="M13" s="10"/>
      <c r="N13" s="10"/>
      <c r="O13" s="23"/>
      <c r="P13" s="10"/>
      <c r="Q13" s="10"/>
      <c r="R13" s="10"/>
      <c r="S13" s="10"/>
      <c r="T13" s="24" t="s">
        <v>458</v>
      </c>
      <c r="U13" s="26" t="str">
        <f ca="1">_xll.DBR($C$9,$T$13,$T$11)</f>
        <v>2016.06</v>
      </c>
      <c r="V13" s="26" t="str">
        <f ca="1">_xll.DBRA(Server&amp;"z_Stat_Date",CURRENT_PERIOD,"Cumul")</f>
        <v>2016.06_Cumul</v>
      </c>
      <c r="W13" s="24" t="s">
        <v>459</v>
      </c>
      <c r="X13" s="10"/>
      <c r="Y13" s="10"/>
      <c r="Z13" s="10"/>
      <c r="AA13" s="10"/>
      <c r="AB13" s="10"/>
    </row>
    <row r="14" spans="1:28" ht="15.75" x14ac:dyDescent="0.25">
      <c r="D14" s="45"/>
      <c r="E14" s="45"/>
      <c r="F14" s="45"/>
      <c r="G14" s="47"/>
      <c r="H14" s="10"/>
      <c r="I14" s="10"/>
      <c r="J14" s="10"/>
      <c r="K14" s="10"/>
      <c r="L14" s="10"/>
      <c r="M14" s="10"/>
      <c r="N14" s="10"/>
      <c r="O14" s="23"/>
      <c r="P14" s="10"/>
      <c r="Q14" s="10"/>
      <c r="R14" s="10"/>
      <c r="S14" s="10"/>
      <c r="T14" s="29" t="s">
        <v>460</v>
      </c>
      <c r="U14" s="26" t="str">
        <f ca="1">_xll.DBR($C$9,$T$14,$T$11)</f>
        <v>2016.05</v>
      </c>
      <c r="V14" s="42" t="str">
        <f ca="1">"{TM1DRILLDOWNMEMBER( {TM1FILTERBYPATTERN( {TM1SUBSETALL( [Z_Stat_utilisateur] )}, """&amp;Top_Hierarchy&amp;""")}, ALL, RECURSIVE )}"</f>
        <v>{TM1DRILLDOWNMEMBER( {TM1FILTERBYPATTERN( {TM1SUBSETALL( [Z_Stat_utilisateur] )}, "Total_Utilisateurs")}, ALL, RECURSIVE )}</v>
      </c>
      <c r="W14" s="24"/>
      <c r="X14" s="10"/>
      <c r="Y14" s="10"/>
      <c r="Z14" s="10"/>
      <c r="AA14" s="10"/>
      <c r="AB14" s="10"/>
    </row>
    <row r="15" spans="1:28" ht="15.75" x14ac:dyDescent="0.25">
      <c r="B15" s="48" t="s">
        <v>1</v>
      </c>
      <c r="C15" s="45"/>
      <c r="D15" s="45"/>
      <c r="E15" s="45"/>
      <c r="F15" s="45"/>
      <c r="G15" s="45"/>
      <c r="H15" s="10"/>
      <c r="I15" s="10"/>
      <c r="J15" s="10"/>
      <c r="K15" s="10"/>
      <c r="L15" s="10"/>
      <c r="M15" s="10"/>
      <c r="N15" s="10"/>
      <c r="O15" s="23"/>
      <c r="P15" s="49" t="str">
        <f ca="1">_xll.SUBNM(Server&amp;"Legal_Organization","","NA","English")</f>
        <v>Not affected</v>
      </c>
      <c r="Q15" s="50"/>
      <c r="R15" s="50"/>
      <c r="S15" s="51"/>
      <c r="T15" s="29"/>
      <c r="U15" s="46"/>
      <c r="V15" s="42"/>
      <c r="W15" s="24"/>
      <c r="X15" s="10"/>
      <c r="Y15" s="10"/>
      <c r="Z15" s="10"/>
      <c r="AA15" s="10"/>
      <c r="AB15" s="10"/>
    </row>
    <row r="16" spans="1:28" x14ac:dyDescent="0.25">
      <c r="B16" s="2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23"/>
      <c r="P16" s="10"/>
      <c r="Q16" s="10"/>
      <c r="R16" s="10"/>
      <c r="S16" s="10"/>
      <c r="T16" s="29" t="s">
        <v>461</v>
      </c>
      <c r="U16" s="41">
        <v>0</v>
      </c>
      <c r="V16" s="30"/>
      <c r="W16" s="10"/>
      <c r="X16" s="10"/>
      <c r="Y16" s="10"/>
      <c r="Z16" s="10"/>
      <c r="AA16" s="10"/>
      <c r="AB16" s="10"/>
    </row>
    <row r="17" spans="1:30" x14ac:dyDescent="0.25">
      <c r="B17" s="2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23"/>
      <c r="P17" s="10"/>
      <c r="Q17" s="10"/>
      <c r="R17" s="10"/>
      <c r="S17" s="10"/>
      <c r="T17" s="10"/>
      <c r="U17" s="10"/>
      <c r="V17" s="30"/>
      <c r="W17" s="10"/>
      <c r="X17" s="10"/>
      <c r="Y17" s="10"/>
      <c r="Z17" s="10"/>
      <c r="AA17" s="10"/>
      <c r="AB17" s="10"/>
    </row>
    <row r="18" spans="1:30" x14ac:dyDescent="0.25">
      <c r="B18" s="2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23"/>
      <c r="P18" s="10"/>
      <c r="Q18" s="10"/>
      <c r="R18" s="10"/>
      <c r="S18" s="10"/>
      <c r="T18" s="10"/>
      <c r="U18" s="10"/>
      <c r="V18" s="30"/>
      <c r="W18" s="10"/>
      <c r="X18" s="10"/>
      <c r="Y18" s="10"/>
      <c r="Z18" s="10"/>
      <c r="AA18" s="10"/>
      <c r="AB18" s="10"/>
    </row>
    <row r="19" spans="1:30" x14ac:dyDescent="0.25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23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</row>
    <row r="20" spans="1:30" ht="10.5" customHeight="1" x14ac:dyDescent="0.2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23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D20" s="37"/>
    </row>
    <row r="21" spans="1:30" s="37" customFormat="1" ht="32.25" customHeight="1" x14ac:dyDescent="0.25">
      <c r="B21" s="37" t="str">
        <f ca="1">_xll.SUBNM(Server&amp;"z_stat_utilisateur","Par défaut","Total_Utilisateurs")</f>
        <v>Total_Utilisateurs</v>
      </c>
      <c r="C21" s="39" t="s">
        <v>462</v>
      </c>
      <c r="D21" s="39" t="s">
        <v>463</v>
      </c>
      <c r="E21" s="39" t="s">
        <v>464</v>
      </c>
      <c r="F21" s="39" t="s">
        <v>465</v>
      </c>
      <c r="G21" s="39" t="s">
        <v>466</v>
      </c>
      <c r="H21" s="39" t="s">
        <v>467</v>
      </c>
      <c r="I21" s="39" t="s">
        <v>468</v>
      </c>
      <c r="J21" s="40" t="s">
        <v>469</v>
      </c>
      <c r="K21" s="39" t="s">
        <v>470</v>
      </c>
      <c r="L21" s="39" t="s">
        <v>471</v>
      </c>
      <c r="M21" s="39" t="s">
        <v>472</v>
      </c>
      <c r="N21" s="39" t="s">
        <v>473</v>
      </c>
      <c r="O21" s="38" t="s">
        <v>474</v>
      </c>
      <c r="P21" s="31" t="str">
        <f ca="1">CURRENT_PERIOD</f>
        <v>2016.06</v>
      </c>
      <c r="Q21" s="31" t="str">
        <f ca="1">_xll.DBRA(Server&amp;"z_Stat_Date",P$21,"Periode_Precedente")</f>
        <v>2016.05</v>
      </c>
      <c r="R21" s="31" t="str">
        <f ca="1">_xll.DBRA(Server&amp;"z_Stat_Date",Q$21,"Periode_Precedente")</f>
        <v>2016.04</v>
      </c>
      <c r="S21" s="31" t="str">
        <f ca="1">_xll.DBRA(Server&amp;"z_Stat_Date",R$21,"Periode_Precedente")</f>
        <v>2016.03</v>
      </c>
      <c r="T21" s="31" t="str">
        <f ca="1">_xll.DBRA(Server&amp;"z_Stat_Date",S$21,"Periode_Precedente")</f>
        <v>2016.02</v>
      </c>
      <c r="U21" s="31" t="str">
        <f ca="1">_xll.DBRA(Server&amp;"z_Stat_Date",T$21,"Periode_Precedente")</f>
        <v>2016.01</v>
      </c>
      <c r="V21" s="31" t="str">
        <f ca="1">_xll.DBRA(Server&amp;"z_Stat_Date",U$21,"Periode_Precedente")</f>
        <v>2015.12</v>
      </c>
      <c r="W21" s="31" t="str">
        <f ca="1">_xll.DBRA(Server&amp;"z_Stat_Date",V$21,"Periode_Precedente")</f>
        <v>2015.11</v>
      </c>
      <c r="X21" s="31" t="str">
        <f ca="1">_xll.DBRA(Server&amp;"z_Stat_Date",W$21,"Periode_Precedente")</f>
        <v>2015.10</v>
      </c>
      <c r="Y21" s="31" t="str">
        <f ca="1">_xll.DBRA(Server&amp;"z_Stat_Date",X$21,"Periode_Precedente")</f>
        <v>2015.09</v>
      </c>
      <c r="Z21" s="31" t="str">
        <f ca="1">_xll.DBRA(Server&amp;"z_Stat_Date",Y$21,"Periode_Precedente")</f>
        <v>2015.08</v>
      </c>
      <c r="AA21" s="31" t="str">
        <f ca="1">_xll.DBRA(Server&amp;"z_Stat_Date",Z$21,"Periode_Precedente")</f>
        <v>2015.07</v>
      </c>
      <c r="AB21" s="43"/>
    </row>
    <row r="22" spans="1:30" x14ac:dyDescent="0.25">
      <c r="A22" t="str">
        <f ca="1">IF(_xll.TM1RPTELISCONSOLIDATED($B$22,$B22),IF(_xll.TM1RPTELLEV($B$22,$B22)&lt;=3,_xll.TM1RPTELLEV($B$22,$B22),"D"),"N")</f>
        <v>N</v>
      </c>
      <c r="B22" s="32" t="str">
        <f ca="1">_xll.TM1RPTROW($B$9,Server&amp;"z_Stat_Utilisateur",,,,0,MDX,1,1)</f>
        <v/>
      </c>
      <c r="C22" s="18" t="str">
        <f ca="1">_xll.DBRA($B$13,$B22,C$21)</f>
        <v/>
      </c>
      <c r="D22" s="18" t="str">
        <f ca="1">_xll.DBRA($B$13,$B22,D$21)</f>
        <v/>
      </c>
      <c r="E22" s="18" t="str">
        <f ca="1">_xll.DBRA($B$13,$B22,E$21)</f>
        <v/>
      </c>
      <c r="F22" s="18" t="str">
        <f ca="1">_xll.DBRA($B$13,$B22,F$21)</f>
        <v/>
      </c>
      <c r="G22" s="18" t="str">
        <f ca="1">_xll.DBRA($B$13,$B22,G$21)</f>
        <v/>
      </c>
      <c r="H22" s="18" t="str">
        <f ca="1">_xll.DBRA($B$13,$B22,H$21)</f>
        <v/>
      </c>
      <c r="I22" s="21" t="str">
        <f ca="1">_xll.DBRA($B$13,$B22,I$21)</f>
        <v/>
      </c>
      <c r="J22" s="21" t="str">
        <f ca="1">_xll.DBRA($B$13,$B22,J$21)</f>
        <v/>
      </c>
      <c r="K22" s="21" t="str">
        <f ca="1">_xll.DBRA($B$13,$B22,K$21)</f>
        <v/>
      </c>
      <c r="L22" s="18" t="str">
        <f ca="1">_xll.DBRA($B$13,$B22,L$21)</f>
        <v/>
      </c>
      <c r="M22" s="18" t="str">
        <f ca="1">_xll.DBRA($B$13,$B22,M$21)</f>
        <v/>
      </c>
      <c r="N22" s="18" t="str">
        <f ca="1">_xll.DBRA($B$13,$B22,N$21)</f>
        <v/>
      </c>
      <c r="O22" s="21" t="str">
        <f ca="1">_xll.DBR(Server&amp;"z_Admin_Audit_Analyse",MONTH_ACTUAL,$B22,"Nb_Connexion_Report3_Tech2")</f>
        <v>*KEY_ERR</v>
      </c>
      <c r="P22" s="44" t="str">
        <f ca="1">_xll.DBRW($B$9,$B22,$P$15,P$21,$C$12)</f>
        <v/>
      </c>
      <c r="Q22" s="44" t="str">
        <f ca="1">_xll.DBRW($B$9,$B22,$P$15,Q$21,$C$12)</f>
        <v/>
      </c>
      <c r="R22" s="44" t="str">
        <f ca="1">_xll.DBRW($B$9,$B22,$P$15,R$21,$C$12)</f>
        <v/>
      </c>
      <c r="S22" s="44" t="str">
        <f ca="1">_xll.DBRW($B$9,$B22,$P$15,S$21,$C$12)</f>
        <v/>
      </c>
      <c r="T22" s="44" t="str">
        <f ca="1">_xll.DBRW($B$9,$B22,$P$15,T$21,$C$12)</f>
        <v/>
      </c>
      <c r="U22" s="44" t="str">
        <f ca="1">_xll.DBRW($B$9,$B22,$P$15,U$21,$C$12)</f>
        <v/>
      </c>
      <c r="V22" s="44" t="str">
        <f ca="1">_xll.DBRW($B$9,$B22,$P$15,V$21,$C$12)</f>
        <v/>
      </c>
      <c r="W22" s="44" t="str">
        <f ca="1">_xll.DBRW($B$9,$B22,$P$15,W$21,$C$12)</f>
        <v/>
      </c>
      <c r="X22" s="44" t="str">
        <f ca="1">_xll.DBRW($B$9,$B22,$P$15,X$21,$C$12)</f>
        <v/>
      </c>
      <c r="Y22" s="44" t="str">
        <f ca="1">_xll.DBRW($B$9,$B22,$P$15,Y$21,$C$12)</f>
        <v/>
      </c>
      <c r="Z22" s="44" t="str">
        <f ca="1">_xll.DBRW($B$9,$B22,$P$15,Z$21,$C$12)</f>
        <v/>
      </c>
      <c r="AA22" s="44" t="str">
        <f ca="1">_xll.DBRW($B$9,$B22,$P$15,AA$21,$C$12)</f>
        <v/>
      </c>
      <c r="AB22" s="10"/>
    </row>
    <row r="23" spans="1:30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23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</row>
    <row r="24" spans="1:30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23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</row>
  </sheetData>
  <mergeCells count="1">
    <mergeCell ref="P15:S15"/>
  </mergeCells>
  <conditionalFormatting sqref="U16">
    <cfRule type="cellIs" dxfId="11" priority="203" operator="equal">
      <formula>0</formula>
    </cfRule>
    <cfRule type="cellIs" dxfId="10" priority="204" operator="equal">
      <formula>1</formula>
    </cfRule>
  </conditionalFormatting>
  <conditionalFormatting sqref="P21:AA21">
    <cfRule type="expression" dxfId="9" priority="202">
      <formula>EXACT(W$14,MID($V$13,1,7))</formula>
    </cfRule>
  </conditionalFormatting>
  <conditionalFormatting sqref="I7:K7">
    <cfRule type="cellIs" dxfId="8" priority="185" operator="equal">
      <formula>"N"</formula>
    </cfRule>
    <cfRule type="cellIs" dxfId="7" priority="186" operator="equal">
      <formula>"Y"</formula>
    </cfRule>
  </conditionalFormatting>
  <conditionalFormatting sqref="P7:AA7">
    <cfRule type="cellIs" dxfId="6" priority="182" operator="equal">
      <formula>"WRITE"</formula>
    </cfRule>
    <cfRule type="cellIs" dxfId="5" priority="183" operator="equal">
      <formula>"READ"</formula>
    </cfRule>
  </conditionalFormatting>
  <conditionalFormatting sqref="C12">
    <cfRule type="expression" dxfId="4" priority="166">
      <formula>EXACT(J$14,MID($V$13,1,7))</formula>
    </cfRule>
  </conditionalFormatting>
  <conditionalFormatting sqref="I22:K22">
    <cfRule type="cellIs" dxfId="3" priority="4" operator="equal">
      <formula>"N"</formula>
    </cfRule>
    <cfRule type="cellIs" dxfId="2" priority="5" operator="equal">
      <formula>"Y"</formula>
    </cfRule>
  </conditionalFormatting>
  <conditionalFormatting sqref="P22:AA22">
    <cfRule type="cellIs" dxfId="1" priority="1" operator="equal">
      <formula>"WRITE"</formula>
    </cfRule>
    <cfRule type="cellIs" dxfId="0" priority="2" operator="equal">
      <formula>"READ"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TIButton1">
          <controlPr defaultSize="0" print="0" autoLine="0" r:id="rId4">
            <anchor moveWithCells="1">
              <from>
                <xdr:col>15</xdr:col>
                <xdr:colOff>66675</xdr:colOff>
                <xdr:row>15</xdr:row>
                <xdr:rowOff>76200</xdr:rowOff>
              </from>
              <to>
                <xdr:col>18</xdr:col>
                <xdr:colOff>666750</xdr:colOff>
                <xdr:row>19</xdr:row>
                <xdr:rowOff>57150</xdr:rowOff>
              </to>
            </anchor>
          </controlPr>
        </control>
      </mc:Choice>
      <mc:Fallback>
        <control shapeId="1030" r:id="rId3" name="TI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" id="{C7CFA5F6-D1E5-40C7-A5B6-3882B3A53E92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0"/>
            </x14:iconSet>
          </x14:cfRule>
          <xm:sqref>O7</xm:sqref>
        </x14:conditionalFormatting>
        <x14:conditionalFormatting xmlns:xm="http://schemas.microsoft.com/office/excel/2006/main">
          <x14:cfRule type="iconSet" priority="175" id="{20FD1707-01B9-4E84-8EE8-A26AF8F0587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0"/>
            </x14:iconSet>
          </x14:cfRule>
          <xm:sqref>O22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21"/>
  <sheetViews>
    <sheetView workbookViewId="0"/>
  </sheetViews>
  <sheetFormatPr baseColWidth="10" defaultColWidth="9.140625" defaultRowHeight="12.75" outlineLevelRow="1" x14ac:dyDescent="0.2"/>
  <cols>
    <col min="1" max="1" width="37.42578125" style="3" customWidth="1"/>
    <col min="2" max="2" width="25.7109375" style="3" customWidth="1"/>
    <col min="3" max="3" width="9.140625" style="3"/>
    <col min="4" max="4" width="27.7109375" style="3" customWidth="1"/>
    <col min="5" max="16384" width="9.140625" style="3"/>
  </cols>
  <sheetData>
    <row r="1" spans="1:2" ht="18" x14ac:dyDescent="0.25">
      <c r="A1" s="1" t="s">
        <v>435</v>
      </c>
      <c r="B1" s="2"/>
    </row>
    <row r="2" spans="1:2" x14ac:dyDescent="0.2">
      <c r="A2" s="2"/>
      <c r="B2" s="2"/>
    </row>
    <row r="3" spans="1:2" ht="15.75" x14ac:dyDescent="0.25">
      <c r="A3" s="4" t="s">
        <v>436</v>
      </c>
      <c r="B3" s="2"/>
    </row>
    <row r="4" spans="1:2" x14ac:dyDescent="0.2">
      <c r="A4" s="5" t="s">
        <v>437</v>
      </c>
      <c r="B4" s="6" t="s">
        <v>475</v>
      </c>
    </row>
    <row r="5" spans="1:2" x14ac:dyDescent="0.2">
      <c r="A5" s="5" t="s">
        <v>438</v>
      </c>
      <c r="B5" s="6" t="str">
        <f>LEFT(Server,LEN(Server)-1)</f>
        <v>tango_core_model</v>
      </c>
    </row>
    <row r="6" spans="1:2" x14ac:dyDescent="0.2">
      <c r="A6" s="5" t="s">
        <v>439</v>
      </c>
      <c r="B6" s="6" t="s">
        <v>440</v>
      </c>
    </row>
    <row r="8" spans="1:2" ht="15.75" hidden="1" outlineLevel="1" x14ac:dyDescent="0.25">
      <c r="A8" s="4" t="s">
        <v>441</v>
      </c>
    </row>
    <row r="9" spans="1:2" ht="13.5" hidden="1" customHeight="1" outlineLevel="1" x14ac:dyDescent="0.2">
      <c r="A9" s="5" t="s">
        <v>442</v>
      </c>
      <c r="B9" s="7" t="s">
        <v>443</v>
      </c>
    </row>
    <row r="10" spans="1:2" ht="13.5" hidden="1" customHeight="1" outlineLevel="1" x14ac:dyDescent="0.2">
      <c r="A10" s="5" t="s">
        <v>444</v>
      </c>
      <c r="B10" s="7" t="s">
        <v>445</v>
      </c>
    </row>
    <row r="11" spans="1:2" hidden="1" outlineLevel="1" x14ac:dyDescent="0.2">
      <c r="A11" s="5" t="s">
        <v>446</v>
      </c>
      <c r="B11" s="7" t="str">
        <f ca="1">_xll.DBR(Server&amp;"z_Admin_Param","YEAR_ACTUAL","STR_VAR1")</f>
        <v>2016</v>
      </c>
    </row>
    <row r="12" spans="1:2" hidden="1" outlineLevel="1" x14ac:dyDescent="0.2">
      <c r="A12" s="5" t="s">
        <v>447</v>
      </c>
      <c r="B12" s="7" t="str">
        <f ca="1">_xll.DBR(Server&amp;"z_Admin_Param","MONTH_ACTUAL","STR_VAR1")</f>
        <v>2016.05</v>
      </c>
    </row>
    <row r="13" spans="1:2" hidden="1" outlineLevel="1" x14ac:dyDescent="0.2">
      <c r="A13" s="5" t="s">
        <v>448</v>
      </c>
      <c r="B13" s="8" t="str">
        <f ca="1">_xll.DBR(Server&amp;"z_Client_Properties","Language",_xll.TM1USER(xServer))</f>
        <v>English</v>
      </c>
    </row>
    <row r="14" spans="1:2" hidden="1" outlineLevel="1" x14ac:dyDescent="0.2">
      <c r="A14" s="52" t="s">
        <v>449</v>
      </c>
      <c r="B14" s="7" t="s">
        <v>450</v>
      </c>
    </row>
    <row r="15" spans="1:2" hidden="1" outlineLevel="1" x14ac:dyDescent="0.2">
      <c r="A15" s="52"/>
      <c r="B15" s="7" t="s">
        <v>451</v>
      </c>
    </row>
    <row r="16" spans="1:2" hidden="1" outlineLevel="1" x14ac:dyDescent="0.2">
      <c r="A16" s="52"/>
      <c r="B16" s="7" t="s">
        <v>452</v>
      </c>
    </row>
    <row r="17" spans="1:2" hidden="1" outlineLevel="1" x14ac:dyDescent="0.2">
      <c r="A17" s="52"/>
      <c r="B17" s="7" t="s">
        <v>453</v>
      </c>
    </row>
    <row r="18" spans="1:2" hidden="1" outlineLevel="1" x14ac:dyDescent="0.2">
      <c r="A18" s="52"/>
      <c r="B18" s="7" t="s">
        <v>454</v>
      </c>
    </row>
    <row r="19" spans="1:2" hidden="1" outlineLevel="1" x14ac:dyDescent="0.2"/>
    <row r="20" spans="1:2" hidden="1" outlineLevel="1" x14ac:dyDescent="0.2"/>
    <row r="21" spans="1:2" collapsed="1" x14ac:dyDescent="0.2"/>
  </sheetData>
  <mergeCells count="1">
    <mergeCell ref="A14:A18"/>
  </mergeCell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6:B449"/>
  <sheetViews>
    <sheetView workbookViewId="0"/>
  </sheetViews>
  <sheetFormatPr baseColWidth="10"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9</v>
      </c>
    </row>
    <row r="421" spans="2:2" x14ac:dyDescent="0.25">
      <c r="B421" t="s">
        <v>12</v>
      </c>
    </row>
    <row r="422" spans="2:2" x14ac:dyDescent="0.25">
      <c r="B422" t="s">
        <v>13</v>
      </c>
    </row>
    <row r="423" spans="2:2" x14ac:dyDescent="0.25">
      <c r="B423" t="s">
        <v>406</v>
      </c>
    </row>
    <row r="424" spans="2:2" x14ac:dyDescent="0.25">
      <c r="B424" t="s">
        <v>407</v>
      </c>
    </row>
    <row r="425" spans="2:2" x14ac:dyDescent="0.25">
      <c r="B425" t="s">
        <v>408</v>
      </c>
    </row>
    <row r="426" spans="2:2" x14ac:dyDescent="0.25">
      <c r="B426" t="s">
        <v>409</v>
      </c>
    </row>
    <row r="427" spans="2:2" x14ac:dyDescent="0.25">
      <c r="B427" t="s">
        <v>410</v>
      </c>
    </row>
    <row r="428" spans="2:2" x14ac:dyDescent="0.25">
      <c r="B428" t="s">
        <v>411</v>
      </c>
    </row>
    <row r="429" spans="2:2" x14ac:dyDescent="0.25">
      <c r="B429" t="s">
        <v>412</v>
      </c>
    </row>
    <row r="430" spans="2:2" x14ac:dyDescent="0.25">
      <c r="B430" t="s">
        <v>82</v>
      </c>
    </row>
    <row r="431" spans="2:2" x14ac:dyDescent="0.25">
      <c r="B431" t="s">
        <v>413</v>
      </c>
    </row>
    <row r="432" spans="2:2" x14ac:dyDescent="0.25">
      <c r="B432" t="s">
        <v>414</v>
      </c>
    </row>
    <row r="433" spans="2:2" x14ac:dyDescent="0.25">
      <c r="B433" t="s">
        <v>415</v>
      </c>
    </row>
    <row r="434" spans="2:2" x14ac:dyDescent="0.25">
      <c r="B434" t="s">
        <v>416</v>
      </c>
    </row>
    <row r="435" spans="2:2" x14ac:dyDescent="0.25">
      <c r="B435" t="s">
        <v>417</v>
      </c>
    </row>
    <row r="436" spans="2:2" x14ac:dyDescent="0.25">
      <c r="B436" t="s">
        <v>418</v>
      </c>
    </row>
    <row r="437" spans="2:2" x14ac:dyDescent="0.25">
      <c r="B437" t="s">
        <v>419</v>
      </c>
    </row>
    <row r="438" spans="2:2" x14ac:dyDescent="0.25">
      <c r="B438" t="s">
        <v>420</v>
      </c>
    </row>
    <row r="439" spans="2:2" x14ac:dyDescent="0.25">
      <c r="B439" t="s">
        <v>421</v>
      </c>
    </row>
    <row r="440" spans="2:2" x14ac:dyDescent="0.25">
      <c r="B440" t="s">
        <v>422</v>
      </c>
    </row>
    <row r="441" spans="2:2" x14ac:dyDescent="0.25">
      <c r="B441" t="s">
        <v>423</v>
      </c>
    </row>
    <row r="442" spans="2:2" x14ac:dyDescent="0.25">
      <c r="B442" t="s">
        <v>424</v>
      </c>
    </row>
    <row r="443" spans="2:2" x14ac:dyDescent="0.25">
      <c r="B443" t="s">
        <v>319</v>
      </c>
    </row>
    <row r="444" spans="2:2" x14ac:dyDescent="0.25">
      <c r="B444" t="s">
        <v>425</v>
      </c>
    </row>
    <row r="445" spans="2:2" x14ac:dyDescent="0.25">
      <c r="B445" t="s">
        <v>426</v>
      </c>
    </row>
    <row r="446" spans="2:2" x14ac:dyDescent="0.25">
      <c r="B446" t="s">
        <v>427</v>
      </c>
    </row>
    <row r="447" spans="2:2" x14ac:dyDescent="0.25">
      <c r="B447" t="s">
        <v>428</v>
      </c>
    </row>
    <row r="448" spans="2:2" x14ac:dyDescent="0.25">
      <c r="B448" t="s">
        <v>429</v>
      </c>
    </row>
    <row r="449" spans="2:2" x14ac:dyDescent="0.25">
      <c r="B449" t="s">
        <v>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Matrice SOX TCM</vt:lpstr>
      <vt:lpstr>Context</vt:lpstr>
      <vt:lpstr>{AR}01</vt:lpstr>
      <vt:lpstr>ActualMonth</vt:lpstr>
      <vt:lpstr>ActualYear</vt:lpstr>
      <vt:lpstr>Cube1</vt:lpstr>
      <vt:lpstr>Cube2</vt:lpstr>
      <vt:lpstr>CURRENT_PERIOD</vt:lpstr>
      <vt:lpstr>CURRENT_PERIOD_CUMUL</vt:lpstr>
      <vt:lpstr>CURRENT_YEAR</vt:lpstr>
      <vt:lpstr>INDICATEUR_SOX</vt:lpstr>
      <vt:lpstr>Language</vt:lpstr>
      <vt:lpstr>LEGAL</vt:lpstr>
      <vt:lpstr>LocalLanguage</vt:lpstr>
      <vt:lpstr>MDX</vt:lpstr>
      <vt:lpstr>MONTH_ACTUAL</vt:lpstr>
      <vt:lpstr>PREVIOUS_YEAR</vt:lpstr>
      <vt:lpstr>Server</vt:lpstr>
      <vt:lpstr>Supp_Zero</vt:lpstr>
      <vt:lpstr>'Matrice SOX TCM'!TM1RPTDATARNG2</vt:lpstr>
      <vt:lpstr>'Matrice SOX TCM'!TM1RPTFMTIDCOL</vt:lpstr>
      <vt:lpstr>'Matrice SOX TCM'!TM1RPTFMTRNG</vt:lpstr>
      <vt:lpstr>Top_Hierarchy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DERRIEN, Yannick</dc:creator>
  <cp:lastModifiedBy>DERRIEN, Yannick</cp:lastModifiedBy>
  <dcterms:created xsi:type="dcterms:W3CDTF">2016-05-18T16:16:09Z</dcterms:created>
  <dcterms:modified xsi:type="dcterms:W3CDTF">2016-06-28T10:08:29Z</dcterms:modified>
</cp:coreProperties>
</file>