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im\Downloads\"/>
    </mc:Choice>
  </mc:AlternateContent>
  <xr:revisionPtr revIDLastSave="0" documentId="8_{7112028A-A5D1-4C1C-B4F6-771C450DF4C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Cognos_Office_Connection_Cache" sheetId="9" state="veryHidden" r:id="rId1"/>
    <sheet name="Context" sheetId="4" r:id="rId2"/>
    <sheet name="Input" sheetId="1" r:id="rId3"/>
    <sheet name="Input_DBS" sheetId="6" state="hidden" r:id="rId4"/>
    <sheet name="Synthèse" sheetId="8" r:id="rId5"/>
    <sheet name="Restitution" sheetId="5" r:id="rId6"/>
  </sheets>
  <functionGroups builtInGroupCount="19"/>
  <definedNames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fe_validation_temp" hidden="1">Cognos_Office_Connection_Cache!$B$2:$B$5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Context!$D$6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S_Absenteism">Input!$F$67:$R$67</definedName>
    <definedName name="DBSS_Biofuel">Input!$F$48:$R$48</definedName>
    <definedName name="DBSS_Drive_open_positions">Input!$F$71:$R$71</definedName>
    <definedName name="DBSS_Driver_Turnover">Input!$F$69:$R$69</definedName>
    <definedName name="DBSS_Elec">Input!$F$52:$R$52</definedName>
    <definedName name="DBSS_FTE">Input!$F$43:$R$43</definedName>
    <definedName name="DBSS_FTE_Maintenance_Others">Input!$F$41:$R$41</definedName>
    <definedName name="DBSS_FTE_Maintenance_Technicians">Input!$F$36:$R$37</definedName>
    <definedName name="DBSS_FTE_Operation_Drivers">Input!$F$32:$R$34</definedName>
    <definedName name="DBSS_Fuel">Input!$F$46:$R$46</definedName>
    <definedName name="DBSS_Gas">Input!$F$50:$R$50</definedName>
    <definedName name="DBSS_Km">Input!$F$20:$R$30</definedName>
    <definedName name="DBSS_nb_BRT">Input!$F$62:$R$62</definedName>
    <definedName name="DBSS_nb_Bus">Input!$F$54:$R$54</definedName>
    <definedName name="DBSS_nb_Ferries">Input!$G$64:$R$64</definedName>
    <definedName name="DBSS_nb_Heavy_rail">Input!$G$60:$R$60</definedName>
    <definedName name="DBSS_nb_light_vehicles">Input!$F$56:$R$56</definedName>
    <definedName name="DBSS_nb_LRV">Input!$F$58:$R$58</definedName>
    <definedName name="DBSS_Operations_other">Input!$F$39:$R$39</definedName>
    <definedName name="Default_Legal_Organization">Context!$D$16</definedName>
    <definedName name="Default_Management_Organization">Context!$D$8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Data">Input!$E$4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"87abdd95-aa89-4d88-a071-171fd3b73b22"</definedName>
    <definedName name="ID" localSheetId="1" hidden="1">"49ad4123-92a0-4c97-b5f5-a1e5c0ce8bc1"</definedName>
    <definedName name="ID" localSheetId="2" hidden="1">"12a32c02-fac9-46fd-bac7-65ac1100afd0"</definedName>
    <definedName name="ID" localSheetId="3" hidden="1">"03a433d9-fbe3-4e3f-a30a-d3701b19d0d3"</definedName>
    <definedName name="ID" localSheetId="5" hidden="1">"c7422688-f19e-4df4-8123-30216be9ac12"</definedName>
    <definedName name="ID" localSheetId="4" hidden="1">"bafe1a5f-311a-4517-927c-3674fcd93473"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2">Input!$A$12:$S$73</definedName>
    <definedName name="Print_Area" localSheetId="3">Input_DBS!$A$12:$S$73</definedName>
    <definedName name="Print_Area" localSheetId="5">Restitution!$A$12:$I$380</definedName>
    <definedName name="Print_Area" localSheetId="4">Synthèse!$A$12:$AU$380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Context!$D$3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Context!$D$2</definedName>
    <definedName name="xServer">Context!$D$4</definedName>
    <definedName name="z_Current_Period_N_1">Context!$D$11</definedName>
    <definedName name="z_Current_Phase">Context!$F$31</definedName>
    <definedName name="z_Current_Year">Context!$D$7</definedName>
    <definedName name="z_Forecast_Phase">Context!$D$13</definedName>
    <definedName name="z_Legal_Entity">Context!$F$28</definedName>
    <definedName name="z_Source_Entity">Context!$D$15</definedName>
    <definedName name="z_UM_Selected">Context!$F$29</definedName>
    <definedName name="z_Year_N_1">Context!$D$10</definedName>
    <definedName name="z_Year_Selected">Context!$D$9</definedName>
    <definedName name="zYearSelected">Context!$D$9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6" l="1"/>
  <c r="H53" i="1"/>
  <c r="I53" i="1"/>
  <c r="J53" i="1"/>
  <c r="K53" i="1"/>
  <c r="L53" i="1"/>
  <c r="M53" i="1"/>
  <c r="N53" i="1"/>
  <c r="O53" i="1"/>
  <c r="P53" i="1"/>
  <c r="Q53" i="1"/>
  <c r="R53" i="1"/>
  <c r="G31" i="1"/>
  <c r="H17" i="1"/>
  <c r="I17" i="1"/>
  <c r="J17" i="1"/>
  <c r="K17" i="1"/>
  <c r="L17" i="1"/>
  <c r="M17" i="1"/>
  <c r="N17" i="1"/>
  <c r="O17" i="1"/>
  <c r="P17" i="1"/>
  <c r="Q17" i="1"/>
  <c r="R17" i="1"/>
  <c r="S17" i="1"/>
  <c r="G17" i="1"/>
  <c r="F31" i="1"/>
  <c r="F35" i="1"/>
  <c r="G35" i="1"/>
  <c r="F38" i="1"/>
  <c r="G38" i="1"/>
  <c r="F40" i="1"/>
  <c r="G40" i="1"/>
  <c r="F42" i="1"/>
  <c r="G42" i="1"/>
  <c r="F44" i="1"/>
  <c r="G44" i="1"/>
  <c r="F47" i="1"/>
  <c r="G47" i="1"/>
  <c r="F49" i="1"/>
  <c r="G49" i="1"/>
  <c r="F51" i="1"/>
  <c r="G51" i="1"/>
  <c r="F53" i="1"/>
  <c r="G53" i="1"/>
  <c r="F55" i="1"/>
  <c r="G55" i="1"/>
  <c r="F57" i="1"/>
  <c r="G57" i="1"/>
  <c r="F59" i="1"/>
  <c r="G59" i="1"/>
  <c r="F61" i="1"/>
  <c r="G61" i="1"/>
  <c r="F63" i="1"/>
  <c r="G63" i="1"/>
  <c r="F65" i="1"/>
  <c r="G65" i="1"/>
  <c r="F68" i="1"/>
  <c r="G68" i="1"/>
  <c r="F70" i="1"/>
  <c r="G70" i="1"/>
  <c r="F72" i="1"/>
  <c r="G72" i="1"/>
  <c r="AU287" i="8"/>
  <c r="AT287" i="8"/>
  <c r="AS287" i="8"/>
  <c r="AR287" i="8"/>
  <c r="AQ287" i="8"/>
  <c r="AP287" i="8"/>
  <c r="AO287" i="8"/>
  <c r="AN287" i="8"/>
  <c r="AM287" i="8"/>
  <c r="AL287" i="8"/>
  <c r="AK287" i="8"/>
  <c r="AJ287" i="8"/>
  <c r="AI287" i="8"/>
  <c r="AH287" i="8"/>
  <c r="AG287" i="8"/>
  <c r="AF287" i="8"/>
  <c r="AE287" i="8"/>
  <c r="AD287" i="8"/>
  <c r="AC287" i="8"/>
  <c r="AB287" i="8"/>
  <c r="AA287" i="8"/>
  <c r="Z287" i="8"/>
  <c r="Y287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2" i="8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E12" i="6"/>
  <c r="E12" i="5"/>
  <c r="E12" i="1"/>
  <c r="J57" i="5"/>
  <c r="J193" i="5"/>
  <c r="J285" i="5"/>
  <c r="J286" i="5"/>
  <c r="F287" i="5"/>
  <c r="G287" i="5"/>
  <c r="K275" i="5"/>
  <c r="K219" i="5"/>
  <c r="K285" i="5"/>
  <c r="K286" i="5"/>
  <c r="H287" i="5"/>
  <c r="K193" i="5"/>
  <c r="K57" i="5"/>
  <c r="E25" i="8"/>
  <c r="E61" i="8"/>
  <c r="E132" i="5"/>
  <c r="E57" i="5"/>
  <c r="E133" i="8"/>
  <c r="E230" i="5"/>
  <c r="E226" i="5"/>
  <c r="E238" i="8"/>
  <c r="E297" i="8"/>
  <c r="E134" i="5"/>
  <c r="F34" i="4"/>
  <c r="F33" i="4"/>
  <c r="E213" i="5"/>
  <c r="E144" i="5"/>
  <c r="E25" i="5"/>
  <c r="E102" i="5"/>
  <c r="E96" i="8"/>
  <c r="E139" i="8"/>
  <c r="E208" i="8"/>
  <c r="E43" i="5"/>
  <c r="E252" i="5"/>
  <c r="E182" i="8"/>
  <c r="E168" i="5"/>
  <c r="E150" i="5"/>
  <c r="E41" i="1"/>
  <c r="E207" i="5"/>
  <c r="E163" i="5"/>
  <c r="E52" i="8"/>
  <c r="E33" i="6"/>
  <c r="E56" i="6"/>
  <c r="E145" i="8"/>
  <c r="E234" i="5"/>
  <c r="E71" i="5"/>
  <c r="E39" i="5"/>
  <c r="E58" i="5"/>
  <c r="E262" i="5"/>
  <c r="E23" i="8"/>
  <c r="E23" i="6"/>
  <c r="E202" i="8"/>
  <c r="E262" i="8"/>
  <c r="E175" i="8"/>
  <c r="E299" i="5"/>
  <c r="E311" i="8"/>
  <c r="E335" i="5"/>
  <c r="E135" i="5"/>
  <c r="E174" i="5"/>
  <c r="E184" i="8"/>
  <c r="E298" i="8"/>
  <c r="E164" i="8"/>
  <c r="E23" i="5"/>
  <c r="E87" i="8"/>
  <c r="E21" i="1"/>
  <c r="E39" i="8"/>
  <c r="E313" i="5"/>
  <c r="E120" i="8"/>
  <c r="E130" i="5"/>
  <c r="E28" i="1"/>
  <c r="E195" i="8"/>
  <c r="E29" i="5"/>
  <c r="E217" i="5"/>
  <c r="E329" i="5"/>
  <c r="E71" i="1"/>
  <c r="E166" i="5"/>
  <c r="E254" i="5"/>
  <c r="E117" i="5"/>
  <c r="E27" i="6"/>
  <c r="E339" i="8"/>
  <c r="E147" i="8"/>
  <c r="E69" i="5"/>
  <c r="E214" i="5"/>
  <c r="E54" i="5"/>
  <c r="E228" i="5"/>
  <c r="E43" i="8"/>
  <c r="E115" i="8"/>
  <c r="E265" i="8"/>
  <c r="E302" i="5"/>
  <c r="E175" i="5"/>
  <c r="E210" i="8"/>
  <c r="E213" i="8"/>
  <c r="E99" i="5"/>
  <c r="E280" i="5"/>
  <c r="E40" i="8"/>
  <c r="E268" i="8"/>
  <c r="E60" i="5"/>
  <c r="E142" i="5"/>
  <c r="E331" i="5"/>
  <c r="E25" i="6"/>
  <c r="E100" i="8"/>
  <c r="E73" i="8"/>
  <c r="E118" i="8"/>
  <c r="E158" i="8"/>
  <c r="E46" i="5"/>
  <c r="E182" i="5"/>
  <c r="E31" i="5"/>
  <c r="E62" i="6"/>
  <c r="E150" i="8"/>
  <c r="E286" i="5"/>
  <c r="E325" i="5"/>
  <c r="E323" i="5"/>
  <c r="E56" i="5"/>
  <c r="E50" i="1"/>
  <c r="E58" i="6"/>
  <c r="E196" i="5"/>
  <c r="E46" i="6"/>
  <c r="E240" i="5"/>
  <c r="F28" i="4"/>
  <c r="E140" i="8"/>
  <c r="E153" i="5"/>
  <c r="E36" i="8"/>
  <c r="E101" i="5"/>
  <c r="E84" i="8"/>
  <c r="E164" i="5"/>
  <c r="E138" i="8"/>
  <c r="E32" i="5"/>
  <c r="E50" i="8"/>
  <c r="E264" i="5"/>
  <c r="D12" i="4"/>
  <c r="E163" i="8"/>
  <c r="E156" i="5"/>
  <c r="E294" i="8"/>
  <c r="E180" i="8"/>
  <c r="F36" i="4"/>
  <c r="E240" i="8"/>
  <c r="E224" i="8"/>
  <c r="E50" i="6"/>
  <c r="E149" i="5"/>
  <c r="E22" i="6"/>
  <c r="E177" i="8"/>
  <c r="E46" i="1"/>
  <c r="E246" i="8"/>
  <c r="E146" i="5"/>
  <c r="E64" i="5"/>
  <c r="E57" i="8"/>
  <c r="E78" i="8"/>
  <c r="E242" i="5"/>
  <c r="E232" i="8"/>
  <c r="E160" i="5"/>
  <c r="E180" i="5"/>
  <c r="E157" i="8"/>
  <c r="E323" i="8"/>
  <c r="E33" i="1"/>
  <c r="E147" i="5"/>
  <c r="E269" i="5"/>
  <c r="E32" i="8"/>
  <c r="E34" i="5"/>
  <c r="E38" i="5"/>
  <c r="E37" i="1"/>
  <c r="E63" i="8"/>
  <c r="E216" i="5"/>
  <c r="E215" i="5"/>
  <c r="E223" i="8"/>
  <c r="E45" i="8"/>
  <c r="E140" i="5"/>
  <c r="E52" i="6"/>
  <c r="E27" i="1"/>
  <c r="E226" i="8"/>
  <c r="E282" i="5"/>
  <c r="E234" i="8"/>
  <c r="E69" i="8"/>
  <c r="E333" i="5"/>
  <c r="E67" i="8"/>
  <c r="E38" i="8"/>
  <c r="E341" i="8"/>
  <c r="E116" i="5"/>
  <c r="E29" i="1"/>
  <c r="E103" i="5"/>
  <c r="E331" i="8"/>
  <c r="E30" i="1"/>
  <c r="E67" i="1"/>
  <c r="E59" i="5"/>
  <c r="E211" i="5"/>
  <c r="E89" i="8"/>
  <c r="E159" i="8"/>
  <c r="E348" i="5"/>
  <c r="E162" i="5"/>
  <c r="E288" i="8"/>
  <c r="E74" i="8"/>
  <c r="E303" i="8"/>
  <c r="E54" i="8"/>
  <c r="E183" i="8"/>
  <c r="E263" i="8"/>
  <c r="E259" i="5"/>
  <c r="E20" i="8"/>
  <c r="E90" i="8"/>
  <c r="E179" i="5"/>
  <c r="E76" i="8"/>
  <c r="E36" i="1"/>
  <c r="E78" i="5"/>
  <c r="E105" i="8"/>
  <c r="E254" i="8"/>
  <c r="E136" i="8"/>
  <c r="E285" i="5"/>
  <c r="E32" i="6"/>
  <c r="E36" i="5"/>
  <c r="E172" i="5"/>
  <c r="F29" i="4"/>
  <c r="E48" i="1"/>
  <c r="E304" i="5"/>
  <c r="E161" i="5"/>
  <c r="E242" i="8"/>
  <c r="E193" i="8"/>
  <c r="E134" i="8"/>
  <c r="E265" i="5"/>
  <c r="E301" i="5"/>
  <c r="E116" i="8"/>
  <c r="E121" i="5"/>
  <c r="E42" i="8"/>
  <c r="E200" i="8"/>
  <c r="E346" i="5"/>
  <c r="E125" i="5"/>
  <c r="E197" i="5"/>
  <c r="E82" i="5"/>
  <c r="E327" i="8"/>
  <c r="E24" i="1"/>
  <c r="E193" i="5"/>
  <c r="E60" i="1"/>
  <c r="D8" i="4"/>
  <c r="E190" i="8"/>
  <c r="E130" i="8"/>
  <c r="E144" i="8"/>
  <c r="E41" i="6"/>
  <c r="E21" i="6"/>
  <c r="E173" i="5"/>
  <c r="E58" i="8"/>
  <c r="E65" i="8"/>
  <c r="E156" i="8"/>
  <c r="E101" i="8"/>
  <c r="E96" i="5"/>
  <c r="E335" i="8"/>
  <c r="E165" i="5"/>
  <c r="E346" i="8"/>
  <c r="E59" i="8"/>
  <c r="E310" i="5"/>
  <c r="E105" i="5"/>
  <c r="E70" i="8"/>
  <c r="E167" i="8"/>
  <c r="E28" i="6"/>
  <c r="E208" i="5"/>
  <c r="E272" i="8"/>
  <c r="E62" i="5"/>
  <c r="E294" i="5"/>
  <c r="E297" i="5"/>
  <c r="E209" i="5"/>
  <c r="E93" i="8"/>
  <c r="E54" i="6"/>
  <c r="E183" i="5"/>
  <c r="E131" i="8"/>
  <c r="E123" i="5"/>
  <c r="E230" i="8"/>
  <c r="E129" i="5"/>
  <c r="E52" i="1"/>
  <c r="E54" i="1"/>
  <c r="E223" i="5"/>
  <c r="E171" i="5"/>
  <c r="E201" i="8"/>
  <c r="E86" i="8"/>
  <c r="E67" i="5"/>
  <c r="E71" i="6"/>
  <c r="E68" i="5"/>
  <c r="E201" i="5"/>
  <c r="E92" i="5"/>
  <c r="E304" i="8"/>
  <c r="E212" i="8"/>
  <c r="E188" i="8"/>
  <c r="E75" i="5"/>
  <c r="E45" i="5"/>
  <c r="E56" i="1"/>
  <c r="E56" i="8"/>
  <c r="E302" i="8"/>
  <c r="E22" i="1"/>
  <c r="E76" i="5"/>
  <c r="D2" i="4"/>
  <c r="E60" i="8"/>
  <c r="E37" i="5"/>
  <c r="E274" i="8"/>
  <c r="E102" i="8"/>
  <c r="E133" i="5"/>
  <c r="E170" i="8"/>
  <c r="E103" i="8"/>
  <c r="E274" i="5"/>
  <c r="E62" i="1"/>
  <c r="E199" i="8"/>
  <c r="E204" i="8"/>
  <c r="E306" i="5"/>
  <c r="E42" i="5"/>
  <c r="E110" i="8"/>
  <c r="E171" i="8"/>
  <c r="E272" i="5"/>
  <c r="E205" i="5"/>
  <c r="E172" i="8"/>
  <c r="E69" i="1"/>
  <c r="E25" i="1"/>
  <c r="E248" i="8"/>
  <c r="E250" i="5"/>
  <c r="E300" i="8"/>
  <c r="E289" i="5"/>
  <c r="E141" i="8"/>
  <c r="E112" i="5"/>
  <c r="E77" i="8"/>
  <c r="E77" i="5"/>
  <c r="E195" i="5"/>
  <c r="E33" i="8"/>
  <c r="E64" i="8"/>
  <c r="E307" i="5"/>
  <c r="E73" i="5"/>
  <c r="F31" i="4"/>
  <c r="E217" i="8"/>
  <c r="E309" i="8"/>
  <c r="E108" i="8"/>
  <c r="E124" i="5"/>
  <c r="E160" i="8"/>
  <c r="E127" i="5"/>
  <c r="E81" i="8"/>
  <c r="E192" i="8"/>
  <c r="E316" i="8"/>
  <c r="E206" i="8"/>
  <c r="E81" i="5"/>
  <c r="E314" i="8"/>
  <c r="E148" i="5"/>
  <c r="E26" i="1"/>
  <c r="E145" i="5"/>
  <c r="E236" i="5"/>
  <c r="E32" i="1"/>
  <c r="E154" i="5"/>
  <c r="E122" i="5"/>
  <c r="E48" i="6"/>
  <c r="E215" i="8"/>
  <c r="E256" i="8"/>
  <c r="E75" i="8"/>
  <c r="E39" i="1"/>
  <c r="E325" i="8"/>
  <c r="E122" i="8"/>
  <c r="E87" i="5"/>
  <c r="E316" i="5"/>
  <c r="E162" i="8"/>
  <c r="E204" i="5"/>
  <c r="E64" i="1"/>
  <c r="E152" i="8"/>
  <c r="E39" i="6"/>
  <c r="E318" i="5"/>
  <c r="E339" i="5"/>
  <c r="D5" i="4"/>
  <c r="E104" i="5"/>
  <c r="E124" i="8"/>
  <c r="E107" i="5"/>
  <c r="E29" i="8"/>
  <c r="E303" i="5"/>
  <c r="E189" i="5"/>
  <c r="E270" i="5"/>
  <c r="E99" i="8"/>
  <c r="E264" i="8"/>
  <c r="E93" i="5"/>
  <c r="E142" i="8"/>
  <c r="E48" i="8"/>
  <c r="E188" i="5"/>
  <c r="E90" i="5"/>
  <c r="E285" i="8"/>
  <c r="E95" i="5"/>
  <c r="E34" i="1"/>
  <c r="E310" i="8"/>
  <c r="E314" i="5"/>
  <c r="E190" i="5"/>
  <c r="E63" i="5"/>
  <c r="E173" i="8"/>
  <c r="E148" i="8"/>
  <c r="E192" i="5"/>
  <c r="E307" i="8"/>
  <c r="E260" i="5"/>
  <c r="E263" i="5"/>
  <c r="E168" i="8"/>
  <c r="E216" i="8"/>
  <c r="E74" i="5"/>
  <c r="E139" i="5"/>
  <c r="E337" i="5"/>
  <c r="E286" i="8"/>
  <c r="E106" i="5"/>
  <c r="E198" i="5"/>
  <c r="E50" i="5"/>
  <c r="E232" i="5"/>
  <c r="E191" i="8"/>
  <c r="E268" i="5"/>
  <c r="E337" i="8"/>
  <c r="E43" i="6"/>
  <c r="E138" i="5"/>
  <c r="E68" i="8"/>
  <c r="E288" i="5"/>
  <c r="E269" i="8"/>
  <c r="E92" i="8"/>
  <c r="E244" i="8"/>
  <c r="E252" i="8"/>
  <c r="E184" i="5"/>
  <c r="E205" i="8"/>
  <c r="E279" i="8"/>
  <c r="E141" i="5"/>
  <c r="E106" i="8"/>
  <c r="E120" i="5"/>
  <c r="E298" i="5"/>
  <c r="E37" i="8"/>
  <c r="E166" i="8"/>
  <c r="E309" i="5"/>
  <c r="E228" i="8"/>
  <c r="E256" i="5"/>
  <c r="E191" i="5"/>
  <c r="E174" i="8"/>
  <c r="E126" i="5"/>
  <c r="E26" i="6"/>
  <c r="E82" i="8"/>
  <c r="E176" i="8"/>
  <c r="E108" i="5"/>
  <c r="E33" i="5"/>
  <c r="E348" i="8"/>
  <c r="E157" i="5"/>
  <c r="E187" i="5"/>
  <c r="E111" i="8"/>
  <c r="E20" i="6"/>
  <c r="E341" i="5"/>
  <c r="E30" i="6"/>
  <c r="E64" i="6"/>
  <c r="E280" i="8"/>
  <c r="E320" i="5"/>
  <c r="E123" i="8"/>
  <c r="E244" i="5"/>
  <c r="E58" i="1"/>
  <c r="E112" i="8"/>
  <c r="E126" i="8"/>
  <c r="E202" i="5"/>
  <c r="E34" i="8"/>
  <c r="E34" i="6"/>
  <c r="E155" i="5"/>
  <c r="E196" i="8"/>
  <c r="E155" i="8"/>
  <c r="E344" i="8"/>
  <c r="E154" i="8"/>
  <c r="E344" i="5"/>
  <c r="E37" i="6"/>
  <c r="E210" i="5"/>
  <c r="E246" i="5"/>
  <c r="E24" i="6"/>
  <c r="E135" i="8"/>
  <c r="E66" i="8"/>
  <c r="E149" i="8"/>
  <c r="E69" i="6"/>
  <c r="E177" i="5"/>
  <c r="E179" i="8"/>
  <c r="E209" i="8"/>
  <c r="E117" i="8"/>
  <c r="E211" i="8"/>
  <c r="E104" i="8"/>
  <c r="E29" i="6"/>
  <c r="E159" i="5"/>
  <c r="E23" i="1"/>
  <c r="E259" i="8"/>
  <c r="E167" i="5"/>
  <c r="E318" i="8"/>
  <c r="D7" i="4"/>
  <c r="E207" i="8"/>
  <c r="E72" i="5"/>
  <c r="E121" i="8"/>
  <c r="E236" i="8"/>
  <c r="E61" i="5"/>
  <c r="E313" i="8"/>
  <c r="E119" i="8"/>
  <c r="E20" i="1"/>
  <c r="E129" i="8"/>
  <c r="E85" i="5"/>
  <c r="E301" i="8"/>
  <c r="E178" i="8"/>
  <c r="E279" i="5"/>
  <c r="E127" i="8"/>
  <c r="E203" i="8"/>
  <c r="C2" i="1"/>
  <c r="E143" i="5"/>
  <c r="E238" i="5"/>
  <c r="E176" i="5"/>
  <c r="E206" i="5"/>
  <c r="E198" i="8"/>
  <c r="E224" i="5"/>
  <c r="E203" i="5"/>
  <c r="E300" i="5"/>
  <c r="E305" i="8"/>
  <c r="E187" i="8"/>
  <c r="E52" i="5"/>
  <c r="E181" i="8"/>
  <c r="E194" i="5"/>
  <c r="E165" i="8"/>
  <c r="E320" i="8"/>
  <c r="E282" i="8"/>
  <c r="E48" i="5"/>
  <c r="E299" i="8"/>
  <c r="E35" i="8"/>
  <c r="E62" i="8"/>
  <c r="E270" i="8"/>
  <c r="E267" i="8"/>
  <c r="E333" i="8"/>
  <c r="E170" i="5"/>
  <c r="E194" i="8"/>
  <c r="E136" i="5"/>
  <c r="E189" i="8"/>
  <c r="E31" i="8"/>
  <c r="E197" i="8"/>
  <c r="E289" i="8"/>
  <c r="E110" i="5"/>
  <c r="E306" i="8"/>
  <c r="E67" i="6"/>
  <c r="E131" i="5"/>
  <c r="E119" i="5"/>
  <c r="E95" i="8"/>
  <c r="E250" i="8"/>
  <c r="E100" i="5"/>
  <c r="E115" i="5"/>
  <c r="D14" i="4"/>
  <c r="E84" i="5"/>
  <c r="E85" i="8"/>
  <c r="E212" i="5"/>
  <c r="E132" i="8"/>
  <c r="E267" i="5"/>
  <c r="E111" i="5"/>
  <c r="E248" i="5"/>
  <c r="E161" i="8"/>
  <c r="E5" i="1"/>
  <c r="E70" i="5"/>
  <c r="E214" i="8"/>
  <c r="E178" i="5"/>
  <c r="E107" i="8"/>
  <c r="E71" i="8"/>
  <c r="F37" i="4"/>
  <c r="E89" i="5"/>
  <c r="E305" i="5"/>
  <c r="E43" i="1"/>
  <c r="E35" i="5"/>
  <c r="E36" i="6"/>
  <c r="E199" i="5"/>
  <c r="E72" i="8"/>
  <c r="E158" i="5"/>
  <c r="E329" i="8"/>
  <c r="E20" i="5"/>
  <c r="E125" i="8"/>
  <c r="E60" i="6"/>
  <c r="E260" i="8"/>
  <c r="E311" i="5"/>
  <c r="E40" i="5"/>
  <c r="E66" i="5"/>
  <c r="E65" i="5"/>
  <c r="E327" i="5"/>
  <c r="E143" i="8"/>
  <c r="E152" i="5"/>
  <c r="E146" i="8"/>
  <c r="D16" i="4"/>
  <c r="E181" i="5"/>
  <c r="E86" i="5"/>
  <c r="E46" i="8"/>
  <c r="E118" i="5"/>
  <c r="E200" i="5"/>
  <c r="E153" i="8"/>
  <c r="J287" i="5" l="1"/>
  <c r="K287" i="5"/>
  <c r="D13" i="4"/>
  <c r="E368" i="8"/>
  <c r="E367" i="8"/>
  <c r="E366" i="8"/>
  <c r="C3" i="8"/>
  <c r="E364" i="8"/>
  <c r="E371" i="8"/>
  <c r="E370" i="8"/>
  <c r="E365" i="8"/>
  <c r="C3" i="6"/>
  <c r="C3" i="1"/>
  <c r="E373" i="8"/>
  <c r="E359" i="8"/>
  <c r="E359" i="5"/>
  <c r="E371" i="5"/>
  <c r="E368" i="5"/>
  <c r="E367" i="5"/>
  <c r="E366" i="5"/>
  <c r="E365" i="5"/>
  <c r="G36" i="4"/>
  <c r="C3" i="5"/>
  <c r="E364" i="5"/>
  <c r="E373" i="5"/>
  <c r="E370" i="5"/>
  <c r="H2" i="5"/>
  <c r="H17" i="5" s="1"/>
  <c r="G2" i="5"/>
  <c r="G17" i="5" s="1"/>
  <c r="C2" i="6"/>
  <c r="C5" i="6"/>
  <c r="C5" i="1"/>
  <c r="C5" i="8"/>
  <c r="C5" i="5"/>
  <c r="R1" i="6"/>
  <c r="R18" i="6" s="1"/>
  <c r="N1" i="6"/>
  <c r="N18" i="6" s="1"/>
  <c r="J1" i="6"/>
  <c r="J18" i="6" s="1"/>
  <c r="K1" i="1"/>
  <c r="K18" i="1" s="1"/>
  <c r="O1" i="1"/>
  <c r="O18" i="1" s="1"/>
  <c r="AS1" i="8"/>
  <c r="AS18" i="8" s="1"/>
  <c r="AK1" i="8"/>
  <c r="AK18" i="8" s="1"/>
  <c r="AF1" i="8"/>
  <c r="AF18" i="8" s="1"/>
  <c r="X1" i="8"/>
  <c r="X18" i="8" s="1"/>
  <c r="G1" i="1"/>
  <c r="G18" i="1" s="1"/>
  <c r="AN1" i="8"/>
  <c r="AN18" i="8" s="1"/>
  <c r="AA1" i="8"/>
  <c r="AA18" i="8" s="1"/>
  <c r="Q1" i="6"/>
  <c r="Q18" i="6" s="1"/>
  <c r="M1" i="6"/>
  <c r="M18" i="6" s="1"/>
  <c r="I1" i="6"/>
  <c r="I18" i="6" s="1"/>
  <c r="S1" i="6"/>
  <c r="S18" i="6" s="1"/>
  <c r="H1" i="1"/>
  <c r="H18" i="1" s="1"/>
  <c r="L1" i="1"/>
  <c r="L18" i="1" s="1"/>
  <c r="P1" i="1"/>
  <c r="P18" i="1" s="1"/>
  <c r="AQ1" i="8"/>
  <c r="AQ18" i="8" s="1"/>
  <c r="AI1" i="8"/>
  <c r="AI18" i="8" s="1"/>
  <c r="P1" i="6"/>
  <c r="P18" i="6" s="1"/>
  <c r="L1" i="6"/>
  <c r="L18" i="6" s="1"/>
  <c r="H1" i="6"/>
  <c r="H18" i="6" s="1"/>
  <c r="I1" i="1"/>
  <c r="I18" i="1" s="1"/>
  <c r="M1" i="1"/>
  <c r="M18" i="1" s="1"/>
  <c r="Q1" i="1"/>
  <c r="Q18" i="1" s="1"/>
  <c r="AO1" i="8"/>
  <c r="AO18" i="8" s="1"/>
  <c r="AB1" i="8"/>
  <c r="AB18" i="8" s="1"/>
  <c r="O1" i="6"/>
  <c r="O18" i="6" s="1"/>
  <c r="G1" i="6"/>
  <c r="G18" i="6" s="1"/>
  <c r="AR1" i="8"/>
  <c r="AR18" i="8" s="1"/>
  <c r="AC1" i="8"/>
  <c r="AC18" i="8" s="1"/>
  <c r="N1" i="1"/>
  <c r="N18" i="1" s="1"/>
  <c r="AE1" i="8"/>
  <c r="AE18" i="8" s="1"/>
  <c r="Z1" i="8"/>
  <c r="Z18" i="8" s="1"/>
  <c r="K1" i="6"/>
  <c r="K18" i="6" s="1"/>
  <c r="AL1" i="8"/>
  <c r="AL18" i="8" s="1"/>
  <c r="R1" i="1"/>
  <c r="R18" i="1" s="1"/>
  <c r="AT1" i="8"/>
  <c r="AT18" i="8" s="1"/>
  <c r="AP1" i="8"/>
  <c r="AP18" i="8" s="1"/>
  <c r="AJ1" i="8"/>
  <c r="AJ18" i="8" s="1"/>
  <c r="W1" i="8"/>
  <c r="W18" i="8" s="1"/>
  <c r="AM1" i="8"/>
  <c r="AM18" i="8" s="1"/>
  <c r="Y1" i="8"/>
  <c r="Y18" i="8" s="1"/>
  <c r="AG1" i="8"/>
  <c r="AG18" i="8" s="1"/>
  <c r="V1" i="8"/>
  <c r="V18" i="8" s="1"/>
  <c r="S1" i="1"/>
  <c r="S18" i="1" s="1"/>
  <c r="AD1" i="8"/>
  <c r="AD18" i="8" s="1"/>
  <c r="J1" i="1"/>
  <c r="J18" i="1" s="1"/>
  <c r="C7" i="8"/>
  <c r="E17" i="8" s="1"/>
  <c r="C7" i="6"/>
  <c r="E17" i="6" s="1"/>
  <c r="C7" i="1"/>
  <c r="E17" i="1" s="1"/>
  <c r="C7" i="5"/>
  <c r="E17" i="5" s="1"/>
  <c r="C4" i="8"/>
  <c r="C4" i="6"/>
  <c r="C4" i="1"/>
  <c r="C4" i="5"/>
  <c r="F2" i="5"/>
  <c r="F17" i="5" s="1"/>
  <c r="F2" i="1"/>
  <c r="F17" i="1" s="1"/>
  <c r="F2" i="6"/>
  <c r="F17" i="6" s="1"/>
  <c r="D6" i="4"/>
  <c r="G31" i="4"/>
  <c r="D15" i="4"/>
  <c r="G34" i="4"/>
  <c r="D11" i="4"/>
  <c r="C1" i="1" l="1"/>
  <c r="C1" i="5"/>
  <c r="C1" i="8"/>
  <c r="F1" i="6"/>
  <c r="F18" i="6" s="1"/>
  <c r="D9" i="4"/>
  <c r="F1" i="1"/>
  <c r="F18" i="1" s="1"/>
  <c r="F1" i="5"/>
  <c r="E9" i="6"/>
  <c r="E9" i="5"/>
  <c r="E9" i="1"/>
  <c r="E9" i="8"/>
  <c r="H1" i="5"/>
  <c r="C1" i="6"/>
  <c r="E1" i="6"/>
  <c r="V23" i="8"/>
  <c r="F18" i="5" l="1"/>
  <c r="H18" i="5"/>
  <c r="K17" i="5" s="1"/>
  <c r="AU1" i="8"/>
  <c r="H1" i="8"/>
  <c r="AH1" i="8"/>
  <c r="F1" i="8"/>
  <c r="D10" i="4"/>
  <c r="G1" i="8"/>
  <c r="F18" i="8" l="1"/>
  <c r="AH18" i="8"/>
  <c r="H18" i="8"/>
  <c r="AU18" i="8"/>
  <c r="G18" i="8"/>
  <c r="P1" i="8"/>
  <c r="S1" i="8"/>
  <c r="K1" i="8"/>
  <c r="T1" i="8"/>
  <c r="L1" i="8"/>
  <c r="U1" i="8"/>
  <c r="O1" i="8"/>
  <c r="M1" i="8"/>
  <c r="N1" i="8"/>
  <c r="J1" i="8"/>
  <c r="R1" i="8"/>
  <c r="Q1" i="8"/>
  <c r="I1" i="8"/>
  <c r="Q18" i="8" l="1"/>
  <c r="K18" i="8"/>
  <c r="J18" i="8"/>
  <c r="S18" i="8"/>
  <c r="P18" i="8"/>
  <c r="M18" i="8"/>
  <c r="O18" i="8"/>
  <c r="N18" i="8"/>
  <c r="U18" i="8"/>
  <c r="I18" i="8"/>
  <c r="T18" i="8"/>
  <c r="L18" i="8"/>
  <c r="R18" i="8"/>
  <c r="V24" i="8" l="1"/>
  <c r="AR337" i="8"/>
  <c r="AI48" i="8"/>
  <c r="AF93" i="8"/>
  <c r="W35" i="8"/>
  <c r="AD78" i="8"/>
  <c r="AI70" i="8"/>
  <c r="Y56" i="8"/>
  <c r="AC89" i="8"/>
  <c r="AE64" i="8"/>
  <c r="AL45" i="8"/>
  <c r="AI35" i="8"/>
  <c r="AO299" i="8"/>
  <c r="AS34" i="8"/>
  <c r="AM78" i="8"/>
  <c r="X78" i="8"/>
  <c r="Z77" i="8"/>
  <c r="Y341" i="8"/>
  <c r="AS311" i="8"/>
  <c r="AR39" i="8"/>
  <c r="AD63" i="8"/>
  <c r="AE35" i="8"/>
  <c r="AC65" i="8"/>
  <c r="AL223" i="8"/>
  <c r="Z65" i="8"/>
  <c r="X42" i="8"/>
  <c r="AC333" i="8"/>
  <c r="AM300" i="8"/>
  <c r="AR63" i="8"/>
  <c r="Z242" i="8"/>
  <c r="AN337" i="8"/>
  <c r="AL32" i="8"/>
  <c r="AO309" i="8"/>
  <c r="AG75" i="8"/>
  <c r="AA62" i="8"/>
  <c r="AR302" i="8"/>
  <c r="AB40" i="8"/>
  <c r="AE325" i="8"/>
  <c r="AJ92" i="8"/>
  <c r="AF228" i="8"/>
  <c r="AN54" i="8"/>
  <c r="AK69" i="8"/>
  <c r="AS56" i="8"/>
  <c r="AT45" i="8"/>
  <c r="AS297" i="8"/>
  <c r="AQ37" i="8"/>
  <c r="AI58" i="8"/>
  <c r="AE301" i="8"/>
  <c r="AE45" i="8"/>
  <c r="AA50" i="8"/>
  <c r="AG70" i="8"/>
  <c r="AE48" i="8"/>
  <c r="X327" i="8"/>
  <c r="AB236" i="8"/>
  <c r="AR64" i="8"/>
  <c r="AK314" i="8"/>
  <c r="AR40" i="8"/>
  <c r="AR36" i="8"/>
  <c r="AA327" i="8"/>
  <c r="AS60" i="8"/>
  <c r="X333" i="8"/>
  <c r="AS42" i="8"/>
  <c r="AQ323" i="8"/>
  <c r="AA228" i="8"/>
  <c r="V20" i="8"/>
  <c r="AA73" i="8"/>
  <c r="AO250" i="8"/>
  <c r="AS302" i="8"/>
  <c r="AE87" i="8"/>
  <c r="AC63" i="8"/>
  <c r="AC93" i="8"/>
  <c r="AA69" i="8"/>
  <c r="AM184" i="8"/>
  <c r="AG173" i="8"/>
  <c r="AR149" i="8"/>
  <c r="AQ298" i="8"/>
  <c r="AQ176" i="8"/>
  <c r="AO119" i="8"/>
  <c r="AP130" i="8"/>
  <c r="AP252" i="8"/>
  <c r="AI60" i="8"/>
  <c r="Y134" i="8"/>
  <c r="W129" i="8"/>
  <c r="AJ68" i="8"/>
  <c r="Y301" i="8"/>
  <c r="AE34" i="8"/>
  <c r="AQ242" i="8"/>
  <c r="AQ300" i="8"/>
  <c r="AQ301" i="8"/>
  <c r="Z67" i="8"/>
  <c r="AC337" i="8"/>
  <c r="AQ20" i="8"/>
  <c r="V87" i="8"/>
  <c r="AD36" i="8"/>
  <c r="AQ70" i="8"/>
  <c r="AR301" i="8"/>
  <c r="AS256" i="8"/>
  <c r="V54" i="8"/>
  <c r="Z144" i="8"/>
  <c r="Y59" i="8"/>
  <c r="AG90" i="8"/>
  <c r="AE33" i="8"/>
  <c r="AT163" i="8"/>
  <c r="AQ341" i="8"/>
  <c r="Y244" i="8"/>
  <c r="AR163" i="8"/>
  <c r="AQ173" i="8"/>
  <c r="AJ35" i="8"/>
  <c r="AE77" i="8"/>
  <c r="AN139" i="8"/>
  <c r="AG288" i="8"/>
  <c r="AS23" i="8"/>
  <c r="V170" i="8"/>
  <c r="AG115" i="8"/>
  <c r="S29" i="1"/>
  <c r="AF56" i="8"/>
  <c r="AF298" i="8"/>
  <c r="V77" i="8"/>
  <c r="V337" i="8"/>
  <c r="AP70" i="8"/>
  <c r="AR70" i="8"/>
  <c r="AG301" i="8"/>
  <c r="AS68" i="8"/>
  <c r="AJ116" i="8"/>
  <c r="AT254" i="8"/>
  <c r="AK302" i="8"/>
  <c r="AP90" i="8"/>
  <c r="AO66" i="8"/>
  <c r="AF60" i="8"/>
  <c r="AP54" i="8"/>
  <c r="V341" i="8"/>
  <c r="AM69" i="8"/>
  <c r="AJ302" i="8"/>
  <c r="AS90" i="8"/>
  <c r="AS298" i="8"/>
  <c r="V303" i="8"/>
  <c r="AA52" i="8"/>
  <c r="AF69" i="8"/>
  <c r="AF72" i="8"/>
  <c r="AK76" i="8"/>
  <c r="AR46" i="8"/>
  <c r="AG298" i="8"/>
  <c r="AA65" i="8"/>
  <c r="V39" i="8"/>
  <c r="AA37" i="8"/>
  <c r="AE300" i="8"/>
  <c r="AC33" i="8"/>
  <c r="AN299" i="8"/>
  <c r="AL303" i="8"/>
  <c r="AA301" i="8"/>
  <c r="V31" i="8"/>
  <c r="AR48" i="8"/>
  <c r="AG45" i="8"/>
  <c r="AO335" i="8"/>
  <c r="AR74" i="8"/>
  <c r="AM301" i="8"/>
  <c r="AA76" i="8"/>
  <c r="AD337" i="8"/>
  <c r="AB43" i="8"/>
  <c r="AE52" i="8"/>
  <c r="AD333" i="8"/>
  <c r="AL62" i="8"/>
  <c r="AF297" i="8"/>
  <c r="AM84" i="8"/>
  <c r="AF176" i="8"/>
  <c r="AM303" i="8"/>
  <c r="AQ314" i="8"/>
  <c r="AF66" i="8"/>
  <c r="AE78" i="8"/>
  <c r="AD61" i="8"/>
  <c r="Y305" i="8"/>
  <c r="AG52" i="8"/>
  <c r="W310" i="8"/>
  <c r="Y311" i="8"/>
  <c r="Z31" i="8"/>
  <c r="AT304" i="8"/>
  <c r="AT314" i="8"/>
  <c r="AF307" i="8"/>
  <c r="AT75" i="8"/>
  <c r="AA153" i="8"/>
  <c r="AM48" i="8"/>
  <c r="Z73" i="8"/>
  <c r="AD300" i="8"/>
  <c r="AD66" i="8"/>
  <c r="AI309" i="8"/>
  <c r="AP33" i="8"/>
  <c r="AI297" i="8"/>
  <c r="AQ50" i="8"/>
  <c r="AO33" i="8"/>
  <c r="W331" i="8"/>
  <c r="AC147" i="8"/>
  <c r="AR304" i="8"/>
  <c r="W74" i="8"/>
  <c r="AQ302" i="8"/>
  <c r="AK52" i="8"/>
  <c r="W92" i="8"/>
  <c r="AM337" i="8"/>
  <c r="AB248" i="8"/>
  <c r="AN40" i="8"/>
  <c r="AP244" i="8"/>
  <c r="V331" i="8"/>
  <c r="AE234" i="8"/>
  <c r="AB64" i="8"/>
  <c r="AD223" i="8"/>
  <c r="AC184" i="8"/>
  <c r="AO121" i="8"/>
  <c r="AE170" i="8"/>
  <c r="W61" i="8"/>
  <c r="AR282" i="8"/>
  <c r="AN209" i="8"/>
  <c r="AR303" i="8"/>
  <c r="AL73" i="8"/>
  <c r="AS327" i="8"/>
  <c r="AS252" i="8"/>
  <c r="AT301" i="8"/>
  <c r="AJ73" i="8"/>
  <c r="AJ32" i="8"/>
  <c r="AF74" i="8"/>
  <c r="AL311" i="8"/>
  <c r="Y69" i="8"/>
  <c r="X248" i="8"/>
  <c r="AO339" i="8"/>
  <c r="X72" i="8"/>
  <c r="AK67" i="8"/>
  <c r="AL37" i="8"/>
  <c r="AB42" i="8"/>
  <c r="Z72" i="8"/>
  <c r="AI310" i="8"/>
  <c r="AA42" i="8"/>
  <c r="AP335" i="8"/>
  <c r="AC56" i="8"/>
  <c r="Y64" i="8"/>
  <c r="AN302" i="8"/>
  <c r="AR65" i="8"/>
  <c r="AG42" i="8"/>
  <c r="AR75" i="8"/>
  <c r="AM67" i="8"/>
  <c r="Y302" i="8"/>
  <c r="X60" i="8"/>
  <c r="W68" i="8"/>
  <c r="AP299" i="8"/>
  <c r="V78" i="8"/>
  <c r="Y70" i="8"/>
  <c r="AS87" i="8"/>
  <c r="Z298" i="8"/>
  <c r="AF33" i="8"/>
  <c r="AN52" i="8"/>
  <c r="AM70" i="8"/>
  <c r="W34" i="8"/>
  <c r="V71" i="8"/>
  <c r="AE39" i="8"/>
  <c r="X32" i="8"/>
  <c r="X65" i="8"/>
  <c r="AN75" i="8"/>
  <c r="AF34" i="8"/>
  <c r="W84" i="8"/>
  <c r="AD74" i="8"/>
  <c r="AN29" i="8"/>
  <c r="AB301" i="8"/>
  <c r="AL71" i="8"/>
  <c r="AE63" i="8"/>
  <c r="AB32" i="8"/>
  <c r="V61" i="8"/>
  <c r="AL254" i="8"/>
  <c r="AG302" i="8"/>
  <c r="AF63" i="8"/>
  <c r="AK37" i="8"/>
  <c r="V297" i="8"/>
  <c r="AD254" i="8"/>
  <c r="AI73" i="8"/>
  <c r="AG59" i="8"/>
  <c r="AN87" i="8"/>
  <c r="AT52" i="8"/>
  <c r="AD64" i="8"/>
  <c r="AL329" i="8"/>
  <c r="AE58" i="8"/>
  <c r="AI72" i="8"/>
  <c r="AN60" i="8"/>
  <c r="AO48" i="8"/>
  <c r="AC92" i="8"/>
  <c r="AD72" i="8"/>
  <c r="AL72" i="8"/>
  <c r="AO75" i="8"/>
  <c r="AP60" i="8"/>
  <c r="AF310" i="8"/>
  <c r="X37" i="8"/>
  <c r="AR162" i="8"/>
  <c r="AI29" i="8"/>
  <c r="AJ23" i="8"/>
  <c r="AA86" i="8"/>
  <c r="AD119" i="8"/>
  <c r="AN36" i="8"/>
  <c r="AD29" i="8"/>
  <c r="AQ82" i="8"/>
  <c r="AM147" i="8"/>
  <c r="AB48" i="8"/>
  <c r="AA85" i="8"/>
  <c r="Z171" i="8"/>
  <c r="AQ252" i="8"/>
  <c r="AC166" i="8"/>
  <c r="AT29" i="8"/>
  <c r="AK77" i="8"/>
  <c r="AT240" i="8"/>
  <c r="AK300" i="8"/>
  <c r="W33" i="8"/>
  <c r="AL301" i="8"/>
  <c r="AQ35" i="8"/>
  <c r="AM36" i="8"/>
  <c r="W337" i="8"/>
  <c r="V335" i="8"/>
  <c r="X73" i="8"/>
  <c r="AT242" i="8"/>
  <c r="AQ230" i="8"/>
  <c r="AA60" i="8"/>
  <c r="AQ161" i="8"/>
  <c r="Y31" i="8"/>
  <c r="AL183" i="8"/>
  <c r="X323" i="8"/>
  <c r="Z224" i="8"/>
  <c r="X48" i="8"/>
  <c r="AR156" i="8"/>
  <c r="AK297" i="8"/>
  <c r="AS132" i="8"/>
  <c r="AF46" i="8"/>
  <c r="AL143" i="8"/>
  <c r="Z176" i="8"/>
  <c r="AI331" i="8"/>
  <c r="AC226" i="8"/>
  <c r="AP180" i="8"/>
  <c r="AP23" i="8"/>
  <c r="AG248" i="8"/>
  <c r="Y177" i="8"/>
  <c r="X148" i="8"/>
  <c r="AL66" i="8"/>
  <c r="AQ339" i="8"/>
  <c r="AF39" i="8"/>
  <c r="AA66" i="8"/>
  <c r="AQ74" i="8"/>
  <c r="Z297" i="8"/>
  <c r="AM335" i="8"/>
  <c r="AP35" i="8"/>
  <c r="AQ43" i="8"/>
  <c r="AQ131" i="8"/>
  <c r="AA45" i="8"/>
  <c r="AB305" i="8"/>
  <c r="AA309" i="8"/>
  <c r="AF40" i="8"/>
  <c r="AR38" i="8"/>
  <c r="AE54" i="8"/>
  <c r="AK42" i="8"/>
  <c r="AP42" i="8"/>
  <c r="AO301" i="8"/>
  <c r="AL59" i="8"/>
  <c r="AG48" i="8"/>
  <c r="AL327" i="8"/>
  <c r="AL50" i="8"/>
  <c r="AK40" i="8"/>
  <c r="AL63" i="8"/>
  <c r="AN76" i="8"/>
  <c r="AT329" i="8"/>
  <c r="Z303" i="8"/>
  <c r="AK70" i="8"/>
  <c r="AT339" i="8"/>
  <c r="Z32" i="8"/>
  <c r="AQ29" i="8"/>
  <c r="Z61" i="8"/>
  <c r="AS93" i="8"/>
  <c r="W234" i="8"/>
  <c r="AR238" i="8"/>
  <c r="AP66" i="8"/>
  <c r="AA59" i="8"/>
  <c r="AS66" i="8"/>
  <c r="AS335" i="8"/>
  <c r="AO62" i="8"/>
  <c r="AL313" i="8"/>
  <c r="AD341" i="8"/>
  <c r="AF73" i="8"/>
  <c r="AS323" i="8"/>
  <c r="AA314" i="8"/>
  <c r="AI307" i="8"/>
  <c r="AA297" i="8"/>
  <c r="AA331" i="8"/>
  <c r="AS306" i="8"/>
  <c r="AQ48" i="8"/>
  <c r="W341" i="8"/>
  <c r="AA337" i="8"/>
  <c r="AI301" i="8"/>
  <c r="AN70" i="8"/>
  <c r="W240" i="8"/>
  <c r="AC58" i="8"/>
  <c r="Y77" i="8"/>
  <c r="AR58" i="8"/>
  <c r="AL76" i="8"/>
  <c r="AP31" i="8"/>
  <c r="Y313" i="8"/>
  <c r="AE73" i="8"/>
  <c r="AR226" i="8"/>
  <c r="AI45" i="8"/>
  <c r="AT152" i="8"/>
  <c r="AJ76" i="8"/>
  <c r="AE61" i="8"/>
  <c r="AO73" i="8"/>
  <c r="AS71" i="8"/>
  <c r="AG300" i="8"/>
  <c r="Z93" i="8"/>
  <c r="AT65" i="8"/>
  <c r="Z335" i="8"/>
  <c r="AF341" i="8"/>
  <c r="Z68" i="8"/>
  <c r="X250" i="8"/>
  <c r="AB69" i="8"/>
  <c r="AR333" i="8"/>
  <c r="V58" i="8"/>
  <c r="AC85" i="8"/>
  <c r="AD309" i="8"/>
  <c r="AB230" i="8"/>
  <c r="AS139" i="8"/>
  <c r="AO240" i="8"/>
  <c r="AJ234" i="8"/>
  <c r="AO43" i="8"/>
  <c r="AC32" i="8"/>
  <c r="AN176" i="8"/>
  <c r="AQ85" i="8"/>
  <c r="AL150" i="8"/>
  <c r="AM103" i="8"/>
  <c r="AS224" i="8"/>
  <c r="AF246" i="8"/>
  <c r="AF230" i="8"/>
  <c r="AJ50" i="8"/>
  <c r="AJ48" i="8"/>
  <c r="AS58" i="8"/>
  <c r="AS67" i="8"/>
  <c r="AB60" i="8"/>
  <c r="AI67" i="8"/>
  <c r="Y329" i="8"/>
  <c r="AK31" i="8"/>
  <c r="AE66" i="8"/>
  <c r="W86" i="8"/>
  <c r="AR67" i="8"/>
  <c r="AQ38" i="8"/>
  <c r="AI300" i="8"/>
  <c r="Y45" i="8"/>
  <c r="W254" i="8"/>
  <c r="AB304" i="8"/>
  <c r="AN23" i="8"/>
  <c r="AC167" i="8"/>
  <c r="AP50" i="8"/>
  <c r="X304" i="8"/>
  <c r="Z234" i="8"/>
  <c r="AQ145" i="8"/>
  <c r="AP40" i="8"/>
  <c r="AB139" i="8"/>
  <c r="AQ157" i="8"/>
  <c r="AE224" i="8"/>
  <c r="AO141" i="8"/>
  <c r="Z126" i="8"/>
  <c r="AE327" i="8"/>
  <c r="AS154" i="8"/>
  <c r="X43" i="8"/>
  <c r="AQ197" i="8"/>
  <c r="AB46" i="8"/>
  <c r="Y32" i="8"/>
  <c r="AB38" i="8"/>
  <c r="AK35" i="8"/>
  <c r="AI50" i="8"/>
  <c r="AI252" i="8"/>
  <c r="AT62" i="8"/>
  <c r="AA223" i="8"/>
  <c r="AQ62" i="8"/>
  <c r="AG54" i="8"/>
  <c r="AS82" i="8"/>
  <c r="AQ226" i="8"/>
  <c r="AA307" i="8"/>
  <c r="AF64" i="8"/>
  <c r="AA74" i="8"/>
  <c r="Y52" i="8"/>
  <c r="AF309" i="8"/>
  <c r="AI65" i="8"/>
  <c r="Y78" i="8"/>
  <c r="AO70" i="8"/>
  <c r="Y40" i="8"/>
  <c r="AS232" i="8"/>
  <c r="AF306" i="8"/>
  <c r="AL52" i="8"/>
  <c r="AC50" i="8"/>
  <c r="W77" i="8"/>
  <c r="AN234" i="8"/>
  <c r="AG299" i="8"/>
  <c r="AN45" i="8"/>
  <c r="AI89" i="8"/>
  <c r="AS228" i="8"/>
  <c r="AG335" i="8"/>
  <c r="AG323" i="8"/>
  <c r="AJ43" i="8"/>
  <c r="W76" i="8"/>
  <c r="AA341" i="8"/>
  <c r="AP63" i="8"/>
  <c r="AP36" i="8"/>
  <c r="V45" i="8"/>
  <c r="AK61" i="8"/>
  <c r="AN48" i="8"/>
  <c r="AN43" i="8"/>
  <c r="AL306" i="8"/>
  <c r="AG56" i="8"/>
  <c r="AA77" i="8"/>
  <c r="AN68" i="8"/>
  <c r="AE37" i="8"/>
  <c r="AF303" i="8"/>
  <c r="AP339" i="8"/>
  <c r="AN50" i="8"/>
  <c r="AP75" i="8"/>
  <c r="AP34" i="8"/>
  <c r="AG89" i="8"/>
  <c r="AJ309" i="8"/>
  <c r="AN298" i="8"/>
  <c r="AO302" i="8"/>
  <c r="AQ329" i="8"/>
  <c r="AC45" i="8"/>
  <c r="AT297" i="8"/>
  <c r="AG63" i="8"/>
  <c r="AE341" i="8"/>
  <c r="Z70" i="8"/>
  <c r="AL38" i="8"/>
  <c r="X335" i="8"/>
  <c r="AL43" i="8"/>
  <c r="AL31" i="8"/>
  <c r="X74" i="8"/>
  <c r="AK90" i="8"/>
  <c r="AJ69" i="8"/>
  <c r="AI234" i="8"/>
  <c r="AG297" i="8"/>
  <c r="AG23" i="8"/>
  <c r="AL337" i="8"/>
  <c r="AJ34" i="8"/>
  <c r="AQ224" i="8"/>
  <c r="AB121" i="8"/>
  <c r="Z240" i="8"/>
  <c r="AO156" i="8"/>
  <c r="AD224" i="8"/>
  <c r="AO232" i="8"/>
  <c r="AJ59" i="8"/>
  <c r="AO226" i="8"/>
  <c r="AD242" i="8"/>
  <c r="Y87" i="8"/>
  <c r="AK254" i="8"/>
  <c r="AK244" i="8"/>
  <c r="X130" i="8"/>
  <c r="X105" i="8"/>
  <c r="AM299" i="8"/>
  <c r="AM40" i="8"/>
  <c r="AS64" i="8"/>
  <c r="AF77" i="8"/>
  <c r="V92" i="8"/>
  <c r="AA40" i="8"/>
  <c r="AC61" i="8"/>
  <c r="AF68" i="8"/>
  <c r="AN81" i="8"/>
  <c r="AQ146" i="8"/>
  <c r="AA313" i="8"/>
  <c r="AE313" i="8"/>
  <c r="V74" i="8"/>
  <c r="AM331" i="8"/>
  <c r="AO85" i="8"/>
  <c r="AQ59" i="8"/>
  <c r="AJ335" i="8"/>
  <c r="AS70" i="8"/>
  <c r="X331" i="8"/>
  <c r="Y60" i="8"/>
  <c r="Z82" i="8"/>
  <c r="AP43" i="8"/>
  <c r="AP341" i="8"/>
  <c r="AA48" i="8"/>
  <c r="AJ65" i="8"/>
  <c r="AP76" i="8"/>
  <c r="AM60" i="8"/>
  <c r="AM46" i="8"/>
  <c r="AB72" i="8"/>
  <c r="AC67" i="8"/>
  <c r="AK63" i="8"/>
  <c r="V238" i="8"/>
  <c r="AD311" i="8"/>
  <c r="AR59" i="8"/>
  <c r="AK303" i="8"/>
  <c r="AN37" i="8"/>
  <c r="AD32" i="8"/>
  <c r="AL20" i="8"/>
  <c r="AJ61" i="8"/>
  <c r="AK133" i="8"/>
  <c r="AD346" i="8"/>
  <c r="AD139" i="8"/>
  <c r="AK150" i="8"/>
  <c r="AQ115" i="8"/>
  <c r="AT70" i="8"/>
  <c r="AR77" i="8"/>
  <c r="AC39" i="8"/>
  <c r="AA325" i="8"/>
  <c r="W339" i="8"/>
  <c r="AJ311" i="8"/>
  <c r="AF38" i="8"/>
  <c r="AA95" i="8"/>
  <c r="AL250" i="8"/>
  <c r="AR325" i="8"/>
  <c r="AG252" i="8"/>
  <c r="Z344" i="8"/>
  <c r="AJ152" i="8"/>
  <c r="AB81" i="8"/>
  <c r="AD156" i="8"/>
  <c r="AT323" i="8"/>
  <c r="AD108" i="8"/>
  <c r="AQ238" i="8"/>
  <c r="AT313" i="8"/>
  <c r="AT310" i="8"/>
  <c r="AO177" i="8"/>
  <c r="X339" i="8"/>
  <c r="AM93" i="8"/>
  <c r="AI31" i="8"/>
  <c r="AG69" i="8"/>
  <c r="AD37" i="8"/>
  <c r="Z244" i="8"/>
  <c r="Y48" i="8"/>
  <c r="AA130" i="8"/>
  <c r="AQ32" i="8"/>
  <c r="AF158" i="8"/>
  <c r="Y232" i="8"/>
  <c r="AK226" i="8"/>
  <c r="AR346" i="8"/>
  <c r="AP37" i="8"/>
  <c r="AE305" i="8"/>
  <c r="AJ36" i="8"/>
  <c r="AT145" i="8"/>
  <c r="AF156" i="8"/>
  <c r="AK102" i="8"/>
  <c r="AC143" i="8"/>
  <c r="AR25" i="8"/>
  <c r="AL120" i="8"/>
  <c r="AF131" i="8"/>
  <c r="AS175" i="8"/>
  <c r="AQ42" i="8"/>
  <c r="AI42" i="8"/>
  <c r="AO234" i="8"/>
  <c r="AS303" i="8"/>
  <c r="AR335" i="8"/>
  <c r="AS331" i="8"/>
  <c r="AE303" i="8"/>
  <c r="AT43" i="8"/>
  <c r="AB39" i="8"/>
  <c r="AM165" i="8"/>
  <c r="Z333" i="8"/>
  <c r="Z50" i="8"/>
  <c r="AI63" i="8"/>
  <c r="Y246" i="8"/>
  <c r="AT298" i="8"/>
  <c r="AR298" i="8"/>
  <c r="AN300" i="8"/>
  <c r="AQ66" i="8"/>
  <c r="AE232" i="8"/>
  <c r="AG230" i="8"/>
  <c r="W65" i="8"/>
  <c r="AF71" i="8"/>
  <c r="Y66" i="8"/>
  <c r="W32" i="8"/>
  <c r="AF177" i="8"/>
  <c r="AE228" i="8"/>
  <c r="AD246" i="8"/>
  <c r="AQ297" i="8"/>
  <c r="AL199" i="8"/>
  <c r="AB86" i="8"/>
  <c r="AK234" i="8"/>
  <c r="AR155" i="8"/>
  <c r="AQ163" i="8"/>
  <c r="Y147" i="8"/>
  <c r="X45" i="8"/>
  <c r="X246" i="8"/>
  <c r="AN102" i="8"/>
  <c r="AF70" i="8"/>
  <c r="AD180" i="8"/>
  <c r="AR52" i="8"/>
  <c r="AK337" i="8"/>
  <c r="AI69" i="8"/>
  <c r="AP65" i="8"/>
  <c r="Y297" i="8"/>
  <c r="Z302" i="8"/>
  <c r="AN303" i="8"/>
  <c r="AR299" i="8"/>
  <c r="AT64" i="8"/>
  <c r="W52" i="8"/>
  <c r="V333" i="8"/>
  <c r="AP301" i="8"/>
  <c r="X313" i="8"/>
  <c r="AI46" i="8"/>
  <c r="AD82" i="8"/>
  <c r="W45" i="8"/>
  <c r="AC75" i="8"/>
  <c r="AT333" i="8"/>
  <c r="AG92" i="8"/>
  <c r="Y73" i="8"/>
  <c r="AP48" i="8"/>
  <c r="Y314" i="8"/>
  <c r="AD89" i="8"/>
  <c r="AM82" i="8"/>
  <c r="V246" i="8"/>
  <c r="AK224" i="8"/>
  <c r="AN84" i="8"/>
  <c r="AF254" i="8"/>
  <c r="AA29" i="8"/>
  <c r="AA164" i="8"/>
  <c r="AR175" i="8"/>
  <c r="AN65" i="8"/>
  <c r="AC254" i="8"/>
  <c r="AD73" i="8"/>
  <c r="AO61" i="8"/>
  <c r="W39" i="8"/>
  <c r="AC82" i="8"/>
  <c r="Z74" i="8"/>
  <c r="AL236" i="8"/>
  <c r="Y122" i="8"/>
  <c r="AJ183" i="8"/>
  <c r="AI323" i="8"/>
  <c r="AS146" i="8"/>
  <c r="AR121" i="8"/>
  <c r="AO167" i="8"/>
  <c r="AE131" i="8"/>
  <c r="AM37" i="8"/>
  <c r="AE226" i="8"/>
  <c r="W153" i="8"/>
  <c r="AT38" i="8"/>
  <c r="AG331" i="8"/>
  <c r="V40" i="8"/>
  <c r="AB314" i="8"/>
  <c r="AC228" i="8"/>
  <c r="AD62" i="8"/>
  <c r="AI87" i="8"/>
  <c r="AP85" i="8"/>
  <c r="AR309" i="8"/>
  <c r="AA302" i="8"/>
  <c r="AD306" i="8"/>
  <c r="AL333" i="8"/>
  <c r="AN323" i="8"/>
  <c r="AN163" i="8"/>
  <c r="AG93" i="8"/>
  <c r="AK146" i="8"/>
  <c r="W90" i="8"/>
  <c r="AT76" i="8"/>
  <c r="AB313" i="8"/>
  <c r="AS180" i="8"/>
  <c r="AN297" i="8"/>
  <c r="AI116" i="8"/>
  <c r="AM108" i="8"/>
  <c r="AD59" i="8"/>
  <c r="AI240" i="8"/>
  <c r="AF145" i="8"/>
  <c r="AF132" i="8"/>
  <c r="X302" i="8"/>
  <c r="AB89" i="8"/>
  <c r="X69" i="8"/>
  <c r="AI341" i="8"/>
  <c r="AE306" i="8"/>
  <c r="AP46" i="8"/>
  <c r="Z48" i="8"/>
  <c r="W327" i="8"/>
  <c r="AG40" i="8"/>
  <c r="AI54" i="8"/>
  <c r="AL70" i="8"/>
  <c r="AN256" i="8"/>
  <c r="AN309" i="8"/>
  <c r="Z179" i="8"/>
  <c r="AM304" i="8"/>
  <c r="Z78" i="8"/>
  <c r="AI43" i="8"/>
  <c r="Z313" i="8"/>
  <c r="AD86" i="8"/>
  <c r="AS32" i="8"/>
  <c r="Z37" i="8"/>
  <c r="X64" i="8"/>
  <c r="X31" i="8"/>
  <c r="AO40" i="8"/>
  <c r="AG152" i="8"/>
  <c r="AR87" i="8"/>
  <c r="AO92" i="8"/>
  <c r="AC31" i="8"/>
  <c r="AB252" i="8"/>
  <c r="AI224" i="8"/>
  <c r="AL136" i="8"/>
  <c r="AE105" i="8"/>
  <c r="AK166" i="8"/>
  <c r="AP210" i="8"/>
  <c r="X314" i="8"/>
  <c r="AR62" i="8"/>
  <c r="AE72" i="8"/>
  <c r="AK78" i="8"/>
  <c r="AE56" i="8"/>
  <c r="AL298" i="8"/>
  <c r="X36" i="8"/>
  <c r="Y303" i="8"/>
  <c r="AO90" i="8"/>
  <c r="X39" i="8"/>
  <c r="AD339" i="8"/>
  <c r="W300" i="8"/>
  <c r="AJ323" i="8"/>
  <c r="AS309" i="8"/>
  <c r="AO244" i="8"/>
  <c r="AI339" i="8"/>
  <c r="AL61" i="8"/>
  <c r="AQ68" i="8"/>
  <c r="AR313" i="8"/>
  <c r="AE71" i="8"/>
  <c r="AT33" i="8"/>
  <c r="W85" i="8"/>
  <c r="AO38" i="8"/>
  <c r="AE333" i="8"/>
  <c r="AR323" i="8"/>
  <c r="AM339" i="8"/>
  <c r="AS240" i="8"/>
  <c r="Y176" i="8"/>
  <c r="AG124" i="8"/>
  <c r="AE50" i="8"/>
  <c r="AG159" i="8"/>
  <c r="AL135" i="8"/>
  <c r="AC311" i="8"/>
  <c r="AD56" i="8"/>
  <c r="AC66" i="8"/>
  <c r="AB66" i="8"/>
  <c r="AA78" i="8"/>
  <c r="AM32" i="8"/>
  <c r="AG143" i="8"/>
  <c r="AL299" i="8"/>
  <c r="AK124" i="8"/>
  <c r="AQ240" i="8"/>
  <c r="AT136" i="8"/>
  <c r="AQ248" i="8"/>
  <c r="AL191" i="8"/>
  <c r="AD182" i="8"/>
  <c r="AO228" i="8"/>
  <c r="AC110" i="8"/>
  <c r="AI111" i="8"/>
  <c r="AO314" i="8"/>
  <c r="AS33" i="8"/>
  <c r="AP71" i="8"/>
  <c r="AK84" i="8"/>
  <c r="Y72" i="8"/>
  <c r="AF167" i="8"/>
  <c r="AB337" i="8"/>
  <c r="AM311" i="8"/>
  <c r="AQ305" i="8"/>
  <c r="AK23" i="8"/>
  <c r="AA43" i="8"/>
  <c r="AG306" i="8"/>
  <c r="AM72" i="8"/>
  <c r="AC118" i="8"/>
  <c r="AS337" i="8"/>
  <c r="AE153" i="8"/>
  <c r="AI62" i="8"/>
  <c r="AS120" i="8"/>
  <c r="AQ184" i="8"/>
  <c r="X63" i="8"/>
  <c r="AS181" i="8"/>
  <c r="AA244" i="8"/>
  <c r="AS106" i="8"/>
  <c r="X116" i="8"/>
  <c r="AR34" i="8"/>
  <c r="AJ142" i="8"/>
  <c r="AE280" i="8"/>
  <c r="AR190" i="8"/>
  <c r="AE46" i="8"/>
  <c r="AO77" i="8"/>
  <c r="AL58" i="8"/>
  <c r="AQ54" i="8"/>
  <c r="AR50" i="8"/>
  <c r="AT311" i="8"/>
  <c r="AQ81" i="8"/>
  <c r="AO42" i="8"/>
  <c r="W46" i="8"/>
  <c r="AK298" i="8"/>
  <c r="AB84" i="8"/>
  <c r="AL35" i="8"/>
  <c r="AD298" i="8"/>
  <c r="AC140" i="8"/>
  <c r="AO310" i="8"/>
  <c r="AN331" i="8"/>
  <c r="AD70" i="8"/>
  <c r="V250" i="8"/>
  <c r="AQ75" i="8"/>
  <c r="AR60" i="8"/>
  <c r="AK323" i="8"/>
  <c r="AG234" i="8"/>
  <c r="AA311" i="8"/>
  <c r="AS36" i="8"/>
  <c r="W122" i="8"/>
  <c r="X240" i="8"/>
  <c r="AM141" i="8"/>
  <c r="AJ136" i="8"/>
  <c r="AG265" i="8"/>
  <c r="AR159" i="8"/>
  <c r="AN157" i="8"/>
  <c r="AO223" i="8"/>
  <c r="AF133" i="8"/>
  <c r="AK126" i="8"/>
  <c r="AE142" i="8"/>
  <c r="AO115" i="8"/>
  <c r="AA181" i="8"/>
  <c r="AD45" i="8"/>
  <c r="AC48" i="8"/>
  <c r="AG170" i="8"/>
  <c r="AL144" i="8"/>
  <c r="AB136" i="8"/>
  <c r="AL145" i="8"/>
  <c r="AP318" i="8"/>
  <c r="W192" i="8"/>
  <c r="AS178" i="8"/>
  <c r="AC101" i="8"/>
  <c r="AF76" i="8"/>
  <c r="AO60" i="8"/>
  <c r="AD331" i="8"/>
  <c r="AC297" i="8"/>
  <c r="AC86" i="8"/>
  <c r="AT40" i="8"/>
  <c r="AB63" i="8"/>
  <c r="AE74" i="8"/>
  <c r="AM42" i="8"/>
  <c r="AN335" i="8"/>
  <c r="Z238" i="8"/>
  <c r="AI39" i="8"/>
  <c r="X66" i="8"/>
  <c r="AS20" i="8"/>
  <c r="AI248" i="8"/>
  <c r="V64" i="8"/>
  <c r="AM50" i="8"/>
  <c r="AC68" i="8"/>
  <c r="AO52" i="8"/>
  <c r="AB323" i="8"/>
  <c r="AT68" i="8"/>
  <c r="AF31" i="8"/>
  <c r="AN62" i="8"/>
  <c r="AM56" i="8"/>
  <c r="AN64" i="8"/>
  <c r="AK39" i="8"/>
  <c r="AL29" i="8"/>
  <c r="AI250" i="8"/>
  <c r="AI37" i="8"/>
  <c r="W71" i="8"/>
  <c r="AC81" i="8"/>
  <c r="AC35" i="8"/>
  <c r="W66" i="8"/>
  <c r="Y224" i="8"/>
  <c r="W244" i="8"/>
  <c r="V93" i="8"/>
  <c r="AD77" i="8"/>
  <c r="AS316" i="8"/>
  <c r="X38" i="8"/>
  <c r="AO65" i="8"/>
  <c r="X236" i="8"/>
  <c r="AG31" i="8"/>
  <c r="AA23" i="8"/>
  <c r="AB93" i="8"/>
  <c r="AR20" i="8"/>
  <c r="AN230" i="8"/>
  <c r="AL148" i="8"/>
  <c r="AJ126" i="8"/>
  <c r="AO35" i="8"/>
  <c r="AJ236" i="8"/>
  <c r="W124" i="8"/>
  <c r="AE171" i="8"/>
  <c r="AJ25" i="8"/>
  <c r="AT165" i="8"/>
  <c r="W242" i="8"/>
  <c r="AS314" i="8"/>
  <c r="V65" i="8"/>
  <c r="AO32" i="8"/>
  <c r="AO300" i="8"/>
  <c r="AJ230" i="8"/>
  <c r="AN244" i="8"/>
  <c r="AI246" i="8"/>
  <c r="AD58" i="8"/>
  <c r="AP61" i="8"/>
  <c r="AB311" i="8"/>
  <c r="AO238" i="8"/>
  <c r="AR254" i="8"/>
  <c r="AL46" i="8"/>
  <c r="AM232" i="8"/>
  <c r="AM63" i="8"/>
  <c r="Z254" i="8"/>
  <c r="W297" i="8"/>
  <c r="AI126" i="8"/>
  <c r="AO110" i="8"/>
  <c r="AG110" i="8"/>
  <c r="AD121" i="8"/>
  <c r="AQ93" i="8"/>
  <c r="X300" i="8"/>
  <c r="AJ75" i="8"/>
  <c r="AJ226" i="8"/>
  <c r="AA93" i="8"/>
  <c r="AB54" i="8"/>
  <c r="AO125" i="8"/>
  <c r="AF67" i="8"/>
  <c r="AK310" i="8"/>
  <c r="Z341" i="8"/>
  <c r="AF82" i="8"/>
  <c r="AF329" i="8"/>
  <c r="AD35" i="8"/>
  <c r="AJ248" i="8"/>
  <c r="AJ63" i="8"/>
  <c r="AK86" i="8"/>
  <c r="AJ252" i="8"/>
  <c r="AJ86" i="8"/>
  <c r="AI115" i="8"/>
  <c r="AN228" i="8"/>
  <c r="W230" i="8"/>
  <c r="AM256" i="8"/>
  <c r="AC69" i="8"/>
  <c r="AL78" i="8"/>
  <c r="AP333" i="8"/>
  <c r="AQ64" i="8"/>
  <c r="AQ31" i="8"/>
  <c r="AL339" i="8"/>
  <c r="AK223" i="8"/>
  <c r="AN73" i="8"/>
  <c r="AN90" i="8"/>
  <c r="Z339" i="8"/>
  <c r="Y75" i="8"/>
  <c r="W48" i="8"/>
  <c r="AC341" i="8"/>
  <c r="AM29" i="8"/>
  <c r="AF302" i="8"/>
  <c r="AT90" i="8"/>
  <c r="AJ325" i="8"/>
  <c r="AG337" i="8"/>
  <c r="AR252" i="8"/>
  <c r="AJ313" i="8"/>
  <c r="AK46" i="8"/>
  <c r="AJ329" i="8"/>
  <c r="AG341" i="8"/>
  <c r="AR305" i="8"/>
  <c r="AB74" i="8"/>
  <c r="AF92" i="8"/>
  <c r="V89" i="8"/>
  <c r="AN327" i="8"/>
  <c r="AS74" i="8"/>
  <c r="AR93" i="8"/>
  <c r="AR230" i="8"/>
  <c r="AF323" i="8"/>
  <c r="AF313" i="8"/>
  <c r="AE299" i="8"/>
  <c r="AM122" i="8"/>
  <c r="AS122" i="8"/>
  <c r="V168" i="8"/>
  <c r="AK168" i="8"/>
  <c r="AO56" i="8"/>
  <c r="AA300" i="8"/>
  <c r="AO81" i="8"/>
  <c r="AL89" i="8"/>
  <c r="AO74" i="8"/>
  <c r="AC36" i="8"/>
  <c r="AR173" i="8"/>
  <c r="AT166" i="8"/>
  <c r="AE84" i="8"/>
  <c r="AG177" i="8"/>
  <c r="AD228" i="8"/>
  <c r="AS250" i="8"/>
  <c r="AE150" i="8"/>
  <c r="AE254" i="8"/>
  <c r="AB148" i="8"/>
  <c r="AT39" i="8"/>
  <c r="AQ142" i="8"/>
  <c r="AB31" i="8"/>
  <c r="AC40" i="8"/>
  <c r="AP77" i="8"/>
  <c r="AQ73" i="8"/>
  <c r="Z250" i="8"/>
  <c r="AK238" i="8"/>
  <c r="Z160" i="8"/>
  <c r="AI32" i="8"/>
  <c r="AK301" i="8"/>
  <c r="AF23" i="8"/>
  <c r="Z90" i="8"/>
  <c r="AQ234" i="8"/>
  <c r="AR89" i="8"/>
  <c r="AQ181" i="8"/>
  <c r="AE93" i="8"/>
  <c r="AI135" i="8"/>
  <c r="AN313" i="8"/>
  <c r="AJ149" i="8"/>
  <c r="AS301" i="8"/>
  <c r="AT168" i="8"/>
  <c r="AE145" i="8"/>
  <c r="AB244" i="8"/>
  <c r="AI140" i="8"/>
  <c r="Y252" i="8"/>
  <c r="AF62" i="8"/>
  <c r="AI163" i="8"/>
  <c r="AG134" i="8"/>
  <c r="AG166" i="8"/>
  <c r="Y335" i="8"/>
  <c r="AQ77" i="8"/>
  <c r="X301" i="8"/>
  <c r="AJ38" i="8"/>
  <c r="AJ84" i="8"/>
  <c r="AG38" i="8"/>
  <c r="AA236" i="8"/>
  <c r="W60" i="8"/>
  <c r="AG43" i="8"/>
  <c r="AF311" i="8"/>
  <c r="W40" i="8"/>
  <c r="AT234" i="8"/>
  <c r="AQ337" i="8"/>
  <c r="AS172" i="8"/>
  <c r="AQ132" i="8"/>
  <c r="Y331" i="8"/>
  <c r="AF299" i="8"/>
  <c r="AK75" i="8"/>
  <c r="AK62" i="8"/>
  <c r="AO67" i="8"/>
  <c r="AM34" i="8"/>
  <c r="AK36" i="8"/>
  <c r="AE323" i="8"/>
  <c r="AA154" i="8"/>
  <c r="AP62" i="8"/>
  <c r="Y43" i="8"/>
  <c r="AI131" i="8"/>
  <c r="V127" i="8"/>
  <c r="AT95" i="8"/>
  <c r="Z150" i="8"/>
  <c r="Z84" i="8"/>
  <c r="AS142" i="8"/>
  <c r="AK341" i="8"/>
  <c r="AD43" i="8"/>
  <c r="AI147" i="8"/>
  <c r="V142" i="8"/>
  <c r="AS208" i="8"/>
  <c r="AK211" i="8"/>
  <c r="AA174" i="8"/>
  <c r="AR112" i="8"/>
  <c r="V204" i="8"/>
  <c r="F313" i="5"/>
  <c r="AL305" i="8"/>
  <c r="AD263" i="8"/>
  <c r="AI170" i="8"/>
  <c r="AT194" i="8"/>
  <c r="W199" i="8"/>
  <c r="AQ335" i="8"/>
  <c r="AC73" i="8"/>
  <c r="AT337" i="8"/>
  <c r="AF75" i="8"/>
  <c r="X46" i="8"/>
  <c r="AT32" i="8"/>
  <c r="AP325" i="8"/>
  <c r="AR68" i="8"/>
  <c r="AB299" i="8"/>
  <c r="AO45" i="8"/>
  <c r="AK81" i="8"/>
  <c r="AE302" i="8"/>
  <c r="AJ333" i="8"/>
  <c r="AB228" i="8"/>
  <c r="W119" i="8"/>
  <c r="AI302" i="8"/>
  <c r="AM43" i="8"/>
  <c r="AF244" i="8"/>
  <c r="AQ72" i="8"/>
  <c r="AK176" i="8"/>
  <c r="AR260" i="8"/>
  <c r="AE267" i="8"/>
  <c r="AJ314" i="8"/>
  <c r="AL60" i="8"/>
  <c r="AN304" i="8"/>
  <c r="W246" i="8"/>
  <c r="W67" i="8"/>
  <c r="AJ306" i="8"/>
  <c r="AB164" i="8"/>
  <c r="X297" i="8"/>
  <c r="AK346" i="8"/>
  <c r="V84" i="8"/>
  <c r="AD65" i="8"/>
  <c r="AS52" i="8"/>
  <c r="AD76" i="8"/>
  <c r="W73" i="8"/>
  <c r="X143" i="8"/>
  <c r="AP56" i="8"/>
  <c r="AC302" i="8"/>
  <c r="AG50" i="8"/>
  <c r="W54" i="8"/>
  <c r="Z236" i="8"/>
  <c r="AO325" i="8"/>
  <c r="AJ130" i="8"/>
  <c r="AO148" i="8"/>
  <c r="AD170" i="8"/>
  <c r="AK230" i="8"/>
  <c r="AK248" i="8"/>
  <c r="AQ150" i="8"/>
  <c r="AS320" i="8"/>
  <c r="AE202" i="8"/>
  <c r="AK87" i="8"/>
  <c r="AT156" i="8"/>
  <c r="AM129" i="8"/>
  <c r="AL85" i="8"/>
  <c r="AG67" i="8"/>
  <c r="AQ69" i="8"/>
  <c r="AJ341" i="8"/>
  <c r="AF135" i="8"/>
  <c r="AN72" i="8"/>
  <c r="AG333" i="8"/>
  <c r="AI325" i="8"/>
  <c r="AI139" i="8"/>
  <c r="AD310" i="8"/>
  <c r="AN160" i="8"/>
  <c r="Z246" i="8"/>
  <c r="AN150" i="8"/>
  <c r="AS31" i="8"/>
  <c r="AL248" i="8"/>
  <c r="AE95" i="8"/>
  <c r="AM183" i="8"/>
  <c r="AO320" i="8"/>
  <c r="AR145" i="8"/>
  <c r="AB250" i="8"/>
  <c r="AM140" i="8"/>
  <c r="AR106" i="8"/>
  <c r="AO182" i="8"/>
  <c r="AG327" i="8"/>
  <c r="AQ202" i="8"/>
  <c r="AP107" i="8"/>
  <c r="Z265" i="8"/>
  <c r="Z167" i="8"/>
  <c r="AJ106" i="8"/>
  <c r="Y168" i="8"/>
  <c r="AR123" i="8"/>
  <c r="Q41" i="6"/>
  <c r="V73" i="8"/>
  <c r="AT299" i="8"/>
  <c r="AG339" i="8"/>
  <c r="AA33" i="8"/>
  <c r="V302" i="8"/>
  <c r="AM298" i="8"/>
  <c r="AA333" i="8"/>
  <c r="AR92" i="8"/>
  <c r="AO132" i="8"/>
  <c r="AI61" i="8"/>
  <c r="AA250" i="8"/>
  <c r="AS170" i="8"/>
  <c r="V105" i="8"/>
  <c r="AB141" i="8"/>
  <c r="AB102" i="8"/>
  <c r="AE157" i="8"/>
  <c r="AE132" i="8"/>
  <c r="AG125" i="8"/>
  <c r="AE90" i="8"/>
  <c r="AR148" i="8"/>
  <c r="AM139" i="8"/>
  <c r="AG136" i="8"/>
  <c r="AL121" i="8"/>
  <c r="AE314" i="8"/>
  <c r="AS265" i="8"/>
  <c r="Y318" i="8"/>
  <c r="AR42" i="8"/>
  <c r="AO69" i="8"/>
  <c r="AD129" i="8"/>
  <c r="AO20" i="8"/>
  <c r="AK259" i="8"/>
  <c r="V300" i="8"/>
  <c r="X67" i="8"/>
  <c r="AJ246" i="8"/>
  <c r="AO84" i="8"/>
  <c r="AP314" i="8"/>
  <c r="AN158" i="8"/>
  <c r="AG62" i="8"/>
  <c r="W252" i="8"/>
  <c r="X305" i="8"/>
  <c r="AD335" i="8"/>
  <c r="AS168" i="8"/>
  <c r="AK89" i="8"/>
  <c r="AN35" i="8"/>
  <c r="AB77" i="8"/>
  <c r="AS35" i="8"/>
  <c r="V329" i="8"/>
  <c r="AP69" i="8"/>
  <c r="AP67" i="8"/>
  <c r="AT224" i="8"/>
  <c r="AO76" i="8"/>
  <c r="AQ90" i="8"/>
  <c r="AI82" i="8"/>
  <c r="Y339" i="8"/>
  <c r="AN67" i="8"/>
  <c r="AJ250" i="8"/>
  <c r="AP139" i="8"/>
  <c r="Z228" i="8"/>
  <c r="AN34" i="8"/>
  <c r="AL196" i="8"/>
  <c r="AP84" i="8"/>
  <c r="AC84" i="8"/>
  <c r="AM77" i="8"/>
  <c r="AQ86" i="8"/>
  <c r="AE223" i="8"/>
  <c r="AS166" i="8"/>
  <c r="AP309" i="8"/>
  <c r="AD81" i="8"/>
  <c r="AM162" i="8"/>
  <c r="V177" i="8"/>
  <c r="AO140" i="8"/>
  <c r="AL39" i="8"/>
  <c r="AT86" i="8"/>
  <c r="AN74" i="8"/>
  <c r="AK32" i="8"/>
  <c r="AP64" i="8"/>
  <c r="AQ123" i="8"/>
  <c r="AS45" i="8"/>
  <c r="AP78" i="8"/>
  <c r="AT327" i="8"/>
  <c r="V33" i="8"/>
  <c r="AA54" i="8"/>
  <c r="AD175" i="8"/>
  <c r="Y139" i="8"/>
  <c r="Z121" i="8"/>
  <c r="AO103" i="8"/>
  <c r="AL129" i="8"/>
  <c r="Z142" i="8"/>
  <c r="AP177" i="8"/>
  <c r="AO133" i="8"/>
  <c r="AG304" i="8"/>
  <c r="Z314" i="8"/>
  <c r="AS174" i="8"/>
  <c r="AL111" i="8"/>
  <c r="AP52" i="8"/>
  <c r="AJ298" i="8"/>
  <c r="AD313" i="8"/>
  <c r="AB76" i="8"/>
  <c r="AG71" i="8"/>
  <c r="AG305" i="8"/>
  <c r="AG250" i="8"/>
  <c r="AN138" i="8"/>
  <c r="V35" i="8"/>
  <c r="AA246" i="8"/>
  <c r="AB116" i="8"/>
  <c r="AL246" i="8"/>
  <c r="AR105" i="8"/>
  <c r="AN180" i="8"/>
  <c r="Z20" i="8"/>
  <c r="X161" i="8"/>
  <c r="AE152" i="8"/>
  <c r="AI298" i="8"/>
  <c r="AT131" i="8"/>
  <c r="AB166" i="8"/>
  <c r="Y268" i="8"/>
  <c r="AE279" i="8"/>
  <c r="AF20" i="8"/>
  <c r="Z110" i="8"/>
  <c r="X172" i="8"/>
  <c r="V90" i="8"/>
  <c r="AJ305" i="8"/>
  <c r="AJ228" i="8"/>
  <c r="AF123" i="8"/>
  <c r="AJ104" i="8"/>
  <c r="AT300" i="8"/>
  <c r="AG65" i="8"/>
  <c r="AB297" i="8"/>
  <c r="AD31" i="8"/>
  <c r="AJ162" i="8"/>
  <c r="AL331" i="8"/>
  <c r="AR234" i="8"/>
  <c r="AB50" i="8"/>
  <c r="AG64" i="8"/>
  <c r="AJ120" i="8"/>
  <c r="AS176" i="8"/>
  <c r="AD85" i="8"/>
  <c r="AF65" i="8"/>
  <c r="AP73" i="8"/>
  <c r="AJ139" i="8"/>
  <c r="AT87" i="8"/>
  <c r="X33" i="8"/>
  <c r="AJ270" i="8"/>
  <c r="AB143" i="8"/>
  <c r="AI130" i="8"/>
  <c r="AA176" i="8"/>
  <c r="AN189" i="8"/>
  <c r="V310" i="8"/>
  <c r="AO46" i="8"/>
  <c r="AL155" i="8"/>
  <c r="AA147" i="8"/>
  <c r="AL127" i="8"/>
  <c r="AS136" i="8"/>
  <c r="X136" i="8"/>
  <c r="V307" i="8"/>
  <c r="AB209" i="8"/>
  <c r="AF194" i="8"/>
  <c r="W70" i="8"/>
  <c r="X299" i="8"/>
  <c r="AA310" i="8"/>
  <c r="AS248" i="8"/>
  <c r="AQ78" i="8"/>
  <c r="AP92" i="8"/>
  <c r="AT228" i="8"/>
  <c r="AM136" i="8"/>
  <c r="Y144" i="8"/>
  <c r="AL309" i="8"/>
  <c r="AI68" i="8"/>
  <c r="AS140" i="8"/>
  <c r="W23" i="8"/>
  <c r="AS110" i="8"/>
  <c r="AE36" i="8"/>
  <c r="AT72" i="8"/>
  <c r="AR45" i="8"/>
  <c r="Y65" i="8"/>
  <c r="AC71" i="8"/>
  <c r="V43" i="8"/>
  <c r="AL42" i="8"/>
  <c r="AA92" i="8"/>
  <c r="Z304" i="8"/>
  <c r="AK118" i="8"/>
  <c r="AN181" i="8"/>
  <c r="AC310" i="8"/>
  <c r="AF252" i="8"/>
  <c r="AG81" i="8"/>
  <c r="AJ60" i="8"/>
  <c r="Z154" i="8"/>
  <c r="AI105" i="8"/>
  <c r="AM189" i="8"/>
  <c r="V52" i="8"/>
  <c r="W72" i="8"/>
  <c r="Z38" i="8"/>
  <c r="AP146" i="8"/>
  <c r="AR23" i="8"/>
  <c r="AF138" i="8"/>
  <c r="AG60" i="8"/>
  <c r="AN133" i="8"/>
  <c r="AL230" i="8"/>
  <c r="AI187" i="8"/>
  <c r="AN58" i="8"/>
  <c r="AR341" i="8"/>
  <c r="X62" i="8"/>
  <c r="AR165" i="8"/>
  <c r="Z76" i="8"/>
  <c r="AO89" i="8"/>
  <c r="AT36" i="8"/>
  <c r="AR43" i="8"/>
  <c r="AN224" i="8"/>
  <c r="AK313" i="8"/>
  <c r="V153" i="8"/>
  <c r="AD299" i="8"/>
  <c r="Z33" i="8"/>
  <c r="AB101" i="8"/>
  <c r="AM105" i="8"/>
  <c r="X120" i="8"/>
  <c r="Z293" i="8"/>
  <c r="AJ163" i="8"/>
  <c r="AN182" i="8"/>
  <c r="AL176" i="8"/>
  <c r="AG76" i="8"/>
  <c r="AM215" i="8"/>
  <c r="Z279" i="8"/>
  <c r="AO333" i="8"/>
  <c r="Z64" i="8"/>
  <c r="W335" i="8"/>
  <c r="AT63" i="8"/>
  <c r="Z36" i="8"/>
  <c r="AD46" i="8"/>
  <c r="AP232" i="8"/>
  <c r="Z252" i="8"/>
  <c r="AM313" i="8"/>
  <c r="AJ54" i="8"/>
  <c r="AJ242" i="8"/>
  <c r="V119" i="8"/>
  <c r="W37" i="8"/>
  <c r="AF181" i="8"/>
  <c r="AT20" i="8"/>
  <c r="AG140" i="8"/>
  <c r="AN212" i="8"/>
  <c r="AB298" i="8"/>
  <c r="Z157" i="8"/>
  <c r="AS264" i="8"/>
  <c r="AT60" i="8"/>
  <c r="Y149" i="8"/>
  <c r="Y107" i="8"/>
  <c r="AA217" i="8"/>
  <c r="AF142" i="8"/>
  <c r="Z60" i="8"/>
  <c r="AA339" i="8"/>
  <c r="AG36" i="8"/>
  <c r="AT268" i="8"/>
  <c r="AO159" i="8"/>
  <c r="AA303" i="8"/>
  <c r="AO68" i="8"/>
  <c r="Z226" i="8"/>
  <c r="AJ58" i="8"/>
  <c r="AR69" i="8"/>
  <c r="V63" i="8"/>
  <c r="Y92" i="8"/>
  <c r="AB246" i="8"/>
  <c r="AG37" i="8"/>
  <c r="AA242" i="8"/>
  <c r="V223" i="8"/>
  <c r="AL157" i="8"/>
  <c r="AI56" i="8"/>
  <c r="AP162" i="8"/>
  <c r="AC162" i="8"/>
  <c r="AE179" i="8"/>
  <c r="AC325" i="8"/>
  <c r="AL234" i="8"/>
  <c r="F154" i="5"/>
  <c r="AT153" i="8"/>
  <c r="Z348" i="8"/>
  <c r="AI216" i="8"/>
  <c r="AB29" i="8"/>
  <c r="AO168" i="8"/>
  <c r="AI93" i="8"/>
  <c r="AO198" i="8"/>
  <c r="AF99" i="8"/>
  <c r="AQ158" i="8"/>
  <c r="AM127" i="8"/>
  <c r="AO104" i="8"/>
  <c r="H331" i="5"/>
  <c r="AO116" i="8"/>
  <c r="AF314" i="8"/>
  <c r="AQ60" i="8"/>
  <c r="AE40" i="8"/>
  <c r="AM59" i="8"/>
  <c r="AO72" i="8"/>
  <c r="Z230" i="8"/>
  <c r="AQ311" i="8"/>
  <c r="Z155" i="8"/>
  <c r="AP175" i="8"/>
  <c r="Y54" i="8"/>
  <c r="AE298" i="8"/>
  <c r="AI171" i="8"/>
  <c r="AA120" i="8"/>
  <c r="V86" i="8"/>
  <c r="Z54" i="8"/>
  <c r="AF301" i="8"/>
  <c r="AS54" i="8"/>
  <c r="AT46" i="8"/>
  <c r="AN339" i="8"/>
  <c r="AN59" i="8"/>
  <c r="AE92" i="8"/>
  <c r="AR61" i="8"/>
  <c r="AM341" i="8"/>
  <c r="AB73" i="8"/>
  <c r="AE85" i="8"/>
  <c r="AP182" i="8"/>
  <c r="W38" i="8"/>
  <c r="AN46" i="8"/>
  <c r="AB310" i="8"/>
  <c r="X149" i="8"/>
  <c r="AT159" i="8"/>
  <c r="AR54" i="8"/>
  <c r="AD75" i="8"/>
  <c r="AJ70" i="8"/>
  <c r="AJ90" i="8"/>
  <c r="AO36" i="8"/>
  <c r="AG29" i="8"/>
  <c r="Z120" i="8"/>
  <c r="AI81" i="8"/>
  <c r="AR240" i="8"/>
  <c r="AC309" i="8"/>
  <c r="AM302" i="8"/>
  <c r="AS147" i="8"/>
  <c r="X303" i="8"/>
  <c r="AL314" i="8"/>
  <c r="AJ56" i="8"/>
  <c r="V72" i="8"/>
  <c r="Y327" i="8"/>
  <c r="AK182" i="8"/>
  <c r="AO304" i="8"/>
  <c r="AE82" i="8"/>
  <c r="V158" i="8"/>
  <c r="AM135" i="8"/>
  <c r="AP115" i="8"/>
  <c r="AE244" i="8"/>
  <c r="AL119" i="8"/>
  <c r="Y187" i="8"/>
  <c r="AK147" i="8"/>
  <c r="AL293" i="8"/>
  <c r="V131" i="8"/>
  <c r="AF146" i="8"/>
  <c r="AR171" i="8"/>
  <c r="Z135" i="8"/>
  <c r="AB149" i="8"/>
  <c r="AA139" i="8"/>
  <c r="Y199" i="8"/>
  <c r="AN333" i="8"/>
  <c r="AB341" i="8"/>
  <c r="AP87" i="8"/>
  <c r="AQ310" i="8"/>
  <c r="AA304" i="8"/>
  <c r="AE127" i="8"/>
  <c r="AT129" i="8"/>
  <c r="AA232" i="8"/>
  <c r="AR250" i="8"/>
  <c r="AG46" i="8"/>
  <c r="AG144" i="8"/>
  <c r="AR134" i="8"/>
  <c r="AA305" i="8"/>
  <c r="AQ141" i="8"/>
  <c r="W306" i="8"/>
  <c r="AN184" i="8"/>
  <c r="AM280" i="8"/>
  <c r="AN325" i="8"/>
  <c r="AT164" i="8"/>
  <c r="AA156" i="8"/>
  <c r="AC76" i="8"/>
  <c r="X320" i="8"/>
  <c r="AG174" i="8"/>
  <c r="W305" i="8"/>
  <c r="AF192" i="8"/>
  <c r="AT250" i="8"/>
  <c r="AL224" i="8"/>
  <c r="AF236" i="8"/>
  <c r="AR280" i="8"/>
  <c r="AN198" i="8"/>
  <c r="V75" i="8"/>
  <c r="AM45" i="8"/>
  <c r="AP331" i="8"/>
  <c r="AI84" i="8"/>
  <c r="Y35" i="8"/>
  <c r="AO82" i="8"/>
  <c r="W31" i="8"/>
  <c r="AP298" i="8"/>
  <c r="AJ81" i="8"/>
  <c r="AT121" i="8"/>
  <c r="Y300" i="8"/>
  <c r="Y67" i="8"/>
  <c r="AN93" i="8"/>
  <c r="AG307" i="8"/>
  <c r="AM306" i="8"/>
  <c r="AF274" i="8"/>
  <c r="AF84" i="8"/>
  <c r="AQ46" i="8"/>
  <c r="AF124" i="8"/>
  <c r="AF320" i="8"/>
  <c r="AE86" i="8"/>
  <c r="AJ339" i="8"/>
  <c r="AB65" i="8"/>
  <c r="AJ224" i="8"/>
  <c r="AS329" i="8"/>
  <c r="AM329" i="8"/>
  <c r="AQ119" i="8"/>
  <c r="AM265" i="8"/>
  <c r="AS39" i="8"/>
  <c r="X141" i="8"/>
  <c r="AG314" i="8"/>
  <c r="AF78" i="8"/>
  <c r="AI274" i="8"/>
  <c r="AS46" i="8"/>
  <c r="Y298" i="8"/>
  <c r="AF45" i="8"/>
  <c r="Y42" i="8"/>
  <c r="AP89" i="8"/>
  <c r="AM62" i="8"/>
  <c r="V76" i="8"/>
  <c r="AO337" i="8"/>
  <c r="Y82" i="8"/>
  <c r="AL134" i="8"/>
  <c r="AJ134" i="8"/>
  <c r="AI34" i="8"/>
  <c r="AC238" i="8"/>
  <c r="Y256" i="8"/>
  <c r="Y39" i="8"/>
  <c r="AL341" i="8"/>
  <c r="Y61" i="8"/>
  <c r="AD200" i="8"/>
  <c r="AC210" i="8"/>
  <c r="AJ254" i="8"/>
  <c r="AK170" i="8"/>
  <c r="X152" i="8"/>
  <c r="AR182" i="8"/>
  <c r="AI59" i="8"/>
  <c r="AI52" i="8"/>
  <c r="AO313" i="8"/>
  <c r="AQ39" i="8"/>
  <c r="AP82" i="8"/>
  <c r="AQ52" i="8"/>
  <c r="AN42" i="8"/>
  <c r="AM149" i="8"/>
  <c r="AO145" i="8"/>
  <c r="AD329" i="8"/>
  <c r="AM325" i="8"/>
  <c r="Y136" i="8"/>
  <c r="AG224" i="8"/>
  <c r="AS104" i="8"/>
  <c r="AR146" i="8"/>
  <c r="AL141" i="8"/>
  <c r="AG158" i="8"/>
  <c r="Z35" i="8"/>
  <c r="AM138" i="8"/>
  <c r="Y223" i="8"/>
  <c r="AP59" i="8"/>
  <c r="Z223" i="8"/>
  <c r="Y294" i="8"/>
  <c r="Y289" i="8"/>
  <c r="AE282" i="8"/>
  <c r="AJ124" i="8"/>
  <c r="AK117" i="8"/>
  <c r="X177" i="8"/>
  <c r="AJ304" i="8"/>
  <c r="AF196" i="8"/>
  <c r="AI36" i="8"/>
  <c r="Z337" i="8"/>
  <c r="AC52" i="8"/>
  <c r="AD238" i="8"/>
  <c r="W224" i="8"/>
  <c r="AG310" i="8"/>
  <c r="AO87" i="8"/>
  <c r="Y178" i="8"/>
  <c r="Y38" i="8"/>
  <c r="AJ307" i="8"/>
  <c r="AF183" i="8"/>
  <c r="AC132" i="8"/>
  <c r="AA87" i="8"/>
  <c r="AC126" i="8"/>
  <c r="AM242" i="8"/>
  <c r="V316" i="8"/>
  <c r="AF238" i="8"/>
  <c r="AQ139" i="8"/>
  <c r="AE166" i="8"/>
  <c r="AT230" i="8"/>
  <c r="AM130" i="8"/>
  <c r="AF157" i="8"/>
  <c r="AT246" i="8"/>
  <c r="AF339" i="8"/>
  <c r="V304" i="8"/>
  <c r="V100" i="8"/>
  <c r="H117" i="5"/>
  <c r="AN126" i="8"/>
  <c r="AC242" i="8"/>
  <c r="AM305" i="8"/>
  <c r="Y165" i="8"/>
  <c r="F155" i="5"/>
  <c r="AS75" i="8"/>
  <c r="AN341" i="8"/>
  <c r="AL33" i="8"/>
  <c r="AC303" i="8"/>
  <c r="AB68" i="8"/>
  <c r="AK335" i="8"/>
  <c r="AK45" i="8"/>
  <c r="W303" i="8"/>
  <c r="AT54" i="8"/>
  <c r="AI174" i="8"/>
  <c r="AN132" i="8"/>
  <c r="AM170" i="8"/>
  <c r="AS238" i="8"/>
  <c r="AN166" i="8"/>
  <c r="V62" i="8"/>
  <c r="AI306" i="8"/>
  <c r="AS133" i="8"/>
  <c r="AE163" i="8"/>
  <c r="AA82" i="8"/>
  <c r="AF58" i="8"/>
  <c r="V244" i="8"/>
  <c r="AB92" i="8"/>
  <c r="AB154" i="8"/>
  <c r="V327" i="8"/>
  <c r="AK173" i="8"/>
  <c r="Z56" i="8"/>
  <c r="AM156" i="8"/>
  <c r="AG66" i="8"/>
  <c r="AD205" i="8"/>
  <c r="AJ46" i="8"/>
  <c r="AP303" i="8"/>
  <c r="AD323" i="8"/>
  <c r="AT31" i="8"/>
  <c r="AL82" i="8"/>
  <c r="AJ78" i="8"/>
  <c r="AQ56" i="8"/>
  <c r="Z46" i="8"/>
  <c r="AE20" i="8"/>
  <c r="AR122" i="8"/>
  <c r="Y29" i="8"/>
  <c r="AQ171" i="8"/>
  <c r="W154" i="8"/>
  <c r="AI267" i="8"/>
  <c r="AQ165" i="8"/>
  <c r="AC331" i="8"/>
  <c r="AO31" i="8"/>
  <c r="AM190" i="8"/>
  <c r="X206" i="8"/>
  <c r="X160" i="8"/>
  <c r="AP283" i="8"/>
  <c r="AC179" i="8"/>
  <c r="F242" i="5"/>
  <c r="AK333" i="8"/>
  <c r="AF42" i="8"/>
  <c r="AL67" i="8"/>
  <c r="AB309" i="8"/>
  <c r="AA299" i="8"/>
  <c r="AR327" i="8"/>
  <c r="AG85" i="8"/>
  <c r="AD116" i="8"/>
  <c r="AQ156" i="8"/>
  <c r="AG35" i="8"/>
  <c r="AK304" i="8"/>
  <c r="AJ294" i="8"/>
  <c r="AG329" i="8"/>
  <c r="AO172" i="8"/>
  <c r="AF335" i="8"/>
  <c r="V48" i="8"/>
  <c r="AO331" i="8"/>
  <c r="AD304" i="8"/>
  <c r="AT77" i="8"/>
  <c r="AK242" i="8"/>
  <c r="AQ92" i="8"/>
  <c r="AO183" i="8"/>
  <c r="AN66" i="8"/>
  <c r="Z301" i="8"/>
  <c r="AL318" i="8"/>
  <c r="AP39" i="8"/>
  <c r="AE111" i="8"/>
  <c r="W299" i="8"/>
  <c r="AT232" i="8"/>
  <c r="W20" i="8"/>
  <c r="AD134" i="8"/>
  <c r="AF327" i="8"/>
  <c r="AN112" i="8"/>
  <c r="AA132" i="8"/>
  <c r="H93" i="5"/>
  <c r="AE242" i="8"/>
  <c r="W165" i="8"/>
  <c r="Y299" i="8"/>
  <c r="AO78" i="8"/>
  <c r="AJ82" i="8"/>
  <c r="W311" i="8"/>
  <c r="AS156" i="8"/>
  <c r="Y71" i="8"/>
  <c r="Y173" i="8"/>
  <c r="AP166" i="8"/>
  <c r="AJ129" i="8"/>
  <c r="AR310" i="8"/>
  <c r="AS99" i="8"/>
  <c r="Y110" i="8"/>
  <c r="AE198" i="8"/>
  <c r="AP129" i="8"/>
  <c r="AF305" i="8"/>
  <c r="AB52" i="8"/>
  <c r="X61" i="8"/>
  <c r="AI304" i="8"/>
  <c r="AB36" i="8"/>
  <c r="Z299" i="8"/>
  <c r="AD23" i="8"/>
  <c r="AG116" i="8"/>
  <c r="X59" i="8"/>
  <c r="AL163" i="8"/>
  <c r="AT223" i="8"/>
  <c r="AF95" i="8"/>
  <c r="X234" i="8"/>
  <c r="AD181" i="8"/>
  <c r="V139" i="8"/>
  <c r="AQ125" i="8"/>
  <c r="AF147" i="8"/>
  <c r="AA279" i="8"/>
  <c r="AL132" i="8"/>
  <c r="AA256" i="8"/>
  <c r="AK139" i="8"/>
  <c r="AM294" i="8"/>
  <c r="AG205" i="8"/>
  <c r="AI167" i="8"/>
  <c r="W184" i="8"/>
  <c r="AI166" i="8"/>
  <c r="AJ72" i="8"/>
  <c r="AN77" i="8"/>
  <c r="AE43" i="8"/>
  <c r="X84" i="8"/>
  <c r="AL104" i="8"/>
  <c r="Y228" i="8"/>
  <c r="Z164" i="8"/>
  <c r="AP176" i="8"/>
  <c r="AT150" i="8"/>
  <c r="AA64" i="8"/>
  <c r="AK289" i="8"/>
  <c r="AG226" i="8"/>
  <c r="W316" i="8"/>
  <c r="AD159" i="8"/>
  <c r="Y242" i="8"/>
  <c r="W116" i="8"/>
  <c r="AM146" i="8"/>
  <c r="AN252" i="8"/>
  <c r="AC136" i="8"/>
  <c r="AB303" i="8"/>
  <c r="AT141" i="8"/>
  <c r="AG58" i="8"/>
  <c r="AC306" i="8"/>
  <c r="AK240" i="8"/>
  <c r="AT119" i="8"/>
  <c r="AB162" i="8"/>
  <c r="AS344" i="8"/>
  <c r="AE146" i="8"/>
  <c r="AP215" i="8"/>
  <c r="AP20" i="8"/>
  <c r="AG129" i="8"/>
  <c r="AD132" i="8"/>
  <c r="AT320" i="8"/>
  <c r="X144" i="8"/>
  <c r="AD173" i="8"/>
  <c r="AI153" i="8"/>
  <c r="AB146" i="8"/>
  <c r="AS111" i="8"/>
  <c r="AS217" i="8"/>
  <c r="H149" i="5"/>
  <c r="AJ100" i="8"/>
  <c r="AQ182" i="8"/>
  <c r="AQ175" i="8"/>
  <c r="Y217" i="8"/>
  <c r="AG163" i="8"/>
  <c r="AI198" i="8"/>
  <c r="AR201" i="8"/>
  <c r="AA190" i="8"/>
  <c r="AR307" i="8"/>
  <c r="AO25" i="8"/>
  <c r="AS192" i="8"/>
  <c r="AT42" i="8"/>
  <c r="X23" i="8"/>
  <c r="Z232" i="8"/>
  <c r="AM85" i="8"/>
  <c r="AM226" i="8"/>
  <c r="AP72" i="8"/>
  <c r="AP158" i="8"/>
  <c r="Z111" i="8"/>
  <c r="W139" i="8"/>
  <c r="AO323" i="8"/>
  <c r="AT189" i="8"/>
  <c r="AG162" i="8"/>
  <c r="AS280" i="8"/>
  <c r="AQ65" i="8"/>
  <c r="AJ297" i="8"/>
  <c r="AG311" i="8"/>
  <c r="Y309" i="8"/>
  <c r="AA72" i="8"/>
  <c r="AJ178" i="8"/>
  <c r="AC301" i="8"/>
  <c r="AA234" i="8"/>
  <c r="AL56" i="8"/>
  <c r="AL64" i="8"/>
  <c r="AO311" i="8"/>
  <c r="AK132" i="8"/>
  <c r="AC165" i="8"/>
  <c r="AK299" i="8"/>
  <c r="AS333" i="8"/>
  <c r="V70" i="8"/>
  <c r="AJ138" i="8"/>
  <c r="AG167" i="8"/>
  <c r="Z132" i="8"/>
  <c r="AE101" i="8"/>
  <c r="Z123" i="8"/>
  <c r="AI118" i="8"/>
  <c r="AP133" i="8"/>
  <c r="AI182" i="8"/>
  <c r="X70" i="8"/>
  <c r="AN32" i="8"/>
  <c r="Z40" i="8"/>
  <c r="V242" i="8"/>
  <c r="AT74" i="8"/>
  <c r="AO144" i="8"/>
  <c r="AR35" i="8"/>
  <c r="AC121" i="8"/>
  <c r="AB71" i="8"/>
  <c r="AO344" i="8"/>
  <c r="AT198" i="8"/>
  <c r="W95" i="8"/>
  <c r="AE139" i="8"/>
  <c r="W81" i="8"/>
  <c r="AA344" i="8"/>
  <c r="AA58" i="8"/>
  <c r="AP306" i="8"/>
  <c r="AC232" i="8"/>
  <c r="AM120" i="8"/>
  <c r="Y304" i="8"/>
  <c r="AK120" i="8"/>
  <c r="AR131" i="8"/>
  <c r="X306" i="8"/>
  <c r="Y103" i="8"/>
  <c r="AT122" i="8"/>
  <c r="AM68" i="8"/>
  <c r="AP161" i="8"/>
  <c r="AS115" i="8"/>
  <c r="AE70" i="8"/>
  <c r="AF174" i="8"/>
  <c r="AL280" i="8"/>
  <c r="AS72" i="8"/>
  <c r="AC62" i="8"/>
  <c r="AI173" i="8"/>
  <c r="AB179" i="8"/>
  <c r="AA187" i="8"/>
  <c r="AP304" i="8"/>
  <c r="AN115" i="8"/>
  <c r="AO86" i="8"/>
  <c r="W132" i="8"/>
  <c r="AJ301" i="8"/>
  <c r="X54" i="8"/>
  <c r="AK73" i="8"/>
  <c r="AN306" i="8"/>
  <c r="AD297" i="8"/>
  <c r="AS78" i="8"/>
  <c r="AS263" i="8"/>
  <c r="AA131" i="8"/>
  <c r="AP155" i="8"/>
  <c r="AJ119" i="8"/>
  <c r="Z158" i="8"/>
  <c r="AM33" i="8"/>
  <c r="AF115" i="8"/>
  <c r="AT100" i="8"/>
  <c r="H110" i="5"/>
  <c r="W207" i="8"/>
  <c r="AK65" i="8"/>
  <c r="X307" i="8"/>
  <c r="AS165" i="8"/>
  <c r="V69" i="8"/>
  <c r="AB327" i="8"/>
  <c r="W87" i="8"/>
  <c r="V313" i="8"/>
  <c r="AT238" i="8"/>
  <c r="AF337" i="8"/>
  <c r="AA143" i="8"/>
  <c r="AM346" i="8"/>
  <c r="AQ183" i="8"/>
  <c r="AK50" i="8"/>
  <c r="AD150" i="8"/>
  <c r="AB165" i="8"/>
  <c r="AF164" i="8"/>
  <c r="AT37" i="8"/>
  <c r="AD232" i="8"/>
  <c r="X129" i="8"/>
  <c r="AA36" i="8"/>
  <c r="AN125" i="8"/>
  <c r="AA183" i="8"/>
  <c r="AA149" i="8"/>
  <c r="AK111" i="8"/>
  <c r="F34" i="6"/>
  <c r="AL161" i="8"/>
  <c r="X175" i="8"/>
  <c r="AK178" i="8"/>
  <c r="AD174" i="8"/>
  <c r="Z310" i="8"/>
  <c r="N71" i="6"/>
  <c r="N41" i="6"/>
  <c r="AJ99" i="8"/>
  <c r="AD115" i="8"/>
  <c r="H180" i="5"/>
  <c r="AJ64" i="8"/>
  <c r="AD40" i="8"/>
  <c r="AI232" i="8"/>
  <c r="AM75" i="8"/>
  <c r="AI162" i="8"/>
  <c r="AM327" i="8"/>
  <c r="AM65" i="8"/>
  <c r="AR300" i="8"/>
  <c r="V252" i="8"/>
  <c r="AI76" i="8"/>
  <c r="V42" i="8"/>
  <c r="AQ23" i="8"/>
  <c r="AC163" i="8"/>
  <c r="AN242" i="8"/>
  <c r="AJ67" i="8"/>
  <c r="AN168" i="8"/>
  <c r="V181" i="8"/>
  <c r="AA102" i="8"/>
  <c r="AG123" i="8"/>
  <c r="AT252" i="8"/>
  <c r="AC38" i="8"/>
  <c r="AM35" i="8"/>
  <c r="AB171" i="8"/>
  <c r="Y346" i="8"/>
  <c r="AE176" i="8"/>
  <c r="AG32" i="8"/>
  <c r="AQ89" i="8"/>
  <c r="AL297" i="8"/>
  <c r="AL115" i="8"/>
  <c r="AF52" i="8"/>
  <c r="AD38" i="8"/>
  <c r="AA84" i="8"/>
  <c r="AT93" i="8"/>
  <c r="AQ309" i="8"/>
  <c r="V107" i="8"/>
  <c r="AJ96" i="8"/>
  <c r="AF282" i="8"/>
  <c r="W78" i="8"/>
  <c r="AJ288" i="8"/>
  <c r="AK20" i="8"/>
  <c r="AS259" i="8"/>
  <c r="AB325" i="8"/>
  <c r="AR141" i="8"/>
  <c r="AM248" i="8"/>
  <c r="AO71" i="8"/>
  <c r="AA68" i="8"/>
  <c r="V301" i="8"/>
  <c r="Y50" i="8"/>
  <c r="X232" i="8"/>
  <c r="Z180" i="8"/>
  <c r="AG33" i="8"/>
  <c r="Y325" i="8"/>
  <c r="X90" i="8"/>
  <c r="AC127" i="8"/>
  <c r="Z305" i="8"/>
  <c r="AT167" i="8"/>
  <c r="X162" i="8"/>
  <c r="AP86" i="8"/>
  <c r="AD161" i="8"/>
  <c r="AB61" i="8"/>
  <c r="AO341" i="8"/>
  <c r="AG118" i="8"/>
  <c r="V226" i="8"/>
  <c r="AQ207" i="8"/>
  <c r="AB184" i="8"/>
  <c r="AA90" i="8"/>
  <c r="AB62" i="8"/>
  <c r="AJ346" i="8"/>
  <c r="AT184" i="8"/>
  <c r="AO34" i="8"/>
  <c r="AC78" i="8"/>
  <c r="AB254" i="8"/>
  <c r="AB132" i="8"/>
  <c r="AA298" i="8"/>
  <c r="AB180" i="8"/>
  <c r="X158" i="8"/>
  <c r="AP310" i="8"/>
  <c r="AK140" i="8"/>
  <c r="AS160" i="8"/>
  <c r="AK329" i="8"/>
  <c r="AD178" i="8"/>
  <c r="Z248" i="8"/>
  <c r="AR95" i="8"/>
  <c r="W164" i="8"/>
  <c r="V293" i="8"/>
  <c r="AF103" i="8"/>
  <c r="AE136" i="8"/>
  <c r="AI152" i="8"/>
  <c r="X52" i="8"/>
  <c r="AD50" i="8"/>
  <c r="AF121" i="8"/>
  <c r="V339" i="8"/>
  <c r="Z325" i="8"/>
  <c r="AD252" i="8"/>
  <c r="AT92" i="8"/>
  <c r="AT155" i="8"/>
  <c r="AP179" i="8"/>
  <c r="AJ327" i="8"/>
  <c r="AR174" i="8"/>
  <c r="AT149" i="8"/>
  <c r="X230" i="8"/>
  <c r="W232" i="8"/>
  <c r="AB183" i="8"/>
  <c r="AC159" i="8"/>
  <c r="AT118" i="8"/>
  <c r="W313" i="8"/>
  <c r="W148" i="8"/>
  <c r="AR103" i="8"/>
  <c r="AE212" i="8"/>
  <c r="F175" i="5"/>
  <c r="AR203" i="8"/>
  <c r="AA274" i="8"/>
  <c r="AR211" i="8"/>
  <c r="AI132" i="8"/>
  <c r="AR191" i="8"/>
  <c r="AE147" i="8"/>
  <c r="W155" i="8"/>
  <c r="AC100" i="8"/>
  <c r="AL279" i="8"/>
  <c r="AT348" i="8"/>
  <c r="AE42" i="8"/>
  <c r="AM86" i="8"/>
  <c r="AN71" i="8"/>
  <c r="Y33" i="8"/>
  <c r="AM223" i="8"/>
  <c r="AK85" i="8"/>
  <c r="AL168" i="8"/>
  <c r="AO157" i="8"/>
  <c r="AB192" i="8"/>
  <c r="Z306" i="8"/>
  <c r="AF294" i="8"/>
  <c r="Z45" i="8"/>
  <c r="AG72" i="8"/>
  <c r="AK331" i="8"/>
  <c r="V248" i="8"/>
  <c r="AO174" i="8"/>
  <c r="AP145" i="8"/>
  <c r="AF102" i="8"/>
  <c r="AR71" i="8"/>
  <c r="AT303" i="8"/>
  <c r="AG254" i="8"/>
  <c r="Y270" i="8"/>
  <c r="AR129" i="8"/>
  <c r="AS289" i="8"/>
  <c r="AB333" i="8"/>
  <c r="AD39" i="8"/>
  <c r="AO230" i="8"/>
  <c r="AP289" i="8"/>
  <c r="AJ197" i="8"/>
  <c r="AE116" i="8"/>
  <c r="AS173" i="8"/>
  <c r="W142" i="8"/>
  <c r="AQ143" i="8"/>
  <c r="W166" i="8"/>
  <c r="AM73" i="8"/>
  <c r="AE256" i="8"/>
  <c r="AL244" i="8"/>
  <c r="AP181" i="8"/>
  <c r="AN38" i="8"/>
  <c r="AK256" i="8"/>
  <c r="W117" i="8"/>
  <c r="AM176" i="8"/>
  <c r="AG236" i="8"/>
  <c r="AE329" i="8"/>
  <c r="X294" i="8"/>
  <c r="AB232" i="8"/>
  <c r="AF234" i="8"/>
  <c r="AR138" i="8"/>
  <c r="AM106" i="8"/>
  <c r="W302" i="8"/>
  <c r="AQ71" i="8"/>
  <c r="Y76" i="8"/>
  <c r="AT61" i="8"/>
  <c r="AT170" i="8"/>
  <c r="AN146" i="8"/>
  <c r="AL69" i="8"/>
  <c r="AD240" i="8"/>
  <c r="AC327" i="8"/>
  <c r="AP126" i="8"/>
  <c r="AA248" i="8"/>
  <c r="AB147" i="8"/>
  <c r="AK217" i="8"/>
  <c r="W309" i="8"/>
  <c r="AR116" i="8"/>
  <c r="AF153" i="8"/>
  <c r="AJ154" i="8"/>
  <c r="W75" i="8"/>
  <c r="AI127" i="8"/>
  <c r="AD167" i="8"/>
  <c r="AO256" i="8"/>
  <c r="AE81" i="8"/>
  <c r="AS307" i="8"/>
  <c r="AG20" i="8"/>
  <c r="AM333" i="8"/>
  <c r="AT23" i="8"/>
  <c r="AF54" i="8"/>
  <c r="AS50" i="8"/>
  <c r="AN174" i="8"/>
  <c r="X223" i="8"/>
  <c r="AG132" i="8"/>
  <c r="AK339" i="8"/>
  <c r="AP313" i="8"/>
  <c r="AR192" i="8"/>
  <c r="AG131" i="8"/>
  <c r="AK56" i="8"/>
  <c r="AA177" i="8"/>
  <c r="AJ208" i="8"/>
  <c r="AM307" i="8"/>
  <c r="AR120" i="8"/>
  <c r="S69" i="1"/>
  <c r="AP170" i="8"/>
  <c r="Z172" i="8"/>
  <c r="AK136" i="8"/>
  <c r="AB58" i="8"/>
  <c r="AR314" i="8"/>
  <c r="V67" i="8"/>
  <c r="AM61" i="8"/>
  <c r="V311" i="8"/>
  <c r="V38" i="8"/>
  <c r="AP178" i="8"/>
  <c r="V236" i="8"/>
  <c r="V111" i="8"/>
  <c r="AB329" i="8"/>
  <c r="Z116" i="8"/>
  <c r="AM234" i="8"/>
  <c r="AD188" i="8"/>
  <c r="AJ256" i="8"/>
  <c r="AJ171" i="8"/>
  <c r="AA101" i="8"/>
  <c r="AC164" i="8"/>
  <c r="V314" i="8"/>
  <c r="AD146" i="8"/>
  <c r="AB207" i="8"/>
  <c r="AJ217" i="8"/>
  <c r="AR152" i="8"/>
  <c r="AT132" i="8"/>
  <c r="AA165" i="8"/>
  <c r="H141" i="5"/>
  <c r="AB293" i="8"/>
  <c r="AG196" i="8"/>
  <c r="AB115" i="8"/>
  <c r="AT205" i="8"/>
  <c r="AP320" i="8"/>
  <c r="Y196" i="8"/>
  <c r="H52" i="5"/>
  <c r="W314" i="8"/>
  <c r="AB306" i="8"/>
  <c r="AO307" i="8"/>
  <c r="AL68" i="8"/>
  <c r="AJ62" i="8"/>
  <c r="AR180" i="8"/>
  <c r="AJ52" i="8"/>
  <c r="AN63" i="8"/>
  <c r="AR183" i="8"/>
  <c r="AO122" i="8"/>
  <c r="AC313" i="8"/>
  <c r="V118" i="8"/>
  <c r="AN124" i="8"/>
  <c r="AK48" i="8"/>
  <c r="AR297" i="8"/>
  <c r="AF223" i="8"/>
  <c r="AL86" i="8"/>
  <c r="AS196" i="8"/>
  <c r="AO265" i="8"/>
  <c r="X93" i="8"/>
  <c r="X85" i="8"/>
  <c r="Y34" i="8"/>
  <c r="AI327" i="8"/>
  <c r="AL126" i="8"/>
  <c r="AO288" i="8"/>
  <c r="AL149" i="8"/>
  <c r="AT215" i="8"/>
  <c r="AK197" i="8"/>
  <c r="AG74" i="8"/>
  <c r="AD52" i="8"/>
  <c r="AB35" i="8"/>
  <c r="Z81" i="8"/>
  <c r="AC115" i="8"/>
  <c r="AT154" i="8"/>
  <c r="AL178" i="8"/>
  <c r="AF163" i="8"/>
  <c r="AN250" i="8"/>
  <c r="AQ134" i="8"/>
  <c r="AB119" i="8"/>
  <c r="AG154" i="8"/>
  <c r="AO131" i="8"/>
  <c r="X124" i="8"/>
  <c r="AK269" i="8"/>
  <c r="V272" i="8"/>
  <c r="W50" i="8"/>
  <c r="Z62" i="8"/>
  <c r="W93" i="8"/>
  <c r="AG87" i="8"/>
  <c r="AC335" i="8"/>
  <c r="AS92" i="8"/>
  <c r="AL240" i="8"/>
  <c r="AK144" i="8"/>
  <c r="AE309" i="8"/>
  <c r="AR268" i="8"/>
  <c r="AE248" i="8"/>
  <c r="AA133" i="8"/>
  <c r="AP173" i="8"/>
  <c r="AD307" i="8"/>
  <c r="AT161" i="8"/>
  <c r="AD135" i="8"/>
  <c r="AK183" i="8"/>
  <c r="AG102" i="8"/>
  <c r="AL156" i="8"/>
  <c r="AD288" i="8"/>
  <c r="V172" i="8"/>
  <c r="AE119" i="8"/>
  <c r="AF120" i="8"/>
  <c r="AD103" i="8"/>
  <c r="AR76" i="8"/>
  <c r="AL93" i="8"/>
  <c r="AR72" i="8"/>
  <c r="AA67" i="8"/>
  <c r="Z311" i="8"/>
  <c r="AT140" i="8"/>
  <c r="AN310" i="8"/>
  <c r="AS150" i="8"/>
  <c r="AE168" i="8"/>
  <c r="AG105" i="8"/>
  <c r="W112" i="8"/>
  <c r="AJ182" i="8"/>
  <c r="AD166" i="8"/>
  <c r="AA175" i="8"/>
  <c r="AK177" i="8"/>
  <c r="AB118" i="8"/>
  <c r="F177" i="5"/>
  <c r="AC234" i="8"/>
  <c r="AC305" i="8"/>
  <c r="Z139" i="8"/>
  <c r="AE65" i="8"/>
  <c r="Y89" i="8"/>
  <c r="AE238" i="8"/>
  <c r="AG122" i="8"/>
  <c r="AF331" i="8"/>
  <c r="AP228" i="8"/>
  <c r="AB70" i="8"/>
  <c r="AD147" i="8"/>
  <c r="AL139" i="8"/>
  <c r="AA104" i="8"/>
  <c r="AN111" i="8"/>
  <c r="AM161" i="8"/>
  <c r="AN314" i="8"/>
  <c r="AF32" i="8"/>
  <c r="AQ189" i="8"/>
  <c r="AK106" i="8"/>
  <c r="AN121" i="8"/>
  <c r="X159" i="8"/>
  <c r="AB37" i="8"/>
  <c r="W36" i="8"/>
  <c r="W130" i="8"/>
  <c r="Y20" i="8"/>
  <c r="Z42" i="8"/>
  <c r="AA75" i="8"/>
  <c r="AE68" i="8"/>
  <c r="W56" i="8"/>
  <c r="AS339" i="8"/>
  <c r="AB75" i="8"/>
  <c r="AN223" i="8"/>
  <c r="X173" i="8"/>
  <c r="V320" i="8"/>
  <c r="AS62" i="8"/>
  <c r="AJ40" i="8"/>
  <c r="AP144" i="8"/>
  <c r="Y100" i="8"/>
  <c r="AL226" i="8"/>
  <c r="W106" i="8"/>
  <c r="AL208" i="8"/>
  <c r="Z125" i="8"/>
  <c r="AR202" i="8"/>
  <c r="AC298" i="8"/>
  <c r="AE59" i="8"/>
  <c r="AG34" i="8"/>
  <c r="AG244" i="8"/>
  <c r="AQ87" i="8"/>
  <c r="AP120" i="8"/>
  <c r="AQ166" i="8"/>
  <c r="AS65" i="8"/>
  <c r="AM20" i="8"/>
  <c r="AD84" i="8"/>
  <c r="AF61" i="8"/>
  <c r="AM228" i="8"/>
  <c r="AE200" i="8"/>
  <c r="X238" i="8"/>
  <c r="AC288" i="8"/>
  <c r="AE189" i="8"/>
  <c r="AJ45" i="8"/>
  <c r="Y307" i="8"/>
  <c r="AI254" i="8"/>
  <c r="Z85" i="8"/>
  <c r="AR329" i="8"/>
  <c r="AI244" i="8"/>
  <c r="AJ66" i="8"/>
  <c r="AM238" i="8"/>
  <c r="AQ232" i="8"/>
  <c r="AD314" i="8"/>
  <c r="AR124" i="8"/>
  <c r="W138" i="8"/>
  <c r="AK316" i="8"/>
  <c r="AS164" i="8"/>
  <c r="AJ269" i="8"/>
  <c r="AB135" i="8"/>
  <c r="AL160" i="8"/>
  <c r="AS69" i="8"/>
  <c r="AJ122" i="8"/>
  <c r="Y208" i="8"/>
  <c r="AG139" i="8"/>
  <c r="AN199" i="8"/>
  <c r="AI158" i="8"/>
  <c r="AP234" i="8"/>
  <c r="AQ63" i="8"/>
  <c r="AO306" i="8"/>
  <c r="AA335" i="8"/>
  <c r="AR248" i="8"/>
  <c r="AO252" i="8"/>
  <c r="AA142" i="8"/>
  <c r="AL310" i="8"/>
  <c r="X142" i="8"/>
  <c r="AT104" i="8"/>
  <c r="AF344" i="8"/>
  <c r="AP119" i="8"/>
  <c r="AI335" i="8"/>
  <c r="AB112" i="8"/>
  <c r="V132" i="8"/>
  <c r="AP183" i="8"/>
  <c r="AL158" i="8"/>
  <c r="AE62" i="8"/>
  <c r="AN39" i="8"/>
  <c r="W127" i="8"/>
  <c r="AP211" i="8"/>
  <c r="AI71" i="8"/>
  <c r="AK93" i="8"/>
  <c r="AS29" i="8"/>
  <c r="AC299" i="8"/>
  <c r="AP323" i="8"/>
  <c r="AG175" i="8"/>
  <c r="Z43" i="8"/>
  <c r="W29" i="8"/>
  <c r="AC346" i="8"/>
  <c r="AS143" i="8"/>
  <c r="AB87" i="8"/>
  <c r="AQ129" i="8"/>
  <c r="AJ117" i="8"/>
  <c r="X167" i="8"/>
  <c r="AC197" i="8"/>
  <c r="AP344" i="8"/>
  <c r="AE149" i="8"/>
  <c r="X337" i="8"/>
  <c r="AK196" i="8"/>
  <c r="AE269" i="8"/>
  <c r="H131" i="5"/>
  <c r="R22" i="6"/>
  <c r="AN192" i="8"/>
  <c r="AM272" i="8"/>
  <c r="AR108" i="8"/>
  <c r="AB316" i="8"/>
  <c r="AD348" i="8"/>
  <c r="Q29" i="6"/>
  <c r="W103" i="8"/>
  <c r="AM293" i="8"/>
  <c r="AE156" i="8"/>
  <c r="F244" i="5"/>
  <c r="AE240" i="8"/>
  <c r="AB34" i="8"/>
  <c r="AO50" i="8"/>
  <c r="AN78" i="8"/>
  <c r="Z34" i="8"/>
  <c r="AG127" i="8"/>
  <c r="AD244" i="8"/>
  <c r="AK148" i="8"/>
  <c r="AT34" i="8"/>
  <c r="AE160" i="8"/>
  <c r="AG325" i="8"/>
  <c r="AN294" i="8"/>
  <c r="AM95" i="8"/>
  <c r="AJ37" i="8"/>
  <c r="AQ331" i="8"/>
  <c r="AM310" i="8"/>
  <c r="AS299" i="8"/>
  <c r="AO120" i="8"/>
  <c r="AE104" i="8"/>
  <c r="AK58" i="8"/>
  <c r="AK92" i="8"/>
  <c r="Y84" i="8"/>
  <c r="X274" i="8"/>
  <c r="AT66" i="8"/>
  <c r="AB226" i="8"/>
  <c r="AJ42" i="8"/>
  <c r="AT213" i="8"/>
  <c r="AK163" i="8"/>
  <c r="AQ135" i="8"/>
  <c r="AR56" i="8"/>
  <c r="AM252" i="8"/>
  <c r="AI195" i="8"/>
  <c r="AC155" i="8"/>
  <c r="AQ164" i="8"/>
  <c r="AC339" i="8"/>
  <c r="AK232" i="8"/>
  <c r="AQ236" i="8"/>
  <c r="AO161" i="8"/>
  <c r="AF179" i="8"/>
  <c r="Y156" i="8"/>
  <c r="AD208" i="8"/>
  <c r="Y248" i="8"/>
  <c r="AI172" i="8"/>
  <c r="AC43" i="8"/>
  <c r="AI138" i="8"/>
  <c r="AR224" i="8"/>
  <c r="AR115" i="8"/>
  <c r="AT190" i="8"/>
  <c r="X140" i="8"/>
  <c r="AJ180" i="8"/>
  <c r="AJ265" i="8"/>
  <c r="AA148" i="8"/>
  <c r="AB279" i="8"/>
  <c r="AS126" i="8"/>
  <c r="AF36" i="8"/>
  <c r="AE117" i="8"/>
  <c r="W256" i="8"/>
  <c r="AR161" i="8"/>
  <c r="AQ199" i="8"/>
  <c r="AL146" i="8"/>
  <c r="AF119" i="8"/>
  <c r="AS346" i="8"/>
  <c r="AQ152" i="8"/>
  <c r="AT134" i="8"/>
  <c r="H45" i="5"/>
  <c r="H101" i="5"/>
  <c r="AD123" i="8"/>
  <c r="AJ121" i="8"/>
  <c r="W64" i="8"/>
  <c r="AL182" i="8"/>
  <c r="AE126" i="8"/>
  <c r="AT244" i="8"/>
  <c r="AS127" i="8"/>
  <c r="AQ138" i="8"/>
  <c r="AA179" i="8"/>
  <c r="AP172" i="8"/>
  <c r="AP163" i="8"/>
  <c r="W174" i="8"/>
  <c r="AE155" i="8"/>
  <c r="AS226" i="8"/>
  <c r="AC124" i="8"/>
  <c r="Y348" i="8"/>
  <c r="Y282" i="8"/>
  <c r="AR188" i="8"/>
  <c r="AC307" i="8"/>
  <c r="AI236" i="8"/>
  <c r="F323" i="5"/>
  <c r="X180" i="8"/>
  <c r="AE154" i="8"/>
  <c r="AA318" i="8"/>
  <c r="AQ344" i="8"/>
  <c r="AR264" i="8"/>
  <c r="J60" i="6"/>
  <c r="AT265" i="8"/>
  <c r="AM199" i="8"/>
  <c r="W160" i="8"/>
  <c r="AK72" i="8"/>
  <c r="AD303" i="8"/>
  <c r="Y172" i="8"/>
  <c r="AA61" i="8"/>
  <c r="V82" i="8"/>
  <c r="AN238" i="8"/>
  <c r="Y74" i="8"/>
  <c r="AQ153" i="8"/>
  <c r="Y267" i="8"/>
  <c r="AK187" i="8"/>
  <c r="Y23" i="8"/>
  <c r="Z107" i="8"/>
  <c r="Y58" i="8"/>
  <c r="F23" i="6"/>
  <c r="AQ192" i="8"/>
  <c r="AP104" i="8"/>
  <c r="F174" i="5"/>
  <c r="H269" i="5"/>
  <c r="I33" i="6"/>
  <c r="X126" i="8"/>
  <c r="AC252" i="8"/>
  <c r="X283" i="8"/>
  <c r="Q71" i="6"/>
  <c r="AA112" i="8"/>
  <c r="G39" i="6"/>
  <c r="P20" i="6"/>
  <c r="AH68" i="8"/>
  <c r="AL270" i="8"/>
  <c r="AC72" i="8"/>
  <c r="AB224" i="8"/>
  <c r="AC54" i="8"/>
  <c r="AM134" i="8"/>
  <c r="AI256" i="8"/>
  <c r="AI23" i="8"/>
  <c r="Y116" i="8"/>
  <c r="AR197" i="8"/>
  <c r="AC223" i="8"/>
  <c r="AL195" i="8"/>
  <c r="AN240" i="8"/>
  <c r="AF134" i="8"/>
  <c r="S33" i="1"/>
  <c r="F46" i="5"/>
  <c r="H36" i="5"/>
  <c r="I29" i="6"/>
  <c r="AP279" i="8"/>
  <c r="W168" i="8"/>
  <c r="AF129" i="8"/>
  <c r="Z100" i="8"/>
  <c r="AI215" i="8"/>
  <c r="AL213" i="8"/>
  <c r="AL103" i="8"/>
  <c r="AS105" i="8"/>
  <c r="W294" i="8"/>
  <c r="F71" i="6"/>
  <c r="V164" i="8"/>
  <c r="AT56" i="8"/>
  <c r="AP45" i="8"/>
  <c r="AA329" i="8"/>
  <c r="AS157" i="8"/>
  <c r="AG148" i="8"/>
  <c r="Y108" i="8"/>
  <c r="AM145" i="8"/>
  <c r="AL117" i="8"/>
  <c r="AM159" i="8"/>
  <c r="AO149" i="8"/>
  <c r="AQ36" i="8"/>
  <c r="AO136" i="8"/>
  <c r="AQ209" i="8"/>
  <c r="F150" i="5"/>
  <c r="AJ274" i="8"/>
  <c r="AT182" i="8"/>
  <c r="AJ318" i="8"/>
  <c r="AT101" i="8"/>
  <c r="W125" i="8"/>
  <c r="F25" i="6"/>
  <c r="Y213" i="8"/>
  <c r="AG126" i="8"/>
  <c r="Z96" i="8"/>
  <c r="AD230" i="8"/>
  <c r="Z199" i="8"/>
  <c r="W270" i="8"/>
  <c r="AH110" i="8"/>
  <c r="X166" i="8"/>
  <c r="AO269" i="8"/>
  <c r="M20" i="6"/>
  <c r="F211" i="8"/>
  <c r="V179" i="8"/>
  <c r="AC77" i="8"/>
  <c r="AJ310" i="8"/>
  <c r="X228" i="8"/>
  <c r="AK344" i="8"/>
  <c r="AJ148" i="8"/>
  <c r="Y230" i="8"/>
  <c r="AO346" i="8"/>
  <c r="AJ209" i="8"/>
  <c r="AF173" i="8"/>
  <c r="AG206" i="8"/>
  <c r="Y174" i="8"/>
  <c r="AQ130" i="8"/>
  <c r="AF242" i="8"/>
  <c r="AU183" i="8"/>
  <c r="S36" i="1"/>
  <c r="F348" i="5"/>
  <c r="K39" i="6"/>
  <c r="AQ67" i="8"/>
  <c r="AS305" i="8"/>
  <c r="AQ107" i="8"/>
  <c r="AK179" i="8"/>
  <c r="Z210" i="8"/>
  <c r="AL242" i="8"/>
  <c r="AP136" i="8"/>
  <c r="AQ33" i="8"/>
  <c r="AT195" i="8"/>
  <c r="M43" i="6"/>
  <c r="AR126" i="8"/>
  <c r="AA182" i="8"/>
  <c r="M33" i="6"/>
  <c r="AH269" i="8"/>
  <c r="AI337" i="8"/>
  <c r="Z75" i="8"/>
  <c r="AQ124" i="8"/>
  <c r="Z145" i="8"/>
  <c r="AA157" i="8"/>
  <c r="AT178" i="8"/>
  <c r="AI176" i="8"/>
  <c r="AA259" i="8"/>
  <c r="Z104" i="8"/>
  <c r="AK272" i="8"/>
  <c r="AC116" i="8"/>
  <c r="AB134" i="8"/>
  <c r="H39" i="5"/>
  <c r="H232" i="8"/>
  <c r="H187" i="5"/>
  <c r="W63" i="8"/>
  <c r="AJ93" i="8"/>
  <c r="AN136" i="8"/>
  <c r="AR331" i="8"/>
  <c r="AJ105" i="8"/>
  <c r="AD160" i="8"/>
  <c r="W223" i="8"/>
  <c r="X341" i="8"/>
  <c r="AR73" i="8"/>
  <c r="S48" i="1"/>
  <c r="AF37" i="8"/>
  <c r="AI157" i="8"/>
  <c r="AG180" i="8"/>
  <c r="AC174" i="8"/>
  <c r="X226" i="8"/>
  <c r="AC133" i="8"/>
  <c r="AS242" i="8"/>
  <c r="AB157" i="8"/>
  <c r="Y141" i="8"/>
  <c r="AD136" i="8"/>
  <c r="W96" i="8"/>
  <c r="AP38" i="8"/>
  <c r="AF81" i="8"/>
  <c r="AK153" i="8"/>
  <c r="AF212" i="8"/>
  <c r="AG178" i="8"/>
  <c r="AE263" i="8"/>
  <c r="AK201" i="8"/>
  <c r="Y262" i="8"/>
  <c r="Y153" i="8"/>
  <c r="AB302" i="8"/>
  <c r="AL92" i="8"/>
  <c r="AE144" i="8"/>
  <c r="AI313" i="8"/>
  <c r="H209" i="5"/>
  <c r="AP288" i="8"/>
  <c r="AD164" i="8"/>
  <c r="AR154" i="8"/>
  <c r="AJ159" i="8"/>
  <c r="AL75" i="8"/>
  <c r="AL180" i="8"/>
  <c r="X310" i="8"/>
  <c r="W216" i="8"/>
  <c r="AO213" i="8"/>
  <c r="Z268" i="8"/>
  <c r="AF279" i="8"/>
  <c r="Z191" i="8"/>
  <c r="AC156" i="8"/>
  <c r="AD210" i="8"/>
  <c r="X164" i="8"/>
  <c r="V182" i="8"/>
  <c r="AM168" i="8"/>
  <c r="AL101" i="8"/>
  <c r="AO150" i="8"/>
  <c r="AO100" i="8"/>
  <c r="AI33" i="8"/>
  <c r="AN311" i="8"/>
  <c r="AN56" i="8"/>
  <c r="AP307" i="8"/>
  <c r="AA167" i="8"/>
  <c r="AK216" i="8"/>
  <c r="AO224" i="8"/>
  <c r="V162" i="8"/>
  <c r="AQ172" i="8"/>
  <c r="AP260" i="8"/>
  <c r="AE121" i="8"/>
  <c r="AK307" i="8"/>
  <c r="AT142" i="8"/>
  <c r="H199" i="5"/>
  <c r="AP106" i="8"/>
  <c r="AS116" i="8"/>
  <c r="AP165" i="8"/>
  <c r="Z264" i="8"/>
  <c r="AK156" i="8"/>
  <c r="AP248" i="8"/>
  <c r="AK157" i="8"/>
  <c r="AI201" i="8"/>
  <c r="V147" i="8"/>
  <c r="Z165" i="8"/>
  <c r="H34" i="5"/>
  <c r="AU198" i="8"/>
  <c r="AE259" i="8"/>
  <c r="AP207" i="8"/>
  <c r="AJ331" i="8"/>
  <c r="AO39" i="8"/>
  <c r="AK119" i="8"/>
  <c r="AO254" i="8"/>
  <c r="AG120" i="8"/>
  <c r="AC157" i="8"/>
  <c r="AG165" i="8"/>
  <c r="AR164" i="8"/>
  <c r="AL325" i="8"/>
  <c r="AE260" i="8"/>
  <c r="AN25" i="8"/>
  <c r="AJ29" i="8"/>
  <c r="AN263" i="8"/>
  <c r="V267" i="8"/>
  <c r="AR216" i="8"/>
  <c r="H115" i="5"/>
  <c r="AC123" i="8"/>
  <c r="AQ144" i="8"/>
  <c r="G33" i="6"/>
  <c r="AG121" i="8"/>
  <c r="AC206" i="8"/>
  <c r="F121" i="5"/>
  <c r="J32" i="6"/>
  <c r="Y163" i="8"/>
  <c r="F192" i="5"/>
  <c r="H112" i="5"/>
  <c r="F198" i="5"/>
  <c r="AP68" i="8"/>
  <c r="AJ77" i="8"/>
  <c r="AE337" i="8"/>
  <c r="AJ223" i="8"/>
  <c r="AN207" i="8"/>
  <c r="AE161" i="8"/>
  <c r="AS135" i="8"/>
  <c r="AA238" i="8"/>
  <c r="X96" i="8"/>
  <c r="W182" i="8"/>
  <c r="W89" i="8"/>
  <c r="AT81" i="8"/>
  <c r="AI311" i="8"/>
  <c r="AF175" i="8"/>
  <c r="AL116" i="8"/>
  <c r="AN215" i="8"/>
  <c r="H28" i="6"/>
  <c r="AB294" i="8"/>
  <c r="H205" i="5"/>
  <c r="AB270" i="8"/>
  <c r="AR144" i="8"/>
  <c r="H70" i="5"/>
  <c r="AL272" i="8"/>
  <c r="AF159" i="8"/>
  <c r="AI197" i="8"/>
  <c r="AF270" i="8"/>
  <c r="AH150" i="8"/>
  <c r="V116" i="8"/>
  <c r="AK43" i="8"/>
  <c r="AD301" i="8"/>
  <c r="W304" i="8"/>
  <c r="AR37" i="8"/>
  <c r="AS325" i="8"/>
  <c r="V183" i="8"/>
  <c r="AF143" i="8"/>
  <c r="AB160" i="8"/>
  <c r="AM157" i="8"/>
  <c r="AE236" i="8"/>
  <c r="AP262" i="8"/>
  <c r="Y123" i="8"/>
  <c r="AG117" i="8"/>
  <c r="AF206" i="8"/>
  <c r="AA122" i="8"/>
  <c r="AM167" i="8"/>
  <c r="AD187" i="8"/>
  <c r="AM155" i="8"/>
  <c r="AG190" i="8"/>
  <c r="W43" i="8"/>
  <c r="AT110" i="8"/>
  <c r="AM25" i="8"/>
  <c r="AA214" i="8"/>
  <c r="AP254" i="8"/>
  <c r="H279" i="5"/>
  <c r="AQ267" i="8"/>
  <c r="AU263" i="8"/>
  <c r="AI149" i="8"/>
  <c r="Y191" i="8"/>
  <c r="AI212" i="8"/>
  <c r="AS304" i="8"/>
  <c r="AP213" i="8"/>
  <c r="AS77" i="8"/>
  <c r="Y167" i="8"/>
  <c r="AS63" i="8"/>
  <c r="AS313" i="8"/>
  <c r="AN116" i="8"/>
  <c r="AN329" i="8"/>
  <c r="AD112" i="8"/>
  <c r="AD105" i="8"/>
  <c r="AJ212" i="8"/>
  <c r="R20" i="6"/>
  <c r="AM173" i="8"/>
  <c r="AJ150" i="8"/>
  <c r="V138" i="8"/>
  <c r="AA171" i="8"/>
  <c r="V215" i="8"/>
  <c r="G199" i="8"/>
  <c r="AI20" i="8"/>
  <c r="AT73" i="8"/>
  <c r="AP311" i="8"/>
  <c r="AC139" i="8"/>
  <c r="V34" i="8"/>
  <c r="AP223" i="8"/>
  <c r="AQ126" i="8"/>
  <c r="AQ194" i="8"/>
  <c r="AR274" i="8"/>
  <c r="AO242" i="8"/>
  <c r="G24" i="6"/>
  <c r="AA127" i="8"/>
  <c r="H43" i="6"/>
  <c r="H21" i="6"/>
  <c r="AO155" i="8"/>
  <c r="AF59" i="8"/>
  <c r="Y115" i="8"/>
  <c r="V85" i="8"/>
  <c r="AJ132" i="8"/>
  <c r="AQ100" i="8"/>
  <c r="AP238" i="8"/>
  <c r="AR320" i="8"/>
  <c r="AG279" i="8"/>
  <c r="AL162" i="8"/>
  <c r="I64" i="6"/>
  <c r="AB344" i="8"/>
  <c r="AD110" i="8"/>
  <c r="AI86" i="8"/>
  <c r="AT331" i="8"/>
  <c r="AD168" i="8"/>
  <c r="AD60" i="8"/>
  <c r="AD20" i="8"/>
  <c r="W115" i="8"/>
  <c r="AA226" i="8"/>
  <c r="AS48" i="8"/>
  <c r="Z95" i="8"/>
  <c r="AT69" i="8"/>
  <c r="AN129" i="8"/>
  <c r="AJ161" i="8"/>
  <c r="AP305" i="8"/>
  <c r="AO58" i="8"/>
  <c r="AE217" i="8"/>
  <c r="V112" i="8"/>
  <c r="AG309" i="8"/>
  <c r="W146" i="8"/>
  <c r="AP240" i="8"/>
  <c r="AL192" i="8"/>
  <c r="AK174" i="8"/>
  <c r="W102" i="8"/>
  <c r="AS38" i="8"/>
  <c r="AM205" i="8"/>
  <c r="O33" i="6"/>
  <c r="AI119" i="8"/>
  <c r="AO63" i="8"/>
  <c r="AM196" i="8"/>
  <c r="Y164" i="8"/>
  <c r="AJ206" i="8"/>
  <c r="AC60" i="8"/>
  <c r="AK54" i="8"/>
  <c r="Y37" i="8"/>
  <c r="AJ158" i="8"/>
  <c r="V175" i="8"/>
  <c r="Z52" i="8"/>
  <c r="AE230" i="8"/>
  <c r="AR166" i="8"/>
  <c r="AK320" i="8"/>
  <c r="V121" i="8"/>
  <c r="AS145" i="8"/>
  <c r="AJ146" i="8"/>
  <c r="AC138" i="8"/>
  <c r="AP201" i="8"/>
  <c r="X215" i="8"/>
  <c r="AO268" i="8"/>
  <c r="AQ147" i="8"/>
  <c r="Y111" i="8"/>
  <c r="K41" i="6"/>
  <c r="AL197" i="8"/>
  <c r="AB189" i="8"/>
  <c r="AM210" i="8"/>
  <c r="AJ215" i="8"/>
  <c r="H248" i="5"/>
  <c r="AR33" i="8"/>
  <c r="AA56" i="8"/>
  <c r="V230" i="8"/>
  <c r="W329" i="8"/>
  <c r="AN200" i="8"/>
  <c r="AI159" i="8"/>
  <c r="AL212" i="8"/>
  <c r="AQ117" i="8"/>
  <c r="Y166" i="8"/>
  <c r="AK59" i="8"/>
  <c r="AP157" i="8"/>
  <c r="AN140" i="8"/>
  <c r="W226" i="8"/>
  <c r="AL202" i="8"/>
  <c r="X150" i="8"/>
  <c r="X259" i="8"/>
  <c r="F264" i="5"/>
  <c r="AD177" i="8"/>
  <c r="AK103" i="8"/>
  <c r="F207" i="5"/>
  <c r="AP138" i="8"/>
  <c r="AO202" i="8"/>
  <c r="AC203" i="8"/>
  <c r="Z103" i="8"/>
  <c r="X200" i="8"/>
  <c r="I67" i="6"/>
  <c r="AU267" i="8"/>
  <c r="AH318" i="8"/>
  <c r="Y25" i="8"/>
  <c r="AE307" i="8"/>
  <c r="AD69" i="8"/>
  <c r="AN89" i="8"/>
  <c r="AJ174" i="8"/>
  <c r="Y152" i="8"/>
  <c r="AR147" i="8"/>
  <c r="AQ159" i="8"/>
  <c r="AA138" i="8"/>
  <c r="AO146" i="8"/>
  <c r="AC344" i="8"/>
  <c r="AG179" i="8"/>
  <c r="AL175" i="8"/>
  <c r="AF182" i="8"/>
  <c r="L33" i="6"/>
  <c r="AM323" i="8"/>
  <c r="AK116" i="8"/>
  <c r="AR283" i="8"/>
  <c r="AN301" i="8"/>
  <c r="AK101" i="8"/>
  <c r="V123" i="8"/>
  <c r="AL159" i="8"/>
  <c r="L20" i="6"/>
  <c r="H76" i="5"/>
  <c r="AS96" i="8"/>
  <c r="Z69" i="8"/>
  <c r="AN307" i="8"/>
  <c r="AN92" i="8"/>
  <c r="V36" i="8"/>
  <c r="AC148" i="8"/>
  <c r="AE274" i="8"/>
  <c r="AM132" i="8"/>
  <c r="X224" i="8"/>
  <c r="AD176" i="8"/>
  <c r="AS76" i="8"/>
  <c r="AF89" i="8"/>
  <c r="AE183" i="8"/>
  <c r="AJ167" i="8"/>
  <c r="AS179" i="8"/>
  <c r="V163" i="8"/>
  <c r="AR179" i="8"/>
  <c r="AM92" i="8"/>
  <c r="AN164" i="8"/>
  <c r="AP123" i="8"/>
  <c r="W211" i="8"/>
  <c r="AJ303" i="8"/>
  <c r="AF325" i="8"/>
  <c r="AO164" i="8"/>
  <c r="AA159" i="8"/>
  <c r="AJ118" i="8"/>
  <c r="X102" i="8"/>
  <c r="AJ140" i="8"/>
  <c r="AP135" i="8"/>
  <c r="P52" i="6"/>
  <c r="AT263" i="8"/>
  <c r="AT78" i="8"/>
  <c r="AI314" i="8"/>
  <c r="V306" i="8"/>
  <c r="AM81" i="8"/>
  <c r="AB163" i="8"/>
  <c r="AT105" i="8"/>
  <c r="AG184" i="8"/>
  <c r="V140" i="8"/>
  <c r="AJ259" i="8"/>
  <c r="AA270" i="8"/>
  <c r="AP116" i="8"/>
  <c r="AM240" i="8"/>
  <c r="AT146" i="8"/>
  <c r="AC108" i="8"/>
  <c r="Y203" i="8"/>
  <c r="H198" i="5"/>
  <c r="AF178" i="8"/>
  <c r="AE320" i="8"/>
  <c r="F248" i="5"/>
  <c r="AI123" i="8"/>
  <c r="AE173" i="8"/>
  <c r="F212" i="5"/>
  <c r="L26" i="6"/>
  <c r="AC87" i="8"/>
  <c r="AN206" i="8"/>
  <c r="AM64" i="8"/>
  <c r="AE23" i="8"/>
  <c r="Z175" i="8"/>
  <c r="AR339" i="8"/>
  <c r="AF283" i="8"/>
  <c r="AT67" i="8"/>
  <c r="AE69" i="8"/>
  <c r="Z170" i="8"/>
  <c r="X139" i="8"/>
  <c r="AC182" i="8"/>
  <c r="AN172" i="8"/>
  <c r="AF127" i="8"/>
  <c r="AF117" i="8"/>
  <c r="AN103" i="8"/>
  <c r="AK145" i="8"/>
  <c r="H289" i="5"/>
  <c r="AB201" i="8"/>
  <c r="H305" i="5"/>
  <c r="F41" i="6"/>
  <c r="H293" i="5"/>
  <c r="AR213" i="8"/>
  <c r="AO274" i="8"/>
  <c r="AF116" i="8"/>
  <c r="Z320" i="8"/>
  <c r="AP198" i="8"/>
  <c r="AH89" i="8"/>
  <c r="V346" i="8"/>
  <c r="O28" i="6"/>
  <c r="AF85" i="8"/>
  <c r="AD90" i="8"/>
  <c r="AD148" i="8"/>
  <c r="AE89" i="8"/>
  <c r="AG198" i="8"/>
  <c r="AJ172" i="8"/>
  <c r="AP154" i="8"/>
  <c r="AB142" i="8"/>
  <c r="AP152" i="8"/>
  <c r="Y333" i="8"/>
  <c r="X35" i="8"/>
  <c r="V150" i="8"/>
  <c r="AC130" i="8"/>
  <c r="AA34" i="8"/>
  <c r="AM66" i="8"/>
  <c r="AT346" i="8"/>
  <c r="AJ123" i="8"/>
  <c r="AP236" i="8"/>
  <c r="AC154" i="8"/>
  <c r="AP74" i="8"/>
  <c r="AE29" i="8"/>
  <c r="AK115" i="8"/>
  <c r="AO204" i="8"/>
  <c r="AB124" i="8"/>
  <c r="AR82" i="8"/>
  <c r="AF50" i="8"/>
  <c r="AL268" i="8"/>
  <c r="AB104" i="8"/>
  <c r="X244" i="8"/>
  <c r="AN130" i="8"/>
  <c r="AP110" i="8"/>
  <c r="AN232" i="8"/>
  <c r="AR150" i="8"/>
  <c r="AE211" i="8"/>
  <c r="AT124" i="8"/>
  <c r="AJ299" i="8"/>
  <c r="AM116" i="8"/>
  <c r="AF107" i="8"/>
  <c r="W279" i="8"/>
  <c r="AD183" i="8"/>
  <c r="AS112" i="8"/>
  <c r="W178" i="8"/>
  <c r="AG96" i="8"/>
  <c r="AE262" i="8"/>
  <c r="W167" i="8"/>
  <c r="AO327" i="8"/>
  <c r="AR127" i="8"/>
  <c r="AK279" i="8"/>
  <c r="N22" i="6"/>
  <c r="H156" i="5"/>
  <c r="AA199" i="8"/>
  <c r="AJ316" i="8"/>
  <c r="V184" i="8"/>
  <c r="AK104" i="8"/>
  <c r="AT212" i="8"/>
  <c r="W293" i="8"/>
  <c r="H20" i="5"/>
  <c r="AE316" i="8"/>
  <c r="AM274" i="8"/>
  <c r="AT58" i="8"/>
  <c r="X50" i="8"/>
  <c r="Y119" i="8"/>
  <c r="AP174" i="8"/>
  <c r="AM224" i="8"/>
  <c r="AL87" i="8"/>
  <c r="AQ250" i="8"/>
  <c r="Z140" i="8"/>
  <c r="Y148" i="8"/>
  <c r="N24" i="6"/>
  <c r="AQ40" i="8"/>
  <c r="X71" i="8"/>
  <c r="Y197" i="8"/>
  <c r="F165" i="5"/>
  <c r="S22" i="1"/>
  <c r="H333" i="5"/>
  <c r="AO127" i="8"/>
  <c r="AD209" i="8"/>
  <c r="AM131" i="8"/>
  <c r="AJ108" i="8"/>
  <c r="AD194" i="8"/>
  <c r="AK205" i="8"/>
  <c r="AO118" i="8"/>
  <c r="AA136" i="8"/>
  <c r="V96" i="8"/>
  <c r="H337" i="5"/>
  <c r="AP142" i="8"/>
  <c r="AB99" i="8"/>
  <c r="AT335" i="8"/>
  <c r="AE134" i="8"/>
  <c r="AI148" i="8"/>
  <c r="AA254" i="8"/>
  <c r="AJ232" i="8"/>
  <c r="AL335" i="8"/>
  <c r="AQ325" i="8"/>
  <c r="AG111" i="8"/>
  <c r="AT116" i="8"/>
  <c r="AI189" i="8"/>
  <c r="AM163" i="8"/>
  <c r="AA172" i="8"/>
  <c r="AC145" i="8"/>
  <c r="Z25" i="8"/>
  <c r="AS283" i="8"/>
  <c r="X81" i="8"/>
  <c r="AI194" i="8"/>
  <c r="AR187" i="8"/>
  <c r="Q27" i="6"/>
  <c r="AF318" i="8"/>
  <c r="AQ306" i="8"/>
  <c r="G25" i="6"/>
  <c r="AK110" i="8"/>
  <c r="F29" i="5"/>
  <c r="L32" i="6"/>
  <c r="AH96" i="8"/>
  <c r="AE164" i="8"/>
  <c r="AI40" i="8"/>
  <c r="AF87" i="8"/>
  <c r="AG183" i="8"/>
  <c r="AB45" i="8"/>
  <c r="X92" i="8"/>
  <c r="AK265" i="8"/>
  <c r="AA129" i="8"/>
  <c r="AS161" i="8"/>
  <c r="AJ125" i="8"/>
  <c r="V214" i="8"/>
  <c r="AP32" i="8"/>
  <c r="AS158" i="8"/>
  <c r="AP199" i="8"/>
  <c r="S28" i="1"/>
  <c r="AJ260" i="8"/>
  <c r="AP187" i="8"/>
  <c r="AI124" i="8"/>
  <c r="AG195" i="8"/>
  <c r="AK210" i="8"/>
  <c r="AQ149" i="8"/>
  <c r="AB283" i="8"/>
  <c r="J71" i="6"/>
  <c r="AK215" i="8"/>
  <c r="AO348" i="8"/>
  <c r="AM230" i="8"/>
  <c r="L43" i="6"/>
  <c r="V207" i="8"/>
  <c r="AM110" i="8"/>
  <c r="AN305" i="8"/>
  <c r="AT256" i="8"/>
  <c r="AL307" i="8"/>
  <c r="Z124" i="8"/>
  <c r="AQ105" i="8"/>
  <c r="F167" i="5"/>
  <c r="W118" i="8"/>
  <c r="F23" i="5"/>
  <c r="AT226" i="8"/>
  <c r="Y181" i="8"/>
  <c r="AC129" i="8"/>
  <c r="AR311" i="8"/>
  <c r="AJ103" i="8"/>
  <c r="Q25" i="6"/>
  <c r="Z209" i="8"/>
  <c r="AK190" i="8"/>
  <c r="AC170" i="8"/>
  <c r="AJ202" i="8"/>
  <c r="Z190" i="8"/>
  <c r="AA348" i="8"/>
  <c r="AL288" i="8"/>
  <c r="AD106" i="8"/>
  <c r="X311" i="8"/>
  <c r="AQ122" i="8"/>
  <c r="AK154" i="8"/>
  <c r="AR102" i="8"/>
  <c r="Y179" i="8"/>
  <c r="AD141" i="8"/>
  <c r="AQ304" i="8"/>
  <c r="AN31" i="8"/>
  <c r="AK184" i="8"/>
  <c r="AT282" i="8"/>
  <c r="AF170" i="8"/>
  <c r="AP337" i="8"/>
  <c r="AL84" i="8"/>
  <c r="V228" i="8"/>
  <c r="AD144" i="8"/>
  <c r="AC175" i="8"/>
  <c r="AF207" i="8"/>
  <c r="AB335" i="8"/>
  <c r="AT309" i="8"/>
  <c r="AK161" i="8"/>
  <c r="AK181" i="8"/>
  <c r="AT236" i="8"/>
  <c r="V298" i="8"/>
  <c r="AR119" i="8"/>
  <c r="Y263" i="8"/>
  <c r="AB181" i="8"/>
  <c r="AE122" i="8"/>
  <c r="AE115" i="8"/>
  <c r="AC236" i="8"/>
  <c r="AO64" i="8"/>
  <c r="AL320" i="8"/>
  <c r="H226" i="5"/>
  <c r="AQ244" i="8"/>
  <c r="AL232" i="8"/>
  <c r="AK127" i="8"/>
  <c r="AK203" i="8"/>
  <c r="W149" i="8"/>
  <c r="AB150" i="8"/>
  <c r="AO195" i="8"/>
  <c r="Z86" i="8"/>
  <c r="AD153" i="8"/>
  <c r="F124" i="5"/>
  <c r="AR256" i="8"/>
  <c r="AI179" i="8"/>
  <c r="AO163" i="8"/>
  <c r="AF161" i="8"/>
  <c r="W25" i="8"/>
  <c r="AC42" i="8"/>
  <c r="AS138" i="8"/>
  <c r="W206" i="8"/>
  <c r="V203" i="8"/>
  <c r="AN104" i="8"/>
  <c r="H217" i="5"/>
  <c r="AL179" i="8"/>
  <c r="AT217" i="8"/>
  <c r="H304" i="5"/>
  <c r="V56" i="8"/>
  <c r="AE311" i="8"/>
  <c r="AI75" i="8"/>
  <c r="AS155" i="8"/>
  <c r="AO105" i="8"/>
  <c r="AL174" i="8"/>
  <c r="AM236" i="8"/>
  <c r="AG181" i="8"/>
  <c r="AR269" i="8"/>
  <c r="AE203" i="8"/>
  <c r="AD184" i="8"/>
  <c r="AL81" i="8"/>
  <c r="AI209" i="8"/>
  <c r="AP118" i="8"/>
  <c r="AC90" i="8"/>
  <c r="V288" i="8"/>
  <c r="K54" i="6"/>
  <c r="AQ259" i="8"/>
  <c r="AE187" i="8"/>
  <c r="R39" i="6"/>
  <c r="H339" i="5"/>
  <c r="AS191" i="8"/>
  <c r="K64" i="6"/>
  <c r="AL228" i="8"/>
  <c r="AS206" i="8"/>
  <c r="X262" i="8"/>
  <c r="H32" i="8"/>
  <c r="AI238" i="8"/>
  <c r="AL181" i="8"/>
  <c r="AL77" i="8"/>
  <c r="Z309" i="8"/>
  <c r="AC46" i="8"/>
  <c r="AQ102" i="8"/>
  <c r="V299" i="8"/>
  <c r="AL302" i="8"/>
  <c r="AS141" i="8"/>
  <c r="AE32" i="8"/>
  <c r="W131" i="8"/>
  <c r="AQ206" i="8"/>
  <c r="Z152" i="8"/>
  <c r="AT191" i="8"/>
  <c r="V344" i="8"/>
  <c r="AG203" i="8"/>
  <c r="AN279" i="8"/>
  <c r="H143" i="5"/>
  <c r="AQ195" i="8"/>
  <c r="AE188" i="8"/>
  <c r="AT143" i="8"/>
  <c r="AC96" i="8"/>
  <c r="AM194" i="8"/>
  <c r="F110" i="5"/>
  <c r="AN162" i="8"/>
  <c r="X147" i="8"/>
  <c r="AG268" i="8"/>
  <c r="F101" i="5"/>
  <c r="AI117" i="8"/>
  <c r="AE335" i="8"/>
  <c r="W58" i="8"/>
  <c r="W298" i="8"/>
  <c r="AK175" i="8"/>
  <c r="AF130" i="8"/>
  <c r="AJ210" i="8"/>
  <c r="AC150" i="8"/>
  <c r="AJ160" i="8"/>
  <c r="AO197" i="8"/>
  <c r="AG106" i="8"/>
  <c r="AC152" i="8"/>
  <c r="AP171" i="8"/>
  <c r="AD155" i="8"/>
  <c r="H298" i="5"/>
  <c r="AK108" i="8"/>
  <c r="AA293" i="8"/>
  <c r="AJ264" i="8"/>
  <c r="AC246" i="8"/>
  <c r="AC171" i="8"/>
  <c r="AF168" i="8"/>
  <c r="AB144" i="8"/>
  <c r="AF25" i="8"/>
  <c r="H130" i="5"/>
  <c r="AI203" i="8"/>
  <c r="AE167" i="8"/>
  <c r="AH325" i="8"/>
  <c r="G187" i="8"/>
  <c r="AG142" i="8"/>
  <c r="AR86" i="8"/>
  <c r="AA63" i="8"/>
  <c r="X134" i="8"/>
  <c r="AP226" i="8"/>
  <c r="Y161" i="8"/>
  <c r="AI78" i="8"/>
  <c r="AA252" i="8"/>
  <c r="AE344" i="8"/>
  <c r="AK123" i="8"/>
  <c r="F102" i="5"/>
  <c r="AE297" i="8"/>
  <c r="AC224" i="8"/>
  <c r="Z143" i="8"/>
  <c r="AR262" i="8"/>
  <c r="AS198" i="8"/>
  <c r="AC320" i="8"/>
  <c r="AC274" i="8"/>
  <c r="AR29" i="8"/>
  <c r="O46" i="6"/>
  <c r="AS121" i="8"/>
  <c r="AG138" i="8"/>
  <c r="AD195" i="8"/>
  <c r="AT112" i="8"/>
  <c r="K20" i="6"/>
  <c r="AR142" i="8"/>
  <c r="AB126" i="8"/>
  <c r="AT147" i="8"/>
  <c r="M39" i="6"/>
  <c r="AD316" i="8"/>
  <c r="AB202" i="8"/>
  <c r="AL118" i="8"/>
  <c r="AA168" i="8"/>
  <c r="AO54" i="8"/>
  <c r="AR84" i="8"/>
  <c r="AG223" i="8"/>
  <c r="V217" i="8"/>
  <c r="AA81" i="8"/>
  <c r="AF43" i="8"/>
  <c r="AO134" i="8"/>
  <c r="AL123" i="8"/>
  <c r="Z117" i="8"/>
  <c r="AN61" i="8"/>
  <c r="Z134" i="8"/>
  <c r="Y316" i="8"/>
  <c r="AC34" i="8"/>
  <c r="Y337" i="8"/>
  <c r="AP256" i="8"/>
  <c r="AS183" i="8"/>
  <c r="AJ173" i="8"/>
  <c r="AR228" i="8"/>
  <c r="AN167" i="8"/>
  <c r="W62" i="8"/>
  <c r="AK60" i="8"/>
  <c r="AL238" i="8"/>
  <c r="X77" i="8"/>
  <c r="AR157" i="8"/>
  <c r="Y310" i="8"/>
  <c r="AT130" i="8"/>
  <c r="W171" i="8"/>
  <c r="Y36" i="8"/>
  <c r="V130" i="8"/>
  <c r="AS272" i="8"/>
  <c r="AL200" i="8"/>
  <c r="AD213" i="8"/>
  <c r="AM202" i="8"/>
  <c r="AO270" i="8"/>
  <c r="AQ228" i="8"/>
  <c r="AS223" i="8"/>
  <c r="AD302" i="8"/>
  <c r="AR130" i="8"/>
  <c r="AM101" i="8"/>
  <c r="AM74" i="8"/>
  <c r="AI305" i="8"/>
  <c r="W110" i="8"/>
  <c r="AO117" i="8"/>
  <c r="AS81" i="8"/>
  <c r="V144" i="8"/>
  <c r="AB176" i="8"/>
  <c r="Y159" i="8"/>
  <c r="AQ264" i="8"/>
  <c r="AN141" i="8"/>
  <c r="AS202" i="8"/>
  <c r="AG269" i="8"/>
  <c r="H200" i="5"/>
  <c r="AF333" i="8"/>
  <c r="AN148" i="8"/>
  <c r="AF111" i="8"/>
  <c r="AR99" i="8"/>
  <c r="AR96" i="8"/>
  <c r="AI168" i="8"/>
  <c r="AO303" i="8"/>
  <c r="AI77" i="8"/>
  <c r="AC59" i="8"/>
  <c r="AE120" i="8"/>
  <c r="X181" i="8"/>
  <c r="W238" i="8"/>
  <c r="AR246" i="8"/>
  <c r="AI90" i="8"/>
  <c r="AM254" i="8"/>
  <c r="W320" i="8"/>
  <c r="AJ89" i="8"/>
  <c r="AK149" i="8"/>
  <c r="X118" i="8"/>
  <c r="F120" i="5"/>
  <c r="AR168" i="8"/>
  <c r="AJ190" i="8"/>
  <c r="W170" i="8"/>
  <c r="AQ187" i="8"/>
  <c r="AD234" i="8"/>
  <c r="R27" i="6"/>
  <c r="AA106" i="8"/>
  <c r="F187" i="5"/>
  <c r="W147" i="8"/>
  <c r="H301" i="5"/>
  <c r="AB110" i="8"/>
  <c r="AP282" i="8"/>
  <c r="H71" i="8"/>
  <c r="AO107" i="8"/>
  <c r="W325" i="8"/>
  <c r="AM52" i="8"/>
  <c r="AB59" i="8"/>
  <c r="AN236" i="8"/>
  <c r="AN143" i="8"/>
  <c r="AR181" i="8"/>
  <c r="Z307" i="8"/>
  <c r="AP293" i="8"/>
  <c r="AL274" i="8"/>
  <c r="V102" i="8"/>
  <c r="AQ61" i="8"/>
  <c r="AE184" i="8"/>
  <c r="AB263" i="8"/>
  <c r="AM124" i="8"/>
  <c r="AS61" i="8"/>
  <c r="AP269" i="8"/>
  <c r="H164" i="5"/>
  <c r="AA211" i="8"/>
  <c r="I56" i="6"/>
  <c r="AI265" i="8"/>
  <c r="AE246" i="8"/>
  <c r="Q48" i="6"/>
  <c r="AE288" i="8"/>
  <c r="AN175" i="8"/>
  <c r="M25" i="6"/>
  <c r="F344" i="5"/>
  <c r="AU244" i="8"/>
  <c r="AA126" i="8"/>
  <c r="AL40" i="8"/>
  <c r="AG86" i="8"/>
  <c r="AA71" i="8"/>
  <c r="AK252" i="8"/>
  <c r="AD154" i="8"/>
  <c r="AD268" i="8"/>
  <c r="AT294" i="8"/>
  <c r="AO142" i="8"/>
  <c r="AC20" i="8"/>
  <c r="AE182" i="8"/>
  <c r="AF96" i="8"/>
  <c r="AO158" i="8"/>
  <c r="AN213" i="8"/>
  <c r="H118" i="5"/>
  <c r="AF265" i="8"/>
  <c r="F168" i="5"/>
  <c r="AJ176" i="8"/>
  <c r="AL36" i="8"/>
  <c r="AJ192" i="8"/>
  <c r="AI125" i="8"/>
  <c r="AI262" i="8"/>
  <c r="Z87" i="8"/>
  <c r="AA115" i="8"/>
  <c r="AA141" i="8"/>
  <c r="AR172" i="8"/>
  <c r="AR31" i="8"/>
  <c r="AM250" i="8"/>
  <c r="AB282" i="8"/>
  <c r="AQ177" i="8"/>
  <c r="AC74" i="8"/>
  <c r="AF224" i="8"/>
  <c r="AS300" i="8"/>
  <c r="AC304" i="8"/>
  <c r="V60" i="8"/>
  <c r="AT162" i="8"/>
  <c r="AS37" i="8"/>
  <c r="AK68" i="8"/>
  <c r="V66" i="8"/>
  <c r="Z173" i="8"/>
  <c r="AJ170" i="8"/>
  <c r="AO154" i="8"/>
  <c r="L69" i="6"/>
  <c r="AS214" i="8"/>
  <c r="Z149" i="8"/>
  <c r="W156" i="8"/>
  <c r="H62" i="5"/>
  <c r="AI85" i="8"/>
  <c r="AE76" i="8"/>
  <c r="AI230" i="8"/>
  <c r="V122" i="8"/>
  <c r="AN155" i="8"/>
  <c r="AD305" i="8"/>
  <c r="AI101" i="8"/>
  <c r="AP153" i="8"/>
  <c r="AD101" i="8"/>
  <c r="AB307" i="8"/>
  <c r="AJ131" i="8"/>
  <c r="AK198" i="8"/>
  <c r="AN105" i="8"/>
  <c r="AA262" i="8"/>
  <c r="AE272" i="8"/>
  <c r="AN152" i="8"/>
  <c r="AJ184" i="8"/>
  <c r="G46" i="6"/>
  <c r="AG172" i="8"/>
  <c r="AO205" i="8"/>
  <c r="AL189" i="8"/>
  <c r="N20" i="6"/>
  <c r="AP184" i="8"/>
  <c r="AM133" i="8"/>
  <c r="AS341" i="8"/>
  <c r="AD42" i="8"/>
  <c r="W82" i="8"/>
  <c r="AG283" i="8"/>
  <c r="AF35" i="8"/>
  <c r="AE180" i="8"/>
  <c r="V115" i="8"/>
  <c r="Y90" i="8"/>
  <c r="AI214" i="8"/>
  <c r="S60" i="1"/>
  <c r="Z66" i="8"/>
  <c r="AM244" i="8"/>
  <c r="W69" i="8"/>
  <c r="AQ191" i="8"/>
  <c r="AR348" i="8"/>
  <c r="AG344" i="8"/>
  <c r="AB217" i="8"/>
  <c r="AG282" i="8"/>
  <c r="H252" i="5"/>
  <c r="AB120" i="8"/>
  <c r="AC125" i="8"/>
  <c r="AO293" i="8"/>
  <c r="V262" i="8"/>
  <c r="AJ196" i="8"/>
  <c r="AN120" i="8"/>
  <c r="H242" i="5"/>
  <c r="F60" i="8"/>
  <c r="AO210" i="8"/>
  <c r="AN33" i="8"/>
  <c r="AT82" i="8"/>
  <c r="AQ58" i="8"/>
  <c r="AL140" i="8"/>
  <c r="Z318" i="8"/>
  <c r="Z118" i="8"/>
  <c r="AS310" i="8"/>
  <c r="AO166" i="8"/>
  <c r="AP134" i="8"/>
  <c r="AS282" i="8"/>
  <c r="AF248" i="8"/>
  <c r="AJ168" i="8"/>
  <c r="AP270" i="8"/>
  <c r="AA280" i="8"/>
  <c r="AF172" i="8"/>
  <c r="Z214" i="8"/>
  <c r="AI74" i="8"/>
  <c r="Z163" i="8"/>
  <c r="AB320" i="8"/>
  <c r="Y106" i="8"/>
  <c r="AR198" i="8"/>
  <c r="AM158" i="8"/>
  <c r="V173" i="8"/>
  <c r="H236" i="5"/>
  <c r="Y126" i="8"/>
  <c r="H161" i="5"/>
  <c r="F307" i="8"/>
  <c r="F63" i="5"/>
  <c r="AK66" i="8"/>
  <c r="AI161" i="8"/>
  <c r="V81" i="8"/>
  <c r="AA240" i="8"/>
  <c r="AD202" i="8"/>
  <c r="AE339" i="8"/>
  <c r="AE304" i="8"/>
  <c r="AB346" i="8"/>
  <c r="X106" i="8"/>
  <c r="X263" i="8"/>
  <c r="AB159" i="8"/>
  <c r="AN282" i="8"/>
  <c r="AO152" i="8"/>
  <c r="AI283" i="8"/>
  <c r="AQ203" i="8"/>
  <c r="AI154" i="8"/>
  <c r="Z201" i="8"/>
  <c r="Z346" i="8"/>
  <c r="X170" i="8"/>
  <c r="AE348" i="8"/>
  <c r="P29" i="6"/>
  <c r="AI223" i="8"/>
  <c r="V117" i="8"/>
  <c r="AO181" i="8"/>
  <c r="AG240" i="8"/>
  <c r="H283" i="5"/>
  <c r="AG228" i="8"/>
  <c r="AM203" i="8"/>
  <c r="P48" i="6"/>
  <c r="AA118" i="8"/>
  <c r="AO297" i="8"/>
  <c r="V254" i="8"/>
  <c r="AG153" i="8"/>
  <c r="AK236" i="8"/>
  <c r="AL99" i="8"/>
  <c r="AR81" i="8"/>
  <c r="AB105" i="8"/>
  <c r="AF166" i="8"/>
  <c r="AJ213" i="8"/>
  <c r="P62" i="6"/>
  <c r="AG133" i="8"/>
  <c r="O41" i="6"/>
  <c r="H40" i="5"/>
  <c r="H260" i="8"/>
  <c r="AL264" i="8"/>
  <c r="AC209" i="8"/>
  <c r="AU103" i="8"/>
  <c r="AG73" i="8"/>
  <c r="AN153" i="8"/>
  <c r="V145" i="8"/>
  <c r="AP111" i="8"/>
  <c r="AT106" i="8"/>
  <c r="AA108" i="8"/>
  <c r="AM150" i="8"/>
  <c r="AF154" i="8"/>
  <c r="AL184" i="8"/>
  <c r="AQ213" i="8"/>
  <c r="M48" i="6"/>
  <c r="AC256" i="8"/>
  <c r="AC316" i="8"/>
  <c r="AT341" i="8"/>
  <c r="AP58" i="8"/>
  <c r="Y155" i="8"/>
  <c r="AI107" i="8"/>
  <c r="AB212" i="8"/>
  <c r="Y259" i="8"/>
  <c r="AC160" i="8"/>
  <c r="Y344" i="8"/>
  <c r="AI133" i="8"/>
  <c r="AS294" i="8"/>
  <c r="AA32" i="8"/>
  <c r="AT50" i="8"/>
  <c r="Z112" i="8"/>
  <c r="AK162" i="8"/>
  <c r="AN101" i="8"/>
  <c r="V103" i="8"/>
  <c r="Z101" i="8"/>
  <c r="AS204" i="8"/>
  <c r="S46" i="1"/>
  <c r="X282" i="8"/>
  <c r="AJ145" i="8"/>
  <c r="AA224" i="8"/>
  <c r="AC214" i="8"/>
  <c r="P21" i="6"/>
  <c r="V192" i="8"/>
  <c r="F214" i="5"/>
  <c r="H172" i="8"/>
  <c r="F240" i="8"/>
  <c r="H59" i="8"/>
  <c r="X183" i="8"/>
  <c r="AK158" i="8"/>
  <c r="AT206" i="8"/>
  <c r="H209" i="8"/>
  <c r="AU67" i="8"/>
  <c r="AB138" i="8"/>
  <c r="AJ165" i="8"/>
  <c r="F64" i="6"/>
  <c r="H346" i="5"/>
  <c r="H96" i="8"/>
  <c r="I34" i="8"/>
  <c r="Y189" i="8"/>
  <c r="AU140" i="8"/>
  <c r="G146" i="8"/>
  <c r="AU256" i="8"/>
  <c r="AQ333" i="8"/>
  <c r="Y129" i="8"/>
  <c r="AM90" i="8"/>
  <c r="AC173" i="8"/>
  <c r="H146" i="5"/>
  <c r="AF108" i="8"/>
  <c r="AA198" i="8"/>
  <c r="W158" i="8"/>
  <c r="X135" i="8"/>
  <c r="Z148" i="8"/>
  <c r="G60" i="6"/>
  <c r="F43" i="5"/>
  <c r="AN195" i="8"/>
  <c r="J25" i="6"/>
  <c r="AJ112" i="8"/>
  <c r="AH154" i="8"/>
  <c r="AQ121" i="8"/>
  <c r="L27" i="6"/>
  <c r="M58" i="6"/>
  <c r="W141" i="8"/>
  <c r="AU318" i="8"/>
  <c r="H103" i="8"/>
  <c r="V318" i="8"/>
  <c r="G22" i="6"/>
  <c r="AD149" i="8"/>
  <c r="H189" i="8"/>
  <c r="AH274" i="8"/>
  <c r="H152" i="8"/>
  <c r="AT125" i="8"/>
  <c r="AM348" i="8"/>
  <c r="AU148" i="8"/>
  <c r="AH87" i="8"/>
  <c r="AQ76" i="8"/>
  <c r="AJ289" i="8"/>
  <c r="AG216" i="8"/>
  <c r="F270" i="5"/>
  <c r="AL173" i="8"/>
  <c r="G176" i="8"/>
  <c r="AL48" i="8"/>
  <c r="AM160" i="8"/>
  <c r="Z153" i="8"/>
  <c r="AO263" i="8"/>
  <c r="AO187" i="8"/>
  <c r="AM288" i="8"/>
  <c r="AS213" i="8"/>
  <c r="AT192" i="8"/>
  <c r="F56" i="8"/>
  <c r="AM314" i="8"/>
  <c r="W318" i="8"/>
  <c r="AO29" i="8"/>
  <c r="AK125" i="8"/>
  <c r="AT158" i="8"/>
  <c r="V309" i="8"/>
  <c r="AD272" i="8"/>
  <c r="AP25" i="8"/>
  <c r="AL131" i="8"/>
  <c r="N69" i="6"/>
  <c r="AC280" i="8"/>
  <c r="F52" i="6"/>
  <c r="AC161" i="8"/>
  <c r="AF106" i="8"/>
  <c r="AG187" i="8"/>
  <c r="K48" i="6"/>
  <c r="AF118" i="8"/>
  <c r="AG77" i="8"/>
  <c r="AI242" i="8"/>
  <c r="W120" i="8"/>
  <c r="AG313" i="8"/>
  <c r="AO211" i="8"/>
  <c r="AR344" i="8"/>
  <c r="AI272" i="8"/>
  <c r="H181" i="5"/>
  <c r="AF215" i="8"/>
  <c r="AU132" i="8"/>
  <c r="AE214" i="8"/>
  <c r="AK141" i="8"/>
  <c r="AI196" i="8"/>
  <c r="Y234" i="8"/>
  <c r="X178" i="8"/>
  <c r="AT173" i="8"/>
  <c r="Y170" i="8"/>
  <c r="H133" i="5"/>
  <c r="F48" i="5"/>
  <c r="AF213" i="8"/>
  <c r="F148" i="5"/>
  <c r="AA191" i="8"/>
  <c r="AH136" i="8"/>
  <c r="X309" i="8"/>
  <c r="AM174" i="8"/>
  <c r="AG155" i="8"/>
  <c r="AK283" i="8"/>
  <c r="AC102" i="8"/>
  <c r="AM102" i="8"/>
  <c r="W111" i="8"/>
  <c r="AG100" i="8"/>
  <c r="AA294" i="8"/>
  <c r="H196" i="5"/>
  <c r="AS209" i="8"/>
  <c r="F93" i="5"/>
  <c r="G188" i="8"/>
  <c r="Y320" i="8"/>
  <c r="Y205" i="8"/>
  <c r="F208" i="5"/>
  <c r="AR214" i="8"/>
  <c r="H303" i="5"/>
  <c r="H69" i="8"/>
  <c r="Z108" i="8"/>
  <c r="H50" i="5"/>
  <c r="J26" i="6"/>
  <c r="F72" i="8"/>
  <c r="F96" i="8"/>
  <c r="AH262" i="8"/>
  <c r="W212" i="8"/>
  <c r="AB242" i="8"/>
  <c r="AU205" i="8"/>
  <c r="H20" i="8"/>
  <c r="AA150" i="8"/>
  <c r="AB182" i="8"/>
  <c r="H168" i="8"/>
  <c r="AH159" i="8"/>
  <c r="AJ33" i="8"/>
  <c r="AM54" i="8"/>
  <c r="AI100" i="8"/>
  <c r="AJ71" i="8"/>
  <c r="AS262" i="8"/>
  <c r="W248" i="8"/>
  <c r="AQ211" i="8"/>
  <c r="AK306" i="8"/>
  <c r="F297" i="5"/>
  <c r="H294" i="5"/>
  <c r="AE216" i="8"/>
  <c r="AP100" i="8"/>
  <c r="AR132" i="8"/>
  <c r="AH58" i="8"/>
  <c r="AE210" i="8"/>
  <c r="I27" i="6"/>
  <c r="F272" i="8"/>
  <c r="AN316" i="8"/>
  <c r="AT344" i="8"/>
  <c r="AU133" i="8"/>
  <c r="G139" i="8"/>
  <c r="AR189" i="8"/>
  <c r="Z174" i="8"/>
  <c r="AE110" i="8"/>
  <c r="I20" i="6"/>
  <c r="AC178" i="8"/>
  <c r="AE318" i="8"/>
  <c r="H63" i="8"/>
  <c r="AH99" i="8"/>
  <c r="AA152" i="8"/>
  <c r="AH77" i="8"/>
  <c r="G131" i="8"/>
  <c r="X122" i="8"/>
  <c r="AL265" i="8"/>
  <c r="J33" i="6"/>
  <c r="P33" i="6"/>
  <c r="AO282" i="8"/>
  <c r="AI25" i="8"/>
  <c r="M26" i="6"/>
  <c r="H250" i="5"/>
  <c r="AC146" i="8"/>
  <c r="L23" i="8"/>
  <c r="F52" i="5"/>
  <c r="AH85" i="8"/>
  <c r="W203" i="8"/>
  <c r="R254" i="8"/>
  <c r="N50" i="6"/>
  <c r="V146" i="8"/>
  <c r="AO212" i="8"/>
  <c r="AA39" i="8"/>
  <c r="AQ303" i="8"/>
  <c r="AN178" i="8"/>
  <c r="AF199" i="8"/>
  <c r="AG215" i="8"/>
  <c r="AD142" i="8"/>
  <c r="AO206" i="8"/>
  <c r="AE177" i="8"/>
  <c r="AF216" i="8"/>
  <c r="F282" i="5"/>
  <c r="AH307" i="8"/>
  <c r="V32" i="8"/>
  <c r="AJ39" i="8"/>
  <c r="AM309" i="8"/>
  <c r="AO176" i="8"/>
  <c r="X58" i="8"/>
  <c r="Y293" i="8"/>
  <c r="AL346" i="8"/>
  <c r="AQ279" i="8"/>
  <c r="AD131" i="8"/>
  <c r="AM279" i="8"/>
  <c r="X242" i="8"/>
  <c r="N21" i="6"/>
  <c r="S62" i="1"/>
  <c r="H228" i="8"/>
  <c r="V165" i="8"/>
  <c r="G50" i="6"/>
  <c r="AA145" i="8"/>
  <c r="Z331" i="8"/>
  <c r="Z58" i="8"/>
  <c r="AK131" i="8"/>
  <c r="AJ85" i="8"/>
  <c r="AS85" i="8"/>
  <c r="AD143" i="8"/>
  <c r="F146" i="5"/>
  <c r="Z162" i="8"/>
  <c r="H124" i="5"/>
  <c r="F175" i="8"/>
  <c r="R29" i="6"/>
  <c r="H130" i="8"/>
  <c r="AB153" i="8"/>
  <c r="AI156" i="8"/>
  <c r="AM152" i="8"/>
  <c r="F161" i="5"/>
  <c r="AL74" i="8"/>
  <c r="AD162" i="8"/>
  <c r="AR196" i="8"/>
  <c r="AG209" i="8"/>
  <c r="AE293" i="8"/>
  <c r="O67" i="6"/>
  <c r="AP214" i="8"/>
  <c r="AE67" i="8"/>
  <c r="AL90" i="8"/>
  <c r="AQ34" i="8"/>
  <c r="X163" i="8"/>
  <c r="AT208" i="8"/>
  <c r="AK262" i="8"/>
  <c r="AF190" i="8"/>
  <c r="AG289" i="8"/>
  <c r="AJ179" i="8"/>
  <c r="G310" i="8"/>
  <c r="AI191" i="8"/>
  <c r="AQ214" i="8"/>
  <c r="AH130" i="8"/>
  <c r="AC208" i="8"/>
  <c r="Y101" i="8"/>
  <c r="H182" i="8"/>
  <c r="F141" i="5"/>
  <c r="X101" i="8"/>
  <c r="G163" i="8"/>
  <c r="W176" i="8"/>
  <c r="AN280" i="8"/>
  <c r="J56" i="6"/>
  <c r="AM198" i="8"/>
  <c r="G329" i="8"/>
  <c r="AH50" i="8"/>
  <c r="AF191" i="8"/>
  <c r="H40" i="8"/>
  <c r="H333" i="8"/>
  <c r="G162" i="8"/>
  <c r="AT267" i="8"/>
  <c r="I37" i="6"/>
  <c r="V264" i="8"/>
  <c r="H165" i="5"/>
  <c r="X75" i="8"/>
  <c r="AM143" i="8"/>
  <c r="AG61" i="8"/>
  <c r="AR135" i="8"/>
  <c r="AD92" i="8"/>
  <c r="AB122" i="8"/>
  <c r="AM164" i="8"/>
  <c r="AI318" i="8"/>
  <c r="AC314" i="8"/>
  <c r="L22" i="6"/>
  <c r="AE159" i="8"/>
  <c r="O21" i="6"/>
  <c r="AA117" i="8"/>
  <c r="AP194" i="8"/>
  <c r="V323" i="8"/>
  <c r="F196" i="5"/>
  <c r="M23" i="6"/>
  <c r="AK209" i="8"/>
  <c r="H58" i="5"/>
  <c r="F100" i="8"/>
  <c r="AU325" i="8"/>
  <c r="AO191" i="8"/>
  <c r="G189" i="8"/>
  <c r="AA20" i="8"/>
  <c r="W288" i="8"/>
  <c r="AU200" i="8"/>
  <c r="G95" i="8"/>
  <c r="AQ262" i="8"/>
  <c r="AB318" i="8"/>
  <c r="F302" i="5"/>
  <c r="AN202" i="8"/>
  <c r="H141" i="8"/>
  <c r="F33" i="6"/>
  <c r="AC144" i="8"/>
  <c r="O48" i="6"/>
  <c r="H171" i="8"/>
  <c r="H65" i="8"/>
  <c r="W283" i="8"/>
  <c r="F32" i="5"/>
  <c r="H155" i="8"/>
  <c r="F67" i="8"/>
  <c r="W236" i="8"/>
  <c r="AO196" i="8"/>
  <c r="AA125" i="8"/>
  <c r="AH244" i="8"/>
  <c r="L280" i="8"/>
  <c r="V194" i="8"/>
  <c r="AH226" i="8"/>
  <c r="M176" i="8"/>
  <c r="Y86" i="8"/>
  <c r="AS59" i="8"/>
  <c r="AD140" i="8"/>
  <c r="AJ74" i="8"/>
  <c r="AC107" i="8"/>
  <c r="Z323" i="8"/>
  <c r="Q56" i="6"/>
  <c r="AD256" i="8"/>
  <c r="AO106" i="8"/>
  <c r="AM208" i="8"/>
  <c r="AK160" i="8"/>
  <c r="AS152" i="8"/>
  <c r="H33" i="6"/>
  <c r="AR270" i="8"/>
  <c r="H59" i="5"/>
  <c r="F81" i="8"/>
  <c r="AM246" i="8"/>
  <c r="Y85" i="8"/>
  <c r="AG176" i="8"/>
  <c r="AE138" i="8"/>
  <c r="Z262" i="8"/>
  <c r="AG68" i="8"/>
  <c r="AT89" i="8"/>
  <c r="AD120" i="8"/>
  <c r="W250" i="8"/>
  <c r="W144" i="8"/>
  <c r="AC282" i="8"/>
  <c r="AS200" i="8"/>
  <c r="AP264" i="8"/>
  <c r="L24" i="6"/>
  <c r="AC64" i="8"/>
  <c r="AM58" i="8"/>
  <c r="AJ300" i="8"/>
  <c r="AE250" i="8"/>
  <c r="AO173" i="8"/>
  <c r="X104" i="8"/>
  <c r="AL164" i="8"/>
  <c r="AA216" i="8"/>
  <c r="AD327" i="8"/>
  <c r="AC99" i="8"/>
  <c r="AE103" i="8"/>
  <c r="O36" i="6"/>
  <c r="AL172" i="8"/>
  <c r="F307" i="5"/>
  <c r="H89" i="5"/>
  <c r="AB100" i="8"/>
  <c r="AU164" i="8"/>
  <c r="AK138" i="8"/>
  <c r="AL65" i="8"/>
  <c r="AA162" i="8"/>
  <c r="X279" i="8"/>
  <c r="AC153" i="8"/>
  <c r="H121" i="5"/>
  <c r="M69" i="6"/>
  <c r="H71" i="6"/>
  <c r="AD250" i="8"/>
  <c r="R71" i="6"/>
  <c r="AJ293" i="8"/>
  <c r="N23" i="6"/>
  <c r="G129" i="8"/>
  <c r="AL300" i="8"/>
  <c r="AD54" i="8"/>
  <c r="X103" i="8"/>
  <c r="Y68" i="8"/>
  <c r="AR232" i="8"/>
  <c r="R64" i="6"/>
  <c r="AP121" i="8"/>
  <c r="AC259" i="8"/>
  <c r="AI134" i="8"/>
  <c r="AB187" i="8"/>
  <c r="AL206" i="8"/>
  <c r="AC29" i="8"/>
  <c r="V29" i="8"/>
  <c r="AS236" i="8"/>
  <c r="AG232" i="8"/>
  <c r="H73" i="5"/>
  <c r="AQ212" i="8"/>
  <c r="AS215" i="8"/>
  <c r="P56" i="6"/>
  <c r="AR195" i="8"/>
  <c r="F103" i="5"/>
  <c r="AL205" i="8"/>
  <c r="N27" i="6"/>
  <c r="H274" i="5"/>
  <c r="Z194" i="8"/>
  <c r="F50" i="6"/>
  <c r="H238" i="8"/>
  <c r="F256" i="8"/>
  <c r="H82" i="5"/>
  <c r="F73" i="8"/>
  <c r="AI95" i="8"/>
  <c r="AT202" i="8"/>
  <c r="H146" i="8"/>
  <c r="K71" i="6"/>
  <c r="AP191" i="8"/>
  <c r="AH205" i="8"/>
  <c r="AA25" i="8"/>
  <c r="AO138" i="8"/>
  <c r="G116" i="8"/>
  <c r="X272" i="8"/>
  <c r="AN106" i="8"/>
  <c r="AT259" i="8"/>
  <c r="AH242" i="8"/>
  <c r="AH210" i="8"/>
  <c r="AE75" i="8"/>
  <c r="AN85" i="8"/>
  <c r="AF304" i="8"/>
  <c r="AG147" i="8"/>
  <c r="AQ307" i="8"/>
  <c r="AM153" i="8"/>
  <c r="AA288" i="8"/>
  <c r="AP117" i="8"/>
  <c r="AJ101" i="8"/>
  <c r="AB215" i="8"/>
  <c r="AE162" i="8"/>
  <c r="W150" i="8"/>
  <c r="AL124" i="8"/>
  <c r="AU177" i="8"/>
  <c r="AK268" i="8"/>
  <c r="F95" i="5"/>
  <c r="G299" i="8"/>
  <c r="H119" i="5"/>
  <c r="M37" i="6"/>
  <c r="AP122" i="8"/>
  <c r="AH56" i="8"/>
  <c r="H307" i="8"/>
  <c r="H214" i="8"/>
  <c r="Z207" i="8"/>
  <c r="H344" i="5"/>
  <c r="F274" i="8"/>
  <c r="AU143" i="8"/>
  <c r="S52" i="1"/>
  <c r="AU250" i="8"/>
  <c r="H48" i="5"/>
  <c r="G307" i="8"/>
  <c r="AB197" i="8"/>
  <c r="AI104" i="8"/>
  <c r="AR206" i="8"/>
  <c r="AU341" i="8"/>
  <c r="AU72" i="8"/>
  <c r="G68" i="8"/>
  <c r="F327" i="5"/>
  <c r="AU282" i="8"/>
  <c r="AF201" i="8"/>
  <c r="AH259" i="8"/>
  <c r="AC70" i="8"/>
  <c r="V155" i="8"/>
  <c r="AE102" i="8"/>
  <c r="AC37" i="8"/>
  <c r="AF126" i="8"/>
  <c r="AK130" i="8"/>
  <c r="AO215" i="8"/>
  <c r="AG145" i="8"/>
  <c r="F346" i="5"/>
  <c r="AA116" i="8"/>
  <c r="AG119" i="8"/>
  <c r="AN142" i="8"/>
  <c r="AG294" i="8"/>
  <c r="AP297" i="8"/>
  <c r="AO37" i="8"/>
  <c r="AT183" i="8"/>
  <c r="AR170" i="8"/>
  <c r="AG130" i="8"/>
  <c r="AI164" i="8"/>
  <c r="AK167" i="8"/>
  <c r="Z289" i="8"/>
  <c r="H195" i="5"/>
  <c r="H166" i="5"/>
  <c r="W126" i="8"/>
  <c r="AM144" i="8"/>
  <c r="H42" i="5"/>
  <c r="H329" i="8"/>
  <c r="L36" i="6"/>
  <c r="F146" i="8"/>
  <c r="AA178" i="8"/>
  <c r="AS89" i="8"/>
  <c r="AD104" i="8"/>
  <c r="AT306" i="8"/>
  <c r="AM104" i="8"/>
  <c r="H256" i="5"/>
  <c r="AA269" i="8"/>
  <c r="Z300" i="8"/>
  <c r="H72" i="5"/>
  <c r="AI205" i="8"/>
  <c r="AJ144" i="8"/>
  <c r="AF288" i="8"/>
  <c r="AK228" i="8"/>
  <c r="AC300" i="8"/>
  <c r="AR78" i="8"/>
  <c r="AO23" i="8"/>
  <c r="AL138" i="8"/>
  <c r="Z146" i="8"/>
  <c r="AD171" i="8"/>
  <c r="AK122" i="8"/>
  <c r="AB223" i="8"/>
  <c r="N33" i="6"/>
  <c r="AQ318" i="8"/>
  <c r="AI160" i="8"/>
  <c r="AR223" i="8"/>
  <c r="AA89" i="8"/>
  <c r="AG256" i="8"/>
  <c r="AK305" i="8"/>
  <c r="AK164" i="8"/>
  <c r="V161" i="8"/>
  <c r="H201" i="5"/>
  <c r="AD206" i="8"/>
  <c r="AM260" i="8"/>
  <c r="G144" i="8"/>
  <c r="V187" i="8"/>
  <c r="H341" i="5"/>
  <c r="G35" i="8"/>
  <c r="AR272" i="8"/>
  <c r="AP259" i="8"/>
  <c r="F203" i="8"/>
  <c r="AH164" i="8"/>
  <c r="H206" i="8"/>
  <c r="W204" i="8"/>
  <c r="V190" i="8"/>
  <c r="I62" i="6"/>
  <c r="H173" i="8"/>
  <c r="F115" i="8"/>
  <c r="F89" i="5"/>
  <c r="H153" i="8"/>
  <c r="F116" i="5"/>
  <c r="H178" i="8"/>
  <c r="AK191" i="8"/>
  <c r="H54" i="6"/>
  <c r="AS205" i="8"/>
  <c r="F212" i="8"/>
  <c r="G101" i="8"/>
  <c r="M27" i="6"/>
  <c r="AD71" i="8"/>
  <c r="AT117" i="8"/>
  <c r="AB90" i="8"/>
  <c r="AL23" i="8"/>
  <c r="AP143" i="8"/>
  <c r="AC158" i="8"/>
  <c r="AM125" i="8"/>
  <c r="AK280" i="8"/>
  <c r="AG78" i="8"/>
  <c r="AQ167" i="8"/>
  <c r="AC190" i="8"/>
  <c r="I23" i="6"/>
  <c r="AG348" i="8"/>
  <c r="F254" i="5"/>
  <c r="AL166" i="8"/>
  <c r="F138" i="5"/>
  <c r="H23" i="6"/>
  <c r="Z122" i="8"/>
  <c r="AA38" i="8"/>
  <c r="Z63" i="8"/>
  <c r="Z136" i="8"/>
  <c r="Z184" i="8"/>
  <c r="AJ207" i="8"/>
  <c r="AE141" i="8"/>
  <c r="H65" i="5"/>
  <c r="W267" i="8"/>
  <c r="AJ20" i="8"/>
  <c r="AP141" i="8"/>
  <c r="AD107" i="8"/>
  <c r="AD201" i="8"/>
  <c r="F160" i="5"/>
  <c r="AR85" i="8"/>
  <c r="W172" i="8"/>
  <c r="F153" i="5"/>
  <c r="X213" i="8"/>
  <c r="X121" i="8"/>
  <c r="AE133" i="8"/>
  <c r="AG238" i="8"/>
  <c r="AE123" i="8"/>
  <c r="AI120" i="8"/>
  <c r="AE31" i="8"/>
  <c r="AI99" i="8"/>
  <c r="Z329" i="8"/>
  <c r="R52" i="6"/>
  <c r="V156" i="8"/>
  <c r="I43" i="6"/>
  <c r="AG157" i="8"/>
  <c r="AE310" i="8"/>
  <c r="AS182" i="8"/>
  <c r="AQ254" i="8"/>
  <c r="AP192" i="8"/>
  <c r="AE129" i="8"/>
  <c r="AR288" i="8"/>
  <c r="AN122" i="8"/>
  <c r="AQ327" i="8"/>
  <c r="AF155" i="8"/>
  <c r="H71" i="5"/>
  <c r="AR90" i="8"/>
  <c r="AL34" i="8"/>
  <c r="Z316" i="8"/>
  <c r="X165" i="8"/>
  <c r="AJ143" i="8"/>
  <c r="AI208" i="8"/>
  <c r="G54" i="6"/>
  <c r="F115" i="5"/>
  <c r="X153" i="8"/>
  <c r="W191" i="8"/>
  <c r="Y158" i="8"/>
  <c r="AE112" i="8"/>
  <c r="AU304" i="8"/>
  <c r="AA230" i="8"/>
  <c r="X56" i="8"/>
  <c r="AL267" i="8"/>
  <c r="L25" i="6"/>
  <c r="F335" i="5"/>
  <c r="G124" i="8"/>
  <c r="AG161" i="8"/>
  <c r="AQ274" i="8"/>
  <c r="W197" i="8"/>
  <c r="H226" i="8"/>
  <c r="AH198" i="8"/>
  <c r="G52" i="8"/>
  <c r="J48" i="6"/>
  <c r="AB204" i="8"/>
  <c r="AH172" i="8"/>
  <c r="AU280" i="8"/>
  <c r="H75" i="8"/>
  <c r="F84" i="5"/>
  <c r="AD265" i="8"/>
  <c r="H187" i="8"/>
  <c r="G164" i="8"/>
  <c r="AS246" i="8"/>
  <c r="AR236" i="8"/>
  <c r="AO147" i="8"/>
  <c r="AQ246" i="8"/>
  <c r="AS274" i="8"/>
  <c r="AJ31" i="8"/>
  <c r="AA203" i="8"/>
  <c r="AO272" i="8"/>
  <c r="W134" i="8"/>
  <c r="Y198" i="8"/>
  <c r="F204" i="5"/>
  <c r="W265" i="8"/>
  <c r="F262" i="5"/>
  <c r="H259" i="5"/>
  <c r="AF348" i="8"/>
  <c r="AH119" i="8"/>
  <c r="V240" i="8"/>
  <c r="AT209" i="8"/>
  <c r="G64" i="6"/>
  <c r="AU201" i="8"/>
  <c r="AH62" i="8"/>
  <c r="AC192" i="8"/>
  <c r="AD172" i="8"/>
  <c r="AB174" i="8"/>
  <c r="W198" i="8"/>
  <c r="AN265" i="8"/>
  <c r="L23" i="6"/>
  <c r="F125" i="8"/>
  <c r="F32" i="6"/>
  <c r="F157" i="5"/>
  <c r="G66" i="8"/>
  <c r="AU56" i="8"/>
  <c r="AH346" i="8"/>
  <c r="AC168" i="8"/>
  <c r="AU305" i="8"/>
  <c r="Q52" i="6"/>
  <c r="G300" i="8"/>
  <c r="AN173" i="8"/>
  <c r="AH52" i="8"/>
  <c r="AT157" i="8"/>
  <c r="AH190" i="8"/>
  <c r="W99" i="8"/>
  <c r="AU131" i="8"/>
  <c r="F250" i="8"/>
  <c r="H207" i="8"/>
  <c r="AQ170" i="8"/>
  <c r="H122" i="8"/>
  <c r="T108" i="8"/>
  <c r="U212" i="8"/>
  <c r="W333" i="8"/>
  <c r="AR184" i="8"/>
  <c r="AQ223" i="8"/>
  <c r="AF260" i="8"/>
  <c r="K29" i="6"/>
  <c r="AD95" i="8"/>
  <c r="F246" i="5"/>
  <c r="AI207" i="8"/>
  <c r="J34" i="6"/>
  <c r="AP206" i="8"/>
  <c r="V256" i="8"/>
  <c r="AJ337" i="8"/>
  <c r="V154" i="8"/>
  <c r="AO126" i="8"/>
  <c r="AC135" i="8"/>
  <c r="AR110" i="8"/>
  <c r="AU260" i="8"/>
  <c r="Z138" i="8"/>
  <c r="AO135" i="8"/>
  <c r="G23" i="6"/>
  <c r="Z256" i="8"/>
  <c r="AN131" i="8"/>
  <c r="AT302" i="8"/>
  <c r="AB82" i="8"/>
  <c r="Z198" i="8"/>
  <c r="F299" i="8"/>
  <c r="H320" i="8"/>
  <c r="AG108" i="8"/>
  <c r="AU189" i="8"/>
  <c r="F236" i="8"/>
  <c r="H260" i="5"/>
  <c r="AQ133" i="8"/>
  <c r="AP250" i="8"/>
  <c r="AN208" i="8"/>
  <c r="AJ191" i="8"/>
  <c r="AQ215" i="8"/>
  <c r="AL171" i="8"/>
  <c r="AF149" i="8"/>
  <c r="AU89" i="8"/>
  <c r="J37" i="6"/>
  <c r="H147" i="8"/>
  <c r="F39" i="6"/>
  <c r="I158" i="8"/>
  <c r="AP242" i="8"/>
  <c r="AS107" i="8"/>
  <c r="AC149" i="8"/>
  <c r="I105" i="8"/>
  <c r="AA264" i="8"/>
  <c r="G191" i="8"/>
  <c r="AB268" i="8"/>
  <c r="L131" i="8"/>
  <c r="AQ45" i="8"/>
  <c r="AM177" i="8"/>
  <c r="AI211" i="8"/>
  <c r="AD100" i="8"/>
  <c r="Y171" i="8"/>
  <c r="AS348" i="8"/>
  <c r="AN110" i="8"/>
  <c r="F206" i="5"/>
  <c r="AA188" i="8"/>
  <c r="AI348" i="8"/>
  <c r="F38" i="8"/>
  <c r="W143" i="8"/>
  <c r="F339" i="5"/>
  <c r="AR32" i="8"/>
  <c r="AA323" i="8"/>
  <c r="AN346" i="8"/>
  <c r="V59" i="8"/>
  <c r="AL153" i="8"/>
  <c r="AK134" i="8"/>
  <c r="F119" i="5"/>
  <c r="AF125" i="8"/>
  <c r="AC215" i="8"/>
  <c r="AF268" i="8"/>
  <c r="V135" i="8"/>
  <c r="AN69" i="8"/>
  <c r="AM39" i="8"/>
  <c r="AA163" i="8"/>
  <c r="AT133" i="8"/>
  <c r="AL323" i="8"/>
  <c r="V289" i="8"/>
  <c r="AP209" i="8"/>
  <c r="AE181" i="8"/>
  <c r="AL106" i="8"/>
  <c r="AK204" i="8"/>
  <c r="Y250" i="8"/>
  <c r="AI299" i="8"/>
  <c r="AG99" i="8"/>
  <c r="X184" i="8"/>
  <c r="Y46" i="8"/>
  <c r="AL110" i="8"/>
  <c r="AG264" i="8"/>
  <c r="AD190" i="8"/>
  <c r="G212" i="8"/>
  <c r="AA194" i="8"/>
  <c r="W135" i="8"/>
  <c r="AQ108" i="8"/>
  <c r="F119" i="8"/>
  <c r="AD126" i="8"/>
  <c r="AD127" i="8"/>
  <c r="Z189" i="8"/>
  <c r="AC177" i="8"/>
  <c r="G31" i="8"/>
  <c r="F183" i="5"/>
  <c r="Z197" i="8"/>
  <c r="G316" i="8"/>
  <c r="AU311" i="8"/>
  <c r="Z119" i="8"/>
  <c r="AH125" i="8"/>
  <c r="H142" i="8"/>
  <c r="X125" i="8"/>
  <c r="AS171" i="8"/>
  <c r="AH74" i="8"/>
  <c r="G64" i="8"/>
  <c r="H37" i="6"/>
  <c r="H129" i="5"/>
  <c r="G197" i="8"/>
  <c r="AB289" i="8"/>
  <c r="G135" i="8"/>
  <c r="T264" i="8"/>
  <c r="P183" i="8"/>
  <c r="Q87" i="8"/>
  <c r="Q213" i="8"/>
  <c r="S170" i="8"/>
  <c r="Q99" i="8"/>
  <c r="AB130" i="8"/>
  <c r="G344" i="8"/>
  <c r="T242" i="8"/>
  <c r="O64" i="8"/>
  <c r="N265" i="8"/>
  <c r="T56" i="8"/>
  <c r="AM283" i="8"/>
  <c r="W201" i="8"/>
  <c r="R56" i="8"/>
  <c r="R224" i="8"/>
  <c r="U311" i="8"/>
  <c r="J100" i="8"/>
  <c r="S133" i="8"/>
  <c r="O159" i="8"/>
  <c r="H300" i="5"/>
  <c r="AU337" i="8"/>
  <c r="U78" i="8"/>
  <c r="T158" i="8"/>
  <c r="U84" i="8"/>
  <c r="J159" i="8"/>
  <c r="P333" i="8"/>
  <c r="AH106" i="8"/>
  <c r="I178" i="8"/>
  <c r="N189" i="8"/>
  <c r="T95" i="8"/>
  <c r="L246" i="8"/>
  <c r="AU179" i="8"/>
  <c r="AU310" i="8"/>
  <c r="N143" i="8"/>
  <c r="Q133" i="8"/>
  <c r="T215" i="8"/>
  <c r="N56" i="6"/>
  <c r="Y143" i="8"/>
  <c r="F20" i="8"/>
  <c r="Y207" i="8"/>
  <c r="AR259" i="8"/>
  <c r="AT107" i="8"/>
  <c r="G136" i="8"/>
  <c r="Y279" i="8"/>
  <c r="H31" i="5"/>
  <c r="H177" i="8"/>
  <c r="AC205" i="8"/>
  <c r="F70" i="8"/>
  <c r="AM297" i="8"/>
  <c r="F68" i="5"/>
  <c r="AG95" i="8"/>
  <c r="AO199" i="8"/>
  <c r="G115" i="8"/>
  <c r="H58" i="6"/>
  <c r="AS148" i="8"/>
  <c r="AU85" i="8"/>
  <c r="AO200" i="8"/>
  <c r="F31" i="5"/>
  <c r="P71" i="6"/>
  <c r="AH115" i="8"/>
  <c r="AU35" i="8"/>
  <c r="R181" i="8"/>
  <c r="AU135" i="8"/>
  <c r="L130" i="8"/>
  <c r="J176" i="8"/>
  <c r="K123" i="8"/>
  <c r="Q81" i="8"/>
  <c r="M112" i="8"/>
  <c r="T122" i="8"/>
  <c r="W181" i="8"/>
  <c r="O43" i="6"/>
  <c r="R339" i="8"/>
  <c r="U58" i="8"/>
  <c r="N305" i="8"/>
  <c r="L50" i="8"/>
  <c r="L21" i="6"/>
  <c r="AU38" i="8"/>
  <c r="U144" i="8"/>
  <c r="S300" i="8"/>
  <c r="S203" i="8"/>
  <c r="L195" i="8"/>
  <c r="N168" i="8"/>
  <c r="P329" i="8"/>
  <c r="I60" i="6"/>
  <c r="AU42" i="8"/>
  <c r="L213" i="8"/>
  <c r="K171" i="8"/>
  <c r="Q23" i="8"/>
  <c r="M90" i="8"/>
  <c r="U87" i="8"/>
  <c r="AT172" i="8"/>
  <c r="S75" i="8"/>
  <c r="J150" i="8"/>
  <c r="P144" i="8"/>
  <c r="U42" i="8"/>
  <c r="N302" i="8"/>
  <c r="AH246" i="8"/>
  <c r="Q301" i="8"/>
  <c r="P309" i="8"/>
  <c r="K197" i="8"/>
  <c r="X182" i="8"/>
  <c r="AB198" i="8"/>
  <c r="AH270" i="8"/>
  <c r="X192" i="8"/>
  <c r="K28" i="6"/>
  <c r="F268" i="8"/>
  <c r="W194" i="8"/>
  <c r="AP268" i="8"/>
  <c r="AL316" i="8"/>
  <c r="S26" i="1"/>
  <c r="AH112" i="8"/>
  <c r="Y160" i="8"/>
  <c r="AA207" i="8"/>
  <c r="H325" i="8"/>
  <c r="G43" i="8"/>
  <c r="AI108" i="8"/>
  <c r="H165" i="8"/>
  <c r="G204" i="8"/>
  <c r="I26" i="6"/>
  <c r="H67" i="8"/>
  <c r="AH282" i="8"/>
  <c r="R29" i="8"/>
  <c r="K34" i="6"/>
  <c r="G303" i="8"/>
  <c r="W183" i="8"/>
  <c r="AN144" i="8"/>
  <c r="AJ194" i="8"/>
  <c r="T199" i="8"/>
  <c r="S200" i="8"/>
  <c r="P171" i="8"/>
  <c r="T297" i="8"/>
  <c r="K163" i="8"/>
  <c r="L209" i="8"/>
  <c r="AD214" i="8"/>
  <c r="AG189" i="8"/>
  <c r="U234" i="8"/>
  <c r="I90" i="8"/>
  <c r="Q126" i="8"/>
  <c r="U174" i="8"/>
  <c r="S54" i="1"/>
  <c r="AF240" i="8"/>
  <c r="AF256" i="8"/>
  <c r="Y138" i="8"/>
  <c r="AD269" i="8"/>
  <c r="AN194" i="8"/>
  <c r="Z217" i="8"/>
  <c r="AQ288" i="8"/>
  <c r="M62" i="6"/>
  <c r="AT197" i="8"/>
  <c r="AF150" i="8"/>
  <c r="H68" i="8"/>
  <c r="AM126" i="8"/>
  <c r="AN171" i="8"/>
  <c r="AG303" i="8"/>
  <c r="AP150" i="8"/>
  <c r="AB348" i="8"/>
  <c r="AO236" i="8"/>
  <c r="H282" i="8"/>
  <c r="AB259" i="8"/>
  <c r="O30" i="6"/>
  <c r="AU46" i="8"/>
  <c r="AU110" i="8"/>
  <c r="AC204" i="8"/>
  <c r="W133" i="8"/>
  <c r="AQ112" i="8"/>
  <c r="AM148" i="8"/>
  <c r="K56" i="6"/>
  <c r="AO171" i="8"/>
  <c r="F200" i="8"/>
  <c r="AB33" i="8"/>
  <c r="F197" i="5"/>
  <c r="AO279" i="8"/>
  <c r="G223" i="8"/>
  <c r="R25" i="8"/>
  <c r="G158" i="8"/>
  <c r="AG135" i="8"/>
  <c r="Z147" i="8"/>
  <c r="AI263" i="8"/>
  <c r="AU316" i="8"/>
  <c r="H236" i="8"/>
  <c r="G21" i="6"/>
  <c r="I197" i="8"/>
  <c r="AN82" i="8"/>
  <c r="Y62" i="8"/>
  <c r="V305" i="8"/>
  <c r="AI145" i="8"/>
  <c r="Y236" i="8"/>
  <c r="AA146" i="8"/>
  <c r="AD34" i="8"/>
  <c r="AQ201" i="8"/>
  <c r="F305" i="5"/>
  <c r="AK135" i="8"/>
  <c r="Z177" i="8"/>
  <c r="AM112" i="8"/>
  <c r="G63" i="8"/>
  <c r="AA306" i="8"/>
  <c r="Y146" i="8"/>
  <c r="AD283" i="8"/>
  <c r="AK143" i="8"/>
  <c r="AL252" i="8"/>
  <c r="AO111" i="8"/>
  <c r="M56" i="6"/>
  <c r="AI180" i="8"/>
  <c r="AB96" i="8"/>
  <c r="Y183" i="8"/>
  <c r="AD25" i="8"/>
  <c r="AI226" i="8"/>
  <c r="X76" i="8"/>
  <c r="AO59" i="8"/>
  <c r="AQ196" i="8"/>
  <c r="AR200" i="8"/>
  <c r="AQ154" i="8"/>
  <c r="AD145" i="8"/>
  <c r="H26" i="6"/>
  <c r="V125" i="8"/>
  <c r="Z216" i="8"/>
  <c r="Y63" i="8"/>
  <c r="AP300" i="8"/>
  <c r="AF48" i="8"/>
  <c r="AO130" i="8"/>
  <c r="Z282" i="8"/>
  <c r="AT127" i="8"/>
  <c r="AP103" i="8"/>
  <c r="H85" i="5"/>
  <c r="H282" i="5"/>
  <c r="H188" i="8"/>
  <c r="X207" i="8"/>
  <c r="Z288" i="8"/>
  <c r="AG168" i="8"/>
  <c r="F166" i="5"/>
  <c r="AJ155" i="8"/>
  <c r="AI217" i="8"/>
  <c r="G167" i="8"/>
  <c r="AC272" i="8"/>
  <c r="AU197" i="8"/>
  <c r="H152" i="5"/>
  <c r="F40" i="5"/>
  <c r="AC240" i="8"/>
  <c r="AA267" i="8"/>
  <c r="H183" i="8"/>
  <c r="H238" i="5"/>
  <c r="AD248" i="8"/>
  <c r="AH300" i="8"/>
  <c r="H298" i="8"/>
  <c r="AL282" i="8"/>
  <c r="AN203" i="8"/>
  <c r="F104" i="8"/>
  <c r="AH192" i="8"/>
  <c r="T311" i="8"/>
  <c r="AU301" i="8"/>
  <c r="R50" i="8"/>
  <c r="M265" i="8"/>
  <c r="S301" i="8"/>
  <c r="P166" i="8"/>
  <c r="M204" i="8"/>
  <c r="M25" i="8"/>
  <c r="S27" i="1"/>
  <c r="AB269" i="8"/>
  <c r="O35" i="8"/>
  <c r="R236" i="8"/>
  <c r="T78" i="8"/>
  <c r="K20" i="8"/>
  <c r="X111" i="8"/>
  <c r="G327" i="8"/>
  <c r="L56" i="8"/>
  <c r="O207" i="8"/>
  <c r="M279" i="8"/>
  <c r="U34" i="8"/>
  <c r="N298" i="8"/>
  <c r="Q331" i="8"/>
  <c r="R28" i="6"/>
  <c r="AU224" i="8"/>
  <c r="U320" i="8"/>
  <c r="S323" i="8"/>
  <c r="J62" i="8"/>
  <c r="T123" i="8"/>
  <c r="O289" i="8"/>
  <c r="F54" i="8"/>
  <c r="T256" i="8"/>
  <c r="R314" i="8"/>
  <c r="O29" i="8"/>
  <c r="L242" i="8"/>
  <c r="I224" i="8"/>
  <c r="AU40" i="8"/>
  <c r="M172" i="8"/>
  <c r="P147" i="8"/>
  <c r="Q339" i="8"/>
  <c r="W282" i="8"/>
  <c r="Y254" i="8"/>
  <c r="AI199" i="8"/>
  <c r="AE140" i="8"/>
  <c r="H232" i="5"/>
  <c r="AE206" i="8"/>
  <c r="H264" i="8"/>
  <c r="AK96" i="8"/>
  <c r="H189" i="5"/>
  <c r="AU167" i="8"/>
  <c r="AU306" i="8"/>
  <c r="G104" i="8"/>
  <c r="V208" i="8"/>
  <c r="AF136" i="8"/>
  <c r="AU203" i="8"/>
  <c r="X156" i="8"/>
  <c r="AS187" i="8"/>
  <c r="AH217" i="8"/>
  <c r="AA99" i="8"/>
  <c r="V265" i="8"/>
  <c r="G180" i="8"/>
  <c r="W205" i="8"/>
  <c r="R43" i="6"/>
  <c r="G154" i="8"/>
  <c r="AU121" i="8"/>
  <c r="AO180" i="8"/>
  <c r="F310" i="8"/>
  <c r="T217" i="8"/>
  <c r="N154" i="8"/>
  <c r="N63" i="8"/>
  <c r="M111" i="8"/>
  <c r="K29" i="8"/>
  <c r="L32" i="8"/>
  <c r="G34" i="6"/>
  <c r="AO264" i="8"/>
  <c r="I254" i="8"/>
  <c r="J43" i="8"/>
  <c r="P154" i="8"/>
  <c r="J144" i="8"/>
  <c r="F213" i="5"/>
  <c r="AD197" i="8"/>
  <c r="I244" i="8"/>
  <c r="L107" i="8"/>
  <c r="P111" i="8"/>
  <c r="O82" i="8"/>
  <c r="T196" i="8"/>
  <c r="N250" i="8"/>
  <c r="AO153" i="8"/>
  <c r="G269" i="8"/>
  <c r="R200" i="8"/>
  <c r="L348" i="8"/>
  <c r="AG112" i="8"/>
  <c r="AS163" i="8"/>
  <c r="H167" i="5"/>
  <c r="AK33" i="8"/>
  <c r="Z188" i="8"/>
  <c r="AL165" i="8"/>
  <c r="M67" i="6"/>
  <c r="X318" i="8"/>
  <c r="V279" i="8"/>
  <c r="H179" i="5"/>
  <c r="AF141" i="8"/>
  <c r="W173" i="8"/>
  <c r="X155" i="8"/>
  <c r="AS230" i="8"/>
  <c r="AI288" i="8"/>
  <c r="W195" i="8"/>
  <c r="AA213" i="8"/>
  <c r="G293" i="8"/>
  <c r="AC264" i="8"/>
  <c r="H64" i="8"/>
  <c r="H190" i="8"/>
  <c r="H87" i="8"/>
  <c r="Z89" i="8"/>
  <c r="AP112" i="8"/>
  <c r="AO246" i="8"/>
  <c r="AA265" i="8"/>
  <c r="O25" i="6"/>
  <c r="AE265" i="8"/>
  <c r="G110" i="8"/>
  <c r="AP160" i="8"/>
  <c r="AT175" i="8"/>
  <c r="AE118" i="8"/>
  <c r="F238" i="8"/>
  <c r="AM119" i="8"/>
  <c r="F265" i="8"/>
  <c r="H35" i="5"/>
  <c r="H279" i="8"/>
  <c r="AQ106" i="8"/>
  <c r="AC262" i="8"/>
  <c r="AU160" i="8"/>
  <c r="AN147" i="8"/>
  <c r="I223" i="8"/>
  <c r="Z71" i="8"/>
  <c r="AL256" i="8"/>
  <c r="W140" i="8"/>
  <c r="AQ140" i="8"/>
  <c r="AP156" i="8"/>
  <c r="AC23" i="8"/>
  <c r="AD191" i="8"/>
  <c r="V101" i="8"/>
  <c r="AK263" i="8"/>
  <c r="AD217" i="8"/>
  <c r="F95" i="8"/>
  <c r="AT126" i="8"/>
  <c r="R30" i="6"/>
  <c r="AP224" i="8"/>
  <c r="Z327" i="8"/>
  <c r="AE143" i="8"/>
  <c r="AD211" i="8"/>
  <c r="Z206" i="8"/>
  <c r="AJ115" i="8"/>
  <c r="AL304" i="8"/>
  <c r="V189" i="8"/>
  <c r="AG318" i="8"/>
  <c r="W179" i="8"/>
  <c r="W263" i="8"/>
  <c r="AL54" i="8"/>
  <c r="AT35" i="8"/>
  <c r="AJ238" i="8"/>
  <c r="AI102" i="8"/>
  <c r="F20" i="6"/>
  <c r="AP265" i="8"/>
  <c r="AF232" i="8"/>
  <c r="F36" i="6"/>
  <c r="AQ320" i="8"/>
  <c r="H74" i="5"/>
  <c r="AS43" i="8"/>
  <c r="AI121" i="8"/>
  <c r="Z29" i="8"/>
  <c r="AC122" i="8"/>
  <c r="S64" i="1"/>
  <c r="AN191" i="8"/>
  <c r="AN20" i="8"/>
  <c r="AA192" i="8"/>
  <c r="AN117" i="8"/>
  <c r="K50" i="6"/>
  <c r="AR217" i="8"/>
  <c r="Q50" i="6"/>
  <c r="H228" i="5"/>
  <c r="G141" i="8"/>
  <c r="AD124" i="8"/>
  <c r="F194" i="5"/>
  <c r="F223" i="8"/>
  <c r="H179" i="8"/>
  <c r="N48" i="6"/>
  <c r="V136" i="8"/>
  <c r="F50" i="8"/>
  <c r="AH232" i="8"/>
  <c r="W107" i="8"/>
  <c r="AP204" i="8"/>
  <c r="H163" i="8"/>
  <c r="AB25" i="8"/>
  <c r="AA96" i="8"/>
  <c r="X280" i="8"/>
  <c r="AU50" i="8"/>
  <c r="I41" i="6"/>
  <c r="G56" i="6"/>
  <c r="G69" i="8"/>
  <c r="AR178" i="8"/>
  <c r="AH234" i="8"/>
  <c r="U187" i="8"/>
  <c r="T323" i="8"/>
  <c r="O20" i="8"/>
  <c r="Q203" i="8"/>
  <c r="P58" i="8"/>
  <c r="T104" i="8"/>
  <c r="AD344" i="8"/>
  <c r="G123" i="8"/>
  <c r="U314" i="8"/>
  <c r="M142" i="8"/>
  <c r="L103" i="8"/>
  <c r="Q242" i="8"/>
  <c r="L46" i="6"/>
  <c r="L52" i="6"/>
  <c r="L311" i="8"/>
  <c r="Q168" i="8"/>
  <c r="U74" i="8"/>
  <c r="R159" i="8"/>
  <c r="J162" i="8"/>
  <c r="N348" i="8"/>
  <c r="F164" i="5"/>
  <c r="G106" i="8"/>
  <c r="I166" i="8"/>
  <c r="I87" i="8"/>
  <c r="S153" i="8"/>
  <c r="O95" i="8"/>
  <c r="M75" i="8"/>
  <c r="F106" i="8"/>
  <c r="T39" i="8"/>
  <c r="P175" i="8"/>
  <c r="N142" i="8"/>
  <c r="P289" i="8"/>
  <c r="K177" i="8"/>
  <c r="G93" i="8"/>
  <c r="U210" i="8"/>
  <c r="N136" i="8"/>
  <c r="O214" i="8"/>
  <c r="H162" i="5"/>
  <c r="AS293" i="8"/>
  <c r="F246" i="8"/>
  <c r="S21" i="1"/>
  <c r="S39" i="1"/>
  <c r="H132" i="8"/>
  <c r="V270" i="8"/>
  <c r="AT111" i="8"/>
  <c r="F76" i="5"/>
  <c r="F300" i="5"/>
  <c r="AU335" i="8"/>
  <c r="H242" i="8"/>
  <c r="AK195" i="8"/>
  <c r="G256" i="8"/>
  <c r="AU90" i="8"/>
  <c r="F82" i="5"/>
  <c r="F74" i="8"/>
  <c r="AH117" i="8"/>
  <c r="X203" i="8"/>
  <c r="F232" i="8"/>
  <c r="AH224" i="8"/>
  <c r="L263" i="8"/>
  <c r="H86" i="5"/>
  <c r="F300" i="8"/>
  <c r="G206" i="8"/>
  <c r="Z270" i="8"/>
  <c r="F173" i="5"/>
  <c r="I170" i="8"/>
  <c r="M60" i="8"/>
  <c r="U112" i="8"/>
  <c r="O112" i="8"/>
  <c r="J232" i="8"/>
  <c r="K37" i="8"/>
  <c r="AQ25" i="8"/>
  <c r="AH265" i="8"/>
  <c r="Q132" i="8"/>
  <c r="Q111" i="8"/>
  <c r="P280" i="8"/>
  <c r="S105" i="8"/>
  <c r="H272" i="5"/>
  <c r="AH182" i="8"/>
  <c r="T157" i="8"/>
  <c r="O236" i="8"/>
  <c r="N181" i="8"/>
  <c r="S269" i="8"/>
  <c r="T293" i="8"/>
  <c r="I25" i="8"/>
  <c r="AN344" i="8"/>
  <c r="F42" i="8"/>
  <c r="T70" i="8"/>
  <c r="P279" i="8"/>
  <c r="O170" i="8"/>
  <c r="O126" i="8"/>
  <c r="J134" i="8"/>
  <c r="AU294" i="8"/>
  <c r="P244" i="8"/>
  <c r="P131" i="8"/>
  <c r="I289" i="8"/>
  <c r="K127" i="8"/>
  <c r="S101" i="8"/>
  <c r="F168" i="8"/>
  <c r="S209" i="8"/>
  <c r="U267" i="8"/>
  <c r="Z141" i="8"/>
  <c r="AF101" i="8"/>
  <c r="AS25" i="8"/>
  <c r="AC103" i="8"/>
  <c r="F37" i="5"/>
  <c r="F201" i="8"/>
  <c r="H323" i="8"/>
  <c r="AO316" i="8"/>
  <c r="AK213" i="8"/>
  <c r="AO201" i="8"/>
  <c r="AU43" i="8"/>
  <c r="F176" i="5"/>
  <c r="F90" i="8"/>
  <c r="H270" i="5"/>
  <c r="AG242" i="8"/>
  <c r="AB188" i="8"/>
  <c r="H75" i="5"/>
  <c r="AH305" i="8"/>
  <c r="AH216" i="8"/>
  <c r="X189" i="8"/>
  <c r="AU240" i="8"/>
  <c r="AU60" i="8"/>
  <c r="AS203" i="8"/>
  <c r="N52" i="6"/>
  <c r="AH215" i="8"/>
  <c r="H129" i="8"/>
  <c r="N39" i="6"/>
  <c r="O22" i="6"/>
  <c r="P103" i="8"/>
  <c r="I163" i="8"/>
  <c r="R129" i="8"/>
  <c r="S341" i="8"/>
  <c r="Q90" i="8"/>
  <c r="M180" i="8"/>
  <c r="AU293" i="8"/>
  <c r="AM344" i="8"/>
  <c r="Q165" i="8"/>
  <c r="L71" i="8"/>
  <c r="M325" i="8"/>
  <c r="U85" i="8"/>
  <c r="AQ120" i="8"/>
  <c r="H199" i="8"/>
  <c r="N75" i="8"/>
  <c r="P189" i="8"/>
  <c r="J64" i="8"/>
  <c r="AI320" i="8"/>
  <c r="W180" i="8"/>
  <c r="AB274" i="8"/>
  <c r="AB56" i="8"/>
  <c r="R24" i="6"/>
  <c r="W217" i="8"/>
  <c r="H337" i="8"/>
  <c r="X298" i="8"/>
  <c r="AE172" i="8"/>
  <c r="AG270" i="8"/>
  <c r="AF152" i="8"/>
  <c r="Y214" i="8"/>
  <c r="AK105" i="8"/>
  <c r="AI165" i="8"/>
  <c r="AR158" i="8"/>
  <c r="Y130" i="8"/>
  <c r="AM179" i="8"/>
  <c r="G283" i="8"/>
  <c r="H288" i="5"/>
  <c r="AS234" i="8"/>
  <c r="L250" i="8"/>
  <c r="AH71" i="8"/>
  <c r="AJ177" i="8"/>
  <c r="H29" i="6"/>
  <c r="AB152" i="8"/>
  <c r="AO194" i="8"/>
  <c r="AS197" i="8"/>
  <c r="AP294" i="8"/>
  <c r="O23" i="6"/>
  <c r="AN216" i="8"/>
  <c r="H48" i="8"/>
  <c r="AU299" i="8"/>
  <c r="AP200" i="8"/>
  <c r="K26" i="6"/>
  <c r="AR160" i="8"/>
  <c r="I50" i="6"/>
  <c r="AQ101" i="8"/>
  <c r="AL177" i="8"/>
  <c r="J29" i="6"/>
  <c r="AU104" i="8"/>
  <c r="G181" i="8"/>
  <c r="I54" i="8"/>
  <c r="AA31" i="8"/>
  <c r="AB78" i="8"/>
  <c r="AC250" i="8"/>
  <c r="AP101" i="8"/>
  <c r="AS131" i="8"/>
  <c r="AE194" i="8"/>
  <c r="AK214" i="8"/>
  <c r="AS188" i="8"/>
  <c r="AC106" i="8"/>
  <c r="AQ190" i="8"/>
  <c r="F337" i="5"/>
  <c r="J52" i="6"/>
  <c r="H34" i="8"/>
  <c r="X34" i="8"/>
  <c r="AG103" i="8"/>
  <c r="AR306" i="8"/>
  <c r="AF217" i="8"/>
  <c r="O54" i="6"/>
  <c r="Z212" i="8"/>
  <c r="AT103" i="8"/>
  <c r="H313" i="5"/>
  <c r="F156" i="5"/>
  <c r="Z192" i="8"/>
  <c r="AK71" i="8"/>
  <c r="X86" i="8"/>
  <c r="Z280" i="8"/>
  <c r="AB129" i="8"/>
  <c r="W196" i="8"/>
  <c r="AG160" i="8"/>
  <c r="AN274" i="8"/>
  <c r="AG212" i="8"/>
  <c r="Z283" i="8"/>
  <c r="AQ293" i="8"/>
  <c r="AI303" i="8"/>
  <c r="AR118" i="8"/>
  <c r="AQ84" i="8"/>
  <c r="AF180" i="8"/>
  <c r="AS149" i="8"/>
  <c r="AB85" i="8"/>
  <c r="AC202" i="8"/>
  <c r="Z131" i="8"/>
  <c r="X198" i="8"/>
  <c r="K24" i="6"/>
  <c r="F140" i="8"/>
  <c r="AR215" i="8"/>
  <c r="AG263" i="8"/>
  <c r="G224" i="8"/>
  <c r="H335" i="5"/>
  <c r="W108" i="8"/>
  <c r="AJ279" i="8"/>
  <c r="V152" i="8"/>
  <c r="H203" i="8"/>
  <c r="H252" i="8"/>
  <c r="AM192" i="8"/>
  <c r="F159" i="5"/>
  <c r="G170" i="8"/>
  <c r="F283" i="5"/>
  <c r="AH280" i="8"/>
  <c r="F167" i="8"/>
  <c r="AJ135" i="8"/>
  <c r="AH320" i="8"/>
  <c r="H234" i="8"/>
  <c r="U35" i="8"/>
  <c r="AC260" i="8"/>
  <c r="AH214" i="8"/>
  <c r="F248" i="8"/>
  <c r="AP125" i="8"/>
  <c r="Y124" i="8"/>
  <c r="I212" i="8"/>
  <c r="I181" i="8"/>
  <c r="K170" i="8"/>
  <c r="P132" i="8"/>
  <c r="J133" i="8"/>
  <c r="T162" i="8"/>
  <c r="AA195" i="8"/>
  <c r="F199" i="8"/>
  <c r="J167" i="8"/>
  <c r="J32" i="8"/>
  <c r="S238" i="8"/>
  <c r="I238" i="8"/>
  <c r="AT203" i="8"/>
  <c r="G69" i="6"/>
  <c r="L90" i="8"/>
  <c r="I147" i="8"/>
  <c r="T72" i="8"/>
  <c r="L36" i="8"/>
  <c r="J211" i="8"/>
  <c r="N208" i="8"/>
  <c r="F203" i="5"/>
  <c r="AU34" i="8"/>
  <c r="I71" i="8"/>
  <c r="O152" i="8"/>
  <c r="O191" i="8"/>
  <c r="J155" i="8"/>
  <c r="N78" i="8"/>
  <c r="AH33" i="8"/>
  <c r="I132" i="8"/>
  <c r="J37" i="8"/>
  <c r="P158" i="8"/>
  <c r="J293" i="8"/>
  <c r="N224" i="8"/>
  <c r="H66" i="5"/>
  <c r="I198" i="8"/>
  <c r="P105" i="8"/>
  <c r="P39" i="8"/>
  <c r="AA316" i="8"/>
  <c r="AN217" i="8"/>
  <c r="F211" i="5"/>
  <c r="AI346" i="8"/>
  <c r="AU48" i="8"/>
  <c r="AF104" i="8"/>
  <c r="Q32" i="6"/>
  <c r="AT108" i="8"/>
  <c r="N25" i="6"/>
  <c r="AH54" i="8"/>
  <c r="F39" i="5"/>
  <c r="F264" i="8"/>
  <c r="X211" i="8"/>
  <c r="F165" i="8"/>
  <c r="Y99" i="8"/>
  <c r="Y127" i="8"/>
  <c r="F232" i="5"/>
  <c r="H256" i="8"/>
  <c r="K23" i="6"/>
  <c r="Q34" i="6"/>
  <c r="G99" i="8"/>
  <c r="L116" i="8"/>
  <c r="AE100" i="8"/>
  <c r="W187" i="8"/>
  <c r="H126" i="8"/>
  <c r="F92" i="5"/>
  <c r="AU142" i="8"/>
  <c r="Q177" i="8"/>
  <c r="L162" i="8"/>
  <c r="S157" i="8"/>
  <c r="N129" i="8"/>
  <c r="Q191" i="8"/>
  <c r="J246" i="8"/>
  <c r="AH39" i="8"/>
  <c r="AH103" i="8"/>
  <c r="U152" i="8"/>
  <c r="M238" i="8"/>
  <c r="K309" i="8"/>
  <c r="Q40" i="8"/>
  <c r="AU181" i="8"/>
  <c r="AR209" i="8"/>
  <c r="S313" i="8"/>
  <c r="Q337" i="8"/>
  <c r="Q184" i="8"/>
  <c r="M46" i="8"/>
  <c r="S298" i="8"/>
  <c r="L159" i="8"/>
  <c r="AJ204" i="8"/>
  <c r="G120" i="8"/>
  <c r="K108" i="8"/>
  <c r="I32" i="8"/>
  <c r="T313" i="8"/>
  <c r="P348" i="8"/>
  <c r="AG208" i="8"/>
  <c r="I133" i="8"/>
  <c r="S76" i="8"/>
  <c r="N211" i="8"/>
  <c r="Q313" i="8"/>
  <c r="J120" i="8"/>
  <c r="AA135" i="8"/>
  <c r="T107" i="8"/>
  <c r="K313" i="8"/>
  <c r="P31" i="8"/>
  <c r="H56" i="5"/>
  <c r="AU73" i="8"/>
  <c r="X138" i="8"/>
  <c r="V104" i="8"/>
  <c r="X29" i="8"/>
  <c r="AM166" i="8"/>
  <c r="AQ110" i="8"/>
  <c r="AS268" i="8"/>
  <c r="AN170" i="8"/>
  <c r="W163" i="8"/>
  <c r="X25" i="8"/>
  <c r="AK246" i="8"/>
  <c r="AL170" i="8"/>
  <c r="AL112" i="8"/>
  <c r="V68" i="8"/>
  <c r="X89" i="8"/>
  <c r="AM267" i="8"/>
  <c r="X289" i="8"/>
  <c r="F268" i="5"/>
  <c r="R69" i="6"/>
  <c r="AB205" i="8"/>
  <c r="L60" i="6"/>
  <c r="Y323" i="8"/>
  <c r="AE107" i="8"/>
  <c r="AO262" i="8"/>
  <c r="Y131" i="8"/>
  <c r="Y280" i="8"/>
  <c r="AH133" i="8"/>
  <c r="H24" i="6"/>
  <c r="AH66" i="8"/>
  <c r="L29" i="6"/>
  <c r="G92" i="8"/>
  <c r="AD68" i="8"/>
  <c r="AU145" i="8"/>
  <c r="H264" i="5"/>
  <c r="AU168" i="8"/>
  <c r="AI183" i="8"/>
  <c r="Z260" i="8"/>
  <c r="AD138" i="8"/>
  <c r="G331" i="8"/>
  <c r="H143" i="8"/>
  <c r="G246" i="8"/>
  <c r="N306" i="8"/>
  <c r="AD93" i="8"/>
  <c r="AL122" i="8"/>
  <c r="AI344" i="8"/>
  <c r="AO248" i="8"/>
  <c r="AS195" i="8"/>
  <c r="H170" i="5"/>
  <c r="W289" i="8"/>
  <c r="W188" i="8"/>
  <c r="AE199" i="8"/>
  <c r="AL107" i="8"/>
  <c r="AQ116" i="8"/>
  <c r="AE252" i="8"/>
  <c r="G71" i="6"/>
  <c r="V37" i="8"/>
  <c r="AD125" i="8"/>
  <c r="AB155" i="8"/>
  <c r="AA212" i="8"/>
  <c r="AS254" i="8"/>
  <c r="AJ195" i="8"/>
  <c r="AQ168" i="8"/>
  <c r="AD318" i="8"/>
  <c r="AT269" i="8"/>
  <c r="AF195" i="8"/>
  <c r="V50" i="8"/>
  <c r="AB331" i="8"/>
  <c r="Z92" i="8"/>
  <c r="AC244" i="8"/>
  <c r="AI38" i="8"/>
  <c r="AN154" i="8"/>
  <c r="AT325" i="8"/>
  <c r="AK311" i="8"/>
  <c r="AF300" i="8"/>
  <c r="F54" i="5"/>
  <c r="AD67" i="8"/>
  <c r="AQ313" i="8"/>
  <c r="AA180" i="8"/>
  <c r="Z23" i="8"/>
  <c r="X20" i="8"/>
  <c r="AN96" i="8"/>
  <c r="AP29" i="8"/>
  <c r="AI141" i="8"/>
  <c r="AQ127" i="8"/>
  <c r="H314" i="5"/>
  <c r="S67" i="1"/>
  <c r="AQ270" i="8"/>
  <c r="G56" i="8"/>
  <c r="AR208" i="8"/>
  <c r="AR107" i="8"/>
  <c r="AT148" i="8"/>
  <c r="H327" i="5"/>
  <c r="G195" i="8"/>
  <c r="Q22" i="6"/>
  <c r="R37" i="6"/>
  <c r="AQ160" i="8"/>
  <c r="H92" i="8"/>
  <c r="F39" i="8"/>
  <c r="AA289" i="8"/>
  <c r="F75" i="5"/>
  <c r="F105" i="8"/>
  <c r="H194" i="5"/>
  <c r="R33" i="6"/>
  <c r="K25" i="6"/>
  <c r="I288" i="8"/>
  <c r="AT305" i="8"/>
  <c r="H62" i="6"/>
  <c r="F112" i="5"/>
  <c r="AD122" i="8"/>
  <c r="F123" i="8"/>
  <c r="J305" i="8"/>
  <c r="Q305" i="8"/>
  <c r="O87" i="8"/>
  <c r="J54" i="8"/>
  <c r="S348" i="8"/>
  <c r="K110" i="8"/>
  <c r="H112" i="8"/>
  <c r="X267" i="8"/>
  <c r="R143" i="8"/>
  <c r="N52" i="8"/>
  <c r="P246" i="8"/>
  <c r="J69" i="8"/>
  <c r="AU210" i="8"/>
  <c r="F226" i="5"/>
  <c r="M70" i="8"/>
  <c r="S190" i="8"/>
  <c r="I50" i="8"/>
  <c r="O39" i="8"/>
  <c r="O282" i="8"/>
  <c r="N159" i="8"/>
  <c r="F135" i="8"/>
  <c r="AO99" i="8"/>
  <c r="S115" i="8"/>
  <c r="Q325" i="8"/>
  <c r="T73" i="8"/>
  <c r="P228" i="8"/>
  <c r="W105" i="8"/>
  <c r="I323" i="8"/>
  <c r="U175" i="8"/>
  <c r="S78" i="8"/>
  <c r="N230" i="8"/>
  <c r="J163" i="8"/>
  <c r="AE158" i="8"/>
  <c r="I209" i="8"/>
  <c r="O156" i="8"/>
  <c r="Q335" i="8"/>
  <c r="X157" i="8"/>
  <c r="H67" i="5"/>
  <c r="V108" i="8"/>
  <c r="AI146" i="8"/>
  <c r="N67" i="6"/>
  <c r="F298" i="8"/>
  <c r="G153" i="8"/>
  <c r="K21" i="6"/>
  <c r="AF346" i="8"/>
  <c r="AP267" i="8"/>
  <c r="H272" i="8"/>
  <c r="AN283" i="8"/>
  <c r="S20" i="1"/>
  <c r="F70" i="5"/>
  <c r="H210" i="8"/>
  <c r="AE108" i="8"/>
  <c r="O56" i="6"/>
  <c r="H84" i="8"/>
  <c r="V263" i="8"/>
  <c r="AG191" i="8"/>
  <c r="AH147" i="8"/>
  <c r="F262" i="8"/>
  <c r="AD33" i="8"/>
  <c r="N60" i="6"/>
  <c r="AH167" i="8"/>
  <c r="Y190" i="8"/>
  <c r="AL263" i="8"/>
  <c r="F107" i="8"/>
  <c r="O141" i="8"/>
  <c r="J61" i="8"/>
  <c r="N194" i="8"/>
  <c r="J141" i="8"/>
  <c r="O320" i="8"/>
  <c r="Q250" i="8"/>
  <c r="AH156" i="8"/>
  <c r="H216" i="8"/>
  <c r="J92" i="8"/>
  <c r="T223" i="8"/>
  <c r="S62" i="8"/>
  <c r="R217" i="8"/>
  <c r="G216" i="8"/>
  <c r="G320" i="8"/>
  <c r="U303" i="8"/>
  <c r="O92" i="8"/>
  <c r="I216" i="8"/>
  <c r="I182" i="8"/>
  <c r="N149" i="8"/>
  <c r="Q119" i="8"/>
  <c r="AA121" i="8"/>
  <c r="G196" i="8"/>
  <c r="N184" i="8"/>
  <c r="S90" i="8"/>
  <c r="J148" i="8"/>
  <c r="I141" i="8"/>
  <c r="AG262" i="8"/>
  <c r="L38" i="8"/>
  <c r="J78" i="8"/>
  <c r="K288" i="8"/>
  <c r="S32" i="8"/>
  <c r="P74" i="8"/>
  <c r="F46" i="6"/>
  <c r="T139" i="8"/>
  <c r="Q101" i="8"/>
  <c r="I108" i="8"/>
  <c r="AC323" i="8"/>
  <c r="F141" i="8"/>
  <c r="H108" i="5"/>
  <c r="AS153" i="8"/>
  <c r="AT272" i="8"/>
  <c r="G96" i="8"/>
  <c r="V201" i="8"/>
  <c r="W101" i="8"/>
  <c r="AB191" i="8"/>
  <c r="X217" i="8"/>
  <c r="H85" i="8"/>
  <c r="AH81" i="8"/>
  <c r="Z159" i="8"/>
  <c r="H95" i="5"/>
  <c r="F158" i="8"/>
  <c r="AP124" i="8"/>
  <c r="G30" i="6"/>
  <c r="AB272" i="8"/>
  <c r="AK155" i="8"/>
  <c r="P28" i="6"/>
  <c r="AH311" i="8"/>
  <c r="AO160" i="8"/>
  <c r="AP246" i="8"/>
  <c r="F226" i="8"/>
  <c r="H173" i="5"/>
  <c r="H250" i="8"/>
  <c r="AH211" i="8"/>
  <c r="G165" i="8"/>
  <c r="M244" i="8"/>
  <c r="Q230" i="8"/>
  <c r="L111" i="8"/>
  <c r="S163" i="8"/>
  <c r="P33" i="8"/>
  <c r="AK152" i="8"/>
  <c r="AU175" i="8"/>
  <c r="T305" i="8"/>
  <c r="U160" i="8"/>
  <c r="U199" i="8"/>
  <c r="J115" i="8"/>
  <c r="AI178" i="8"/>
  <c r="AH263" i="8"/>
  <c r="R260" i="8"/>
  <c r="S327" i="8"/>
  <c r="Q20" i="8"/>
  <c r="P42" i="8"/>
  <c r="F331" i="8"/>
  <c r="AB131" i="8"/>
  <c r="AI92" i="8"/>
  <c r="AS194" i="8"/>
  <c r="Y102" i="8"/>
  <c r="AC105" i="8"/>
  <c r="AM289" i="8"/>
  <c r="X256" i="8"/>
  <c r="AI270" i="8"/>
  <c r="AU329" i="8"/>
  <c r="AI66" i="8"/>
  <c r="AN214" i="8"/>
  <c r="AT214" i="8"/>
  <c r="AK100" i="8"/>
  <c r="AG171" i="8"/>
  <c r="V200" i="8"/>
  <c r="AE125" i="8"/>
  <c r="F147" i="8"/>
  <c r="H213" i="8"/>
  <c r="AN188" i="8"/>
  <c r="V148" i="8"/>
  <c r="AA70" i="8"/>
  <c r="AR205" i="8"/>
  <c r="X154" i="8"/>
  <c r="AO259" i="8"/>
  <c r="H102" i="8"/>
  <c r="H184" i="5"/>
  <c r="W269" i="8"/>
  <c r="F40" i="8"/>
  <c r="AK208" i="8"/>
  <c r="F36" i="8"/>
  <c r="X132" i="8"/>
  <c r="AU204" i="8"/>
  <c r="P43" i="6"/>
  <c r="F121" i="8"/>
  <c r="Q24" i="6"/>
  <c r="F297" i="8"/>
  <c r="F108" i="5"/>
  <c r="F318" i="8"/>
  <c r="AN149" i="8"/>
  <c r="F120" i="8"/>
  <c r="R34" i="8"/>
  <c r="AS244" i="8"/>
  <c r="Y180" i="8"/>
  <c r="AG182" i="8"/>
  <c r="V280" i="8"/>
  <c r="AN264" i="8"/>
  <c r="AR242" i="8"/>
  <c r="AF140" i="8"/>
  <c r="AS124" i="8"/>
  <c r="AA205" i="8"/>
  <c r="AI294" i="8"/>
  <c r="H120" i="5"/>
  <c r="Q28" i="6"/>
  <c r="AU68" i="8"/>
  <c r="AN248" i="8"/>
  <c r="AJ133" i="8"/>
  <c r="W307" i="8"/>
  <c r="AM212" i="8"/>
  <c r="AR140" i="8"/>
  <c r="AA201" i="8"/>
  <c r="AD320" i="8"/>
  <c r="AQ280" i="8"/>
  <c r="AI112" i="8"/>
  <c r="AB216" i="8"/>
  <c r="AO298" i="8"/>
  <c r="AG82" i="8"/>
  <c r="AI333" i="8"/>
  <c r="F37" i="6"/>
  <c r="W162" i="8"/>
  <c r="AL187" i="8"/>
  <c r="V25" i="8"/>
  <c r="AH31" i="8"/>
  <c r="F71" i="5"/>
  <c r="F162" i="8"/>
  <c r="AU129" i="8"/>
  <c r="AT177" i="8"/>
  <c r="F117" i="8"/>
  <c r="AT307" i="8"/>
  <c r="AJ280" i="8"/>
  <c r="AL269" i="8"/>
  <c r="X174" i="8"/>
  <c r="H123" i="5"/>
  <c r="X179" i="8"/>
  <c r="AN262" i="8"/>
  <c r="AM89" i="8"/>
  <c r="AM195" i="8"/>
  <c r="AP327" i="8"/>
  <c r="AI177" i="8"/>
  <c r="AI143" i="8"/>
  <c r="G346" i="8"/>
  <c r="AG104" i="8"/>
  <c r="AD189" i="8"/>
  <c r="N26" i="6"/>
  <c r="AI181" i="8"/>
  <c r="H309" i="8"/>
  <c r="V202" i="8"/>
  <c r="F21" i="6"/>
  <c r="J64" i="6"/>
  <c r="V209" i="8"/>
  <c r="Q63" i="8"/>
  <c r="O196" i="8"/>
  <c r="AG149" i="8"/>
  <c r="T213" i="8"/>
  <c r="J103" i="8"/>
  <c r="T183" i="8"/>
  <c r="O124" i="8"/>
  <c r="R142" i="8"/>
  <c r="R115" i="8"/>
  <c r="J187" i="8"/>
  <c r="L145" i="8"/>
  <c r="S43" i="8"/>
  <c r="H254" i="5"/>
  <c r="Q297" i="8"/>
  <c r="H348" i="8"/>
  <c r="P23" i="6"/>
  <c r="F309" i="8"/>
  <c r="H87" i="5"/>
  <c r="AB234" i="8"/>
  <c r="R214" i="8"/>
  <c r="H33" i="8"/>
  <c r="AH101" i="8"/>
  <c r="P41" i="6"/>
  <c r="AH168" i="8"/>
  <c r="L272" i="8"/>
  <c r="P48" i="8"/>
  <c r="AC283" i="8"/>
  <c r="R216" i="8"/>
  <c r="AB125" i="8"/>
  <c r="I348" i="8"/>
  <c r="T160" i="8"/>
  <c r="Z156" i="8"/>
  <c r="L226" i="8"/>
  <c r="I282" i="8"/>
  <c r="AC212" i="8"/>
  <c r="R207" i="8"/>
  <c r="N323" i="8"/>
  <c r="AT25" i="8"/>
  <c r="S325" i="8"/>
  <c r="AQ263" i="8"/>
  <c r="J50" i="6"/>
  <c r="AP127" i="8"/>
  <c r="AO175" i="8"/>
  <c r="F213" i="8"/>
  <c r="W274" i="8"/>
  <c r="H140" i="8"/>
  <c r="F154" i="8"/>
  <c r="F134" i="8"/>
  <c r="H52" i="6"/>
  <c r="AC119" i="8"/>
  <c r="AG213" i="8"/>
  <c r="AH92" i="8"/>
  <c r="AH314" i="8"/>
  <c r="H177" i="5"/>
  <c r="AH69" i="8"/>
  <c r="AD267" i="8"/>
  <c r="T45" i="8"/>
  <c r="O118" i="8"/>
  <c r="J199" i="8"/>
  <c r="S346" i="8"/>
  <c r="G138" i="8"/>
  <c r="R108" i="8"/>
  <c r="K84" i="8"/>
  <c r="Q178" i="8"/>
  <c r="AH303" i="8"/>
  <c r="R152" i="8"/>
  <c r="T187" i="8"/>
  <c r="S106" i="8"/>
  <c r="P67" i="8"/>
  <c r="S211" i="8"/>
  <c r="AS108" i="8"/>
  <c r="AH144" i="8"/>
  <c r="I142" i="8"/>
  <c r="O74" i="8"/>
  <c r="M236" i="8"/>
  <c r="O301" i="8"/>
  <c r="Q202" i="8"/>
  <c r="H208" i="5"/>
  <c r="Q189" i="8"/>
  <c r="U259" i="8"/>
  <c r="K215" i="8"/>
  <c r="N64" i="6"/>
  <c r="D18" i="4"/>
  <c r="AH166" i="8"/>
  <c r="I64" i="8"/>
  <c r="N71" i="8"/>
  <c r="T280" i="8"/>
  <c r="H69" i="6"/>
  <c r="AN177" i="8"/>
  <c r="AU159" i="8"/>
  <c r="F180" i="5"/>
  <c r="I25" i="6"/>
  <c r="H288" i="8"/>
  <c r="F198" i="8"/>
  <c r="AM187" i="8"/>
  <c r="AJ166" i="8"/>
  <c r="AH194" i="8"/>
  <c r="H106" i="8"/>
  <c r="H76" i="8"/>
  <c r="F56" i="5"/>
  <c r="AN210" i="8"/>
  <c r="AH152" i="8"/>
  <c r="F263" i="5"/>
  <c r="O60" i="6"/>
  <c r="H60" i="5"/>
  <c r="AO318" i="8"/>
  <c r="AU146" i="8"/>
  <c r="H104" i="8"/>
  <c r="AN272" i="8"/>
  <c r="H299" i="5"/>
  <c r="H61" i="8"/>
  <c r="AL203" i="8"/>
  <c r="AS130" i="8"/>
  <c r="F341" i="8"/>
  <c r="P46" i="8"/>
  <c r="S141" i="8"/>
  <c r="M206" i="8"/>
  <c r="S226" i="8"/>
  <c r="O238" i="8"/>
  <c r="N203" i="8"/>
  <c r="F117" i="5"/>
  <c r="N62" i="6"/>
  <c r="I66" i="8"/>
  <c r="I39" i="8"/>
  <c r="M269" i="8"/>
  <c r="N293" i="8"/>
  <c r="AF110" i="8"/>
  <c r="X112" i="8"/>
  <c r="I213" i="8"/>
  <c r="N331" i="8"/>
  <c r="P263" i="8"/>
  <c r="L196" i="8"/>
  <c r="K182" i="8"/>
  <c r="S265" i="8"/>
  <c r="H174" i="5"/>
  <c r="V259" i="8"/>
  <c r="O160" i="8"/>
  <c r="N172" i="8"/>
  <c r="Q269" i="8"/>
  <c r="Q72" i="8"/>
  <c r="M117" i="8"/>
  <c r="G306" i="8"/>
  <c r="U126" i="8"/>
  <c r="U96" i="8"/>
  <c r="S263" i="8"/>
  <c r="N325" i="8"/>
  <c r="Q346" i="8"/>
  <c r="AS101" i="8"/>
  <c r="Z204" i="8"/>
  <c r="G236" i="8"/>
  <c r="H39" i="6"/>
  <c r="O50" i="6"/>
  <c r="G311" i="8"/>
  <c r="H331" i="8"/>
  <c r="AP105" i="8"/>
  <c r="F188" i="5"/>
  <c r="AC199" i="8"/>
  <c r="F174" i="8"/>
  <c r="AQ316" i="8"/>
  <c r="F293" i="5"/>
  <c r="F254" i="8"/>
  <c r="F181" i="8"/>
  <c r="AF144" i="8"/>
  <c r="AH228" i="8"/>
  <c r="AP93" i="8"/>
  <c r="AH299" i="8"/>
  <c r="F190" i="5"/>
  <c r="AN123" i="8"/>
  <c r="F267" i="5"/>
  <c r="G122" i="8"/>
  <c r="H136" i="8"/>
  <c r="F35" i="8"/>
  <c r="R337" i="8"/>
  <c r="U143" i="8"/>
  <c r="O40" i="8"/>
  <c r="AD152" i="8"/>
  <c r="Z99" i="8"/>
  <c r="AQ179" i="8"/>
  <c r="AH181" i="8"/>
  <c r="J58" i="6"/>
  <c r="AD289" i="8"/>
  <c r="AP102" i="8"/>
  <c r="AI144" i="8"/>
  <c r="AU161" i="8"/>
  <c r="T35" i="8"/>
  <c r="H117" i="8"/>
  <c r="AR294" i="8"/>
  <c r="H150" i="5"/>
  <c r="X197" i="8"/>
  <c r="X40" i="8"/>
  <c r="AG293" i="8"/>
  <c r="AI190" i="8"/>
  <c r="X68" i="8"/>
  <c r="AI64" i="8"/>
  <c r="V99" i="8"/>
  <c r="AF29" i="8"/>
  <c r="V224" i="8"/>
  <c r="I34" i="6"/>
  <c r="AK180" i="8"/>
  <c r="X316" i="8"/>
  <c r="G65" i="8"/>
  <c r="F205" i="8"/>
  <c r="AJ211" i="8"/>
  <c r="T301" i="8"/>
  <c r="H156" i="8"/>
  <c r="H45" i="8"/>
  <c r="AA260" i="8"/>
  <c r="W262" i="8"/>
  <c r="K118" i="8"/>
  <c r="N170" i="8"/>
  <c r="H267" i="8"/>
  <c r="K213" i="8"/>
  <c r="AR125" i="8"/>
  <c r="Q166" i="8"/>
  <c r="K75" i="8"/>
  <c r="AS288" i="8"/>
  <c r="U168" i="8"/>
  <c r="I60" i="8"/>
  <c r="L244" i="8"/>
  <c r="R40" i="8"/>
  <c r="AH203" i="8"/>
  <c r="S192" i="8"/>
  <c r="AT248" i="8"/>
  <c r="AF264" i="8"/>
  <c r="AO214" i="8"/>
  <c r="AE268" i="8"/>
  <c r="AL154" i="8"/>
  <c r="AL133" i="8"/>
  <c r="F301" i="5"/>
  <c r="AH107" i="8"/>
  <c r="AH201" i="8"/>
  <c r="AL294" i="8"/>
  <c r="R36" i="8"/>
  <c r="K232" i="8"/>
  <c r="F71" i="8"/>
  <c r="S124" i="8"/>
  <c r="AF189" i="8"/>
  <c r="Q85" i="8"/>
  <c r="M59" i="8"/>
  <c r="AK29" i="8"/>
  <c r="I35" i="8"/>
  <c r="S234" i="8"/>
  <c r="G264" i="8"/>
  <c r="S126" i="8"/>
  <c r="K299" i="8"/>
  <c r="AC112" i="8"/>
  <c r="Q248" i="8"/>
  <c r="AN318" i="8"/>
  <c r="AI213" i="8"/>
  <c r="AT180" i="8"/>
  <c r="F126" i="8"/>
  <c r="G145" i="8"/>
  <c r="AM206" i="8"/>
  <c r="F200" i="5"/>
  <c r="F289" i="8"/>
  <c r="AH135" i="8"/>
  <c r="H197" i="5"/>
  <c r="AU320" i="8"/>
  <c r="AH37" i="8"/>
  <c r="S41" i="1"/>
  <c r="F93" i="8"/>
  <c r="AQ136" i="8"/>
  <c r="F77" i="8"/>
  <c r="AI103" i="8"/>
  <c r="N160" i="8"/>
  <c r="N256" i="8"/>
  <c r="S156" i="8"/>
  <c r="N272" i="8"/>
  <c r="H35" i="8"/>
  <c r="R191" i="8"/>
  <c r="I303" i="8"/>
  <c r="U232" i="8"/>
  <c r="G198" i="8"/>
  <c r="L180" i="8"/>
  <c r="I283" i="8"/>
  <c r="O268" i="8"/>
  <c r="T238" i="8"/>
  <c r="M298" i="8"/>
  <c r="F158" i="5"/>
  <c r="AU262" i="8"/>
  <c r="U33" i="8"/>
  <c r="R311" i="8"/>
  <c r="R164" i="8"/>
  <c r="J279" i="8"/>
  <c r="Q183" i="8"/>
  <c r="M54" i="6"/>
  <c r="L270" i="8"/>
  <c r="N205" i="8"/>
  <c r="P272" i="8"/>
  <c r="T263" i="8"/>
  <c r="I176" i="8"/>
  <c r="F69" i="8"/>
  <c r="U123" i="8"/>
  <c r="R209" i="8"/>
  <c r="U141" i="8"/>
  <c r="Y96" i="8"/>
  <c r="AM209" i="8"/>
  <c r="F252" i="8"/>
  <c r="W136" i="8"/>
  <c r="W272" i="8"/>
  <c r="F187" i="8"/>
  <c r="F260" i="5"/>
  <c r="AL125" i="8"/>
  <c r="AB264" i="8"/>
  <c r="F184" i="5"/>
  <c r="AH123" i="8"/>
  <c r="AL209" i="8"/>
  <c r="H307" i="5"/>
  <c r="H301" i="8"/>
  <c r="F216" i="8"/>
  <c r="H159" i="5"/>
  <c r="AU81" i="8"/>
  <c r="AU130" i="8"/>
  <c r="K36" i="6"/>
  <c r="AH188" i="8"/>
  <c r="F190" i="8"/>
  <c r="T175" i="8"/>
  <c r="X208" i="8"/>
  <c r="AQ174" i="8"/>
  <c r="AK165" i="8"/>
  <c r="AR139" i="8"/>
  <c r="AG210" i="8"/>
  <c r="R174" i="8"/>
  <c r="Q232" i="8"/>
  <c r="Q129" i="8"/>
  <c r="P274" i="8"/>
  <c r="L269" i="8"/>
  <c r="K36" i="8"/>
  <c r="AB203" i="8"/>
  <c r="F92" i="8"/>
  <c r="T61" i="8"/>
  <c r="O45" i="8"/>
  <c r="I153" i="8"/>
  <c r="S309" i="8"/>
  <c r="AR293" i="8"/>
  <c r="G142" i="8"/>
  <c r="O341" i="8"/>
  <c r="J161" i="8"/>
  <c r="T180" i="8"/>
  <c r="R138" i="8"/>
  <c r="K35" i="8"/>
  <c r="Q75" i="8"/>
  <c r="F28" i="6"/>
  <c r="AH240" i="8"/>
  <c r="S56" i="8"/>
  <c r="R105" i="8"/>
  <c r="M119" i="8"/>
  <c r="L236" i="8"/>
  <c r="J129" i="8"/>
  <c r="G43" i="6"/>
  <c r="I82" i="8"/>
  <c r="M207" i="8"/>
  <c r="N283" i="8"/>
  <c r="J242" i="8"/>
  <c r="S246" i="8"/>
  <c r="X210" i="8"/>
  <c r="I21" i="6"/>
  <c r="AK294" i="8"/>
  <c r="AA107" i="8"/>
  <c r="AU213" i="8"/>
  <c r="X205" i="8"/>
  <c r="AH95" i="8"/>
  <c r="AB199" i="8"/>
  <c r="AP230" i="8"/>
  <c r="AU126" i="8"/>
  <c r="AH160" i="8"/>
  <c r="AH153" i="8"/>
  <c r="G36" i="6"/>
  <c r="AO96" i="8"/>
  <c r="AL259" i="8"/>
  <c r="H133" i="8"/>
  <c r="G305" i="8"/>
  <c r="W202" i="8"/>
  <c r="AU70" i="8"/>
  <c r="AU300" i="8"/>
  <c r="F145" i="5"/>
  <c r="AU156" i="8"/>
  <c r="AU176" i="8"/>
  <c r="T302" i="8"/>
  <c r="F217" i="8"/>
  <c r="AR279" i="8"/>
  <c r="R149" i="8"/>
  <c r="U133" i="8"/>
  <c r="Q238" i="8"/>
  <c r="H325" i="5"/>
  <c r="P250" i="8"/>
  <c r="N252" i="8"/>
  <c r="Y209" i="8"/>
  <c r="R60" i="8"/>
  <c r="K102" i="8"/>
  <c r="O184" i="8"/>
  <c r="H32" i="5"/>
  <c r="T31" i="8"/>
  <c r="N141" i="8"/>
  <c r="O211" i="8"/>
  <c r="J240" i="8"/>
  <c r="S42" i="8"/>
  <c r="O325" i="8"/>
  <c r="R252" i="8"/>
  <c r="Q142" i="8"/>
  <c r="L234" i="8"/>
  <c r="AM107" i="8"/>
  <c r="AD179" i="8"/>
  <c r="P198" i="8"/>
  <c r="K344" i="8"/>
  <c r="S50" i="8"/>
  <c r="AO179" i="8"/>
  <c r="L188" i="8"/>
  <c r="F196" i="8"/>
  <c r="J108" i="8"/>
  <c r="AO305" i="8"/>
  <c r="L252" i="8"/>
  <c r="H70" i="8"/>
  <c r="V134" i="8"/>
  <c r="AC142" i="8"/>
  <c r="Z133" i="8"/>
  <c r="Y194" i="8"/>
  <c r="AI228" i="8"/>
  <c r="AD192" i="8"/>
  <c r="F206" i="8"/>
  <c r="AH131" i="8"/>
  <c r="AS270" i="8"/>
  <c r="L344" i="8"/>
  <c r="U188" i="8"/>
  <c r="M37" i="8"/>
  <c r="Q329" i="8"/>
  <c r="H140" i="5"/>
  <c r="L170" i="8"/>
  <c r="K199" i="8"/>
  <c r="AQ111" i="8"/>
  <c r="X325" i="8"/>
  <c r="F171" i="5"/>
  <c r="W268" i="8"/>
  <c r="AO329" i="8"/>
  <c r="AS119" i="8"/>
  <c r="AR244" i="8"/>
  <c r="AK327" i="8"/>
  <c r="AI204" i="8"/>
  <c r="H78" i="5"/>
  <c r="O26" i="6"/>
  <c r="N310" i="8"/>
  <c r="AN159" i="8"/>
  <c r="AL25" i="8"/>
  <c r="AP99" i="8"/>
  <c r="AA155" i="8"/>
  <c r="W59" i="8"/>
  <c r="AB67" i="8"/>
  <c r="AS167" i="8"/>
  <c r="AT48" i="8"/>
  <c r="W208" i="8"/>
  <c r="AS86" i="8"/>
  <c r="AR117" i="8"/>
  <c r="N30" i="6"/>
  <c r="AN288" i="8"/>
  <c r="F228" i="8"/>
  <c r="F166" i="8"/>
  <c r="AP274" i="8"/>
  <c r="F298" i="5"/>
  <c r="AR167" i="8"/>
  <c r="AU187" i="8"/>
  <c r="F103" i="8"/>
  <c r="H192" i="8"/>
  <c r="AS201" i="8"/>
  <c r="O133" i="8"/>
  <c r="U217" i="8"/>
  <c r="H289" i="8"/>
  <c r="R120" i="8"/>
  <c r="AR153" i="8"/>
  <c r="S294" i="8"/>
  <c r="N213" i="8"/>
  <c r="AG202" i="8"/>
  <c r="Q131" i="8"/>
  <c r="N144" i="8"/>
  <c r="K205" i="8"/>
  <c r="T62" i="8"/>
  <c r="T167" i="8"/>
  <c r="N48" i="8"/>
  <c r="F163" i="5"/>
  <c r="AP316" i="8"/>
  <c r="AE178" i="8"/>
  <c r="AH333" i="8"/>
  <c r="G111" i="8"/>
  <c r="V143" i="8"/>
  <c r="AQ148" i="8"/>
  <c r="AH252" i="8"/>
  <c r="F149" i="5"/>
  <c r="F178" i="8"/>
  <c r="U77" i="8"/>
  <c r="S176" i="8"/>
  <c r="G67" i="6"/>
  <c r="S70" i="8"/>
  <c r="S32" i="1"/>
  <c r="M78" i="8"/>
  <c r="L43" i="8"/>
  <c r="H34" i="6"/>
  <c r="S123" i="8"/>
  <c r="K150" i="8"/>
  <c r="R21" i="6"/>
  <c r="P208" i="8"/>
  <c r="AQ178" i="8"/>
  <c r="AU71" i="8"/>
  <c r="K190" i="8"/>
  <c r="F81" i="5"/>
  <c r="J30" i="6"/>
  <c r="AJ198" i="8"/>
  <c r="AJ110" i="8"/>
  <c r="AU190" i="8"/>
  <c r="AL167" i="8"/>
  <c r="AU174" i="8"/>
  <c r="AK189" i="8"/>
  <c r="AU82" i="8"/>
  <c r="I61" i="8"/>
  <c r="I48" i="6"/>
  <c r="V120" i="8"/>
  <c r="G254" i="8"/>
  <c r="K69" i="6"/>
  <c r="Y105" i="8"/>
  <c r="F150" i="8"/>
  <c r="AN161" i="8"/>
  <c r="T99" i="8"/>
  <c r="L110" i="8"/>
  <c r="M283" i="8"/>
  <c r="O172" i="8"/>
  <c r="Q23" i="6"/>
  <c r="O103" i="8"/>
  <c r="M163" i="8"/>
  <c r="AN226" i="8"/>
  <c r="G33" i="8"/>
  <c r="K254" i="8"/>
  <c r="I307" i="8"/>
  <c r="N85" i="8"/>
  <c r="N23" i="8"/>
  <c r="O104" i="8"/>
  <c r="AE294" i="8"/>
  <c r="V174" i="8"/>
  <c r="U178" i="8"/>
  <c r="R85" i="8"/>
  <c r="Q67" i="8"/>
  <c r="I260" i="8"/>
  <c r="I318" i="8"/>
  <c r="G67" i="8"/>
  <c r="K331" i="8"/>
  <c r="O60" i="8"/>
  <c r="M85" i="8"/>
  <c r="P118" i="8"/>
  <c r="Q96" i="8"/>
  <c r="AU297" i="8"/>
  <c r="R52" i="8"/>
  <c r="I164" i="8"/>
  <c r="T147" i="8"/>
  <c r="X199" i="8"/>
  <c r="F69" i="5"/>
  <c r="AI264" i="8"/>
  <c r="H306" i="5"/>
  <c r="H157" i="8"/>
  <c r="AN320" i="8"/>
  <c r="AH42" i="8"/>
  <c r="Z102" i="8"/>
  <c r="F341" i="5"/>
  <c r="F136" i="8"/>
  <c r="AU152" i="8"/>
  <c r="H190" i="5"/>
  <c r="AN201" i="8"/>
  <c r="AU289" i="8"/>
  <c r="R67" i="6"/>
  <c r="AR101" i="8"/>
  <c r="G150" i="8"/>
  <c r="Z213" i="8"/>
  <c r="AB208" i="8"/>
  <c r="G288" i="8"/>
  <c r="AH189" i="8"/>
  <c r="L240" i="8"/>
  <c r="AM111" i="8"/>
  <c r="G58" i="8"/>
  <c r="F118" i="5"/>
  <c r="AD270" i="8"/>
  <c r="AQ348" i="8"/>
  <c r="L124" i="8"/>
  <c r="M310" i="8"/>
  <c r="P217" i="8"/>
  <c r="J236" i="8"/>
  <c r="K246" i="8"/>
  <c r="J140" i="8"/>
  <c r="G78" i="8"/>
  <c r="AN179" i="8"/>
  <c r="P192" i="8"/>
  <c r="K282" i="8"/>
  <c r="K224" i="8"/>
  <c r="O329" i="8"/>
  <c r="AS190" i="8"/>
  <c r="AU344" i="8"/>
  <c r="R335" i="8"/>
  <c r="I62" i="8"/>
  <c r="O100" i="8"/>
  <c r="I101" i="8"/>
  <c r="N148" i="8"/>
  <c r="N37" i="8"/>
  <c r="H46" i="6"/>
  <c r="AU123" i="8"/>
  <c r="I263" i="8"/>
  <c r="M95" i="8"/>
  <c r="P54" i="8"/>
  <c r="P90" i="8"/>
  <c r="AB280" i="8"/>
  <c r="I23" i="8"/>
  <c r="O32" i="8"/>
  <c r="J254" i="8"/>
  <c r="M341" i="8"/>
  <c r="K77" i="8"/>
  <c r="AJ262" i="8"/>
  <c r="AI282" i="8"/>
  <c r="AT270" i="8"/>
  <c r="AL190" i="8"/>
  <c r="V325" i="8"/>
  <c r="AH140" i="8"/>
  <c r="G341" i="8"/>
  <c r="F177" i="8"/>
  <c r="AJ203" i="8"/>
  <c r="Z269" i="8"/>
  <c r="F234" i="8"/>
  <c r="AI210" i="8"/>
  <c r="AH145" i="8"/>
  <c r="AE197" i="8"/>
  <c r="AO108" i="8"/>
  <c r="Y81" i="8"/>
  <c r="AF226" i="8"/>
  <c r="H200" i="8"/>
  <c r="H144" i="5"/>
  <c r="H207" i="5"/>
  <c r="R41" i="6"/>
  <c r="AN197" i="8"/>
  <c r="W264" i="8"/>
  <c r="F61" i="8"/>
  <c r="AE165" i="8"/>
  <c r="AH302" i="8"/>
  <c r="AC187" i="8"/>
  <c r="R306" i="8"/>
  <c r="N117" i="8"/>
  <c r="I301" i="8"/>
  <c r="G250" i="8"/>
  <c r="N216" i="8"/>
  <c r="M126" i="8"/>
  <c r="AH191" i="8"/>
  <c r="J181" i="8"/>
  <c r="J224" i="8"/>
  <c r="U341" i="8"/>
  <c r="AH146" i="8"/>
  <c r="R333" i="8"/>
  <c r="S136" i="8"/>
  <c r="AF200" i="8"/>
  <c r="R177" i="8"/>
  <c r="T176" i="8"/>
  <c r="AQ289" i="8"/>
  <c r="T100" i="8"/>
  <c r="K101" i="8"/>
  <c r="F316" i="8"/>
  <c r="N228" i="8"/>
  <c r="AN289" i="8"/>
  <c r="S268" i="8"/>
  <c r="K31" i="8"/>
  <c r="N260" i="8"/>
  <c r="AU125" i="8"/>
  <c r="P161" i="8"/>
  <c r="AH177" i="8"/>
  <c r="AP202" i="8"/>
  <c r="AT260" i="8"/>
  <c r="Y216" i="8"/>
  <c r="F101" i="8"/>
  <c r="AH212" i="8"/>
  <c r="AN135" i="8"/>
  <c r="F189" i="8"/>
  <c r="V212" i="8"/>
  <c r="Q30" i="6"/>
  <c r="AU100" i="8"/>
  <c r="F263" i="8"/>
  <c r="L174" i="8"/>
  <c r="AT181" i="8"/>
  <c r="G52" i="6"/>
  <c r="AS159" i="8"/>
  <c r="AS212" i="8"/>
  <c r="AC329" i="8"/>
  <c r="AE96" i="8"/>
  <c r="AC200" i="8"/>
  <c r="AM211" i="8"/>
  <c r="H149" i="8"/>
  <c r="AP95" i="8"/>
  <c r="J282" i="8"/>
  <c r="AP329" i="8"/>
  <c r="Z215" i="8"/>
  <c r="Z187" i="8"/>
  <c r="AJ244" i="8"/>
  <c r="AR136" i="8"/>
  <c r="AM23" i="8"/>
  <c r="AT85" i="8"/>
  <c r="V216" i="8"/>
  <c r="F216" i="5"/>
  <c r="AR104" i="8"/>
  <c r="AO143" i="8"/>
  <c r="AM171" i="8"/>
  <c r="AT204" i="8"/>
  <c r="AI175" i="8"/>
  <c r="X133" i="8"/>
  <c r="G160" i="8"/>
  <c r="F179" i="5"/>
  <c r="AP263" i="8"/>
  <c r="Z129" i="8"/>
  <c r="F339" i="8"/>
  <c r="G304" i="8"/>
  <c r="H201" i="8"/>
  <c r="R180" i="8"/>
  <c r="K56" i="8"/>
  <c r="W280" i="8"/>
  <c r="O195" i="8"/>
  <c r="H268" i="8"/>
  <c r="U348" i="8"/>
  <c r="U246" i="8"/>
  <c r="H335" i="8"/>
  <c r="M226" i="8"/>
  <c r="L31" i="8"/>
  <c r="U127" i="8"/>
  <c r="I129" i="8"/>
  <c r="U164" i="8"/>
  <c r="X194" i="8"/>
  <c r="AS318" i="8"/>
  <c r="G244" i="8"/>
  <c r="AF205" i="8"/>
  <c r="F52" i="8"/>
  <c r="O24" i="6"/>
  <c r="R58" i="6"/>
  <c r="V178" i="8"/>
  <c r="AU141" i="8"/>
  <c r="H136" i="5"/>
  <c r="F152" i="8"/>
  <c r="J45" i="8"/>
  <c r="M306" i="8"/>
  <c r="AT115" i="8"/>
  <c r="I279" i="8"/>
  <c r="AH310" i="8"/>
  <c r="T74" i="8"/>
  <c r="P165" i="8"/>
  <c r="AH183" i="8"/>
  <c r="L119" i="8"/>
  <c r="O201" i="8"/>
  <c r="H161" i="8"/>
  <c r="R126" i="8"/>
  <c r="K173" i="8"/>
  <c r="G179" i="8"/>
  <c r="K158" i="8"/>
  <c r="AQ99" i="8"/>
  <c r="G118" i="8"/>
  <c r="AS279" i="8"/>
  <c r="G248" i="8"/>
  <c r="AM71" i="8"/>
  <c r="F310" i="5"/>
  <c r="H96" i="5"/>
  <c r="AS102" i="8"/>
  <c r="AQ96" i="8"/>
  <c r="AG207" i="8"/>
  <c r="AL194" i="8"/>
  <c r="AL105" i="8"/>
  <c r="AQ265" i="8"/>
  <c r="AU327" i="8"/>
  <c r="AU191" i="8"/>
  <c r="AH105" i="8"/>
  <c r="AS267" i="8"/>
  <c r="I116" i="8"/>
  <c r="R246" i="8"/>
  <c r="J87" i="8"/>
  <c r="N156" i="8"/>
  <c r="G62" i="6"/>
  <c r="S143" i="8"/>
  <c r="I76" i="8"/>
  <c r="F129" i="5"/>
  <c r="F207" i="8"/>
  <c r="T96" i="8"/>
  <c r="Q48" i="8"/>
  <c r="U179" i="8"/>
  <c r="K303" i="8"/>
  <c r="U63" i="8"/>
  <c r="AC318" i="8"/>
  <c r="AU265" i="8"/>
  <c r="O254" i="8"/>
  <c r="J260" i="8"/>
  <c r="I240" i="8"/>
  <c r="I86" i="8"/>
  <c r="O234" i="8"/>
  <c r="AA134" i="8"/>
  <c r="I270" i="8"/>
  <c r="U211" i="8"/>
  <c r="L177" i="8"/>
  <c r="I175" i="8"/>
  <c r="M329" i="8"/>
  <c r="H259" i="8"/>
  <c r="T259" i="8"/>
  <c r="R125" i="8"/>
  <c r="AJ107" i="8"/>
  <c r="AB167" i="8"/>
  <c r="H127" i="5"/>
  <c r="AB23" i="8"/>
  <c r="AF267" i="8"/>
  <c r="G32" i="8"/>
  <c r="G259" i="8"/>
  <c r="H145" i="8"/>
  <c r="AA206" i="8"/>
  <c r="AL348" i="8"/>
  <c r="F89" i="8"/>
  <c r="L58" i="6"/>
  <c r="F299" i="5"/>
  <c r="I36" i="6"/>
  <c r="AK129" i="8"/>
  <c r="F173" i="8"/>
  <c r="AB158" i="8"/>
  <c r="AH197" i="8"/>
  <c r="AO192" i="8"/>
  <c r="H32" i="6"/>
  <c r="H89" i="8"/>
  <c r="F58" i="5"/>
  <c r="AS211" i="8"/>
  <c r="M30" i="6"/>
  <c r="F155" i="8"/>
  <c r="X254" i="8"/>
  <c r="H204" i="5"/>
  <c r="G267" i="8"/>
  <c r="J212" i="8"/>
  <c r="L135" i="8"/>
  <c r="M162" i="8"/>
  <c r="Q59" i="8"/>
  <c r="K214" i="8"/>
  <c r="O162" i="8"/>
  <c r="F145" i="8"/>
  <c r="G274" i="8"/>
  <c r="I124" i="8"/>
  <c r="N210" i="8"/>
  <c r="T206" i="8"/>
  <c r="L293" i="8"/>
  <c r="H158" i="5"/>
  <c r="F180" i="8"/>
  <c r="P346" i="8"/>
  <c r="K228" i="8"/>
  <c r="R107" i="8"/>
  <c r="M122" i="8"/>
  <c r="Q174" i="8"/>
  <c r="S179" i="8"/>
  <c r="I52" i="6"/>
  <c r="G208" i="8"/>
  <c r="R183" i="8"/>
  <c r="T339" i="8"/>
  <c r="J327" i="8"/>
  <c r="J244" i="8"/>
  <c r="AE207" i="8"/>
  <c r="L206" i="8"/>
  <c r="P306" i="8"/>
  <c r="P210" i="8"/>
  <c r="L120" i="8"/>
  <c r="I248" i="8"/>
  <c r="Z203" i="8"/>
  <c r="AO260" i="8"/>
  <c r="X100" i="8"/>
  <c r="Z127" i="8"/>
  <c r="AB103" i="8"/>
  <c r="AO207" i="8"/>
  <c r="AH46" i="8"/>
  <c r="AH61" i="8"/>
  <c r="M60" i="6"/>
  <c r="AL214" i="8"/>
  <c r="Y206" i="8"/>
  <c r="F102" i="8"/>
  <c r="AJ187" i="8"/>
  <c r="G42" i="8"/>
  <c r="AU165" i="8"/>
  <c r="AP217" i="8"/>
  <c r="AP108" i="8"/>
  <c r="H160" i="8"/>
  <c r="AN268" i="8"/>
  <c r="H202" i="5"/>
  <c r="H106" i="5"/>
  <c r="AF209" i="8"/>
  <c r="AT160" i="8"/>
  <c r="H246" i="8"/>
  <c r="AT176" i="8"/>
  <c r="AT138" i="8"/>
  <c r="H230" i="8"/>
  <c r="S33" i="8"/>
  <c r="Q158" i="8"/>
  <c r="Q164" i="8"/>
  <c r="L28" i="6"/>
  <c r="S289" i="8"/>
  <c r="N318" i="8"/>
  <c r="AB288" i="8"/>
  <c r="L238" i="8"/>
  <c r="M121" i="8"/>
  <c r="U181" i="8"/>
  <c r="AU215" i="8"/>
  <c r="N74" i="8"/>
  <c r="K126" i="8"/>
  <c r="G192" i="8"/>
  <c r="O176" i="8"/>
  <c r="O309" i="8"/>
  <c r="H108" i="8"/>
  <c r="P303" i="8"/>
  <c r="I177" i="8"/>
  <c r="K230" i="8"/>
  <c r="L143" i="8"/>
  <c r="G234" i="8"/>
  <c r="O158" i="8"/>
  <c r="U305" i="8"/>
  <c r="L232" i="8"/>
  <c r="H318" i="8"/>
  <c r="K207" i="8"/>
  <c r="R132" i="8"/>
  <c r="G149" i="8"/>
  <c r="G89" i="8"/>
  <c r="M71" i="6"/>
  <c r="AT274" i="8"/>
  <c r="H73" i="8"/>
  <c r="AT135" i="8"/>
  <c r="AN127" i="8"/>
  <c r="AD236" i="8"/>
  <c r="AN246" i="8"/>
  <c r="F30" i="6"/>
  <c r="W42" i="8"/>
  <c r="G60" i="8"/>
  <c r="G314" i="8"/>
  <c r="F204" i="8"/>
  <c r="Y188" i="8"/>
  <c r="AE331" i="8"/>
  <c r="AB213" i="8"/>
  <c r="AQ299" i="8"/>
  <c r="AM76" i="8"/>
  <c r="AA123" i="8"/>
  <c r="AS125" i="8"/>
  <c r="AS40" i="8"/>
  <c r="AK82" i="8"/>
  <c r="AJ189" i="8"/>
  <c r="AJ344" i="8"/>
  <c r="AB156" i="8"/>
  <c r="AD293" i="8"/>
  <c r="Z205" i="8"/>
  <c r="AT59" i="8"/>
  <c r="G232" i="8"/>
  <c r="AT316" i="8"/>
  <c r="AP196" i="8"/>
  <c r="AP188" i="8"/>
  <c r="H22" i="6"/>
  <c r="AA100" i="8"/>
  <c r="AG192" i="8"/>
  <c r="AB95" i="8"/>
  <c r="AH207" i="8"/>
  <c r="M259" i="8"/>
  <c r="U134" i="8"/>
  <c r="AT102" i="8"/>
  <c r="Q108" i="8"/>
  <c r="H150" i="8"/>
  <c r="L212" i="8"/>
  <c r="U139" i="8"/>
  <c r="AH344" i="8"/>
  <c r="O167" i="8"/>
  <c r="S310" i="8"/>
  <c r="N289" i="8"/>
  <c r="M52" i="8"/>
  <c r="L138" i="8"/>
  <c r="AB267" i="8"/>
  <c r="V348" i="8"/>
  <c r="F282" i="8"/>
  <c r="AP81" i="8"/>
  <c r="AH76" i="8"/>
  <c r="H107" i="8"/>
  <c r="J21" i="6"/>
  <c r="AJ87" i="8"/>
  <c r="F58" i="8"/>
  <c r="AS199" i="8"/>
  <c r="AS189" i="8"/>
  <c r="J217" i="8"/>
  <c r="M104" i="8"/>
  <c r="R259" i="8"/>
  <c r="S305" i="8"/>
  <c r="G133" i="8"/>
  <c r="R310" i="8"/>
  <c r="M74" i="8"/>
  <c r="F48" i="8"/>
  <c r="U40" i="8"/>
  <c r="P36" i="8"/>
  <c r="M62" i="8"/>
  <c r="Q65" i="8"/>
  <c r="K70" i="8"/>
  <c r="I102" i="8"/>
  <c r="J77" i="8"/>
  <c r="AR204" i="8"/>
  <c r="H176" i="8"/>
  <c r="Z105" i="8"/>
  <c r="AK206" i="8"/>
  <c r="Y182" i="8"/>
  <c r="AM320" i="8"/>
  <c r="G240" i="8"/>
  <c r="AT289" i="8"/>
  <c r="F306" i="8"/>
  <c r="Y210" i="8"/>
  <c r="AU36" i="8"/>
  <c r="AL102" i="8"/>
  <c r="AA204" i="8"/>
  <c r="I152" i="8"/>
  <c r="F170" i="8"/>
  <c r="F107" i="5"/>
  <c r="AH40" i="8"/>
  <c r="U173" i="8"/>
  <c r="M181" i="8"/>
  <c r="U171" i="8"/>
  <c r="AD118" i="8"/>
  <c r="AI268" i="8"/>
  <c r="I311" i="8"/>
  <c r="R96" i="8"/>
  <c r="F294" i="5"/>
  <c r="F38" i="5"/>
  <c r="R263" i="8"/>
  <c r="Q73" i="8"/>
  <c r="M228" i="8"/>
  <c r="L84" i="8"/>
  <c r="N45" i="8"/>
  <c r="H309" i="5"/>
  <c r="H262" i="8"/>
  <c r="R184" i="8"/>
  <c r="I210" i="8"/>
  <c r="M48" i="8"/>
  <c r="U119" i="8"/>
  <c r="AI259" i="8"/>
  <c r="T58" i="8"/>
  <c r="L68" i="8"/>
  <c r="U208" i="8"/>
  <c r="P75" i="8"/>
  <c r="Q299" i="8"/>
  <c r="Y226" i="8"/>
  <c r="T270" i="8"/>
  <c r="J188" i="8"/>
  <c r="T244" i="8"/>
  <c r="AS103" i="8"/>
  <c r="F62" i="5"/>
  <c r="AE191" i="8"/>
  <c r="AF112" i="8"/>
  <c r="H99" i="5"/>
  <c r="H107" i="5"/>
  <c r="F244" i="8"/>
  <c r="AU78" i="8"/>
  <c r="F125" i="5"/>
  <c r="F309" i="5"/>
  <c r="M29" i="6"/>
  <c r="AU333" i="8"/>
  <c r="AA103" i="8"/>
  <c r="G168" i="8"/>
  <c r="H339" i="8"/>
  <c r="R269" i="8"/>
  <c r="F72" i="5"/>
  <c r="G23" i="8"/>
  <c r="AT293" i="8"/>
  <c r="AM100" i="8"/>
  <c r="AT283" i="8"/>
  <c r="G40" i="8"/>
  <c r="AJ157" i="8"/>
  <c r="X188" i="8"/>
  <c r="H125" i="5"/>
  <c r="F59" i="8"/>
  <c r="Z106" i="8"/>
  <c r="H311" i="5"/>
  <c r="T163" i="8"/>
  <c r="P195" i="8"/>
  <c r="R190" i="8"/>
  <c r="R163" i="8"/>
  <c r="P288" i="8"/>
  <c r="AG107" i="8"/>
  <c r="H54" i="8"/>
  <c r="I78" i="8"/>
  <c r="K192" i="8"/>
  <c r="L274" i="8"/>
  <c r="S210" i="8"/>
  <c r="AP168" i="8"/>
  <c r="AT288" i="8"/>
  <c r="T82" i="8"/>
  <c r="N111" i="8"/>
  <c r="O244" i="8"/>
  <c r="N167" i="8"/>
  <c r="L314" i="8"/>
  <c r="U138" i="8"/>
  <c r="AA208" i="8"/>
  <c r="H138" i="5"/>
  <c r="T267" i="8"/>
  <c r="P38" i="8"/>
  <c r="P157" i="8"/>
  <c r="M264" i="8"/>
  <c r="M149" i="8"/>
  <c r="H310" i="5"/>
  <c r="I119" i="8"/>
  <c r="M71" i="8"/>
  <c r="Q32" i="8"/>
  <c r="K131" i="8"/>
  <c r="I161" i="8"/>
  <c r="AO189" i="8"/>
  <c r="AJ216" i="8"/>
  <c r="Z211" i="8"/>
  <c r="Y117" i="8"/>
  <c r="F34" i="5"/>
  <c r="H39" i="8"/>
  <c r="AH171" i="8"/>
  <c r="AC289" i="8"/>
  <c r="AG272" i="8"/>
  <c r="AM118" i="8"/>
  <c r="AH73" i="8"/>
  <c r="Z182" i="8"/>
  <c r="X95" i="8"/>
  <c r="P36" i="6"/>
  <c r="AM269" i="8"/>
  <c r="L39" i="6"/>
  <c r="AT96" i="8"/>
  <c r="H204" i="8"/>
  <c r="I71" i="6"/>
  <c r="AU303" i="8"/>
  <c r="AC268" i="8"/>
  <c r="AU246" i="8"/>
  <c r="W215" i="8"/>
  <c r="AH45" i="8"/>
  <c r="W152" i="8"/>
  <c r="AH238" i="8"/>
  <c r="AU270" i="8"/>
  <c r="U194" i="8"/>
  <c r="U333" i="8"/>
  <c r="L148" i="8"/>
  <c r="O64" i="6"/>
  <c r="J102" i="8"/>
  <c r="Q154" i="8"/>
  <c r="R36" i="6"/>
  <c r="U125" i="8"/>
  <c r="U46" i="8"/>
  <c r="J147" i="8"/>
  <c r="AU63" i="8"/>
  <c r="M77" i="8"/>
  <c r="N259" i="8"/>
  <c r="L64" i="6"/>
  <c r="I135" i="8"/>
  <c r="T102" i="8"/>
  <c r="Q20" i="6"/>
  <c r="J124" i="8"/>
  <c r="O134" i="8"/>
  <c r="N264" i="8"/>
  <c r="K116" i="8"/>
  <c r="AL216" i="8"/>
  <c r="S297" i="8"/>
  <c r="S181" i="8"/>
  <c r="M333" i="8"/>
  <c r="R31" i="8"/>
  <c r="J99" i="8"/>
  <c r="I168" i="8"/>
  <c r="AU111" i="8"/>
  <c r="F210" i="5"/>
  <c r="X171" i="8"/>
  <c r="AE196" i="8"/>
  <c r="F129" i="8"/>
  <c r="AT99" i="8"/>
  <c r="H93" i="8"/>
  <c r="F43" i="6"/>
  <c r="H184" i="8"/>
  <c r="AC230" i="8"/>
  <c r="AH279" i="8"/>
  <c r="AR143" i="8"/>
  <c r="K43" i="6"/>
  <c r="H160" i="5"/>
  <c r="K107" i="8"/>
  <c r="J33" i="8"/>
  <c r="L201" i="8"/>
  <c r="AH120" i="8"/>
  <c r="AH141" i="8"/>
  <c r="AD212" i="8"/>
  <c r="Z294" i="8"/>
  <c r="AU37" i="8"/>
  <c r="AG84" i="8"/>
  <c r="AP302" i="8"/>
  <c r="X131" i="8"/>
  <c r="Z39" i="8"/>
  <c r="AJ147" i="8"/>
  <c r="P25" i="6"/>
  <c r="F139" i="8"/>
  <c r="P64" i="6"/>
  <c r="AH173" i="8"/>
  <c r="O203" i="8"/>
  <c r="AD282" i="8"/>
  <c r="AU153" i="8"/>
  <c r="AG259" i="8"/>
  <c r="P162" i="8"/>
  <c r="F87" i="8"/>
  <c r="AS73" i="8"/>
  <c r="X293" i="8"/>
  <c r="F126" i="5"/>
  <c r="AF280" i="8"/>
  <c r="I242" i="8"/>
  <c r="H300" i="8"/>
  <c r="O115" i="8"/>
  <c r="H344" i="8"/>
  <c r="AC217" i="8"/>
  <c r="G77" i="8"/>
  <c r="H310" i="8"/>
  <c r="G54" i="8"/>
  <c r="AJ95" i="8"/>
  <c r="H213" i="5"/>
  <c r="AC191" i="8"/>
  <c r="S180" i="8"/>
  <c r="U65" i="8"/>
  <c r="AG320" i="8"/>
  <c r="P150" i="8"/>
  <c r="M212" i="8"/>
  <c r="AH329" i="8"/>
  <c r="K183" i="8"/>
  <c r="Z202" i="8"/>
  <c r="L323" i="8"/>
  <c r="W200" i="8"/>
  <c r="P156" i="8"/>
  <c r="AU230" i="8"/>
  <c r="W346" i="8"/>
  <c r="V149" i="8"/>
  <c r="F27" i="6"/>
  <c r="AU144" i="8"/>
  <c r="Q43" i="6"/>
  <c r="F60" i="6"/>
  <c r="AH348" i="8"/>
  <c r="AF105" i="8"/>
  <c r="F320" i="8"/>
  <c r="L199" i="8"/>
  <c r="O89" i="8"/>
  <c r="AK282" i="8"/>
  <c r="U54" i="8"/>
  <c r="N33" i="8"/>
  <c r="U265" i="8"/>
  <c r="T66" i="8"/>
  <c r="O173" i="8"/>
  <c r="T143" i="8"/>
  <c r="J86" i="8"/>
  <c r="G207" i="8"/>
  <c r="R173" i="8"/>
  <c r="U197" i="8"/>
  <c r="F64" i="8"/>
  <c r="F130" i="8"/>
  <c r="AK207" i="8"/>
  <c r="H25" i="6"/>
  <c r="Y150" i="8"/>
  <c r="W210" i="8"/>
  <c r="AF263" i="8"/>
  <c r="AU69" i="8"/>
  <c r="AC348" i="8"/>
  <c r="AU331" i="8"/>
  <c r="M192" i="8"/>
  <c r="I140" i="8"/>
  <c r="AS100" i="8"/>
  <c r="N135" i="8"/>
  <c r="X187" i="8"/>
  <c r="P302" i="8"/>
  <c r="T179" i="8"/>
  <c r="AN259" i="8"/>
  <c r="U325" i="8"/>
  <c r="S280" i="8"/>
  <c r="N46" i="8"/>
  <c r="P214" i="8"/>
  <c r="K58" i="8"/>
  <c r="I202" i="8"/>
  <c r="F344" i="8"/>
  <c r="AN348" i="8"/>
  <c r="AT264" i="8"/>
  <c r="H123" i="8"/>
  <c r="G242" i="8"/>
  <c r="AH20" i="8"/>
  <c r="H81" i="5"/>
  <c r="AB210" i="8"/>
  <c r="R230" i="8"/>
  <c r="K191" i="8"/>
  <c r="G157" i="8"/>
  <c r="P34" i="8"/>
  <c r="O274" i="8"/>
  <c r="T68" i="8"/>
  <c r="U248" i="8"/>
  <c r="Q155" i="8"/>
  <c r="AK172" i="8"/>
  <c r="U70" i="8"/>
  <c r="L149" i="8"/>
  <c r="L259" i="8"/>
  <c r="O339" i="8"/>
  <c r="M39" i="8"/>
  <c r="AC294" i="8"/>
  <c r="M93" i="8"/>
  <c r="T148" i="8"/>
  <c r="S40" i="8"/>
  <c r="P126" i="8"/>
  <c r="H230" i="5"/>
  <c r="K263" i="8"/>
  <c r="K129" i="8"/>
  <c r="N36" i="8"/>
  <c r="N190" i="8"/>
  <c r="I38" i="8"/>
  <c r="O246" i="8"/>
  <c r="I211" i="8"/>
  <c r="O161" i="8"/>
  <c r="AU93" i="8"/>
  <c r="O215" i="8"/>
  <c r="AK112" i="8"/>
  <c r="L54" i="6"/>
  <c r="AB200" i="8"/>
  <c r="Y274" i="8"/>
  <c r="AH301" i="8"/>
  <c r="AM175" i="8"/>
  <c r="G337" i="8"/>
  <c r="AF171" i="8"/>
  <c r="F130" i="5"/>
  <c r="S25" i="1"/>
  <c r="R23" i="6"/>
  <c r="H60" i="6"/>
  <c r="P133" i="8"/>
  <c r="R69" i="8"/>
  <c r="K147" i="8"/>
  <c r="G318" i="8"/>
  <c r="R144" i="8"/>
  <c r="S262" i="8"/>
  <c r="AH157" i="8"/>
  <c r="O302" i="8"/>
  <c r="K138" i="8"/>
  <c r="U150" i="8"/>
  <c r="H120" i="8"/>
  <c r="P125" i="8"/>
  <c r="I294" i="8"/>
  <c r="AH25" i="8"/>
  <c r="K211" i="8"/>
  <c r="L298" i="8"/>
  <c r="X214" i="8"/>
  <c r="N163" i="8"/>
  <c r="I205" i="8"/>
  <c r="J72" i="8"/>
  <c r="Q236" i="8"/>
  <c r="H48" i="6"/>
  <c r="U118" i="8"/>
  <c r="S168" i="8"/>
  <c r="S37" i="8"/>
  <c r="R171" i="8"/>
  <c r="J139" i="8"/>
  <c r="K52" i="8"/>
  <c r="H38" i="8"/>
  <c r="AH309" i="8"/>
  <c r="K240" i="8"/>
  <c r="P270" i="8"/>
  <c r="I37" i="8"/>
  <c r="Y120" i="8"/>
  <c r="L48" i="8"/>
  <c r="N314" i="8"/>
  <c r="Y162" i="8"/>
  <c r="N67" i="8"/>
  <c r="N242" i="8"/>
  <c r="J339" i="8"/>
  <c r="L289" i="8"/>
  <c r="T210" i="8"/>
  <c r="N39" i="8"/>
  <c r="AD204" i="8"/>
  <c r="AH178" i="8"/>
  <c r="W159" i="8"/>
  <c r="Q67" i="6"/>
  <c r="AD262" i="8"/>
  <c r="AD280" i="8"/>
  <c r="AU173" i="8"/>
  <c r="AR267" i="8"/>
  <c r="H216" i="5"/>
  <c r="F66" i="8"/>
  <c r="G152" i="8"/>
  <c r="AS269" i="8"/>
  <c r="F176" i="8"/>
  <c r="AD99" i="8"/>
  <c r="F280" i="5"/>
  <c r="H162" i="8"/>
  <c r="I259" i="8"/>
  <c r="N68" i="8"/>
  <c r="K104" i="8"/>
  <c r="F179" i="8"/>
  <c r="R211" i="8"/>
  <c r="R316" i="8"/>
  <c r="H224" i="8"/>
  <c r="O175" i="8"/>
  <c r="I157" i="8"/>
  <c r="R145" i="8"/>
  <c r="AG150" i="8"/>
  <c r="J256" i="8"/>
  <c r="P262" i="8"/>
  <c r="G230" i="8"/>
  <c r="N309" i="8"/>
  <c r="Q152" i="8"/>
  <c r="H77" i="8"/>
  <c r="S232" i="8"/>
  <c r="J325" i="8"/>
  <c r="K329" i="8"/>
  <c r="P294" i="8"/>
  <c r="AU196" i="8"/>
  <c r="S140" i="8"/>
  <c r="I335" i="8"/>
  <c r="L183" i="8"/>
  <c r="H121" i="8"/>
  <c r="O190" i="8"/>
  <c r="N152" i="8"/>
  <c r="AF165" i="8"/>
  <c r="W214" i="8"/>
  <c r="Q289" i="8"/>
  <c r="N84" i="8"/>
  <c r="S87" i="8"/>
  <c r="F31" i="8"/>
  <c r="Q274" i="8"/>
  <c r="R116" i="8"/>
  <c r="AN205" i="8"/>
  <c r="Q279" i="8"/>
  <c r="I309" i="8"/>
  <c r="H58" i="8"/>
  <c r="AJ175" i="8"/>
  <c r="O65" i="8"/>
  <c r="N20" i="8"/>
  <c r="AR111" i="8"/>
  <c r="F202" i="5"/>
  <c r="H174" i="8"/>
  <c r="S34" i="1"/>
  <c r="Z181" i="8"/>
  <c r="AM115" i="8"/>
  <c r="AM201" i="8"/>
  <c r="H224" i="5"/>
  <c r="AD48" i="8"/>
  <c r="V159" i="8"/>
  <c r="G58" i="6"/>
  <c r="AN86" i="8"/>
  <c r="G70" i="8"/>
  <c r="H138" i="8"/>
  <c r="F142" i="8"/>
  <c r="F45" i="5"/>
  <c r="J27" i="6"/>
  <c r="R234" i="8"/>
  <c r="G25" i="8"/>
  <c r="I299" i="8"/>
  <c r="K106" i="8"/>
  <c r="L71" i="6"/>
  <c r="H116" i="5"/>
  <c r="M64" i="6"/>
  <c r="L157" i="8"/>
  <c r="U300" i="8"/>
  <c r="R86" i="8"/>
  <c r="I337" i="8"/>
  <c r="U256" i="8"/>
  <c r="M168" i="8"/>
  <c r="AK250" i="8"/>
  <c r="AU107" i="8"/>
  <c r="F156" i="8"/>
  <c r="AA184" i="8"/>
  <c r="K52" i="6"/>
  <c r="G20" i="6"/>
  <c r="AL142" i="8"/>
  <c r="R199" i="8"/>
  <c r="U72" i="8"/>
  <c r="AJ282" i="8"/>
  <c r="N140" i="8"/>
  <c r="O31" i="8"/>
  <c r="I33" i="8"/>
  <c r="T170" i="8"/>
  <c r="AU348" i="8"/>
  <c r="R84" i="8"/>
  <c r="AO216" i="8"/>
  <c r="K168" i="8"/>
  <c r="AP189" i="8"/>
  <c r="M21" i="6"/>
  <c r="H211" i="8"/>
  <c r="H103" i="5"/>
  <c r="AL289" i="8"/>
  <c r="H25" i="8"/>
  <c r="H29" i="8"/>
  <c r="AH84" i="8"/>
  <c r="K60" i="6"/>
  <c r="H167" i="8"/>
  <c r="S131" i="8"/>
  <c r="Q69" i="8"/>
  <c r="AF188" i="8"/>
  <c r="O316" i="8"/>
  <c r="R270" i="8"/>
  <c r="I306" i="8"/>
  <c r="O131" i="8"/>
  <c r="N165" i="8"/>
  <c r="R202" i="8"/>
  <c r="T200" i="8"/>
  <c r="G75" i="8"/>
  <c r="P194" i="8"/>
  <c r="F86" i="5"/>
  <c r="G59" i="8"/>
  <c r="H182" i="5"/>
  <c r="H240" i="5"/>
  <c r="F25" i="8"/>
  <c r="AH149" i="8"/>
  <c r="AC248" i="8"/>
  <c r="AH195" i="8"/>
  <c r="AU217" i="8"/>
  <c r="AI184" i="8"/>
  <c r="AH267" i="8"/>
  <c r="M194" i="8"/>
  <c r="M120" i="8"/>
  <c r="AH132" i="8"/>
  <c r="J158" i="8"/>
  <c r="Y192" i="8"/>
  <c r="T201" i="8"/>
  <c r="S167" i="8"/>
  <c r="G301" i="8"/>
  <c r="U198" i="8"/>
  <c r="AG25" i="8"/>
  <c r="S148" i="8"/>
  <c r="Q105" i="8"/>
  <c r="S38" i="8"/>
  <c r="M153" i="8"/>
  <c r="AG217" i="8"/>
  <c r="P24" i="6"/>
  <c r="AJ141" i="8"/>
  <c r="AU157" i="8"/>
  <c r="F24" i="6"/>
  <c r="AN165" i="8"/>
  <c r="H50" i="8"/>
  <c r="F67" i="5"/>
  <c r="U297" i="8"/>
  <c r="K244" i="8"/>
  <c r="F259" i="8"/>
  <c r="P130" i="8"/>
  <c r="H37" i="5"/>
  <c r="L89" i="8"/>
  <c r="S60" i="8"/>
  <c r="J310" i="8"/>
  <c r="F60" i="5"/>
  <c r="R82" i="8"/>
  <c r="P23" i="8"/>
  <c r="O226" i="8"/>
  <c r="K157" i="8"/>
  <c r="S173" i="8"/>
  <c r="N171" i="8"/>
  <c r="Q82" i="8"/>
  <c r="M190" i="8"/>
  <c r="U52" i="8"/>
  <c r="N197" i="8"/>
  <c r="H248" i="8"/>
  <c r="S121" i="8"/>
  <c r="U272" i="8"/>
  <c r="L33" i="8"/>
  <c r="AJ111" i="8"/>
  <c r="S96" i="8"/>
  <c r="Y211" i="8"/>
  <c r="T117" i="8"/>
  <c r="J283" i="8"/>
  <c r="F78" i="8"/>
  <c r="P121" i="8"/>
  <c r="W145" i="8"/>
  <c r="AF208" i="8"/>
  <c r="AH63" i="8"/>
  <c r="G238" i="8"/>
  <c r="AO129" i="8"/>
  <c r="AQ282" i="8"/>
  <c r="AK264" i="8"/>
  <c r="F224" i="5"/>
  <c r="AD274" i="8"/>
  <c r="R25" i="6"/>
  <c r="H194" i="8"/>
  <c r="G126" i="8"/>
  <c r="N139" i="8"/>
  <c r="P307" i="8"/>
  <c r="S46" i="8"/>
  <c r="H115" i="8"/>
  <c r="J157" i="8"/>
  <c r="K325" i="8"/>
  <c r="S30" i="1"/>
  <c r="T29" i="8"/>
  <c r="O106" i="8"/>
  <c r="Q256" i="8"/>
  <c r="AB196" i="8"/>
  <c r="N173" i="8"/>
  <c r="K341" i="8"/>
  <c r="F210" i="8"/>
  <c r="K265" i="8"/>
  <c r="K95" i="8"/>
  <c r="G82" i="8"/>
  <c r="K78" i="8"/>
  <c r="N89" i="8"/>
  <c r="O116" i="8"/>
  <c r="AJ153" i="8"/>
  <c r="U82" i="8"/>
  <c r="M299" i="8"/>
  <c r="R178" i="8"/>
  <c r="R267" i="8"/>
  <c r="O123" i="8"/>
  <c r="M240" i="8"/>
  <c r="K202" i="8"/>
  <c r="M87" i="8"/>
  <c r="X264" i="8"/>
  <c r="R176" i="8"/>
  <c r="J206" i="8"/>
  <c r="R72" i="8"/>
  <c r="AH248" i="8"/>
  <c r="M141" i="8"/>
  <c r="O206" i="8"/>
  <c r="U224" i="8"/>
  <c r="N254" i="8"/>
  <c r="U107" i="8"/>
  <c r="P230" i="8"/>
  <c r="O180" i="8"/>
  <c r="J280" i="8"/>
  <c r="M116" i="8"/>
  <c r="G279" i="8"/>
  <c r="AF293" i="8"/>
  <c r="AE135" i="8"/>
  <c r="K30" i="6"/>
  <c r="Q64" i="6"/>
  <c r="Y260" i="8"/>
  <c r="AK25" i="8"/>
  <c r="I39" i="6"/>
  <c r="AH29" i="8"/>
  <c r="P60" i="6"/>
  <c r="F149" i="8"/>
  <c r="AA119" i="8"/>
  <c r="F144" i="5"/>
  <c r="AP159" i="8"/>
  <c r="AP272" i="8"/>
  <c r="G147" i="8"/>
  <c r="J346" i="8"/>
  <c r="N192" i="8"/>
  <c r="U182" i="8"/>
  <c r="AH196" i="8"/>
  <c r="T344" i="8"/>
  <c r="M99" i="8"/>
  <c r="AH298" i="8"/>
  <c r="P63" i="8"/>
  <c r="L305" i="8"/>
  <c r="Q136" i="8"/>
  <c r="AB178" i="8"/>
  <c r="J173" i="8"/>
  <c r="Q212" i="8"/>
  <c r="AJ240" i="8"/>
  <c r="N232" i="8"/>
  <c r="R38" i="8"/>
  <c r="G173" i="8"/>
  <c r="I269" i="8"/>
  <c r="R166" i="8"/>
  <c r="I305" i="8"/>
  <c r="I192" i="8"/>
  <c r="AH139" i="8"/>
  <c r="J35" i="8"/>
  <c r="AS84" i="8"/>
  <c r="AG204" i="8"/>
  <c r="AA105" i="8"/>
  <c r="G263" i="8"/>
  <c r="AA46" i="8"/>
  <c r="AI129" i="8"/>
  <c r="AD226" i="8"/>
  <c r="W301" i="8"/>
  <c r="AQ294" i="8"/>
  <c r="V274" i="8"/>
  <c r="F306" i="5"/>
  <c r="AQ155" i="8"/>
  <c r="I194" i="8"/>
  <c r="R135" i="8"/>
  <c r="K125" i="8"/>
  <c r="I187" i="8"/>
  <c r="O264" i="8"/>
  <c r="Z161" i="8"/>
  <c r="AI279" i="8"/>
  <c r="AU226" i="8"/>
  <c r="AT207" i="8"/>
  <c r="I297" i="8"/>
  <c r="R35" i="8"/>
  <c r="P265" i="8"/>
  <c r="L187" i="8"/>
  <c r="P117" i="8"/>
  <c r="O138" i="8"/>
  <c r="X201" i="8"/>
  <c r="AT200" i="8"/>
  <c r="AH104" i="8"/>
  <c r="AM188" i="8"/>
  <c r="AC141" i="8"/>
  <c r="AU54" i="8"/>
  <c r="T48" i="8"/>
  <c r="I331" i="8"/>
  <c r="O143" i="8"/>
  <c r="H36" i="8"/>
  <c r="L20" i="8"/>
  <c r="Q68" i="8"/>
  <c r="R70" i="8"/>
  <c r="M250" i="8"/>
  <c r="O272" i="8"/>
  <c r="Q102" i="8"/>
  <c r="G211" i="8"/>
  <c r="M242" i="8"/>
  <c r="AL100" i="8"/>
  <c r="AO112" i="8"/>
  <c r="AU20" i="8"/>
  <c r="F325" i="8"/>
  <c r="AE346" i="8"/>
  <c r="AT84" i="8"/>
  <c r="H223" i="8"/>
  <c r="H210" i="5"/>
  <c r="AU25" i="8"/>
  <c r="I217" i="8"/>
  <c r="N112" i="8"/>
  <c r="N155" i="8"/>
  <c r="F228" i="5"/>
  <c r="L161" i="8"/>
  <c r="AI96" i="8"/>
  <c r="I195" i="8"/>
  <c r="N133" i="8"/>
  <c r="H77" i="5"/>
  <c r="L283" i="8"/>
  <c r="S213" i="8"/>
  <c r="R294" i="8"/>
  <c r="N116" i="8"/>
  <c r="F64" i="5"/>
  <c r="AN145" i="8"/>
  <c r="AU269" i="8"/>
  <c r="M24" i="6"/>
  <c r="H327" i="8"/>
  <c r="AT279" i="8"/>
  <c r="AI150" i="8"/>
  <c r="AK34" i="8"/>
  <c r="AE25" i="8"/>
  <c r="AF122" i="8"/>
  <c r="U45" i="8"/>
  <c r="J311" i="8"/>
  <c r="J122" i="8"/>
  <c r="AH254" i="8"/>
  <c r="I189" i="8"/>
  <c r="F189" i="5"/>
  <c r="M331" i="8"/>
  <c r="M125" i="8"/>
  <c r="H299" i="8"/>
  <c r="T316" i="8"/>
  <c r="AJ267" i="8"/>
  <c r="J269" i="8"/>
  <c r="N35" i="8"/>
  <c r="L66" i="8"/>
  <c r="J66" i="8"/>
  <c r="W323" i="8"/>
  <c r="X119" i="8"/>
  <c r="Q60" i="6"/>
  <c r="L147" i="8"/>
  <c r="X216" i="8"/>
  <c r="F29" i="8"/>
  <c r="AC279" i="8"/>
  <c r="AH204" i="8"/>
  <c r="J194" i="8"/>
  <c r="S165" i="8"/>
  <c r="AU105" i="8"/>
  <c r="K208" i="8"/>
  <c r="F256" i="5"/>
  <c r="P264" i="8"/>
  <c r="M35" i="8"/>
  <c r="J85" i="8"/>
  <c r="G117" i="8"/>
  <c r="K146" i="8"/>
  <c r="K62" i="8"/>
  <c r="M108" i="8"/>
  <c r="S164" i="8"/>
  <c r="Q179" i="8"/>
  <c r="AQ118" i="8"/>
  <c r="M294" i="8"/>
  <c r="U50" i="8"/>
  <c r="K248" i="8"/>
  <c r="G46" i="8"/>
  <c r="V213" i="8"/>
  <c r="L178" i="8"/>
  <c r="N207" i="8"/>
  <c r="L127" i="8"/>
  <c r="AU92" i="8"/>
  <c r="M201" i="8"/>
  <c r="AU182" i="8"/>
  <c r="P119" i="8"/>
  <c r="AS216" i="8"/>
  <c r="U167" i="8"/>
  <c r="P182" i="8"/>
  <c r="M34" i="6"/>
  <c r="V197" i="8"/>
  <c r="G294" i="8"/>
  <c r="Q39" i="6"/>
  <c r="X190" i="8"/>
  <c r="I262" i="8"/>
  <c r="AU99" i="8"/>
  <c r="F99" i="5"/>
  <c r="AS207" i="8"/>
  <c r="V210" i="8"/>
  <c r="F132" i="5"/>
  <c r="G210" i="8"/>
  <c r="N124" i="8"/>
  <c r="Q298" i="8"/>
  <c r="I226" i="8"/>
  <c r="AH90" i="8"/>
  <c r="K310" i="8"/>
  <c r="M36" i="8"/>
  <c r="AU171" i="8"/>
  <c r="U136" i="8"/>
  <c r="J214" i="8"/>
  <c r="P205" i="8"/>
  <c r="F162" i="5"/>
  <c r="M161" i="8"/>
  <c r="K188" i="8"/>
  <c r="T43" i="8"/>
  <c r="O300" i="8"/>
  <c r="R71" i="8"/>
  <c r="R78" i="8"/>
  <c r="O323" i="8"/>
  <c r="M145" i="8"/>
  <c r="U183" i="8"/>
  <c r="AD203" i="8"/>
  <c r="T189" i="8"/>
  <c r="P212" i="8"/>
  <c r="L72" i="8"/>
  <c r="Q302" i="8"/>
  <c r="O139" i="8"/>
  <c r="J337" i="8"/>
  <c r="I20" i="8"/>
  <c r="T254" i="8"/>
  <c r="N54" i="6"/>
  <c r="T89" i="8"/>
  <c r="U200" i="8"/>
  <c r="Q323" i="8"/>
  <c r="U129" i="8"/>
  <c r="N270" i="8"/>
  <c r="L208" i="8"/>
  <c r="S93" i="8"/>
  <c r="AT196" i="8"/>
  <c r="K187" i="8"/>
  <c r="Q318" i="8"/>
  <c r="S103" i="8"/>
  <c r="H122" i="5"/>
  <c r="S337" i="8"/>
  <c r="X196" i="8"/>
  <c r="AN196" i="8"/>
  <c r="AF187" i="8"/>
  <c r="Y133" i="8"/>
  <c r="AO165" i="8"/>
  <c r="AA215" i="8"/>
  <c r="AU279" i="8"/>
  <c r="G34" i="8"/>
  <c r="AT211" i="8"/>
  <c r="AH102" i="8"/>
  <c r="V199" i="8"/>
  <c r="AM197" i="8"/>
  <c r="J46" i="6"/>
  <c r="AF197" i="8"/>
  <c r="F195" i="8"/>
  <c r="H125" i="8"/>
  <c r="M213" i="8"/>
  <c r="K226" i="8"/>
  <c r="K25" i="8"/>
  <c r="H311" i="8"/>
  <c r="Q100" i="8"/>
  <c r="K200" i="8"/>
  <c r="F50" i="5"/>
  <c r="N182" i="8"/>
  <c r="J101" i="8"/>
  <c r="AK274" i="8"/>
  <c r="Y283" i="8"/>
  <c r="F147" i="5"/>
  <c r="G302" i="8"/>
  <c r="F56" i="6"/>
  <c r="AK270" i="8"/>
  <c r="AC172" i="8"/>
  <c r="AD325" i="8"/>
  <c r="AJ200" i="8"/>
  <c r="F66" i="5"/>
  <c r="F138" i="8"/>
  <c r="V110" i="8"/>
  <c r="R45" i="8"/>
  <c r="P69" i="8"/>
  <c r="N29" i="8"/>
  <c r="R112" i="8"/>
  <c r="S71" i="8"/>
  <c r="AN183" i="8"/>
  <c r="AQ188" i="8"/>
  <c r="G200" i="8"/>
  <c r="AG214" i="8"/>
  <c r="J146" i="8"/>
  <c r="O189" i="8"/>
  <c r="I139" i="8"/>
  <c r="Q348" i="8"/>
  <c r="N294" i="8"/>
  <c r="J303" i="8"/>
  <c r="AC131" i="8"/>
  <c r="G177" i="8"/>
  <c r="H305" i="8"/>
  <c r="AR265" i="8"/>
  <c r="P58" i="6"/>
  <c r="F74" i="5"/>
  <c r="Q265" i="8"/>
  <c r="I190" i="8"/>
  <c r="Q327" i="8"/>
  <c r="T120" i="8"/>
  <c r="R165" i="8"/>
  <c r="AT179" i="8"/>
  <c r="S335" i="8"/>
  <c r="M156" i="8"/>
  <c r="K252" i="8"/>
  <c r="I146" i="8"/>
  <c r="N34" i="6"/>
  <c r="S307" i="8"/>
  <c r="J36" i="6"/>
  <c r="F54" i="6"/>
  <c r="V126" i="8"/>
  <c r="G272" i="8"/>
  <c r="AM270" i="8"/>
  <c r="AM121" i="8"/>
  <c r="W121" i="8"/>
  <c r="AO280" i="8"/>
  <c r="AH323" i="8"/>
  <c r="X268" i="8"/>
  <c r="I120" i="8"/>
  <c r="N327" i="8"/>
  <c r="G84" i="8"/>
  <c r="P320" i="8"/>
  <c r="AA346" i="8"/>
  <c r="K176" i="8"/>
  <c r="J323" i="8"/>
  <c r="AK348" i="8"/>
  <c r="T228" i="8"/>
  <c r="J34" i="8"/>
  <c r="N153" i="8"/>
  <c r="O177" i="8"/>
  <c r="F90" i="5"/>
  <c r="AQ346" i="8"/>
  <c r="H178" i="5"/>
  <c r="AD111" i="8"/>
  <c r="F140" i="5"/>
  <c r="G90" i="8"/>
  <c r="AN118" i="8"/>
  <c r="AO190" i="8"/>
  <c r="F42" i="5"/>
  <c r="AH176" i="8"/>
  <c r="L228" i="8"/>
  <c r="Y240" i="8"/>
  <c r="J165" i="8"/>
  <c r="U327" i="8"/>
  <c r="K74" i="8"/>
  <c r="T212" i="8"/>
  <c r="N62" i="8"/>
  <c r="S174" i="8"/>
  <c r="L95" i="8"/>
  <c r="P64" i="8"/>
  <c r="AF316" i="8"/>
  <c r="T205" i="8"/>
  <c r="Q204" i="8"/>
  <c r="Q272" i="8"/>
  <c r="R130" i="8"/>
  <c r="AA209" i="8"/>
  <c r="F265" i="5"/>
  <c r="AU252" i="8"/>
  <c r="Y112" i="8"/>
  <c r="F259" i="5"/>
  <c r="AM200" i="8"/>
  <c r="G29" i="8"/>
  <c r="F136" i="5"/>
  <c r="O62" i="8"/>
  <c r="M160" i="8"/>
  <c r="R122" i="8"/>
  <c r="T188" i="8"/>
  <c r="R62" i="6"/>
  <c r="U157" i="8"/>
  <c r="S182" i="8"/>
  <c r="N178" i="8"/>
  <c r="F142" i="5"/>
  <c r="U132" i="8"/>
  <c r="O69" i="8"/>
  <c r="F122" i="5"/>
  <c r="Q104" i="8"/>
  <c r="U203" i="8"/>
  <c r="L34" i="6"/>
  <c r="O297" i="8"/>
  <c r="S23" i="8"/>
  <c r="F181" i="5"/>
  <c r="U115" i="8"/>
  <c r="AB190" i="8"/>
  <c r="T288" i="8"/>
  <c r="S69" i="8"/>
  <c r="Q162" i="8"/>
  <c r="AB206" i="8"/>
  <c r="S110" i="8"/>
  <c r="AH93" i="8"/>
  <c r="M22" i="6"/>
  <c r="Q54" i="6"/>
  <c r="T168" i="8"/>
  <c r="M81" i="8"/>
  <c r="Y269" i="8"/>
  <c r="AP205" i="8"/>
  <c r="AR176" i="8"/>
  <c r="AA111" i="8"/>
  <c r="R48" i="6"/>
  <c r="AM268" i="8"/>
  <c r="H81" i="8"/>
  <c r="J20" i="6"/>
  <c r="H126" i="5"/>
  <c r="W209" i="8"/>
  <c r="Y238" i="8"/>
  <c r="F272" i="5"/>
  <c r="M188" i="8"/>
  <c r="M177" i="8"/>
  <c r="AL108" i="8"/>
  <c r="U226" i="8"/>
  <c r="P301" i="8"/>
  <c r="AF139" i="8"/>
  <c r="I121" i="8"/>
  <c r="R182" i="8"/>
  <c r="Q223" i="8"/>
  <c r="AC293" i="8"/>
  <c r="I81" i="8"/>
  <c r="O148" i="8"/>
  <c r="L85" i="8"/>
  <c r="R268" i="8"/>
  <c r="O73" i="8"/>
  <c r="AG267" i="8"/>
  <c r="L166" i="8"/>
  <c r="O105" i="8"/>
  <c r="O305" i="8"/>
  <c r="U205" i="8"/>
  <c r="F333" i="5"/>
  <c r="R66" i="8"/>
  <c r="J75" i="8"/>
  <c r="S293" i="8"/>
  <c r="O42" i="8"/>
  <c r="U177" i="8"/>
  <c r="L224" i="8"/>
  <c r="T131" i="8"/>
  <c r="L267" i="8"/>
  <c r="G20" i="8"/>
  <c r="K32" i="8"/>
  <c r="T65" i="8"/>
  <c r="S73" i="8"/>
  <c r="R54" i="8"/>
  <c r="U29" i="8"/>
  <c r="T209" i="8"/>
  <c r="Q309" i="8"/>
  <c r="O77" i="8"/>
  <c r="N115" i="8"/>
  <c r="T75" i="8"/>
  <c r="Y145" i="8"/>
  <c r="R189" i="8"/>
  <c r="K216" i="8"/>
  <c r="I24" i="6"/>
  <c r="AU214" i="8"/>
  <c r="AF148" i="8"/>
  <c r="M50" i="6"/>
  <c r="X99" i="8"/>
  <c r="F25" i="5"/>
  <c r="AR210" i="8"/>
  <c r="G178" i="8"/>
  <c r="K62" i="6"/>
  <c r="L129" i="8"/>
  <c r="AA200" i="8"/>
  <c r="H280" i="5"/>
  <c r="AU96" i="8"/>
  <c r="AB256" i="8"/>
  <c r="H297" i="8"/>
  <c r="H269" i="8"/>
  <c r="P252" i="8"/>
  <c r="R187" i="8"/>
  <c r="T119" i="8"/>
  <c r="H215" i="5"/>
  <c r="L331" i="8"/>
  <c r="S117" i="8"/>
  <c r="P50" i="6"/>
  <c r="M31" i="8"/>
  <c r="J68" i="8"/>
  <c r="I77" i="8"/>
  <c r="L136" i="8"/>
  <c r="S102" i="8"/>
  <c r="M72" i="8"/>
  <c r="L60" i="8"/>
  <c r="M110" i="8"/>
  <c r="S199" i="8"/>
  <c r="U38" i="8"/>
  <c r="L59" i="8"/>
  <c r="J136" i="8"/>
  <c r="P224" i="8"/>
  <c r="K46" i="6"/>
  <c r="T111" i="8"/>
  <c r="R198" i="8"/>
  <c r="N72" i="8"/>
  <c r="M130" i="8"/>
  <c r="R154" i="8"/>
  <c r="J248" i="8"/>
  <c r="S171" i="8"/>
  <c r="K348" i="8"/>
  <c r="AH297" i="8"/>
  <c r="I320" i="8"/>
  <c r="Q196" i="8"/>
  <c r="S254" i="8"/>
  <c r="R196" i="8"/>
  <c r="O192" i="8"/>
  <c r="R74" i="8"/>
  <c r="U66" i="8"/>
  <c r="F32" i="8"/>
  <c r="N158" i="8"/>
  <c r="N244" i="8"/>
  <c r="AU192" i="8"/>
  <c r="V166" i="8"/>
  <c r="M33" i="8"/>
  <c r="F205" i="5"/>
  <c r="F260" i="8"/>
  <c r="L126" i="8"/>
  <c r="X87" i="8"/>
  <c r="AD198" i="8"/>
  <c r="H72" i="8"/>
  <c r="AD196" i="8"/>
  <c r="AP195" i="8"/>
  <c r="G108" i="8"/>
  <c r="G174" i="8"/>
  <c r="F195" i="5"/>
  <c r="AT71" i="8"/>
  <c r="AU77" i="8"/>
  <c r="AI329" i="8"/>
  <c r="X107" i="8"/>
  <c r="AC267" i="8"/>
  <c r="AO178" i="8"/>
  <c r="AP140" i="8"/>
  <c r="AF184" i="8"/>
  <c r="F234" i="5"/>
  <c r="AG101" i="8"/>
  <c r="H54" i="5"/>
  <c r="AM178" i="8"/>
  <c r="P299" i="8"/>
  <c r="T37" i="8"/>
  <c r="P232" i="8"/>
  <c r="S31" i="8"/>
  <c r="O174" i="8"/>
  <c r="AH142" i="8"/>
  <c r="F48" i="6"/>
  <c r="F171" i="8"/>
  <c r="Z196" i="8"/>
  <c r="I117" i="8"/>
  <c r="K314" i="8"/>
  <c r="J175" i="8"/>
  <c r="U337" i="8"/>
  <c r="S178" i="8"/>
  <c r="S223" i="8"/>
  <c r="AB170" i="8"/>
  <c r="Y140" i="8"/>
  <c r="H159" i="8"/>
  <c r="Y157" i="8"/>
  <c r="AE192" i="8"/>
  <c r="H20" i="6"/>
  <c r="M96" i="8"/>
  <c r="AD279" i="8"/>
  <c r="S132" i="8"/>
  <c r="L58" i="8"/>
  <c r="T165" i="8"/>
  <c r="AJ102" i="8"/>
  <c r="N268" i="8"/>
  <c r="P323" i="8"/>
  <c r="P200" i="8"/>
  <c r="P93" i="8"/>
  <c r="T134" i="8"/>
  <c r="J272" i="8"/>
  <c r="AA173" i="8"/>
  <c r="H274" i="8"/>
  <c r="AK99" i="8"/>
  <c r="AU288" i="8"/>
  <c r="H30" i="6"/>
  <c r="AD157" i="8"/>
  <c r="AK199" i="8"/>
  <c r="F62" i="8"/>
  <c r="H99" i="8"/>
  <c r="H203" i="5"/>
  <c r="I232" i="8"/>
  <c r="S86" i="8"/>
  <c r="G130" i="8"/>
  <c r="P226" i="8"/>
  <c r="F105" i="5"/>
  <c r="N102" i="8"/>
  <c r="J230" i="8"/>
  <c r="AO95" i="8"/>
  <c r="P267" i="8"/>
  <c r="T132" i="8"/>
  <c r="M256" i="8"/>
  <c r="G37" i="8"/>
  <c r="AE99" i="8"/>
  <c r="AD199" i="8"/>
  <c r="H302" i="8"/>
  <c r="AM204" i="8"/>
  <c r="G100" i="8"/>
  <c r="F270" i="8"/>
  <c r="AM142" i="8"/>
  <c r="AB108" i="8"/>
  <c r="AK159" i="8"/>
  <c r="AU118" i="8"/>
  <c r="N320" i="8"/>
  <c r="M52" i="6"/>
  <c r="K189" i="8"/>
  <c r="R210" i="8"/>
  <c r="Q143" i="8"/>
  <c r="L175" i="8"/>
  <c r="O107" i="8"/>
  <c r="M232" i="8"/>
  <c r="M216" i="8"/>
  <c r="N267" i="8"/>
  <c r="G228" i="8"/>
  <c r="Q135" i="8"/>
  <c r="AB168" i="8"/>
  <c r="AE213" i="8"/>
  <c r="K267" i="8"/>
  <c r="H168" i="5"/>
  <c r="AM182" i="8"/>
  <c r="AT144" i="8"/>
  <c r="H191" i="5"/>
  <c r="Y212" i="8"/>
  <c r="F288" i="5"/>
  <c r="X110" i="8"/>
  <c r="T195" i="8"/>
  <c r="K141" i="8"/>
  <c r="R320" i="8"/>
  <c r="R139" i="8"/>
  <c r="S244" i="8"/>
  <c r="F269" i="8"/>
  <c r="L140" i="8"/>
  <c r="L158" i="8"/>
  <c r="Q254" i="8"/>
  <c r="G270" i="8"/>
  <c r="T303" i="8"/>
  <c r="S150" i="8"/>
  <c r="AD264" i="8"/>
  <c r="K144" i="8"/>
  <c r="U323" i="8"/>
  <c r="AL96" i="8"/>
  <c r="Q240" i="8"/>
  <c r="K206" i="8"/>
  <c r="O166" i="8"/>
  <c r="T105" i="8"/>
  <c r="F99" i="8"/>
  <c r="K293" i="8"/>
  <c r="M139" i="8"/>
  <c r="P99" i="8"/>
  <c r="F314" i="8"/>
  <c r="K38" i="8"/>
  <c r="U36" i="8"/>
  <c r="AU45" i="8"/>
  <c r="H244" i="8"/>
  <c r="I138" i="8"/>
  <c r="M86" i="8"/>
  <c r="AH294" i="8"/>
  <c r="W175" i="8"/>
  <c r="AE60" i="8"/>
  <c r="AD102" i="8"/>
  <c r="F78" i="5"/>
  <c r="AF160" i="8"/>
  <c r="J24" i="6"/>
  <c r="AB173" i="8"/>
  <c r="F329" i="8"/>
  <c r="AJ272" i="8"/>
  <c r="I196" i="8"/>
  <c r="I123" i="8"/>
  <c r="S236" i="8"/>
  <c r="T121" i="8"/>
  <c r="H212" i="5"/>
  <c r="I103" i="8"/>
  <c r="R323" i="8"/>
  <c r="H268" i="5"/>
  <c r="U110" i="8"/>
  <c r="M89" i="8"/>
  <c r="U307" i="8"/>
  <c r="AT187" i="8"/>
  <c r="R289" i="8"/>
  <c r="I272" i="8"/>
  <c r="S189" i="8"/>
  <c r="U299" i="8"/>
  <c r="K65" i="8"/>
  <c r="O198" i="8"/>
  <c r="U283" i="8"/>
  <c r="S108" i="8"/>
  <c r="J20" i="8"/>
  <c r="O217" i="8"/>
  <c r="F209" i="8"/>
  <c r="T32" i="8"/>
  <c r="Q283" i="8"/>
  <c r="O34" i="8"/>
  <c r="W213" i="8"/>
  <c r="T178" i="8"/>
  <c r="P54" i="6"/>
  <c r="S175" i="8"/>
  <c r="AN134" i="8"/>
  <c r="T182" i="8"/>
  <c r="Q263" i="8"/>
  <c r="J300" i="8"/>
  <c r="J207" i="8"/>
  <c r="I65" i="8"/>
  <c r="S316" i="8"/>
  <c r="Q181" i="8"/>
  <c r="F104" i="5"/>
  <c r="Q34" i="8"/>
  <c r="AC211" i="8"/>
  <c r="P140" i="8"/>
  <c r="AQ256" i="8"/>
  <c r="T141" i="8"/>
  <c r="J168" i="8"/>
  <c r="G339" i="8"/>
  <c r="G203" i="8"/>
  <c r="H64" i="5"/>
  <c r="AS260" i="8"/>
  <c r="AO184" i="8"/>
  <c r="F182" i="5"/>
  <c r="Y175" i="8"/>
  <c r="H132" i="5"/>
  <c r="AE124" i="8"/>
  <c r="AR318" i="8"/>
  <c r="H139" i="8"/>
  <c r="AK288" i="8"/>
  <c r="H67" i="6"/>
  <c r="H90" i="5"/>
  <c r="H214" i="5"/>
  <c r="R147" i="8"/>
  <c r="K159" i="8"/>
  <c r="K115" i="8"/>
  <c r="H176" i="5"/>
  <c r="L207" i="8"/>
  <c r="L108" i="8"/>
  <c r="X346" i="8"/>
  <c r="T166" i="8"/>
  <c r="O86" i="8"/>
  <c r="R23" i="8"/>
  <c r="AC196" i="8"/>
  <c r="R341" i="8"/>
  <c r="J314" i="8"/>
  <c r="AK309" i="8"/>
  <c r="AS162" i="8"/>
  <c r="AM96" i="8"/>
  <c r="AE148" i="8"/>
  <c r="F73" i="5"/>
  <c r="T126" i="8"/>
  <c r="AE174" i="8"/>
  <c r="J69" i="6"/>
  <c r="M293" i="8"/>
  <c r="T77" i="8"/>
  <c r="J263" i="8"/>
  <c r="R34" i="6"/>
  <c r="AF210" i="8"/>
  <c r="Q26" i="6"/>
  <c r="Q228" i="8"/>
  <c r="T103" i="8"/>
  <c r="M268" i="8"/>
  <c r="AG346" i="8"/>
  <c r="F311" i="5"/>
  <c r="AH129" i="8"/>
  <c r="H164" i="8"/>
  <c r="O209" i="8"/>
  <c r="S134" i="8"/>
  <c r="K39" i="8"/>
  <c r="J197" i="8"/>
  <c r="G72" i="8"/>
  <c r="AB133" i="8"/>
  <c r="F267" i="8"/>
  <c r="X329" i="8"/>
  <c r="T331" i="8"/>
  <c r="Q205" i="8"/>
  <c r="N280" i="8"/>
  <c r="N146" i="8"/>
  <c r="S304" i="8"/>
  <c r="U192" i="8"/>
  <c r="AD215" i="8"/>
  <c r="F36" i="5"/>
  <c r="H183" i="5"/>
  <c r="AN293" i="8"/>
  <c r="F45" i="8"/>
  <c r="P215" i="8"/>
  <c r="T294" i="8"/>
  <c r="M346" i="8"/>
  <c r="L52" i="8"/>
  <c r="O171" i="8"/>
  <c r="R133" i="8"/>
  <c r="R73" i="8"/>
  <c r="P123" i="8"/>
  <c r="O54" i="8"/>
  <c r="Y125" i="8"/>
  <c r="G166" i="8"/>
  <c r="V196" i="8"/>
  <c r="AC180" i="8"/>
  <c r="N108" i="8"/>
  <c r="N32" i="6"/>
  <c r="N236" i="8"/>
  <c r="T85" i="8"/>
  <c r="L165" i="8"/>
  <c r="F62" i="6"/>
  <c r="F252" i="5"/>
  <c r="AE130" i="8"/>
  <c r="AU117" i="8"/>
  <c r="L152" i="8"/>
  <c r="G260" i="8"/>
  <c r="F279" i="8"/>
  <c r="S188" i="8"/>
  <c r="H100" i="5"/>
  <c r="K103" i="8"/>
  <c r="K304" i="8"/>
  <c r="F135" i="5"/>
  <c r="AM263" i="8"/>
  <c r="AD130" i="8"/>
  <c r="V260" i="8"/>
  <c r="H50" i="6"/>
  <c r="I184" i="8"/>
  <c r="T184" i="8"/>
  <c r="N145" i="8"/>
  <c r="O279" i="8"/>
  <c r="T133" i="8"/>
  <c r="AH289" i="8"/>
  <c r="T116" i="8"/>
  <c r="U202" i="8"/>
  <c r="M118" i="8"/>
  <c r="S36" i="8"/>
  <c r="M147" i="8"/>
  <c r="O29" i="6"/>
  <c r="U56" i="8"/>
  <c r="P168" i="8"/>
  <c r="N297" i="8"/>
  <c r="U111" i="8"/>
  <c r="V141" i="8"/>
  <c r="U228" i="8"/>
  <c r="L329" i="8"/>
  <c r="R188" i="8"/>
  <c r="K300" i="8"/>
  <c r="K119" i="8"/>
  <c r="AB211" i="8"/>
  <c r="Q153" i="8"/>
  <c r="J288" i="8"/>
  <c r="U280" i="8"/>
  <c r="S152" i="8"/>
  <c r="J182" i="8"/>
  <c r="AD165" i="8"/>
  <c r="H111" i="8"/>
  <c r="AQ95" i="8"/>
  <c r="AA320" i="8"/>
  <c r="N46" i="6"/>
  <c r="AG156" i="8"/>
  <c r="H175" i="5"/>
  <c r="F84" i="8"/>
  <c r="V269" i="8"/>
  <c r="F82" i="8"/>
  <c r="AG141" i="8"/>
  <c r="H329" i="5"/>
  <c r="AH331" i="8"/>
  <c r="AU166" i="8"/>
  <c r="AU259" i="8"/>
  <c r="Z178" i="8"/>
  <c r="R48" i="8"/>
  <c r="L192" i="8"/>
  <c r="M214" i="8"/>
  <c r="AE106" i="8"/>
  <c r="AL283" i="8"/>
  <c r="AS129" i="8"/>
  <c r="AH337" i="8"/>
  <c r="AA160" i="8"/>
  <c r="I84" i="8"/>
  <c r="T60" i="8"/>
  <c r="M46" i="6"/>
  <c r="K87" i="8"/>
  <c r="H134" i="8"/>
  <c r="L211" i="8"/>
  <c r="Q246" i="8"/>
  <c r="AK325" i="8"/>
  <c r="J238" i="8"/>
  <c r="AF202" i="8"/>
  <c r="L202" i="8"/>
  <c r="M307" i="8"/>
  <c r="P96" i="8"/>
  <c r="Q167" i="8"/>
  <c r="J110" i="8"/>
  <c r="L144" i="8"/>
  <c r="F133" i="5"/>
  <c r="I300" i="8"/>
  <c r="S138" i="8"/>
  <c r="Q310" i="8"/>
  <c r="K268" i="8"/>
  <c r="Q106" i="8"/>
  <c r="Q307" i="8"/>
  <c r="O81" i="8"/>
  <c r="AC213" i="8"/>
  <c r="AB195" i="8"/>
  <c r="K64" i="8"/>
  <c r="P52" i="8"/>
  <c r="H293" i="8"/>
  <c r="M224" i="8"/>
  <c r="M107" i="8"/>
  <c r="AK142" i="8"/>
  <c r="F184" i="8"/>
  <c r="X195" i="8"/>
  <c r="J73" i="8"/>
  <c r="AA158" i="8"/>
  <c r="S303" i="8"/>
  <c r="R205" i="8"/>
  <c r="J142" i="8"/>
  <c r="U262" i="8"/>
  <c r="AE175" i="8"/>
  <c r="H29" i="5"/>
  <c r="AF198" i="8"/>
  <c r="AR207" i="8"/>
  <c r="Y184" i="8"/>
  <c r="AU108" i="8"/>
  <c r="AC263" i="8"/>
  <c r="H142" i="5"/>
  <c r="Q172" i="8"/>
  <c r="Q214" i="8"/>
  <c r="AM262" i="8"/>
  <c r="AN211" i="8"/>
  <c r="T204" i="8"/>
  <c r="N25" i="8"/>
  <c r="K164" i="8"/>
  <c r="K209" i="8"/>
  <c r="S318" i="8"/>
  <c r="AS118" i="8"/>
  <c r="F294" i="8"/>
  <c r="S50" i="1"/>
  <c r="AC117" i="8"/>
  <c r="P167" i="8"/>
  <c r="AU106" i="8"/>
  <c r="T194" i="8"/>
  <c r="R37" i="8"/>
  <c r="AN119" i="8"/>
  <c r="AB111" i="8"/>
  <c r="F323" i="8"/>
  <c r="Z267" i="8"/>
  <c r="K270" i="8"/>
  <c r="T272" i="8"/>
  <c r="AU124" i="8"/>
  <c r="J67" i="8"/>
  <c r="S45" i="8"/>
  <c r="F230" i="8"/>
  <c r="F331" i="5"/>
  <c r="AI142" i="8"/>
  <c r="T110" i="8"/>
  <c r="Z183" i="8"/>
  <c r="F214" i="8"/>
  <c r="P62" i="8"/>
  <c r="N66" i="8"/>
  <c r="U242" i="8"/>
  <c r="I268" i="8"/>
  <c r="J203" i="8"/>
  <c r="T172" i="8"/>
  <c r="R175" i="8"/>
  <c r="N240" i="8"/>
  <c r="P179" i="8"/>
  <c r="H100" i="8"/>
  <c r="P69" i="6"/>
  <c r="H154" i="5"/>
  <c r="F303" i="5"/>
  <c r="R168" i="8"/>
  <c r="AA196" i="8"/>
  <c r="G252" i="8"/>
  <c r="P203" i="8"/>
  <c r="U93" i="8"/>
  <c r="T129" i="8"/>
  <c r="G73" i="8"/>
  <c r="AG197" i="8"/>
  <c r="N217" i="8"/>
  <c r="L40" i="8"/>
  <c r="AH59" i="8"/>
  <c r="T23" i="8"/>
  <c r="M124" i="8"/>
  <c r="F63" i="8"/>
  <c r="O68" i="8"/>
  <c r="Q194" i="8"/>
  <c r="AH175" i="8"/>
  <c r="Z208" i="8"/>
  <c r="AT171" i="8"/>
  <c r="AT210" i="8"/>
  <c r="G61" i="8"/>
  <c r="AB339" i="8"/>
  <c r="N201" i="8"/>
  <c r="AG164" i="8"/>
  <c r="P259" i="8"/>
  <c r="S155" i="8"/>
  <c r="AH82" i="8"/>
  <c r="L302" i="8"/>
  <c r="P106" i="8"/>
  <c r="P59" i="8"/>
  <c r="T269" i="8"/>
  <c r="N238" i="8"/>
  <c r="J304" i="8"/>
  <c r="O208" i="8"/>
  <c r="N131" i="8"/>
  <c r="M230" i="8"/>
  <c r="M270" i="8"/>
  <c r="L154" i="8"/>
  <c r="K162" i="8"/>
  <c r="T146" i="8"/>
  <c r="K298" i="8"/>
  <c r="O155" i="8"/>
  <c r="O263" i="8"/>
  <c r="Q93" i="8"/>
  <c r="S196" i="8"/>
  <c r="L112" i="8"/>
  <c r="M157" i="8"/>
  <c r="AH339" i="8"/>
  <c r="O168" i="8"/>
  <c r="Q37" i="6"/>
  <c r="G201" i="8"/>
  <c r="AQ200" i="8"/>
  <c r="W190" i="8"/>
  <c r="AN95" i="8"/>
  <c r="F106" i="5"/>
  <c r="Y95" i="8"/>
  <c r="V160" i="8"/>
  <c r="G32" i="6"/>
  <c r="AH184" i="8"/>
  <c r="Z259" i="8"/>
  <c r="AH118" i="8"/>
  <c r="AU212" i="8"/>
  <c r="U131" i="8"/>
  <c r="G159" i="8"/>
  <c r="AT280" i="8"/>
  <c r="R58" i="8"/>
  <c r="Q300" i="8"/>
  <c r="Q150" i="8"/>
  <c r="H105" i="5"/>
  <c r="V232" i="8"/>
  <c r="AC134" i="8"/>
  <c r="AQ260" i="8"/>
  <c r="I134" i="8"/>
  <c r="N76" i="8"/>
  <c r="Y135" i="8"/>
  <c r="Z59" i="8"/>
  <c r="AC181" i="8"/>
  <c r="X202" i="8"/>
  <c r="H86" i="8"/>
  <c r="P84" i="8"/>
  <c r="P122" i="8"/>
  <c r="F131" i="5"/>
  <c r="M56" i="8"/>
  <c r="J36" i="8"/>
  <c r="AA263" i="8"/>
  <c r="J23" i="6"/>
  <c r="AO283" i="8"/>
  <c r="Q195" i="8"/>
  <c r="F201" i="5"/>
  <c r="M28" i="6"/>
  <c r="L156" i="8"/>
  <c r="AU264" i="8"/>
  <c r="AU29" i="8"/>
  <c r="N43" i="6"/>
  <c r="H297" i="5"/>
  <c r="T25" i="8"/>
  <c r="F215" i="8"/>
  <c r="AU309" i="8"/>
  <c r="AH313" i="8"/>
  <c r="AT188" i="8"/>
  <c r="AU31" i="8"/>
  <c r="AA268" i="8"/>
  <c r="H127" i="8"/>
  <c r="H60" i="8"/>
  <c r="U39" i="8"/>
  <c r="L337" i="8"/>
  <c r="N282" i="8"/>
  <c r="N301" i="8"/>
  <c r="F124" i="8"/>
  <c r="AQ104" i="8"/>
  <c r="X269" i="8"/>
  <c r="O304" i="8"/>
  <c r="U163" i="8"/>
  <c r="I22" i="6"/>
  <c r="R102" i="8"/>
  <c r="R33" i="8"/>
  <c r="T101" i="8"/>
  <c r="I265" i="8"/>
  <c r="M191" i="8"/>
  <c r="U37" i="8"/>
  <c r="I179" i="8"/>
  <c r="AP348" i="8"/>
  <c r="S116" i="8"/>
  <c r="AH111" i="8"/>
  <c r="AE205" i="8"/>
  <c r="AM316" i="8"/>
  <c r="F202" i="8"/>
  <c r="R240" i="8"/>
  <c r="AU154" i="8"/>
  <c r="H263" i="5"/>
  <c r="O327" i="8"/>
  <c r="O265" i="8"/>
  <c r="K117" i="8"/>
  <c r="I214" i="8"/>
  <c r="M262" i="8"/>
  <c r="M348" i="8"/>
  <c r="F191" i="8"/>
  <c r="L230" i="8"/>
  <c r="T164" i="8"/>
  <c r="S198" i="8"/>
  <c r="T279" i="8"/>
  <c r="X117" i="8"/>
  <c r="L288" i="8"/>
  <c r="S71" i="1"/>
  <c r="V282" i="8"/>
  <c r="H145" i="5"/>
  <c r="AU158" i="8"/>
  <c r="H23" i="8"/>
  <c r="H134" i="5"/>
  <c r="M199" i="8"/>
  <c r="H147" i="5"/>
  <c r="AK260" i="8"/>
  <c r="Q130" i="8"/>
  <c r="H118" i="8"/>
  <c r="U189" i="8"/>
  <c r="M320" i="8"/>
  <c r="R32" i="6"/>
  <c r="O93" i="8"/>
  <c r="S333" i="8"/>
  <c r="X145" i="8"/>
  <c r="J307" i="8"/>
  <c r="S104" i="8"/>
  <c r="L37" i="6"/>
  <c r="O183" i="8"/>
  <c r="R99" i="8"/>
  <c r="AT123" i="8"/>
  <c r="T106" i="8"/>
  <c r="I70" i="8"/>
  <c r="U289" i="8"/>
  <c r="S142" i="8"/>
  <c r="L132" i="8"/>
  <c r="AA35" i="8"/>
  <c r="Q33" i="6"/>
  <c r="U209" i="8"/>
  <c r="AO203" i="8"/>
  <c r="Q58" i="8"/>
  <c r="G87" i="8"/>
  <c r="I104" i="8"/>
  <c r="J41" i="6"/>
  <c r="AM117" i="8"/>
  <c r="G156" i="8"/>
  <c r="AJ201" i="8"/>
  <c r="F333" i="8"/>
  <c r="AI206" i="8"/>
  <c r="AH124" i="8"/>
  <c r="AK212" i="8"/>
  <c r="F170" i="5"/>
  <c r="H196" i="8"/>
  <c r="G209" i="8"/>
  <c r="W104" i="8"/>
  <c r="H116" i="8"/>
  <c r="AG188" i="8"/>
  <c r="I310" i="8"/>
  <c r="N138" i="8"/>
  <c r="J274" i="8"/>
  <c r="G226" i="8"/>
  <c r="G39" i="8"/>
  <c r="AH108" i="8"/>
  <c r="AO93" i="8"/>
  <c r="J299" i="8"/>
  <c r="AB127" i="8"/>
  <c r="O63" i="8"/>
  <c r="O75" i="8"/>
  <c r="S85" i="8"/>
  <c r="P102" i="8"/>
  <c r="AG39" i="8"/>
  <c r="T69" i="8"/>
  <c r="P206" i="8"/>
  <c r="AU64" i="8"/>
  <c r="F240" i="5"/>
  <c r="P115" i="8"/>
  <c r="H217" i="8"/>
  <c r="F337" i="8"/>
  <c r="AC194" i="8"/>
  <c r="I95" i="8"/>
  <c r="O72" i="8"/>
  <c r="I215" i="8"/>
  <c r="X288" i="8"/>
  <c r="F182" i="8"/>
  <c r="K130" i="8"/>
  <c r="U263" i="8"/>
  <c r="P26" i="6"/>
  <c r="Q149" i="8"/>
  <c r="S201" i="8"/>
  <c r="S264" i="8"/>
  <c r="M274" i="8"/>
  <c r="S149" i="8"/>
  <c r="O298" i="8"/>
  <c r="K289" i="8"/>
  <c r="M167" i="8"/>
  <c r="O331" i="8"/>
  <c r="F242" i="8"/>
  <c r="H43" i="8"/>
  <c r="H304" i="8"/>
  <c r="S135" i="8"/>
  <c r="N34" i="8"/>
  <c r="H211" i="5"/>
  <c r="T173" i="8"/>
  <c r="AE204" i="8"/>
  <c r="N212" i="8"/>
  <c r="M23" i="8"/>
  <c r="H78" i="8"/>
  <c r="O119" i="8"/>
  <c r="P160" i="8"/>
  <c r="Q159" i="8"/>
  <c r="Q92" i="8"/>
  <c r="L46" i="8"/>
  <c r="K132" i="8"/>
  <c r="H341" i="8"/>
  <c r="T50" i="8"/>
  <c r="K238" i="8"/>
  <c r="M166" i="8"/>
  <c r="T161" i="8"/>
  <c r="G205" i="8"/>
  <c r="L190" i="8"/>
  <c r="S172" i="8"/>
  <c r="Q264" i="8"/>
  <c r="AD294" i="8"/>
  <c r="P238" i="8"/>
  <c r="F194" i="8"/>
  <c r="S212" i="8"/>
  <c r="R156" i="8"/>
  <c r="AM207" i="8"/>
  <c r="F43" i="8"/>
  <c r="V283" i="8"/>
  <c r="H263" i="8"/>
  <c r="P104" i="8"/>
  <c r="N104" i="8"/>
  <c r="AQ217" i="8"/>
  <c r="K124" i="8"/>
  <c r="F199" i="5"/>
  <c r="L173" i="8"/>
  <c r="T236" i="8"/>
  <c r="AL201" i="8"/>
  <c r="Q157" i="8"/>
  <c r="Q188" i="8"/>
  <c r="I230" i="8"/>
  <c r="T268" i="8"/>
  <c r="S34" i="8"/>
  <c r="I236" i="8"/>
  <c r="T115" i="8"/>
  <c r="J156" i="8"/>
  <c r="F274" i="5"/>
  <c r="N311" i="8"/>
  <c r="U122" i="8"/>
  <c r="J38" i="8"/>
  <c r="U166" i="8"/>
  <c r="O260" i="8"/>
  <c r="S81" i="8"/>
  <c r="L316" i="8"/>
  <c r="P50" i="8"/>
  <c r="I280" i="8"/>
  <c r="J90" i="8"/>
  <c r="T265" i="8"/>
  <c r="I180" i="8"/>
  <c r="AS95" i="8"/>
  <c r="F20" i="5"/>
  <c r="AH65" i="8"/>
  <c r="I173" i="8"/>
  <c r="K236" i="8"/>
  <c r="J93" i="8"/>
  <c r="O165" i="8"/>
  <c r="N86" i="8"/>
  <c r="P25" i="8"/>
  <c r="G194" i="8"/>
  <c r="AO123" i="8"/>
  <c r="V234" i="8"/>
  <c r="Y201" i="8"/>
  <c r="AH335" i="8"/>
  <c r="O314" i="8"/>
  <c r="W177" i="8"/>
  <c r="P32" i="6"/>
  <c r="M32" i="8"/>
  <c r="O122" i="8"/>
  <c r="I69" i="6"/>
  <c r="AU248" i="8"/>
  <c r="U25" i="8"/>
  <c r="L299" i="8"/>
  <c r="AS184" i="8"/>
  <c r="I228" i="8"/>
  <c r="Q282" i="8"/>
  <c r="AF250" i="8"/>
  <c r="F161" i="8"/>
  <c r="I28" i="6"/>
  <c r="K37" i="6"/>
  <c r="G107" i="8"/>
  <c r="AU52" i="8"/>
  <c r="Y215" i="8"/>
  <c r="J29" i="8"/>
  <c r="N28" i="6"/>
  <c r="V176" i="8"/>
  <c r="AH293" i="8"/>
  <c r="H66" i="8"/>
  <c r="R50" i="6"/>
  <c r="U204" i="8"/>
  <c r="M184" i="8"/>
  <c r="N101" i="8"/>
  <c r="S39" i="8"/>
  <c r="G298" i="8"/>
  <c r="AR133" i="8"/>
  <c r="O39" i="6"/>
  <c r="T211" i="8"/>
  <c r="P201" i="8"/>
  <c r="I36" i="8"/>
  <c r="U162" i="8"/>
  <c r="M58" i="8"/>
  <c r="I201" i="8"/>
  <c r="T125" i="8"/>
  <c r="AG260" i="8"/>
  <c r="M211" i="8"/>
  <c r="T197" i="8"/>
  <c r="N209" i="8"/>
  <c r="AI136" i="8"/>
  <c r="AU120" i="8"/>
  <c r="H148" i="8"/>
  <c r="AB107" i="8"/>
  <c r="O20" i="6"/>
  <c r="L141" i="8"/>
  <c r="N132" i="8"/>
  <c r="F153" i="8"/>
  <c r="J149" i="8"/>
  <c r="K184" i="8"/>
  <c r="K50" i="8"/>
  <c r="K135" i="8"/>
  <c r="F348" i="8"/>
  <c r="N329" i="8"/>
  <c r="G297" i="8"/>
  <c r="P178" i="8"/>
  <c r="P29" i="8"/>
  <c r="AQ204" i="8"/>
  <c r="I111" i="8"/>
  <c r="M175" i="8"/>
  <c r="I63" i="8"/>
  <c r="O69" i="6"/>
  <c r="AN108" i="8"/>
  <c r="H101" i="8"/>
  <c r="AU234" i="8"/>
  <c r="AH72" i="8"/>
  <c r="H25" i="5"/>
  <c r="K160" i="8"/>
  <c r="F304" i="5"/>
  <c r="H198" i="8"/>
  <c r="M158" i="8"/>
  <c r="U75" i="8"/>
  <c r="O120" i="8"/>
  <c r="U294" i="8"/>
  <c r="K175" i="8"/>
  <c r="T298" i="8"/>
  <c r="F68" i="8"/>
  <c r="AC189" i="8"/>
  <c r="Q86" i="8"/>
  <c r="K40" i="8"/>
  <c r="F116" i="8"/>
  <c r="P139" i="8"/>
  <c r="M133" i="8"/>
  <c r="AE209" i="8"/>
  <c r="U274" i="8"/>
  <c r="L309" i="8"/>
  <c r="S145" i="8"/>
  <c r="I100" i="8"/>
  <c r="P344" i="8"/>
  <c r="U293" i="8"/>
  <c r="N64" i="8"/>
  <c r="Q267" i="8"/>
  <c r="U67" i="8"/>
  <c r="O224" i="8"/>
  <c r="F172" i="5"/>
  <c r="AK95" i="8"/>
  <c r="F163" i="8"/>
  <c r="AI202" i="8"/>
  <c r="O34" i="6"/>
  <c r="F223" i="5"/>
  <c r="F217" i="5"/>
  <c r="AJ320" i="8"/>
  <c r="AH64" i="8"/>
  <c r="AU272" i="8"/>
  <c r="F127" i="5"/>
  <c r="AN156" i="8"/>
  <c r="K58" i="6"/>
  <c r="H63" i="5"/>
  <c r="H202" i="8"/>
  <c r="F26" i="6"/>
  <c r="S64" i="8"/>
  <c r="Q134" i="8"/>
  <c r="U99" i="8"/>
  <c r="H283" i="8"/>
  <c r="H348" i="5"/>
  <c r="AH200" i="8"/>
  <c r="AS134" i="8"/>
  <c r="U207" i="8"/>
  <c r="AA283" i="8"/>
  <c r="U213" i="8"/>
  <c r="K43" i="8"/>
  <c r="O202" i="8"/>
  <c r="L167" i="8"/>
  <c r="G127" i="8"/>
  <c r="AA124" i="8"/>
  <c r="L82" i="8"/>
  <c r="L106" i="8"/>
  <c r="AU66" i="8"/>
  <c r="Q121" i="8"/>
  <c r="AP164" i="8"/>
  <c r="J191" i="8"/>
  <c r="AU115" i="8"/>
  <c r="S65" i="8"/>
  <c r="N87" i="8"/>
  <c r="M217" i="8"/>
  <c r="AU307" i="8"/>
  <c r="T314" i="8"/>
  <c r="Q84" i="8"/>
  <c r="R280" i="8"/>
  <c r="K262" i="8"/>
  <c r="T320" i="8"/>
  <c r="M267" i="8"/>
  <c r="F127" i="8"/>
  <c r="P331" i="8"/>
  <c r="I165" i="8"/>
  <c r="U270" i="8"/>
  <c r="J341" i="8"/>
  <c r="X176" i="8"/>
  <c r="AU238" i="8"/>
  <c r="AN270" i="8"/>
  <c r="AH138" i="8"/>
  <c r="T86" i="8"/>
  <c r="M105" i="8"/>
  <c r="I75" i="8"/>
  <c r="AH34" i="8"/>
  <c r="R118" i="8"/>
  <c r="F46" i="8"/>
  <c r="K178" i="8"/>
  <c r="M313" i="8"/>
  <c r="AO188" i="8"/>
  <c r="P282" i="8"/>
  <c r="L54" i="8"/>
  <c r="I107" i="8"/>
  <c r="I92" i="8"/>
  <c r="S184" i="8"/>
  <c r="AQ205" i="8"/>
  <c r="I68" i="8"/>
  <c r="P176" i="8"/>
  <c r="L29" i="8"/>
  <c r="T341" i="8"/>
  <c r="L168" i="8"/>
  <c r="T306" i="8"/>
  <c r="Q103" i="8"/>
  <c r="S331" i="8"/>
  <c r="AU139" i="8"/>
  <c r="AP197" i="8"/>
  <c r="T240" i="8"/>
  <c r="AU62" i="8"/>
  <c r="Y200" i="8"/>
  <c r="P199" i="8"/>
  <c r="Z272" i="8"/>
  <c r="AF262" i="8"/>
  <c r="H280" i="8"/>
  <c r="AU208" i="8"/>
  <c r="I344" i="8"/>
  <c r="U176" i="8"/>
  <c r="L39" i="8"/>
  <c r="N150" i="8"/>
  <c r="R111" i="8"/>
  <c r="N100" i="8"/>
  <c r="U64" i="8"/>
  <c r="T252" i="8"/>
  <c r="T226" i="8"/>
  <c r="AO139" i="8"/>
  <c r="L184" i="8"/>
  <c r="S194" i="8"/>
  <c r="Q122" i="8"/>
  <c r="R90" i="8"/>
  <c r="J56" i="8"/>
  <c r="P134" i="8"/>
  <c r="F327" i="8"/>
  <c r="L63" i="8"/>
  <c r="S35" i="8"/>
  <c r="O311" i="8"/>
  <c r="L78" i="8"/>
  <c r="J23" i="8"/>
  <c r="K259" i="8"/>
  <c r="F148" i="8"/>
  <c r="X209" i="8"/>
  <c r="AP131" i="8"/>
  <c r="G190" i="8"/>
  <c r="I274" i="8"/>
  <c r="N288" i="8"/>
  <c r="AJ348" i="8"/>
  <c r="G36" i="8"/>
  <c r="G48" i="8"/>
  <c r="N214" i="8"/>
  <c r="AM213" i="8"/>
  <c r="G119" i="8"/>
  <c r="O205" i="8"/>
  <c r="L102" i="8"/>
  <c r="AU199" i="8"/>
  <c r="J348" i="8"/>
  <c r="AK74" i="8"/>
  <c r="I46" i="6"/>
  <c r="AU216" i="8"/>
  <c r="H92" i="5"/>
  <c r="R104" i="8"/>
  <c r="R299" i="8"/>
  <c r="L346" i="8"/>
  <c r="F224" i="8"/>
  <c r="Q303" i="8"/>
  <c r="AN187" i="8"/>
  <c r="AF86" i="8"/>
  <c r="AN254" i="8"/>
  <c r="H56" i="6"/>
  <c r="L313" i="8"/>
  <c r="R155" i="8"/>
  <c r="P138" i="8"/>
  <c r="Q70" i="8"/>
  <c r="M138" i="8"/>
  <c r="W348" i="8"/>
  <c r="AC25" i="8"/>
  <c r="AP190" i="8"/>
  <c r="I96" i="8"/>
  <c r="J213" i="8"/>
  <c r="Q216" i="8"/>
  <c r="F335" i="8"/>
  <c r="Q207" i="8"/>
  <c r="U61" i="8"/>
  <c r="O147" i="8"/>
  <c r="K32" i="6"/>
  <c r="K111" i="8"/>
  <c r="I130" i="8"/>
  <c r="M45" i="8"/>
  <c r="AB106" i="8"/>
  <c r="AP149" i="8"/>
  <c r="L41" i="6"/>
  <c r="Y118" i="8"/>
  <c r="W100" i="8"/>
  <c r="P177" i="8"/>
  <c r="P297" i="8"/>
  <c r="K323" i="8"/>
  <c r="K152" i="8"/>
  <c r="T304" i="8"/>
  <c r="P78" i="8"/>
  <c r="U264" i="8"/>
  <c r="L318" i="8"/>
  <c r="Q270" i="8"/>
  <c r="AH100" i="8"/>
  <c r="AF289" i="8"/>
  <c r="T250" i="8"/>
  <c r="AQ272" i="8"/>
  <c r="S125" i="8"/>
  <c r="J164" i="8"/>
  <c r="K54" i="8"/>
  <c r="AP203" i="8"/>
  <c r="H43" i="5"/>
  <c r="AF162" i="8"/>
  <c r="Q62" i="6"/>
  <c r="AO208" i="8"/>
  <c r="AH134" i="8"/>
  <c r="Q215" i="8"/>
  <c r="R197" i="8"/>
  <c r="AH70" i="8"/>
  <c r="P260" i="8"/>
  <c r="N58" i="8"/>
  <c r="Q209" i="8"/>
  <c r="U306" i="8"/>
  <c r="AJ188" i="8"/>
  <c r="K195" i="8"/>
  <c r="R119" i="8"/>
  <c r="AM216" i="8"/>
  <c r="Q25" i="8"/>
  <c r="S107" i="8"/>
  <c r="H102" i="5"/>
  <c r="M64" i="8"/>
  <c r="T33" i="8"/>
  <c r="AM172" i="8"/>
  <c r="U161" i="8"/>
  <c r="K306" i="8"/>
  <c r="Z274" i="8"/>
  <c r="T59" i="8"/>
  <c r="I188" i="8"/>
  <c r="Q29" i="8"/>
  <c r="R201" i="8"/>
  <c r="Q89" i="8"/>
  <c r="O99" i="8"/>
  <c r="O188" i="8"/>
  <c r="AT216" i="8"/>
  <c r="J22" i="6"/>
  <c r="AC270" i="8"/>
  <c r="AL215" i="8"/>
  <c r="H215" i="8"/>
  <c r="S24" i="1"/>
  <c r="AC265" i="8"/>
  <c r="Z200" i="8"/>
  <c r="AN260" i="8"/>
  <c r="AH260" i="8"/>
  <c r="G76" i="8"/>
  <c r="Y121" i="8"/>
  <c r="H31" i="8"/>
  <c r="AP212" i="8"/>
  <c r="I32" i="6"/>
  <c r="V46" i="8"/>
  <c r="K194" i="8"/>
  <c r="J123" i="8"/>
  <c r="L101" i="8"/>
  <c r="H158" i="8"/>
  <c r="Y204" i="8"/>
  <c r="F178" i="5"/>
  <c r="AH236" i="8"/>
  <c r="T198" i="8"/>
  <c r="AO289" i="8"/>
  <c r="T260" i="8"/>
  <c r="J198" i="8"/>
  <c r="K133" i="8"/>
  <c r="T262" i="8"/>
  <c r="T171" i="8"/>
  <c r="Q200" i="8"/>
  <c r="M202" i="8"/>
  <c r="S279" i="8"/>
  <c r="L216" i="8"/>
  <c r="Q77" i="8"/>
  <c r="U318" i="8"/>
  <c r="S100" i="8"/>
  <c r="AU112" i="8"/>
  <c r="L197" i="8"/>
  <c r="Q306" i="8"/>
  <c r="O142" i="8"/>
  <c r="R167" i="8"/>
  <c r="U149" i="8"/>
  <c r="M323" i="8"/>
  <c r="J28" i="6"/>
  <c r="O125" i="8"/>
  <c r="L146" i="8"/>
  <c r="J201" i="8"/>
  <c r="L86" i="8"/>
  <c r="K279" i="8"/>
  <c r="I99" i="8"/>
  <c r="M195" i="8"/>
  <c r="K68" i="8"/>
  <c r="AU102" i="8"/>
  <c r="AU339" i="8"/>
  <c r="AR199" i="8"/>
  <c r="H111" i="5"/>
  <c r="V198" i="8"/>
  <c r="N40" i="8"/>
  <c r="P325" i="8"/>
  <c r="H206" i="5"/>
  <c r="Q192" i="8"/>
  <c r="AE201" i="8"/>
  <c r="N206" i="8"/>
  <c r="R283" i="8"/>
  <c r="M41" i="6"/>
  <c r="P56" i="8"/>
  <c r="P223" i="8"/>
  <c r="U142" i="8"/>
  <c r="K280" i="8"/>
  <c r="T36" i="8"/>
  <c r="AG199" i="8"/>
  <c r="S344" i="8"/>
  <c r="S25" i="8"/>
  <c r="AO124" i="8"/>
  <c r="N147" i="8"/>
  <c r="O210" i="8"/>
  <c r="J270" i="8"/>
  <c r="I304" i="8"/>
  <c r="H294" i="8"/>
  <c r="R161" i="8"/>
  <c r="P213" i="8"/>
  <c r="N346" i="8"/>
  <c r="AM191" i="8"/>
  <c r="M20" i="8"/>
  <c r="K161" i="8"/>
  <c r="AS177" i="8"/>
  <c r="AB175" i="8"/>
  <c r="AH213" i="8"/>
  <c r="R124" i="8"/>
  <c r="J116" i="8"/>
  <c r="O71" i="8"/>
  <c r="I112" i="8"/>
  <c r="O66" i="8"/>
  <c r="L172" i="8"/>
  <c r="K105" i="8"/>
  <c r="T136" i="8"/>
  <c r="N92" i="8"/>
  <c r="J259" i="8"/>
  <c r="AF272" i="8"/>
  <c r="Q182" i="8"/>
  <c r="AO101" i="8"/>
  <c r="AL130" i="8"/>
  <c r="AJ214" i="8"/>
  <c r="S208" i="8"/>
  <c r="K140" i="8"/>
  <c r="V211" i="8"/>
  <c r="O337" i="8"/>
  <c r="AB194" i="8"/>
  <c r="P37" i="8"/>
  <c r="U148" i="8"/>
  <c r="J329" i="8"/>
  <c r="K242" i="8"/>
  <c r="AK192" i="8"/>
  <c r="P116" i="8"/>
  <c r="K294" i="8"/>
  <c r="R346" i="8"/>
  <c r="AH163" i="8"/>
  <c r="I125" i="8"/>
  <c r="R46" i="6"/>
  <c r="I56" i="8"/>
  <c r="G202" i="8"/>
  <c r="L176" i="8"/>
  <c r="AH288" i="8"/>
  <c r="L282" i="8"/>
  <c r="N341" i="8"/>
  <c r="O230" i="8"/>
  <c r="P305" i="8"/>
  <c r="F35" i="5"/>
  <c r="AK38" i="8"/>
  <c r="H157" i="5"/>
  <c r="AQ180" i="8"/>
  <c r="G323" i="8"/>
  <c r="L279" i="8"/>
  <c r="N300" i="8"/>
  <c r="V206" i="8"/>
  <c r="F85" i="8"/>
  <c r="M148" i="8"/>
  <c r="AE215" i="8"/>
  <c r="V268" i="8"/>
  <c r="H346" i="8"/>
  <c r="R158" i="8"/>
  <c r="K46" i="8"/>
  <c r="K172" i="8"/>
  <c r="U214" i="8"/>
  <c r="H265" i="5"/>
  <c r="AC269" i="8"/>
  <c r="AO294" i="8"/>
  <c r="AU84" i="8"/>
  <c r="P190" i="8"/>
  <c r="I45" i="8"/>
  <c r="S272" i="8"/>
  <c r="I160" i="8"/>
  <c r="O259" i="8"/>
  <c r="AK293" i="8"/>
  <c r="H244" i="5"/>
  <c r="AQ103" i="8"/>
  <c r="AL204" i="8"/>
  <c r="M198" i="8"/>
  <c r="AB161" i="8"/>
  <c r="R179" i="8"/>
  <c r="R303" i="8"/>
  <c r="K81" i="8"/>
  <c r="X168" i="8"/>
  <c r="AH206" i="8"/>
  <c r="AS123" i="8"/>
  <c r="L215" i="8"/>
  <c r="O144" i="8"/>
  <c r="L139" i="8"/>
  <c r="G74" i="8"/>
  <c r="AH48" i="8"/>
  <c r="P127" i="8"/>
  <c r="K320" i="8"/>
  <c r="S58" i="1"/>
  <c r="N191" i="8"/>
  <c r="M309" i="8"/>
  <c r="AU228" i="8"/>
  <c r="AK121" i="8"/>
  <c r="AP132" i="8"/>
  <c r="P37" i="6"/>
  <c r="F346" i="8"/>
  <c r="AC183" i="8"/>
  <c r="M246" i="8"/>
  <c r="K297" i="8"/>
  <c r="U298" i="8"/>
  <c r="AH38" i="8"/>
  <c r="U20" i="8"/>
  <c r="Q171" i="8"/>
  <c r="U86" i="8"/>
  <c r="L198" i="8"/>
  <c r="S144" i="8"/>
  <c r="U196" i="8"/>
  <c r="AU162" i="8"/>
  <c r="O76" i="8"/>
  <c r="Q145" i="8"/>
  <c r="M32" i="6"/>
  <c r="K92" i="8"/>
  <c r="Q210" i="8"/>
  <c r="Y265" i="8"/>
  <c r="I30" i="6"/>
  <c r="Y306" i="8"/>
  <c r="H314" i="8"/>
  <c r="AA282" i="8"/>
  <c r="L265" i="8"/>
  <c r="P149" i="8"/>
  <c r="P142" i="8"/>
  <c r="R89" i="8"/>
  <c r="J264" i="8"/>
  <c r="M155" i="8"/>
  <c r="N166" i="8"/>
  <c r="P170" i="8"/>
  <c r="F67" i="6"/>
  <c r="P174" i="8"/>
  <c r="J81" i="8"/>
  <c r="AU323" i="8"/>
  <c r="K45" i="8"/>
  <c r="U301" i="8"/>
  <c r="R293" i="8"/>
  <c r="N69" i="8"/>
  <c r="J298" i="8"/>
  <c r="AM38" i="8"/>
  <c r="R150" i="8"/>
  <c r="P35" i="8"/>
  <c r="G50" i="8"/>
  <c r="N196" i="8"/>
  <c r="M209" i="8"/>
  <c r="Q124" i="8"/>
  <c r="R329" i="8"/>
  <c r="T142" i="8"/>
  <c r="S215" i="8"/>
  <c r="AD260" i="8"/>
  <c r="G214" i="8"/>
  <c r="AU163" i="8"/>
  <c r="AR177" i="8"/>
  <c r="X252" i="8"/>
  <c r="Q36" i="6"/>
  <c r="H170" i="8"/>
  <c r="H172" i="5"/>
  <c r="AA144" i="8"/>
  <c r="F303" i="8"/>
  <c r="H52" i="8"/>
  <c r="H175" i="8"/>
  <c r="O58" i="6"/>
  <c r="AU202" i="8"/>
  <c r="AP96" i="8"/>
  <c r="AH179" i="8"/>
  <c r="F65" i="5"/>
  <c r="S89" i="8"/>
  <c r="R141" i="8"/>
  <c r="P242" i="8"/>
  <c r="F59" i="5"/>
  <c r="AK171" i="8"/>
  <c r="H265" i="8"/>
  <c r="AH155" i="8"/>
  <c r="I252" i="8"/>
  <c r="I298" i="8"/>
  <c r="P34" i="6"/>
  <c r="Q78" i="8"/>
  <c r="H267" i="5"/>
  <c r="T191" i="8"/>
  <c r="T150" i="8"/>
  <c r="AI155" i="8"/>
  <c r="S54" i="8"/>
  <c r="Q288" i="8"/>
  <c r="P76" i="8"/>
  <c r="M171" i="8"/>
  <c r="AH250" i="8"/>
  <c r="AF90" i="8"/>
  <c r="AB300" i="8"/>
  <c r="H144" i="8"/>
  <c r="S228" i="8"/>
  <c r="G48" i="6"/>
  <c r="AI110" i="8"/>
  <c r="H41" i="6"/>
  <c r="Q268" i="8"/>
  <c r="P207" i="8"/>
  <c r="AI316" i="8"/>
  <c r="H191" i="8"/>
  <c r="AL344" i="8"/>
  <c r="L65" i="8"/>
  <c r="K99" i="8"/>
  <c r="N61" i="8"/>
  <c r="AN269" i="8"/>
  <c r="P67" i="6"/>
  <c r="AU302" i="8"/>
  <c r="H323" i="5"/>
  <c r="N303" i="8"/>
  <c r="I174" i="8"/>
  <c r="O212" i="8"/>
  <c r="N202" i="8"/>
  <c r="U206" i="8"/>
  <c r="AF203" i="8"/>
  <c r="F329" i="5"/>
  <c r="AH86" i="8"/>
  <c r="H62" i="8"/>
  <c r="J196" i="8"/>
  <c r="U32" i="8"/>
  <c r="I145" i="8"/>
  <c r="T64" i="8"/>
  <c r="O240" i="8"/>
  <c r="Y104" i="8"/>
  <c r="AQ216" i="8"/>
  <c r="G62" i="8"/>
  <c r="T174" i="8"/>
  <c r="O256" i="8"/>
  <c r="P95" i="8"/>
  <c r="AU254" i="8"/>
  <c r="AH268" i="8"/>
  <c r="F183" i="8"/>
  <c r="U288" i="8"/>
  <c r="T112" i="8"/>
  <c r="N81" i="8"/>
  <c r="K139" i="8"/>
  <c r="F33" i="8"/>
  <c r="AU313" i="8"/>
  <c r="AD96" i="8"/>
  <c r="AE283" i="8"/>
  <c r="L122" i="8"/>
  <c r="G335" i="8"/>
  <c r="K48" i="8"/>
  <c r="L123" i="8"/>
  <c r="L74" i="8"/>
  <c r="AH230" i="8"/>
  <c r="J107" i="8"/>
  <c r="S230" i="8"/>
  <c r="U238" i="8"/>
  <c r="AU170" i="8"/>
  <c r="O150" i="8"/>
  <c r="Q201" i="8"/>
  <c r="AO209" i="8"/>
  <c r="S59" i="8"/>
  <c r="O67" i="8"/>
  <c r="R307" i="8"/>
  <c r="F134" i="5"/>
  <c r="Q120" i="8"/>
  <c r="H316" i="8"/>
  <c r="AM259" i="8"/>
  <c r="AI200" i="8"/>
  <c r="H302" i="5"/>
  <c r="H262" i="5"/>
  <c r="AG194" i="8"/>
  <c r="R264" i="8"/>
  <c r="I171" i="8"/>
  <c r="L327" i="8"/>
  <c r="P107" i="8"/>
  <c r="M187" i="8"/>
  <c r="F320" i="5"/>
  <c r="J228" i="8"/>
  <c r="AG274" i="8"/>
  <c r="N200" i="8"/>
  <c r="O25" i="8"/>
  <c r="AH116" i="8"/>
  <c r="Q259" i="8"/>
  <c r="J59" i="8"/>
  <c r="N179" i="8"/>
  <c r="AJ181" i="8"/>
  <c r="F111" i="5"/>
  <c r="AU136" i="8"/>
  <c r="N175" i="8"/>
  <c r="I67" i="8"/>
  <c r="F37" i="8"/>
  <c r="AA110" i="8"/>
  <c r="X82" i="8"/>
  <c r="T84" i="8"/>
  <c r="L121" i="8"/>
  <c r="J125" i="8"/>
  <c r="J65" i="8"/>
  <c r="AU180" i="8"/>
  <c r="AU207" i="8"/>
  <c r="AU188" i="8"/>
  <c r="Q58" i="6"/>
  <c r="F314" i="5"/>
  <c r="AR66" i="8"/>
  <c r="AK202" i="8"/>
  <c r="AO102" i="8"/>
  <c r="H148" i="5"/>
  <c r="AG200" i="8"/>
  <c r="I48" i="8"/>
  <c r="AQ162" i="8"/>
  <c r="AA166" i="8"/>
  <c r="F143" i="8"/>
  <c r="AU155" i="8"/>
  <c r="G27" i="6"/>
  <c r="G155" i="8"/>
  <c r="J268" i="8"/>
  <c r="R136" i="8"/>
  <c r="AI122" i="8"/>
  <c r="T138" i="8"/>
  <c r="AA210" i="8"/>
  <c r="H180" i="8"/>
  <c r="R297" i="8"/>
  <c r="K154" i="8"/>
  <c r="L325" i="8"/>
  <c r="N29" i="6"/>
  <c r="R62" i="8"/>
  <c r="H135" i="8"/>
  <c r="AL147" i="8"/>
  <c r="M127" i="8"/>
  <c r="O306" i="8"/>
  <c r="V124" i="8"/>
  <c r="AH162" i="8"/>
  <c r="T42" i="8"/>
  <c r="Z195" i="8"/>
  <c r="H208" i="8"/>
  <c r="K260" i="8"/>
  <c r="F108" i="8"/>
  <c r="W161" i="8"/>
  <c r="F280" i="8"/>
  <c r="F85" i="5"/>
  <c r="G103" i="8"/>
  <c r="O130" i="8"/>
  <c r="AU134" i="8"/>
  <c r="U184" i="8"/>
  <c r="S74" i="8"/>
  <c r="N223" i="8"/>
  <c r="AT139" i="8"/>
  <c r="K302" i="8"/>
  <c r="Q311" i="8"/>
  <c r="T230" i="8"/>
  <c r="S72" i="8"/>
  <c r="R318" i="8"/>
  <c r="P143" i="8"/>
  <c r="L87" i="8"/>
  <c r="X265" i="8"/>
  <c r="T87" i="8"/>
  <c r="U146" i="8"/>
  <c r="J153" i="8"/>
  <c r="AE195" i="8"/>
  <c r="AI289" i="8"/>
  <c r="U329" i="8"/>
  <c r="U180" i="8"/>
  <c r="J104" i="8"/>
  <c r="R56" i="6"/>
  <c r="J48" i="8"/>
  <c r="Q217" i="8"/>
  <c r="U31" i="8"/>
  <c r="R103" i="8"/>
  <c r="AJ205" i="8"/>
  <c r="J119" i="8"/>
  <c r="I333" i="8"/>
  <c r="O154" i="8"/>
  <c r="AJ268" i="8"/>
  <c r="L48" i="6"/>
  <c r="O232" i="8"/>
  <c r="U254" i="8"/>
  <c r="J234" i="8"/>
  <c r="AH306" i="8"/>
  <c r="L320" i="8"/>
  <c r="J177" i="8"/>
  <c r="AD158" i="8"/>
  <c r="U120" i="8"/>
  <c r="M297" i="8"/>
  <c r="AU138" i="8"/>
  <c r="P164" i="8"/>
  <c r="J82" i="8"/>
  <c r="T159" i="8"/>
  <c r="P141" i="8"/>
  <c r="F122" i="8"/>
  <c r="R146" i="8"/>
  <c r="F139" i="5"/>
  <c r="K196" i="8"/>
  <c r="O33" i="8"/>
  <c r="N248" i="8"/>
  <c r="AU119" i="8"/>
  <c r="W344" i="8"/>
  <c r="I208" i="8"/>
  <c r="R170" i="8"/>
  <c r="M263" i="8"/>
  <c r="F61" i="5"/>
  <c r="S197" i="8"/>
  <c r="P187" i="8"/>
  <c r="U335" i="8"/>
  <c r="I234" i="8"/>
  <c r="O71" i="6"/>
  <c r="O248" i="8"/>
  <c r="P112" i="8"/>
  <c r="P146" i="8"/>
  <c r="M344" i="8"/>
  <c r="I74" i="8"/>
  <c r="M179" i="8"/>
  <c r="AC111" i="8"/>
  <c r="L42" i="8"/>
  <c r="L35" i="8"/>
  <c r="M311" i="8"/>
  <c r="O307" i="8"/>
  <c r="G33" i="4"/>
  <c r="J262" i="8"/>
  <c r="J71" i="8"/>
  <c r="F215" i="5"/>
  <c r="K93" i="8"/>
  <c r="O52" i="8"/>
  <c r="U153" i="8"/>
  <c r="AU86" i="8"/>
  <c r="AP208" i="8"/>
  <c r="N96" i="8"/>
  <c r="S37" i="1"/>
  <c r="S252" i="8"/>
  <c r="L310" i="8"/>
  <c r="R250" i="8"/>
  <c r="Y142" i="8"/>
  <c r="L260" i="8"/>
  <c r="K307" i="8"/>
  <c r="U170" i="8"/>
  <c r="G143" i="8"/>
  <c r="K22" i="6"/>
  <c r="AH60" i="8"/>
  <c r="Q280" i="8"/>
  <c r="O32" i="6"/>
  <c r="AB172" i="8"/>
  <c r="J145" i="8"/>
  <c r="AB177" i="8"/>
  <c r="R232" i="8"/>
  <c r="S166" i="8"/>
  <c r="K301" i="8"/>
  <c r="O344" i="8"/>
  <c r="I43" i="8"/>
  <c r="T81" i="8"/>
  <c r="M248" i="8"/>
  <c r="T207" i="8"/>
  <c r="U147" i="8"/>
  <c r="N164" i="8"/>
  <c r="P148" i="8"/>
  <c r="L104" i="8"/>
  <c r="U73" i="8"/>
  <c r="O310" i="8"/>
  <c r="AM282" i="8"/>
  <c r="P60" i="8"/>
  <c r="S191" i="8"/>
  <c r="J131" i="8"/>
  <c r="H56" i="8"/>
  <c r="L304" i="8"/>
  <c r="H104" i="5"/>
  <c r="O50" i="8"/>
  <c r="F110" i="8"/>
  <c r="K156" i="8"/>
  <c r="J335" i="8"/>
  <c r="R43" i="8"/>
  <c r="R76" i="8"/>
  <c r="T234" i="8"/>
  <c r="R215" i="8"/>
  <c r="Q45" i="8"/>
  <c r="R195" i="8"/>
  <c r="S288" i="8"/>
  <c r="AN99" i="8"/>
  <c r="R213" i="8"/>
  <c r="T216" i="8"/>
  <c r="O294" i="8"/>
  <c r="T38" i="8"/>
  <c r="Q56" i="8"/>
  <c r="AS144" i="8"/>
  <c r="R300" i="8"/>
  <c r="O303" i="8"/>
  <c r="J252" i="8"/>
  <c r="P204" i="8"/>
  <c r="AU346" i="8"/>
  <c r="Q144" i="8"/>
  <c r="U223" i="8"/>
  <c r="P129" i="8"/>
  <c r="Q31" i="8"/>
  <c r="V195" i="8"/>
  <c r="O90" i="8"/>
  <c r="T208" i="8"/>
  <c r="M73" i="8"/>
  <c r="U155" i="8"/>
  <c r="AU223" i="8"/>
  <c r="K23" i="8"/>
  <c r="K223" i="8"/>
  <c r="R106" i="8"/>
  <c r="I246" i="8"/>
  <c r="R81" i="8"/>
  <c r="M280" i="8"/>
  <c r="AM318" i="8"/>
  <c r="I313" i="8"/>
  <c r="N262" i="8"/>
  <c r="Y264" i="8"/>
  <c r="AM181" i="8"/>
  <c r="AL260" i="8"/>
  <c r="P61" i="8"/>
  <c r="AH32" i="8"/>
  <c r="P124" i="8"/>
  <c r="AH199" i="8"/>
  <c r="G175" i="8"/>
  <c r="R228" i="8"/>
  <c r="P209" i="8"/>
  <c r="T177" i="8"/>
  <c r="Q176" i="8"/>
  <c r="AI106" i="8"/>
  <c r="AH75" i="8"/>
  <c r="Q21" i="6"/>
  <c r="N54" i="8"/>
  <c r="AQ268" i="8"/>
  <c r="Q206" i="8"/>
  <c r="F209" i="5"/>
  <c r="H313" i="8"/>
  <c r="P77" i="8"/>
  <c r="T327" i="8"/>
  <c r="AK194" i="8"/>
  <c r="AQ198" i="8"/>
  <c r="K269" i="8"/>
  <c r="F283" i="8"/>
  <c r="S159" i="8"/>
  <c r="H254" i="8"/>
  <c r="S92" i="8"/>
  <c r="AT318" i="8"/>
  <c r="AJ283" i="8"/>
  <c r="R212" i="8"/>
  <c r="I54" i="6"/>
  <c r="I341" i="8"/>
  <c r="K100" i="8"/>
  <c r="J192" i="8"/>
  <c r="Z168" i="8"/>
  <c r="Q333" i="8"/>
  <c r="L30" i="6"/>
  <c r="O102" i="8"/>
  <c r="L70" i="8"/>
  <c r="O70" i="8"/>
  <c r="L99" i="8"/>
  <c r="U117" i="8"/>
  <c r="Q161" i="8"/>
  <c r="J95" i="8"/>
  <c r="F238" i="5"/>
  <c r="L200" i="8"/>
  <c r="M223" i="8"/>
  <c r="S77" i="8"/>
  <c r="H181" i="8"/>
  <c r="T348" i="8"/>
  <c r="S160" i="8"/>
  <c r="T52" i="8"/>
  <c r="U236" i="8"/>
  <c r="AF100" i="8"/>
  <c r="P211" i="8"/>
  <c r="L339" i="8"/>
  <c r="AI192" i="8"/>
  <c r="M38" i="8"/>
  <c r="R313" i="8"/>
  <c r="P314" i="8"/>
  <c r="J62" i="6"/>
  <c r="L204" i="8"/>
  <c r="AO267" i="8"/>
  <c r="AT199" i="8"/>
  <c r="K179" i="8"/>
  <c r="I154" i="8"/>
  <c r="S242" i="8"/>
  <c r="J297" i="8"/>
  <c r="R32" i="8"/>
  <c r="P89" i="8"/>
  <c r="K96" i="8"/>
  <c r="S339" i="8"/>
  <c r="AU194" i="8"/>
  <c r="R242" i="8"/>
  <c r="S154" i="8"/>
  <c r="P197" i="8"/>
  <c r="N344" i="8"/>
  <c r="R282" i="8"/>
  <c r="K148" i="8"/>
  <c r="R348" i="8"/>
  <c r="T329" i="8"/>
  <c r="P313" i="8"/>
  <c r="P73" i="8"/>
  <c r="AU149" i="8"/>
  <c r="F87" i="5"/>
  <c r="AH23" i="8"/>
  <c r="U268" i="8"/>
  <c r="I85" i="8"/>
  <c r="P135" i="8"/>
  <c r="AQ269" i="8"/>
  <c r="S214" i="8"/>
  <c r="M173" i="8"/>
  <c r="J294" i="8"/>
  <c r="Q147" i="8"/>
  <c r="AU74" i="8"/>
  <c r="J130" i="8"/>
  <c r="S43" i="1"/>
  <c r="V188" i="8"/>
  <c r="AQ208" i="8"/>
  <c r="L61" i="8"/>
  <c r="O135" i="8"/>
  <c r="AH256" i="8"/>
  <c r="O242" i="8"/>
  <c r="H69" i="5"/>
  <c r="I183" i="8"/>
  <c r="R61" i="8"/>
  <c r="R325" i="8"/>
  <c r="N123" i="8"/>
  <c r="P172" i="8"/>
  <c r="AU206" i="8"/>
  <c r="N107" i="8"/>
  <c r="J121" i="8"/>
  <c r="R265" i="8"/>
  <c r="M140" i="8"/>
  <c r="W260" i="8"/>
  <c r="AM217" i="8"/>
  <c r="S260" i="8"/>
  <c r="U252" i="8"/>
  <c r="N198" i="8"/>
  <c r="R63" i="8"/>
  <c r="G183" i="8"/>
  <c r="I293" i="8"/>
  <c r="K217" i="8"/>
  <c r="K203" i="8"/>
  <c r="AI280" i="8"/>
  <c r="F76" i="8"/>
  <c r="H195" i="8"/>
  <c r="T20" i="8"/>
  <c r="I115" i="8"/>
  <c r="H320" i="5"/>
  <c r="N199" i="8"/>
  <c r="H23" i="5"/>
  <c r="J250" i="8"/>
  <c r="L142" i="8"/>
  <c r="U43" i="8"/>
  <c r="P108" i="8"/>
  <c r="X115" i="8"/>
  <c r="K337" i="8"/>
  <c r="R117" i="8"/>
  <c r="I72" i="8"/>
  <c r="Q38" i="8"/>
  <c r="I52" i="8"/>
  <c r="S267" i="8"/>
  <c r="N43" i="8"/>
  <c r="Q170" i="8"/>
  <c r="U191" i="8"/>
  <c r="H64" i="6"/>
  <c r="L333" i="8"/>
  <c r="I89" i="8"/>
  <c r="J152" i="8"/>
  <c r="R192" i="8"/>
  <c r="O293" i="8"/>
  <c r="AU274" i="8"/>
  <c r="AN190" i="8"/>
  <c r="J183" i="8"/>
  <c r="S82" i="8"/>
  <c r="Z166" i="8"/>
  <c r="AU33" i="8"/>
  <c r="AU147" i="8"/>
  <c r="F172" i="8"/>
  <c r="M152" i="8"/>
  <c r="AO170" i="8"/>
  <c r="G262" i="8"/>
  <c r="U304" i="8"/>
  <c r="O163" i="8"/>
  <c r="T192" i="8"/>
  <c r="M288" i="8"/>
  <c r="F69" i="6"/>
  <c r="N134" i="8"/>
  <c r="N65" i="8"/>
  <c r="P248" i="8"/>
  <c r="J179" i="8"/>
  <c r="T224" i="8"/>
  <c r="U159" i="8"/>
  <c r="P310" i="8"/>
  <c r="G26" i="6"/>
  <c r="F152" i="5"/>
  <c r="K136" i="8"/>
  <c r="I127" i="8"/>
  <c r="AP346" i="8"/>
  <c r="N50" i="8"/>
  <c r="AD163" i="8"/>
  <c r="P159" i="8"/>
  <c r="AG316" i="8"/>
  <c r="AU268" i="8"/>
  <c r="F269" i="5"/>
  <c r="T93" i="8"/>
  <c r="F236" i="5"/>
  <c r="AC195" i="8"/>
  <c r="AD216" i="8"/>
  <c r="L217" i="8"/>
  <c r="T149" i="8"/>
  <c r="S122" i="8"/>
  <c r="N299" i="8"/>
  <c r="H306" i="8"/>
  <c r="K59" i="8"/>
  <c r="G313" i="8"/>
  <c r="O223" i="8"/>
  <c r="M260" i="8"/>
  <c r="O61" i="8"/>
  <c r="AC176" i="8"/>
  <c r="Q116" i="8"/>
  <c r="P202" i="8"/>
  <c r="AK107" i="8"/>
  <c r="T202" i="8"/>
  <c r="R327" i="8"/>
  <c r="AM99" i="8"/>
  <c r="S52" i="8"/>
  <c r="AB262" i="8"/>
  <c r="R305" i="8"/>
  <c r="T76" i="8"/>
  <c r="U130" i="8"/>
  <c r="N274" i="8"/>
  <c r="H188" i="5"/>
  <c r="Q293" i="8"/>
  <c r="M106" i="8"/>
  <c r="I40" i="8"/>
  <c r="P32" i="8"/>
  <c r="G182" i="8"/>
  <c r="AU195" i="8"/>
  <c r="N60" i="8"/>
  <c r="AH223" i="8"/>
  <c r="U216" i="8"/>
  <c r="O269" i="8"/>
  <c r="I131" i="8"/>
  <c r="P152" i="8"/>
  <c r="AB214" i="8"/>
  <c r="AJ164" i="8"/>
  <c r="S118" i="8"/>
  <c r="F208" i="8"/>
  <c r="U135" i="8"/>
  <c r="M82" i="8"/>
  <c r="I118" i="8"/>
  <c r="O204" i="8"/>
  <c r="Q175" i="8"/>
  <c r="O228" i="8"/>
  <c r="J204" i="8"/>
  <c r="F111" i="8"/>
  <c r="L301" i="8"/>
  <c r="J54" i="6"/>
  <c r="G28" i="6"/>
  <c r="AB240" i="8"/>
  <c r="S256" i="8"/>
  <c r="P85" i="8"/>
  <c r="Q138" i="8"/>
  <c r="N130" i="8"/>
  <c r="O129" i="8"/>
  <c r="G81" i="8"/>
  <c r="U89" i="8"/>
  <c r="AU101" i="8"/>
  <c r="M303" i="8"/>
  <c r="L155" i="8"/>
  <c r="AP216" i="8"/>
  <c r="H36" i="6"/>
  <c r="J112" i="8"/>
  <c r="T282" i="8"/>
  <c r="AP148" i="8"/>
  <c r="AC95" i="8"/>
  <c r="Y132" i="8"/>
  <c r="H135" i="5"/>
  <c r="AM87" i="8"/>
  <c r="H197" i="8"/>
  <c r="G85" i="8"/>
  <c r="AS210" i="8"/>
  <c r="L75" i="8"/>
  <c r="AK318" i="8"/>
  <c r="T299" i="8"/>
  <c r="R204" i="8"/>
  <c r="R304" i="8"/>
  <c r="H163" i="5"/>
  <c r="G121" i="8"/>
  <c r="F159" i="8"/>
  <c r="I200" i="8"/>
  <c r="I126" i="8"/>
  <c r="T283" i="8"/>
  <c r="P92" i="8"/>
  <c r="U92" i="8"/>
  <c r="M136" i="8"/>
  <c r="R92" i="8"/>
  <c r="P283" i="8"/>
  <c r="S139" i="8"/>
  <c r="AL211" i="8"/>
  <c r="AC198" i="8"/>
  <c r="AE190" i="8"/>
  <c r="O182" i="8"/>
  <c r="H33" i="5"/>
  <c r="AU23" i="8"/>
  <c r="N234" i="8"/>
  <c r="H82" i="8"/>
  <c r="G134" i="8"/>
  <c r="I110" i="8"/>
  <c r="R262" i="8"/>
  <c r="AF204" i="8"/>
  <c r="R87" i="8"/>
  <c r="AF259" i="8"/>
  <c r="AH283" i="8"/>
  <c r="M101" i="8"/>
  <c r="T40" i="8"/>
  <c r="R110" i="8"/>
  <c r="Q187" i="8"/>
  <c r="R160" i="8"/>
  <c r="S187" i="8"/>
  <c r="L56" i="6"/>
  <c r="J184" i="8"/>
  <c r="L62" i="6"/>
  <c r="AA170" i="8"/>
  <c r="R93" i="8"/>
  <c r="Q244" i="8"/>
  <c r="S250" i="8"/>
  <c r="Q198" i="8"/>
  <c r="T46" i="8"/>
  <c r="J216" i="8"/>
  <c r="F157" i="8"/>
  <c r="L306" i="8"/>
  <c r="I106" i="8"/>
  <c r="I159" i="8"/>
  <c r="M304" i="8"/>
  <c r="AA197" i="8"/>
  <c r="O85" i="8"/>
  <c r="R331" i="8"/>
  <c r="AC120" i="8"/>
  <c r="J170" i="8"/>
  <c r="G215" i="8"/>
  <c r="U102" i="8"/>
  <c r="O121" i="8"/>
  <c r="M272" i="8"/>
  <c r="X123" i="8"/>
  <c r="H38" i="5"/>
  <c r="O58" i="8"/>
  <c r="K134" i="8"/>
  <c r="J215" i="8"/>
  <c r="AU150" i="8"/>
  <c r="U302" i="8"/>
  <c r="U103" i="8"/>
  <c r="U68" i="8"/>
  <c r="S130" i="8"/>
  <c r="X127" i="8"/>
  <c r="M154" i="8"/>
  <c r="AH170" i="8"/>
  <c r="F132" i="8"/>
  <c r="F279" i="5"/>
  <c r="M174" i="8"/>
  <c r="M316" i="8"/>
  <c r="U279" i="8"/>
  <c r="AB260" i="8"/>
  <c r="H155" i="5"/>
  <c r="M252" i="8"/>
  <c r="K33" i="8"/>
  <c r="L256" i="8"/>
  <c r="AU172" i="8"/>
  <c r="I256" i="8"/>
  <c r="T145" i="8"/>
  <c r="H153" i="5"/>
  <c r="K283" i="8"/>
  <c r="L203" i="8"/>
  <c r="F313" i="8"/>
  <c r="AU59" i="8"/>
  <c r="Q61" i="8"/>
  <c r="I122" i="8"/>
  <c r="R206" i="8"/>
  <c r="T67" i="8"/>
  <c r="N105" i="8"/>
  <c r="L25" i="8"/>
  <c r="H212" i="8"/>
  <c r="V294" i="8"/>
  <c r="R54" i="6"/>
  <c r="AN100" i="8"/>
  <c r="V167" i="8"/>
  <c r="Y154" i="8"/>
  <c r="O23" i="8"/>
  <c r="N180" i="8"/>
  <c r="AK188" i="8"/>
  <c r="O200" i="8"/>
  <c r="P22" i="6"/>
  <c r="U240" i="8"/>
  <c r="P335" i="8"/>
  <c r="H139" i="5"/>
  <c r="P254" i="8"/>
  <c r="P43" i="8"/>
  <c r="L134" i="8"/>
  <c r="S207" i="8"/>
  <c r="J166" i="8"/>
  <c r="P40" i="8"/>
  <c r="AM264" i="8"/>
  <c r="N125" i="8"/>
  <c r="L64" i="8"/>
  <c r="J58" i="8"/>
  <c r="Y202" i="8"/>
  <c r="AU314" i="8"/>
  <c r="J316" i="8"/>
  <c r="Q294" i="8"/>
  <c r="M289" i="8"/>
  <c r="I136" i="8"/>
  <c r="F191" i="5"/>
  <c r="Y93" i="8"/>
  <c r="M159" i="8"/>
  <c r="O348" i="8"/>
  <c r="G172" i="8"/>
  <c r="R272" i="8"/>
  <c r="I346" i="8"/>
  <c r="AH121" i="8"/>
  <c r="J267" i="8"/>
  <c r="S248" i="8"/>
  <c r="G325" i="8"/>
  <c r="AH43" i="8"/>
  <c r="R77" i="8"/>
  <c r="P256" i="8"/>
  <c r="V106" i="8"/>
  <c r="U104" i="8"/>
  <c r="L62" i="8"/>
  <c r="AU61" i="8"/>
  <c r="P216" i="8"/>
  <c r="S302" i="8"/>
  <c r="AM123" i="8"/>
  <c r="AB238" i="8"/>
  <c r="Q316" i="8"/>
  <c r="N120" i="8"/>
  <c r="AQ283" i="8"/>
  <c r="K318" i="8"/>
  <c r="F123" i="5"/>
  <c r="K250" i="8"/>
  <c r="P71" i="8"/>
  <c r="K153" i="8"/>
  <c r="L160" i="8"/>
  <c r="N32" i="8"/>
  <c r="J111" i="8"/>
  <c r="F311" i="8"/>
  <c r="F23" i="8"/>
  <c r="Q76" i="8"/>
  <c r="O38" i="8"/>
  <c r="J135" i="8"/>
  <c r="P68" i="8"/>
  <c r="AU178" i="8"/>
  <c r="N333" i="8"/>
  <c r="R60" i="6"/>
  <c r="Q42" i="8"/>
  <c r="R140" i="8"/>
  <c r="K120" i="8"/>
  <c r="AU116" i="8"/>
  <c r="R95" i="8"/>
  <c r="AR316" i="8"/>
  <c r="I162" i="8"/>
  <c r="Q262" i="8"/>
  <c r="M135" i="8"/>
  <c r="Q148" i="8"/>
  <c r="M234" i="8"/>
  <c r="R157" i="8"/>
  <c r="K316" i="8"/>
  <c r="G125" i="8"/>
  <c r="AH316" i="8"/>
  <c r="I29" i="8"/>
  <c r="G213" i="8"/>
  <c r="N269" i="8"/>
  <c r="M339" i="8"/>
  <c r="N307" i="8"/>
  <c r="K66" i="8"/>
  <c r="AE270" i="8"/>
  <c r="O335" i="8"/>
  <c r="M68" i="8"/>
  <c r="U60" i="8"/>
  <c r="Z130" i="8"/>
  <c r="M43" i="8"/>
  <c r="Q163" i="8"/>
  <c r="Q95" i="8"/>
  <c r="AU209" i="8"/>
  <c r="I172" i="8"/>
  <c r="S282" i="8"/>
  <c r="AJ199" i="8"/>
  <c r="M205" i="8"/>
  <c r="L164" i="8"/>
  <c r="P191" i="8"/>
  <c r="F164" i="8"/>
  <c r="K305" i="8"/>
  <c r="J331" i="8"/>
  <c r="N59" i="8"/>
  <c r="N188" i="8"/>
  <c r="AG211" i="8"/>
  <c r="W157" i="8"/>
  <c r="F131" i="8"/>
  <c r="Q139" i="8"/>
  <c r="U269" i="8"/>
  <c r="W189" i="8"/>
  <c r="AI269" i="8"/>
  <c r="AL198" i="8"/>
  <c r="F33" i="5"/>
  <c r="F75" i="8"/>
  <c r="M314" i="8"/>
  <c r="AL188" i="8"/>
  <c r="J160" i="8"/>
  <c r="P341" i="8"/>
  <c r="M335" i="8"/>
  <c r="P268" i="8"/>
  <c r="AH78" i="8"/>
  <c r="R298" i="8"/>
  <c r="O37" i="6"/>
  <c r="AU87" i="8"/>
  <c r="X344" i="8"/>
  <c r="P269" i="8"/>
  <c r="N263" i="8"/>
  <c r="K143" i="8"/>
  <c r="M92" i="8"/>
  <c r="L133" i="8"/>
  <c r="O46" i="8"/>
  <c r="U69" i="8"/>
  <c r="H42" i="8"/>
  <c r="S177" i="8"/>
  <c r="K204" i="8"/>
  <c r="L118" i="8"/>
  <c r="AA161" i="8"/>
  <c r="I155" i="8"/>
  <c r="H46" i="5"/>
  <c r="G38" i="8"/>
  <c r="Q224" i="8"/>
  <c r="O146" i="8"/>
  <c r="L179" i="8"/>
  <c r="K60" i="8"/>
  <c r="N77" i="8"/>
  <c r="AO217" i="8"/>
  <c r="M200" i="8"/>
  <c r="AU39" i="8"/>
  <c r="U62" i="8"/>
  <c r="U260" i="8"/>
  <c r="K122" i="8"/>
  <c r="Q304" i="8"/>
  <c r="N56" i="8"/>
  <c r="K335" i="8"/>
  <c r="F29" i="6"/>
  <c r="J25" i="8"/>
  <c r="R131" i="8"/>
  <c r="F325" i="5"/>
  <c r="AL262" i="8"/>
  <c r="S183" i="8"/>
  <c r="S95" i="8"/>
  <c r="R75" i="8"/>
  <c r="K198" i="8"/>
  <c r="L181" i="8"/>
  <c r="M63" i="8"/>
  <c r="F86" i="8"/>
  <c r="P300" i="8"/>
  <c r="N99" i="8"/>
  <c r="T214" i="8"/>
  <c r="J138" i="8"/>
  <c r="N37" i="6"/>
  <c r="AR212" i="8"/>
  <c r="AH209" i="8"/>
  <c r="H270" i="8"/>
  <c r="J126" i="8"/>
  <c r="M183" i="8"/>
  <c r="J174" i="8"/>
  <c r="T144" i="8"/>
  <c r="AT174" i="8"/>
  <c r="AP147" i="8"/>
  <c r="AE208" i="8"/>
  <c r="K145" i="8"/>
  <c r="AK267" i="8"/>
  <c r="O213" i="8"/>
  <c r="T307" i="8"/>
  <c r="AQ210" i="8"/>
  <c r="M327" i="8"/>
  <c r="L191" i="8"/>
  <c r="J96" i="8"/>
  <c r="AU232" i="8"/>
  <c r="L262" i="8"/>
  <c r="U344" i="8"/>
  <c r="K181" i="8"/>
  <c r="F100" i="5"/>
  <c r="I191" i="8"/>
  <c r="S66" i="8"/>
  <c r="T34" i="8"/>
  <c r="Y272" i="8"/>
  <c r="S99" i="8"/>
  <c r="AU283" i="8"/>
  <c r="S20" i="8"/>
  <c r="N176" i="8"/>
  <c r="K339" i="8"/>
  <c r="AU76" i="8"/>
  <c r="S111" i="8"/>
  <c r="K264" i="8"/>
  <c r="Q173" i="8"/>
  <c r="I314" i="8"/>
  <c r="P46" i="6"/>
  <c r="J265" i="8"/>
  <c r="J309" i="8"/>
  <c r="R121" i="8"/>
  <c r="L264" i="8"/>
  <c r="U339" i="8"/>
  <c r="H166" i="8"/>
  <c r="AU242" i="8"/>
  <c r="H154" i="8"/>
  <c r="L254" i="8"/>
  <c r="U165" i="8"/>
  <c r="G309" i="8"/>
  <c r="P293" i="8"/>
  <c r="H90" i="8"/>
  <c r="N304" i="8"/>
  <c r="T248" i="8"/>
  <c r="AG246" i="8"/>
  <c r="N316" i="8"/>
  <c r="J106" i="8"/>
  <c r="O52" i="6"/>
  <c r="T156" i="8"/>
  <c r="L96" i="8"/>
  <c r="K212" i="8"/>
  <c r="K256" i="8"/>
  <c r="AH127" i="8"/>
  <c r="M34" i="8"/>
  <c r="R162" i="8"/>
  <c r="H110" i="8"/>
  <c r="M318" i="8"/>
  <c r="S240" i="8"/>
  <c r="I69" i="8"/>
  <c r="Q62" i="8"/>
  <c r="L163" i="8"/>
  <c r="F302" i="8"/>
  <c r="Q156" i="8"/>
  <c r="K234" i="8"/>
  <c r="T337" i="8"/>
  <c r="I302" i="8"/>
  <c r="AL207" i="8"/>
  <c r="W228" i="8"/>
  <c r="AR263" i="8"/>
  <c r="Q320" i="8"/>
  <c r="N177" i="8"/>
  <c r="H95" i="8"/>
  <c r="AB117" i="8"/>
  <c r="T127" i="8"/>
  <c r="K112" i="8"/>
  <c r="M150" i="8"/>
  <c r="N73" i="8"/>
  <c r="J344" i="8"/>
  <c r="T90" i="8"/>
  <c r="K174" i="8"/>
  <c r="R59" i="8"/>
  <c r="N38" i="8"/>
  <c r="L67" i="6"/>
  <c r="G217" i="8"/>
  <c r="O78" i="8"/>
  <c r="S204" i="8"/>
  <c r="S147" i="8"/>
  <c r="AH36" i="8"/>
  <c r="S63" i="8"/>
  <c r="F77" i="5"/>
  <c r="O283" i="8"/>
  <c r="I199" i="8"/>
  <c r="AP167" i="8"/>
  <c r="M182" i="8"/>
  <c r="N339" i="8"/>
  <c r="AU127" i="8"/>
  <c r="O318" i="8"/>
  <c r="M103" i="8"/>
  <c r="P66" i="8"/>
  <c r="N204" i="8"/>
  <c r="U215" i="8"/>
  <c r="F118" i="8"/>
  <c r="T155" i="8"/>
  <c r="H234" i="5"/>
  <c r="S270" i="8"/>
  <c r="S129" i="8"/>
  <c r="M170" i="8"/>
  <c r="N90" i="8"/>
  <c r="V205" i="8"/>
  <c r="S259" i="8"/>
  <c r="K61" i="8"/>
  <c r="L341" i="8"/>
  <c r="J306" i="8"/>
  <c r="M203" i="8"/>
  <c r="M29" i="8"/>
  <c r="L210" i="8"/>
  <c r="F188" i="8"/>
  <c r="H131" i="8"/>
  <c r="V180" i="8"/>
  <c r="AC104" i="8"/>
  <c r="P240" i="8"/>
  <c r="J195" i="8"/>
  <c r="P180" i="8"/>
  <c r="J70" i="8"/>
  <c r="AU298" i="8"/>
  <c r="M66" i="8"/>
  <c r="Q39" i="8"/>
  <c r="N126" i="8"/>
  <c r="N226" i="8"/>
  <c r="X270" i="8"/>
  <c r="Q211" i="8"/>
  <c r="P173" i="8"/>
  <c r="U48" i="8"/>
  <c r="M65" i="8"/>
  <c r="J209" i="8"/>
  <c r="S158" i="8"/>
  <c r="O62" i="6"/>
  <c r="AH341" i="8"/>
  <c r="U154" i="8"/>
  <c r="P153" i="8"/>
  <c r="R301" i="8"/>
  <c r="R256" i="8"/>
  <c r="L303" i="8"/>
  <c r="J154" i="8"/>
  <c r="I59" i="8"/>
  <c r="N58" i="6"/>
  <c r="J89" i="8"/>
  <c r="I148" i="8"/>
  <c r="U230" i="8"/>
  <c r="U100" i="8"/>
  <c r="Q208" i="8"/>
  <c r="Q66" i="8"/>
  <c r="M131" i="8"/>
  <c r="R134" i="8"/>
  <c r="S84" i="8"/>
  <c r="P304" i="8"/>
  <c r="O199" i="8"/>
  <c r="AK64" i="8"/>
  <c r="AL210" i="8"/>
  <c r="AH35" i="8"/>
  <c r="AJ127" i="8"/>
  <c r="H171" i="5"/>
  <c r="J189" i="8"/>
  <c r="J226" i="8"/>
  <c r="T203" i="8"/>
  <c r="U282" i="8"/>
  <c r="M132" i="8"/>
  <c r="J289" i="8"/>
  <c r="T63" i="8"/>
  <c r="M215" i="8"/>
  <c r="R127" i="8"/>
  <c r="S29" i="8"/>
  <c r="AR100" i="8"/>
  <c r="L214" i="8"/>
  <c r="S314" i="8"/>
  <c r="P70" i="8"/>
  <c r="N337" i="8"/>
  <c r="U158" i="8"/>
  <c r="N161" i="8"/>
  <c r="F160" i="8"/>
  <c r="Q226" i="8"/>
  <c r="L93" i="8"/>
  <c r="N103" i="8"/>
  <c r="Q43" i="8"/>
  <c r="Z115" i="8"/>
  <c r="R67" i="8"/>
  <c r="M197" i="8"/>
  <c r="AD87" i="8"/>
  <c r="R288" i="8"/>
  <c r="U309" i="8"/>
  <c r="K82" i="8"/>
  <c r="N70" i="8"/>
  <c r="J313" i="8"/>
  <c r="M123" i="8"/>
  <c r="AD207" i="8"/>
  <c r="J52" i="8"/>
  <c r="J84" i="8"/>
  <c r="AC201" i="8"/>
  <c r="AA202" i="8"/>
  <c r="AU122" i="8"/>
  <c r="X348" i="8"/>
  <c r="O197" i="8"/>
  <c r="O56" i="8"/>
  <c r="T300" i="8"/>
  <c r="Q344" i="8"/>
  <c r="L307" i="8"/>
  <c r="O59" i="8"/>
  <c r="L300" i="8"/>
  <c r="L182" i="8"/>
  <c r="P311" i="8"/>
  <c r="O27" i="6"/>
  <c r="N82" i="8"/>
  <c r="T135" i="8"/>
  <c r="Q234" i="8"/>
  <c r="K149" i="8"/>
  <c r="R208" i="8"/>
  <c r="M50" i="8"/>
  <c r="AH158" i="8"/>
  <c r="Q123" i="8"/>
  <c r="H105" i="8"/>
  <c r="AH165" i="8"/>
  <c r="S329" i="8"/>
  <c r="K167" i="8"/>
  <c r="R101" i="8"/>
  <c r="U81" i="8"/>
  <c r="M282" i="8"/>
  <c r="S120" i="8"/>
  <c r="O43" i="8"/>
  <c r="U310" i="8"/>
  <c r="U116" i="8"/>
  <c r="K121" i="8"/>
  <c r="L69" i="8"/>
  <c r="Q190" i="8"/>
  <c r="L248" i="8"/>
  <c r="G348" i="8"/>
  <c r="S320" i="8"/>
  <c r="I144" i="8"/>
  <c r="M305" i="8"/>
  <c r="K73" i="8"/>
  <c r="R100" i="8"/>
  <c r="G71" i="8"/>
  <c r="N187" i="8"/>
  <c r="Q115" i="8"/>
  <c r="Z263" i="8"/>
  <c r="K142" i="8"/>
  <c r="I143" i="8"/>
  <c r="U76" i="8"/>
  <c r="L171" i="8"/>
  <c r="K311" i="8"/>
  <c r="J302" i="8"/>
  <c r="M189" i="8"/>
  <c r="AB123" i="8"/>
  <c r="R26" i="6"/>
  <c r="R68" i="8"/>
  <c r="U124" i="8"/>
  <c r="Q74" i="8"/>
  <c r="Q52" i="8"/>
  <c r="O136" i="8"/>
  <c r="J172" i="8"/>
  <c r="AT120" i="8"/>
  <c r="P145" i="8"/>
  <c r="P163" i="8"/>
  <c r="T118" i="8"/>
  <c r="O252" i="8"/>
  <c r="O181" i="8"/>
  <c r="G86" i="8"/>
  <c r="S283" i="8"/>
  <c r="AE289" i="8"/>
  <c r="L223" i="8"/>
  <c r="S61" i="8"/>
  <c r="K63" i="8"/>
  <c r="H223" i="5"/>
  <c r="F301" i="8"/>
  <c r="AD117" i="8"/>
  <c r="N162" i="8"/>
  <c r="K165" i="8"/>
  <c r="N174" i="8"/>
  <c r="L81" i="8"/>
  <c r="Q50" i="8"/>
  <c r="U108" i="8"/>
  <c r="AH161" i="8"/>
  <c r="AJ156" i="8"/>
  <c r="P155" i="8"/>
  <c r="F192" i="8"/>
  <c r="Q199" i="8"/>
  <c r="R172" i="8"/>
  <c r="AH272" i="8"/>
  <c r="AG201" i="8"/>
  <c r="F58" i="6"/>
  <c r="L76" i="8"/>
  <c r="P110" i="8"/>
  <c r="T325" i="8"/>
  <c r="K42" i="8"/>
  <c r="U331" i="8"/>
  <c r="O110" i="8"/>
  <c r="H46" i="8"/>
  <c r="P234" i="8"/>
  <c r="U23" i="8"/>
  <c r="N119" i="8"/>
  <c r="Q110" i="8"/>
  <c r="S206" i="8"/>
  <c r="AH304" i="8"/>
  <c r="AH327" i="8"/>
  <c r="S119" i="8"/>
  <c r="AF269" i="8"/>
  <c r="G282" i="8"/>
  <c r="J190" i="8"/>
  <c r="O111" i="8"/>
  <c r="J46" i="8"/>
  <c r="S146" i="8"/>
  <c r="P81" i="8"/>
  <c r="J105" i="8"/>
  <c r="N42" i="8"/>
  <c r="Q260" i="8"/>
  <c r="AA189" i="8"/>
  <c r="L34" i="8"/>
  <c r="H37" i="8"/>
  <c r="T153" i="8"/>
  <c r="M134" i="8"/>
  <c r="P136" i="8"/>
  <c r="M302" i="8"/>
  <c r="AH208" i="8"/>
  <c r="O48" i="8"/>
  <c r="U244" i="8"/>
  <c r="K333" i="8"/>
  <c r="G171" i="8"/>
  <c r="N31" i="8"/>
  <c r="J143" i="8"/>
  <c r="T154" i="8"/>
  <c r="M254" i="8"/>
  <c r="AL95" i="8"/>
  <c r="Y288" i="8"/>
  <c r="S205" i="8"/>
  <c r="H61" i="5"/>
  <c r="X146" i="8"/>
  <c r="O96" i="8"/>
  <c r="AH264" i="8"/>
  <c r="I31" i="8"/>
  <c r="J40" i="8"/>
  <c r="G45" i="8"/>
  <c r="T130" i="8"/>
  <c r="S224" i="8"/>
  <c r="N157" i="8"/>
  <c r="L153" i="8"/>
  <c r="M300" i="8"/>
  <c r="H246" i="5"/>
  <c r="M129" i="8"/>
  <c r="Q37" i="8"/>
  <c r="N215" i="8"/>
  <c r="AE38" i="8"/>
  <c r="O36" i="8"/>
  <c r="U145" i="8"/>
  <c r="F230" i="5"/>
  <c r="G265" i="8"/>
  <c r="F34" i="8"/>
  <c r="J320" i="8"/>
  <c r="K327" i="8"/>
  <c r="I203" i="8"/>
  <c r="AH126" i="8"/>
  <c r="L150" i="8"/>
  <c r="R20" i="8"/>
  <c r="I93" i="8"/>
  <c r="AB145" i="8"/>
  <c r="N110" i="8"/>
  <c r="J118" i="8"/>
  <c r="Q69" i="6"/>
  <c r="R344" i="8"/>
  <c r="J39" i="8"/>
  <c r="AT262" i="8"/>
  <c r="M164" i="8"/>
  <c r="S112" i="8"/>
  <c r="AF214" i="8"/>
  <c r="AL152" i="8"/>
  <c r="R302" i="8"/>
  <c r="Q125" i="8"/>
  <c r="Q314" i="8"/>
  <c r="H119" i="8"/>
  <c r="I150" i="8"/>
  <c r="I73" i="8"/>
  <c r="M165" i="8"/>
  <c r="AB140" i="8"/>
  <c r="F144" i="8"/>
  <c r="R309" i="8"/>
  <c r="Q54" i="8"/>
  <c r="K85" i="8"/>
  <c r="U313" i="8"/>
  <c r="I42" i="8"/>
  <c r="AD259" i="8"/>
  <c r="I167" i="8"/>
  <c r="J171" i="8"/>
  <c r="K89" i="8"/>
  <c r="P101" i="8"/>
  <c r="O157" i="8"/>
  <c r="I325" i="8"/>
  <c r="L294" i="8"/>
  <c r="P65" i="8"/>
  <c r="AA140" i="8"/>
  <c r="G184" i="8"/>
  <c r="H124" i="8"/>
  <c r="AM154" i="8"/>
  <c r="L117" i="8"/>
  <c r="I327" i="8"/>
  <c r="N127" i="8"/>
  <c r="O333" i="8"/>
  <c r="AU95" i="8"/>
  <c r="AC207" i="8"/>
  <c r="T346" i="8"/>
  <c r="S216" i="8"/>
  <c r="AU75" i="8"/>
  <c r="V129" i="8"/>
  <c r="AB20" i="8"/>
  <c r="T335" i="8"/>
  <c r="G105" i="8"/>
  <c r="Q127" i="8"/>
  <c r="Q146" i="8"/>
  <c r="AU32" i="8"/>
  <c r="K27" i="6"/>
  <c r="AU58" i="8"/>
  <c r="X191" i="8"/>
  <c r="G29" i="6"/>
  <c r="P184" i="8"/>
  <c r="O187" i="8"/>
  <c r="O153" i="8"/>
  <c r="R223" i="8"/>
  <c r="T71" i="8"/>
  <c r="U250" i="8"/>
  <c r="G148" i="8"/>
  <c r="R244" i="8"/>
  <c r="I204" i="8"/>
  <c r="I316" i="8"/>
  <c r="O288" i="8"/>
  <c r="O145" i="8"/>
  <c r="P236" i="8"/>
  <c r="M69" i="8"/>
  <c r="I267" i="8"/>
  <c r="K67" i="6"/>
  <c r="F133" i="8"/>
  <c r="AA272" i="8"/>
  <c r="AM31" i="8"/>
  <c r="AF211" i="8"/>
  <c r="F112" i="8"/>
  <c r="AB265" i="8"/>
  <c r="O164" i="8"/>
  <c r="J205" i="8"/>
  <c r="S68" i="8"/>
  <c r="M144" i="8"/>
  <c r="U201" i="8"/>
  <c r="N121" i="8"/>
  <c r="Q140" i="8"/>
  <c r="J178" i="8"/>
  <c r="J42" i="8"/>
  <c r="T190" i="8"/>
  <c r="O216" i="8"/>
  <c r="Q35" i="8"/>
  <c r="L73" i="8"/>
  <c r="M67" i="8"/>
  <c r="I250" i="8"/>
  <c r="Q197" i="8"/>
  <c r="U172" i="8"/>
  <c r="N313" i="8"/>
  <c r="K201" i="8"/>
  <c r="K346" i="8"/>
  <c r="M196" i="8"/>
  <c r="P27" i="6"/>
  <c r="Q36" i="8"/>
  <c r="O280" i="8"/>
  <c r="K71" i="8"/>
  <c r="M337" i="8"/>
  <c r="AG146" i="8"/>
  <c r="O346" i="8"/>
  <c r="U121" i="8"/>
  <c r="AG280" i="8"/>
  <c r="U195" i="8"/>
  <c r="T289" i="8"/>
  <c r="AM180" i="8"/>
  <c r="O194" i="8"/>
  <c r="F305" i="8"/>
  <c r="U105" i="8"/>
  <c r="I46" i="8"/>
  <c r="U140" i="8"/>
  <c r="O299" i="8"/>
  <c r="N183" i="8"/>
  <c r="S311" i="8"/>
  <c r="I207" i="8"/>
  <c r="O262" i="8"/>
  <c r="M76" i="8"/>
  <c r="T318" i="8"/>
  <c r="Q180" i="8"/>
  <c r="U346" i="8"/>
  <c r="R39" i="8"/>
  <c r="I58" i="8"/>
  <c r="X204" i="8"/>
  <c r="AH180" i="8"/>
  <c r="AU184" i="8"/>
  <c r="K34" i="8"/>
  <c r="P30" i="6"/>
  <c r="K274" i="8"/>
  <c r="J63" i="8"/>
  <c r="S299" i="8"/>
  <c r="K180" i="8"/>
  <c r="M54" i="8"/>
  <c r="O117" i="8"/>
  <c r="M143" i="8"/>
  <c r="P188" i="8"/>
  <c r="Q71" i="8"/>
  <c r="R248" i="8"/>
  <c r="AR289" i="8"/>
  <c r="T140" i="8"/>
  <c r="M84" i="8"/>
  <c r="R226" i="8"/>
  <c r="J132" i="8"/>
  <c r="I58" i="6"/>
  <c r="P20" i="8"/>
  <c r="P100" i="8"/>
  <c r="AC188" i="8"/>
  <c r="K86" i="8"/>
  <c r="U316" i="8"/>
  <c r="O313" i="8"/>
  <c r="AI293" i="8"/>
  <c r="AP280" i="8"/>
  <c r="T274" i="8"/>
  <c r="R153" i="8"/>
  <c r="N118" i="8"/>
  <c r="T54" i="8"/>
  <c r="J301" i="8"/>
  <c r="AN204" i="8"/>
  <c r="G112" i="8"/>
  <c r="I339" i="8"/>
  <c r="AH67" i="8"/>
  <c r="O267" i="8"/>
  <c r="H84" i="5"/>
  <c r="L335" i="8"/>
  <c r="L268" i="8"/>
  <c r="Q107" i="8"/>
  <c r="P327" i="8"/>
  <c r="Q33" i="8"/>
  <c r="J117" i="8"/>
  <c r="F289" i="5"/>
  <c r="P318" i="8"/>
  <c r="Q64" i="8"/>
  <c r="J74" i="8"/>
  <c r="K72" i="8"/>
  <c r="S23" i="1"/>
  <c r="U71" i="8"/>
  <c r="F304" i="8"/>
  <c r="O140" i="8"/>
  <c r="K166" i="8"/>
  <c r="T152" i="8"/>
  <c r="R148" i="8"/>
  <c r="Q341" i="8"/>
  <c r="U90" i="8"/>
  <c r="M146" i="8"/>
  <c r="G161" i="8"/>
  <c r="V95" i="8"/>
  <c r="R65" i="8"/>
  <c r="L297" i="8"/>
  <c r="F143" i="5"/>
  <c r="Y195" i="8"/>
  <c r="L194" i="8"/>
  <c r="N246" i="8"/>
  <c r="AH174" i="8"/>
  <c r="S67" i="8"/>
  <c r="M40" i="8"/>
  <c r="S217" i="8"/>
  <c r="M36" i="6"/>
  <c r="P87" i="8"/>
  <c r="R238" i="8"/>
  <c r="G37" i="6"/>
  <c r="F22" i="6"/>
  <c r="M102" i="8"/>
  <c r="R46" i="8"/>
  <c r="N335" i="8"/>
  <c r="O179" i="8"/>
  <c r="X108" i="8"/>
  <c r="AH143" i="8"/>
  <c r="M301" i="8"/>
  <c r="Q118" i="8"/>
  <c r="N106" i="8"/>
  <c r="AH122" i="8"/>
  <c r="N122" i="8"/>
  <c r="T310" i="8"/>
  <c r="AH202" i="8"/>
  <c r="M42" i="8"/>
  <c r="T333" i="8"/>
  <c r="F288" i="8"/>
  <c r="R123" i="8"/>
  <c r="K76" i="8"/>
  <c r="V171" i="8"/>
  <c r="N93" i="8"/>
  <c r="O178" i="8"/>
  <c r="P339" i="8"/>
  <c r="N195" i="8"/>
  <c r="P39" i="6"/>
  <c r="AU236" i="8"/>
  <c r="AN267" i="8"/>
  <c r="F197" i="8"/>
  <c r="AO162" i="8"/>
  <c r="H27" i="6"/>
  <c r="N279" i="8"/>
  <c r="P337" i="8"/>
  <c r="U190" i="8"/>
  <c r="J200" i="8"/>
  <c r="AI260" i="8"/>
  <c r="O101" i="8"/>
  <c r="O84" i="8"/>
  <c r="U101" i="8"/>
  <c r="L105" i="8"/>
  <c r="AH148" i="8"/>
  <c r="J223" i="8"/>
  <c r="AU211" i="8"/>
  <c r="L115" i="8"/>
  <c r="W259" i="8"/>
  <c r="AS117" i="8"/>
  <c r="H240" i="8"/>
  <c r="J43" i="6"/>
  <c r="O149" i="8"/>
  <c r="R42" i="8"/>
  <c r="V133" i="8"/>
  <c r="P45" i="8"/>
  <c r="O250" i="8"/>
  <c r="P72" i="8"/>
  <c r="AI188" i="8"/>
  <c r="R64" i="8"/>
  <c r="R279" i="8"/>
  <c r="S306" i="8"/>
  <c r="P196" i="8"/>
  <c r="K67" i="8"/>
  <c r="H303" i="8"/>
  <c r="M208" i="8"/>
  <c r="P82" i="8"/>
  <c r="I156" i="8"/>
  <c r="P120" i="8"/>
  <c r="J180" i="8"/>
  <c r="L37" i="8"/>
  <c r="J127" i="8"/>
  <c r="N95" i="8"/>
  <c r="AJ263" i="8"/>
  <c r="X260" i="8"/>
  <c r="AT201" i="8"/>
  <c r="M178" i="8"/>
  <c r="J208" i="8"/>
  <c r="S127" i="8"/>
  <c r="L77" i="8"/>
  <c r="W123" i="8"/>
  <c r="AC216" i="8"/>
  <c r="H68" i="5"/>
  <c r="G268" i="8"/>
  <c r="AN107" i="8"/>
  <c r="F293" i="8"/>
  <c r="T181" i="8"/>
  <c r="U95" i="8"/>
  <c r="J333" i="8"/>
  <c r="J76" i="8"/>
  <c r="K33" i="6"/>
  <c r="AK200" i="8"/>
  <c r="J67" i="6"/>
  <c r="L45" i="8"/>
  <c r="S56" i="1"/>
  <c r="T246" i="8"/>
  <c r="J50" i="8"/>
  <c r="J60" i="8"/>
  <c r="Q160" i="8"/>
  <c r="G102" i="8"/>
  <c r="R194" i="8"/>
  <c r="P316" i="8"/>
  <c r="M61" i="8"/>
  <c r="Q46" i="6"/>
  <c r="U59" i="8"/>
  <c r="G140" i="8"/>
  <c r="V157" i="8"/>
  <c r="T232" i="8"/>
  <c r="I149" i="8"/>
  <c r="V191" i="8"/>
  <c r="K90" i="8"/>
  <c r="Q141" i="8"/>
  <c r="G280" i="8"/>
  <c r="F250" i="5"/>
  <c r="O37" i="8"/>
  <c r="G41" i="6"/>
  <c r="R274" i="8"/>
  <c r="L125" i="8"/>
  <c r="AD133" i="8"/>
  <c r="H205" i="8"/>
  <c r="N36" i="6"/>
  <c r="G333" i="8"/>
  <c r="L189" i="8"/>
  <c r="J318" i="8"/>
  <c r="AU65" i="8"/>
  <c r="S58" i="8"/>
  <c r="Q117" i="8"/>
  <c r="J202" i="8"/>
  <c r="AH187" i="8"/>
  <c r="T124" i="8"/>
  <c r="H74" i="8"/>
  <c r="J31" i="8"/>
  <c r="R203" i="8"/>
  <c r="S162" i="8"/>
  <c r="I264" i="8"/>
  <c r="S161" i="8"/>
  <c r="X212" i="8"/>
  <c r="F65" i="8"/>
  <c r="O132" i="8"/>
  <c r="H192" i="5"/>
  <c r="Q46" i="8"/>
  <c r="I329" i="8"/>
  <c r="K155" i="8"/>
  <c r="Q252" i="8"/>
  <c r="F96" i="5"/>
  <c r="S274" i="8"/>
  <c r="S202" i="8"/>
  <c r="S48" i="8"/>
  <c r="M100" i="8"/>
  <c r="M115" i="8"/>
  <c r="J39" i="6"/>
  <c r="G289" i="8"/>
  <c r="K272" i="8"/>
  <c r="I206" i="8"/>
  <c r="O108" i="8"/>
  <c r="U106" i="8"/>
  <c r="S195" i="8"/>
  <c r="AR194" i="8"/>
  <c r="L50" i="6"/>
  <c r="L205" i="8"/>
  <c r="G132" i="8"/>
  <c r="L67" i="8"/>
  <c r="O270" i="8"/>
  <c r="AM214" i="8"/>
  <c r="T92" i="8"/>
  <c r="P86" i="8"/>
  <c r="M210" i="8"/>
  <c r="U156" i="8"/>
  <c r="P181" i="8"/>
  <c r="K69" i="8"/>
  <c r="AL217" i="8"/>
  <c r="Q60" i="8"/>
  <c r="J210" i="8"/>
  <c r="AE264" i="8"/>
  <c r="L100" i="8"/>
  <c r="L92" i="8"/>
  <c r="K210" i="8"/>
  <c r="T309" i="8"/>
  <c r="P298" i="8"/>
  <c r="Q112" i="8"/>
  <c r="O127" i="8"/>
  <c r="T312" i="8" l="1"/>
  <c r="L94" i="8"/>
  <c r="T94" i="8"/>
  <c r="L51" i="6"/>
  <c r="K273" i="8"/>
  <c r="J40" i="6"/>
  <c r="M128" i="8"/>
  <c r="S49" i="8"/>
  <c r="S275" i="8"/>
  <c r="K96" i="5"/>
  <c r="Q253" i="8"/>
  <c r="I330" i="8"/>
  <c r="I363" i="8" s="1"/>
  <c r="J41" i="8"/>
  <c r="AH218" i="8"/>
  <c r="J319" i="8"/>
  <c r="G334" i="8"/>
  <c r="G375" i="8" s="1"/>
  <c r="N38" i="6"/>
  <c r="R275" i="8"/>
  <c r="G42" i="6"/>
  <c r="F251" i="5"/>
  <c r="K250" i="5"/>
  <c r="T233" i="8"/>
  <c r="Q47" i="6"/>
  <c r="P317" i="8"/>
  <c r="J51" i="8"/>
  <c r="T247" i="8"/>
  <c r="S57" i="1"/>
  <c r="L47" i="8"/>
  <c r="J68" i="6"/>
  <c r="J334" i="8"/>
  <c r="J375" i="8" s="1"/>
  <c r="U97" i="8"/>
  <c r="N97" i="8"/>
  <c r="R281" i="8"/>
  <c r="O251" i="8"/>
  <c r="P47" i="8"/>
  <c r="R44" i="8"/>
  <c r="J44" i="6"/>
  <c r="H241" i="8"/>
  <c r="W261" i="8"/>
  <c r="L128" i="8"/>
  <c r="O88" i="8"/>
  <c r="P338" i="8"/>
  <c r="P377" i="8" s="1"/>
  <c r="N281" i="8"/>
  <c r="AN271" i="8"/>
  <c r="AU237" i="8"/>
  <c r="P40" i="6"/>
  <c r="P340" i="8"/>
  <c r="P378" i="8" s="1"/>
  <c r="F290" i="8"/>
  <c r="T334" i="8"/>
  <c r="T375" i="8" s="1"/>
  <c r="M44" i="8"/>
  <c r="N336" i="8"/>
  <c r="N376" i="8" s="1"/>
  <c r="R239" i="8"/>
  <c r="M38" i="6"/>
  <c r="N247" i="8"/>
  <c r="K143" i="5"/>
  <c r="L308" i="8"/>
  <c r="V97" i="8"/>
  <c r="Q342" i="8"/>
  <c r="Q379" i="8" s="1"/>
  <c r="T169" i="8"/>
  <c r="P319" i="8"/>
  <c r="K289" i="5"/>
  <c r="P328" i="8"/>
  <c r="P362" i="8" s="1"/>
  <c r="L336" i="8"/>
  <c r="L376" i="8" s="1"/>
  <c r="H88" i="5"/>
  <c r="O271" i="8"/>
  <c r="I340" i="8"/>
  <c r="I378" i="8" s="1"/>
  <c r="T55" i="8"/>
  <c r="T275" i="8"/>
  <c r="O315" i="8"/>
  <c r="U317" i="8"/>
  <c r="P21" i="8"/>
  <c r="I59" i="6"/>
  <c r="R227" i="8"/>
  <c r="M88" i="8"/>
  <c r="R249" i="8"/>
  <c r="M55" i="8"/>
  <c r="K275" i="8"/>
  <c r="U347" i="8"/>
  <c r="T319" i="8"/>
  <c r="O266" i="8"/>
  <c r="O347" i="8"/>
  <c r="M338" i="8"/>
  <c r="M377" i="8" s="1"/>
  <c r="K347" i="8"/>
  <c r="N315" i="8"/>
  <c r="I251" i="8"/>
  <c r="J44" i="8"/>
  <c r="AM41" i="8"/>
  <c r="AA273" i="8"/>
  <c r="K68" i="6"/>
  <c r="I271" i="8"/>
  <c r="P237" i="8"/>
  <c r="O290" i="8"/>
  <c r="I317" i="8"/>
  <c r="R245" i="8"/>
  <c r="U251" i="8"/>
  <c r="O218" i="8"/>
  <c r="T336" i="8"/>
  <c r="T376" i="8" s="1"/>
  <c r="AB21" i="8"/>
  <c r="V137" i="8"/>
  <c r="T347" i="8"/>
  <c r="AU97" i="8"/>
  <c r="O334" i="8"/>
  <c r="O375" i="8" s="1"/>
  <c r="I328" i="8"/>
  <c r="I362" i="8" s="1"/>
  <c r="I326" i="8"/>
  <c r="I361" i="8" s="1"/>
  <c r="K91" i="8"/>
  <c r="AD261" i="8"/>
  <c r="I44" i="8"/>
  <c r="U315" i="8"/>
  <c r="Q55" i="8"/>
  <c r="R312" i="8"/>
  <c r="AL169" i="8"/>
  <c r="AT266" i="8"/>
  <c r="R345" i="8"/>
  <c r="Q70" i="6"/>
  <c r="N113" i="8"/>
  <c r="R21" i="8"/>
  <c r="K328" i="8"/>
  <c r="K362" i="8" s="1"/>
  <c r="J321" i="8"/>
  <c r="F231" i="5"/>
  <c r="K230" i="5"/>
  <c r="M137" i="8"/>
  <c r="H247" i="5"/>
  <c r="S225" i="8"/>
  <c r="G47" i="8"/>
  <c r="I41" i="8"/>
  <c r="Y290" i="8"/>
  <c r="AL97" i="8"/>
  <c r="M255" i="8"/>
  <c r="N41" i="8"/>
  <c r="K334" i="8"/>
  <c r="K375" i="8" s="1"/>
  <c r="U245" i="8"/>
  <c r="O49" i="8"/>
  <c r="N44" i="8"/>
  <c r="P83" i="8"/>
  <c r="G284" i="8"/>
  <c r="AH328" i="8"/>
  <c r="AH362" i="8" s="1"/>
  <c r="Q113" i="8"/>
  <c r="U24" i="8"/>
  <c r="P235" i="8"/>
  <c r="O113" i="8"/>
  <c r="U332" i="8"/>
  <c r="U374" i="8" s="1"/>
  <c r="K44" i="8"/>
  <c r="T326" i="8"/>
  <c r="T361" i="8" s="1"/>
  <c r="P113" i="8"/>
  <c r="F59" i="6"/>
  <c r="AH273" i="8"/>
  <c r="Q51" i="8"/>
  <c r="L83" i="8"/>
  <c r="O253" i="8"/>
  <c r="Q53" i="8"/>
  <c r="Q128" i="8"/>
  <c r="N218" i="8"/>
  <c r="S321" i="8"/>
  <c r="G349" i="8"/>
  <c r="L249" i="8"/>
  <c r="M284" i="8"/>
  <c r="U83" i="8"/>
  <c r="S330" i="8"/>
  <c r="S363" i="8" s="1"/>
  <c r="M51" i="8"/>
  <c r="Q235" i="8"/>
  <c r="Q345" i="8"/>
  <c r="O79" i="8"/>
  <c r="X349" i="8"/>
  <c r="J88" i="8"/>
  <c r="J53" i="8"/>
  <c r="J315" i="8"/>
  <c r="U312" i="8"/>
  <c r="R290" i="8"/>
  <c r="Z128" i="8"/>
  <c r="Q227" i="8"/>
  <c r="N338" i="8"/>
  <c r="N377" i="8" s="1"/>
  <c r="U284" i="8"/>
  <c r="J227" i="8"/>
  <c r="S88" i="8"/>
  <c r="U231" i="8"/>
  <c r="J91" i="8"/>
  <c r="N59" i="6"/>
  <c r="R257" i="8"/>
  <c r="AH342" i="8"/>
  <c r="AH379" i="8" s="1"/>
  <c r="O63" i="6"/>
  <c r="U49" i="8"/>
  <c r="N227" i="8"/>
  <c r="P241" i="8"/>
  <c r="L342" i="8"/>
  <c r="L379" i="8" s="1"/>
  <c r="S261" i="8"/>
  <c r="M185" i="8"/>
  <c r="S137" i="8"/>
  <c r="H235" i="5"/>
  <c r="O319" i="8"/>
  <c r="N340" i="8"/>
  <c r="N378" i="8" s="1"/>
  <c r="K77" i="5"/>
  <c r="L68" i="6"/>
  <c r="J345" i="8"/>
  <c r="H97" i="8"/>
  <c r="Q321" i="8"/>
  <c r="W229" i="8"/>
  <c r="T338" i="8"/>
  <c r="T377" i="8" s="1"/>
  <c r="K235" i="8"/>
  <c r="S241" i="8"/>
  <c r="M319" i="8"/>
  <c r="H113" i="8"/>
  <c r="K257" i="8"/>
  <c r="O53" i="6"/>
  <c r="N317" i="8"/>
  <c r="AG247" i="8"/>
  <c r="T249" i="8"/>
  <c r="G312" i="8"/>
  <c r="L255" i="8"/>
  <c r="AU243" i="8"/>
  <c r="U340" i="8"/>
  <c r="U378" i="8" s="1"/>
  <c r="J312" i="8"/>
  <c r="P47" i="6"/>
  <c r="K340" i="8"/>
  <c r="K378" i="8" s="1"/>
  <c r="S21" i="8"/>
  <c r="S109" i="8"/>
  <c r="Y273" i="8"/>
  <c r="U345" i="8"/>
  <c r="L266" i="8"/>
  <c r="AU233" i="8"/>
  <c r="M328" i="8"/>
  <c r="M362" i="8" s="1"/>
  <c r="AK271" i="8"/>
  <c r="J151" i="8"/>
  <c r="N109" i="8"/>
  <c r="S97" i="8"/>
  <c r="AL266" i="8"/>
  <c r="F326" i="5"/>
  <c r="K325" i="5"/>
  <c r="J26" i="8"/>
  <c r="K336" i="8"/>
  <c r="K376" i="8" s="1"/>
  <c r="N79" i="8"/>
  <c r="Q225" i="8"/>
  <c r="H44" i="8"/>
  <c r="M94" i="8"/>
  <c r="X345" i="8"/>
  <c r="M336" i="8"/>
  <c r="M376" i="8" s="1"/>
  <c r="P342" i="8"/>
  <c r="P379" i="8" s="1"/>
  <c r="J332" i="8"/>
  <c r="J374" i="8" s="1"/>
  <c r="S284" i="8"/>
  <c r="Q97" i="8"/>
  <c r="O336" i="8"/>
  <c r="O376" i="8" s="1"/>
  <c r="M340" i="8"/>
  <c r="M378" i="8" s="1"/>
  <c r="AH317" i="8"/>
  <c r="K317" i="8"/>
  <c r="M235" i="8"/>
  <c r="Q266" i="8"/>
  <c r="AR317" i="8"/>
  <c r="R97" i="8"/>
  <c r="Q44" i="8"/>
  <c r="R61" i="6"/>
  <c r="N334" i="8"/>
  <c r="N375" i="8" s="1"/>
  <c r="F24" i="8"/>
  <c r="F30" i="8" s="1"/>
  <c r="K251" i="8"/>
  <c r="K319" i="8"/>
  <c r="Q317" i="8"/>
  <c r="AB239" i="8"/>
  <c r="P257" i="8"/>
  <c r="G326" i="8"/>
  <c r="G361" i="8" s="1"/>
  <c r="S249" i="8"/>
  <c r="J271" i="8"/>
  <c r="I347" i="8"/>
  <c r="R273" i="8"/>
  <c r="O349" i="8"/>
  <c r="K191" i="5"/>
  <c r="J317" i="8"/>
  <c r="P255" i="8"/>
  <c r="P336" i="8"/>
  <c r="P376" i="8" s="1"/>
  <c r="U241" i="8"/>
  <c r="O24" i="8"/>
  <c r="R55" i="6"/>
  <c r="L26" i="8"/>
  <c r="F315" i="8"/>
  <c r="I257" i="8"/>
  <c r="L257" i="8"/>
  <c r="M253" i="8"/>
  <c r="U281" i="8"/>
  <c r="M317" i="8"/>
  <c r="F281" i="5"/>
  <c r="AH185" i="8"/>
  <c r="M273" i="8"/>
  <c r="J185" i="8"/>
  <c r="R332" i="8"/>
  <c r="R374" i="8" s="1"/>
  <c r="S251" i="8"/>
  <c r="Q245" i="8"/>
  <c r="AA185" i="8"/>
  <c r="L63" i="6"/>
  <c r="L57" i="6"/>
  <c r="S218" i="8"/>
  <c r="Q218" i="8"/>
  <c r="R113" i="8"/>
  <c r="AF261" i="8"/>
  <c r="R266" i="8"/>
  <c r="I113" i="8"/>
  <c r="N235" i="8"/>
  <c r="AU24" i="8"/>
  <c r="R94" i="8"/>
  <c r="U94" i="8"/>
  <c r="P94" i="8"/>
  <c r="AK319" i="8"/>
  <c r="AC97" i="8"/>
  <c r="T284" i="8"/>
  <c r="H38" i="6"/>
  <c r="U91" i="8"/>
  <c r="G83" i="8"/>
  <c r="O137" i="8"/>
  <c r="Q151" i="8"/>
  <c r="S257" i="8"/>
  <c r="AB241" i="8"/>
  <c r="J55" i="6"/>
  <c r="O229" i="8"/>
  <c r="P169" i="8"/>
  <c r="N275" i="8"/>
  <c r="AB266" i="8"/>
  <c r="S53" i="8"/>
  <c r="AM109" i="8"/>
  <c r="R328" i="8"/>
  <c r="R362" i="8" s="1"/>
  <c r="G315" i="8"/>
  <c r="F237" i="5"/>
  <c r="K236" i="5"/>
  <c r="AG317" i="8"/>
  <c r="N51" i="8"/>
  <c r="AP347" i="8"/>
  <c r="K152" i="5"/>
  <c r="F169" i="5"/>
  <c r="T225" i="8"/>
  <c r="P249" i="8"/>
  <c r="F70" i="6"/>
  <c r="M290" i="8"/>
  <c r="G266" i="8"/>
  <c r="AO185" i="8"/>
  <c r="M169" i="8"/>
  <c r="AU275" i="8"/>
  <c r="J169" i="8"/>
  <c r="I91" i="8"/>
  <c r="L334" i="8"/>
  <c r="L375" i="8" s="1"/>
  <c r="H65" i="6"/>
  <c r="Q185" i="8"/>
  <c r="S271" i="8"/>
  <c r="I53" i="8"/>
  <c r="K338" i="8"/>
  <c r="K377" i="8" s="1"/>
  <c r="X128" i="8"/>
  <c r="J251" i="8"/>
  <c r="H24" i="5"/>
  <c r="H321" i="5"/>
  <c r="I128" i="8"/>
  <c r="T21" i="8"/>
  <c r="U253" i="8"/>
  <c r="R326" i="8"/>
  <c r="R361" i="8" s="1"/>
  <c r="O243" i="8"/>
  <c r="AH257" i="8"/>
  <c r="S44" i="1"/>
  <c r="AH24" i="8"/>
  <c r="AH30" i="8" s="1"/>
  <c r="K87" i="5"/>
  <c r="P315" i="8"/>
  <c r="T330" i="8"/>
  <c r="T363" i="8" s="1"/>
  <c r="R349" i="8"/>
  <c r="R284" i="8"/>
  <c r="N345" i="8"/>
  <c r="R243" i="8"/>
  <c r="S340" i="8"/>
  <c r="S378" i="8" s="1"/>
  <c r="P91" i="8"/>
  <c r="J308" i="8"/>
  <c r="S243" i="8"/>
  <c r="AO271" i="8"/>
  <c r="J63" i="6"/>
  <c r="R315" i="8"/>
  <c r="L340" i="8"/>
  <c r="L378" i="8" s="1"/>
  <c r="U237" i="8"/>
  <c r="T53" i="8"/>
  <c r="T349" i="8"/>
  <c r="F239" i="5"/>
  <c r="K238" i="5"/>
  <c r="J97" i="8"/>
  <c r="L109" i="8"/>
  <c r="Q334" i="8"/>
  <c r="Q375" i="8" s="1"/>
  <c r="I342" i="8"/>
  <c r="I379" i="8" s="1"/>
  <c r="I55" i="6"/>
  <c r="AT319" i="8"/>
  <c r="S94" i="8"/>
  <c r="H255" i="8"/>
  <c r="T328" i="8"/>
  <c r="T362" i="8" s="1"/>
  <c r="H315" i="8"/>
  <c r="K209" i="5"/>
  <c r="N55" i="8"/>
  <c r="R229" i="8"/>
  <c r="N266" i="8"/>
  <c r="I315" i="8"/>
  <c r="AM319" i="8"/>
  <c r="R83" i="8"/>
  <c r="I247" i="8"/>
  <c r="K24" i="8"/>
  <c r="Q41" i="8"/>
  <c r="P137" i="8"/>
  <c r="AU347" i="8"/>
  <c r="J253" i="8"/>
  <c r="Q79" i="8"/>
  <c r="AN109" i="8"/>
  <c r="S290" i="8"/>
  <c r="Q47" i="8"/>
  <c r="T235" i="8"/>
  <c r="J336" i="8"/>
  <c r="J376" i="8" s="1"/>
  <c r="F113" i="8"/>
  <c r="O51" i="8"/>
  <c r="H79" i="8"/>
  <c r="AM284" i="8"/>
  <c r="M249" i="8"/>
  <c r="T83" i="8"/>
  <c r="O345" i="8"/>
  <c r="R233" i="8"/>
  <c r="O35" i="6"/>
  <c r="U185" i="8"/>
  <c r="R251" i="8"/>
  <c r="S253" i="8"/>
  <c r="O53" i="8"/>
  <c r="K215" i="5"/>
  <c r="J266" i="8"/>
  <c r="G1" i="5"/>
  <c r="G18" i="5" s="1"/>
  <c r="J17" i="5" s="1"/>
  <c r="L44" i="8"/>
  <c r="M345" i="8"/>
  <c r="O249" i="8"/>
  <c r="O72" i="6"/>
  <c r="I235" i="8"/>
  <c r="U336" i="8"/>
  <c r="U376" i="8" s="1"/>
  <c r="P218" i="8"/>
  <c r="K61" i="5"/>
  <c r="R185" i="8"/>
  <c r="W345" i="8"/>
  <c r="N249" i="8"/>
  <c r="K139" i="5"/>
  <c r="AU151" i="8"/>
  <c r="M308" i="8"/>
  <c r="L321" i="8"/>
  <c r="J235" i="8"/>
  <c r="U255" i="8"/>
  <c r="O233" i="8"/>
  <c r="L49" i="6"/>
  <c r="I334" i="8"/>
  <c r="I375" i="8" s="1"/>
  <c r="U41" i="8"/>
  <c r="J49" i="8"/>
  <c r="R57" i="6"/>
  <c r="U330" i="8"/>
  <c r="U363" i="8" s="1"/>
  <c r="R319" i="8"/>
  <c r="T231" i="8"/>
  <c r="K85" i="5"/>
  <c r="T44" i="8"/>
  <c r="L326" i="8"/>
  <c r="L361" i="8" s="1"/>
  <c r="R308" i="8"/>
  <c r="T151" i="8"/>
  <c r="I49" i="8"/>
  <c r="K314" i="5"/>
  <c r="Q59" i="6"/>
  <c r="T88" i="8"/>
  <c r="AA113" i="8"/>
  <c r="Q261" i="8"/>
  <c r="O26" i="8"/>
  <c r="AG275" i="8"/>
  <c r="J229" i="8"/>
  <c r="F321" i="5"/>
  <c r="K320" i="5"/>
  <c r="M218" i="8"/>
  <c r="L328" i="8"/>
  <c r="L362" i="8" s="1"/>
  <c r="H266" i="5"/>
  <c r="AM261" i="8"/>
  <c r="H317" i="8"/>
  <c r="K134" i="5"/>
  <c r="AU185" i="8"/>
  <c r="U239" i="8"/>
  <c r="S231" i="8"/>
  <c r="AH231" i="8"/>
  <c r="K49" i="8"/>
  <c r="G336" i="8"/>
  <c r="G376" i="8" s="1"/>
  <c r="AU315" i="8"/>
  <c r="N83" i="8"/>
  <c r="U290" i="8"/>
  <c r="AU255" i="8"/>
  <c r="P97" i="8"/>
  <c r="O257" i="8"/>
  <c r="O241" i="8"/>
  <c r="K329" i="5"/>
  <c r="F330" i="5"/>
  <c r="F363" i="5" s="1"/>
  <c r="H324" i="5"/>
  <c r="H360" i="5" s="1"/>
  <c r="P68" i="6"/>
  <c r="K109" i="8"/>
  <c r="AL345" i="8"/>
  <c r="AI317" i="8"/>
  <c r="H42" i="6"/>
  <c r="AI113" i="8"/>
  <c r="G49" i="6"/>
  <c r="S229" i="8"/>
  <c r="AH251" i="8"/>
  <c r="Q290" i="8"/>
  <c r="S55" i="8"/>
  <c r="H271" i="5"/>
  <c r="I253" i="8"/>
  <c r="K59" i="5"/>
  <c r="P243" i="8"/>
  <c r="S91" i="8"/>
  <c r="K65" i="5"/>
  <c r="O59" i="6"/>
  <c r="H53" i="8"/>
  <c r="H185" i="8"/>
  <c r="Q38" i="6"/>
  <c r="X253" i="8"/>
  <c r="R330" i="8"/>
  <c r="R363" i="8" s="1"/>
  <c r="G51" i="8"/>
  <c r="K47" i="8"/>
  <c r="AU324" i="8"/>
  <c r="AU360" i="8" s="1"/>
  <c r="J83" i="8"/>
  <c r="F68" i="6"/>
  <c r="P185" i="8"/>
  <c r="R91" i="8"/>
  <c r="AA284" i="8"/>
  <c r="K94" i="8"/>
  <c r="M35" i="6"/>
  <c r="U21" i="8"/>
  <c r="K308" i="8"/>
  <c r="M247" i="8"/>
  <c r="F347" i="8"/>
  <c r="AU229" i="8"/>
  <c r="M312" i="8"/>
  <c r="S59" i="1"/>
  <c r="K321" i="8"/>
  <c r="AH49" i="8"/>
  <c r="K83" i="8"/>
  <c r="H245" i="5"/>
  <c r="O261" i="8"/>
  <c r="S273" i="8"/>
  <c r="I47" i="8"/>
  <c r="AU88" i="8"/>
  <c r="H347" i="8"/>
  <c r="L281" i="8"/>
  <c r="G324" i="8"/>
  <c r="G360" i="8" s="1"/>
  <c r="O231" i="8"/>
  <c r="N342" i="8"/>
  <c r="N379" i="8" s="1"/>
  <c r="L284" i="8"/>
  <c r="AH290" i="8"/>
  <c r="I79" i="8"/>
  <c r="R47" i="6"/>
  <c r="R347" i="8"/>
  <c r="K243" i="8"/>
  <c r="J330" i="8"/>
  <c r="J363" i="8" s="1"/>
  <c r="O338" i="8"/>
  <c r="O377" i="8" s="1"/>
  <c r="AF273" i="8"/>
  <c r="J261" i="8"/>
  <c r="N94" i="8"/>
  <c r="M21" i="8"/>
  <c r="N347" i="8"/>
  <c r="S26" i="8"/>
  <c r="S345" i="8"/>
  <c r="P79" i="8"/>
  <c r="M42" i="6"/>
  <c r="P326" i="8"/>
  <c r="P361" i="8" s="1"/>
  <c r="AU340" i="8"/>
  <c r="AU378" i="8" s="1"/>
  <c r="I109" i="8"/>
  <c r="K281" i="8"/>
  <c r="M324" i="8"/>
  <c r="M360" i="8" s="1"/>
  <c r="U319" i="8"/>
  <c r="S281" i="8"/>
  <c r="T266" i="8"/>
  <c r="AH237" i="8"/>
  <c r="K178" i="5"/>
  <c r="I35" i="6"/>
  <c r="H41" i="8"/>
  <c r="O109" i="8"/>
  <c r="Q91" i="8"/>
  <c r="Z275" i="8"/>
  <c r="Q26" i="8"/>
  <c r="Q63" i="6"/>
  <c r="K55" i="8"/>
  <c r="AQ273" i="8"/>
  <c r="T251" i="8"/>
  <c r="L319" i="8"/>
  <c r="K169" i="8"/>
  <c r="K324" i="8"/>
  <c r="K360" i="8" s="1"/>
  <c r="P308" i="8"/>
  <c r="L42" i="6"/>
  <c r="M47" i="8"/>
  <c r="K35" i="6"/>
  <c r="F336" i="8"/>
  <c r="F376" i="8" s="1"/>
  <c r="AC26" i="8"/>
  <c r="W349" i="8"/>
  <c r="M151" i="8"/>
  <c r="P151" i="8"/>
  <c r="L315" i="8"/>
  <c r="H57" i="6"/>
  <c r="AN255" i="8"/>
  <c r="AN218" i="8"/>
  <c r="F225" i="8"/>
  <c r="L347" i="8"/>
  <c r="H94" i="5"/>
  <c r="I47" i="6"/>
  <c r="J349" i="8"/>
  <c r="G49" i="8"/>
  <c r="AJ349" i="8"/>
  <c r="N290" i="8"/>
  <c r="I275" i="8"/>
  <c r="K261" i="8"/>
  <c r="J24" i="8"/>
  <c r="F328" i="8"/>
  <c r="F362" i="8" s="1"/>
  <c r="J79" i="8"/>
  <c r="T227" i="8"/>
  <c r="T253" i="8"/>
  <c r="I345" i="8"/>
  <c r="AF266" i="8"/>
  <c r="Z273" i="8"/>
  <c r="T241" i="8"/>
  <c r="S332" i="8"/>
  <c r="S374" i="8" s="1"/>
  <c r="T342" i="8"/>
  <c r="T379" i="8" s="1"/>
  <c r="I94" i="8"/>
  <c r="L55" i="8"/>
  <c r="P284" i="8"/>
  <c r="M315" i="8"/>
  <c r="AH151" i="8"/>
  <c r="AU239" i="8"/>
  <c r="J342" i="8"/>
  <c r="J379" i="8" s="1"/>
  <c r="P332" i="8"/>
  <c r="P374" i="8" s="1"/>
  <c r="M271" i="8"/>
  <c r="T321" i="8"/>
  <c r="K266" i="8"/>
  <c r="Q88" i="8"/>
  <c r="AU128" i="8"/>
  <c r="H349" i="5"/>
  <c r="U109" i="8"/>
  <c r="K59" i="6"/>
  <c r="AU273" i="8"/>
  <c r="AJ321" i="8"/>
  <c r="K217" i="5"/>
  <c r="AK97" i="8"/>
  <c r="K172" i="5"/>
  <c r="O225" i="8"/>
  <c r="Q271" i="8"/>
  <c r="P345" i="8"/>
  <c r="L312" i="8"/>
  <c r="U275" i="8"/>
  <c r="H26" i="5"/>
  <c r="AU235" i="8"/>
  <c r="O70" i="6"/>
  <c r="G308" i="8"/>
  <c r="N330" i="8"/>
  <c r="N363" i="8" s="1"/>
  <c r="F349" i="8"/>
  <c r="K51" i="8"/>
  <c r="O31" i="6"/>
  <c r="O40" i="6"/>
  <c r="R51" i="6"/>
  <c r="AU53" i="8"/>
  <c r="AF251" i="8"/>
  <c r="Q284" i="8"/>
  <c r="I229" i="8"/>
  <c r="U26" i="8"/>
  <c r="U27" i="8" s="1"/>
  <c r="AU249" i="8"/>
  <c r="I70" i="6"/>
  <c r="P35" i="6"/>
  <c r="AH336" i="8"/>
  <c r="AH376" i="8" s="1"/>
  <c r="V235" i="8"/>
  <c r="P26" i="8"/>
  <c r="K237" i="8"/>
  <c r="F21" i="5"/>
  <c r="AS97" i="8"/>
  <c r="P51" i="8"/>
  <c r="L317" i="8"/>
  <c r="S83" i="8"/>
  <c r="F275" i="5"/>
  <c r="T128" i="8"/>
  <c r="I237" i="8"/>
  <c r="I231" i="8"/>
  <c r="T237" i="8"/>
  <c r="K199" i="5"/>
  <c r="P239" i="8"/>
  <c r="K239" i="8"/>
  <c r="T51" i="8"/>
  <c r="H342" i="8"/>
  <c r="H379" i="8" s="1"/>
  <c r="Q94" i="8"/>
  <c r="M24" i="8"/>
  <c r="F243" i="8"/>
  <c r="O332" i="8"/>
  <c r="O374" i="8" s="1"/>
  <c r="M275" i="8"/>
  <c r="X290" i="8"/>
  <c r="I97" i="8"/>
  <c r="F338" i="8"/>
  <c r="F377" i="8" s="1"/>
  <c r="P128" i="8"/>
  <c r="F241" i="5"/>
  <c r="K240" i="5"/>
  <c r="G227" i="8"/>
  <c r="J275" i="8"/>
  <c r="N151" i="8"/>
  <c r="F185" i="5"/>
  <c r="K170" i="5"/>
  <c r="F334" i="8"/>
  <c r="F375" i="8" s="1"/>
  <c r="J42" i="6"/>
  <c r="R109" i="8"/>
  <c r="S334" i="8"/>
  <c r="S375" i="8" s="1"/>
  <c r="R35" i="6"/>
  <c r="M321" i="8"/>
  <c r="H24" i="8"/>
  <c r="V284" i="8"/>
  <c r="S72" i="1"/>
  <c r="L290" i="8"/>
  <c r="T281" i="8"/>
  <c r="L231" i="8"/>
  <c r="M349" i="8"/>
  <c r="M266" i="8"/>
  <c r="O328" i="8"/>
  <c r="O362" i="8" s="1"/>
  <c r="R241" i="8"/>
  <c r="AM317" i="8"/>
  <c r="AP349" i="8"/>
  <c r="N284" i="8"/>
  <c r="L338" i="8"/>
  <c r="L377" i="8" s="1"/>
  <c r="AU41" i="8"/>
  <c r="AH315" i="8"/>
  <c r="AU312" i="8"/>
  <c r="T26" i="8"/>
  <c r="H308" i="5"/>
  <c r="N44" i="6"/>
  <c r="K201" i="5"/>
  <c r="M79" i="8"/>
  <c r="K131" i="5"/>
  <c r="P88" i="8"/>
  <c r="V233" i="8"/>
  <c r="Z261" i="8"/>
  <c r="G35" i="6"/>
  <c r="Y97" i="8"/>
  <c r="AN97" i="8"/>
  <c r="AH340" i="8"/>
  <c r="AH378" i="8" s="1"/>
  <c r="M231" i="8"/>
  <c r="N239" i="8"/>
  <c r="P261" i="8"/>
  <c r="AB340" i="8"/>
  <c r="AB378" i="8" s="1"/>
  <c r="T24" i="8"/>
  <c r="T30" i="8" s="1"/>
  <c r="T137" i="8"/>
  <c r="G253" i="8"/>
  <c r="P70" i="6"/>
  <c r="N241" i="8"/>
  <c r="U243" i="8"/>
  <c r="T113" i="8"/>
  <c r="F332" i="5"/>
  <c r="K331" i="5"/>
  <c r="F231" i="8"/>
  <c r="S47" i="8"/>
  <c r="T273" i="8"/>
  <c r="Z271" i="8"/>
  <c r="F324" i="8"/>
  <c r="F360" i="8" s="1"/>
  <c r="S51" i="1"/>
  <c r="S319" i="8"/>
  <c r="N26" i="8"/>
  <c r="AM266" i="8"/>
  <c r="U266" i="8"/>
  <c r="M225" i="8"/>
  <c r="P53" i="8"/>
  <c r="O83" i="8"/>
  <c r="S151" i="8"/>
  <c r="K133" i="5"/>
  <c r="J113" i="8"/>
  <c r="J239" i="8"/>
  <c r="AK326" i="8"/>
  <c r="AK361" i="8" s="1"/>
  <c r="Q247" i="8"/>
  <c r="M47" i="6"/>
  <c r="I88" i="8"/>
  <c r="AH338" i="8"/>
  <c r="AH377" i="8" s="1"/>
  <c r="AS137" i="8"/>
  <c r="R49" i="8"/>
  <c r="AU261" i="8"/>
  <c r="AH332" i="8"/>
  <c r="AH374" i="8" s="1"/>
  <c r="H330" i="5"/>
  <c r="H363" i="5" s="1"/>
  <c r="F88" i="8"/>
  <c r="N47" i="6"/>
  <c r="AA321" i="8"/>
  <c r="AQ97" i="8"/>
  <c r="S169" i="8"/>
  <c r="J290" i="8"/>
  <c r="L330" i="8"/>
  <c r="L363" i="8" s="1"/>
  <c r="U229" i="8"/>
  <c r="N308" i="8"/>
  <c r="U79" i="8"/>
  <c r="O281" i="8"/>
  <c r="H51" i="6"/>
  <c r="K135" i="5"/>
  <c r="F281" i="8"/>
  <c r="L169" i="8"/>
  <c r="F253" i="5"/>
  <c r="K252" i="5"/>
  <c r="F63" i="6"/>
  <c r="N237" i="8"/>
  <c r="N35" i="6"/>
  <c r="O55" i="8"/>
  <c r="L53" i="8"/>
  <c r="M347" i="8"/>
  <c r="F47" i="8"/>
  <c r="T332" i="8"/>
  <c r="T374" i="8" s="1"/>
  <c r="X330" i="8"/>
  <c r="X363" i="8" s="1"/>
  <c r="F271" i="8"/>
  <c r="AH137" i="8"/>
  <c r="K311" i="5"/>
  <c r="AG347" i="8"/>
  <c r="Q229" i="8"/>
  <c r="J70" i="6"/>
  <c r="K73" i="5"/>
  <c r="AK312" i="8"/>
  <c r="R342" i="8"/>
  <c r="R379" i="8" s="1"/>
  <c r="R24" i="8"/>
  <c r="R30" i="8" s="1"/>
  <c r="X347" i="8"/>
  <c r="K128" i="8"/>
  <c r="H68" i="6"/>
  <c r="AK290" i="8"/>
  <c r="AR319" i="8"/>
  <c r="K182" i="5"/>
  <c r="G340" i="8"/>
  <c r="G378" i="8" s="1"/>
  <c r="AQ257" i="8"/>
  <c r="S317" i="8"/>
  <c r="P55" i="6"/>
  <c r="J21" i="8"/>
  <c r="I273" i="8"/>
  <c r="AT218" i="8"/>
  <c r="M91" i="8"/>
  <c r="U113" i="8"/>
  <c r="R324" i="8"/>
  <c r="R360" i="8" s="1"/>
  <c r="S237" i="8"/>
  <c r="AJ273" i="8"/>
  <c r="F330" i="8"/>
  <c r="F363" i="8" s="1"/>
  <c r="K78" i="5"/>
  <c r="I151" i="8"/>
  <c r="H245" i="8"/>
  <c r="AU47" i="8"/>
  <c r="P109" i="8"/>
  <c r="F109" i="8"/>
  <c r="F114" i="8" s="1"/>
  <c r="Q241" i="8"/>
  <c r="U324" i="8"/>
  <c r="U360" i="8" s="1"/>
  <c r="Q255" i="8"/>
  <c r="S245" i="8"/>
  <c r="R321" i="8"/>
  <c r="X113" i="8"/>
  <c r="F290" i="5"/>
  <c r="K288" i="5"/>
  <c r="K271" i="8"/>
  <c r="G229" i="8"/>
  <c r="N271" i="8"/>
  <c r="M233" i="8"/>
  <c r="M53" i="6"/>
  <c r="N321" i="8"/>
  <c r="AE109" i="8"/>
  <c r="M257" i="8"/>
  <c r="P271" i="8"/>
  <c r="AO97" i="8"/>
  <c r="J231" i="8"/>
  <c r="P227" i="8"/>
  <c r="I233" i="8"/>
  <c r="H109" i="8"/>
  <c r="AU290" i="8"/>
  <c r="AK109" i="8"/>
  <c r="H275" i="8"/>
  <c r="J273" i="8"/>
  <c r="P324" i="8"/>
  <c r="P360" i="8" s="1"/>
  <c r="AD281" i="8"/>
  <c r="H31" i="6"/>
  <c r="AB185" i="8"/>
  <c r="U338" i="8"/>
  <c r="U377" i="8" s="1"/>
  <c r="F49" i="6"/>
  <c r="S41" i="8"/>
  <c r="P233" i="8"/>
  <c r="H55" i="5"/>
  <c r="K234" i="5"/>
  <c r="F235" i="5"/>
  <c r="AC271" i="8"/>
  <c r="AI330" i="8"/>
  <c r="AI363" i="8" s="1"/>
  <c r="K195" i="5"/>
  <c r="K205" i="5"/>
  <c r="N245" i="8"/>
  <c r="S255" i="8"/>
  <c r="I321" i="8"/>
  <c r="AH308" i="8"/>
  <c r="K349" i="8"/>
  <c r="J249" i="8"/>
  <c r="K47" i="6"/>
  <c r="P225" i="8"/>
  <c r="M113" i="8"/>
  <c r="M41" i="8"/>
  <c r="P51" i="6"/>
  <c r="L332" i="8"/>
  <c r="L374" i="8" s="1"/>
  <c r="R218" i="8"/>
  <c r="P253" i="8"/>
  <c r="H308" i="8"/>
  <c r="AB257" i="8"/>
  <c r="L137" i="8"/>
  <c r="K63" i="6"/>
  <c r="F26" i="5"/>
  <c r="K25" i="5"/>
  <c r="X109" i="8"/>
  <c r="M51" i="6"/>
  <c r="N128" i="8"/>
  <c r="Q312" i="8"/>
  <c r="R55" i="8"/>
  <c r="G21" i="8"/>
  <c r="L271" i="8"/>
  <c r="L225" i="8"/>
  <c r="O44" i="8"/>
  <c r="F334" i="5"/>
  <c r="K333" i="5"/>
  <c r="AG271" i="8"/>
  <c r="I83" i="8"/>
  <c r="U227" i="8"/>
  <c r="F273" i="5"/>
  <c r="Y239" i="8"/>
  <c r="J31" i="6"/>
  <c r="H83" i="8"/>
  <c r="R49" i="6"/>
  <c r="M83" i="8"/>
  <c r="Q55" i="6"/>
  <c r="S113" i="8"/>
  <c r="T290" i="8"/>
  <c r="U128" i="8"/>
  <c r="K181" i="5"/>
  <c r="S24" i="8"/>
  <c r="O308" i="8"/>
  <c r="K142" i="5"/>
  <c r="R63" i="6"/>
  <c r="K136" i="5"/>
  <c r="F261" i="5"/>
  <c r="AU253" i="8"/>
  <c r="Q273" i="8"/>
  <c r="AF317" i="8"/>
  <c r="L97" i="8"/>
  <c r="U328" i="8"/>
  <c r="U362" i="8" s="1"/>
  <c r="Y241" i="8"/>
  <c r="L229" i="8"/>
  <c r="K42" i="5"/>
  <c r="F44" i="5"/>
  <c r="K140" i="5"/>
  <c r="AQ347" i="8"/>
  <c r="K90" i="5"/>
  <c r="T229" i="8"/>
  <c r="AK349" i="8"/>
  <c r="J324" i="8"/>
  <c r="J360" i="8" s="1"/>
  <c r="AA347" i="8"/>
  <c r="P321" i="8"/>
  <c r="G88" i="8"/>
  <c r="N328" i="8"/>
  <c r="N362" i="8" s="1"/>
  <c r="AH324" i="8"/>
  <c r="AH360" i="8" s="1"/>
  <c r="G273" i="8"/>
  <c r="F55" i="6"/>
  <c r="J38" i="6"/>
  <c r="K253" i="8"/>
  <c r="S336" i="8"/>
  <c r="S376" i="8" s="1"/>
  <c r="Q328" i="8"/>
  <c r="Q362" i="8" s="1"/>
  <c r="K74" i="5"/>
  <c r="P59" i="6"/>
  <c r="Q349" i="8"/>
  <c r="R47" i="8"/>
  <c r="V113" i="8"/>
  <c r="F151" i="8"/>
  <c r="K66" i="5"/>
  <c r="AD326" i="8"/>
  <c r="AD361" i="8" s="1"/>
  <c r="F57" i="6"/>
  <c r="K147" i="5"/>
  <c r="AK275" i="8"/>
  <c r="K50" i="5"/>
  <c r="F51" i="5"/>
  <c r="K26" i="8"/>
  <c r="K227" i="8"/>
  <c r="J47" i="6"/>
  <c r="AU281" i="8"/>
  <c r="AF218" i="8"/>
  <c r="S338" i="8"/>
  <c r="S377" i="8" s="1"/>
  <c r="Q319" i="8"/>
  <c r="K218" i="8"/>
  <c r="U137" i="8"/>
  <c r="Q324" i="8"/>
  <c r="Q360" i="8" s="1"/>
  <c r="T91" i="8"/>
  <c r="N55" i="6"/>
  <c r="T255" i="8"/>
  <c r="I21" i="8"/>
  <c r="J338" i="8"/>
  <c r="J377" i="8" s="1"/>
  <c r="O324" i="8"/>
  <c r="O360" i="8" s="1"/>
  <c r="K162" i="5"/>
  <c r="I227" i="8"/>
  <c r="K132" i="5"/>
  <c r="F109" i="5"/>
  <c r="AU109" i="8"/>
  <c r="I266" i="8"/>
  <c r="Q40" i="6"/>
  <c r="AU94" i="8"/>
  <c r="K249" i="8"/>
  <c r="U51" i="8"/>
  <c r="F257" i="5"/>
  <c r="K256" i="5"/>
  <c r="AC281" i="8"/>
  <c r="Q61" i="6"/>
  <c r="W324" i="8"/>
  <c r="W360" i="8" s="1"/>
  <c r="AJ271" i="8"/>
  <c r="T317" i="8"/>
  <c r="M332" i="8"/>
  <c r="M374" i="8" s="1"/>
  <c r="K189" i="5"/>
  <c r="AH255" i="8"/>
  <c r="U47" i="8"/>
  <c r="AE26" i="8"/>
  <c r="AT281" i="8"/>
  <c r="H328" i="8"/>
  <c r="H362" i="8" s="1"/>
  <c r="K64" i="5"/>
  <c r="K228" i="5"/>
  <c r="F229" i="5"/>
  <c r="AU26" i="8"/>
  <c r="AT88" i="8"/>
  <c r="AE347" i="8"/>
  <c r="F326" i="8"/>
  <c r="F361" i="8" s="1"/>
  <c r="AU21" i="8"/>
  <c r="M243" i="8"/>
  <c r="O273" i="8"/>
  <c r="M251" i="8"/>
  <c r="L21" i="8"/>
  <c r="I332" i="8"/>
  <c r="I374" i="8" s="1"/>
  <c r="T49" i="8"/>
  <c r="AU55" i="8"/>
  <c r="O151" i="8"/>
  <c r="L218" i="8"/>
  <c r="I308" i="8"/>
  <c r="AU227" i="8"/>
  <c r="AI281" i="8"/>
  <c r="I218" i="8"/>
  <c r="V275" i="8"/>
  <c r="AD227" i="8"/>
  <c r="AI137" i="8"/>
  <c r="AS88" i="8"/>
  <c r="N233" i="8"/>
  <c r="AJ241" i="8"/>
  <c r="M109" i="8"/>
  <c r="T345" i="8"/>
  <c r="J347" i="8"/>
  <c r="AP273" i="8"/>
  <c r="K144" i="5"/>
  <c r="P61" i="6"/>
  <c r="I40" i="6"/>
  <c r="AK26" i="8"/>
  <c r="Q65" i="6"/>
  <c r="G281" i="8"/>
  <c r="P231" i="8"/>
  <c r="N255" i="8"/>
  <c r="U225" i="8"/>
  <c r="AH249" i="8"/>
  <c r="M241" i="8"/>
  <c r="R271" i="8"/>
  <c r="N91" i="8"/>
  <c r="K97" i="8"/>
  <c r="K342" i="8"/>
  <c r="K379" i="8" s="1"/>
  <c r="Q257" i="8"/>
  <c r="K326" i="8"/>
  <c r="K361" i="8" s="1"/>
  <c r="H128" i="8"/>
  <c r="AD275" i="8"/>
  <c r="F225" i="5"/>
  <c r="K221" i="5"/>
  <c r="AQ284" i="8"/>
  <c r="AO137" i="8"/>
  <c r="G239" i="8"/>
  <c r="U273" i="8"/>
  <c r="H249" i="8"/>
  <c r="U53" i="8"/>
  <c r="O227" i="8"/>
  <c r="P24" i="8"/>
  <c r="P27" i="8" s="1"/>
  <c r="K60" i="5"/>
  <c r="L91" i="8"/>
  <c r="F261" i="8"/>
  <c r="K245" i="8"/>
  <c r="U308" i="8"/>
  <c r="K67" i="5"/>
  <c r="H51" i="8"/>
  <c r="AG26" i="8"/>
  <c r="AH271" i="8"/>
  <c r="AC249" i="8"/>
  <c r="F26" i="8"/>
  <c r="F27" i="8" s="1"/>
  <c r="H241" i="5"/>
  <c r="K86" i="5"/>
  <c r="O317" i="8"/>
  <c r="K61" i="6"/>
  <c r="AH88" i="8"/>
  <c r="H26" i="8"/>
  <c r="R88" i="8"/>
  <c r="AU349" i="8"/>
  <c r="T185" i="8"/>
  <c r="O41" i="8"/>
  <c r="AJ284" i="8"/>
  <c r="G31" i="6"/>
  <c r="K53" i="6"/>
  <c r="AK251" i="8"/>
  <c r="U257" i="8"/>
  <c r="I338" i="8"/>
  <c r="I377" i="8" s="1"/>
  <c r="M65" i="6"/>
  <c r="L72" i="6"/>
  <c r="G26" i="8"/>
  <c r="R235" i="8"/>
  <c r="F47" i="5"/>
  <c r="K45" i="5"/>
  <c r="H151" i="8"/>
  <c r="G59" i="6"/>
  <c r="AD49" i="8"/>
  <c r="H225" i="5"/>
  <c r="AM128" i="8"/>
  <c r="K202" i="5"/>
  <c r="N21" i="8"/>
  <c r="I312" i="8"/>
  <c r="Q281" i="8"/>
  <c r="Q275" i="8"/>
  <c r="F41" i="8"/>
  <c r="N88" i="8"/>
  <c r="N169" i="8"/>
  <c r="I336" i="8"/>
  <c r="I376" i="8" s="1"/>
  <c r="K330" i="8"/>
  <c r="K363" i="8" s="1"/>
  <c r="J326" i="8"/>
  <c r="J361" i="8" s="1"/>
  <c r="S233" i="8"/>
  <c r="Q169" i="8"/>
  <c r="N312" i="8"/>
  <c r="G231" i="8"/>
  <c r="P266" i="8"/>
  <c r="J257" i="8"/>
  <c r="H225" i="8"/>
  <c r="R317" i="8"/>
  <c r="I261" i="8"/>
  <c r="AD109" i="8"/>
  <c r="G169" i="8"/>
  <c r="AR271" i="8"/>
  <c r="AD266" i="8"/>
  <c r="Q68" i="6"/>
  <c r="J340" i="8"/>
  <c r="J378" i="8" s="1"/>
  <c r="N243" i="8"/>
  <c r="L49" i="8"/>
  <c r="K241" i="8"/>
  <c r="AH312" i="8"/>
  <c r="K53" i="8"/>
  <c r="H49" i="6"/>
  <c r="Q237" i="8"/>
  <c r="AH26" i="8"/>
  <c r="K151" i="8"/>
  <c r="S266" i="8"/>
  <c r="G319" i="8"/>
  <c r="H61" i="6"/>
  <c r="K130" i="5"/>
  <c r="G338" i="8"/>
  <c r="G377" i="8" s="1"/>
  <c r="Y275" i="8"/>
  <c r="L55" i="6"/>
  <c r="O247" i="8"/>
  <c r="K137" i="8"/>
  <c r="H231" i="5"/>
  <c r="O340" i="8"/>
  <c r="O378" i="8" s="1"/>
  <c r="L261" i="8"/>
  <c r="U249" i="8"/>
  <c r="O275" i="8"/>
  <c r="R231" i="8"/>
  <c r="H83" i="5"/>
  <c r="H367" i="5" s="1"/>
  <c r="AH21" i="8"/>
  <c r="G243" i="8"/>
  <c r="AN349" i="8"/>
  <c r="F345" i="8"/>
  <c r="U326" i="8"/>
  <c r="U361" i="8" s="1"/>
  <c r="AN261" i="8"/>
  <c r="X218" i="8"/>
  <c r="AU332" i="8"/>
  <c r="AU374" i="8" s="1"/>
  <c r="AC349" i="8"/>
  <c r="U55" i="8"/>
  <c r="AK284" i="8"/>
  <c r="O91" i="8"/>
  <c r="F321" i="8"/>
  <c r="AH349" i="8"/>
  <c r="F61" i="6"/>
  <c r="Q44" i="6"/>
  <c r="W347" i="8"/>
  <c r="AU231" i="8"/>
  <c r="L324" i="8"/>
  <c r="L360" i="8" s="1"/>
  <c r="AH330" i="8"/>
  <c r="AH363" i="8" s="1"/>
  <c r="AG321" i="8"/>
  <c r="AJ97" i="8"/>
  <c r="G55" i="8"/>
  <c r="H345" i="8"/>
  <c r="O128" i="8"/>
  <c r="I243" i="8"/>
  <c r="AG261" i="8"/>
  <c r="AD284" i="8"/>
  <c r="P65" i="6"/>
  <c r="AG88" i="8"/>
  <c r="K44" i="6"/>
  <c r="AH281" i="8"/>
  <c r="AC231" i="8"/>
  <c r="F44" i="6"/>
  <c r="AT109" i="8"/>
  <c r="F137" i="8"/>
  <c r="K210" i="5"/>
  <c r="J109" i="8"/>
  <c r="R41" i="8"/>
  <c r="R352" i="8" s="1"/>
  <c r="M334" i="8"/>
  <c r="M375" i="8" s="1"/>
  <c r="S308" i="8"/>
  <c r="S359" i="8" s="1"/>
  <c r="Q31" i="6"/>
  <c r="L65" i="6"/>
  <c r="N261" i="8"/>
  <c r="R38" i="6"/>
  <c r="O65" i="6"/>
  <c r="U334" i="8"/>
  <c r="U375" i="8" s="1"/>
  <c r="AH239" i="8"/>
  <c r="W169" i="8"/>
  <c r="AH47" i="8"/>
  <c r="AU247" i="8"/>
  <c r="I72" i="6"/>
  <c r="L40" i="6"/>
  <c r="P38" i="6"/>
  <c r="X97" i="8"/>
  <c r="AG273" i="8"/>
  <c r="T271" i="8"/>
  <c r="H151" i="5"/>
  <c r="U151" i="8"/>
  <c r="O245" i="8"/>
  <c r="AT290" i="8"/>
  <c r="L275" i="8"/>
  <c r="H55" i="8"/>
  <c r="P290" i="8"/>
  <c r="G24" i="8"/>
  <c r="G30" i="8" s="1"/>
  <c r="K72" i="5"/>
  <c r="H340" i="8"/>
  <c r="H378" i="8" s="1"/>
  <c r="AU334" i="8"/>
  <c r="AU375" i="8" s="1"/>
  <c r="F312" i="5"/>
  <c r="K309" i="5"/>
  <c r="F245" i="8"/>
  <c r="H109" i="5"/>
  <c r="K62" i="5"/>
  <c r="T245" i="8"/>
  <c r="Y227" i="8"/>
  <c r="AI261" i="8"/>
  <c r="M49" i="8"/>
  <c r="H266" i="8"/>
  <c r="H312" i="5"/>
  <c r="N47" i="8"/>
  <c r="L88" i="8"/>
  <c r="M229" i="8"/>
  <c r="K294" i="5"/>
  <c r="F185" i="8"/>
  <c r="I169" i="8"/>
  <c r="G241" i="8"/>
  <c r="AM321" i="8"/>
  <c r="F49" i="8"/>
  <c r="R261" i="8"/>
  <c r="AP83" i="8"/>
  <c r="F284" i="8"/>
  <c r="V349" i="8"/>
  <c r="AB271" i="8"/>
  <c r="L151" i="8"/>
  <c r="M53" i="8"/>
  <c r="AH345" i="8"/>
  <c r="M261" i="8"/>
  <c r="AB97" i="8"/>
  <c r="AT317" i="8"/>
  <c r="G233" i="8"/>
  <c r="AJ345" i="8"/>
  <c r="AE332" i="8"/>
  <c r="AE374" i="8" s="1"/>
  <c r="W44" i="8"/>
  <c r="AN247" i="8"/>
  <c r="AD237" i="8"/>
  <c r="AT275" i="8"/>
  <c r="M72" i="6"/>
  <c r="G91" i="8"/>
  <c r="H319" i="8"/>
  <c r="L233" i="8"/>
  <c r="G235" i="8"/>
  <c r="K231" i="8"/>
  <c r="O312" i="8"/>
  <c r="L239" i="8"/>
  <c r="AB290" i="8"/>
  <c r="N319" i="8"/>
  <c r="H231" i="8"/>
  <c r="AT151" i="8"/>
  <c r="H247" i="8"/>
  <c r="G44" i="8"/>
  <c r="AJ218" i="8"/>
  <c r="M61" i="6"/>
  <c r="I249" i="8"/>
  <c r="J245" i="8"/>
  <c r="J328" i="8"/>
  <c r="J362" i="8" s="1"/>
  <c r="T340" i="8"/>
  <c r="T378" i="8" s="1"/>
  <c r="I53" i="6"/>
  <c r="K229" i="8"/>
  <c r="P347" i="8"/>
  <c r="G275" i="8"/>
  <c r="G271" i="8"/>
  <c r="X255" i="8"/>
  <c r="K58" i="5"/>
  <c r="H91" i="8"/>
  <c r="H35" i="6"/>
  <c r="AK137" i="8"/>
  <c r="I38" i="6"/>
  <c r="L59" i="6"/>
  <c r="F91" i="8"/>
  <c r="AL349" i="8"/>
  <c r="G261" i="8"/>
  <c r="AF271" i="8"/>
  <c r="AB24" i="8"/>
  <c r="AB30" i="8" s="1"/>
  <c r="T261" i="8"/>
  <c r="H261" i="8"/>
  <c r="M330" i="8"/>
  <c r="M363" i="8" s="1"/>
  <c r="O235" i="8"/>
  <c r="I241" i="8"/>
  <c r="O255" i="8"/>
  <c r="AC319" i="8"/>
  <c r="Q49" i="8"/>
  <c r="F137" i="5"/>
  <c r="K129" i="5"/>
  <c r="G63" i="6"/>
  <c r="R247" i="8"/>
  <c r="AS271" i="8"/>
  <c r="AU328" i="8"/>
  <c r="AU362" i="8" s="1"/>
  <c r="K310" i="5"/>
  <c r="G249" i="8"/>
  <c r="AS281" i="8"/>
  <c r="AQ109" i="8"/>
  <c r="I281" i="8"/>
  <c r="AT128" i="8"/>
  <c r="J47" i="8"/>
  <c r="F169" i="8"/>
  <c r="R59" i="6"/>
  <c r="F53" i="8"/>
  <c r="G245" i="8"/>
  <c r="AS319" i="8"/>
  <c r="I137" i="8"/>
  <c r="L41" i="8"/>
  <c r="M227" i="8"/>
  <c r="H336" i="8"/>
  <c r="H376" i="8" s="1"/>
  <c r="U247" i="8"/>
  <c r="U349" i="8"/>
  <c r="K79" i="8"/>
  <c r="F340" i="8"/>
  <c r="F378" i="8" s="1"/>
  <c r="Z137" i="8"/>
  <c r="K179" i="5"/>
  <c r="K216" i="5"/>
  <c r="AM24" i="8"/>
  <c r="AJ245" i="8"/>
  <c r="Z218" i="8"/>
  <c r="AP330" i="8"/>
  <c r="AP363" i="8" s="1"/>
  <c r="J284" i="8"/>
  <c r="AP97" i="8"/>
  <c r="AC330" i="8"/>
  <c r="AC363" i="8" s="1"/>
  <c r="G53" i="6"/>
  <c r="K41" i="8"/>
  <c r="N229" i="8"/>
  <c r="F317" i="8"/>
  <c r="R334" i="8"/>
  <c r="R375" i="8" s="1"/>
  <c r="U342" i="8"/>
  <c r="U379" i="8" s="1"/>
  <c r="J225" i="8"/>
  <c r="G251" i="8"/>
  <c r="AC218" i="8"/>
  <c r="R42" i="6"/>
  <c r="AF227" i="8"/>
  <c r="Y83" i="8"/>
  <c r="F235" i="8"/>
  <c r="G342" i="8"/>
  <c r="G379" i="8" s="1"/>
  <c r="V326" i="8"/>
  <c r="V361" i="8" s="1"/>
  <c r="AI284" i="8"/>
  <c r="AJ266" i="8"/>
  <c r="M342" i="8"/>
  <c r="M379" i="8" s="1"/>
  <c r="J255" i="8"/>
  <c r="I24" i="8"/>
  <c r="P55" i="8"/>
  <c r="M97" i="8"/>
  <c r="H47" i="6"/>
  <c r="R336" i="8"/>
  <c r="R376" i="8" s="1"/>
  <c r="AU345" i="8"/>
  <c r="O330" i="8"/>
  <c r="O363" i="8" s="1"/>
  <c r="K225" i="8"/>
  <c r="K284" i="8"/>
  <c r="K247" i="8"/>
  <c r="J237" i="8"/>
  <c r="AQ349" i="8"/>
  <c r="L241" i="8"/>
  <c r="G290" i="8"/>
  <c r="R68" i="6"/>
  <c r="AU169" i="8"/>
  <c r="K341" i="5"/>
  <c r="F342" i="5"/>
  <c r="F379" i="5" s="1"/>
  <c r="AH44" i="8"/>
  <c r="AN321" i="8"/>
  <c r="K69" i="5"/>
  <c r="R53" i="8"/>
  <c r="AU308" i="8"/>
  <c r="K332" i="8"/>
  <c r="K374" i="8" s="1"/>
  <c r="I319" i="8"/>
  <c r="N24" i="8"/>
  <c r="N27" i="8" s="1"/>
  <c r="K255" i="8"/>
  <c r="AN227" i="8"/>
  <c r="L113" i="8"/>
  <c r="T109" i="8"/>
  <c r="K70" i="6"/>
  <c r="G255" i="8"/>
  <c r="I49" i="6"/>
  <c r="AJ113" i="8"/>
  <c r="F83" i="5"/>
  <c r="S35" i="1"/>
  <c r="G68" i="6"/>
  <c r="K149" i="5"/>
  <c r="AH253" i="8"/>
  <c r="AH334" i="8"/>
  <c r="AH375" i="8" s="1"/>
  <c r="AP317" i="8"/>
  <c r="K163" i="5"/>
  <c r="N49" i="8"/>
  <c r="AU218" i="8"/>
  <c r="AP275" i="8"/>
  <c r="F229" i="8"/>
  <c r="AN290" i="8"/>
  <c r="AT49" i="8"/>
  <c r="AP109" i="8"/>
  <c r="AL26" i="8"/>
  <c r="AK328" i="8"/>
  <c r="AK362" i="8" s="1"/>
  <c r="AR245" i="8"/>
  <c r="AO330" i="8"/>
  <c r="AO363" i="8" s="1"/>
  <c r="K171" i="5"/>
  <c r="X326" i="8"/>
  <c r="X361" i="8" s="1"/>
  <c r="L185" i="8"/>
  <c r="Q330" i="8"/>
  <c r="Q363" i="8" s="1"/>
  <c r="L345" i="8"/>
  <c r="AI229" i="8"/>
  <c r="L253" i="8"/>
  <c r="S51" i="8"/>
  <c r="K345" i="8"/>
  <c r="L235" i="8"/>
  <c r="R253" i="8"/>
  <c r="O326" i="8"/>
  <c r="O361" i="8" s="1"/>
  <c r="S44" i="8"/>
  <c r="J241" i="8"/>
  <c r="T41" i="8"/>
  <c r="N253" i="8"/>
  <c r="P251" i="8"/>
  <c r="H326" i="5"/>
  <c r="H361" i="5" s="1"/>
  <c r="Q239" i="8"/>
  <c r="AR281" i="8"/>
  <c r="K145" i="5"/>
  <c r="AL261" i="8"/>
  <c r="G38" i="6"/>
  <c r="AP231" i="8"/>
  <c r="AH97" i="8"/>
  <c r="S247" i="8"/>
  <c r="J243" i="8"/>
  <c r="G44" i="6"/>
  <c r="J137" i="8"/>
  <c r="L237" i="8"/>
  <c r="S79" i="8"/>
  <c r="AH241" i="8"/>
  <c r="R151" i="8"/>
  <c r="O342" i="8"/>
  <c r="O379" i="8" s="1"/>
  <c r="S312" i="8"/>
  <c r="O47" i="8"/>
  <c r="F94" i="8"/>
  <c r="P275" i="8"/>
  <c r="Q137" i="8"/>
  <c r="Q233" i="8"/>
  <c r="K38" i="6"/>
  <c r="AU83" i="8"/>
  <c r="K184" i="5"/>
  <c r="F218" i="8"/>
  <c r="W273" i="8"/>
  <c r="F253" i="8"/>
  <c r="P273" i="8"/>
  <c r="M55" i="6"/>
  <c r="J281" i="8"/>
  <c r="AU266" i="8"/>
  <c r="K158" i="5"/>
  <c r="T239" i="8"/>
  <c r="U233" i="8"/>
  <c r="N273" i="8"/>
  <c r="N257" i="8"/>
  <c r="S42" i="1"/>
  <c r="AU321" i="8"/>
  <c r="K200" i="5"/>
  <c r="AN319" i="8"/>
  <c r="Q249" i="8"/>
  <c r="S235" i="8"/>
  <c r="K233" i="8"/>
  <c r="AT249" i="8"/>
  <c r="L245" i="8"/>
  <c r="AS290" i="8"/>
  <c r="H271" i="8"/>
  <c r="N185" i="8"/>
  <c r="W266" i="8"/>
  <c r="H47" i="8"/>
  <c r="X317" i="8"/>
  <c r="V225" i="8"/>
  <c r="V109" i="8"/>
  <c r="J59" i="6"/>
  <c r="Z109" i="8"/>
  <c r="AD169" i="8"/>
  <c r="R338" i="8"/>
  <c r="R377" i="8" s="1"/>
  <c r="F271" i="5"/>
  <c r="K271" i="5" s="1"/>
  <c r="K190" i="5"/>
  <c r="AH229" i="8"/>
  <c r="F255" i="8"/>
  <c r="K293" i="5"/>
  <c r="AQ317" i="8"/>
  <c r="K188" i="5"/>
  <c r="H332" i="8"/>
  <c r="H374" i="8" s="1"/>
  <c r="O51" i="6"/>
  <c r="H40" i="6"/>
  <c r="G237" i="8"/>
  <c r="Q347" i="8"/>
  <c r="N326" i="8"/>
  <c r="N361" i="8" s="1"/>
  <c r="V261" i="8"/>
  <c r="N332" i="8"/>
  <c r="N374" i="8" s="1"/>
  <c r="AF113" i="8"/>
  <c r="N63" i="6"/>
  <c r="O239" i="8"/>
  <c r="S227" i="8"/>
  <c r="F342" i="8"/>
  <c r="F379" i="8" s="1"/>
  <c r="AN273" i="8"/>
  <c r="AO319" i="8"/>
  <c r="O61" i="6"/>
  <c r="AH169" i="8"/>
  <c r="K56" i="5"/>
  <c r="F79" i="5"/>
  <c r="AM218" i="8"/>
  <c r="H290" i="8"/>
  <c r="K180" i="5"/>
  <c r="H70" i="6"/>
  <c r="N65" i="6"/>
  <c r="U261" i="8"/>
  <c r="M237" i="8"/>
  <c r="T218" i="8"/>
  <c r="R169" i="8"/>
  <c r="K88" i="8"/>
  <c r="G151" i="8"/>
  <c r="S347" i="8"/>
  <c r="T47" i="8"/>
  <c r="AD271" i="8"/>
  <c r="AH94" i="8"/>
  <c r="H53" i="6"/>
  <c r="W275" i="8"/>
  <c r="J51" i="6"/>
  <c r="S326" i="8"/>
  <c r="S361" i="8" s="1"/>
  <c r="AT26" i="8"/>
  <c r="N324" i="8"/>
  <c r="N360" i="8" s="1"/>
  <c r="I284" i="8"/>
  <c r="L227" i="8"/>
  <c r="I349" i="8"/>
  <c r="P49" i="8"/>
  <c r="L273" i="8"/>
  <c r="P42" i="6"/>
  <c r="AB235" i="8"/>
  <c r="F312" i="8"/>
  <c r="F368" i="8" s="1"/>
  <c r="H349" i="8"/>
  <c r="Q308" i="8"/>
  <c r="H255" i="5"/>
  <c r="J218" i="8"/>
  <c r="R128" i="8"/>
  <c r="J65" i="6"/>
  <c r="H312" i="8"/>
  <c r="G347" i="8"/>
  <c r="AP328" i="8"/>
  <c r="AP362" i="8" s="1"/>
  <c r="AM91" i="8"/>
  <c r="AN266" i="8"/>
  <c r="AU137" i="8"/>
  <c r="K71" i="5"/>
  <c r="AH41" i="8"/>
  <c r="V26" i="8"/>
  <c r="AL218" i="8"/>
  <c r="AI334" i="8"/>
  <c r="AI375" i="8" s="1"/>
  <c r="AD321" i="8"/>
  <c r="AN249" i="8"/>
  <c r="AR243" i="8"/>
  <c r="AS245" i="8"/>
  <c r="F319" i="8"/>
  <c r="F308" i="8"/>
  <c r="P44" i="6"/>
  <c r="AO261" i="8"/>
  <c r="AU330" i="8"/>
  <c r="AU363" i="8" s="1"/>
  <c r="X257" i="8"/>
  <c r="AI94" i="8"/>
  <c r="F332" i="8"/>
  <c r="F374" i="8" s="1"/>
  <c r="P44" i="8"/>
  <c r="Q21" i="8"/>
  <c r="S328" i="8"/>
  <c r="S362" i="8" s="1"/>
  <c r="J128" i="8"/>
  <c r="AK169" i="8"/>
  <c r="Q231" i="8"/>
  <c r="M245" i="8"/>
  <c r="H251" i="8"/>
  <c r="F227" i="8"/>
  <c r="AP247" i="8"/>
  <c r="AB273" i="8"/>
  <c r="H97" i="5"/>
  <c r="AH83" i="8"/>
  <c r="AT273" i="8"/>
  <c r="AC324" i="8"/>
  <c r="AC360" i="8" s="1"/>
  <c r="F47" i="6"/>
  <c r="K290" i="8"/>
  <c r="AG266" i="8"/>
  <c r="O94" i="8"/>
  <c r="G321" i="8"/>
  <c r="J94" i="8"/>
  <c r="Q251" i="8"/>
  <c r="O321" i="8"/>
  <c r="N61" i="6"/>
  <c r="F266" i="8"/>
  <c r="H88" i="8"/>
  <c r="O57" i="6"/>
  <c r="K70" i="5"/>
  <c r="S31" i="1"/>
  <c r="H273" i="8"/>
  <c r="AP271" i="8"/>
  <c r="AF347" i="8"/>
  <c r="N68" i="6"/>
  <c r="Q336" i="8"/>
  <c r="Q376" i="8" s="1"/>
  <c r="N231" i="8"/>
  <c r="I324" i="8"/>
  <c r="I360" i="8" s="1"/>
  <c r="P229" i="8"/>
  <c r="Q326" i="8"/>
  <c r="Q361" i="8" s="1"/>
  <c r="S128" i="8"/>
  <c r="AO109" i="8"/>
  <c r="O284" i="8"/>
  <c r="I51" i="8"/>
  <c r="F227" i="5"/>
  <c r="K226" i="5"/>
  <c r="P247" i="8"/>
  <c r="N53" i="8"/>
  <c r="X271" i="8"/>
  <c r="K113" i="8"/>
  <c r="S349" i="8"/>
  <c r="J55" i="8"/>
  <c r="H63" i="6"/>
  <c r="I290" i="8"/>
  <c r="K75" i="5"/>
  <c r="H94" i="8"/>
  <c r="H366" i="8" s="1"/>
  <c r="H328" i="5"/>
  <c r="H362" i="5" s="1"/>
  <c r="G79" i="8"/>
  <c r="S68" i="1"/>
  <c r="X21" i="8"/>
  <c r="Z24" i="8"/>
  <c r="Z30" i="8" s="1"/>
  <c r="AQ315" i="8"/>
  <c r="F55" i="5"/>
  <c r="K55" i="5" s="1"/>
  <c r="K54" i="5"/>
  <c r="AT326" i="8"/>
  <c r="AT361" i="8" s="1"/>
  <c r="AC245" i="8"/>
  <c r="Z94" i="8"/>
  <c r="AB332" i="8"/>
  <c r="AB374" i="8" s="1"/>
  <c r="V51" i="8"/>
  <c r="AD319" i="8"/>
  <c r="AS255" i="8"/>
  <c r="G72" i="6"/>
  <c r="AE253" i="8"/>
  <c r="H185" i="5"/>
  <c r="AO249" i="8"/>
  <c r="AI345" i="8"/>
  <c r="G247" i="8"/>
  <c r="G332" i="8"/>
  <c r="G374" i="8" s="1"/>
  <c r="AD151" i="8"/>
  <c r="G94" i="8"/>
  <c r="AO266" i="8"/>
  <c r="Y324" i="8"/>
  <c r="Y360" i="8" s="1"/>
  <c r="L61" i="6"/>
  <c r="R70" i="6"/>
  <c r="AM271" i="8"/>
  <c r="X91" i="8"/>
  <c r="AL185" i="8"/>
  <c r="AK247" i="8"/>
  <c r="X26" i="8"/>
  <c r="AN185" i="8"/>
  <c r="AQ113" i="8"/>
  <c r="X151" i="8"/>
  <c r="H79" i="5"/>
  <c r="P41" i="8"/>
  <c r="K315" i="8"/>
  <c r="K371" i="8" s="1"/>
  <c r="Q315" i="8"/>
  <c r="P349" i="8"/>
  <c r="T315" i="8"/>
  <c r="Q338" i="8"/>
  <c r="Q377" i="8" s="1"/>
  <c r="S315" i="8"/>
  <c r="K312" i="8"/>
  <c r="M239" i="8"/>
  <c r="U169" i="8"/>
  <c r="J247" i="8"/>
  <c r="N137" i="8"/>
  <c r="F94" i="5"/>
  <c r="K92" i="5"/>
  <c r="W218" i="8"/>
  <c r="G109" i="8"/>
  <c r="H257" i="8"/>
  <c r="K232" i="5"/>
  <c r="F233" i="5"/>
  <c r="Y109" i="8"/>
  <c r="AH55" i="8"/>
  <c r="Q35" i="6"/>
  <c r="AU49" i="8"/>
  <c r="AI347" i="8"/>
  <c r="K211" i="5"/>
  <c r="AA317" i="8"/>
  <c r="N225" i="8"/>
  <c r="O169" i="8"/>
  <c r="K203" i="5"/>
  <c r="G70" i="6"/>
  <c r="I239" i="8"/>
  <c r="S239" i="8"/>
  <c r="K185" i="8"/>
  <c r="F249" i="8"/>
  <c r="H235" i="8"/>
  <c r="AH321" i="8"/>
  <c r="K283" i="5"/>
  <c r="G185" i="8"/>
  <c r="K159" i="5"/>
  <c r="H253" i="8"/>
  <c r="V169" i="8"/>
  <c r="AJ281" i="8"/>
  <c r="H336" i="5"/>
  <c r="H376" i="5" s="1"/>
  <c r="G225" i="8"/>
  <c r="AQ88" i="8"/>
  <c r="AN275" i="8"/>
  <c r="AB137" i="8"/>
  <c r="K156" i="5"/>
  <c r="H315" i="5"/>
  <c r="H316" i="5" s="1"/>
  <c r="O55" i="6"/>
  <c r="J53" i="6"/>
  <c r="K337" i="5"/>
  <c r="F338" i="5"/>
  <c r="F377" i="5" s="1"/>
  <c r="AC251" i="8"/>
  <c r="AA41" i="8"/>
  <c r="I55" i="8"/>
  <c r="I51" i="6"/>
  <c r="H49" i="8"/>
  <c r="AB169" i="8"/>
  <c r="L251" i="8"/>
  <c r="AS235" i="8"/>
  <c r="H290" i="5"/>
  <c r="AF169" i="8"/>
  <c r="H338" i="8"/>
  <c r="H377" i="8" s="1"/>
  <c r="AB79" i="8"/>
  <c r="AB275" i="8"/>
  <c r="AB276" i="8" s="1"/>
  <c r="AI321" i="8"/>
  <c r="M326" i="8"/>
  <c r="M361" i="8" s="1"/>
  <c r="AM345" i="8"/>
  <c r="S342" i="8"/>
  <c r="S379" i="8" s="1"/>
  <c r="R137" i="8"/>
  <c r="N40" i="6"/>
  <c r="H137" i="8"/>
  <c r="N53" i="6"/>
  <c r="AU241" i="8"/>
  <c r="AG243" i="8"/>
  <c r="K176" i="5"/>
  <c r="AO317" i="8"/>
  <c r="H324" i="8"/>
  <c r="H360" i="8" s="1"/>
  <c r="AS26" i="8"/>
  <c r="U271" i="8"/>
  <c r="P245" i="8"/>
  <c r="O185" i="8"/>
  <c r="P281" i="8"/>
  <c r="F44" i="8"/>
  <c r="AN345" i="8"/>
  <c r="I26" i="8"/>
  <c r="O237" i="8"/>
  <c r="H273" i="5"/>
  <c r="AQ26" i="8"/>
  <c r="J233" i="8"/>
  <c r="I185" i="8"/>
  <c r="K173" i="5"/>
  <c r="AH225" i="8"/>
  <c r="F233" i="8"/>
  <c r="G257" i="8"/>
  <c r="H243" i="8"/>
  <c r="AU336" i="8"/>
  <c r="AU376" i="8" s="1"/>
  <c r="K76" i="5"/>
  <c r="S40" i="1"/>
  <c r="F247" i="8"/>
  <c r="O97" i="8"/>
  <c r="K164" i="5"/>
  <c r="N349" i="8"/>
  <c r="L53" i="6"/>
  <c r="L47" i="6"/>
  <c r="Q243" i="8"/>
  <c r="AD345" i="8"/>
  <c r="O21" i="8"/>
  <c r="T324" i="8"/>
  <c r="T360" i="8" s="1"/>
  <c r="U218" i="8"/>
  <c r="AH235" i="8"/>
  <c r="G57" i="6"/>
  <c r="I42" i="6"/>
  <c r="AU51" i="8"/>
  <c r="AB26" i="8"/>
  <c r="AH233" i="8"/>
  <c r="F51" i="8"/>
  <c r="N49" i="6"/>
  <c r="K194" i="5"/>
  <c r="H229" i="5"/>
  <c r="Q51" i="6"/>
  <c r="K51" i="6"/>
  <c r="AN21" i="8"/>
  <c r="S65" i="1"/>
  <c r="AQ321" i="8"/>
  <c r="F38" i="6"/>
  <c r="AF233" i="8"/>
  <c r="F31" i="6"/>
  <c r="AJ239" i="8"/>
  <c r="AL55" i="8"/>
  <c r="AG319" i="8"/>
  <c r="AJ128" i="8"/>
  <c r="Z328" i="8"/>
  <c r="Z362" i="8" s="1"/>
  <c r="AP225" i="8"/>
  <c r="F97" i="8"/>
  <c r="AC24" i="8"/>
  <c r="AL257" i="8"/>
  <c r="AC266" i="8"/>
  <c r="H281" i="8"/>
  <c r="F239" i="8"/>
  <c r="G113" i="8"/>
  <c r="AO247" i="8"/>
  <c r="Z91" i="8"/>
  <c r="AI290" i="8"/>
  <c r="AI291" i="8" s="1"/>
  <c r="AS231" i="8"/>
  <c r="V281" i="8"/>
  <c r="X319" i="8"/>
  <c r="M68" i="6"/>
  <c r="L349" i="8"/>
  <c r="N251" i="8"/>
  <c r="I245" i="8"/>
  <c r="K213" i="5"/>
  <c r="I255" i="8"/>
  <c r="R44" i="6"/>
  <c r="AA109" i="8"/>
  <c r="AS218" i="8"/>
  <c r="H233" i="5"/>
  <c r="Y255" i="8"/>
  <c r="W284" i="8"/>
  <c r="Q340" i="8"/>
  <c r="Q378" i="8" s="1"/>
  <c r="I225" i="8"/>
  <c r="L243" i="8"/>
  <c r="T257" i="8"/>
  <c r="F55" i="8"/>
  <c r="S324" i="8"/>
  <c r="S360" i="8" s="1"/>
  <c r="U321" i="8"/>
  <c r="AU225" i="8"/>
  <c r="Q332" i="8"/>
  <c r="Q374" i="8" s="1"/>
  <c r="M281" i="8"/>
  <c r="M291" i="8" s="1"/>
  <c r="L79" i="8"/>
  <c r="G328" i="8"/>
  <c r="G362" i="8" s="1"/>
  <c r="K21" i="8"/>
  <c r="R237" i="8"/>
  <c r="M26" i="8"/>
  <c r="R51" i="8"/>
  <c r="AL284" i="8"/>
  <c r="AD249" i="8"/>
  <c r="H239" i="5"/>
  <c r="K239" i="5" s="1"/>
  <c r="AA271" i="8"/>
  <c r="AC241" i="8"/>
  <c r="H169" i="5"/>
  <c r="AC273" i="8"/>
  <c r="K166" i="5"/>
  <c r="Z290" i="8"/>
  <c r="H284" i="5"/>
  <c r="Z284" i="8"/>
  <c r="AF49" i="8"/>
  <c r="AI227" i="8"/>
  <c r="AD26" i="8"/>
  <c r="M57" i="6"/>
  <c r="AL253" i="8"/>
  <c r="Y237" i="8"/>
  <c r="H237" i="8"/>
  <c r="AU317" i="8"/>
  <c r="R26" i="8"/>
  <c r="AO281" i="8"/>
  <c r="K197" i="5"/>
  <c r="K57" i="6"/>
  <c r="AU113" i="8"/>
  <c r="AB261" i="8"/>
  <c r="H284" i="8"/>
  <c r="AO237" i="8"/>
  <c r="AB349" i="8"/>
  <c r="M63" i="6"/>
  <c r="AQ290" i="8"/>
  <c r="Y151" i="8"/>
  <c r="AF257" i="8"/>
  <c r="AF241" i="8"/>
  <c r="S55" i="1"/>
  <c r="U235" i="8"/>
  <c r="T308" i="8"/>
  <c r="AH284" i="8"/>
  <c r="H326" i="8"/>
  <c r="H361" i="8" s="1"/>
  <c r="AL317" i="8"/>
  <c r="P312" i="8"/>
  <c r="AH247" i="8"/>
  <c r="U44" i="8"/>
  <c r="U371" i="8" s="1"/>
  <c r="Q24" i="8"/>
  <c r="Q27" i="8" s="1"/>
  <c r="AU44" i="8"/>
  <c r="I61" i="6"/>
  <c r="P330" i="8"/>
  <c r="P363" i="8" s="1"/>
  <c r="L51" i="8"/>
  <c r="R340" i="8"/>
  <c r="R378" i="8" s="1"/>
  <c r="O44" i="6"/>
  <c r="Q83" i="8"/>
  <c r="AH128" i="8"/>
  <c r="P72" i="6"/>
  <c r="F41" i="5"/>
  <c r="K31" i="5"/>
  <c r="H59" i="6"/>
  <c r="G128" i="8"/>
  <c r="AG97" i="8"/>
  <c r="K68" i="5"/>
  <c r="AM308" i="8"/>
  <c r="H41" i="5"/>
  <c r="Y281" i="8"/>
  <c r="AR261" i="8"/>
  <c r="F21" i="8"/>
  <c r="N57" i="6"/>
  <c r="L247" i="8"/>
  <c r="T97" i="8"/>
  <c r="P334" i="8"/>
  <c r="P375" i="8" s="1"/>
  <c r="U88" i="8"/>
  <c r="U364" i="8" s="1"/>
  <c r="AU338" i="8"/>
  <c r="AU377" i="8" s="1"/>
  <c r="R225" i="8"/>
  <c r="R79" i="8"/>
  <c r="T79" i="8"/>
  <c r="T243" i="8"/>
  <c r="G345" i="8"/>
  <c r="Q109" i="8"/>
  <c r="Q114" i="8" s="1"/>
  <c r="S185" i="8"/>
  <c r="H137" i="5"/>
  <c r="G317" i="8"/>
  <c r="K183" i="5"/>
  <c r="G41" i="8"/>
  <c r="AL113" i="8"/>
  <c r="AG109" i="8"/>
  <c r="Y251" i="8"/>
  <c r="AL324" i="8"/>
  <c r="AL360" i="8" s="1"/>
  <c r="AN347" i="8"/>
  <c r="AA324" i="8"/>
  <c r="AA360" i="8" s="1"/>
  <c r="F340" i="5"/>
  <c r="K339" i="5"/>
  <c r="AI349" i="8"/>
  <c r="K206" i="5"/>
  <c r="AN113" i="8"/>
  <c r="AN114" i="8" s="1"/>
  <c r="AS349" i="8"/>
  <c r="AQ47" i="8"/>
  <c r="AP243" i="8"/>
  <c r="F40" i="6"/>
  <c r="AU91" i="8"/>
  <c r="AP251" i="8"/>
  <c r="F237" i="8"/>
  <c r="H321" i="8"/>
  <c r="Z257" i="8"/>
  <c r="Z151" i="8"/>
  <c r="AR113" i="8"/>
  <c r="AJ338" i="8"/>
  <c r="AJ377" i="8" s="1"/>
  <c r="V257" i="8"/>
  <c r="F247" i="5"/>
  <c r="K247" i="5" s="1"/>
  <c r="K246" i="5"/>
  <c r="AD97" i="8"/>
  <c r="W334" i="8"/>
  <c r="W375" i="8" s="1"/>
  <c r="AQ185" i="8"/>
  <c r="F251" i="8"/>
  <c r="W109" i="8"/>
  <c r="AH53" i="8"/>
  <c r="Q53" i="6"/>
  <c r="AH347" i="8"/>
  <c r="AU79" i="8"/>
  <c r="K157" i="5"/>
  <c r="F35" i="6"/>
  <c r="G65" i="6"/>
  <c r="V241" i="8"/>
  <c r="AF349" i="8"/>
  <c r="H261" i="5"/>
  <c r="K261" i="5" s="1"/>
  <c r="F266" i="5"/>
  <c r="K266" i="5" s="1"/>
  <c r="K204" i="5"/>
  <c r="AO273" i="8"/>
  <c r="AJ41" i="8"/>
  <c r="AS275" i="8"/>
  <c r="AQ247" i="8"/>
  <c r="AR237" i="8"/>
  <c r="AS247" i="8"/>
  <c r="H218" i="8"/>
  <c r="K84" i="5"/>
  <c r="F88" i="5"/>
  <c r="J49" i="6"/>
  <c r="G53" i="8"/>
  <c r="H227" i="8"/>
  <c r="AQ275" i="8"/>
  <c r="F336" i="5"/>
  <c r="F376" i="5" s="1"/>
  <c r="K335" i="5"/>
  <c r="AL271" i="8"/>
  <c r="X79" i="8"/>
  <c r="AA231" i="8"/>
  <c r="F128" i="5"/>
  <c r="G55" i="6"/>
  <c r="Z317" i="8"/>
  <c r="AQ328" i="8"/>
  <c r="AQ362" i="8" s="1"/>
  <c r="AR290" i="8"/>
  <c r="AE137" i="8"/>
  <c r="AQ255" i="8"/>
  <c r="I44" i="6"/>
  <c r="R53" i="6"/>
  <c r="Z330" i="8"/>
  <c r="Z363" i="8" s="1"/>
  <c r="AI109" i="8"/>
  <c r="AE41" i="8"/>
  <c r="AG239" i="8"/>
  <c r="K153" i="5"/>
  <c r="K160" i="5"/>
  <c r="AJ21" i="8"/>
  <c r="W271" i="8"/>
  <c r="F151" i="5"/>
  <c r="K138" i="5"/>
  <c r="F255" i="5"/>
  <c r="K255" i="5" s="1"/>
  <c r="K254" i="5"/>
  <c r="AG349" i="8"/>
  <c r="AL24" i="8"/>
  <c r="H55" i="6"/>
  <c r="K89" i="5"/>
  <c r="F91" i="5"/>
  <c r="F128" i="8"/>
  <c r="I63" i="6"/>
  <c r="AP261" i="8"/>
  <c r="AR273" i="8"/>
  <c r="H342" i="5"/>
  <c r="H379" i="5" s="1"/>
  <c r="V218" i="8"/>
  <c r="AG257" i="8"/>
  <c r="AA91" i="8"/>
  <c r="AQ319" i="8"/>
  <c r="AL151" i="8"/>
  <c r="AO24" i="8"/>
  <c r="AO30" i="8" s="1"/>
  <c r="AK229" i="8"/>
  <c r="AF290" i="8"/>
  <c r="H257" i="5"/>
  <c r="AS91" i="8"/>
  <c r="L38" i="6"/>
  <c r="H330" i="8"/>
  <c r="H363" i="8" s="1"/>
  <c r="H44" i="5"/>
  <c r="H371" i="5" s="1"/>
  <c r="AR185" i="8"/>
  <c r="AP308" i="8"/>
  <c r="F347" i="5"/>
  <c r="K346" i="5"/>
  <c r="AH261" i="8"/>
  <c r="AU284" i="8"/>
  <c r="F328" i="5"/>
  <c r="F362" i="5" s="1"/>
  <c r="K327" i="5"/>
  <c r="AU342" i="8"/>
  <c r="AU379" i="8" s="1"/>
  <c r="H49" i="5"/>
  <c r="AU251" i="8"/>
  <c r="S53" i="1"/>
  <c r="F275" i="8"/>
  <c r="H345" i="5"/>
  <c r="AH79" i="8"/>
  <c r="K95" i="5"/>
  <c r="F97" i="5"/>
  <c r="AA290" i="8"/>
  <c r="AH243" i="8"/>
  <c r="AT261" i="8"/>
  <c r="X273" i="8"/>
  <c r="AO151" i="8"/>
  <c r="AA26" i="8"/>
  <c r="K72" i="6"/>
  <c r="AI97" i="8"/>
  <c r="F257" i="8"/>
  <c r="H239" i="8"/>
  <c r="F51" i="6"/>
  <c r="H275" i="5"/>
  <c r="P57" i="6"/>
  <c r="AG233" i="8"/>
  <c r="AS237" i="8"/>
  <c r="AB218" i="8"/>
  <c r="AC261" i="8"/>
  <c r="R65" i="6"/>
  <c r="AR233" i="8"/>
  <c r="AD55" i="8"/>
  <c r="G137" i="8"/>
  <c r="R72" i="6"/>
  <c r="AD251" i="8"/>
  <c r="H72" i="6"/>
  <c r="M70" i="6"/>
  <c r="X281" i="8"/>
  <c r="AK151" i="8"/>
  <c r="H91" i="5"/>
  <c r="O38" i="6"/>
  <c r="AC109" i="8"/>
  <c r="AD328" i="8"/>
  <c r="AD362" i="8" s="1"/>
  <c r="AE251" i="8"/>
  <c r="AC284" i="8"/>
  <c r="W251" i="8"/>
  <c r="AT91" i="8"/>
  <c r="Z266" i="8"/>
  <c r="AE151" i="8"/>
  <c r="AM247" i="8"/>
  <c r="F83" i="8"/>
  <c r="F367" i="8" s="1"/>
  <c r="AS169" i="8"/>
  <c r="AD257" i="8"/>
  <c r="Q57" i="6"/>
  <c r="Z324" i="8"/>
  <c r="Z360" i="8" s="1"/>
  <c r="AH227" i="8"/>
  <c r="AH245" i="8"/>
  <c r="W237" i="8"/>
  <c r="K32" i="5"/>
  <c r="O49" i="6"/>
  <c r="AB319" i="8"/>
  <c r="AQ266" i="8"/>
  <c r="G97" i="8"/>
  <c r="W290" i="8"/>
  <c r="AA21" i="8"/>
  <c r="AU326" i="8"/>
  <c r="AU361" i="8" s="1"/>
  <c r="K196" i="5"/>
  <c r="V324" i="8"/>
  <c r="V360" i="8" s="1"/>
  <c r="AI319" i="8"/>
  <c r="AD94" i="8"/>
  <c r="AT271" i="8"/>
  <c r="H334" i="8"/>
  <c r="H375" i="8" s="1"/>
  <c r="AH51" i="8"/>
  <c r="G330" i="8"/>
  <c r="G363" i="8" s="1"/>
  <c r="J57" i="6"/>
  <c r="K141" i="5"/>
  <c r="AK266" i="8"/>
  <c r="O68" i="6"/>
  <c r="K161" i="5"/>
  <c r="AM169" i="8"/>
  <c r="K146" i="5"/>
  <c r="Z332" i="8"/>
  <c r="Z374" i="8" s="1"/>
  <c r="G51" i="6"/>
  <c r="H229" i="8"/>
  <c r="S63" i="1"/>
  <c r="X243" i="8"/>
  <c r="AM281" i="8"/>
  <c r="AQ281" i="8"/>
  <c r="AL347" i="8"/>
  <c r="AM312" i="8"/>
  <c r="K282" i="5"/>
  <c r="F284" i="5"/>
  <c r="K284" i="5" s="1"/>
  <c r="N51" i="6"/>
  <c r="R255" i="8"/>
  <c r="K52" i="5"/>
  <c r="F53" i="5"/>
  <c r="L24" i="8"/>
  <c r="L30" i="8" s="1"/>
  <c r="H251" i="5"/>
  <c r="K251" i="5" s="1"/>
  <c r="AI26" i="8"/>
  <c r="AO284" i="8"/>
  <c r="AA169" i="8"/>
  <c r="AH109" i="8"/>
  <c r="AE319" i="8"/>
  <c r="I31" i="6"/>
  <c r="AE113" i="8"/>
  <c r="AT345" i="8"/>
  <c r="AN317" i="8"/>
  <c r="F273" i="8"/>
  <c r="F308" i="5"/>
  <c r="F369" i="5" s="1"/>
  <c r="W249" i="8"/>
  <c r="AS266" i="8"/>
  <c r="AM55" i="8"/>
  <c r="H21" i="8"/>
  <c r="AB243" i="8"/>
  <c r="AH266" i="8"/>
  <c r="H51" i="5"/>
  <c r="K51" i="5" s="1"/>
  <c r="K208" i="5"/>
  <c r="Y321" i="8"/>
  <c r="K93" i="5"/>
  <c r="X312" i="8"/>
  <c r="K148" i="5"/>
  <c r="K48" i="5"/>
  <c r="F49" i="5"/>
  <c r="Y185" i="8"/>
  <c r="Y235" i="8"/>
  <c r="AI273" i="8"/>
  <c r="AR345" i="8"/>
  <c r="AG315" i="8"/>
  <c r="AI243" i="8"/>
  <c r="K49" i="6"/>
  <c r="AG218" i="8"/>
  <c r="F53" i="6"/>
  <c r="N70" i="6"/>
  <c r="AP26" i="8"/>
  <c r="AD273" i="8"/>
  <c r="V312" i="8"/>
  <c r="W319" i="8"/>
  <c r="F79" i="8"/>
  <c r="AM290" i="8"/>
  <c r="AO218" i="8"/>
  <c r="AL49" i="8"/>
  <c r="AM349" i="8"/>
  <c r="H169" i="8"/>
  <c r="AH275" i="8"/>
  <c r="V319" i="8"/>
  <c r="AU319" i="8"/>
  <c r="M59" i="6"/>
  <c r="K43" i="5"/>
  <c r="G61" i="6"/>
  <c r="Y137" i="8"/>
  <c r="AQ334" i="8"/>
  <c r="AQ375" i="8" s="1"/>
  <c r="AU257" i="8"/>
  <c r="H347" i="5"/>
  <c r="F65" i="6"/>
  <c r="AB151" i="8"/>
  <c r="F241" i="8"/>
  <c r="K214" i="5"/>
  <c r="AA225" i="8"/>
  <c r="X284" i="8"/>
  <c r="S47" i="1"/>
  <c r="AT51" i="8"/>
  <c r="Y345" i="8"/>
  <c r="Y261" i="8"/>
  <c r="AT342" i="8"/>
  <c r="AT379" i="8" s="1"/>
  <c r="AC317" i="8"/>
  <c r="AC257" i="8"/>
  <c r="M49" i="6"/>
  <c r="O42" i="6"/>
  <c r="P63" i="6"/>
  <c r="AR83" i="8"/>
  <c r="AL109" i="8"/>
  <c r="AK237" i="8"/>
  <c r="V255" i="8"/>
  <c r="AO308" i="8"/>
  <c r="P49" i="6"/>
  <c r="AG229" i="8"/>
  <c r="AG241" i="8"/>
  <c r="AE349" i="8"/>
  <c r="X185" i="8"/>
  <c r="Z347" i="8"/>
  <c r="AO169" i="8"/>
  <c r="AN284" i="8"/>
  <c r="AB347" i="8"/>
  <c r="AE340" i="8"/>
  <c r="AE378" i="8" s="1"/>
  <c r="AA241" i="8"/>
  <c r="V83" i="8"/>
  <c r="K63" i="5"/>
  <c r="H237" i="5"/>
  <c r="K237" i="5" s="1"/>
  <c r="AB321" i="8"/>
  <c r="AF249" i="8"/>
  <c r="AS284" i="8"/>
  <c r="Z319" i="8"/>
  <c r="H243" i="5"/>
  <c r="V266" i="8"/>
  <c r="H253" i="5"/>
  <c r="K253" i="5" s="1"/>
  <c r="AG284" i="8"/>
  <c r="AG345" i="8"/>
  <c r="AR349" i="8"/>
  <c r="AM245" i="8"/>
  <c r="S61" i="1"/>
  <c r="V128" i="8"/>
  <c r="AD44" i="8"/>
  <c r="AS342" i="8"/>
  <c r="AS379" i="8" s="1"/>
  <c r="N31" i="6"/>
  <c r="G47" i="6"/>
  <c r="AN169" i="8"/>
  <c r="AE273" i="8"/>
  <c r="AA266" i="8"/>
  <c r="AI231" i="8"/>
  <c r="L70" i="6"/>
  <c r="AJ185" i="8"/>
  <c r="AF225" i="8"/>
  <c r="AB284" i="8"/>
  <c r="AM251" i="8"/>
  <c r="AR41" i="8"/>
  <c r="AA128" i="8"/>
  <c r="AI266" i="8"/>
  <c r="K168" i="5"/>
  <c r="AC21" i="8"/>
  <c r="AK253" i="8"/>
  <c r="AU245" i="8"/>
  <c r="F345" i="5"/>
  <c r="AE290" i="8"/>
  <c r="Q49" i="6"/>
  <c r="AE247" i="8"/>
  <c r="I57" i="6"/>
  <c r="AL275" i="8"/>
  <c r="AN237" i="8"/>
  <c r="AM53" i="8"/>
  <c r="W326" i="8"/>
  <c r="W361" i="8" s="1"/>
  <c r="AP284" i="8"/>
  <c r="AB113" i="8"/>
  <c r="F218" i="5"/>
  <c r="K187" i="5"/>
  <c r="AD235" i="8"/>
  <c r="AQ218" i="8"/>
  <c r="W185" i="8"/>
  <c r="AJ91" i="8"/>
  <c r="W321" i="8"/>
  <c r="AM255" i="8"/>
  <c r="AR247" i="8"/>
  <c r="W239" i="8"/>
  <c r="AR109" i="8"/>
  <c r="AF334" i="8"/>
  <c r="AF375" i="8" s="1"/>
  <c r="AS83" i="8"/>
  <c r="W113" i="8"/>
  <c r="AQ229" i="8"/>
  <c r="AS273" i="8"/>
  <c r="AL239" i="8"/>
  <c r="AR229" i="8"/>
  <c r="AP257" i="8"/>
  <c r="Y338" i="8"/>
  <c r="Y377" i="8" s="1"/>
  <c r="Y317" i="8"/>
  <c r="AA83" i="8"/>
  <c r="AR88" i="8"/>
  <c r="AO55" i="8"/>
  <c r="AD317" i="8"/>
  <c r="M40" i="6"/>
  <c r="K31" i="6"/>
  <c r="AG151" i="8"/>
  <c r="O47" i="6"/>
  <c r="AC275" i="8"/>
  <c r="AC321" i="8"/>
  <c r="AR266" i="8"/>
  <c r="AC225" i="8"/>
  <c r="AE308" i="8"/>
  <c r="AE345" i="8"/>
  <c r="AA253" i="8"/>
  <c r="AP227" i="8"/>
  <c r="G218" i="8"/>
  <c r="AH326" i="8"/>
  <c r="AH361" i="8" s="1"/>
  <c r="AF26" i="8"/>
  <c r="AC247" i="8"/>
  <c r="AC169" i="8"/>
  <c r="AE336" i="8"/>
  <c r="AE376" i="8" s="1"/>
  <c r="F113" i="5"/>
  <c r="F114" i="5" s="1"/>
  <c r="AN281" i="8"/>
  <c r="V345" i="8"/>
  <c r="Z169" i="8"/>
  <c r="Z312" i="8"/>
  <c r="AI239" i="8"/>
  <c r="X266" i="8"/>
  <c r="AL229" i="8"/>
  <c r="K65" i="6"/>
  <c r="H340" i="5"/>
  <c r="H378" i="5" s="1"/>
  <c r="R40" i="6"/>
  <c r="AE218" i="8"/>
  <c r="AQ261" i="8"/>
  <c r="K55" i="6"/>
  <c r="V290" i="8"/>
  <c r="AL83" i="8"/>
  <c r="AM237" i="8"/>
  <c r="V79" i="8"/>
  <c r="AS151" i="8"/>
  <c r="AC44" i="8"/>
  <c r="W26" i="8"/>
  <c r="AR257" i="8"/>
  <c r="AL233" i="8"/>
  <c r="AQ245" i="8"/>
  <c r="H227" i="5"/>
  <c r="AL321" i="8"/>
  <c r="AC237" i="8"/>
  <c r="AE128" i="8"/>
  <c r="AT237" i="8"/>
  <c r="AT312" i="8"/>
  <c r="AB336" i="8"/>
  <c r="AB376" i="8" s="1"/>
  <c r="V229" i="8"/>
  <c r="AL88" i="8"/>
  <c r="AP338" i="8"/>
  <c r="AP377" i="8" s="1"/>
  <c r="AF185" i="8"/>
  <c r="AT284" i="8"/>
  <c r="AN41" i="8"/>
  <c r="AL290" i="8"/>
  <c r="AA349" i="8"/>
  <c r="AC185" i="8"/>
  <c r="AC137" i="8"/>
  <c r="AT227" i="8"/>
  <c r="F24" i="5"/>
  <c r="F27" i="5" s="1"/>
  <c r="K167" i="5"/>
  <c r="AT257" i="8"/>
  <c r="AM113" i="8"/>
  <c r="AM114" i="8" s="1"/>
  <c r="L44" i="6"/>
  <c r="AM231" i="8"/>
  <c r="AO349" i="8"/>
  <c r="J72" i="6"/>
  <c r="AP218" i="8"/>
  <c r="AA137" i="8"/>
  <c r="X94" i="8"/>
  <c r="AB47" i="8"/>
  <c r="L35" i="6"/>
  <c r="AK113" i="8"/>
  <c r="AF319" i="8"/>
  <c r="AR218" i="8"/>
  <c r="X83" i="8"/>
  <c r="Z26" i="8"/>
  <c r="AQ326" i="8"/>
  <c r="AQ361" i="8" s="1"/>
  <c r="AL336" i="8"/>
  <c r="AL376" i="8" s="1"/>
  <c r="AJ233" i="8"/>
  <c r="AA255" i="8"/>
  <c r="AT336" i="8"/>
  <c r="AT376" i="8" s="1"/>
  <c r="AB109" i="8"/>
  <c r="H338" i="5"/>
  <c r="H377" i="5" s="1"/>
  <c r="H334" i="5"/>
  <c r="H375" i="5" s="1"/>
  <c r="K165" i="5"/>
  <c r="AQ251" i="8"/>
  <c r="AM225" i="8"/>
  <c r="X51" i="8"/>
  <c r="AM275" i="8"/>
  <c r="AE317" i="8"/>
  <c r="H21" i="5"/>
  <c r="AJ317" i="8"/>
  <c r="AK281" i="8"/>
  <c r="AO328" i="8"/>
  <c r="AO362" i="8" s="1"/>
  <c r="AE266" i="8"/>
  <c r="W281" i="8"/>
  <c r="AN233" i="8"/>
  <c r="AP113" i="8"/>
  <c r="AP114" i="8" s="1"/>
  <c r="X245" i="8"/>
  <c r="AF51" i="8"/>
  <c r="AK128" i="8"/>
  <c r="AP237" i="8"/>
  <c r="AT347" i="8"/>
  <c r="Y334" i="8"/>
  <c r="Y375" i="8" s="1"/>
  <c r="AP169" i="8"/>
  <c r="AE91" i="8"/>
  <c r="V347" i="8"/>
  <c r="AH91" i="8"/>
  <c r="AH365" i="8" s="1"/>
  <c r="Z321" i="8"/>
  <c r="AO275" i="8"/>
  <c r="F42" i="6"/>
  <c r="Z185" i="8"/>
  <c r="AR340" i="8"/>
  <c r="AR378" i="8" s="1"/>
  <c r="AE24" i="8"/>
  <c r="AE30" i="8" s="1"/>
  <c r="K212" i="5"/>
  <c r="F249" i="5"/>
  <c r="K248" i="5"/>
  <c r="AE321" i="8"/>
  <c r="AM241" i="8"/>
  <c r="AJ261" i="8"/>
  <c r="AM83" i="8"/>
  <c r="P53" i="6"/>
  <c r="AF326" i="8"/>
  <c r="AF361" i="8" s="1"/>
  <c r="AM94" i="8"/>
  <c r="AF91" i="8"/>
  <c r="X225" i="8"/>
  <c r="AE275" i="8"/>
  <c r="AN94" i="8"/>
  <c r="L31" i="6"/>
  <c r="AM324" i="8"/>
  <c r="AM360" i="8" s="1"/>
  <c r="AC345" i="8"/>
  <c r="AA151" i="8"/>
  <c r="Y169" i="8"/>
  <c r="AN91" i="8"/>
  <c r="Y26" i="8"/>
  <c r="AH319" i="8"/>
  <c r="AU271" i="8"/>
  <c r="I68" i="6"/>
  <c r="AP151" i="8"/>
  <c r="K207" i="5"/>
  <c r="X261" i="8"/>
  <c r="W227" i="8"/>
  <c r="W330" i="8"/>
  <c r="W363" i="8" s="1"/>
  <c r="V231" i="8"/>
  <c r="AA79" i="8"/>
  <c r="H249" i="5"/>
  <c r="K42" i="6"/>
  <c r="AC151" i="8"/>
  <c r="AK321" i="8"/>
  <c r="AE231" i="8"/>
  <c r="Z53" i="8"/>
  <c r="AK55" i="8"/>
  <c r="AP241" i="8"/>
  <c r="AG312" i="8"/>
  <c r="AN137" i="8"/>
  <c r="Z97" i="8"/>
  <c r="AS49" i="8"/>
  <c r="AA227" i="8"/>
  <c r="W128" i="8"/>
  <c r="AD21" i="8"/>
  <c r="AT332" i="8"/>
  <c r="AT374" i="8" s="1"/>
  <c r="AD113" i="8"/>
  <c r="AB345" i="8"/>
  <c r="I65" i="6"/>
  <c r="AG281" i="8"/>
  <c r="AR321" i="8"/>
  <c r="AP239" i="8"/>
  <c r="Y128" i="8"/>
  <c r="H44" i="6"/>
  <c r="AO243" i="8"/>
  <c r="AR275" i="8"/>
  <c r="AI21" i="8"/>
  <c r="V151" i="8"/>
  <c r="R31" i="6"/>
  <c r="AN330" i="8"/>
  <c r="AN363" i="8" s="1"/>
  <c r="AS315" i="8"/>
  <c r="AQ271" i="8"/>
  <c r="H281" i="5"/>
  <c r="AP255" i="8"/>
  <c r="AM26" i="8"/>
  <c r="AT113" i="8"/>
  <c r="AD218" i="8"/>
  <c r="AP266" i="8"/>
  <c r="AE237" i="8"/>
  <c r="AS326" i="8"/>
  <c r="AS361" i="8" s="1"/>
  <c r="AL273" i="8"/>
  <c r="AT83" i="8"/>
  <c r="W91" i="8"/>
  <c r="AA239" i="8"/>
  <c r="AE338" i="8"/>
  <c r="AE377" i="8" s="1"/>
  <c r="K198" i="5"/>
  <c r="K192" i="5"/>
  <c r="J35" i="6"/>
  <c r="H128" i="5"/>
  <c r="V271" i="8"/>
  <c r="AN26" i="8"/>
  <c r="AL326" i="8"/>
  <c r="AL361" i="8" s="1"/>
  <c r="AO255" i="8"/>
  <c r="AJ332" i="8"/>
  <c r="AJ374" i="8" s="1"/>
  <c r="AE261" i="8"/>
  <c r="AP249" i="8"/>
  <c r="AO225" i="8"/>
  <c r="AN79" i="8"/>
  <c r="AF281" i="8"/>
  <c r="AP290" i="8"/>
  <c r="AI315" i="8"/>
  <c r="AL94" i="8"/>
  <c r="Y266" i="8"/>
  <c r="AF83" i="8"/>
  <c r="AS243" i="8"/>
  <c r="X227" i="8"/>
  <c r="S49" i="1"/>
  <c r="X342" i="8"/>
  <c r="X379" i="8" s="1"/>
  <c r="AR332" i="8"/>
  <c r="AR374" i="8" s="1"/>
  <c r="H218" i="5"/>
  <c r="H233" i="8"/>
  <c r="AK273" i="8"/>
  <c r="AA261" i="8"/>
  <c r="AI338" i="8"/>
  <c r="AI377" i="8" s="1"/>
  <c r="M44" i="6"/>
  <c r="AL243" i="8"/>
  <c r="K40" i="6"/>
  <c r="K348" i="5"/>
  <c r="F349" i="5"/>
  <c r="K349" i="5" s="1"/>
  <c r="S38" i="1"/>
  <c r="AF243" i="8"/>
  <c r="AO347" i="8"/>
  <c r="Y231" i="8"/>
  <c r="AK345" i="8"/>
  <c r="X229" i="8"/>
  <c r="M31" i="6"/>
  <c r="AH113" i="8"/>
  <c r="AD231" i="8"/>
  <c r="AJ319" i="8"/>
  <c r="AJ275" i="8"/>
  <c r="AJ276" i="8" s="1"/>
  <c r="K150" i="5"/>
  <c r="AA330" i="8"/>
  <c r="AA363" i="8" s="1"/>
  <c r="AP47" i="8"/>
  <c r="AT79" i="8"/>
  <c r="F72" i="6"/>
  <c r="AF137" i="8"/>
  <c r="AP281" i="8"/>
  <c r="K46" i="5"/>
  <c r="AN241" i="8"/>
  <c r="AI24" i="8"/>
  <c r="AI257" i="8"/>
  <c r="AC55" i="8"/>
  <c r="AB225" i="8"/>
  <c r="P31" i="6"/>
  <c r="G40" i="6"/>
  <c r="Q72" i="6"/>
  <c r="AC253" i="8"/>
  <c r="K174" i="5"/>
  <c r="Y24" i="8"/>
  <c r="AK218" i="8"/>
  <c r="Y271" i="8"/>
  <c r="AN239" i="8"/>
  <c r="J61" i="6"/>
  <c r="AQ345" i="8"/>
  <c r="AA319" i="8"/>
  <c r="F324" i="5"/>
  <c r="AI237" i="8"/>
  <c r="Y284" i="8"/>
  <c r="Y291" i="8" s="1"/>
  <c r="Y349" i="8"/>
  <c r="AS227" i="8"/>
  <c r="AQ151" i="8"/>
  <c r="AT245" i="8"/>
  <c r="H47" i="5"/>
  <c r="AQ169" i="8"/>
  <c r="AS347" i="8"/>
  <c r="W257" i="8"/>
  <c r="AB281" i="8"/>
  <c r="AR128" i="8"/>
  <c r="AR225" i="8"/>
  <c r="AI151" i="8"/>
  <c r="Y249" i="8"/>
  <c r="AQ237" i="8"/>
  <c r="AK233" i="8"/>
  <c r="AC340" i="8"/>
  <c r="AC378" i="8" s="1"/>
  <c r="AM253" i="8"/>
  <c r="AR79" i="8"/>
  <c r="AJ44" i="8"/>
  <c r="AB227" i="8"/>
  <c r="X275" i="8"/>
  <c r="Y88" i="8"/>
  <c r="AK94" i="8"/>
  <c r="AQ332" i="8"/>
  <c r="AQ374" i="8" s="1"/>
  <c r="AM97" i="8"/>
  <c r="AG326" i="8"/>
  <c r="AG361" i="8" s="1"/>
  <c r="AD245" i="8"/>
  <c r="AO51" i="8"/>
  <c r="AE241" i="8"/>
  <c r="K244" i="5"/>
  <c r="F245" i="5"/>
  <c r="AD349" i="8"/>
  <c r="AB317" i="8"/>
  <c r="AM273" i="8"/>
  <c r="X338" i="8"/>
  <c r="X377" i="8" s="1"/>
  <c r="AP345" i="8"/>
  <c r="AQ137" i="8"/>
  <c r="AC347" i="8"/>
  <c r="AP324" i="8"/>
  <c r="AP360" i="8" s="1"/>
  <c r="AI336" i="8"/>
  <c r="AI376" i="8" s="1"/>
  <c r="AF345" i="8"/>
  <c r="AO253" i="8"/>
  <c r="AR249" i="8"/>
  <c r="AA336" i="8"/>
  <c r="AA376" i="8" s="1"/>
  <c r="AP235" i="8"/>
  <c r="AK317" i="8"/>
  <c r="W151" i="8"/>
  <c r="AQ233" i="8"/>
  <c r="AM239" i="8"/>
  <c r="AI245" i="8"/>
  <c r="AR330" i="8"/>
  <c r="AR363" i="8" s="1"/>
  <c r="AI255" i="8"/>
  <c r="AJ47" i="8"/>
  <c r="AC290" i="8"/>
  <c r="X239" i="8"/>
  <c r="AM229" i="8"/>
  <c r="AD88" i="8"/>
  <c r="AM21" i="8"/>
  <c r="AM276" i="8" s="1"/>
  <c r="AG245" i="8"/>
  <c r="AL227" i="8"/>
  <c r="V321" i="8"/>
  <c r="AS340" i="8"/>
  <c r="AS378" i="8" s="1"/>
  <c r="W79" i="8"/>
  <c r="Z44" i="8"/>
  <c r="Y21" i="8"/>
  <c r="Y276" i="8" s="1"/>
  <c r="AP229" i="8"/>
  <c r="AF332" i="8"/>
  <c r="AF374" i="8" s="1"/>
  <c r="AE239" i="8"/>
  <c r="Y91" i="8"/>
  <c r="AC235" i="8"/>
  <c r="K177" i="5"/>
  <c r="AD290" i="8"/>
  <c r="AE249" i="8"/>
  <c r="AE312" i="8"/>
  <c r="AE368" i="8" s="1"/>
  <c r="AL241" i="8"/>
  <c r="AS94" i="8"/>
  <c r="AC336" i="8"/>
  <c r="AC376" i="8" s="1"/>
  <c r="W51" i="8"/>
  <c r="V273" i="8"/>
  <c r="AN251" i="8"/>
  <c r="AC128" i="8"/>
  <c r="Z83" i="8"/>
  <c r="Z367" i="8" s="1"/>
  <c r="AD53" i="8"/>
  <c r="AO290" i="8"/>
  <c r="AI328" i="8"/>
  <c r="AI362" i="8" s="1"/>
  <c r="AR308" i="8"/>
  <c r="AK49" i="8"/>
  <c r="AC315" i="8"/>
  <c r="AC371" i="8" s="1"/>
  <c r="AJ53" i="8"/>
  <c r="H53" i="5"/>
  <c r="AP321" i="8"/>
  <c r="AB128" i="8"/>
  <c r="AR169" i="8"/>
  <c r="AJ257" i="8"/>
  <c r="AM235" i="8"/>
  <c r="AB330" i="8"/>
  <c r="AB363" i="8" s="1"/>
  <c r="V237" i="8"/>
  <c r="AP185" i="8"/>
  <c r="S70" i="1"/>
  <c r="AK79" i="8"/>
  <c r="AP315" i="8"/>
  <c r="AK340" i="8"/>
  <c r="AK378" i="8" s="1"/>
  <c r="AS51" i="8"/>
  <c r="AF55" i="8"/>
  <c r="AT24" i="8"/>
  <c r="AT30" i="8" s="1"/>
  <c r="AM334" i="8"/>
  <c r="AM375" i="8" s="1"/>
  <c r="AG21" i="8"/>
  <c r="AE83" i="8"/>
  <c r="AO257" i="8"/>
  <c r="W312" i="8"/>
  <c r="AA249" i="8"/>
  <c r="AC328" i="8"/>
  <c r="AC362" i="8" s="1"/>
  <c r="AD241" i="8"/>
  <c r="AT185" i="8"/>
  <c r="AR151" i="8"/>
  <c r="AF235" i="8"/>
  <c r="AB233" i="8"/>
  <c r="AE330" i="8"/>
  <c r="AE363" i="8" s="1"/>
  <c r="AG237" i="8"/>
  <c r="AK257" i="8"/>
  <c r="AL245" i="8"/>
  <c r="AE257" i="8"/>
  <c r="AO231" i="8"/>
  <c r="AB334" i="8"/>
  <c r="AB375" i="8" s="1"/>
  <c r="AR137" i="8"/>
  <c r="AG255" i="8"/>
  <c r="V249" i="8"/>
  <c r="AK332" i="8"/>
  <c r="AK374" i="8" s="1"/>
  <c r="Z47" i="8"/>
  <c r="AE44" i="8"/>
  <c r="AT349" i="8"/>
  <c r="AL281" i="8"/>
  <c r="AA275" i="8"/>
  <c r="K175" i="5"/>
  <c r="W315" i="8"/>
  <c r="W233" i="8"/>
  <c r="X231" i="8"/>
  <c r="AJ328" i="8"/>
  <c r="AJ362" i="8" s="1"/>
  <c r="AT94" i="8"/>
  <c r="AD253" i="8"/>
  <c r="Z326" i="8"/>
  <c r="Z361" i="8" s="1"/>
  <c r="V340" i="8"/>
  <c r="V378" i="8" s="1"/>
  <c r="AD51" i="8"/>
  <c r="X53" i="8"/>
  <c r="AI169" i="8"/>
  <c r="AR97" i="8"/>
  <c r="Z249" i="8"/>
  <c r="AK330" i="8"/>
  <c r="AK363" i="8" s="1"/>
  <c r="AB255" i="8"/>
  <c r="AJ347" i="8"/>
  <c r="V227" i="8"/>
  <c r="AO342" i="8"/>
  <c r="AO379" i="8" s="1"/>
  <c r="Y326" i="8"/>
  <c r="Y361" i="8" s="1"/>
  <c r="X233" i="8"/>
  <c r="Y51" i="8"/>
  <c r="AM249" i="8"/>
  <c r="AB326" i="8"/>
  <c r="AB361" i="8" s="1"/>
  <c r="AS261" i="8"/>
  <c r="AK21" i="8"/>
  <c r="AJ290" i="8"/>
  <c r="AF284" i="8"/>
  <c r="AQ312" i="8"/>
  <c r="AA88" i="8"/>
  <c r="AF53" i="8"/>
  <c r="AL128" i="8"/>
  <c r="AL308" i="8"/>
  <c r="AQ91" i="8"/>
  <c r="Y347" i="8"/>
  <c r="AT253" i="8"/>
  <c r="AN243" i="8"/>
  <c r="AQ24" i="8"/>
  <c r="AQ30" i="8" s="1"/>
  <c r="V44" i="8"/>
  <c r="V253" i="8"/>
  <c r="AM328" i="8"/>
  <c r="AM362" i="8" s="1"/>
  <c r="AI233" i="8"/>
  <c r="AD128" i="8"/>
  <c r="AJ109" i="8"/>
  <c r="N42" i="6"/>
  <c r="N72" i="6"/>
  <c r="X137" i="8"/>
  <c r="AD233" i="8"/>
  <c r="AK51" i="8"/>
  <c r="AM347" i="8"/>
  <c r="AF338" i="8"/>
  <c r="AF377" i="8" s="1"/>
  <c r="AT239" i="8"/>
  <c r="V315" i="8"/>
  <c r="AB328" i="8"/>
  <c r="AB362" i="8" s="1"/>
  <c r="H113" i="5"/>
  <c r="AF128" i="8"/>
  <c r="AD308" i="8"/>
  <c r="X55" i="8"/>
  <c r="AN128" i="8"/>
  <c r="AA218" i="8"/>
  <c r="AS128" i="8"/>
  <c r="AC233" i="8"/>
  <c r="AA345" i="8"/>
  <c r="W83" i="8"/>
  <c r="W97" i="8"/>
  <c r="AO345" i="8"/>
  <c r="V243" i="8"/>
  <c r="AJ151" i="8"/>
  <c r="AS334" i="8"/>
  <c r="AS375" i="8" s="1"/>
  <c r="AL79" i="8"/>
  <c r="AA235" i="8"/>
  <c r="Y312" i="8"/>
  <c r="AJ308" i="8"/>
  <c r="AJ359" i="8" s="1"/>
  <c r="AO324" i="8"/>
  <c r="AO360" i="8" s="1"/>
  <c r="AM227" i="8"/>
  <c r="Z233" i="8"/>
  <c r="X24" i="8"/>
  <c r="X30" i="8" s="1"/>
  <c r="AT44" i="8"/>
  <c r="AO26" i="8"/>
  <c r="AT321" i="8"/>
  <c r="AG137" i="8"/>
  <c r="AP21" i="8"/>
  <c r="AS345" i="8"/>
  <c r="AK241" i="8"/>
  <c r="AN253" i="8"/>
  <c r="Y243" i="8"/>
  <c r="W317" i="8"/>
  <c r="AG227" i="8"/>
  <c r="Y229" i="8"/>
  <c r="X88" i="8"/>
  <c r="AA257" i="8"/>
  <c r="AA281" i="8"/>
  <c r="X235" i="8"/>
  <c r="AF97" i="8"/>
  <c r="AD24" i="8"/>
  <c r="AD30" i="8" s="1"/>
  <c r="AB53" i="8"/>
  <c r="AP137" i="8"/>
  <c r="Y113" i="8"/>
  <c r="AS109" i="8"/>
  <c r="AJ137" i="8"/>
  <c r="AE243" i="8"/>
  <c r="AF328" i="8"/>
  <c r="AF362" i="8" s="1"/>
  <c r="W21" i="8"/>
  <c r="W276" i="8" s="1"/>
  <c r="AT233" i="8"/>
  <c r="AL319" i="8"/>
  <c r="AQ94" i="8"/>
  <c r="AK243" i="8"/>
  <c r="AO332" i="8"/>
  <c r="AO374" i="8" s="1"/>
  <c r="V49" i="8"/>
  <c r="AF336" i="8"/>
  <c r="AF376" i="8" s="1"/>
  <c r="AG330" i="8"/>
  <c r="AG363" i="8" s="1"/>
  <c r="AR328" i="8"/>
  <c r="AR362" i="8" s="1"/>
  <c r="AB312" i="8"/>
  <c r="AF44" i="8"/>
  <c r="AK334" i="8"/>
  <c r="AK375" i="8" s="1"/>
  <c r="K242" i="5"/>
  <c r="F243" i="5"/>
  <c r="K243" i="5" s="1"/>
  <c r="AO41" i="8"/>
  <c r="AC332" i="8"/>
  <c r="AC374" i="8" s="1"/>
  <c r="AI271" i="8"/>
  <c r="AE21" i="8"/>
  <c r="AQ79" i="8"/>
  <c r="AT41" i="8"/>
  <c r="AT368" i="8" s="1"/>
  <c r="AD324" i="8"/>
  <c r="AD360" i="8" s="1"/>
  <c r="Z79" i="8"/>
  <c r="V328" i="8"/>
  <c r="V362" i="8" s="1"/>
  <c r="AB94" i="8"/>
  <c r="V245" i="8"/>
  <c r="AS239" i="8"/>
  <c r="AM185" i="8"/>
  <c r="AT55" i="8"/>
  <c r="AK47" i="8"/>
  <c r="AK336" i="8"/>
  <c r="AK376" i="8" s="1"/>
  <c r="AN342" i="8"/>
  <c r="AN379" i="8" s="1"/>
  <c r="K155" i="5"/>
  <c r="AC243" i="8"/>
  <c r="AF340" i="8"/>
  <c r="AF378" i="8" s="1"/>
  <c r="AT247" i="8"/>
  <c r="AT231" i="8"/>
  <c r="AF239" i="8"/>
  <c r="V317" i="8"/>
  <c r="AM243" i="8"/>
  <c r="W225" i="8"/>
  <c r="AD239" i="8"/>
  <c r="AC53" i="8"/>
  <c r="Z338" i="8"/>
  <c r="Z377" i="8" s="1"/>
  <c r="AE284" i="8"/>
  <c r="AM151" i="8"/>
  <c r="AG225" i="8"/>
  <c r="AM326" i="8"/>
  <c r="AM361" i="8" s="1"/>
  <c r="AD330" i="8"/>
  <c r="AD363" i="8" s="1"/>
  <c r="AN44" i="8"/>
  <c r="AQ53" i="8"/>
  <c r="AO315" i="8"/>
  <c r="AI53" i="8"/>
  <c r="X169" i="8"/>
  <c r="AK185" i="8"/>
  <c r="AJ255" i="8"/>
  <c r="AL342" i="8"/>
  <c r="AL379" i="8" s="1"/>
  <c r="Y257" i="8"/>
  <c r="AC239" i="8"/>
  <c r="AO338" i="8"/>
  <c r="AO377" i="8" s="1"/>
  <c r="AP91" i="8"/>
  <c r="Y44" i="8"/>
  <c r="AF47" i="8"/>
  <c r="AI275" i="8"/>
  <c r="AI276" i="8" s="1"/>
  <c r="AM330" i="8"/>
  <c r="AM363" i="8" s="1"/>
  <c r="AS330" i="8"/>
  <c r="AS363" i="8" s="1"/>
  <c r="AJ225" i="8"/>
  <c r="AJ340" i="8"/>
  <c r="AJ378" i="8" s="1"/>
  <c r="AF321" i="8"/>
  <c r="AF88" i="8"/>
  <c r="AF275" i="8"/>
  <c r="AJ83" i="8"/>
  <c r="W41" i="8"/>
  <c r="AI88" i="8"/>
  <c r="AP332" i="8"/>
  <c r="AP374" i="8" s="1"/>
  <c r="AM47" i="8"/>
  <c r="AF237" i="8"/>
  <c r="AL225" i="8"/>
  <c r="AT251" i="8"/>
  <c r="X321" i="8"/>
  <c r="AN326" i="8"/>
  <c r="AN361" i="8" s="1"/>
  <c r="AR251" i="8"/>
  <c r="AA233" i="8"/>
  <c r="AT137" i="8"/>
  <c r="AB342" i="8"/>
  <c r="AB379" i="8" s="1"/>
  <c r="AN334" i="8"/>
  <c r="AN375" i="8" s="1"/>
  <c r="Y218" i="8"/>
  <c r="AE245" i="8"/>
  <c r="AP128" i="8"/>
  <c r="Y328" i="8"/>
  <c r="Y362" i="8" s="1"/>
  <c r="AJ79" i="8"/>
  <c r="AC312" i="8"/>
  <c r="AR241" i="8"/>
  <c r="AI83" i="8"/>
  <c r="AI367" i="8" s="1"/>
  <c r="AR55" i="8"/>
  <c r="AM342" i="8"/>
  <c r="AM379" i="8" s="1"/>
  <c r="AE94" i="8"/>
  <c r="AN340" i="8"/>
  <c r="AN378" i="8" s="1"/>
  <c r="AS55" i="8"/>
  <c r="Z55" i="8"/>
  <c r="Y55" i="8"/>
  <c r="Z231" i="8"/>
  <c r="H332" i="5"/>
  <c r="H374" i="5" s="1"/>
  <c r="AF109" i="8"/>
  <c r="AF114" i="8" s="1"/>
  <c r="Z349" i="8"/>
  <c r="K154" i="5"/>
  <c r="AL235" i="8"/>
  <c r="AC326" i="8"/>
  <c r="AC361" i="8" s="1"/>
  <c r="AI79" i="8"/>
  <c r="AA243" i="8"/>
  <c r="AB247" i="8"/>
  <c r="Y94" i="8"/>
  <c r="Z227" i="8"/>
  <c r="AA340" i="8"/>
  <c r="AA378" i="8" s="1"/>
  <c r="AT21" i="8"/>
  <c r="AJ243" i="8"/>
  <c r="AJ55" i="8"/>
  <c r="AM315" i="8"/>
  <c r="Z253" i="8"/>
  <c r="AP233" i="8"/>
  <c r="W336" i="8"/>
  <c r="W376" i="8" s="1"/>
  <c r="AO334" i="8"/>
  <c r="AO375" i="8" s="1"/>
  <c r="Z281" i="8"/>
  <c r="AK315" i="8"/>
  <c r="AN225" i="8"/>
  <c r="AO91" i="8"/>
  <c r="AR342" i="8"/>
  <c r="AR379" i="8" s="1"/>
  <c r="AI218" i="8"/>
  <c r="AL231" i="8"/>
  <c r="AF151" i="8"/>
  <c r="AR24" i="8"/>
  <c r="V53" i="8"/>
  <c r="AG83" i="8"/>
  <c r="AF253" i="8"/>
  <c r="AA94" i="8"/>
  <c r="AL44" i="8"/>
  <c r="AR47" i="8"/>
  <c r="AS113" i="8"/>
  <c r="W24" i="8"/>
  <c r="AL312" i="8"/>
  <c r="AT229" i="8"/>
  <c r="AP94" i="8"/>
  <c r="AP366" i="8" s="1"/>
  <c r="AS249" i="8"/>
  <c r="AB51" i="8"/>
  <c r="AR235" i="8"/>
  <c r="AL332" i="8"/>
  <c r="AL374" i="8" s="1"/>
  <c r="AD41" i="8"/>
  <c r="AB308" i="8"/>
  <c r="AJ229" i="8"/>
  <c r="Z113" i="8"/>
  <c r="Z114" i="8" s="1"/>
  <c r="AF21" i="8"/>
  <c r="AE281" i="8"/>
  <c r="AE169" i="8"/>
  <c r="Z21" i="8"/>
  <c r="AL247" i="8"/>
  <c r="AA247" i="8"/>
  <c r="AN151" i="8"/>
  <c r="AG251" i="8"/>
  <c r="AD315" i="8"/>
  <c r="AD371" i="8" s="1"/>
  <c r="AP53" i="8"/>
  <c r="AL137" i="8"/>
  <c r="AA55" i="8"/>
  <c r="AT328" i="8"/>
  <c r="AT362" i="8" s="1"/>
  <c r="AS47" i="8"/>
  <c r="AD83" i="8"/>
  <c r="AP312" i="8"/>
  <c r="AC88" i="8"/>
  <c r="AC364" i="8" s="1"/>
  <c r="AP88" i="8"/>
  <c r="AP364" i="8" s="1"/>
  <c r="Z229" i="8"/>
  <c r="AJ251" i="8"/>
  <c r="Y340" i="8"/>
  <c r="Y378" i="8" s="1"/>
  <c r="AT225" i="8"/>
  <c r="V330" i="8"/>
  <c r="V363" i="8" s="1"/>
  <c r="AK91" i="8"/>
  <c r="AK365" i="8" s="1"/>
  <c r="AD336" i="8"/>
  <c r="AD376" i="8" s="1"/>
  <c r="W253" i="8"/>
  <c r="AO88" i="8"/>
  <c r="AO364" i="8" s="1"/>
  <c r="AJ247" i="8"/>
  <c r="AK261" i="8"/>
  <c r="AO21" i="8"/>
  <c r="AD137" i="8"/>
  <c r="AR44" i="8"/>
  <c r="Y319" i="8"/>
  <c r="AS185" i="8"/>
  <c r="AA251" i="8"/>
  <c r="AR94" i="8"/>
  <c r="AA334" i="8"/>
  <c r="AA375" i="8" s="1"/>
  <c r="AG340" i="8"/>
  <c r="AG378" i="8" s="1"/>
  <c r="Q42" i="6"/>
  <c r="AG328" i="8"/>
  <c r="AG362" i="8" s="1"/>
  <c r="AB251" i="8"/>
  <c r="AO321" i="8"/>
  <c r="AE97" i="8"/>
  <c r="AL249" i="8"/>
  <c r="AS41" i="8"/>
  <c r="Z247" i="8"/>
  <c r="AI326" i="8"/>
  <c r="AI361" i="8" s="1"/>
  <c r="AG334" i="8"/>
  <c r="AG375" i="8" s="1"/>
  <c r="AJ342" i="8"/>
  <c r="AJ379" i="8" s="1"/>
  <c r="AM137" i="8"/>
  <c r="AS321" i="8"/>
  <c r="AK249" i="8"/>
  <c r="AK231" i="8"/>
  <c r="AD185" i="8"/>
  <c r="AO326" i="8"/>
  <c r="AO361" i="8" s="1"/>
  <c r="Z237" i="8"/>
  <c r="W55" i="8"/>
  <c r="AG51" i="8"/>
  <c r="AP79" i="8"/>
  <c r="AS53" i="8"/>
  <c r="V88" i="8"/>
  <c r="AK347" i="8"/>
  <c r="X308" i="8"/>
  <c r="X359" i="8" s="1"/>
  <c r="W247" i="8"/>
  <c r="AE271" i="8"/>
  <c r="AF245" i="8"/>
  <c r="AB229" i="8"/>
  <c r="AJ334" i="8"/>
  <c r="AJ375" i="8" s="1"/>
  <c r="AK83" i="8"/>
  <c r="AO47" i="8"/>
  <c r="AP326" i="8"/>
  <c r="AP361" i="8" s="1"/>
  <c r="AT338" i="8"/>
  <c r="AT377" i="8" s="1"/>
  <c r="AQ336" i="8"/>
  <c r="AQ376" i="8" s="1"/>
  <c r="AI185" i="8"/>
  <c r="K313" i="5"/>
  <c r="F315" i="5"/>
  <c r="AK342" i="8"/>
  <c r="AK379" i="8" s="1"/>
  <c r="Z88" i="8"/>
  <c r="AT97" i="8"/>
  <c r="AE324" i="8"/>
  <c r="AE360" i="8" s="1"/>
  <c r="Y332" i="8"/>
  <c r="Y374" i="8" s="1"/>
  <c r="AQ338" i="8"/>
  <c r="AQ377" i="8" s="1"/>
  <c r="AT235" i="8"/>
  <c r="AA237" i="8"/>
  <c r="AJ88" i="8"/>
  <c r="Y336" i="8"/>
  <c r="Y376" i="8" s="1"/>
  <c r="Y253" i="8"/>
  <c r="AB245" i="8"/>
  <c r="AN315" i="8"/>
  <c r="AR91" i="8"/>
  <c r="AQ235" i="8"/>
  <c r="AF24" i="8"/>
  <c r="AK239" i="8"/>
  <c r="Z251" i="8"/>
  <c r="AB41" i="8"/>
  <c r="AE255" i="8"/>
  <c r="AS251" i="8"/>
  <c r="AD229" i="8"/>
  <c r="AE88" i="8"/>
  <c r="AL91" i="8"/>
  <c r="AO83" i="8"/>
  <c r="AO367" i="8" s="1"/>
  <c r="AO79" i="8"/>
  <c r="AF315" i="8"/>
  <c r="AF371" i="8" s="1"/>
  <c r="AF324" i="8"/>
  <c r="AF360" i="8" s="1"/>
  <c r="AR231" i="8"/>
  <c r="AN328" i="8"/>
  <c r="AN362" i="8" s="1"/>
  <c r="V91" i="8"/>
  <c r="AF94" i="8"/>
  <c r="AG342" i="8"/>
  <c r="AG379" i="8" s="1"/>
  <c r="AJ330" i="8"/>
  <c r="AJ363" i="8" s="1"/>
  <c r="AJ315" i="8"/>
  <c r="AR253" i="8"/>
  <c r="AG338" i="8"/>
  <c r="AG377" i="8" s="1"/>
  <c r="AJ326" i="8"/>
  <c r="AJ361" i="8" s="1"/>
  <c r="AC342" i="8"/>
  <c r="AC379" i="8" s="1"/>
  <c r="W49" i="8"/>
  <c r="Z340" i="8"/>
  <c r="Z378" i="8" s="1"/>
  <c r="AL340" i="8"/>
  <c r="AL378" i="8" s="1"/>
  <c r="AQ41" i="8"/>
  <c r="AP334" i="8"/>
  <c r="AP375" i="8" s="1"/>
  <c r="AM257" i="8"/>
  <c r="W231" i="8"/>
  <c r="AN229" i="8"/>
  <c r="AI128" i="8"/>
  <c r="AJ253" i="8"/>
  <c r="AJ249" i="8"/>
  <c r="AF330" i="8"/>
  <c r="AF363" i="8" s="1"/>
  <c r="Z342" i="8"/>
  <c r="Z379" i="8" s="1"/>
  <c r="AB55" i="8"/>
  <c r="AJ227" i="8"/>
  <c r="AG113" i="8"/>
  <c r="AO113" i="8"/>
  <c r="W308" i="8"/>
  <c r="W369" i="8" s="1"/>
  <c r="Z255" i="8"/>
  <c r="AM233" i="8"/>
  <c r="AR255" i="8"/>
  <c r="AO239" i="8"/>
  <c r="AI247" i="8"/>
  <c r="AN245" i="8"/>
  <c r="AJ231" i="8"/>
  <c r="W243" i="8"/>
  <c r="AJ26" i="8"/>
  <c r="AJ237" i="8"/>
  <c r="AN231" i="8"/>
  <c r="AR21" i="8"/>
  <c r="AA24" i="8"/>
  <c r="AA30" i="8" s="1"/>
  <c r="AA352" i="8" s="1"/>
  <c r="AG41" i="8"/>
  <c r="X237" i="8"/>
  <c r="AS317" i="8"/>
  <c r="W245" i="8"/>
  <c r="Y225" i="8"/>
  <c r="AC83" i="8"/>
  <c r="AC367" i="8" s="1"/>
  <c r="AI251" i="8"/>
  <c r="AM79" i="8"/>
  <c r="AF41" i="8"/>
  <c r="AB324" i="8"/>
  <c r="AB360" i="8" s="1"/>
  <c r="AO53" i="8"/>
  <c r="AM51" i="8"/>
  <c r="AI249" i="8"/>
  <c r="AS21" i="8"/>
  <c r="Z239" i="8"/>
  <c r="AN336" i="8"/>
  <c r="AN376" i="8" s="1"/>
  <c r="AM44" i="8"/>
  <c r="AC308" i="8"/>
  <c r="AD332" i="8"/>
  <c r="AD374" i="8" s="1"/>
  <c r="AP319" i="8"/>
  <c r="AG185" i="8"/>
  <c r="AC49" i="8"/>
  <c r="AD47" i="8"/>
  <c r="AO128" i="8"/>
  <c r="AO186" i="8" s="1"/>
  <c r="X241" i="8"/>
  <c r="AG235" i="8"/>
  <c r="AK324" i="8"/>
  <c r="AK360" i="8" s="1"/>
  <c r="V251" i="8"/>
  <c r="AN332" i="8"/>
  <c r="AN374" i="8" s="1"/>
  <c r="AB88" i="8"/>
  <c r="AB364" i="8" s="1"/>
  <c r="AO44" i="8"/>
  <c r="AQ83" i="8"/>
  <c r="AQ98" i="8" s="1"/>
  <c r="AR51" i="8"/>
  <c r="AQ55" i="8"/>
  <c r="AA245" i="8"/>
  <c r="AS338" i="8"/>
  <c r="AS377" i="8" s="1"/>
  <c r="AK24" i="8"/>
  <c r="AK27" i="8" s="1"/>
  <c r="AB338" i="8"/>
  <c r="AB377" i="8" s="1"/>
  <c r="AK88" i="8"/>
  <c r="AC113" i="8"/>
  <c r="AC114" i="8" s="1"/>
  <c r="AO229" i="8"/>
  <c r="AQ249" i="8"/>
  <c r="AQ241" i="8"/>
  <c r="AD79" i="8"/>
  <c r="AE51" i="8"/>
  <c r="AS241" i="8"/>
  <c r="AM340" i="8"/>
  <c r="AM378" i="8" s="1"/>
  <c r="AR324" i="8"/>
  <c r="AR360" i="8" s="1"/>
  <c r="AE334" i="8"/>
  <c r="AE375" i="8" s="1"/>
  <c r="AR315" i="8"/>
  <c r="AI340" i="8"/>
  <c r="AI378" i="8" s="1"/>
  <c r="AO245" i="8"/>
  <c r="AS312" i="8"/>
  <c r="AJ324" i="8"/>
  <c r="AJ360" i="8" s="1"/>
  <c r="AD340" i="8"/>
  <c r="AD378" i="8" s="1"/>
  <c r="AE79" i="8"/>
  <c r="AI225" i="8"/>
  <c r="AB253" i="8"/>
  <c r="AC41" i="8"/>
  <c r="AC368" i="8" s="1"/>
  <c r="AO94" i="8"/>
  <c r="AG169" i="8"/>
  <c r="X41" i="8"/>
  <c r="X368" i="8" s="1"/>
  <c r="Z315" i="8"/>
  <c r="AN312" i="8"/>
  <c r="AN368" i="8" s="1"/>
  <c r="AN257" i="8"/>
  <c r="AI55" i="8"/>
  <c r="W328" i="8"/>
  <c r="W362" i="8" s="1"/>
  <c r="Z49" i="8"/>
  <c r="AI342" i="8"/>
  <c r="AI379" i="8" s="1"/>
  <c r="AB91" i="8"/>
  <c r="AB365" i="8" s="1"/>
  <c r="AI241" i="8"/>
  <c r="AN308" i="8"/>
  <c r="AN369" i="8" s="1"/>
  <c r="AB315" i="8"/>
  <c r="AN324" i="8"/>
  <c r="AN360" i="8" s="1"/>
  <c r="AL334" i="8"/>
  <c r="AL375" i="8" s="1"/>
  <c r="AR312" i="8"/>
  <c r="AC229" i="8"/>
  <c r="AG332" i="8"/>
  <c r="AG374" i="8" s="1"/>
  <c r="AE227" i="8"/>
  <c r="AI324" i="8"/>
  <c r="AI360" i="8" s="1"/>
  <c r="AL237" i="8"/>
  <c r="AC255" i="8"/>
  <c r="AF255" i="8"/>
  <c r="AN88" i="8"/>
  <c r="AK225" i="8"/>
  <c r="V247" i="8"/>
  <c r="AD91" i="8"/>
  <c r="AD365" i="8" s="1"/>
  <c r="AP49" i="8"/>
  <c r="AG94" i="8"/>
  <c r="AT334" i="8"/>
  <c r="AT375" i="8" s="1"/>
  <c r="W47" i="8"/>
  <c r="X315" i="8"/>
  <c r="V334" i="8"/>
  <c r="V375" i="8" s="1"/>
  <c r="W53" i="8"/>
  <c r="Y308" i="8"/>
  <c r="Y369" i="8" s="1"/>
  <c r="AK338" i="8"/>
  <c r="AK377" i="8" s="1"/>
  <c r="AR53" i="8"/>
  <c r="X247" i="8"/>
  <c r="X47" i="8"/>
  <c r="AK235" i="8"/>
  <c r="AQ308" i="8"/>
  <c r="AD247" i="8"/>
  <c r="AE229" i="8"/>
  <c r="AG231" i="8"/>
  <c r="AE233" i="8"/>
  <c r="Y247" i="8"/>
  <c r="Z51" i="8"/>
  <c r="Z334" i="8"/>
  <c r="Z375" i="8" s="1"/>
  <c r="AS332" i="8"/>
  <c r="AS374" i="8" s="1"/>
  <c r="AR336" i="8"/>
  <c r="AR376" i="8" s="1"/>
  <c r="AO235" i="8"/>
  <c r="AI44" i="8"/>
  <c r="AI371" i="8" s="1"/>
  <c r="AQ44" i="8"/>
  <c r="AR26" i="8"/>
  <c r="AR347" i="8"/>
  <c r="AK227" i="8"/>
  <c r="Y233" i="8"/>
  <c r="Y49" i="8"/>
  <c r="Z245" i="8"/>
  <c r="AI41" i="8"/>
  <c r="X340" i="8"/>
  <c r="X378" i="8" s="1"/>
  <c r="AT315" i="8"/>
  <c r="AQ239" i="8"/>
  <c r="AT324" i="8"/>
  <c r="AT360" i="8" s="1"/>
  <c r="AB83" i="8"/>
  <c r="AJ169" i="8"/>
  <c r="AJ186" i="8" s="1"/>
  <c r="Z345" i="8"/>
  <c r="AG253" i="8"/>
  <c r="AR326" i="8"/>
  <c r="AR361" i="8" s="1"/>
  <c r="AL251" i="8"/>
  <c r="AA97" i="8"/>
  <c r="W340" i="8"/>
  <c r="W378" i="8" s="1"/>
  <c r="AA326" i="8"/>
  <c r="AA361" i="8" s="1"/>
  <c r="AQ128" i="8"/>
  <c r="AD347" i="8"/>
  <c r="AL21" i="8"/>
  <c r="V239" i="8"/>
  <c r="AA49" i="8"/>
  <c r="AP342" i="8"/>
  <c r="AP379" i="8" s="1"/>
  <c r="X332" i="8"/>
  <c r="X374" i="8" s="1"/>
  <c r="AJ336" i="8"/>
  <c r="AJ376" i="8" s="1"/>
  <c r="AM332" i="8"/>
  <c r="AM374" i="8" s="1"/>
  <c r="AE315" i="8"/>
  <c r="AA315" i="8"/>
  <c r="AN83" i="8"/>
  <c r="AN367" i="8" s="1"/>
  <c r="V94" i="8"/>
  <c r="AK245" i="8"/>
  <c r="AK255" i="8"/>
  <c r="AD243" i="8"/>
  <c r="AO227" i="8"/>
  <c r="AO233" i="8"/>
  <c r="AD225" i="8"/>
  <c r="Z241" i="8"/>
  <c r="AQ225" i="8"/>
  <c r="AL338" i="8"/>
  <c r="AL377" i="8" s="1"/>
  <c r="AG24" i="8"/>
  <c r="AG308" i="8"/>
  <c r="AI235" i="8"/>
  <c r="AL41" i="8"/>
  <c r="AL368" i="8" s="1"/>
  <c r="X336" i="8"/>
  <c r="X376" i="8" s="1"/>
  <c r="AE342" i="8"/>
  <c r="AE379" i="8" s="1"/>
  <c r="AT308" i="8"/>
  <c r="AC47" i="8"/>
  <c r="AQ330" i="8"/>
  <c r="AQ363" i="8" s="1"/>
  <c r="AJ312" i="8"/>
  <c r="AG91" i="8"/>
  <c r="AN51" i="8"/>
  <c r="AP340" i="8"/>
  <c r="AP378" i="8" s="1"/>
  <c r="AG79" i="8"/>
  <c r="AN49" i="8"/>
  <c r="V47" i="8"/>
  <c r="AA342" i="8"/>
  <c r="AA379" i="8" s="1"/>
  <c r="AG324" i="8"/>
  <c r="AG360" i="8" s="1"/>
  <c r="AG336" i="8"/>
  <c r="AG376" i="8" s="1"/>
  <c r="AS229" i="8"/>
  <c r="AI91" i="8"/>
  <c r="AN47" i="8"/>
  <c r="AN235" i="8"/>
  <c r="AC51" i="8"/>
  <c r="AL53" i="8"/>
  <c r="AS233" i="8"/>
  <c r="AF312" i="8"/>
  <c r="Y53" i="8"/>
  <c r="AQ227" i="8"/>
  <c r="AG55" i="8"/>
  <c r="AI253" i="8"/>
  <c r="AI51" i="8"/>
  <c r="AE328" i="8"/>
  <c r="AE362" i="8" s="1"/>
  <c r="AE225" i="8"/>
  <c r="Z235" i="8"/>
  <c r="AP51" i="8"/>
  <c r="AN24" i="8"/>
  <c r="AN30" i="8" s="1"/>
  <c r="W255" i="8"/>
  <c r="Y47" i="8"/>
  <c r="AK41" i="8"/>
  <c r="AK368" i="8" s="1"/>
  <c r="Y330" i="8"/>
  <c r="Y363" i="8" s="1"/>
  <c r="AJ49" i="8"/>
  <c r="AJ51" i="8"/>
  <c r="AF231" i="8"/>
  <c r="AF247" i="8"/>
  <c r="AS225" i="8"/>
  <c r="AJ235" i="8"/>
  <c r="AO241" i="8"/>
  <c r="AB231" i="8"/>
  <c r="AD312" i="8"/>
  <c r="AR334" i="8"/>
  <c r="AR375" i="8" s="1"/>
  <c r="X251" i="8"/>
  <c r="AF342" i="8"/>
  <c r="AF379" i="8" s="1"/>
  <c r="Z336" i="8"/>
  <c r="Z376" i="8" s="1"/>
  <c r="AT169" i="8"/>
  <c r="AI47" i="8"/>
  <c r="AR227" i="8"/>
  <c r="Y315" i="8"/>
  <c r="AP41" i="8"/>
  <c r="AP368" i="8" s="1"/>
  <c r="W241" i="8"/>
  <c r="AA338" i="8"/>
  <c r="AA377" i="8" s="1"/>
  <c r="W342" i="8"/>
  <c r="W379" i="8" s="1"/>
  <c r="AQ49" i="8"/>
  <c r="AA332" i="8"/>
  <c r="AA374" i="8" s="1"/>
  <c r="AA308" i="8"/>
  <c r="AS324" i="8"/>
  <c r="AS360" i="8" s="1"/>
  <c r="AD342" i="8"/>
  <c r="AD379" i="8" s="1"/>
  <c r="AL315" i="8"/>
  <c r="AS336" i="8"/>
  <c r="AS376" i="8" s="1"/>
  <c r="AR239" i="8"/>
  <c r="W235" i="8"/>
  <c r="AT340" i="8"/>
  <c r="AT378" i="8" s="1"/>
  <c r="AT330" i="8"/>
  <c r="AT363" i="8" s="1"/>
  <c r="AL51" i="8"/>
  <c r="AL328" i="8"/>
  <c r="AL362" i="8" s="1"/>
  <c r="AG49" i="8"/>
  <c r="AP44" i="8"/>
  <c r="AP371" i="8" s="1"/>
  <c r="AK44" i="8"/>
  <c r="AK371" i="8" s="1"/>
  <c r="AE55" i="8"/>
  <c r="AA312" i="8"/>
  <c r="AA369" i="8" s="1"/>
  <c r="AA47" i="8"/>
  <c r="AM336" i="8"/>
  <c r="AM376" i="8" s="1"/>
  <c r="Z308" i="8"/>
  <c r="Z359" i="8" s="1"/>
  <c r="AQ340" i="8"/>
  <c r="AQ378" i="8" s="1"/>
  <c r="AG249" i="8"/>
  <c r="AP24" i="8"/>
  <c r="AP30" i="8" s="1"/>
  <c r="AC227" i="8"/>
  <c r="AI332" i="8"/>
  <c r="AI374" i="8" s="1"/>
  <c r="AK308" i="8"/>
  <c r="X49" i="8"/>
  <c r="Z225" i="8"/>
  <c r="X324" i="8"/>
  <c r="X360" i="8" s="1"/>
  <c r="Y41" i="8"/>
  <c r="Y368" i="8" s="1"/>
  <c r="AQ231" i="8"/>
  <c r="AT243" i="8"/>
  <c r="V336" i="8"/>
  <c r="V376" i="8" s="1"/>
  <c r="W338" i="8"/>
  <c r="W377" i="8" s="1"/>
  <c r="AT241" i="8"/>
  <c r="AQ253" i="8"/>
  <c r="AB49" i="8"/>
  <c r="AJ24" i="8"/>
  <c r="AJ30" i="8" s="1"/>
  <c r="AC94" i="8"/>
  <c r="AO49" i="8"/>
  <c r="AL330" i="8"/>
  <c r="AL363" i="8" s="1"/>
  <c r="AT53" i="8"/>
  <c r="AD255" i="8"/>
  <c r="V308" i="8"/>
  <c r="V369" i="8" s="1"/>
  <c r="AL255" i="8"/>
  <c r="W88" i="8"/>
  <c r="W364" i="8" s="1"/>
  <c r="AN53" i="8"/>
  <c r="AG44" i="8"/>
  <c r="AC79" i="8"/>
  <c r="AP336" i="8"/>
  <c r="AP376" i="8" s="1"/>
  <c r="AA44" i="8"/>
  <c r="AB44" i="8"/>
  <c r="AO340" i="8"/>
  <c r="AO378" i="8" s="1"/>
  <c r="X249" i="8"/>
  <c r="AS253" i="8"/>
  <c r="AS328" i="8"/>
  <c r="AS362" i="8" s="1"/>
  <c r="AR284" i="8"/>
  <c r="AE185" i="8"/>
  <c r="AE235" i="8"/>
  <c r="V332" i="8"/>
  <c r="V374" i="8" s="1"/>
  <c r="AP245" i="8"/>
  <c r="AB249" i="8"/>
  <c r="AM338" i="8"/>
  <c r="AM377" i="8" s="1"/>
  <c r="W94" i="8"/>
  <c r="AK53" i="8"/>
  <c r="W332" i="8"/>
  <c r="W374" i="8" s="1"/>
  <c r="AQ51" i="8"/>
  <c r="AI308" i="8"/>
  <c r="AI359" i="8" s="1"/>
  <c r="AI312" i="8"/>
  <c r="AM49" i="8"/>
  <c r="Z41" i="8"/>
  <c r="Z368" i="8" s="1"/>
  <c r="AG53" i="8"/>
  <c r="AM88" i="8"/>
  <c r="AF308" i="8"/>
  <c r="AD334" i="8"/>
  <c r="AD375" i="8" s="1"/>
  <c r="AE53" i="8"/>
  <c r="AD338" i="8"/>
  <c r="AD377" i="8" s="1"/>
  <c r="AO336" i="8"/>
  <c r="AO376" i="8" s="1"/>
  <c r="AG47" i="8"/>
  <c r="AR49" i="8"/>
  <c r="V41" i="8"/>
  <c r="V368" i="8" s="1"/>
  <c r="AA53" i="8"/>
  <c r="V342" i="8"/>
  <c r="V379" i="8" s="1"/>
  <c r="AP55" i="8"/>
  <c r="AT255" i="8"/>
  <c r="V338" i="8"/>
  <c r="V377" i="8" s="1"/>
  <c r="AF79" i="8"/>
  <c r="AG128" i="8"/>
  <c r="V185" i="8"/>
  <c r="AS24" i="8"/>
  <c r="AG290" i="8"/>
  <c r="Y245" i="8"/>
  <c r="AQ342" i="8"/>
  <c r="AQ379" i="8" s="1"/>
  <c r="V55" i="8"/>
  <c r="AS257" i="8"/>
  <c r="AQ21" i="8"/>
  <c r="AC338" i="8"/>
  <c r="AC377" i="8" s="1"/>
  <c r="AQ243" i="8"/>
  <c r="W137" i="8"/>
  <c r="AP253" i="8"/>
  <c r="AO251" i="8"/>
  <c r="V21" i="8"/>
  <c r="V276" i="8" s="1"/>
  <c r="AA229" i="8"/>
  <c r="AQ324" i="8"/>
  <c r="AQ360" i="8" s="1"/>
  <c r="AS44" i="8"/>
  <c r="X334" i="8"/>
  <c r="X375" i="8" s="1"/>
  <c r="AA328" i="8"/>
  <c r="AA362" i="8" s="1"/>
  <c r="AB237" i="8"/>
  <c r="X328" i="8"/>
  <c r="X362" i="8" s="1"/>
  <c r="AE49" i="8"/>
  <c r="AA51" i="8"/>
  <c r="AE47" i="8"/>
  <c r="AS308" i="8"/>
  <c r="AT47" i="8"/>
  <c r="AS79" i="8"/>
  <c r="AN55" i="8"/>
  <c r="AF229" i="8"/>
  <c r="AJ94" i="8"/>
  <c r="AE326" i="8"/>
  <c r="AE361" i="8" s="1"/>
  <c r="AO312" i="8"/>
  <c r="AN338" i="8"/>
  <c r="AN377" i="8" s="1"/>
  <c r="Z243" i="8"/>
  <c r="AC334" i="8"/>
  <c r="AC375" i="8" s="1"/>
  <c r="X44" i="8"/>
  <c r="X371" i="8" s="1"/>
  <c r="Y342" i="8"/>
  <c r="Y379" i="8" s="1"/>
  <c r="AL47" i="8"/>
  <c r="AC91" i="8"/>
  <c r="AC365" i="8" s="1"/>
  <c r="Y79" i="8"/>
  <c r="AI49" i="8"/>
  <c r="AR338" i="8"/>
  <c r="AR377" i="8" s="1"/>
  <c r="Y364" i="8"/>
  <c r="K151" i="5"/>
  <c r="AE114" i="8"/>
  <c r="O366" i="8"/>
  <c r="T369" i="8"/>
  <c r="K359" i="8"/>
  <c r="P366" i="8"/>
  <c r="P371" i="8"/>
  <c r="S276" i="8"/>
  <c r="K345" i="5"/>
  <c r="F365" i="8"/>
  <c r="U276" i="8"/>
  <c r="J371" i="8"/>
  <c r="G359" i="8"/>
  <c r="K47" i="5"/>
  <c r="AO359" i="8"/>
  <c r="G114" i="8"/>
  <c r="AR368" i="8"/>
  <c r="AO114" i="8"/>
  <c r="I371" i="8"/>
  <c r="AR369" i="8"/>
  <c r="AQ365" i="8"/>
  <c r="X291" i="8"/>
  <c r="AA359" i="8"/>
  <c r="AJ291" i="8"/>
  <c r="O371" i="8"/>
  <c r="Q276" i="8"/>
  <c r="R369" i="8"/>
  <c r="AT369" i="8"/>
  <c r="AK359" i="8"/>
  <c r="AK369" i="8"/>
  <c r="N369" i="8"/>
  <c r="T276" i="8"/>
  <c r="K169" i="5"/>
  <c r="AC369" i="8"/>
  <c r="AM366" i="8"/>
  <c r="H276" i="5"/>
  <c r="AU359" i="8"/>
  <c r="M365" i="8"/>
  <c r="J359" i="8"/>
  <c r="S364" i="8"/>
  <c r="AU291" i="8"/>
  <c r="T114" i="8"/>
  <c r="V365" i="8"/>
  <c r="F276" i="8"/>
  <c r="R27" i="8"/>
  <c r="P364" i="8"/>
  <c r="T371" i="8"/>
  <c r="T291" i="8"/>
  <c r="X114" i="8"/>
  <c r="M359" i="8"/>
  <c r="Z364" i="8"/>
  <c r="AF291" i="8"/>
  <c r="W365" i="8"/>
  <c r="Z366" i="8"/>
  <c r="F186" i="8"/>
  <c r="F356" i="8" s="1"/>
  <c r="L114" i="8"/>
  <c r="O114" i="8"/>
  <c r="Y30" i="8"/>
  <c r="AO276" i="8"/>
  <c r="AR366" i="8"/>
  <c r="W114" i="8"/>
  <c r="AT114" i="8"/>
  <c r="AN276" i="8"/>
  <c r="K257" i="5"/>
  <c r="R365" i="8"/>
  <c r="U291" i="8"/>
  <c r="T359" i="8"/>
  <c r="U365" i="8"/>
  <c r="K24" i="5"/>
  <c r="K21" i="5"/>
  <c r="V114" i="8"/>
  <c r="H372" i="8"/>
  <c r="F316" i="5"/>
  <c r="K315" i="5"/>
  <c r="U114" i="8"/>
  <c r="N372" i="8"/>
  <c r="F368" i="5"/>
  <c r="K41" i="5"/>
  <c r="AT276" i="8"/>
  <c r="AB367" i="8"/>
  <c r="AR30" i="8"/>
  <c r="N359" i="8"/>
  <c r="T367" i="8"/>
  <c r="AU276" i="8"/>
  <c r="K30" i="8"/>
  <c r="K27" i="8"/>
  <c r="W368" i="8"/>
  <c r="AB369" i="8"/>
  <c r="Y114" i="8"/>
  <c r="V30" i="8"/>
  <c r="V27" i="8"/>
  <c r="W30" i="8"/>
  <c r="W27" i="8"/>
  <c r="AK291" i="8"/>
  <c r="F364" i="5"/>
  <c r="AL30" i="8"/>
  <c r="K338" i="5"/>
  <c r="F378" i="5"/>
  <c r="F359" i="8"/>
  <c r="AD291" i="8"/>
  <c r="S30" i="8"/>
  <c r="S27" i="8"/>
  <c r="I367" i="8"/>
  <c r="N365" i="8"/>
  <c r="F375" i="5"/>
  <c r="K375" i="5" s="1"/>
  <c r="K334" i="5"/>
  <c r="P30" i="8"/>
  <c r="AA114" i="8"/>
  <c r="S291" i="8"/>
  <c r="M366" i="8"/>
  <c r="K365" i="8"/>
  <c r="M371" i="8"/>
  <c r="J369" i="8"/>
  <c r="O364" i="8"/>
  <c r="J30" i="8"/>
  <c r="J27" i="8"/>
  <c r="R371" i="8"/>
  <c r="R276" i="8"/>
  <c r="R359" i="8"/>
  <c r="AF30" i="8"/>
  <c r="AF27" i="8"/>
  <c r="AE367" i="8"/>
  <c r="AH368" i="8"/>
  <c r="G364" i="8"/>
  <c r="AH369" i="8"/>
  <c r="T364" i="8"/>
  <c r="AU30" i="8"/>
  <c r="AU27" i="8"/>
  <c r="AI366" i="8"/>
  <c r="F374" i="5"/>
  <c r="H364" i="8"/>
  <c r="O365" i="8"/>
  <c r="AI30" i="8"/>
  <c r="AI27" i="8"/>
  <c r="AQ276" i="8"/>
  <c r="H365" i="8"/>
  <c r="AE359" i="8"/>
  <c r="X276" i="8"/>
  <c r="F360" i="5"/>
  <c r="AO369" i="8"/>
  <c r="H365" i="5"/>
  <c r="AM30" i="8"/>
  <c r="AM27" i="8"/>
  <c r="AQ364" i="8"/>
  <c r="AP276" i="8"/>
  <c r="K364" i="8"/>
  <c r="K368" i="8"/>
  <c r="K367" i="8"/>
  <c r="U359" i="8"/>
  <c r="N367" i="8"/>
  <c r="AU186" i="8"/>
  <c r="K26" i="5"/>
  <c r="H30" i="8"/>
  <c r="H352" i="8" s="1"/>
  <c r="J367" i="8"/>
  <c r="R114" i="8"/>
  <c r="R355" i="8" s="1"/>
  <c r="T366" i="8"/>
  <c r="L366" i="8"/>
  <c r="N371" i="8"/>
  <c r="T368" i="8"/>
  <c r="U30" i="8"/>
  <c r="AU368" i="8"/>
  <c r="F371" i="5"/>
  <c r="K44" i="5"/>
  <c r="M114" i="8"/>
  <c r="G365" i="8"/>
  <c r="Q364" i="8"/>
  <c r="I114" i="8"/>
  <c r="O30" i="8"/>
  <c r="O27" i="8"/>
  <c r="K245" i="5"/>
  <c r="G276" i="8"/>
  <c r="AT291" i="8"/>
  <c r="K369" i="8"/>
  <c r="M186" i="8"/>
  <c r="AG371" i="8"/>
  <c r="AL365" i="8"/>
  <c r="AA367" i="8"/>
  <c r="AG30" i="8"/>
  <c r="AG27" i="8"/>
  <c r="AP27" i="8"/>
  <c r="AO366" i="8"/>
  <c r="AS114" i="8"/>
  <c r="AS30" i="8"/>
  <c r="AA276" i="8"/>
  <c r="K218" i="5"/>
  <c r="Z365" i="8"/>
  <c r="AC30" i="8"/>
  <c r="AC352" i="8" s="1"/>
  <c r="AC27" i="8"/>
  <c r="H317" i="5"/>
  <c r="H318" i="5" s="1"/>
  <c r="H319" i="5" s="1"/>
  <c r="K114" i="8"/>
  <c r="M364" i="8"/>
  <c r="AU369" i="8"/>
  <c r="I30" i="8"/>
  <c r="I27" i="8"/>
  <c r="K290" i="5"/>
  <c r="O276" i="8"/>
  <c r="AU366" i="8"/>
  <c r="T365" i="8"/>
  <c r="O291" i="8"/>
  <c r="F364" i="8"/>
  <c r="H368" i="8"/>
  <c r="M276" i="8"/>
  <c r="AB359" i="8"/>
  <c r="F361" i="5"/>
  <c r="K361" i="5" s="1"/>
  <c r="K326" i="5"/>
  <c r="S367" i="8"/>
  <c r="R186" i="8"/>
  <c r="R356" i="8" s="1"/>
  <c r="L367" i="8"/>
  <c r="J364" i="8"/>
  <c r="P367" i="8"/>
  <c r="J368" i="8"/>
  <c r="H114" i="8"/>
  <c r="K276" i="8"/>
  <c r="K225" i="5"/>
  <c r="H30" i="5"/>
  <c r="H27" i="5"/>
  <c r="AP367" i="8"/>
  <c r="K185" i="5"/>
  <c r="O367" i="8"/>
  <c r="O98" i="8"/>
  <c r="K235" i="5"/>
  <c r="L276" i="8"/>
  <c r="N291" i="8"/>
  <c r="AN364" i="8"/>
  <c r="X367" i="8"/>
  <c r="Z369" i="8"/>
  <c r="AK30" i="8"/>
  <c r="AD27" i="8"/>
  <c r="F30" i="5"/>
  <c r="F352" i="5" s="1"/>
  <c r="AT365" i="8"/>
  <c r="AN186" i="8"/>
  <c r="F365" i="5"/>
  <c r="K91" i="5"/>
  <c r="K377" i="5"/>
  <c r="P369" i="8"/>
  <c r="K94" i="5"/>
  <c r="H366" i="5"/>
  <c r="Y367" i="8"/>
  <c r="Z276" i="8"/>
  <c r="J276" i="8"/>
  <c r="F352" i="8"/>
  <c r="N368" i="8"/>
  <c r="G309" i="5"/>
  <c r="G76" i="5"/>
  <c r="G150" i="5"/>
  <c r="G153" i="5"/>
  <c r="G54" i="5"/>
  <c r="G45" i="5"/>
  <c r="G306" i="5"/>
  <c r="G100" i="5"/>
  <c r="G168" i="5"/>
  <c r="G224" i="5"/>
  <c r="G189" i="5"/>
  <c r="G238" i="5"/>
  <c r="G157" i="5"/>
  <c r="G256" i="5"/>
  <c r="G170" i="5"/>
  <c r="G246" i="5"/>
  <c r="G158" i="5"/>
  <c r="G103" i="5"/>
  <c r="G331" i="5"/>
  <c r="G120" i="5"/>
  <c r="G199" i="5"/>
  <c r="G86" i="5"/>
  <c r="G329" i="5"/>
  <c r="G265" i="5"/>
  <c r="G92" i="5"/>
  <c r="G207" i="5"/>
  <c r="G25" i="5"/>
  <c r="G217" i="5"/>
  <c r="G282" i="5"/>
  <c r="G147" i="5"/>
  <c r="G118" i="5"/>
  <c r="G173" i="5"/>
  <c r="G52" i="5"/>
  <c r="G156" i="5"/>
  <c r="G111" i="5"/>
  <c r="G206" i="5"/>
  <c r="G175" i="5"/>
  <c r="G42" i="5"/>
  <c r="G142" i="5"/>
  <c r="G195" i="5"/>
  <c r="G101" i="5"/>
  <c r="G35" i="5"/>
  <c r="G39" i="5"/>
  <c r="G260" i="5"/>
  <c r="G161" i="5"/>
  <c r="G155" i="5"/>
  <c r="G144" i="5"/>
  <c r="G37" i="5"/>
  <c r="G71" i="5"/>
  <c r="G269" i="5"/>
  <c r="G112" i="5"/>
  <c r="G344" i="5"/>
  <c r="G124" i="5"/>
  <c r="G62" i="5"/>
  <c r="G250" i="5"/>
  <c r="G215" i="5"/>
  <c r="G107" i="5"/>
  <c r="G20" i="5"/>
  <c r="G182" i="5"/>
  <c r="G81" i="5"/>
  <c r="G293" i="5"/>
  <c r="G77" i="5"/>
  <c r="G135" i="5"/>
  <c r="G84" i="5"/>
  <c r="G43" i="5"/>
  <c r="G191" i="5"/>
  <c r="G129" i="5"/>
  <c r="G314" i="5"/>
  <c r="G228" i="5"/>
  <c r="G63" i="5"/>
  <c r="G184" i="5"/>
  <c r="G280" i="5"/>
  <c r="G254" i="5"/>
  <c r="G248" i="5"/>
  <c r="G313" i="5"/>
  <c r="G29" i="5"/>
  <c r="G70" i="5"/>
  <c r="G320" i="5"/>
  <c r="G263" i="5"/>
  <c r="G165" i="5"/>
  <c r="G212" i="5"/>
  <c r="G125" i="5"/>
  <c r="G294" i="5"/>
  <c r="G50" i="5"/>
  <c r="G68" i="5"/>
  <c r="G339" i="5"/>
  <c r="G311" i="5"/>
  <c r="G87" i="5"/>
  <c r="G252" i="5"/>
  <c r="G283" i="5"/>
  <c r="G297" i="5"/>
  <c r="G203" i="5"/>
  <c r="G104" i="5"/>
  <c r="G69" i="5"/>
  <c r="G335" i="5"/>
  <c r="G190" i="5"/>
  <c r="G187" i="5"/>
  <c r="G131" i="5"/>
  <c r="G230" i="5"/>
  <c r="G60" i="5"/>
  <c r="G96" i="5"/>
  <c r="G223" i="5"/>
  <c r="G152" i="5"/>
  <c r="G74" i="5"/>
  <c r="G99" i="5"/>
  <c r="G166" i="5"/>
  <c r="G167" i="5"/>
  <c r="G205" i="5"/>
  <c r="G232" i="5"/>
  <c r="G213" i="5"/>
  <c r="G210" i="5"/>
  <c r="G78" i="5"/>
  <c r="G148" i="5"/>
  <c r="G180" i="5"/>
  <c r="G38" i="5"/>
  <c r="G303" i="5"/>
  <c r="G56" i="5"/>
  <c r="G198" i="5"/>
  <c r="G348" i="5"/>
  <c r="G323" i="5"/>
  <c r="G236" i="5"/>
  <c r="G240" i="5"/>
  <c r="G133" i="5"/>
  <c r="G197" i="5"/>
  <c r="G66" i="5"/>
  <c r="G89" i="5"/>
  <c r="G23" i="5"/>
  <c r="G341" i="5"/>
  <c r="G58" i="5"/>
  <c r="G140" i="5"/>
  <c r="G110" i="5"/>
  <c r="G279" i="5"/>
  <c r="G234" i="5"/>
  <c r="G325" i="5"/>
  <c r="G154" i="5"/>
  <c r="G299" i="5"/>
  <c r="G194" i="5"/>
  <c r="G264" i="5"/>
  <c r="G93" i="5"/>
  <c r="G216" i="5"/>
  <c r="G196" i="5"/>
  <c r="G298" i="5"/>
  <c r="G172" i="5"/>
  <c r="G160" i="5"/>
  <c r="G108" i="5"/>
  <c r="G145" i="5"/>
  <c r="G106" i="5"/>
  <c r="G163" i="5"/>
  <c r="G119" i="5"/>
  <c r="G32" i="5"/>
  <c r="G40" i="5"/>
  <c r="G85" i="5"/>
  <c r="G174" i="5"/>
  <c r="G211" i="5"/>
  <c r="G208" i="5"/>
  <c r="G132" i="5"/>
  <c r="G202" i="5"/>
  <c r="G209" i="5"/>
  <c r="G272" i="5"/>
  <c r="G143" i="5"/>
  <c r="G159" i="5"/>
  <c r="G268" i="5"/>
  <c r="G183" i="5"/>
  <c r="G138" i="5"/>
  <c r="G149" i="5"/>
  <c r="G162" i="5"/>
  <c r="G73" i="5"/>
  <c r="G117" i="5"/>
  <c r="G181" i="5"/>
  <c r="G302" i="5"/>
  <c r="G304" i="5"/>
  <c r="G65" i="5"/>
  <c r="G333" i="5"/>
  <c r="G244" i="5"/>
  <c r="G337" i="5"/>
  <c r="G75" i="5"/>
  <c r="G123" i="5"/>
  <c r="G126" i="5"/>
  <c r="G64" i="5"/>
  <c r="G122" i="5"/>
  <c r="G141" i="5"/>
  <c r="G31" i="5"/>
  <c r="G177" i="5"/>
  <c r="G61" i="5"/>
  <c r="G204" i="5"/>
  <c r="G200" i="5"/>
  <c r="G305" i="5"/>
  <c r="G139" i="5"/>
  <c r="G90" i="5"/>
  <c r="G267" i="5"/>
  <c r="G179" i="5"/>
  <c r="G48" i="5"/>
  <c r="G105" i="5"/>
  <c r="G164" i="5"/>
  <c r="G188" i="5"/>
  <c r="G242" i="5"/>
  <c r="G176" i="5"/>
  <c r="G270" i="5"/>
  <c r="G127" i="5"/>
  <c r="G146" i="5"/>
  <c r="G300" i="5"/>
  <c r="G59" i="5"/>
  <c r="G102" i="5"/>
  <c r="G82" i="5"/>
  <c r="G192" i="5"/>
  <c r="G34" i="5"/>
  <c r="G289" i="5"/>
  <c r="G134" i="5"/>
  <c r="G121" i="5"/>
  <c r="G307" i="5"/>
  <c r="G214" i="5"/>
  <c r="G46" i="5"/>
  <c r="G33" i="5"/>
  <c r="G274" i="5"/>
  <c r="G262" i="5"/>
  <c r="G201" i="5"/>
  <c r="G136" i="5"/>
  <c r="G301" i="5"/>
  <c r="G310" i="5"/>
  <c r="G116" i="5"/>
  <c r="G72" i="5"/>
  <c r="G259" i="5"/>
  <c r="G67" i="5"/>
  <c r="G327" i="5"/>
  <c r="G115" i="5"/>
  <c r="G226" i="5"/>
  <c r="G171" i="5"/>
  <c r="G178" i="5"/>
  <c r="G346" i="5"/>
  <c r="G288" i="5"/>
  <c r="G130" i="5"/>
  <c r="G95" i="5"/>
  <c r="G36" i="5"/>
  <c r="L27" i="8" l="1"/>
  <c r="AM186" i="8"/>
  <c r="Y366" i="8"/>
  <c r="AE352" i="8"/>
  <c r="AH186" i="8"/>
  <c r="AE276" i="8"/>
  <c r="AE366" i="8"/>
  <c r="AS366" i="8"/>
  <c r="AT367" i="8"/>
  <c r="AQ258" i="8"/>
  <c r="AI365" i="8"/>
  <c r="AA371" i="8"/>
  <c r="AL359" i="8"/>
  <c r="AR365" i="8"/>
  <c r="AI186" i="8"/>
  <c r="AE291" i="8"/>
  <c r="AO368" i="8"/>
  <c r="AT371" i="8"/>
  <c r="AP291" i="8"/>
  <c r="K128" i="5"/>
  <c r="H291" i="5"/>
  <c r="AD114" i="8"/>
  <c r="AG368" i="8"/>
  <c r="K249" i="5"/>
  <c r="AE98" i="8"/>
  <c r="AB114" i="8"/>
  <c r="AN291" i="8"/>
  <c r="AS98" i="8"/>
  <c r="AA186" i="8"/>
  <c r="AP359" i="8"/>
  <c r="AE186" i="8"/>
  <c r="AU80" i="8"/>
  <c r="AU373" i="8" s="1"/>
  <c r="AM369" i="8"/>
  <c r="L80" i="8"/>
  <c r="V291" i="8"/>
  <c r="J258" i="8"/>
  <c r="O186" i="8"/>
  <c r="AB186" i="8"/>
  <c r="K233" i="5"/>
  <c r="G366" i="8"/>
  <c r="K79" i="5"/>
  <c r="AH80" i="8"/>
  <c r="J291" i="8"/>
  <c r="AQ114" i="8"/>
  <c r="O368" i="8"/>
  <c r="L364" i="8"/>
  <c r="AH276" i="8"/>
  <c r="H186" i="8"/>
  <c r="H356" i="8" s="1"/>
  <c r="L365" i="8"/>
  <c r="I276" i="8"/>
  <c r="AK276" i="8"/>
  <c r="S368" i="8"/>
  <c r="H276" i="8"/>
  <c r="F291" i="8"/>
  <c r="L291" i="8"/>
  <c r="K241" i="5"/>
  <c r="M27" i="8"/>
  <c r="F276" i="5"/>
  <c r="L368" i="8"/>
  <c r="I98" i="8"/>
  <c r="N366" i="8"/>
  <c r="AU364" i="8"/>
  <c r="K366" i="8"/>
  <c r="P98" i="8"/>
  <c r="P354" i="8" s="1"/>
  <c r="H371" i="8"/>
  <c r="R291" i="8"/>
  <c r="P114" i="8"/>
  <c r="K88" i="5"/>
  <c r="L359" i="8"/>
  <c r="X369" i="8"/>
  <c r="W366" i="8"/>
  <c r="AL372" i="8"/>
  <c r="AE372" i="8"/>
  <c r="Z372" i="8"/>
  <c r="AK364" i="8"/>
  <c r="AO80" i="8"/>
  <c r="AR359" i="8"/>
  <c r="W80" i="8"/>
  <c r="AF359" i="8"/>
  <c r="AA366" i="8"/>
  <c r="AK186" i="8"/>
  <c r="Z80" i="8"/>
  <c r="V371" i="8"/>
  <c r="AQ368" i="8"/>
  <c r="AT186" i="8"/>
  <c r="AP186" i="8"/>
  <c r="K53" i="5"/>
  <c r="AF186" i="8"/>
  <c r="AF219" i="8" s="1"/>
  <c r="AF221" i="8" s="1"/>
  <c r="AF277" i="8" s="1"/>
  <c r="AA80" i="8"/>
  <c r="AL364" i="8"/>
  <c r="AO291" i="8"/>
  <c r="AG114" i="8"/>
  <c r="T98" i="8"/>
  <c r="U186" i="8"/>
  <c r="AH367" i="8"/>
  <c r="AL27" i="8"/>
  <c r="K379" i="5"/>
  <c r="AS291" i="8"/>
  <c r="F186" i="5"/>
  <c r="I368" i="8"/>
  <c r="H27" i="8"/>
  <c r="AQ291" i="8"/>
  <c r="F355" i="8"/>
  <c r="K363" i="5"/>
  <c r="K321" i="5"/>
  <c r="R366" i="8"/>
  <c r="N114" i="8"/>
  <c r="K231" i="5"/>
  <c r="AA368" i="8"/>
  <c r="W372" i="8"/>
  <c r="AB371" i="8"/>
  <c r="AF368" i="8"/>
  <c r="AS359" i="8"/>
  <c r="AR371" i="8"/>
  <c r="AO365" i="8"/>
  <c r="AM371" i="8"/>
  <c r="Y371" i="8"/>
  <c r="X186" i="8"/>
  <c r="AD359" i="8"/>
  <c r="AN98" i="8"/>
  <c r="AN354" i="8" s="1"/>
  <c r="Z186" i="8"/>
  <c r="W291" i="8"/>
  <c r="AL367" i="8"/>
  <c r="AR114" i="8"/>
  <c r="AC359" i="8"/>
  <c r="AM291" i="8"/>
  <c r="AL291" i="8"/>
  <c r="K229" i="5"/>
  <c r="V186" i="8"/>
  <c r="X98" i="8"/>
  <c r="AQ371" i="8"/>
  <c r="O80" i="8"/>
  <c r="W371" i="8"/>
  <c r="H368" i="5"/>
  <c r="AG367" i="8"/>
  <c r="K362" i="5"/>
  <c r="AN365" i="8"/>
  <c r="W359" i="8"/>
  <c r="AK367" i="8"/>
  <c r="F258" i="8"/>
  <c r="F357" i="8" s="1"/>
  <c r="S365" i="8"/>
  <c r="I186" i="8"/>
  <c r="U366" i="8"/>
  <c r="L186" i="8"/>
  <c r="L356" i="8" s="1"/>
  <c r="S80" i="8"/>
  <c r="H291" i="8"/>
  <c r="Q359" i="8"/>
  <c r="S371" i="8"/>
  <c r="P80" i="8"/>
  <c r="P291" i="8"/>
  <c r="AH291" i="8"/>
  <c r="G291" i="8"/>
  <c r="AU114" i="8"/>
  <c r="O359" i="8"/>
  <c r="N186" i="8"/>
  <c r="S186" i="8"/>
  <c r="T352" i="8"/>
  <c r="Q366" i="8"/>
  <c r="S114" i="8"/>
  <c r="S355" i="8" s="1"/>
  <c r="G369" i="8"/>
  <c r="U368" i="8"/>
  <c r="AH114" i="8"/>
  <c r="P368" i="8"/>
  <c r="I291" i="8"/>
  <c r="K291" i="8"/>
  <c r="Q80" i="8"/>
  <c r="X352" i="8"/>
  <c r="AM98" i="8"/>
  <c r="AC186" i="8"/>
  <c r="AR291" i="8"/>
  <c r="Q367" i="8"/>
  <c r="AL186" i="8"/>
  <c r="M258" i="8"/>
  <c r="F98" i="8"/>
  <c r="F354" i="8" s="1"/>
  <c r="G258" i="8"/>
  <c r="G357" i="8" s="1"/>
  <c r="F80" i="8"/>
  <c r="F219" i="8" s="1"/>
  <c r="F221" i="8" s="1"/>
  <c r="F277" i="8" s="1"/>
  <c r="H114" i="5"/>
  <c r="AT364" i="8"/>
  <c r="AC291" i="8"/>
  <c r="H359" i="8"/>
  <c r="AK114" i="8"/>
  <c r="H359" i="5"/>
  <c r="J80" i="8"/>
  <c r="J370" i="8" s="1"/>
  <c r="M369" i="8"/>
  <c r="N276" i="8"/>
  <c r="F372" i="8"/>
  <c r="M80" i="8"/>
  <c r="M373" i="8" s="1"/>
  <c r="AM368" i="8"/>
  <c r="P359" i="8"/>
  <c r="AL114" i="8"/>
  <c r="Q371" i="8"/>
  <c r="K49" i="5"/>
  <c r="AT27" i="8"/>
  <c r="X365" i="8"/>
  <c r="AH359" i="8"/>
  <c r="I364" i="8"/>
  <c r="AH371" i="8"/>
  <c r="K186" i="8"/>
  <c r="AB27" i="8"/>
  <c r="K312" i="5"/>
  <c r="R368" i="8"/>
  <c r="AC258" i="8"/>
  <c r="R258" i="8"/>
  <c r="R357" i="8" s="1"/>
  <c r="K376" i="5"/>
  <c r="AD276" i="8"/>
  <c r="F359" i="5"/>
  <c r="AC80" i="8"/>
  <c r="AS368" i="8"/>
  <c r="AR27" i="8"/>
  <c r="Z291" i="8"/>
  <c r="AT359" i="8"/>
  <c r="AL369" i="8"/>
  <c r="M98" i="8"/>
  <c r="N98" i="8"/>
  <c r="N354" i="8" s="1"/>
  <c r="V80" i="8"/>
  <c r="AK80" i="8"/>
  <c r="AK370" i="8" s="1"/>
  <c r="K360" i="5"/>
  <c r="AS276" i="8"/>
  <c r="H80" i="8"/>
  <c r="H353" i="8" s="1"/>
  <c r="J98" i="8"/>
  <c r="K98" i="8"/>
  <c r="T186" i="8"/>
  <c r="G98" i="8"/>
  <c r="T27" i="8"/>
  <c r="AA291" i="8"/>
  <c r="AF98" i="8"/>
  <c r="AF354" i="8" s="1"/>
  <c r="L258" i="8"/>
  <c r="L357" i="8" s="1"/>
  <c r="U80" i="8"/>
  <c r="L372" i="8"/>
  <c r="AG276" i="8"/>
  <c r="Q368" i="8"/>
  <c r="S372" i="8"/>
  <c r="AS367" i="8"/>
  <c r="AB291" i="8"/>
  <c r="Q365" i="8"/>
  <c r="AC372" i="8"/>
  <c r="AF369" i="8"/>
  <c r="H364" i="5"/>
  <c r="M368" i="8"/>
  <c r="K378" i="5"/>
  <c r="V352" i="8"/>
  <c r="I359" i="8"/>
  <c r="K316" i="5"/>
  <c r="G27" i="8"/>
  <c r="AS80" i="8"/>
  <c r="AQ80" i="8"/>
  <c r="AD369" i="8"/>
  <c r="AJ369" i="8"/>
  <c r="AB98" i="8"/>
  <c r="AQ369" i="8"/>
  <c r="AS369" i="8"/>
  <c r="AG186" i="8"/>
  <c r="AB368" i="8"/>
  <c r="AD98" i="8"/>
  <c r="AF80" i="8"/>
  <c r="Y27" i="8"/>
  <c r="V98" i="8"/>
  <c r="AI114" i="8"/>
  <c r="AI355" i="8" s="1"/>
  <c r="T80" i="8"/>
  <c r="G186" i="8"/>
  <c r="AN372" i="8"/>
  <c r="AS258" i="8"/>
  <c r="P258" i="8"/>
  <c r="P357" i="8" s="1"/>
  <c r="G80" i="8"/>
  <c r="N258" i="8"/>
  <c r="U98" i="8"/>
  <c r="U354" i="8" s="1"/>
  <c r="AL366" i="8"/>
  <c r="AE364" i="8"/>
  <c r="AG369" i="8"/>
  <c r="S98" i="8"/>
  <c r="U372" i="8"/>
  <c r="G372" i="8"/>
  <c r="S352" i="8"/>
  <c r="I365" i="8"/>
  <c r="F366" i="8"/>
  <c r="AE371" i="8"/>
  <c r="H258" i="5"/>
  <c r="F98" i="5"/>
  <c r="I258" i="8"/>
  <c r="I357" i="8" s="1"/>
  <c r="AH366" i="8"/>
  <c r="K80" i="8"/>
  <c r="K373" i="8" s="1"/>
  <c r="AU372" i="8"/>
  <c r="Q186" i="8"/>
  <c r="AG372" i="8"/>
  <c r="U369" i="8"/>
  <c r="T372" i="8"/>
  <c r="J372" i="8"/>
  <c r="L369" i="8"/>
  <c r="AI258" i="8"/>
  <c r="Z258" i="8"/>
  <c r="Z357" i="8" s="1"/>
  <c r="P186" i="8"/>
  <c r="T258" i="8"/>
  <c r="AO27" i="8"/>
  <c r="K336" i="5"/>
  <c r="J366" i="8"/>
  <c r="H369" i="8"/>
  <c r="F80" i="5"/>
  <c r="F370" i="5" s="1"/>
  <c r="M30" i="8"/>
  <c r="M367" i="8"/>
  <c r="AC276" i="8"/>
  <c r="AG258" i="8"/>
  <c r="AN258" i="8"/>
  <c r="J186" i="8"/>
  <c r="J356" i="8" s="1"/>
  <c r="L98" i="8"/>
  <c r="L354" i="8" s="1"/>
  <c r="AG365" i="8"/>
  <c r="AB372" i="8"/>
  <c r="H98" i="8"/>
  <c r="H354" i="8" s="1"/>
  <c r="Y98" i="8"/>
  <c r="Q98" i="8"/>
  <c r="AP369" i="8"/>
  <c r="F258" i="5"/>
  <c r="U367" i="8"/>
  <c r="Q30" i="8"/>
  <c r="AE365" i="8"/>
  <c r="K324" i="5"/>
  <c r="K281" i="5"/>
  <c r="O372" i="8"/>
  <c r="AJ372" i="8"/>
  <c r="K97" i="5"/>
  <c r="AR276" i="8"/>
  <c r="AR372" i="8"/>
  <c r="X366" i="8"/>
  <c r="G371" i="8"/>
  <c r="AJ366" i="8"/>
  <c r="AB258" i="8"/>
  <c r="AD258" i="8"/>
  <c r="AI368" i="8"/>
  <c r="AE80" i="8"/>
  <c r="AE373" i="8" s="1"/>
  <c r="AM80" i="8"/>
  <c r="AM373" i="8" s="1"/>
  <c r="AJ258" i="8"/>
  <c r="AJ357" i="8" s="1"/>
  <c r="W258" i="8"/>
  <c r="AG80" i="8"/>
  <c r="AG373" i="8" s="1"/>
  <c r="AS186" i="8"/>
  <c r="AS356" i="8" s="1"/>
  <c r="AP80" i="8"/>
  <c r="AB80" i="8"/>
  <c r="AB373" i="8" s="1"/>
  <c r="AL371" i="8"/>
  <c r="AP258" i="8"/>
  <c r="AE258" i="8"/>
  <c r="AE357" i="8" s="1"/>
  <c r="AJ98" i="8"/>
  <c r="AL80" i="8"/>
  <c r="AL373" i="8" s="1"/>
  <c r="AA98" i="8"/>
  <c r="Y80" i="8"/>
  <c r="AT98" i="8"/>
  <c r="AR186" i="8"/>
  <c r="AR356" i="8" s="1"/>
  <c r="AG359" i="8"/>
  <c r="AD80" i="8"/>
  <c r="AJ371" i="8"/>
  <c r="AR258" i="8"/>
  <c r="AR357" i="8" s="1"/>
  <c r="AQ186" i="8"/>
  <c r="AF258" i="8"/>
  <c r="AO258" i="8"/>
  <c r="AO357" i="8" s="1"/>
  <c r="AT258" i="8"/>
  <c r="AT357" i="8" s="1"/>
  <c r="W186" i="8"/>
  <c r="W356" i="8" s="1"/>
  <c r="U258" i="8"/>
  <c r="U357" i="8" s="1"/>
  <c r="Q258" i="8"/>
  <c r="Q372" i="8"/>
  <c r="N80" i="8"/>
  <c r="N370" i="8" s="1"/>
  <c r="P276" i="8"/>
  <c r="O369" i="8"/>
  <c r="S369" i="8"/>
  <c r="Q291" i="8"/>
  <c r="R364" i="8"/>
  <c r="AD372" i="8"/>
  <c r="AF276" i="8"/>
  <c r="K137" i="5"/>
  <c r="F372" i="5"/>
  <c r="AO371" i="8"/>
  <c r="K109" i="5"/>
  <c r="K227" i="5"/>
  <c r="AN80" i="8"/>
  <c r="AN370" i="8" s="1"/>
  <c r="AA258" i="8"/>
  <c r="AL258" i="8"/>
  <c r="AL357" i="8" s="1"/>
  <c r="AF364" i="8"/>
  <c r="AJ114" i="8"/>
  <c r="X258" i="8"/>
  <c r="Y359" i="8"/>
  <c r="AD364" i="8"/>
  <c r="H258" i="8"/>
  <c r="H357" i="8" s="1"/>
  <c r="AS372" i="8"/>
  <c r="Y186" i="8"/>
  <c r="AN366" i="8"/>
  <c r="V258" i="8"/>
  <c r="V357" i="8" s="1"/>
  <c r="W98" i="8"/>
  <c r="K332" i="5"/>
  <c r="AU371" i="8"/>
  <c r="Y258" i="8"/>
  <c r="Y357" i="8" s="1"/>
  <c r="AJ80" i="8"/>
  <c r="AJ370" i="8" s="1"/>
  <c r="AI80" i="8"/>
  <c r="AI373" i="8" s="1"/>
  <c r="AP365" i="8"/>
  <c r="X80" i="8"/>
  <c r="Z371" i="8"/>
  <c r="AT80" i="8"/>
  <c r="AT373" i="8" s="1"/>
  <c r="AL98" i="8"/>
  <c r="AL354" i="8" s="1"/>
  <c r="AM258" i="8"/>
  <c r="AM357" i="8" s="1"/>
  <c r="AE369" i="8"/>
  <c r="AR367" i="8"/>
  <c r="AU365" i="8"/>
  <c r="R80" i="8"/>
  <c r="AU258" i="8"/>
  <c r="AU357" i="8" s="1"/>
  <c r="AH258" i="8"/>
  <c r="AH357" i="8" s="1"/>
  <c r="O258" i="8"/>
  <c r="AS27" i="8"/>
  <c r="I80" i="8"/>
  <c r="S258" i="8"/>
  <c r="S357" i="8" s="1"/>
  <c r="Z352" i="8"/>
  <c r="AD186" i="8"/>
  <c r="K258" i="8"/>
  <c r="K357" i="8" s="1"/>
  <c r="J114" i="8"/>
  <c r="J355" i="8" s="1"/>
  <c r="AG364" i="8"/>
  <c r="AH27" i="8"/>
  <c r="AC98" i="8"/>
  <c r="AG291" i="8"/>
  <c r="Q369" i="8"/>
  <c r="R367" i="8"/>
  <c r="N30" i="8"/>
  <c r="N352" i="8" s="1"/>
  <c r="G368" i="8"/>
  <c r="AG98" i="8"/>
  <c r="AG354" i="8" s="1"/>
  <c r="AM352" i="8"/>
  <c r="H98" i="5"/>
  <c r="M372" i="8"/>
  <c r="AS364" i="8"/>
  <c r="AO98" i="8"/>
  <c r="AD367" i="8"/>
  <c r="AA364" i="8"/>
  <c r="Y352" i="8"/>
  <c r="L371" i="8"/>
  <c r="F291" i="5"/>
  <c r="K291" i="5" s="1"/>
  <c r="AU367" i="8"/>
  <c r="AK258" i="8"/>
  <c r="AK357" i="8" s="1"/>
  <c r="AI369" i="8"/>
  <c r="R98" i="8"/>
  <c r="R354" i="8" s="1"/>
  <c r="AH98" i="8"/>
  <c r="AH219" i="8" s="1"/>
  <c r="J365" i="8"/>
  <c r="AM367" i="8"/>
  <c r="K83" i="5"/>
  <c r="I372" i="8"/>
  <c r="AJ368" i="8"/>
  <c r="K113" i="5"/>
  <c r="AM364" i="8"/>
  <c r="I369" i="8"/>
  <c r="AR80" i="8"/>
  <c r="AR353" i="8" s="1"/>
  <c r="H80" i="5"/>
  <c r="H370" i="5" s="1"/>
  <c r="K372" i="8"/>
  <c r="Y372" i="8"/>
  <c r="H369" i="5"/>
  <c r="V364" i="8"/>
  <c r="K330" i="5"/>
  <c r="F367" i="5"/>
  <c r="K367" i="5" s="1"/>
  <c r="AD368" i="8"/>
  <c r="I366" i="8"/>
  <c r="K342" i="5"/>
  <c r="P365" i="8"/>
  <c r="AQ367" i="8"/>
  <c r="H373" i="5"/>
  <c r="AN27" i="8"/>
  <c r="P372" i="8"/>
  <c r="AA372" i="8"/>
  <c r="AH364" i="8"/>
  <c r="K340" i="5"/>
  <c r="AL352" i="8"/>
  <c r="AG366" i="8"/>
  <c r="AN371" i="8"/>
  <c r="J95" i="5"/>
  <c r="G97" i="5"/>
  <c r="J97" i="5" s="1"/>
  <c r="J130" i="5"/>
  <c r="J288" i="5"/>
  <c r="G290" i="5"/>
  <c r="J290" i="5" s="1"/>
  <c r="G347" i="5"/>
  <c r="J347" i="5" s="1"/>
  <c r="J346" i="5"/>
  <c r="J178" i="5"/>
  <c r="J171" i="5"/>
  <c r="J226" i="5"/>
  <c r="G227" i="5"/>
  <c r="J227" i="5" s="1"/>
  <c r="G128" i="5"/>
  <c r="J128" i="5" s="1"/>
  <c r="G328" i="5"/>
  <c r="G362" i="5" s="1"/>
  <c r="J362" i="5" s="1"/>
  <c r="J327" i="5"/>
  <c r="J67" i="5"/>
  <c r="G261" i="5"/>
  <c r="J261" i="5" s="1"/>
  <c r="J72" i="5"/>
  <c r="J310" i="5"/>
  <c r="J136" i="5"/>
  <c r="J201" i="5"/>
  <c r="G266" i="5"/>
  <c r="J266" i="5" s="1"/>
  <c r="G275" i="5"/>
  <c r="J275" i="5" s="1"/>
  <c r="J46" i="5"/>
  <c r="J214" i="5"/>
  <c r="J134" i="5"/>
  <c r="J289" i="5"/>
  <c r="J192" i="5"/>
  <c r="J59" i="5"/>
  <c r="J146" i="5"/>
  <c r="J176" i="5"/>
  <c r="J242" i="5"/>
  <c r="G243" i="5"/>
  <c r="J243" i="5" s="1"/>
  <c r="J188" i="5"/>
  <c r="J164" i="5"/>
  <c r="G49" i="5"/>
  <c r="J49" i="5" s="1"/>
  <c r="J48" i="5"/>
  <c r="J179" i="5"/>
  <c r="G271" i="5"/>
  <c r="J271" i="5" s="1"/>
  <c r="J90" i="5"/>
  <c r="J139" i="5"/>
  <c r="J200" i="5"/>
  <c r="J204" i="5"/>
  <c r="J61" i="5"/>
  <c r="J177" i="5"/>
  <c r="G41" i="5"/>
  <c r="J41" i="5" s="1"/>
  <c r="J31" i="5"/>
  <c r="J141" i="5"/>
  <c r="J64" i="5"/>
  <c r="J75" i="5"/>
  <c r="G338" i="5"/>
  <c r="J338" i="5" s="1"/>
  <c r="J337" i="5"/>
  <c r="G245" i="5"/>
  <c r="J245" i="5" s="1"/>
  <c r="J244" i="5"/>
  <c r="G334" i="5"/>
  <c r="J334" i="5" s="1"/>
  <c r="J333" i="5"/>
  <c r="J65" i="5"/>
  <c r="J181" i="5"/>
  <c r="J73" i="5"/>
  <c r="J162" i="5"/>
  <c r="J149" i="5"/>
  <c r="J138" i="5"/>
  <c r="G151" i="5"/>
  <c r="J151" i="5" s="1"/>
  <c r="J183" i="5"/>
  <c r="J159" i="5"/>
  <c r="J143" i="5"/>
  <c r="G273" i="5"/>
  <c r="J273" i="5" s="1"/>
  <c r="J209" i="5"/>
  <c r="J202" i="5"/>
  <c r="J132" i="5"/>
  <c r="J208" i="5"/>
  <c r="J211" i="5"/>
  <c r="J174" i="5"/>
  <c r="J85" i="5"/>
  <c r="J32" i="5"/>
  <c r="J163" i="5"/>
  <c r="J145" i="5"/>
  <c r="J160" i="5"/>
  <c r="J172" i="5"/>
  <c r="J196" i="5"/>
  <c r="J216" i="5"/>
  <c r="J93" i="5"/>
  <c r="J194" i="5"/>
  <c r="J154" i="5"/>
  <c r="J325" i="5"/>
  <c r="G326" i="5"/>
  <c r="G361" i="5" s="1"/>
  <c r="J361" i="5" s="1"/>
  <c r="G235" i="5"/>
  <c r="J235" i="5" s="1"/>
  <c r="J234" i="5"/>
  <c r="G281" i="5"/>
  <c r="G113" i="5"/>
  <c r="J113" i="5" s="1"/>
  <c r="J140" i="5"/>
  <c r="J58" i="5"/>
  <c r="J341" i="5"/>
  <c r="G342" i="5"/>
  <c r="J342" i="5" s="1"/>
  <c r="G24" i="5"/>
  <c r="J24" i="5" s="1"/>
  <c r="G91" i="5"/>
  <c r="J89" i="5"/>
  <c r="J66" i="5"/>
  <c r="J197" i="5"/>
  <c r="J133" i="5"/>
  <c r="J240" i="5"/>
  <c r="G241" i="5"/>
  <c r="J241" i="5" s="1"/>
  <c r="J236" i="5"/>
  <c r="G237" i="5"/>
  <c r="J237" i="5" s="1"/>
  <c r="G324" i="5"/>
  <c r="G360" i="5" s="1"/>
  <c r="J360" i="5" s="1"/>
  <c r="G349" i="5"/>
  <c r="J349" i="5" s="1"/>
  <c r="J348" i="5"/>
  <c r="J198" i="5"/>
  <c r="G79" i="5"/>
  <c r="J79" i="5" s="1"/>
  <c r="J56" i="5"/>
  <c r="J180" i="5"/>
  <c r="J148" i="5"/>
  <c r="J78" i="5"/>
  <c r="J210" i="5"/>
  <c r="J213" i="5"/>
  <c r="G233" i="5"/>
  <c r="J233" i="5" s="1"/>
  <c r="J232" i="5"/>
  <c r="J205" i="5"/>
  <c r="J167" i="5"/>
  <c r="J166" i="5"/>
  <c r="G109" i="5"/>
  <c r="J109" i="5" s="1"/>
  <c r="J74" i="5"/>
  <c r="G169" i="5"/>
  <c r="J169" i="5" s="1"/>
  <c r="J152" i="5"/>
  <c r="J96" i="5"/>
  <c r="J60" i="5"/>
  <c r="G231" i="5"/>
  <c r="J231" i="5" s="1"/>
  <c r="J230" i="5"/>
  <c r="J131" i="5"/>
  <c r="J187" i="5"/>
  <c r="G218" i="5"/>
  <c r="J218" i="5" s="1"/>
  <c r="J190" i="5"/>
  <c r="G336" i="5"/>
  <c r="J336" i="5" s="1"/>
  <c r="J335" i="5"/>
  <c r="J69" i="5"/>
  <c r="J203" i="5"/>
  <c r="G308" i="5"/>
  <c r="J308" i="5" s="1"/>
  <c r="J283" i="5"/>
  <c r="G253" i="5"/>
  <c r="J253" i="5" s="1"/>
  <c r="J252" i="5"/>
  <c r="J87" i="5"/>
  <c r="J311" i="5"/>
  <c r="G340" i="5"/>
  <c r="J340" i="5" s="1"/>
  <c r="J339" i="5"/>
  <c r="J68" i="5"/>
  <c r="G51" i="5"/>
  <c r="J51" i="5" s="1"/>
  <c r="J50" i="5"/>
  <c r="J294" i="5"/>
  <c r="J212" i="5"/>
  <c r="J165" i="5"/>
  <c r="J320" i="5"/>
  <c r="G321" i="5"/>
  <c r="J321" i="5" s="1"/>
  <c r="J70" i="5"/>
  <c r="J313" i="5"/>
  <c r="G315" i="5"/>
  <c r="J315" i="5" s="1"/>
  <c r="G249" i="5"/>
  <c r="J249" i="5" s="1"/>
  <c r="J248" i="5"/>
  <c r="G255" i="5"/>
  <c r="J255" i="5" s="1"/>
  <c r="J254" i="5"/>
  <c r="J184" i="5"/>
  <c r="J63" i="5"/>
  <c r="J228" i="5"/>
  <c r="G229" i="5"/>
  <c r="J229" i="5" s="1"/>
  <c r="J314" i="5"/>
  <c r="J129" i="5"/>
  <c r="G137" i="5"/>
  <c r="J137" i="5" s="1"/>
  <c r="J191" i="5"/>
  <c r="J43" i="5"/>
  <c r="J84" i="5"/>
  <c r="G88" i="5"/>
  <c r="J88" i="5" s="1"/>
  <c r="J135" i="5"/>
  <c r="J77" i="5"/>
  <c r="J293" i="5"/>
  <c r="G83" i="5"/>
  <c r="J83" i="5" s="1"/>
  <c r="J182" i="5"/>
  <c r="G21" i="5"/>
  <c r="J215" i="5"/>
  <c r="J250" i="5"/>
  <c r="G251" i="5"/>
  <c r="J251" i="5" s="1"/>
  <c r="J62" i="5"/>
  <c r="G345" i="5"/>
  <c r="J345" i="5" s="1"/>
  <c r="J71" i="5"/>
  <c r="J144" i="5"/>
  <c r="J155" i="5"/>
  <c r="J161" i="5"/>
  <c r="J195" i="5"/>
  <c r="J142" i="5"/>
  <c r="G44" i="5"/>
  <c r="J44" i="5" s="1"/>
  <c r="J42" i="5"/>
  <c r="J175" i="5"/>
  <c r="J206" i="5"/>
  <c r="J156" i="5"/>
  <c r="G53" i="5"/>
  <c r="J53" i="5" s="1"/>
  <c r="J52" i="5"/>
  <c r="J173" i="5"/>
  <c r="J147" i="5"/>
  <c r="J282" i="5"/>
  <c r="G284" i="5"/>
  <c r="J284" i="5" s="1"/>
  <c r="J217" i="5"/>
  <c r="J25" i="5"/>
  <c r="G26" i="5"/>
  <c r="J26" i="5" s="1"/>
  <c r="J207" i="5"/>
  <c r="G94" i="5"/>
  <c r="J94" i="5" s="1"/>
  <c r="J92" i="5"/>
  <c r="J329" i="5"/>
  <c r="G330" i="5"/>
  <c r="G363" i="5" s="1"/>
  <c r="J363" i="5" s="1"/>
  <c r="J86" i="5"/>
  <c r="J199" i="5"/>
  <c r="G332" i="5"/>
  <c r="J332" i="5" s="1"/>
  <c r="J331" i="5"/>
  <c r="J158" i="5"/>
  <c r="J246" i="5"/>
  <c r="G247" i="5"/>
  <c r="J247" i="5" s="1"/>
  <c r="G185" i="5"/>
  <c r="J185" i="5" s="1"/>
  <c r="J170" i="5"/>
  <c r="J256" i="5"/>
  <c r="G257" i="5"/>
  <c r="J257" i="5" s="1"/>
  <c r="J157" i="5"/>
  <c r="J238" i="5"/>
  <c r="G239" i="5"/>
  <c r="J239" i="5" s="1"/>
  <c r="J189" i="5"/>
  <c r="G225" i="5"/>
  <c r="J225" i="5" s="1"/>
  <c r="J168" i="5"/>
  <c r="G47" i="5"/>
  <c r="J47" i="5" s="1"/>
  <c r="J45" i="5"/>
  <c r="J54" i="5"/>
  <c r="G55" i="5"/>
  <c r="J55" i="5" s="1"/>
  <c r="J153" i="5"/>
  <c r="J150" i="5"/>
  <c r="J76" i="5"/>
  <c r="G312" i="5"/>
  <c r="J312" i="5" s="1"/>
  <c r="J309" i="5"/>
  <c r="AP98" i="8"/>
  <c r="AP219" i="8" s="1"/>
  <c r="AP221" i="8" s="1"/>
  <c r="AF366" i="8"/>
  <c r="AL276" i="8"/>
  <c r="AO372" i="8"/>
  <c r="AQ372" i="8"/>
  <c r="AM372" i="8"/>
  <c r="AB366" i="8"/>
  <c r="H186" i="5"/>
  <c r="K186" i="5" s="1"/>
  <c r="AK98" i="8"/>
  <c r="AK354" i="8" s="1"/>
  <c r="F366" i="5"/>
  <c r="K366" i="5" s="1"/>
  <c r="H372" i="5"/>
  <c r="AJ365" i="8"/>
  <c r="AT372" i="8"/>
  <c r="AU98" i="8"/>
  <c r="AU354" i="8" s="1"/>
  <c r="AJ27" i="8"/>
  <c r="AJ367" i="8"/>
  <c r="K374" i="5"/>
  <c r="R372" i="8"/>
  <c r="AH372" i="8"/>
  <c r="Y365" i="8"/>
  <c r="AI364" i="8"/>
  <c r="V359" i="8"/>
  <c r="AI372" i="8"/>
  <c r="V366" i="8"/>
  <c r="AQ366" i="8"/>
  <c r="AK366" i="8"/>
  <c r="AN359" i="8"/>
  <c r="V372" i="8"/>
  <c r="AT366" i="8"/>
  <c r="AF372" i="8"/>
  <c r="AI98" i="8"/>
  <c r="V367" i="8"/>
  <c r="G367" i="8"/>
  <c r="F369" i="8"/>
  <c r="AF367" i="8"/>
  <c r="AR98" i="8"/>
  <c r="AP372" i="8"/>
  <c r="AA365" i="8"/>
  <c r="AE27" i="8"/>
  <c r="K328" i="5"/>
  <c r="Z27" i="8"/>
  <c r="Z98" i="8"/>
  <c r="Z219" i="8" s="1"/>
  <c r="AD366" i="8"/>
  <c r="AM359" i="8"/>
  <c r="AR364" i="8"/>
  <c r="AS371" i="8"/>
  <c r="AF365" i="8"/>
  <c r="AM365" i="8"/>
  <c r="AK372" i="8"/>
  <c r="AS365" i="8"/>
  <c r="AJ364" i="8"/>
  <c r="K308" i="5"/>
  <c r="X27" i="8"/>
  <c r="S366" i="8"/>
  <c r="AQ359" i="8"/>
  <c r="F371" i="8"/>
  <c r="AQ27" i="8"/>
  <c r="AA27" i="8"/>
  <c r="X372" i="8"/>
  <c r="W367" i="8"/>
  <c r="H367" i="8"/>
  <c r="X364" i="8"/>
  <c r="N364" i="8"/>
  <c r="AC366" i="8"/>
  <c r="K347" i="5"/>
  <c r="AD355" i="8"/>
  <c r="P355" i="8"/>
  <c r="AQ355" i="8"/>
  <c r="K359" i="5"/>
  <c r="K371" i="5"/>
  <c r="AU355" i="8"/>
  <c r="K355" i="8"/>
  <c r="AT355" i="8"/>
  <c r="AF356" i="8"/>
  <c r="G355" i="8"/>
  <c r="AB353" i="8"/>
  <c r="AT352" i="8"/>
  <c r="AB370" i="8"/>
  <c r="G356" i="8"/>
  <c r="AN356" i="8"/>
  <c r="Y354" i="8"/>
  <c r="J324" i="5"/>
  <c r="L355" i="8"/>
  <c r="Y355" i="8"/>
  <c r="AF357" i="8"/>
  <c r="AF352" i="8"/>
  <c r="AC355" i="8"/>
  <c r="V356" i="8"/>
  <c r="AJ356" i="8"/>
  <c r="V354" i="8"/>
  <c r="AQ357" i="8"/>
  <c r="AQ356" i="8"/>
  <c r="AQ352" i="8"/>
  <c r="H357" i="5"/>
  <c r="AE356" i="8"/>
  <c r="H355" i="5"/>
  <c r="S354" i="8"/>
  <c r="G354" i="8"/>
  <c r="AU356" i="8"/>
  <c r="S356" i="8"/>
  <c r="O355" i="8"/>
  <c r="AP357" i="8"/>
  <c r="O354" i="8"/>
  <c r="AC357" i="8"/>
  <c r="AL355" i="8"/>
  <c r="AK356" i="8"/>
  <c r="AH355" i="8"/>
  <c r="AE355" i="8"/>
  <c r="AP356" i="8"/>
  <c r="AD356" i="8"/>
  <c r="X356" i="8"/>
  <c r="AQ354" i="8"/>
  <c r="O356" i="8"/>
  <c r="K372" i="5"/>
  <c r="V355" i="8"/>
  <c r="U356" i="8"/>
  <c r="AD357" i="8"/>
  <c r="AC356" i="8"/>
  <c r="U352" i="8"/>
  <c r="AA219" i="8"/>
  <c r="AJ354" i="8"/>
  <c r="X355" i="8"/>
  <c r="AE354" i="8"/>
  <c r="O357" i="8"/>
  <c r="AD354" i="8"/>
  <c r="AM356" i="8"/>
  <c r="AS352" i="8"/>
  <c r="AG355" i="8"/>
  <c r="K369" i="5"/>
  <c r="AF370" i="8"/>
  <c r="AF353" i="8"/>
  <c r="AF373" i="8"/>
  <c r="W370" i="8"/>
  <c r="W353" i="8"/>
  <c r="W373" i="8"/>
  <c r="AB357" i="8"/>
  <c r="AI357" i="8"/>
  <c r="AM355" i="8"/>
  <c r="AG352" i="8"/>
  <c r="AS373" i="8"/>
  <c r="AS353" i="8"/>
  <c r="AS370" i="8"/>
  <c r="AR352" i="8"/>
  <c r="W355" i="8"/>
  <c r="F355" i="5"/>
  <c r="K114" i="5"/>
  <c r="T357" i="8"/>
  <c r="J357" i="8"/>
  <c r="AG356" i="8"/>
  <c r="X354" i="8"/>
  <c r="K370" i="8"/>
  <c r="K353" i="8"/>
  <c r="J352" i="8"/>
  <c r="H352" i="5"/>
  <c r="K352" i="5" s="1"/>
  <c r="K354" i="8"/>
  <c r="AC373" i="8"/>
  <c r="AC353" i="8"/>
  <c r="AC370" i="8"/>
  <c r="K276" i="5"/>
  <c r="K273" i="5"/>
  <c r="AK355" i="8"/>
  <c r="AP373" i="8"/>
  <c r="AP370" i="8"/>
  <c r="AP353" i="8"/>
  <c r="W352" i="8"/>
  <c r="T354" i="8"/>
  <c r="AI352" i="8"/>
  <c r="K368" i="5"/>
  <c r="J281" i="5"/>
  <c r="V373" i="8"/>
  <c r="V353" i="8"/>
  <c r="V370" i="8"/>
  <c r="H355" i="8"/>
  <c r="AP352" i="8"/>
  <c r="AT354" i="8"/>
  <c r="I354" i="8"/>
  <c r="U355" i="8"/>
  <c r="AA373" i="8"/>
  <c r="AA370" i="8"/>
  <c r="AA353" i="8"/>
  <c r="G378" i="5"/>
  <c r="J378" i="5" s="1"/>
  <c r="AI356" i="8"/>
  <c r="AN352" i="8"/>
  <c r="AO219" i="8"/>
  <c r="AO221" i="8" s="1"/>
  <c r="AO277" i="8" s="1"/>
  <c r="K30" i="5"/>
  <c r="K27" i="5"/>
  <c r="Z353" i="8"/>
  <c r="Z373" i="8"/>
  <c r="Z370" i="8"/>
  <c r="W354" i="8"/>
  <c r="O219" i="8"/>
  <c r="O221" i="8" s="1"/>
  <c r="O277" i="8" s="1"/>
  <c r="K356" i="8"/>
  <c r="AT356" i="8"/>
  <c r="Z356" i="8"/>
  <c r="S219" i="8"/>
  <c r="S221" i="8" s="1"/>
  <c r="S277" i="8" s="1"/>
  <c r="K364" i="5"/>
  <c r="AR355" i="8"/>
  <c r="AS354" i="8"/>
  <c r="X373" i="8"/>
  <c r="X370" i="8"/>
  <c r="X353" i="8"/>
  <c r="AQ373" i="8"/>
  <c r="AQ370" i="8"/>
  <c r="AQ353" i="8"/>
  <c r="U219" i="8"/>
  <c r="U221" i="8" s="1"/>
  <c r="U277" i="8" s="1"/>
  <c r="H219" i="8"/>
  <c r="H221" i="8" s="1"/>
  <c r="F354" i="5"/>
  <c r="P370" i="8"/>
  <c r="P373" i="8"/>
  <c r="P353" i="8"/>
  <c r="T370" i="8"/>
  <c r="AP355" i="8"/>
  <c r="F356" i="5"/>
  <c r="W357" i="8"/>
  <c r="AS357" i="8"/>
  <c r="M355" i="8"/>
  <c r="M370" i="8"/>
  <c r="T355" i="8"/>
  <c r="P352" i="8"/>
  <c r="AG357" i="8"/>
  <c r="AF355" i="8"/>
  <c r="O370" i="8"/>
  <c r="O373" i="8"/>
  <c r="O353" i="8"/>
  <c r="AJ355" i="8"/>
  <c r="K365" i="5"/>
  <c r="AB355" i="8"/>
  <c r="AK352" i="8"/>
  <c r="L352" i="8"/>
  <c r="Z355" i="8"/>
  <c r="AH356" i="8"/>
  <c r="AC219" i="8"/>
  <c r="AC221" i="8" s="1"/>
  <c r="AC277" i="8" s="1"/>
  <c r="AN373" i="8"/>
  <c r="AJ373" i="8"/>
  <c r="I355" i="8"/>
  <c r="AO355" i="8"/>
  <c r="AU352" i="8"/>
  <c r="J354" i="8"/>
  <c r="AU353" i="8"/>
  <c r="AU370" i="8"/>
  <c r="AN355" i="8"/>
  <c r="AD352" i="8"/>
  <c r="M352" i="8"/>
  <c r="AH352" i="8"/>
  <c r="AC354" i="8"/>
  <c r="G353" i="8"/>
  <c r="G373" i="8"/>
  <c r="AH353" i="8"/>
  <c r="AH370" i="8"/>
  <c r="AH373" i="8"/>
  <c r="AA357" i="8"/>
  <c r="AO354" i="8"/>
  <c r="T356" i="8"/>
  <c r="F317" i="5"/>
  <c r="Z354" i="8"/>
  <c r="U370" i="8"/>
  <c r="U373" i="8"/>
  <c r="U353" i="8"/>
  <c r="I353" i="8"/>
  <c r="H370" i="8"/>
  <c r="H373" i="8"/>
  <c r="I356" i="8"/>
  <c r="J353" i="8"/>
  <c r="AS355" i="8"/>
  <c r="AA355" i="8"/>
  <c r="AN357" i="8"/>
  <c r="AO353" i="8"/>
  <c r="AO373" i="8"/>
  <c r="AO370" i="8"/>
  <c r="L353" i="8"/>
  <c r="L373" i="8"/>
  <c r="L370" i="8"/>
  <c r="AL356" i="8"/>
  <c r="S370" i="8"/>
  <c r="S353" i="8"/>
  <c r="S373" i="8"/>
  <c r="AL353" i="8"/>
  <c r="F357" i="5"/>
  <c r="K258" i="5"/>
  <c r="R370" i="8"/>
  <c r="R373" i="8"/>
  <c r="R353" i="8"/>
  <c r="AA354" i="8"/>
  <c r="AA356" i="8"/>
  <c r="AM354" i="8"/>
  <c r="AO356" i="8"/>
  <c r="X219" i="8"/>
  <c r="Q373" i="8"/>
  <c r="Q370" i="8"/>
  <c r="K352" i="8"/>
  <c r="AJ219" i="8"/>
  <c r="X357" i="8"/>
  <c r="G352" i="8"/>
  <c r="AJ352" i="8"/>
  <c r="AO352" i="8"/>
  <c r="AB352" i="8"/>
  <c r="Y373" i="8"/>
  <c r="Y370" i="8"/>
  <c r="Y353" i="8"/>
  <c r="I352" i="8"/>
  <c r="AB356" i="8"/>
  <c r="O352" i="8"/>
  <c r="G30" i="5"/>
  <c r="G219" i="8" l="1"/>
  <c r="G221" i="8" s="1"/>
  <c r="G277" i="8" s="1"/>
  <c r="N373" i="8"/>
  <c r="G316" i="5"/>
  <c r="G317" i="5" s="1"/>
  <c r="N355" i="8"/>
  <c r="J373" i="8"/>
  <c r="L219" i="8"/>
  <c r="L221" i="8" s="1"/>
  <c r="L277" i="8" s="1"/>
  <c r="R219" i="8"/>
  <c r="R221" i="8" s="1"/>
  <c r="R277" i="8" s="1"/>
  <c r="AE370" i="8"/>
  <c r="AH354" i="8"/>
  <c r="AA221" i="8"/>
  <c r="AA277" i="8" s="1"/>
  <c r="AE353" i="8"/>
  <c r="W219" i="8"/>
  <c r="W221" i="8" s="1"/>
  <c r="AK353" i="8"/>
  <c r="AT219" i="8"/>
  <c r="AT221" i="8" s="1"/>
  <c r="AT277" i="8" s="1"/>
  <c r="G370" i="8"/>
  <c r="F353" i="8"/>
  <c r="AE219" i="8"/>
  <c r="AE221" i="8" s="1"/>
  <c r="AE277" i="8" s="1"/>
  <c r="AT353" i="8"/>
  <c r="F370" i="8"/>
  <c r="AK373" i="8"/>
  <c r="AT370" i="8"/>
  <c r="F373" i="8"/>
  <c r="J219" i="8"/>
  <c r="J221" i="8" s="1"/>
  <c r="J277" i="8" s="1"/>
  <c r="K98" i="5"/>
  <c r="I219" i="8"/>
  <c r="I221" i="8" s="1"/>
  <c r="I277" i="8" s="1"/>
  <c r="P219" i="8"/>
  <c r="P221" i="8" s="1"/>
  <c r="P277" i="8" s="1"/>
  <c r="Q356" i="8"/>
  <c r="T219" i="8"/>
  <c r="T221" i="8" s="1"/>
  <c r="T277" i="8" s="1"/>
  <c r="AR219" i="8"/>
  <c r="AR221" i="8" s="1"/>
  <c r="AR277" i="8" s="1"/>
  <c r="G373" i="5"/>
  <c r="AQ219" i="8"/>
  <c r="AQ221" i="8" s="1"/>
  <c r="AQ277" i="8" s="1"/>
  <c r="Y219" i="8"/>
  <c r="Y221" i="8" s="1"/>
  <c r="Y277" i="8" s="1"/>
  <c r="N356" i="8"/>
  <c r="AP354" i="8"/>
  <c r="AK219" i="8"/>
  <c r="AK221" i="8" s="1"/>
  <c r="M354" i="8"/>
  <c r="I373" i="8"/>
  <c r="G364" i="5"/>
  <c r="J364" i="5" s="1"/>
  <c r="Q354" i="8"/>
  <c r="I370" i="8"/>
  <c r="G114" i="5"/>
  <c r="J114" i="5" s="1"/>
  <c r="P356" i="8"/>
  <c r="T373" i="8"/>
  <c r="T353" i="8"/>
  <c r="G374" i="5"/>
  <c r="J374" i="5" s="1"/>
  <c r="AD219" i="8"/>
  <c r="AD221" i="8" s="1"/>
  <c r="AD277" i="8" s="1"/>
  <c r="Z221" i="8"/>
  <c r="Z277" i="8" s="1"/>
  <c r="N357" i="8"/>
  <c r="V219" i="8"/>
  <c r="V221" i="8" s="1"/>
  <c r="V277" i="8" s="1"/>
  <c r="AB219" i="8"/>
  <c r="AB221" i="8" s="1"/>
  <c r="AN353" i="8"/>
  <c r="AB354" i="8"/>
  <c r="G98" i="5"/>
  <c r="G354" i="5" s="1"/>
  <c r="J354" i="5" s="1"/>
  <c r="M219" i="8"/>
  <c r="M221" i="8" s="1"/>
  <c r="M277" i="8" s="1"/>
  <c r="Q355" i="8"/>
  <c r="Q353" i="8"/>
  <c r="K80" i="5"/>
  <c r="AP277" i="8"/>
  <c r="AN219" i="8"/>
  <c r="AN221" i="8" s="1"/>
  <c r="AN277" i="8" s="1"/>
  <c r="M356" i="8"/>
  <c r="Q357" i="8"/>
  <c r="AR354" i="8"/>
  <c r="M353" i="8"/>
  <c r="AR373" i="8"/>
  <c r="AD370" i="8"/>
  <c r="Q219" i="8"/>
  <c r="Q221" i="8" s="1"/>
  <c r="Q277" i="8" s="1"/>
  <c r="K219" i="8"/>
  <c r="K221" i="8" s="1"/>
  <c r="K277" i="8" s="1"/>
  <c r="F353" i="5"/>
  <c r="AR370" i="8"/>
  <c r="AD353" i="8"/>
  <c r="Q352" i="8"/>
  <c r="F373" i="5"/>
  <c r="N219" i="8"/>
  <c r="N221" i="8" s="1"/>
  <c r="N277" i="8" s="1"/>
  <c r="AD373" i="8"/>
  <c r="AM219" i="8"/>
  <c r="AM221" i="8" s="1"/>
  <c r="AM277" i="8" s="1"/>
  <c r="F219" i="5"/>
  <c r="F221" i="5" s="1"/>
  <c r="F277" i="5" s="1"/>
  <c r="M357" i="8"/>
  <c r="G377" i="5"/>
  <c r="J377" i="5" s="1"/>
  <c r="AH221" i="8"/>
  <c r="AH277" i="8" s="1"/>
  <c r="H277" i="8"/>
  <c r="AM353" i="8"/>
  <c r="AM370" i="8"/>
  <c r="AI219" i="8"/>
  <c r="AI221" i="8" s="1"/>
  <c r="AI277" i="8" s="1"/>
  <c r="AL370" i="8"/>
  <c r="AL219" i="8"/>
  <c r="AL221" i="8" s="1"/>
  <c r="AL277" i="8" s="1"/>
  <c r="AG353" i="8"/>
  <c r="AI370" i="8"/>
  <c r="N353" i="8"/>
  <c r="AJ353" i="8"/>
  <c r="G376" i="5"/>
  <c r="J376" i="5" s="1"/>
  <c r="AB277" i="8"/>
  <c r="G367" i="5"/>
  <c r="J367" i="5" s="1"/>
  <c r="AG219" i="8"/>
  <c r="AG221" i="8" s="1"/>
  <c r="AG277" i="8" s="1"/>
  <c r="G258" i="5"/>
  <c r="J258" i="5" s="1"/>
  <c r="AI353" i="8"/>
  <c r="G369" i="5"/>
  <c r="J369" i="5" s="1"/>
  <c r="H353" i="5"/>
  <c r="J328" i="5"/>
  <c r="AI354" i="8"/>
  <c r="G366" i="5"/>
  <c r="J366" i="5" s="1"/>
  <c r="G186" i="5"/>
  <c r="J186" i="5" s="1"/>
  <c r="AS219" i="8"/>
  <c r="AS221" i="8" s="1"/>
  <c r="AS277" i="8" s="1"/>
  <c r="Y356" i="8"/>
  <c r="AU219" i="8"/>
  <c r="AU221" i="8" s="1"/>
  <c r="AU277" i="8" s="1"/>
  <c r="G372" i="5"/>
  <c r="J372" i="5" s="1"/>
  <c r="X221" i="8"/>
  <c r="X277" i="8" s="1"/>
  <c r="G375" i="5"/>
  <c r="J375" i="5" s="1"/>
  <c r="G371" i="5"/>
  <c r="J371" i="5" s="1"/>
  <c r="J330" i="5"/>
  <c r="H354" i="5"/>
  <c r="AG370" i="8"/>
  <c r="G27" i="5"/>
  <c r="J27" i="5" s="1"/>
  <c r="AJ221" i="8"/>
  <c r="AJ277" i="8" s="1"/>
  <c r="J326" i="5"/>
  <c r="AK277" i="8"/>
  <c r="W277" i="8"/>
  <c r="G276" i="5"/>
  <c r="J276" i="5" s="1"/>
  <c r="G365" i="5"/>
  <c r="J365" i="5" s="1"/>
  <c r="G368" i="5"/>
  <c r="J368" i="5" s="1"/>
  <c r="H356" i="5"/>
  <c r="K356" i="5" s="1"/>
  <c r="G80" i="5"/>
  <c r="J80" i="5" s="1"/>
  <c r="J21" i="5"/>
  <c r="G359" i="5"/>
  <c r="J359" i="5" s="1"/>
  <c r="H219" i="5"/>
  <c r="H221" i="5" s="1"/>
  <c r="H277" i="5" s="1"/>
  <c r="J91" i="5"/>
  <c r="G379" i="5"/>
  <c r="J379" i="5" s="1"/>
  <c r="G291" i="5"/>
  <c r="J291" i="5" s="1"/>
  <c r="K357" i="5"/>
  <c r="J316" i="5"/>
  <c r="G318" i="5"/>
  <c r="G319" i="5" s="1"/>
  <c r="K355" i="5"/>
  <c r="K354" i="5"/>
  <c r="G352" i="5"/>
  <c r="J352" i="5" s="1"/>
  <c r="K370" i="5"/>
  <c r="J317" i="5"/>
  <c r="J30" i="5"/>
  <c r="F318" i="5"/>
  <c r="K317" i="5"/>
  <c r="K353" i="5" l="1"/>
  <c r="J98" i="5"/>
  <c r="G355" i="5"/>
  <c r="J355" i="5" s="1"/>
  <c r="G356" i="5"/>
  <c r="J356" i="5" s="1"/>
  <c r="G219" i="5"/>
  <c r="J219" i="5" s="1"/>
  <c r="G357" i="5"/>
  <c r="J357" i="5" s="1"/>
  <c r="G353" i="5"/>
  <c r="J353" i="5" s="1"/>
  <c r="G370" i="5"/>
  <c r="J370" i="5" s="1"/>
  <c r="F319" i="5"/>
  <c r="K319" i="5" s="1"/>
  <c r="K318" i="5"/>
  <c r="J318" i="5"/>
  <c r="G221" i="5" l="1"/>
  <c r="J221" i="5" s="1"/>
  <c r="J319" i="5"/>
  <c r="G277" i="5" l="1"/>
</calcChain>
</file>

<file path=xl/sharedStrings.xml><?xml version="1.0" encoding="utf-8"?>
<sst xmlns="http://schemas.openxmlformats.org/spreadsheetml/2006/main" count="1178" uniqueCount="389">
  <si>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</si>
  <si>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</si>
  <si>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</si>
  <si>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</si>
  <si>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</si>
  <si>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</si>
  <si>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</si>
  <si>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</si>
  <si>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</si>
  <si>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</si>
  <si>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</si>
  <si>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</si>
  <si>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</si>
  <si>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</si>
  <si>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</si>
  <si>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</si>
  <si>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</si>
  <si>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</si>
  <si>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</si>
  <si>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</si>
  <si>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</si>
  <si>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</si>
  <si>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</si>
  <si>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</si>
  <si>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</si>
  <si>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</si>
  <si>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</si>
  <si>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</si>
  <si>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</si>
  <si>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</si>
  <si>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</si>
  <si>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</si>
  <si>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</si>
  <si>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</si>
  <si>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</si>
  <si>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</si>
  <si>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</si>
  <si>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</si>
  <si>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</si>
  <si>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</si>
  <si>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</si>
  <si>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</si>
  <si>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</si>
  <si>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</si>
  <si>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</si>
  <si>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</si>
  <si>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</si>
  <si>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</si>
  <si>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</si>
  <si>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</si>
  <si>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</si>
  <si>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</si>
  <si>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</si>
  <si>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</si>
  <si>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</si>
  <si>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</si>
  <si>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</si>
  <si>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</si>
  <si>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</si>
  <si>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</si>
  <si>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</si>
  <si>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</si>
  <si>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</si>
  <si>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</si>
  <si>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</si>
  <si>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</si>
  <si>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</si>
  <si>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</si>
  <si>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</si>
  <si>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</si>
  <si>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</si>
  <si>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</si>
  <si>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</si>
  <si>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Capital employed with IFRS16 rights-of-use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</si>
  <si>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</si>
  <si>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</si>
  <si>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</si>
  <si>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</si>
  <si>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</si>
  <si>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</si>
  <si>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</si>
  <si>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</si>
  <si>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</si>
  <si>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</si>
  <si>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</si>
  <si>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</si>
  <si>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</si>
  <si>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</si>
  <si>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</si>
  <si>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</si>
  <si>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</si>
  <si>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</si>
  <si>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</si>
  <si>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</si>
  <si>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</si>
  <si>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</si>
  <si>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</si>
  <si>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</si>
  <si>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</si>
  <si>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</si>
  <si>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</si>
  <si>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</si>
  <si>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</si>
  <si>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</si>
  <si>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</si>
  <si>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</si>
  <si>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</si>
  <si>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</si>
  <si>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</si>
  <si>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</si>
  <si>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</si>
  <si>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</si>
  <si>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</si>
  <si>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</si>
  <si>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</si>
  <si>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</si>
  <si>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</si>
  <si>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</si>
  <si>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</si>
  <si>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</si>
  <si>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</si>
  <si>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</si>
  <si>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</si>
  <si>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</si>
  <si>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</si>
  <si>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</si>
  <si>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</si>
  <si>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</si>
  <si>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</si>
  <si>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</si>
  <si>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</si>
  <si>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</si>
  <si>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</si>
  <si>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</si>
  <si>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</si>
  <si>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</si>
  <si>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</si>
  <si>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</si>
  <si>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</si>
  <si>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</si>
  <si>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</si>
  <si>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</si>
  <si>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</si>
  <si>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</si>
  <si>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</si>
  <si>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</si>
  <si>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</si>
  <si>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</si>
  <si>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</si>
  <si>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</si>
  <si>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</si>
  <si>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</si>
  <si>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</si>
  <si>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</si>
  <si>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</si>
  <si>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</si>
  <si>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</si>
  <si>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</si>
  <si>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</si>
  <si>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</si>
  <si>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</si>
  <si>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</si>
  <si>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</si>
  <si>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</si>
  <si>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</si>
  <si>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</si>
  <si>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</si>
  <si>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</si>
  <si>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</si>
  <si>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</si>
  <si>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</si>
  <si>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</si>
  <si>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</si>
  <si>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</si>
  <si>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</si>
  <si>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</si>
  <si>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</si>
  <si>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</si>
  <si>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</si>
  <si>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</si>
  <si>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</si>
  <si>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</si>
  <si>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</si>
  <si>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</si>
  <si>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</si>
  <si>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</si>
  <si>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</si>
  <si>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</si>
  <si>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</si>
  <si>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</si>
  <si>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</si>
  <si>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</si>
  <si>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</si>
  <si>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</si>
  <si>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</si>
  <si>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</si>
  <si>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</si>
  <si>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</si>
  <si>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</si>
  <si>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</si>
  <si>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</si>
  <si>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</si>
  <si>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</si>
  <si>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</si>
  <si>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</si>
  <si>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</si>
  <si>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</si>
  <si>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</si>
  <si>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</si>
  <si>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</si>
  <si>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</si>
  <si>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</si>
  <si>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</si>
  <si>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</si>
  <si>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</si>
  <si>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</si>
  <si>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</si>
  <si>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</si>
  <si>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</si>
  <si>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</si>
  <si>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</si>
  <si>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</si>
  <si>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</si>
  <si>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</si>
  <si>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</si>
  <si>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</si>
  <si>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</si>
  <si>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</si>
  <si>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</si>
  <si>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</si>
  <si>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</si>
  <si>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</si>
  <si>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</si>
  <si>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</si>
  <si>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</si>
  <si>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</si>
  <si>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</si>
  <si>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</si>
  <si>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</si>
  <si>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</si>
  <si>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</si>
  <si>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</si>
  <si>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</si>
  <si>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</si>
  <si>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</si>
  <si>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</si>
  <si>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</si>
  <si>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</si>
  <si>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</si>
  <si>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</si>
  <si>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</si>
  <si>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</si>
  <si>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</si>
  <si>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</si>
  <si>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</si>
  <si>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</si>
  <si>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</si>
  <si>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</si>
  <si>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</si>
  <si>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</si>
  <si>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</si>
  <si>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</si>
  <si>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</si>
  <si>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</si>
  <si>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</si>
  <si>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</si>
  <si>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</si>
  <si>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</si>
  <si>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</si>
  <si>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</si>
  <si>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</si>
  <si>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</si>
  <si>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</si>
  <si>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</si>
  <si>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</si>
  <si>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</si>
  <si>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</si>
  <si>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</si>
  <si>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</si>
  <si>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</si>
  <si>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</si>
  <si>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</si>
  <si>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</si>
  <si>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</si>
  <si>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</si>
  <si>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</si>
  <si>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</si>
  <si>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</si>
  <si>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</si>
  <si>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</si>
  <si>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</si>
  <si>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</si>
  <si>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</si>
  <si>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</si>
  <si>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</si>
  <si>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</si>
  <si>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</si>
  <si>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</si>
  <si>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</si>
  <si>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</si>
  <si>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</si>
  <si>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</si>
  <si>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</si>
  <si>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</si>
  <si>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</si>
  <si>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</si>
  <si>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</si>
  <si>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</si>
  <si>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</si>
  <si>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</si>
  <si>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</si>
  <si>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</si>
  <si>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</si>
  <si>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</si>
  <si>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</si>
  <si>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</si>
  <si>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</si>
  <si>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</si>
  <si>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</si>
  <si>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</si>
  <si>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</si>
  <si>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</si>
  <si>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</si>
  <si>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</si>
  <si>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</si>
  <si>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</si>
  <si>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</si>
  <si>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</si>
  <si>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</si>
  <si>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</si>
  <si>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</si>
  <si>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</si>
  <si>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</si>
  <si>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</si>
  <si>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</si>
  <si>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</si>
  <si>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</si>
  <si>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</si>
  <si>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</si>
  <si>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</si>
  <si>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</si>
  <si>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</si>
  <si>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</si>
  <si>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</si>
  <si>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</si>
  <si>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</si>
  <si>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</si>
  <si>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</si>
  <si>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</si>
  <si>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</si>
  <si>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</si>
  <si>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</si>
  <si>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</si>
  <si>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</si>
  <si>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</si>
  <si>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</si>
  <si>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</si>
  <si>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</si>
  <si>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</si>
  <si>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</si>
  <si>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</si>
  <si>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</si>
  <si>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</si>
  <si>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</si>
  <si>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</si>
  <si>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</si>
  <si>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</si>
  <si>
    <t>Legal Entity</t>
  </si>
  <si>
    <t>APP</t>
  </si>
  <si>
    <t>Tot_act</t>
  </si>
  <si>
    <t>z_Legal_Organization</t>
  </si>
  <si>
    <t>ROCE</t>
  </si>
  <si>
    <t>(F1) Productivity km/veh (Bus/Coach)</t>
  </si>
  <si>
    <t>(F1) Productivity km/veh (Light vehicles)</t>
  </si>
  <si>
    <t>(F1) Productivity km/veh (LRV)</t>
  </si>
  <si>
    <t>(F1) Productivity km/veh (Heavy Rail)</t>
  </si>
  <si>
    <t>(F1) Productivity km/veh (BRT)</t>
  </si>
  <si>
    <t>(F1) Productivity km/veh (Ferries)</t>
  </si>
  <si>
    <t>Restit</t>
  </si>
  <si>
    <t>ACT</t>
  </si>
  <si>
    <t>BUDG_VC</t>
  </si>
  <si>
    <t>Host</t>
  </si>
  <si>
    <t>z_Source_Entity</t>
  </si>
  <si>
    <t>ACT_TOT</t>
  </si>
  <si>
    <t>BUDG_VC_TOT</t>
  </si>
  <si>
    <t>NO_APP</t>
  </si>
  <si>
    <t>FC_1_VC_TOT</t>
  </si>
  <si>
    <t>FC_2_VC_TOT</t>
  </si>
  <si>
    <t>[WEMR Input (6)]Context'!F31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</si>
</sst>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(* #,##0_);_(* \(#,##0\);_(* &quot;-&quot;_);_(@_)"/>
    <numFmt numFmtId="167" formatCode="_-* #,##0.0\ _€_-;\-* #,##0.0\ _€_-;_-* &quot;-&quot;??\ _€_-;_-@_-"/>
    <numFmt numFmtId="168" formatCode="_-* #,##0.0\ _€_-;\-* #,##0.0\ _€_-;_-* &quot;-&quot;?\ _€_-;_-@_-"/>
    <numFmt numFmtId="169" formatCode="0.0%"/>
    <numFmt numFmtId="170" formatCode="&quot;$&quot;\ \ \ #,##0;\(&quot;$&quot;\ \ \ #,##0\)"/>
    <numFmt numFmtId="171" formatCode="#,##0;\(#,##0\)"/>
    <numFmt numFmtId="172" formatCode="#,##0.0;\(#,##0.0\);\-"/>
    <numFmt numFmtId="173" formatCode="_(* #,##0_);_(* \(#,##0\);_(* &quot;&quot;\ \-\ &quot;&quot;_);_(@_)"/>
    <numFmt numFmtId="174" formatCode="_(* #,##0.0_%_);_(* \(#,##0.0_%\);_(* &quot; - &quot;_%_);_(@_)"/>
    <numFmt numFmtId="175" formatCode="_(* #,##0.0%_);_(* \(#,##0.0%\);_(* &quot; - &quot;\%_);_(@_)"/>
    <numFmt numFmtId="176" formatCode="_(* #,##0_);_(* \(#,##0\);_(* &quot; - &quot;_);_(@_)"/>
    <numFmt numFmtId="177" formatCode="_(* #,##0.0_);_(* \(#,##0.0\);_(* &quot; - &quot;_);_(@_)"/>
    <numFmt numFmtId="178" formatCode="_(* #,##0.00_);_(* \(#,##0.00\);_(* &quot; - &quot;_);_(@_)"/>
    <numFmt numFmtId="179" formatCode="_(* #,##0.000_);_(* \(#,##0.000\);_(* &quot; - &quot;_);_(@_)"/>
    <numFmt numFmtId="180" formatCode="#,##0;\(#,##0\);&quot;-&quot;"/>
    <numFmt numFmtId="181" formatCode="#,##0.0_)\x;\(#,##0.0\)\x;#,##0.0_)\x;@_)_x"/>
    <numFmt numFmtId="182" formatCode="#,##0.0&quot; &quot;;\(#,##0.0\)&quot;&quot;;&quot;- &quot;"/>
    <numFmt numFmtId="183" formatCode="_-* #,##0.0000\ _€_-;\-* #,##0.0000\ _€_-;_-* &quot;-&quot;????\ _€_-;_-@_-"/>
    <numFmt numFmtId="184" formatCode="_-* #,##0.000\ _€_-;\-* #,##0.000\ _€_-;_-* &quot;-&quot;?\ _€_-;_-@_-"/>
    <numFmt numFmtId="185" formatCode="#,##0.0\ _€;\-#,##0.0\ _€;&quot;-&quot;"/>
    <numFmt numFmtId="186" formatCode="_(&quot;$&quot;* #,##0.00_);_(&quot;$&quot;* \(#,##0.00\);_(&quot;$&quot;* &quot;-&quot;??_);_(@_)"/>
    <numFmt numFmtId="187" formatCode="_-* #,##0.00\ _€_-;\-* #,##0.00\ _€_-;_-* &quot;-&quot;??\ _€_-;_-@_-"/>
  </numFmts>
  <fonts count="9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2"/>
      <color indexed="9"/>
      <name val="Calibri"/>
      <family val="2"/>
    </font>
    <font>
      <b/>
      <sz val="11"/>
      <color rgb="FFFF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</borders>
  <cellStyleXfs count="42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5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1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1" fontId="14" fillId="0" borderId="0"/>
    <xf numFmtId="171" fontId="14" fillId="0" borderId="0"/>
    <xf numFmtId="171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2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3" fontId="30" fillId="31" borderId="0">
      <alignment horizontal="right"/>
    </xf>
    <xf numFmtId="165" fontId="21" fillId="0" borderId="0" applyFont="0" applyFill="0" applyBorder="0" applyAlignment="0" applyProtection="0"/>
    <xf numFmtId="0" fontId="31" fillId="15" borderId="13" applyNumberFormat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74" fontId="32" fillId="0" borderId="0">
      <alignment horizontal="right" vertical="top"/>
    </xf>
    <xf numFmtId="175" fontId="33" fillId="0" borderId="0">
      <alignment horizontal="right" vertical="top"/>
    </xf>
    <xf numFmtId="175" fontId="32" fillId="0" borderId="0">
      <alignment horizontal="right" vertical="top"/>
    </xf>
    <xf numFmtId="176" fontId="33" fillId="0" borderId="0" applyFill="0" applyBorder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0" fontId="34" fillId="0" borderId="0">
      <alignment horizontal="center" wrapText="1"/>
    </xf>
    <xf numFmtId="180" fontId="35" fillId="0" borderId="0" applyFill="0" applyBorder="0">
      <alignment vertical="top"/>
    </xf>
    <xf numFmtId="180" fontId="36" fillId="0" borderId="0" applyFill="0" applyBorder="0" applyProtection="0">
      <alignment vertical="top"/>
    </xf>
    <xf numFmtId="180" fontId="37" fillId="0" borderId="0">
      <alignment vertical="top"/>
    </xf>
    <xf numFmtId="166" fontId="33" fillId="0" borderId="0" applyFill="0" applyBorder="0" applyAlignment="0" applyProtection="0">
      <alignment horizontal="right" vertical="top"/>
    </xf>
    <xf numFmtId="180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5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2" fontId="14" fillId="0" borderId="0" applyFont="0" applyFill="0" applyBorder="0" applyAlignment="0" applyProtection="0">
      <alignment horizontal="right" vertical="center"/>
    </xf>
    <xf numFmtId="0" fontId="21" fillId="0" borderId="0"/>
    <xf numFmtId="165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64" fontId="21" fillId="0" borderId="0" applyFont="0" applyFill="0" applyBorder="0" applyAlignment="0" applyProtection="0"/>
  </cellStyleXfs>
  <cellXfs count="145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7" fontId="4" fillId="0" borderId="0" xfId="1" applyNumberFormat="1" applyFont="1" applyAlignment="1">
      <alignment horizontal="center"/>
    </xf>
    <xf numFmtId="167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7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7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69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8" fontId="9" fillId="0" borderId="0" xfId="1" applyNumberFormat="1" applyFont="1" applyBorder="1" applyAlignment="1">
      <alignment horizontal="center"/>
    </xf>
    <xf numFmtId="167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3" fontId="9" fillId="0" borderId="0" xfId="0" applyNumberFormat="1" applyFont="1" applyAlignment="1">
      <alignment horizontal="center"/>
    </xf>
    <xf numFmtId="168" fontId="6" fillId="3" borderId="0" xfId="0" applyNumberFormat="1" applyFont="1" applyFill="1" applyAlignment="1">
      <alignment horizontal="center"/>
    </xf>
    <xf numFmtId="184" fontId="9" fillId="0" borderId="0" xfId="1" applyNumberFormat="1" applyFont="1" applyFill="1" applyBorder="1" applyAlignment="1">
      <alignment horizontal="center"/>
    </xf>
    <xf numFmtId="185" fontId="6" fillId="4" borderId="4" xfId="1" applyNumberFormat="1" applyFont="1" applyFill="1" applyBorder="1" applyAlignment="1">
      <alignment horizontal="right"/>
    </xf>
    <xf numFmtId="185" fontId="9" fillId="0" borderId="0" xfId="1" applyNumberFormat="1" applyFont="1" applyBorder="1" applyAlignment="1">
      <alignment horizontal="right"/>
    </xf>
    <xf numFmtId="185" fontId="9" fillId="7" borderId="0" xfId="1" applyNumberFormat="1" applyFont="1" applyFill="1" applyBorder="1" applyAlignment="1">
      <alignment horizontal="right"/>
    </xf>
    <xf numFmtId="185" fontId="9" fillId="7" borderId="8" xfId="1" applyNumberFormat="1" applyFont="1" applyFill="1" applyBorder="1" applyAlignment="1">
      <alignment horizontal="right"/>
    </xf>
    <xf numFmtId="185" fontId="6" fillId="4" borderId="4" xfId="7" applyNumberFormat="1" applyFont="1" applyFill="1" applyBorder="1" applyAlignment="1">
      <alignment horizontal="right"/>
    </xf>
    <xf numFmtId="185" fontId="11" fillId="7" borderId="8" xfId="1" applyNumberFormat="1" applyFont="1" applyFill="1" applyBorder="1" applyAlignment="1">
      <alignment horizontal="right"/>
    </xf>
    <xf numFmtId="185" fontId="8" fillId="8" borderId="4" xfId="7" applyNumberFormat="1" applyFont="1" applyFill="1" applyBorder="1" applyAlignment="1">
      <alignment horizontal="right"/>
    </xf>
    <xf numFmtId="185" fontId="9" fillId="7" borderId="0" xfId="0" applyNumberFormat="1" applyFont="1" applyFill="1" applyAlignment="1">
      <alignment horizontal="right"/>
    </xf>
    <xf numFmtId="185" fontId="9" fillId="7" borderId="8" xfId="0" applyNumberFormat="1" applyFont="1" applyFill="1" applyBorder="1" applyAlignment="1">
      <alignment horizontal="right"/>
    </xf>
    <xf numFmtId="185" fontId="9" fillId="7" borderId="10" xfId="0" applyNumberFormat="1" applyFont="1" applyFill="1" applyBorder="1" applyAlignment="1">
      <alignment horizontal="right"/>
    </xf>
    <xf numFmtId="185" fontId="9" fillId="7" borderId="7" xfId="0" applyNumberFormat="1" applyFont="1" applyFill="1" applyBorder="1" applyAlignment="1">
      <alignment horizontal="right"/>
    </xf>
    <xf numFmtId="169" fontId="6" fillId="4" borderId="4" xfId="10" applyNumberFormat="1" applyFont="1" applyFill="1" applyBorder="1" applyAlignment="1">
      <alignment horizontal="right"/>
    </xf>
    <xf numFmtId="165" fontId="9" fillId="7" borderId="6" xfId="1" applyFont="1" applyFill="1" applyBorder="1" applyAlignment="1">
      <alignment horizontal="right"/>
    </xf>
    <xf numFmtId="165" fontId="9" fillId="7" borderId="0" xfId="1" applyFont="1" applyFill="1" applyBorder="1" applyAlignment="1">
      <alignment horizontal="right"/>
    </xf>
    <xf numFmtId="165" fontId="9" fillId="7" borderId="8" xfId="1" applyFont="1" applyFill="1" applyBorder="1" applyAlignment="1">
      <alignment horizontal="right"/>
    </xf>
    <xf numFmtId="165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5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69" fontId="6" fillId="0" borderId="0" xfId="10" applyNumberFormat="1" applyFont="1" applyFill="1" applyBorder="1" applyAlignment="1">
      <alignment horizontal="right"/>
    </xf>
    <xf numFmtId="165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9" fillId="0" borderId="0" xfId="7" applyFont="1"/>
    <xf numFmtId="0" fontId="0" fillId="37" borderId="0" xfId="0" applyFill="1"/>
    <xf numFmtId="0" fontId="0" fillId="0" borderId="26" xfId="0" applyBorder="1"/>
    <xf numFmtId="0" fontId="80" fillId="0" borderId="26" xfId="0" applyFont="1" applyBorder="1"/>
    <xf numFmtId="0" fontId="82" fillId="0" borderId="0" xfId="0" quotePrefix="1" applyFont="1" applyAlignment="1">
      <alignment vertical="center"/>
    </xf>
    <xf numFmtId="0" fontId="77" fillId="0" borderId="23" xfId="0" applyFont="1" applyBorder="1" applyAlignment="1">
      <alignment horizontal="center"/>
    </xf>
    <xf numFmtId="0" fontId="0" fillId="0" borderId="26" xfId="0" applyBorder="1" applyAlignment="1">
      <alignment horizontal="left"/>
    </xf>
    <xf numFmtId="185" fontId="4" fillId="0" borderId="0" xfId="0" applyNumberFormat="1" applyFont="1" applyAlignment="1">
      <alignment horizontal="center"/>
    </xf>
    <xf numFmtId="0" fontId="80" fillId="0" borderId="0" xfId="0" applyFont="1"/>
    <xf numFmtId="0" fontId="4" fillId="37" borderId="0" xfId="0" applyFont="1" applyFill="1"/>
    <xf numFmtId="0" fontId="6" fillId="0" borderId="9" xfId="0" applyFont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185" fontId="9" fillId="0" borderId="0" xfId="1" applyNumberFormat="1" applyFont="1" applyFill="1" applyBorder="1" applyAlignment="1">
      <alignment horizontal="right"/>
    </xf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3" fillId="38" borderId="0" xfId="0" applyFont="1" applyFill="1"/>
    <xf numFmtId="0" fontId="83" fillId="38" borderId="27" xfId="0" applyFont="1" applyFill="1" applyBorder="1"/>
    <xf numFmtId="0" fontId="83" fillId="38" borderId="28" xfId="0" applyFont="1" applyFill="1" applyBorder="1"/>
    <xf numFmtId="0" fontId="77" fillId="4" borderId="23" xfId="0" applyFont="1" applyFill="1" applyBorder="1" applyAlignment="1">
      <alignment horizontal="center" wrapText="1"/>
    </xf>
    <xf numFmtId="0" fontId="83" fillId="38" borderId="29" xfId="0" applyFont="1" applyFill="1" applyBorder="1"/>
    <xf numFmtId="0" fontId="83" fillId="38" borderId="30" xfId="0" applyFont="1" applyFill="1" applyBorder="1"/>
    <xf numFmtId="0" fontId="83" fillId="38" borderId="31" xfId="0" applyFont="1" applyFill="1" applyBorder="1"/>
    <xf numFmtId="0" fontId="77" fillId="0" borderId="23" xfId="0" applyFont="1" applyBorder="1" applyAlignment="1">
      <alignment horizontal="centerContinuous" vertical="center" wrapText="1"/>
    </xf>
    <xf numFmtId="0" fontId="77" fillId="0" borderId="23" xfId="0" applyFont="1" applyBorder="1" applyAlignment="1">
      <alignment horizontal="centerContinuous" vertical="center"/>
    </xf>
    <xf numFmtId="0" fontId="0" fillId="6" borderId="0" xfId="0" applyFill="1"/>
    <xf numFmtId="0" fontId="80" fillId="6" borderId="0" xfId="0" applyFont="1" applyFill="1"/>
    <xf numFmtId="0" fontId="85" fillId="6" borderId="0" xfId="0" applyFont="1" applyFill="1"/>
    <xf numFmtId="0" fontId="84" fillId="6" borderId="0" xfId="0" applyFont="1" applyFill="1"/>
    <xf numFmtId="185" fontId="89" fillId="8" borderId="33" xfId="0" applyNumberFormat="1" applyFont="1" applyFill="1" applyBorder="1" applyAlignment="1">
      <alignment horizontal="right"/>
    </xf>
    <xf numFmtId="185" fontId="9" fillId="0" borderId="34" xfId="1" applyNumberFormat="1" applyFont="1" applyFill="1" applyBorder="1" applyAlignment="1">
      <alignment horizontal="right"/>
    </xf>
    <xf numFmtId="185" fontId="9" fillId="7" borderId="35" xfId="1" applyNumberFormat="1" applyFont="1" applyFill="1" applyBorder="1" applyAlignment="1">
      <alignment horizontal="right"/>
    </xf>
    <xf numFmtId="185" fontId="9" fillId="7" borderId="34" xfId="1" applyNumberFormat="1" applyFont="1" applyFill="1" applyBorder="1" applyAlignment="1">
      <alignment horizontal="right"/>
    </xf>
    <xf numFmtId="185" fontId="9" fillId="7" borderId="30" xfId="1" applyNumberFormat="1" applyFont="1" applyFill="1" applyBorder="1" applyAlignment="1">
      <alignment horizontal="right"/>
    </xf>
    <xf numFmtId="0" fontId="77" fillId="4" borderId="0" xfId="0" applyFont="1" applyFill="1" applyAlignment="1">
      <alignment horizontal="center" wrapText="1"/>
    </xf>
    <xf numFmtId="185" fontId="9" fillId="40" borderId="0" xfId="1" applyNumberFormat="1" applyFont="1" applyFill="1" applyBorder="1" applyAlignment="1">
      <alignment horizontal="right"/>
    </xf>
    <xf numFmtId="0" fontId="9" fillId="7" borderId="30" xfId="2" applyFont="1" applyFill="1" applyBorder="1"/>
    <xf numFmtId="165" fontId="9" fillId="7" borderId="30" xfId="1" applyFont="1" applyFill="1" applyBorder="1" applyAlignment="1">
      <alignment horizontal="right"/>
    </xf>
    <xf numFmtId="0" fontId="7" fillId="6" borderId="0" xfId="0" applyFont="1" applyFill="1" applyAlignment="1">
      <alignment vertical="center" textRotation="90"/>
    </xf>
    <xf numFmtId="0" fontId="9" fillId="7" borderId="9" xfId="2" applyFont="1" applyFill="1" applyBorder="1"/>
    <xf numFmtId="39" fontId="9" fillId="7" borderId="9" xfId="1" applyNumberFormat="1" applyFont="1" applyFill="1" applyBorder="1" applyAlignment="1">
      <alignment horizontal="right"/>
    </xf>
    <xf numFmtId="0" fontId="4" fillId="0" borderId="9" xfId="0" applyFont="1" applyBorder="1"/>
    <xf numFmtId="185" fontId="9" fillId="7" borderId="9" xfId="1" applyNumberFormat="1" applyFont="1" applyFill="1" applyBorder="1" applyAlignment="1">
      <alignment horizontal="right"/>
    </xf>
    <xf numFmtId="0" fontId="9" fillId="7" borderId="37" xfId="2" applyFont="1" applyFill="1" applyBorder="1"/>
    <xf numFmtId="39" fontId="9" fillId="7" borderId="37" xfId="1" applyNumberFormat="1" applyFont="1" applyFill="1" applyBorder="1" applyAlignment="1">
      <alignment horizontal="right"/>
    </xf>
    <xf numFmtId="185" fontId="9" fillId="7" borderId="36" xfId="1" applyNumberFormat="1" applyFont="1" applyFill="1" applyBorder="1" applyAlignment="1">
      <alignment horizontal="right"/>
    </xf>
    <xf numFmtId="185" fontId="9" fillId="7" borderId="25" xfId="1" applyNumberFormat="1" applyFont="1" applyFill="1" applyBorder="1" applyAlignment="1">
      <alignment horizontal="right"/>
    </xf>
    <xf numFmtId="185" fontId="6" fillId="4" borderId="30" xfId="1" applyNumberFormat="1" applyFont="1" applyFill="1" applyBorder="1" applyAlignment="1">
      <alignment horizontal="right"/>
    </xf>
    <xf numFmtId="0" fontId="9" fillId="5" borderId="8" xfId="2" applyFont="1" applyFill="1" applyBorder="1" applyAlignment="1">
      <alignment horizontal="left" indent="2"/>
    </xf>
    <xf numFmtId="0" fontId="0" fillId="0" borderId="0" xfId="0" applyAlignment="1">
      <alignment vertical="center"/>
    </xf>
    <xf numFmtId="22" fontId="4" fillId="0" borderId="0" xfId="0" applyNumberFormat="1" applyFont="1" applyAlignment="1">
      <alignment horizontal="left" vertical="center"/>
    </xf>
    <xf numFmtId="167" fontId="9" fillId="41" borderId="8" xfId="0" applyNumberFormat="1" applyFont="1" applyFill="1" applyBorder="1" applyAlignment="1">
      <alignment horizontal="center"/>
    </xf>
    <xf numFmtId="0" fontId="77" fillId="0" borderId="23" xfId="0" applyFont="1" applyBorder="1" applyAlignment="1">
      <alignment horizontal="left"/>
    </xf>
    <xf numFmtId="0" fontId="90" fillId="0" borderId="23" xfId="0" applyFont="1" applyBorder="1" applyAlignment="1">
      <alignment horizontal="left"/>
    </xf>
    <xf numFmtId="0" fontId="8" fillId="8" borderId="34" xfId="7" applyFont="1" applyFill="1" applyBorder="1"/>
    <xf numFmtId="185" fontId="8" fillId="8" borderId="34" xfId="7" applyNumberFormat="1" applyFont="1" applyFill="1" applyBorder="1" applyAlignment="1">
      <alignment horizontal="right"/>
    </xf>
    <xf numFmtId="0" fontId="6" fillId="4" borderId="34" xfId="2" applyFont="1" applyFill="1" applyBorder="1"/>
    <xf numFmtId="185" fontId="6" fillId="4" borderId="34" xfId="1" applyNumberFormat="1" applyFont="1" applyFill="1" applyBorder="1" applyAlignment="1">
      <alignment horizontal="right"/>
    </xf>
    <xf numFmtId="0" fontId="6" fillId="4" borderId="34" xfId="7" applyFont="1" applyFill="1" applyBorder="1"/>
    <xf numFmtId="185" fontId="6" fillId="4" borderId="34" xfId="7" applyNumberFormat="1" applyFont="1" applyFill="1" applyBorder="1" applyAlignment="1">
      <alignment horizontal="right"/>
    </xf>
    <xf numFmtId="0" fontId="11" fillId="9" borderId="34" xfId="7" applyFont="1" applyFill="1" applyBorder="1"/>
    <xf numFmtId="169" fontId="11" fillId="9" borderId="34" xfId="10" applyNumberFormat="1" applyFont="1" applyFill="1" applyBorder="1" applyAlignment="1">
      <alignment horizontal="right"/>
    </xf>
    <xf numFmtId="185" fontId="9" fillId="7" borderId="30" xfId="0" applyNumberFormat="1" applyFont="1" applyFill="1" applyBorder="1" applyAlignment="1">
      <alignment horizontal="right"/>
    </xf>
    <xf numFmtId="169" fontId="6" fillId="4" borderId="34" xfId="10" applyNumberFormat="1" applyFont="1" applyFill="1" applyBorder="1" applyAlignment="1">
      <alignment horizontal="right"/>
    </xf>
    <xf numFmtId="0" fontId="9" fillId="7" borderId="35" xfId="2" applyFont="1" applyFill="1" applyBorder="1"/>
    <xf numFmtId="165" fontId="9" fillId="7" borderId="35" xfId="1" applyFont="1" applyFill="1" applyBorder="1" applyAlignment="1">
      <alignment horizontal="right"/>
    </xf>
    <xf numFmtId="10" fontId="9" fillId="7" borderId="35" xfId="10" applyNumberFormat="1" applyFont="1" applyFill="1" applyBorder="1" applyAlignment="1">
      <alignment horizontal="right"/>
    </xf>
    <xf numFmtId="39" fontId="9" fillId="7" borderId="35" xfId="1" applyNumberFormat="1" applyFont="1" applyFill="1" applyBorder="1" applyAlignment="1">
      <alignment horizontal="right"/>
    </xf>
    <xf numFmtId="165" fontId="9" fillId="7" borderId="6" xfId="10" applyNumberFormat="1" applyFont="1" applyFill="1" applyBorder="1" applyAlignment="1">
      <alignment horizontal="right"/>
    </xf>
    <xf numFmtId="165" fontId="9" fillId="7" borderId="8" xfId="10" applyNumberFormat="1" applyFont="1" applyFill="1" applyBorder="1" applyAlignment="1">
      <alignment horizontal="right"/>
    </xf>
    <xf numFmtId="165" fontId="9" fillId="7" borderId="0" xfId="10" applyNumberFormat="1" applyFont="1" applyFill="1" applyBorder="1" applyAlignment="1">
      <alignment horizontal="right"/>
    </xf>
    <xf numFmtId="165" fontId="9" fillId="7" borderId="24" xfId="10" applyNumberFormat="1" applyFont="1" applyFill="1" applyBorder="1" applyAlignment="1">
      <alignment horizontal="right"/>
    </xf>
    <xf numFmtId="165" fontId="9" fillId="7" borderId="9" xfId="1" applyFont="1" applyFill="1" applyBorder="1" applyAlignment="1">
      <alignment horizontal="right"/>
    </xf>
    <xf numFmtId="165" fontId="9" fillId="7" borderId="37" xfId="1" applyFont="1" applyFill="1" applyBorder="1" applyAlignment="1">
      <alignment horizontal="right"/>
    </xf>
    <xf numFmtId="0" fontId="88" fillId="39" borderId="32" xfId="0" applyFont="1" applyFill="1" applyBorder="1" applyAlignment="1">
      <alignment horizontal="center"/>
    </xf>
    <xf numFmtId="0" fontId="0" fillId="0" borderId="0" xfId="0" quotePrefix="1"/>
    <xf numFmtId="187" fontId="4" fillId="0" borderId="0" xfId="0" applyNumberFormat="1" applyFont="1"/>
    <xf numFmtId="0" fontId="86" fillId="6" borderId="0" xfId="0" applyFont="1" applyFill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89" fillId="6" borderId="0" xfId="0" applyFont="1" applyFill="1" applyAlignment="1">
      <alignment horizontal="center" wrapText="1"/>
    </xf>
  </cellXfs>
  <cellStyles count="429">
    <cellStyle name="$   0,000" xfId="11" xr:uid="{00000000-0005-0000-0000-000000000000}"/>
    <cellStyle name="%" xfId="12" xr:uid="{00000000-0005-0000-0000-000001000000}"/>
    <cellStyle name="%0" xfId="13" xr:uid="{00000000-0005-0000-0000-000002000000}"/>
    <cellStyle name="%1" xfId="14" xr:uid="{00000000-0005-0000-0000-000003000000}"/>
    <cellStyle name="%2" xfId="15" xr:uid="{00000000-0005-0000-0000-000004000000}"/>
    <cellStyle name="£ BP" xfId="16" xr:uid="{00000000-0005-0000-0000-000005000000}"/>
    <cellStyle name="¥ JY" xfId="17" xr:uid="{00000000-0005-0000-0000-000006000000}"/>
    <cellStyle name="0" xfId="18" xr:uid="{00000000-0005-0000-0000-000007000000}"/>
    <cellStyle name="0,000" xfId="19" xr:uid="{00000000-0005-0000-0000-000008000000}"/>
    <cellStyle name="0.00" xfId="20" xr:uid="{00000000-0005-0000-0000-000009000000}"/>
    <cellStyle name="0.00%" xfId="21" xr:uid="{00000000-0005-0000-0000-00000A000000}"/>
    <cellStyle name="0.0x" xfId="22" xr:uid="{00000000-0005-0000-0000-00000B000000}"/>
    <cellStyle name="0_Actualisation provision contrat déficitaire SNCM 2010 V Def" xfId="23" xr:uid="{00000000-0005-0000-0000-00000C000000}"/>
    <cellStyle name="0_Actualisation provision contrat déficitaire SNCM 2011 V3 30 05 2011" xfId="24" xr:uid="{00000000-0005-0000-0000-00000D000000}"/>
    <cellStyle name="0_PPA SNCM - présentation CAC 28 06 2011" xfId="25" xr:uid="{00000000-0005-0000-0000-00000E000000}"/>
    <cellStyle name="0_Simul location facturée par Trenitalia" xfId="26" xr:uid="{00000000-0005-0000-0000-00000F000000}"/>
    <cellStyle name="20 % - Accent1 2" xfId="27" xr:uid="{00000000-0005-0000-0000-000010000000}"/>
    <cellStyle name="20 % - Accent1 2 2" xfId="28" xr:uid="{00000000-0005-0000-0000-000011000000}"/>
    <cellStyle name="20 % - Accent2 2" xfId="29" xr:uid="{00000000-0005-0000-0000-000012000000}"/>
    <cellStyle name="20 % - Accent2 2 2" xfId="30" xr:uid="{00000000-0005-0000-0000-000013000000}"/>
    <cellStyle name="20 % - Accent3 2" xfId="31" xr:uid="{00000000-0005-0000-0000-000014000000}"/>
    <cellStyle name="20 % - Accent3 2 2" xfId="32" xr:uid="{00000000-0005-0000-0000-000015000000}"/>
    <cellStyle name="20 % - Accent4 2" xfId="33" xr:uid="{00000000-0005-0000-0000-000016000000}"/>
    <cellStyle name="20 % - Accent4 2 2" xfId="34" xr:uid="{00000000-0005-0000-0000-000017000000}"/>
    <cellStyle name="20 % - Accent5 2" xfId="35" xr:uid="{00000000-0005-0000-0000-000018000000}"/>
    <cellStyle name="20 % - Accent5 2 2" xfId="36" xr:uid="{00000000-0005-0000-0000-000019000000}"/>
    <cellStyle name="20 % - Accent6 2" xfId="37" xr:uid="{00000000-0005-0000-0000-00001A000000}"/>
    <cellStyle name="20 % - Accent6 2 2" xfId="38" xr:uid="{00000000-0005-0000-0000-00001B000000}"/>
    <cellStyle name="40 % - Accent1 2" xfId="39" xr:uid="{00000000-0005-0000-0000-00001C000000}"/>
    <cellStyle name="40 % - Accent1 2 2" xfId="40" xr:uid="{00000000-0005-0000-0000-00001D000000}"/>
    <cellStyle name="40 % - Accent2 2" xfId="41" xr:uid="{00000000-0005-0000-0000-00001E000000}"/>
    <cellStyle name="40 % - Accent2 2 2" xfId="42" xr:uid="{00000000-0005-0000-0000-00001F000000}"/>
    <cellStyle name="40 % - Accent3 2" xfId="43" xr:uid="{00000000-0005-0000-0000-000020000000}"/>
    <cellStyle name="40 % - Accent3 2 2" xfId="44" xr:uid="{00000000-0005-0000-0000-000021000000}"/>
    <cellStyle name="40 % - Accent4 2" xfId="45" xr:uid="{00000000-0005-0000-0000-000022000000}"/>
    <cellStyle name="40 % - Accent4 2 2" xfId="46" xr:uid="{00000000-0005-0000-0000-000023000000}"/>
    <cellStyle name="40 % - Accent5 2" xfId="47" xr:uid="{00000000-0005-0000-0000-000024000000}"/>
    <cellStyle name="40 % - Accent5 2 2" xfId="48" xr:uid="{00000000-0005-0000-0000-000025000000}"/>
    <cellStyle name="40 % - Accent6 2" xfId="49" xr:uid="{00000000-0005-0000-0000-000026000000}"/>
    <cellStyle name="40 % - Accent6 2 2" xfId="50" xr:uid="{00000000-0005-0000-0000-000027000000}"/>
    <cellStyle name="60 % - Accent1 2" xfId="51" xr:uid="{00000000-0005-0000-0000-000028000000}"/>
    <cellStyle name="60 % - Accent2 2" xfId="52" xr:uid="{00000000-0005-0000-0000-000029000000}"/>
    <cellStyle name="60 % - Accent3 2" xfId="53" xr:uid="{00000000-0005-0000-0000-00002A000000}"/>
    <cellStyle name="60 % - Accent4 2" xfId="54" xr:uid="{00000000-0005-0000-0000-00002B000000}"/>
    <cellStyle name="60 % - Accent5 2" xfId="55" xr:uid="{00000000-0005-0000-0000-00002C000000}"/>
    <cellStyle name="60 % - Accent6 2" xfId="56" xr:uid="{00000000-0005-0000-0000-00002D000000}"/>
    <cellStyle name="Accent1 2" xfId="57" xr:uid="{00000000-0005-0000-0000-00002E000000}"/>
    <cellStyle name="Accent2 2" xfId="58" xr:uid="{00000000-0005-0000-0000-00002F000000}"/>
    <cellStyle name="Accent3 2" xfId="59" xr:uid="{00000000-0005-0000-0000-000030000000}"/>
    <cellStyle name="Accent4 2" xfId="60" xr:uid="{00000000-0005-0000-0000-000031000000}"/>
    <cellStyle name="Accent5 2" xfId="61" xr:uid="{00000000-0005-0000-0000-000032000000}"/>
    <cellStyle name="Accent6 2" xfId="62" xr:uid="{00000000-0005-0000-0000-000033000000}"/>
    <cellStyle name="at" xfId="63" xr:uid="{00000000-0005-0000-0000-000034000000}"/>
    <cellStyle name="Avertissement 2" xfId="64" xr:uid="{00000000-0005-0000-0000-000035000000}"/>
    <cellStyle name="b" xfId="65" xr:uid="{00000000-0005-0000-0000-000036000000}"/>
    <cellStyle name="b%0" xfId="66" xr:uid="{00000000-0005-0000-0000-000037000000}"/>
    <cellStyle name="b%1" xfId="67" xr:uid="{00000000-0005-0000-0000-000038000000}"/>
    <cellStyle name="b%2" xfId="68" xr:uid="{00000000-0005-0000-0000-000039000000}"/>
    <cellStyle name="b_Actualisation provision contrat déficitaire SNCM 2010 V Def" xfId="69" xr:uid="{00000000-0005-0000-0000-00003A000000}"/>
    <cellStyle name="b_Actualisation provision contrat déficitaire SNCM 2011 V3 30 05 2011" xfId="70" xr:uid="{00000000-0005-0000-0000-00003B000000}"/>
    <cellStyle name="b_LI819L_B13" xfId="71" xr:uid="{00000000-0005-0000-0000-00003C000000}"/>
    <cellStyle name="b_PAO-CAF-RESOP_14_01_13 à 20h" xfId="72" xr:uid="{00000000-0005-0000-0000-00003D000000}"/>
    <cellStyle name="b0" xfId="73" xr:uid="{00000000-0005-0000-0000-00003E000000}"/>
    <cellStyle name="b09" xfId="74" xr:uid="{00000000-0005-0000-0000-00003F000000}"/>
    <cellStyle name="b1" xfId="75" xr:uid="{00000000-0005-0000-0000-000040000000}"/>
    <cellStyle name="b2" xfId="76" xr:uid="{00000000-0005-0000-0000-000041000000}"/>
    <cellStyle name="Black" xfId="77" xr:uid="{00000000-0005-0000-0000-000042000000}"/>
    <cellStyle name="blue" xfId="78" xr:uid="{00000000-0005-0000-0000-000043000000}"/>
    <cellStyle name="bo" xfId="79" xr:uid="{00000000-0005-0000-0000-000044000000}"/>
    <cellStyle name="Bold/Border" xfId="80" xr:uid="{00000000-0005-0000-0000-000045000000}"/>
    <cellStyle name="Bottom" xfId="81" xr:uid="{00000000-0005-0000-0000-000046000000}"/>
    <cellStyle name="bout" xfId="82" xr:uid="{00000000-0005-0000-0000-000047000000}"/>
    <cellStyle name="bt" xfId="83" xr:uid="{00000000-0005-0000-0000-000048000000}"/>
    <cellStyle name="btit" xfId="84" xr:uid="{00000000-0005-0000-0000-000049000000}"/>
    <cellStyle name="Bullet" xfId="85" xr:uid="{00000000-0005-0000-0000-00004A000000}"/>
    <cellStyle name="c" xfId="86" xr:uid="{00000000-0005-0000-0000-00004B000000}"/>
    <cellStyle name="c_Actualisation provision contrat déficitaire SNCM 2010 V Def" xfId="87" xr:uid="{00000000-0005-0000-0000-00004C000000}"/>
    <cellStyle name="c_Actualisation provision contrat déficitaire SNCM 2011 V3 30 05 2011" xfId="88" xr:uid="{00000000-0005-0000-0000-00004D000000}"/>
    <cellStyle name="c_Grouse+Pelican" xfId="89" xr:uid="{00000000-0005-0000-0000-00004E000000}"/>
    <cellStyle name="c_LI819L_B13" xfId="90" xr:uid="{00000000-0005-0000-0000-00004F000000}"/>
    <cellStyle name="c_Macros" xfId="91" xr:uid="{00000000-0005-0000-0000-000050000000}"/>
    <cellStyle name="c_Macros (2)" xfId="92" xr:uid="{00000000-0005-0000-0000-000051000000}"/>
    <cellStyle name="c_Macros (2)_Actualisation provision contrat déficitaire SNCM 2010 V Def" xfId="93" xr:uid="{00000000-0005-0000-0000-000052000000}"/>
    <cellStyle name="c_Macros (2)_Actualisation provision contrat déficitaire SNCM 2011 V3 30 05 2011" xfId="94" xr:uid="{00000000-0005-0000-0000-000053000000}"/>
    <cellStyle name="c_Macros (2)_LI819L_B13" xfId="95" xr:uid="{00000000-0005-0000-0000-000054000000}"/>
    <cellStyle name="c_Macros (2)_PAO-CAF-RESOP_14_01_13 à 20h" xfId="96" xr:uid="{00000000-0005-0000-0000-000055000000}"/>
    <cellStyle name="c_Macros_Actualisation provision contrat déficitaire SNCM 2010 V Def" xfId="97" xr:uid="{00000000-0005-0000-0000-000056000000}"/>
    <cellStyle name="c_Macros_Actualisation provision contrat déficitaire SNCM 2011 V3 30 05 2011" xfId="98" xr:uid="{00000000-0005-0000-0000-000057000000}"/>
    <cellStyle name="c_Macros_LI819L_B13" xfId="99" xr:uid="{00000000-0005-0000-0000-000058000000}"/>
    <cellStyle name="c_Macros_PAO-CAF-RESOP_14_01_13 à 20h" xfId="100" xr:uid="{00000000-0005-0000-0000-000059000000}"/>
    <cellStyle name="c_Manager (2)" xfId="101" xr:uid="{00000000-0005-0000-0000-00005A000000}"/>
    <cellStyle name="c_Manager (2)_Actualisation provision contrat déficitaire SNCM 2010 V Def" xfId="102" xr:uid="{00000000-0005-0000-0000-00005B000000}"/>
    <cellStyle name="c_Manager (2)_Actualisation provision contrat déficitaire SNCM 2011 V3 30 05 2011" xfId="103" xr:uid="{00000000-0005-0000-0000-00005C000000}"/>
    <cellStyle name="c_Manager (2)_LI819L_B13" xfId="104" xr:uid="{00000000-0005-0000-0000-00005D000000}"/>
    <cellStyle name="c_Manager (2)_PAO-CAF-RESOP_14_01_13 à 20h" xfId="105" xr:uid="{00000000-0005-0000-0000-00005E000000}"/>
    <cellStyle name="c_PAO-CAF-RESOP_14_01_13 à 20h" xfId="106" xr:uid="{00000000-0005-0000-0000-00005F000000}"/>
    <cellStyle name="c0" xfId="107" xr:uid="{00000000-0005-0000-0000-000060000000}"/>
    <cellStyle name="cach" xfId="108" xr:uid="{00000000-0005-0000-0000-000061000000}"/>
    <cellStyle name="Calcul 2" xfId="109" xr:uid="{00000000-0005-0000-0000-000062000000}"/>
    <cellStyle name="Cellule liée 2" xfId="110" xr:uid="{00000000-0005-0000-0000-000063000000}"/>
    <cellStyle name="chiffre" xfId="111" xr:uid="{00000000-0005-0000-0000-000064000000}"/>
    <cellStyle name="co" xfId="112" xr:uid="{00000000-0005-0000-0000-000065000000}"/>
    <cellStyle name="Comma [1]" xfId="113" xr:uid="{00000000-0005-0000-0000-000066000000}"/>
    <cellStyle name="Comma [2]" xfId="114" xr:uid="{00000000-0005-0000-0000-000067000000}"/>
    <cellStyle name="Comma_Axmann Utopia toolbox all_in_one" xfId="426" xr:uid="{00000000-0005-0000-0000-000068000000}"/>
    <cellStyle name="Commentaire 2" xfId="115" xr:uid="{00000000-0005-0000-0000-000069000000}"/>
    <cellStyle name="Commentaire 2 2" xfId="116" xr:uid="{00000000-0005-0000-0000-00006A000000}"/>
    <cellStyle name="Commentaire 2_Synthèse" xfId="117" xr:uid="{00000000-0005-0000-0000-00006B000000}"/>
    <cellStyle name="Currency [1]" xfId="118" xr:uid="{00000000-0005-0000-0000-00006C000000}"/>
    <cellStyle name="Currency [2]" xfId="119" xr:uid="{00000000-0005-0000-0000-00006D000000}"/>
    <cellStyle name="Currency_Axmann Utopia toolbox all_in_one" xfId="427" xr:uid="{00000000-0005-0000-0000-00006E000000}"/>
    <cellStyle name="Currency-Denomination" xfId="120" xr:uid="{00000000-0005-0000-0000-00006F000000}"/>
    <cellStyle name="Dash" xfId="121" xr:uid="{00000000-0005-0000-0000-000070000000}"/>
    <cellStyle name="Decimal_0dp" xfId="122" xr:uid="{00000000-0005-0000-0000-000071000000}"/>
    <cellStyle name="Dezimal__Utopia Index Index und Guidance (Deutsch)" xfId="123" xr:uid="{00000000-0005-0000-0000-000072000000}"/>
    <cellStyle name="Entrée 2" xfId="124" xr:uid="{00000000-0005-0000-0000-000073000000}"/>
    <cellStyle name="Euro" xfId="125" xr:uid="{00000000-0005-0000-0000-000074000000}"/>
    <cellStyle name="Euro 2" xfId="126" xr:uid="{00000000-0005-0000-0000-000075000000}"/>
    <cellStyle name="Euro_Synthèse" xfId="428" xr:uid="{00000000-0005-0000-0000-000076000000}"/>
    <cellStyle name="EY%colcalc" xfId="127" xr:uid="{00000000-0005-0000-0000-000077000000}"/>
    <cellStyle name="EY%input" xfId="128" xr:uid="{00000000-0005-0000-0000-000078000000}"/>
    <cellStyle name="EY%rowcalc" xfId="129" xr:uid="{00000000-0005-0000-0000-000079000000}"/>
    <cellStyle name="EY0dp" xfId="130" xr:uid="{00000000-0005-0000-0000-00007A000000}"/>
    <cellStyle name="EY1dp" xfId="131" xr:uid="{00000000-0005-0000-0000-00007B000000}"/>
    <cellStyle name="EY2dp" xfId="132" xr:uid="{00000000-0005-0000-0000-00007C000000}"/>
    <cellStyle name="EY3dp" xfId="133" xr:uid="{00000000-0005-0000-0000-00007D000000}"/>
    <cellStyle name="EYColumnHeading" xfId="134" xr:uid="{00000000-0005-0000-0000-00007E000000}"/>
    <cellStyle name="EYHeading1" xfId="135" xr:uid="{00000000-0005-0000-0000-00007F000000}"/>
    <cellStyle name="EYheading2" xfId="136" xr:uid="{00000000-0005-0000-0000-000080000000}"/>
    <cellStyle name="EYheading3" xfId="137" xr:uid="{00000000-0005-0000-0000-000081000000}"/>
    <cellStyle name="EYnumber" xfId="138" xr:uid="{00000000-0005-0000-0000-000082000000}"/>
    <cellStyle name="EYSheetHeader1" xfId="139" xr:uid="{00000000-0005-0000-0000-000083000000}"/>
    <cellStyle name="EYtext" xfId="140" xr:uid="{00000000-0005-0000-0000-000084000000}"/>
    <cellStyle name="Followed Hyperlink" xfId="141" xr:uid="{00000000-0005-0000-0000-000085000000}"/>
    <cellStyle name="Forecast Cell Column Heading" xfId="142" xr:uid="{00000000-0005-0000-0000-000086000000}"/>
    <cellStyle name="FormattingSheetDelimitor" xfId="143" xr:uid="{00000000-0005-0000-0000-000087000000}"/>
    <cellStyle name="h" xfId="144" xr:uid="{00000000-0005-0000-0000-000088000000}"/>
    <cellStyle name="Hyperlink" xfId="145" xr:uid="{00000000-0005-0000-0000-000089000000}"/>
    <cellStyle name="Input" xfId="146" xr:uid="{00000000-0005-0000-0000-00008A000000}"/>
    <cellStyle name="InputBlueFont" xfId="147" xr:uid="{00000000-0005-0000-0000-00008B000000}"/>
    <cellStyle name="InputBlueFontLocked" xfId="148" xr:uid="{00000000-0005-0000-0000-00008C000000}"/>
    <cellStyle name="Insatisfaisant 2" xfId="149" xr:uid="{00000000-0005-0000-0000-00008D000000}"/>
    <cellStyle name="KPMG Heading 1" xfId="150" xr:uid="{00000000-0005-0000-0000-00008E000000}"/>
    <cellStyle name="KPMG Heading 2" xfId="151" xr:uid="{00000000-0005-0000-0000-00008F000000}"/>
    <cellStyle name="KPMG Heading 3" xfId="152" xr:uid="{00000000-0005-0000-0000-000090000000}"/>
    <cellStyle name="KPMG Heading 4" xfId="153" xr:uid="{00000000-0005-0000-0000-000091000000}"/>
    <cellStyle name="KPMG Normal" xfId="154" xr:uid="{00000000-0005-0000-0000-000092000000}"/>
    <cellStyle name="KPMG Normal Text" xfId="155" xr:uid="{00000000-0005-0000-0000-000093000000}"/>
    <cellStyle name="LTM Cell Column Heading" xfId="156" xr:uid="{00000000-0005-0000-0000-000094000000}"/>
    <cellStyle name="Milliers" xfId="1" builtinId="3"/>
    <cellStyle name="Milliers 2" xfId="4" xr:uid="{00000000-0005-0000-0000-000096000000}"/>
    <cellStyle name="Milliers 2 2" xfId="158" xr:uid="{00000000-0005-0000-0000-000097000000}"/>
    <cellStyle name="Milliers 2 3" xfId="159" xr:uid="{00000000-0005-0000-0000-000098000000}"/>
    <cellStyle name="Milliers 2 4" xfId="160" xr:uid="{00000000-0005-0000-0000-000099000000}"/>
    <cellStyle name="Milliers 2_Context" xfId="157" xr:uid="{00000000-0005-0000-0000-00009A000000}"/>
    <cellStyle name="Milliers 3" xfId="5" xr:uid="{00000000-0005-0000-0000-00009B000000}"/>
    <cellStyle name="Milliers 3 2" xfId="162" xr:uid="{00000000-0005-0000-0000-00009C000000}"/>
    <cellStyle name="Milliers 3 3" xfId="163" xr:uid="{00000000-0005-0000-0000-00009D000000}"/>
    <cellStyle name="Milliers 3_Context" xfId="161" xr:uid="{00000000-0005-0000-0000-00009E000000}"/>
    <cellStyle name="Milliers 4" xfId="164" xr:uid="{00000000-0005-0000-0000-00009F000000}"/>
    <cellStyle name="Milliers 5" xfId="165" xr:uid="{00000000-0005-0000-0000-0000A0000000}"/>
    <cellStyle name="Multiple" xfId="166" xr:uid="{00000000-0005-0000-0000-0000A1000000}"/>
    <cellStyle name="Multiple Cell Column Heading" xfId="167" xr:uid="{00000000-0005-0000-0000-0000A2000000}"/>
    <cellStyle name="Neutre 2" xfId="168" xr:uid="{00000000-0005-0000-0000-0000A3000000}"/>
    <cellStyle name="no" xfId="169" xr:uid="{00000000-0005-0000-0000-0000A4000000}"/>
    <cellStyle name="Non d‚fini" xfId="170" xr:uid="{00000000-0005-0000-0000-0000A5000000}"/>
    <cellStyle name="Normal" xfId="0" builtinId="0"/>
    <cellStyle name="Normal - Style1" xfId="171" xr:uid="{00000000-0005-0000-0000-0000A7000000}"/>
    <cellStyle name="Normal - Style2" xfId="172" xr:uid="{00000000-0005-0000-0000-0000A8000000}"/>
    <cellStyle name="Normal - Style3" xfId="173" xr:uid="{00000000-0005-0000-0000-0000A9000000}"/>
    <cellStyle name="Normal - Style4" xfId="174" xr:uid="{00000000-0005-0000-0000-0000AA000000}"/>
    <cellStyle name="Normal - Style5" xfId="175" xr:uid="{00000000-0005-0000-0000-0000AB000000}"/>
    <cellStyle name="Normal - Style6" xfId="176" xr:uid="{00000000-0005-0000-0000-0000AC000000}"/>
    <cellStyle name="Normal - Style7" xfId="177" xr:uid="{00000000-0005-0000-0000-0000AD000000}"/>
    <cellStyle name="Normal - Style8" xfId="178" xr:uid="{00000000-0005-0000-0000-0000AE000000}"/>
    <cellStyle name="Normal 10" xfId="179" xr:uid="{00000000-0005-0000-0000-0000AF000000}"/>
    <cellStyle name="Normal 10 2" xfId="180" xr:uid="{00000000-0005-0000-0000-0000B0000000}"/>
    <cellStyle name="Normal 10 2 2" xfId="181" xr:uid="{00000000-0005-0000-0000-0000B1000000}"/>
    <cellStyle name="Normal 10 2 3" xfId="182" xr:uid="{00000000-0005-0000-0000-0000B2000000}"/>
    <cellStyle name="Normal 10 3" xfId="183" xr:uid="{00000000-0005-0000-0000-0000B3000000}"/>
    <cellStyle name="Normal 10 4" xfId="184" xr:uid="{00000000-0005-0000-0000-0000B4000000}"/>
    <cellStyle name="Normal 11" xfId="185" xr:uid="{00000000-0005-0000-0000-0000B5000000}"/>
    <cellStyle name="Normal 12" xfId="186" xr:uid="{00000000-0005-0000-0000-0000B6000000}"/>
    <cellStyle name="Normal 13" xfId="187" xr:uid="{00000000-0005-0000-0000-0000B7000000}"/>
    <cellStyle name="Normal 14" xfId="188" xr:uid="{00000000-0005-0000-0000-0000B8000000}"/>
    <cellStyle name="Normal 15" xfId="189" xr:uid="{00000000-0005-0000-0000-0000B9000000}"/>
    <cellStyle name="Normal 16" xfId="190" xr:uid="{00000000-0005-0000-0000-0000BA000000}"/>
    <cellStyle name="Normal 17" xfId="191" xr:uid="{00000000-0005-0000-0000-0000BB000000}"/>
    <cellStyle name="Normal 18" xfId="192" xr:uid="{00000000-0005-0000-0000-0000BC000000}"/>
    <cellStyle name="Normal 19" xfId="193" xr:uid="{00000000-0005-0000-0000-0000BD000000}"/>
    <cellStyle name="Normal 2" xfId="6" xr:uid="{00000000-0005-0000-0000-0000BE000000}"/>
    <cellStyle name="Normal 2 10" xfId="195" xr:uid="{00000000-0005-0000-0000-0000BF000000}"/>
    <cellStyle name="Normal 2 11" xfId="196" xr:uid="{00000000-0005-0000-0000-0000C0000000}"/>
    <cellStyle name="Normal 2 12" xfId="197" xr:uid="{00000000-0005-0000-0000-0000C1000000}"/>
    <cellStyle name="Normal 2 13" xfId="198" xr:uid="{00000000-0005-0000-0000-0000C2000000}"/>
    <cellStyle name="Normal 2 14" xfId="199" xr:uid="{00000000-0005-0000-0000-0000C3000000}"/>
    <cellStyle name="Normal 2 15" xfId="200" xr:uid="{00000000-0005-0000-0000-0000C4000000}"/>
    <cellStyle name="Normal 2 16" xfId="201" xr:uid="{00000000-0005-0000-0000-0000C5000000}"/>
    <cellStyle name="Normal 2 17" xfId="202" xr:uid="{00000000-0005-0000-0000-0000C6000000}"/>
    <cellStyle name="Normal 2 2" xfId="203" xr:uid="{00000000-0005-0000-0000-0000C7000000}"/>
    <cellStyle name="Normal 2 3" xfId="204" xr:uid="{00000000-0005-0000-0000-0000C8000000}"/>
    <cellStyle name="Normal 2 4" xfId="205" xr:uid="{00000000-0005-0000-0000-0000C9000000}"/>
    <cellStyle name="Normal 2 5" xfId="206" xr:uid="{00000000-0005-0000-0000-0000CA000000}"/>
    <cellStyle name="Normal 2 6" xfId="207" xr:uid="{00000000-0005-0000-0000-0000CB000000}"/>
    <cellStyle name="Normal 2 7" xfId="208" xr:uid="{00000000-0005-0000-0000-0000CC000000}"/>
    <cellStyle name="Normal 2 8" xfId="209" xr:uid="{00000000-0005-0000-0000-0000CD000000}"/>
    <cellStyle name="Normal 2 9" xfId="210" xr:uid="{00000000-0005-0000-0000-0000CE000000}"/>
    <cellStyle name="Normal 2_Context" xfId="194" xr:uid="{00000000-0005-0000-0000-0000CF000000}"/>
    <cellStyle name="Normal 20" xfId="211" xr:uid="{00000000-0005-0000-0000-0000D0000000}"/>
    <cellStyle name="Normal 21" xfId="212" xr:uid="{00000000-0005-0000-0000-0000D1000000}"/>
    <cellStyle name="Normal 22" xfId="213" xr:uid="{00000000-0005-0000-0000-0000D2000000}"/>
    <cellStyle name="Normal 23" xfId="214" xr:uid="{00000000-0005-0000-0000-0000D3000000}"/>
    <cellStyle name="Normal 24" xfId="215" xr:uid="{00000000-0005-0000-0000-0000D4000000}"/>
    <cellStyle name="Normal 25" xfId="216" xr:uid="{00000000-0005-0000-0000-0000D5000000}"/>
    <cellStyle name="Normal 26" xfId="217" xr:uid="{00000000-0005-0000-0000-0000D6000000}"/>
    <cellStyle name="Normal 27" xfId="218" xr:uid="{00000000-0005-0000-0000-0000D7000000}"/>
    <cellStyle name="Normal 28" xfId="219" xr:uid="{00000000-0005-0000-0000-0000D8000000}"/>
    <cellStyle name="Normal 29" xfId="220" xr:uid="{00000000-0005-0000-0000-0000D9000000}"/>
    <cellStyle name="Normal 29 2" xfId="221" xr:uid="{00000000-0005-0000-0000-0000DA000000}"/>
    <cellStyle name="Normal 29 3" xfId="222" xr:uid="{00000000-0005-0000-0000-0000DB000000}"/>
    <cellStyle name="Normal 29_Synthèse" xfId="223" xr:uid="{00000000-0005-0000-0000-0000DC000000}"/>
    <cellStyle name="Normal 3" xfId="2" xr:uid="{00000000-0005-0000-0000-0000DD000000}"/>
    <cellStyle name="Normal 3 10" xfId="225" xr:uid="{00000000-0005-0000-0000-0000DE000000}"/>
    <cellStyle name="Normal 3 11" xfId="226" xr:uid="{00000000-0005-0000-0000-0000DF000000}"/>
    <cellStyle name="Normal 3 12" xfId="227" xr:uid="{00000000-0005-0000-0000-0000E0000000}"/>
    <cellStyle name="Normal 3 2" xfId="7" xr:uid="{00000000-0005-0000-0000-0000E1000000}"/>
    <cellStyle name="Normal 3 2 2" xfId="229" xr:uid="{00000000-0005-0000-0000-0000E2000000}"/>
    <cellStyle name="Normal 3 2_Context" xfId="228" xr:uid="{00000000-0005-0000-0000-0000E3000000}"/>
    <cellStyle name="Normal 3 3" xfId="230" xr:uid="{00000000-0005-0000-0000-0000E4000000}"/>
    <cellStyle name="Normal 3 4" xfId="231" xr:uid="{00000000-0005-0000-0000-0000E5000000}"/>
    <cellStyle name="Normal 3 5" xfId="232" xr:uid="{00000000-0005-0000-0000-0000E6000000}"/>
    <cellStyle name="Normal 3 6" xfId="233" xr:uid="{00000000-0005-0000-0000-0000E7000000}"/>
    <cellStyle name="Normal 3 7" xfId="234" xr:uid="{00000000-0005-0000-0000-0000E8000000}"/>
    <cellStyle name="Normal 3 8" xfId="235" xr:uid="{00000000-0005-0000-0000-0000E9000000}"/>
    <cellStyle name="Normal 3 9" xfId="236" xr:uid="{00000000-0005-0000-0000-0000EA000000}"/>
    <cellStyle name="Normal 3_Context" xfId="224" xr:uid="{00000000-0005-0000-0000-0000EB000000}"/>
    <cellStyle name="Normal 30" xfId="237" xr:uid="{00000000-0005-0000-0000-0000EC000000}"/>
    <cellStyle name="Normal 4" xfId="238" xr:uid="{00000000-0005-0000-0000-0000ED000000}"/>
    <cellStyle name="Normal 4 2" xfId="239" xr:uid="{00000000-0005-0000-0000-0000EE000000}"/>
    <cellStyle name="Normal 4_NBV" xfId="240" xr:uid="{00000000-0005-0000-0000-0000EF000000}"/>
    <cellStyle name="Normal 43 4" xfId="241" xr:uid="{00000000-0005-0000-0000-0000F0000000}"/>
    <cellStyle name="Normal 43 4 2" xfId="242" xr:uid="{00000000-0005-0000-0000-0000F1000000}"/>
    <cellStyle name="Normal 46 2" xfId="243" xr:uid="{00000000-0005-0000-0000-0000F2000000}"/>
    <cellStyle name="Normal 5" xfId="244" xr:uid="{00000000-0005-0000-0000-0000F3000000}"/>
    <cellStyle name="Normal 6" xfId="245" xr:uid="{00000000-0005-0000-0000-0000F4000000}"/>
    <cellStyle name="Normal 6 2" xfId="246" xr:uid="{00000000-0005-0000-0000-0000F5000000}"/>
    <cellStyle name="Normal 6 2 2" xfId="247" xr:uid="{00000000-0005-0000-0000-0000F6000000}"/>
    <cellStyle name="Normal 6 2 3" xfId="248" xr:uid="{00000000-0005-0000-0000-0000F7000000}"/>
    <cellStyle name="Normal 6 3" xfId="249" xr:uid="{00000000-0005-0000-0000-0000F8000000}"/>
    <cellStyle name="Normal 6 4" xfId="250" xr:uid="{00000000-0005-0000-0000-0000F9000000}"/>
    <cellStyle name="Normal 7" xfId="251" xr:uid="{00000000-0005-0000-0000-0000FA000000}"/>
    <cellStyle name="Normal 7 2" xfId="252" xr:uid="{00000000-0005-0000-0000-0000FB000000}"/>
    <cellStyle name="Normal 7 2 2" xfId="253" xr:uid="{00000000-0005-0000-0000-0000FC000000}"/>
    <cellStyle name="Normal 7 2 3" xfId="254" xr:uid="{00000000-0005-0000-0000-0000FD000000}"/>
    <cellStyle name="Normal 7 3" xfId="255" xr:uid="{00000000-0005-0000-0000-0000FE000000}"/>
    <cellStyle name="Normal 7 4" xfId="256" xr:uid="{00000000-0005-0000-0000-0000FF000000}"/>
    <cellStyle name="Normal 8" xfId="257" xr:uid="{00000000-0005-0000-0000-000000010000}"/>
    <cellStyle name="Normal 8 2" xfId="258" xr:uid="{00000000-0005-0000-0000-000001010000}"/>
    <cellStyle name="Normal 8 2 2" xfId="259" xr:uid="{00000000-0005-0000-0000-000002010000}"/>
    <cellStyle name="Normal 8 2 3" xfId="260" xr:uid="{00000000-0005-0000-0000-000003010000}"/>
    <cellStyle name="Normal 8 3" xfId="261" xr:uid="{00000000-0005-0000-0000-000004010000}"/>
    <cellStyle name="Normal 8 4" xfId="262" xr:uid="{00000000-0005-0000-0000-000005010000}"/>
    <cellStyle name="Normal 9" xfId="263" xr:uid="{00000000-0005-0000-0000-000006010000}"/>
    <cellStyle name="Normal 9 2" xfId="264" xr:uid="{00000000-0005-0000-0000-000007010000}"/>
    <cellStyle name="Normal 9 2 2" xfId="265" xr:uid="{00000000-0005-0000-0000-000008010000}"/>
    <cellStyle name="Normal 9 2 3" xfId="266" xr:uid="{00000000-0005-0000-0000-000009010000}"/>
    <cellStyle name="Normal 9 3" xfId="267" xr:uid="{00000000-0005-0000-0000-00000A010000}"/>
    <cellStyle name="Normal 9 4" xfId="268" xr:uid="{00000000-0005-0000-0000-00000B010000}"/>
    <cellStyle name="Note" xfId="3" xr:uid="{00000000-0005-0000-0000-00000C010000}"/>
    <cellStyle name="Notes_multi" xfId="269" xr:uid="{00000000-0005-0000-0000-00000D010000}"/>
    <cellStyle name="p" xfId="270" xr:uid="{00000000-0005-0000-0000-00000E010000}"/>
    <cellStyle name="p_Actualisation provision contrat déficitaire SNCM 2010 V Def" xfId="271" xr:uid="{00000000-0005-0000-0000-00000F010000}"/>
    <cellStyle name="p_Actualisation provision contrat déficitaire SNCM 2011 V3 30 05 2011" xfId="272" xr:uid="{00000000-0005-0000-0000-000010010000}"/>
    <cellStyle name="p_PPA SNCM - présentation CAC 28 06 2011" xfId="273" xr:uid="{00000000-0005-0000-0000-000011010000}"/>
    <cellStyle name="pb_page_heading_LS" xfId="274" xr:uid="{00000000-0005-0000-0000-000012010000}"/>
    <cellStyle name="pe" xfId="275" xr:uid="{00000000-0005-0000-0000-000013010000}"/>
    <cellStyle name="per" xfId="276" xr:uid="{00000000-0005-0000-0000-000014010000}"/>
    <cellStyle name="Percent [0]" xfId="277" xr:uid="{00000000-0005-0000-0000-000015010000}"/>
    <cellStyle name="Percent [1]" xfId="278" xr:uid="{00000000-0005-0000-0000-000016010000}"/>
    <cellStyle name="Percent [2]" xfId="279" xr:uid="{00000000-0005-0000-0000-000017010000}"/>
    <cellStyle name="Percent 2" xfId="8" xr:uid="{00000000-0005-0000-0000-000018010000}"/>
    <cellStyle name="Pound" xfId="280" xr:uid="{00000000-0005-0000-0000-000019010000}"/>
    <cellStyle name="Pound [1]" xfId="281" xr:uid="{00000000-0005-0000-0000-00001A010000}"/>
    <cellStyle name="Pound [2]" xfId="282" xr:uid="{00000000-0005-0000-0000-00001B010000}"/>
    <cellStyle name="Pourcentage" xfId="10" builtinId="5"/>
    <cellStyle name="Pourcentage 2" xfId="9" xr:uid="{00000000-0005-0000-0000-00001D010000}"/>
    <cellStyle name="Pourcentage 2 2" xfId="283" xr:uid="{00000000-0005-0000-0000-00001E010000}"/>
    <cellStyle name="Pourcentage 2 2 2" xfId="284" xr:uid="{00000000-0005-0000-0000-00001F010000}"/>
    <cellStyle name="Pourcentage 2 3" xfId="285" xr:uid="{00000000-0005-0000-0000-000020010000}"/>
    <cellStyle name="Pourcentage 2 4" xfId="286" xr:uid="{00000000-0005-0000-0000-000021010000}"/>
    <cellStyle name="Pourcentage 2 5" xfId="287" xr:uid="{00000000-0005-0000-0000-000022010000}"/>
    <cellStyle name="Pourcentage 2 6" xfId="288" xr:uid="{00000000-0005-0000-0000-000023010000}"/>
    <cellStyle name="Pourcentage 2 7" xfId="289" xr:uid="{00000000-0005-0000-0000-000024010000}"/>
    <cellStyle name="Pourcentage 2 8" xfId="290" xr:uid="{00000000-0005-0000-0000-000025010000}"/>
    <cellStyle name="Pourcentage 3" xfId="291" xr:uid="{00000000-0005-0000-0000-000026010000}"/>
    <cellStyle name="Pourcentage 3 2" xfId="292" xr:uid="{00000000-0005-0000-0000-000027010000}"/>
    <cellStyle name="Pourcentage 3 3" xfId="293" xr:uid="{00000000-0005-0000-0000-000028010000}"/>
    <cellStyle name="Pourcentage 3 4" xfId="294" xr:uid="{00000000-0005-0000-0000-000029010000}"/>
    <cellStyle name="Pourcentage 4" xfId="295" xr:uid="{00000000-0005-0000-0000-00002A010000}"/>
    <cellStyle name="Pourcentage 4 2" xfId="296" xr:uid="{00000000-0005-0000-0000-00002B010000}"/>
    <cellStyle name="Pourcentage 5" xfId="297" xr:uid="{00000000-0005-0000-0000-00002C010000}"/>
    <cellStyle name="ptit" xfId="298" xr:uid="{00000000-0005-0000-0000-00002D010000}"/>
    <cellStyle name="rat" xfId="299" xr:uid="{00000000-0005-0000-0000-00002E010000}"/>
    <cellStyle name="rate" xfId="300" xr:uid="{00000000-0005-0000-0000-00002F010000}"/>
    <cellStyle name="ratio" xfId="301" xr:uid="{00000000-0005-0000-0000-000030010000}"/>
    <cellStyle name="s" xfId="302" xr:uid="{00000000-0005-0000-0000-000031010000}"/>
    <cellStyle name="s_Actualisation provision contrat déficitaire SNCM 2010 V Def" xfId="303" xr:uid="{00000000-0005-0000-0000-000032010000}"/>
    <cellStyle name="s_Actualisation provision contrat déficitaire SNCM 2011 V3 30 05 2011" xfId="304" xr:uid="{00000000-0005-0000-0000-000033010000}"/>
    <cellStyle name="s_Assumptions" xfId="305" xr:uid="{00000000-0005-0000-0000-000034010000}"/>
    <cellStyle name="s_Assumptions_Actualisation provision contrat déficitaire SNCM 2010 V Def" xfId="306" xr:uid="{00000000-0005-0000-0000-000035010000}"/>
    <cellStyle name="s_Assumptions_Actualisation provision contrat déficitaire SNCM 2011 V3 30 05 2011" xfId="307" xr:uid="{00000000-0005-0000-0000-000036010000}"/>
    <cellStyle name="s_Assumptions_LI819L_B13" xfId="308" xr:uid="{00000000-0005-0000-0000-000037010000}"/>
    <cellStyle name="s_Assumptions_PAO-CAF-RESOP_14_01_13 à 20h" xfId="309" xr:uid="{00000000-0005-0000-0000-000038010000}"/>
    <cellStyle name="s_B_S_Ratios _B" xfId="310" xr:uid="{00000000-0005-0000-0000-000039010000}"/>
    <cellStyle name="s_B_S_Ratios _B_Actualisation provision contrat déficitaire SNCM 2010 V Def" xfId="311" xr:uid="{00000000-0005-0000-0000-00003A010000}"/>
    <cellStyle name="s_B_S_Ratios _B_Actualisation provision contrat déficitaire SNCM 2011 V3 30 05 2011" xfId="312" xr:uid="{00000000-0005-0000-0000-00003B010000}"/>
    <cellStyle name="s_B_S_Ratios _B_LI819L_B13" xfId="313" xr:uid="{00000000-0005-0000-0000-00003C010000}"/>
    <cellStyle name="s_B_S_Ratios _B_PAO-CAF-RESOP_14_01_13 à 20h" xfId="314" xr:uid="{00000000-0005-0000-0000-00003D010000}"/>
    <cellStyle name="s_B_S_Ratios_T" xfId="315" xr:uid="{00000000-0005-0000-0000-00003E010000}"/>
    <cellStyle name="s_B_S_Ratios_T_Actualisation provision contrat déficitaire SNCM 2010 V Def" xfId="316" xr:uid="{00000000-0005-0000-0000-00003F010000}"/>
    <cellStyle name="s_B_S_Ratios_T_Actualisation provision contrat déficitaire SNCM 2011 V3 30 05 2011" xfId="317" xr:uid="{00000000-0005-0000-0000-000040010000}"/>
    <cellStyle name="s_B_S_Ratios_T_LI819L_B13" xfId="318" xr:uid="{00000000-0005-0000-0000-000041010000}"/>
    <cellStyle name="s_B_S_Ratios_T_PAO-CAF-RESOP_14_01_13 à 20h" xfId="319" xr:uid="{00000000-0005-0000-0000-000042010000}"/>
    <cellStyle name="s_DCFLBO Code" xfId="320" xr:uid="{00000000-0005-0000-0000-000043010000}"/>
    <cellStyle name="s_DCFLBO Code_1" xfId="321" xr:uid="{00000000-0005-0000-0000-000044010000}"/>
    <cellStyle name="s_DCFLBO Code_1_Actualisation provision contrat déficitaire SNCM 2010 V Def" xfId="322" xr:uid="{00000000-0005-0000-0000-000045010000}"/>
    <cellStyle name="s_DCFLBO Code_1_Actualisation provision contrat déficitaire SNCM 2011 V3 30 05 2011" xfId="323" xr:uid="{00000000-0005-0000-0000-000046010000}"/>
    <cellStyle name="s_DCFLBO Code_1_LI819L_B13" xfId="324" xr:uid="{00000000-0005-0000-0000-000047010000}"/>
    <cellStyle name="s_DCFLBO Code_1_PAO-CAF-RESOP_14_01_13 à 20h" xfId="325" xr:uid="{00000000-0005-0000-0000-000048010000}"/>
    <cellStyle name="s_DCFLBO Code_Actualisation provision contrat déficitaire SNCM 2010 V Def" xfId="326" xr:uid="{00000000-0005-0000-0000-000049010000}"/>
    <cellStyle name="s_DCFLBO Code_Actualisation provision contrat déficitaire SNCM 2011 V3 30 05 2011" xfId="327" xr:uid="{00000000-0005-0000-0000-00004A010000}"/>
    <cellStyle name="s_DCFLBO Code_LI819L_B13" xfId="328" xr:uid="{00000000-0005-0000-0000-00004B010000}"/>
    <cellStyle name="s_DCFLBO Code_PAO-CAF-RESOP_14_01_13 à 20h" xfId="329" xr:uid="{00000000-0005-0000-0000-00004C010000}"/>
    <cellStyle name="s_Dilution" xfId="330" xr:uid="{00000000-0005-0000-0000-00004D010000}"/>
    <cellStyle name="s_Dilution_Actualisation provision contrat déficitaire SNCM 2010 V Def" xfId="331" xr:uid="{00000000-0005-0000-0000-00004E010000}"/>
    <cellStyle name="s_Dilution_Actualisation provision contrat déficitaire SNCM 2011 V3 30 05 2011" xfId="332" xr:uid="{00000000-0005-0000-0000-00004F010000}"/>
    <cellStyle name="s_Dilution_LI819L_B13" xfId="333" xr:uid="{00000000-0005-0000-0000-000050010000}"/>
    <cellStyle name="s_Dilution_PAO-CAF-RESOP_14_01_13 à 20h" xfId="334" xr:uid="{00000000-0005-0000-0000-000051010000}"/>
    <cellStyle name="s_Financials_B" xfId="335" xr:uid="{00000000-0005-0000-0000-000052010000}"/>
    <cellStyle name="s_Financials_B_Actualisation provision contrat déficitaire SNCM 2010 V Def" xfId="336" xr:uid="{00000000-0005-0000-0000-000053010000}"/>
    <cellStyle name="s_Financials_B_Actualisation provision contrat déficitaire SNCM 2011 V3 30 05 2011" xfId="337" xr:uid="{00000000-0005-0000-0000-000054010000}"/>
    <cellStyle name="s_Financials_B_LI819L_B13" xfId="338" xr:uid="{00000000-0005-0000-0000-000055010000}"/>
    <cellStyle name="s_Financials_B_PAO-CAF-RESOP_14_01_13 à 20h" xfId="339" xr:uid="{00000000-0005-0000-0000-000056010000}"/>
    <cellStyle name="s_Financials_T" xfId="340" xr:uid="{00000000-0005-0000-0000-000057010000}"/>
    <cellStyle name="s_Financials_T_Actualisation provision contrat déficitaire SNCM 2010 V Def" xfId="341" xr:uid="{00000000-0005-0000-0000-000058010000}"/>
    <cellStyle name="s_Financials_T_Actualisation provision contrat déficitaire SNCM 2011 V3 30 05 2011" xfId="342" xr:uid="{00000000-0005-0000-0000-000059010000}"/>
    <cellStyle name="s_Financials_T_LI819L_B13" xfId="343" xr:uid="{00000000-0005-0000-0000-00005A010000}"/>
    <cellStyle name="s_Financials_T_PAO-CAF-RESOP_14_01_13 à 20h" xfId="344" xr:uid="{00000000-0005-0000-0000-00005B010000}"/>
    <cellStyle name="s_Grouse+Pelican" xfId="345" xr:uid="{00000000-0005-0000-0000-00005C010000}"/>
    <cellStyle name="s_LI819L_B13" xfId="346" xr:uid="{00000000-0005-0000-0000-00005D010000}"/>
    <cellStyle name="s_Matrix_B" xfId="347" xr:uid="{00000000-0005-0000-0000-00005E010000}"/>
    <cellStyle name="s_Matrix_B_Actualisation provision contrat déficitaire SNCM 2010 V Def" xfId="348" xr:uid="{00000000-0005-0000-0000-00005F010000}"/>
    <cellStyle name="s_Matrix_B_Actualisation provision contrat déficitaire SNCM 2011 V3 30 05 2011" xfId="349" xr:uid="{00000000-0005-0000-0000-000060010000}"/>
    <cellStyle name="s_Matrix_B_LI819L_B13" xfId="350" xr:uid="{00000000-0005-0000-0000-000061010000}"/>
    <cellStyle name="s_Matrix_B_PAO-CAF-RESOP_14_01_13 à 20h" xfId="351" xr:uid="{00000000-0005-0000-0000-000062010000}"/>
    <cellStyle name="s_Matrix_T" xfId="352" xr:uid="{00000000-0005-0000-0000-000063010000}"/>
    <cellStyle name="s_Matrix_T_Actualisation provision contrat déficitaire SNCM 2010 V Def" xfId="353" xr:uid="{00000000-0005-0000-0000-000064010000}"/>
    <cellStyle name="s_Matrix_T_Actualisation provision contrat déficitaire SNCM 2011 V3 30 05 2011" xfId="354" xr:uid="{00000000-0005-0000-0000-000065010000}"/>
    <cellStyle name="s_Matrix_T_LI819L_B13" xfId="355" xr:uid="{00000000-0005-0000-0000-000066010000}"/>
    <cellStyle name="s_Matrix_T_PAO-CAF-RESOP_14_01_13 à 20h" xfId="356" xr:uid="{00000000-0005-0000-0000-000067010000}"/>
    <cellStyle name="s_Merger" xfId="357" xr:uid="{00000000-0005-0000-0000-000068010000}"/>
    <cellStyle name="s_Merger_Actualisation provision contrat déficitaire SNCM 2010 V Def" xfId="358" xr:uid="{00000000-0005-0000-0000-000069010000}"/>
    <cellStyle name="s_Merger_Actualisation provision contrat déficitaire SNCM 2011 V3 30 05 2011" xfId="359" xr:uid="{00000000-0005-0000-0000-00006A010000}"/>
    <cellStyle name="s_Merger_LI819L_B13" xfId="360" xr:uid="{00000000-0005-0000-0000-00006B010000}"/>
    <cellStyle name="s_Merger_PAO-CAF-RESOP_14_01_13 à 20h" xfId="361" xr:uid="{00000000-0005-0000-0000-00006C010000}"/>
    <cellStyle name="s_model2" xfId="362" xr:uid="{00000000-0005-0000-0000-00006D010000}"/>
    <cellStyle name="s_model2_Actualisation provision contrat déficitaire SNCM 2010 V Def" xfId="363" xr:uid="{00000000-0005-0000-0000-00006E010000}"/>
    <cellStyle name="s_model2_Actualisation provision contrat déficitaire SNCM 2011 V3 30 05 2011" xfId="364" xr:uid="{00000000-0005-0000-0000-00006F010000}"/>
    <cellStyle name="s_model2_LI819L_B13" xfId="365" xr:uid="{00000000-0005-0000-0000-000070010000}"/>
    <cellStyle name="s_model2_PAO-CAF-RESOP_14_01_13 à 20h" xfId="366" xr:uid="{00000000-0005-0000-0000-000071010000}"/>
    <cellStyle name="s_P_L_Ratios" xfId="367" xr:uid="{00000000-0005-0000-0000-000072010000}"/>
    <cellStyle name="s_P_L_Ratios_Actualisation provision contrat déficitaire SNCM 2010 V Def" xfId="368" xr:uid="{00000000-0005-0000-0000-000073010000}"/>
    <cellStyle name="s_P_L_Ratios_Actualisation provision contrat déficitaire SNCM 2011 V3 30 05 2011" xfId="369" xr:uid="{00000000-0005-0000-0000-000074010000}"/>
    <cellStyle name="s_P_L_Ratios_B" xfId="370" xr:uid="{00000000-0005-0000-0000-000075010000}"/>
    <cellStyle name="s_P_L_Ratios_B_Actualisation provision contrat déficitaire SNCM 2010 V Def" xfId="371" xr:uid="{00000000-0005-0000-0000-000076010000}"/>
    <cellStyle name="s_P_L_Ratios_B_Actualisation provision contrat déficitaire SNCM 2011 V3 30 05 2011" xfId="372" xr:uid="{00000000-0005-0000-0000-000077010000}"/>
    <cellStyle name="s_P_L_Ratios_B_LI819L_B13" xfId="373" xr:uid="{00000000-0005-0000-0000-000078010000}"/>
    <cellStyle name="s_P_L_Ratios_B_PAO-CAF-RESOP_14_01_13 à 20h" xfId="374" xr:uid="{00000000-0005-0000-0000-000079010000}"/>
    <cellStyle name="s_P_L_Ratios_LI819L_B13" xfId="375" xr:uid="{00000000-0005-0000-0000-00007A010000}"/>
    <cellStyle name="s_P_L_Ratios_PAO-CAF-RESOP_14_01_13 à 20h" xfId="376" xr:uid="{00000000-0005-0000-0000-00007B010000}"/>
    <cellStyle name="s_PAO-CAF-RESOP_14_01_13 à 20h" xfId="377" xr:uid="{00000000-0005-0000-0000-00007C010000}"/>
    <cellStyle name="s_S_By_S" xfId="378" xr:uid="{00000000-0005-0000-0000-00007D010000}"/>
    <cellStyle name="s_S_By_S_Actualisation provision contrat déficitaire SNCM 2010 V Def" xfId="379" xr:uid="{00000000-0005-0000-0000-00007E010000}"/>
    <cellStyle name="s_S_By_S_Actualisation provision contrat déficitaire SNCM 2011 V3 30 05 2011" xfId="380" xr:uid="{00000000-0005-0000-0000-00007F010000}"/>
    <cellStyle name="s_S_By_S_LI819L_B13" xfId="381" xr:uid="{00000000-0005-0000-0000-000080010000}"/>
    <cellStyle name="s_S_By_S_PAO-CAF-RESOP_14_01_13 à 20h" xfId="382" xr:uid="{00000000-0005-0000-0000-000081010000}"/>
    <cellStyle name="s_Sheet5" xfId="383" xr:uid="{00000000-0005-0000-0000-000082010000}"/>
    <cellStyle name="s_Sheet5_Actualisation provision contrat déficitaire SNCM 2010 V Def" xfId="384" xr:uid="{00000000-0005-0000-0000-000083010000}"/>
    <cellStyle name="s_Sheet5_Actualisation provision contrat déficitaire SNCM 2011 V3 30 05 2011" xfId="385" xr:uid="{00000000-0005-0000-0000-000084010000}"/>
    <cellStyle name="s_Sheet5_LI819L_B13" xfId="386" xr:uid="{00000000-0005-0000-0000-000085010000}"/>
    <cellStyle name="s_Sheet5_PAO-CAF-RESOP_14_01_13 à 20h" xfId="387" xr:uid="{00000000-0005-0000-0000-000086010000}"/>
    <cellStyle name="s_Valuation " xfId="388" xr:uid="{00000000-0005-0000-0000-000087010000}"/>
    <cellStyle name="s_Valuation _Actualisation provision contrat déficitaire SNCM 2010 V Def" xfId="389" xr:uid="{00000000-0005-0000-0000-000088010000}"/>
    <cellStyle name="s_Valuation _Actualisation provision contrat déficitaire SNCM 2011 V3 30 05 2011" xfId="390" xr:uid="{00000000-0005-0000-0000-000089010000}"/>
    <cellStyle name="s_Valuation _LI819L_B13" xfId="391" xr:uid="{00000000-0005-0000-0000-00008A010000}"/>
    <cellStyle name="s_Valuation _PAO-CAF-RESOP_14_01_13 à 20h" xfId="392" xr:uid="{00000000-0005-0000-0000-00008B010000}"/>
    <cellStyle name="Satisfaisant 2" xfId="393" xr:uid="{00000000-0005-0000-0000-00008C010000}"/>
    <cellStyle name="Shading" xfId="394" xr:uid="{00000000-0005-0000-0000-00008D010000}"/>
    <cellStyle name="Single Cell Column Heading" xfId="395" xr:uid="{00000000-0005-0000-0000-00008E010000}"/>
    <cellStyle name="Sortie 2" xfId="396" xr:uid="{00000000-0005-0000-0000-00008F010000}"/>
    <cellStyle name="Standard__Utopia Index Index und Guidance (Deutsch)" xfId="397" xr:uid="{00000000-0005-0000-0000-000090010000}"/>
    <cellStyle name="t" xfId="398" xr:uid="{00000000-0005-0000-0000-000091010000}"/>
    <cellStyle name="t_Actualisation provision contrat déficitaire SNCM 2010 V Def" xfId="399" xr:uid="{00000000-0005-0000-0000-000092010000}"/>
    <cellStyle name="t_Actualisation provision contrat déficitaire SNCM 2011 V3 30 05 2011" xfId="400" xr:uid="{00000000-0005-0000-0000-000093010000}"/>
    <cellStyle name="t_LI819L_B13" xfId="401" xr:uid="{00000000-0005-0000-0000-000094010000}"/>
    <cellStyle name="t_Manager" xfId="402" xr:uid="{00000000-0005-0000-0000-000095010000}"/>
    <cellStyle name="t_Manager_Actualisation provision contrat déficitaire SNCM 2010 V Def" xfId="403" xr:uid="{00000000-0005-0000-0000-000096010000}"/>
    <cellStyle name="t_Manager_Actualisation provision contrat déficitaire SNCM 2011 V3 30 05 2011" xfId="404" xr:uid="{00000000-0005-0000-0000-000097010000}"/>
    <cellStyle name="t_Manager_LI819L_B13" xfId="405" xr:uid="{00000000-0005-0000-0000-000098010000}"/>
    <cellStyle name="t_Manager_PAO-CAF-RESOP_14_01_13 à 20h" xfId="406" xr:uid="{00000000-0005-0000-0000-000099010000}"/>
    <cellStyle name="t_PAO-CAF-RESOP_14_01_13 à 20h" xfId="407" xr:uid="{00000000-0005-0000-0000-00009A010000}"/>
    <cellStyle name="Text Level 1" xfId="408" xr:uid="{00000000-0005-0000-0000-00009B010000}"/>
    <cellStyle name="Text Level 2" xfId="409" xr:uid="{00000000-0005-0000-0000-00009C010000}"/>
    <cellStyle name="Text Level 3" xfId="410" xr:uid="{00000000-0005-0000-0000-00009D010000}"/>
    <cellStyle name="Text Level 4" xfId="411" xr:uid="{00000000-0005-0000-0000-00009E010000}"/>
    <cellStyle name="Texte explicatif 2" xfId="412" xr:uid="{00000000-0005-0000-0000-00009F010000}"/>
    <cellStyle name="Titles" xfId="413" xr:uid="{00000000-0005-0000-0000-0000A0010000}"/>
    <cellStyle name="Titre 2" xfId="414" xr:uid="{00000000-0005-0000-0000-0000A1010000}"/>
    <cellStyle name="Titre 1 2" xfId="415" xr:uid="{00000000-0005-0000-0000-0000A2010000}"/>
    <cellStyle name="Titre 2 2" xfId="416" xr:uid="{00000000-0005-0000-0000-0000A3010000}"/>
    <cellStyle name="Titre 3 2" xfId="417" xr:uid="{00000000-0005-0000-0000-0000A4010000}"/>
    <cellStyle name="Titre 4 2" xfId="418" xr:uid="{00000000-0005-0000-0000-0000A5010000}"/>
    <cellStyle name="Top_Double_Bottom" xfId="419" xr:uid="{00000000-0005-0000-0000-0000A6010000}"/>
    <cellStyle name="Total 2" xfId="420" xr:uid="{00000000-0005-0000-0000-0000A7010000}"/>
    <cellStyle name="UNDERRUBRIK" xfId="421" xr:uid="{00000000-0005-0000-0000-0000A8010000}"/>
    <cellStyle name="Vérification 2" xfId="422" xr:uid="{00000000-0005-0000-0000-0000A9010000}"/>
    <cellStyle name="Year" xfId="423" xr:uid="{00000000-0005-0000-0000-0000AA010000}"/>
    <cellStyle name="zoe" xfId="424" xr:uid="{00000000-0005-0000-0000-0000AB010000}"/>
    <cellStyle name="常规_Sheet1_Sub-consolidation Scope 2008 12 SX432 Lanzhou" xfId="425" xr:uid="{00000000-0005-0000-0000-0000AC010000}"/>
  </cellStyles>
  <dxfs count="0"/>
  <tableStyles count="0" defaultTableStyle="TableStyleMedium2" defaultPivotStyle="PivotStyleLight16"/>
  <colors>
    <mruColors>
      <color rgb="FFFFFF99"/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673100</xdr:colOff>
      <xdr:row>22</xdr:row>
      <xdr:rowOff>50800</xdr:rowOff>
    </xdr:from>
    <xdr:to>
      <xdr:col>2</xdr:col>
      <xdr:colOff>958850</xdr:colOff>
      <xdr:row>48</xdr:row>
      <xdr:rowOff>98425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40</xdr:row>
          <xdr:rowOff>76200</xdr:rowOff>
        </xdr:from>
        <xdr:to>
          <xdr:col>6</xdr:col>
          <xdr:colOff>1000125</xdr:colOff>
          <xdr:row>43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96341</xdr:colOff>
      <xdr:row>16</xdr:row>
      <xdr:rowOff>152400</xdr:rowOff>
    </xdr:from>
    <xdr:to>
      <xdr:col>2</xdr:col>
      <xdr:colOff>1142591</xdr:colOff>
      <xdr:row>20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591" y="15240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166687</xdr:colOff>
      <xdr:row>7</xdr:row>
      <xdr:rowOff>140606</xdr:rowOff>
    </xdr:from>
    <xdr:to>
      <xdr:col>4</xdr:col>
      <xdr:colOff>1858508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" y="1386794"/>
          <a:ext cx="1969633" cy="706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1905000</xdr:colOff>
          <xdr:row>12</xdr:row>
          <xdr:rowOff>9525</xdr:rowOff>
        </xdr:from>
        <xdr:to>
          <xdr:col>4</xdr:col>
          <xdr:colOff>3228975</xdr:colOff>
          <xdr:row>14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Retreive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3581400</xdr:colOff>
          <xdr:row>11</xdr:row>
          <xdr:rowOff>161925</xdr:rowOff>
        </xdr:from>
        <xdr:to>
          <xdr:col>4</xdr:col>
          <xdr:colOff>4914900</xdr:colOff>
          <xdr:row>14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4</xdr:col>
          <xdr:colOff>1209675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2</xdr:col>
      <xdr:colOff>2120446</xdr:colOff>
      <xdr:row>10</xdr:row>
      <xdr:rowOff>307576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4</xdr:col>
          <xdr:colOff>1209675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4</xdr:col>
      <xdr:colOff>1763258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1228725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9B757-F57A-4616-AB83-AADBC65E3A0B}">
  <sheetPr codeName="Feuil6"/>
  <dimension ref="B1:B5"/>
  <sheetViews>
    <sheetView workbookViewId="0"/>
  </sheetViews>
  <sheetFormatPr baseColWidth="10" defaultRowHeight="15"/>
  <sheetData>
    <row r="1" spans="2:2">
      <c r="B1" s="137" t="s">
        <v>388</v>
      </c>
    </row>
    <row r="2" spans="2:2">
      <c r="B2" s="137" t="s">
        <v>383</v>
      </c>
    </row>
    <row r="3" spans="2:2">
      <c r="B3" s="137" t="s">
        <v>384</v>
      </c>
    </row>
    <row r="4" spans="2:2">
      <c r="B4" s="137" t="s">
        <v>386</v>
      </c>
    </row>
    <row r="5" spans="2:2">
      <c r="B5" s="137" t="s">
        <v>387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H40"/>
  <sheetViews>
    <sheetView showGridLines="0" tabSelected="1" topLeftCell="A17" zoomScale="55" zoomScaleNormal="55" workbookViewId="0"/>
  </sheetViews>
  <sheetFormatPr baseColWidth="10" defaultColWidth="11.42578125" defaultRowHeight="15"/>
  <cols>
    <col min="1" max="1" width="3.140625" customWidth="1"/>
    <col min="3" max="3" width="30.42578125" bestFit="1" customWidth="1"/>
    <col min="4" max="4" width="24" customWidth="1"/>
    <col min="5" max="5" width="2.7109375" customWidth="1"/>
    <col min="6" max="6" width="24.7109375" customWidth="1"/>
    <col min="7" max="7" width="17" customWidth="1"/>
  </cols>
  <sheetData>
    <row r="1" spans="3:4" hidden="1">
      <c r="C1" s="62" t="s">
        <v>110</v>
      </c>
      <c r="D1" s="62"/>
    </row>
    <row r="2" spans="3:4" hidden="1">
      <c r="C2" s="64" t="s">
        <v>381</v>
      </c>
      <c r="D2" s="63" t="str">
        <f>_xll.DBRW("tango_core_model:z_Admin_Param","SERVER_NAME","STR_VAR1")</f>
        <v>91.236.254.119</v>
      </c>
    </row>
    <row r="3" spans="3:4" hidden="1">
      <c r="C3" s="64" t="s">
        <v>111</v>
      </c>
      <c r="D3" s="63" t="s">
        <v>113</v>
      </c>
    </row>
    <row r="4" spans="3:4" hidden="1">
      <c r="C4" s="64" t="s">
        <v>112</v>
      </c>
      <c r="D4" s="63" t="s">
        <v>364</v>
      </c>
    </row>
    <row r="5" spans="3:4" hidden="1">
      <c r="C5" s="64" t="s">
        <v>114</v>
      </c>
      <c r="D5" s="63" t="str">
        <f>_xll.DBR(Server&amp;"z_Admin_Param","MONTH_ACTUAL", "STR_VAR1")</f>
        <v>2023.08</v>
      </c>
    </row>
    <row r="6" spans="3:4" hidden="1">
      <c r="C6" s="64" t="s">
        <v>122</v>
      </c>
      <c r="D6" s="63" t="str">
        <f>D5&amp;"_YTD"</f>
        <v>2023.08_YTD</v>
      </c>
    </row>
    <row r="7" spans="3:4" hidden="1">
      <c r="C7" s="64" t="s">
        <v>115</v>
      </c>
      <c r="D7" s="63" t="str">
        <f>_xll.DBR(Server&amp;"z_Admin_Param","YEAR_ACTUAL", "STR_VAR1")</f>
        <v>2023</v>
      </c>
    </row>
    <row r="8" spans="3:4" hidden="1">
      <c r="C8" s="64" t="s">
        <v>116</v>
      </c>
      <c r="D8" s="63" t="str">
        <f>_xll.DBR(Server&amp;"z_Client_Properties","Default_Management_Organization",_xll.TM1USER("tango_core_model"))</f>
        <v>VTD_corp</v>
      </c>
    </row>
    <row r="9" spans="3:4" hidden="1">
      <c r="C9" s="64" t="s">
        <v>117</v>
      </c>
      <c r="D9" s="63" t="str">
        <f>LEFT($G$31,4)</f>
        <v>2023</v>
      </c>
    </row>
    <row r="10" spans="3:4" hidden="1">
      <c r="C10" s="64" t="s">
        <v>118</v>
      </c>
      <c r="D10" s="67">
        <f>z_Year_Selected-1</f>
        <v>2022</v>
      </c>
    </row>
    <row r="11" spans="3:4" hidden="1">
      <c r="C11" s="64" t="s">
        <v>121</v>
      </c>
      <c r="D11" s="67" t="str">
        <f>_xll.DBR(Server&amp;"}ElementAttributes_Period",Current_Period_YTD, "Prior Year")</f>
        <v>2022.08_YTD</v>
      </c>
    </row>
    <row r="12" spans="3:4" hidden="1">
      <c r="C12" s="64" t="s">
        <v>119</v>
      </c>
      <c r="D12" s="63" t="str">
        <f>_xll.DBR(Server&amp;"z_admin_param","TYPE_PHASE","STR_VAR1")</f>
        <v>Forecast1</v>
      </c>
    </row>
    <row r="13" spans="3:4" hidden="1">
      <c r="C13" s="64" t="s">
        <v>120</v>
      </c>
      <c r="D13" s="63" t="str">
        <f>IF($D$12="BUDGET","BUDG_VC_TOT",IF($D$12="Forecast1","FC_1_VC_TOT","FC_2_VC_TOT"))</f>
        <v>FC_1_VC_TOT</v>
      </c>
    </row>
    <row r="14" spans="3:4" hidden="1">
      <c r="C14" s="64" t="s">
        <v>123</v>
      </c>
      <c r="D14" s="63" t="str">
        <f>_xll.DBRW(Server&amp;"z_Admin_Param","YEAR_BUDGET_FORECAST", "STR_VAR1")</f>
        <v>2023</v>
      </c>
    </row>
    <row r="15" spans="3:4" hidden="1">
      <c r="C15" s="64" t="s">
        <v>382</v>
      </c>
      <c r="D15" s="63" t="str">
        <f>_xll.DBRW(Server&amp;"}ElementAttributes_Legal_Organization",z_Legal_Entity,"Source_entity")</f>
        <v/>
      </c>
    </row>
    <row r="16" spans="3:4" hidden="1">
      <c r="C16" s="64" t="s">
        <v>370</v>
      </c>
      <c r="D16" s="63" t="str">
        <f>_xll.DBR(Server&amp;"z_Client_Properties","Default_Legal_Organization",_xll.TM1USER("tango_core_model"))</f>
        <v>VTD_corp</v>
      </c>
    </row>
    <row r="17" spans="2:8">
      <c r="C17" s="69"/>
    </row>
    <row r="18" spans="2:8" ht="15" customHeight="1">
      <c r="B18" s="87"/>
      <c r="C18" s="88"/>
      <c r="D18" s="139" t="str">
        <f>"Reporting Europe "&amp;_xll.DBRA(Server&amp;"Management_Organization",$F$28,"English")&amp;", "&amp;$G$31</f>
        <v>Reporting Europe TRANSDEV All, 2023.08_YTD</v>
      </c>
      <c r="E18" s="139"/>
      <c r="F18" s="139"/>
      <c r="G18" s="139"/>
      <c r="H18" s="139"/>
    </row>
    <row r="19" spans="2:8" ht="15" customHeight="1">
      <c r="B19" s="87"/>
      <c r="C19" s="88"/>
      <c r="D19" s="139"/>
      <c r="E19" s="139"/>
      <c r="F19" s="139"/>
      <c r="G19" s="139"/>
      <c r="H19" s="139"/>
    </row>
    <row r="20" spans="2:8" ht="15" customHeight="1">
      <c r="B20" s="87"/>
      <c r="C20" s="88"/>
      <c r="D20" s="139"/>
      <c r="E20" s="139"/>
      <c r="F20" s="139"/>
      <c r="G20" s="139"/>
      <c r="H20" s="139"/>
    </row>
    <row r="21" spans="2:8">
      <c r="B21" s="46"/>
      <c r="C21" s="46"/>
      <c r="D21" s="46"/>
      <c r="E21" s="46"/>
      <c r="F21" s="46"/>
      <c r="G21" s="46"/>
      <c r="H21" s="46"/>
    </row>
    <row r="22" spans="2:8">
      <c r="B22" s="46"/>
      <c r="C22" s="46"/>
      <c r="D22" s="46"/>
      <c r="E22" s="46"/>
      <c r="F22" s="46"/>
      <c r="G22" s="46"/>
      <c r="H22" s="46"/>
    </row>
    <row r="24" spans="2:8" ht="18.75">
      <c r="D24" s="47" t="s">
        <v>0</v>
      </c>
    </row>
    <row r="25" spans="2:8">
      <c r="D25" s="49"/>
    </row>
    <row r="26" spans="2:8">
      <c r="F26" s="85"/>
    </row>
    <row r="27" spans="2:8">
      <c r="F27" s="85"/>
      <c r="G27" s="86"/>
    </row>
    <row r="28" spans="2:8">
      <c r="D28" s="49" t="s">
        <v>367</v>
      </c>
      <c r="F28" s="81" t="str">
        <f>_xll.SUBNM(Server&amp;"Legal_Organization",,"VTD_corp","MEMBER_NAME")</f>
        <v>VTD_corp</v>
      </c>
      <c r="G28" s="66"/>
      <c r="H28" s="114"/>
    </row>
    <row r="29" spans="2:8">
      <c r="D29" s="49" t="s">
        <v>1</v>
      </c>
      <c r="F29" s="96" t="str">
        <f>_xll.SUBNM(Server&amp;"Management_Organization",,"VTD_corp","MEMBER_NAME")</f>
        <v>VTD_corp</v>
      </c>
      <c r="G29" s="66"/>
      <c r="H29" s="114"/>
    </row>
    <row r="30" spans="2:8">
      <c r="D30" s="48"/>
      <c r="F30" s="46"/>
      <c r="G30" s="46"/>
    </row>
    <row r="31" spans="2:8">
      <c r="D31" s="49" t="s">
        <v>2</v>
      </c>
      <c r="F31" s="81" t="str">
        <f>_xll.SUBNM(Server&amp;"Phase","Default","ACT")</f>
        <v>ACT</v>
      </c>
      <c r="G31" s="136" t="str">
        <f>_xll.SUBNM(Server&amp;"Period",z_Current_Year&amp;"_YTD",Current_Period_YTD)</f>
        <v>2023.08_YTD</v>
      </c>
    </row>
    <row r="32" spans="2:8">
      <c r="D32" s="48"/>
      <c r="F32" s="46"/>
      <c r="G32" s="46"/>
    </row>
    <row r="33" spans="4:7">
      <c r="D33" s="49" t="s">
        <v>3</v>
      </c>
      <c r="F33" s="81" t="str">
        <f>_xll.SUBNM(Server&amp;"Phase","Default","ACT")</f>
        <v>ACT</v>
      </c>
      <c r="G33" s="81" t="str">
        <f>_xll.SUBNM(Server&amp;"Period",z_Year_N_1&amp;"_YTD",z_Current_Period_N_1)</f>
        <v>2022.08_YTD</v>
      </c>
    </row>
    <row r="34" spans="4:7">
      <c r="D34" s="49" t="s">
        <v>4</v>
      </c>
      <c r="F34" s="81" t="str">
        <f>_xll.SUBNM(Server&amp;"Phase","default","BUDG_VC")</f>
        <v>BUDG_VC</v>
      </c>
      <c r="G34" s="136" t="str">
        <f>_xll.SUBNM(Server&amp;"Period","ACTUAL_YTD","2023.08_YTD",Current_Period_YTD)</f>
        <v>2023.08_YTD</v>
      </c>
    </row>
    <row r="36" spans="4:7">
      <c r="D36" s="49" t="s">
        <v>5</v>
      </c>
      <c r="F36" s="81" t="str">
        <f>_xll.SUBNM(Server&amp;"Currency",,"LCL","MEMBER_NAME")</f>
        <v>LCL</v>
      </c>
      <c r="G36" s="115" t="str">
        <f>IF(F36&lt;&gt;"LCL","You need to select LCL to save updated data","")</f>
        <v/>
      </c>
    </row>
    <row r="37" spans="4:7">
      <c r="D37" s="49" t="s">
        <v>9</v>
      </c>
      <c r="F37" s="96" t="str">
        <f>_xll.SUBNM(Server&amp;"Gaap","","Local_Gaap_Mgmt_tool")</f>
        <v>Local_Gaap_Mgmt_tool</v>
      </c>
      <c r="G37" s="115"/>
    </row>
    <row r="40" spans="4:7" ht="18.75">
      <c r="D40" s="47" t="s">
        <v>6</v>
      </c>
    </row>
  </sheetData>
  <protectedRanges>
    <protectedRange sqref="F28 F29 F31 G31 F33 F34 G34 G33 F36 F37" name="Contexte"/>
  </protectedRanges>
  <mergeCells count="1">
    <mergeCell ref="D18:H20"/>
  </mergeCells>
  <dataValidations count="1">
    <dataValidation allowBlank="1" showInputMessage="1" showErrorMessage="1" error="La valeur entrée n'est pas valide._x000a_Un utilisateur dispose de valeurs restreintes pouvant être entrées dans cette cellule." sqref="D12:D18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5</xdr:col>
                    <xdr:colOff>104775</xdr:colOff>
                    <xdr:row>40</xdr:row>
                    <xdr:rowOff>76200</xdr:rowOff>
                  </from>
                  <to>
                    <xdr:col>6</xdr:col>
                    <xdr:colOff>1000125</xdr:colOff>
                    <xdr:row>43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391AA"/>
    <pageSetUpPr fitToPage="1"/>
  </sheetPr>
  <dimension ref="A1:S73"/>
  <sheetViews>
    <sheetView showGridLines="0" zoomScale="55" zoomScaleNormal="55" workbookViewId="0">
      <pane xSplit="5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E14" sqref="E14"/>
    </sheetView>
  </sheetViews>
  <sheetFormatPr baseColWidth="10" defaultColWidth="11.42578125" defaultRowHeight="14.25" outlineLevelRow="1" outlineLevelCol="1"/>
  <cols>
    <col min="1" max="1" width="40.5703125" style="1" hidden="1" customWidth="1"/>
    <col min="2" max="2" width="2.85546875" style="1" hidden="1" customWidth="1"/>
    <col min="3" max="3" width="35.5703125" style="1" hidden="1" customWidth="1"/>
    <col min="4" max="4" width="1.42578125" style="1" customWidth="1"/>
    <col min="5" max="5" width="125.140625" style="1" customWidth="1"/>
    <col min="6" max="18" width="17.28515625" style="2" bestFit="1" customWidth="1" outlineLevel="1"/>
    <col min="19" max="19" width="15.42578125" style="2" bestFit="1" customWidth="1"/>
    <col min="20" max="16384" width="11.42578125" style="1"/>
  </cols>
  <sheetData>
    <row r="1" spans="1:19" hidden="1">
      <c r="A1" s="1" t="s">
        <v>7</v>
      </c>
      <c r="C1" s="1" t="str">
        <f>_xll.VIEW("tango_core_model:RP_PL",$C$2,$C$3,$C$4,$C$6,$C$5,$C$7,"!","!","!")</f>
        <v>tango_core_model:RP_PL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 hidden="1">
      <c r="A2" s="3" t="s">
        <v>8</v>
      </c>
      <c r="B2" s="3"/>
      <c r="C2" s="1" t="str">
        <f>IF(_xll.DBRW(Server&amp;"}ElementAttributes_Management_Organization",z_UM_Selected,"Sub_activity")="","Tot_act",_xll.DBRW(Server&amp;"}ElementAttributes_Management_Organization",z_UM_Selected,"Sub_activity"))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 hidden="1">
      <c r="A3" s="3" t="s">
        <v>5</v>
      </c>
      <c r="B3" s="3"/>
      <c r="C3" s="1" t="str">
        <f>Context!F36</f>
        <v>LCL</v>
      </c>
    </row>
    <row r="4" spans="1:19" hidden="1">
      <c r="A4" s="3" t="s">
        <v>9</v>
      </c>
      <c r="B4" s="3"/>
      <c r="C4" s="1" t="str">
        <f>IF(Flag_Send_Data="Restit",Context!F37,"Local_Gaap_Mgmt_tool")</f>
        <v>Local_Gaap_Mgmt_tool</v>
      </c>
      <c r="E4" s="2" t="s">
        <v>378</v>
      </c>
    </row>
    <row r="5" spans="1:19" hidden="1">
      <c r="A5" s="3" t="s">
        <v>10</v>
      </c>
      <c r="B5" s="3"/>
      <c r="C5" s="1" t="str">
        <f>z_Legal_Entity</f>
        <v>VTD_corp</v>
      </c>
      <c r="E5" s="1" t="str">
        <f>_xll.DBRW(Server&amp;"}ElementAttributes_Legal_Organization",z_Legal_Entity,"Source_entity")</f>
        <v/>
      </c>
    </row>
    <row r="6" spans="1:19" hidden="1">
      <c r="A6" s="3" t="s">
        <v>11</v>
      </c>
      <c r="B6" s="3"/>
      <c r="C6" s="1" t="s">
        <v>385</v>
      </c>
    </row>
    <row r="7" spans="1:19" hidden="1">
      <c r="A7" s="3" t="s">
        <v>12</v>
      </c>
      <c r="B7" s="3"/>
      <c r="C7" s="1" t="str">
        <f>Context!F29</f>
        <v>VTD_corp</v>
      </c>
    </row>
    <row r="8" spans="1:19">
      <c r="A8" s="3"/>
      <c r="B8" s="3"/>
    </row>
    <row r="9" spans="1:19" ht="14.4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</row>
    <row r="10" spans="1:19" ht="14.4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</row>
    <row r="11" spans="1:19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</row>
    <row r="12" spans="1:19">
      <c r="A12" s="3"/>
      <c r="B12" s="3"/>
      <c r="E12" s="112">
        <f ca="1">NOW()</f>
        <v>45532.486404050927</v>
      </c>
    </row>
    <row r="17" spans="1:19" ht="15.75">
      <c r="E17" s="140" t="str">
        <f>C7</f>
        <v>VTD_corp</v>
      </c>
      <c r="F17" s="59" t="str">
        <f t="shared" ref="F17:G17" si="0">IF(F2="ACT","ACTUAL","BUDGET")</f>
        <v>ACTUAL</v>
      </c>
      <c r="G17" s="59" t="str">
        <f t="shared" si="0"/>
        <v>BUDGET</v>
      </c>
      <c r="H17" s="59" t="str">
        <f t="shared" ref="H17:S17" si="1">IF(H2="ACT","ACTUAL","BUDGET")</f>
        <v>BUDGET</v>
      </c>
      <c r="I17" s="59" t="str">
        <f t="shared" si="1"/>
        <v>BUDGET</v>
      </c>
      <c r="J17" s="59" t="str">
        <f t="shared" si="1"/>
        <v>BUDGET</v>
      </c>
      <c r="K17" s="59" t="str">
        <f t="shared" si="1"/>
        <v>BUDGET</v>
      </c>
      <c r="L17" s="59" t="str">
        <f t="shared" si="1"/>
        <v>BUDGET</v>
      </c>
      <c r="M17" s="59" t="str">
        <f t="shared" si="1"/>
        <v>BUDGET</v>
      </c>
      <c r="N17" s="59" t="str">
        <f t="shared" si="1"/>
        <v>BUDGET</v>
      </c>
      <c r="O17" s="59" t="str">
        <f t="shared" si="1"/>
        <v>BUDGET</v>
      </c>
      <c r="P17" s="59" t="str">
        <f t="shared" si="1"/>
        <v>BUDGET</v>
      </c>
      <c r="Q17" s="59" t="str">
        <f t="shared" si="1"/>
        <v>BUDGET</v>
      </c>
      <c r="R17" s="59" t="str">
        <f t="shared" si="1"/>
        <v>BUDGET</v>
      </c>
      <c r="S17" s="59" t="str">
        <f t="shared" si="1"/>
        <v>ACTUAL</v>
      </c>
    </row>
    <row r="18" spans="1:19" ht="15.75">
      <c r="E18" s="141"/>
      <c r="F18" s="60" t="str">
        <f t="shared" ref="F18:G18" si="2">F1</f>
        <v>2023.08_YTD</v>
      </c>
      <c r="G18" s="60" t="str">
        <f t="shared" si="2"/>
        <v>2023.01_YTD</v>
      </c>
      <c r="H18" s="60" t="str">
        <f t="shared" ref="H18:S18" si="3">H1</f>
        <v>2023.02_YTD</v>
      </c>
      <c r="I18" s="60" t="str">
        <f t="shared" si="3"/>
        <v>2023.03_YTD</v>
      </c>
      <c r="J18" s="60" t="str">
        <f t="shared" si="3"/>
        <v>2023.04_YTD</v>
      </c>
      <c r="K18" s="60" t="str">
        <f t="shared" si="3"/>
        <v>2023.05_YTD</v>
      </c>
      <c r="L18" s="60" t="str">
        <f t="shared" si="3"/>
        <v>2023.06_YTD</v>
      </c>
      <c r="M18" s="60" t="str">
        <f t="shared" si="3"/>
        <v>2023.07_YTD</v>
      </c>
      <c r="N18" s="60" t="str">
        <f t="shared" si="3"/>
        <v>2023.08_YTD</v>
      </c>
      <c r="O18" s="60" t="str">
        <f t="shared" si="3"/>
        <v>2023.09_YTD</v>
      </c>
      <c r="P18" s="60" t="str">
        <f t="shared" si="3"/>
        <v>2023.10_YTD</v>
      </c>
      <c r="Q18" s="60" t="str">
        <f t="shared" si="3"/>
        <v>2023.11_YTD</v>
      </c>
      <c r="R18" s="60" t="str">
        <f t="shared" si="3"/>
        <v>2023.12_YTD</v>
      </c>
      <c r="S18" s="60" t="str">
        <f t="shared" si="3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75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v>48278918.465899594</v>
      </c>
      <c r="G20" s="113">
        <v>10</v>
      </c>
      <c r="H20" s="113">
        <v>20</v>
      </c>
      <c r="I20" s="113">
        <v>11</v>
      </c>
      <c r="J20" s="113">
        <v>11</v>
      </c>
      <c r="K20" s="113">
        <v>11</v>
      </c>
      <c r="L20" s="113">
        <v>11</v>
      </c>
      <c r="M20" s="113">
        <v>11</v>
      </c>
      <c r="N20" s="113">
        <v>11</v>
      </c>
      <c r="O20" s="113">
        <v>11</v>
      </c>
      <c r="P20" s="113">
        <v>11</v>
      </c>
      <c r="Q20" s="113">
        <v>11</v>
      </c>
      <c r="R20" s="113">
        <v>11</v>
      </c>
      <c r="S20" s="32">
        <f>_xll.DBRW($C$1,$C$2,$C$3,$C$4,$C$6,$C$5,$C$7,S$1,S$2,$A20)</f>
        <v>48278918.465899594</v>
      </c>
    </row>
    <row r="21" spans="1:19" ht="15.75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32">
        <f>_xll.DBRW($C$1,$C$2,$C$3,$C$4,$C$6,$C$5,$C$7,S$1,S$2,$A21)</f>
        <v>0</v>
      </c>
    </row>
    <row r="22" spans="1:19" ht="15.75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32">
        <f>_xll.DBRW($C$1,$C$2,$C$3,$C$4,$C$6,$C$5,$C$7,S$1,S$2,$A22)</f>
        <v>0</v>
      </c>
    </row>
    <row r="23" spans="1:19" ht="15.75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v>0</v>
      </c>
      <c r="G23" s="113">
        <v>2.5</v>
      </c>
      <c r="H23" s="113">
        <v>5</v>
      </c>
      <c r="I23" s="113">
        <v>5</v>
      </c>
      <c r="J23" s="113">
        <v>5</v>
      </c>
      <c r="K23" s="113">
        <v>5</v>
      </c>
      <c r="L23" s="113">
        <v>5</v>
      </c>
      <c r="M23" s="113">
        <v>5</v>
      </c>
      <c r="N23" s="113">
        <v>5</v>
      </c>
      <c r="O23" s="113">
        <v>5</v>
      </c>
      <c r="P23" s="113">
        <v>5</v>
      </c>
      <c r="Q23" s="113">
        <v>5</v>
      </c>
      <c r="R23" s="113">
        <v>5</v>
      </c>
      <c r="S23" s="32">
        <f>_xll.DBRW($C$1,$C$2,$C$3,$C$4,$C$6,$C$5,$C$7,S$1,S$2,$A23)</f>
        <v>0</v>
      </c>
    </row>
    <row r="24" spans="1:19" ht="15.75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32">
        <f>_xll.DBRW($C$1,$C$2,$C$3,$C$4,$C$6,$C$5,$C$7,S$1,S$2,$A24)</f>
        <v>0</v>
      </c>
    </row>
    <row r="25" spans="1:19" ht="15.75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32">
        <f>_xll.DBRW($C$1,$C$2,$C$3,$C$4,$C$6,$C$5,$C$7,S$1,S$2,$A25)</f>
        <v>0</v>
      </c>
    </row>
    <row r="26" spans="1:19" ht="15.75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32">
        <f>_xll.DBRW($C$1,$C$2,$C$3,$C$4,$C$6,$C$5,$C$7,S$1,S$2,$A26)</f>
        <v>0</v>
      </c>
    </row>
    <row r="27" spans="1:19" ht="15.75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v>37999868.375899591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32">
        <f>_xll.DBRW($C$1,$C$2,$C$3,$C$4,$C$6,$C$5,$C$7,S$1,S$2,$A27)</f>
        <v>37999868.375899591</v>
      </c>
    </row>
    <row r="28" spans="1:19" ht="15.75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v>1495064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32">
        <f>_xll.DBRW($C$1,$C$2,$C$3,$C$4,$C$6,$C$5,$C$7,S$1,S$2,$A28)</f>
        <v>1495064</v>
      </c>
    </row>
    <row r="29" spans="1:19" ht="15.75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v>2008939.88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32">
        <f>_xll.DBRW($C$1,$C$2,$C$3,$C$4,$C$6,$C$5,$C$7,S$1,S$2,$A29)</f>
        <v>2008939.88</v>
      </c>
    </row>
    <row r="30" spans="1:19" ht="15.75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v>6723653.21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32">
        <f>_xll.DBRW($C$1,$C$2,$C$3,$C$4,$C$6,$C$5,$C$7,S$1,S$2,$A30)</f>
        <v>6723653.21</v>
      </c>
    </row>
    <row r="31" spans="1:19" ht="15.75" customHeight="1">
      <c r="A31" s="1" t="s">
        <v>127</v>
      </c>
      <c r="C31" s="143" t="s">
        <v>78</v>
      </c>
      <c r="E31" s="17" t="s">
        <v>79</v>
      </c>
      <c r="F31" s="42">
        <f t="shared" ref="F31:S31" si="4">F20</f>
        <v>48278918.465899594</v>
      </c>
      <c r="G31" s="42">
        <f>G20</f>
        <v>10</v>
      </c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42">
        <f t="shared" si="4"/>
        <v>48278918.465899594</v>
      </c>
    </row>
    <row r="32" spans="1:19" ht="15.75" customHeight="1" outlineLevel="1">
      <c r="A32" s="1" t="s">
        <v>334</v>
      </c>
      <c r="C32" s="143"/>
      <c r="E32" s="9" t="str">
        <f>_xll.DBRW(Server&amp;"}ElementAttributes_Indicator",A32,"code_English")</f>
        <v>Nb_Drivers - Number of drivers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32">
        <f>_xll.DBRW($C$1,$C$2,$C$3,$C$4,$C$6,$C$5,$C$7,S$1,S$2,$A32)</f>
        <v>0</v>
      </c>
    </row>
    <row r="33" spans="1:19" ht="15.75" customHeight="1" outlineLevel="1">
      <c r="A33" s="1" t="s">
        <v>335</v>
      </c>
      <c r="C33" s="143"/>
      <c r="E33" s="9" t="str">
        <f>_xll.DBRW(Server&amp;"}ElementAttributes_Indicator",A33,"code_English")</f>
        <v>Nb_Conductors - Number of conductors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32">
        <f>_xll.DBRW($C$1,$C$2,$C$3,$C$4,$C$6,$C$5,$C$7,S$1,S$2,$A33)</f>
        <v>0</v>
      </c>
    </row>
    <row r="34" spans="1:19" ht="15.75" customHeight="1" outlineLevel="1">
      <c r="A34" s="1" t="s">
        <v>348</v>
      </c>
      <c r="C34" s="143"/>
      <c r="E34" s="9" t="str">
        <f>_xll.DBRW(Server&amp;"}ElementAttributes_Indicator",A34,"code_English")</f>
        <v>Nb_FTE_Drivers - Number of FTE Drivers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32">
        <f>_xll.DBRW($C$1,$C$2,$C$3,$C$4,$C$6,$C$5,$C$7,S$1,S$2,$A34)</f>
        <v>0</v>
      </c>
    </row>
    <row r="35" spans="1:19" ht="15.75">
      <c r="A35" s="1" t="s">
        <v>127</v>
      </c>
      <c r="C35" s="143"/>
      <c r="E35" s="15" t="s">
        <v>80</v>
      </c>
      <c r="F35" s="44">
        <f t="shared" ref="F35:S35" si="5">SUM(F32:F34)</f>
        <v>0</v>
      </c>
      <c r="G35" s="44">
        <f t="shared" si="5"/>
        <v>0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>
        <f t="shared" si="5"/>
        <v>0</v>
      </c>
    </row>
    <row r="36" spans="1:19" ht="15.75" customHeight="1" outlineLevel="1">
      <c r="A36" s="1" t="s">
        <v>336</v>
      </c>
      <c r="C36" s="143"/>
      <c r="E36" s="9" t="str">
        <f>_xll.DBRW(Server&amp;"}ElementAttributes_Indicator",A36,"code_English")</f>
        <v>Nb_Maintenance_team - Number of Maintenance collaborators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32">
        <f>_xll.DBRW($C$1,$C$2,$C$3,$C$4,$C$6,$C$5,$C$7,S$1,S$2,$A36)</f>
        <v>0</v>
      </c>
    </row>
    <row r="37" spans="1:19" ht="15.75" customHeight="1" outlineLevel="1">
      <c r="A37" s="1" t="s">
        <v>349</v>
      </c>
      <c r="C37" s="143"/>
      <c r="E37" s="9" t="str">
        <f>_xll.DBRW(Server&amp;"}ElementAttributes_Indicator",A37,"code_English")</f>
        <v>Nb_FTE_Maintenance_Technicians - Number of FTE Technicians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32">
        <f>_xll.DBRW($C$1,$C$2,$C$3,$C$4,$C$6,$C$5,$C$7,S$1,S$2,$A37)</f>
        <v>0</v>
      </c>
    </row>
    <row r="38" spans="1:19" ht="15.75">
      <c r="A38" s="1" t="s">
        <v>127</v>
      </c>
      <c r="C38" s="143"/>
      <c r="E38" s="15" t="s">
        <v>81</v>
      </c>
      <c r="F38" s="44">
        <f t="shared" ref="F38:S38" si="6">SUM(F36:F37)</f>
        <v>0</v>
      </c>
      <c r="G38" s="44">
        <f t="shared" si="6"/>
        <v>0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>
        <f t="shared" si="6"/>
        <v>0</v>
      </c>
    </row>
    <row r="39" spans="1:19" ht="15.75" customHeight="1" outlineLevel="1">
      <c r="A39" s="1" t="s">
        <v>350</v>
      </c>
      <c r="C39" s="143"/>
      <c r="E39" s="9" t="str">
        <f>_xll.DBRW(Server&amp;"}ElementAttributes_Indicator",A39,"code_English")</f>
        <v>Nb_FTE_Operations_Others - Number of FTE Other Operation Staff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32">
        <f>_xll.DBRW($C$1,$C$2,$C$3,$C$4,$C$6,$C$5,$C$7,S$1,S$2,$A39)</f>
        <v>0</v>
      </c>
    </row>
    <row r="40" spans="1:19" ht="15.75">
      <c r="A40" s="1" t="s">
        <v>127</v>
      </c>
      <c r="C40" s="143"/>
      <c r="E40" s="78" t="s">
        <v>82</v>
      </c>
      <c r="F40" s="44">
        <f t="shared" ref="F40:S40" si="7">SUM(F39)</f>
        <v>0</v>
      </c>
      <c r="G40" s="44">
        <f t="shared" si="7"/>
        <v>0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>
        <f t="shared" si="7"/>
        <v>0</v>
      </c>
    </row>
    <row r="41" spans="1:19" ht="15.75" customHeight="1" outlineLevel="1">
      <c r="A41" s="1" t="s">
        <v>351</v>
      </c>
      <c r="C41" s="143"/>
      <c r="E41" s="9" t="str">
        <f>_xll.DBRW(Server&amp;"}ElementAttributes_Indicator",A41,"code_English")</f>
        <v>Nb_FTE_Maintenance_Others - Number of FTE Other Maintenance Staff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32">
        <f>_xll.DBRW($C$1,$C$2,$C$3,$C$4,$C$6,$C$5,$C$7,S$1,S$2,$A41)</f>
        <v>0</v>
      </c>
    </row>
    <row r="42" spans="1:19" ht="15.75">
      <c r="A42" s="1" t="s">
        <v>127</v>
      </c>
      <c r="C42" s="143"/>
      <c r="E42" s="78" t="s">
        <v>83</v>
      </c>
      <c r="F42" s="43">
        <f t="shared" ref="F42:S42" si="8">SUM(F41)</f>
        <v>0</v>
      </c>
      <c r="G42" s="43">
        <f t="shared" si="8"/>
        <v>0</v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>
        <f t="shared" si="8"/>
        <v>0</v>
      </c>
    </row>
    <row r="43" spans="1:19" ht="15.75" customHeight="1" outlineLevel="1">
      <c r="A43" s="1" t="s">
        <v>337</v>
      </c>
      <c r="C43" s="143"/>
      <c r="E43" s="9" t="str">
        <f>_xll.DBRW(Server&amp;"}ElementAttributes_Indicator",A43,"code_English")</f>
        <v>Nb_FTE - Number of Full Time Equivalent</v>
      </c>
      <c r="F43" s="113">
        <v>27744.035745039775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32">
        <f>_xll.DBRW($C$1,$C$2,$C$3,$C$4,$C$6,$C$5,$C$7,S$1,S$2,$A43)</f>
        <v>27744.035745039775</v>
      </c>
    </row>
    <row r="44" spans="1:19" ht="15.75">
      <c r="A44" s="1" t="s">
        <v>127</v>
      </c>
      <c r="C44" s="143"/>
      <c r="E44" s="79" t="s">
        <v>84</v>
      </c>
      <c r="F44" s="99">
        <f t="shared" ref="F44:S44" si="9">SUM(F43)</f>
        <v>27744.035745039775</v>
      </c>
      <c r="G44" s="99">
        <f t="shared" si="9"/>
        <v>0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>
        <f t="shared" si="9"/>
        <v>27744.035745039775</v>
      </c>
    </row>
    <row r="45" spans="1:19" ht="9" customHeight="1">
      <c r="A45" s="1" t="s">
        <v>127</v>
      </c>
      <c r="C45" s="143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3"/>
      <c r="E46" s="9" t="str">
        <f>_xll.DBRW(Server&amp;"}ElementAttributes_Indicator",A46,"code_English")</f>
        <v>Fuel_consu - Fuel consumed (liters)</v>
      </c>
      <c r="F46" s="113">
        <v>12315263.157288115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32">
        <f>_xll.DBRW($C$1,$C$2,$C$3,$C$4,$C$6,$C$5,$C$7,S$1,S$2,$A46)</f>
        <v>12315263.157288115</v>
      </c>
    </row>
    <row r="47" spans="1:19" ht="15.75">
      <c r="A47" s="1" t="s">
        <v>127</v>
      </c>
      <c r="C47" s="143"/>
      <c r="E47" s="17" t="s">
        <v>85</v>
      </c>
      <c r="F47" s="42">
        <f t="shared" ref="F47:G47" si="10">SUM(F46)</f>
        <v>12315263.157288115</v>
      </c>
      <c r="G47" s="42">
        <f t="shared" si="10"/>
        <v>0</v>
      </c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42">
        <f>SUM(S46)</f>
        <v>12315263.157288115</v>
      </c>
    </row>
    <row r="48" spans="1:19" ht="15.75" customHeight="1" outlineLevel="1">
      <c r="A48" s="1" t="s">
        <v>339</v>
      </c>
      <c r="C48" s="143"/>
      <c r="E48" s="9" t="str">
        <f>_xll.DBRW(Server&amp;"}ElementAttributes_Indicator",A48,"code_English")</f>
        <v>Biofuel_consu - Biofuel consumed (liters)</v>
      </c>
      <c r="F48" s="113">
        <v>1053776.2999999998</v>
      </c>
      <c r="G48" s="113">
        <v>0</v>
      </c>
      <c r="H48" s="113">
        <v>0</v>
      </c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32">
        <f>_xll.DBRW($C$1,$C$2,$C$3,$C$4,$C$6,$C$5,$C$7,S$1,S$2,$A48)</f>
        <v>1053776.2999999998</v>
      </c>
    </row>
    <row r="49" spans="1:19" ht="15.75">
      <c r="A49" s="1" t="s">
        <v>127</v>
      </c>
      <c r="C49" s="143"/>
      <c r="E49" s="15" t="s">
        <v>86</v>
      </c>
      <c r="F49" s="44">
        <f t="shared" ref="F49:G49" si="11">SUM(F48)</f>
        <v>1053776.2999999998</v>
      </c>
      <c r="G49" s="44">
        <f t="shared" si="11"/>
        <v>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>
        <f>SUM(S48)</f>
        <v>1053776.2999999998</v>
      </c>
    </row>
    <row r="50" spans="1:19" ht="15.75" customHeight="1" outlineLevel="1">
      <c r="A50" s="1" t="s">
        <v>340</v>
      </c>
      <c r="C50" s="143"/>
      <c r="E50" s="9" t="str">
        <f>_xll.DBRW(Server&amp;"}ElementAttributes_Indicator",A50,"code_English")</f>
        <v>Gas_consu - Gas consumed (kwh)</v>
      </c>
      <c r="F50" s="113">
        <v>43793183.894525304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32">
        <f>_xll.DBRW($C$1,$C$2,$C$3,$C$4,$C$6,$C$5,$C$7,S$1,S$2,$A50)</f>
        <v>43793183.894525304</v>
      </c>
    </row>
    <row r="51" spans="1:19" ht="15.75">
      <c r="A51" s="1" t="s">
        <v>127</v>
      </c>
      <c r="C51" s="143"/>
      <c r="E51" s="15" t="s">
        <v>87</v>
      </c>
      <c r="F51" s="43">
        <f t="shared" ref="F51:G51" si="12">SUM(F50)</f>
        <v>43793183.894525304</v>
      </c>
      <c r="G51" s="43">
        <f t="shared" si="12"/>
        <v>0</v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>
        <f>SUM(S50)</f>
        <v>43793183.894525304</v>
      </c>
    </row>
    <row r="52" spans="1:19" ht="15.75" customHeight="1" outlineLevel="1">
      <c r="A52" s="1" t="s">
        <v>341</v>
      </c>
      <c r="C52" s="143"/>
      <c r="E52" s="9" t="str">
        <f>_xll.DBRW(Server&amp;"}ElementAttributes_Indicator",A52,"code_English")</f>
        <v>Elec_consu - Electricity consumed (kwh)</v>
      </c>
      <c r="F52" s="113">
        <v>3830638.3899999997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32">
        <f>_xll.DBRW($C$1,$C$2,$C$3,$C$4,$C$6,$C$5,$C$7,S$1,S$2,$A52)</f>
        <v>3830638.3899999997</v>
      </c>
    </row>
    <row r="53" spans="1:19" ht="15.75">
      <c r="A53" s="1" t="s">
        <v>127</v>
      </c>
      <c r="C53" s="143"/>
      <c r="E53" s="15" t="s">
        <v>88</v>
      </c>
      <c r="F53" s="44">
        <f t="shared" ref="F53:R63" si="13">SUM(F52)</f>
        <v>3830638.3899999997</v>
      </c>
      <c r="G53" s="44">
        <f t="shared" si="13"/>
        <v>0</v>
      </c>
      <c r="H53" s="44">
        <f t="shared" si="13"/>
        <v>0</v>
      </c>
      <c r="I53" s="44">
        <f t="shared" si="13"/>
        <v>0</v>
      </c>
      <c r="J53" s="44">
        <f t="shared" si="13"/>
        <v>0</v>
      </c>
      <c r="K53" s="44">
        <f t="shared" si="13"/>
        <v>0</v>
      </c>
      <c r="L53" s="44">
        <f t="shared" si="13"/>
        <v>0</v>
      </c>
      <c r="M53" s="44">
        <f t="shared" si="13"/>
        <v>0</v>
      </c>
      <c r="N53" s="44">
        <f t="shared" si="13"/>
        <v>0</v>
      </c>
      <c r="O53" s="44">
        <f t="shared" si="13"/>
        <v>0</v>
      </c>
      <c r="P53" s="44">
        <f t="shared" si="13"/>
        <v>0</v>
      </c>
      <c r="Q53" s="44">
        <f t="shared" si="13"/>
        <v>0</v>
      </c>
      <c r="R53" s="44">
        <f t="shared" si="13"/>
        <v>0</v>
      </c>
      <c r="S53" s="44">
        <f>SUM(S52)</f>
        <v>3830638.3899999997</v>
      </c>
    </row>
    <row r="54" spans="1:19" ht="15.6" customHeight="1" outlineLevel="1">
      <c r="A54" s="1" t="s">
        <v>354</v>
      </c>
      <c r="C54" s="143"/>
      <c r="E54" s="9" t="str">
        <f>_xll.DBRW(Server&amp;"}ElementAttributes_Indicator",A54,"code_English")</f>
        <v>Tot_nb_bus_coach - Total number of buses/coaches</v>
      </c>
      <c r="F54" s="113">
        <v>0</v>
      </c>
      <c r="G54" s="113">
        <v>0</v>
      </c>
      <c r="H54" s="113">
        <v>0</v>
      </c>
      <c r="I54" s="113">
        <v>0</v>
      </c>
      <c r="J54" s="113">
        <v>0</v>
      </c>
      <c r="K54" s="113">
        <v>0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32">
        <f>_xll.DBRW($C$1,$C$2,$C$3,$C$4,$C$6,$C$5,$C$7,S$1,S$2,$A54)</f>
        <v>0</v>
      </c>
    </row>
    <row r="55" spans="1:19" ht="15.75">
      <c r="A55" s="1" t="s">
        <v>127</v>
      </c>
      <c r="C55" s="143"/>
      <c r="E55" s="15" t="s">
        <v>89</v>
      </c>
      <c r="F55" s="44">
        <f t="shared" si="13"/>
        <v>0</v>
      </c>
      <c r="G55" s="44">
        <f t="shared" si="13"/>
        <v>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>
        <f>SUM(S54)</f>
        <v>0</v>
      </c>
    </row>
    <row r="56" spans="1:19" ht="15.6" customHeight="1" outlineLevel="1">
      <c r="A56" s="1" t="s">
        <v>355</v>
      </c>
      <c r="C56" s="143"/>
      <c r="E56" s="9" t="str">
        <f>_xll.DBRW(Server&amp;"}ElementAttributes_Indicator",A56,"code_English")</f>
        <v>Tot_nb_light_vehicle - Total number of light vehicles</v>
      </c>
      <c r="F56" s="113">
        <v>0</v>
      </c>
      <c r="G56" s="113">
        <v>0</v>
      </c>
      <c r="H56" s="113">
        <v>0</v>
      </c>
      <c r="I56" s="113">
        <v>0</v>
      </c>
      <c r="J56" s="113">
        <v>0</v>
      </c>
      <c r="K56" s="113">
        <v>0</v>
      </c>
      <c r="L56" s="113">
        <v>0</v>
      </c>
      <c r="M56" s="113">
        <v>0</v>
      </c>
      <c r="N56" s="113">
        <v>0</v>
      </c>
      <c r="O56" s="113">
        <v>0</v>
      </c>
      <c r="P56" s="113">
        <v>0</v>
      </c>
      <c r="Q56" s="113">
        <v>0</v>
      </c>
      <c r="R56" s="113">
        <v>0</v>
      </c>
      <c r="S56" s="32">
        <f>_xll.DBRW($C$1,$C$2,$C$3,$C$4,$C$6,$C$5,$C$7,S$1,S$2,$A56)</f>
        <v>0</v>
      </c>
    </row>
    <row r="57" spans="1:19" ht="15.75">
      <c r="A57" s="1" t="s">
        <v>127</v>
      </c>
      <c r="C57" s="143"/>
      <c r="E57" s="15" t="s">
        <v>90</v>
      </c>
      <c r="F57" s="44">
        <f t="shared" si="13"/>
        <v>0</v>
      </c>
      <c r="G57" s="44">
        <f t="shared" si="13"/>
        <v>0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>
        <f>SUM(S56)</f>
        <v>0</v>
      </c>
    </row>
    <row r="58" spans="1:19" ht="15.6" customHeight="1" outlineLevel="1">
      <c r="A58" s="1" t="s">
        <v>356</v>
      </c>
      <c r="C58" s="143"/>
      <c r="E58" s="9" t="str">
        <f>_xll.DBRW(Server&amp;"}ElementAttributes_Indicator",A58,"code_English")</f>
        <v>Tot_nb_LRV - Total number of LRV</v>
      </c>
      <c r="F58" s="113">
        <v>0</v>
      </c>
      <c r="G58" s="113">
        <v>0</v>
      </c>
      <c r="H58" s="113">
        <v>0</v>
      </c>
      <c r="I58" s="113">
        <v>0</v>
      </c>
      <c r="J58" s="113">
        <v>0</v>
      </c>
      <c r="K58" s="113">
        <v>0</v>
      </c>
      <c r="L58" s="113">
        <v>0</v>
      </c>
      <c r="M58" s="113">
        <v>0</v>
      </c>
      <c r="N58" s="113">
        <v>0</v>
      </c>
      <c r="O58" s="113">
        <v>0</v>
      </c>
      <c r="P58" s="113">
        <v>0</v>
      </c>
      <c r="Q58" s="113">
        <v>0</v>
      </c>
      <c r="R58" s="113">
        <v>0</v>
      </c>
      <c r="S58" s="32">
        <f>_xll.DBRW($C$1,$C$2,$C$3,$C$4,$C$6,$C$5,$C$7,S$1,S$2,$A58)</f>
        <v>0</v>
      </c>
    </row>
    <row r="59" spans="1:19" ht="15.75">
      <c r="A59" s="1" t="s">
        <v>127</v>
      </c>
      <c r="C59" s="143"/>
      <c r="E59" s="15" t="s">
        <v>91</v>
      </c>
      <c r="F59" s="44">
        <f t="shared" si="13"/>
        <v>0</v>
      </c>
      <c r="G59" s="44">
        <f t="shared" si="13"/>
        <v>0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>
        <f>SUM(S58)</f>
        <v>0</v>
      </c>
    </row>
    <row r="60" spans="1:19" ht="15.6" customHeight="1" outlineLevel="1">
      <c r="A60" s="1" t="s">
        <v>357</v>
      </c>
      <c r="C60" s="143"/>
      <c r="E60" s="9" t="str">
        <f>_xll.DBRW(Server&amp;"}ElementAttributes_Indicator",A60,"code_English")</f>
        <v>Tot_nb_heavy_rail - Total number of heavy rail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</v>
      </c>
      <c r="L60" s="113">
        <v>0</v>
      </c>
      <c r="M60" s="113">
        <v>0</v>
      </c>
      <c r="N60" s="113">
        <v>0</v>
      </c>
      <c r="O60" s="113">
        <v>0</v>
      </c>
      <c r="P60" s="113">
        <v>0</v>
      </c>
      <c r="Q60" s="113">
        <v>0</v>
      </c>
      <c r="R60" s="113">
        <v>0</v>
      </c>
      <c r="S60" s="32">
        <f>_xll.DBRW($C$1,$C$2,$C$3,$C$4,$C$6,$C$5,$C$7,S$1,S$2,$A60)</f>
        <v>0</v>
      </c>
    </row>
    <row r="61" spans="1:19" ht="15.75">
      <c r="A61" s="1" t="s">
        <v>127</v>
      </c>
      <c r="C61" s="143"/>
      <c r="E61" s="15" t="s">
        <v>92</v>
      </c>
      <c r="F61" s="44">
        <f t="shared" si="13"/>
        <v>0</v>
      </c>
      <c r="G61" s="44">
        <f t="shared" si="13"/>
        <v>0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>
        <f>SUM(S60)</f>
        <v>0</v>
      </c>
    </row>
    <row r="62" spans="1:19" ht="15.6" customHeight="1" outlineLevel="1">
      <c r="A62" s="1" t="s">
        <v>358</v>
      </c>
      <c r="C62" s="143"/>
      <c r="E62" s="9" t="str">
        <f>_xll.DBRW(Server&amp;"}ElementAttributes_Indicator",A62,"code_English")</f>
        <v>Tot_nb_BRT - Total number of BRT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</v>
      </c>
      <c r="O62" s="113">
        <v>0</v>
      </c>
      <c r="P62" s="113">
        <v>0</v>
      </c>
      <c r="Q62" s="113">
        <v>0</v>
      </c>
      <c r="R62" s="113">
        <v>0</v>
      </c>
      <c r="S62" s="32">
        <f>_xll.DBRW($C$1,$C$2,$C$3,$C$4,$C$6,$C$5,$C$7,S$1,S$2,$A62)</f>
        <v>0</v>
      </c>
    </row>
    <row r="63" spans="1:19" ht="15.75">
      <c r="A63" s="1" t="s">
        <v>127</v>
      </c>
      <c r="C63" s="143"/>
      <c r="E63" s="15" t="s">
        <v>93</v>
      </c>
      <c r="F63" s="44">
        <f t="shared" si="13"/>
        <v>0</v>
      </c>
      <c r="G63" s="44">
        <f t="shared" si="13"/>
        <v>0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>
        <f>SUM(S62)</f>
        <v>0</v>
      </c>
    </row>
    <row r="64" spans="1:19" ht="15.75" customHeight="1" outlineLevel="1">
      <c r="A64" s="1" t="s">
        <v>359</v>
      </c>
      <c r="C64" s="143"/>
      <c r="E64" s="9" t="str">
        <f>_xll.DBRW(Server&amp;"}ElementAttributes_Indicator",A64,"code_English")</f>
        <v>Tot_nb_ferries - Total number of ferries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32">
        <f>_xll.DBRW($C$1,$C$2,$C$3,$C$4,$C$6,$C$5,$C$7,S$1,S$2,$A64)</f>
        <v>0</v>
      </c>
    </row>
    <row r="65" spans="1:19" ht="15.75">
      <c r="A65" s="1" t="s">
        <v>127</v>
      </c>
      <c r="C65" s="143"/>
      <c r="E65" s="98" t="s">
        <v>94</v>
      </c>
      <c r="F65" s="99">
        <f t="shared" ref="F65:G65" si="14">SUM(F64)</f>
        <v>0</v>
      </c>
      <c r="G65" s="99">
        <f t="shared" si="14"/>
        <v>0</v>
      </c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>
        <f>SUM(S64)</f>
        <v>0</v>
      </c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0</v>
      </c>
      <c r="S67" s="32">
        <f>_xll.DBRW($C$1,$C$2,$C$3,$C$4,$C$6,$C$5,$C$7,S$1,S$2,$A67)</f>
        <v>0</v>
      </c>
    </row>
    <row r="68" spans="1:19" ht="15.75">
      <c r="A68" s="1" t="s">
        <v>127</v>
      </c>
      <c r="C68" s="143" t="s">
        <v>48</v>
      </c>
      <c r="E68" s="17" t="s">
        <v>95</v>
      </c>
      <c r="F68" s="42">
        <f>SUM(F67)</f>
        <v>0</v>
      </c>
      <c r="G68" s="42">
        <f t="shared" ref="G68" si="15">SUM(G67)</f>
        <v>0</v>
      </c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42">
        <f>SUM(S67)</f>
        <v>0</v>
      </c>
    </row>
    <row r="69" spans="1:19" ht="15.75" customHeight="1" outlineLevel="1">
      <c r="A69" s="1" t="s">
        <v>361</v>
      </c>
      <c r="C69" s="143"/>
      <c r="E69" s="9" t="str">
        <f>_xll.DBRW(Server&amp;"}ElementAttributes_Indicator",A69,"code_English")</f>
        <v>Driver_turnover - Driver turnover in %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32">
        <f>_xll.DBRW($C$1,$C$2,$C$3,$C$4,$C$6,$C$5,$C$7,S$1,S$2,$A69)</f>
        <v>0</v>
      </c>
    </row>
    <row r="70" spans="1:19" ht="15.75">
      <c r="A70" s="1" t="s">
        <v>127</v>
      </c>
      <c r="C70" s="143"/>
      <c r="E70" s="80" t="s">
        <v>366</v>
      </c>
      <c r="F70" s="44">
        <f>SUM(F69)</f>
        <v>0</v>
      </c>
      <c r="G70" s="44">
        <f t="shared" ref="G70" si="16">SUM(G69)</f>
        <v>0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>
        <f>SUM(S69)</f>
        <v>0</v>
      </c>
    </row>
    <row r="71" spans="1:19" ht="15.75" customHeight="1" outlineLevel="1">
      <c r="A71" s="1" t="s">
        <v>362</v>
      </c>
      <c r="C71" s="143"/>
      <c r="E71" s="9" t="str">
        <f>_xll.DBRW(Server&amp;"}ElementAttributes_Indicator",A71,"code_English")</f>
        <v>Nb_Driver_open_positions - Driver open positions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32">
        <f>_xll.DBRW($C$1,$C$2,$C$3,$C$4,$C$6,$C$5,$C$7,S$1,S$2,$A71)</f>
        <v>0</v>
      </c>
    </row>
    <row r="72" spans="1:19" ht="15.75">
      <c r="C72" s="143"/>
      <c r="E72" s="83" t="s">
        <v>96</v>
      </c>
      <c r="F72" s="45">
        <f>SUM(F71)</f>
        <v>0</v>
      </c>
      <c r="G72" s="45">
        <f t="shared" ref="G72" si="17">SUM(G71)</f>
        <v>0</v>
      </c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45">
        <f>SUM(S71)</f>
        <v>0</v>
      </c>
    </row>
    <row r="73" spans="1:19" ht="15.7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sheetProtection algorithmName="SHA-512" hashValue="+bGAQYIXda+MI9Ch1Nb/xJ7JctxhveqlJIB4pB7Mbq1hXWL+i1s91ZZQztccDW45EKMjCRR5gM0YjNP5E8drnA==" saltValue="vvYjlNCzZ7YocVXRhHD6tg==" spinCount="100000" sheet="1" objects="1" scenarios="1" formatColumns="0" formatRows="0"/>
  <protectedRanges>
    <protectedRange sqref="F20:R30 F32:R34 F36:R37 F39:R39 F41:R41 F43:R43 F46:R46 F48:R48 F50:R50 F52:R52 F54:R54 F56:R56 F58:R58 F60:R60 F62:R62 F64:R64 F67:R67 F69:R69 F71:R71" name="Tot_km"/>
  </protectedRanges>
  <mergeCells count="4">
    <mergeCell ref="E17:E18"/>
    <mergeCell ref="E9:S11"/>
    <mergeCell ref="C31:C65"/>
    <mergeCell ref="C68:C72"/>
  </mergeCells>
  <dataValidations count="1">
    <dataValidation allowBlank="1" showInputMessage="1" showErrorMessage="1" error="La valeur entrée n'est pas valide._x000a_Un utilisateur dispose de valeurs restreintes pouvant être entrées dans cette cellule." sqref="E9" xr:uid="{00000000-0002-0000-01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trieveData">
                <anchor moveWithCells="1" sizeWithCells="1">
                  <from>
                    <xdr:col>4</xdr:col>
                    <xdr:colOff>1905000</xdr:colOff>
                    <xdr:row>12</xdr:row>
                    <xdr:rowOff>9525</xdr:rowOff>
                  </from>
                  <to>
                    <xdr:col>4</xdr:col>
                    <xdr:colOff>3228975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nvoi.Envoi">
                <anchor moveWithCells="1" sizeWithCells="1">
                  <from>
                    <xdr:col>4</xdr:col>
                    <xdr:colOff>3581400</xdr:colOff>
                    <xdr:row>11</xdr:row>
                    <xdr:rowOff>161925</xdr:rowOff>
                  </from>
                  <to>
                    <xdr:col>4</xdr:col>
                    <xdr:colOff>4914900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3391AA"/>
    <pageSetUpPr fitToPage="1"/>
  </sheetPr>
  <dimension ref="A1:S73"/>
  <sheetViews>
    <sheetView showGridLines="0" topLeftCell="D1" zoomScale="80" zoomScaleNormal="80" workbookViewId="0">
      <pane xSplit="2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H22" sqref="H22"/>
    </sheetView>
  </sheetViews>
  <sheetFormatPr baseColWidth="10" defaultColWidth="11.42578125" defaultRowHeight="14.25" outlineLevelRow="1" outlineLevelCol="1"/>
  <cols>
    <col min="1" max="1" width="40.5703125" style="1" bestFit="1" customWidth="1"/>
    <col min="2" max="2" width="2.85546875" style="1" customWidth="1"/>
    <col min="3" max="3" width="35.5703125" style="1" bestFit="1" customWidth="1"/>
    <col min="4" max="4" width="1.42578125" style="1" customWidth="1"/>
    <col min="5" max="5" width="140.7109375" style="1" bestFit="1" customWidth="1"/>
    <col min="6" max="17" width="18.7109375" style="2" bestFit="1" customWidth="1" outlineLevel="1"/>
    <col min="18" max="18" width="18.7109375" style="2" bestFit="1" customWidth="1"/>
    <col min="19" max="19" width="20" style="2" bestFit="1" customWidth="1" outlineLevel="1"/>
    <col min="20" max="16384" width="11.42578125" style="1"/>
  </cols>
  <sheetData>
    <row r="1" spans="1:19">
      <c r="A1" s="1" t="s">
        <v>7</v>
      </c>
      <c r="C1" s="1" t="str">
        <f>_xll.VIEW("tango_core_model:RP_PL",$C$2,$C$3,$C$4,$C$6,$C$5,$C$7,"!","!","!")</f>
        <v>tango_core_model:RP_PL</v>
      </c>
      <c r="E1" s="1" t="str">
        <f>_xll.VIEW("tango_core_model:ST_PL_YTD",$C$2,$C$3,$C$4,$C$5,$C$7,"!","!","!")</f>
        <v>tango_core_model:ST_PL_YTD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>
      <c r="A2" s="3" t="s">
        <v>8</v>
      </c>
      <c r="B2" s="3"/>
      <c r="C2" s="1" t="str">
        <f>Input!C2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>
      <c r="A3" s="3" t="s">
        <v>5</v>
      </c>
      <c r="B3" s="3"/>
      <c r="C3" s="1" t="str">
        <f>Context!F36</f>
        <v>LCL</v>
      </c>
    </row>
    <row r="4" spans="1:19">
      <c r="A4" s="3" t="s">
        <v>9</v>
      </c>
      <c r="B4" s="3"/>
      <c r="C4" s="1" t="str">
        <f>Context!F37</f>
        <v>Local_Gaap_Mgmt_tool</v>
      </c>
    </row>
    <row r="5" spans="1:19">
      <c r="A5" s="3" t="s">
        <v>10</v>
      </c>
      <c r="B5" s="3"/>
      <c r="C5" s="1" t="str">
        <f>z_Legal_Entity</f>
        <v>VTD_corp</v>
      </c>
    </row>
    <row r="6" spans="1:19">
      <c r="A6" s="3" t="s">
        <v>11</v>
      </c>
      <c r="B6" s="3"/>
      <c r="C6" s="1" t="str">
        <f>Input!C6</f>
        <v>NO_APP</v>
      </c>
    </row>
    <row r="7" spans="1:19">
      <c r="A7" s="3" t="s">
        <v>12</v>
      </c>
      <c r="B7" s="3"/>
      <c r="C7" s="1" t="str">
        <f>Context!F29</f>
        <v>VTD_corp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8"/>
    </row>
    <row r="8" spans="1:19">
      <c r="A8" s="3"/>
      <c r="B8" s="3"/>
    </row>
    <row r="9" spans="1:19" ht="14.4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</row>
    <row r="10" spans="1:19" ht="14.4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</row>
    <row r="11" spans="1:19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</row>
    <row r="12" spans="1:19">
      <c r="A12" s="3"/>
      <c r="B12" s="3"/>
      <c r="E12" s="112">
        <f ca="1">NOW()</f>
        <v>45532.486404050927</v>
      </c>
    </row>
    <row r="17" spans="1:19" ht="15.75">
      <c r="E17" s="140" t="str">
        <f>C7</f>
        <v>VTD_corp</v>
      </c>
      <c r="F17" s="59" t="str">
        <f t="shared" ref="F17:S17" si="0">IF(F2="ACT","ACTUAL","BUDGET")</f>
        <v>ACTUAL</v>
      </c>
      <c r="G17" s="59" t="str">
        <f t="shared" si="0"/>
        <v>BUDGET</v>
      </c>
      <c r="H17" s="59" t="str">
        <f t="shared" si="0"/>
        <v>BUDGET</v>
      </c>
      <c r="I17" s="59" t="str">
        <f t="shared" si="0"/>
        <v>BUDGET</v>
      </c>
      <c r="J17" s="59" t="str">
        <f t="shared" si="0"/>
        <v>BUDGET</v>
      </c>
      <c r="K17" s="59" t="str">
        <f t="shared" si="0"/>
        <v>BUDGET</v>
      </c>
      <c r="L17" s="59" t="str">
        <f t="shared" si="0"/>
        <v>BUDGET</v>
      </c>
      <c r="M17" s="59" t="str">
        <f t="shared" si="0"/>
        <v>BUDGET</v>
      </c>
      <c r="N17" s="59" t="str">
        <f t="shared" si="0"/>
        <v>BUDGET</v>
      </c>
      <c r="O17" s="59" t="str">
        <f t="shared" si="0"/>
        <v>BUDGET</v>
      </c>
      <c r="P17" s="59" t="str">
        <f t="shared" si="0"/>
        <v>BUDGET</v>
      </c>
      <c r="Q17" s="59" t="str">
        <f t="shared" si="0"/>
        <v>BUDGET</v>
      </c>
      <c r="R17" s="59" t="str">
        <f t="shared" si="0"/>
        <v>BUDGET</v>
      </c>
      <c r="S17" s="59" t="str">
        <f t="shared" si="0"/>
        <v>ACTUAL</v>
      </c>
    </row>
    <row r="18" spans="1:19" ht="15.75">
      <c r="E18" s="141"/>
      <c r="F18" s="60" t="str">
        <f t="shared" ref="F18:S18" si="1">F1</f>
        <v>2023.08_YTD</v>
      </c>
      <c r="G18" s="60" t="str">
        <f t="shared" si="1"/>
        <v>2023.01_YTD</v>
      </c>
      <c r="H18" s="60" t="str">
        <f t="shared" si="1"/>
        <v>2023.02_YTD</v>
      </c>
      <c r="I18" s="60" t="str">
        <f t="shared" si="1"/>
        <v>2023.03_YTD</v>
      </c>
      <c r="J18" s="60" t="str">
        <f t="shared" si="1"/>
        <v>2023.04_YTD</v>
      </c>
      <c r="K18" s="60" t="str">
        <f t="shared" si="1"/>
        <v>2023.05_YTD</v>
      </c>
      <c r="L18" s="60" t="str">
        <f t="shared" si="1"/>
        <v>2023.06_YTD</v>
      </c>
      <c r="M18" s="60" t="str">
        <f t="shared" si="1"/>
        <v>2023.07_YTD</v>
      </c>
      <c r="N18" s="60" t="str">
        <f t="shared" si="1"/>
        <v>2023.08_YTD</v>
      </c>
      <c r="O18" s="60" t="str">
        <f t="shared" si="1"/>
        <v>2023.09_YTD</v>
      </c>
      <c r="P18" s="60" t="str">
        <f t="shared" si="1"/>
        <v>2023.10_YTD</v>
      </c>
      <c r="Q18" s="60" t="str">
        <f t="shared" si="1"/>
        <v>2023.11_YTD</v>
      </c>
      <c r="R18" s="60" t="str">
        <f t="shared" si="1"/>
        <v>2023.12_YTD</v>
      </c>
      <c r="S18" s="60" t="str">
        <f t="shared" si="1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75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f>IF(Flag_Send_Data="Restit",_xll.DBRW($C$1,$C$2,$C$3,$C$4,$C$6,$C$5,$C$7,F$1,F$2,$A20),_xll.DBSS(Input!F20,Input_DBS!$E$1,Input!$C$2,Input!$C$3,Input!$C$4,Input!$C$5,Input!$C$7,F$1,F$2,Input!$A20))</f>
        <v>48278918.465899594</v>
      </c>
      <c r="G20" s="113">
        <f>IF(Flag_Send_Data="Restit",_xll.DBRW($C$1,$C$2,$C$3,$C$4,$C$6,$C$5,$C$7,G$1,G$2,$A20),_xll.DBSS(Input!G20,Input_DBS!$E$1,Input!$C$2,Input!$C$3,Input!$C$4,Input!$C$5,Input!$C$7,G$1,G$2,Input!$A20))</f>
        <v>10</v>
      </c>
      <c r="H20" s="113">
        <f>IF(Flag_Send_Data="Restit",_xll.DBRW($C$1,$C$2,$C$3,$C$4,$C$6,$C$5,$C$7,H$1,H$2,$A20),_xll.DBSS(Input!H20,Input_DBS!$E$1,Input!$C$2,Input!$C$3,Input!$C$4,Input!$C$5,Input!$C$7,H$1,H$2,Input!$A20))</f>
        <v>11</v>
      </c>
      <c r="I20" s="113">
        <f>IF(Flag_Send_Data="Restit",_xll.DBRW($C$1,$C$2,$C$3,$C$4,$C$6,$C$5,$C$7,I$1,I$2,$A20),_xll.DBSS(Input!I20,Input_DBS!$E$1,Input!$C$2,Input!$C$3,Input!$C$4,Input!$C$5,Input!$C$7,I$1,I$2,Input!$A20))</f>
        <v>11</v>
      </c>
      <c r="J20" s="113">
        <f>IF(Flag_Send_Data="Restit",_xll.DBRW($C$1,$C$2,$C$3,$C$4,$C$6,$C$5,$C$7,J$1,J$2,$A20),_xll.DBSS(Input!J20,Input_DBS!$E$1,Input!$C$2,Input!$C$3,Input!$C$4,Input!$C$5,Input!$C$7,J$1,J$2,Input!$A20))</f>
        <v>11</v>
      </c>
      <c r="K20" s="113">
        <f>IF(Flag_Send_Data="Restit",_xll.DBRW($C$1,$C$2,$C$3,$C$4,$C$6,$C$5,$C$7,K$1,K$2,$A20),_xll.DBSS(Input!K20,Input_DBS!$E$1,Input!$C$2,Input!$C$3,Input!$C$4,Input!$C$5,Input!$C$7,K$1,K$2,Input!$A20))</f>
        <v>11</v>
      </c>
      <c r="L20" s="113">
        <f>IF(Flag_Send_Data="Restit",_xll.DBRW($C$1,$C$2,$C$3,$C$4,$C$6,$C$5,$C$7,L$1,L$2,$A20),_xll.DBSS(Input!L20,Input_DBS!$E$1,Input!$C$2,Input!$C$3,Input!$C$4,Input!$C$5,Input!$C$7,L$1,L$2,Input!$A20))</f>
        <v>11</v>
      </c>
      <c r="M20" s="113">
        <f>IF(Flag_Send_Data="Restit",_xll.DBRW($C$1,$C$2,$C$3,$C$4,$C$6,$C$5,$C$7,M$1,M$2,$A20),_xll.DBSS(Input!M20,Input_DBS!$E$1,Input!$C$2,Input!$C$3,Input!$C$4,Input!$C$5,Input!$C$7,M$1,M$2,Input!$A20))</f>
        <v>11</v>
      </c>
      <c r="N20" s="113">
        <f>IF(Flag_Send_Data="Restit",_xll.DBRW($C$1,$C$2,$C$3,$C$4,$C$6,$C$5,$C$7,N$1,N$2,$A20),_xll.DBSS(Input!N20,Input_DBS!$E$1,Input!$C$2,Input!$C$3,Input!$C$4,Input!$C$5,Input!$C$7,N$1,N$2,Input!$A20))</f>
        <v>11</v>
      </c>
      <c r="O20" s="113">
        <f>IF(Flag_Send_Data="Restit",_xll.DBRW($C$1,$C$2,$C$3,$C$4,$C$6,$C$5,$C$7,O$1,O$2,$A20),_xll.DBSS(Input!O20,Input_DBS!$E$1,Input!$C$2,Input!$C$3,Input!$C$4,Input!$C$5,Input!$C$7,O$1,O$2,Input!$A20))</f>
        <v>11</v>
      </c>
      <c r="P20" s="113">
        <f>IF(Flag_Send_Data="Restit",_xll.DBRW($C$1,$C$2,$C$3,$C$4,$C$6,$C$5,$C$7,P$1,P$2,$A20),_xll.DBSS(Input!P20,Input_DBS!$E$1,Input!$C$2,Input!$C$3,Input!$C$4,Input!$C$5,Input!$C$7,P$1,P$2,Input!$A20))</f>
        <v>11</v>
      </c>
      <c r="Q20" s="113">
        <f>IF(Flag_Send_Data="Restit",_xll.DBRW($C$1,$C$2,$C$3,$C$4,$C$6,$C$5,$C$7,Q$1,Q$2,$A20),_xll.DBSS(Input!Q20,Input_DBS!$E$1,Input!$C$2,Input!$C$3,Input!$C$4,Input!$C$5,Input!$C$7,Q$1,Q$2,Input!$A20))</f>
        <v>11</v>
      </c>
      <c r="R20" s="113">
        <f>IF(Flag_Send_Data="Restit",_xll.DBRW($C$1,$C$2,$C$3,$C$4,$C$6,$C$5,$C$7,R$1,R$2,$A20),_xll.DBSS(Input!R20,Input_DBS!$E$1,Input!$C$2,Input!$C$3,Input!$C$4,Input!$C$5,Input!$C$7,R$1,R$2,Input!$A20))</f>
        <v>11</v>
      </c>
      <c r="S20" s="113"/>
    </row>
    <row r="21" spans="1:19" ht="15.75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f>IF(Flag_Send_Data="Restit",_xll.DBRW($C$1,$C$2,$C$3,$C$4,$C$6,$C$5,$C$7,F$1,F$2,$A21),_xll.DBSS(Input!F21,Input_DBS!$E$1,Input!$C$2,Input!$C$3,Input!$C$4,Input!$C$5,Input!$C$7,F$1,F$2,Input!$A21))</f>
        <v>0</v>
      </c>
      <c r="G21" s="113">
        <f>IF(Flag_Send_Data="Restit",_xll.DBRW($C$1,$C$2,$C$3,$C$4,$C$6,$C$5,$C$7,G$1,G$2,$A21),_xll.DBSS(Input!G21,Input_DBS!$E$1,Input!$C$2,Input!$C$3,Input!$C$4,Input!$C$5,Input!$C$7,G$1,G$2,Input!$A21))</f>
        <v>0</v>
      </c>
      <c r="H21" s="113">
        <f>IF(Flag_Send_Data="Restit",_xll.DBRW($C$1,$C$2,$C$3,$C$4,$C$6,$C$5,$C$7,H$1,H$2,$A21),_xll.DBSS(Input!H21,Input_DBS!$E$1,Input!$C$2,Input!$C$3,Input!$C$4,Input!$C$5,Input!$C$7,H$1,H$2,Input!$A21))</f>
        <v>0</v>
      </c>
      <c r="I21" s="113">
        <f>IF(Flag_Send_Data="Restit",_xll.DBRW($C$1,$C$2,$C$3,$C$4,$C$6,$C$5,$C$7,I$1,I$2,$A21),_xll.DBSS(Input!I21,Input_DBS!$E$1,Input!$C$2,Input!$C$3,Input!$C$4,Input!$C$5,Input!$C$7,I$1,I$2,Input!$A21))</f>
        <v>0</v>
      </c>
      <c r="J21" s="113">
        <f>IF(Flag_Send_Data="Restit",_xll.DBRW($C$1,$C$2,$C$3,$C$4,$C$6,$C$5,$C$7,J$1,J$2,$A21),_xll.DBSS(Input!J21,Input_DBS!$E$1,Input!$C$2,Input!$C$3,Input!$C$4,Input!$C$5,Input!$C$7,J$1,J$2,Input!$A21))</f>
        <v>0</v>
      </c>
      <c r="K21" s="113">
        <f>IF(Flag_Send_Data="Restit",_xll.DBRW($C$1,$C$2,$C$3,$C$4,$C$6,$C$5,$C$7,K$1,K$2,$A21),_xll.DBSS(Input!K21,Input_DBS!$E$1,Input!$C$2,Input!$C$3,Input!$C$4,Input!$C$5,Input!$C$7,K$1,K$2,Input!$A21))</f>
        <v>0</v>
      </c>
      <c r="L21" s="113">
        <f>IF(Flag_Send_Data="Restit",_xll.DBRW($C$1,$C$2,$C$3,$C$4,$C$6,$C$5,$C$7,L$1,L$2,$A21),_xll.DBSS(Input!L21,Input_DBS!$E$1,Input!$C$2,Input!$C$3,Input!$C$4,Input!$C$5,Input!$C$7,L$1,L$2,Input!$A21))</f>
        <v>0</v>
      </c>
      <c r="M21" s="113">
        <f>IF(Flag_Send_Data="Restit",_xll.DBRW($C$1,$C$2,$C$3,$C$4,$C$6,$C$5,$C$7,M$1,M$2,$A21),_xll.DBSS(Input!M21,Input_DBS!$E$1,Input!$C$2,Input!$C$3,Input!$C$4,Input!$C$5,Input!$C$7,M$1,M$2,Input!$A21))</f>
        <v>0</v>
      </c>
      <c r="N21" s="113">
        <f>IF(Flag_Send_Data="Restit",_xll.DBRW($C$1,$C$2,$C$3,$C$4,$C$6,$C$5,$C$7,N$1,N$2,$A21),_xll.DBSS(Input!N21,Input_DBS!$E$1,Input!$C$2,Input!$C$3,Input!$C$4,Input!$C$5,Input!$C$7,N$1,N$2,Input!$A21))</f>
        <v>0</v>
      </c>
      <c r="O21" s="113">
        <f>IF(Flag_Send_Data="Restit",_xll.DBRW($C$1,$C$2,$C$3,$C$4,$C$6,$C$5,$C$7,O$1,O$2,$A21),_xll.DBSS(Input!O21,Input_DBS!$E$1,Input!$C$2,Input!$C$3,Input!$C$4,Input!$C$5,Input!$C$7,O$1,O$2,Input!$A21))</f>
        <v>0</v>
      </c>
      <c r="P21" s="113">
        <f>IF(Flag_Send_Data="Restit",_xll.DBRW($C$1,$C$2,$C$3,$C$4,$C$6,$C$5,$C$7,P$1,P$2,$A21),_xll.DBSS(Input!P21,Input_DBS!$E$1,Input!$C$2,Input!$C$3,Input!$C$4,Input!$C$5,Input!$C$7,P$1,P$2,Input!$A21))</f>
        <v>0</v>
      </c>
      <c r="Q21" s="113">
        <f>IF(Flag_Send_Data="Restit",_xll.DBRW($C$1,$C$2,$C$3,$C$4,$C$6,$C$5,$C$7,Q$1,Q$2,$A21),_xll.DBSS(Input!Q21,Input_DBS!$E$1,Input!$C$2,Input!$C$3,Input!$C$4,Input!$C$5,Input!$C$7,Q$1,Q$2,Input!$A21))</f>
        <v>0</v>
      </c>
      <c r="R21" s="113">
        <f>IF(Flag_Send_Data="Restit",_xll.DBRW($C$1,$C$2,$C$3,$C$4,$C$6,$C$5,$C$7,R$1,R$2,$A21),_xll.DBSS(Input!R21,Input_DBS!$E$1,Input!$C$2,Input!$C$3,Input!$C$4,Input!$C$5,Input!$C$7,R$1,R$2,Input!$A21))</f>
        <v>0</v>
      </c>
      <c r="S21" s="113"/>
    </row>
    <row r="22" spans="1:19" ht="15.75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f>IF(Flag_Send_Data="Restit",_xll.DBRW($C$1,$C$2,$C$3,$C$4,$C$6,$C$5,$C$7,F$1,F$2,$A22),_xll.DBSS(Input!F22,Input_DBS!$E$1,Input!$C$2,Input!$C$3,Input!$C$4,Input!$C$5,Input!$C$7,F$1,F$2,Input!$A22))</f>
        <v>0</v>
      </c>
      <c r="G22" s="113">
        <f>IF(Flag_Send_Data="Restit",_xll.DBRW($C$1,$C$2,$C$3,$C$4,$C$6,$C$5,$C$7,G$1,G$2,$A22),_xll.DBSS(Input!G22,Input_DBS!$E$1,Input!$C$2,Input!$C$3,Input!$C$4,Input!$C$5,Input!$C$7,G$1,G$2,Input!$A22))</f>
        <v>0</v>
      </c>
      <c r="H22" s="113">
        <f>IF(Flag_Send_Data="Restit",_xll.DBRW($C$1,$C$2,$C$3,$C$4,$C$6,$C$5,$C$7,H$1,H$2,$A22),_xll.DBSS(Input!H22,Input_DBS!$E$1,Input!$C$2,Input!$C$3,Input!$C$4,Input!$C$5,Input!$C$7,H$1,H$2,Input!$A22))</f>
        <v>0</v>
      </c>
      <c r="I22" s="113">
        <f>IF(Flag_Send_Data="Restit",_xll.DBRW($C$1,$C$2,$C$3,$C$4,$C$6,$C$5,$C$7,I$1,I$2,$A22),_xll.DBSS(Input!I22,Input_DBS!$E$1,Input!$C$2,Input!$C$3,Input!$C$4,Input!$C$5,Input!$C$7,I$1,I$2,Input!$A22))</f>
        <v>0</v>
      </c>
      <c r="J22" s="113">
        <f>IF(Flag_Send_Data="Restit",_xll.DBRW($C$1,$C$2,$C$3,$C$4,$C$6,$C$5,$C$7,J$1,J$2,$A22),_xll.DBSS(Input!J22,Input_DBS!$E$1,Input!$C$2,Input!$C$3,Input!$C$4,Input!$C$5,Input!$C$7,J$1,J$2,Input!$A22))</f>
        <v>0</v>
      </c>
      <c r="K22" s="113">
        <f>IF(Flag_Send_Data="Restit",_xll.DBRW($C$1,$C$2,$C$3,$C$4,$C$6,$C$5,$C$7,K$1,K$2,$A22),_xll.DBSS(Input!K22,Input_DBS!$E$1,Input!$C$2,Input!$C$3,Input!$C$4,Input!$C$5,Input!$C$7,K$1,K$2,Input!$A22))</f>
        <v>0</v>
      </c>
      <c r="L22" s="113">
        <f>IF(Flag_Send_Data="Restit",_xll.DBRW($C$1,$C$2,$C$3,$C$4,$C$6,$C$5,$C$7,L$1,L$2,$A22),_xll.DBSS(Input!L22,Input_DBS!$E$1,Input!$C$2,Input!$C$3,Input!$C$4,Input!$C$5,Input!$C$7,L$1,L$2,Input!$A22))</f>
        <v>0</v>
      </c>
      <c r="M22" s="113">
        <f>IF(Flag_Send_Data="Restit",_xll.DBRW($C$1,$C$2,$C$3,$C$4,$C$6,$C$5,$C$7,M$1,M$2,$A22),_xll.DBSS(Input!M22,Input_DBS!$E$1,Input!$C$2,Input!$C$3,Input!$C$4,Input!$C$5,Input!$C$7,M$1,M$2,Input!$A22))</f>
        <v>0</v>
      </c>
      <c r="N22" s="113">
        <f>IF(Flag_Send_Data="Restit",_xll.DBRW($C$1,$C$2,$C$3,$C$4,$C$6,$C$5,$C$7,N$1,N$2,$A22),_xll.DBSS(Input!N22,Input_DBS!$E$1,Input!$C$2,Input!$C$3,Input!$C$4,Input!$C$5,Input!$C$7,N$1,N$2,Input!$A22))</f>
        <v>0</v>
      </c>
      <c r="O22" s="113">
        <f>IF(Flag_Send_Data="Restit",_xll.DBRW($C$1,$C$2,$C$3,$C$4,$C$6,$C$5,$C$7,O$1,O$2,$A22),_xll.DBSS(Input!O22,Input_DBS!$E$1,Input!$C$2,Input!$C$3,Input!$C$4,Input!$C$5,Input!$C$7,O$1,O$2,Input!$A22))</f>
        <v>0</v>
      </c>
      <c r="P22" s="113">
        <f>IF(Flag_Send_Data="Restit",_xll.DBRW($C$1,$C$2,$C$3,$C$4,$C$6,$C$5,$C$7,P$1,P$2,$A22),_xll.DBSS(Input!P22,Input_DBS!$E$1,Input!$C$2,Input!$C$3,Input!$C$4,Input!$C$5,Input!$C$7,P$1,P$2,Input!$A22))</f>
        <v>0</v>
      </c>
      <c r="Q22" s="113">
        <f>IF(Flag_Send_Data="Restit",_xll.DBRW($C$1,$C$2,$C$3,$C$4,$C$6,$C$5,$C$7,Q$1,Q$2,$A22),_xll.DBSS(Input!Q22,Input_DBS!$E$1,Input!$C$2,Input!$C$3,Input!$C$4,Input!$C$5,Input!$C$7,Q$1,Q$2,Input!$A22))</f>
        <v>0</v>
      </c>
      <c r="R22" s="113">
        <f>IF(Flag_Send_Data="Restit",_xll.DBRW($C$1,$C$2,$C$3,$C$4,$C$6,$C$5,$C$7,R$1,R$2,$A22),_xll.DBSS(Input!R22,Input_DBS!$E$1,Input!$C$2,Input!$C$3,Input!$C$4,Input!$C$5,Input!$C$7,R$1,R$2,Input!$A22))</f>
        <v>0</v>
      </c>
      <c r="S22" s="113"/>
    </row>
    <row r="23" spans="1:19" ht="15.75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f>IF(Flag_Send_Data="Restit",_xll.DBRW($C$1,$C$2,$C$3,$C$4,$C$6,$C$5,$C$7,F$1,F$2,$A23),_xll.DBSS(Input!F23,Input_DBS!$E$1,Input!$C$2,Input!$C$3,Input!$C$4,Input!$C$5,Input!$C$7,F$1,F$2,Input!$A23))</f>
        <v>0</v>
      </c>
      <c r="G23" s="113">
        <f>IF(Flag_Send_Data="Restit",_xll.DBRW($C$1,$C$2,$C$3,$C$4,$C$6,$C$5,$C$7,G$1,G$2,$A23),_xll.DBSS(Input!G23,Input_DBS!$E$1,Input!$C$2,Input!$C$3,Input!$C$4,Input!$C$5,Input!$C$7,G$1,G$2,Input!$A23))</f>
        <v>2.5</v>
      </c>
      <c r="H23" s="113">
        <f>IF(Flag_Send_Data="Restit",_xll.DBRW($C$1,$C$2,$C$3,$C$4,$C$6,$C$5,$C$7,H$1,H$2,$A23),_xll.DBSS(Input!H23,Input_DBS!$E$1,Input!$C$2,Input!$C$3,Input!$C$4,Input!$C$5,Input!$C$7,H$1,H$2,Input!$A23))</f>
        <v>5</v>
      </c>
      <c r="I23" s="113">
        <f>IF(Flag_Send_Data="Restit",_xll.DBRW($C$1,$C$2,$C$3,$C$4,$C$6,$C$5,$C$7,I$1,I$2,$A23),_xll.DBSS(Input!I23,Input_DBS!$E$1,Input!$C$2,Input!$C$3,Input!$C$4,Input!$C$5,Input!$C$7,I$1,I$2,Input!$A23))</f>
        <v>5</v>
      </c>
      <c r="J23" s="113">
        <f>IF(Flag_Send_Data="Restit",_xll.DBRW($C$1,$C$2,$C$3,$C$4,$C$6,$C$5,$C$7,J$1,J$2,$A23),_xll.DBSS(Input!J23,Input_DBS!$E$1,Input!$C$2,Input!$C$3,Input!$C$4,Input!$C$5,Input!$C$7,J$1,J$2,Input!$A23))</f>
        <v>5</v>
      </c>
      <c r="K23" s="113">
        <f>IF(Flag_Send_Data="Restit",_xll.DBRW($C$1,$C$2,$C$3,$C$4,$C$6,$C$5,$C$7,K$1,K$2,$A23),_xll.DBSS(Input!K23,Input_DBS!$E$1,Input!$C$2,Input!$C$3,Input!$C$4,Input!$C$5,Input!$C$7,K$1,K$2,Input!$A23))</f>
        <v>5</v>
      </c>
      <c r="L23" s="113">
        <f>IF(Flag_Send_Data="Restit",_xll.DBRW($C$1,$C$2,$C$3,$C$4,$C$6,$C$5,$C$7,L$1,L$2,$A23),_xll.DBSS(Input!L23,Input_DBS!$E$1,Input!$C$2,Input!$C$3,Input!$C$4,Input!$C$5,Input!$C$7,L$1,L$2,Input!$A23))</f>
        <v>5</v>
      </c>
      <c r="M23" s="113">
        <f>IF(Flag_Send_Data="Restit",_xll.DBRW($C$1,$C$2,$C$3,$C$4,$C$6,$C$5,$C$7,M$1,M$2,$A23),_xll.DBSS(Input!M23,Input_DBS!$E$1,Input!$C$2,Input!$C$3,Input!$C$4,Input!$C$5,Input!$C$7,M$1,M$2,Input!$A23))</f>
        <v>5</v>
      </c>
      <c r="N23" s="113">
        <f>IF(Flag_Send_Data="Restit",_xll.DBRW($C$1,$C$2,$C$3,$C$4,$C$6,$C$5,$C$7,N$1,N$2,$A23),_xll.DBSS(Input!N23,Input_DBS!$E$1,Input!$C$2,Input!$C$3,Input!$C$4,Input!$C$5,Input!$C$7,N$1,N$2,Input!$A23))</f>
        <v>5</v>
      </c>
      <c r="O23" s="113">
        <f>IF(Flag_Send_Data="Restit",_xll.DBRW($C$1,$C$2,$C$3,$C$4,$C$6,$C$5,$C$7,O$1,O$2,$A23),_xll.DBSS(Input!O23,Input_DBS!$E$1,Input!$C$2,Input!$C$3,Input!$C$4,Input!$C$5,Input!$C$7,O$1,O$2,Input!$A23))</f>
        <v>5</v>
      </c>
      <c r="P23" s="113">
        <f>IF(Flag_Send_Data="Restit",_xll.DBRW($C$1,$C$2,$C$3,$C$4,$C$6,$C$5,$C$7,P$1,P$2,$A23),_xll.DBSS(Input!P23,Input_DBS!$E$1,Input!$C$2,Input!$C$3,Input!$C$4,Input!$C$5,Input!$C$7,P$1,P$2,Input!$A23))</f>
        <v>5</v>
      </c>
      <c r="Q23" s="113">
        <f>IF(Flag_Send_Data="Restit",_xll.DBRW($C$1,$C$2,$C$3,$C$4,$C$6,$C$5,$C$7,Q$1,Q$2,$A23),_xll.DBSS(Input!Q23,Input_DBS!$E$1,Input!$C$2,Input!$C$3,Input!$C$4,Input!$C$5,Input!$C$7,Q$1,Q$2,Input!$A23))</f>
        <v>5</v>
      </c>
      <c r="R23" s="113">
        <f>IF(Flag_Send_Data="Restit",_xll.DBRW($C$1,$C$2,$C$3,$C$4,$C$6,$C$5,$C$7,R$1,R$2,$A23),_xll.DBSS(Input!R23,Input_DBS!$E$1,Input!$C$2,Input!$C$3,Input!$C$4,Input!$C$5,Input!$C$7,R$1,R$2,Input!$A23))</f>
        <v>5</v>
      </c>
      <c r="S23" s="113"/>
    </row>
    <row r="24" spans="1:19" ht="15.75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f>IF(Flag_Send_Data="Restit",_xll.DBRW($C$1,$C$2,$C$3,$C$4,$C$6,$C$5,$C$7,F$1,F$2,$A24),_xll.DBSS(Input!F24,Input_DBS!$E$1,Input!$C$2,Input!$C$3,Input!$C$4,Input!$C$5,Input!$C$7,F$1,F$2,Input!$A24))</f>
        <v>0</v>
      </c>
      <c r="G24" s="113">
        <f>IF(Flag_Send_Data="Restit",_xll.DBRW($C$1,$C$2,$C$3,$C$4,$C$6,$C$5,$C$7,G$1,G$2,$A24),_xll.DBSS(Input!G24,Input_DBS!$E$1,Input!$C$2,Input!$C$3,Input!$C$4,Input!$C$5,Input!$C$7,G$1,G$2,Input!$A24))</f>
        <v>0</v>
      </c>
      <c r="H24" s="113">
        <f>IF(Flag_Send_Data="Restit",_xll.DBRW($C$1,$C$2,$C$3,$C$4,$C$6,$C$5,$C$7,H$1,H$2,$A24),_xll.DBSS(Input!H24,Input_DBS!$E$1,Input!$C$2,Input!$C$3,Input!$C$4,Input!$C$5,Input!$C$7,H$1,H$2,Input!$A24))</f>
        <v>0</v>
      </c>
      <c r="I24" s="113">
        <f>IF(Flag_Send_Data="Restit",_xll.DBRW($C$1,$C$2,$C$3,$C$4,$C$6,$C$5,$C$7,I$1,I$2,$A24),_xll.DBSS(Input!I24,Input_DBS!$E$1,Input!$C$2,Input!$C$3,Input!$C$4,Input!$C$5,Input!$C$7,I$1,I$2,Input!$A24))</f>
        <v>0</v>
      </c>
      <c r="J24" s="113">
        <f>IF(Flag_Send_Data="Restit",_xll.DBRW($C$1,$C$2,$C$3,$C$4,$C$6,$C$5,$C$7,J$1,J$2,$A24),_xll.DBSS(Input!J24,Input_DBS!$E$1,Input!$C$2,Input!$C$3,Input!$C$4,Input!$C$5,Input!$C$7,J$1,J$2,Input!$A24))</f>
        <v>0</v>
      </c>
      <c r="K24" s="113">
        <f>IF(Flag_Send_Data="Restit",_xll.DBRW($C$1,$C$2,$C$3,$C$4,$C$6,$C$5,$C$7,K$1,K$2,$A24),_xll.DBSS(Input!K24,Input_DBS!$E$1,Input!$C$2,Input!$C$3,Input!$C$4,Input!$C$5,Input!$C$7,K$1,K$2,Input!$A24))</f>
        <v>0</v>
      </c>
      <c r="L24" s="113">
        <f>IF(Flag_Send_Data="Restit",_xll.DBRW($C$1,$C$2,$C$3,$C$4,$C$6,$C$5,$C$7,L$1,L$2,$A24),_xll.DBSS(Input!L24,Input_DBS!$E$1,Input!$C$2,Input!$C$3,Input!$C$4,Input!$C$5,Input!$C$7,L$1,L$2,Input!$A24))</f>
        <v>0</v>
      </c>
      <c r="M24" s="113">
        <f>IF(Flag_Send_Data="Restit",_xll.DBRW($C$1,$C$2,$C$3,$C$4,$C$6,$C$5,$C$7,M$1,M$2,$A24),_xll.DBSS(Input!M24,Input_DBS!$E$1,Input!$C$2,Input!$C$3,Input!$C$4,Input!$C$5,Input!$C$7,M$1,M$2,Input!$A24))</f>
        <v>0</v>
      </c>
      <c r="N24" s="113">
        <f>IF(Flag_Send_Data="Restit",_xll.DBRW($C$1,$C$2,$C$3,$C$4,$C$6,$C$5,$C$7,N$1,N$2,$A24),_xll.DBSS(Input!N24,Input_DBS!$E$1,Input!$C$2,Input!$C$3,Input!$C$4,Input!$C$5,Input!$C$7,N$1,N$2,Input!$A24))</f>
        <v>0</v>
      </c>
      <c r="O24" s="113">
        <f>IF(Flag_Send_Data="Restit",_xll.DBRW($C$1,$C$2,$C$3,$C$4,$C$6,$C$5,$C$7,O$1,O$2,$A24),_xll.DBSS(Input!O24,Input_DBS!$E$1,Input!$C$2,Input!$C$3,Input!$C$4,Input!$C$5,Input!$C$7,O$1,O$2,Input!$A24))</f>
        <v>0</v>
      </c>
      <c r="P24" s="113">
        <f>IF(Flag_Send_Data="Restit",_xll.DBRW($C$1,$C$2,$C$3,$C$4,$C$6,$C$5,$C$7,P$1,P$2,$A24),_xll.DBSS(Input!P24,Input_DBS!$E$1,Input!$C$2,Input!$C$3,Input!$C$4,Input!$C$5,Input!$C$7,P$1,P$2,Input!$A24))</f>
        <v>0</v>
      </c>
      <c r="Q24" s="113">
        <f>IF(Flag_Send_Data="Restit",_xll.DBRW($C$1,$C$2,$C$3,$C$4,$C$6,$C$5,$C$7,Q$1,Q$2,$A24),_xll.DBSS(Input!Q24,Input_DBS!$E$1,Input!$C$2,Input!$C$3,Input!$C$4,Input!$C$5,Input!$C$7,Q$1,Q$2,Input!$A24))</f>
        <v>0</v>
      </c>
      <c r="R24" s="113">
        <f>IF(Flag_Send_Data="Restit",_xll.DBRW($C$1,$C$2,$C$3,$C$4,$C$6,$C$5,$C$7,R$1,R$2,$A24),_xll.DBSS(Input!R24,Input_DBS!$E$1,Input!$C$2,Input!$C$3,Input!$C$4,Input!$C$5,Input!$C$7,R$1,R$2,Input!$A24))</f>
        <v>0</v>
      </c>
      <c r="S24" s="113"/>
    </row>
    <row r="25" spans="1:19" ht="15.75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f>IF(Flag_Send_Data="Restit",_xll.DBRW($C$1,$C$2,$C$3,$C$4,$C$6,$C$5,$C$7,F$1,F$2,$A25),_xll.DBSS(Input!F25,Input_DBS!$E$1,Input!$C$2,Input!$C$3,Input!$C$4,Input!$C$5,Input!$C$7,F$1,F$2,Input!$A25))</f>
        <v>0</v>
      </c>
      <c r="G25" s="113">
        <f>IF(Flag_Send_Data="Restit",_xll.DBRW($C$1,$C$2,$C$3,$C$4,$C$6,$C$5,$C$7,G$1,G$2,$A25),_xll.DBSS(Input!G25,Input_DBS!$E$1,Input!$C$2,Input!$C$3,Input!$C$4,Input!$C$5,Input!$C$7,G$1,G$2,Input!$A25))</f>
        <v>0</v>
      </c>
      <c r="H25" s="113">
        <f>IF(Flag_Send_Data="Restit",_xll.DBRW($C$1,$C$2,$C$3,$C$4,$C$6,$C$5,$C$7,H$1,H$2,$A25),_xll.DBSS(Input!H25,Input_DBS!$E$1,Input!$C$2,Input!$C$3,Input!$C$4,Input!$C$5,Input!$C$7,H$1,H$2,Input!$A25))</f>
        <v>0</v>
      </c>
      <c r="I25" s="113">
        <f>IF(Flag_Send_Data="Restit",_xll.DBRW($C$1,$C$2,$C$3,$C$4,$C$6,$C$5,$C$7,I$1,I$2,$A25),_xll.DBSS(Input!I25,Input_DBS!$E$1,Input!$C$2,Input!$C$3,Input!$C$4,Input!$C$5,Input!$C$7,I$1,I$2,Input!$A25))</f>
        <v>0</v>
      </c>
      <c r="J25" s="113">
        <f>IF(Flag_Send_Data="Restit",_xll.DBRW($C$1,$C$2,$C$3,$C$4,$C$6,$C$5,$C$7,J$1,J$2,$A25),_xll.DBSS(Input!J25,Input_DBS!$E$1,Input!$C$2,Input!$C$3,Input!$C$4,Input!$C$5,Input!$C$7,J$1,J$2,Input!$A25))</f>
        <v>0</v>
      </c>
      <c r="K25" s="113">
        <f>IF(Flag_Send_Data="Restit",_xll.DBRW($C$1,$C$2,$C$3,$C$4,$C$6,$C$5,$C$7,K$1,K$2,$A25),_xll.DBSS(Input!K25,Input_DBS!$E$1,Input!$C$2,Input!$C$3,Input!$C$4,Input!$C$5,Input!$C$7,K$1,K$2,Input!$A25))</f>
        <v>0</v>
      </c>
      <c r="L25" s="113">
        <f>IF(Flag_Send_Data="Restit",_xll.DBRW($C$1,$C$2,$C$3,$C$4,$C$6,$C$5,$C$7,L$1,L$2,$A25),_xll.DBSS(Input!L25,Input_DBS!$E$1,Input!$C$2,Input!$C$3,Input!$C$4,Input!$C$5,Input!$C$7,L$1,L$2,Input!$A25))</f>
        <v>0</v>
      </c>
      <c r="M25" s="113">
        <f>IF(Flag_Send_Data="Restit",_xll.DBRW($C$1,$C$2,$C$3,$C$4,$C$6,$C$5,$C$7,M$1,M$2,$A25),_xll.DBSS(Input!M25,Input_DBS!$E$1,Input!$C$2,Input!$C$3,Input!$C$4,Input!$C$5,Input!$C$7,M$1,M$2,Input!$A25))</f>
        <v>0</v>
      </c>
      <c r="N25" s="113">
        <f>IF(Flag_Send_Data="Restit",_xll.DBRW($C$1,$C$2,$C$3,$C$4,$C$6,$C$5,$C$7,N$1,N$2,$A25),_xll.DBSS(Input!N25,Input_DBS!$E$1,Input!$C$2,Input!$C$3,Input!$C$4,Input!$C$5,Input!$C$7,N$1,N$2,Input!$A25))</f>
        <v>0</v>
      </c>
      <c r="O25" s="113">
        <f>IF(Flag_Send_Data="Restit",_xll.DBRW($C$1,$C$2,$C$3,$C$4,$C$6,$C$5,$C$7,O$1,O$2,$A25),_xll.DBSS(Input!O25,Input_DBS!$E$1,Input!$C$2,Input!$C$3,Input!$C$4,Input!$C$5,Input!$C$7,O$1,O$2,Input!$A25))</f>
        <v>0</v>
      </c>
      <c r="P25" s="113">
        <f>IF(Flag_Send_Data="Restit",_xll.DBRW($C$1,$C$2,$C$3,$C$4,$C$6,$C$5,$C$7,P$1,P$2,$A25),_xll.DBSS(Input!P25,Input_DBS!$E$1,Input!$C$2,Input!$C$3,Input!$C$4,Input!$C$5,Input!$C$7,P$1,P$2,Input!$A25))</f>
        <v>0</v>
      </c>
      <c r="Q25" s="113">
        <f>IF(Flag_Send_Data="Restit",_xll.DBRW($C$1,$C$2,$C$3,$C$4,$C$6,$C$5,$C$7,Q$1,Q$2,$A25),_xll.DBSS(Input!Q25,Input_DBS!$E$1,Input!$C$2,Input!$C$3,Input!$C$4,Input!$C$5,Input!$C$7,Q$1,Q$2,Input!$A25))</f>
        <v>0</v>
      </c>
      <c r="R25" s="113">
        <f>IF(Flag_Send_Data="Restit",_xll.DBRW($C$1,$C$2,$C$3,$C$4,$C$6,$C$5,$C$7,R$1,R$2,$A25),_xll.DBSS(Input!R25,Input_DBS!$E$1,Input!$C$2,Input!$C$3,Input!$C$4,Input!$C$5,Input!$C$7,R$1,R$2,Input!$A25))</f>
        <v>0</v>
      </c>
      <c r="S25" s="113"/>
    </row>
    <row r="26" spans="1:19" ht="15.75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f>IF(Flag_Send_Data="Restit",_xll.DBRW($C$1,$C$2,$C$3,$C$4,$C$6,$C$5,$C$7,F$1,F$2,$A26),_xll.DBSS(Input!F26,Input_DBS!$E$1,Input!$C$2,Input!$C$3,Input!$C$4,Input!$C$5,Input!$C$7,F$1,F$2,Input!$A26))</f>
        <v>0</v>
      </c>
      <c r="G26" s="113">
        <f>IF(Flag_Send_Data="Restit",_xll.DBRW($C$1,$C$2,$C$3,$C$4,$C$6,$C$5,$C$7,G$1,G$2,$A26),_xll.DBSS(Input!G26,Input_DBS!$E$1,Input!$C$2,Input!$C$3,Input!$C$4,Input!$C$5,Input!$C$7,G$1,G$2,Input!$A26))</f>
        <v>0</v>
      </c>
      <c r="H26" s="113">
        <f>IF(Flag_Send_Data="Restit",_xll.DBRW($C$1,$C$2,$C$3,$C$4,$C$6,$C$5,$C$7,H$1,H$2,$A26),_xll.DBSS(Input!H26,Input_DBS!$E$1,Input!$C$2,Input!$C$3,Input!$C$4,Input!$C$5,Input!$C$7,H$1,H$2,Input!$A26))</f>
        <v>0</v>
      </c>
      <c r="I26" s="113">
        <f>IF(Flag_Send_Data="Restit",_xll.DBRW($C$1,$C$2,$C$3,$C$4,$C$6,$C$5,$C$7,I$1,I$2,$A26),_xll.DBSS(Input!I26,Input_DBS!$E$1,Input!$C$2,Input!$C$3,Input!$C$4,Input!$C$5,Input!$C$7,I$1,I$2,Input!$A26))</f>
        <v>0</v>
      </c>
      <c r="J26" s="113">
        <f>IF(Flag_Send_Data="Restit",_xll.DBRW($C$1,$C$2,$C$3,$C$4,$C$6,$C$5,$C$7,J$1,J$2,$A26),_xll.DBSS(Input!J26,Input_DBS!$E$1,Input!$C$2,Input!$C$3,Input!$C$4,Input!$C$5,Input!$C$7,J$1,J$2,Input!$A26))</f>
        <v>0</v>
      </c>
      <c r="K26" s="113">
        <f>IF(Flag_Send_Data="Restit",_xll.DBRW($C$1,$C$2,$C$3,$C$4,$C$6,$C$5,$C$7,K$1,K$2,$A26),_xll.DBSS(Input!K26,Input_DBS!$E$1,Input!$C$2,Input!$C$3,Input!$C$4,Input!$C$5,Input!$C$7,K$1,K$2,Input!$A26))</f>
        <v>0</v>
      </c>
      <c r="L26" s="113">
        <f>IF(Flag_Send_Data="Restit",_xll.DBRW($C$1,$C$2,$C$3,$C$4,$C$6,$C$5,$C$7,L$1,L$2,$A26),_xll.DBSS(Input!L26,Input_DBS!$E$1,Input!$C$2,Input!$C$3,Input!$C$4,Input!$C$5,Input!$C$7,L$1,L$2,Input!$A26))</f>
        <v>0</v>
      </c>
      <c r="M26" s="113">
        <f>IF(Flag_Send_Data="Restit",_xll.DBRW($C$1,$C$2,$C$3,$C$4,$C$6,$C$5,$C$7,M$1,M$2,$A26),_xll.DBSS(Input!M26,Input_DBS!$E$1,Input!$C$2,Input!$C$3,Input!$C$4,Input!$C$5,Input!$C$7,M$1,M$2,Input!$A26))</f>
        <v>0</v>
      </c>
      <c r="N26" s="113">
        <f>IF(Flag_Send_Data="Restit",_xll.DBRW($C$1,$C$2,$C$3,$C$4,$C$6,$C$5,$C$7,N$1,N$2,$A26),_xll.DBSS(Input!N26,Input_DBS!$E$1,Input!$C$2,Input!$C$3,Input!$C$4,Input!$C$5,Input!$C$7,N$1,N$2,Input!$A26))</f>
        <v>0</v>
      </c>
      <c r="O26" s="113">
        <f>IF(Flag_Send_Data="Restit",_xll.DBRW($C$1,$C$2,$C$3,$C$4,$C$6,$C$5,$C$7,O$1,O$2,$A26),_xll.DBSS(Input!O26,Input_DBS!$E$1,Input!$C$2,Input!$C$3,Input!$C$4,Input!$C$5,Input!$C$7,O$1,O$2,Input!$A26))</f>
        <v>0</v>
      </c>
      <c r="P26" s="113">
        <f>IF(Flag_Send_Data="Restit",_xll.DBRW($C$1,$C$2,$C$3,$C$4,$C$6,$C$5,$C$7,P$1,P$2,$A26),_xll.DBSS(Input!P26,Input_DBS!$E$1,Input!$C$2,Input!$C$3,Input!$C$4,Input!$C$5,Input!$C$7,P$1,P$2,Input!$A26))</f>
        <v>0</v>
      </c>
      <c r="Q26" s="113">
        <f>IF(Flag_Send_Data="Restit",_xll.DBRW($C$1,$C$2,$C$3,$C$4,$C$6,$C$5,$C$7,Q$1,Q$2,$A26),_xll.DBSS(Input!Q26,Input_DBS!$E$1,Input!$C$2,Input!$C$3,Input!$C$4,Input!$C$5,Input!$C$7,Q$1,Q$2,Input!$A26))</f>
        <v>0</v>
      </c>
      <c r="R26" s="113">
        <f>IF(Flag_Send_Data="Restit",_xll.DBRW($C$1,$C$2,$C$3,$C$4,$C$6,$C$5,$C$7,R$1,R$2,$A26),_xll.DBSS(Input!R26,Input_DBS!$E$1,Input!$C$2,Input!$C$3,Input!$C$4,Input!$C$5,Input!$C$7,R$1,R$2,Input!$A26))</f>
        <v>0</v>
      </c>
      <c r="S26" s="113"/>
    </row>
    <row r="27" spans="1:19" ht="15.75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f>IF(Flag_Send_Data="Restit",_xll.DBRW($C$1,$C$2,$C$3,$C$4,$C$6,$C$5,$C$7,F$1,F$2,$A27),_xll.DBSS(Input!F27,Input_DBS!$E$1,Input!$C$2,Input!$C$3,Input!$C$4,Input!$C$5,Input!$C$7,F$1,F$2,Input!$A27))</f>
        <v>37999868.375899591</v>
      </c>
      <c r="G27" s="113">
        <f>IF(Flag_Send_Data="Restit",_xll.DBRW($C$1,$C$2,$C$3,$C$4,$C$6,$C$5,$C$7,G$1,G$2,$A27),_xll.DBSS(Input!G27,Input_DBS!$E$1,Input!$C$2,Input!$C$3,Input!$C$4,Input!$C$5,Input!$C$7,G$1,G$2,Input!$A27))</f>
        <v>0</v>
      </c>
      <c r="H27" s="113">
        <f>IF(Flag_Send_Data="Restit",_xll.DBRW($C$1,$C$2,$C$3,$C$4,$C$6,$C$5,$C$7,H$1,H$2,$A27),_xll.DBSS(Input!H27,Input_DBS!$E$1,Input!$C$2,Input!$C$3,Input!$C$4,Input!$C$5,Input!$C$7,H$1,H$2,Input!$A27))</f>
        <v>0</v>
      </c>
      <c r="I27" s="113">
        <f>IF(Flag_Send_Data="Restit",_xll.DBRW($C$1,$C$2,$C$3,$C$4,$C$6,$C$5,$C$7,I$1,I$2,$A27),_xll.DBSS(Input!I27,Input_DBS!$E$1,Input!$C$2,Input!$C$3,Input!$C$4,Input!$C$5,Input!$C$7,I$1,I$2,Input!$A27))</f>
        <v>0</v>
      </c>
      <c r="J27" s="113">
        <f>IF(Flag_Send_Data="Restit",_xll.DBRW($C$1,$C$2,$C$3,$C$4,$C$6,$C$5,$C$7,J$1,J$2,$A27),_xll.DBSS(Input!J27,Input_DBS!$E$1,Input!$C$2,Input!$C$3,Input!$C$4,Input!$C$5,Input!$C$7,J$1,J$2,Input!$A27))</f>
        <v>0</v>
      </c>
      <c r="K27" s="113">
        <f>IF(Flag_Send_Data="Restit",_xll.DBRW($C$1,$C$2,$C$3,$C$4,$C$6,$C$5,$C$7,K$1,K$2,$A27),_xll.DBSS(Input!K27,Input_DBS!$E$1,Input!$C$2,Input!$C$3,Input!$C$4,Input!$C$5,Input!$C$7,K$1,K$2,Input!$A27))</f>
        <v>0</v>
      </c>
      <c r="L27" s="113">
        <f>IF(Flag_Send_Data="Restit",_xll.DBRW($C$1,$C$2,$C$3,$C$4,$C$6,$C$5,$C$7,L$1,L$2,$A27),_xll.DBSS(Input!L27,Input_DBS!$E$1,Input!$C$2,Input!$C$3,Input!$C$4,Input!$C$5,Input!$C$7,L$1,L$2,Input!$A27))</f>
        <v>0</v>
      </c>
      <c r="M27" s="113">
        <f>IF(Flag_Send_Data="Restit",_xll.DBRW($C$1,$C$2,$C$3,$C$4,$C$6,$C$5,$C$7,M$1,M$2,$A27),_xll.DBSS(Input!M27,Input_DBS!$E$1,Input!$C$2,Input!$C$3,Input!$C$4,Input!$C$5,Input!$C$7,M$1,M$2,Input!$A27))</f>
        <v>0</v>
      </c>
      <c r="N27" s="113">
        <f>IF(Flag_Send_Data="Restit",_xll.DBRW($C$1,$C$2,$C$3,$C$4,$C$6,$C$5,$C$7,N$1,N$2,$A27),_xll.DBSS(Input!N27,Input_DBS!$E$1,Input!$C$2,Input!$C$3,Input!$C$4,Input!$C$5,Input!$C$7,N$1,N$2,Input!$A27))</f>
        <v>0</v>
      </c>
      <c r="O27" s="113">
        <f>IF(Flag_Send_Data="Restit",_xll.DBRW($C$1,$C$2,$C$3,$C$4,$C$6,$C$5,$C$7,O$1,O$2,$A27),_xll.DBSS(Input!O27,Input_DBS!$E$1,Input!$C$2,Input!$C$3,Input!$C$4,Input!$C$5,Input!$C$7,O$1,O$2,Input!$A27))</f>
        <v>0</v>
      </c>
      <c r="P27" s="113">
        <f>IF(Flag_Send_Data="Restit",_xll.DBRW($C$1,$C$2,$C$3,$C$4,$C$6,$C$5,$C$7,P$1,P$2,$A27),_xll.DBSS(Input!P27,Input_DBS!$E$1,Input!$C$2,Input!$C$3,Input!$C$4,Input!$C$5,Input!$C$7,P$1,P$2,Input!$A27))</f>
        <v>0</v>
      </c>
      <c r="Q27" s="113">
        <f>IF(Flag_Send_Data="Restit",_xll.DBRW($C$1,$C$2,$C$3,$C$4,$C$6,$C$5,$C$7,Q$1,Q$2,$A27),_xll.DBSS(Input!Q27,Input_DBS!$E$1,Input!$C$2,Input!$C$3,Input!$C$4,Input!$C$5,Input!$C$7,Q$1,Q$2,Input!$A27))</f>
        <v>0</v>
      </c>
      <c r="R27" s="113">
        <f>IF(Flag_Send_Data="Restit",_xll.DBRW($C$1,$C$2,$C$3,$C$4,$C$6,$C$5,$C$7,R$1,R$2,$A27),_xll.DBSS(Input!R27,Input_DBS!$E$1,Input!$C$2,Input!$C$3,Input!$C$4,Input!$C$5,Input!$C$7,R$1,R$2,Input!$A27))</f>
        <v>0</v>
      </c>
      <c r="S27" s="113"/>
    </row>
    <row r="28" spans="1:19" ht="15.75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f>IF(Flag_Send_Data="Restit",_xll.DBRW($C$1,$C$2,$C$3,$C$4,$C$6,$C$5,$C$7,F$1,F$2,$A28),_xll.DBSS(Input!F28,Input_DBS!$E$1,Input!$C$2,Input!$C$3,Input!$C$4,Input!$C$5,Input!$C$7,F$1,F$2,Input!$A28))</f>
        <v>1495064</v>
      </c>
      <c r="G28" s="113">
        <f>IF(Flag_Send_Data="Restit",_xll.DBRW($C$1,$C$2,$C$3,$C$4,$C$6,$C$5,$C$7,G$1,G$2,$A28),_xll.DBSS(Input!G28,Input_DBS!$E$1,Input!$C$2,Input!$C$3,Input!$C$4,Input!$C$5,Input!$C$7,G$1,G$2,Input!$A28))</f>
        <v>0</v>
      </c>
      <c r="H28" s="113">
        <f>IF(Flag_Send_Data="Restit",_xll.DBRW($C$1,$C$2,$C$3,$C$4,$C$6,$C$5,$C$7,H$1,H$2,$A28),_xll.DBSS(Input!H28,Input_DBS!$E$1,Input!$C$2,Input!$C$3,Input!$C$4,Input!$C$5,Input!$C$7,H$1,H$2,Input!$A28))</f>
        <v>0</v>
      </c>
      <c r="I28" s="113">
        <f>IF(Flag_Send_Data="Restit",_xll.DBRW($C$1,$C$2,$C$3,$C$4,$C$6,$C$5,$C$7,I$1,I$2,$A28),_xll.DBSS(Input!I28,Input_DBS!$E$1,Input!$C$2,Input!$C$3,Input!$C$4,Input!$C$5,Input!$C$7,I$1,I$2,Input!$A28))</f>
        <v>0</v>
      </c>
      <c r="J28" s="113">
        <f>IF(Flag_Send_Data="Restit",_xll.DBRW($C$1,$C$2,$C$3,$C$4,$C$6,$C$5,$C$7,J$1,J$2,$A28),_xll.DBSS(Input!J28,Input_DBS!$E$1,Input!$C$2,Input!$C$3,Input!$C$4,Input!$C$5,Input!$C$7,J$1,J$2,Input!$A28))</f>
        <v>0</v>
      </c>
      <c r="K28" s="113">
        <f>IF(Flag_Send_Data="Restit",_xll.DBRW($C$1,$C$2,$C$3,$C$4,$C$6,$C$5,$C$7,K$1,K$2,$A28),_xll.DBSS(Input!K28,Input_DBS!$E$1,Input!$C$2,Input!$C$3,Input!$C$4,Input!$C$5,Input!$C$7,K$1,K$2,Input!$A28))</f>
        <v>0</v>
      </c>
      <c r="L28" s="113">
        <f>IF(Flag_Send_Data="Restit",_xll.DBRW($C$1,$C$2,$C$3,$C$4,$C$6,$C$5,$C$7,L$1,L$2,$A28),_xll.DBSS(Input!L28,Input_DBS!$E$1,Input!$C$2,Input!$C$3,Input!$C$4,Input!$C$5,Input!$C$7,L$1,L$2,Input!$A28))</f>
        <v>0</v>
      </c>
      <c r="M28" s="113">
        <f>IF(Flag_Send_Data="Restit",_xll.DBRW($C$1,$C$2,$C$3,$C$4,$C$6,$C$5,$C$7,M$1,M$2,$A28),_xll.DBSS(Input!M28,Input_DBS!$E$1,Input!$C$2,Input!$C$3,Input!$C$4,Input!$C$5,Input!$C$7,M$1,M$2,Input!$A28))</f>
        <v>0</v>
      </c>
      <c r="N28" s="113">
        <f>IF(Flag_Send_Data="Restit",_xll.DBRW($C$1,$C$2,$C$3,$C$4,$C$6,$C$5,$C$7,N$1,N$2,$A28),_xll.DBSS(Input!N28,Input_DBS!$E$1,Input!$C$2,Input!$C$3,Input!$C$4,Input!$C$5,Input!$C$7,N$1,N$2,Input!$A28))</f>
        <v>0</v>
      </c>
      <c r="O28" s="113">
        <f>IF(Flag_Send_Data="Restit",_xll.DBRW($C$1,$C$2,$C$3,$C$4,$C$6,$C$5,$C$7,O$1,O$2,$A28),_xll.DBSS(Input!O28,Input_DBS!$E$1,Input!$C$2,Input!$C$3,Input!$C$4,Input!$C$5,Input!$C$7,O$1,O$2,Input!$A28))</f>
        <v>0</v>
      </c>
      <c r="P28" s="113">
        <f>IF(Flag_Send_Data="Restit",_xll.DBRW($C$1,$C$2,$C$3,$C$4,$C$6,$C$5,$C$7,P$1,P$2,$A28),_xll.DBSS(Input!P28,Input_DBS!$E$1,Input!$C$2,Input!$C$3,Input!$C$4,Input!$C$5,Input!$C$7,P$1,P$2,Input!$A28))</f>
        <v>0</v>
      </c>
      <c r="Q28" s="113">
        <f>IF(Flag_Send_Data="Restit",_xll.DBRW($C$1,$C$2,$C$3,$C$4,$C$6,$C$5,$C$7,Q$1,Q$2,$A28),_xll.DBSS(Input!Q28,Input_DBS!$E$1,Input!$C$2,Input!$C$3,Input!$C$4,Input!$C$5,Input!$C$7,Q$1,Q$2,Input!$A28))</f>
        <v>0</v>
      </c>
      <c r="R28" s="113">
        <f>IF(Flag_Send_Data="Restit",_xll.DBRW($C$1,$C$2,$C$3,$C$4,$C$6,$C$5,$C$7,R$1,R$2,$A28),_xll.DBSS(Input!R28,Input_DBS!$E$1,Input!$C$2,Input!$C$3,Input!$C$4,Input!$C$5,Input!$C$7,R$1,R$2,Input!$A28))</f>
        <v>0</v>
      </c>
      <c r="S28" s="113"/>
    </row>
    <row r="29" spans="1:19" ht="15.75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f>IF(Flag_Send_Data="Restit",_xll.DBRW($C$1,$C$2,$C$3,$C$4,$C$6,$C$5,$C$7,F$1,F$2,$A29),_xll.DBSS(Input!F29,Input_DBS!$E$1,Input!$C$2,Input!$C$3,Input!$C$4,Input!$C$5,Input!$C$7,F$1,F$2,Input!$A29))</f>
        <v>2008939.88</v>
      </c>
      <c r="G29" s="113">
        <f>IF(Flag_Send_Data="Restit",_xll.DBRW($C$1,$C$2,$C$3,$C$4,$C$6,$C$5,$C$7,G$1,G$2,$A29),_xll.DBSS(Input!G29,Input_DBS!$E$1,Input!$C$2,Input!$C$3,Input!$C$4,Input!$C$5,Input!$C$7,G$1,G$2,Input!$A29))</f>
        <v>0</v>
      </c>
      <c r="H29" s="113">
        <f>IF(Flag_Send_Data="Restit",_xll.DBRW($C$1,$C$2,$C$3,$C$4,$C$6,$C$5,$C$7,H$1,H$2,$A29),_xll.DBSS(Input!H29,Input_DBS!$E$1,Input!$C$2,Input!$C$3,Input!$C$4,Input!$C$5,Input!$C$7,H$1,H$2,Input!$A29))</f>
        <v>0</v>
      </c>
      <c r="I29" s="113">
        <f>IF(Flag_Send_Data="Restit",_xll.DBRW($C$1,$C$2,$C$3,$C$4,$C$6,$C$5,$C$7,I$1,I$2,$A29),_xll.DBSS(Input!I29,Input_DBS!$E$1,Input!$C$2,Input!$C$3,Input!$C$4,Input!$C$5,Input!$C$7,I$1,I$2,Input!$A29))</f>
        <v>0</v>
      </c>
      <c r="J29" s="113">
        <f>IF(Flag_Send_Data="Restit",_xll.DBRW($C$1,$C$2,$C$3,$C$4,$C$6,$C$5,$C$7,J$1,J$2,$A29),_xll.DBSS(Input!J29,Input_DBS!$E$1,Input!$C$2,Input!$C$3,Input!$C$4,Input!$C$5,Input!$C$7,J$1,J$2,Input!$A29))</f>
        <v>0</v>
      </c>
      <c r="K29" s="113">
        <f>IF(Flag_Send_Data="Restit",_xll.DBRW($C$1,$C$2,$C$3,$C$4,$C$6,$C$5,$C$7,K$1,K$2,$A29),_xll.DBSS(Input!K29,Input_DBS!$E$1,Input!$C$2,Input!$C$3,Input!$C$4,Input!$C$5,Input!$C$7,K$1,K$2,Input!$A29))</f>
        <v>0</v>
      </c>
      <c r="L29" s="113">
        <f>IF(Flag_Send_Data="Restit",_xll.DBRW($C$1,$C$2,$C$3,$C$4,$C$6,$C$5,$C$7,L$1,L$2,$A29),_xll.DBSS(Input!L29,Input_DBS!$E$1,Input!$C$2,Input!$C$3,Input!$C$4,Input!$C$5,Input!$C$7,L$1,L$2,Input!$A29))</f>
        <v>0</v>
      </c>
      <c r="M29" s="113">
        <f>IF(Flag_Send_Data="Restit",_xll.DBRW($C$1,$C$2,$C$3,$C$4,$C$6,$C$5,$C$7,M$1,M$2,$A29),_xll.DBSS(Input!M29,Input_DBS!$E$1,Input!$C$2,Input!$C$3,Input!$C$4,Input!$C$5,Input!$C$7,M$1,M$2,Input!$A29))</f>
        <v>0</v>
      </c>
      <c r="N29" s="113">
        <f>IF(Flag_Send_Data="Restit",_xll.DBRW($C$1,$C$2,$C$3,$C$4,$C$6,$C$5,$C$7,N$1,N$2,$A29),_xll.DBSS(Input!N29,Input_DBS!$E$1,Input!$C$2,Input!$C$3,Input!$C$4,Input!$C$5,Input!$C$7,N$1,N$2,Input!$A29))</f>
        <v>0</v>
      </c>
      <c r="O29" s="113">
        <f>IF(Flag_Send_Data="Restit",_xll.DBRW($C$1,$C$2,$C$3,$C$4,$C$6,$C$5,$C$7,O$1,O$2,$A29),_xll.DBSS(Input!O29,Input_DBS!$E$1,Input!$C$2,Input!$C$3,Input!$C$4,Input!$C$5,Input!$C$7,O$1,O$2,Input!$A29))</f>
        <v>0</v>
      </c>
      <c r="P29" s="113">
        <f>IF(Flag_Send_Data="Restit",_xll.DBRW($C$1,$C$2,$C$3,$C$4,$C$6,$C$5,$C$7,P$1,P$2,$A29),_xll.DBSS(Input!P29,Input_DBS!$E$1,Input!$C$2,Input!$C$3,Input!$C$4,Input!$C$5,Input!$C$7,P$1,P$2,Input!$A29))</f>
        <v>0</v>
      </c>
      <c r="Q29" s="113">
        <f>IF(Flag_Send_Data="Restit",_xll.DBRW($C$1,$C$2,$C$3,$C$4,$C$6,$C$5,$C$7,Q$1,Q$2,$A29),_xll.DBSS(Input!Q29,Input_DBS!$E$1,Input!$C$2,Input!$C$3,Input!$C$4,Input!$C$5,Input!$C$7,Q$1,Q$2,Input!$A29))</f>
        <v>0</v>
      </c>
      <c r="R29" s="113">
        <f>IF(Flag_Send_Data="Restit",_xll.DBRW($C$1,$C$2,$C$3,$C$4,$C$6,$C$5,$C$7,R$1,R$2,$A29),_xll.DBSS(Input!R29,Input_DBS!$E$1,Input!$C$2,Input!$C$3,Input!$C$4,Input!$C$5,Input!$C$7,R$1,R$2,Input!$A29))</f>
        <v>0</v>
      </c>
      <c r="S29" s="113"/>
    </row>
    <row r="30" spans="1:19" ht="15.75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f>IF(Flag_Send_Data="Restit",_xll.DBRW($C$1,$C$2,$C$3,$C$4,$C$6,$C$5,$C$7,F$1,F$2,$A30),_xll.DBSS(Input!F30,Input_DBS!$E$1,Input!$C$2,Input!$C$3,Input!$C$4,Input!$C$5,Input!$C$7,F$1,F$2,Input!$A30))</f>
        <v>6723653.21</v>
      </c>
      <c r="G30" s="113">
        <f>IF(Flag_Send_Data="Restit",_xll.DBRW($C$1,$C$2,$C$3,$C$4,$C$6,$C$5,$C$7,G$1,G$2,$A30),_xll.DBSS(Input!G30,Input_DBS!$E$1,Input!$C$2,Input!$C$3,Input!$C$4,Input!$C$5,Input!$C$7,G$1,G$2,Input!$A30))</f>
        <v>0</v>
      </c>
      <c r="H30" s="113">
        <f>IF(Flag_Send_Data="Restit",_xll.DBRW($C$1,$C$2,$C$3,$C$4,$C$6,$C$5,$C$7,H$1,H$2,$A30),_xll.DBSS(Input!H30,Input_DBS!$E$1,Input!$C$2,Input!$C$3,Input!$C$4,Input!$C$5,Input!$C$7,H$1,H$2,Input!$A30))</f>
        <v>0</v>
      </c>
      <c r="I30" s="113">
        <f>IF(Flag_Send_Data="Restit",_xll.DBRW($C$1,$C$2,$C$3,$C$4,$C$6,$C$5,$C$7,I$1,I$2,$A30),_xll.DBSS(Input!I30,Input_DBS!$E$1,Input!$C$2,Input!$C$3,Input!$C$4,Input!$C$5,Input!$C$7,I$1,I$2,Input!$A30))</f>
        <v>0</v>
      </c>
      <c r="J30" s="113">
        <f>IF(Flag_Send_Data="Restit",_xll.DBRW($C$1,$C$2,$C$3,$C$4,$C$6,$C$5,$C$7,J$1,J$2,$A30),_xll.DBSS(Input!J30,Input_DBS!$E$1,Input!$C$2,Input!$C$3,Input!$C$4,Input!$C$5,Input!$C$7,J$1,J$2,Input!$A30))</f>
        <v>0</v>
      </c>
      <c r="K30" s="113">
        <f>IF(Flag_Send_Data="Restit",_xll.DBRW($C$1,$C$2,$C$3,$C$4,$C$6,$C$5,$C$7,K$1,K$2,$A30),_xll.DBSS(Input!K30,Input_DBS!$E$1,Input!$C$2,Input!$C$3,Input!$C$4,Input!$C$5,Input!$C$7,K$1,K$2,Input!$A30))</f>
        <v>0</v>
      </c>
      <c r="L30" s="113">
        <f>IF(Flag_Send_Data="Restit",_xll.DBRW($C$1,$C$2,$C$3,$C$4,$C$6,$C$5,$C$7,L$1,L$2,$A30),_xll.DBSS(Input!L30,Input_DBS!$E$1,Input!$C$2,Input!$C$3,Input!$C$4,Input!$C$5,Input!$C$7,L$1,L$2,Input!$A30))</f>
        <v>0</v>
      </c>
      <c r="M30" s="113">
        <f>IF(Flag_Send_Data="Restit",_xll.DBRW($C$1,$C$2,$C$3,$C$4,$C$6,$C$5,$C$7,M$1,M$2,$A30),_xll.DBSS(Input!M30,Input_DBS!$E$1,Input!$C$2,Input!$C$3,Input!$C$4,Input!$C$5,Input!$C$7,M$1,M$2,Input!$A30))</f>
        <v>0</v>
      </c>
      <c r="N30" s="113">
        <f>IF(Flag_Send_Data="Restit",_xll.DBRW($C$1,$C$2,$C$3,$C$4,$C$6,$C$5,$C$7,N$1,N$2,$A30),_xll.DBSS(Input!N30,Input_DBS!$E$1,Input!$C$2,Input!$C$3,Input!$C$4,Input!$C$5,Input!$C$7,N$1,N$2,Input!$A30))</f>
        <v>0</v>
      </c>
      <c r="O30" s="113">
        <f>IF(Flag_Send_Data="Restit",_xll.DBRW($C$1,$C$2,$C$3,$C$4,$C$6,$C$5,$C$7,O$1,O$2,$A30),_xll.DBSS(Input!O30,Input_DBS!$E$1,Input!$C$2,Input!$C$3,Input!$C$4,Input!$C$5,Input!$C$7,O$1,O$2,Input!$A30))</f>
        <v>0</v>
      </c>
      <c r="P30" s="113">
        <f>IF(Flag_Send_Data="Restit",_xll.DBRW($C$1,$C$2,$C$3,$C$4,$C$6,$C$5,$C$7,P$1,P$2,$A30),_xll.DBSS(Input!P30,Input_DBS!$E$1,Input!$C$2,Input!$C$3,Input!$C$4,Input!$C$5,Input!$C$7,P$1,P$2,Input!$A30))</f>
        <v>0</v>
      </c>
      <c r="Q30" s="113">
        <f>IF(Flag_Send_Data="Restit",_xll.DBRW($C$1,$C$2,$C$3,$C$4,$C$6,$C$5,$C$7,Q$1,Q$2,$A30),_xll.DBSS(Input!Q30,Input_DBS!$E$1,Input!$C$2,Input!$C$3,Input!$C$4,Input!$C$5,Input!$C$7,Q$1,Q$2,Input!$A30))</f>
        <v>0</v>
      </c>
      <c r="R30" s="113">
        <f>IF(Flag_Send_Data="Restit",_xll.DBRW($C$1,$C$2,$C$3,$C$4,$C$6,$C$5,$C$7,R$1,R$2,$A30),_xll.DBSS(Input!R30,Input_DBS!$E$1,Input!$C$2,Input!$C$3,Input!$C$4,Input!$C$5,Input!$C$7,R$1,R$2,Input!$A30))</f>
        <v>0</v>
      </c>
      <c r="S30" s="113"/>
    </row>
    <row r="31" spans="1:19" ht="15.75" customHeight="1">
      <c r="A31" s="1" t="s">
        <v>127</v>
      </c>
      <c r="C31" s="143" t="s">
        <v>78</v>
      </c>
      <c r="E31" s="17" t="s">
        <v>79</v>
      </c>
      <c r="F31" s="42">
        <f>F20</f>
        <v>48278918.465899594</v>
      </c>
      <c r="G31" s="42">
        <f t="shared" ref="G31:R31" si="2">G20</f>
        <v>10</v>
      </c>
      <c r="H31" s="42">
        <f t="shared" si="2"/>
        <v>11</v>
      </c>
      <c r="I31" s="42">
        <f t="shared" si="2"/>
        <v>11</v>
      </c>
      <c r="J31" s="42">
        <f t="shared" si="2"/>
        <v>11</v>
      </c>
      <c r="K31" s="42">
        <f t="shared" si="2"/>
        <v>11</v>
      </c>
      <c r="L31" s="42">
        <f t="shared" si="2"/>
        <v>11</v>
      </c>
      <c r="M31" s="42">
        <f t="shared" si="2"/>
        <v>11</v>
      </c>
      <c r="N31" s="42">
        <f t="shared" si="2"/>
        <v>11</v>
      </c>
      <c r="O31" s="42">
        <f t="shared" si="2"/>
        <v>11</v>
      </c>
      <c r="P31" s="42">
        <f t="shared" si="2"/>
        <v>11</v>
      </c>
      <c r="Q31" s="42">
        <f t="shared" si="2"/>
        <v>11</v>
      </c>
      <c r="R31" s="42">
        <f t="shared" si="2"/>
        <v>11</v>
      </c>
      <c r="S31" s="42"/>
    </row>
    <row r="32" spans="1:19" ht="15.75" customHeight="1" outlineLevel="1">
      <c r="A32" s="1" t="s">
        <v>334</v>
      </c>
      <c r="C32" s="143"/>
      <c r="E32" s="9" t="str">
        <f>_xll.DBRW(Server&amp;"}ElementAttributes_Indicator",A32,"code_English")</f>
        <v>Nb_Drivers - Number of drivers</v>
      </c>
      <c r="F32" s="113">
        <f>IF(Flag_Send_Data="Restit",_xll.DBRW($C$1,$C$2,$C$3,$C$4,$C$6,$C$5,$C$7,F$1,F$2,$A32),_xll.DBSS(Input!F32,Input_DBS!$E$1,Input!$C$2,Input!$C$3,Input!$C$4,Input!$C$5,Input!$C$7,F$1,F$2,Input!$A32))</f>
        <v>0</v>
      </c>
      <c r="G32" s="113">
        <f>IF(Flag_Send_Data="Restit",_xll.DBRW($C$1,$C$2,$C$3,$C$4,$C$6,$C$5,$C$7,G$1,G$2,$A32),_xll.DBSS(Input!G32,Input_DBS!$E$1,Input!$C$2,Input!$C$3,Input!$C$4,Input!$C$5,Input!$C$7,G$1,G$2,Input!$A32))</f>
        <v>0</v>
      </c>
      <c r="H32" s="113">
        <f>IF(Flag_Send_Data="Restit",_xll.DBRW($C$1,$C$2,$C$3,$C$4,$C$6,$C$5,$C$7,H$1,H$2,$A32),_xll.DBSS(Input!H32,Input_DBS!$E$1,Input!$C$2,Input!$C$3,Input!$C$4,Input!$C$5,Input!$C$7,H$1,H$2,Input!$A32))</f>
        <v>0</v>
      </c>
      <c r="I32" s="113">
        <f>IF(Flag_Send_Data="Restit",_xll.DBRW($C$1,$C$2,$C$3,$C$4,$C$6,$C$5,$C$7,I$1,I$2,$A32),_xll.DBSS(Input!I32,Input_DBS!$E$1,Input!$C$2,Input!$C$3,Input!$C$4,Input!$C$5,Input!$C$7,I$1,I$2,Input!$A32))</f>
        <v>0</v>
      </c>
      <c r="J32" s="113">
        <f>IF(Flag_Send_Data="Restit",_xll.DBRW($C$1,$C$2,$C$3,$C$4,$C$6,$C$5,$C$7,J$1,J$2,$A32),_xll.DBSS(Input!J32,Input_DBS!$E$1,Input!$C$2,Input!$C$3,Input!$C$4,Input!$C$5,Input!$C$7,J$1,J$2,Input!$A32))</f>
        <v>0</v>
      </c>
      <c r="K32" s="113">
        <f>IF(Flag_Send_Data="Restit",_xll.DBRW($C$1,$C$2,$C$3,$C$4,$C$6,$C$5,$C$7,K$1,K$2,$A32),_xll.DBSS(Input!K32,Input_DBS!$E$1,Input!$C$2,Input!$C$3,Input!$C$4,Input!$C$5,Input!$C$7,K$1,K$2,Input!$A32))</f>
        <v>0</v>
      </c>
      <c r="L32" s="113">
        <f>IF(Flag_Send_Data="Restit",_xll.DBRW($C$1,$C$2,$C$3,$C$4,$C$6,$C$5,$C$7,L$1,L$2,$A32),_xll.DBSS(Input!L32,Input_DBS!$E$1,Input!$C$2,Input!$C$3,Input!$C$4,Input!$C$5,Input!$C$7,L$1,L$2,Input!$A32))</f>
        <v>0</v>
      </c>
      <c r="M32" s="113">
        <f>IF(Flag_Send_Data="Restit",_xll.DBRW($C$1,$C$2,$C$3,$C$4,$C$6,$C$5,$C$7,M$1,M$2,$A32),_xll.DBSS(Input!M32,Input_DBS!$E$1,Input!$C$2,Input!$C$3,Input!$C$4,Input!$C$5,Input!$C$7,M$1,M$2,Input!$A32))</f>
        <v>0</v>
      </c>
      <c r="N32" s="113">
        <f>IF(Flag_Send_Data="Restit",_xll.DBRW($C$1,$C$2,$C$3,$C$4,$C$6,$C$5,$C$7,N$1,N$2,$A32),_xll.DBSS(Input!N32,Input_DBS!$E$1,Input!$C$2,Input!$C$3,Input!$C$4,Input!$C$5,Input!$C$7,N$1,N$2,Input!$A32))</f>
        <v>0</v>
      </c>
      <c r="O32" s="113">
        <f>IF(Flag_Send_Data="Restit",_xll.DBRW($C$1,$C$2,$C$3,$C$4,$C$6,$C$5,$C$7,O$1,O$2,$A32),_xll.DBSS(Input!O32,Input_DBS!$E$1,Input!$C$2,Input!$C$3,Input!$C$4,Input!$C$5,Input!$C$7,O$1,O$2,Input!$A32))</f>
        <v>0</v>
      </c>
      <c r="P32" s="113">
        <f>IF(Flag_Send_Data="Restit",_xll.DBRW($C$1,$C$2,$C$3,$C$4,$C$6,$C$5,$C$7,P$1,P$2,$A32),_xll.DBSS(Input!P32,Input_DBS!$E$1,Input!$C$2,Input!$C$3,Input!$C$4,Input!$C$5,Input!$C$7,P$1,P$2,Input!$A32))</f>
        <v>0</v>
      </c>
      <c r="Q32" s="113">
        <f>IF(Flag_Send_Data="Restit",_xll.DBRW($C$1,$C$2,$C$3,$C$4,$C$6,$C$5,$C$7,Q$1,Q$2,$A32),_xll.DBSS(Input!Q32,Input_DBS!$E$1,Input!$C$2,Input!$C$3,Input!$C$4,Input!$C$5,Input!$C$7,Q$1,Q$2,Input!$A32))</f>
        <v>0</v>
      </c>
      <c r="R32" s="113">
        <f>IF(Flag_Send_Data="Restit",_xll.DBRW($C$1,$C$2,$C$3,$C$4,$C$6,$C$5,$C$7,R$1,R$2,$A32),_xll.DBSS(Input!R32,Input_DBS!$E$1,Input!$C$2,Input!$C$3,Input!$C$4,Input!$C$5,Input!$C$7,R$1,R$2,Input!$A32))</f>
        <v>0</v>
      </c>
      <c r="S32" s="113"/>
    </row>
    <row r="33" spans="1:19" ht="15.75" customHeight="1" outlineLevel="1">
      <c r="A33" s="1" t="s">
        <v>335</v>
      </c>
      <c r="C33" s="143"/>
      <c r="E33" s="9" t="str">
        <f>_xll.DBRW(Server&amp;"}ElementAttributes_Indicator",A33,"code_English")</f>
        <v>Nb_Conductors - Number of conductors</v>
      </c>
      <c r="F33" s="113">
        <f>IF(Flag_Send_Data="Restit",_xll.DBRW($C$1,$C$2,$C$3,$C$4,$C$6,$C$5,$C$7,F$1,F$2,$A33),_xll.DBSS(Input!F33,Input_DBS!$E$1,Input!$C$2,Input!$C$3,Input!$C$4,Input!$C$5,Input!$C$7,F$1,F$2,Input!$A33))</f>
        <v>0</v>
      </c>
      <c r="G33" s="113">
        <f>IF(Flag_Send_Data="Restit",_xll.DBRW($C$1,$C$2,$C$3,$C$4,$C$6,$C$5,$C$7,G$1,G$2,$A33),_xll.DBSS(Input!G33,Input_DBS!$E$1,Input!$C$2,Input!$C$3,Input!$C$4,Input!$C$5,Input!$C$7,G$1,G$2,Input!$A33))</f>
        <v>0</v>
      </c>
      <c r="H33" s="113">
        <f>IF(Flag_Send_Data="Restit",_xll.DBRW($C$1,$C$2,$C$3,$C$4,$C$6,$C$5,$C$7,H$1,H$2,$A33),_xll.DBSS(Input!H33,Input_DBS!$E$1,Input!$C$2,Input!$C$3,Input!$C$4,Input!$C$5,Input!$C$7,H$1,H$2,Input!$A33))</f>
        <v>0</v>
      </c>
      <c r="I33" s="113">
        <f>IF(Flag_Send_Data="Restit",_xll.DBRW($C$1,$C$2,$C$3,$C$4,$C$6,$C$5,$C$7,I$1,I$2,$A33),_xll.DBSS(Input!I33,Input_DBS!$E$1,Input!$C$2,Input!$C$3,Input!$C$4,Input!$C$5,Input!$C$7,I$1,I$2,Input!$A33))</f>
        <v>0</v>
      </c>
      <c r="J33" s="113">
        <f>IF(Flag_Send_Data="Restit",_xll.DBRW($C$1,$C$2,$C$3,$C$4,$C$6,$C$5,$C$7,J$1,J$2,$A33),_xll.DBSS(Input!J33,Input_DBS!$E$1,Input!$C$2,Input!$C$3,Input!$C$4,Input!$C$5,Input!$C$7,J$1,J$2,Input!$A33))</f>
        <v>0</v>
      </c>
      <c r="K33" s="113">
        <f>IF(Flag_Send_Data="Restit",_xll.DBRW($C$1,$C$2,$C$3,$C$4,$C$6,$C$5,$C$7,K$1,K$2,$A33),_xll.DBSS(Input!K33,Input_DBS!$E$1,Input!$C$2,Input!$C$3,Input!$C$4,Input!$C$5,Input!$C$7,K$1,K$2,Input!$A33))</f>
        <v>0</v>
      </c>
      <c r="L33" s="113">
        <f>IF(Flag_Send_Data="Restit",_xll.DBRW($C$1,$C$2,$C$3,$C$4,$C$6,$C$5,$C$7,L$1,L$2,$A33),_xll.DBSS(Input!L33,Input_DBS!$E$1,Input!$C$2,Input!$C$3,Input!$C$4,Input!$C$5,Input!$C$7,L$1,L$2,Input!$A33))</f>
        <v>0</v>
      </c>
      <c r="M33" s="113">
        <f>IF(Flag_Send_Data="Restit",_xll.DBRW($C$1,$C$2,$C$3,$C$4,$C$6,$C$5,$C$7,M$1,M$2,$A33),_xll.DBSS(Input!M33,Input_DBS!$E$1,Input!$C$2,Input!$C$3,Input!$C$4,Input!$C$5,Input!$C$7,M$1,M$2,Input!$A33))</f>
        <v>0</v>
      </c>
      <c r="N33" s="113">
        <f>IF(Flag_Send_Data="Restit",_xll.DBRW($C$1,$C$2,$C$3,$C$4,$C$6,$C$5,$C$7,N$1,N$2,$A33),_xll.DBSS(Input!N33,Input_DBS!$E$1,Input!$C$2,Input!$C$3,Input!$C$4,Input!$C$5,Input!$C$7,N$1,N$2,Input!$A33))</f>
        <v>0</v>
      </c>
      <c r="O33" s="113">
        <f>IF(Flag_Send_Data="Restit",_xll.DBRW($C$1,$C$2,$C$3,$C$4,$C$6,$C$5,$C$7,O$1,O$2,$A33),_xll.DBSS(Input!O33,Input_DBS!$E$1,Input!$C$2,Input!$C$3,Input!$C$4,Input!$C$5,Input!$C$7,O$1,O$2,Input!$A33))</f>
        <v>0</v>
      </c>
      <c r="P33" s="113">
        <f>IF(Flag_Send_Data="Restit",_xll.DBRW($C$1,$C$2,$C$3,$C$4,$C$6,$C$5,$C$7,P$1,P$2,$A33),_xll.DBSS(Input!P33,Input_DBS!$E$1,Input!$C$2,Input!$C$3,Input!$C$4,Input!$C$5,Input!$C$7,P$1,P$2,Input!$A33))</f>
        <v>0</v>
      </c>
      <c r="Q33" s="113">
        <f>IF(Flag_Send_Data="Restit",_xll.DBRW($C$1,$C$2,$C$3,$C$4,$C$6,$C$5,$C$7,Q$1,Q$2,$A33),_xll.DBSS(Input!Q33,Input_DBS!$E$1,Input!$C$2,Input!$C$3,Input!$C$4,Input!$C$5,Input!$C$7,Q$1,Q$2,Input!$A33))</f>
        <v>0</v>
      </c>
      <c r="R33" s="113">
        <f>IF(Flag_Send_Data="Restit",_xll.DBRW($C$1,$C$2,$C$3,$C$4,$C$6,$C$5,$C$7,R$1,R$2,$A33),_xll.DBSS(Input!R33,Input_DBS!$E$1,Input!$C$2,Input!$C$3,Input!$C$4,Input!$C$5,Input!$C$7,R$1,R$2,Input!$A33))</f>
        <v>0</v>
      </c>
      <c r="S33" s="113"/>
    </row>
    <row r="34" spans="1:19" ht="15.75" customHeight="1" outlineLevel="1">
      <c r="A34" s="1" t="s">
        <v>348</v>
      </c>
      <c r="C34" s="143"/>
      <c r="E34" s="9" t="str">
        <f>_xll.DBRW(Server&amp;"}ElementAttributes_Indicator",A34,"code_English")</f>
        <v>Nb_FTE_Drivers - Number of FTE Drivers</v>
      </c>
      <c r="F34" s="113">
        <f>IF(Flag_Send_Data="Restit",_xll.DBRW($C$1,$C$2,$C$3,$C$4,$C$6,$C$5,$C$7,F$1,F$2,$A34),_xll.DBSS(Input!F34,Input_DBS!$E$1,Input!$C$2,Input!$C$3,Input!$C$4,Input!$C$5,Input!$C$7,F$1,F$2,Input!$A34))</f>
        <v>0</v>
      </c>
      <c r="G34" s="113">
        <f>IF(Flag_Send_Data="Restit",_xll.DBRW($C$1,$C$2,$C$3,$C$4,$C$6,$C$5,$C$7,G$1,G$2,$A34),_xll.DBSS(Input!G34,Input_DBS!$E$1,Input!$C$2,Input!$C$3,Input!$C$4,Input!$C$5,Input!$C$7,G$1,G$2,Input!$A34))</f>
        <v>0</v>
      </c>
      <c r="H34" s="113">
        <f>IF(Flag_Send_Data="Restit",_xll.DBRW($C$1,$C$2,$C$3,$C$4,$C$6,$C$5,$C$7,H$1,H$2,$A34),_xll.DBSS(Input!H34,Input_DBS!$E$1,Input!$C$2,Input!$C$3,Input!$C$4,Input!$C$5,Input!$C$7,H$1,H$2,Input!$A34))</f>
        <v>0</v>
      </c>
      <c r="I34" s="113">
        <f>IF(Flag_Send_Data="Restit",_xll.DBRW($C$1,$C$2,$C$3,$C$4,$C$6,$C$5,$C$7,I$1,I$2,$A34),_xll.DBSS(Input!I34,Input_DBS!$E$1,Input!$C$2,Input!$C$3,Input!$C$4,Input!$C$5,Input!$C$7,I$1,I$2,Input!$A34))</f>
        <v>0</v>
      </c>
      <c r="J34" s="113">
        <f>IF(Flag_Send_Data="Restit",_xll.DBRW($C$1,$C$2,$C$3,$C$4,$C$6,$C$5,$C$7,J$1,J$2,$A34),_xll.DBSS(Input!J34,Input_DBS!$E$1,Input!$C$2,Input!$C$3,Input!$C$4,Input!$C$5,Input!$C$7,J$1,J$2,Input!$A34))</f>
        <v>0</v>
      </c>
      <c r="K34" s="113">
        <f>IF(Flag_Send_Data="Restit",_xll.DBRW($C$1,$C$2,$C$3,$C$4,$C$6,$C$5,$C$7,K$1,K$2,$A34),_xll.DBSS(Input!K34,Input_DBS!$E$1,Input!$C$2,Input!$C$3,Input!$C$4,Input!$C$5,Input!$C$7,K$1,K$2,Input!$A34))</f>
        <v>0</v>
      </c>
      <c r="L34" s="113">
        <f>IF(Flag_Send_Data="Restit",_xll.DBRW($C$1,$C$2,$C$3,$C$4,$C$6,$C$5,$C$7,L$1,L$2,$A34),_xll.DBSS(Input!L34,Input_DBS!$E$1,Input!$C$2,Input!$C$3,Input!$C$4,Input!$C$5,Input!$C$7,L$1,L$2,Input!$A34))</f>
        <v>0</v>
      </c>
      <c r="M34" s="113">
        <f>IF(Flag_Send_Data="Restit",_xll.DBRW($C$1,$C$2,$C$3,$C$4,$C$6,$C$5,$C$7,M$1,M$2,$A34),_xll.DBSS(Input!M34,Input_DBS!$E$1,Input!$C$2,Input!$C$3,Input!$C$4,Input!$C$5,Input!$C$7,M$1,M$2,Input!$A34))</f>
        <v>0</v>
      </c>
      <c r="N34" s="113">
        <f>IF(Flag_Send_Data="Restit",_xll.DBRW($C$1,$C$2,$C$3,$C$4,$C$6,$C$5,$C$7,N$1,N$2,$A34),_xll.DBSS(Input!N34,Input_DBS!$E$1,Input!$C$2,Input!$C$3,Input!$C$4,Input!$C$5,Input!$C$7,N$1,N$2,Input!$A34))</f>
        <v>0</v>
      </c>
      <c r="O34" s="113">
        <f>IF(Flag_Send_Data="Restit",_xll.DBRW($C$1,$C$2,$C$3,$C$4,$C$6,$C$5,$C$7,O$1,O$2,$A34),_xll.DBSS(Input!O34,Input_DBS!$E$1,Input!$C$2,Input!$C$3,Input!$C$4,Input!$C$5,Input!$C$7,O$1,O$2,Input!$A34))</f>
        <v>0</v>
      </c>
      <c r="P34" s="113">
        <f>IF(Flag_Send_Data="Restit",_xll.DBRW($C$1,$C$2,$C$3,$C$4,$C$6,$C$5,$C$7,P$1,P$2,$A34),_xll.DBSS(Input!P34,Input_DBS!$E$1,Input!$C$2,Input!$C$3,Input!$C$4,Input!$C$5,Input!$C$7,P$1,P$2,Input!$A34))</f>
        <v>0</v>
      </c>
      <c r="Q34" s="113">
        <f>IF(Flag_Send_Data="Restit",_xll.DBRW($C$1,$C$2,$C$3,$C$4,$C$6,$C$5,$C$7,Q$1,Q$2,$A34),_xll.DBSS(Input!Q34,Input_DBS!$E$1,Input!$C$2,Input!$C$3,Input!$C$4,Input!$C$5,Input!$C$7,Q$1,Q$2,Input!$A34))</f>
        <v>0</v>
      </c>
      <c r="R34" s="113">
        <f>IF(Flag_Send_Data="Restit",_xll.DBRW($C$1,$C$2,$C$3,$C$4,$C$6,$C$5,$C$7,R$1,R$2,$A34),_xll.DBSS(Input!R34,Input_DBS!$E$1,Input!$C$2,Input!$C$3,Input!$C$4,Input!$C$5,Input!$C$7,R$1,R$2,Input!$A34))</f>
        <v>0</v>
      </c>
      <c r="S34" s="113"/>
    </row>
    <row r="35" spans="1:19" ht="15.75">
      <c r="A35" s="1" t="s">
        <v>127</v>
      </c>
      <c r="C35" s="143"/>
      <c r="E35" s="15" t="s">
        <v>80</v>
      </c>
      <c r="F35" s="44">
        <f t="shared" ref="F35:R35" si="3">SUM(F32:F34)</f>
        <v>0</v>
      </c>
      <c r="G35" s="44">
        <f t="shared" si="3"/>
        <v>0</v>
      </c>
      <c r="H35" s="44">
        <f t="shared" si="3"/>
        <v>0</v>
      </c>
      <c r="I35" s="44">
        <f t="shared" si="3"/>
        <v>0</v>
      </c>
      <c r="J35" s="44">
        <f t="shared" si="3"/>
        <v>0</v>
      </c>
      <c r="K35" s="44">
        <f t="shared" si="3"/>
        <v>0</v>
      </c>
      <c r="L35" s="44">
        <f t="shared" si="3"/>
        <v>0</v>
      </c>
      <c r="M35" s="44">
        <f t="shared" si="3"/>
        <v>0</v>
      </c>
      <c r="N35" s="44">
        <f t="shared" si="3"/>
        <v>0</v>
      </c>
      <c r="O35" s="44">
        <f t="shared" si="3"/>
        <v>0</v>
      </c>
      <c r="P35" s="44">
        <f t="shared" si="3"/>
        <v>0</v>
      </c>
      <c r="Q35" s="44">
        <f t="shared" si="3"/>
        <v>0</v>
      </c>
      <c r="R35" s="44">
        <f t="shared" si="3"/>
        <v>0</v>
      </c>
      <c r="S35" s="44"/>
    </row>
    <row r="36" spans="1:19" ht="15.75" customHeight="1" outlineLevel="1">
      <c r="A36" s="1" t="s">
        <v>336</v>
      </c>
      <c r="C36" s="143"/>
      <c r="E36" s="9" t="str">
        <f>_xll.DBRW(Server&amp;"}ElementAttributes_Indicator",A36,"code_English")</f>
        <v>Nb_Maintenance_team - Number of Maintenance collaborators</v>
      </c>
      <c r="F36" s="113">
        <f>IF(Flag_Send_Data="Restit",_xll.DBRW($C$1,$C$2,$C$3,$C$4,$C$6,$C$5,$C$7,F$1,F$2,$A36),_xll.DBSS(Input!F36,Input_DBS!$E$1,Input!$C$2,Input!$C$3,Input!$C$4,Input!$C$5,Input!$C$7,F$1,F$2,Input!$A36))</f>
        <v>0</v>
      </c>
      <c r="G36" s="113">
        <f>IF(Flag_Send_Data="Restit",_xll.DBRW($C$1,$C$2,$C$3,$C$4,$C$6,$C$5,$C$7,G$1,G$2,$A36),_xll.DBSS(Input!G36,Input_DBS!$E$1,Input!$C$2,Input!$C$3,Input!$C$4,Input!$C$5,Input!$C$7,G$1,G$2,Input!$A36))</f>
        <v>0</v>
      </c>
      <c r="H36" s="113">
        <f>IF(Flag_Send_Data="Restit",_xll.DBRW($C$1,$C$2,$C$3,$C$4,$C$6,$C$5,$C$7,H$1,H$2,$A36),_xll.DBSS(Input!H36,Input_DBS!$E$1,Input!$C$2,Input!$C$3,Input!$C$4,Input!$C$5,Input!$C$7,H$1,H$2,Input!$A36))</f>
        <v>0</v>
      </c>
      <c r="I36" s="113">
        <f>IF(Flag_Send_Data="Restit",_xll.DBRW($C$1,$C$2,$C$3,$C$4,$C$6,$C$5,$C$7,I$1,I$2,$A36),_xll.DBSS(Input!I36,Input_DBS!$E$1,Input!$C$2,Input!$C$3,Input!$C$4,Input!$C$5,Input!$C$7,I$1,I$2,Input!$A36))</f>
        <v>0</v>
      </c>
      <c r="J36" s="113">
        <f>IF(Flag_Send_Data="Restit",_xll.DBRW($C$1,$C$2,$C$3,$C$4,$C$6,$C$5,$C$7,J$1,J$2,$A36),_xll.DBSS(Input!J36,Input_DBS!$E$1,Input!$C$2,Input!$C$3,Input!$C$4,Input!$C$5,Input!$C$7,J$1,J$2,Input!$A36))</f>
        <v>0</v>
      </c>
      <c r="K36" s="113">
        <f>IF(Flag_Send_Data="Restit",_xll.DBRW($C$1,$C$2,$C$3,$C$4,$C$6,$C$5,$C$7,K$1,K$2,$A36),_xll.DBSS(Input!K36,Input_DBS!$E$1,Input!$C$2,Input!$C$3,Input!$C$4,Input!$C$5,Input!$C$7,K$1,K$2,Input!$A36))</f>
        <v>0</v>
      </c>
      <c r="L36" s="113">
        <f>IF(Flag_Send_Data="Restit",_xll.DBRW($C$1,$C$2,$C$3,$C$4,$C$6,$C$5,$C$7,L$1,L$2,$A36),_xll.DBSS(Input!L36,Input_DBS!$E$1,Input!$C$2,Input!$C$3,Input!$C$4,Input!$C$5,Input!$C$7,L$1,L$2,Input!$A36))</f>
        <v>0</v>
      </c>
      <c r="M36" s="113">
        <f>IF(Flag_Send_Data="Restit",_xll.DBRW($C$1,$C$2,$C$3,$C$4,$C$6,$C$5,$C$7,M$1,M$2,$A36),_xll.DBSS(Input!M36,Input_DBS!$E$1,Input!$C$2,Input!$C$3,Input!$C$4,Input!$C$5,Input!$C$7,M$1,M$2,Input!$A36))</f>
        <v>0</v>
      </c>
      <c r="N36" s="113">
        <f>IF(Flag_Send_Data="Restit",_xll.DBRW($C$1,$C$2,$C$3,$C$4,$C$6,$C$5,$C$7,N$1,N$2,$A36),_xll.DBSS(Input!N36,Input_DBS!$E$1,Input!$C$2,Input!$C$3,Input!$C$4,Input!$C$5,Input!$C$7,N$1,N$2,Input!$A36))</f>
        <v>0</v>
      </c>
      <c r="O36" s="113">
        <f>IF(Flag_Send_Data="Restit",_xll.DBRW($C$1,$C$2,$C$3,$C$4,$C$6,$C$5,$C$7,O$1,O$2,$A36),_xll.DBSS(Input!O36,Input_DBS!$E$1,Input!$C$2,Input!$C$3,Input!$C$4,Input!$C$5,Input!$C$7,O$1,O$2,Input!$A36))</f>
        <v>0</v>
      </c>
      <c r="P36" s="113">
        <f>IF(Flag_Send_Data="Restit",_xll.DBRW($C$1,$C$2,$C$3,$C$4,$C$6,$C$5,$C$7,P$1,P$2,$A36),_xll.DBSS(Input!P36,Input_DBS!$E$1,Input!$C$2,Input!$C$3,Input!$C$4,Input!$C$5,Input!$C$7,P$1,P$2,Input!$A36))</f>
        <v>0</v>
      </c>
      <c r="Q36" s="113">
        <f>IF(Flag_Send_Data="Restit",_xll.DBRW($C$1,$C$2,$C$3,$C$4,$C$6,$C$5,$C$7,Q$1,Q$2,$A36),_xll.DBSS(Input!Q36,Input_DBS!$E$1,Input!$C$2,Input!$C$3,Input!$C$4,Input!$C$5,Input!$C$7,Q$1,Q$2,Input!$A36))</f>
        <v>0</v>
      </c>
      <c r="R36" s="113">
        <f>IF(Flag_Send_Data="Restit",_xll.DBRW($C$1,$C$2,$C$3,$C$4,$C$6,$C$5,$C$7,R$1,R$2,$A36),_xll.DBSS(Input!R36,Input_DBS!$E$1,Input!$C$2,Input!$C$3,Input!$C$4,Input!$C$5,Input!$C$7,R$1,R$2,Input!$A36))</f>
        <v>0</v>
      </c>
      <c r="S36" s="113"/>
    </row>
    <row r="37" spans="1:19" ht="15.75" customHeight="1" outlineLevel="1">
      <c r="A37" s="1" t="s">
        <v>349</v>
      </c>
      <c r="C37" s="143"/>
      <c r="E37" s="9" t="str">
        <f>_xll.DBRW(Server&amp;"}ElementAttributes_Indicator",A37,"code_English")</f>
        <v>Nb_FTE_Maintenance_Technicians - Number of FTE Technicians</v>
      </c>
      <c r="F37" s="113">
        <f>IF(Flag_Send_Data="Restit",_xll.DBRW($C$1,$C$2,$C$3,$C$4,$C$6,$C$5,$C$7,F$1,F$2,$A37),_xll.DBSS(Input!F37,Input_DBS!$E$1,Input!$C$2,Input!$C$3,Input!$C$4,Input!$C$5,Input!$C$7,F$1,F$2,Input!$A37))</f>
        <v>0</v>
      </c>
      <c r="G37" s="113">
        <f>IF(Flag_Send_Data="Restit",_xll.DBRW($C$1,$C$2,$C$3,$C$4,$C$6,$C$5,$C$7,G$1,G$2,$A37),_xll.DBSS(Input!G37,Input_DBS!$E$1,Input!$C$2,Input!$C$3,Input!$C$4,Input!$C$5,Input!$C$7,G$1,G$2,Input!$A37))</f>
        <v>0</v>
      </c>
      <c r="H37" s="113">
        <f>IF(Flag_Send_Data="Restit",_xll.DBRW($C$1,$C$2,$C$3,$C$4,$C$6,$C$5,$C$7,H$1,H$2,$A37),_xll.DBSS(Input!H37,Input_DBS!$E$1,Input!$C$2,Input!$C$3,Input!$C$4,Input!$C$5,Input!$C$7,H$1,H$2,Input!$A37))</f>
        <v>0</v>
      </c>
      <c r="I37" s="113">
        <f>IF(Flag_Send_Data="Restit",_xll.DBRW($C$1,$C$2,$C$3,$C$4,$C$6,$C$5,$C$7,I$1,I$2,$A37),_xll.DBSS(Input!I37,Input_DBS!$E$1,Input!$C$2,Input!$C$3,Input!$C$4,Input!$C$5,Input!$C$7,I$1,I$2,Input!$A37))</f>
        <v>0</v>
      </c>
      <c r="J37" s="113">
        <f>IF(Flag_Send_Data="Restit",_xll.DBRW($C$1,$C$2,$C$3,$C$4,$C$6,$C$5,$C$7,J$1,J$2,$A37),_xll.DBSS(Input!J37,Input_DBS!$E$1,Input!$C$2,Input!$C$3,Input!$C$4,Input!$C$5,Input!$C$7,J$1,J$2,Input!$A37))</f>
        <v>0</v>
      </c>
      <c r="K37" s="113">
        <f>IF(Flag_Send_Data="Restit",_xll.DBRW($C$1,$C$2,$C$3,$C$4,$C$6,$C$5,$C$7,K$1,K$2,$A37),_xll.DBSS(Input!K37,Input_DBS!$E$1,Input!$C$2,Input!$C$3,Input!$C$4,Input!$C$5,Input!$C$7,K$1,K$2,Input!$A37))</f>
        <v>0</v>
      </c>
      <c r="L37" s="113">
        <f>IF(Flag_Send_Data="Restit",_xll.DBRW($C$1,$C$2,$C$3,$C$4,$C$6,$C$5,$C$7,L$1,L$2,$A37),_xll.DBSS(Input!L37,Input_DBS!$E$1,Input!$C$2,Input!$C$3,Input!$C$4,Input!$C$5,Input!$C$7,L$1,L$2,Input!$A37))</f>
        <v>0</v>
      </c>
      <c r="M37" s="113">
        <f>IF(Flag_Send_Data="Restit",_xll.DBRW($C$1,$C$2,$C$3,$C$4,$C$6,$C$5,$C$7,M$1,M$2,$A37),_xll.DBSS(Input!M37,Input_DBS!$E$1,Input!$C$2,Input!$C$3,Input!$C$4,Input!$C$5,Input!$C$7,M$1,M$2,Input!$A37))</f>
        <v>0</v>
      </c>
      <c r="N37" s="113">
        <f>IF(Flag_Send_Data="Restit",_xll.DBRW($C$1,$C$2,$C$3,$C$4,$C$6,$C$5,$C$7,N$1,N$2,$A37),_xll.DBSS(Input!N37,Input_DBS!$E$1,Input!$C$2,Input!$C$3,Input!$C$4,Input!$C$5,Input!$C$7,N$1,N$2,Input!$A37))</f>
        <v>0</v>
      </c>
      <c r="O37" s="113">
        <f>IF(Flag_Send_Data="Restit",_xll.DBRW($C$1,$C$2,$C$3,$C$4,$C$6,$C$5,$C$7,O$1,O$2,$A37),_xll.DBSS(Input!O37,Input_DBS!$E$1,Input!$C$2,Input!$C$3,Input!$C$4,Input!$C$5,Input!$C$7,O$1,O$2,Input!$A37))</f>
        <v>0</v>
      </c>
      <c r="P37" s="113">
        <f>IF(Flag_Send_Data="Restit",_xll.DBRW($C$1,$C$2,$C$3,$C$4,$C$6,$C$5,$C$7,P$1,P$2,$A37),_xll.DBSS(Input!P37,Input_DBS!$E$1,Input!$C$2,Input!$C$3,Input!$C$4,Input!$C$5,Input!$C$7,P$1,P$2,Input!$A37))</f>
        <v>0</v>
      </c>
      <c r="Q37" s="113">
        <f>IF(Flag_Send_Data="Restit",_xll.DBRW($C$1,$C$2,$C$3,$C$4,$C$6,$C$5,$C$7,Q$1,Q$2,$A37),_xll.DBSS(Input!Q37,Input_DBS!$E$1,Input!$C$2,Input!$C$3,Input!$C$4,Input!$C$5,Input!$C$7,Q$1,Q$2,Input!$A37))</f>
        <v>0</v>
      </c>
      <c r="R37" s="113">
        <f>IF(Flag_Send_Data="Restit",_xll.DBRW($C$1,$C$2,$C$3,$C$4,$C$6,$C$5,$C$7,R$1,R$2,$A37),_xll.DBSS(Input!R37,Input_DBS!$E$1,Input!$C$2,Input!$C$3,Input!$C$4,Input!$C$5,Input!$C$7,R$1,R$2,Input!$A37))</f>
        <v>0</v>
      </c>
      <c r="S37" s="113"/>
    </row>
    <row r="38" spans="1:19" ht="15.75">
      <c r="A38" s="1" t="s">
        <v>127</v>
      </c>
      <c r="C38" s="143"/>
      <c r="E38" s="15" t="s">
        <v>81</v>
      </c>
      <c r="F38" s="44">
        <f t="shared" ref="F38:R38" si="4">SUM(F36:F37)</f>
        <v>0</v>
      </c>
      <c r="G38" s="44">
        <f t="shared" si="4"/>
        <v>0</v>
      </c>
      <c r="H38" s="44">
        <f t="shared" si="4"/>
        <v>0</v>
      </c>
      <c r="I38" s="44">
        <f t="shared" si="4"/>
        <v>0</v>
      </c>
      <c r="J38" s="44">
        <f t="shared" si="4"/>
        <v>0</v>
      </c>
      <c r="K38" s="44">
        <f t="shared" si="4"/>
        <v>0</v>
      </c>
      <c r="L38" s="44">
        <f t="shared" si="4"/>
        <v>0</v>
      </c>
      <c r="M38" s="44">
        <f t="shared" si="4"/>
        <v>0</v>
      </c>
      <c r="N38" s="44">
        <f t="shared" si="4"/>
        <v>0</v>
      </c>
      <c r="O38" s="44">
        <f t="shared" si="4"/>
        <v>0</v>
      </c>
      <c r="P38" s="44">
        <f t="shared" si="4"/>
        <v>0</v>
      </c>
      <c r="Q38" s="44">
        <f t="shared" si="4"/>
        <v>0</v>
      </c>
      <c r="R38" s="44">
        <f t="shared" si="4"/>
        <v>0</v>
      </c>
      <c r="S38" s="44"/>
    </row>
    <row r="39" spans="1:19" ht="15.75" customHeight="1" outlineLevel="1">
      <c r="A39" s="1" t="s">
        <v>350</v>
      </c>
      <c r="C39" s="143"/>
      <c r="E39" s="9" t="str">
        <f>_xll.DBRW(Server&amp;"}ElementAttributes_Indicator",A39,"code_English")</f>
        <v>Nb_FTE_Operations_Others - Number of FTE Other Operation Staff</v>
      </c>
      <c r="F39" s="113">
        <f>IF(Flag_Send_Data="Restit",_xll.DBRW($C$1,$C$2,$C$3,$C$4,$C$6,$C$5,$C$7,F$1,F$2,$A39),_xll.DBSS(Input!F39,Input_DBS!$E$1,Input!$C$2,Input!$C$3,Input!$C$4,Input!$C$5,Input!$C$7,F$1,F$2,Input!$A39))</f>
        <v>0</v>
      </c>
      <c r="G39" s="113">
        <f>IF(Flag_Send_Data="Restit",_xll.DBRW($C$1,$C$2,$C$3,$C$4,$C$6,$C$5,$C$7,G$1,G$2,$A39),_xll.DBSS(Input!G39,Input_DBS!$E$1,Input!$C$2,Input!$C$3,Input!$C$4,Input!$C$5,Input!$C$7,G$1,G$2,Input!$A39))</f>
        <v>0</v>
      </c>
      <c r="H39" s="113">
        <f>IF(Flag_Send_Data="Restit",_xll.DBRW($C$1,$C$2,$C$3,$C$4,$C$6,$C$5,$C$7,H$1,H$2,$A39),_xll.DBSS(Input!H39,Input_DBS!$E$1,Input!$C$2,Input!$C$3,Input!$C$4,Input!$C$5,Input!$C$7,H$1,H$2,Input!$A39))</f>
        <v>0</v>
      </c>
      <c r="I39" s="113">
        <f>IF(Flag_Send_Data="Restit",_xll.DBRW($C$1,$C$2,$C$3,$C$4,$C$6,$C$5,$C$7,I$1,I$2,$A39),_xll.DBSS(Input!I39,Input_DBS!$E$1,Input!$C$2,Input!$C$3,Input!$C$4,Input!$C$5,Input!$C$7,I$1,I$2,Input!$A39))</f>
        <v>0</v>
      </c>
      <c r="J39" s="113">
        <f>IF(Flag_Send_Data="Restit",_xll.DBRW($C$1,$C$2,$C$3,$C$4,$C$6,$C$5,$C$7,J$1,J$2,$A39),_xll.DBSS(Input!J39,Input_DBS!$E$1,Input!$C$2,Input!$C$3,Input!$C$4,Input!$C$5,Input!$C$7,J$1,J$2,Input!$A39))</f>
        <v>0</v>
      </c>
      <c r="K39" s="113">
        <f>IF(Flag_Send_Data="Restit",_xll.DBRW($C$1,$C$2,$C$3,$C$4,$C$6,$C$5,$C$7,K$1,K$2,$A39),_xll.DBSS(Input!K39,Input_DBS!$E$1,Input!$C$2,Input!$C$3,Input!$C$4,Input!$C$5,Input!$C$7,K$1,K$2,Input!$A39))</f>
        <v>0</v>
      </c>
      <c r="L39" s="113">
        <f>IF(Flag_Send_Data="Restit",_xll.DBRW($C$1,$C$2,$C$3,$C$4,$C$6,$C$5,$C$7,L$1,L$2,$A39),_xll.DBSS(Input!L39,Input_DBS!$E$1,Input!$C$2,Input!$C$3,Input!$C$4,Input!$C$5,Input!$C$7,L$1,L$2,Input!$A39))</f>
        <v>0</v>
      </c>
      <c r="M39" s="113">
        <f>IF(Flag_Send_Data="Restit",_xll.DBRW($C$1,$C$2,$C$3,$C$4,$C$6,$C$5,$C$7,M$1,M$2,$A39),_xll.DBSS(Input!M39,Input_DBS!$E$1,Input!$C$2,Input!$C$3,Input!$C$4,Input!$C$5,Input!$C$7,M$1,M$2,Input!$A39))</f>
        <v>0</v>
      </c>
      <c r="N39" s="113">
        <f>IF(Flag_Send_Data="Restit",_xll.DBRW($C$1,$C$2,$C$3,$C$4,$C$6,$C$5,$C$7,N$1,N$2,$A39),_xll.DBSS(Input!N39,Input_DBS!$E$1,Input!$C$2,Input!$C$3,Input!$C$4,Input!$C$5,Input!$C$7,N$1,N$2,Input!$A39))</f>
        <v>0</v>
      </c>
      <c r="O39" s="113">
        <f>IF(Flag_Send_Data="Restit",_xll.DBRW($C$1,$C$2,$C$3,$C$4,$C$6,$C$5,$C$7,O$1,O$2,$A39),_xll.DBSS(Input!O39,Input_DBS!$E$1,Input!$C$2,Input!$C$3,Input!$C$4,Input!$C$5,Input!$C$7,O$1,O$2,Input!$A39))</f>
        <v>0</v>
      </c>
      <c r="P39" s="113">
        <f>IF(Flag_Send_Data="Restit",_xll.DBRW($C$1,$C$2,$C$3,$C$4,$C$6,$C$5,$C$7,P$1,P$2,$A39),_xll.DBSS(Input!P39,Input_DBS!$E$1,Input!$C$2,Input!$C$3,Input!$C$4,Input!$C$5,Input!$C$7,P$1,P$2,Input!$A39))</f>
        <v>0</v>
      </c>
      <c r="Q39" s="113">
        <f>IF(Flag_Send_Data="Restit",_xll.DBRW($C$1,$C$2,$C$3,$C$4,$C$6,$C$5,$C$7,Q$1,Q$2,$A39),_xll.DBSS(Input!Q39,Input_DBS!$E$1,Input!$C$2,Input!$C$3,Input!$C$4,Input!$C$5,Input!$C$7,Q$1,Q$2,Input!$A39))</f>
        <v>0</v>
      </c>
      <c r="R39" s="113">
        <f>IF(Flag_Send_Data="Restit",_xll.DBRW($C$1,$C$2,$C$3,$C$4,$C$6,$C$5,$C$7,R$1,R$2,$A39),_xll.DBSS(Input!R39,Input_DBS!$E$1,Input!$C$2,Input!$C$3,Input!$C$4,Input!$C$5,Input!$C$7,R$1,R$2,Input!$A39))</f>
        <v>0</v>
      </c>
      <c r="S39" s="113"/>
    </row>
    <row r="40" spans="1:19" ht="15.75">
      <c r="A40" s="1" t="s">
        <v>127</v>
      </c>
      <c r="C40" s="143"/>
      <c r="E40" s="78" t="s">
        <v>82</v>
      </c>
      <c r="F40" s="44">
        <f t="shared" ref="F40:R40" si="5">SUM(F39)</f>
        <v>0</v>
      </c>
      <c r="G40" s="44">
        <f t="shared" si="5"/>
        <v>0</v>
      </c>
      <c r="H40" s="44">
        <f t="shared" si="5"/>
        <v>0</v>
      </c>
      <c r="I40" s="44">
        <f t="shared" si="5"/>
        <v>0</v>
      </c>
      <c r="J40" s="44">
        <f t="shared" si="5"/>
        <v>0</v>
      </c>
      <c r="K40" s="44">
        <f t="shared" si="5"/>
        <v>0</v>
      </c>
      <c r="L40" s="44">
        <f t="shared" si="5"/>
        <v>0</v>
      </c>
      <c r="M40" s="44">
        <f t="shared" si="5"/>
        <v>0</v>
      </c>
      <c r="N40" s="44">
        <f t="shared" si="5"/>
        <v>0</v>
      </c>
      <c r="O40" s="44">
        <f t="shared" si="5"/>
        <v>0</v>
      </c>
      <c r="P40" s="44">
        <f t="shared" si="5"/>
        <v>0</v>
      </c>
      <c r="Q40" s="44">
        <f t="shared" si="5"/>
        <v>0</v>
      </c>
      <c r="R40" s="44">
        <f t="shared" si="5"/>
        <v>0</v>
      </c>
      <c r="S40" s="44"/>
    </row>
    <row r="41" spans="1:19" ht="15.75" customHeight="1" outlineLevel="1">
      <c r="A41" s="1" t="s">
        <v>351</v>
      </c>
      <c r="C41" s="143"/>
      <c r="E41" s="9" t="str">
        <f>_xll.DBRW(Server&amp;"}ElementAttributes_Indicator",A41,"code_English")</f>
        <v>Nb_FTE_Maintenance_Others - Number of FTE Other Maintenance Staff</v>
      </c>
      <c r="F41" s="113">
        <f>IF(Flag_Send_Data="Restit",_xll.DBRW($C$1,$C$2,$C$3,$C$4,$C$6,$C$5,$C$7,F$1,F$2,$A41),_xll.DBSS(Input!F41,Input_DBS!$E$1,Input!$C$2,Input!$C$3,Input!$C$4,Input!$C$5,Input!$C$7,F$1,F$2,Input!$A41))</f>
        <v>0</v>
      </c>
      <c r="G41" s="113">
        <f>IF(Flag_Send_Data="Restit",_xll.DBRW($C$1,$C$2,$C$3,$C$4,$C$6,$C$5,$C$7,G$1,G$2,$A41),_xll.DBSS(Input!G41,Input_DBS!$E$1,Input!$C$2,Input!$C$3,Input!$C$4,Input!$C$5,Input!$C$7,G$1,G$2,Input!$A41))</f>
        <v>0</v>
      </c>
      <c r="H41" s="113">
        <f>IF(Flag_Send_Data="Restit",_xll.DBRW($C$1,$C$2,$C$3,$C$4,$C$6,$C$5,$C$7,H$1,H$2,$A41),_xll.DBSS(Input!H41,Input_DBS!$E$1,Input!$C$2,Input!$C$3,Input!$C$4,Input!$C$5,Input!$C$7,H$1,H$2,Input!$A41))</f>
        <v>0</v>
      </c>
      <c r="I41" s="113">
        <f>IF(Flag_Send_Data="Restit",_xll.DBRW($C$1,$C$2,$C$3,$C$4,$C$6,$C$5,$C$7,I$1,I$2,$A41),_xll.DBSS(Input!I41,Input_DBS!$E$1,Input!$C$2,Input!$C$3,Input!$C$4,Input!$C$5,Input!$C$7,I$1,I$2,Input!$A41))</f>
        <v>0</v>
      </c>
      <c r="J41" s="113">
        <f>IF(Flag_Send_Data="Restit",_xll.DBRW($C$1,$C$2,$C$3,$C$4,$C$6,$C$5,$C$7,J$1,J$2,$A41),_xll.DBSS(Input!J41,Input_DBS!$E$1,Input!$C$2,Input!$C$3,Input!$C$4,Input!$C$5,Input!$C$7,J$1,J$2,Input!$A41))</f>
        <v>0</v>
      </c>
      <c r="K41" s="113">
        <f>IF(Flag_Send_Data="Restit",_xll.DBRW($C$1,$C$2,$C$3,$C$4,$C$6,$C$5,$C$7,K$1,K$2,$A41),_xll.DBSS(Input!K41,Input_DBS!$E$1,Input!$C$2,Input!$C$3,Input!$C$4,Input!$C$5,Input!$C$7,K$1,K$2,Input!$A41))</f>
        <v>0</v>
      </c>
      <c r="L41" s="113">
        <f>IF(Flag_Send_Data="Restit",_xll.DBRW($C$1,$C$2,$C$3,$C$4,$C$6,$C$5,$C$7,L$1,L$2,$A41),_xll.DBSS(Input!L41,Input_DBS!$E$1,Input!$C$2,Input!$C$3,Input!$C$4,Input!$C$5,Input!$C$7,L$1,L$2,Input!$A41))</f>
        <v>0</v>
      </c>
      <c r="M41" s="113">
        <f>IF(Flag_Send_Data="Restit",_xll.DBRW($C$1,$C$2,$C$3,$C$4,$C$6,$C$5,$C$7,M$1,M$2,$A41),_xll.DBSS(Input!M41,Input_DBS!$E$1,Input!$C$2,Input!$C$3,Input!$C$4,Input!$C$5,Input!$C$7,M$1,M$2,Input!$A41))</f>
        <v>0</v>
      </c>
      <c r="N41" s="113">
        <f>IF(Flag_Send_Data="Restit",_xll.DBRW($C$1,$C$2,$C$3,$C$4,$C$6,$C$5,$C$7,N$1,N$2,$A41),_xll.DBSS(Input!N41,Input_DBS!$E$1,Input!$C$2,Input!$C$3,Input!$C$4,Input!$C$5,Input!$C$7,N$1,N$2,Input!$A41))</f>
        <v>0</v>
      </c>
      <c r="O41" s="113">
        <f>IF(Flag_Send_Data="Restit",_xll.DBRW($C$1,$C$2,$C$3,$C$4,$C$6,$C$5,$C$7,O$1,O$2,$A41),_xll.DBSS(Input!O41,Input_DBS!$E$1,Input!$C$2,Input!$C$3,Input!$C$4,Input!$C$5,Input!$C$7,O$1,O$2,Input!$A41))</f>
        <v>0</v>
      </c>
      <c r="P41" s="113">
        <f>IF(Flag_Send_Data="Restit",_xll.DBRW($C$1,$C$2,$C$3,$C$4,$C$6,$C$5,$C$7,P$1,P$2,$A41),_xll.DBSS(Input!P41,Input_DBS!$E$1,Input!$C$2,Input!$C$3,Input!$C$4,Input!$C$5,Input!$C$7,P$1,P$2,Input!$A41))</f>
        <v>0</v>
      </c>
      <c r="Q41" s="113">
        <f>IF(Flag_Send_Data="Restit",_xll.DBRW($C$1,$C$2,$C$3,$C$4,$C$6,$C$5,$C$7,Q$1,Q$2,$A41),_xll.DBSS(Input!Q41,Input_DBS!$E$1,Input!$C$2,Input!$C$3,Input!$C$4,Input!$C$5,Input!$C$7,Q$1,Q$2,Input!$A41))</f>
        <v>0</v>
      </c>
      <c r="R41" s="113">
        <f>IF(Flag_Send_Data="Restit",_xll.DBRW($C$1,$C$2,$C$3,$C$4,$C$6,$C$5,$C$7,R$1,R$2,$A41),_xll.DBSS(Input!R41,Input_DBS!$E$1,Input!$C$2,Input!$C$3,Input!$C$4,Input!$C$5,Input!$C$7,R$1,R$2,Input!$A41))</f>
        <v>0</v>
      </c>
      <c r="S41" s="113"/>
    </row>
    <row r="42" spans="1:19" ht="15.75">
      <c r="A42" s="1" t="s">
        <v>127</v>
      </c>
      <c r="C42" s="143"/>
      <c r="E42" s="78" t="s">
        <v>83</v>
      </c>
      <c r="F42" s="43">
        <f t="shared" ref="F42:R42" si="6">SUM(F41)</f>
        <v>0</v>
      </c>
      <c r="G42" s="43">
        <f t="shared" si="6"/>
        <v>0</v>
      </c>
      <c r="H42" s="43">
        <f t="shared" si="6"/>
        <v>0</v>
      </c>
      <c r="I42" s="43">
        <f t="shared" si="6"/>
        <v>0</v>
      </c>
      <c r="J42" s="43">
        <f t="shared" si="6"/>
        <v>0</v>
      </c>
      <c r="K42" s="43">
        <f t="shared" si="6"/>
        <v>0</v>
      </c>
      <c r="L42" s="43">
        <f t="shared" si="6"/>
        <v>0</v>
      </c>
      <c r="M42" s="43">
        <f t="shared" si="6"/>
        <v>0</v>
      </c>
      <c r="N42" s="43">
        <f t="shared" si="6"/>
        <v>0</v>
      </c>
      <c r="O42" s="43">
        <f t="shared" si="6"/>
        <v>0</v>
      </c>
      <c r="P42" s="43">
        <f t="shared" si="6"/>
        <v>0</v>
      </c>
      <c r="Q42" s="43">
        <f t="shared" si="6"/>
        <v>0</v>
      </c>
      <c r="R42" s="43">
        <f t="shared" si="6"/>
        <v>0</v>
      </c>
      <c r="S42" s="43"/>
    </row>
    <row r="43" spans="1:19" ht="15.75" customHeight="1" outlineLevel="1">
      <c r="A43" s="1" t="s">
        <v>337</v>
      </c>
      <c r="C43" s="143"/>
      <c r="E43" s="9" t="str">
        <f>_xll.DBRW(Server&amp;"}ElementAttributes_Indicator",A43,"code_English")</f>
        <v>Nb_FTE - Number of Full Time Equivalent</v>
      </c>
      <c r="F43" s="113">
        <f>IF(Flag_Send_Data="Restit",_xll.DBRW($C$1,$C$2,$C$3,$C$4,$C$6,$C$5,$C$7,F$1,F$2,$A43),_xll.DBSS(Input!F43,Input_DBS!$E$1,Input!$C$2,Input!$C$3,Input!$C$4,Input!$C$5,Input!$C$7,F$1,F$2,Input!$A43))</f>
        <v>27744.035745039775</v>
      </c>
      <c r="G43" s="113">
        <f>IF(Flag_Send_Data="Restit",_xll.DBRW($C$1,$C$2,$C$3,$C$4,$C$6,$C$5,$C$7,G$1,G$2,$A43),_xll.DBSS(Input!G43,Input_DBS!$E$1,Input!$C$2,Input!$C$3,Input!$C$4,Input!$C$5,Input!$C$7,G$1,G$2,Input!$A43))</f>
        <v>0</v>
      </c>
      <c r="H43" s="113">
        <f>IF(Flag_Send_Data="Restit",_xll.DBRW($C$1,$C$2,$C$3,$C$4,$C$6,$C$5,$C$7,H$1,H$2,$A43),_xll.DBSS(Input!H43,Input_DBS!$E$1,Input!$C$2,Input!$C$3,Input!$C$4,Input!$C$5,Input!$C$7,H$1,H$2,Input!$A43))</f>
        <v>0</v>
      </c>
      <c r="I43" s="113">
        <f>IF(Flag_Send_Data="Restit",_xll.DBRW($C$1,$C$2,$C$3,$C$4,$C$6,$C$5,$C$7,I$1,I$2,$A43),_xll.DBSS(Input!I43,Input_DBS!$E$1,Input!$C$2,Input!$C$3,Input!$C$4,Input!$C$5,Input!$C$7,I$1,I$2,Input!$A43))</f>
        <v>0</v>
      </c>
      <c r="J43" s="113">
        <f>IF(Flag_Send_Data="Restit",_xll.DBRW($C$1,$C$2,$C$3,$C$4,$C$6,$C$5,$C$7,J$1,J$2,$A43),_xll.DBSS(Input!J43,Input_DBS!$E$1,Input!$C$2,Input!$C$3,Input!$C$4,Input!$C$5,Input!$C$7,J$1,J$2,Input!$A43))</f>
        <v>0</v>
      </c>
      <c r="K43" s="113">
        <f>IF(Flag_Send_Data="Restit",_xll.DBRW($C$1,$C$2,$C$3,$C$4,$C$6,$C$5,$C$7,K$1,K$2,$A43),_xll.DBSS(Input!K43,Input_DBS!$E$1,Input!$C$2,Input!$C$3,Input!$C$4,Input!$C$5,Input!$C$7,K$1,K$2,Input!$A43))</f>
        <v>0</v>
      </c>
      <c r="L43" s="113">
        <f>IF(Flag_Send_Data="Restit",_xll.DBRW($C$1,$C$2,$C$3,$C$4,$C$6,$C$5,$C$7,L$1,L$2,$A43),_xll.DBSS(Input!L43,Input_DBS!$E$1,Input!$C$2,Input!$C$3,Input!$C$4,Input!$C$5,Input!$C$7,L$1,L$2,Input!$A43))</f>
        <v>0</v>
      </c>
      <c r="M43" s="113">
        <f>IF(Flag_Send_Data="Restit",_xll.DBRW($C$1,$C$2,$C$3,$C$4,$C$6,$C$5,$C$7,M$1,M$2,$A43),_xll.DBSS(Input!M43,Input_DBS!$E$1,Input!$C$2,Input!$C$3,Input!$C$4,Input!$C$5,Input!$C$7,M$1,M$2,Input!$A43))</f>
        <v>0</v>
      </c>
      <c r="N43" s="113">
        <f>IF(Flag_Send_Data="Restit",_xll.DBRW($C$1,$C$2,$C$3,$C$4,$C$6,$C$5,$C$7,N$1,N$2,$A43),_xll.DBSS(Input!N43,Input_DBS!$E$1,Input!$C$2,Input!$C$3,Input!$C$4,Input!$C$5,Input!$C$7,N$1,N$2,Input!$A43))</f>
        <v>0</v>
      </c>
      <c r="O43" s="113">
        <f>IF(Flag_Send_Data="Restit",_xll.DBRW($C$1,$C$2,$C$3,$C$4,$C$6,$C$5,$C$7,O$1,O$2,$A43),_xll.DBSS(Input!O43,Input_DBS!$E$1,Input!$C$2,Input!$C$3,Input!$C$4,Input!$C$5,Input!$C$7,O$1,O$2,Input!$A43))</f>
        <v>0</v>
      </c>
      <c r="P43" s="113">
        <f>IF(Flag_Send_Data="Restit",_xll.DBRW($C$1,$C$2,$C$3,$C$4,$C$6,$C$5,$C$7,P$1,P$2,$A43),_xll.DBSS(Input!P43,Input_DBS!$E$1,Input!$C$2,Input!$C$3,Input!$C$4,Input!$C$5,Input!$C$7,P$1,P$2,Input!$A43))</f>
        <v>0</v>
      </c>
      <c r="Q43" s="113">
        <f>IF(Flag_Send_Data="Restit",_xll.DBRW($C$1,$C$2,$C$3,$C$4,$C$6,$C$5,$C$7,Q$1,Q$2,$A43),_xll.DBSS(Input!Q43,Input_DBS!$E$1,Input!$C$2,Input!$C$3,Input!$C$4,Input!$C$5,Input!$C$7,Q$1,Q$2,Input!$A43))</f>
        <v>0</v>
      </c>
      <c r="R43" s="113">
        <f>IF(Flag_Send_Data="Restit",_xll.DBRW($C$1,$C$2,$C$3,$C$4,$C$6,$C$5,$C$7,R$1,R$2,$A43),_xll.DBSS(Input!R43,Input_DBS!$E$1,Input!$C$2,Input!$C$3,Input!$C$4,Input!$C$5,Input!$C$7,R$1,R$2,Input!$A43))</f>
        <v>0</v>
      </c>
      <c r="S43" s="113"/>
    </row>
    <row r="44" spans="1:19" ht="15.75">
      <c r="A44" s="1" t="s">
        <v>127</v>
      </c>
      <c r="C44" s="143"/>
      <c r="E44" s="79" t="s">
        <v>84</v>
      </c>
      <c r="F44" s="99">
        <f t="shared" ref="F44:R44" si="7">SUM(F43)</f>
        <v>27744.035745039775</v>
      </c>
      <c r="G44" s="99">
        <f t="shared" si="7"/>
        <v>0</v>
      </c>
      <c r="H44" s="99">
        <f t="shared" si="7"/>
        <v>0</v>
      </c>
      <c r="I44" s="99">
        <f t="shared" si="7"/>
        <v>0</v>
      </c>
      <c r="J44" s="99">
        <f t="shared" si="7"/>
        <v>0</v>
      </c>
      <c r="K44" s="99">
        <f t="shared" si="7"/>
        <v>0</v>
      </c>
      <c r="L44" s="99">
        <f t="shared" si="7"/>
        <v>0</v>
      </c>
      <c r="M44" s="99">
        <f t="shared" si="7"/>
        <v>0</v>
      </c>
      <c r="N44" s="99">
        <f t="shared" si="7"/>
        <v>0</v>
      </c>
      <c r="O44" s="99">
        <f t="shared" si="7"/>
        <v>0</v>
      </c>
      <c r="P44" s="99">
        <f t="shared" si="7"/>
        <v>0</v>
      </c>
      <c r="Q44" s="99">
        <f t="shared" si="7"/>
        <v>0</v>
      </c>
      <c r="R44" s="99">
        <f t="shared" si="7"/>
        <v>0</v>
      </c>
      <c r="S44" s="99"/>
    </row>
    <row r="45" spans="1:19" ht="9" customHeight="1">
      <c r="A45" s="1" t="s">
        <v>127</v>
      </c>
      <c r="C45" s="143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3"/>
      <c r="E46" s="9" t="str">
        <f>_xll.DBRW(Server&amp;"}ElementAttributes_Indicator",A46,"code_English")</f>
        <v>Fuel_consu - Fuel consumed (liters)</v>
      </c>
      <c r="F46" s="113">
        <f>IF(Flag_Send_Data="Restit",_xll.DBRW($C$1,$C$2,$C$3,$C$4,$C$6,$C$5,$C$7,F$1,F$2,$A46),_xll.DBSS(Input!F46,Input_DBS!$E$1,Input!$C$2,Input!$C$3,Input!$C$4,Input!$C$5,Input!$C$7,F$1,F$2,Input!$A46))</f>
        <v>12315263.157288115</v>
      </c>
      <c r="G46" s="113">
        <f>IF(Flag_Send_Data="Restit",_xll.DBRW($C$1,$C$2,$C$3,$C$4,$C$6,$C$5,$C$7,G$1,G$2,$A46),_xll.DBSS(Input!G46,Input_DBS!$E$1,Input!$C$2,Input!$C$3,Input!$C$4,Input!$C$5,Input!$C$7,G$1,G$2,Input!$A46))</f>
        <v>0</v>
      </c>
      <c r="H46" s="113">
        <f>IF(Flag_Send_Data="Restit",_xll.DBRW($C$1,$C$2,$C$3,$C$4,$C$6,$C$5,$C$7,H$1,H$2,$A46),_xll.DBSS(Input!H46,Input_DBS!$E$1,Input!$C$2,Input!$C$3,Input!$C$4,Input!$C$5,Input!$C$7,H$1,H$2,Input!$A46))</f>
        <v>0</v>
      </c>
      <c r="I46" s="113">
        <f>IF(Flag_Send_Data="Restit",_xll.DBRW($C$1,$C$2,$C$3,$C$4,$C$6,$C$5,$C$7,I$1,I$2,$A46),_xll.DBSS(Input!I46,Input_DBS!$E$1,Input!$C$2,Input!$C$3,Input!$C$4,Input!$C$5,Input!$C$7,I$1,I$2,Input!$A46))</f>
        <v>0</v>
      </c>
      <c r="J46" s="113">
        <f>IF(Flag_Send_Data="Restit",_xll.DBRW($C$1,$C$2,$C$3,$C$4,$C$6,$C$5,$C$7,J$1,J$2,$A46),_xll.DBSS(Input!J46,Input_DBS!$E$1,Input!$C$2,Input!$C$3,Input!$C$4,Input!$C$5,Input!$C$7,J$1,J$2,Input!$A46))</f>
        <v>0</v>
      </c>
      <c r="K46" s="113">
        <f>IF(Flag_Send_Data="Restit",_xll.DBRW($C$1,$C$2,$C$3,$C$4,$C$6,$C$5,$C$7,K$1,K$2,$A46),_xll.DBSS(Input!K46,Input_DBS!$E$1,Input!$C$2,Input!$C$3,Input!$C$4,Input!$C$5,Input!$C$7,K$1,K$2,Input!$A46))</f>
        <v>0</v>
      </c>
      <c r="L46" s="113">
        <f>IF(Flag_Send_Data="Restit",_xll.DBRW($C$1,$C$2,$C$3,$C$4,$C$6,$C$5,$C$7,L$1,L$2,$A46),_xll.DBSS(Input!L46,Input_DBS!$E$1,Input!$C$2,Input!$C$3,Input!$C$4,Input!$C$5,Input!$C$7,L$1,L$2,Input!$A46))</f>
        <v>0</v>
      </c>
      <c r="M46" s="113">
        <f>IF(Flag_Send_Data="Restit",_xll.DBRW($C$1,$C$2,$C$3,$C$4,$C$6,$C$5,$C$7,M$1,M$2,$A46),_xll.DBSS(Input!M46,Input_DBS!$E$1,Input!$C$2,Input!$C$3,Input!$C$4,Input!$C$5,Input!$C$7,M$1,M$2,Input!$A46))</f>
        <v>0</v>
      </c>
      <c r="N46" s="113">
        <f>IF(Flag_Send_Data="Restit",_xll.DBRW($C$1,$C$2,$C$3,$C$4,$C$6,$C$5,$C$7,N$1,N$2,$A46),_xll.DBSS(Input!N46,Input_DBS!$E$1,Input!$C$2,Input!$C$3,Input!$C$4,Input!$C$5,Input!$C$7,N$1,N$2,Input!$A46))</f>
        <v>0</v>
      </c>
      <c r="O46" s="113">
        <f>IF(Flag_Send_Data="Restit",_xll.DBRW($C$1,$C$2,$C$3,$C$4,$C$6,$C$5,$C$7,O$1,O$2,$A46),_xll.DBSS(Input!O46,Input_DBS!$E$1,Input!$C$2,Input!$C$3,Input!$C$4,Input!$C$5,Input!$C$7,O$1,O$2,Input!$A46))</f>
        <v>0</v>
      </c>
      <c r="P46" s="113">
        <f>IF(Flag_Send_Data="Restit",_xll.DBRW($C$1,$C$2,$C$3,$C$4,$C$6,$C$5,$C$7,P$1,P$2,$A46),_xll.DBSS(Input!P46,Input_DBS!$E$1,Input!$C$2,Input!$C$3,Input!$C$4,Input!$C$5,Input!$C$7,P$1,P$2,Input!$A46))</f>
        <v>0</v>
      </c>
      <c r="Q46" s="113">
        <f>IF(Flag_Send_Data="Restit",_xll.DBRW($C$1,$C$2,$C$3,$C$4,$C$6,$C$5,$C$7,Q$1,Q$2,$A46),_xll.DBSS(Input!Q46,Input_DBS!$E$1,Input!$C$2,Input!$C$3,Input!$C$4,Input!$C$5,Input!$C$7,Q$1,Q$2,Input!$A46))</f>
        <v>0</v>
      </c>
      <c r="R46" s="113">
        <f>IF(Flag_Send_Data="Restit",_xll.DBRW($C$1,$C$2,$C$3,$C$4,$C$6,$C$5,$C$7,R$1,R$2,$A46),_xll.DBSS(Input!R46,Input_DBS!$E$1,Input!$C$2,Input!$C$3,Input!$C$4,Input!$C$5,Input!$C$7,R$1,R$2,Input!$A46))</f>
        <v>0</v>
      </c>
      <c r="S46" s="113"/>
    </row>
    <row r="47" spans="1:19" ht="15.75">
      <c r="A47" s="1" t="s">
        <v>127</v>
      </c>
      <c r="C47" s="143"/>
      <c r="E47" s="17" t="s">
        <v>85</v>
      </c>
      <c r="F47" s="42">
        <f t="shared" ref="F47:Q47" si="8">SUM(F46)</f>
        <v>12315263.157288115</v>
      </c>
      <c r="G47" s="42">
        <f t="shared" si="8"/>
        <v>0</v>
      </c>
      <c r="H47" s="42">
        <f t="shared" si="8"/>
        <v>0</v>
      </c>
      <c r="I47" s="42">
        <f t="shared" si="8"/>
        <v>0</v>
      </c>
      <c r="J47" s="42">
        <f t="shared" si="8"/>
        <v>0</v>
      </c>
      <c r="K47" s="42">
        <f t="shared" si="8"/>
        <v>0</v>
      </c>
      <c r="L47" s="42">
        <f t="shared" si="8"/>
        <v>0</v>
      </c>
      <c r="M47" s="42">
        <f t="shared" si="8"/>
        <v>0</v>
      </c>
      <c r="N47" s="42">
        <f t="shared" si="8"/>
        <v>0</v>
      </c>
      <c r="O47" s="42">
        <f t="shared" si="8"/>
        <v>0</v>
      </c>
      <c r="P47" s="42">
        <f t="shared" si="8"/>
        <v>0</v>
      </c>
      <c r="Q47" s="42">
        <f t="shared" si="8"/>
        <v>0</v>
      </c>
      <c r="R47" s="42">
        <f>SUM(R46)</f>
        <v>0</v>
      </c>
      <c r="S47" s="42"/>
    </row>
    <row r="48" spans="1:19" ht="15.75" customHeight="1" outlineLevel="1">
      <c r="A48" s="1" t="s">
        <v>339</v>
      </c>
      <c r="C48" s="143"/>
      <c r="E48" s="9" t="str">
        <f>_xll.DBRW(Server&amp;"}ElementAttributes_Indicator",A48,"code_English")</f>
        <v>Biofuel_consu - Biofuel consumed (liters)</v>
      </c>
      <c r="F48" s="113">
        <f>IF(Flag_Send_Data="Restit",_xll.DBRW($C$1,$C$2,$C$3,$C$4,$C$6,$C$5,$C$7,F$1,F$2,$A48),_xll.DBSS(Input!F48,Input_DBS!$E$1,Input!$C$2,Input!$C$3,Input!$C$4,Input!$C$5,Input!$C$7,F$1,F$2,Input!$A48))</f>
        <v>1053776.2999999998</v>
      </c>
      <c r="G48" s="113">
        <f>IF(Flag_Send_Data="Restit",_xll.DBRW($C$1,$C$2,$C$3,$C$4,$C$6,$C$5,$C$7,G$1,G$2,$A48),_xll.DBSS(Input!G48,Input_DBS!$E$1,Input!$C$2,Input!$C$3,Input!$C$4,Input!$C$5,Input!$C$7,G$1,G$2,Input!$A48))</f>
        <v>0</v>
      </c>
      <c r="H48" s="113">
        <f>IF(Flag_Send_Data="Restit",_xll.DBRW($C$1,$C$2,$C$3,$C$4,$C$6,$C$5,$C$7,H$1,H$2,$A48),_xll.DBSS(Input!H48,Input_DBS!$E$1,Input!$C$2,Input!$C$3,Input!$C$4,Input!$C$5,Input!$C$7,H$1,H$2,Input!$A48))</f>
        <v>0</v>
      </c>
      <c r="I48" s="113">
        <f>IF(Flag_Send_Data="Restit",_xll.DBRW($C$1,$C$2,$C$3,$C$4,$C$6,$C$5,$C$7,I$1,I$2,$A48),_xll.DBSS(Input!I48,Input_DBS!$E$1,Input!$C$2,Input!$C$3,Input!$C$4,Input!$C$5,Input!$C$7,I$1,I$2,Input!$A48))</f>
        <v>0</v>
      </c>
      <c r="J48" s="113">
        <f>IF(Flag_Send_Data="Restit",_xll.DBRW($C$1,$C$2,$C$3,$C$4,$C$6,$C$5,$C$7,J$1,J$2,$A48),_xll.DBSS(Input!J48,Input_DBS!$E$1,Input!$C$2,Input!$C$3,Input!$C$4,Input!$C$5,Input!$C$7,J$1,J$2,Input!$A48))</f>
        <v>0</v>
      </c>
      <c r="K48" s="113">
        <f>IF(Flag_Send_Data="Restit",_xll.DBRW($C$1,$C$2,$C$3,$C$4,$C$6,$C$5,$C$7,K$1,K$2,$A48),_xll.DBSS(Input!K48,Input_DBS!$E$1,Input!$C$2,Input!$C$3,Input!$C$4,Input!$C$5,Input!$C$7,K$1,K$2,Input!$A48))</f>
        <v>0</v>
      </c>
      <c r="L48" s="113">
        <f>IF(Flag_Send_Data="Restit",_xll.DBRW($C$1,$C$2,$C$3,$C$4,$C$6,$C$5,$C$7,L$1,L$2,$A48),_xll.DBSS(Input!L48,Input_DBS!$E$1,Input!$C$2,Input!$C$3,Input!$C$4,Input!$C$5,Input!$C$7,L$1,L$2,Input!$A48))</f>
        <v>0</v>
      </c>
      <c r="M48" s="113">
        <f>IF(Flag_Send_Data="Restit",_xll.DBRW($C$1,$C$2,$C$3,$C$4,$C$6,$C$5,$C$7,M$1,M$2,$A48),_xll.DBSS(Input!M48,Input_DBS!$E$1,Input!$C$2,Input!$C$3,Input!$C$4,Input!$C$5,Input!$C$7,M$1,M$2,Input!$A48))</f>
        <v>0</v>
      </c>
      <c r="N48" s="113">
        <f>IF(Flag_Send_Data="Restit",_xll.DBRW($C$1,$C$2,$C$3,$C$4,$C$6,$C$5,$C$7,N$1,N$2,$A48),_xll.DBSS(Input!N48,Input_DBS!$E$1,Input!$C$2,Input!$C$3,Input!$C$4,Input!$C$5,Input!$C$7,N$1,N$2,Input!$A48))</f>
        <v>0</v>
      </c>
      <c r="O48" s="113">
        <f>IF(Flag_Send_Data="Restit",_xll.DBRW($C$1,$C$2,$C$3,$C$4,$C$6,$C$5,$C$7,O$1,O$2,$A48),_xll.DBSS(Input!O48,Input_DBS!$E$1,Input!$C$2,Input!$C$3,Input!$C$4,Input!$C$5,Input!$C$7,O$1,O$2,Input!$A48))</f>
        <v>0</v>
      </c>
      <c r="P48" s="113">
        <f>IF(Flag_Send_Data="Restit",_xll.DBRW($C$1,$C$2,$C$3,$C$4,$C$6,$C$5,$C$7,P$1,P$2,$A48),_xll.DBSS(Input!P48,Input_DBS!$E$1,Input!$C$2,Input!$C$3,Input!$C$4,Input!$C$5,Input!$C$7,P$1,P$2,Input!$A48))</f>
        <v>0</v>
      </c>
      <c r="Q48" s="113">
        <f>IF(Flag_Send_Data="Restit",_xll.DBRW($C$1,$C$2,$C$3,$C$4,$C$6,$C$5,$C$7,Q$1,Q$2,$A48),_xll.DBSS(Input!Q48,Input_DBS!$E$1,Input!$C$2,Input!$C$3,Input!$C$4,Input!$C$5,Input!$C$7,Q$1,Q$2,Input!$A48))</f>
        <v>0</v>
      </c>
      <c r="R48" s="113">
        <f>IF(Flag_Send_Data="Restit",_xll.DBRW($C$1,$C$2,$C$3,$C$4,$C$6,$C$5,$C$7,R$1,R$2,$A48),_xll.DBSS(Input!R48,Input_DBS!$E$1,Input!$C$2,Input!$C$3,Input!$C$4,Input!$C$5,Input!$C$7,R$1,R$2,Input!$A48))</f>
        <v>0</v>
      </c>
      <c r="S48" s="113"/>
    </row>
    <row r="49" spans="1:19" ht="15.75">
      <c r="A49" s="1" t="s">
        <v>127</v>
      </c>
      <c r="C49" s="143"/>
      <c r="E49" s="15" t="s">
        <v>86</v>
      </c>
      <c r="F49" s="44">
        <f t="shared" ref="F49:Q49" si="9">SUM(F48)</f>
        <v>1053776.2999999998</v>
      </c>
      <c r="G49" s="44">
        <f t="shared" si="9"/>
        <v>0</v>
      </c>
      <c r="H49" s="44">
        <f t="shared" si="9"/>
        <v>0</v>
      </c>
      <c r="I49" s="44">
        <f t="shared" si="9"/>
        <v>0</v>
      </c>
      <c r="J49" s="44">
        <f t="shared" si="9"/>
        <v>0</v>
      </c>
      <c r="K49" s="44">
        <f t="shared" si="9"/>
        <v>0</v>
      </c>
      <c r="L49" s="44">
        <f t="shared" si="9"/>
        <v>0</v>
      </c>
      <c r="M49" s="44">
        <f t="shared" si="9"/>
        <v>0</v>
      </c>
      <c r="N49" s="44">
        <f t="shared" si="9"/>
        <v>0</v>
      </c>
      <c r="O49" s="44">
        <f t="shared" si="9"/>
        <v>0</v>
      </c>
      <c r="P49" s="44">
        <f t="shared" si="9"/>
        <v>0</v>
      </c>
      <c r="Q49" s="44">
        <f t="shared" si="9"/>
        <v>0</v>
      </c>
      <c r="R49" s="44">
        <f>SUM(R48)</f>
        <v>0</v>
      </c>
      <c r="S49" s="44"/>
    </row>
    <row r="50" spans="1:19" ht="15.75" customHeight="1" outlineLevel="1">
      <c r="A50" s="1" t="s">
        <v>340</v>
      </c>
      <c r="C50" s="143"/>
      <c r="E50" s="9" t="str">
        <f>_xll.DBRW(Server&amp;"}ElementAttributes_Indicator",A50,"code_English")</f>
        <v>Gas_consu - Gas consumed (kwh)</v>
      </c>
      <c r="F50" s="113">
        <f>IF(Flag_Send_Data="Restit",_xll.DBRW($C$1,$C$2,$C$3,$C$4,$C$6,$C$5,$C$7,F$1,F$2,$A50),_xll.DBSS(Input!F50,Input_DBS!$E$1,Input!$C$2,Input!$C$3,Input!$C$4,Input!$C$5,Input!$C$7,F$1,F$2,Input!$A50))</f>
        <v>43793183.894525304</v>
      </c>
      <c r="G50" s="113">
        <f>IF(Flag_Send_Data="Restit",_xll.DBRW($C$1,$C$2,$C$3,$C$4,$C$6,$C$5,$C$7,G$1,G$2,$A50),_xll.DBSS(Input!G50,Input_DBS!$E$1,Input!$C$2,Input!$C$3,Input!$C$4,Input!$C$5,Input!$C$7,G$1,G$2,Input!$A50))</f>
        <v>0</v>
      </c>
      <c r="H50" s="113">
        <f>IF(Flag_Send_Data="Restit",_xll.DBRW($C$1,$C$2,$C$3,$C$4,$C$6,$C$5,$C$7,H$1,H$2,$A50),_xll.DBSS(Input!H50,Input_DBS!$E$1,Input!$C$2,Input!$C$3,Input!$C$4,Input!$C$5,Input!$C$7,H$1,H$2,Input!$A50))</f>
        <v>0</v>
      </c>
      <c r="I50" s="113">
        <f>IF(Flag_Send_Data="Restit",_xll.DBRW($C$1,$C$2,$C$3,$C$4,$C$6,$C$5,$C$7,I$1,I$2,$A50),_xll.DBSS(Input!I50,Input_DBS!$E$1,Input!$C$2,Input!$C$3,Input!$C$4,Input!$C$5,Input!$C$7,I$1,I$2,Input!$A50))</f>
        <v>0</v>
      </c>
      <c r="J50" s="113">
        <f>IF(Flag_Send_Data="Restit",_xll.DBRW($C$1,$C$2,$C$3,$C$4,$C$6,$C$5,$C$7,J$1,J$2,$A50),_xll.DBSS(Input!J50,Input_DBS!$E$1,Input!$C$2,Input!$C$3,Input!$C$4,Input!$C$5,Input!$C$7,J$1,J$2,Input!$A50))</f>
        <v>0</v>
      </c>
      <c r="K50" s="113">
        <f>IF(Flag_Send_Data="Restit",_xll.DBRW($C$1,$C$2,$C$3,$C$4,$C$6,$C$5,$C$7,K$1,K$2,$A50),_xll.DBSS(Input!K50,Input_DBS!$E$1,Input!$C$2,Input!$C$3,Input!$C$4,Input!$C$5,Input!$C$7,K$1,K$2,Input!$A50))</f>
        <v>0</v>
      </c>
      <c r="L50" s="113">
        <f>IF(Flag_Send_Data="Restit",_xll.DBRW($C$1,$C$2,$C$3,$C$4,$C$6,$C$5,$C$7,L$1,L$2,$A50),_xll.DBSS(Input!L50,Input_DBS!$E$1,Input!$C$2,Input!$C$3,Input!$C$4,Input!$C$5,Input!$C$7,L$1,L$2,Input!$A50))</f>
        <v>0</v>
      </c>
      <c r="M50" s="113">
        <f>IF(Flag_Send_Data="Restit",_xll.DBRW($C$1,$C$2,$C$3,$C$4,$C$6,$C$5,$C$7,M$1,M$2,$A50),_xll.DBSS(Input!M50,Input_DBS!$E$1,Input!$C$2,Input!$C$3,Input!$C$4,Input!$C$5,Input!$C$7,M$1,M$2,Input!$A50))</f>
        <v>0</v>
      </c>
      <c r="N50" s="113">
        <f>IF(Flag_Send_Data="Restit",_xll.DBRW($C$1,$C$2,$C$3,$C$4,$C$6,$C$5,$C$7,N$1,N$2,$A50),_xll.DBSS(Input!N50,Input_DBS!$E$1,Input!$C$2,Input!$C$3,Input!$C$4,Input!$C$5,Input!$C$7,N$1,N$2,Input!$A50))</f>
        <v>0</v>
      </c>
      <c r="O50" s="113">
        <f>IF(Flag_Send_Data="Restit",_xll.DBRW($C$1,$C$2,$C$3,$C$4,$C$6,$C$5,$C$7,O$1,O$2,$A50),_xll.DBSS(Input!O50,Input_DBS!$E$1,Input!$C$2,Input!$C$3,Input!$C$4,Input!$C$5,Input!$C$7,O$1,O$2,Input!$A50))</f>
        <v>0</v>
      </c>
      <c r="P50" s="113">
        <f>IF(Flag_Send_Data="Restit",_xll.DBRW($C$1,$C$2,$C$3,$C$4,$C$6,$C$5,$C$7,P$1,P$2,$A50),_xll.DBSS(Input!P50,Input_DBS!$E$1,Input!$C$2,Input!$C$3,Input!$C$4,Input!$C$5,Input!$C$7,P$1,P$2,Input!$A50))</f>
        <v>0</v>
      </c>
      <c r="Q50" s="113">
        <f>IF(Flag_Send_Data="Restit",_xll.DBRW($C$1,$C$2,$C$3,$C$4,$C$6,$C$5,$C$7,Q$1,Q$2,$A50),_xll.DBSS(Input!Q50,Input_DBS!$E$1,Input!$C$2,Input!$C$3,Input!$C$4,Input!$C$5,Input!$C$7,Q$1,Q$2,Input!$A50))</f>
        <v>0</v>
      </c>
      <c r="R50" s="113">
        <f>IF(Flag_Send_Data="Restit",_xll.DBRW($C$1,$C$2,$C$3,$C$4,$C$6,$C$5,$C$7,R$1,R$2,$A50),_xll.DBSS(Input!R50,Input_DBS!$E$1,Input!$C$2,Input!$C$3,Input!$C$4,Input!$C$5,Input!$C$7,R$1,R$2,Input!$A50))</f>
        <v>0</v>
      </c>
      <c r="S50" s="113"/>
    </row>
    <row r="51" spans="1:19" ht="15.75">
      <c r="A51" s="1" t="s">
        <v>127</v>
      </c>
      <c r="C51" s="143"/>
      <c r="E51" s="15" t="s">
        <v>87</v>
      </c>
      <c r="F51" s="43">
        <f t="shared" ref="F51:Q51" si="10">SUM(F50)</f>
        <v>43793183.894525304</v>
      </c>
      <c r="G51" s="43">
        <f t="shared" si="10"/>
        <v>0</v>
      </c>
      <c r="H51" s="43">
        <f t="shared" si="10"/>
        <v>0</v>
      </c>
      <c r="I51" s="43">
        <f t="shared" si="10"/>
        <v>0</v>
      </c>
      <c r="J51" s="43">
        <f t="shared" si="10"/>
        <v>0</v>
      </c>
      <c r="K51" s="43">
        <f t="shared" si="10"/>
        <v>0</v>
      </c>
      <c r="L51" s="43">
        <f t="shared" si="10"/>
        <v>0</v>
      </c>
      <c r="M51" s="43">
        <f t="shared" si="10"/>
        <v>0</v>
      </c>
      <c r="N51" s="43">
        <f t="shared" si="10"/>
        <v>0</v>
      </c>
      <c r="O51" s="43">
        <f t="shared" si="10"/>
        <v>0</v>
      </c>
      <c r="P51" s="43">
        <f t="shared" si="10"/>
        <v>0</v>
      </c>
      <c r="Q51" s="43">
        <f t="shared" si="10"/>
        <v>0</v>
      </c>
      <c r="R51" s="43">
        <f>SUM(R50)</f>
        <v>0</v>
      </c>
      <c r="S51" s="43"/>
    </row>
    <row r="52" spans="1:19" ht="15.75" customHeight="1" outlineLevel="1">
      <c r="A52" s="1" t="s">
        <v>341</v>
      </c>
      <c r="C52" s="143"/>
      <c r="E52" s="9" t="str">
        <f>_xll.DBRW(Server&amp;"}ElementAttributes_Indicator",A52,"code_English")</f>
        <v>Elec_consu - Electricity consumed (kwh)</v>
      </c>
      <c r="F52" s="113">
        <f>IF(Flag_Send_Data="Restit",_xll.DBRW($C$1,$C$2,$C$3,$C$4,$C$6,$C$5,$C$7,F$1,F$2,$A52),_xll.DBSS(Input!F52,Input_DBS!$E$1,Input!$C$2,Input!$C$3,Input!$C$4,Input!$C$5,Input!$C$7,F$1,F$2,Input!$A52))</f>
        <v>3830638.3899999997</v>
      </c>
      <c r="G52" s="113">
        <f>IF(Flag_Send_Data="Restit",_xll.DBRW($C$1,$C$2,$C$3,$C$4,$C$6,$C$5,$C$7,G$1,G$2,$A52),_xll.DBSS(Input!G52,Input_DBS!$E$1,Input!$C$2,Input!$C$3,Input!$C$4,Input!$C$5,Input!$C$7,G$1,G$2,Input!$A52))</f>
        <v>0</v>
      </c>
      <c r="H52" s="113">
        <f>IF(Flag_Send_Data="Restit",_xll.DBRW($C$1,$C$2,$C$3,$C$4,$C$6,$C$5,$C$7,H$1,H$2,$A52),_xll.DBSS(Input!H52,Input_DBS!$E$1,Input!$C$2,Input!$C$3,Input!$C$4,Input!$C$5,Input!$C$7,H$1,H$2,Input!$A52))</f>
        <v>0</v>
      </c>
      <c r="I52" s="113">
        <f>IF(Flag_Send_Data="Restit",_xll.DBRW($C$1,$C$2,$C$3,$C$4,$C$6,$C$5,$C$7,I$1,I$2,$A52),_xll.DBSS(Input!I52,Input_DBS!$E$1,Input!$C$2,Input!$C$3,Input!$C$4,Input!$C$5,Input!$C$7,I$1,I$2,Input!$A52))</f>
        <v>0</v>
      </c>
      <c r="J52" s="113">
        <f>IF(Flag_Send_Data="Restit",_xll.DBRW($C$1,$C$2,$C$3,$C$4,$C$6,$C$5,$C$7,J$1,J$2,$A52),_xll.DBSS(Input!J52,Input_DBS!$E$1,Input!$C$2,Input!$C$3,Input!$C$4,Input!$C$5,Input!$C$7,J$1,J$2,Input!$A52))</f>
        <v>0</v>
      </c>
      <c r="K52" s="113">
        <f>IF(Flag_Send_Data="Restit",_xll.DBRW($C$1,$C$2,$C$3,$C$4,$C$6,$C$5,$C$7,K$1,K$2,$A52),_xll.DBSS(Input!K52,Input_DBS!$E$1,Input!$C$2,Input!$C$3,Input!$C$4,Input!$C$5,Input!$C$7,K$1,K$2,Input!$A52))</f>
        <v>0</v>
      </c>
      <c r="L52" s="113">
        <f>IF(Flag_Send_Data="Restit",_xll.DBRW($C$1,$C$2,$C$3,$C$4,$C$6,$C$5,$C$7,L$1,L$2,$A52),_xll.DBSS(Input!L52,Input_DBS!$E$1,Input!$C$2,Input!$C$3,Input!$C$4,Input!$C$5,Input!$C$7,L$1,L$2,Input!$A52))</f>
        <v>0</v>
      </c>
      <c r="M52" s="113">
        <f>IF(Flag_Send_Data="Restit",_xll.DBRW($C$1,$C$2,$C$3,$C$4,$C$6,$C$5,$C$7,M$1,M$2,$A52),_xll.DBSS(Input!M52,Input_DBS!$E$1,Input!$C$2,Input!$C$3,Input!$C$4,Input!$C$5,Input!$C$7,M$1,M$2,Input!$A52))</f>
        <v>0</v>
      </c>
      <c r="N52" s="113">
        <f>IF(Flag_Send_Data="Restit",_xll.DBRW($C$1,$C$2,$C$3,$C$4,$C$6,$C$5,$C$7,N$1,N$2,$A52),_xll.DBSS(Input!N52,Input_DBS!$E$1,Input!$C$2,Input!$C$3,Input!$C$4,Input!$C$5,Input!$C$7,N$1,N$2,Input!$A52))</f>
        <v>0</v>
      </c>
      <c r="O52" s="113">
        <f>IF(Flag_Send_Data="Restit",_xll.DBRW($C$1,$C$2,$C$3,$C$4,$C$6,$C$5,$C$7,O$1,O$2,$A52),_xll.DBSS(Input!O52,Input_DBS!$E$1,Input!$C$2,Input!$C$3,Input!$C$4,Input!$C$5,Input!$C$7,O$1,O$2,Input!$A52))</f>
        <v>0</v>
      </c>
      <c r="P52" s="113">
        <f>IF(Flag_Send_Data="Restit",_xll.DBRW($C$1,$C$2,$C$3,$C$4,$C$6,$C$5,$C$7,P$1,P$2,$A52),_xll.DBSS(Input!P52,Input_DBS!$E$1,Input!$C$2,Input!$C$3,Input!$C$4,Input!$C$5,Input!$C$7,P$1,P$2,Input!$A52))</f>
        <v>0</v>
      </c>
      <c r="Q52" s="113">
        <f>IF(Flag_Send_Data="Restit",_xll.DBRW($C$1,$C$2,$C$3,$C$4,$C$6,$C$5,$C$7,Q$1,Q$2,$A52),_xll.DBSS(Input!Q52,Input_DBS!$E$1,Input!$C$2,Input!$C$3,Input!$C$4,Input!$C$5,Input!$C$7,Q$1,Q$2,Input!$A52))</f>
        <v>0</v>
      </c>
      <c r="R52" s="113">
        <f>IF(Flag_Send_Data="Restit",_xll.DBRW($C$1,$C$2,$C$3,$C$4,$C$6,$C$5,$C$7,R$1,R$2,$A52),_xll.DBSS(Input!R52,Input_DBS!$E$1,Input!$C$2,Input!$C$3,Input!$C$4,Input!$C$5,Input!$C$7,R$1,R$2,Input!$A52))</f>
        <v>0</v>
      </c>
      <c r="S52" s="113"/>
    </row>
    <row r="53" spans="1:19" ht="15.75">
      <c r="A53" s="1" t="s">
        <v>127</v>
      </c>
      <c r="C53" s="143"/>
      <c r="E53" s="15" t="s">
        <v>88</v>
      </c>
      <c r="F53" s="44">
        <f t="shared" ref="F53:Q63" si="11">SUM(F52)</f>
        <v>3830638.3899999997</v>
      </c>
      <c r="G53" s="44">
        <f t="shared" si="11"/>
        <v>0</v>
      </c>
      <c r="H53" s="44">
        <f t="shared" si="11"/>
        <v>0</v>
      </c>
      <c r="I53" s="44">
        <f t="shared" si="11"/>
        <v>0</v>
      </c>
      <c r="J53" s="44">
        <f t="shared" si="11"/>
        <v>0</v>
      </c>
      <c r="K53" s="44">
        <f t="shared" si="11"/>
        <v>0</v>
      </c>
      <c r="L53" s="44">
        <f t="shared" si="11"/>
        <v>0</v>
      </c>
      <c r="M53" s="44">
        <f t="shared" si="11"/>
        <v>0</v>
      </c>
      <c r="N53" s="44">
        <f t="shared" si="11"/>
        <v>0</v>
      </c>
      <c r="O53" s="44">
        <f t="shared" si="11"/>
        <v>0</v>
      </c>
      <c r="P53" s="44">
        <f t="shared" si="11"/>
        <v>0</v>
      </c>
      <c r="Q53" s="44">
        <f t="shared" si="11"/>
        <v>0</v>
      </c>
      <c r="R53" s="44">
        <f>SUM(R52)</f>
        <v>0</v>
      </c>
      <c r="S53" s="44"/>
    </row>
    <row r="54" spans="1:19" ht="15.6" customHeight="1" outlineLevel="1">
      <c r="A54" s="1" t="s">
        <v>354</v>
      </c>
      <c r="C54" s="143"/>
      <c r="E54" s="9" t="str">
        <f>_xll.DBRW(Server&amp;"}ElementAttributes_Indicator",A54,"code_English")</f>
        <v>Tot_nb_bus_coach - Total number of buses/coaches</v>
      </c>
      <c r="F54" s="113">
        <f>IF(Flag_Send_Data="Restit",_xll.DBRW($C$1,$C$2,$C$3,$C$4,$C$6,$C$5,$C$7,F$1,F$2,$A54),_xll.DBSS(Input!F54,Input_DBS!$E$1,Input!$C$2,Input!$C$3,Input!$C$4,Input!$C$5,Input!$C$7,F$1,F$2,Input!$A54))</f>
        <v>0</v>
      </c>
      <c r="G54" s="113">
        <f>IF(Flag_Send_Data="Restit",_xll.DBRW($C$1,$C$2,$C$3,$C$4,$C$6,$C$5,$C$7,G$1,G$2,$A54),_xll.DBSS(Input!G54,Input_DBS!$E$1,Input!$C$2,Input!$C$3,Input!$C$4,Input!$C$5,Input!$C$7,G$1,G$2,Input!$A54))</f>
        <v>0</v>
      </c>
      <c r="H54" s="113">
        <f>IF(Flag_Send_Data="Restit",_xll.DBRW($C$1,$C$2,$C$3,$C$4,$C$6,$C$5,$C$7,H$1,H$2,$A54),_xll.DBSS(Input!H54,Input_DBS!$E$1,Input!$C$2,Input!$C$3,Input!$C$4,Input!$C$5,Input!$C$7,H$1,H$2,Input!$A54))</f>
        <v>0</v>
      </c>
      <c r="I54" s="113">
        <f>IF(Flag_Send_Data="Restit",_xll.DBRW($C$1,$C$2,$C$3,$C$4,$C$6,$C$5,$C$7,I$1,I$2,$A54),_xll.DBSS(Input!I54,Input_DBS!$E$1,Input!$C$2,Input!$C$3,Input!$C$4,Input!$C$5,Input!$C$7,I$1,I$2,Input!$A54))</f>
        <v>0</v>
      </c>
      <c r="J54" s="113">
        <f>IF(Flag_Send_Data="Restit",_xll.DBRW($C$1,$C$2,$C$3,$C$4,$C$6,$C$5,$C$7,J$1,J$2,$A54),_xll.DBSS(Input!J54,Input_DBS!$E$1,Input!$C$2,Input!$C$3,Input!$C$4,Input!$C$5,Input!$C$7,J$1,J$2,Input!$A54))</f>
        <v>0</v>
      </c>
      <c r="K54" s="113">
        <f>IF(Flag_Send_Data="Restit",_xll.DBRW($C$1,$C$2,$C$3,$C$4,$C$6,$C$5,$C$7,K$1,K$2,$A54),_xll.DBSS(Input!K54,Input_DBS!$E$1,Input!$C$2,Input!$C$3,Input!$C$4,Input!$C$5,Input!$C$7,K$1,K$2,Input!$A54))</f>
        <v>0</v>
      </c>
      <c r="L54" s="113">
        <f>IF(Flag_Send_Data="Restit",_xll.DBRW($C$1,$C$2,$C$3,$C$4,$C$6,$C$5,$C$7,L$1,L$2,$A54),_xll.DBSS(Input!L54,Input_DBS!$E$1,Input!$C$2,Input!$C$3,Input!$C$4,Input!$C$5,Input!$C$7,L$1,L$2,Input!$A54))</f>
        <v>0</v>
      </c>
      <c r="M54" s="113">
        <f>IF(Flag_Send_Data="Restit",_xll.DBRW($C$1,$C$2,$C$3,$C$4,$C$6,$C$5,$C$7,M$1,M$2,$A54),_xll.DBSS(Input!M54,Input_DBS!$E$1,Input!$C$2,Input!$C$3,Input!$C$4,Input!$C$5,Input!$C$7,M$1,M$2,Input!$A54))</f>
        <v>0</v>
      </c>
      <c r="N54" s="113">
        <f>IF(Flag_Send_Data="Restit",_xll.DBRW($C$1,$C$2,$C$3,$C$4,$C$6,$C$5,$C$7,N$1,N$2,$A54),_xll.DBSS(Input!N54,Input_DBS!$E$1,Input!$C$2,Input!$C$3,Input!$C$4,Input!$C$5,Input!$C$7,N$1,N$2,Input!$A54))</f>
        <v>0</v>
      </c>
      <c r="O54" s="113">
        <f>IF(Flag_Send_Data="Restit",_xll.DBRW($C$1,$C$2,$C$3,$C$4,$C$6,$C$5,$C$7,O$1,O$2,$A54),_xll.DBSS(Input!O54,Input_DBS!$E$1,Input!$C$2,Input!$C$3,Input!$C$4,Input!$C$5,Input!$C$7,O$1,O$2,Input!$A54))</f>
        <v>0</v>
      </c>
      <c r="P54" s="113">
        <f>IF(Flag_Send_Data="Restit",_xll.DBRW($C$1,$C$2,$C$3,$C$4,$C$6,$C$5,$C$7,P$1,P$2,$A54),_xll.DBSS(Input!P54,Input_DBS!$E$1,Input!$C$2,Input!$C$3,Input!$C$4,Input!$C$5,Input!$C$7,P$1,P$2,Input!$A54))</f>
        <v>0</v>
      </c>
      <c r="Q54" s="113">
        <f>IF(Flag_Send_Data="Restit",_xll.DBRW($C$1,$C$2,$C$3,$C$4,$C$6,$C$5,$C$7,Q$1,Q$2,$A54),_xll.DBSS(Input!Q54,Input_DBS!$E$1,Input!$C$2,Input!$C$3,Input!$C$4,Input!$C$5,Input!$C$7,Q$1,Q$2,Input!$A54))</f>
        <v>0</v>
      </c>
      <c r="R54" s="113">
        <f>IF(Flag_Send_Data="Restit",_xll.DBRW($C$1,$C$2,$C$3,$C$4,$C$6,$C$5,$C$7,R$1,R$2,$A54),_xll.DBSS(Input!R54,Input_DBS!$E$1,Input!$C$2,Input!$C$3,Input!$C$4,Input!$C$5,Input!$C$7,R$1,R$2,Input!$A54))</f>
        <v>0</v>
      </c>
      <c r="S54" s="113"/>
    </row>
    <row r="55" spans="1:19" ht="15.75">
      <c r="A55" s="1" t="s">
        <v>127</v>
      </c>
      <c r="C55" s="143"/>
      <c r="E55" s="15" t="s">
        <v>89</v>
      </c>
      <c r="F55" s="44">
        <f t="shared" si="11"/>
        <v>0</v>
      </c>
      <c r="G55" s="44">
        <f t="shared" si="11"/>
        <v>0</v>
      </c>
      <c r="H55" s="44">
        <f t="shared" si="11"/>
        <v>0</v>
      </c>
      <c r="I55" s="44">
        <f t="shared" si="11"/>
        <v>0</v>
      </c>
      <c r="J55" s="44">
        <f t="shared" si="11"/>
        <v>0</v>
      </c>
      <c r="K55" s="44">
        <f t="shared" si="11"/>
        <v>0</v>
      </c>
      <c r="L55" s="44">
        <f t="shared" si="11"/>
        <v>0</v>
      </c>
      <c r="M55" s="44">
        <f t="shared" si="11"/>
        <v>0</v>
      </c>
      <c r="N55" s="44">
        <f t="shared" si="11"/>
        <v>0</v>
      </c>
      <c r="O55" s="44">
        <f t="shared" si="11"/>
        <v>0</v>
      </c>
      <c r="P55" s="44">
        <f t="shared" si="11"/>
        <v>0</v>
      </c>
      <c r="Q55" s="44">
        <f t="shared" si="11"/>
        <v>0</v>
      </c>
      <c r="R55" s="44">
        <f>SUM(R54)</f>
        <v>0</v>
      </c>
      <c r="S55" s="44"/>
    </row>
    <row r="56" spans="1:19" ht="15.6" customHeight="1" outlineLevel="1">
      <c r="A56" s="1" t="s">
        <v>355</v>
      </c>
      <c r="C56" s="143"/>
      <c r="E56" s="9" t="str">
        <f>_xll.DBRW(Server&amp;"}ElementAttributes_Indicator",A56,"code_English")</f>
        <v>Tot_nb_light_vehicle - Total number of light vehicles</v>
      </c>
      <c r="F56" s="113">
        <f>IF(Flag_Send_Data="Restit",_xll.DBRW($C$1,$C$2,$C$3,$C$4,$C$6,$C$5,$C$7,F$1,F$2,$A56),_xll.DBSS(Input!F56,Input_DBS!$E$1,Input!$C$2,Input!$C$3,Input!$C$4,Input!$C$5,Input!$C$7,F$1,F$2,Input!$A56))</f>
        <v>0</v>
      </c>
      <c r="G56" s="113">
        <f>IF(Flag_Send_Data="Restit",_xll.DBRW($C$1,$C$2,$C$3,$C$4,$C$6,$C$5,$C$7,G$1,G$2,$A56),_xll.DBSS(Input!G56,Input_DBS!$E$1,Input!$C$2,Input!$C$3,Input!$C$4,Input!$C$5,Input!$C$7,G$1,G$2,Input!$A56))</f>
        <v>0</v>
      </c>
      <c r="H56" s="113">
        <f>IF(Flag_Send_Data="Restit",_xll.DBRW($C$1,$C$2,$C$3,$C$4,$C$6,$C$5,$C$7,H$1,H$2,$A56),_xll.DBSS(Input!H56,Input_DBS!$E$1,Input!$C$2,Input!$C$3,Input!$C$4,Input!$C$5,Input!$C$7,H$1,H$2,Input!$A56))</f>
        <v>0</v>
      </c>
      <c r="I56" s="113">
        <f>IF(Flag_Send_Data="Restit",_xll.DBRW($C$1,$C$2,$C$3,$C$4,$C$6,$C$5,$C$7,I$1,I$2,$A56),_xll.DBSS(Input!I56,Input_DBS!$E$1,Input!$C$2,Input!$C$3,Input!$C$4,Input!$C$5,Input!$C$7,I$1,I$2,Input!$A56))</f>
        <v>0</v>
      </c>
      <c r="J56" s="113">
        <f>IF(Flag_Send_Data="Restit",_xll.DBRW($C$1,$C$2,$C$3,$C$4,$C$6,$C$5,$C$7,J$1,J$2,$A56),_xll.DBSS(Input!J56,Input_DBS!$E$1,Input!$C$2,Input!$C$3,Input!$C$4,Input!$C$5,Input!$C$7,J$1,J$2,Input!$A56))</f>
        <v>0</v>
      </c>
      <c r="K56" s="113">
        <f>IF(Flag_Send_Data="Restit",_xll.DBRW($C$1,$C$2,$C$3,$C$4,$C$6,$C$5,$C$7,K$1,K$2,$A56),_xll.DBSS(Input!K56,Input_DBS!$E$1,Input!$C$2,Input!$C$3,Input!$C$4,Input!$C$5,Input!$C$7,K$1,K$2,Input!$A56))</f>
        <v>0</v>
      </c>
      <c r="L56" s="113">
        <f>IF(Flag_Send_Data="Restit",_xll.DBRW($C$1,$C$2,$C$3,$C$4,$C$6,$C$5,$C$7,L$1,L$2,$A56),_xll.DBSS(Input!L56,Input_DBS!$E$1,Input!$C$2,Input!$C$3,Input!$C$4,Input!$C$5,Input!$C$7,L$1,L$2,Input!$A56))</f>
        <v>0</v>
      </c>
      <c r="M56" s="113">
        <f>IF(Flag_Send_Data="Restit",_xll.DBRW($C$1,$C$2,$C$3,$C$4,$C$6,$C$5,$C$7,M$1,M$2,$A56),_xll.DBSS(Input!M56,Input_DBS!$E$1,Input!$C$2,Input!$C$3,Input!$C$4,Input!$C$5,Input!$C$7,M$1,M$2,Input!$A56))</f>
        <v>0</v>
      </c>
      <c r="N56" s="113">
        <f>IF(Flag_Send_Data="Restit",_xll.DBRW($C$1,$C$2,$C$3,$C$4,$C$6,$C$5,$C$7,N$1,N$2,$A56),_xll.DBSS(Input!N56,Input_DBS!$E$1,Input!$C$2,Input!$C$3,Input!$C$4,Input!$C$5,Input!$C$7,N$1,N$2,Input!$A56))</f>
        <v>0</v>
      </c>
      <c r="O56" s="113">
        <f>IF(Flag_Send_Data="Restit",_xll.DBRW($C$1,$C$2,$C$3,$C$4,$C$6,$C$5,$C$7,O$1,O$2,$A56),_xll.DBSS(Input!O56,Input_DBS!$E$1,Input!$C$2,Input!$C$3,Input!$C$4,Input!$C$5,Input!$C$7,O$1,O$2,Input!$A56))</f>
        <v>0</v>
      </c>
      <c r="P56" s="113">
        <f>IF(Flag_Send_Data="Restit",_xll.DBRW($C$1,$C$2,$C$3,$C$4,$C$6,$C$5,$C$7,P$1,P$2,$A56),_xll.DBSS(Input!P56,Input_DBS!$E$1,Input!$C$2,Input!$C$3,Input!$C$4,Input!$C$5,Input!$C$7,P$1,P$2,Input!$A56))</f>
        <v>0</v>
      </c>
      <c r="Q56" s="113">
        <f>IF(Flag_Send_Data="Restit",_xll.DBRW($C$1,$C$2,$C$3,$C$4,$C$6,$C$5,$C$7,Q$1,Q$2,$A56),_xll.DBSS(Input!Q56,Input_DBS!$E$1,Input!$C$2,Input!$C$3,Input!$C$4,Input!$C$5,Input!$C$7,Q$1,Q$2,Input!$A56))</f>
        <v>0</v>
      </c>
      <c r="R56" s="113">
        <f>IF(Flag_Send_Data="Restit",_xll.DBRW($C$1,$C$2,$C$3,$C$4,$C$6,$C$5,$C$7,R$1,R$2,$A56),_xll.DBSS(Input!R56,Input_DBS!$E$1,Input!$C$2,Input!$C$3,Input!$C$4,Input!$C$5,Input!$C$7,R$1,R$2,Input!$A56))</f>
        <v>0</v>
      </c>
      <c r="S56" s="113"/>
    </row>
    <row r="57" spans="1:19" ht="15.75">
      <c r="A57" s="1" t="s">
        <v>127</v>
      </c>
      <c r="C57" s="143"/>
      <c r="E57" s="15" t="s">
        <v>90</v>
      </c>
      <c r="F57" s="44">
        <f t="shared" si="11"/>
        <v>0</v>
      </c>
      <c r="G57" s="44">
        <f t="shared" si="11"/>
        <v>0</v>
      </c>
      <c r="H57" s="44">
        <f t="shared" si="11"/>
        <v>0</v>
      </c>
      <c r="I57" s="44">
        <f t="shared" si="11"/>
        <v>0</v>
      </c>
      <c r="J57" s="44">
        <f t="shared" si="11"/>
        <v>0</v>
      </c>
      <c r="K57" s="44">
        <f t="shared" si="11"/>
        <v>0</v>
      </c>
      <c r="L57" s="44">
        <f t="shared" si="11"/>
        <v>0</v>
      </c>
      <c r="M57" s="44">
        <f t="shared" si="11"/>
        <v>0</v>
      </c>
      <c r="N57" s="44">
        <f t="shared" si="11"/>
        <v>0</v>
      </c>
      <c r="O57" s="44">
        <f t="shared" si="11"/>
        <v>0</v>
      </c>
      <c r="P57" s="44">
        <f t="shared" si="11"/>
        <v>0</v>
      </c>
      <c r="Q57" s="44">
        <f t="shared" si="11"/>
        <v>0</v>
      </c>
      <c r="R57" s="44">
        <f>SUM(R56)</f>
        <v>0</v>
      </c>
      <c r="S57" s="44"/>
    </row>
    <row r="58" spans="1:19" ht="15.6" customHeight="1" outlineLevel="1">
      <c r="A58" s="1" t="s">
        <v>356</v>
      </c>
      <c r="C58" s="143"/>
      <c r="E58" s="9" t="str">
        <f>_xll.DBRW(Server&amp;"}ElementAttributes_Indicator",A58,"code_English")</f>
        <v>Tot_nb_LRV - Total number of LRV</v>
      </c>
      <c r="F58" s="113">
        <f>IF(Flag_Send_Data="Restit",_xll.DBRW($C$1,$C$2,$C$3,$C$4,$C$6,$C$5,$C$7,F$1,F$2,$A58),_xll.DBSS(Input!F58,Input_DBS!$E$1,Input!$C$2,Input!$C$3,Input!$C$4,Input!$C$5,Input!$C$7,F$1,F$2,Input!$A58))</f>
        <v>0</v>
      </c>
      <c r="G58" s="113">
        <f>IF(Flag_Send_Data="Restit",_xll.DBRW($C$1,$C$2,$C$3,$C$4,$C$6,$C$5,$C$7,G$1,G$2,$A58),_xll.DBSS(Input!G58,Input_DBS!$E$1,Input!$C$2,Input!$C$3,Input!$C$4,Input!$C$5,Input!$C$7,G$1,G$2,Input!$A58))</f>
        <v>0</v>
      </c>
      <c r="H58" s="113">
        <f>IF(Flag_Send_Data="Restit",_xll.DBRW($C$1,$C$2,$C$3,$C$4,$C$6,$C$5,$C$7,H$1,H$2,$A58),_xll.DBSS(Input!H58,Input_DBS!$E$1,Input!$C$2,Input!$C$3,Input!$C$4,Input!$C$5,Input!$C$7,H$1,H$2,Input!$A58))</f>
        <v>0</v>
      </c>
      <c r="I58" s="113">
        <f>IF(Flag_Send_Data="Restit",_xll.DBRW($C$1,$C$2,$C$3,$C$4,$C$6,$C$5,$C$7,I$1,I$2,$A58),_xll.DBSS(Input!I58,Input_DBS!$E$1,Input!$C$2,Input!$C$3,Input!$C$4,Input!$C$5,Input!$C$7,I$1,I$2,Input!$A58))</f>
        <v>0</v>
      </c>
      <c r="J58" s="113">
        <f>IF(Flag_Send_Data="Restit",_xll.DBRW($C$1,$C$2,$C$3,$C$4,$C$6,$C$5,$C$7,J$1,J$2,$A58),_xll.DBSS(Input!J58,Input_DBS!$E$1,Input!$C$2,Input!$C$3,Input!$C$4,Input!$C$5,Input!$C$7,J$1,J$2,Input!$A58))</f>
        <v>0</v>
      </c>
      <c r="K58" s="113">
        <f>IF(Flag_Send_Data="Restit",_xll.DBRW($C$1,$C$2,$C$3,$C$4,$C$6,$C$5,$C$7,K$1,K$2,$A58),_xll.DBSS(Input!K58,Input_DBS!$E$1,Input!$C$2,Input!$C$3,Input!$C$4,Input!$C$5,Input!$C$7,K$1,K$2,Input!$A58))</f>
        <v>0</v>
      </c>
      <c r="L58" s="113">
        <f>IF(Flag_Send_Data="Restit",_xll.DBRW($C$1,$C$2,$C$3,$C$4,$C$6,$C$5,$C$7,L$1,L$2,$A58),_xll.DBSS(Input!L58,Input_DBS!$E$1,Input!$C$2,Input!$C$3,Input!$C$4,Input!$C$5,Input!$C$7,L$1,L$2,Input!$A58))</f>
        <v>0</v>
      </c>
      <c r="M58" s="113">
        <f>IF(Flag_Send_Data="Restit",_xll.DBRW($C$1,$C$2,$C$3,$C$4,$C$6,$C$5,$C$7,M$1,M$2,$A58),_xll.DBSS(Input!M58,Input_DBS!$E$1,Input!$C$2,Input!$C$3,Input!$C$4,Input!$C$5,Input!$C$7,M$1,M$2,Input!$A58))</f>
        <v>0</v>
      </c>
      <c r="N58" s="113">
        <f>IF(Flag_Send_Data="Restit",_xll.DBRW($C$1,$C$2,$C$3,$C$4,$C$6,$C$5,$C$7,N$1,N$2,$A58),_xll.DBSS(Input!N58,Input_DBS!$E$1,Input!$C$2,Input!$C$3,Input!$C$4,Input!$C$5,Input!$C$7,N$1,N$2,Input!$A58))</f>
        <v>0</v>
      </c>
      <c r="O58" s="113">
        <f>IF(Flag_Send_Data="Restit",_xll.DBRW($C$1,$C$2,$C$3,$C$4,$C$6,$C$5,$C$7,O$1,O$2,$A58),_xll.DBSS(Input!O58,Input_DBS!$E$1,Input!$C$2,Input!$C$3,Input!$C$4,Input!$C$5,Input!$C$7,O$1,O$2,Input!$A58))</f>
        <v>0</v>
      </c>
      <c r="P58" s="113">
        <f>IF(Flag_Send_Data="Restit",_xll.DBRW($C$1,$C$2,$C$3,$C$4,$C$6,$C$5,$C$7,P$1,P$2,$A58),_xll.DBSS(Input!P58,Input_DBS!$E$1,Input!$C$2,Input!$C$3,Input!$C$4,Input!$C$5,Input!$C$7,P$1,P$2,Input!$A58))</f>
        <v>0</v>
      </c>
      <c r="Q58" s="113">
        <f>IF(Flag_Send_Data="Restit",_xll.DBRW($C$1,$C$2,$C$3,$C$4,$C$6,$C$5,$C$7,Q$1,Q$2,$A58),_xll.DBSS(Input!Q58,Input_DBS!$E$1,Input!$C$2,Input!$C$3,Input!$C$4,Input!$C$5,Input!$C$7,Q$1,Q$2,Input!$A58))</f>
        <v>0</v>
      </c>
      <c r="R58" s="113">
        <f>IF(Flag_Send_Data="Restit",_xll.DBRW($C$1,$C$2,$C$3,$C$4,$C$6,$C$5,$C$7,R$1,R$2,$A58),_xll.DBSS(Input!R58,Input_DBS!$E$1,Input!$C$2,Input!$C$3,Input!$C$4,Input!$C$5,Input!$C$7,R$1,R$2,Input!$A58))</f>
        <v>0</v>
      </c>
      <c r="S58" s="113"/>
    </row>
    <row r="59" spans="1:19" ht="15.75">
      <c r="A59" s="1" t="s">
        <v>127</v>
      </c>
      <c r="C59" s="143"/>
      <c r="E59" s="15" t="s">
        <v>91</v>
      </c>
      <c r="F59" s="44">
        <f t="shared" si="11"/>
        <v>0</v>
      </c>
      <c r="G59" s="44">
        <f t="shared" si="11"/>
        <v>0</v>
      </c>
      <c r="H59" s="44">
        <f t="shared" si="11"/>
        <v>0</v>
      </c>
      <c r="I59" s="44">
        <f t="shared" si="11"/>
        <v>0</v>
      </c>
      <c r="J59" s="44">
        <f t="shared" si="11"/>
        <v>0</v>
      </c>
      <c r="K59" s="44">
        <f t="shared" si="11"/>
        <v>0</v>
      </c>
      <c r="L59" s="44">
        <f t="shared" si="11"/>
        <v>0</v>
      </c>
      <c r="M59" s="44">
        <f t="shared" si="11"/>
        <v>0</v>
      </c>
      <c r="N59" s="44">
        <f t="shared" si="11"/>
        <v>0</v>
      </c>
      <c r="O59" s="44">
        <f t="shared" si="11"/>
        <v>0</v>
      </c>
      <c r="P59" s="44">
        <f t="shared" si="11"/>
        <v>0</v>
      </c>
      <c r="Q59" s="44">
        <f t="shared" si="11"/>
        <v>0</v>
      </c>
      <c r="R59" s="44">
        <f>SUM(R58)</f>
        <v>0</v>
      </c>
      <c r="S59" s="44"/>
    </row>
    <row r="60" spans="1:19" ht="15.6" customHeight="1" outlineLevel="1">
      <c r="A60" s="1" t="s">
        <v>357</v>
      </c>
      <c r="C60" s="143"/>
      <c r="E60" s="9" t="str">
        <f>_xll.DBRW(Server&amp;"}ElementAttributes_Indicator",A60,"code_English")</f>
        <v>Tot_nb_heavy_rail - Total number of heavy rail</v>
      </c>
      <c r="F60" s="113">
        <f>IF(Flag_Send_Data="Restit",_xll.DBRW($C$1,$C$2,$C$3,$C$4,$C$6,$C$5,$C$7,F$1,F$2,$A60),_xll.DBSS(Input!F60,Input_DBS!$E$1,Input!$C$2,Input!$C$3,Input!$C$4,Input!$C$5,Input!$C$7,F$1,F$2,Input!$A60))</f>
        <v>0</v>
      </c>
      <c r="G60" s="113">
        <f>IF(Flag_Send_Data="Restit",_xll.DBRW($C$1,$C$2,$C$3,$C$4,$C$6,$C$5,$C$7,G$1,G$2,$A60),_xll.DBSS(Input!G60,Input_DBS!$E$1,Input!$C$2,Input!$C$3,Input!$C$4,Input!$C$5,Input!$C$7,G$1,G$2,Input!$A60))</f>
        <v>0</v>
      </c>
      <c r="H60" s="113">
        <f>IF(Flag_Send_Data="Restit",_xll.DBRW($C$1,$C$2,$C$3,$C$4,$C$6,$C$5,$C$7,H$1,H$2,$A60),_xll.DBSS(Input!H60,Input_DBS!$E$1,Input!$C$2,Input!$C$3,Input!$C$4,Input!$C$5,Input!$C$7,H$1,H$2,Input!$A60))</f>
        <v>0</v>
      </c>
      <c r="I60" s="113">
        <f>IF(Flag_Send_Data="Restit",_xll.DBRW($C$1,$C$2,$C$3,$C$4,$C$6,$C$5,$C$7,I$1,I$2,$A60),_xll.DBSS(Input!I60,Input_DBS!$E$1,Input!$C$2,Input!$C$3,Input!$C$4,Input!$C$5,Input!$C$7,I$1,I$2,Input!$A60))</f>
        <v>0</v>
      </c>
      <c r="J60" s="113">
        <f>IF(Flag_Send_Data="Restit",_xll.DBRW($C$1,$C$2,$C$3,$C$4,$C$6,$C$5,$C$7,J$1,J$2,$A60),_xll.DBSS(Input!J60,Input_DBS!$E$1,Input!$C$2,Input!$C$3,Input!$C$4,Input!$C$5,Input!$C$7,J$1,J$2,Input!$A60))</f>
        <v>0</v>
      </c>
      <c r="K60" s="113">
        <f>IF(Flag_Send_Data="Restit",_xll.DBRW($C$1,$C$2,$C$3,$C$4,$C$6,$C$5,$C$7,K$1,K$2,$A60),_xll.DBSS(Input!K60,Input_DBS!$E$1,Input!$C$2,Input!$C$3,Input!$C$4,Input!$C$5,Input!$C$7,K$1,K$2,Input!$A60))</f>
        <v>0</v>
      </c>
      <c r="L60" s="113">
        <f>IF(Flag_Send_Data="Restit",_xll.DBRW($C$1,$C$2,$C$3,$C$4,$C$6,$C$5,$C$7,L$1,L$2,$A60),_xll.DBSS(Input!L60,Input_DBS!$E$1,Input!$C$2,Input!$C$3,Input!$C$4,Input!$C$5,Input!$C$7,L$1,L$2,Input!$A60))</f>
        <v>0</v>
      </c>
      <c r="M60" s="113">
        <f>IF(Flag_Send_Data="Restit",_xll.DBRW($C$1,$C$2,$C$3,$C$4,$C$6,$C$5,$C$7,M$1,M$2,$A60),_xll.DBSS(Input!M60,Input_DBS!$E$1,Input!$C$2,Input!$C$3,Input!$C$4,Input!$C$5,Input!$C$7,M$1,M$2,Input!$A60))</f>
        <v>0</v>
      </c>
      <c r="N60" s="113">
        <f>IF(Flag_Send_Data="Restit",_xll.DBRW($C$1,$C$2,$C$3,$C$4,$C$6,$C$5,$C$7,N$1,N$2,$A60),_xll.DBSS(Input!N60,Input_DBS!$E$1,Input!$C$2,Input!$C$3,Input!$C$4,Input!$C$5,Input!$C$7,N$1,N$2,Input!$A60))</f>
        <v>0</v>
      </c>
      <c r="O60" s="113">
        <f>IF(Flag_Send_Data="Restit",_xll.DBRW($C$1,$C$2,$C$3,$C$4,$C$6,$C$5,$C$7,O$1,O$2,$A60),_xll.DBSS(Input!O60,Input_DBS!$E$1,Input!$C$2,Input!$C$3,Input!$C$4,Input!$C$5,Input!$C$7,O$1,O$2,Input!$A60))</f>
        <v>0</v>
      </c>
      <c r="P60" s="113">
        <f>IF(Flag_Send_Data="Restit",_xll.DBRW($C$1,$C$2,$C$3,$C$4,$C$6,$C$5,$C$7,P$1,P$2,$A60),_xll.DBSS(Input!P60,Input_DBS!$E$1,Input!$C$2,Input!$C$3,Input!$C$4,Input!$C$5,Input!$C$7,P$1,P$2,Input!$A60))</f>
        <v>0</v>
      </c>
      <c r="Q60" s="113">
        <f>IF(Flag_Send_Data="Restit",_xll.DBRW($C$1,$C$2,$C$3,$C$4,$C$6,$C$5,$C$7,Q$1,Q$2,$A60),_xll.DBSS(Input!Q60,Input_DBS!$E$1,Input!$C$2,Input!$C$3,Input!$C$4,Input!$C$5,Input!$C$7,Q$1,Q$2,Input!$A60))</f>
        <v>0</v>
      </c>
      <c r="R60" s="113">
        <f>IF(Flag_Send_Data="Restit",_xll.DBRW($C$1,$C$2,$C$3,$C$4,$C$6,$C$5,$C$7,R$1,R$2,$A60),_xll.DBSS(Input!R60,Input_DBS!$E$1,Input!$C$2,Input!$C$3,Input!$C$4,Input!$C$5,Input!$C$7,R$1,R$2,Input!$A60))</f>
        <v>0</v>
      </c>
      <c r="S60" s="113"/>
    </row>
    <row r="61" spans="1:19" ht="15.75">
      <c r="A61" s="1" t="s">
        <v>127</v>
      </c>
      <c r="C61" s="143"/>
      <c r="E61" s="15" t="s">
        <v>92</v>
      </c>
      <c r="F61" s="44">
        <f t="shared" si="11"/>
        <v>0</v>
      </c>
      <c r="G61" s="44">
        <f t="shared" si="11"/>
        <v>0</v>
      </c>
      <c r="H61" s="44">
        <f t="shared" si="11"/>
        <v>0</v>
      </c>
      <c r="I61" s="44">
        <f t="shared" si="11"/>
        <v>0</v>
      </c>
      <c r="J61" s="44">
        <f t="shared" si="11"/>
        <v>0</v>
      </c>
      <c r="K61" s="44">
        <f t="shared" si="11"/>
        <v>0</v>
      </c>
      <c r="L61" s="44">
        <f t="shared" si="11"/>
        <v>0</v>
      </c>
      <c r="M61" s="44">
        <f t="shared" si="11"/>
        <v>0</v>
      </c>
      <c r="N61" s="44">
        <f t="shared" si="11"/>
        <v>0</v>
      </c>
      <c r="O61" s="44">
        <f t="shared" si="11"/>
        <v>0</v>
      </c>
      <c r="P61" s="44">
        <f t="shared" si="11"/>
        <v>0</v>
      </c>
      <c r="Q61" s="44">
        <f t="shared" si="11"/>
        <v>0</v>
      </c>
      <c r="R61" s="44">
        <f>SUM(R60)</f>
        <v>0</v>
      </c>
      <c r="S61" s="44"/>
    </row>
    <row r="62" spans="1:19" ht="15.6" customHeight="1" outlineLevel="1">
      <c r="A62" s="1" t="s">
        <v>358</v>
      </c>
      <c r="C62" s="143"/>
      <c r="E62" s="9" t="str">
        <f>_xll.DBRW(Server&amp;"}ElementAttributes_Indicator",A62,"code_English")</f>
        <v>Tot_nb_BRT - Total number of BRT</v>
      </c>
      <c r="F62" s="113">
        <f>IF(Flag_Send_Data="Restit",_xll.DBRW($C$1,$C$2,$C$3,$C$4,$C$6,$C$5,$C$7,F$1,F$2,$A62),_xll.DBSS(Input!F62,Input_DBS!$E$1,Input!$C$2,Input!$C$3,Input!$C$4,Input!$C$5,Input!$C$7,F$1,F$2,Input!$A62))</f>
        <v>0</v>
      </c>
      <c r="G62" s="113">
        <f>IF(Flag_Send_Data="Restit",_xll.DBRW($C$1,$C$2,$C$3,$C$4,$C$6,$C$5,$C$7,G$1,G$2,$A62),_xll.DBSS(Input!G62,Input_DBS!$E$1,Input!$C$2,Input!$C$3,Input!$C$4,Input!$C$5,Input!$C$7,G$1,G$2,Input!$A62))</f>
        <v>0</v>
      </c>
      <c r="H62" s="113">
        <f>IF(Flag_Send_Data="Restit",_xll.DBRW($C$1,$C$2,$C$3,$C$4,$C$6,$C$5,$C$7,H$1,H$2,$A62),_xll.DBSS(Input!H62,Input_DBS!$E$1,Input!$C$2,Input!$C$3,Input!$C$4,Input!$C$5,Input!$C$7,H$1,H$2,Input!$A62))</f>
        <v>0</v>
      </c>
      <c r="I62" s="113">
        <f>IF(Flag_Send_Data="Restit",_xll.DBRW($C$1,$C$2,$C$3,$C$4,$C$6,$C$5,$C$7,I$1,I$2,$A62),_xll.DBSS(Input!I62,Input_DBS!$E$1,Input!$C$2,Input!$C$3,Input!$C$4,Input!$C$5,Input!$C$7,I$1,I$2,Input!$A62))</f>
        <v>0</v>
      </c>
      <c r="J62" s="113">
        <f>IF(Flag_Send_Data="Restit",_xll.DBRW($C$1,$C$2,$C$3,$C$4,$C$6,$C$5,$C$7,J$1,J$2,$A62),_xll.DBSS(Input!J62,Input_DBS!$E$1,Input!$C$2,Input!$C$3,Input!$C$4,Input!$C$5,Input!$C$7,J$1,J$2,Input!$A62))</f>
        <v>0</v>
      </c>
      <c r="K62" s="113">
        <f>IF(Flag_Send_Data="Restit",_xll.DBRW($C$1,$C$2,$C$3,$C$4,$C$6,$C$5,$C$7,K$1,K$2,$A62),_xll.DBSS(Input!K62,Input_DBS!$E$1,Input!$C$2,Input!$C$3,Input!$C$4,Input!$C$5,Input!$C$7,K$1,K$2,Input!$A62))</f>
        <v>0</v>
      </c>
      <c r="L62" s="113">
        <f>IF(Flag_Send_Data="Restit",_xll.DBRW($C$1,$C$2,$C$3,$C$4,$C$6,$C$5,$C$7,L$1,L$2,$A62),_xll.DBSS(Input!L62,Input_DBS!$E$1,Input!$C$2,Input!$C$3,Input!$C$4,Input!$C$5,Input!$C$7,L$1,L$2,Input!$A62))</f>
        <v>0</v>
      </c>
      <c r="M62" s="113">
        <f>IF(Flag_Send_Data="Restit",_xll.DBRW($C$1,$C$2,$C$3,$C$4,$C$6,$C$5,$C$7,M$1,M$2,$A62),_xll.DBSS(Input!M62,Input_DBS!$E$1,Input!$C$2,Input!$C$3,Input!$C$4,Input!$C$5,Input!$C$7,M$1,M$2,Input!$A62))</f>
        <v>0</v>
      </c>
      <c r="N62" s="113">
        <f>IF(Flag_Send_Data="Restit",_xll.DBRW($C$1,$C$2,$C$3,$C$4,$C$6,$C$5,$C$7,N$1,N$2,$A62),_xll.DBSS(Input!N62,Input_DBS!$E$1,Input!$C$2,Input!$C$3,Input!$C$4,Input!$C$5,Input!$C$7,N$1,N$2,Input!$A62))</f>
        <v>0</v>
      </c>
      <c r="O62" s="113">
        <f>IF(Flag_Send_Data="Restit",_xll.DBRW($C$1,$C$2,$C$3,$C$4,$C$6,$C$5,$C$7,O$1,O$2,$A62),_xll.DBSS(Input!O62,Input_DBS!$E$1,Input!$C$2,Input!$C$3,Input!$C$4,Input!$C$5,Input!$C$7,O$1,O$2,Input!$A62))</f>
        <v>0</v>
      </c>
      <c r="P62" s="113">
        <f>IF(Flag_Send_Data="Restit",_xll.DBRW($C$1,$C$2,$C$3,$C$4,$C$6,$C$5,$C$7,P$1,P$2,$A62),_xll.DBSS(Input!P62,Input_DBS!$E$1,Input!$C$2,Input!$C$3,Input!$C$4,Input!$C$5,Input!$C$7,P$1,P$2,Input!$A62))</f>
        <v>0</v>
      </c>
      <c r="Q62" s="113">
        <f>IF(Flag_Send_Data="Restit",_xll.DBRW($C$1,$C$2,$C$3,$C$4,$C$6,$C$5,$C$7,Q$1,Q$2,$A62),_xll.DBSS(Input!Q62,Input_DBS!$E$1,Input!$C$2,Input!$C$3,Input!$C$4,Input!$C$5,Input!$C$7,Q$1,Q$2,Input!$A62))</f>
        <v>0</v>
      </c>
      <c r="R62" s="113">
        <f>IF(Flag_Send_Data="Restit",_xll.DBRW($C$1,$C$2,$C$3,$C$4,$C$6,$C$5,$C$7,R$1,R$2,$A62),_xll.DBSS(Input!R62,Input_DBS!$E$1,Input!$C$2,Input!$C$3,Input!$C$4,Input!$C$5,Input!$C$7,R$1,R$2,Input!$A62))</f>
        <v>0</v>
      </c>
      <c r="S62" s="113"/>
    </row>
    <row r="63" spans="1:19" ht="15.75">
      <c r="A63" s="1" t="s">
        <v>127</v>
      </c>
      <c r="C63" s="143"/>
      <c r="E63" s="15" t="s">
        <v>93</v>
      </c>
      <c r="F63" s="44">
        <f t="shared" si="11"/>
        <v>0</v>
      </c>
      <c r="G63" s="44">
        <f t="shared" si="11"/>
        <v>0</v>
      </c>
      <c r="H63" s="44">
        <f t="shared" si="11"/>
        <v>0</v>
      </c>
      <c r="I63" s="44">
        <f t="shared" si="11"/>
        <v>0</v>
      </c>
      <c r="J63" s="44">
        <f t="shared" si="11"/>
        <v>0</v>
      </c>
      <c r="K63" s="44">
        <f t="shared" si="11"/>
        <v>0</v>
      </c>
      <c r="L63" s="44">
        <f t="shared" si="11"/>
        <v>0</v>
      </c>
      <c r="M63" s="44">
        <f t="shared" si="11"/>
        <v>0</v>
      </c>
      <c r="N63" s="44">
        <f t="shared" si="11"/>
        <v>0</v>
      </c>
      <c r="O63" s="44">
        <f t="shared" si="11"/>
        <v>0</v>
      </c>
      <c r="P63" s="44">
        <f t="shared" si="11"/>
        <v>0</v>
      </c>
      <c r="Q63" s="44">
        <f t="shared" si="11"/>
        <v>0</v>
      </c>
      <c r="R63" s="44">
        <f>SUM(R62)</f>
        <v>0</v>
      </c>
      <c r="S63" s="44"/>
    </row>
    <row r="64" spans="1:19" ht="15.75" customHeight="1" outlineLevel="1">
      <c r="A64" s="1" t="s">
        <v>359</v>
      </c>
      <c r="C64" s="143"/>
      <c r="E64" s="9" t="str">
        <f>_xll.DBRW(Server&amp;"}ElementAttributes_Indicator",A64,"code_English")</f>
        <v>Tot_nb_ferries - Total number of ferries</v>
      </c>
      <c r="F64" s="113">
        <f>IF(Flag_Send_Data="Restit",_xll.DBRW($C$1,$C$2,$C$3,$C$4,$C$6,$C$5,$C$7,F$1,F$2,$A64),_xll.DBSS(Input!F64,Input_DBS!$E$1,Input!$C$2,Input!$C$3,Input!$C$4,Input!$C$5,Input!$C$7,F$1,F$2,Input!$A64))</f>
        <v>0</v>
      </c>
      <c r="G64" s="113">
        <f>IF(Flag_Send_Data="Restit",_xll.DBRW($C$1,$C$2,$C$3,$C$4,$C$6,$C$5,$C$7,G$1,G$2,$A64),_xll.DBSS(Input!G64,Input_DBS!$E$1,Input!$C$2,Input!$C$3,Input!$C$4,Input!$C$5,Input!$C$7,G$1,G$2,Input!$A64))</f>
        <v>0</v>
      </c>
      <c r="H64" s="113">
        <f>IF(Flag_Send_Data="Restit",_xll.DBRW($C$1,$C$2,$C$3,$C$4,$C$6,$C$5,$C$7,H$1,H$2,$A64),_xll.DBSS(Input!H64,Input_DBS!$E$1,Input!$C$2,Input!$C$3,Input!$C$4,Input!$C$5,Input!$C$7,H$1,H$2,Input!$A64))</f>
        <v>0</v>
      </c>
      <c r="I64" s="113">
        <f>IF(Flag_Send_Data="Restit",_xll.DBRW($C$1,$C$2,$C$3,$C$4,$C$6,$C$5,$C$7,I$1,I$2,$A64),_xll.DBSS(Input!I64,Input_DBS!$E$1,Input!$C$2,Input!$C$3,Input!$C$4,Input!$C$5,Input!$C$7,I$1,I$2,Input!$A64))</f>
        <v>0</v>
      </c>
      <c r="J64" s="113">
        <f>IF(Flag_Send_Data="Restit",_xll.DBRW($C$1,$C$2,$C$3,$C$4,$C$6,$C$5,$C$7,J$1,J$2,$A64),_xll.DBSS(Input!J64,Input_DBS!$E$1,Input!$C$2,Input!$C$3,Input!$C$4,Input!$C$5,Input!$C$7,J$1,J$2,Input!$A64))</f>
        <v>0</v>
      </c>
      <c r="K64" s="113">
        <f>IF(Flag_Send_Data="Restit",_xll.DBRW($C$1,$C$2,$C$3,$C$4,$C$6,$C$5,$C$7,K$1,K$2,$A64),_xll.DBSS(Input!K64,Input_DBS!$E$1,Input!$C$2,Input!$C$3,Input!$C$4,Input!$C$5,Input!$C$7,K$1,K$2,Input!$A64))</f>
        <v>0</v>
      </c>
      <c r="L64" s="113">
        <f>IF(Flag_Send_Data="Restit",_xll.DBRW($C$1,$C$2,$C$3,$C$4,$C$6,$C$5,$C$7,L$1,L$2,$A64),_xll.DBSS(Input!L64,Input_DBS!$E$1,Input!$C$2,Input!$C$3,Input!$C$4,Input!$C$5,Input!$C$7,L$1,L$2,Input!$A64))</f>
        <v>0</v>
      </c>
      <c r="M64" s="113">
        <f>IF(Flag_Send_Data="Restit",_xll.DBRW($C$1,$C$2,$C$3,$C$4,$C$6,$C$5,$C$7,M$1,M$2,$A64),_xll.DBSS(Input!M64,Input_DBS!$E$1,Input!$C$2,Input!$C$3,Input!$C$4,Input!$C$5,Input!$C$7,M$1,M$2,Input!$A64))</f>
        <v>0</v>
      </c>
      <c r="N64" s="113">
        <f>IF(Flag_Send_Data="Restit",_xll.DBRW($C$1,$C$2,$C$3,$C$4,$C$6,$C$5,$C$7,N$1,N$2,$A64),_xll.DBSS(Input!N64,Input_DBS!$E$1,Input!$C$2,Input!$C$3,Input!$C$4,Input!$C$5,Input!$C$7,N$1,N$2,Input!$A64))</f>
        <v>0</v>
      </c>
      <c r="O64" s="113">
        <f>IF(Flag_Send_Data="Restit",_xll.DBRW($C$1,$C$2,$C$3,$C$4,$C$6,$C$5,$C$7,O$1,O$2,$A64),_xll.DBSS(Input!O64,Input_DBS!$E$1,Input!$C$2,Input!$C$3,Input!$C$4,Input!$C$5,Input!$C$7,O$1,O$2,Input!$A64))</f>
        <v>0</v>
      </c>
      <c r="P64" s="113">
        <f>IF(Flag_Send_Data="Restit",_xll.DBRW($C$1,$C$2,$C$3,$C$4,$C$6,$C$5,$C$7,P$1,P$2,$A64),_xll.DBSS(Input!P64,Input_DBS!$E$1,Input!$C$2,Input!$C$3,Input!$C$4,Input!$C$5,Input!$C$7,P$1,P$2,Input!$A64))</f>
        <v>0</v>
      </c>
      <c r="Q64" s="113">
        <f>IF(Flag_Send_Data="Restit",_xll.DBRW($C$1,$C$2,$C$3,$C$4,$C$6,$C$5,$C$7,Q$1,Q$2,$A64),_xll.DBSS(Input!Q64,Input_DBS!$E$1,Input!$C$2,Input!$C$3,Input!$C$4,Input!$C$5,Input!$C$7,Q$1,Q$2,Input!$A64))</f>
        <v>0</v>
      </c>
      <c r="R64" s="113">
        <f>IF(Flag_Send_Data="Restit",_xll.DBRW($C$1,$C$2,$C$3,$C$4,$C$6,$C$5,$C$7,R$1,R$2,$A64),_xll.DBSS(Input!R64,Input_DBS!$E$1,Input!$C$2,Input!$C$3,Input!$C$4,Input!$C$5,Input!$C$7,R$1,R$2,Input!$A64))</f>
        <v>0</v>
      </c>
      <c r="S64" s="113"/>
    </row>
    <row r="65" spans="1:19" ht="15.75">
      <c r="A65" s="1" t="s">
        <v>127</v>
      </c>
      <c r="C65" s="143"/>
      <c r="E65" s="98" t="s">
        <v>94</v>
      </c>
      <c r="F65" s="99">
        <f t="shared" ref="F65:Q65" si="12">SUM(F64)</f>
        <v>0</v>
      </c>
      <c r="G65" s="99">
        <f t="shared" si="12"/>
        <v>0</v>
      </c>
      <c r="H65" s="99">
        <f t="shared" si="12"/>
        <v>0</v>
      </c>
      <c r="I65" s="99">
        <f t="shared" si="12"/>
        <v>0</v>
      </c>
      <c r="J65" s="99">
        <f t="shared" si="12"/>
        <v>0</v>
      </c>
      <c r="K65" s="99">
        <f t="shared" si="12"/>
        <v>0</v>
      </c>
      <c r="L65" s="99">
        <f t="shared" si="12"/>
        <v>0</v>
      </c>
      <c r="M65" s="99">
        <f t="shared" si="12"/>
        <v>0</v>
      </c>
      <c r="N65" s="99">
        <f t="shared" si="12"/>
        <v>0</v>
      </c>
      <c r="O65" s="99">
        <f t="shared" si="12"/>
        <v>0</v>
      </c>
      <c r="P65" s="99">
        <f t="shared" si="12"/>
        <v>0</v>
      </c>
      <c r="Q65" s="99">
        <f t="shared" si="12"/>
        <v>0</v>
      </c>
      <c r="R65" s="99">
        <f>SUM(R64)</f>
        <v>0</v>
      </c>
      <c r="S65" s="99"/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f>IF(Flag_Send_Data="Restit",_xll.DBRW($C$1,$C$2,$C$3,$C$4,$C$6,$C$5,$C$7,F$1,F$2,$A67),_xll.DBSS(Input!F67,Input_DBS!$E$1,Input!$C$2,Input!$C$3,Input!$C$4,Input!$C$5,Input!$C$7,F$1,F$2,Input!$A67))</f>
        <v>0</v>
      </c>
      <c r="G67" s="113">
        <f>IF(Flag_Send_Data="Restit",_xll.DBRW($C$1,$C$2,$C$3,$C$4,$C$6,$C$5,$C$7,G$1,G$2,$A67),_xll.DBSS(Input!G67,Input_DBS!$E$1,Input!$C$2,Input!$C$3,Input!$C$4,Input!$C$5,Input!$C$7,G$1,G$2,Input!$A67))</f>
        <v>0</v>
      </c>
      <c r="H67" s="113">
        <f>IF(Flag_Send_Data="Restit",_xll.DBRW($C$1,$C$2,$C$3,$C$4,$C$6,$C$5,$C$7,H$1,H$2,$A67),_xll.DBSS(Input!H67,Input_DBS!$E$1,Input!$C$2,Input!$C$3,Input!$C$4,Input!$C$5,Input!$C$7,H$1,H$2,Input!$A67))</f>
        <v>0</v>
      </c>
      <c r="I67" s="113">
        <f>IF(Flag_Send_Data="Restit",_xll.DBRW($C$1,$C$2,$C$3,$C$4,$C$6,$C$5,$C$7,I$1,I$2,$A67),_xll.DBSS(Input!I67,Input_DBS!$E$1,Input!$C$2,Input!$C$3,Input!$C$4,Input!$C$5,Input!$C$7,I$1,I$2,Input!$A67))</f>
        <v>0</v>
      </c>
      <c r="J67" s="113">
        <f>IF(Flag_Send_Data="Restit",_xll.DBRW($C$1,$C$2,$C$3,$C$4,$C$6,$C$5,$C$7,J$1,J$2,$A67),_xll.DBSS(Input!J67,Input_DBS!$E$1,Input!$C$2,Input!$C$3,Input!$C$4,Input!$C$5,Input!$C$7,J$1,J$2,Input!$A67))</f>
        <v>0</v>
      </c>
      <c r="K67" s="113">
        <f>IF(Flag_Send_Data="Restit",_xll.DBRW($C$1,$C$2,$C$3,$C$4,$C$6,$C$5,$C$7,K$1,K$2,$A67),_xll.DBSS(Input!K67,Input_DBS!$E$1,Input!$C$2,Input!$C$3,Input!$C$4,Input!$C$5,Input!$C$7,K$1,K$2,Input!$A67))</f>
        <v>0</v>
      </c>
      <c r="L67" s="113">
        <f>IF(Flag_Send_Data="Restit",_xll.DBRW($C$1,$C$2,$C$3,$C$4,$C$6,$C$5,$C$7,L$1,L$2,$A67),_xll.DBSS(Input!L67,Input_DBS!$E$1,Input!$C$2,Input!$C$3,Input!$C$4,Input!$C$5,Input!$C$7,L$1,L$2,Input!$A67))</f>
        <v>0</v>
      </c>
      <c r="M67" s="113">
        <f>IF(Flag_Send_Data="Restit",_xll.DBRW($C$1,$C$2,$C$3,$C$4,$C$6,$C$5,$C$7,M$1,M$2,$A67),_xll.DBSS(Input!M67,Input_DBS!$E$1,Input!$C$2,Input!$C$3,Input!$C$4,Input!$C$5,Input!$C$7,M$1,M$2,Input!$A67))</f>
        <v>0</v>
      </c>
      <c r="N67" s="113">
        <f>IF(Flag_Send_Data="Restit",_xll.DBRW($C$1,$C$2,$C$3,$C$4,$C$6,$C$5,$C$7,N$1,N$2,$A67),_xll.DBSS(Input!N67,Input_DBS!$E$1,Input!$C$2,Input!$C$3,Input!$C$4,Input!$C$5,Input!$C$7,N$1,N$2,Input!$A67))</f>
        <v>0</v>
      </c>
      <c r="O67" s="113">
        <f>IF(Flag_Send_Data="Restit",_xll.DBRW($C$1,$C$2,$C$3,$C$4,$C$6,$C$5,$C$7,O$1,O$2,$A67),_xll.DBSS(Input!O67,Input_DBS!$E$1,Input!$C$2,Input!$C$3,Input!$C$4,Input!$C$5,Input!$C$7,O$1,O$2,Input!$A67))</f>
        <v>0</v>
      </c>
      <c r="P67" s="113">
        <f>IF(Flag_Send_Data="Restit",_xll.DBRW($C$1,$C$2,$C$3,$C$4,$C$6,$C$5,$C$7,P$1,P$2,$A67),_xll.DBSS(Input!P67,Input_DBS!$E$1,Input!$C$2,Input!$C$3,Input!$C$4,Input!$C$5,Input!$C$7,P$1,P$2,Input!$A67))</f>
        <v>0</v>
      </c>
      <c r="Q67" s="113">
        <f>IF(Flag_Send_Data="Restit",_xll.DBRW($C$1,$C$2,$C$3,$C$4,$C$6,$C$5,$C$7,Q$1,Q$2,$A67),_xll.DBSS(Input!Q67,Input_DBS!$E$1,Input!$C$2,Input!$C$3,Input!$C$4,Input!$C$5,Input!$C$7,Q$1,Q$2,Input!$A67))</f>
        <v>0</v>
      </c>
      <c r="R67" s="113">
        <f>IF(Flag_Send_Data="Restit",_xll.DBRW($C$1,$C$2,$C$3,$C$4,$C$6,$C$5,$C$7,R$1,R$2,$A67),_xll.DBSS(Input!R67,Input_DBS!$E$1,Input!$C$2,Input!$C$3,Input!$C$4,Input!$C$5,Input!$C$7,R$1,R$2,Input!$A67))</f>
        <v>0</v>
      </c>
      <c r="S67" s="113"/>
    </row>
    <row r="68" spans="1:19" ht="15.75">
      <c r="A68" s="1" t="s">
        <v>127</v>
      </c>
      <c r="C68" s="143" t="s">
        <v>48</v>
      </c>
      <c r="E68" s="17" t="s">
        <v>95</v>
      </c>
      <c r="F68" s="42">
        <f t="shared" ref="F68:Q68" si="13">SUM(F67)</f>
        <v>0</v>
      </c>
      <c r="G68" s="42">
        <f t="shared" si="13"/>
        <v>0</v>
      </c>
      <c r="H68" s="42">
        <f t="shared" si="13"/>
        <v>0</v>
      </c>
      <c r="I68" s="42">
        <f t="shared" si="13"/>
        <v>0</v>
      </c>
      <c r="J68" s="42">
        <f t="shared" si="13"/>
        <v>0</v>
      </c>
      <c r="K68" s="42">
        <f t="shared" si="13"/>
        <v>0</v>
      </c>
      <c r="L68" s="42">
        <f t="shared" si="13"/>
        <v>0</v>
      </c>
      <c r="M68" s="42">
        <f t="shared" si="13"/>
        <v>0</v>
      </c>
      <c r="N68" s="42">
        <f t="shared" si="13"/>
        <v>0</v>
      </c>
      <c r="O68" s="42">
        <f t="shared" si="13"/>
        <v>0</v>
      </c>
      <c r="P68" s="42">
        <f t="shared" si="13"/>
        <v>0</v>
      </c>
      <c r="Q68" s="42">
        <f t="shared" si="13"/>
        <v>0</v>
      </c>
      <c r="R68" s="42">
        <f>SUM(R67)</f>
        <v>0</v>
      </c>
      <c r="S68" s="42"/>
    </row>
    <row r="69" spans="1:19" ht="15.75" customHeight="1" outlineLevel="1">
      <c r="A69" s="1" t="s">
        <v>361</v>
      </c>
      <c r="C69" s="143"/>
      <c r="E69" s="9" t="str">
        <f>_xll.DBRW(Server&amp;"}ElementAttributes_Indicator",A69,"code_English")</f>
        <v>Driver_turnover - Driver turnover in %</v>
      </c>
      <c r="F69" s="113">
        <f>IF(Flag_Send_Data="Restit",_xll.DBRW($C$1,$C$2,$C$3,$C$4,$C$6,$C$5,$C$7,F$1,F$2,$A69),_xll.DBSS(Input!F69,Input_DBS!$E$1,Input!$C$2,Input!$C$3,Input!$C$4,Input!$C$5,Input!$C$7,F$1,F$2,Input!$A69))</f>
        <v>0</v>
      </c>
      <c r="G69" s="113">
        <f>IF(Flag_Send_Data="Restit",_xll.DBRW($C$1,$C$2,$C$3,$C$4,$C$6,$C$5,$C$7,G$1,G$2,$A69),_xll.DBSS(Input!G69,Input_DBS!$E$1,Input!$C$2,Input!$C$3,Input!$C$4,Input!$C$5,Input!$C$7,G$1,G$2,Input!$A69))</f>
        <v>0</v>
      </c>
      <c r="H69" s="113">
        <f>IF(Flag_Send_Data="Restit",_xll.DBRW($C$1,$C$2,$C$3,$C$4,$C$6,$C$5,$C$7,H$1,H$2,$A69),_xll.DBSS(Input!H69,Input_DBS!$E$1,Input!$C$2,Input!$C$3,Input!$C$4,Input!$C$5,Input!$C$7,H$1,H$2,Input!$A69))</f>
        <v>0</v>
      </c>
      <c r="I69" s="113">
        <f>IF(Flag_Send_Data="Restit",_xll.DBRW($C$1,$C$2,$C$3,$C$4,$C$6,$C$5,$C$7,I$1,I$2,$A69),_xll.DBSS(Input!I69,Input_DBS!$E$1,Input!$C$2,Input!$C$3,Input!$C$4,Input!$C$5,Input!$C$7,I$1,I$2,Input!$A69))</f>
        <v>0</v>
      </c>
      <c r="J69" s="113">
        <f>IF(Flag_Send_Data="Restit",_xll.DBRW($C$1,$C$2,$C$3,$C$4,$C$6,$C$5,$C$7,J$1,J$2,$A69),_xll.DBSS(Input!J69,Input_DBS!$E$1,Input!$C$2,Input!$C$3,Input!$C$4,Input!$C$5,Input!$C$7,J$1,J$2,Input!$A69))</f>
        <v>0</v>
      </c>
      <c r="K69" s="113">
        <f>IF(Flag_Send_Data="Restit",_xll.DBRW($C$1,$C$2,$C$3,$C$4,$C$6,$C$5,$C$7,K$1,K$2,$A69),_xll.DBSS(Input!K69,Input_DBS!$E$1,Input!$C$2,Input!$C$3,Input!$C$4,Input!$C$5,Input!$C$7,K$1,K$2,Input!$A69))</f>
        <v>0</v>
      </c>
      <c r="L69" s="113">
        <f>IF(Flag_Send_Data="Restit",_xll.DBRW($C$1,$C$2,$C$3,$C$4,$C$6,$C$5,$C$7,L$1,L$2,$A69),_xll.DBSS(Input!L69,Input_DBS!$E$1,Input!$C$2,Input!$C$3,Input!$C$4,Input!$C$5,Input!$C$7,L$1,L$2,Input!$A69))</f>
        <v>0</v>
      </c>
      <c r="M69" s="113">
        <f>IF(Flag_Send_Data="Restit",_xll.DBRW($C$1,$C$2,$C$3,$C$4,$C$6,$C$5,$C$7,M$1,M$2,$A69),_xll.DBSS(Input!M69,Input_DBS!$E$1,Input!$C$2,Input!$C$3,Input!$C$4,Input!$C$5,Input!$C$7,M$1,M$2,Input!$A69))</f>
        <v>0</v>
      </c>
      <c r="N69" s="113">
        <f>IF(Flag_Send_Data="Restit",_xll.DBRW($C$1,$C$2,$C$3,$C$4,$C$6,$C$5,$C$7,N$1,N$2,$A69),_xll.DBSS(Input!N69,Input_DBS!$E$1,Input!$C$2,Input!$C$3,Input!$C$4,Input!$C$5,Input!$C$7,N$1,N$2,Input!$A69))</f>
        <v>0</v>
      </c>
      <c r="O69" s="113">
        <f>IF(Flag_Send_Data="Restit",_xll.DBRW($C$1,$C$2,$C$3,$C$4,$C$6,$C$5,$C$7,O$1,O$2,$A69),_xll.DBSS(Input!O69,Input_DBS!$E$1,Input!$C$2,Input!$C$3,Input!$C$4,Input!$C$5,Input!$C$7,O$1,O$2,Input!$A69))</f>
        <v>0</v>
      </c>
      <c r="P69" s="113">
        <f>IF(Flag_Send_Data="Restit",_xll.DBRW($C$1,$C$2,$C$3,$C$4,$C$6,$C$5,$C$7,P$1,P$2,$A69),_xll.DBSS(Input!P69,Input_DBS!$E$1,Input!$C$2,Input!$C$3,Input!$C$4,Input!$C$5,Input!$C$7,P$1,P$2,Input!$A69))</f>
        <v>0</v>
      </c>
      <c r="Q69" s="113">
        <f>IF(Flag_Send_Data="Restit",_xll.DBRW($C$1,$C$2,$C$3,$C$4,$C$6,$C$5,$C$7,Q$1,Q$2,$A69),_xll.DBSS(Input!Q69,Input_DBS!$E$1,Input!$C$2,Input!$C$3,Input!$C$4,Input!$C$5,Input!$C$7,Q$1,Q$2,Input!$A69))</f>
        <v>0</v>
      </c>
      <c r="R69" s="113">
        <f>IF(Flag_Send_Data="Restit",_xll.DBRW($C$1,$C$2,$C$3,$C$4,$C$6,$C$5,$C$7,R$1,R$2,$A69),_xll.DBSS(Input!R69,Input_DBS!$E$1,Input!$C$2,Input!$C$3,Input!$C$4,Input!$C$5,Input!$C$7,R$1,R$2,Input!$A69))</f>
        <v>0</v>
      </c>
      <c r="S69" s="113"/>
    </row>
    <row r="70" spans="1:19" ht="15.75">
      <c r="A70" s="1" t="s">
        <v>127</v>
      </c>
      <c r="C70" s="143"/>
      <c r="E70" s="80" t="s">
        <v>366</v>
      </c>
      <c r="F70" s="44">
        <f t="shared" ref="F70:Q70" si="14">SUM(F69)</f>
        <v>0</v>
      </c>
      <c r="G70" s="44">
        <f t="shared" si="14"/>
        <v>0</v>
      </c>
      <c r="H70" s="44">
        <f t="shared" si="14"/>
        <v>0</v>
      </c>
      <c r="I70" s="44">
        <f t="shared" si="14"/>
        <v>0</v>
      </c>
      <c r="J70" s="44">
        <f t="shared" si="14"/>
        <v>0</v>
      </c>
      <c r="K70" s="44">
        <f t="shared" si="14"/>
        <v>0</v>
      </c>
      <c r="L70" s="44">
        <f t="shared" si="14"/>
        <v>0</v>
      </c>
      <c r="M70" s="44">
        <f t="shared" si="14"/>
        <v>0</v>
      </c>
      <c r="N70" s="44">
        <f t="shared" si="14"/>
        <v>0</v>
      </c>
      <c r="O70" s="44">
        <f t="shared" si="14"/>
        <v>0</v>
      </c>
      <c r="P70" s="44">
        <f t="shared" si="14"/>
        <v>0</v>
      </c>
      <c r="Q70" s="44">
        <f t="shared" si="14"/>
        <v>0</v>
      </c>
      <c r="R70" s="44">
        <f>SUM(R69)</f>
        <v>0</v>
      </c>
      <c r="S70" s="44"/>
    </row>
    <row r="71" spans="1:19" ht="15.75" customHeight="1" outlineLevel="1">
      <c r="A71" s="1" t="s">
        <v>362</v>
      </c>
      <c r="C71" s="143"/>
      <c r="E71" s="9" t="str">
        <f>_xll.DBRW(Server&amp;"}ElementAttributes_Indicator",A71,"code_English")</f>
        <v>Nb_Driver_open_positions - Driver open positions</v>
      </c>
      <c r="F71" s="113">
        <f>IF(Flag_Send_Data="Restit",_xll.DBRW($C$1,$C$2,$C$3,$C$4,$C$6,$C$5,$C$7,F$1,F$2,$A71),_xll.DBSS(Input!F71,Input_DBS!$E$1,Input!$C$2,Input!$C$3,Input!$C$4,Input!$C$5,Input!$C$7,F$1,F$2,Input!$A71))</f>
        <v>0</v>
      </c>
      <c r="G71" s="113">
        <f>IF(Flag_Send_Data="Restit",_xll.DBRW($C$1,$C$2,$C$3,$C$4,$C$6,$C$5,$C$7,G$1,G$2,$A71),_xll.DBSS(Input!G71,Input_DBS!$E$1,Input!$C$2,Input!$C$3,Input!$C$4,Input!$C$5,Input!$C$7,G$1,G$2,Input!$A71))</f>
        <v>0</v>
      </c>
      <c r="H71" s="113">
        <f>IF(Flag_Send_Data="Restit",_xll.DBRW($C$1,$C$2,$C$3,$C$4,$C$6,$C$5,$C$7,H$1,H$2,$A71),_xll.DBSS(Input!H71,Input_DBS!$E$1,Input!$C$2,Input!$C$3,Input!$C$4,Input!$C$5,Input!$C$7,H$1,H$2,Input!$A71))</f>
        <v>0</v>
      </c>
      <c r="I71" s="113">
        <f>IF(Flag_Send_Data="Restit",_xll.DBRW($C$1,$C$2,$C$3,$C$4,$C$6,$C$5,$C$7,I$1,I$2,$A71),_xll.DBSS(Input!I71,Input_DBS!$E$1,Input!$C$2,Input!$C$3,Input!$C$4,Input!$C$5,Input!$C$7,I$1,I$2,Input!$A71))</f>
        <v>0</v>
      </c>
      <c r="J71" s="113">
        <f>IF(Flag_Send_Data="Restit",_xll.DBRW($C$1,$C$2,$C$3,$C$4,$C$6,$C$5,$C$7,J$1,J$2,$A71),_xll.DBSS(Input!J71,Input_DBS!$E$1,Input!$C$2,Input!$C$3,Input!$C$4,Input!$C$5,Input!$C$7,J$1,J$2,Input!$A71))</f>
        <v>0</v>
      </c>
      <c r="K71" s="113">
        <f>IF(Flag_Send_Data="Restit",_xll.DBRW($C$1,$C$2,$C$3,$C$4,$C$6,$C$5,$C$7,K$1,K$2,$A71),_xll.DBSS(Input!K71,Input_DBS!$E$1,Input!$C$2,Input!$C$3,Input!$C$4,Input!$C$5,Input!$C$7,K$1,K$2,Input!$A71))</f>
        <v>0</v>
      </c>
      <c r="L71" s="113">
        <f>IF(Flag_Send_Data="Restit",_xll.DBRW($C$1,$C$2,$C$3,$C$4,$C$6,$C$5,$C$7,L$1,L$2,$A71),_xll.DBSS(Input!L71,Input_DBS!$E$1,Input!$C$2,Input!$C$3,Input!$C$4,Input!$C$5,Input!$C$7,L$1,L$2,Input!$A71))</f>
        <v>0</v>
      </c>
      <c r="M71" s="113">
        <f>IF(Flag_Send_Data="Restit",_xll.DBRW($C$1,$C$2,$C$3,$C$4,$C$6,$C$5,$C$7,M$1,M$2,$A71),_xll.DBSS(Input!M71,Input_DBS!$E$1,Input!$C$2,Input!$C$3,Input!$C$4,Input!$C$5,Input!$C$7,M$1,M$2,Input!$A71))</f>
        <v>0</v>
      </c>
      <c r="N71" s="113">
        <f>IF(Flag_Send_Data="Restit",_xll.DBRW($C$1,$C$2,$C$3,$C$4,$C$6,$C$5,$C$7,N$1,N$2,$A71),_xll.DBSS(Input!N71,Input_DBS!$E$1,Input!$C$2,Input!$C$3,Input!$C$4,Input!$C$5,Input!$C$7,N$1,N$2,Input!$A71))</f>
        <v>0</v>
      </c>
      <c r="O71" s="113">
        <f>IF(Flag_Send_Data="Restit",_xll.DBRW($C$1,$C$2,$C$3,$C$4,$C$6,$C$5,$C$7,O$1,O$2,$A71),_xll.DBSS(Input!O71,Input_DBS!$E$1,Input!$C$2,Input!$C$3,Input!$C$4,Input!$C$5,Input!$C$7,O$1,O$2,Input!$A71))</f>
        <v>0</v>
      </c>
      <c r="P71" s="113">
        <f>IF(Flag_Send_Data="Restit",_xll.DBRW($C$1,$C$2,$C$3,$C$4,$C$6,$C$5,$C$7,P$1,P$2,$A71),_xll.DBSS(Input!P71,Input_DBS!$E$1,Input!$C$2,Input!$C$3,Input!$C$4,Input!$C$5,Input!$C$7,P$1,P$2,Input!$A71))</f>
        <v>0</v>
      </c>
      <c r="Q71" s="113">
        <f>IF(Flag_Send_Data="Restit",_xll.DBRW($C$1,$C$2,$C$3,$C$4,$C$6,$C$5,$C$7,Q$1,Q$2,$A71),_xll.DBSS(Input!Q71,Input_DBS!$E$1,Input!$C$2,Input!$C$3,Input!$C$4,Input!$C$5,Input!$C$7,Q$1,Q$2,Input!$A71))</f>
        <v>0</v>
      </c>
      <c r="R71" s="113">
        <f>IF(Flag_Send_Data="Restit",_xll.DBRW($C$1,$C$2,$C$3,$C$4,$C$6,$C$5,$C$7,R$1,R$2,$A71),_xll.DBSS(Input!R71,Input_DBS!$E$1,Input!$C$2,Input!$C$3,Input!$C$4,Input!$C$5,Input!$C$7,R$1,R$2,Input!$A71))</f>
        <v>0</v>
      </c>
      <c r="S71" s="113"/>
    </row>
    <row r="72" spans="1:19" ht="15.75">
      <c r="C72" s="143"/>
      <c r="E72" s="83" t="s">
        <v>96</v>
      </c>
      <c r="F72" s="45">
        <f t="shared" ref="F72:Q72" si="15">SUM(F71)</f>
        <v>0</v>
      </c>
      <c r="G72" s="45">
        <f t="shared" si="15"/>
        <v>0</v>
      </c>
      <c r="H72" s="45">
        <f t="shared" si="15"/>
        <v>0</v>
      </c>
      <c r="I72" s="45">
        <f t="shared" si="15"/>
        <v>0</v>
      </c>
      <c r="J72" s="45">
        <f t="shared" si="15"/>
        <v>0</v>
      </c>
      <c r="K72" s="45">
        <f t="shared" si="15"/>
        <v>0</v>
      </c>
      <c r="L72" s="45">
        <f t="shared" si="15"/>
        <v>0</v>
      </c>
      <c r="M72" s="45">
        <f t="shared" si="15"/>
        <v>0</v>
      </c>
      <c r="N72" s="45">
        <f t="shared" si="15"/>
        <v>0</v>
      </c>
      <c r="O72" s="45">
        <f t="shared" si="15"/>
        <v>0</v>
      </c>
      <c r="P72" s="45">
        <f t="shared" si="15"/>
        <v>0</v>
      </c>
      <c r="Q72" s="45">
        <f t="shared" si="15"/>
        <v>0</v>
      </c>
      <c r="R72" s="45">
        <f>SUM(R71)</f>
        <v>0</v>
      </c>
      <c r="S72" s="45"/>
    </row>
    <row r="73" spans="1:19" ht="15.7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mergeCells count="4">
    <mergeCell ref="E9:S11"/>
    <mergeCell ref="E17:E18"/>
    <mergeCell ref="C31:C65"/>
    <mergeCell ref="C68:C72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2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value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4</xdr:col>
                    <xdr:colOff>1209675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3391AA"/>
    <pageSetUpPr fitToPage="1"/>
  </sheetPr>
  <dimension ref="A1:AU381"/>
  <sheetViews>
    <sheetView showGridLines="0" topLeftCell="B11" zoomScale="55" zoomScaleNormal="55" workbookViewId="0">
      <selection activeCell="X12" sqref="X12"/>
    </sheetView>
  </sheetViews>
  <sheetFormatPr baseColWidth="10" defaultColWidth="11.42578125" defaultRowHeight="14.25" outlineLevelRow="2" outlineLevelCol="1"/>
  <cols>
    <col min="1" max="1" width="27.7109375" style="1" hidden="1" customWidth="1"/>
    <col min="2" max="2" width="2.85546875" style="1" customWidth="1"/>
    <col min="3" max="3" width="3.85546875" style="1" customWidth="1"/>
    <col min="4" max="4" width="1.42578125" style="1" customWidth="1"/>
    <col min="5" max="5" width="60.5703125" style="1" customWidth="1"/>
    <col min="6" max="8" width="19.5703125" style="2" bestFit="1" customWidth="1"/>
    <col min="9" max="10" width="18.5703125" style="2" bestFit="1" customWidth="1" outlineLevel="1"/>
    <col min="11" max="19" width="19.5703125" style="2" bestFit="1" customWidth="1" outlineLevel="1"/>
    <col min="20" max="20" width="20.85546875" style="2" bestFit="1" customWidth="1" outlineLevel="1"/>
    <col min="21" max="21" width="20.85546875" style="2" bestFit="1" customWidth="1"/>
    <col min="22" max="33" width="18.5703125" style="2" bestFit="1" customWidth="1" outlineLevel="1"/>
    <col min="34" max="34" width="18.5703125" style="2" bestFit="1" customWidth="1"/>
    <col min="35" max="46" width="17" style="2" bestFit="1" customWidth="1" outlineLevel="1"/>
    <col min="47" max="47" width="11.5703125" style="2" bestFit="1" customWidth="1"/>
    <col min="48" max="16384" width="11.42578125" style="1"/>
  </cols>
  <sheetData>
    <row r="1" spans="1:47" ht="15.75" hidden="1">
      <c r="A1" s="1" t="s">
        <v>7</v>
      </c>
      <c r="C1" s="1" t="str">
        <f>_xll.VIEW("tango_core_model:Report_PL",$C$2,$C$3,$C$4,$C$6,$C$5,$C$7,"!","!","!")</f>
        <v>tango_core_model:Report_PL</v>
      </c>
      <c r="F1" s="71">
        <f>z_Year_Selected -4</f>
        <v>2019</v>
      </c>
      <c r="G1" s="71">
        <f>z_Year_Selected -3</f>
        <v>2020</v>
      </c>
      <c r="H1" s="71">
        <f>z_Year_Selected -2</f>
        <v>2021</v>
      </c>
      <c r="I1" s="4" t="str">
        <f>z_Year_N_1&amp;".01_YTD"</f>
        <v>2022.01_YTD</v>
      </c>
      <c r="J1" s="4" t="str">
        <f>z_Year_N_1&amp;".02_YTD"</f>
        <v>2022.02_YTD</v>
      </c>
      <c r="K1" s="4" t="str">
        <f>z_Year_N_1&amp;".03_YTD"</f>
        <v>2022.03_YTD</v>
      </c>
      <c r="L1" s="4" t="str">
        <f>z_Year_N_1&amp;".04_YTD"</f>
        <v>2022.04_YTD</v>
      </c>
      <c r="M1" s="4" t="str">
        <f>z_Year_N_1&amp;".05_YTD"</f>
        <v>2022.05_YTD</v>
      </c>
      <c r="N1" s="4" t="str">
        <f>z_Year_N_1&amp;".06_YTD"</f>
        <v>2022.06_YTD</v>
      </c>
      <c r="O1" s="4" t="str">
        <f>z_Year_N_1&amp;".07_YTD"</f>
        <v>2022.07_YTD</v>
      </c>
      <c r="P1" s="4" t="str">
        <f>z_Year_N_1&amp;".08_YTD"</f>
        <v>2022.08_YTD</v>
      </c>
      <c r="Q1" s="4" t="str">
        <f>z_Year_N_1&amp;".09_YTD"</f>
        <v>2022.09_YTD</v>
      </c>
      <c r="R1" s="4" t="str">
        <f>z_Year_N_1&amp;".10_YTD"</f>
        <v>2022.10_YTD</v>
      </c>
      <c r="S1" s="4" t="str">
        <f>z_Year_N_1&amp;".11_YTD"</f>
        <v>2022.11_YTD</v>
      </c>
      <c r="T1" s="4" t="str">
        <f>z_Year_N_1&amp;".12_YTD"</f>
        <v>2022.12_YTD</v>
      </c>
      <c r="U1" s="4">
        <f>z_Year_N_1</f>
        <v>2022</v>
      </c>
      <c r="V1" s="4" t="str">
        <f>z_Current_Year&amp;".01_YTD"</f>
        <v>2023.01_YTD</v>
      </c>
      <c r="W1" s="4" t="str">
        <f>z_Current_Year&amp;".02_YTD"</f>
        <v>2023.02_YTD</v>
      </c>
      <c r="X1" s="4" t="str">
        <f>z_Current_Year&amp;".03_YTD"</f>
        <v>2023.03_YTD</v>
      </c>
      <c r="Y1" s="4" t="str">
        <f>z_Current_Year&amp;".04_YTD"</f>
        <v>2023.04_YTD</v>
      </c>
      <c r="Z1" s="4" t="str">
        <f>z_Current_Year&amp;".05_YTD"</f>
        <v>2023.05_YTD</v>
      </c>
      <c r="AA1" s="4" t="str">
        <f>z_Current_Year&amp;".06_YTD"</f>
        <v>2023.06_YTD</v>
      </c>
      <c r="AB1" s="4" t="str">
        <f>z_Current_Year&amp;".07_YTD"</f>
        <v>2023.07_YTD</v>
      </c>
      <c r="AC1" s="4" t="str">
        <f>z_Current_Year&amp;".08_YTD"</f>
        <v>2023.08_YTD</v>
      </c>
      <c r="AD1" s="4" t="str">
        <f>z_Current_Year&amp;".09_YTD"</f>
        <v>2023.09_YTD</v>
      </c>
      <c r="AE1" s="4" t="str">
        <f>z_Current_Year&amp;".10_YTD"</f>
        <v>2023.10_YTD</v>
      </c>
      <c r="AF1" s="4" t="str">
        <f>z_Current_Year&amp;".11_YTD"</f>
        <v>2023.11_YTD</v>
      </c>
      <c r="AG1" s="4" t="str">
        <f>z_Current_Year&amp;".12_YTD"</f>
        <v>2023.12_YTD</v>
      </c>
      <c r="AH1" s="4" t="str">
        <f>z_Year_Selected</f>
        <v>2023</v>
      </c>
      <c r="AI1" s="4" t="str">
        <f>z_Current_Year&amp;".01_YTD"</f>
        <v>2023.01_YTD</v>
      </c>
      <c r="AJ1" s="4" t="str">
        <f>z_Current_Year&amp;".02_YTD"</f>
        <v>2023.02_YTD</v>
      </c>
      <c r="AK1" s="4" t="str">
        <f>z_Current_Year&amp;".03_YTD"</f>
        <v>2023.03_YTD</v>
      </c>
      <c r="AL1" s="4" t="str">
        <f>z_Current_Year&amp;".04_YTD"</f>
        <v>2023.04_YTD</v>
      </c>
      <c r="AM1" s="4" t="str">
        <f>z_Current_Year&amp;".05_YTD"</f>
        <v>2023.05_YTD</v>
      </c>
      <c r="AN1" s="4" t="str">
        <f>z_Current_Year&amp;".06_YTD"</f>
        <v>2023.06_YTD</v>
      </c>
      <c r="AO1" s="4" t="str">
        <f>z_Current_Year&amp;".07_YTD"</f>
        <v>2023.07_YTD</v>
      </c>
      <c r="AP1" s="4" t="str">
        <f>z_Current_Year&amp;".08_YTD"</f>
        <v>2023.08_YTD</v>
      </c>
      <c r="AQ1" s="4" t="str">
        <f>z_Current_Year&amp;".09_YTD"</f>
        <v>2023.09_YTD</v>
      </c>
      <c r="AR1" s="4" t="str">
        <f>z_Current_Year&amp;".10_YTD"</f>
        <v>2023.10_YTD</v>
      </c>
      <c r="AS1" s="4" t="str">
        <f>z_Current_Year&amp;".11_YTD"</f>
        <v>2023.11_YTD</v>
      </c>
      <c r="AT1" s="4" t="str">
        <f>z_Current_Year&amp;".12_YTD"</f>
        <v>2023.12_YTD</v>
      </c>
      <c r="AU1" s="4" t="str">
        <f>z_Year_Selected</f>
        <v>2023</v>
      </c>
    </row>
    <row r="2" spans="1:47" hidden="1">
      <c r="A2" s="3" t="s">
        <v>8</v>
      </c>
      <c r="B2" s="3"/>
      <c r="C2" s="1" t="s">
        <v>369</v>
      </c>
      <c r="F2" s="4" t="s">
        <v>383</v>
      </c>
      <c r="G2" s="4" t="s">
        <v>383</v>
      </c>
      <c r="H2" s="4" t="s">
        <v>383</v>
      </c>
      <c r="I2" s="4" t="s">
        <v>383</v>
      </c>
      <c r="J2" s="4" t="s">
        <v>383</v>
      </c>
      <c r="K2" s="4" t="s">
        <v>383</v>
      </c>
      <c r="L2" s="4" t="s">
        <v>383</v>
      </c>
      <c r="M2" s="4" t="s">
        <v>383</v>
      </c>
      <c r="N2" s="4" t="s">
        <v>383</v>
      </c>
      <c r="O2" s="4" t="s">
        <v>383</v>
      </c>
      <c r="P2" s="4" t="s">
        <v>383</v>
      </c>
      <c r="Q2" s="4" t="s">
        <v>383</v>
      </c>
      <c r="R2" s="4" t="s">
        <v>383</v>
      </c>
      <c r="S2" s="4" t="s">
        <v>383</v>
      </c>
      <c r="T2" s="4" t="s">
        <v>383</v>
      </c>
      <c r="U2" s="4" t="s">
        <v>383</v>
      </c>
      <c r="V2" s="4" t="s">
        <v>384</v>
      </c>
      <c r="W2" s="4" t="s">
        <v>384</v>
      </c>
      <c r="X2" s="4" t="s">
        <v>384</v>
      </c>
      <c r="Y2" s="4" t="s">
        <v>384</v>
      </c>
      <c r="Z2" s="4" t="s">
        <v>384</v>
      </c>
      <c r="AA2" s="4" t="s">
        <v>384</v>
      </c>
      <c r="AB2" s="4" t="s">
        <v>384</v>
      </c>
      <c r="AC2" s="4" t="s">
        <v>384</v>
      </c>
      <c r="AD2" s="4" t="s">
        <v>384</v>
      </c>
      <c r="AE2" s="4" t="s">
        <v>384</v>
      </c>
      <c r="AF2" s="4" t="s">
        <v>384</v>
      </c>
      <c r="AG2" s="4" t="s">
        <v>384</v>
      </c>
      <c r="AH2" s="4" t="s">
        <v>384</v>
      </c>
      <c r="AI2" s="4" t="s">
        <v>383</v>
      </c>
      <c r="AJ2" s="4" t="s">
        <v>383</v>
      </c>
      <c r="AK2" s="4" t="s">
        <v>383</v>
      </c>
      <c r="AL2" s="4" t="s">
        <v>383</v>
      </c>
      <c r="AM2" s="4" t="s">
        <v>383</v>
      </c>
      <c r="AN2" s="4" t="s">
        <v>383</v>
      </c>
      <c r="AO2" s="4" t="s">
        <v>383</v>
      </c>
      <c r="AP2" s="4" t="s">
        <v>383</v>
      </c>
      <c r="AQ2" s="4" t="s">
        <v>383</v>
      </c>
      <c r="AR2" s="4" t="s">
        <v>383</v>
      </c>
      <c r="AS2" s="4" t="s">
        <v>383</v>
      </c>
      <c r="AT2" s="4" t="s">
        <v>383</v>
      </c>
      <c r="AU2" s="4" t="s">
        <v>383</v>
      </c>
    </row>
    <row r="3" spans="1:47" hidden="1">
      <c r="A3" s="3" t="s">
        <v>5</v>
      </c>
      <c r="B3" s="3"/>
      <c r="C3" s="1" t="str">
        <f>Context!F36</f>
        <v>LCL</v>
      </c>
    </row>
    <row r="4" spans="1:47" hidden="1">
      <c r="A4" s="3" t="s">
        <v>9</v>
      </c>
      <c r="B4" s="3"/>
      <c r="C4" s="1" t="str">
        <f>Context!F37</f>
        <v>Local_Gaap_Mgmt_tool</v>
      </c>
    </row>
    <row r="5" spans="1:47" hidden="1">
      <c r="A5" s="3" t="s">
        <v>10</v>
      </c>
      <c r="B5" s="3"/>
      <c r="C5" s="1" t="str">
        <f>z_Legal_Entity</f>
        <v>VTD_corp</v>
      </c>
    </row>
    <row r="6" spans="1:47" hidden="1">
      <c r="A6" s="3" t="s">
        <v>11</v>
      </c>
      <c r="B6" s="3"/>
      <c r="C6" s="1" t="s">
        <v>368</v>
      </c>
    </row>
    <row r="7" spans="1:47" hidden="1">
      <c r="A7" s="3" t="s">
        <v>12</v>
      </c>
      <c r="B7" s="3"/>
      <c r="C7" s="1" t="str">
        <f>z_UM_Selected</f>
        <v>VTD_corp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8"/>
    </row>
    <row r="8" spans="1:47">
      <c r="A8" s="3"/>
      <c r="B8" s="3"/>
    </row>
    <row r="9" spans="1:47" ht="14.45" customHeight="1">
      <c r="A9" s="3"/>
      <c r="B9" s="3"/>
      <c r="C9" s="89"/>
      <c r="D9" s="90"/>
      <c r="E9" s="142" t="str">
        <f>"Reporting Europe "&amp;Context!F28&amp;", "&amp;Context!G31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</row>
    <row r="10" spans="1:47" ht="14.4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</row>
    <row r="11" spans="1:47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</row>
    <row r="12" spans="1:47">
      <c r="A12" s="3"/>
      <c r="B12" s="3"/>
      <c r="E12" s="112">
        <f ca="1">NOW()</f>
        <v>45532.486404050927</v>
      </c>
    </row>
    <row r="17" spans="1:47" ht="15.75">
      <c r="E17" s="140" t="str">
        <f>C7</f>
        <v>VTD_corp</v>
      </c>
      <c r="F17" s="59" t="str">
        <f t="shared" ref="F17:AU17" si="0">IF(F2="ACT_TOT","ACTUAL","BUDGET")</f>
        <v>ACTUAL</v>
      </c>
      <c r="G17" s="59" t="str">
        <f t="shared" si="0"/>
        <v>ACTUAL</v>
      </c>
      <c r="H17" s="59" t="str">
        <f t="shared" si="0"/>
        <v>ACTUAL</v>
      </c>
      <c r="I17" s="59" t="str">
        <f t="shared" si="0"/>
        <v>ACTUAL</v>
      </c>
      <c r="J17" s="59" t="str">
        <f t="shared" si="0"/>
        <v>ACTUAL</v>
      </c>
      <c r="K17" s="59" t="str">
        <f t="shared" si="0"/>
        <v>ACTUAL</v>
      </c>
      <c r="L17" s="59" t="str">
        <f t="shared" si="0"/>
        <v>ACTUAL</v>
      </c>
      <c r="M17" s="59" t="str">
        <f t="shared" si="0"/>
        <v>ACTUAL</v>
      </c>
      <c r="N17" s="59" t="str">
        <f t="shared" si="0"/>
        <v>ACTUAL</v>
      </c>
      <c r="O17" s="59" t="str">
        <f t="shared" si="0"/>
        <v>ACTUAL</v>
      </c>
      <c r="P17" s="59" t="str">
        <f t="shared" si="0"/>
        <v>ACTUAL</v>
      </c>
      <c r="Q17" s="59" t="str">
        <f t="shared" si="0"/>
        <v>ACTUAL</v>
      </c>
      <c r="R17" s="59" t="str">
        <f t="shared" si="0"/>
        <v>ACTUAL</v>
      </c>
      <c r="S17" s="59" t="str">
        <f t="shared" si="0"/>
        <v>ACTUAL</v>
      </c>
      <c r="T17" s="59" t="str">
        <f t="shared" si="0"/>
        <v>ACTUAL</v>
      </c>
      <c r="U17" s="59" t="str">
        <f t="shared" si="0"/>
        <v>ACTUAL</v>
      </c>
      <c r="V17" s="59" t="str">
        <f t="shared" si="0"/>
        <v>BUDGET</v>
      </c>
      <c r="W17" s="59" t="str">
        <f t="shared" si="0"/>
        <v>BUDGET</v>
      </c>
      <c r="X17" s="59" t="str">
        <f t="shared" si="0"/>
        <v>BUDGET</v>
      </c>
      <c r="Y17" s="59" t="str">
        <f t="shared" si="0"/>
        <v>BUDGET</v>
      </c>
      <c r="Z17" s="59" t="str">
        <f t="shared" si="0"/>
        <v>BUDGET</v>
      </c>
      <c r="AA17" s="59" t="str">
        <f t="shared" si="0"/>
        <v>BUDGET</v>
      </c>
      <c r="AB17" s="59" t="str">
        <f t="shared" si="0"/>
        <v>BUDGET</v>
      </c>
      <c r="AC17" s="59" t="str">
        <f t="shared" si="0"/>
        <v>BUDGET</v>
      </c>
      <c r="AD17" s="59" t="str">
        <f t="shared" si="0"/>
        <v>BUDGET</v>
      </c>
      <c r="AE17" s="59" t="str">
        <f t="shared" si="0"/>
        <v>BUDGET</v>
      </c>
      <c r="AF17" s="59" t="str">
        <f t="shared" si="0"/>
        <v>BUDGET</v>
      </c>
      <c r="AG17" s="59" t="str">
        <f t="shared" si="0"/>
        <v>BUDGET</v>
      </c>
      <c r="AH17" s="59" t="str">
        <f t="shared" si="0"/>
        <v>BUDGET</v>
      </c>
      <c r="AI17" s="59" t="str">
        <f t="shared" si="0"/>
        <v>ACTUAL</v>
      </c>
      <c r="AJ17" s="59" t="str">
        <f t="shared" si="0"/>
        <v>ACTUAL</v>
      </c>
      <c r="AK17" s="59" t="str">
        <f t="shared" si="0"/>
        <v>ACTUAL</v>
      </c>
      <c r="AL17" s="59" t="str">
        <f t="shared" si="0"/>
        <v>ACTUAL</v>
      </c>
      <c r="AM17" s="59" t="str">
        <f t="shared" si="0"/>
        <v>ACTUAL</v>
      </c>
      <c r="AN17" s="59" t="str">
        <f t="shared" si="0"/>
        <v>ACTUAL</v>
      </c>
      <c r="AO17" s="59" t="str">
        <f t="shared" si="0"/>
        <v>ACTUAL</v>
      </c>
      <c r="AP17" s="59" t="str">
        <f t="shared" si="0"/>
        <v>ACTUAL</v>
      </c>
      <c r="AQ17" s="59" t="str">
        <f t="shared" si="0"/>
        <v>ACTUAL</v>
      </c>
      <c r="AR17" s="59" t="str">
        <f t="shared" si="0"/>
        <v>ACTUAL</v>
      </c>
      <c r="AS17" s="59" t="str">
        <f t="shared" si="0"/>
        <v>ACTUAL</v>
      </c>
      <c r="AT17" s="59" t="str">
        <f t="shared" si="0"/>
        <v>ACTUAL</v>
      </c>
      <c r="AU17" s="59" t="str">
        <f t="shared" si="0"/>
        <v>ACTUAL</v>
      </c>
    </row>
    <row r="18" spans="1:47" ht="15.75">
      <c r="E18" s="141"/>
      <c r="F18" s="60">
        <f t="shared" ref="F18:AU18" si="1">F1</f>
        <v>2019</v>
      </c>
      <c r="G18" s="60">
        <f t="shared" si="1"/>
        <v>2020</v>
      </c>
      <c r="H18" s="60">
        <f t="shared" si="1"/>
        <v>2021</v>
      </c>
      <c r="I18" s="60" t="str">
        <f t="shared" si="1"/>
        <v>2022.01_YTD</v>
      </c>
      <c r="J18" s="60" t="str">
        <f t="shared" si="1"/>
        <v>2022.02_YTD</v>
      </c>
      <c r="K18" s="60" t="str">
        <f t="shared" si="1"/>
        <v>2022.03_YTD</v>
      </c>
      <c r="L18" s="60" t="str">
        <f t="shared" si="1"/>
        <v>2022.04_YTD</v>
      </c>
      <c r="M18" s="60" t="str">
        <f t="shared" si="1"/>
        <v>2022.05_YTD</v>
      </c>
      <c r="N18" s="60" t="str">
        <f t="shared" si="1"/>
        <v>2022.06_YTD</v>
      </c>
      <c r="O18" s="60" t="str">
        <f t="shared" si="1"/>
        <v>2022.07_YTD</v>
      </c>
      <c r="P18" s="60" t="str">
        <f t="shared" si="1"/>
        <v>2022.08_YTD</v>
      </c>
      <c r="Q18" s="60" t="str">
        <f t="shared" si="1"/>
        <v>2022.09_YTD</v>
      </c>
      <c r="R18" s="60" t="str">
        <f t="shared" si="1"/>
        <v>2022.10_YTD</v>
      </c>
      <c r="S18" s="60" t="str">
        <f t="shared" si="1"/>
        <v>2022.11_YTD</v>
      </c>
      <c r="T18" s="60" t="str">
        <f t="shared" si="1"/>
        <v>2022.12_YTD</v>
      </c>
      <c r="U18" s="60">
        <f t="shared" si="1"/>
        <v>2022</v>
      </c>
      <c r="V18" s="60" t="str">
        <f t="shared" si="1"/>
        <v>2023.01_YTD</v>
      </c>
      <c r="W18" s="60" t="str">
        <f t="shared" si="1"/>
        <v>2023.02_YTD</v>
      </c>
      <c r="X18" s="60" t="str">
        <f t="shared" si="1"/>
        <v>2023.03_YTD</v>
      </c>
      <c r="Y18" s="60" t="str">
        <f t="shared" si="1"/>
        <v>2023.04_YTD</v>
      </c>
      <c r="Z18" s="60" t="str">
        <f t="shared" si="1"/>
        <v>2023.05_YTD</v>
      </c>
      <c r="AA18" s="60" t="str">
        <f t="shared" si="1"/>
        <v>2023.06_YTD</v>
      </c>
      <c r="AB18" s="60" t="str">
        <f t="shared" si="1"/>
        <v>2023.07_YTD</v>
      </c>
      <c r="AC18" s="60" t="str">
        <f t="shared" si="1"/>
        <v>2023.08_YTD</v>
      </c>
      <c r="AD18" s="60" t="str">
        <f t="shared" si="1"/>
        <v>2023.09_YTD</v>
      </c>
      <c r="AE18" s="60" t="str">
        <f t="shared" si="1"/>
        <v>2023.10_YTD</v>
      </c>
      <c r="AF18" s="60" t="str">
        <f t="shared" si="1"/>
        <v>2023.11_YTD</v>
      </c>
      <c r="AG18" s="60" t="str">
        <f t="shared" si="1"/>
        <v>2023.12_YTD</v>
      </c>
      <c r="AH18" s="60" t="str">
        <f t="shared" si="1"/>
        <v>2023</v>
      </c>
      <c r="AI18" s="60" t="str">
        <f t="shared" si="1"/>
        <v>2023.01_YTD</v>
      </c>
      <c r="AJ18" s="60" t="str">
        <f t="shared" si="1"/>
        <v>2023.02_YTD</v>
      </c>
      <c r="AK18" s="60" t="str">
        <f t="shared" si="1"/>
        <v>2023.03_YTD</v>
      </c>
      <c r="AL18" s="60" t="str">
        <f t="shared" si="1"/>
        <v>2023.04_YTD</v>
      </c>
      <c r="AM18" s="60" t="str">
        <f t="shared" si="1"/>
        <v>2023.05_YTD</v>
      </c>
      <c r="AN18" s="60" t="str">
        <f t="shared" si="1"/>
        <v>2023.06_YTD</v>
      </c>
      <c r="AO18" s="60" t="str">
        <f t="shared" si="1"/>
        <v>2023.07_YTD</v>
      </c>
      <c r="AP18" s="60" t="str">
        <f t="shared" si="1"/>
        <v>2023.08_YTD</v>
      </c>
      <c r="AQ18" s="60" t="str">
        <f t="shared" si="1"/>
        <v>2023.09_YTD</v>
      </c>
      <c r="AR18" s="60" t="str">
        <f t="shared" si="1"/>
        <v>2023.10_YTD</v>
      </c>
      <c r="AS18" s="60" t="str">
        <f t="shared" si="1"/>
        <v>2023.11_YTD</v>
      </c>
      <c r="AT18" s="60" t="str">
        <f t="shared" si="1"/>
        <v>2023.12_YTD</v>
      </c>
      <c r="AU18" s="60" t="str">
        <f t="shared" si="1"/>
        <v>2023</v>
      </c>
    </row>
    <row r="19" spans="1:47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ht="15.75" outlineLevel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90418398056.880173</v>
      </c>
      <c r="G20" s="10">
        <f>_xll.DBRW($C$1,$C$2,$C$3,$C$4,$C$6,$C$5,$C$7,G$1,G$2,A20)</f>
        <v>88027378617.683365</v>
      </c>
      <c r="H20" s="10">
        <f>_xll.DBRW($C$1,$C$2,$C$3,$C$4,$C$6,$C$5,$C$7,H$1,H$2,A20)</f>
        <v>88884154459.439331</v>
      </c>
      <c r="I20" s="10">
        <f>_xll.DBRW($C$1,$C$2,$C$3,$C$4,$C$6,$C$5,$C$7,I$1,I$2,A20)</f>
        <v>6797628495.1817989</v>
      </c>
      <c r="J20" s="10">
        <f>_xll.DBRW($C$1,$C$2,$C$3,$C$4,$C$6,$C$5,$C$7,J$1,J$2,A20)</f>
        <v>8681714227.5517998</v>
      </c>
      <c r="K20" s="10">
        <f>_xll.DBRW($C$1,$C$2,$C$3,$C$4,$C$6,$C$5,$C$7,K$1,K$2,A20)</f>
        <v>24047932880.876205</v>
      </c>
      <c r="L20" s="10">
        <f>_xll.DBRW($C$1,$C$2,$C$3,$C$4,$C$6,$C$5,$C$7,L$1,L$2,A20)</f>
        <v>32669955272.717392</v>
      </c>
      <c r="M20" s="10">
        <f>_xll.DBRW($C$1,$C$2,$C$3,$C$4,$C$6,$C$5,$C$7,M$1,M$2,A20)</f>
        <v>42171660608.576584</v>
      </c>
      <c r="N20" s="10">
        <f>_xll.DBRW($C$1,$C$2,$C$3,$C$4,$C$6,$C$5,$C$7,N$1,N$2,A20)</f>
        <v>51698315579.391785</v>
      </c>
      <c r="O20" s="10">
        <f>_xll.DBRW($C$1,$C$2,$C$3,$C$4,$C$6,$C$5,$C$7,O$1,O$2,A20)</f>
        <v>55980204730.49398</v>
      </c>
      <c r="P20" s="10">
        <f>_xll.DBRW($C$1,$C$2,$C$3,$C$4,$C$6,$C$5,$C$7,P$1,P$2,A20)</f>
        <v>70856609888.498993</v>
      </c>
      <c r="Q20" s="10">
        <f>_xll.DBRW($C$1,$C$2,$C$3,$C$4,$C$6,$C$5,$C$7,Q$1,Q$2,A20)</f>
        <v>81649344805.188797</v>
      </c>
      <c r="R20" s="10">
        <f>_xll.DBRW($C$1,$C$2,$C$3,$C$4,$C$6,$C$5,$C$7,R$1,R$2,A20)</f>
        <v>85235717828.034195</v>
      </c>
      <c r="S20" s="10">
        <f>_xll.DBRW($C$1,$C$2,$C$3,$C$4,$C$6,$C$5,$C$7,S$1,S$2,A20)</f>
        <v>97729746716.630997</v>
      </c>
      <c r="T20" s="10">
        <f>_xll.DBRW($C$1,$C$2,$C$3,$C$4,$C$6,$C$5,$C$7,T$1,T$2,A20)</f>
        <v>114305893080.8694</v>
      </c>
      <c r="U20" s="10">
        <f>_xll.DBRW($C$1,$C$2,$C$3,$C$4,$C$6,$C$5,$C$7,U$1,U$2,A20)</f>
        <v>114305893080.8694</v>
      </c>
      <c r="V20" s="10">
        <f>_xll.DBRW($C$1,$C$2,$C$3,$C$4,$C$6,$C$5,$C$7,V$1,V$2,A20)</f>
        <v>0</v>
      </c>
      <c r="W20" s="10">
        <f>_xll.DBRW($C$1,$C$2,$C$3,$C$4,$C$6,$C$5,$C$7,W$1,W$2,A20)</f>
        <v>0</v>
      </c>
      <c r="X20" s="10">
        <f>_xll.DBRW($C$1,$C$2,$C$3,$C$4,$C$6,$C$5,$C$7,X$1,X$2,A20)</f>
        <v>0</v>
      </c>
      <c r="Y20" s="10">
        <f>_xll.DBRW($C$1,$C$2,$C$3,$C$4,$C$6,$C$5,$C$7,Y$1,Y$2,A20)</f>
        <v>0</v>
      </c>
      <c r="Z20" s="10">
        <f>_xll.DBRW($C$1,$C$2,$C$3,$C$4,$C$6,$C$5,$C$7,Z$1,Z$2,A20)</f>
        <v>0</v>
      </c>
      <c r="AA20" s="10">
        <f>_xll.DBRW($C$1,$C$2,$C$3,$C$4,$C$6,$C$5,$C$7,AA$1,AA$2,A20)</f>
        <v>0</v>
      </c>
      <c r="AB20" s="10">
        <f>_xll.DBRW($C$1,$C$2,$C$3,$C$4,$C$6,$C$5,$C$7,AB$1,AB$2,A20)</f>
        <v>0</v>
      </c>
      <c r="AC20" s="10">
        <f>_xll.DBRW($C$1,$C$2,$C$3,$C$4,$C$6,$C$5,$C$7,AC$1,AC$2,A20)</f>
        <v>0</v>
      </c>
      <c r="AD20" s="10">
        <f>_xll.DBRW($C$1,$C$2,$C$3,$C$4,$C$6,$C$5,$C$7,AD$1,AD$2,A20)</f>
        <v>0</v>
      </c>
      <c r="AE20" s="10">
        <f>_xll.DBRW($C$1,$C$2,$C$3,$C$4,$C$6,$C$5,$C$7,AE$1,AE$2,A20)</f>
        <v>0</v>
      </c>
      <c r="AF20" s="10">
        <f>_xll.DBRW($C$1,$C$2,$C$3,$C$4,$C$6,$C$5,$C$7,AF$1,AF$2,A20)</f>
        <v>0</v>
      </c>
      <c r="AG20" s="10">
        <f>_xll.DBRW($C$1,$C$2,$C$3,$C$4,$C$6,$C$5,$C$7,AG$1,AG$2,A20)</f>
        <v>0</v>
      </c>
      <c r="AH20" s="23">
        <f>_xll.DBRW($C$1,$C$2,$C$3,$C$4,$C$6,$C$5,$C$7,AH$1,AH$2,A20)</f>
        <v>0</v>
      </c>
      <c r="AI20" s="10">
        <f>_xll.DBRW($C$1,$C$2,$C$3,$C$4,$C$6,$C$5,$C$7,AI$1,AI$2,A20)</f>
        <v>0</v>
      </c>
      <c r="AJ20" s="10">
        <f>_xll.DBRW($C$1,$C$2,$C$3,$C$4,$C$6,$C$5,$C$7,AJ$1,AJ$2,A20)</f>
        <v>0</v>
      </c>
      <c r="AK20" s="10">
        <f>_xll.DBRW($C$1,$C$2,$C$3,$C$4,$C$6,$C$5,$C$7,AK$1,AK$2,A20)</f>
        <v>0</v>
      </c>
      <c r="AL20" s="10">
        <f>_xll.DBRW($C$1,$C$2,$C$3,$C$4,$C$6,$C$5,$C$7,AL$1,AL$2,A20)</f>
        <v>0</v>
      </c>
      <c r="AM20" s="10">
        <f>_xll.DBRW($C$1,$C$2,$C$3,$C$4,$C$6,$C$5,$C$7,AM$1,AM$2,A20)</f>
        <v>0</v>
      </c>
      <c r="AN20" s="10">
        <f>_xll.DBRW($C$1,$C$2,$C$3,$C$4,$C$6,$C$5,$C$7,AN$1,AN$2,A20)</f>
        <v>0</v>
      </c>
      <c r="AO20" s="10">
        <f>_xll.DBRW($C$1,$C$2,$C$3,$C$4,$C$6,$C$5,$C$7,AO$1,AO$2,A20)</f>
        <v>0</v>
      </c>
      <c r="AP20" s="10">
        <f>_xll.DBRW($C$1,$C$2,$C$3,$C$4,$C$6,$C$5,$C$7,AP$1,AP$2,A20)</f>
        <v>0</v>
      </c>
      <c r="AQ20" s="10">
        <f>_xll.DBRW($C$1,$C$2,$C$3,$C$4,$C$6,$C$5,$C$7,AQ$1,AQ$2,A20)</f>
        <v>0</v>
      </c>
      <c r="AR20" s="10">
        <f>_xll.DBRW($C$1,$C$2,$C$3,$C$4,$C$6,$C$5,$C$7,AR$1,AR$2,A20)</f>
        <v>0</v>
      </c>
      <c r="AS20" s="10">
        <f>_xll.DBRW($C$1,$C$2,$C$3,$C$4,$C$6,$C$5,$C$7,AS$1,AS$2,A20)</f>
        <v>0</v>
      </c>
      <c r="AT20" s="10">
        <f>_xll.DBRW($C$1,$C$2,$C$3,$C$4,$C$6,$C$5,$C$7,AT$1,AT$2,A20)</f>
        <v>0</v>
      </c>
      <c r="AU20" s="10">
        <f>_xll.DBRW($C$1,$C$2,$C$3,$C$4,$C$6,$C$5,$C$7,AU$1,AU$2,A20)</f>
        <v>0</v>
      </c>
    </row>
    <row r="21" spans="1:47" ht="15.75" customHeight="1">
      <c r="A21" s="1" t="s">
        <v>127</v>
      </c>
      <c r="C21" s="143" t="s">
        <v>13</v>
      </c>
      <c r="E21" s="116" t="s">
        <v>14</v>
      </c>
      <c r="F21" s="117">
        <f t="shared" ref="F21:AU21" si="2">F20</f>
        <v>90418398056.880173</v>
      </c>
      <c r="G21" s="117">
        <f t="shared" si="2"/>
        <v>88027378617.683365</v>
      </c>
      <c r="H21" s="117">
        <f t="shared" si="2"/>
        <v>88884154459.439331</v>
      </c>
      <c r="I21" s="117">
        <f t="shared" si="2"/>
        <v>6797628495.1817989</v>
      </c>
      <c r="J21" s="117">
        <f t="shared" si="2"/>
        <v>8681714227.5517998</v>
      </c>
      <c r="K21" s="117">
        <f t="shared" si="2"/>
        <v>24047932880.876205</v>
      </c>
      <c r="L21" s="117">
        <f t="shared" si="2"/>
        <v>32669955272.717392</v>
      </c>
      <c r="M21" s="117">
        <f t="shared" si="2"/>
        <v>42171660608.576584</v>
      </c>
      <c r="N21" s="117">
        <f t="shared" si="2"/>
        <v>51698315579.391785</v>
      </c>
      <c r="O21" s="117">
        <f t="shared" si="2"/>
        <v>55980204730.49398</v>
      </c>
      <c r="P21" s="117">
        <f t="shared" si="2"/>
        <v>70856609888.498993</v>
      </c>
      <c r="Q21" s="117">
        <f t="shared" si="2"/>
        <v>81649344805.188797</v>
      </c>
      <c r="R21" s="117">
        <f t="shared" si="2"/>
        <v>85235717828.034195</v>
      </c>
      <c r="S21" s="117">
        <f t="shared" si="2"/>
        <v>97729746716.630997</v>
      </c>
      <c r="T21" s="117">
        <f t="shared" si="2"/>
        <v>114305893080.8694</v>
      </c>
      <c r="U21" s="117">
        <f t="shared" si="2"/>
        <v>114305893080.8694</v>
      </c>
      <c r="V21" s="117">
        <f t="shared" si="2"/>
        <v>0</v>
      </c>
      <c r="W21" s="117">
        <f t="shared" si="2"/>
        <v>0</v>
      </c>
      <c r="X21" s="117">
        <f t="shared" si="2"/>
        <v>0</v>
      </c>
      <c r="Y21" s="117">
        <f t="shared" si="2"/>
        <v>0</v>
      </c>
      <c r="Z21" s="117">
        <f t="shared" si="2"/>
        <v>0</v>
      </c>
      <c r="AA21" s="117">
        <f t="shared" si="2"/>
        <v>0</v>
      </c>
      <c r="AB21" s="117">
        <f t="shared" si="2"/>
        <v>0</v>
      </c>
      <c r="AC21" s="117">
        <f t="shared" si="2"/>
        <v>0</v>
      </c>
      <c r="AD21" s="117">
        <f t="shared" si="2"/>
        <v>0</v>
      </c>
      <c r="AE21" s="117">
        <f t="shared" si="2"/>
        <v>0</v>
      </c>
      <c r="AF21" s="117">
        <f t="shared" si="2"/>
        <v>0</v>
      </c>
      <c r="AG21" s="117">
        <f t="shared" si="2"/>
        <v>0</v>
      </c>
      <c r="AH21" s="117">
        <f t="shared" si="2"/>
        <v>0</v>
      </c>
      <c r="AI21" s="117">
        <f t="shared" si="2"/>
        <v>0</v>
      </c>
      <c r="AJ21" s="117">
        <f t="shared" si="2"/>
        <v>0</v>
      </c>
      <c r="AK21" s="117">
        <f t="shared" si="2"/>
        <v>0</v>
      </c>
      <c r="AL21" s="117">
        <f t="shared" si="2"/>
        <v>0</v>
      </c>
      <c r="AM21" s="117">
        <f t="shared" si="2"/>
        <v>0</v>
      </c>
      <c r="AN21" s="117">
        <f t="shared" si="2"/>
        <v>0</v>
      </c>
      <c r="AO21" s="117">
        <f t="shared" si="2"/>
        <v>0</v>
      </c>
      <c r="AP21" s="117">
        <f t="shared" si="2"/>
        <v>0</v>
      </c>
      <c r="AQ21" s="117">
        <f t="shared" si="2"/>
        <v>0</v>
      </c>
      <c r="AR21" s="117">
        <f t="shared" si="2"/>
        <v>0</v>
      </c>
      <c r="AS21" s="117">
        <f t="shared" si="2"/>
        <v>0</v>
      </c>
      <c r="AT21" s="117">
        <f t="shared" si="2"/>
        <v>0</v>
      </c>
      <c r="AU21" s="117">
        <f t="shared" si="2"/>
        <v>0</v>
      </c>
    </row>
    <row r="22" spans="1:47" ht="7.5" customHeight="1">
      <c r="A22" s="1" t="s">
        <v>127</v>
      </c>
      <c r="C22" s="143"/>
      <c r="E22" s="7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ht="15.75" hidden="1" customHeight="1" outlineLevel="1">
      <c r="A23" s="1" t="s">
        <v>128</v>
      </c>
      <c r="C23" s="143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1120744766.96</v>
      </c>
      <c r="G23" s="10">
        <f>_xll.DBRW($C$1,$C$2,$C$3,$C$4,$C$6,$C$5,$C$7,G$1,G$2,A23)</f>
        <v>1056058805.6399999</v>
      </c>
      <c r="H23" s="10">
        <f>_xll.DBRW($C$1,$C$2,$C$3,$C$4,$C$6,$C$5,$C$7,H$1,H$2,A23)</f>
        <v>44440403988.659996</v>
      </c>
      <c r="I23" s="10">
        <f>_xll.DBRW($C$1,$C$2,$C$3,$C$4,$C$6,$C$5,$C$7,I$1,I$2,A23)</f>
        <v>3875713147.1700001</v>
      </c>
      <c r="J23" s="10">
        <f>_xll.DBRW($C$1,$C$2,$C$3,$C$4,$C$6,$C$5,$C$7,J$1,J$2,A23)</f>
        <v>3604420466.5</v>
      </c>
      <c r="K23" s="10">
        <f>_xll.DBRW($C$1,$C$2,$C$3,$C$4,$C$6,$C$5,$C$7,K$1,K$2,A23)</f>
        <v>12108126031.24</v>
      </c>
      <c r="L23" s="10">
        <f>_xll.DBRW($C$1,$C$2,$C$3,$C$4,$C$6,$C$5,$C$7,L$1,L$2,A23)</f>
        <v>16382866339.17</v>
      </c>
      <c r="M23" s="10">
        <f>_xll.DBRW($C$1,$C$2,$C$3,$C$4,$C$6,$C$5,$C$7,M$1,M$2,A23)</f>
        <v>21025016422.41</v>
      </c>
      <c r="N23" s="10">
        <f>_xll.DBRW($C$1,$C$2,$C$3,$C$4,$C$6,$C$5,$C$7,N$1,N$2,A23)</f>
        <v>25759577572.66</v>
      </c>
      <c r="O23" s="10">
        <f>_xll.DBRW($C$1,$C$2,$C$3,$C$4,$C$6,$C$5,$C$7,O$1,O$2,A23)</f>
        <v>30488249438.809998</v>
      </c>
      <c r="P23" s="10">
        <f>_xll.DBRW($C$1,$C$2,$C$3,$C$4,$C$6,$C$5,$C$7,P$1,P$2,A23)</f>
        <v>35764625318.869995</v>
      </c>
      <c r="Q23" s="10">
        <f>_xll.DBRW($C$1,$C$2,$C$3,$C$4,$C$6,$C$5,$C$7,Q$1,Q$2,A23)</f>
        <v>40910343850.009995</v>
      </c>
      <c r="R23" s="10">
        <f>_xll.DBRW($C$1,$C$2,$C$3,$C$4,$C$6,$C$5,$C$7,R$1,R$2,A23)</f>
        <v>45938306832.889992</v>
      </c>
      <c r="S23" s="10">
        <f>_xll.DBRW($C$1,$C$2,$C$3,$C$4,$C$6,$C$5,$C$7,S$1,S$2,A23)</f>
        <v>51130067051.799988</v>
      </c>
      <c r="T23" s="10">
        <f>_xll.DBRW($C$1,$C$2,$C$3,$C$4,$C$6,$C$5,$C$7,T$1,T$2,A23)</f>
        <v>56833987169.639992</v>
      </c>
      <c r="U23" s="10">
        <f>_xll.DBRW($C$1,$C$2,$C$3,$C$4,$C$6,$C$5,$C$7,U$1,U$2,A23)</f>
        <v>56833987169.639992</v>
      </c>
      <c r="V23" s="10">
        <f>_xll.DBRW($C$1,$C$2,$C$3,$C$4,$C$6,$C$5,$C$7,V$1,V$2,A23)</f>
        <v>0</v>
      </c>
      <c r="W23" s="10">
        <f>_xll.DBRW($C$1,$C$2,$C$3,$C$4,$C$6,$C$5,$C$7,W$1,W$2,A23)</f>
        <v>0</v>
      </c>
      <c r="X23" s="10">
        <f>_xll.DBRW($C$1,$C$2,$C$3,$C$4,$C$6,$C$5,$C$7,X$1,X$2,A23)</f>
        <v>0</v>
      </c>
      <c r="Y23" s="10">
        <f>_xll.DBRW($C$1,$C$2,$C$3,$C$4,$C$6,$C$5,$C$7,Y$1,Y$2,A23)</f>
        <v>0</v>
      </c>
      <c r="Z23" s="10">
        <f>_xll.DBRW($C$1,$C$2,$C$3,$C$4,$C$6,$C$5,$C$7,Z$1,Z$2,A23)</f>
        <v>0</v>
      </c>
      <c r="AA23" s="10">
        <f>_xll.DBRW($C$1,$C$2,$C$3,$C$4,$C$6,$C$5,$C$7,AA$1,AA$2,A23)</f>
        <v>0</v>
      </c>
      <c r="AB23" s="10">
        <f>_xll.DBRW($C$1,$C$2,$C$3,$C$4,$C$6,$C$5,$C$7,AB$1,AB$2,A23)</f>
        <v>0</v>
      </c>
      <c r="AC23" s="10">
        <f>_xll.DBRW($C$1,$C$2,$C$3,$C$4,$C$6,$C$5,$C$7,AC$1,AC$2,A23)</f>
        <v>0</v>
      </c>
      <c r="AD23" s="10">
        <f>_xll.DBRW($C$1,$C$2,$C$3,$C$4,$C$6,$C$5,$C$7,AD$1,AD$2,A23)</f>
        <v>0</v>
      </c>
      <c r="AE23" s="10">
        <f>_xll.DBRW($C$1,$C$2,$C$3,$C$4,$C$6,$C$5,$C$7,AE$1,AE$2,A23)</f>
        <v>0</v>
      </c>
      <c r="AF23" s="10">
        <f>_xll.DBRW($C$1,$C$2,$C$3,$C$4,$C$6,$C$5,$C$7,AF$1,AF$2,A23)</f>
        <v>0</v>
      </c>
      <c r="AG23" s="10">
        <f>_xll.DBRW($C$1,$C$2,$C$3,$C$4,$C$6,$C$5,$C$7,AG$1,AG$2,A23)</f>
        <v>0</v>
      </c>
      <c r="AH23" s="10">
        <f>_xll.DBRW($C$1,$C$2,$C$3,$C$4,$C$6,$C$5,$C$7,AH$1,AH$2,A23)</f>
        <v>0</v>
      </c>
      <c r="AI23" s="10">
        <f>_xll.DBRW($C$1,$C$2,$C$3,$C$4,$C$6,$C$5,$C$7,AI$1,AI$2,A23)</f>
        <v>0</v>
      </c>
      <c r="AJ23" s="10">
        <f>_xll.DBRW($C$1,$C$2,$C$3,$C$4,$C$6,$C$5,$C$7,AJ$1,AJ$2,A23)</f>
        <v>0</v>
      </c>
      <c r="AK23" s="10">
        <f>_xll.DBRW($C$1,$C$2,$C$3,$C$4,$C$6,$C$5,$C$7,AK$1,AK$2,A23)</f>
        <v>0</v>
      </c>
      <c r="AL23" s="10">
        <f>_xll.DBRW($C$1,$C$2,$C$3,$C$4,$C$6,$C$5,$C$7,AL$1,AL$2,A23)</f>
        <v>0</v>
      </c>
      <c r="AM23" s="10">
        <f>_xll.DBRW($C$1,$C$2,$C$3,$C$4,$C$6,$C$5,$C$7,AM$1,AM$2,A23)</f>
        <v>0</v>
      </c>
      <c r="AN23" s="10">
        <f>_xll.DBRW($C$1,$C$2,$C$3,$C$4,$C$6,$C$5,$C$7,AN$1,AN$2,A23)</f>
        <v>0</v>
      </c>
      <c r="AO23" s="10">
        <f>_xll.DBRW($C$1,$C$2,$C$3,$C$4,$C$6,$C$5,$C$7,AO$1,AO$2,A23)</f>
        <v>0</v>
      </c>
      <c r="AP23" s="10">
        <f>_xll.DBRW($C$1,$C$2,$C$3,$C$4,$C$6,$C$5,$C$7,AP$1,AP$2,A23)</f>
        <v>0</v>
      </c>
      <c r="AQ23" s="10">
        <f>_xll.DBRW($C$1,$C$2,$C$3,$C$4,$C$6,$C$5,$C$7,AQ$1,AQ$2,A23)</f>
        <v>0</v>
      </c>
      <c r="AR23" s="10">
        <f>_xll.DBRW($C$1,$C$2,$C$3,$C$4,$C$6,$C$5,$C$7,AR$1,AR$2,A23)</f>
        <v>0</v>
      </c>
      <c r="AS23" s="10">
        <f>_xll.DBRW($C$1,$C$2,$C$3,$C$4,$C$6,$C$5,$C$7,AS$1,AS$2,A23)</f>
        <v>0</v>
      </c>
      <c r="AT23" s="10">
        <f>_xll.DBRW($C$1,$C$2,$C$3,$C$4,$C$6,$C$5,$C$7,AT$1,AT$2,A23)</f>
        <v>0</v>
      </c>
      <c r="AU23" s="10">
        <f>_xll.DBRW($C$1,$C$2,$C$3,$C$4,$C$6,$C$5,$C$7,AU$1,AU$2,A23)</f>
        <v>0</v>
      </c>
    </row>
    <row r="24" spans="1:47" ht="15.75" customHeight="1" collapsed="1">
      <c r="A24" s="1" t="s">
        <v>127</v>
      </c>
      <c r="C24" s="143"/>
      <c r="E24" s="118" t="s">
        <v>15</v>
      </c>
      <c r="F24" s="119">
        <f t="shared" ref="F24:T24" si="3">F23</f>
        <v>1120744766.96</v>
      </c>
      <c r="G24" s="119">
        <f t="shared" si="3"/>
        <v>1056058805.6399999</v>
      </c>
      <c r="H24" s="119">
        <f t="shared" si="3"/>
        <v>44440403988.659996</v>
      </c>
      <c r="I24" s="119">
        <f t="shared" si="3"/>
        <v>3875713147.1700001</v>
      </c>
      <c r="J24" s="119">
        <f t="shared" si="3"/>
        <v>3604420466.5</v>
      </c>
      <c r="K24" s="119">
        <f t="shared" si="3"/>
        <v>12108126031.24</v>
      </c>
      <c r="L24" s="119">
        <f t="shared" si="3"/>
        <v>16382866339.17</v>
      </c>
      <c r="M24" s="119">
        <f t="shared" si="3"/>
        <v>21025016422.41</v>
      </c>
      <c r="N24" s="119">
        <f t="shared" si="3"/>
        <v>25759577572.66</v>
      </c>
      <c r="O24" s="119">
        <f t="shared" si="3"/>
        <v>30488249438.809998</v>
      </c>
      <c r="P24" s="119">
        <f t="shared" si="3"/>
        <v>35764625318.869995</v>
      </c>
      <c r="Q24" s="119">
        <f t="shared" si="3"/>
        <v>40910343850.009995</v>
      </c>
      <c r="R24" s="119">
        <f t="shared" si="3"/>
        <v>45938306832.889992</v>
      </c>
      <c r="S24" s="119">
        <f t="shared" si="3"/>
        <v>51130067051.799988</v>
      </c>
      <c r="T24" s="119">
        <f t="shared" si="3"/>
        <v>56833987169.639992</v>
      </c>
      <c r="U24" s="119">
        <f>U23</f>
        <v>56833987169.639992</v>
      </c>
      <c r="V24" s="119">
        <f t="shared" ref="V24:AG24" si="4">V23</f>
        <v>0</v>
      </c>
      <c r="W24" s="119">
        <f t="shared" si="4"/>
        <v>0</v>
      </c>
      <c r="X24" s="119">
        <f t="shared" si="4"/>
        <v>0</v>
      </c>
      <c r="Y24" s="119">
        <f t="shared" si="4"/>
        <v>0</v>
      </c>
      <c r="Z24" s="119">
        <f t="shared" si="4"/>
        <v>0</v>
      </c>
      <c r="AA24" s="119">
        <f t="shared" si="4"/>
        <v>0</v>
      </c>
      <c r="AB24" s="119">
        <f t="shared" si="4"/>
        <v>0</v>
      </c>
      <c r="AC24" s="119">
        <f t="shared" si="4"/>
        <v>0</v>
      </c>
      <c r="AD24" s="119">
        <f t="shared" si="4"/>
        <v>0</v>
      </c>
      <c r="AE24" s="119">
        <f t="shared" si="4"/>
        <v>0</v>
      </c>
      <c r="AF24" s="119">
        <f t="shared" si="4"/>
        <v>0</v>
      </c>
      <c r="AG24" s="119">
        <f t="shared" si="4"/>
        <v>0</v>
      </c>
      <c r="AH24" s="119">
        <f>AH23</f>
        <v>0</v>
      </c>
      <c r="AI24" s="119">
        <f t="shared" ref="AI24:AT24" si="5">AI23</f>
        <v>0</v>
      </c>
      <c r="AJ24" s="119">
        <f t="shared" si="5"/>
        <v>0</v>
      </c>
      <c r="AK24" s="119">
        <f t="shared" si="5"/>
        <v>0</v>
      </c>
      <c r="AL24" s="119">
        <f t="shared" si="5"/>
        <v>0</v>
      </c>
      <c r="AM24" s="119">
        <f t="shared" si="5"/>
        <v>0</v>
      </c>
      <c r="AN24" s="119">
        <f t="shared" si="5"/>
        <v>0</v>
      </c>
      <c r="AO24" s="119">
        <f t="shared" si="5"/>
        <v>0</v>
      </c>
      <c r="AP24" s="119">
        <f t="shared" si="5"/>
        <v>0</v>
      </c>
      <c r="AQ24" s="119">
        <f t="shared" si="5"/>
        <v>0</v>
      </c>
      <c r="AR24" s="119">
        <f t="shared" si="5"/>
        <v>0</v>
      </c>
      <c r="AS24" s="119">
        <f t="shared" si="5"/>
        <v>0</v>
      </c>
      <c r="AT24" s="119">
        <f t="shared" si="5"/>
        <v>0</v>
      </c>
      <c r="AU24" s="119">
        <f>AU23</f>
        <v>0</v>
      </c>
    </row>
    <row r="25" spans="1:47" ht="15.75" hidden="1" customHeight="1" outlineLevel="1">
      <c r="A25" s="1" t="s">
        <v>129</v>
      </c>
      <c r="C25" s="143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-686014810.74999988</v>
      </c>
      <c r="G25" s="31">
        <f>_xll.DBRW($C$1,$C$2,$C$3,$C$4,$C$6,$C$5,$C$7,G$1,G$2,A25)</f>
        <v>-926351081.00999999</v>
      </c>
      <c r="H25" s="31">
        <f>_xll.DBRW($C$1,$C$2,$C$3,$C$4,$C$6,$C$5,$C$7,H$1,H$2,A25)</f>
        <v>-1697985763.5200002</v>
      </c>
      <c r="I25" s="31">
        <f>_xll.DBRW($C$1,$C$2,$C$3,$C$4,$C$6,$C$5,$C$7,I$1,I$2,A25)</f>
        <v>-29737565.819999997</v>
      </c>
      <c r="J25" s="31">
        <f>_xll.DBRW($C$1,$C$2,$C$3,$C$4,$C$6,$C$5,$C$7,J$1,J$2,A25)</f>
        <v>-283375668.95999992</v>
      </c>
      <c r="K25" s="31">
        <f>_xll.DBRW($C$1,$C$2,$C$3,$C$4,$C$6,$C$5,$C$7,K$1,K$2,A25)</f>
        <v>-445729205.61999989</v>
      </c>
      <c r="L25" s="31">
        <f>_xll.DBRW($C$1,$C$2,$C$3,$C$4,$C$6,$C$5,$C$7,L$1,L$2,A25)</f>
        <v>-587595765.23999977</v>
      </c>
      <c r="M25" s="31">
        <f>_xll.DBRW($C$1,$C$2,$C$3,$C$4,$C$6,$C$5,$C$7,M$1,M$2,A25)</f>
        <v>-755331821.28999984</v>
      </c>
      <c r="N25" s="31">
        <f>_xll.DBRW($C$1,$C$2,$C$3,$C$4,$C$6,$C$5,$C$7,N$1,N$2,A25)</f>
        <v>-916820234.14999986</v>
      </c>
      <c r="O25" s="31">
        <f>_xll.DBRW($C$1,$C$2,$C$3,$C$4,$C$6,$C$5,$C$7,O$1,O$2,A25)</f>
        <v>-334920972.50999999</v>
      </c>
      <c r="P25" s="31">
        <f>_xll.DBRW($C$1,$C$2,$C$3,$C$4,$C$6,$C$5,$C$7,P$1,P$2,A25)</f>
        <v>-1209700661.4699998</v>
      </c>
      <c r="Q25" s="31">
        <f>_xll.DBRW($C$1,$C$2,$C$3,$C$4,$C$6,$C$5,$C$7,Q$1,Q$2,A25)</f>
        <v>-1381155438.5599999</v>
      </c>
      <c r="R25" s="31">
        <f>_xll.DBRW($C$1,$C$2,$C$3,$C$4,$C$6,$C$5,$C$7,R$1,R$2,A25)</f>
        <v>-481105234.75999999</v>
      </c>
      <c r="S25" s="31">
        <f>_xll.DBRW($C$1,$C$2,$C$3,$C$4,$C$6,$C$5,$C$7,S$1,S$2,A25)</f>
        <v>-739831346.39999998</v>
      </c>
      <c r="T25" s="31">
        <f>_xll.DBRW($C$1,$C$2,$C$3,$C$4,$C$6,$C$5,$C$7,T$1,T$2,A25)</f>
        <v>-1888879776.29</v>
      </c>
      <c r="U25" s="31">
        <f>_xll.DBRW($C$1,$C$2,$C$3,$C$4,$C$6,$C$5,$C$7,U$1,U$2,A25)</f>
        <v>-1888879776.29</v>
      </c>
      <c r="V25" s="31">
        <f>_xll.DBRW($C$1,$C$2,$C$3,$C$4,$C$6,$C$5,$C$7,V$1,V$2,A25)</f>
        <v>0</v>
      </c>
      <c r="W25" s="31">
        <f>_xll.DBRW($C$1,$C$2,$C$3,$C$4,$C$6,$C$5,$C$7,W$1,W$2,A25)</f>
        <v>0</v>
      </c>
      <c r="X25" s="31">
        <f>_xll.DBRW($C$1,$C$2,$C$3,$C$4,$C$6,$C$5,$C$7,X$1,X$2,A25)</f>
        <v>0</v>
      </c>
      <c r="Y25" s="31">
        <f>_xll.DBRW($C$1,$C$2,$C$3,$C$4,$C$6,$C$5,$C$7,Y$1,Y$2,A25)</f>
        <v>0</v>
      </c>
      <c r="Z25" s="31">
        <f>_xll.DBRW($C$1,$C$2,$C$3,$C$4,$C$6,$C$5,$C$7,Z$1,Z$2,A25)</f>
        <v>0</v>
      </c>
      <c r="AA25" s="31">
        <f>_xll.DBRW($C$1,$C$2,$C$3,$C$4,$C$6,$C$5,$C$7,AA$1,AA$2,A25)</f>
        <v>0</v>
      </c>
      <c r="AB25" s="31">
        <f>_xll.DBRW($C$1,$C$2,$C$3,$C$4,$C$6,$C$5,$C$7,AB$1,AB$2,A25)</f>
        <v>0</v>
      </c>
      <c r="AC25" s="31">
        <f>_xll.DBRW($C$1,$C$2,$C$3,$C$4,$C$6,$C$5,$C$7,AC$1,AC$2,A25)</f>
        <v>0</v>
      </c>
      <c r="AD25" s="31">
        <f>_xll.DBRW($C$1,$C$2,$C$3,$C$4,$C$6,$C$5,$C$7,AD$1,AD$2,A25)</f>
        <v>0</v>
      </c>
      <c r="AE25" s="31">
        <f>_xll.DBRW($C$1,$C$2,$C$3,$C$4,$C$6,$C$5,$C$7,AE$1,AE$2,A25)</f>
        <v>0</v>
      </c>
      <c r="AF25" s="31">
        <f>_xll.DBRW($C$1,$C$2,$C$3,$C$4,$C$6,$C$5,$C$7,AF$1,AF$2,A25)</f>
        <v>0</v>
      </c>
      <c r="AG25" s="31">
        <f>_xll.DBRW($C$1,$C$2,$C$3,$C$4,$C$6,$C$5,$C$7,AG$1,AG$2,A25)</f>
        <v>0</v>
      </c>
      <c r="AH25" s="31">
        <f>_xll.DBRW($C$1,$C$2,$C$3,$C$4,$C$6,$C$5,$C$7,AH$1,AH$2,A25)</f>
        <v>0</v>
      </c>
      <c r="AI25" s="31">
        <f>_xll.DBRW($C$1,$C$2,$C$3,$C$4,$C$6,$C$5,$C$7,AI$1,AI$2,A25)</f>
        <v>0</v>
      </c>
      <c r="AJ25" s="31">
        <f>_xll.DBRW($C$1,$C$2,$C$3,$C$4,$C$6,$C$5,$C$7,AJ$1,AJ$2,A25)</f>
        <v>0</v>
      </c>
      <c r="AK25" s="31">
        <f>_xll.DBRW($C$1,$C$2,$C$3,$C$4,$C$6,$C$5,$C$7,AK$1,AK$2,A25)</f>
        <v>0</v>
      </c>
      <c r="AL25" s="31">
        <f>_xll.DBRW($C$1,$C$2,$C$3,$C$4,$C$6,$C$5,$C$7,AL$1,AL$2,A25)</f>
        <v>0</v>
      </c>
      <c r="AM25" s="31">
        <f>_xll.DBRW($C$1,$C$2,$C$3,$C$4,$C$6,$C$5,$C$7,AM$1,AM$2,A25)</f>
        <v>0</v>
      </c>
      <c r="AN25" s="31">
        <f>_xll.DBRW($C$1,$C$2,$C$3,$C$4,$C$6,$C$5,$C$7,AN$1,AN$2,A25)</f>
        <v>0</v>
      </c>
      <c r="AO25" s="31">
        <f>_xll.DBRW($C$1,$C$2,$C$3,$C$4,$C$6,$C$5,$C$7,AO$1,AO$2,A25)</f>
        <v>0</v>
      </c>
      <c r="AP25" s="31">
        <f>_xll.DBRW($C$1,$C$2,$C$3,$C$4,$C$6,$C$5,$C$7,AP$1,AP$2,A25)</f>
        <v>0</v>
      </c>
      <c r="AQ25" s="31">
        <f>_xll.DBRW($C$1,$C$2,$C$3,$C$4,$C$6,$C$5,$C$7,AQ$1,AQ$2,A25)</f>
        <v>0</v>
      </c>
      <c r="AR25" s="31">
        <f>_xll.DBRW($C$1,$C$2,$C$3,$C$4,$C$6,$C$5,$C$7,AR$1,AR$2,A25)</f>
        <v>0</v>
      </c>
      <c r="AS25" s="31">
        <f>_xll.DBRW($C$1,$C$2,$C$3,$C$4,$C$6,$C$5,$C$7,AS$1,AS$2,A25)</f>
        <v>0</v>
      </c>
      <c r="AT25" s="31">
        <f>_xll.DBRW($C$1,$C$2,$C$3,$C$4,$C$6,$C$5,$C$7,AT$1,AT$2,A25)</f>
        <v>0</v>
      </c>
      <c r="AU25" s="31">
        <f>_xll.DBRW($C$1,$C$2,$C$3,$C$4,$C$6,$C$5,$C$7,AU$1,AU$2,A25)</f>
        <v>0</v>
      </c>
    </row>
    <row r="26" spans="1:47" ht="15.75" collapsed="1">
      <c r="A26" s="1" t="s">
        <v>127</v>
      </c>
      <c r="C26" s="143"/>
      <c r="E26" s="118" t="s">
        <v>16</v>
      </c>
      <c r="F26" s="119">
        <f t="shared" ref="F26:T26" si="6">F25</f>
        <v>-686014810.74999988</v>
      </c>
      <c r="G26" s="119">
        <f t="shared" si="6"/>
        <v>-926351081.00999999</v>
      </c>
      <c r="H26" s="119">
        <f t="shared" si="6"/>
        <v>-1697985763.5200002</v>
      </c>
      <c r="I26" s="119">
        <f t="shared" si="6"/>
        <v>-29737565.819999997</v>
      </c>
      <c r="J26" s="119">
        <f t="shared" si="6"/>
        <v>-283375668.95999992</v>
      </c>
      <c r="K26" s="119">
        <f t="shared" si="6"/>
        <v>-445729205.61999989</v>
      </c>
      <c r="L26" s="119">
        <f t="shared" si="6"/>
        <v>-587595765.23999977</v>
      </c>
      <c r="M26" s="119">
        <f t="shared" si="6"/>
        <v>-755331821.28999984</v>
      </c>
      <c r="N26" s="119">
        <f t="shared" si="6"/>
        <v>-916820234.14999986</v>
      </c>
      <c r="O26" s="119">
        <f t="shared" si="6"/>
        <v>-334920972.50999999</v>
      </c>
      <c r="P26" s="119">
        <f t="shared" si="6"/>
        <v>-1209700661.4699998</v>
      </c>
      <c r="Q26" s="119">
        <f t="shared" si="6"/>
        <v>-1381155438.5599999</v>
      </c>
      <c r="R26" s="119">
        <f t="shared" si="6"/>
        <v>-481105234.75999999</v>
      </c>
      <c r="S26" s="119">
        <f t="shared" si="6"/>
        <v>-739831346.39999998</v>
      </c>
      <c r="T26" s="119">
        <f t="shared" si="6"/>
        <v>-1888879776.29</v>
      </c>
      <c r="U26" s="119">
        <f>U25</f>
        <v>-1888879776.29</v>
      </c>
      <c r="V26" s="119">
        <f t="shared" ref="V26:AG26" si="7">V25</f>
        <v>0</v>
      </c>
      <c r="W26" s="119">
        <f t="shared" si="7"/>
        <v>0</v>
      </c>
      <c r="X26" s="119">
        <f t="shared" si="7"/>
        <v>0</v>
      </c>
      <c r="Y26" s="119">
        <f t="shared" si="7"/>
        <v>0</v>
      </c>
      <c r="Z26" s="119">
        <f t="shared" si="7"/>
        <v>0</v>
      </c>
      <c r="AA26" s="119">
        <f t="shared" si="7"/>
        <v>0</v>
      </c>
      <c r="AB26" s="119">
        <f t="shared" si="7"/>
        <v>0</v>
      </c>
      <c r="AC26" s="119">
        <f t="shared" si="7"/>
        <v>0</v>
      </c>
      <c r="AD26" s="119">
        <f t="shared" si="7"/>
        <v>0</v>
      </c>
      <c r="AE26" s="119">
        <f t="shared" si="7"/>
        <v>0</v>
      </c>
      <c r="AF26" s="119">
        <f t="shared" si="7"/>
        <v>0</v>
      </c>
      <c r="AG26" s="119">
        <f t="shared" si="7"/>
        <v>0</v>
      </c>
      <c r="AH26" s="119">
        <f>AH25</f>
        <v>0</v>
      </c>
      <c r="AI26" s="119">
        <f t="shared" ref="AI26:AT26" si="8">AI25</f>
        <v>0</v>
      </c>
      <c r="AJ26" s="119">
        <f t="shared" si="8"/>
        <v>0</v>
      </c>
      <c r="AK26" s="119">
        <f t="shared" si="8"/>
        <v>0</v>
      </c>
      <c r="AL26" s="119">
        <f t="shared" si="8"/>
        <v>0</v>
      </c>
      <c r="AM26" s="119">
        <f t="shared" si="8"/>
        <v>0</v>
      </c>
      <c r="AN26" s="119">
        <f t="shared" si="8"/>
        <v>0</v>
      </c>
      <c r="AO26" s="119">
        <f t="shared" si="8"/>
        <v>0</v>
      </c>
      <c r="AP26" s="119">
        <f t="shared" si="8"/>
        <v>0</v>
      </c>
      <c r="AQ26" s="119">
        <f t="shared" si="8"/>
        <v>0</v>
      </c>
      <c r="AR26" s="119">
        <f t="shared" si="8"/>
        <v>0</v>
      </c>
      <c r="AS26" s="119">
        <f t="shared" si="8"/>
        <v>0</v>
      </c>
      <c r="AT26" s="119">
        <f t="shared" si="8"/>
        <v>0</v>
      </c>
      <c r="AU26" s="119">
        <f>AU25</f>
        <v>0</v>
      </c>
    </row>
    <row r="27" spans="1:47" ht="15.75">
      <c r="A27" s="1" t="s">
        <v>127</v>
      </c>
      <c r="C27" s="143"/>
      <c r="E27" s="116" t="s">
        <v>17</v>
      </c>
      <c r="F27" s="117">
        <f t="shared" ref="F27:T27" si="9">F24+F26</f>
        <v>434729956.21000016</v>
      </c>
      <c r="G27" s="117">
        <f t="shared" si="9"/>
        <v>129707724.62999988</v>
      </c>
      <c r="H27" s="117">
        <f t="shared" si="9"/>
        <v>42742418225.139999</v>
      </c>
      <c r="I27" s="117">
        <f t="shared" si="9"/>
        <v>3845975581.3499999</v>
      </c>
      <c r="J27" s="117">
        <f t="shared" si="9"/>
        <v>3321044797.54</v>
      </c>
      <c r="K27" s="117">
        <f t="shared" si="9"/>
        <v>11662396825.619999</v>
      </c>
      <c r="L27" s="117">
        <f t="shared" si="9"/>
        <v>15795270573.93</v>
      </c>
      <c r="M27" s="117">
        <f t="shared" si="9"/>
        <v>20269684601.119999</v>
      </c>
      <c r="N27" s="117">
        <f t="shared" si="9"/>
        <v>24842757338.509998</v>
      </c>
      <c r="O27" s="117">
        <f t="shared" si="9"/>
        <v>30153328466.299999</v>
      </c>
      <c r="P27" s="117">
        <f t="shared" si="9"/>
        <v>34554924657.399994</v>
      </c>
      <c r="Q27" s="117">
        <f t="shared" si="9"/>
        <v>39529188411.449997</v>
      </c>
      <c r="R27" s="117">
        <f t="shared" si="9"/>
        <v>45457201598.12999</v>
      </c>
      <c r="S27" s="117">
        <f t="shared" si="9"/>
        <v>50390235705.399986</v>
      </c>
      <c r="T27" s="117">
        <f t="shared" si="9"/>
        <v>54945107393.349991</v>
      </c>
      <c r="U27" s="117">
        <f>U24+U26</f>
        <v>54945107393.349991</v>
      </c>
      <c r="V27" s="117">
        <f t="shared" ref="V27:AG27" si="10">V24+V26</f>
        <v>0</v>
      </c>
      <c r="W27" s="117">
        <f t="shared" si="10"/>
        <v>0</v>
      </c>
      <c r="X27" s="117">
        <f t="shared" si="10"/>
        <v>0</v>
      </c>
      <c r="Y27" s="117">
        <f t="shared" si="10"/>
        <v>0</v>
      </c>
      <c r="Z27" s="117">
        <f t="shared" si="10"/>
        <v>0</v>
      </c>
      <c r="AA27" s="117">
        <f t="shared" si="10"/>
        <v>0</v>
      </c>
      <c r="AB27" s="117">
        <f t="shared" si="10"/>
        <v>0</v>
      </c>
      <c r="AC27" s="117">
        <f t="shared" si="10"/>
        <v>0</v>
      </c>
      <c r="AD27" s="117">
        <f t="shared" si="10"/>
        <v>0</v>
      </c>
      <c r="AE27" s="117">
        <f t="shared" si="10"/>
        <v>0</v>
      </c>
      <c r="AF27" s="117">
        <f t="shared" si="10"/>
        <v>0</v>
      </c>
      <c r="AG27" s="117">
        <f t="shared" si="10"/>
        <v>0</v>
      </c>
      <c r="AH27" s="117">
        <f>AH24+AH26</f>
        <v>0</v>
      </c>
      <c r="AI27" s="117">
        <f t="shared" ref="AI27:AT27" si="11">AI24+AI26</f>
        <v>0</v>
      </c>
      <c r="AJ27" s="117">
        <f t="shared" si="11"/>
        <v>0</v>
      </c>
      <c r="AK27" s="117">
        <f t="shared" si="11"/>
        <v>0</v>
      </c>
      <c r="AL27" s="117">
        <f t="shared" si="11"/>
        <v>0</v>
      </c>
      <c r="AM27" s="117">
        <f t="shared" si="11"/>
        <v>0</v>
      </c>
      <c r="AN27" s="117">
        <f t="shared" si="11"/>
        <v>0</v>
      </c>
      <c r="AO27" s="117">
        <f t="shared" si="11"/>
        <v>0</v>
      </c>
      <c r="AP27" s="117">
        <f t="shared" si="11"/>
        <v>0</v>
      </c>
      <c r="AQ27" s="117">
        <f t="shared" si="11"/>
        <v>0</v>
      </c>
      <c r="AR27" s="117">
        <f t="shared" si="11"/>
        <v>0</v>
      </c>
      <c r="AS27" s="117">
        <f t="shared" si="11"/>
        <v>0</v>
      </c>
      <c r="AT27" s="117">
        <f t="shared" si="11"/>
        <v>0</v>
      </c>
      <c r="AU27" s="117">
        <f>AU24+AU26</f>
        <v>0</v>
      </c>
    </row>
    <row r="28" spans="1:47" ht="9" customHeight="1">
      <c r="A28" s="1" t="s">
        <v>127</v>
      </c>
      <c r="C28" s="143"/>
      <c r="E28" s="7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24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2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ht="15.75" hidden="1" customHeight="1" outlineLevel="1">
      <c r="A29" s="1" t="s">
        <v>126</v>
      </c>
      <c r="C29" s="143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90418398056.880173</v>
      </c>
      <c r="G29" s="10">
        <f>_xll.DBRW($C$1,$C$2,$C$3,$C$4,$C$6,$C$5,$C$7,G$1,G$2,A29)</f>
        <v>88027378617.683365</v>
      </c>
      <c r="H29" s="10">
        <f>_xll.DBRW($C$1,$C$2,$C$3,$C$4,$C$6,$C$5,$C$7,H$1,H$2,A29)</f>
        <v>88884154459.439331</v>
      </c>
      <c r="I29" s="10">
        <f>_xll.DBRW($C$1,$C$2,$C$3,$C$4,$C$6,$C$5,$C$7,I$1,I$2,A29)</f>
        <v>6797628495.1817989</v>
      </c>
      <c r="J29" s="10">
        <f>_xll.DBRW($C$1,$C$2,$C$3,$C$4,$C$6,$C$5,$C$7,J$1,J$2,A29)</f>
        <v>8681714227.5517998</v>
      </c>
      <c r="K29" s="10">
        <f>_xll.DBRW($C$1,$C$2,$C$3,$C$4,$C$6,$C$5,$C$7,K$1,K$2,A29)</f>
        <v>24047932880.876205</v>
      </c>
      <c r="L29" s="10">
        <f>_xll.DBRW($C$1,$C$2,$C$3,$C$4,$C$6,$C$5,$C$7,L$1,L$2,A29)</f>
        <v>32669955272.717392</v>
      </c>
      <c r="M29" s="10">
        <f>_xll.DBRW($C$1,$C$2,$C$3,$C$4,$C$6,$C$5,$C$7,M$1,M$2,A29)</f>
        <v>42171660608.576584</v>
      </c>
      <c r="N29" s="10">
        <f>_xll.DBRW($C$1,$C$2,$C$3,$C$4,$C$6,$C$5,$C$7,N$1,N$2,A29)</f>
        <v>51698315579.391785</v>
      </c>
      <c r="O29" s="10">
        <f>_xll.DBRW($C$1,$C$2,$C$3,$C$4,$C$6,$C$5,$C$7,O$1,O$2,A29)</f>
        <v>55980204730.49398</v>
      </c>
      <c r="P29" s="10">
        <f>_xll.DBRW($C$1,$C$2,$C$3,$C$4,$C$6,$C$5,$C$7,P$1,P$2,A29)</f>
        <v>70856609888.498993</v>
      </c>
      <c r="Q29" s="10">
        <f>_xll.DBRW($C$1,$C$2,$C$3,$C$4,$C$6,$C$5,$C$7,Q$1,Q$2,A29)</f>
        <v>81649344805.188797</v>
      </c>
      <c r="R29" s="10">
        <f>_xll.DBRW($C$1,$C$2,$C$3,$C$4,$C$6,$C$5,$C$7,R$1,R$2,A29)</f>
        <v>85235717828.034195</v>
      </c>
      <c r="S29" s="10">
        <f>_xll.DBRW($C$1,$C$2,$C$3,$C$4,$C$6,$C$5,$C$7,S$1,S$2,A29)</f>
        <v>97729746716.630997</v>
      </c>
      <c r="T29" s="10">
        <f>_xll.DBRW($C$1,$C$2,$C$3,$C$4,$C$6,$C$5,$C$7,T$1,T$2,A29)</f>
        <v>114305893080.8694</v>
      </c>
      <c r="U29" s="10">
        <f>_xll.DBRW($C$1,$C$2,$C$3,$C$4,$C$6,$C$5,$C$7,U$1,U$2,A29)</f>
        <v>114305893080.8694</v>
      </c>
      <c r="V29" s="10">
        <f>_xll.DBRW($C$1,$C$2,$C$3,$C$4,$C$6,$C$5,$C$7,V$1,V$2,A29)</f>
        <v>0</v>
      </c>
      <c r="W29" s="10">
        <f>_xll.DBRW($C$1,$C$2,$C$3,$C$4,$C$6,$C$5,$C$7,W$1,W$2,A29)</f>
        <v>0</v>
      </c>
      <c r="X29" s="10">
        <f>_xll.DBRW($C$1,$C$2,$C$3,$C$4,$C$6,$C$5,$C$7,X$1,X$2,A29)</f>
        <v>0</v>
      </c>
      <c r="Y29" s="10">
        <f>_xll.DBRW($C$1,$C$2,$C$3,$C$4,$C$6,$C$5,$C$7,Y$1,Y$2,A29)</f>
        <v>0</v>
      </c>
      <c r="Z29" s="10">
        <f>_xll.DBRW($C$1,$C$2,$C$3,$C$4,$C$6,$C$5,$C$7,Z$1,Z$2,A29)</f>
        <v>0</v>
      </c>
      <c r="AA29" s="10">
        <f>_xll.DBRW($C$1,$C$2,$C$3,$C$4,$C$6,$C$5,$C$7,AA$1,AA$2,A29)</f>
        <v>0</v>
      </c>
      <c r="AB29" s="10">
        <f>_xll.DBRW($C$1,$C$2,$C$3,$C$4,$C$6,$C$5,$C$7,AB$1,AB$2,A29)</f>
        <v>0</v>
      </c>
      <c r="AC29" s="10">
        <f>_xll.DBRW($C$1,$C$2,$C$3,$C$4,$C$6,$C$5,$C$7,AC$1,AC$2,A29)</f>
        <v>0</v>
      </c>
      <c r="AD29" s="10">
        <f>_xll.DBRW($C$1,$C$2,$C$3,$C$4,$C$6,$C$5,$C$7,AD$1,AD$2,A29)</f>
        <v>0</v>
      </c>
      <c r="AE29" s="10">
        <f>_xll.DBRW($C$1,$C$2,$C$3,$C$4,$C$6,$C$5,$C$7,AE$1,AE$2,A29)</f>
        <v>0</v>
      </c>
      <c r="AF29" s="10">
        <f>_xll.DBRW($C$1,$C$2,$C$3,$C$4,$C$6,$C$5,$C$7,AF$1,AF$2,A29)</f>
        <v>0</v>
      </c>
      <c r="AG29" s="10">
        <f>_xll.DBRW($C$1,$C$2,$C$3,$C$4,$C$6,$C$5,$C$7,AG$1,AG$2,A29)</f>
        <v>0</v>
      </c>
      <c r="AH29" s="23">
        <f>_xll.DBRW($C$1,$C$2,$C$3,$C$4,$C$6,$C$5,$C$7,AH$1,AH$2,A29)</f>
        <v>0</v>
      </c>
      <c r="AI29" s="10">
        <f>_xll.DBRW($C$1,$C$2,$C$3,$C$4,$C$6,$C$5,$C$7,AI$1,AI$2,A29)</f>
        <v>0</v>
      </c>
      <c r="AJ29" s="10">
        <f>_xll.DBRW($C$1,$C$2,$C$3,$C$4,$C$6,$C$5,$C$7,AJ$1,AJ$2,A29)</f>
        <v>0</v>
      </c>
      <c r="AK29" s="10">
        <f>_xll.DBRW($C$1,$C$2,$C$3,$C$4,$C$6,$C$5,$C$7,AK$1,AK$2,A29)</f>
        <v>0</v>
      </c>
      <c r="AL29" s="10">
        <f>_xll.DBRW($C$1,$C$2,$C$3,$C$4,$C$6,$C$5,$C$7,AL$1,AL$2,A29)</f>
        <v>0</v>
      </c>
      <c r="AM29" s="10">
        <f>_xll.DBRW($C$1,$C$2,$C$3,$C$4,$C$6,$C$5,$C$7,AM$1,AM$2,A29)</f>
        <v>0</v>
      </c>
      <c r="AN29" s="10">
        <f>_xll.DBRW($C$1,$C$2,$C$3,$C$4,$C$6,$C$5,$C$7,AN$1,AN$2,A29)</f>
        <v>0</v>
      </c>
      <c r="AO29" s="10">
        <f>_xll.DBRW($C$1,$C$2,$C$3,$C$4,$C$6,$C$5,$C$7,AO$1,AO$2,A29)</f>
        <v>0</v>
      </c>
      <c r="AP29" s="10">
        <f>_xll.DBRW($C$1,$C$2,$C$3,$C$4,$C$6,$C$5,$C$7,AP$1,AP$2,A29)</f>
        <v>0</v>
      </c>
      <c r="AQ29" s="10">
        <f>_xll.DBRW($C$1,$C$2,$C$3,$C$4,$C$6,$C$5,$C$7,AQ$1,AQ$2,A29)</f>
        <v>0</v>
      </c>
      <c r="AR29" s="10">
        <f>_xll.DBRW($C$1,$C$2,$C$3,$C$4,$C$6,$C$5,$C$7,AR$1,AR$2,A29)</f>
        <v>0</v>
      </c>
      <c r="AS29" s="10">
        <f>_xll.DBRW($C$1,$C$2,$C$3,$C$4,$C$6,$C$5,$C$7,AS$1,AS$2,A29)</f>
        <v>0</v>
      </c>
      <c r="AT29" s="10">
        <f>_xll.DBRW($C$1,$C$2,$C$3,$C$4,$C$6,$C$5,$C$7,AT$1,AT$2,A29)</f>
        <v>0</v>
      </c>
      <c r="AU29" s="10">
        <f>_xll.DBRW($C$1,$C$2,$C$3,$C$4,$C$6,$C$5,$C$7,AU$1,AU$2,A29)</f>
        <v>0</v>
      </c>
    </row>
    <row r="30" spans="1:47" ht="15.75" collapsed="1">
      <c r="A30" s="70" t="s">
        <v>125</v>
      </c>
      <c r="C30" s="143"/>
      <c r="E30" s="118" t="s">
        <v>18</v>
      </c>
      <c r="F30" s="119">
        <f t="shared" ref="F30:T30" si="12">F29-F24</f>
        <v>89297653289.920166</v>
      </c>
      <c r="G30" s="119">
        <f t="shared" si="12"/>
        <v>86971319812.043365</v>
      </c>
      <c r="H30" s="119">
        <f t="shared" si="12"/>
        <v>44443750470.779335</v>
      </c>
      <c r="I30" s="119">
        <f t="shared" si="12"/>
        <v>2921915348.0117989</v>
      </c>
      <c r="J30" s="119">
        <f t="shared" si="12"/>
        <v>5077293761.0517998</v>
      </c>
      <c r="K30" s="119">
        <f t="shared" si="12"/>
        <v>11939806849.636206</v>
      </c>
      <c r="L30" s="119">
        <f t="shared" si="12"/>
        <v>16287088933.547392</v>
      </c>
      <c r="M30" s="119">
        <f t="shared" si="12"/>
        <v>21146644186.166584</v>
      </c>
      <c r="N30" s="119">
        <f t="shared" si="12"/>
        <v>25938738006.731785</v>
      </c>
      <c r="O30" s="119">
        <f t="shared" si="12"/>
        <v>25491955291.683983</v>
      </c>
      <c r="P30" s="119">
        <f t="shared" si="12"/>
        <v>35091984569.628998</v>
      </c>
      <c r="Q30" s="119">
        <f t="shared" si="12"/>
        <v>40739000955.178802</v>
      </c>
      <c r="R30" s="119">
        <f t="shared" si="12"/>
        <v>39297410995.144203</v>
      </c>
      <c r="S30" s="119">
        <f t="shared" si="12"/>
        <v>46599679664.831009</v>
      </c>
      <c r="T30" s="119">
        <f t="shared" si="12"/>
        <v>57471905911.229408</v>
      </c>
      <c r="U30" s="119">
        <f>U29-U24</f>
        <v>57471905911.229408</v>
      </c>
      <c r="V30" s="119">
        <f t="shared" ref="V30:AG30" si="13">V29-V24</f>
        <v>0</v>
      </c>
      <c r="W30" s="119">
        <f t="shared" si="13"/>
        <v>0</v>
      </c>
      <c r="X30" s="119">
        <f t="shared" si="13"/>
        <v>0</v>
      </c>
      <c r="Y30" s="119">
        <f t="shared" si="13"/>
        <v>0</v>
      </c>
      <c r="Z30" s="119">
        <f t="shared" si="13"/>
        <v>0</v>
      </c>
      <c r="AA30" s="119">
        <f t="shared" si="13"/>
        <v>0</v>
      </c>
      <c r="AB30" s="119">
        <f t="shared" si="13"/>
        <v>0</v>
      </c>
      <c r="AC30" s="119">
        <f t="shared" si="13"/>
        <v>0</v>
      </c>
      <c r="AD30" s="119">
        <f t="shared" si="13"/>
        <v>0</v>
      </c>
      <c r="AE30" s="119">
        <f t="shared" si="13"/>
        <v>0</v>
      </c>
      <c r="AF30" s="119">
        <f t="shared" si="13"/>
        <v>0</v>
      </c>
      <c r="AG30" s="119">
        <f t="shared" si="13"/>
        <v>0</v>
      </c>
      <c r="AH30" s="119">
        <f>AH29-AH24</f>
        <v>0</v>
      </c>
      <c r="AI30" s="119">
        <f t="shared" ref="AI30:AT30" si="14">AI29-AI24</f>
        <v>0</v>
      </c>
      <c r="AJ30" s="119">
        <f t="shared" si="14"/>
        <v>0</v>
      </c>
      <c r="AK30" s="119">
        <f t="shared" si="14"/>
        <v>0</v>
      </c>
      <c r="AL30" s="119">
        <f t="shared" si="14"/>
        <v>0</v>
      </c>
      <c r="AM30" s="119">
        <f t="shared" si="14"/>
        <v>0</v>
      </c>
      <c r="AN30" s="119">
        <f t="shared" si="14"/>
        <v>0</v>
      </c>
      <c r="AO30" s="119">
        <f t="shared" si="14"/>
        <v>0</v>
      </c>
      <c r="AP30" s="119">
        <f t="shared" si="14"/>
        <v>0</v>
      </c>
      <c r="AQ30" s="119">
        <f t="shared" si="14"/>
        <v>0</v>
      </c>
      <c r="AR30" s="119">
        <f t="shared" si="14"/>
        <v>0</v>
      </c>
      <c r="AS30" s="119">
        <f t="shared" si="14"/>
        <v>0</v>
      </c>
      <c r="AT30" s="119">
        <f t="shared" si="14"/>
        <v>0</v>
      </c>
      <c r="AU30" s="119">
        <f>AU29-AU24</f>
        <v>0</v>
      </c>
    </row>
    <row r="31" spans="1:47" ht="15.75" hidden="1" customHeight="1" outlineLevel="1">
      <c r="A31" s="1" t="s">
        <v>130</v>
      </c>
      <c r="C31" s="143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-24025689438.473804</v>
      </c>
      <c r="G31" s="31">
        <f>_xll.DBRW($C$1,$C$2,$C$3,$C$4,$C$6,$C$5,$C$7,G$1,G$2,A31)</f>
        <v>-21880727971.940002</v>
      </c>
      <c r="H31" s="31">
        <f>_xll.DBRW($C$1,$C$2,$C$3,$C$4,$C$6,$C$5,$C$7,H$1,H$2,A31)</f>
        <v>-22054113751.817001</v>
      </c>
      <c r="I31" s="31">
        <f>_xll.DBRW($C$1,$C$2,$C$3,$C$4,$C$6,$C$5,$C$7,I$1,I$2,A31)</f>
        <v>-1681038872.3251998</v>
      </c>
      <c r="J31" s="31">
        <f>_xll.DBRW($C$1,$C$2,$C$3,$C$4,$C$6,$C$5,$C$7,J$1,J$2,A31)</f>
        <v>-2176464547.6656199</v>
      </c>
      <c r="K31" s="31">
        <f>_xll.DBRW($C$1,$C$2,$C$3,$C$4,$C$6,$C$5,$C$7,K$1,K$2,A31)</f>
        <v>-5784696056.5322189</v>
      </c>
      <c r="L31" s="31">
        <f>_xll.DBRW($C$1,$C$2,$C$3,$C$4,$C$6,$C$5,$C$7,L$1,L$2,A31)</f>
        <v>-7917190473.9618187</v>
      </c>
      <c r="M31" s="31">
        <f>_xll.DBRW($C$1,$C$2,$C$3,$C$4,$C$6,$C$5,$C$7,M$1,M$2,A31)</f>
        <v>-10122164140.800219</v>
      </c>
      <c r="N31" s="31">
        <f>_xll.DBRW($C$1,$C$2,$C$3,$C$4,$C$6,$C$5,$C$7,N$1,N$2,A31)</f>
        <v>-12465826446.466957</v>
      </c>
      <c r="O31" s="31">
        <f>_xll.DBRW($C$1,$C$2,$C$3,$C$4,$C$6,$C$5,$C$7,O$1,O$2,A31)</f>
        <v>-13257658043.612019</v>
      </c>
      <c r="P31" s="31">
        <f>_xll.DBRW($C$1,$C$2,$C$3,$C$4,$C$6,$C$5,$C$7,P$1,P$2,A31)</f>
        <v>-17610074279.681618</v>
      </c>
      <c r="Q31" s="31">
        <f>_xll.DBRW($C$1,$C$2,$C$3,$C$4,$C$6,$C$5,$C$7,Q$1,Q$2,A31)</f>
        <v>-20048259183.34882</v>
      </c>
      <c r="R31" s="31">
        <f>_xll.DBRW($C$1,$C$2,$C$3,$C$4,$C$6,$C$5,$C$7,R$1,R$2,A31)</f>
        <v>-20634301800.917221</v>
      </c>
      <c r="S31" s="31">
        <f>_xll.DBRW($C$1,$C$2,$C$3,$C$4,$C$6,$C$5,$C$7,S$1,S$2,A31)</f>
        <v>-23715317923.455219</v>
      </c>
      <c r="T31" s="31">
        <f>_xll.DBRW($C$1,$C$2,$C$3,$C$4,$C$6,$C$5,$C$7,T$1,T$2,A31)</f>
        <v>-27955380140.52182</v>
      </c>
      <c r="U31" s="31">
        <f>_xll.DBRW($C$1,$C$2,$C$3,$C$4,$C$6,$C$5,$C$7,U$1,U$2,A31)</f>
        <v>-27955380140.52182</v>
      </c>
      <c r="V31" s="31">
        <f>_xll.DBRW($C$1,$C$2,$C$3,$C$4,$C$6,$C$5,$C$7,V$1,V$2,A31)</f>
        <v>0</v>
      </c>
      <c r="W31" s="31">
        <f>_xll.DBRW($C$1,$C$2,$C$3,$C$4,$C$6,$C$5,$C$7,W$1,W$2,A31)</f>
        <v>0</v>
      </c>
      <c r="X31" s="31">
        <f>_xll.DBRW($C$1,$C$2,$C$3,$C$4,$C$6,$C$5,$C$7,X$1,X$2,A31)</f>
        <v>0</v>
      </c>
      <c r="Y31" s="31">
        <f>_xll.DBRW($C$1,$C$2,$C$3,$C$4,$C$6,$C$5,$C$7,Y$1,Y$2,A31)</f>
        <v>0</v>
      </c>
      <c r="Z31" s="31">
        <f>_xll.DBRW($C$1,$C$2,$C$3,$C$4,$C$6,$C$5,$C$7,Z$1,Z$2,A31)</f>
        <v>0</v>
      </c>
      <c r="AA31" s="31">
        <f>_xll.DBRW($C$1,$C$2,$C$3,$C$4,$C$6,$C$5,$C$7,AA$1,AA$2,A31)</f>
        <v>0</v>
      </c>
      <c r="AB31" s="31">
        <f>_xll.DBRW($C$1,$C$2,$C$3,$C$4,$C$6,$C$5,$C$7,AB$1,AB$2,A31)</f>
        <v>0</v>
      </c>
      <c r="AC31" s="31">
        <f>_xll.DBRW($C$1,$C$2,$C$3,$C$4,$C$6,$C$5,$C$7,AC$1,AC$2,A31)</f>
        <v>0</v>
      </c>
      <c r="AD31" s="31">
        <f>_xll.DBRW($C$1,$C$2,$C$3,$C$4,$C$6,$C$5,$C$7,AD$1,AD$2,A31)</f>
        <v>0</v>
      </c>
      <c r="AE31" s="31">
        <f>_xll.DBRW($C$1,$C$2,$C$3,$C$4,$C$6,$C$5,$C$7,AE$1,AE$2,A31)</f>
        <v>0</v>
      </c>
      <c r="AF31" s="31">
        <f>_xll.DBRW($C$1,$C$2,$C$3,$C$4,$C$6,$C$5,$C$7,AF$1,AF$2,A31)</f>
        <v>0</v>
      </c>
      <c r="AG31" s="31">
        <f>_xll.DBRW($C$1,$C$2,$C$3,$C$4,$C$6,$C$5,$C$7,AG$1,AG$2,A31)</f>
        <v>0</v>
      </c>
      <c r="AH31" s="31">
        <f>_xll.DBRW($C$1,$C$2,$C$3,$C$4,$C$6,$C$5,$C$7,AH$1,AH$2,A31)</f>
        <v>0</v>
      </c>
      <c r="AI31" s="31">
        <f>_xll.DBRW($C$1,$C$2,$C$3,$C$4,$C$6,$C$5,$C$7,AI$1,AI$2,A31)</f>
        <v>0</v>
      </c>
      <c r="AJ31" s="31">
        <f>_xll.DBRW($C$1,$C$2,$C$3,$C$4,$C$6,$C$5,$C$7,AJ$1,AJ$2,A31)</f>
        <v>0</v>
      </c>
      <c r="AK31" s="31">
        <f>_xll.DBRW($C$1,$C$2,$C$3,$C$4,$C$6,$C$5,$C$7,AK$1,AK$2,A31)</f>
        <v>0</v>
      </c>
      <c r="AL31" s="31">
        <f>_xll.DBRW($C$1,$C$2,$C$3,$C$4,$C$6,$C$5,$C$7,AL$1,AL$2,A31)</f>
        <v>0</v>
      </c>
      <c r="AM31" s="31">
        <f>_xll.DBRW($C$1,$C$2,$C$3,$C$4,$C$6,$C$5,$C$7,AM$1,AM$2,A31)</f>
        <v>0</v>
      </c>
      <c r="AN31" s="31">
        <f>_xll.DBRW($C$1,$C$2,$C$3,$C$4,$C$6,$C$5,$C$7,AN$1,AN$2,A31)</f>
        <v>0</v>
      </c>
      <c r="AO31" s="31">
        <f>_xll.DBRW($C$1,$C$2,$C$3,$C$4,$C$6,$C$5,$C$7,AO$1,AO$2,A31)</f>
        <v>0</v>
      </c>
      <c r="AP31" s="31">
        <f>_xll.DBRW($C$1,$C$2,$C$3,$C$4,$C$6,$C$5,$C$7,AP$1,AP$2,A31)</f>
        <v>0</v>
      </c>
      <c r="AQ31" s="31">
        <f>_xll.DBRW($C$1,$C$2,$C$3,$C$4,$C$6,$C$5,$C$7,AQ$1,AQ$2,A31)</f>
        <v>0</v>
      </c>
      <c r="AR31" s="31">
        <f>_xll.DBRW($C$1,$C$2,$C$3,$C$4,$C$6,$C$5,$C$7,AR$1,AR$2,A31)</f>
        <v>0</v>
      </c>
      <c r="AS31" s="31">
        <f>_xll.DBRW($C$1,$C$2,$C$3,$C$4,$C$6,$C$5,$C$7,AS$1,AS$2,A31)</f>
        <v>0</v>
      </c>
      <c r="AT31" s="31">
        <f>_xll.DBRW($C$1,$C$2,$C$3,$C$4,$C$6,$C$5,$C$7,AT$1,AT$2,A31)</f>
        <v>0</v>
      </c>
      <c r="AU31" s="31">
        <f>_xll.DBRW($C$1,$C$2,$C$3,$C$4,$C$6,$C$5,$C$7,AU$1,AU$2,A31)</f>
        <v>0</v>
      </c>
    </row>
    <row r="32" spans="1:47" ht="15.75" hidden="1" customHeight="1" outlineLevel="1">
      <c r="A32" s="1" t="s">
        <v>131</v>
      </c>
      <c r="C32" s="143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-51560251.699999988</v>
      </c>
      <c r="G32" s="31">
        <f>_xll.DBRW($C$1,$C$2,$C$3,$C$4,$C$6,$C$5,$C$7,G$1,G$2,A32)</f>
        <v>-33413032.57</v>
      </c>
      <c r="H32" s="31">
        <f>_xll.DBRW($C$1,$C$2,$C$3,$C$4,$C$6,$C$5,$C$7,H$1,H$2,A32)</f>
        <v>-17978761.450000003</v>
      </c>
      <c r="I32" s="31">
        <f>_xll.DBRW($C$1,$C$2,$C$3,$C$4,$C$6,$C$5,$C$7,I$1,I$2,A32)</f>
        <v>-172003.25</v>
      </c>
      <c r="J32" s="31">
        <f>_xll.DBRW($C$1,$C$2,$C$3,$C$4,$C$6,$C$5,$C$7,J$1,J$2,A32)</f>
        <v>-2908505.0700000003</v>
      </c>
      <c r="K32" s="31">
        <f>_xll.DBRW($C$1,$C$2,$C$3,$C$4,$C$6,$C$5,$C$7,K$1,K$2,A32)</f>
        <v>-3812063.09</v>
      </c>
      <c r="L32" s="31">
        <f>_xll.DBRW($C$1,$C$2,$C$3,$C$4,$C$6,$C$5,$C$7,L$1,L$2,A32)</f>
        <v>-6165178.0399999991</v>
      </c>
      <c r="M32" s="31">
        <f>_xll.DBRW($C$1,$C$2,$C$3,$C$4,$C$6,$C$5,$C$7,M$1,M$2,A32)</f>
        <v>-4738777.919999999</v>
      </c>
      <c r="N32" s="31">
        <f>_xll.DBRW($C$1,$C$2,$C$3,$C$4,$C$6,$C$5,$C$7,N$1,N$2,A32)</f>
        <v>-8653862.6099999994</v>
      </c>
      <c r="O32" s="31">
        <f>_xll.DBRW($C$1,$C$2,$C$3,$C$4,$C$6,$C$5,$C$7,O$1,O$2,A32)</f>
        <v>0</v>
      </c>
      <c r="P32" s="31">
        <f>_xll.DBRW($C$1,$C$2,$C$3,$C$4,$C$6,$C$5,$C$7,P$1,P$2,A32)</f>
        <v>-16669053.249999998</v>
      </c>
      <c r="Q32" s="31">
        <f>_xll.DBRW($C$1,$C$2,$C$3,$C$4,$C$6,$C$5,$C$7,Q$1,Q$2,A32)</f>
        <v>-18743934.209999997</v>
      </c>
      <c r="R32" s="31">
        <f>_xll.DBRW($C$1,$C$2,$C$3,$C$4,$C$6,$C$5,$C$7,R$1,R$2,A32)</f>
        <v>-3529100.5999999996</v>
      </c>
      <c r="S32" s="31">
        <f>_xll.DBRW($C$1,$C$2,$C$3,$C$4,$C$6,$C$5,$C$7,S$1,S$2,A32)</f>
        <v>-10124338.32</v>
      </c>
      <c r="T32" s="31">
        <f>_xll.DBRW($C$1,$C$2,$C$3,$C$4,$C$6,$C$5,$C$7,T$1,T$2,A32)</f>
        <v>-28952880.600000001</v>
      </c>
      <c r="U32" s="31">
        <f>_xll.DBRW($C$1,$C$2,$C$3,$C$4,$C$6,$C$5,$C$7,U$1,U$2,A32)</f>
        <v>-28952880.600000001</v>
      </c>
      <c r="V32" s="31">
        <f>_xll.DBRW($C$1,$C$2,$C$3,$C$4,$C$6,$C$5,$C$7,V$1,V$2,A32)</f>
        <v>0</v>
      </c>
      <c r="W32" s="31">
        <f>_xll.DBRW($C$1,$C$2,$C$3,$C$4,$C$6,$C$5,$C$7,W$1,W$2,A32)</f>
        <v>0</v>
      </c>
      <c r="X32" s="31">
        <f>_xll.DBRW($C$1,$C$2,$C$3,$C$4,$C$6,$C$5,$C$7,X$1,X$2,A32)</f>
        <v>0</v>
      </c>
      <c r="Y32" s="31">
        <f>_xll.DBRW($C$1,$C$2,$C$3,$C$4,$C$6,$C$5,$C$7,Y$1,Y$2,A32)</f>
        <v>0</v>
      </c>
      <c r="Z32" s="31">
        <f>_xll.DBRW($C$1,$C$2,$C$3,$C$4,$C$6,$C$5,$C$7,Z$1,Z$2,A32)</f>
        <v>0</v>
      </c>
      <c r="AA32" s="31">
        <f>_xll.DBRW($C$1,$C$2,$C$3,$C$4,$C$6,$C$5,$C$7,AA$1,AA$2,A32)</f>
        <v>0</v>
      </c>
      <c r="AB32" s="31">
        <f>_xll.DBRW($C$1,$C$2,$C$3,$C$4,$C$6,$C$5,$C$7,AB$1,AB$2,A32)</f>
        <v>0</v>
      </c>
      <c r="AC32" s="31">
        <f>_xll.DBRW($C$1,$C$2,$C$3,$C$4,$C$6,$C$5,$C$7,AC$1,AC$2,A32)</f>
        <v>0</v>
      </c>
      <c r="AD32" s="31">
        <f>_xll.DBRW($C$1,$C$2,$C$3,$C$4,$C$6,$C$5,$C$7,AD$1,AD$2,A32)</f>
        <v>0</v>
      </c>
      <c r="AE32" s="31">
        <f>_xll.DBRW($C$1,$C$2,$C$3,$C$4,$C$6,$C$5,$C$7,AE$1,AE$2,A32)</f>
        <v>0</v>
      </c>
      <c r="AF32" s="31">
        <f>_xll.DBRW($C$1,$C$2,$C$3,$C$4,$C$6,$C$5,$C$7,AF$1,AF$2,A32)</f>
        <v>0</v>
      </c>
      <c r="AG32" s="31">
        <f>_xll.DBRW($C$1,$C$2,$C$3,$C$4,$C$6,$C$5,$C$7,AG$1,AG$2,A32)</f>
        <v>0</v>
      </c>
      <c r="AH32" s="31">
        <f>_xll.DBRW($C$1,$C$2,$C$3,$C$4,$C$6,$C$5,$C$7,AH$1,AH$2,A32)</f>
        <v>0</v>
      </c>
      <c r="AI32" s="31">
        <f>_xll.DBRW($C$1,$C$2,$C$3,$C$4,$C$6,$C$5,$C$7,AI$1,AI$2,A32)</f>
        <v>0</v>
      </c>
      <c r="AJ32" s="31">
        <f>_xll.DBRW($C$1,$C$2,$C$3,$C$4,$C$6,$C$5,$C$7,AJ$1,AJ$2,A32)</f>
        <v>0</v>
      </c>
      <c r="AK32" s="31">
        <f>_xll.DBRW($C$1,$C$2,$C$3,$C$4,$C$6,$C$5,$C$7,AK$1,AK$2,A32)</f>
        <v>0</v>
      </c>
      <c r="AL32" s="31">
        <f>_xll.DBRW($C$1,$C$2,$C$3,$C$4,$C$6,$C$5,$C$7,AL$1,AL$2,A32)</f>
        <v>0</v>
      </c>
      <c r="AM32" s="31">
        <f>_xll.DBRW($C$1,$C$2,$C$3,$C$4,$C$6,$C$5,$C$7,AM$1,AM$2,A32)</f>
        <v>0</v>
      </c>
      <c r="AN32" s="31">
        <f>_xll.DBRW($C$1,$C$2,$C$3,$C$4,$C$6,$C$5,$C$7,AN$1,AN$2,A32)</f>
        <v>0</v>
      </c>
      <c r="AO32" s="31">
        <f>_xll.DBRW($C$1,$C$2,$C$3,$C$4,$C$6,$C$5,$C$7,AO$1,AO$2,A32)</f>
        <v>0</v>
      </c>
      <c r="AP32" s="31">
        <f>_xll.DBRW($C$1,$C$2,$C$3,$C$4,$C$6,$C$5,$C$7,AP$1,AP$2,A32)</f>
        <v>0</v>
      </c>
      <c r="AQ32" s="31">
        <f>_xll.DBRW($C$1,$C$2,$C$3,$C$4,$C$6,$C$5,$C$7,AQ$1,AQ$2,A32)</f>
        <v>0</v>
      </c>
      <c r="AR32" s="31">
        <f>_xll.DBRW($C$1,$C$2,$C$3,$C$4,$C$6,$C$5,$C$7,AR$1,AR$2,A32)</f>
        <v>0</v>
      </c>
      <c r="AS32" s="31">
        <f>_xll.DBRW($C$1,$C$2,$C$3,$C$4,$C$6,$C$5,$C$7,AS$1,AS$2,A32)</f>
        <v>0</v>
      </c>
      <c r="AT32" s="31">
        <f>_xll.DBRW($C$1,$C$2,$C$3,$C$4,$C$6,$C$5,$C$7,AT$1,AT$2,A32)</f>
        <v>0</v>
      </c>
      <c r="AU32" s="31">
        <f>_xll.DBRW($C$1,$C$2,$C$3,$C$4,$C$6,$C$5,$C$7,AU$1,AU$2,A32)</f>
        <v>0</v>
      </c>
    </row>
    <row r="33" spans="1:47" ht="15.75" hidden="1" customHeight="1" outlineLevel="1">
      <c r="A33" s="1" t="s">
        <v>132</v>
      </c>
      <c r="C33" s="143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-1377590612.1838</v>
      </c>
      <c r="G33" s="31">
        <f>_xll.DBRW($C$1,$C$2,$C$3,$C$4,$C$6,$C$5,$C$7,G$1,G$2,A33)</f>
        <v>-1576666291.2584</v>
      </c>
      <c r="H33" s="31">
        <f>_xll.DBRW($C$1,$C$2,$C$3,$C$4,$C$6,$C$5,$C$7,H$1,H$2,A33)</f>
        <v>-1014636314.6616001</v>
      </c>
      <c r="I33" s="31">
        <f>_xll.DBRW($C$1,$C$2,$C$3,$C$4,$C$6,$C$5,$C$7,I$1,I$2,A33)</f>
        <v>-84325179.23529999</v>
      </c>
      <c r="J33" s="31">
        <f>_xll.DBRW($C$1,$C$2,$C$3,$C$4,$C$6,$C$5,$C$7,J$1,J$2,A33)</f>
        <v>-85318393.868199989</v>
      </c>
      <c r="K33" s="31">
        <f>_xll.DBRW($C$1,$C$2,$C$3,$C$4,$C$6,$C$5,$C$7,K$1,K$2,A33)</f>
        <v>-243987048.62799996</v>
      </c>
      <c r="L33" s="31">
        <f>_xll.DBRW($C$1,$C$2,$C$3,$C$4,$C$6,$C$5,$C$7,L$1,L$2,A33)</f>
        <v>-340238902.25899994</v>
      </c>
      <c r="M33" s="31">
        <f>_xll.DBRW($C$1,$C$2,$C$3,$C$4,$C$6,$C$5,$C$7,M$1,M$2,A33)</f>
        <v>-437913014.65019995</v>
      </c>
      <c r="N33" s="31">
        <f>_xll.DBRW($C$1,$C$2,$C$3,$C$4,$C$6,$C$5,$C$7,N$1,N$2,A33)</f>
        <v>-536547517.12179995</v>
      </c>
      <c r="O33" s="31">
        <f>_xll.DBRW($C$1,$C$2,$C$3,$C$4,$C$6,$C$5,$C$7,O$1,O$2,A33)</f>
        <v>-619923622.45889997</v>
      </c>
      <c r="P33" s="31">
        <f>_xll.DBRW($C$1,$C$2,$C$3,$C$4,$C$6,$C$5,$C$7,P$1,P$2,A33)</f>
        <v>-724411481.47959995</v>
      </c>
      <c r="Q33" s="31">
        <f>_xll.DBRW($C$1,$C$2,$C$3,$C$4,$C$6,$C$5,$C$7,Q$1,Q$2,A33)</f>
        <v>-833239029.6631999</v>
      </c>
      <c r="R33" s="31">
        <f>_xll.DBRW($C$1,$C$2,$C$3,$C$4,$C$6,$C$5,$C$7,R$1,R$2,A33)</f>
        <v>-927369562.69899988</v>
      </c>
      <c r="S33" s="31">
        <f>_xll.DBRW($C$1,$C$2,$C$3,$C$4,$C$6,$C$5,$C$7,S$1,S$2,A33)</f>
        <v>-1045582882.7587999</v>
      </c>
      <c r="T33" s="31">
        <f>_xll.DBRW($C$1,$C$2,$C$3,$C$4,$C$6,$C$5,$C$7,T$1,T$2,A33)</f>
        <v>-1149353957.9201999</v>
      </c>
      <c r="U33" s="31">
        <f>_xll.DBRW($C$1,$C$2,$C$3,$C$4,$C$6,$C$5,$C$7,U$1,U$2,A33)</f>
        <v>-1149353957.9201999</v>
      </c>
      <c r="V33" s="31">
        <f>_xll.DBRW($C$1,$C$2,$C$3,$C$4,$C$6,$C$5,$C$7,V$1,V$2,A33)</f>
        <v>0</v>
      </c>
      <c r="W33" s="31">
        <f>_xll.DBRW($C$1,$C$2,$C$3,$C$4,$C$6,$C$5,$C$7,W$1,W$2,A33)</f>
        <v>0</v>
      </c>
      <c r="X33" s="31">
        <f>_xll.DBRW($C$1,$C$2,$C$3,$C$4,$C$6,$C$5,$C$7,X$1,X$2,A33)</f>
        <v>0</v>
      </c>
      <c r="Y33" s="31">
        <f>_xll.DBRW($C$1,$C$2,$C$3,$C$4,$C$6,$C$5,$C$7,Y$1,Y$2,A33)</f>
        <v>0</v>
      </c>
      <c r="Z33" s="31">
        <f>_xll.DBRW($C$1,$C$2,$C$3,$C$4,$C$6,$C$5,$C$7,Z$1,Z$2,A33)</f>
        <v>0</v>
      </c>
      <c r="AA33" s="31">
        <f>_xll.DBRW($C$1,$C$2,$C$3,$C$4,$C$6,$C$5,$C$7,AA$1,AA$2,A33)</f>
        <v>0</v>
      </c>
      <c r="AB33" s="31">
        <f>_xll.DBRW($C$1,$C$2,$C$3,$C$4,$C$6,$C$5,$C$7,AB$1,AB$2,A33)</f>
        <v>0</v>
      </c>
      <c r="AC33" s="31">
        <f>_xll.DBRW($C$1,$C$2,$C$3,$C$4,$C$6,$C$5,$C$7,AC$1,AC$2,A33)</f>
        <v>0</v>
      </c>
      <c r="AD33" s="31">
        <f>_xll.DBRW($C$1,$C$2,$C$3,$C$4,$C$6,$C$5,$C$7,AD$1,AD$2,A33)</f>
        <v>0</v>
      </c>
      <c r="AE33" s="31">
        <f>_xll.DBRW($C$1,$C$2,$C$3,$C$4,$C$6,$C$5,$C$7,AE$1,AE$2,A33)</f>
        <v>0</v>
      </c>
      <c r="AF33" s="31">
        <f>_xll.DBRW($C$1,$C$2,$C$3,$C$4,$C$6,$C$5,$C$7,AF$1,AF$2,A33)</f>
        <v>0</v>
      </c>
      <c r="AG33" s="31">
        <f>_xll.DBRW($C$1,$C$2,$C$3,$C$4,$C$6,$C$5,$C$7,AG$1,AG$2,A33)</f>
        <v>0</v>
      </c>
      <c r="AH33" s="31">
        <f>_xll.DBRW($C$1,$C$2,$C$3,$C$4,$C$6,$C$5,$C$7,AH$1,AH$2,A33)</f>
        <v>0</v>
      </c>
      <c r="AI33" s="31">
        <f>_xll.DBRW($C$1,$C$2,$C$3,$C$4,$C$6,$C$5,$C$7,AI$1,AI$2,A33)</f>
        <v>0</v>
      </c>
      <c r="AJ33" s="31">
        <f>_xll.DBRW($C$1,$C$2,$C$3,$C$4,$C$6,$C$5,$C$7,AJ$1,AJ$2,A33)</f>
        <v>0</v>
      </c>
      <c r="AK33" s="31">
        <f>_xll.DBRW($C$1,$C$2,$C$3,$C$4,$C$6,$C$5,$C$7,AK$1,AK$2,A33)</f>
        <v>0</v>
      </c>
      <c r="AL33" s="31">
        <f>_xll.DBRW($C$1,$C$2,$C$3,$C$4,$C$6,$C$5,$C$7,AL$1,AL$2,A33)</f>
        <v>0</v>
      </c>
      <c r="AM33" s="31">
        <f>_xll.DBRW($C$1,$C$2,$C$3,$C$4,$C$6,$C$5,$C$7,AM$1,AM$2,A33)</f>
        <v>0</v>
      </c>
      <c r="AN33" s="31">
        <f>_xll.DBRW($C$1,$C$2,$C$3,$C$4,$C$6,$C$5,$C$7,AN$1,AN$2,A33)</f>
        <v>0</v>
      </c>
      <c r="AO33" s="31">
        <f>_xll.DBRW($C$1,$C$2,$C$3,$C$4,$C$6,$C$5,$C$7,AO$1,AO$2,A33)</f>
        <v>0</v>
      </c>
      <c r="AP33" s="31">
        <f>_xll.DBRW($C$1,$C$2,$C$3,$C$4,$C$6,$C$5,$C$7,AP$1,AP$2,A33)</f>
        <v>0</v>
      </c>
      <c r="AQ33" s="31">
        <f>_xll.DBRW($C$1,$C$2,$C$3,$C$4,$C$6,$C$5,$C$7,AQ$1,AQ$2,A33)</f>
        <v>0</v>
      </c>
      <c r="AR33" s="31">
        <f>_xll.DBRW($C$1,$C$2,$C$3,$C$4,$C$6,$C$5,$C$7,AR$1,AR$2,A33)</f>
        <v>0</v>
      </c>
      <c r="AS33" s="31">
        <f>_xll.DBRW($C$1,$C$2,$C$3,$C$4,$C$6,$C$5,$C$7,AS$1,AS$2,A33)</f>
        <v>0</v>
      </c>
      <c r="AT33" s="31">
        <f>_xll.DBRW($C$1,$C$2,$C$3,$C$4,$C$6,$C$5,$C$7,AT$1,AT$2,A33)</f>
        <v>0</v>
      </c>
      <c r="AU33" s="31">
        <f>_xll.DBRW($C$1,$C$2,$C$3,$C$4,$C$6,$C$5,$C$7,AU$1,AU$2,A33)</f>
        <v>0</v>
      </c>
    </row>
    <row r="34" spans="1:47" ht="15.75" hidden="1" customHeight="1" outlineLevel="1">
      <c r="A34" s="1" t="s">
        <v>133</v>
      </c>
      <c r="C34" s="143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-34564.68</v>
      </c>
      <c r="G34" s="31">
        <f>_xll.DBRW($C$1,$C$2,$C$3,$C$4,$C$6,$C$5,$C$7,G$1,G$2,A34)</f>
        <v>-60653.84</v>
      </c>
      <c r="H34" s="31">
        <f>_xll.DBRW($C$1,$C$2,$C$3,$C$4,$C$6,$C$5,$C$7,H$1,H$2,A34)</f>
        <v>-33702</v>
      </c>
      <c r="I34" s="31">
        <f>_xll.DBRW($C$1,$C$2,$C$3,$C$4,$C$6,$C$5,$C$7,I$1,I$2,A34)</f>
        <v>-9925</v>
      </c>
      <c r="J34" s="31">
        <f>_xll.DBRW($C$1,$C$2,$C$3,$C$4,$C$6,$C$5,$C$7,J$1,J$2,A34)</f>
        <v>-12851</v>
      </c>
      <c r="K34" s="31">
        <f>_xll.DBRW($C$1,$C$2,$C$3,$C$4,$C$6,$C$5,$C$7,K$1,K$2,A34)</f>
        <v>-20778</v>
      </c>
      <c r="L34" s="31">
        <f>_xll.DBRW($C$1,$C$2,$C$3,$C$4,$C$6,$C$5,$C$7,L$1,L$2,A34)</f>
        <v>-23703</v>
      </c>
      <c r="M34" s="31">
        <f>_xll.DBRW($C$1,$C$2,$C$3,$C$4,$C$6,$C$5,$C$7,M$1,M$2,A34)</f>
        <v>-26634</v>
      </c>
      <c r="N34" s="31">
        <f>_xll.DBRW($C$1,$C$2,$C$3,$C$4,$C$6,$C$5,$C$7,N$1,N$2,A34)</f>
        <v>-29533</v>
      </c>
      <c r="O34" s="31">
        <f>_xll.DBRW($C$1,$C$2,$C$3,$C$4,$C$6,$C$5,$C$7,O$1,O$2,A34)</f>
        <v>-32432</v>
      </c>
      <c r="P34" s="31">
        <f>_xll.DBRW($C$1,$C$2,$C$3,$C$4,$C$6,$C$5,$C$7,P$1,P$2,A34)</f>
        <v>-35331</v>
      </c>
      <c r="Q34" s="31">
        <f>_xll.DBRW($C$1,$C$2,$C$3,$C$4,$C$6,$C$5,$C$7,Q$1,Q$2,A34)</f>
        <v>-38252</v>
      </c>
      <c r="R34" s="31">
        <f>_xll.DBRW($C$1,$C$2,$C$3,$C$4,$C$6,$C$5,$C$7,R$1,R$2,A34)</f>
        <v>-41372.86</v>
      </c>
      <c r="S34" s="31">
        <f>_xll.DBRW($C$1,$C$2,$C$3,$C$4,$C$6,$C$5,$C$7,S$1,S$2,A34)</f>
        <v>-312219.22999999992</v>
      </c>
      <c r="T34" s="31">
        <f>_xll.DBRW($C$1,$C$2,$C$3,$C$4,$C$6,$C$5,$C$7,T$1,T$2,A34)</f>
        <v>-315337.99999999994</v>
      </c>
      <c r="U34" s="31">
        <f>_xll.DBRW($C$1,$C$2,$C$3,$C$4,$C$6,$C$5,$C$7,U$1,U$2,A34)</f>
        <v>-315337.99999999994</v>
      </c>
      <c r="V34" s="31">
        <f>_xll.DBRW($C$1,$C$2,$C$3,$C$4,$C$6,$C$5,$C$7,V$1,V$2,A34)</f>
        <v>0</v>
      </c>
      <c r="W34" s="31">
        <f>_xll.DBRW($C$1,$C$2,$C$3,$C$4,$C$6,$C$5,$C$7,W$1,W$2,A34)</f>
        <v>0</v>
      </c>
      <c r="X34" s="31">
        <f>_xll.DBRW($C$1,$C$2,$C$3,$C$4,$C$6,$C$5,$C$7,X$1,X$2,A34)</f>
        <v>0</v>
      </c>
      <c r="Y34" s="31">
        <f>_xll.DBRW($C$1,$C$2,$C$3,$C$4,$C$6,$C$5,$C$7,Y$1,Y$2,A34)</f>
        <v>0</v>
      </c>
      <c r="Z34" s="31">
        <f>_xll.DBRW($C$1,$C$2,$C$3,$C$4,$C$6,$C$5,$C$7,Z$1,Z$2,A34)</f>
        <v>0</v>
      </c>
      <c r="AA34" s="31">
        <f>_xll.DBRW($C$1,$C$2,$C$3,$C$4,$C$6,$C$5,$C$7,AA$1,AA$2,A34)</f>
        <v>0</v>
      </c>
      <c r="AB34" s="31">
        <f>_xll.DBRW($C$1,$C$2,$C$3,$C$4,$C$6,$C$5,$C$7,AB$1,AB$2,A34)</f>
        <v>0</v>
      </c>
      <c r="AC34" s="31">
        <f>_xll.DBRW($C$1,$C$2,$C$3,$C$4,$C$6,$C$5,$C$7,AC$1,AC$2,A34)</f>
        <v>0</v>
      </c>
      <c r="AD34" s="31">
        <f>_xll.DBRW($C$1,$C$2,$C$3,$C$4,$C$6,$C$5,$C$7,AD$1,AD$2,A34)</f>
        <v>0</v>
      </c>
      <c r="AE34" s="31">
        <f>_xll.DBRW($C$1,$C$2,$C$3,$C$4,$C$6,$C$5,$C$7,AE$1,AE$2,A34)</f>
        <v>0</v>
      </c>
      <c r="AF34" s="31">
        <f>_xll.DBRW($C$1,$C$2,$C$3,$C$4,$C$6,$C$5,$C$7,AF$1,AF$2,A34)</f>
        <v>0</v>
      </c>
      <c r="AG34" s="31">
        <f>_xll.DBRW($C$1,$C$2,$C$3,$C$4,$C$6,$C$5,$C$7,AG$1,AG$2,A34)</f>
        <v>0</v>
      </c>
      <c r="AH34" s="31">
        <f>_xll.DBRW($C$1,$C$2,$C$3,$C$4,$C$6,$C$5,$C$7,AH$1,AH$2,A34)</f>
        <v>0</v>
      </c>
      <c r="AI34" s="31">
        <f>_xll.DBRW($C$1,$C$2,$C$3,$C$4,$C$6,$C$5,$C$7,AI$1,AI$2,A34)</f>
        <v>0</v>
      </c>
      <c r="AJ34" s="31">
        <f>_xll.DBRW($C$1,$C$2,$C$3,$C$4,$C$6,$C$5,$C$7,AJ$1,AJ$2,A34)</f>
        <v>0</v>
      </c>
      <c r="AK34" s="31">
        <f>_xll.DBRW($C$1,$C$2,$C$3,$C$4,$C$6,$C$5,$C$7,AK$1,AK$2,A34)</f>
        <v>0</v>
      </c>
      <c r="AL34" s="31">
        <f>_xll.DBRW($C$1,$C$2,$C$3,$C$4,$C$6,$C$5,$C$7,AL$1,AL$2,A34)</f>
        <v>0</v>
      </c>
      <c r="AM34" s="31">
        <f>_xll.DBRW($C$1,$C$2,$C$3,$C$4,$C$6,$C$5,$C$7,AM$1,AM$2,A34)</f>
        <v>0</v>
      </c>
      <c r="AN34" s="31">
        <f>_xll.DBRW($C$1,$C$2,$C$3,$C$4,$C$6,$C$5,$C$7,AN$1,AN$2,A34)</f>
        <v>0</v>
      </c>
      <c r="AO34" s="31">
        <f>_xll.DBRW($C$1,$C$2,$C$3,$C$4,$C$6,$C$5,$C$7,AO$1,AO$2,A34)</f>
        <v>0</v>
      </c>
      <c r="AP34" s="31">
        <f>_xll.DBRW($C$1,$C$2,$C$3,$C$4,$C$6,$C$5,$C$7,AP$1,AP$2,A34)</f>
        <v>0</v>
      </c>
      <c r="AQ34" s="31">
        <f>_xll.DBRW($C$1,$C$2,$C$3,$C$4,$C$6,$C$5,$C$7,AQ$1,AQ$2,A34)</f>
        <v>0</v>
      </c>
      <c r="AR34" s="31">
        <f>_xll.DBRW($C$1,$C$2,$C$3,$C$4,$C$6,$C$5,$C$7,AR$1,AR$2,A34)</f>
        <v>0</v>
      </c>
      <c r="AS34" s="31">
        <f>_xll.DBRW($C$1,$C$2,$C$3,$C$4,$C$6,$C$5,$C$7,AS$1,AS$2,A34)</f>
        <v>0</v>
      </c>
      <c r="AT34" s="31">
        <f>_xll.DBRW($C$1,$C$2,$C$3,$C$4,$C$6,$C$5,$C$7,AT$1,AT$2,A34)</f>
        <v>0</v>
      </c>
      <c r="AU34" s="31">
        <f>_xll.DBRW($C$1,$C$2,$C$3,$C$4,$C$6,$C$5,$C$7,AU$1,AU$2,A34)</f>
        <v>0</v>
      </c>
    </row>
    <row r="35" spans="1:47" ht="15.75" hidden="1" customHeight="1" outlineLevel="1">
      <c r="A35" s="1" t="s">
        <v>134</v>
      </c>
      <c r="C35" s="143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-912236463.78999996</v>
      </c>
      <c r="G35" s="31">
        <f>_xll.DBRW($C$1,$C$2,$C$3,$C$4,$C$6,$C$5,$C$7,G$1,G$2,A35)</f>
        <v>-1291756967.03</v>
      </c>
      <c r="H35" s="31">
        <f>_xll.DBRW($C$1,$C$2,$C$3,$C$4,$C$6,$C$5,$C$7,H$1,H$2,A35)</f>
        <v>-23768644.470000003</v>
      </c>
      <c r="I35" s="31">
        <f>_xll.DBRW($C$1,$C$2,$C$3,$C$4,$C$6,$C$5,$C$7,I$1,I$2,A35)</f>
        <v>-220249.07</v>
      </c>
      <c r="J35" s="31">
        <f>_xll.DBRW($C$1,$C$2,$C$3,$C$4,$C$6,$C$5,$C$7,J$1,J$2,A35)</f>
        <v>215379.8200000003</v>
      </c>
      <c r="K35" s="31">
        <f>_xll.DBRW($C$1,$C$2,$C$3,$C$4,$C$6,$C$5,$C$7,K$1,K$2,A35)</f>
        <v>844924.27000000014</v>
      </c>
      <c r="L35" s="31">
        <f>_xll.DBRW($C$1,$C$2,$C$3,$C$4,$C$6,$C$5,$C$7,L$1,L$2,A35)</f>
        <v>1399334.9300000002</v>
      </c>
      <c r="M35" s="31">
        <f>_xll.DBRW($C$1,$C$2,$C$3,$C$4,$C$6,$C$5,$C$7,M$1,M$2,A35)</f>
        <v>4108100.5000000005</v>
      </c>
      <c r="N35" s="31">
        <f>_xll.DBRW($C$1,$C$2,$C$3,$C$4,$C$6,$C$5,$C$7,N$1,N$2,A35)</f>
        <v>4106730.1500000004</v>
      </c>
      <c r="O35" s="31">
        <f>_xll.DBRW($C$1,$C$2,$C$3,$C$4,$C$6,$C$5,$C$7,O$1,O$2,A35)</f>
        <v>1579583.21</v>
      </c>
      <c r="P35" s="31">
        <f>_xll.DBRW($C$1,$C$2,$C$3,$C$4,$C$6,$C$5,$C$7,P$1,P$2,A35)</f>
        <v>4697007.08</v>
      </c>
      <c r="Q35" s="31">
        <f>_xll.DBRW($C$1,$C$2,$C$3,$C$4,$C$6,$C$5,$C$7,Q$1,Q$2,A35)</f>
        <v>2668219.2600000002</v>
      </c>
      <c r="R35" s="31">
        <f>_xll.DBRW($C$1,$C$2,$C$3,$C$4,$C$6,$C$5,$C$7,R$1,R$2,A35)</f>
        <v>-1916881.6999999988</v>
      </c>
      <c r="S35" s="31">
        <f>_xll.DBRW($C$1,$C$2,$C$3,$C$4,$C$6,$C$5,$C$7,S$1,S$2,A35)</f>
        <v>414297.93000000063</v>
      </c>
      <c r="T35" s="31">
        <f>_xll.DBRW($C$1,$C$2,$C$3,$C$4,$C$6,$C$5,$C$7,T$1,T$2,A35)</f>
        <v>6421629.6900000023</v>
      </c>
      <c r="U35" s="31">
        <f>_xll.DBRW($C$1,$C$2,$C$3,$C$4,$C$6,$C$5,$C$7,U$1,U$2,A35)</f>
        <v>6421629.6900000023</v>
      </c>
      <c r="V35" s="31">
        <f>_xll.DBRW($C$1,$C$2,$C$3,$C$4,$C$6,$C$5,$C$7,V$1,V$2,A35)</f>
        <v>0</v>
      </c>
      <c r="W35" s="31">
        <f>_xll.DBRW($C$1,$C$2,$C$3,$C$4,$C$6,$C$5,$C$7,W$1,W$2,A35)</f>
        <v>0</v>
      </c>
      <c r="X35" s="31">
        <f>_xll.DBRW($C$1,$C$2,$C$3,$C$4,$C$6,$C$5,$C$7,X$1,X$2,A35)</f>
        <v>0</v>
      </c>
      <c r="Y35" s="31">
        <f>_xll.DBRW($C$1,$C$2,$C$3,$C$4,$C$6,$C$5,$C$7,Y$1,Y$2,A35)</f>
        <v>0</v>
      </c>
      <c r="Z35" s="31">
        <f>_xll.DBRW($C$1,$C$2,$C$3,$C$4,$C$6,$C$5,$C$7,Z$1,Z$2,A35)</f>
        <v>0</v>
      </c>
      <c r="AA35" s="31">
        <f>_xll.DBRW($C$1,$C$2,$C$3,$C$4,$C$6,$C$5,$C$7,AA$1,AA$2,A35)</f>
        <v>0</v>
      </c>
      <c r="AB35" s="31">
        <f>_xll.DBRW($C$1,$C$2,$C$3,$C$4,$C$6,$C$5,$C$7,AB$1,AB$2,A35)</f>
        <v>0</v>
      </c>
      <c r="AC35" s="31">
        <f>_xll.DBRW($C$1,$C$2,$C$3,$C$4,$C$6,$C$5,$C$7,AC$1,AC$2,A35)</f>
        <v>0</v>
      </c>
      <c r="AD35" s="31">
        <f>_xll.DBRW($C$1,$C$2,$C$3,$C$4,$C$6,$C$5,$C$7,AD$1,AD$2,A35)</f>
        <v>0</v>
      </c>
      <c r="AE35" s="31">
        <f>_xll.DBRW($C$1,$C$2,$C$3,$C$4,$C$6,$C$5,$C$7,AE$1,AE$2,A35)</f>
        <v>0</v>
      </c>
      <c r="AF35" s="31">
        <f>_xll.DBRW($C$1,$C$2,$C$3,$C$4,$C$6,$C$5,$C$7,AF$1,AF$2,A35)</f>
        <v>0</v>
      </c>
      <c r="AG35" s="31">
        <f>_xll.DBRW($C$1,$C$2,$C$3,$C$4,$C$6,$C$5,$C$7,AG$1,AG$2,A35)</f>
        <v>0</v>
      </c>
      <c r="AH35" s="31">
        <f>_xll.DBRW($C$1,$C$2,$C$3,$C$4,$C$6,$C$5,$C$7,AH$1,AH$2,A35)</f>
        <v>0</v>
      </c>
      <c r="AI35" s="31">
        <f>_xll.DBRW($C$1,$C$2,$C$3,$C$4,$C$6,$C$5,$C$7,AI$1,AI$2,A35)</f>
        <v>0</v>
      </c>
      <c r="AJ35" s="31">
        <f>_xll.DBRW($C$1,$C$2,$C$3,$C$4,$C$6,$C$5,$C$7,AJ$1,AJ$2,A35)</f>
        <v>0</v>
      </c>
      <c r="AK35" s="31">
        <f>_xll.DBRW($C$1,$C$2,$C$3,$C$4,$C$6,$C$5,$C$7,AK$1,AK$2,A35)</f>
        <v>0</v>
      </c>
      <c r="AL35" s="31">
        <f>_xll.DBRW($C$1,$C$2,$C$3,$C$4,$C$6,$C$5,$C$7,AL$1,AL$2,A35)</f>
        <v>0</v>
      </c>
      <c r="AM35" s="31">
        <f>_xll.DBRW($C$1,$C$2,$C$3,$C$4,$C$6,$C$5,$C$7,AM$1,AM$2,A35)</f>
        <v>0</v>
      </c>
      <c r="AN35" s="31">
        <f>_xll.DBRW($C$1,$C$2,$C$3,$C$4,$C$6,$C$5,$C$7,AN$1,AN$2,A35)</f>
        <v>0</v>
      </c>
      <c r="AO35" s="31">
        <f>_xll.DBRW($C$1,$C$2,$C$3,$C$4,$C$6,$C$5,$C$7,AO$1,AO$2,A35)</f>
        <v>0</v>
      </c>
      <c r="AP35" s="31">
        <f>_xll.DBRW($C$1,$C$2,$C$3,$C$4,$C$6,$C$5,$C$7,AP$1,AP$2,A35)</f>
        <v>0</v>
      </c>
      <c r="AQ35" s="31">
        <f>_xll.DBRW($C$1,$C$2,$C$3,$C$4,$C$6,$C$5,$C$7,AQ$1,AQ$2,A35)</f>
        <v>0</v>
      </c>
      <c r="AR35" s="31">
        <f>_xll.DBRW($C$1,$C$2,$C$3,$C$4,$C$6,$C$5,$C$7,AR$1,AR$2,A35)</f>
        <v>0</v>
      </c>
      <c r="AS35" s="31">
        <f>_xll.DBRW($C$1,$C$2,$C$3,$C$4,$C$6,$C$5,$C$7,AS$1,AS$2,A35)</f>
        <v>0</v>
      </c>
      <c r="AT35" s="31">
        <f>_xll.DBRW($C$1,$C$2,$C$3,$C$4,$C$6,$C$5,$C$7,AT$1,AT$2,A35)</f>
        <v>0</v>
      </c>
      <c r="AU35" s="31">
        <f>_xll.DBRW($C$1,$C$2,$C$3,$C$4,$C$6,$C$5,$C$7,AU$1,AU$2,A35)</f>
        <v>0</v>
      </c>
    </row>
    <row r="36" spans="1:47" ht="15.75" hidden="1" customHeight="1" outlineLevel="1">
      <c r="A36" s="1" t="s">
        <v>135</v>
      </c>
      <c r="C36" s="143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7786812.6100000003</v>
      </c>
      <c r="G36" s="31">
        <f>_xll.DBRW($C$1,$C$2,$C$3,$C$4,$C$6,$C$5,$C$7,G$1,G$2,A36)</f>
        <v>12128681.200000001</v>
      </c>
      <c r="H36" s="31">
        <f>_xll.DBRW($C$1,$C$2,$C$3,$C$4,$C$6,$C$5,$C$7,H$1,H$2,A36)</f>
        <v>14377827.41</v>
      </c>
      <c r="I36" s="31">
        <f>_xll.DBRW($C$1,$C$2,$C$3,$C$4,$C$6,$C$5,$C$7,I$1,I$2,A36)</f>
        <v>41186.269999999997</v>
      </c>
      <c r="J36" s="31">
        <f>_xll.DBRW($C$1,$C$2,$C$3,$C$4,$C$6,$C$5,$C$7,J$1,J$2,A36)</f>
        <v>1139339.9999999998</v>
      </c>
      <c r="K36" s="31">
        <f>_xll.DBRW($C$1,$C$2,$C$3,$C$4,$C$6,$C$5,$C$7,K$1,K$2,A36)</f>
        <v>1638693.1199999996</v>
      </c>
      <c r="L36" s="31">
        <f>_xll.DBRW($C$1,$C$2,$C$3,$C$4,$C$6,$C$5,$C$7,L$1,L$2,A36)</f>
        <v>1727943.4799999997</v>
      </c>
      <c r="M36" s="31">
        <f>_xll.DBRW($C$1,$C$2,$C$3,$C$4,$C$6,$C$5,$C$7,M$1,M$2,A36)</f>
        <v>2243584.9099999997</v>
      </c>
      <c r="N36" s="31">
        <f>_xll.DBRW($C$1,$C$2,$C$3,$C$4,$C$6,$C$5,$C$7,N$1,N$2,A36)</f>
        <v>2767247.7899999996</v>
      </c>
      <c r="O36" s="31">
        <f>_xll.DBRW($C$1,$C$2,$C$3,$C$4,$C$6,$C$5,$C$7,O$1,O$2,A36)</f>
        <v>2627791.3599999994</v>
      </c>
      <c r="P36" s="31">
        <f>_xll.DBRW($C$1,$C$2,$C$3,$C$4,$C$6,$C$5,$C$7,P$1,P$2,A36)</f>
        <v>3946748.8199999994</v>
      </c>
      <c r="Q36" s="31">
        <f>_xll.DBRW($C$1,$C$2,$C$3,$C$4,$C$6,$C$5,$C$7,Q$1,Q$2,A36)</f>
        <v>4349146.629999999</v>
      </c>
      <c r="R36" s="31">
        <f>_xll.DBRW($C$1,$C$2,$C$3,$C$4,$C$6,$C$5,$C$7,R$1,R$2,A36)</f>
        <v>3872255.4299999992</v>
      </c>
      <c r="S36" s="31">
        <f>_xll.DBRW($C$1,$C$2,$C$3,$C$4,$C$6,$C$5,$C$7,S$1,S$2,A36)</f>
        <v>5317521.7299999995</v>
      </c>
      <c r="T36" s="31">
        <f>_xll.DBRW($C$1,$C$2,$C$3,$C$4,$C$6,$C$5,$C$7,T$1,T$2,A36)</f>
        <v>12355817.73</v>
      </c>
      <c r="U36" s="31">
        <f>_xll.DBRW($C$1,$C$2,$C$3,$C$4,$C$6,$C$5,$C$7,U$1,U$2,A36)</f>
        <v>12355817.73</v>
      </c>
      <c r="V36" s="31">
        <f>_xll.DBRW($C$1,$C$2,$C$3,$C$4,$C$6,$C$5,$C$7,V$1,V$2,A36)</f>
        <v>0</v>
      </c>
      <c r="W36" s="31">
        <f>_xll.DBRW($C$1,$C$2,$C$3,$C$4,$C$6,$C$5,$C$7,W$1,W$2,A36)</f>
        <v>0</v>
      </c>
      <c r="X36" s="31">
        <f>_xll.DBRW($C$1,$C$2,$C$3,$C$4,$C$6,$C$5,$C$7,X$1,X$2,A36)</f>
        <v>0</v>
      </c>
      <c r="Y36" s="31">
        <f>_xll.DBRW($C$1,$C$2,$C$3,$C$4,$C$6,$C$5,$C$7,Y$1,Y$2,A36)</f>
        <v>0</v>
      </c>
      <c r="Z36" s="31">
        <f>_xll.DBRW($C$1,$C$2,$C$3,$C$4,$C$6,$C$5,$C$7,Z$1,Z$2,A36)</f>
        <v>0</v>
      </c>
      <c r="AA36" s="31">
        <f>_xll.DBRW($C$1,$C$2,$C$3,$C$4,$C$6,$C$5,$C$7,AA$1,AA$2,A36)</f>
        <v>0</v>
      </c>
      <c r="AB36" s="31">
        <f>_xll.DBRW($C$1,$C$2,$C$3,$C$4,$C$6,$C$5,$C$7,AB$1,AB$2,A36)</f>
        <v>0</v>
      </c>
      <c r="AC36" s="31">
        <f>_xll.DBRW($C$1,$C$2,$C$3,$C$4,$C$6,$C$5,$C$7,AC$1,AC$2,A36)</f>
        <v>0</v>
      </c>
      <c r="AD36" s="31">
        <f>_xll.DBRW($C$1,$C$2,$C$3,$C$4,$C$6,$C$5,$C$7,AD$1,AD$2,A36)</f>
        <v>0</v>
      </c>
      <c r="AE36" s="31">
        <f>_xll.DBRW($C$1,$C$2,$C$3,$C$4,$C$6,$C$5,$C$7,AE$1,AE$2,A36)</f>
        <v>0</v>
      </c>
      <c r="AF36" s="31">
        <f>_xll.DBRW($C$1,$C$2,$C$3,$C$4,$C$6,$C$5,$C$7,AF$1,AF$2,A36)</f>
        <v>0</v>
      </c>
      <c r="AG36" s="31">
        <f>_xll.DBRW($C$1,$C$2,$C$3,$C$4,$C$6,$C$5,$C$7,AG$1,AG$2,A36)</f>
        <v>0</v>
      </c>
      <c r="AH36" s="31">
        <f>_xll.DBRW($C$1,$C$2,$C$3,$C$4,$C$6,$C$5,$C$7,AH$1,AH$2,A36)</f>
        <v>0</v>
      </c>
      <c r="AI36" s="31">
        <f>_xll.DBRW($C$1,$C$2,$C$3,$C$4,$C$6,$C$5,$C$7,AI$1,AI$2,A36)</f>
        <v>0</v>
      </c>
      <c r="AJ36" s="31">
        <f>_xll.DBRW($C$1,$C$2,$C$3,$C$4,$C$6,$C$5,$C$7,AJ$1,AJ$2,A36)</f>
        <v>0</v>
      </c>
      <c r="AK36" s="31">
        <f>_xll.DBRW($C$1,$C$2,$C$3,$C$4,$C$6,$C$5,$C$7,AK$1,AK$2,A36)</f>
        <v>0</v>
      </c>
      <c r="AL36" s="31">
        <f>_xll.DBRW($C$1,$C$2,$C$3,$C$4,$C$6,$C$5,$C$7,AL$1,AL$2,A36)</f>
        <v>0</v>
      </c>
      <c r="AM36" s="31">
        <f>_xll.DBRW($C$1,$C$2,$C$3,$C$4,$C$6,$C$5,$C$7,AM$1,AM$2,A36)</f>
        <v>0</v>
      </c>
      <c r="AN36" s="31">
        <f>_xll.DBRW($C$1,$C$2,$C$3,$C$4,$C$6,$C$5,$C$7,AN$1,AN$2,A36)</f>
        <v>0</v>
      </c>
      <c r="AO36" s="31">
        <f>_xll.DBRW($C$1,$C$2,$C$3,$C$4,$C$6,$C$5,$C$7,AO$1,AO$2,A36)</f>
        <v>0</v>
      </c>
      <c r="AP36" s="31">
        <f>_xll.DBRW($C$1,$C$2,$C$3,$C$4,$C$6,$C$5,$C$7,AP$1,AP$2,A36)</f>
        <v>0</v>
      </c>
      <c r="AQ36" s="31">
        <f>_xll.DBRW($C$1,$C$2,$C$3,$C$4,$C$6,$C$5,$C$7,AQ$1,AQ$2,A36)</f>
        <v>0</v>
      </c>
      <c r="AR36" s="31">
        <f>_xll.DBRW($C$1,$C$2,$C$3,$C$4,$C$6,$C$5,$C$7,AR$1,AR$2,A36)</f>
        <v>0</v>
      </c>
      <c r="AS36" s="31">
        <f>_xll.DBRW($C$1,$C$2,$C$3,$C$4,$C$6,$C$5,$C$7,AS$1,AS$2,A36)</f>
        <v>0</v>
      </c>
      <c r="AT36" s="31">
        <f>_xll.DBRW($C$1,$C$2,$C$3,$C$4,$C$6,$C$5,$C$7,AT$1,AT$2,A36)</f>
        <v>0</v>
      </c>
      <c r="AU36" s="31">
        <f>_xll.DBRW($C$1,$C$2,$C$3,$C$4,$C$6,$C$5,$C$7,AU$1,AU$2,A36)</f>
        <v>0</v>
      </c>
    </row>
    <row r="37" spans="1:47" ht="15.75" hidden="1" customHeight="1" outlineLevel="1">
      <c r="A37" s="1" t="s">
        <v>136</v>
      </c>
      <c r="C37" s="143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20000</v>
      </c>
      <c r="H37" s="31">
        <f>_xll.DBRW($C$1,$C$2,$C$3,$C$4,$C$6,$C$5,$C$7,H$1,H$2,A37)</f>
        <v>-5000</v>
      </c>
      <c r="I37" s="31">
        <f>_xll.DBRW($C$1,$C$2,$C$3,$C$4,$C$6,$C$5,$C$7,I$1,I$2,A37)</f>
        <v>0</v>
      </c>
      <c r="J37" s="31">
        <f>_xll.DBRW($C$1,$C$2,$C$3,$C$4,$C$6,$C$5,$C$7,J$1,J$2,A37)</f>
        <v>0</v>
      </c>
      <c r="K37" s="31">
        <f>_xll.DBRW($C$1,$C$2,$C$3,$C$4,$C$6,$C$5,$C$7,K$1,K$2,A37)</f>
        <v>0</v>
      </c>
      <c r="L37" s="31">
        <f>_xll.DBRW($C$1,$C$2,$C$3,$C$4,$C$6,$C$5,$C$7,L$1,L$2,A37)</f>
        <v>0</v>
      </c>
      <c r="M37" s="31">
        <f>_xll.DBRW($C$1,$C$2,$C$3,$C$4,$C$6,$C$5,$C$7,M$1,M$2,A37)</f>
        <v>0</v>
      </c>
      <c r="N37" s="31">
        <f>_xll.DBRW($C$1,$C$2,$C$3,$C$4,$C$6,$C$5,$C$7,N$1,N$2,A37)</f>
        <v>5000</v>
      </c>
      <c r="O37" s="31">
        <f>_xll.DBRW($C$1,$C$2,$C$3,$C$4,$C$6,$C$5,$C$7,O$1,O$2,A37)</f>
        <v>0</v>
      </c>
      <c r="P37" s="31">
        <f>_xll.DBRW($C$1,$C$2,$C$3,$C$4,$C$6,$C$5,$C$7,P$1,P$2,A37)</f>
        <v>5000</v>
      </c>
      <c r="Q37" s="31">
        <f>_xll.DBRW($C$1,$C$2,$C$3,$C$4,$C$6,$C$5,$C$7,Q$1,Q$2,A37)</f>
        <v>5000</v>
      </c>
      <c r="R37" s="31">
        <f>_xll.DBRW($C$1,$C$2,$C$3,$C$4,$C$6,$C$5,$C$7,R$1,R$2,A37)</f>
        <v>0</v>
      </c>
      <c r="S37" s="31">
        <f>_xll.DBRW($C$1,$C$2,$C$3,$C$4,$C$6,$C$5,$C$7,S$1,S$2,A37)</f>
        <v>12133.85</v>
      </c>
      <c r="T37" s="31">
        <f>_xll.DBRW($C$1,$C$2,$C$3,$C$4,$C$6,$C$5,$C$7,T$1,T$2,A37)</f>
        <v>11316</v>
      </c>
      <c r="U37" s="31">
        <f>_xll.DBRW($C$1,$C$2,$C$3,$C$4,$C$6,$C$5,$C$7,U$1,U$2,A37)</f>
        <v>11316</v>
      </c>
      <c r="V37" s="31">
        <f>_xll.DBRW($C$1,$C$2,$C$3,$C$4,$C$6,$C$5,$C$7,V$1,V$2,A37)</f>
        <v>0</v>
      </c>
      <c r="W37" s="31">
        <f>_xll.DBRW($C$1,$C$2,$C$3,$C$4,$C$6,$C$5,$C$7,W$1,W$2,A37)</f>
        <v>0</v>
      </c>
      <c r="X37" s="31">
        <f>_xll.DBRW($C$1,$C$2,$C$3,$C$4,$C$6,$C$5,$C$7,X$1,X$2,A37)</f>
        <v>0</v>
      </c>
      <c r="Y37" s="31">
        <f>_xll.DBRW($C$1,$C$2,$C$3,$C$4,$C$6,$C$5,$C$7,Y$1,Y$2,A37)</f>
        <v>0</v>
      </c>
      <c r="Z37" s="31">
        <f>_xll.DBRW($C$1,$C$2,$C$3,$C$4,$C$6,$C$5,$C$7,Z$1,Z$2,A37)</f>
        <v>0</v>
      </c>
      <c r="AA37" s="31">
        <f>_xll.DBRW($C$1,$C$2,$C$3,$C$4,$C$6,$C$5,$C$7,AA$1,AA$2,A37)</f>
        <v>0</v>
      </c>
      <c r="AB37" s="31">
        <f>_xll.DBRW($C$1,$C$2,$C$3,$C$4,$C$6,$C$5,$C$7,AB$1,AB$2,A37)</f>
        <v>0</v>
      </c>
      <c r="AC37" s="31">
        <f>_xll.DBRW($C$1,$C$2,$C$3,$C$4,$C$6,$C$5,$C$7,AC$1,AC$2,A37)</f>
        <v>0</v>
      </c>
      <c r="AD37" s="31">
        <f>_xll.DBRW($C$1,$C$2,$C$3,$C$4,$C$6,$C$5,$C$7,AD$1,AD$2,A37)</f>
        <v>0</v>
      </c>
      <c r="AE37" s="31">
        <f>_xll.DBRW($C$1,$C$2,$C$3,$C$4,$C$6,$C$5,$C$7,AE$1,AE$2,A37)</f>
        <v>0</v>
      </c>
      <c r="AF37" s="31">
        <f>_xll.DBRW($C$1,$C$2,$C$3,$C$4,$C$6,$C$5,$C$7,AF$1,AF$2,A37)</f>
        <v>0</v>
      </c>
      <c r="AG37" s="31">
        <f>_xll.DBRW($C$1,$C$2,$C$3,$C$4,$C$6,$C$5,$C$7,AG$1,AG$2,A37)</f>
        <v>0</v>
      </c>
      <c r="AH37" s="31">
        <f>_xll.DBRW($C$1,$C$2,$C$3,$C$4,$C$6,$C$5,$C$7,AH$1,AH$2,A37)</f>
        <v>0</v>
      </c>
      <c r="AI37" s="31">
        <f>_xll.DBRW($C$1,$C$2,$C$3,$C$4,$C$6,$C$5,$C$7,AI$1,AI$2,A37)</f>
        <v>0</v>
      </c>
      <c r="AJ37" s="31">
        <f>_xll.DBRW($C$1,$C$2,$C$3,$C$4,$C$6,$C$5,$C$7,AJ$1,AJ$2,A37)</f>
        <v>0</v>
      </c>
      <c r="AK37" s="31">
        <f>_xll.DBRW($C$1,$C$2,$C$3,$C$4,$C$6,$C$5,$C$7,AK$1,AK$2,A37)</f>
        <v>0</v>
      </c>
      <c r="AL37" s="31">
        <f>_xll.DBRW($C$1,$C$2,$C$3,$C$4,$C$6,$C$5,$C$7,AL$1,AL$2,A37)</f>
        <v>0</v>
      </c>
      <c r="AM37" s="31">
        <f>_xll.DBRW($C$1,$C$2,$C$3,$C$4,$C$6,$C$5,$C$7,AM$1,AM$2,A37)</f>
        <v>0</v>
      </c>
      <c r="AN37" s="31">
        <f>_xll.DBRW($C$1,$C$2,$C$3,$C$4,$C$6,$C$5,$C$7,AN$1,AN$2,A37)</f>
        <v>0</v>
      </c>
      <c r="AO37" s="31">
        <f>_xll.DBRW($C$1,$C$2,$C$3,$C$4,$C$6,$C$5,$C$7,AO$1,AO$2,A37)</f>
        <v>0</v>
      </c>
      <c r="AP37" s="31">
        <f>_xll.DBRW($C$1,$C$2,$C$3,$C$4,$C$6,$C$5,$C$7,AP$1,AP$2,A37)</f>
        <v>0</v>
      </c>
      <c r="AQ37" s="31">
        <f>_xll.DBRW($C$1,$C$2,$C$3,$C$4,$C$6,$C$5,$C$7,AQ$1,AQ$2,A37)</f>
        <v>0</v>
      </c>
      <c r="AR37" s="31">
        <f>_xll.DBRW($C$1,$C$2,$C$3,$C$4,$C$6,$C$5,$C$7,AR$1,AR$2,A37)</f>
        <v>0</v>
      </c>
      <c r="AS37" s="31">
        <f>_xll.DBRW($C$1,$C$2,$C$3,$C$4,$C$6,$C$5,$C$7,AS$1,AS$2,A37)</f>
        <v>0</v>
      </c>
      <c r="AT37" s="31">
        <f>_xll.DBRW($C$1,$C$2,$C$3,$C$4,$C$6,$C$5,$C$7,AT$1,AT$2,A37)</f>
        <v>0</v>
      </c>
      <c r="AU37" s="31">
        <f>_xll.DBRW($C$1,$C$2,$C$3,$C$4,$C$6,$C$5,$C$7,AU$1,AU$2,A37)</f>
        <v>0</v>
      </c>
    </row>
    <row r="38" spans="1:47" ht="15.75" hidden="1" customHeight="1" outlineLevel="1">
      <c r="A38" s="1" t="s">
        <v>137</v>
      </c>
      <c r="C38" s="143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  <c r="I38" s="31">
        <f>_xll.DBRW($C$1,$C$2,$C$3,$C$4,$C$6,$C$5,$C$7,I$1,I$2,A38)</f>
        <v>0</v>
      </c>
      <c r="J38" s="31">
        <f>_xll.DBRW($C$1,$C$2,$C$3,$C$4,$C$6,$C$5,$C$7,J$1,J$2,A38)</f>
        <v>0</v>
      </c>
      <c r="K38" s="31">
        <f>_xll.DBRW($C$1,$C$2,$C$3,$C$4,$C$6,$C$5,$C$7,K$1,K$2,A38)</f>
        <v>0</v>
      </c>
      <c r="L38" s="31">
        <f>_xll.DBRW($C$1,$C$2,$C$3,$C$4,$C$6,$C$5,$C$7,L$1,L$2,A38)</f>
        <v>0</v>
      </c>
      <c r="M38" s="31">
        <f>_xll.DBRW($C$1,$C$2,$C$3,$C$4,$C$6,$C$5,$C$7,M$1,M$2,A38)</f>
        <v>0</v>
      </c>
      <c r="N38" s="31">
        <f>_xll.DBRW($C$1,$C$2,$C$3,$C$4,$C$6,$C$5,$C$7,N$1,N$2,A38)</f>
        <v>0</v>
      </c>
      <c r="O38" s="31">
        <f>_xll.DBRW($C$1,$C$2,$C$3,$C$4,$C$6,$C$5,$C$7,O$1,O$2,A38)</f>
        <v>0</v>
      </c>
      <c r="P38" s="31">
        <f>_xll.DBRW($C$1,$C$2,$C$3,$C$4,$C$6,$C$5,$C$7,P$1,P$2,A38)</f>
        <v>0</v>
      </c>
      <c r="Q38" s="31">
        <f>_xll.DBRW($C$1,$C$2,$C$3,$C$4,$C$6,$C$5,$C$7,Q$1,Q$2,A38)</f>
        <v>0</v>
      </c>
      <c r="R38" s="31">
        <f>_xll.DBRW($C$1,$C$2,$C$3,$C$4,$C$6,$C$5,$C$7,R$1,R$2,A38)</f>
        <v>0</v>
      </c>
      <c r="S38" s="31">
        <f>_xll.DBRW($C$1,$C$2,$C$3,$C$4,$C$6,$C$5,$C$7,S$1,S$2,A38)</f>
        <v>0</v>
      </c>
      <c r="T38" s="31">
        <f>_xll.DBRW($C$1,$C$2,$C$3,$C$4,$C$6,$C$5,$C$7,T$1,T$2,A38)</f>
        <v>0</v>
      </c>
      <c r="U38" s="31">
        <f>_xll.DBRW($C$1,$C$2,$C$3,$C$4,$C$6,$C$5,$C$7,U$1,U$2,A38)</f>
        <v>0</v>
      </c>
      <c r="V38" s="31">
        <f>_xll.DBRW($C$1,$C$2,$C$3,$C$4,$C$6,$C$5,$C$7,V$1,V$2,A38)</f>
        <v>0</v>
      </c>
      <c r="W38" s="31">
        <f>_xll.DBRW($C$1,$C$2,$C$3,$C$4,$C$6,$C$5,$C$7,W$1,W$2,A38)</f>
        <v>0</v>
      </c>
      <c r="X38" s="31">
        <f>_xll.DBRW($C$1,$C$2,$C$3,$C$4,$C$6,$C$5,$C$7,X$1,X$2,A38)</f>
        <v>0</v>
      </c>
      <c r="Y38" s="31">
        <f>_xll.DBRW($C$1,$C$2,$C$3,$C$4,$C$6,$C$5,$C$7,Y$1,Y$2,A38)</f>
        <v>0</v>
      </c>
      <c r="Z38" s="31">
        <f>_xll.DBRW($C$1,$C$2,$C$3,$C$4,$C$6,$C$5,$C$7,Z$1,Z$2,A38)</f>
        <v>0</v>
      </c>
      <c r="AA38" s="31">
        <f>_xll.DBRW($C$1,$C$2,$C$3,$C$4,$C$6,$C$5,$C$7,AA$1,AA$2,A38)</f>
        <v>0</v>
      </c>
      <c r="AB38" s="31">
        <f>_xll.DBRW($C$1,$C$2,$C$3,$C$4,$C$6,$C$5,$C$7,AB$1,AB$2,A38)</f>
        <v>0</v>
      </c>
      <c r="AC38" s="31">
        <f>_xll.DBRW($C$1,$C$2,$C$3,$C$4,$C$6,$C$5,$C$7,AC$1,AC$2,A38)</f>
        <v>0</v>
      </c>
      <c r="AD38" s="31">
        <f>_xll.DBRW($C$1,$C$2,$C$3,$C$4,$C$6,$C$5,$C$7,AD$1,AD$2,A38)</f>
        <v>0</v>
      </c>
      <c r="AE38" s="31">
        <f>_xll.DBRW($C$1,$C$2,$C$3,$C$4,$C$6,$C$5,$C$7,AE$1,AE$2,A38)</f>
        <v>0</v>
      </c>
      <c r="AF38" s="31">
        <f>_xll.DBRW($C$1,$C$2,$C$3,$C$4,$C$6,$C$5,$C$7,AF$1,AF$2,A38)</f>
        <v>0</v>
      </c>
      <c r="AG38" s="31">
        <f>_xll.DBRW($C$1,$C$2,$C$3,$C$4,$C$6,$C$5,$C$7,AG$1,AG$2,A38)</f>
        <v>0</v>
      </c>
      <c r="AH38" s="31">
        <f>_xll.DBRW($C$1,$C$2,$C$3,$C$4,$C$6,$C$5,$C$7,AH$1,AH$2,A38)</f>
        <v>0</v>
      </c>
      <c r="AI38" s="31">
        <f>_xll.DBRW($C$1,$C$2,$C$3,$C$4,$C$6,$C$5,$C$7,AI$1,AI$2,A38)</f>
        <v>0</v>
      </c>
      <c r="AJ38" s="31">
        <f>_xll.DBRW($C$1,$C$2,$C$3,$C$4,$C$6,$C$5,$C$7,AJ$1,AJ$2,A38)</f>
        <v>0</v>
      </c>
      <c r="AK38" s="31">
        <f>_xll.DBRW($C$1,$C$2,$C$3,$C$4,$C$6,$C$5,$C$7,AK$1,AK$2,A38)</f>
        <v>0</v>
      </c>
      <c r="AL38" s="31">
        <f>_xll.DBRW($C$1,$C$2,$C$3,$C$4,$C$6,$C$5,$C$7,AL$1,AL$2,A38)</f>
        <v>0</v>
      </c>
      <c r="AM38" s="31">
        <f>_xll.DBRW($C$1,$C$2,$C$3,$C$4,$C$6,$C$5,$C$7,AM$1,AM$2,A38)</f>
        <v>0</v>
      </c>
      <c r="AN38" s="31">
        <f>_xll.DBRW($C$1,$C$2,$C$3,$C$4,$C$6,$C$5,$C$7,AN$1,AN$2,A38)</f>
        <v>0</v>
      </c>
      <c r="AO38" s="31">
        <f>_xll.DBRW($C$1,$C$2,$C$3,$C$4,$C$6,$C$5,$C$7,AO$1,AO$2,A38)</f>
        <v>0</v>
      </c>
      <c r="AP38" s="31">
        <f>_xll.DBRW($C$1,$C$2,$C$3,$C$4,$C$6,$C$5,$C$7,AP$1,AP$2,A38)</f>
        <v>0</v>
      </c>
      <c r="AQ38" s="31">
        <f>_xll.DBRW($C$1,$C$2,$C$3,$C$4,$C$6,$C$5,$C$7,AQ$1,AQ$2,A38)</f>
        <v>0</v>
      </c>
      <c r="AR38" s="31">
        <f>_xll.DBRW($C$1,$C$2,$C$3,$C$4,$C$6,$C$5,$C$7,AR$1,AR$2,A38)</f>
        <v>0</v>
      </c>
      <c r="AS38" s="31">
        <f>_xll.DBRW($C$1,$C$2,$C$3,$C$4,$C$6,$C$5,$C$7,AS$1,AS$2,A38)</f>
        <v>0</v>
      </c>
      <c r="AT38" s="31">
        <f>_xll.DBRW($C$1,$C$2,$C$3,$C$4,$C$6,$C$5,$C$7,AT$1,AT$2,A38)</f>
        <v>0</v>
      </c>
      <c r="AU38" s="31">
        <f>_xll.DBRW($C$1,$C$2,$C$3,$C$4,$C$6,$C$5,$C$7,AU$1,AU$2,A38)</f>
        <v>0</v>
      </c>
    </row>
    <row r="39" spans="1:47" ht="15.75" hidden="1" customHeight="1" outlineLevel="1">
      <c r="A39" s="1" t="s">
        <v>138</v>
      </c>
      <c r="C39" s="143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  <c r="I39" s="31">
        <f>_xll.DBRW($C$1,$C$2,$C$3,$C$4,$C$6,$C$5,$C$7,I$1,I$2,A39)</f>
        <v>0</v>
      </c>
      <c r="J39" s="31">
        <f>_xll.DBRW($C$1,$C$2,$C$3,$C$4,$C$6,$C$5,$C$7,J$1,J$2,A39)</f>
        <v>0</v>
      </c>
      <c r="K39" s="31">
        <f>_xll.DBRW($C$1,$C$2,$C$3,$C$4,$C$6,$C$5,$C$7,K$1,K$2,A39)</f>
        <v>0</v>
      </c>
      <c r="L39" s="31">
        <f>_xll.DBRW($C$1,$C$2,$C$3,$C$4,$C$6,$C$5,$C$7,L$1,L$2,A39)</f>
        <v>0</v>
      </c>
      <c r="M39" s="31">
        <f>_xll.DBRW($C$1,$C$2,$C$3,$C$4,$C$6,$C$5,$C$7,M$1,M$2,A39)</f>
        <v>0</v>
      </c>
      <c r="N39" s="31">
        <f>_xll.DBRW($C$1,$C$2,$C$3,$C$4,$C$6,$C$5,$C$7,N$1,N$2,A39)</f>
        <v>0</v>
      </c>
      <c r="O39" s="31">
        <f>_xll.DBRW($C$1,$C$2,$C$3,$C$4,$C$6,$C$5,$C$7,O$1,O$2,A39)</f>
        <v>0</v>
      </c>
      <c r="P39" s="31">
        <f>_xll.DBRW($C$1,$C$2,$C$3,$C$4,$C$6,$C$5,$C$7,P$1,P$2,A39)</f>
        <v>0</v>
      </c>
      <c r="Q39" s="31">
        <f>_xll.DBRW($C$1,$C$2,$C$3,$C$4,$C$6,$C$5,$C$7,Q$1,Q$2,A39)</f>
        <v>0</v>
      </c>
      <c r="R39" s="31">
        <f>_xll.DBRW($C$1,$C$2,$C$3,$C$4,$C$6,$C$5,$C$7,R$1,R$2,A39)</f>
        <v>0</v>
      </c>
      <c r="S39" s="31">
        <f>_xll.DBRW($C$1,$C$2,$C$3,$C$4,$C$6,$C$5,$C$7,S$1,S$2,A39)</f>
        <v>0</v>
      </c>
      <c r="T39" s="31">
        <f>_xll.DBRW($C$1,$C$2,$C$3,$C$4,$C$6,$C$5,$C$7,T$1,T$2,A39)</f>
        <v>0</v>
      </c>
      <c r="U39" s="31">
        <f>_xll.DBRW($C$1,$C$2,$C$3,$C$4,$C$6,$C$5,$C$7,U$1,U$2,A39)</f>
        <v>0</v>
      </c>
      <c r="V39" s="31">
        <f>_xll.DBRW($C$1,$C$2,$C$3,$C$4,$C$6,$C$5,$C$7,V$1,V$2,A39)</f>
        <v>0</v>
      </c>
      <c r="W39" s="31">
        <f>_xll.DBRW($C$1,$C$2,$C$3,$C$4,$C$6,$C$5,$C$7,W$1,W$2,A39)</f>
        <v>0</v>
      </c>
      <c r="X39" s="31">
        <f>_xll.DBRW($C$1,$C$2,$C$3,$C$4,$C$6,$C$5,$C$7,X$1,X$2,A39)</f>
        <v>0</v>
      </c>
      <c r="Y39" s="31">
        <f>_xll.DBRW($C$1,$C$2,$C$3,$C$4,$C$6,$C$5,$C$7,Y$1,Y$2,A39)</f>
        <v>0</v>
      </c>
      <c r="Z39" s="31">
        <f>_xll.DBRW($C$1,$C$2,$C$3,$C$4,$C$6,$C$5,$C$7,Z$1,Z$2,A39)</f>
        <v>0</v>
      </c>
      <c r="AA39" s="31">
        <f>_xll.DBRW($C$1,$C$2,$C$3,$C$4,$C$6,$C$5,$C$7,AA$1,AA$2,A39)</f>
        <v>0</v>
      </c>
      <c r="AB39" s="31">
        <f>_xll.DBRW($C$1,$C$2,$C$3,$C$4,$C$6,$C$5,$C$7,AB$1,AB$2,A39)</f>
        <v>0</v>
      </c>
      <c r="AC39" s="31">
        <f>_xll.DBRW($C$1,$C$2,$C$3,$C$4,$C$6,$C$5,$C$7,AC$1,AC$2,A39)</f>
        <v>0</v>
      </c>
      <c r="AD39" s="31">
        <f>_xll.DBRW($C$1,$C$2,$C$3,$C$4,$C$6,$C$5,$C$7,AD$1,AD$2,A39)</f>
        <v>0</v>
      </c>
      <c r="AE39" s="31">
        <f>_xll.DBRW($C$1,$C$2,$C$3,$C$4,$C$6,$C$5,$C$7,AE$1,AE$2,A39)</f>
        <v>0</v>
      </c>
      <c r="AF39" s="31">
        <f>_xll.DBRW($C$1,$C$2,$C$3,$C$4,$C$6,$C$5,$C$7,AF$1,AF$2,A39)</f>
        <v>0</v>
      </c>
      <c r="AG39" s="31">
        <f>_xll.DBRW($C$1,$C$2,$C$3,$C$4,$C$6,$C$5,$C$7,AG$1,AG$2,A39)</f>
        <v>0</v>
      </c>
      <c r="AH39" s="31">
        <f>_xll.DBRW($C$1,$C$2,$C$3,$C$4,$C$6,$C$5,$C$7,AH$1,AH$2,A39)</f>
        <v>0</v>
      </c>
      <c r="AI39" s="31">
        <f>_xll.DBRW($C$1,$C$2,$C$3,$C$4,$C$6,$C$5,$C$7,AI$1,AI$2,A39)</f>
        <v>0</v>
      </c>
      <c r="AJ39" s="31">
        <f>_xll.DBRW($C$1,$C$2,$C$3,$C$4,$C$6,$C$5,$C$7,AJ$1,AJ$2,A39)</f>
        <v>0</v>
      </c>
      <c r="AK39" s="31">
        <f>_xll.DBRW($C$1,$C$2,$C$3,$C$4,$C$6,$C$5,$C$7,AK$1,AK$2,A39)</f>
        <v>0</v>
      </c>
      <c r="AL39" s="31">
        <f>_xll.DBRW($C$1,$C$2,$C$3,$C$4,$C$6,$C$5,$C$7,AL$1,AL$2,A39)</f>
        <v>0</v>
      </c>
      <c r="AM39" s="31">
        <f>_xll.DBRW($C$1,$C$2,$C$3,$C$4,$C$6,$C$5,$C$7,AM$1,AM$2,A39)</f>
        <v>0</v>
      </c>
      <c r="AN39" s="31">
        <f>_xll.DBRW($C$1,$C$2,$C$3,$C$4,$C$6,$C$5,$C$7,AN$1,AN$2,A39)</f>
        <v>0</v>
      </c>
      <c r="AO39" s="31">
        <f>_xll.DBRW($C$1,$C$2,$C$3,$C$4,$C$6,$C$5,$C$7,AO$1,AO$2,A39)</f>
        <v>0</v>
      </c>
      <c r="AP39" s="31">
        <f>_xll.DBRW($C$1,$C$2,$C$3,$C$4,$C$6,$C$5,$C$7,AP$1,AP$2,A39)</f>
        <v>0</v>
      </c>
      <c r="AQ39" s="31">
        <f>_xll.DBRW($C$1,$C$2,$C$3,$C$4,$C$6,$C$5,$C$7,AQ$1,AQ$2,A39)</f>
        <v>0</v>
      </c>
      <c r="AR39" s="31">
        <f>_xll.DBRW($C$1,$C$2,$C$3,$C$4,$C$6,$C$5,$C$7,AR$1,AR$2,A39)</f>
        <v>0</v>
      </c>
      <c r="AS39" s="31">
        <f>_xll.DBRW($C$1,$C$2,$C$3,$C$4,$C$6,$C$5,$C$7,AS$1,AS$2,A39)</f>
        <v>0</v>
      </c>
      <c r="AT39" s="31">
        <f>_xll.DBRW($C$1,$C$2,$C$3,$C$4,$C$6,$C$5,$C$7,AT$1,AT$2,A39)</f>
        <v>0</v>
      </c>
      <c r="AU39" s="31">
        <f>_xll.DBRW($C$1,$C$2,$C$3,$C$4,$C$6,$C$5,$C$7,AU$1,AU$2,A39)</f>
        <v>0</v>
      </c>
    </row>
    <row r="40" spans="1:47" ht="15.75" hidden="1" customHeight="1" outlineLevel="1">
      <c r="A40" s="1" t="s">
        <v>139</v>
      </c>
      <c r="C40" s="143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11791644.639999997</v>
      </c>
      <c r="G40" s="31">
        <f>_xll.DBRW($C$1,$C$2,$C$3,$C$4,$C$6,$C$5,$C$7,G$1,G$2,A40)</f>
        <v>9690885.9100000001</v>
      </c>
      <c r="H40" s="31">
        <f>_xll.DBRW($C$1,$C$2,$C$3,$C$4,$C$6,$C$5,$C$7,H$1,H$2,A40)</f>
        <v>18189409.529999997</v>
      </c>
      <c r="I40" s="31">
        <f>_xll.DBRW($C$1,$C$2,$C$3,$C$4,$C$6,$C$5,$C$7,I$1,I$2,A40)</f>
        <v>1313807.6400000001</v>
      </c>
      <c r="J40" s="31">
        <f>_xll.DBRW($C$1,$C$2,$C$3,$C$4,$C$6,$C$5,$C$7,J$1,J$2,A40)</f>
        <v>1799595.03</v>
      </c>
      <c r="K40" s="31">
        <f>_xll.DBRW($C$1,$C$2,$C$3,$C$4,$C$6,$C$5,$C$7,K$1,K$2,A40)</f>
        <v>3052937.79</v>
      </c>
      <c r="L40" s="31">
        <f>_xll.DBRW($C$1,$C$2,$C$3,$C$4,$C$6,$C$5,$C$7,L$1,L$2,A40)</f>
        <v>4005636.84</v>
      </c>
      <c r="M40" s="31">
        <f>_xll.DBRW($C$1,$C$2,$C$3,$C$4,$C$6,$C$5,$C$7,M$1,M$2,A40)</f>
        <v>5137928.93</v>
      </c>
      <c r="N40" s="31">
        <f>_xll.DBRW($C$1,$C$2,$C$3,$C$4,$C$6,$C$5,$C$7,N$1,N$2,A40)</f>
        <v>6601743.7699999996</v>
      </c>
      <c r="O40" s="31">
        <f>_xll.DBRW($C$1,$C$2,$C$3,$C$4,$C$6,$C$5,$C$7,O$1,O$2,A40)</f>
        <v>6706253.9999999991</v>
      </c>
      <c r="P40" s="31">
        <f>_xll.DBRW($C$1,$C$2,$C$3,$C$4,$C$6,$C$5,$C$7,P$1,P$2,A40)</f>
        <v>9378349.629999999</v>
      </c>
      <c r="Q40" s="31">
        <f>_xll.DBRW($C$1,$C$2,$C$3,$C$4,$C$6,$C$5,$C$7,Q$1,Q$2,A40)</f>
        <v>10498415.169999998</v>
      </c>
      <c r="R40" s="31">
        <f>_xll.DBRW($C$1,$C$2,$C$3,$C$4,$C$6,$C$5,$C$7,R$1,R$2,A40)</f>
        <v>8881184.7300000004</v>
      </c>
      <c r="S40" s="31">
        <f>_xll.DBRW($C$1,$C$2,$C$3,$C$4,$C$6,$C$5,$C$7,S$1,S$2,A40)</f>
        <v>12488846.15</v>
      </c>
      <c r="T40" s="31">
        <f>_xll.DBRW($C$1,$C$2,$C$3,$C$4,$C$6,$C$5,$C$7,T$1,T$2,A40)</f>
        <v>14259071.470000001</v>
      </c>
      <c r="U40" s="31">
        <f>_xll.DBRW($C$1,$C$2,$C$3,$C$4,$C$6,$C$5,$C$7,U$1,U$2,A40)</f>
        <v>14259071.470000001</v>
      </c>
      <c r="V40" s="31">
        <f>_xll.DBRW($C$1,$C$2,$C$3,$C$4,$C$6,$C$5,$C$7,V$1,V$2,A40)</f>
        <v>0</v>
      </c>
      <c r="W40" s="31">
        <f>_xll.DBRW($C$1,$C$2,$C$3,$C$4,$C$6,$C$5,$C$7,W$1,W$2,A40)</f>
        <v>0</v>
      </c>
      <c r="X40" s="31">
        <f>_xll.DBRW($C$1,$C$2,$C$3,$C$4,$C$6,$C$5,$C$7,X$1,X$2,A40)</f>
        <v>0</v>
      </c>
      <c r="Y40" s="31">
        <f>_xll.DBRW($C$1,$C$2,$C$3,$C$4,$C$6,$C$5,$C$7,Y$1,Y$2,A40)</f>
        <v>0</v>
      </c>
      <c r="Z40" s="31">
        <f>_xll.DBRW($C$1,$C$2,$C$3,$C$4,$C$6,$C$5,$C$7,Z$1,Z$2,A40)</f>
        <v>0</v>
      </c>
      <c r="AA40" s="31">
        <f>_xll.DBRW($C$1,$C$2,$C$3,$C$4,$C$6,$C$5,$C$7,AA$1,AA$2,A40)</f>
        <v>0</v>
      </c>
      <c r="AB40" s="31">
        <f>_xll.DBRW($C$1,$C$2,$C$3,$C$4,$C$6,$C$5,$C$7,AB$1,AB$2,A40)</f>
        <v>0</v>
      </c>
      <c r="AC40" s="31">
        <f>_xll.DBRW($C$1,$C$2,$C$3,$C$4,$C$6,$C$5,$C$7,AC$1,AC$2,A40)</f>
        <v>0</v>
      </c>
      <c r="AD40" s="31">
        <f>_xll.DBRW($C$1,$C$2,$C$3,$C$4,$C$6,$C$5,$C$7,AD$1,AD$2,A40)</f>
        <v>0</v>
      </c>
      <c r="AE40" s="31">
        <f>_xll.DBRW($C$1,$C$2,$C$3,$C$4,$C$6,$C$5,$C$7,AE$1,AE$2,A40)</f>
        <v>0</v>
      </c>
      <c r="AF40" s="31">
        <f>_xll.DBRW($C$1,$C$2,$C$3,$C$4,$C$6,$C$5,$C$7,AF$1,AF$2,A40)</f>
        <v>0</v>
      </c>
      <c r="AG40" s="31">
        <f>_xll.DBRW($C$1,$C$2,$C$3,$C$4,$C$6,$C$5,$C$7,AG$1,AG$2,A40)</f>
        <v>0</v>
      </c>
      <c r="AH40" s="31">
        <f>_xll.DBRW($C$1,$C$2,$C$3,$C$4,$C$6,$C$5,$C$7,AH$1,AH$2,A40)</f>
        <v>0</v>
      </c>
      <c r="AI40" s="31">
        <f>_xll.DBRW($C$1,$C$2,$C$3,$C$4,$C$6,$C$5,$C$7,AI$1,AI$2,A40)</f>
        <v>0</v>
      </c>
      <c r="AJ40" s="31">
        <f>_xll.DBRW($C$1,$C$2,$C$3,$C$4,$C$6,$C$5,$C$7,AJ$1,AJ$2,A40)</f>
        <v>0</v>
      </c>
      <c r="AK40" s="31">
        <f>_xll.DBRW($C$1,$C$2,$C$3,$C$4,$C$6,$C$5,$C$7,AK$1,AK$2,A40)</f>
        <v>0</v>
      </c>
      <c r="AL40" s="31">
        <f>_xll.DBRW($C$1,$C$2,$C$3,$C$4,$C$6,$C$5,$C$7,AL$1,AL$2,A40)</f>
        <v>0</v>
      </c>
      <c r="AM40" s="31">
        <f>_xll.DBRW($C$1,$C$2,$C$3,$C$4,$C$6,$C$5,$C$7,AM$1,AM$2,A40)</f>
        <v>0</v>
      </c>
      <c r="AN40" s="31">
        <f>_xll.DBRW($C$1,$C$2,$C$3,$C$4,$C$6,$C$5,$C$7,AN$1,AN$2,A40)</f>
        <v>0</v>
      </c>
      <c r="AO40" s="31">
        <f>_xll.DBRW($C$1,$C$2,$C$3,$C$4,$C$6,$C$5,$C$7,AO$1,AO$2,A40)</f>
        <v>0</v>
      </c>
      <c r="AP40" s="31">
        <f>_xll.DBRW($C$1,$C$2,$C$3,$C$4,$C$6,$C$5,$C$7,AP$1,AP$2,A40)</f>
        <v>0</v>
      </c>
      <c r="AQ40" s="31">
        <f>_xll.DBRW($C$1,$C$2,$C$3,$C$4,$C$6,$C$5,$C$7,AQ$1,AQ$2,A40)</f>
        <v>0</v>
      </c>
      <c r="AR40" s="31">
        <f>_xll.DBRW($C$1,$C$2,$C$3,$C$4,$C$6,$C$5,$C$7,AR$1,AR$2,A40)</f>
        <v>0</v>
      </c>
      <c r="AS40" s="31">
        <f>_xll.DBRW($C$1,$C$2,$C$3,$C$4,$C$6,$C$5,$C$7,AS$1,AS$2,A40)</f>
        <v>0</v>
      </c>
      <c r="AT40" s="31">
        <f>_xll.DBRW($C$1,$C$2,$C$3,$C$4,$C$6,$C$5,$C$7,AT$1,AT$2,A40)</f>
        <v>0</v>
      </c>
      <c r="AU40" s="31">
        <f>_xll.DBRW($C$1,$C$2,$C$3,$C$4,$C$6,$C$5,$C$7,AU$1,AU$2,A40)</f>
        <v>0</v>
      </c>
    </row>
    <row r="41" spans="1:47" ht="15.75" collapsed="1">
      <c r="A41" s="70" t="s">
        <v>124</v>
      </c>
      <c r="C41" s="143"/>
      <c r="E41" s="118" t="s">
        <v>19</v>
      </c>
      <c r="F41" s="119">
        <f t="shared" ref="F41:T41" si="15">SUM(F31:F40)</f>
        <v>-26347532873.577606</v>
      </c>
      <c r="G41" s="119">
        <f t="shared" si="15"/>
        <v>-24760785349.5284</v>
      </c>
      <c r="H41" s="119">
        <f t="shared" si="15"/>
        <v>-23077968937.458607</v>
      </c>
      <c r="I41" s="119">
        <f t="shared" si="15"/>
        <v>-1764411234.9704998</v>
      </c>
      <c r="J41" s="119">
        <f t="shared" si="15"/>
        <v>-2261549982.7538195</v>
      </c>
      <c r="K41" s="119">
        <f t="shared" si="15"/>
        <v>-6026979391.070219</v>
      </c>
      <c r="L41" s="119">
        <f t="shared" si="15"/>
        <v>-8256485342.0108185</v>
      </c>
      <c r="M41" s="119">
        <f t="shared" si="15"/>
        <v>-10553352953.030418</v>
      </c>
      <c r="N41" s="119">
        <f t="shared" si="15"/>
        <v>-12997576637.488756</v>
      </c>
      <c r="O41" s="119">
        <f t="shared" si="15"/>
        <v>-13866700469.500919</v>
      </c>
      <c r="P41" s="119">
        <f t="shared" si="15"/>
        <v>-18333163039.881214</v>
      </c>
      <c r="Q41" s="119">
        <f t="shared" si="15"/>
        <v>-20882759618.162022</v>
      </c>
      <c r="R41" s="119">
        <f t="shared" si="15"/>
        <v>-21554405278.616222</v>
      </c>
      <c r="S41" s="119">
        <f t="shared" si="15"/>
        <v>-24753104564.104019</v>
      </c>
      <c r="T41" s="119">
        <f t="shared" si="15"/>
        <v>-29100954482.15202</v>
      </c>
      <c r="U41" s="119">
        <f>SUM(U31:U40)</f>
        <v>-29100954482.15202</v>
      </c>
      <c r="V41" s="119">
        <f t="shared" ref="V41:AG41" si="16">SUM(V31:V40)</f>
        <v>0</v>
      </c>
      <c r="W41" s="119">
        <f t="shared" si="16"/>
        <v>0</v>
      </c>
      <c r="X41" s="119">
        <f t="shared" si="16"/>
        <v>0</v>
      </c>
      <c r="Y41" s="119">
        <f t="shared" si="16"/>
        <v>0</v>
      </c>
      <c r="Z41" s="119">
        <f t="shared" si="16"/>
        <v>0</v>
      </c>
      <c r="AA41" s="119">
        <f t="shared" si="16"/>
        <v>0</v>
      </c>
      <c r="AB41" s="119">
        <f t="shared" si="16"/>
        <v>0</v>
      </c>
      <c r="AC41" s="119">
        <f t="shared" si="16"/>
        <v>0</v>
      </c>
      <c r="AD41" s="119">
        <f t="shared" si="16"/>
        <v>0</v>
      </c>
      <c r="AE41" s="119">
        <f t="shared" si="16"/>
        <v>0</v>
      </c>
      <c r="AF41" s="119">
        <f t="shared" si="16"/>
        <v>0</v>
      </c>
      <c r="AG41" s="119">
        <f t="shared" si="16"/>
        <v>0</v>
      </c>
      <c r="AH41" s="119">
        <f>SUM(AH31:AH40)</f>
        <v>0</v>
      </c>
      <c r="AI41" s="119">
        <f t="shared" ref="AI41:AT41" si="17">SUM(AI31:AI40)</f>
        <v>0</v>
      </c>
      <c r="AJ41" s="119">
        <f t="shared" si="17"/>
        <v>0</v>
      </c>
      <c r="AK41" s="119">
        <f t="shared" si="17"/>
        <v>0</v>
      </c>
      <c r="AL41" s="119">
        <f t="shared" si="17"/>
        <v>0</v>
      </c>
      <c r="AM41" s="119">
        <f t="shared" si="17"/>
        <v>0</v>
      </c>
      <c r="AN41" s="119">
        <f t="shared" si="17"/>
        <v>0</v>
      </c>
      <c r="AO41" s="119">
        <f t="shared" si="17"/>
        <v>0</v>
      </c>
      <c r="AP41" s="119">
        <f t="shared" si="17"/>
        <v>0</v>
      </c>
      <c r="AQ41" s="119">
        <f t="shared" si="17"/>
        <v>0</v>
      </c>
      <c r="AR41" s="119">
        <f t="shared" si="17"/>
        <v>0</v>
      </c>
      <c r="AS41" s="119">
        <f t="shared" si="17"/>
        <v>0</v>
      </c>
      <c r="AT41" s="119">
        <f t="shared" si="17"/>
        <v>0</v>
      </c>
      <c r="AU41" s="119">
        <f>SUM(AU31:AU40)</f>
        <v>0</v>
      </c>
    </row>
    <row r="42" spans="1:47" ht="15.75" hidden="1" customHeight="1" outlineLevel="1">
      <c r="A42" s="1" t="s">
        <v>140</v>
      </c>
      <c r="C42" s="143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-4306987634.7084007</v>
      </c>
      <c r="G42" s="31">
        <f>_xll.DBRW($C$1,$C$2,$C$3,$C$4,$C$6,$C$5,$C$7,G$1,G$2,A42)</f>
        <v>-4014114920.6371999</v>
      </c>
      <c r="H42" s="31">
        <f>_xll.DBRW($C$1,$C$2,$C$3,$C$4,$C$6,$C$5,$C$7,H$1,H$2,A42)</f>
        <v>-3250245323.9959998</v>
      </c>
      <c r="I42" s="31">
        <f>_xll.DBRW($C$1,$C$2,$C$3,$C$4,$C$6,$C$5,$C$7,I$1,I$2,A42)</f>
        <v>-264909192.01590002</v>
      </c>
      <c r="J42" s="31">
        <f>_xll.DBRW($C$1,$C$2,$C$3,$C$4,$C$6,$C$5,$C$7,J$1,J$2,A42)</f>
        <v>-272538960.480582</v>
      </c>
      <c r="K42" s="31">
        <f>_xll.DBRW($C$1,$C$2,$C$3,$C$4,$C$6,$C$5,$C$7,K$1,K$2,A42)</f>
        <v>-798182435.65278196</v>
      </c>
      <c r="L42" s="31">
        <f>_xll.DBRW($C$1,$C$2,$C$3,$C$4,$C$6,$C$5,$C$7,L$1,L$2,A42)</f>
        <v>-1098044281.562382</v>
      </c>
      <c r="M42" s="31">
        <f>_xll.DBRW($C$1,$C$2,$C$3,$C$4,$C$6,$C$5,$C$7,M$1,M$2,A42)</f>
        <v>-1400934514.558382</v>
      </c>
      <c r="N42" s="31">
        <f>_xll.DBRW($C$1,$C$2,$C$3,$C$4,$C$6,$C$5,$C$7,N$1,N$2,A42)</f>
        <v>-1717554637.656116</v>
      </c>
      <c r="O42" s="31">
        <f>_xll.DBRW($C$1,$C$2,$C$3,$C$4,$C$6,$C$5,$C$7,O$1,O$2,A42)</f>
        <v>-1895855153.8521819</v>
      </c>
      <c r="P42" s="31">
        <f>_xll.DBRW($C$1,$C$2,$C$3,$C$4,$C$6,$C$5,$C$7,P$1,P$2,A42)</f>
        <v>-2376904282.4945822</v>
      </c>
      <c r="Q42" s="31">
        <f>_xll.DBRW($C$1,$C$2,$C$3,$C$4,$C$6,$C$5,$C$7,Q$1,Q$2,A42)</f>
        <v>-2703057764.8777823</v>
      </c>
      <c r="R42" s="31">
        <f>_xll.DBRW($C$1,$C$2,$C$3,$C$4,$C$6,$C$5,$C$7,R$1,R$2,A42)</f>
        <v>-2840220073.7167821</v>
      </c>
      <c r="S42" s="31">
        <f>_xll.DBRW($C$1,$C$2,$C$3,$C$4,$C$6,$C$5,$C$7,S$1,S$2,A42)</f>
        <v>-3367086697.3849821</v>
      </c>
      <c r="T42" s="31">
        <f>_xll.DBRW($C$1,$C$2,$C$3,$C$4,$C$6,$C$5,$C$7,T$1,T$2,A42)</f>
        <v>-3943649227.090982</v>
      </c>
      <c r="U42" s="31">
        <f>_xll.DBRW($C$1,$C$2,$C$3,$C$4,$C$6,$C$5,$C$7,U$1,U$2,A42)</f>
        <v>-3943649227.090982</v>
      </c>
      <c r="V42" s="31">
        <f>_xll.DBRW($C$1,$C$2,$C$3,$C$4,$C$6,$C$5,$C$7,V$1,V$2,A42)</f>
        <v>0</v>
      </c>
      <c r="W42" s="31">
        <f>_xll.DBRW($C$1,$C$2,$C$3,$C$4,$C$6,$C$5,$C$7,W$1,W$2,A42)</f>
        <v>0</v>
      </c>
      <c r="X42" s="31">
        <f>_xll.DBRW($C$1,$C$2,$C$3,$C$4,$C$6,$C$5,$C$7,X$1,X$2,A42)</f>
        <v>0</v>
      </c>
      <c r="Y42" s="31">
        <f>_xll.DBRW($C$1,$C$2,$C$3,$C$4,$C$6,$C$5,$C$7,Y$1,Y$2,A42)</f>
        <v>0</v>
      </c>
      <c r="Z42" s="31">
        <f>_xll.DBRW($C$1,$C$2,$C$3,$C$4,$C$6,$C$5,$C$7,Z$1,Z$2,A42)</f>
        <v>0</v>
      </c>
      <c r="AA42" s="31">
        <f>_xll.DBRW($C$1,$C$2,$C$3,$C$4,$C$6,$C$5,$C$7,AA$1,AA$2,A42)</f>
        <v>0</v>
      </c>
      <c r="AB42" s="31">
        <f>_xll.DBRW($C$1,$C$2,$C$3,$C$4,$C$6,$C$5,$C$7,AB$1,AB$2,A42)</f>
        <v>0</v>
      </c>
      <c r="AC42" s="31">
        <f>_xll.DBRW($C$1,$C$2,$C$3,$C$4,$C$6,$C$5,$C$7,AC$1,AC$2,A42)</f>
        <v>0</v>
      </c>
      <c r="AD42" s="31">
        <f>_xll.DBRW($C$1,$C$2,$C$3,$C$4,$C$6,$C$5,$C$7,AD$1,AD$2,A42)</f>
        <v>0</v>
      </c>
      <c r="AE42" s="31">
        <f>_xll.DBRW($C$1,$C$2,$C$3,$C$4,$C$6,$C$5,$C$7,AE$1,AE$2,A42)</f>
        <v>0</v>
      </c>
      <c r="AF42" s="31">
        <f>_xll.DBRW($C$1,$C$2,$C$3,$C$4,$C$6,$C$5,$C$7,AF$1,AF$2,A42)</f>
        <v>0</v>
      </c>
      <c r="AG42" s="31">
        <f>_xll.DBRW($C$1,$C$2,$C$3,$C$4,$C$6,$C$5,$C$7,AG$1,AG$2,A42)</f>
        <v>0</v>
      </c>
      <c r="AH42" s="31">
        <f>_xll.DBRW($C$1,$C$2,$C$3,$C$4,$C$6,$C$5,$C$7,AH$1,AH$2,A42)</f>
        <v>0</v>
      </c>
      <c r="AI42" s="31">
        <f>_xll.DBRW($C$1,$C$2,$C$3,$C$4,$C$6,$C$5,$C$7,AI$1,AI$2,A42)</f>
        <v>0</v>
      </c>
      <c r="AJ42" s="31">
        <f>_xll.DBRW($C$1,$C$2,$C$3,$C$4,$C$6,$C$5,$C$7,AJ$1,AJ$2,A42)</f>
        <v>0</v>
      </c>
      <c r="AK42" s="31">
        <f>_xll.DBRW($C$1,$C$2,$C$3,$C$4,$C$6,$C$5,$C$7,AK$1,AK$2,A42)</f>
        <v>0</v>
      </c>
      <c r="AL42" s="31">
        <f>_xll.DBRW($C$1,$C$2,$C$3,$C$4,$C$6,$C$5,$C$7,AL$1,AL$2,A42)</f>
        <v>0</v>
      </c>
      <c r="AM42" s="31">
        <f>_xll.DBRW($C$1,$C$2,$C$3,$C$4,$C$6,$C$5,$C$7,AM$1,AM$2,A42)</f>
        <v>0</v>
      </c>
      <c r="AN42" s="31">
        <f>_xll.DBRW($C$1,$C$2,$C$3,$C$4,$C$6,$C$5,$C$7,AN$1,AN$2,A42)</f>
        <v>0</v>
      </c>
      <c r="AO42" s="31">
        <f>_xll.DBRW($C$1,$C$2,$C$3,$C$4,$C$6,$C$5,$C$7,AO$1,AO$2,A42)</f>
        <v>0</v>
      </c>
      <c r="AP42" s="31">
        <f>_xll.DBRW($C$1,$C$2,$C$3,$C$4,$C$6,$C$5,$C$7,AP$1,AP$2,A42)</f>
        <v>0</v>
      </c>
      <c r="AQ42" s="31">
        <f>_xll.DBRW($C$1,$C$2,$C$3,$C$4,$C$6,$C$5,$C$7,AQ$1,AQ$2,A42)</f>
        <v>0</v>
      </c>
      <c r="AR42" s="31">
        <f>_xll.DBRW($C$1,$C$2,$C$3,$C$4,$C$6,$C$5,$C$7,AR$1,AR$2,A42)</f>
        <v>0</v>
      </c>
      <c r="AS42" s="31">
        <f>_xll.DBRW($C$1,$C$2,$C$3,$C$4,$C$6,$C$5,$C$7,AS$1,AS$2,A42)</f>
        <v>0</v>
      </c>
      <c r="AT42" s="31">
        <f>_xll.DBRW($C$1,$C$2,$C$3,$C$4,$C$6,$C$5,$C$7,AT$1,AT$2,A42)</f>
        <v>0</v>
      </c>
      <c r="AU42" s="31">
        <f>_xll.DBRW($C$1,$C$2,$C$3,$C$4,$C$6,$C$5,$C$7,AU$1,AU$2,A42)</f>
        <v>0</v>
      </c>
    </row>
    <row r="43" spans="1:47" ht="15.75" hidden="1" customHeight="1" outlineLevel="1">
      <c r="A43" s="1" t="s">
        <v>141</v>
      </c>
      <c r="C43" s="143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-37268086.780000001</v>
      </c>
      <c r="G43" s="31">
        <f>_xll.DBRW($C$1,$C$2,$C$3,$C$4,$C$6,$C$5,$C$7,G$1,G$2,A43)</f>
        <v>-16551579.59</v>
      </c>
      <c r="H43" s="31">
        <f>_xll.DBRW($C$1,$C$2,$C$3,$C$4,$C$6,$C$5,$C$7,H$1,H$2,A43)</f>
        <v>-2165029.41</v>
      </c>
      <c r="I43" s="31">
        <f>_xll.DBRW($C$1,$C$2,$C$3,$C$4,$C$6,$C$5,$C$7,I$1,I$2,A43)</f>
        <v>-200153.27</v>
      </c>
      <c r="J43" s="31">
        <f>_xll.DBRW($C$1,$C$2,$C$3,$C$4,$C$6,$C$5,$C$7,J$1,J$2,A43)</f>
        <v>-914069.21</v>
      </c>
      <c r="K43" s="31">
        <f>_xll.DBRW($C$1,$C$2,$C$3,$C$4,$C$6,$C$5,$C$7,K$1,K$2,A43)</f>
        <v>-1349705.23</v>
      </c>
      <c r="L43" s="31">
        <f>_xll.DBRW($C$1,$C$2,$C$3,$C$4,$C$6,$C$5,$C$7,L$1,L$2,A43)</f>
        <v>-2088369.97</v>
      </c>
      <c r="M43" s="31">
        <f>_xll.DBRW($C$1,$C$2,$C$3,$C$4,$C$6,$C$5,$C$7,M$1,M$2,A43)</f>
        <v>-1569595.38</v>
      </c>
      <c r="N43" s="31">
        <f>_xll.DBRW($C$1,$C$2,$C$3,$C$4,$C$6,$C$5,$C$7,N$1,N$2,A43)</f>
        <v>-2968290.14</v>
      </c>
      <c r="O43" s="31">
        <f>_xll.DBRW($C$1,$C$2,$C$3,$C$4,$C$6,$C$5,$C$7,O$1,O$2,A43)</f>
        <v>0</v>
      </c>
      <c r="P43" s="31">
        <f>_xll.DBRW($C$1,$C$2,$C$3,$C$4,$C$6,$C$5,$C$7,P$1,P$2,A43)</f>
        <v>-4078000.96</v>
      </c>
      <c r="Q43" s="31">
        <f>_xll.DBRW($C$1,$C$2,$C$3,$C$4,$C$6,$C$5,$C$7,Q$1,Q$2,A43)</f>
        <v>-4041435.5</v>
      </c>
      <c r="R43" s="31">
        <f>_xll.DBRW($C$1,$C$2,$C$3,$C$4,$C$6,$C$5,$C$7,R$1,R$2,A43)</f>
        <v>-1888578.08</v>
      </c>
      <c r="S43" s="31">
        <f>_xll.DBRW($C$1,$C$2,$C$3,$C$4,$C$6,$C$5,$C$7,S$1,S$2,A43)</f>
        <v>-2656784.63</v>
      </c>
      <c r="T43" s="31">
        <f>_xll.DBRW($C$1,$C$2,$C$3,$C$4,$C$6,$C$5,$C$7,T$1,T$2,A43)</f>
        <v>-6448088.3200000003</v>
      </c>
      <c r="U43" s="31">
        <f>_xll.DBRW($C$1,$C$2,$C$3,$C$4,$C$6,$C$5,$C$7,U$1,U$2,A43)</f>
        <v>-6448088.3200000003</v>
      </c>
      <c r="V43" s="31">
        <f>_xll.DBRW($C$1,$C$2,$C$3,$C$4,$C$6,$C$5,$C$7,V$1,V$2,A43)</f>
        <v>0</v>
      </c>
      <c r="W43" s="31">
        <f>_xll.DBRW($C$1,$C$2,$C$3,$C$4,$C$6,$C$5,$C$7,W$1,W$2,A43)</f>
        <v>0</v>
      </c>
      <c r="X43" s="31">
        <f>_xll.DBRW($C$1,$C$2,$C$3,$C$4,$C$6,$C$5,$C$7,X$1,X$2,A43)</f>
        <v>0</v>
      </c>
      <c r="Y43" s="31">
        <f>_xll.DBRW($C$1,$C$2,$C$3,$C$4,$C$6,$C$5,$C$7,Y$1,Y$2,A43)</f>
        <v>0</v>
      </c>
      <c r="Z43" s="31">
        <f>_xll.DBRW($C$1,$C$2,$C$3,$C$4,$C$6,$C$5,$C$7,Z$1,Z$2,A43)</f>
        <v>0</v>
      </c>
      <c r="AA43" s="31">
        <f>_xll.DBRW($C$1,$C$2,$C$3,$C$4,$C$6,$C$5,$C$7,AA$1,AA$2,A43)</f>
        <v>0</v>
      </c>
      <c r="AB43" s="31">
        <f>_xll.DBRW($C$1,$C$2,$C$3,$C$4,$C$6,$C$5,$C$7,AB$1,AB$2,A43)</f>
        <v>0</v>
      </c>
      <c r="AC43" s="31">
        <f>_xll.DBRW($C$1,$C$2,$C$3,$C$4,$C$6,$C$5,$C$7,AC$1,AC$2,A43)</f>
        <v>0</v>
      </c>
      <c r="AD43" s="31">
        <f>_xll.DBRW($C$1,$C$2,$C$3,$C$4,$C$6,$C$5,$C$7,AD$1,AD$2,A43)</f>
        <v>0</v>
      </c>
      <c r="AE43" s="31">
        <f>_xll.DBRW($C$1,$C$2,$C$3,$C$4,$C$6,$C$5,$C$7,AE$1,AE$2,A43)</f>
        <v>0</v>
      </c>
      <c r="AF43" s="31">
        <f>_xll.DBRW($C$1,$C$2,$C$3,$C$4,$C$6,$C$5,$C$7,AF$1,AF$2,A43)</f>
        <v>0</v>
      </c>
      <c r="AG43" s="31">
        <f>_xll.DBRW($C$1,$C$2,$C$3,$C$4,$C$6,$C$5,$C$7,AG$1,AG$2,A43)</f>
        <v>0</v>
      </c>
      <c r="AH43" s="31">
        <f>_xll.DBRW($C$1,$C$2,$C$3,$C$4,$C$6,$C$5,$C$7,AH$1,AH$2,A43)</f>
        <v>0</v>
      </c>
      <c r="AI43" s="31">
        <f>_xll.DBRW($C$1,$C$2,$C$3,$C$4,$C$6,$C$5,$C$7,AI$1,AI$2,A43)</f>
        <v>0</v>
      </c>
      <c r="AJ43" s="31">
        <f>_xll.DBRW($C$1,$C$2,$C$3,$C$4,$C$6,$C$5,$C$7,AJ$1,AJ$2,A43)</f>
        <v>0</v>
      </c>
      <c r="AK43" s="31">
        <f>_xll.DBRW($C$1,$C$2,$C$3,$C$4,$C$6,$C$5,$C$7,AK$1,AK$2,A43)</f>
        <v>0</v>
      </c>
      <c r="AL43" s="31">
        <f>_xll.DBRW($C$1,$C$2,$C$3,$C$4,$C$6,$C$5,$C$7,AL$1,AL$2,A43)</f>
        <v>0</v>
      </c>
      <c r="AM43" s="31">
        <f>_xll.DBRW($C$1,$C$2,$C$3,$C$4,$C$6,$C$5,$C$7,AM$1,AM$2,A43)</f>
        <v>0</v>
      </c>
      <c r="AN43" s="31">
        <f>_xll.DBRW($C$1,$C$2,$C$3,$C$4,$C$6,$C$5,$C$7,AN$1,AN$2,A43)</f>
        <v>0</v>
      </c>
      <c r="AO43" s="31">
        <f>_xll.DBRW($C$1,$C$2,$C$3,$C$4,$C$6,$C$5,$C$7,AO$1,AO$2,A43)</f>
        <v>0</v>
      </c>
      <c r="AP43" s="31">
        <f>_xll.DBRW($C$1,$C$2,$C$3,$C$4,$C$6,$C$5,$C$7,AP$1,AP$2,A43)</f>
        <v>0</v>
      </c>
      <c r="AQ43" s="31">
        <f>_xll.DBRW($C$1,$C$2,$C$3,$C$4,$C$6,$C$5,$C$7,AQ$1,AQ$2,A43)</f>
        <v>0</v>
      </c>
      <c r="AR43" s="31">
        <f>_xll.DBRW($C$1,$C$2,$C$3,$C$4,$C$6,$C$5,$C$7,AR$1,AR$2,A43)</f>
        <v>0</v>
      </c>
      <c r="AS43" s="31">
        <f>_xll.DBRW($C$1,$C$2,$C$3,$C$4,$C$6,$C$5,$C$7,AS$1,AS$2,A43)</f>
        <v>0</v>
      </c>
      <c r="AT43" s="31">
        <f>_xll.DBRW($C$1,$C$2,$C$3,$C$4,$C$6,$C$5,$C$7,AT$1,AT$2,A43)</f>
        <v>0</v>
      </c>
      <c r="AU43" s="31">
        <f>_xll.DBRW($C$1,$C$2,$C$3,$C$4,$C$6,$C$5,$C$7,AU$1,AU$2,A43)</f>
        <v>0</v>
      </c>
    </row>
    <row r="44" spans="1:47" ht="15.75" hidden="1" outlineLevel="1" collapsed="1">
      <c r="A44" s="1" t="s">
        <v>127</v>
      </c>
      <c r="C44" s="143"/>
      <c r="E44" s="14" t="s">
        <v>20</v>
      </c>
      <c r="F44" s="32">
        <f t="shared" ref="F44:T44" si="18">SUM(F42:F43)</f>
        <v>-4344255721.4884005</v>
      </c>
      <c r="G44" s="32">
        <f t="shared" si="18"/>
        <v>-4030666500.2272</v>
      </c>
      <c r="H44" s="32">
        <f t="shared" si="18"/>
        <v>-3252410353.4059997</v>
      </c>
      <c r="I44" s="32">
        <f t="shared" si="18"/>
        <v>-265109345.28590003</v>
      </c>
      <c r="J44" s="32">
        <f t="shared" si="18"/>
        <v>-273453029.69058198</v>
      </c>
      <c r="K44" s="32">
        <f t="shared" si="18"/>
        <v>-799532140.88278198</v>
      </c>
      <c r="L44" s="32">
        <f t="shared" si="18"/>
        <v>-1100132651.532382</v>
      </c>
      <c r="M44" s="32">
        <f t="shared" si="18"/>
        <v>-1402504109.9383821</v>
      </c>
      <c r="N44" s="32">
        <f t="shared" si="18"/>
        <v>-1720522927.7961161</v>
      </c>
      <c r="O44" s="32">
        <f t="shared" si="18"/>
        <v>-1895855153.8521819</v>
      </c>
      <c r="P44" s="32">
        <f t="shared" si="18"/>
        <v>-2380982283.4545822</v>
      </c>
      <c r="Q44" s="32">
        <f t="shared" si="18"/>
        <v>-2707099200.3777823</v>
      </c>
      <c r="R44" s="32">
        <f t="shared" si="18"/>
        <v>-2842108651.796782</v>
      </c>
      <c r="S44" s="32">
        <f t="shared" si="18"/>
        <v>-3369743482.0149822</v>
      </c>
      <c r="T44" s="32">
        <f t="shared" si="18"/>
        <v>-3950097315.4109821</v>
      </c>
      <c r="U44" s="32">
        <f>SUM(U42:U43)</f>
        <v>-3950097315.4109821</v>
      </c>
      <c r="V44" s="32">
        <f t="shared" ref="V44:AG44" si="19">SUM(V42:V43)</f>
        <v>0</v>
      </c>
      <c r="W44" s="32">
        <f t="shared" si="19"/>
        <v>0</v>
      </c>
      <c r="X44" s="32">
        <f t="shared" si="19"/>
        <v>0</v>
      </c>
      <c r="Y44" s="32">
        <f t="shared" si="19"/>
        <v>0</v>
      </c>
      <c r="Z44" s="32">
        <f t="shared" si="19"/>
        <v>0</v>
      </c>
      <c r="AA44" s="32">
        <f t="shared" si="19"/>
        <v>0</v>
      </c>
      <c r="AB44" s="32">
        <f t="shared" si="19"/>
        <v>0</v>
      </c>
      <c r="AC44" s="32">
        <f t="shared" si="19"/>
        <v>0</v>
      </c>
      <c r="AD44" s="32">
        <f t="shared" si="19"/>
        <v>0</v>
      </c>
      <c r="AE44" s="32">
        <f t="shared" si="19"/>
        <v>0</v>
      </c>
      <c r="AF44" s="32">
        <f t="shared" si="19"/>
        <v>0</v>
      </c>
      <c r="AG44" s="32">
        <f t="shared" si="19"/>
        <v>0</v>
      </c>
      <c r="AH44" s="32">
        <f>SUM(AH42:AH43)</f>
        <v>0</v>
      </c>
      <c r="AI44" s="32">
        <f t="shared" ref="AI44:AT44" si="20">SUM(AI42:AI43)</f>
        <v>0</v>
      </c>
      <c r="AJ44" s="32">
        <f t="shared" si="20"/>
        <v>0</v>
      </c>
      <c r="AK44" s="32">
        <f t="shared" si="20"/>
        <v>0</v>
      </c>
      <c r="AL44" s="32">
        <f t="shared" si="20"/>
        <v>0</v>
      </c>
      <c r="AM44" s="32">
        <f t="shared" si="20"/>
        <v>0</v>
      </c>
      <c r="AN44" s="32">
        <f t="shared" si="20"/>
        <v>0</v>
      </c>
      <c r="AO44" s="32">
        <f t="shared" si="20"/>
        <v>0</v>
      </c>
      <c r="AP44" s="32">
        <f t="shared" si="20"/>
        <v>0</v>
      </c>
      <c r="AQ44" s="32">
        <f t="shared" si="20"/>
        <v>0</v>
      </c>
      <c r="AR44" s="32">
        <f t="shared" si="20"/>
        <v>0</v>
      </c>
      <c r="AS44" s="32">
        <f t="shared" si="20"/>
        <v>0</v>
      </c>
      <c r="AT44" s="32">
        <f t="shared" si="20"/>
        <v>0</v>
      </c>
      <c r="AU44" s="32">
        <f>SUM(AU42:AU43)</f>
        <v>0</v>
      </c>
    </row>
    <row r="45" spans="1:47" ht="15.75" hidden="1" customHeight="1" outlineLevel="2">
      <c r="A45" s="1" t="s">
        <v>142</v>
      </c>
      <c r="C45" s="143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-237071161.39119998</v>
      </c>
      <c r="G45" s="32">
        <f>_xll.DBRW($C$1,$C$2,$C$3,$C$4,$C$6,$C$5,$C$7,G$1,G$2,A45)</f>
        <v>-267234015.0952</v>
      </c>
      <c r="H45" s="32">
        <f>_xll.DBRW($C$1,$C$2,$C$3,$C$4,$C$6,$C$5,$C$7,H$1,H$2,A45)</f>
        <v>-331663959.64919996</v>
      </c>
      <c r="I45" s="32">
        <f>_xll.DBRW($C$1,$C$2,$C$3,$C$4,$C$6,$C$5,$C$7,I$1,I$2,A45)</f>
        <v>-7010377.5555999978</v>
      </c>
      <c r="J45" s="32">
        <f>_xll.DBRW($C$1,$C$2,$C$3,$C$4,$C$6,$C$5,$C$7,J$1,J$2,A45)</f>
        <v>-56430463.629399993</v>
      </c>
      <c r="K45" s="32">
        <f>_xll.DBRW($C$1,$C$2,$C$3,$C$4,$C$6,$C$5,$C$7,K$1,K$2,A45)</f>
        <v>-88329847.516799986</v>
      </c>
      <c r="L45" s="32">
        <f>_xll.DBRW($C$1,$C$2,$C$3,$C$4,$C$6,$C$5,$C$7,L$1,L$2,A45)</f>
        <v>-112000934.65859999</v>
      </c>
      <c r="M45" s="32">
        <f>_xll.DBRW($C$1,$C$2,$C$3,$C$4,$C$6,$C$5,$C$7,M$1,M$2,A45)</f>
        <v>-137907731.5528</v>
      </c>
      <c r="N45" s="32">
        <f>_xll.DBRW($C$1,$C$2,$C$3,$C$4,$C$6,$C$5,$C$7,N$1,N$2,A45)</f>
        <v>-174846827.97679999</v>
      </c>
      <c r="O45" s="32">
        <f>_xll.DBRW($C$1,$C$2,$C$3,$C$4,$C$6,$C$5,$C$7,O$1,O$2,A45)</f>
        <v>-62459491.50379996</v>
      </c>
      <c r="P45" s="32">
        <f>_xll.DBRW($C$1,$C$2,$C$3,$C$4,$C$6,$C$5,$C$7,P$1,P$2,A45)</f>
        <v>-229741190.19319999</v>
      </c>
      <c r="Q45" s="32">
        <f>_xll.DBRW($C$1,$C$2,$C$3,$C$4,$C$6,$C$5,$C$7,Q$1,Q$2,A45)</f>
        <v>-253990932.6302</v>
      </c>
      <c r="R45" s="32">
        <f>_xll.DBRW($C$1,$C$2,$C$3,$C$4,$C$6,$C$5,$C$7,R$1,R$2,A45)</f>
        <v>-89594831.247199982</v>
      </c>
      <c r="S45" s="32">
        <f>_xll.DBRW($C$1,$C$2,$C$3,$C$4,$C$6,$C$5,$C$7,S$1,S$2,A45)</f>
        <v>-164114961.03540003</v>
      </c>
      <c r="T45" s="32">
        <f>_xll.DBRW($C$1,$C$2,$C$3,$C$4,$C$6,$C$5,$C$7,T$1,T$2,A45)</f>
        <v>-370802560.08660001</v>
      </c>
      <c r="U45" s="32">
        <f>_xll.DBRW($C$1,$C$2,$C$3,$C$4,$C$6,$C$5,$C$7,U$1,U$2,A45)</f>
        <v>-370802560.08660001</v>
      </c>
      <c r="V45" s="32">
        <f>_xll.DBRW($C$1,$C$2,$C$3,$C$4,$C$6,$C$5,$C$7,V$1,V$2,A45)</f>
        <v>0</v>
      </c>
      <c r="W45" s="32">
        <f>_xll.DBRW($C$1,$C$2,$C$3,$C$4,$C$6,$C$5,$C$7,W$1,W$2,A45)</f>
        <v>0</v>
      </c>
      <c r="X45" s="32">
        <f>_xll.DBRW($C$1,$C$2,$C$3,$C$4,$C$6,$C$5,$C$7,X$1,X$2,A45)</f>
        <v>0</v>
      </c>
      <c r="Y45" s="32">
        <f>_xll.DBRW($C$1,$C$2,$C$3,$C$4,$C$6,$C$5,$C$7,Y$1,Y$2,A45)</f>
        <v>0</v>
      </c>
      <c r="Z45" s="32">
        <f>_xll.DBRW($C$1,$C$2,$C$3,$C$4,$C$6,$C$5,$C$7,Z$1,Z$2,A45)</f>
        <v>0</v>
      </c>
      <c r="AA45" s="32">
        <f>_xll.DBRW($C$1,$C$2,$C$3,$C$4,$C$6,$C$5,$C$7,AA$1,AA$2,A45)</f>
        <v>0</v>
      </c>
      <c r="AB45" s="32">
        <f>_xll.DBRW($C$1,$C$2,$C$3,$C$4,$C$6,$C$5,$C$7,AB$1,AB$2,A45)</f>
        <v>0</v>
      </c>
      <c r="AC45" s="32">
        <f>_xll.DBRW($C$1,$C$2,$C$3,$C$4,$C$6,$C$5,$C$7,AC$1,AC$2,A45)</f>
        <v>0</v>
      </c>
      <c r="AD45" s="32">
        <f>_xll.DBRW($C$1,$C$2,$C$3,$C$4,$C$6,$C$5,$C$7,AD$1,AD$2,A45)</f>
        <v>0</v>
      </c>
      <c r="AE45" s="32">
        <f>_xll.DBRW($C$1,$C$2,$C$3,$C$4,$C$6,$C$5,$C$7,AE$1,AE$2,A45)</f>
        <v>0</v>
      </c>
      <c r="AF45" s="32">
        <f>_xll.DBRW($C$1,$C$2,$C$3,$C$4,$C$6,$C$5,$C$7,AF$1,AF$2,A45)</f>
        <v>0</v>
      </c>
      <c r="AG45" s="32">
        <f>_xll.DBRW($C$1,$C$2,$C$3,$C$4,$C$6,$C$5,$C$7,AG$1,AG$2,A45)</f>
        <v>0</v>
      </c>
      <c r="AH45" s="32">
        <f>_xll.DBRW($C$1,$C$2,$C$3,$C$4,$C$6,$C$5,$C$7,AH$1,AH$2,A45)</f>
        <v>0</v>
      </c>
      <c r="AI45" s="32">
        <f>_xll.DBRW($C$1,$C$2,$C$3,$C$4,$C$6,$C$5,$C$7,AI$1,AI$2,A45)</f>
        <v>0</v>
      </c>
      <c r="AJ45" s="32">
        <f>_xll.DBRW($C$1,$C$2,$C$3,$C$4,$C$6,$C$5,$C$7,AJ$1,AJ$2,A45)</f>
        <v>0</v>
      </c>
      <c r="AK45" s="32">
        <f>_xll.DBRW($C$1,$C$2,$C$3,$C$4,$C$6,$C$5,$C$7,AK$1,AK$2,A45)</f>
        <v>0</v>
      </c>
      <c r="AL45" s="32">
        <f>_xll.DBRW($C$1,$C$2,$C$3,$C$4,$C$6,$C$5,$C$7,AL$1,AL$2,A45)</f>
        <v>0</v>
      </c>
      <c r="AM45" s="32">
        <f>_xll.DBRW($C$1,$C$2,$C$3,$C$4,$C$6,$C$5,$C$7,AM$1,AM$2,A45)</f>
        <v>0</v>
      </c>
      <c r="AN45" s="32">
        <f>_xll.DBRW($C$1,$C$2,$C$3,$C$4,$C$6,$C$5,$C$7,AN$1,AN$2,A45)</f>
        <v>0</v>
      </c>
      <c r="AO45" s="32">
        <f>_xll.DBRW($C$1,$C$2,$C$3,$C$4,$C$6,$C$5,$C$7,AO$1,AO$2,A45)</f>
        <v>0</v>
      </c>
      <c r="AP45" s="32">
        <f>_xll.DBRW($C$1,$C$2,$C$3,$C$4,$C$6,$C$5,$C$7,AP$1,AP$2,A45)</f>
        <v>0</v>
      </c>
      <c r="AQ45" s="32">
        <f>_xll.DBRW($C$1,$C$2,$C$3,$C$4,$C$6,$C$5,$C$7,AQ$1,AQ$2,A45)</f>
        <v>0</v>
      </c>
      <c r="AR45" s="32">
        <f>_xll.DBRW($C$1,$C$2,$C$3,$C$4,$C$6,$C$5,$C$7,AR$1,AR$2,A45)</f>
        <v>0</v>
      </c>
      <c r="AS45" s="32">
        <f>_xll.DBRW($C$1,$C$2,$C$3,$C$4,$C$6,$C$5,$C$7,AS$1,AS$2,A45)</f>
        <v>0</v>
      </c>
      <c r="AT45" s="32">
        <f>_xll.DBRW($C$1,$C$2,$C$3,$C$4,$C$6,$C$5,$C$7,AT$1,AT$2,A45)</f>
        <v>0</v>
      </c>
      <c r="AU45" s="32">
        <f>_xll.DBRW($C$1,$C$2,$C$3,$C$4,$C$6,$C$5,$C$7,AU$1,AU$2,A45)</f>
        <v>0</v>
      </c>
    </row>
    <row r="46" spans="1:47" ht="15.75" hidden="1" customHeight="1" outlineLevel="2">
      <c r="A46" s="1" t="s">
        <v>143</v>
      </c>
      <c r="C46" s="143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-7147123.7900000019</v>
      </c>
      <c r="G46" s="32">
        <f>_xll.DBRW($C$1,$C$2,$C$3,$C$4,$C$6,$C$5,$C$7,G$1,G$2,A46)</f>
        <v>-24543191.859999999</v>
      </c>
      <c r="H46" s="32">
        <f>_xll.DBRW($C$1,$C$2,$C$3,$C$4,$C$6,$C$5,$C$7,H$1,H$2,A46)</f>
        <v>-4495678448.9299994</v>
      </c>
      <c r="I46" s="32">
        <f>_xll.DBRW($C$1,$C$2,$C$3,$C$4,$C$6,$C$5,$C$7,I$1,I$2,A46)</f>
        <v>-403769984.44999999</v>
      </c>
      <c r="J46" s="32">
        <f>_xll.DBRW($C$1,$C$2,$C$3,$C$4,$C$6,$C$5,$C$7,J$1,J$2,A46)</f>
        <v>-377856181.38</v>
      </c>
      <c r="K46" s="32">
        <f>_xll.DBRW($C$1,$C$2,$C$3,$C$4,$C$6,$C$5,$C$7,K$1,K$2,A46)</f>
        <v>-1207270981.6199999</v>
      </c>
      <c r="L46" s="32">
        <f>_xll.DBRW($C$1,$C$2,$C$3,$C$4,$C$6,$C$5,$C$7,L$1,L$2,A46)</f>
        <v>-1591189135.3899999</v>
      </c>
      <c r="M46" s="32">
        <f>_xll.DBRW($C$1,$C$2,$C$3,$C$4,$C$6,$C$5,$C$7,M$1,M$2,A46)</f>
        <v>-1956231765.1799998</v>
      </c>
      <c r="N46" s="32">
        <f>_xll.DBRW($C$1,$C$2,$C$3,$C$4,$C$6,$C$5,$C$7,N$1,N$2,A46)</f>
        <v>-2435763354.52</v>
      </c>
      <c r="O46" s="32">
        <f>_xll.DBRW($C$1,$C$2,$C$3,$C$4,$C$6,$C$5,$C$7,O$1,O$2,A46)</f>
        <v>-2888605007.7600002</v>
      </c>
      <c r="P46" s="32">
        <f>_xll.DBRW($C$1,$C$2,$C$3,$C$4,$C$6,$C$5,$C$7,P$1,P$2,A46)</f>
        <v>-3343299029.5800004</v>
      </c>
      <c r="Q46" s="32">
        <f>_xll.DBRW($C$1,$C$2,$C$3,$C$4,$C$6,$C$5,$C$7,Q$1,Q$2,A46)</f>
        <v>-3739630704.3300004</v>
      </c>
      <c r="R46" s="32">
        <f>_xll.DBRW($C$1,$C$2,$C$3,$C$4,$C$6,$C$5,$C$7,R$1,R$2,A46)</f>
        <v>-4043272321.0700002</v>
      </c>
      <c r="S46" s="32">
        <f>_xll.DBRW($C$1,$C$2,$C$3,$C$4,$C$6,$C$5,$C$7,S$1,S$2,A46)</f>
        <v>-4336349009.2399998</v>
      </c>
      <c r="T46" s="32">
        <f>_xll.DBRW($C$1,$C$2,$C$3,$C$4,$C$6,$C$5,$C$7,T$1,T$2,A46)</f>
        <v>-4663298868.0799999</v>
      </c>
      <c r="U46" s="32">
        <f>_xll.DBRW($C$1,$C$2,$C$3,$C$4,$C$6,$C$5,$C$7,U$1,U$2,A46)</f>
        <v>-4663298868.0799999</v>
      </c>
      <c r="V46" s="32">
        <f>_xll.DBRW($C$1,$C$2,$C$3,$C$4,$C$6,$C$5,$C$7,V$1,V$2,A46)</f>
        <v>0</v>
      </c>
      <c r="W46" s="32">
        <f>_xll.DBRW($C$1,$C$2,$C$3,$C$4,$C$6,$C$5,$C$7,W$1,W$2,A46)</f>
        <v>0</v>
      </c>
      <c r="X46" s="32">
        <f>_xll.DBRW($C$1,$C$2,$C$3,$C$4,$C$6,$C$5,$C$7,X$1,X$2,A46)</f>
        <v>0</v>
      </c>
      <c r="Y46" s="32">
        <f>_xll.DBRW($C$1,$C$2,$C$3,$C$4,$C$6,$C$5,$C$7,Y$1,Y$2,A46)</f>
        <v>0</v>
      </c>
      <c r="Z46" s="32">
        <f>_xll.DBRW($C$1,$C$2,$C$3,$C$4,$C$6,$C$5,$C$7,Z$1,Z$2,A46)</f>
        <v>0</v>
      </c>
      <c r="AA46" s="32">
        <f>_xll.DBRW($C$1,$C$2,$C$3,$C$4,$C$6,$C$5,$C$7,AA$1,AA$2,A46)</f>
        <v>0</v>
      </c>
      <c r="AB46" s="32">
        <f>_xll.DBRW($C$1,$C$2,$C$3,$C$4,$C$6,$C$5,$C$7,AB$1,AB$2,A46)</f>
        <v>0</v>
      </c>
      <c r="AC46" s="32">
        <f>_xll.DBRW($C$1,$C$2,$C$3,$C$4,$C$6,$C$5,$C$7,AC$1,AC$2,A46)</f>
        <v>0</v>
      </c>
      <c r="AD46" s="32">
        <f>_xll.DBRW($C$1,$C$2,$C$3,$C$4,$C$6,$C$5,$C$7,AD$1,AD$2,A46)</f>
        <v>0</v>
      </c>
      <c r="AE46" s="32">
        <f>_xll.DBRW($C$1,$C$2,$C$3,$C$4,$C$6,$C$5,$C$7,AE$1,AE$2,A46)</f>
        <v>0</v>
      </c>
      <c r="AF46" s="32">
        <f>_xll.DBRW($C$1,$C$2,$C$3,$C$4,$C$6,$C$5,$C$7,AF$1,AF$2,A46)</f>
        <v>0</v>
      </c>
      <c r="AG46" s="32">
        <f>_xll.DBRW($C$1,$C$2,$C$3,$C$4,$C$6,$C$5,$C$7,AG$1,AG$2,A46)</f>
        <v>0</v>
      </c>
      <c r="AH46" s="32">
        <f>_xll.DBRW($C$1,$C$2,$C$3,$C$4,$C$6,$C$5,$C$7,AH$1,AH$2,A46)</f>
        <v>0</v>
      </c>
      <c r="AI46" s="32">
        <f>_xll.DBRW($C$1,$C$2,$C$3,$C$4,$C$6,$C$5,$C$7,AI$1,AI$2,A46)</f>
        <v>0</v>
      </c>
      <c r="AJ46" s="32">
        <f>_xll.DBRW($C$1,$C$2,$C$3,$C$4,$C$6,$C$5,$C$7,AJ$1,AJ$2,A46)</f>
        <v>0</v>
      </c>
      <c r="AK46" s="32">
        <f>_xll.DBRW($C$1,$C$2,$C$3,$C$4,$C$6,$C$5,$C$7,AK$1,AK$2,A46)</f>
        <v>0</v>
      </c>
      <c r="AL46" s="32">
        <f>_xll.DBRW($C$1,$C$2,$C$3,$C$4,$C$6,$C$5,$C$7,AL$1,AL$2,A46)</f>
        <v>0</v>
      </c>
      <c r="AM46" s="32">
        <f>_xll.DBRW($C$1,$C$2,$C$3,$C$4,$C$6,$C$5,$C$7,AM$1,AM$2,A46)</f>
        <v>0</v>
      </c>
      <c r="AN46" s="32">
        <f>_xll.DBRW($C$1,$C$2,$C$3,$C$4,$C$6,$C$5,$C$7,AN$1,AN$2,A46)</f>
        <v>0</v>
      </c>
      <c r="AO46" s="32">
        <f>_xll.DBRW($C$1,$C$2,$C$3,$C$4,$C$6,$C$5,$C$7,AO$1,AO$2,A46)</f>
        <v>0</v>
      </c>
      <c r="AP46" s="32">
        <f>_xll.DBRW($C$1,$C$2,$C$3,$C$4,$C$6,$C$5,$C$7,AP$1,AP$2,A46)</f>
        <v>0</v>
      </c>
      <c r="AQ46" s="32">
        <f>_xll.DBRW($C$1,$C$2,$C$3,$C$4,$C$6,$C$5,$C$7,AQ$1,AQ$2,A46)</f>
        <v>0</v>
      </c>
      <c r="AR46" s="32">
        <f>_xll.DBRW($C$1,$C$2,$C$3,$C$4,$C$6,$C$5,$C$7,AR$1,AR$2,A46)</f>
        <v>0</v>
      </c>
      <c r="AS46" s="32">
        <f>_xll.DBRW($C$1,$C$2,$C$3,$C$4,$C$6,$C$5,$C$7,AS$1,AS$2,A46)</f>
        <v>0</v>
      </c>
      <c r="AT46" s="32">
        <f>_xll.DBRW($C$1,$C$2,$C$3,$C$4,$C$6,$C$5,$C$7,AT$1,AT$2,A46)</f>
        <v>0</v>
      </c>
      <c r="AU46" s="32">
        <f>_xll.DBRW($C$1,$C$2,$C$3,$C$4,$C$6,$C$5,$C$7,AU$1,AU$2,A46)</f>
        <v>0</v>
      </c>
    </row>
    <row r="47" spans="1:47" ht="15.75" hidden="1" outlineLevel="1">
      <c r="A47" s="1" t="s">
        <v>127</v>
      </c>
      <c r="C47" s="143"/>
      <c r="E47" s="15" t="s">
        <v>21</v>
      </c>
      <c r="F47" s="33">
        <f t="shared" ref="F47:T47" si="21">SUM(F45:F46)</f>
        <v>-244218285.18119997</v>
      </c>
      <c r="G47" s="33">
        <f t="shared" si="21"/>
        <v>-291777206.95520002</v>
      </c>
      <c r="H47" s="33">
        <f t="shared" si="21"/>
        <v>-4827342408.5791988</v>
      </c>
      <c r="I47" s="33">
        <f t="shared" si="21"/>
        <v>-410780362.00559998</v>
      </c>
      <c r="J47" s="33">
        <f t="shared" si="21"/>
        <v>-434286645.00940001</v>
      </c>
      <c r="K47" s="33">
        <f t="shared" si="21"/>
        <v>-1295600829.1367998</v>
      </c>
      <c r="L47" s="33">
        <f t="shared" si="21"/>
        <v>-1703190070.0486</v>
      </c>
      <c r="M47" s="33">
        <f t="shared" si="21"/>
        <v>-2094139496.7327998</v>
      </c>
      <c r="N47" s="33">
        <f t="shared" si="21"/>
        <v>-2610610182.4967999</v>
      </c>
      <c r="O47" s="33">
        <f t="shared" si="21"/>
        <v>-2951064499.2638001</v>
      </c>
      <c r="P47" s="33">
        <f t="shared" si="21"/>
        <v>-3573040219.7732005</v>
      </c>
      <c r="Q47" s="33">
        <f t="shared" si="21"/>
        <v>-3993621636.9602003</v>
      </c>
      <c r="R47" s="33">
        <f t="shared" si="21"/>
        <v>-4132867152.3172002</v>
      </c>
      <c r="S47" s="33">
        <f t="shared" si="21"/>
        <v>-4500463970.2754002</v>
      </c>
      <c r="T47" s="33">
        <f t="shared" si="21"/>
        <v>-5034101428.1666002</v>
      </c>
      <c r="U47" s="33">
        <f>SUM(U45:U46)</f>
        <v>-5034101428.1666002</v>
      </c>
      <c r="V47" s="33">
        <f>SUM(V45:V46)</f>
        <v>0</v>
      </c>
      <c r="W47" s="33">
        <f t="shared" ref="W47:AG47" si="22">SUM(W45:W46)</f>
        <v>0</v>
      </c>
      <c r="X47" s="33">
        <f t="shared" si="22"/>
        <v>0</v>
      </c>
      <c r="Y47" s="33">
        <f t="shared" si="22"/>
        <v>0</v>
      </c>
      <c r="Z47" s="33">
        <f t="shared" si="22"/>
        <v>0</v>
      </c>
      <c r="AA47" s="33">
        <f t="shared" si="22"/>
        <v>0</v>
      </c>
      <c r="AB47" s="33">
        <f t="shared" si="22"/>
        <v>0</v>
      </c>
      <c r="AC47" s="33">
        <f t="shared" si="22"/>
        <v>0</v>
      </c>
      <c r="AD47" s="33">
        <f t="shared" si="22"/>
        <v>0</v>
      </c>
      <c r="AE47" s="33">
        <f t="shared" si="22"/>
        <v>0</v>
      </c>
      <c r="AF47" s="33">
        <f t="shared" si="22"/>
        <v>0</v>
      </c>
      <c r="AG47" s="33">
        <f t="shared" si="22"/>
        <v>0</v>
      </c>
      <c r="AH47" s="33">
        <f>SUM(AH45:AH46)</f>
        <v>0</v>
      </c>
      <c r="AI47" s="33">
        <f>SUM(AI45:AI46)</f>
        <v>0</v>
      </c>
      <c r="AJ47" s="33">
        <f t="shared" ref="AJ47:AT47" si="23">SUM(AJ45:AJ46)</f>
        <v>0</v>
      </c>
      <c r="AK47" s="33">
        <f t="shared" si="23"/>
        <v>0</v>
      </c>
      <c r="AL47" s="33">
        <f t="shared" si="23"/>
        <v>0</v>
      </c>
      <c r="AM47" s="33">
        <f t="shared" si="23"/>
        <v>0</v>
      </c>
      <c r="AN47" s="33">
        <f t="shared" si="23"/>
        <v>0</v>
      </c>
      <c r="AO47" s="33">
        <f t="shared" si="23"/>
        <v>0</v>
      </c>
      <c r="AP47" s="33">
        <f t="shared" si="23"/>
        <v>0</v>
      </c>
      <c r="AQ47" s="33">
        <f t="shared" si="23"/>
        <v>0</v>
      </c>
      <c r="AR47" s="33">
        <f t="shared" si="23"/>
        <v>0</v>
      </c>
      <c r="AS47" s="33">
        <f t="shared" si="23"/>
        <v>0</v>
      </c>
      <c r="AT47" s="33">
        <f t="shared" si="23"/>
        <v>0</v>
      </c>
      <c r="AU47" s="33">
        <f>SUM(AU45:AU46)</f>
        <v>0</v>
      </c>
    </row>
    <row r="48" spans="1:47" ht="15.75" hidden="1" customHeight="1" outlineLevel="2">
      <c r="A48" s="1" t="s">
        <v>144</v>
      </c>
      <c r="C48" s="143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-89662529.497200012</v>
      </c>
      <c r="G48" s="32">
        <f>_xll.DBRW($C$1,$C$2,$C$3,$C$4,$C$6,$C$5,$C$7,G$1,G$2,A48)</f>
        <v>-117894402.04620002</v>
      </c>
      <c r="H48" s="32">
        <f>_xll.DBRW($C$1,$C$2,$C$3,$C$4,$C$6,$C$5,$C$7,H$1,H$2,A48)</f>
        <v>-81711108.4454</v>
      </c>
      <c r="I48" s="32">
        <f>_xll.DBRW($C$1,$C$2,$C$3,$C$4,$C$6,$C$5,$C$7,I$1,I$2,A48)</f>
        <v>-1463315.2654000001</v>
      </c>
      <c r="J48" s="32">
        <f>_xll.DBRW($C$1,$C$2,$C$3,$C$4,$C$6,$C$5,$C$7,J$1,J$2,A48)</f>
        <v>-13648634.500800001</v>
      </c>
      <c r="K48" s="32">
        <f>_xll.DBRW($C$1,$C$2,$C$3,$C$4,$C$6,$C$5,$C$7,K$1,K$2,A48)</f>
        <v>-21006546.8222</v>
      </c>
      <c r="L48" s="32">
        <f>_xll.DBRW($C$1,$C$2,$C$3,$C$4,$C$6,$C$5,$C$7,L$1,L$2,A48)</f>
        <v>-28903219.4036</v>
      </c>
      <c r="M48" s="32">
        <f>_xll.DBRW($C$1,$C$2,$C$3,$C$4,$C$6,$C$5,$C$7,M$1,M$2,A48)</f>
        <v>-38150297.111400001</v>
      </c>
      <c r="N48" s="32">
        <f>_xll.DBRW($C$1,$C$2,$C$3,$C$4,$C$6,$C$5,$C$7,N$1,N$2,A48)</f>
        <v>-47512584.049599998</v>
      </c>
      <c r="O48" s="32">
        <f>_xll.DBRW($C$1,$C$2,$C$3,$C$4,$C$6,$C$5,$C$7,O$1,O$2,A48)</f>
        <v>-15399169.934599996</v>
      </c>
      <c r="P48" s="32">
        <f>_xll.DBRW($C$1,$C$2,$C$3,$C$4,$C$6,$C$5,$C$7,P$1,P$2,A48)</f>
        <v>-61497532.645999998</v>
      </c>
      <c r="Q48" s="32">
        <f>_xll.DBRW($C$1,$C$2,$C$3,$C$4,$C$6,$C$5,$C$7,Q$1,Q$2,A48)</f>
        <v>-69339798.537599996</v>
      </c>
      <c r="R48" s="32">
        <f>_xll.DBRW($C$1,$C$2,$C$3,$C$4,$C$6,$C$5,$C$7,R$1,R$2,A48)</f>
        <v>-21630517.409200002</v>
      </c>
      <c r="S48" s="32">
        <f>_xll.DBRW($C$1,$C$2,$C$3,$C$4,$C$6,$C$5,$C$7,S$1,S$2,A48)</f>
        <v>-39503880.560400002</v>
      </c>
      <c r="T48" s="32">
        <f>_xll.DBRW($C$1,$C$2,$C$3,$C$4,$C$6,$C$5,$C$7,T$1,T$2,A48)</f>
        <v>-92830767.670399994</v>
      </c>
      <c r="U48" s="32">
        <f>_xll.DBRW($C$1,$C$2,$C$3,$C$4,$C$6,$C$5,$C$7,U$1,U$2,A48)</f>
        <v>-92830767.670399994</v>
      </c>
      <c r="V48" s="32">
        <f>_xll.DBRW($C$1,$C$2,$C$3,$C$4,$C$6,$C$5,$C$7,V$1,V$2,A48)</f>
        <v>0</v>
      </c>
      <c r="W48" s="32">
        <f>_xll.DBRW($C$1,$C$2,$C$3,$C$4,$C$6,$C$5,$C$7,W$1,W$2,A48)</f>
        <v>0</v>
      </c>
      <c r="X48" s="32">
        <f>_xll.DBRW($C$1,$C$2,$C$3,$C$4,$C$6,$C$5,$C$7,X$1,X$2,A48)</f>
        <v>0</v>
      </c>
      <c r="Y48" s="32">
        <f>_xll.DBRW($C$1,$C$2,$C$3,$C$4,$C$6,$C$5,$C$7,Y$1,Y$2,A48)</f>
        <v>0</v>
      </c>
      <c r="Z48" s="32">
        <f>_xll.DBRW($C$1,$C$2,$C$3,$C$4,$C$6,$C$5,$C$7,Z$1,Z$2,A48)</f>
        <v>0</v>
      </c>
      <c r="AA48" s="32">
        <f>_xll.DBRW($C$1,$C$2,$C$3,$C$4,$C$6,$C$5,$C$7,AA$1,AA$2,A48)</f>
        <v>0</v>
      </c>
      <c r="AB48" s="32">
        <f>_xll.DBRW($C$1,$C$2,$C$3,$C$4,$C$6,$C$5,$C$7,AB$1,AB$2,A48)</f>
        <v>0</v>
      </c>
      <c r="AC48" s="32">
        <f>_xll.DBRW($C$1,$C$2,$C$3,$C$4,$C$6,$C$5,$C$7,AC$1,AC$2,A48)</f>
        <v>0</v>
      </c>
      <c r="AD48" s="32">
        <f>_xll.DBRW($C$1,$C$2,$C$3,$C$4,$C$6,$C$5,$C$7,AD$1,AD$2,A48)</f>
        <v>0</v>
      </c>
      <c r="AE48" s="32">
        <f>_xll.DBRW($C$1,$C$2,$C$3,$C$4,$C$6,$C$5,$C$7,AE$1,AE$2,A48)</f>
        <v>0</v>
      </c>
      <c r="AF48" s="32">
        <f>_xll.DBRW($C$1,$C$2,$C$3,$C$4,$C$6,$C$5,$C$7,AF$1,AF$2,A48)</f>
        <v>0</v>
      </c>
      <c r="AG48" s="32">
        <f>_xll.DBRW($C$1,$C$2,$C$3,$C$4,$C$6,$C$5,$C$7,AG$1,AG$2,A48)</f>
        <v>0</v>
      </c>
      <c r="AH48" s="32">
        <f>_xll.DBRW($C$1,$C$2,$C$3,$C$4,$C$6,$C$5,$C$7,AH$1,AH$2,A48)</f>
        <v>0</v>
      </c>
      <c r="AI48" s="32">
        <f>_xll.DBRW($C$1,$C$2,$C$3,$C$4,$C$6,$C$5,$C$7,AI$1,AI$2,A48)</f>
        <v>0</v>
      </c>
      <c r="AJ48" s="32">
        <f>_xll.DBRW($C$1,$C$2,$C$3,$C$4,$C$6,$C$5,$C$7,AJ$1,AJ$2,A48)</f>
        <v>0</v>
      </c>
      <c r="AK48" s="32">
        <f>_xll.DBRW($C$1,$C$2,$C$3,$C$4,$C$6,$C$5,$C$7,AK$1,AK$2,A48)</f>
        <v>0</v>
      </c>
      <c r="AL48" s="32">
        <f>_xll.DBRW($C$1,$C$2,$C$3,$C$4,$C$6,$C$5,$C$7,AL$1,AL$2,A48)</f>
        <v>0</v>
      </c>
      <c r="AM48" s="32">
        <f>_xll.DBRW($C$1,$C$2,$C$3,$C$4,$C$6,$C$5,$C$7,AM$1,AM$2,A48)</f>
        <v>0</v>
      </c>
      <c r="AN48" s="32">
        <f>_xll.DBRW($C$1,$C$2,$C$3,$C$4,$C$6,$C$5,$C$7,AN$1,AN$2,A48)</f>
        <v>0</v>
      </c>
      <c r="AO48" s="32">
        <f>_xll.DBRW($C$1,$C$2,$C$3,$C$4,$C$6,$C$5,$C$7,AO$1,AO$2,A48)</f>
        <v>0</v>
      </c>
      <c r="AP48" s="32">
        <f>_xll.DBRW($C$1,$C$2,$C$3,$C$4,$C$6,$C$5,$C$7,AP$1,AP$2,A48)</f>
        <v>0</v>
      </c>
      <c r="AQ48" s="32">
        <f>_xll.DBRW($C$1,$C$2,$C$3,$C$4,$C$6,$C$5,$C$7,AQ$1,AQ$2,A48)</f>
        <v>0</v>
      </c>
      <c r="AR48" s="32">
        <f>_xll.DBRW($C$1,$C$2,$C$3,$C$4,$C$6,$C$5,$C$7,AR$1,AR$2,A48)</f>
        <v>0</v>
      </c>
      <c r="AS48" s="32">
        <f>_xll.DBRW($C$1,$C$2,$C$3,$C$4,$C$6,$C$5,$C$7,AS$1,AS$2,A48)</f>
        <v>0</v>
      </c>
      <c r="AT48" s="32">
        <f>_xll.DBRW($C$1,$C$2,$C$3,$C$4,$C$6,$C$5,$C$7,AT$1,AT$2,A48)</f>
        <v>0</v>
      </c>
      <c r="AU48" s="32">
        <f>_xll.DBRW($C$1,$C$2,$C$3,$C$4,$C$6,$C$5,$C$7,AU$1,AU$2,A48)</f>
        <v>0</v>
      </c>
    </row>
    <row r="49" spans="1:47" ht="15.75" hidden="1" outlineLevel="1">
      <c r="A49" s="1" t="s">
        <v>127</v>
      </c>
      <c r="C49" s="143"/>
      <c r="E49" s="15" t="s">
        <v>22</v>
      </c>
      <c r="F49" s="33">
        <f t="shared" ref="F49:T49" si="24">SUM(F48)</f>
        <v>-89662529.497200012</v>
      </c>
      <c r="G49" s="33">
        <f t="shared" si="24"/>
        <v>-117894402.04620002</v>
      </c>
      <c r="H49" s="33">
        <f t="shared" si="24"/>
        <v>-81711108.4454</v>
      </c>
      <c r="I49" s="33">
        <f t="shared" si="24"/>
        <v>-1463315.2654000001</v>
      </c>
      <c r="J49" s="33">
        <f t="shared" si="24"/>
        <v>-13648634.500800001</v>
      </c>
      <c r="K49" s="33">
        <f t="shared" si="24"/>
        <v>-21006546.8222</v>
      </c>
      <c r="L49" s="33">
        <f t="shared" si="24"/>
        <v>-28903219.4036</v>
      </c>
      <c r="M49" s="33">
        <f t="shared" si="24"/>
        <v>-38150297.111400001</v>
      </c>
      <c r="N49" s="33">
        <f t="shared" si="24"/>
        <v>-47512584.049599998</v>
      </c>
      <c r="O49" s="33">
        <f t="shared" si="24"/>
        <v>-15399169.934599996</v>
      </c>
      <c r="P49" s="33">
        <f t="shared" si="24"/>
        <v>-61497532.645999998</v>
      </c>
      <c r="Q49" s="33">
        <f t="shared" si="24"/>
        <v>-69339798.537599996</v>
      </c>
      <c r="R49" s="33">
        <f t="shared" si="24"/>
        <v>-21630517.409200002</v>
      </c>
      <c r="S49" s="33">
        <f t="shared" si="24"/>
        <v>-39503880.560400002</v>
      </c>
      <c r="T49" s="33">
        <f t="shared" si="24"/>
        <v>-92830767.670399994</v>
      </c>
      <c r="U49" s="33">
        <f>SUM(U48)</f>
        <v>-92830767.670399994</v>
      </c>
      <c r="V49" s="33">
        <f t="shared" ref="V49:AG49" si="25">SUM(V48)</f>
        <v>0</v>
      </c>
      <c r="W49" s="33">
        <f t="shared" si="25"/>
        <v>0</v>
      </c>
      <c r="X49" s="33">
        <f t="shared" si="25"/>
        <v>0</v>
      </c>
      <c r="Y49" s="33">
        <f t="shared" si="25"/>
        <v>0</v>
      </c>
      <c r="Z49" s="33">
        <f t="shared" si="25"/>
        <v>0</v>
      </c>
      <c r="AA49" s="33">
        <f t="shared" si="25"/>
        <v>0</v>
      </c>
      <c r="AB49" s="33">
        <f t="shared" si="25"/>
        <v>0</v>
      </c>
      <c r="AC49" s="33">
        <f t="shared" si="25"/>
        <v>0</v>
      </c>
      <c r="AD49" s="33">
        <f t="shared" si="25"/>
        <v>0</v>
      </c>
      <c r="AE49" s="33">
        <f t="shared" si="25"/>
        <v>0</v>
      </c>
      <c r="AF49" s="33">
        <f t="shared" si="25"/>
        <v>0</v>
      </c>
      <c r="AG49" s="33">
        <f t="shared" si="25"/>
        <v>0</v>
      </c>
      <c r="AH49" s="33">
        <f>SUM(AH48)</f>
        <v>0</v>
      </c>
      <c r="AI49" s="33">
        <f t="shared" ref="AI49:AT49" si="26">SUM(AI48)</f>
        <v>0</v>
      </c>
      <c r="AJ49" s="33">
        <f t="shared" si="26"/>
        <v>0</v>
      </c>
      <c r="AK49" s="33">
        <f t="shared" si="26"/>
        <v>0</v>
      </c>
      <c r="AL49" s="33">
        <f t="shared" si="26"/>
        <v>0</v>
      </c>
      <c r="AM49" s="33">
        <f t="shared" si="26"/>
        <v>0</v>
      </c>
      <c r="AN49" s="33">
        <f t="shared" si="26"/>
        <v>0</v>
      </c>
      <c r="AO49" s="33">
        <f t="shared" si="26"/>
        <v>0</v>
      </c>
      <c r="AP49" s="33">
        <f t="shared" si="26"/>
        <v>0</v>
      </c>
      <c r="AQ49" s="33">
        <f t="shared" si="26"/>
        <v>0</v>
      </c>
      <c r="AR49" s="33">
        <f t="shared" si="26"/>
        <v>0</v>
      </c>
      <c r="AS49" s="33">
        <f t="shared" si="26"/>
        <v>0</v>
      </c>
      <c r="AT49" s="33">
        <f t="shared" si="26"/>
        <v>0</v>
      </c>
      <c r="AU49" s="33">
        <f>SUM(AU48)</f>
        <v>0</v>
      </c>
    </row>
    <row r="50" spans="1:47" ht="15.75" hidden="1" customHeight="1" outlineLevel="2">
      <c r="A50" s="1" t="s">
        <v>145</v>
      </c>
      <c r="C50" s="143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-4475534721.79</v>
      </c>
      <c r="G50" s="32">
        <f>_xll.DBRW($C$1,$C$2,$C$3,$C$4,$C$6,$C$5,$C$7,G$1,G$2,A50)</f>
        <v>-4459569193.4899998</v>
      </c>
      <c r="H50" s="32">
        <f>_xll.DBRW($C$1,$C$2,$C$3,$C$4,$C$6,$C$5,$C$7,H$1,H$2,A50)</f>
        <v>-1085600423.6900001</v>
      </c>
      <c r="I50" s="32">
        <f>_xll.DBRW($C$1,$C$2,$C$3,$C$4,$C$6,$C$5,$C$7,I$1,I$2,A50)</f>
        <v>-76613419.418999985</v>
      </c>
      <c r="J50" s="32">
        <f>_xll.DBRW($C$1,$C$2,$C$3,$C$4,$C$6,$C$5,$C$7,J$1,J$2,A50)</f>
        <v>-117673380.05999999</v>
      </c>
      <c r="K50" s="32">
        <f>_xll.DBRW($C$1,$C$2,$C$3,$C$4,$C$6,$C$5,$C$7,K$1,K$2,A50)</f>
        <v>-249251186.87</v>
      </c>
      <c r="L50" s="32">
        <f>_xll.DBRW($C$1,$C$2,$C$3,$C$4,$C$6,$C$5,$C$7,L$1,L$2,A50)</f>
        <v>-355471969.65999997</v>
      </c>
      <c r="M50" s="32">
        <f>_xll.DBRW($C$1,$C$2,$C$3,$C$4,$C$6,$C$5,$C$7,M$1,M$2,A50)</f>
        <v>-463041311.15999997</v>
      </c>
      <c r="N50" s="32">
        <f>_xll.DBRW($C$1,$C$2,$C$3,$C$4,$C$6,$C$5,$C$7,N$1,N$2,A50)</f>
        <v>-570069893.89999998</v>
      </c>
      <c r="O50" s="32">
        <f>_xll.DBRW($C$1,$C$2,$C$3,$C$4,$C$6,$C$5,$C$7,O$1,O$2,A50)</f>
        <v>-568481685.90499997</v>
      </c>
      <c r="P50" s="32">
        <f>_xll.DBRW($C$1,$C$2,$C$3,$C$4,$C$6,$C$5,$C$7,P$1,P$2,A50)</f>
        <v>-808759879.88</v>
      </c>
      <c r="Q50" s="32">
        <f>_xll.DBRW($C$1,$C$2,$C$3,$C$4,$C$6,$C$5,$C$7,Q$1,Q$2,A50)</f>
        <v>-935685939.97000003</v>
      </c>
      <c r="R50" s="32">
        <f>_xll.DBRW($C$1,$C$2,$C$3,$C$4,$C$6,$C$5,$C$7,R$1,R$2,A50)</f>
        <v>-922434843.01999998</v>
      </c>
      <c r="S50" s="32">
        <f>_xll.DBRW($C$1,$C$2,$C$3,$C$4,$C$6,$C$5,$C$7,S$1,S$2,A50)</f>
        <v>-1074599254.1600001</v>
      </c>
      <c r="T50" s="32">
        <f>_xll.DBRW($C$1,$C$2,$C$3,$C$4,$C$6,$C$5,$C$7,T$1,T$2,A50)</f>
        <v>-1334221840</v>
      </c>
      <c r="U50" s="32">
        <f>_xll.DBRW($C$1,$C$2,$C$3,$C$4,$C$6,$C$5,$C$7,U$1,U$2,A50)</f>
        <v>-1334221840</v>
      </c>
      <c r="V50" s="32">
        <f>_xll.DBRW($C$1,$C$2,$C$3,$C$4,$C$6,$C$5,$C$7,V$1,V$2,A50)</f>
        <v>0</v>
      </c>
      <c r="W50" s="32">
        <f>_xll.DBRW($C$1,$C$2,$C$3,$C$4,$C$6,$C$5,$C$7,W$1,W$2,A50)</f>
        <v>0</v>
      </c>
      <c r="X50" s="32">
        <f>_xll.DBRW($C$1,$C$2,$C$3,$C$4,$C$6,$C$5,$C$7,X$1,X$2,A50)</f>
        <v>0</v>
      </c>
      <c r="Y50" s="32">
        <f>_xll.DBRW($C$1,$C$2,$C$3,$C$4,$C$6,$C$5,$C$7,Y$1,Y$2,A50)</f>
        <v>0</v>
      </c>
      <c r="Z50" s="32">
        <f>_xll.DBRW($C$1,$C$2,$C$3,$C$4,$C$6,$C$5,$C$7,Z$1,Z$2,A50)</f>
        <v>0</v>
      </c>
      <c r="AA50" s="32">
        <f>_xll.DBRW($C$1,$C$2,$C$3,$C$4,$C$6,$C$5,$C$7,AA$1,AA$2,A50)</f>
        <v>0</v>
      </c>
      <c r="AB50" s="32">
        <f>_xll.DBRW($C$1,$C$2,$C$3,$C$4,$C$6,$C$5,$C$7,AB$1,AB$2,A50)</f>
        <v>0</v>
      </c>
      <c r="AC50" s="32">
        <f>_xll.DBRW($C$1,$C$2,$C$3,$C$4,$C$6,$C$5,$C$7,AC$1,AC$2,A50)</f>
        <v>0</v>
      </c>
      <c r="AD50" s="32">
        <f>_xll.DBRW($C$1,$C$2,$C$3,$C$4,$C$6,$C$5,$C$7,AD$1,AD$2,A50)</f>
        <v>0</v>
      </c>
      <c r="AE50" s="32">
        <f>_xll.DBRW($C$1,$C$2,$C$3,$C$4,$C$6,$C$5,$C$7,AE$1,AE$2,A50)</f>
        <v>0</v>
      </c>
      <c r="AF50" s="32">
        <f>_xll.DBRW($C$1,$C$2,$C$3,$C$4,$C$6,$C$5,$C$7,AF$1,AF$2,A50)</f>
        <v>0</v>
      </c>
      <c r="AG50" s="32">
        <f>_xll.DBRW($C$1,$C$2,$C$3,$C$4,$C$6,$C$5,$C$7,AG$1,AG$2,A50)</f>
        <v>0</v>
      </c>
      <c r="AH50" s="32">
        <f>_xll.DBRW($C$1,$C$2,$C$3,$C$4,$C$6,$C$5,$C$7,AH$1,AH$2,A50)</f>
        <v>0</v>
      </c>
      <c r="AI50" s="32">
        <f>_xll.DBRW($C$1,$C$2,$C$3,$C$4,$C$6,$C$5,$C$7,AI$1,AI$2,A50)</f>
        <v>0</v>
      </c>
      <c r="AJ50" s="32">
        <f>_xll.DBRW($C$1,$C$2,$C$3,$C$4,$C$6,$C$5,$C$7,AJ$1,AJ$2,A50)</f>
        <v>0</v>
      </c>
      <c r="AK50" s="32">
        <f>_xll.DBRW($C$1,$C$2,$C$3,$C$4,$C$6,$C$5,$C$7,AK$1,AK$2,A50)</f>
        <v>0</v>
      </c>
      <c r="AL50" s="32">
        <f>_xll.DBRW($C$1,$C$2,$C$3,$C$4,$C$6,$C$5,$C$7,AL$1,AL$2,A50)</f>
        <v>0</v>
      </c>
      <c r="AM50" s="32">
        <f>_xll.DBRW($C$1,$C$2,$C$3,$C$4,$C$6,$C$5,$C$7,AM$1,AM$2,A50)</f>
        <v>0</v>
      </c>
      <c r="AN50" s="32">
        <f>_xll.DBRW($C$1,$C$2,$C$3,$C$4,$C$6,$C$5,$C$7,AN$1,AN$2,A50)</f>
        <v>0</v>
      </c>
      <c r="AO50" s="32">
        <f>_xll.DBRW($C$1,$C$2,$C$3,$C$4,$C$6,$C$5,$C$7,AO$1,AO$2,A50)</f>
        <v>0</v>
      </c>
      <c r="AP50" s="32">
        <f>_xll.DBRW($C$1,$C$2,$C$3,$C$4,$C$6,$C$5,$C$7,AP$1,AP$2,A50)</f>
        <v>0</v>
      </c>
      <c r="AQ50" s="32">
        <f>_xll.DBRW($C$1,$C$2,$C$3,$C$4,$C$6,$C$5,$C$7,AQ$1,AQ$2,A50)</f>
        <v>0</v>
      </c>
      <c r="AR50" s="32">
        <f>_xll.DBRW($C$1,$C$2,$C$3,$C$4,$C$6,$C$5,$C$7,AR$1,AR$2,A50)</f>
        <v>0</v>
      </c>
      <c r="AS50" s="32">
        <f>_xll.DBRW($C$1,$C$2,$C$3,$C$4,$C$6,$C$5,$C$7,AS$1,AS$2,A50)</f>
        <v>0</v>
      </c>
      <c r="AT50" s="32">
        <f>_xll.DBRW($C$1,$C$2,$C$3,$C$4,$C$6,$C$5,$C$7,AT$1,AT$2,A50)</f>
        <v>0</v>
      </c>
      <c r="AU50" s="32">
        <f>_xll.DBRW($C$1,$C$2,$C$3,$C$4,$C$6,$C$5,$C$7,AU$1,AU$2,A50)</f>
        <v>0</v>
      </c>
    </row>
    <row r="51" spans="1:47" ht="15.75" hidden="1" outlineLevel="1">
      <c r="A51" s="1" t="s">
        <v>127</v>
      </c>
      <c r="C51" s="143"/>
      <c r="E51" s="15" t="s">
        <v>23</v>
      </c>
      <c r="F51" s="33">
        <f t="shared" ref="F51:T51" si="27">SUM(F50)</f>
        <v>-4475534721.79</v>
      </c>
      <c r="G51" s="33">
        <f t="shared" si="27"/>
        <v>-4459569193.4899998</v>
      </c>
      <c r="H51" s="33">
        <f t="shared" si="27"/>
        <v>-1085600423.6900001</v>
      </c>
      <c r="I51" s="33">
        <f t="shared" si="27"/>
        <v>-76613419.418999985</v>
      </c>
      <c r="J51" s="33">
        <f t="shared" si="27"/>
        <v>-117673380.05999999</v>
      </c>
      <c r="K51" s="33">
        <f t="shared" si="27"/>
        <v>-249251186.87</v>
      </c>
      <c r="L51" s="33">
        <f t="shared" si="27"/>
        <v>-355471969.65999997</v>
      </c>
      <c r="M51" s="33">
        <f t="shared" si="27"/>
        <v>-463041311.15999997</v>
      </c>
      <c r="N51" s="33">
        <f t="shared" si="27"/>
        <v>-570069893.89999998</v>
      </c>
      <c r="O51" s="33">
        <f t="shared" si="27"/>
        <v>-568481685.90499997</v>
      </c>
      <c r="P51" s="33">
        <f t="shared" si="27"/>
        <v>-808759879.88</v>
      </c>
      <c r="Q51" s="33">
        <f t="shared" si="27"/>
        <v>-935685939.97000003</v>
      </c>
      <c r="R51" s="33">
        <f t="shared" si="27"/>
        <v>-922434843.01999998</v>
      </c>
      <c r="S51" s="33">
        <f t="shared" si="27"/>
        <v>-1074599254.1600001</v>
      </c>
      <c r="T51" s="33">
        <f t="shared" si="27"/>
        <v>-1334221840</v>
      </c>
      <c r="U51" s="33">
        <f>SUM(U50)</f>
        <v>-1334221840</v>
      </c>
      <c r="V51" s="33">
        <f t="shared" ref="V51:AG51" si="28">SUM(V50)</f>
        <v>0</v>
      </c>
      <c r="W51" s="33">
        <f t="shared" si="28"/>
        <v>0</v>
      </c>
      <c r="X51" s="33">
        <f t="shared" si="28"/>
        <v>0</v>
      </c>
      <c r="Y51" s="33">
        <f t="shared" si="28"/>
        <v>0</v>
      </c>
      <c r="Z51" s="33">
        <f t="shared" si="28"/>
        <v>0</v>
      </c>
      <c r="AA51" s="33">
        <f t="shared" si="28"/>
        <v>0</v>
      </c>
      <c r="AB51" s="33">
        <f t="shared" si="28"/>
        <v>0</v>
      </c>
      <c r="AC51" s="33">
        <f t="shared" si="28"/>
        <v>0</v>
      </c>
      <c r="AD51" s="33">
        <f t="shared" si="28"/>
        <v>0</v>
      </c>
      <c r="AE51" s="33">
        <f t="shared" si="28"/>
        <v>0</v>
      </c>
      <c r="AF51" s="33">
        <f t="shared" si="28"/>
        <v>0</v>
      </c>
      <c r="AG51" s="33">
        <f t="shared" si="28"/>
        <v>0</v>
      </c>
      <c r="AH51" s="33">
        <f>SUM(AH50)</f>
        <v>0</v>
      </c>
      <c r="AI51" s="33">
        <f t="shared" ref="AI51:AT51" si="29">SUM(AI50)</f>
        <v>0</v>
      </c>
      <c r="AJ51" s="33">
        <f t="shared" si="29"/>
        <v>0</v>
      </c>
      <c r="AK51" s="33">
        <f t="shared" si="29"/>
        <v>0</v>
      </c>
      <c r="AL51" s="33">
        <f t="shared" si="29"/>
        <v>0</v>
      </c>
      <c r="AM51" s="33">
        <f t="shared" si="29"/>
        <v>0</v>
      </c>
      <c r="AN51" s="33">
        <f t="shared" si="29"/>
        <v>0</v>
      </c>
      <c r="AO51" s="33">
        <f t="shared" si="29"/>
        <v>0</v>
      </c>
      <c r="AP51" s="33">
        <f t="shared" si="29"/>
        <v>0</v>
      </c>
      <c r="AQ51" s="33">
        <f t="shared" si="29"/>
        <v>0</v>
      </c>
      <c r="AR51" s="33">
        <f t="shared" si="29"/>
        <v>0</v>
      </c>
      <c r="AS51" s="33">
        <f t="shared" si="29"/>
        <v>0</v>
      </c>
      <c r="AT51" s="33">
        <f t="shared" si="29"/>
        <v>0</v>
      </c>
      <c r="AU51" s="33">
        <f>SUM(AU50)</f>
        <v>0</v>
      </c>
    </row>
    <row r="52" spans="1:47" ht="15.75" hidden="1" customHeight="1" outlineLevel="2">
      <c r="A52" s="1" t="s">
        <v>146</v>
      </c>
      <c r="C52" s="143"/>
      <c r="E52" s="9" t="str">
        <f>_xll.DBRW(Server&amp;"}ElementAttributes_Indicator",A52,"code_English")</f>
        <v>PL1115_MF_31 - Tyres</v>
      </c>
      <c r="F52" s="32">
        <f>_xll.DBRW($C$1,$C$2,$C$3,$C$4,$C$6,$C$5,$C$7,F$1,F$2,A52)</f>
        <v>-434096727.815</v>
      </c>
      <c r="G52" s="32">
        <f>_xll.DBRW($C$1,$C$2,$C$3,$C$4,$C$6,$C$5,$C$7,G$1,G$2,A52)</f>
        <v>-315835220.07999998</v>
      </c>
      <c r="H52" s="32">
        <f>_xll.DBRW($C$1,$C$2,$C$3,$C$4,$C$6,$C$5,$C$7,H$1,H$2,A52)</f>
        <v>-266463797.75</v>
      </c>
      <c r="I52" s="32">
        <f>_xll.DBRW($C$1,$C$2,$C$3,$C$4,$C$6,$C$5,$C$7,I$1,I$2,A52)</f>
        <v>-22318349.27</v>
      </c>
      <c r="J52" s="32">
        <f>_xll.DBRW($C$1,$C$2,$C$3,$C$4,$C$6,$C$5,$C$7,J$1,J$2,A52)</f>
        <v>-30549780.540000003</v>
      </c>
      <c r="K52" s="32">
        <f>_xll.DBRW($C$1,$C$2,$C$3,$C$4,$C$6,$C$5,$C$7,K$1,K$2,A52)</f>
        <v>-77649805.960000008</v>
      </c>
      <c r="L52" s="32">
        <f>_xll.DBRW($C$1,$C$2,$C$3,$C$4,$C$6,$C$5,$C$7,L$1,L$2,A52)</f>
        <v>-98918097.160000011</v>
      </c>
      <c r="M52" s="32">
        <f>_xll.DBRW($C$1,$C$2,$C$3,$C$4,$C$6,$C$5,$C$7,M$1,M$2,A52)</f>
        <v>-118274151.92000002</v>
      </c>
      <c r="N52" s="32">
        <f>_xll.DBRW($C$1,$C$2,$C$3,$C$4,$C$6,$C$5,$C$7,N$1,N$2,A52)</f>
        <v>-145228377.74000001</v>
      </c>
      <c r="O52" s="32">
        <f>_xll.DBRW($C$1,$C$2,$C$3,$C$4,$C$6,$C$5,$C$7,O$1,O$2,A52)</f>
        <v>-138937775.01000002</v>
      </c>
      <c r="P52" s="32">
        <f>_xll.DBRW($C$1,$C$2,$C$3,$C$4,$C$6,$C$5,$C$7,P$1,P$2,A52)</f>
        <v>-164247057.81</v>
      </c>
      <c r="Q52" s="32">
        <f>_xll.DBRW($C$1,$C$2,$C$3,$C$4,$C$6,$C$5,$C$7,Q$1,Q$2,A52)</f>
        <v>-175779193.63</v>
      </c>
      <c r="R52" s="32">
        <f>_xll.DBRW($C$1,$C$2,$C$3,$C$4,$C$6,$C$5,$C$7,R$1,R$2,A52)</f>
        <v>-158908039.37</v>
      </c>
      <c r="S52" s="32">
        <f>_xll.DBRW($C$1,$C$2,$C$3,$C$4,$C$6,$C$5,$C$7,S$1,S$2,A52)</f>
        <v>-173961766.94</v>
      </c>
      <c r="T52" s="32">
        <f>_xll.DBRW($C$1,$C$2,$C$3,$C$4,$C$6,$C$5,$C$7,T$1,T$2,A52)</f>
        <v>-211427689.91</v>
      </c>
      <c r="U52" s="32">
        <f>_xll.DBRW($C$1,$C$2,$C$3,$C$4,$C$6,$C$5,$C$7,U$1,U$2,A52)</f>
        <v>-211427689.91</v>
      </c>
      <c r="V52" s="32">
        <f>_xll.DBRW($C$1,$C$2,$C$3,$C$4,$C$6,$C$5,$C$7,V$1,V$2,A52)</f>
        <v>0</v>
      </c>
      <c r="W52" s="32">
        <f>_xll.DBRW($C$1,$C$2,$C$3,$C$4,$C$6,$C$5,$C$7,W$1,W$2,A52)</f>
        <v>0</v>
      </c>
      <c r="X52" s="32">
        <f>_xll.DBRW($C$1,$C$2,$C$3,$C$4,$C$6,$C$5,$C$7,X$1,X$2,A52)</f>
        <v>0</v>
      </c>
      <c r="Y52" s="32">
        <f>_xll.DBRW($C$1,$C$2,$C$3,$C$4,$C$6,$C$5,$C$7,Y$1,Y$2,A52)</f>
        <v>0</v>
      </c>
      <c r="Z52" s="32">
        <f>_xll.DBRW($C$1,$C$2,$C$3,$C$4,$C$6,$C$5,$C$7,Z$1,Z$2,A52)</f>
        <v>0</v>
      </c>
      <c r="AA52" s="32">
        <f>_xll.DBRW($C$1,$C$2,$C$3,$C$4,$C$6,$C$5,$C$7,AA$1,AA$2,A52)</f>
        <v>0</v>
      </c>
      <c r="AB52" s="32">
        <f>_xll.DBRW($C$1,$C$2,$C$3,$C$4,$C$6,$C$5,$C$7,AB$1,AB$2,A52)</f>
        <v>0</v>
      </c>
      <c r="AC52" s="32">
        <f>_xll.DBRW($C$1,$C$2,$C$3,$C$4,$C$6,$C$5,$C$7,AC$1,AC$2,A52)</f>
        <v>0</v>
      </c>
      <c r="AD52" s="32">
        <f>_xll.DBRW($C$1,$C$2,$C$3,$C$4,$C$6,$C$5,$C$7,AD$1,AD$2,A52)</f>
        <v>0</v>
      </c>
      <c r="AE52" s="32">
        <f>_xll.DBRW($C$1,$C$2,$C$3,$C$4,$C$6,$C$5,$C$7,AE$1,AE$2,A52)</f>
        <v>0</v>
      </c>
      <c r="AF52" s="32">
        <f>_xll.DBRW($C$1,$C$2,$C$3,$C$4,$C$6,$C$5,$C$7,AF$1,AF$2,A52)</f>
        <v>0</v>
      </c>
      <c r="AG52" s="32">
        <f>_xll.DBRW($C$1,$C$2,$C$3,$C$4,$C$6,$C$5,$C$7,AG$1,AG$2,A52)</f>
        <v>0</v>
      </c>
      <c r="AH52" s="32">
        <f>_xll.DBRW($C$1,$C$2,$C$3,$C$4,$C$6,$C$5,$C$7,AH$1,AH$2,A52)</f>
        <v>0</v>
      </c>
      <c r="AI52" s="32">
        <f>_xll.DBRW($C$1,$C$2,$C$3,$C$4,$C$6,$C$5,$C$7,AI$1,AI$2,A52)</f>
        <v>0</v>
      </c>
      <c r="AJ52" s="32">
        <f>_xll.DBRW($C$1,$C$2,$C$3,$C$4,$C$6,$C$5,$C$7,AJ$1,AJ$2,A52)</f>
        <v>0</v>
      </c>
      <c r="AK52" s="32">
        <f>_xll.DBRW($C$1,$C$2,$C$3,$C$4,$C$6,$C$5,$C$7,AK$1,AK$2,A52)</f>
        <v>0</v>
      </c>
      <c r="AL52" s="32">
        <f>_xll.DBRW($C$1,$C$2,$C$3,$C$4,$C$6,$C$5,$C$7,AL$1,AL$2,A52)</f>
        <v>0</v>
      </c>
      <c r="AM52" s="32">
        <f>_xll.DBRW($C$1,$C$2,$C$3,$C$4,$C$6,$C$5,$C$7,AM$1,AM$2,A52)</f>
        <v>0</v>
      </c>
      <c r="AN52" s="32">
        <f>_xll.DBRW($C$1,$C$2,$C$3,$C$4,$C$6,$C$5,$C$7,AN$1,AN$2,A52)</f>
        <v>0</v>
      </c>
      <c r="AO52" s="32">
        <f>_xll.DBRW($C$1,$C$2,$C$3,$C$4,$C$6,$C$5,$C$7,AO$1,AO$2,A52)</f>
        <v>0</v>
      </c>
      <c r="AP52" s="32">
        <f>_xll.DBRW($C$1,$C$2,$C$3,$C$4,$C$6,$C$5,$C$7,AP$1,AP$2,A52)</f>
        <v>0</v>
      </c>
      <c r="AQ52" s="32">
        <f>_xll.DBRW($C$1,$C$2,$C$3,$C$4,$C$6,$C$5,$C$7,AQ$1,AQ$2,A52)</f>
        <v>0</v>
      </c>
      <c r="AR52" s="32">
        <f>_xll.DBRW($C$1,$C$2,$C$3,$C$4,$C$6,$C$5,$C$7,AR$1,AR$2,A52)</f>
        <v>0</v>
      </c>
      <c r="AS52" s="32">
        <f>_xll.DBRW($C$1,$C$2,$C$3,$C$4,$C$6,$C$5,$C$7,AS$1,AS$2,A52)</f>
        <v>0</v>
      </c>
      <c r="AT52" s="32">
        <f>_xll.DBRW($C$1,$C$2,$C$3,$C$4,$C$6,$C$5,$C$7,AT$1,AT$2,A52)</f>
        <v>0</v>
      </c>
      <c r="AU52" s="32">
        <f>_xll.DBRW($C$1,$C$2,$C$3,$C$4,$C$6,$C$5,$C$7,AU$1,AU$2,A52)</f>
        <v>0</v>
      </c>
    </row>
    <row r="53" spans="1:47" ht="15.75" hidden="1" outlineLevel="1">
      <c r="A53" s="1" t="s">
        <v>146</v>
      </c>
      <c r="C53" s="143"/>
      <c r="E53" s="15" t="s">
        <v>24</v>
      </c>
      <c r="F53" s="33">
        <f t="shared" ref="F53:T53" si="30">SUM(F52)</f>
        <v>-434096727.815</v>
      </c>
      <c r="G53" s="33">
        <f t="shared" si="30"/>
        <v>-315835220.07999998</v>
      </c>
      <c r="H53" s="33">
        <f t="shared" si="30"/>
        <v>-266463797.75</v>
      </c>
      <c r="I53" s="33">
        <f t="shared" si="30"/>
        <v>-22318349.27</v>
      </c>
      <c r="J53" s="33">
        <f t="shared" si="30"/>
        <v>-30549780.540000003</v>
      </c>
      <c r="K53" s="33">
        <f t="shared" si="30"/>
        <v>-77649805.960000008</v>
      </c>
      <c r="L53" s="33">
        <f t="shared" si="30"/>
        <v>-98918097.160000011</v>
      </c>
      <c r="M53" s="33">
        <f t="shared" si="30"/>
        <v>-118274151.92000002</v>
      </c>
      <c r="N53" s="33">
        <f t="shared" si="30"/>
        <v>-145228377.74000001</v>
      </c>
      <c r="O53" s="33">
        <f t="shared" si="30"/>
        <v>-138937775.01000002</v>
      </c>
      <c r="P53" s="33">
        <f t="shared" si="30"/>
        <v>-164247057.81</v>
      </c>
      <c r="Q53" s="33">
        <f t="shared" si="30"/>
        <v>-175779193.63</v>
      </c>
      <c r="R53" s="33">
        <f t="shared" si="30"/>
        <v>-158908039.37</v>
      </c>
      <c r="S53" s="33">
        <f t="shared" si="30"/>
        <v>-173961766.94</v>
      </c>
      <c r="T53" s="33">
        <f t="shared" si="30"/>
        <v>-211427689.91</v>
      </c>
      <c r="U53" s="33">
        <f>SUM(U52)</f>
        <v>-211427689.91</v>
      </c>
      <c r="V53" s="33">
        <f t="shared" ref="V53:AG53" si="31">SUM(V52)</f>
        <v>0</v>
      </c>
      <c r="W53" s="33">
        <f t="shared" si="31"/>
        <v>0</v>
      </c>
      <c r="X53" s="33">
        <f t="shared" si="31"/>
        <v>0</v>
      </c>
      <c r="Y53" s="33">
        <f t="shared" si="31"/>
        <v>0</v>
      </c>
      <c r="Z53" s="33">
        <f t="shared" si="31"/>
        <v>0</v>
      </c>
      <c r="AA53" s="33">
        <f t="shared" si="31"/>
        <v>0</v>
      </c>
      <c r="AB53" s="33">
        <f t="shared" si="31"/>
        <v>0</v>
      </c>
      <c r="AC53" s="33">
        <f t="shared" si="31"/>
        <v>0</v>
      </c>
      <c r="AD53" s="33">
        <f t="shared" si="31"/>
        <v>0</v>
      </c>
      <c r="AE53" s="33">
        <f t="shared" si="31"/>
        <v>0</v>
      </c>
      <c r="AF53" s="33">
        <f t="shared" si="31"/>
        <v>0</v>
      </c>
      <c r="AG53" s="33">
        <f t="shared" si="31"/>
        <v>0</v>
      </c>
      <c r="AH53" s="33">
        <f>SUM(AH52)</f>
        <v>0</v>
      </c>
      <c r="AI53" s="33">
        <f t="shared" ref="AI53:AT53" si="32">SUM(AI52)</f>
        <v>0</v>
      </c>
      <c r="AJ53" s="33">
        <f t="shared" si="32"/>
        <v>0</v>
      </c>
      <c r="AK53" s="33">
        <f t="shared" si="32"/>
        <v>0</v>
      </c>
      <c r="AL53" s="33">
        <f t="shared" si="32"/>
        <v>0</v>
      </c>
      <c r="AM53" s="33">
        <f t="shared" si="32"/>
        <v>0</v>
      </c>
      <c r="AN53" s="33">
        <f t="shared" si="32"/>
        <v>0</v>
      </c>
      <c r="AO53" s="33">
        <f t="shared" si="32"/>
        <v>0</v>
      </c>
      <c r="AP53" s="33">
        <f t="shared" si="32"/>
        <v>0</v>
      </c>
      <c r="AQ53" s="33">
        <f t="shared" si="32"/>
        <v>0</v>
      </c>
      <c r="AR53" s="33">
        <f t="shared" si="32"/>
        <v>0</v>
      </c>
      <c r="AS53" s="33">
        <f t="shared" si="32"/>
        <v>0</v>
      </c>
      <c r="AT53" s="33">
        <f t="shared" si="32"/>
        <v>0</v>
      </c>
      <c r="AU53" s="33">
        <f>SUM(AU52)</f>
        <v>0</v>
      </c>
    </row>
    <row r="54" spans="1:47" ht="15.75" hidden="1" customHeight="1" outlineLevel="2">
      <c r="A54" s="1" t="s">
        <v>147</v>
      </c>
      <c r="C54" s="143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-526713213.31</v>
      </c>
      <c r="G54" s="32">
        <f>_xll.DBRW($C$1,$C$2,$C$3,$C$4,$C$6,$C$5,$C$7,G$1,G$2,A54)</f>
        <v>-585233648.13</v>
      </c>
      <c r="H54" s="32">
        <f>_xll.DBRW($C$1,$C$2,$C$3,$C$4,$C$6,$C$5,$C$7,H$1,H$2,A54)</f>
        <v>-513444699.34000003</v>
      </c>
      <c r="I54" s="32">
        <f>_xll.DBRW($C$1,$C$2,$C$3,$C$4,$C$6,$C$5,$C$7,I$1,I$2,A54)</f>
        <v>-42821280.249389999</v>
      </c>
      <c r="J54" s="32">
        <f>_xll.DBRW($C$1,$C$2,$C$3,$C$4,$C$6,$C$5,$C$7,J$1,J$2,A54)</f>
        <v>-44328696.780000001</v>
      </c>
      <c r="K54" s="32">
        <f>_xll.DBRW($C$1,$C$2,$C$3,$C$4,$C$6,$C$5,$C$7,K$1,K$2,A54)</f>
        <v>-149876253.23000002</v>
      </c>
      <c r="L54" s="32">
        <f>_xll.DBRW($C$1,$C$2,$C$3,$C$4,$C$6,$C$5,$C$7,L$1,L$2,A54)</f>
        <v>-224333316.84000003</v>
      </c>
      <c r="M54" s="32">
        <f>_xll.DBRW($C$1,$C$2,$C$3,$C$4,$C$6,$C$5,$C$7,M$1,M$2,A54)</f>
        <v>-296702048.46000004</v>
      </c>
      <c r="N54" s="32">
        <f>_xll.DBRW($C$1,$C$2,$C$3,$C$4,$C$6,$C$5,$C$7,N$1,N$2,A54)</f>
        <v>-360305074.43000001</v>
      </c>
      <c r="O54" s="32">
        <f>_xll.DBRW($C$1,$C$2,$C$3,$C$4,$C$6,$C$5,$C$7,O$1,O$2,A54)</f>
        <v>-419402119.68940002</v>
      </c>
      <c r="P54" s="32">
        <f>_xll.DBRW($C$1,$C$2,$C$3,$C$4,$C$6,$C$5,$C$7,P$1,P$2,A54)</f>
        <v>-495739105.30000001</v>
      </c>
      <c r="Q54" s="32">
        <f>_xll.DBRW($C$1,$C$2,$C$3,$C$4,$C$6,$C$5,$C$7,Q$1,Q$2,A54)</f>
        <v>-568842486.61000001</v>
      </c>
      <c r="R54" s="32">
        <f>_xll.DBRW($C$1,$C$2,$C$3,$C$4,$C$6,$C$5,$C$7,R$1,R$2,A54)</f>
        <v>-623591848.58999991</v>
      </c>
      <c r="S54" s="32">
        <f>_xll.DBRW($C$1,$C$2,$C$3,$C$4,$C$6,$C$5,$C$7,S$1,S$2,A54)</f>
        <v>-696770355.40999985</v>
      </c>
      <c r="T54" s="32">
        <f>_xll.DBRW($C$1,$C$2,$C$3,$C$4,$C$6,$C$5,$C$7,T$1,T$2,A54)</f>
        <v>-771577015.29999995</v>
      </c>
      <c r="U54" s="32">
        <f>_xll.DBRW($C$1,$C$2,$C$3,$C$4,$C$6,$C$5,$C$7,U$1,U$2,A54)</f>
        <v>-771577015.29999995</v>
      </c>
      <c r="V54" s="32">
        <f>_xll.DBRW($C$1,$C$2,$C$3,$C$4,$C$6,$C$5,$C$7,V$1,V$2,A54)</f>
        <v>0</v>
      </c>
      <c r="W54" s="32">
        <f>_xll.DBRW($C$1,$C$2,$C$3,$C$4,$C$6,$C$5,$C$7,W$1,W$2,A54)</f>
        <v>0</v>
      </c>
      <c r="X54" s="32">
        <f>_xll.DBRW($C$1,$C$2,$C$3,$C$4,$C$6,$C$5,$C$7,X$1,X$2,A54)</f>
        <v>0</v>
      </c>
      <c r="Y54" s="32">
        <f>_xll.DBRW($C$1,$C$2,$C$3,$C$4,$C$6,$C$5,$C$7,Y$1,Y$2,A54)</f>
        <v>0</v>
      </c>
      <c r="Z54" s="32">
        <f>_xll.DBRW($C$1,$C$2,$C$3,$C$4,$C$6,$C$5,$C$7,Z$1,Z$2,A54)</f>
        <v>0</v>
      </c>
      <c r="AA54" s="32">
        <f>_xll.DBRW($C$1,$C$2,$C$3,$C$4,$C$6,$C$5,$C$7,AA$1,AA$2,A54)</f>
        <v>0</v>
      </c>
      <c r="AB54" s="32">
        <f>_xll.DBRW($C$1,$C$2,$C$3,$C$4,$C$6,$C$5,$C$7,AB$1,AB$2,A54)</f>
        <v>0</v>
      </c>
      <c r="AC54" s="32">
        <f>_xll.DBRW($C$1,$C$2,$C$3,$C$4,$C$6,$C$5,$C$7,AC$1,AC$2,A54)</f>
        <v>0</v>
      </c>
      <c r="AD54" s="32">
        <f>_xll.DBRW($C$1,$C$2,$C$3,$C$4,$C$6,$C$5,$C$7,AD$1,AD$2,A54)</f>
        <v>0</v>
      </c>
      <c r="AE54" s="32">
        <f>_xll.DBRW($C$1,$C$2,$C$3,$C$4,$C$6,$C$5,$C$7,AE$1,AE$2,A54)</f>
        <v>0</v>
      </c>
      <c r="AF54" s="32">
        <f>_xll.DBRW($C$1,$C$2,$C$3,$C$4,$C$6,$C$5,$C$7,AF$1,AF$2,A54)</f>
        <v>0</v>
      </c>
      <c r="AG54" s="32">
        <f>_xll.DBRW($C$1,$C$2,$C$3,$C$4,$C$6,$C$5,$C$7,AG$1,AG$2,A54)</f>
        <v>0</v>
      </c>
      <c r="AH54" s="32">
        <f>_xll.DBRW($C$1,$C$2,$C$3,$C$4,$C$6,$C$5,$C$7,AH$1,AH$2,A54)</f>
        <v>0</v>
      </c>
      <c r="AI54" s="32">
        <f>_xll.DBRW($C$1,$C$2,$C$3,$C$4,$C$6,$C$5,$C$7,AI$1,AI$2,A54)</f>
        <v>0</v>
      </c>
      <c r="AJ54" s="32">
        <f>_xll.DBRW($C$1,$C$2,$C$3,$C$4,$C$6,$C$5,$C$7,AJ$1,AJ$2,A54)</f>
        <v>0</v>
      </c>
      <c r="AK54" s="32">
        <f>_xll.DBRW($C$1,$C$2,$C$3,$C$4,$C$6,$C$5,$C$7,AK$1,AK$2,A54)</f>
        <v>0</v>
      </c>
      <c r="AL54" s="32">
        <f>_xll.DBRW($C$1,$C$2,$C$3,$C$4,$C$6,$C$5,$C$7,AL$1,AL$2,A54)</f>
        <v>0</v>
      </c>
      <c r="AM54" s="32">
        <f>_xll.DBRW($C$1,$C$2,$C$3,$C$4,$C$6,$C$5,$C$7,AM$1,AM$2,A54)</f>
        <v>0</v>
      </c>
      <c r="AN54" s="32">
        <f>_xll.DBRW($C$1,$C$2,$C$3,$C$4,$C$6,$C$5,$C$7,AN$1,AN$2,A54)</f>
        <v>0</v>
      </c>
      <c r="AO54" s="32">
        <f>_xll.DBRW($C$1,$C$2,$C$3,$C$4,$C$6,$C$5,$C$7,AO$1,AO$2,A54)</f>
        <v>0</v>
      </c>
      <c r="AP54" s="32">
        <f>_xll.DBRW($C$1,$C$2,$C$3,$C$4,$C$6,$C$5,$C$7,AP$1,AP$2,A54)</f>
        <v>0</v>
      </c>
      <c r="AQ54" s="32">
        <f>_xll.DBRW($C$1,$C$2,$C$3,$C$4,$C$6,$C$5,$C$7,AQ$1,AQ$2,A54)</f>
        <v>0</v>
      </c>
      <c r="AR54" s="32">
        <f>_xll.DBRW($C$1,$C$2,$C$3,$C$4,$C$6,$C$5,$C$7,AR$1,AR$2,A54)</f>
        <v>0</v>
      </c>
      <c r="AS54" s="32">
        <f>_xll.DBRW($C$1,$C$2,$C$3,$C$4,$C$6,$C$5,$C$7,AS$1,AS$2,A54)</f>
        <v>0</v>
      </c>
      <c r="AT54" s="32">
        <f>_xll.DBRW($C$1,$C$2,$C$3,$C$4,$C$6,$C$5,$C$7,AT$1,AT$2,A54)</f>
        <v>0</v>
      </c>
      <c r="AU54" s="32">
        <f>_xll.DBRW($C$1,$C$2,$C$3,$C$4,$C$6,$C$5,$C$7,AU$1,AU$2,A54)</f>
        <v>0</v>
      </c>
    </row>
    <row r="55" spans="1:47" ht="15.75" hidden="1" outlineLevel="1">
      <c r="A55" s="1" t="s">
        <v>147</v>
      </c>
      <c r="C55" s="143"/>
      <c r="E55" s="15" t="s">
        <v>25</v>
      </c>
      <c r="F55" s="33">
        <f t="shared" ref="F55:T55" si="33">SUM(F54)</f>
        <v>-526713213.31</v>
      </c>
      <c r="G55" s="33">
        <f t="shared" si="33"/>
        <v>-585233648.13</v>
      </c>
      <c r="H55" s="33">
        <f t="shared" si="33"/>
        <v>-513444699.34000003</v>
      </c>
      <c r="I55" s="33">
        <f t="shared" si="33"/>
        <v>-42821280.249389999</v>
      </c>
      <c r="J55" s="33">
        <f t="shared" si="33"/>
        <v>-44328696.780000001</v>
      </c>
      <c r="K55" s="33">
        <f t="shared" si="33"/>
        <v>-149876253.23000002</v>
      </c>
      <c r="L55" s="33">
        <f t="shared" si="33"/>
        <v>-224333316.84000003</v>
      </c>
      <c r="M55" s="33">
        <f t="shared" si="33"/>
        <v>-296702048.46000004</v>
      </c>
      <c r="N55" s="33">
        <f t="shared" si="33"/>
        <v>-360305074.43000001</v>
      </c>
      <c r="O55" s="33">
        <f t="shared" si="33"/>
        <v>-419402119.68940002</v>
      </c>
      <c r="P55" s="33">
        <f t="shared" si="33"/>
        <v>-495739105.30000001</v>
      </c>
      <c r="Q55" s="33">
        <f t="shared" si="33"/>
        <v>-568842486.61000001</v>
      </c>
      <c r="R55" s="33">
        <f t="shared" si="33"/>
        <v>-623591848.58999991</v>
      </c>
      <c r="S55" s="33">
        <f t="shared" si="33"/>
        <v>-696770355.40999985</v>
      </c>
      <c r="T55" s="33">
        <f t="shared" si="33"/>
        <v>-771577015.29999995</v>
      </c>
      <c r="U55" s="33">
        <f>SUM(U54)</f>
        <v>-771577015.29999995</v>
      </c>
      <c r="V55" s="33">
        <f t="shared" ref="V55:AG55" si="34">SUM(V54)</f>
        <v>0</v>
      </c>
      <c r="W55" s="33">
        <f t="shared" si="34"/>
        <v>0</v>
      </c>
      <c r="X55" s="33">
        <f t="shared" si="34"/>
        <v>0</v>
      </c>
      <c r="Y55" s="33">
        <f t="shared" si="34"/>
        <v>0</v>
      </c>
      <c r="Z55" s="33">
        <f t="shared" si="34"/>
        <v>0</v>
      </c>
      <c r="AA55" s="33">
        <f t="shared" si="34"/>
        <v>0</v>
      </c>
      <c r="AB55" s="33">
        <f t="shared" si="34"/>
        <v>0</v>
      </c>
      <c r="AC55" s="33">
        <f t="shared" si="34"/>
        <v>0</v>
      </c>
      <c r="AD55" s="33">
        <f t="shared" si="34"/>
        <v>0</v>
      </c>
      <c r="AE55" s="33">
        <f t="shared" si="34"/>
        <v>0</v>
      </c>
      <c r="AF55" s="33">
        <f t="shared" si="34"/>
        <v>0</v>
      </c>
      <c r="AG55" s="33">
        <f t="shared" si="34"/>
        <v>0</v>
      </c>
      <c r="AH55" s="33">
        <f>SUM(AH54)</f>
        <v>0</v>
      </c>
      <c r="AI55" s="33">
        <f t="shared" ref="AI55:AT55" si="35">SUM(AI54)</f>
        <v>0</v>
      </c>
      <c r="AJ55" s="33">
        <f t="shared" si="35"/>
        <v>0</v>
      </c>
      <c r="AK55" s="33">
        <f t="shared" si="35"/>
        <v>0</v>
      </c>
      <c r="AL55" s="33">
        <f t="shared" si="35"/>
        <v>0</v>
      </c>
      <c r="AM55" s="33">
        <f t="shared" si="35"/>
        <v>0</v>
      </c>
      <c r="AN55" s="33">
        <f t="shared" si="35"/>
        <v>0</v>
      </c>
      <c r="AO55" s="33">
        <f t="shared" si="35"/>
        <v>0</v>
      </c>
      <c r="AP55" s="33">
        <f t="shared" si="35"/>
        <v>0</v>
      </c>
      <c r="AQ55" s="33">
        <f t="shared" si="35"/>
        <v>0</v>
      </c>
      <c r="AR55" s="33">
        <f t="shared" si="35"/>
        <v>0</v>
      </c>
      <c r="AS55" s="33">
        <f t="shared" si="35"/>
        <v>0</v>
      </c>
      <c r="AT55" s="33">
        <f t="shared" si="35"/>
        <v>0</v>
      </c>
      <c r="AU55" s="33">
        <f>SUM(AU54)</f>
        <v>0</v>
      </c>
    </row>
    <row r="56" spans="1:47" ht="15.75" hidden="1" customHeight="1" outlineLevel="2">
      <c r="A56" s="1" t="s">
        <v>148</v>
      </c>
      <c r="C56" s="143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-1019475492.6536002</v>
      </c>
      <c r="G56" s="32">
        <f>_xll.DBRW($C$1,$C$2,$C$3,$C$4,$C$6,$C$5,$C$7,G$1,G$2,A56)</f>
        <v>-1185211520.5311999</v>
      </c>
      <c r="H56" s="32">
        <f>_xll.DBRW($C$1,$C$2,$C$3,$C$4,$C$6,$C$5,$C$7,H$1,H$2,A56)</f>
        <v>-818761649.67339993</v>
      </c>
      <c r="I56" s="32">
        <f>_xll.DBRW($C$1,$C$2,$C$3,$C$4,$C$6,$C$5,$C$7,I$1,I$2,A56)</f>
        <v>-56522671.8838</v>
      </c>
      <c r="J56" s="32">
        <f>_xll.DBRW($C$1,$C$2,$C$3,$C$4,$C$6,$C$5,$C$7,J$1,J$2,A56)</f>
        <v>-69255433.727599993</v>
      </c>
      <c r="K56" s="32">
        <f>_xll.DBRW($C$1,$C$2,$C$3,$C$4,$C$6,$C$5,$C$7,K$1,K$2,A56)</f>
        <v>-192733392.5614</v>
      </c>
      <c r="L56" s="32">
        <f>_xll.DBRW($C$1,$C$2,$C$3,$C$4,$C$6,$C$5,$C$7,L$1,L$2,A56)</f>
        <v>-259413906.20520002</v>
      </c>
      <c r="M56" s="32">
        <f>_xll.DBRW($C$1,$C$2,$C$3,$C$4,$C$6,$C$5,$C$7,M$1,M$2,A56)</f>
        <v>-318657896.76900005</v>
      </c>
      <c r="N56" s="32">
        <f>_xll.DBRW($C$1,$C$2,$C$3,$C$4,$C$6,$C$5,$C$7,N$1,N$2,A56)</f>
        <v>-382187967.06280005</v>
      </c>
      <c r="O56" s="32">
        <f>_xll.DBRW($C$1,$C$2,$C$3,$C$4,$C$6,$C$5,$C$7,O$1,O$2,A56)</f>
        <v>-401737609.89660007</v>
      </c>
      <c r="P56" s="32">
        <f>_xll.DBRW($C$1,$C$2,$C$3,$C$4,$C$6,$C$5,$C$7,P$1,P$2,A56)</f>
        <v>-507341195.27040005</v>
      </c>
      <c r="Q56" s="32">
        <f>_xll.DBRW($C$1,$C$2,$C$3,$C$4,$C$6,$C$5,$C$7,Q$1,Q$2,A56)</f>
        <v>-572342588.30420005</v>
      </c>
      <c r="R56" s="32">
        <f>_xll.DBRW($C$1,$C$2,$C$3,$C$4,$C$6,$C$5,$C$7,R$1,R$2,A56)</f>
        <v>-576987634.43799996</v>
      </c>
      <c r="S56" s="32">
        <f>_xll.DBRW($C$1,$C$2,$C$3,$C$4,$C$6,$C$5,$C$7,S$1,S$2,A56)</f>
        <v>-662333289.76179993</v>
      </c>
      <c r="T56" s="32">
        <f>_xll.DBRW($C$1,$C$2,$C$3,$C$4,$C$6,$C$5,$C$7,T$1,T$2,A56)</f>
        <v>-849411289.8391999</v>
      </c>
      <c r="U56" s="32">
        <f>_xll.DBRW($C$1,$C$2,$C$3,$C$4,$C$6,$C$5,$C$7,U$1,U$2,A56)</f>
        <v>-849411289.8391999</v>
      </c>
      <c r="V56" s="32">
        <f>_xll.DBRW($C$1,$C$2,$C$3,$C$4,$C$6,$C$5,$C$7,V$1,V$2,A56)</f>
        <v>0</v>
      </c>
      <c r="W56" s="32">
        <f>_xll.DBRW($C$1,$C$2,$C$3,$C$4,$C$6,$C$5,$C$7,W$1,W$2,A56)</f>
        <v>0</v>
      </c>
      <c r="X56" s="32">
        <f>_xll.DBRW($C$1,$C$2,$C$3,$C$4,$C$6,$C$5,$C$7,X$1,X$2,A56)</f>
        <v>0</v>
      </c>
      <c r="Y56" s="32">
        <f>_xll.DBRW($C$1,$C$2,$C$3,$C$4,$C$6,$C$5,$C$7,Y$1,Y$2,A56)</f>
        <v>0</v>
      </c>
      <c r="Z56" s="32">
        <f>_xll.DBRW($C$1,$C$2,$C$3,$C$4,$C$6,$C$5,$C$7,Z$1,Z$2,A56)</f>
        <v>0</v>
      </c>
      <c r="AA56" s="32">
        <f>_xll.DBRW($C$1,$C$2,$C$3,$C$4,$C$6,$C$5,$C$7,AA$1,AA$2,A56)</f>
        <v>0</v>
      </c>
      <c r="AB56" s="32">
        <f>_xll.DBRW($C$1,$C$2,$C$3,$C$4,$C$6,$C$5,$C$7,AB$1,AB$2,A56)</f>
        <v>0</v>
      </c>
      <c r="AC56" s="32">
        <f>_xll.DBRW($C$1,$C$2,$C$3,$C$4,$C$6,$C$5,$C$7,AC$1,AC$2,A56)</f>
        <v>0</v>
      </c>
      <c r="AD56" s="32">
        <f>_xll.DBRW($C$1,$C$2,$C$3,$C$4,$C$6,$C$5,$C$7,AD$1,AD$2,A56)</f>
        <v>0</v>
      </c>
      <c r="AE56" s="32">
        <f>_xll.DBRW($C$1,$C$2,$C$3,$C$4,$C$6,$C$5,$C$7,AE$1,AE$2,A56)</f>
        <v>0</v>
      </c>
      <c r="AF56" s="32">
        <f>_xll.DBRW($C$1,$C$2,$C$3,$C$4,$C$6,$C$5,$C$7,AF$1,AF$2,A56)</f>
        <v>0</v>
      </c>
      <c r="AG56" s="32">
        <f>_xll.DBRW($C$1,$C$2,$C$3,$C$4,$C$6,$C$5,$C$7,AG$1,AG$2,A56)</f>
        <v>0</v>
      </c>
      <c r="AH56" s="32">
        <f>_xll.DBRW($C$1,$C$2,$C$3,$C$4,$C$6,$C$5,$C$7,AH$1,AH$2,A56)</f>
        <v>0</v>
      </c>
      <c r="AI56" s="32">
        <f>_xll.DBRW($C$1,$C$2,$C$3,$C$4,$C$6,$C$5,$C$7,AI$1,AI$2,A56)</f>
        <v>0</v>
      </c>
      <c r="AJ56" s="32">
        <f>_xll.DBRW($C$1,$C$2,$C$3,$C$4,$C$6,$C$5,$C$7,AJ$1,AJ$2,A56)</f>
        <v>0</v>
      </c>
      <c r="AK56" s="32">
        <f>_xll.DBRW($C$1,$C$2,$C$3,$C$4,$C$6,$C$5,$C$7,AK$1,AK$2,A56)</f>
        <v>0</v>
      </c>
      <c r="AL56" s="32">
        <f>_xll.DBRW($C$1,$C$2,$C$3,$C$4,$C$6,$C$5,$C$7,AL$1,AL$2,A56)</f>
        <v>0</v>
      </c>
      <c r="AM56" s="32">
        <f>_xll.DBRW($C$1,$C$2,$C$3,$C$4,$C$6,$C$5,$C$7,AM$1,AM$2,A56)</f>
        <v>0</v>
      </c>
      <c r="AN56" s="32">
        <f>_xll.DBRW($C$1,$C$2,$C$3,$C$4,$C$6,$C$5,$C$7,AN$1,AN$2,A56)</f>
        <v>0</v>
      </c>
      <c r="AO56" s="32">
        <f>_xll.DBRW($C$1,$C$2,$C$3,$C$4,$C$6,$C$5,$C$7,AO$1,AO$2,A56)</f>
        <v>0</v>
      </c>
      <c r="AP56" s="32">
        <f>_xll.DBRW($C$1,$C$2,$C$3,$C$4,$C$6,$C$5,$C$7,AP$1,AP$2,A56)</f>
        <v>0</v>
      </c>
      <c r="AQ56" s="32">
        <f>_xll.DBRW($C$1,$C$2,$C$3,$C$4,$C$6,$C$5,$C$7,AQ$1,AQ$2,A56)</f>
        <v>0</v>
      </c>
      <c r="AR56" s="32">
        <f>_xll.DBRW($C$1,$C$2,$C$3,$C$4,$C$6,$C$5,$C$7,AR$1,AR$2,A56)</f>
        <v>0</v>
      </c>
      <c r="AS56" s="32">
        <f>_xll.DBRW($C$1,$C$2,$C$3,$C$4,$C$6,$C$5,$C$7,AS$1,AS$2,A56)</f>
        <v>0</v>
      </c>
      <c r="AT56" s="32">
        <f>_xll.DBRW($C$1,$C$2,$C$3,$C$4,$C$6,$C$5,$C$7,AT$1,AT$2,A56)</f>
        <v>0</v>
      </c>
      <c r="AU56" s="32">
        <f>_xll.DBRW($C$1,$C$2,$C$3,$C$4,$C$6,$C$5,$C$7,AU$1,AU$2,A56)</f>
        <v>0</v>
      </c>
    </row>
    <row r="57" spans="1:47" ht="15.75" hidden="1" customHeight="1" outlineLevel="2">
      <c r="A57" s="1" t="s">
        <v>149</v>
      </c>
      <c r="C57" s="143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</row>
    <row r="58" spans="1:47" ht="15.75" hidden="1" customHeight="1" outlineLevel="2">
      <c r="A58" s="1" t="s">
        <v>150</v>
      </c>
      <c r="C58" s="143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-627795.22000000009</v>
      </c>
      <c r="G58" s="32">
        <f>_xll.DBRW($C$1,$C$2,$C$3,$C$4,$C$6,$C$5,$C$7,G$1,G$2,A58)</f>
        <v>-4618849.5</v>
      </c>
      <c r="H58" s="32">
        <f>_xll.DBRW($C$1,$C$2,$C$3,$C$4,$C$6,$C$5,$C$7,H$1,H$2,A58)</f>
        <v>-4882822.21</v>
      </c>
      <c r="I58" s="32">
        <f>_xll.DBRW($C$1,$C$2,$C$3,$C$4,$C$6,$C$5,$C$7,I$1,I$2,A58)</f>
        <v>-43079.4</v>
      </c>
      <c r="J58" s="32">
        <f>_xll.DBRW($C$1,$C$2,$C$3,$C$4,$C$6,$C$5,$C$7,J$1,J$2,A58)</f>
        <v>-826170.10999999987</v>
      </c>
      <c r="K58" s="32">
        <f>_xll.DBRW($C$1,$C$2,$C$3,$C$4,$C$6,$C$5,$C$7,K$1,K$2,A58)</f>
        <v>-1249180.8899999999</v>
      </c>
      <c r="L58" s="32">
        <f>_xll.DBRW($C$1,$C$2,$C$3,$C$4,$C$6,$C$5,$C$7,L$1,L$2,A58)</f>
        <v>-1648824.82</v>
      </c>
      <c r="M58" s="32">
        <f>_xll.DBRW($C$1,$C$2,$C$3,$C$4,$C$6,$C$5,$C$7,M$1,M$2,A58)</f>
        <v>-2043315.94</v>
      </c>
      <c r="N58" s="32">
        <f>_xll.DBRW($C$1,$C$2,$C$3,$C$4,$C$6,$C$5,$C$7,N$1,N$2,A58)</f>
        <v>-2453445.9699999997</v>
      </c>
      <c r="O58" s="32">
        <f>_xll.DBRW($C$1,$C$2,$C$3,$C$4,$C$6,$C$5,$C$7,O$1,O$2,A58)</f>
        <v>-260588.14999999991</v>
      </c>
      <c r="P58" s="32">
        <f>_xll.DBRW($C$1,$C$2,$C$3,$C$4,$C$6,$C$5,$C$7,P$1,P$2,A58)</f>
        <v>-3307670.16</v>
      </c>
      <c r="Q58" s="32">
        <f>_xll.DBRW($C$1,$C$2,$C$3,$C$4,$C$6,$C$5,$C$7,Q$1,Q$2,A58)</f>
        <v>-3748863.2</v>
      </c>
      <c r="R58" s="32">
        <f>_xll.DBRW($C$1,$C$2,$C$3,$C$4,$C$6,$C$5,$C$7,R$1,R$2,A58)</f>
        <v>-382878.94000000006</v>
      </c>
      <c r="S58" s="32">
        <f>_xll.DBRW($C$1,$C$2,$C$3,$C$4,$C$6,$C$5,$C$7,S$1,S$2,A58)</f>
        <v>-4567484.21</v>
      </c>
      <c r="T58" s="32">
        <f>_xll.DBRW($C$1,$C$2,$C$3,$C$4,$C$6,$C$5,$C$7,T$1,T$2,A58)</f>
        <v>-4950075.0599999996</v>
      </c>
      <c r="U58" s="32">
        <f>_xll.DBRW($C$1,$C$2,$C$3,$C$4,$C$6,$C$5,$C$7,U$1,U$2,A58)</f>
        <v>-4950075.0599999996</v>
      </c>
      <c r="V58" s="32">
        <f>_xll.DBRW($C$1,$C$2,$C$3,$C$4,$C$6,$C$5,$C$7,V$1,V$2,A58)</f>
        <v>0</v>
      </c>
      <c r="W58" s="32">
        <f>_xll.DBRW($C$1,$C$2,$C$3,$C$4,$C$6,$C$5,$C$7,W$1,W$2,A58)</f>
        <v>0</v>
      </c>
      <c r="X58" s="32">
        <f>_xll.DBRW($C$1,$C$2,$C$3,$C$4,$C$6,$C$5,$C$7,X$1,X$2,A58)</f>
        <v>0</v>
      </c>
      <c r="Y58" s="32">
        <f>_xll.DBRW($C$1,$C$2,$C$3,$C$4,$C$6,$C$5,$C$7,Y$1,Y$2,A58)</f>
        <v>0</v>
      </c>
      <c r="Z58" s="32">
        <f>_xll.DBRW($C$1,$C$2,$C$3,$C$4,$C$6,$C$5,$C$7,Z$1,Z$2,A58)</f>
        <v>0</v>
      </c>
      <c r="AA58" s="32">
        <f>_xll.DBRW($C$1,$C$2,$C$3,$C$4,$C$6,$C$5,$C$7,AA$1,AA$2,A58)</f>
        <v>0</v>
      </c>
      <c r="AB58" s="32">
        <f>_xll.DBRW($C$1,$C$2,$C$3,$C$4,$C$6,$C$5,$C$7,AB$1,AB$2,A58)</f>
        <v>0</v>
      </c>
      <c r="AC58" s="32">
        <f>_xll.DBRW($C$1,$C$2,$C$3,$C$4,$C$6,$C$5,$C$7,AC$1,AC$2,A58)</f>
        <v>0</v>
      </c>
      <c r="AD58" s="32">
        <f>_xll.DBRW($C$1,$C$2,$C$3,$C$4,$C$6,$C$5,$C$7,AD$1,AD$2,A58)</f>
        <v>0</v>
      </c>
      <c r="AE58" s="32">
        <f>_xll.DBRW($C$1,$C$2,$C$3,$C$4,$C$6,$C$5,$C$7,AE$1,AE$2,A58)</f>
        <v>0</v>
      </c>
      <c r="AF58" s="32">
        <f>_xll.DBRW($C$1,$C$2,$C$3,$C$4,$C$6,$C$5,$C$7,AF$1,AF$2,A58)</f>
        <v>0</v>
      </c>
      <c r="AG58" s="32">
        <f>_xll.DBRW($C$1,$C$2,$C$3,$C$4,$C$6,$C$5,$C$7,AG$1,AG$2,A58)</f>
        <v>0</v>
      </c>
      <c r="AH58" s="32">
        <f>_xll.DBRW($C$1,$C$2,$C$3,$C$4,$C$6,$C$5,$C$7,AH$1,AH$2,A58)</f>
        <v>0</v>
      </c>
      <c r="AI58" s="32">
        <f>_xll.DBRW($C$1,$C$2,$C$3,$C$4,$C$6,$C$5,$C$7,AI$1,AI$2,A58)</f>
        <v>0</v>
      </c>
      <c r="AJ58" s="32">
        <f>_xll.DBRW($C$1,$C$2,$C$3,$C$4,$C$6,$C$5,$C$7,AJ$1,AJ$2,A58)</f>
        <v>0</v>
      </c>
      <c r="AK58" s="32">
        <f>_xll.DBRW($C$1,$C$2,$C$3,$C$4,$C$6,$C$5,$C$7,AK$1,AK$2,A58)</f>
        <v>0</v>
      </c>
      <c r="AL58" s="32">
        <f>_xll.DBRW($C$1,$C$2,$C$3,$C$4,$C$6,$C$5,$C$7,AL$1,AL$2,A58)</f>
        <v>0</v>
      </c>
      <c r="AM58" s="32">
        <f>_xll.DBRW($C$1,$C$2,$C$3,$C$4,$C$6,$C$5,$C$7,AM$1,AM$2,A58)</f>
        <v>0</v>
      </c>
      <c r="AN58" s="32">
        <f>_xll.DBRW($C$1,$C$2,$C$3,$C$4,$C$6,$C$5,$C$7,AN$1,AN$2,A58)</f>
        <v>0</v>
      </c>
      <c r="AO58" s="32">
        <f>_xll.DBRW($C$1,$C$2,$C$3,$C$4,$C$6,$C$5,$C$7,AO$1,AO$2,A58)</f>
        <v>0</v>
      </c>
      <c r="AP58" s="32">
        <f>_xll.DBRW($C$1,$C$2,$C$3,$C$4,$C$6,$C$5,$C$7,AP$1,AP$2,A58)</f>
        <v>0</v>
      </c>
      <c r="AQ58" s="32">
        <f>_xll.DBRW($C$1,$C$2,$C$3,$C$4,$C$6,$C$5,$C$7,AQ$1,AQ$2,A58)</f>
        <v>0</v>
      </c>
      <c r="AR58" s="32">
        <f>_xll.DBRW($C$1,$C$2,$C$3,$C$4,$C$6,$C$5,$C$7,AR$1,AR$2,A58)</f>
        <v>0</v>
      </c>
      <c r="AS58" s="32">
        <f>_xll.DBRW($C$1,$C$2,$C$3,$C$4,$C$6,$C$5,$C$7,AS$1,AS$2,A58)</f>
        <v>0</v>
      </c>
      <c r="AT58" s="32">
        <f>_xll.DBRW($C$1,$C$2,$C$3,$C$4,$C$6,$C$5,$C$7,AT$1,AT$2,A58)</f>
        <v>0</v>
      </c>
      <c r="AU58" s="32">
        <f>_xll.DBRW($C$1,$C$2,$C$3,$C$4,$C$6,$C$5,$C$7,AU$1,AU$2,A58)</f>
        <v>0</v>
      </c>
    </row>
    <row r="59" spans="1:47" ht="15.75" hidden="1" customHeight="1" outlineLevel="2">
      <c r="A59" s="1" t="s">
        <v>151</v>
      </c>
      <c r="C59" s="143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0</v>
      </c>
      <c r="H59" s="32">
        <f>_xll.DBRW($C$1,$C$2,$C$3,$C$4,$C$6,$C$5,$C$7,H$1,H$2,A59)</f>
        <v>0</v>
      </c>
      <c r="I59" s="32">
        <f>_xll.DBRW($C$1,$C$2,$C$3,$C$4,$C$6,$C$5,$C$7,I$1,I$2,A59)</f>
        <v>0</v>
      </c>
      <c r="J59" s="32">
        <f>_xll.DBRW($C$1,$C$2,$C$3,$C$4,$C$6,$C$5,$C$7,J$1,J$2,A59)</f>
        <v>0</v>
      </c>
      <c r="K59" s="32">
        <f>_xll.DBRW($C$1,$C$2,$C$3,$C$4,$C$6,$C$5,$C$7,K$1,K$2,A59)</f>
        <v>0</v>
      </c>
      <c r="L59" s="32">
        <f>_xll.DBRW($C$1,$C$2,$C$3,$C$4,$C$6,$C$5,$C$7,L$1,L$2,A59)</f>
        <v>0</v>
      </c>
      <c r="M59" s="32">
        <f>_xll.DBRW($C$1,$C$2,$C$3,$C$4,$C$6,$C$5,$C$7,M$1,M$2,A59)</f>
        <v>0</v>
      </c>
      <c r="N59" s="32">
        <f>_xll.DBRW($C$1,$C$2,$C$3,$C$4,$C$6,$C$5,$C$7,N$1,N$2,A59)</f>
        <v>0</v>
      </c>
      <c r="O59" s="32">
        <f>_xll.DBRW($C$1,$C$2,$C$3,$C$4,$C$6,$C$5,$C$7,O$1,O$2,A59)</f>
        <v>0</v>
      </c>
      <c r="P59" s="32">
        <f>_xll.DBRW($C$1,$C$2,$C$3,$C$4,$C$6,$C$5,$C$7,P$1,P$2,A59)</f>
        <v>-2389.3200000000002</v>
      </c>
      <c r="Q59" s="32">
        <f>_xll.DBRW($C$1,$C$2,$C$3,$C$4,$C$6,$C$5,$C$7,Q$1,Q$2,A59)</f>
        <v>-2389.3200000000002</v>
      </c>
      <c r="R59" s="32">
        <f>_xll.DBRW($C$1,$C$2,$C$3,$C$4,$C$6,$C$5,$C$7,R$1,R$2,A59)</f>
        <v>-2389.3200000000002</v>
      </c>
      <c r="S59" s="32">
        <f>_xll.DBRW($C$1,$C$2,$C$3,$C$4,$C$6,$C$5,$C$7,S$1,S$2,A59)</f>
        <v>-2389.3200000000002</v>
      </c>
      <c r="T59" s="32">
        <f>_xll.DBRW($C$1,$C$2,$C$3,$C$4,$C$6,$C$5,$C$7,T$1,T$2,A59)</f>
        <v>-2389.3200000000002</v>
      </c>
      <c r="U59" s="32">
        <f>_xll.DBRW($C$1,$C$2,$C$3,$C$4,$C$6,$C$5,$C$7,U$1,U$2,A59)</f>
        <v>-2389.3200000000002</v>
      </c>
      <c r="V59" s="32">
        <f>_xll.DBRW($C$1,$C$2,$C$3,$C$4,$C$6,$C$5,$C$7,V$1,V$2,A59)</f>
        <v>0</v>
      </c>
      <c r="W59" s="32">
        <f>_xll.DBRW($C$1,$C$2,$C$3,$C$4,$C$6,$C$5,$C$7,W$1,W$2,A59)</f>
        <v>0</v>
      </c>
      <c r="X59" s="32">
        <f>_xll.DBRW($C$1,$C$2,$C$3,$C$4,$C$6,$C$5,$C$7,X$1,X$2,A59)</f>
        <v>0</v>
      </c>
      <c r="Y59" s="32">
        <f>_xll.DBRW($C$1,$C$2,$C$3,$C$4,$C$6,$C$5,$C$7,Y$1,Y$2,A59)</f>
        <v>0</v>
      </c>
      <c r="Z59" s="32">
        <f>_xll.DBRW($C$1,$C$2,$C$3,$C$4,$C$6,$C$5,$C$7,Z$1,Z$2,A59)</f>
        <v>0</v>
      </c>
      <c r="AA59" s="32">
        <f>_xll.DBRW($C$1,$C$2,$C$3,$C$4,$C$6,$C$5,$C$7,AA$1,AA$2,A59)</f>
        <v>0</v>
      </c>
      <c r="AB59" s="32">
        <f>_xll.DBRW($C$1,$C$2,$C$3,$C$4,$C$6,$C$5,$C$7,AB$1,AB$2,A59)</f>
        <v>0</v>
      </c>
      <c r="AC59" s="32">
        <f>_xll.DBRW($C$1,$C$2,$C$3,$C$4,$C$6,$C$5,$C$7,AC$1,AC$2,A59)</f>
        <v>0</v>
      </c>
      <c r="AD59" s="32">
        <f>_xll.DBRW($C$1,$C$2,$C$3,$C$4,$C$6,$C$5,$C$7,AD$1,AD$2,A59)</f>
        <v>0</v>
      </c>
      <c r="AE59" s="32">
        <f>_xll.DBRW($C$1,$C$2,$C$3,$C$4,$C$6,$C$5,$C$7,AE$1,AE$2,A59)</f>
        <v>0</v>
      </c>
      <c r="AF59" s="32">
        <f>_xll.DBRW($C$1,$C$2,$C$3,$C$4,$C$6,$C$5,$C$7,AF$1,AF$2,A59)</f>
        <v>0</v>
      </c>
      <c r="AG59" s="32">
        <f>_xll.DBRW($C$1,$C$2,$C$3,$C$4,$C$6,$C$5,$C$7,AG$1,AG$2,A59)</f>
        <v>0</v>
      </c>
      <c r="AH59" s="32">
        <f>_xll.DBRW($C$1,$C$2,$C$3,$C$4,$C$6,$C$5,$C$7,AH$1,AH$2,A59)</f>
        <v>0</v>
      </c>
      <c r="AI59" s="32">
        <f>_xll.DBRW($C$1,$C$2,$C$3,$C$4,$C$6,$C$5,$C$7,AI$1,AI$2,A59)</f>
        <v>0</v>
      </c>
      <c r="AJ59" s="32">
        <f>_xll.DBRW($C$1,$C$2,$C$3,$C$4,$C$6,$C$5,$C$7,AJ$1,AJ$2,A59)</f>
        <v>0</v>
      </c>
      <c r="AK59" s="32">
        <f>_xll.DBRW($C$1,$C$2,$C$3,$C$4,$C$6,$C$5,$C$7,AK$1,AK$2,A59)</f>
        <v>0</v>
      </c>
      <c r="AL59" s="32">
        <f>_xll.DBRW($C$1,$C$2,$C$3,$C$4,$C$6,$C$5,$C$7,AL$1,AL$2,A59)</f>
        <v>0</v>
      </c>
      <c r="AM59" s="32">
        <f>_xll.DBRW($C$1,$C$2,$C$3,$C$4,$C$6,$C$5,$C$7,AM$1,AM$2,A59)</f>
        <v>0</v>
      </c>
      <c r="AN59" s="32">
        <f>_xll.DBRW($C$1,$C$2,$C$3,$C$4,$C$6,$C$5,$C$7,AN$1,AN$2,A59)</f>
        <v>0</v>
      </c>
      <c r="AO59" s="32">
        <f>_xll.DBRW($C$1,$C$2,$C$3,$C$4,$C$6,$C$5,$C$7,AO$1,AO$2,A59)</f>
        <v>0</v>
      </c>
      <c r="AP59" s="32">
        <f>_xll.DBRW($C$1,$C$2,$C$3,$C$4,$C$6,$C$5,$C$7,AP$1,AP$2,A59)</f>
        <v>0</v>
      </c>
      <c r="AQ59" s="32">
        <f>_xll.DBRW($C$1,$C$2,$C$3,$C$4,$C$6,$C$5,$C$7,AQ$1,AQ$2,A59)</f>
        <v>0</v>
      </c>
      <c r="AR59" s="32">
        <f>_xll.DBRW($C$1,$C$2,$C$3,$C$4,$C$6,$C$5,$C$7,AR$1,AR$2,A59)</f>
        <v>0</v>
      </c>
      <c r="AS59" s="32">
        <f>_xll.DBRW($C$1,$C$2,$C$3,$C$4,$C$6,$C$5,$C$7,AS$1,AS$2,A59)</f>
        <v>0</v>
      </c>
      <c r="AT59" s="32">
        <f>_xll.DBRW($C$1,$C$2,$C$3,$C$4,$C$6,$C$5,$C$7,AT$1,AT$2,A59)</f>
        <v>0</v>
      </c>
      <c r="AU59" s="32">
        <f>_xll.DBRW($C$1,$C$2,$C$3,$C$4,$C$6,$C$5,$C$7,AU$1,AU$2,A59)</f>
        <v>0</v>
      </c>
    </row>
    <row r="60" spans="1:47" ht="15.75" hidden="1" customHeight="1" outlineLevel="2">
      <c r="A60" s="1" t="s">
        <v>152</v>
      </c>
      <c r="C60" s="143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I60" s="32">
        <f>_xll.DBRW($C$1,$C$2,$C$3,$C$4,$C$6,$C$5,$C$7,I$1,I$2,A60)</f>
        <v>0</v>
      </c>
      <c r="J60" s="32">
        <f>_xll.DBRW($C$1,$C$2,$C$3,$C$4,$C$6,$C$5,$C$7,J$1,J$2,A60)</f>
        <v>0</v>
      </c>
      <c r="K60" s="32">
        <f>_xll.DBRW($C$1,$C$2,$C$3,$C$4,$C$6,$C$5,$C$7,K$1,K$2,A60)</f>
        <v>0</v>
      </c>
      <c r="L60" s="32">
        <f>_xll.DBRW($C$1,$C$2,$C$3,$C$4,$C$6,$C$5,$C$7,L$1,L$2,A60)</f>
        <v>0</v>
      </c>
      <c r="M60" s="32">
        <f>_xll.DBRW($C$1,$C$2,$C$3,$C$4,$C$6,$C$5,$C$7,M$1,M$2,A60)</f>
        <v>0</v>
      </c>
      <c r="N60" s="32">
        <f>_xll.DBRW($C$1,$C$2,$C$3,$C$4,$C$6,$C$5,$C$7,N$1,N$2,A60)</f>
        <v>0</v>
      </c>
      <c r="O60" s="32">
        <f>_xll.DBRW($C$1,$C$2,$C$3,$C$4,$C$6,$C$5,$C$7,O$1,O$2,A60)</f>
        <v>0</v>
      </c>
      <c r="P60" s="32">
        <f>_xll.DBRW($C$1,$C$2,$C$3,$C$4,$C$6,$C$5,$C$7,P$1,P$2,A60)</f>
        <v>0</v>
      </c>
      <c r="Q60" s="32">
        <f>_xll.DBRW($C$1,$C$2,$C$3,$C$4,$C$6,$C$5,$C$7,Q$1,Q$2,A60)</f>
        <v>0</v>
      </c>
      <c r="R60" s="32">
        <f>_xll.DBRW($C$1,$C$2,$C$3,$C$4,$C$6,$C$5,$C$7,R$1,R$2,A60)</f>
        <v>0</v>
      </c>
      <c r="S60" s="32">
        <f>_xll.DBRW($C$1,$C$2,$C$3,$C$4,$C$6,$C$5,$C$7,S$1,S$2,A60)</f>
        <v>0</v>
      </c>
      <c r="T60" s="32">
        <f>_xll.DBRW($C$1,$C$2,$C$3,$C$4,$C$6,$C$5,$C$7,T$1,T$2,A60)</f>
        <v>0</v>
      </c>
      <c r="U60" s="32">
        <f>_xll.DBRW($C$1,$C$2,$C$3,$C$4,$C$6,$C$5,$C$7,U$1,U$2,A60)</f>
        <v>0</v>
      </c>
      <c r="V60" s="32">
        <f>_xll.DBRW($C$1,$C$2,$C$3,$C$4,$C$6,$C$5,$C$7,V$1,V$2,A60)</f>
        <v>0</v>
      </c>
      <c r="W60" s="32">
        <f>_xll.DBRW($C$1,$C$2,$C$3,$C$4,$C$6,$C$5,$C$7,W$1,W$2,A60)</f>
        <v>0</v>
      </c>
      <c r="X60" s="32">
        <f>_xll.DBRW($C$1,$C$2,$C$3,$C$4,$C$6,$C$5,$C$7,X$1,X$2,A60)</f>
        <v>0</v>
      </c>
      <c r="Y60" s="32">
        <f>_xll.DBRW($C$1,$C$2,$C$3,$C$4,$C$6,$C$5,$C$7,Y$1,Y$2,A60)</f>
        <v>0</v>
      </c>
      <c r="Z60" s="32">
        <f>_xll.DBRW($C$1,$C$2,$C$3,$C$4,$C$6,$C$5,$C$7,Z$1,Z$2,A60)</f>
        <v>0</v>
      </c>
      <c r="AA60" s="32">
        <f>_xll.DBRW($C$1,$C$2,$C$3,$C$4,$C$6,$C$5,$C$7,AA$1,AA$2,A60)</f>
        <v>0</v>
      </c>
      <c r="AB60" s="32">
        <f>_xll.DBRW($C$1,$C$2,$C$3,$C$4,$C$6,$C$5,$C$7,AB$1,AB$2,A60)</f>
        <v>0</v>
      </c>
      <c r="AC60" s="32">
        <f>_xll.DBRW($C$1,$C$2,$C$3,$C$4,$C$6,$C$5,$C$7,AC$1,AC$2,A60)</f>
        <v>0</v>
      </c>
      <c r="AD60" s="32">
        <f>_xll.DBRW($C$1,$C$2,$C$3,$C$4,$C$6,$C$5,$C$7,AD$1,AD$2,A60)</f>
        <v>0</v>
      </c>
      <c r="AE60" s="32">
        <f>_xll.DBRW($C$1,$C$2,$C$3,$C$4,$C$6,$C$5,$C$7,AE$1,AE$2,A60)</f>
        <v>0</v>
      </c>
      <c r="AF60" s="32">
        <f>_xll.DBRW($C$1,$C$2,$C$3,$C$4,$C$6,$C$5,$C$7,AF$1,AF$2,A60)</f>
        <v>0</v>
      </c>
      <c r="AG60" s="32">
        <f>_xll.DBRW($C$1,$C$2,$C$3,$C$4,$C$6,$C$5,$C$7,AG$1,AG$2,A60)</f>
        <v>0</v>
      </c>
      <c r="AH60" s="32">
        <f>_xll.DBRW($C$1,$C$2,$C$3,$C$4,$C$6,$C$5,$C$7,AH$1,AH$2,A60)</f>
        <v>0</v>
      </c>
      <c r="AI60" s="32">
        <f>_xll.DBRW($C$1,$C$2,$C$3,$C$4,$C$6,$C$5,$C$7,AI$1,AI$2,A60)</f>
        <v>0</v>
      </c>
      <c r="AJ60" s="32">
        <f>_xll.DBRW($C$1,$C$2,$C$3,$C$4,$C$6,$C$5,$C$7,AJ$1,AJ$2,A60)</f>
        <v>0</v>
      </c>
      <c r="AK60" s="32">
        <f>_xll.DBRW($C$1,$C$2,$C$3,$C$4,$C$6,$C$5,$C$7,AK$1,AK$2,A60)</f>
        <v>0</v>
      </c>
      <c r="AL60" s="32">
        <f>_xll.DBRW($C$1,$C$2,$C$3,$C$4,$C$6,$C$5,$C$7,AL$1,AL$2,A60)</f>
        <v>0</v>
      </c>
      <c r="AM60" s="32">
        <f>_xll.DBRW($C$1,$C$2,$C$3,$C$4,$C$6,$C$5,$C$7,AM$1,AM$2,A60)</f>
        <v>0</v>
      </c>
      <c r="AN60" s="32">
        <f>_xll.DBRW($C$1,$C$2,$C$3,$C$4,$C$6,$C$5,$C$7,AN$1,AN$2,A60)</f>
        <v>0</v>
      </c>
      <c r="AO60" s="32">
        <f>_xll.DBRW($C$1,$C$2,$C$3,$C$4,$C$6,$C$5,$C$7,AO$1,AO$2,A60)</f>
        <v>0</v>
      </c>
      <c r="AP60" s="32">
        <f>_xll.DBRW($C$1,$C$2,$C$3,$C$4,$C$6,$C$5,$C$7,AP$1,AP$2,A60)</f>
        <v>0</v>
      </c>
      <c r="AQ60" s="32">
        <f>_xll.DBRW($C$1,$C$2,$C$3,$C$4,$C$6,$C$5,$C$7,AQ$1,AQ$2,A60)</f>
        <v>0</v>
      </c>
      <c r="AR60" s="32">
        <f>_xll.DBRW($C$1,$C$2,$C$3,$C$4,$C$6,$C$5,$C$7,AR$1,AR$2,A60)</f>
        <v>0</v>
      </c>
      <c r="AS60" s="32">
        <f>_xll.DBRW($C$1,$C$2,$C$3,$C$4,$C$6,$C$5,$C$7,AS$1,AS$2,A60)</f>
        <v>0</v>
      </c>
      <c r="AT60" s="32">
        <f>_xll.DBRW($C$1,$C$2,$C$3,$C$4,$C$6,$C$5,$C$7,AT$1,AT$2,A60)</f>
        <v>0</v>
      </c>
      <c r="AU60" s="32">
        <f>_xll.DBRW($C$1,$C$2,$C$3,$C$4,$C$6,$C$5,$C$7,AU$1,AU$2,A60)</f>
        <v>0</v>
      </c>
    </row>
    <row r="61" spans="1:47" ht="15.75" hidden="1" customHeight="1" outlineLevel="2">
      <c r="A61" s="1" t="s">
        <v>153</v>
      </c>
      <c r="C61" s="143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I61" s="32">
        <f>_xll.DBRW($C$1,$C$2,$C$3,$C$4,$C$6,$C$5,$C$7,I$1,I$2,A61)</f>
        <v>0</v>
      </c>
      <c r="J61" s="32">
        <f>_xll.DBRW($C$1,$C$2,$C$3,$C$4,$C$6,$C$5,$C$7,J$1,J$2,A61)</f>
        <v>0</v>
      </c>
      <c r="K61" s="32">
        <f>_xll.DBRW($C$1,$C$2,$C$3,$C$4,$C$6,$C$5,$C$7,K$1,K$2,A61)</f>
        <v>0</v>
      </c>
      <c r="L61" s="32">
        <f>_xll.DBRW($C$1,$C$2,$C$3,$C$4,$C$6,$C$5,$C$7,L$1,L$2,A61)</f>
        <v>0</v>
      </c>
      <c r="M61" s="32">
        <f>_xll.DBRW($C$1,$C$2,$C$3,$C$4,$C$6,$C$5,$C$7,M$1,M$2,A61)</f>
        <v>0</v>
      </c>
      <c r="N61" s="32">
        <f>_xll.DBRW($C$1,$C$2,$C$3,$C$4,$C$6,$C$5,$C$7,N$1,N$2,A61)</f>
        <v>0</v>
      </c>
      <c r="O61" s="32">
        <f>_xll.DBRW($C$1,$C$2,$C$3,$C$4,$C$6,$C$5,$C$7,O$1,O$2,A61)</f>
        <v>0</v>
      </c>
      <c r="P61" s="32">
        <f>_xll.DBRW($C$1,$C$2,$C$3,$C$4,$C$6,$C$5,$C$7,P$1,P$2,A61)</f>
        <v>0</v>
      </c>
      <c r="Q61" s="32">
        <f>_xll.DBRW($C$1,$C$2,$C$3,$C$4,$C$6,$C$5,$C$7,Q$1,Q$2,A61)</f>
        <v>0</v>
      </c>
      <c r="R61" s="32">
        <f>_xll.DBRW($C$1,$C$2,$C$3,$C$4,$C$6,$C$5,$C$7,R$1,R$2,A61)</f>
        <v>0</v>
      </c>
      <c r="S61" s="32">
        <f>_xll.DBRW($C$1,$C$2,$C$3,$C$4,$C$6,$C$5,$C$7,S$1,S$2,A61)</f>
        <v>0</v>
      </c>
      <c r="T61" s="32">
        <f>_xll.DBRW($C$1,$C$2,$C$3,$C$4,$C$6,$C$5,$C$7,T$1,T$2,A61)</f>
        <v>0</v>
      </c>
      <c r="U61" s="32">
        <f>_xll.DBRW($C$1,$C$2,$C$3,$C$4,$C$6,$C$5,$C$7,U$1,U$2,A61)</f>
        <v>0</v>
      </c>
      <c r="V61" s="32">
        <f>_xll.DBRW($C$1,$C$2,$C$3,$C$4,$C$6,$C$5,$C$7,V$1,V$2,A61)</f>
        <v>0</v>
      </c>
      <c r="W61" s="32">
        <f>_xll.DBRW($C$1,$C$2,$C$3,$C$4,$C$6,$C$5,$C$7,W$1,W$2,A61)</f>
        <v>0</v>
      </c>
      <c r="X61" s="32">
        <f>_xll.DBRW($C$1,$C$2,$C$3,$C$4,$C$6,$C$5,$C$7,X$1,X$2,A61)</f>
        <v>0</v>
      </c>
      <c r="Y61" s="32">
        <f>_xll.DBRW($C$1,$C$2,$C$3,$C$4,$C$6,$C$5,$C$7,Y$1,Y$2,A61)</f>
        <v>0</v>
      </c>
      <c r="Z61" s="32">
        <f>_xll.DBRW($C$1,$C$2,$C$3,$C$4,$C$6,$C$5,$C$7,Z$1,Z$2,A61)</f>
        <v>0</v>
      </c>
      <c r="AA61" s="32">
        <f>_xll.DBRW($C$1,$C$2,$C$3,$C$4,$C$6,$C$5,$C$7,AA$1,AA$2,A61)</f>
        <v>0</v>
      </c>
      <c r="AB61" s="32">
        <f>_xll.DBRW($C$1,$C$2,$C$3,$C$4,$C$6,$C$5,$C$7,AB$1,AB$2,A61)</f>
        <v>0</v>
      </c>
      <c r="AC61" s="32">
        <f>_xll.DBRW($C$1,$C$2,$C$3,$C$4,$C$6,$C$5,$C$7,AC$1,AC$2,A61)</f>
        <v>0</v>
      </c>
      <c r="AD61" s="32">
        <f>_xll.DBRW($C$1,$C$2,$C$3,$C$4,$C$6,$C$5,$C$7,AD$1,AD$2,A61)</f>
        <v>0</v>
      </c>
      <c r="AE61" s="32">
        <f>_xll.DBRW($C$1,$C$2,$C$3,$C$4,$C$6,$C$5,$C$7,AE$1,AE$2,A61)</f>
        <v>0</v>
      </c>
      <c r="AF61" s="32">
        <f>_xll.DBRW($C$1,$C$2,$C$3,$C$4,$C$6,$C$5,$C$7,AF$1,AF$2,A61)</f>
        <v>0</v>
      </c>
      <c r="AG61" s="32">
        <f>_xll.DBRW($C$1,$C$2,$C$3,$C$4,$C$6,$C$5,$C$7,AG$1,AG$2,A61)</f>
        <v>0</v>
      </c>
      <c r="AH61" s="32">
        <f>_xll.DBRW($C$1,$C$2,$C$3,$C$4,$C$6,$C$5,$C$7,AH$1,AH$2,A61)</f>
        <v>0</v>
      </c>
      <c r="AI61" s="32">
        <f>_xll.DBRW($C$1,$C$2,$C$3,$C$4,$C$6,$C$5,$C$7,AI$1,AI$2,A61)</f>
        <v>0</v>
      </c>
      <c r="AJ61" s="32">
        <f>_xll.DBRW($C$1,$C$2,$C$3,$C$4,$C$6,$C$5,$C$7,AJ$1,AJ$2,A61)</f>
        <v>0</v>
      </c>
      <c r="AK61" s="32">
        <f>_xll.DBRW($C$1,$C$2,$C$3,$C$4,$C$6,$C$5,$C$7,AK$1,AK$2,A61)</f>
        <v>0</v>
      </c>
      <c r="AL61" s="32">
        <f>_xll.DBRW($C$1,$C$2,$C$3,$C$4,$C$6,$C$5,$C$7,AL$1,AL$2,A61)</f>
        <v>0</v>
      </c>
      <c r="AM61" s="32">
        <f>_xll.DBRW($C$1,$C$2,$C$3,$C$4,$C$6,$C$5,$C$7,AM$1,AM$2,A61)</f>
        <v>0</v>
      </c>
      <c r="AN61" s="32">
        <f>_xll.DBRW($C$1,$C$2,$C$3,$C$4,$C$6,$C$5,$C$7,AN$1,AN$2,A61)</f>
        <v>0</v>
      </c>
      <c r="AO61" s="32">
        <f>_xll.DBRW($C$1,$C$2,$C$3,$C$4,$C$6,$C$5,$C$7,AO$1,AO$2,A61)</f>
        <v>0</v>
      </c>
      <c r="AP61" s="32">
        <f>_xll.DBRW($C$1,$C$2,$C$3,$C$4,$C$6,$C$5,$C$7,AP$1,AP$2,A61)</f>
        <v>0</v>
      </c>
      <c r="AQ61" s="32">
        <f>_xll.DBRW($C$1,$C$2,$C$3,$C$4,$C$6,$C$5,$C$7,AQ$1,AQ$2,A61)</f>
        <v>0</v>
      </c>
      <c r="AR61" s="32">
        <f>_xll.DBRW($C$1,$C$2,$C$3,$C$4,$C$6,$C$5,$C$7,AR$1,AR$2,A61)</f>
        <v>0</v>
      </c>
      <c r="AS61" s="32">
        <f>_xll.DBRW($C$1,$C$2,$C$3,$C$4,$C$6,$C$5,$C$7,AS$1,AS$2,A61)</f>
        <v>0</v>
      </c>
      <c r="AT61" s="32">
        <f>_xll.DBRW($C$1,$C$2,$C$3,$C$4,$C$6,$C$5,$C$7,AT$1,AT$2,A61)</f>
        <v>0</v>
      </c>
      <c r="AU61" s="32">
        <f>_xll.DBRW($C$1,$C$2,$C$3,$C$4,$C$6,$C$5,$C$7,AU$1,AU$2,A61)</f>
        <v>0</v>
      </c>
    </row>
    <row r="62" spans="1:47" ht="15.75" hidden="1" customHeight="1" outlineLevel="2">
      <c r="A62" s="1" t="s">
        <v>154</v>
      </c>
      <c r="C62" s="143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355.5</v>
      </c>
      <c r="H62" s="32">
        <f>_xll.DBRW($C$1,$C$2,$C$3,$C$4,$C$6,$C$5,$C$7,H$1,H$2,A62)</f>
        <v>0</v>
      </c>
      <c r="I62" s="32">
        <f>_xll.DBRW($C$1,$C$2,$C$3,$C$4,$C$6,$C$5,$C$7,I$1,I$2,A62)</f>
        <v>0</v>
      </c>
      <c r="J62" s="32">
        <f>_xll.DBRW($C$1,$C$2,$C$3,$C$4,$C$6,$C$5,$C$7,J$1,J$2,A62)</f>
        <v>0</v>
      </c>
      <c r="K62" s="32">
        <f>_xll.DBRW($C$1,$C$2,$C$3,$C$4,$C$6,$C$5,$C$7,K$1,K$2,A62)</f>
        <v>0</v>
      </c>
      <c r="L62" s="32">
        <f>_xll.DBRW($C$1,$C$2,$C$3,$C$4,$C$6,$C$5,$C$7,L$1,L$2,A62)</f>
        <v>0</v>
      </c>
      <c r="M62" s="32">
        <f>_xll.DBRW($C$1,$C$2,$C$3,$C$4,$C$6,$C$5,$C$7,M$1,M$2,A62)</f>
        <v>0</v>
      </c>
      <c r="N62" s="32">
        <f>_xll.DBRW($C$1,$C$2,$C$3,$C$4,$C$6,$C$5,$C$7,N$1,N$2,A62)</f>
        <v>0</v>
      </c>
      <c r="O62" s="32">
        <f>_xll.DBRW($C$1,$C$2,$C$3,$C$4,$C$6,$C$5,$C$7,O$1,O$2,A62)</f>
        <v>0</v>
      </c>
      <c r="P62" s="32">
        <f>_xll.DBRW($C$1,$C$2,$C$3,$C$4,$C$6,$C$5,$C$7,P$1,P$2,A62)</f>
        <v>607.32000000000005</v>
      </c>
      <c r="Q62" s="32">
        <f>_xll.DBRW($C$1,$C$2,$C$3,$C$4,$C$6,$C$5,$C$7,Q$1,Q$2,A62)</f>
        <v>607.32000000000005</v>
      </c>
      <c r="R62" s="32">
        <f>_xll.DBRW($C$1,$C$2,$C$3,$C$4,$C$6,$C$5,$C$7,R$1,R$2,A62)</f>
        <v>653.44000000000005</v>
      </c>
      <c r="S62" s="32">
        <f>_xll.DBRW($C$1,$C$2,$C$3,$C$4,$C$6,$C$5,$C$7,S$1,S$2,A62)</f>
        <v>653.44000000000005</v>
      </c>
      <c r="T62" s="32">
        <f>_xll.DBRW($C$1,$C$2,$C$3,$C$4,$C$6,$C$5,$C$7,T$1,T$2,A62)</f>
        <v>653</v>
      </c>
      <c r="U62" s="32">
        <f>_xll.DBRW($C$1,$C$2,$C$3,$C$4,$C$6,$C$5,$C$7,U$1,U$2,A62)</f>
        <v>653</v>
      </c>
      <c r="V62" s="32">
        <f>_xll.DBRW($C$1,$C$2,$C$3,$C$4,$C$6,$C$5,$C$7,V$1,V$2,A62)</f>
        <v>0</v>
      </c>
      <c r="W62" s="32">
        <f>_xll.DBRW($C$1,$C$2,$C$3,$C$4,$C$6,$C$5,$C$7,W$1,W$2,A62)</f>
        <v>0</v>
      </c>
      <c r="X62" s="32">
        <f>_xll.DBRW($C$1,$C$2,$C$3,$C$4,$C$6,$C$5,$C$7,X$1,X$2,A62)</f>
        <v>0</v>
      </c>
      <c r="Y62" s="32">
        <f>_xll.DBRW($C$1,$C$2,$C$3,$C$4,$C$6,$C$5,$C$7,Y$1,Y$2,A62)</f>
        <v>0</v>
      </c>
      <c r="Z62" s="32">
        <f>_xll.DBRW($C$1,$C$2,$C$3,$C$4,$C$6,$C$5,$C$7,Z$1,Z$2,A62)</f>
        <v>0</v>
      </c>
      <c r="AA62" s="32">
        <f>_xll.DBRW($C$1,$C$2,$C$3,$C$4,$C$6,$C$5,$C$7,AA$1,AA$2,A62)</f>
        <v>0</v>
      </c>
      <c r="AB62" s="32">
        <f>_xll.DBRW($C$1,$C$2,$C$3,$C$4,$C$6,$C$5,$C$7,AB$1,AB$2,A62)</f>
        <v>0</v>
      </c>
      <c r="AC62" s="32">
        <f>_xll.DBRW($C$1,$C$2,$C$3,$C$4,$C$6,$C$5,$C$7,AC$1,AC$2,A62)</f>
        <v>0</v>
      </c>
      <c r="AD62" s="32">
        <f>_xll.DBRW($C$1,$C$2,$C$3,$C$4,$C$6,$C$5,$C$7,AD$1,AD$2,A62)</f>
        <v>0</v>
      </c>
      <c r="AE62" s="32">
        <f>_xll.DBRW($C$1,$C$2,$C$3,$C$4,$C$6,$C$5,$C$7,AE$1,AE$2,A62)</f>
        <v>0</v>
      </c>
      <c r="AF62" s="32">
        <f>_xll.DBRW($C$1,$C$2,$C$3,$C$4,$C$6,$C$5,$C$7,AF$1,AF$2,A62)</f>
        <v>0</v>
      </c>
      <c r="AG62" s="32">
        <f>_xll.DBRW($C$1,$C$2,$C$3,$C$4,$C$6,$C$5,$C$7,AG$1,AG$2,A62)</f>
        <v>0</v>
      </c>
      <c r="AH62" s="32">
        <f>_xll.DBRW($C$1,$C$2,$C$3,$C$4,$C$6,$C$5,$C$7,AH$1,AH$2,A62)</f>
        <v>0</v>
      </c>
      <c r="AI62" s="32">
        <f>_xll.DBRW($C$1,$C$2,$C$3,$C$4,$C$6,$C$5,$C$7,AI$1,AI$2,A62)</f>
        <v>0</v>
      </c>
      <c r="AJ62" s="32">
        <f>_xll.DBRW($C$1,$C$2,$C$3,$C$4,$C$6,$C$5,$C$7,AJ$1,AJ$2,A62)</f>
        <v>0</v>
      </c>
      <c r="AK62" s="32">
        <f>_xll.DBRW($C$1,$C$2,$C$3,$C$4,$C$6,$C$5,$C$7,AK$1,AK$2,A62)</f>
        <v>0</v>
      </c>
      <c r="AL62" s="32">
        <f>_xll.DBRW($C$1,$C$2,$C$3,$C$4,$C$6,$C$5,$C$7,AL$1,AL$2,A62)</f>
        <v>0</v>
      </c>
      <c r="AM62" s="32">
        <f>_xll.DBRW($C$1,$C$2,$C$3,$C$4,$C$6,$C$5,$C$7,AM$1,AM$2,A62)</f>
        <v>0</v>
      </c>
      <c r="AN62" s="32">
        <f>_xll.DBRW($C$1,$C$2,$C$3,$C$4,$C$6,$C$5,$C$7,AN$1,AN$2,A62)</f>
        <v>0</v>
      </c>
      <c r="AO62" s="32">
        <f>_xll.DBRW($C$1,$C$2,$C$3,$C$4,$C$6,$C$5,$C$7,AO$1,AO$2,A62)</f>
        <v>0</v>
      </c>
      <c r="AP62" s="32">
        <f>_xll.DBRW($C$1,$C$2,$C$3,$C$4,$C$6,$C$5,$C$7,AP$1,AP$2,A62)</f>
        <v>0</v>
      </c>
      <c r="AQ62" s="32">
        <f>_xll.DBRW($C$1,$C$2,$C$3,$C$4,$C$6,$C$5,$C$7,AQ$1,AQ$2,A62)</f>
        <v>0</v>
      </c>
      <c r="AR62" s="32">
        <f>_xll.DBRW($C$1,$C$2,$C$3,$C$4,$C$6,$C$5,$C$7,AR$1,AR$2,A62)</f>
        <v>0</v>
      </c>
      <c r="AS62" s="32">
        <f>_xll.DBRW($C$1,$C$2,$C$3,$C$4,$C$6,$C$5,$C$7,AS$1,AS$2,A62)</f>
        <v>0</v>
      </c>
      <c r="AT62" s="32">
        <f>_xll.DBRW($C$1,$C$2,$C$3,$C$4,$C$6,$C$5,$C$7,AT$1,AT$2,A62)</f>
        <v>0</v>
      </c>
      <c r="AU62" s="32">
        <f>_xll.DBRW($C$1,$C$2,$C$3,$C$4,$C$6,$C$5,$C$7,AU$1,AU$2,A62)</f>
        <v>0</v>
      </c>
    </row>
    <row r="63" spans="1:47" ht="15.75" hidden="1" customHeight="1" outlineLevel="2">
      <c r="A63" s="1" t="s">
        <v>155</v>
      </c>
      <c r="C63" s="143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I63" s="32">
        <f>_xll.DBRW($C$1,$C$2,$C$3,$C$4,$C$6,$C$5,$C$7,I$1,I$2,A63)</f>
        <v>0</v>
      </c>
      <c r="J63" s="32">
        <f>_xll.DBRW($C$1,$C$2,$C$3,$C$4,$C$6,$C$5,$C$7,J$1,J$2,A63)</f>
        <v>0</v>
      </c>
      <c r="K63" s="32">
        <f>_xll.DBRW($C$1,$C$2,$C$3,$C$4,$C$6,$C$5,$C$7,K$1,K$2,A63)</f>
        <v>0</v>
      </c>
      <c r="L63" s="32">
        <f>_xll.DBRW($C$1,$C$2,$C$3,$C$4,$C$6,$C$5,$C$7,L$1,L$2,A63)</f>
        <v>0</v>
      </c>
      <c r="M63" s="32">
        <f>_xll.DBRW($C$1,$C$2,$C$3,$C$4,$C$6,$C$5,$C$7,M$1,M$2,A63)</f>
        <v>0</v>
      </c>
      <c r="N63" s="32">
        <f>_xll.DBRW($C$1,$C$2,$C$3,$C$4,$C$6,$C$5,$C$7,N$1,N$2,A63)</f>
        <v>0</v>
      </c>
      <c r="O63" s="32">
        <f>_xll.DBRW($C$1,$C$2,$C$3,$C$4,$C$6,$C$5,$C$7,O$1,O$2,A63)</f>
        <v>0</v>
      </c>
      <c r="P63" s="32">
        <f>_xll.DBRW($C$1,$C$2,$C$3,$C$4,$C$6,$C$5,$C$7,P$1,P$2,A63)</f>
        <v>0</v>
      </c>
      <c r="Q63" s="32">
        <f>_xll.DBRW($C$1,$C$2,$C$3,$C$4,$C$6,$C$5,$C$7,Q$1,Q$2,A63)</f>
        <v>0</v>
      </c>
      <c r="R63" s="32">
        <f>_xll.DBRW($C$1,$C$2,$C$3,$C$4,$C$6,$C$5,$C$7,R$1,R$2,A63)</f>
        <v>0</v>
      </c>
      <c r="S63" s="32">
        <f>_xll.DBRW($C$1,$C$2,$C$3,$C$4,$C$6,$C$5,$C$7,S$1,S$2,A63)</f>
        <v>0</v>
      </c>
      <c r="T63" s="32">
        <f>_xll.DBRW($C$1,$C$2,$C$3,$C$4,$C$6,$C$5,$C$7,T$1,T$2,A63)</f>
        <v>0</v>
      </c>
      <c r="U63" s="32">
        <f>_xll.DBRW($C$1,$C$2,$C$3,$C$4,$C$6,$C$5,$C$7,U$1,U$2,A63)</f>
        <v>0</v>
      </c>
      <c r="V63" s="32">
        <f>_xll.DBRW($C$1,$C$2,$C$3,$C$4,$C$6,$C$5,$C$7,V$1,V$2,A63)</f>
        <v>0</v>
      </c>
      <c r="W63" s="32">
        <f>_xll.DBRW($C$1,$C$2,$C$3,$C$4,$C$6,$C$5,$C$7,W$1,W$2,A63)</f>
        <v>0</v>
      </c>
      <c r="X63" s="32">
        <f>_xll.DBRW($C$1,$C$2,$C$3,$C$4,$C$6,$C$5,$C$7,X$1,X$2,A63)</f>
        <v>0</v>
      </c>
      <c r="Y63" s="32">
        <f>_xll.DBRW($C$1,$C$2,$C$3,$C$4,$C$6,$C$5,$C$7,Y$1,Y$2,A63)</f>
        <v>0</v>
      </c>
      <c r="Z63" s="32">
        <f>_xll.DBRW($C$1,$C$2,$C$3,$C$4,$C$6,$C$5,$C$7,Z$1,Z$2,A63)</f>
        <v>0</v>
      </c>
      <c r="AA63" s="32">
        <f>_xll.DBRW($C$1,$C$2,$C$3,$C$4,$C$6,$C$5,$C$7,AA$1,AA$2,A63)</f>
        <v>0</v>
      </c>
      <c r="AB63" s="32">
        <f>_xll.DBRW($C$1,$C$2,$C$3,$C$4,$C$6,$C$5,$C$7,AB$1,AB$2,A63)</f>
        <v>0</v>
      </c>
      <c r="AC63" s="32">
        <f>_xll.DBRW($C$1,$C$2,$C$3,$C$4,$C$6,$C$5,$C$7,AC$1,AC$2,A63)</f>
        <v>0</v>
      </c>
      <c r="AD63" s="32">
        <f>_xll.DBRW($C$1,$C$2,$C$3,$C$4,$C$6,$C$5,$C$7,AD$1,AD$2,A63)</f>
        <v>0</v>
      </c>
      <c r="AE63" s="32">
        <f>_xll.DBRW($C$1,$C$2,$C$3,$C$4,$C$6,$C$5,$C$7,AE$1,AE$2,A63)</f>
        <v>0</v>
      </c>
      <c r="AF63" s="32">
        <f>_xll.DBRW($C$1,$C$2,$C$3,$C$4,$C$6,$C$5,$C$7,AF$1,AF$2,A63)</f>
        <v>0</v>
      </c>
      <c r="AG63" s="32">
        <f>_xll.DBRW($C$1,$C$2,$C$3,$C$4,$C$6,$C$5,$C$7,AG$1,AG$2,A63)</f>
        <v>0</v>
      </c>
      <c r="AH63" s="32">
        <f>_xll.DBRW($C$1,$C$2,$C$3,$C$4,$C$6,$C$5,$C$7,AH$1,AH$2,A63)</f>
        <v>0</v>
      </c>
      <c r="AI63" s="32">
        <f>_xll.DBRW($C$1,$C$2,$C$3,$C$4,$C$6,$C$5,$C$7,AI$1,AI$2,A63)</f>
        <v>0</v>
      </c>
      <c r="AJ63" s="32">
        <f>_xll.DBRW($C$1,$C$2,$C$3,$C$4,$C$6,$C$5,$C$7,AJ$1,AJ$2,A63)</f>
        <v>0</v>
      </c>
      <c r="AK63" s="32">
        <f>_xll.DBRW($C$1,$C$2,$C$3,$C$4,$C$6,$C$5,$C$7,AK$1,AK$2,A63)</f>
        <v>0</v>
      </c>
      <c r="AL63" s="32">
        <f>_xll.DBRW($C$1,$C$2,$C$3,$C$4,$C$6,$C$5,$C$7,AL$1,AL$2,A63)</f>
        <v>0</v>
      </c>
      <c r="AM63" s="32">
        <f>_xll.DBRW($C$1,$C$2,$C$3,$C$4,$C$6,$C$5,$C$7,AM$1,AM$2,A63)</f>
        <v>0</v>
      </c>
      <c r="AN63" s="32">
        <f>_xll.DBRW($C$1,$C$2,$C$3,$C$4,$C$6,$C$5,$C$7,AN$1,AN$2,A63)</f>
        <v>0</v>
      </c>
      <c r="AO63" s="32">
        <f>_xll.DBRW($C$1,$C$2,$C$3,$C$4,$C$6,$C$5,$C$7,AO$1,AO$2,A63)</f>
        <v>0</v>
      </c>
      <c r="AP63" s="32">
        <f>_xll.DBRW($C$1,$C$2,$C$3,$C$4,$C$6,$C$5,$C$7,AP$1,AP$2,A63)</f>
        <v>0</v>
      </c>
      <c r="AQ63" s="32">
        <f>_xll.DBRW($C$1,$C$2,$C$3,$C$4,$C$6,$C$5,$C$7,AQ$1,AQ$2,A63)</f>
        <v>0</v>
      </c>
      <c r="AR63" s="32">
        <f>_xll.DBRW($C$1,$C$2,$C$3,$C$4,$C$6,$C$5,$C$7,AR$1,AR$2,A63)</f>
        <v>0</v>
      </c>
      <c r="AS63" s="32">
        <f>_xll.DBRW($C$1,$C$2,$C$3,$C$4,$C$6,$C$5,$C$7,AS$1,AS$2,A63)</f>
        <v>0</v>
      </c>
      <c r="AT63" s="32">
        <f>_xll.DBRW($C$1,$C$2,$C$3,$C$4,$C$6,$C$5,$C$7,AT$1,AT$2,A63)</f>
        <v>0</v>
      </c>
      <c r="AU63" s="32">
        <f>_xll.DBRW($C$1,$C$2,$C$3,$C$4,$C$6,$C$5,$C$7,AU$1,AU$2,A63)</f>
        <v>0</v>
      </c>
    </row>
    <row r="64" spans="1:47" ht="15.75" hidden="1" customHeight="1" outlineLevel="2">
      <c r="A64" s="1" t="s">
        <v>156</v>
      </c>
      <c r="C64" s="143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-1722231.1700000002</v>
      </c>
      <c r="G64" s="32">
        <f>_xll.DBRW($C$1,$C$2,$C$3,$C$4,$C$6,$C$5,$C$7,G$1,G$2,A64)</f>
        <v>-2070041.0900000003</v>
      </c>
      <c r="H64" s="32">
        <f>_xll.DBRW($C$1,$C$2,$C$3,$C$4,$C$6,$C$5,$C$7,H$1,H$2,A64)</f>
        <v>-1652930.0499999996</v>
      </c>
      <c r="I64" s="32">
        <f>_xll.DBRW($C$1,$C$2,$C$3,$C$4,$C$6,$C$5,$C$7,I$1,I$2,A64)</f>
        <v>-45668.46</v>
      </c>
      <c r="J64" s="32">
        <f>_xll.DBRW($C$1,$C$2,$C$3,$C$4,$C$6,$C$5,$C$7,J$1,J$2,A64)</f>
        <v>-499166.95999999996</v>
      </c>
      <c r="K64" s="32">
        <f>_xll.DBRW($C$1,$C$2,$C$3,$C$4,$C$6,$C$5,$C$7,K$1,K$2,A64)</f>
        <v>-543359.91999999993</v>
      </c>
      <c r="L64" s="32">
        <f>_xll.DBRW($C$1,$C$2,$C$3,$C$4,$C$6,$C$5,$C$7,L$1,L$2,A64)</f>
        <v>-635435.69999999995</v>
      </c>
      <c r="M64" s="32">
        <f>_xll.DBRW($C$1,$C$2,$C$3,$C$4,$C$6,$C$5,$C$7,M$1,M$2,A64)</f>
        <v>-696284.45</v>
      </c>
      <c r="N64" s="32">
        <f>_xll.DBRW($C$1,$C$2,$C$3,$C$4,$C$6,$C$5,$C$7,N$1,N$2,A64)</f>
        <v>-796809.09</v>
      </c>
      <c r="O64" s="32">
        <f>_xll.DBRW($C$1,$C$2,$C$3,$C$4,$C$6,$C$5,$C$7,O$1,O$2,A64)</f>
        <v>-536365.99999999988</v>
      </c>
      <c r="P64" s="32">
        <f>_xll.DBRW($C$1,$C$2,$C$3,$C$4,$C$6,$C$5,$C$7,P$1,P$2,A64)</f>
        <v>-1815557.3599999994</v>
      </c>
      <c r="Q64" s="32">
        <f>_xll.DBRW($C$1,$C$2,$C$3,$C$4,$C$6,$C$5,$C$7,Q$1,Q$2,A64)</f>
        <v>-2002214.5099999993</v>
      </c>
      <c r="R64" s="32">
        <f>_xll.DBRW($C$1,$C$2,$C$3,$C$4,$C$6,$C$5,$C$7,R$1,R$2,A64)</f>
        <v>-642379.68999999913</v>
      </c>
      <c r="S64" s="32">
        <f>_xll.DBRW($C$1,$C$2,$C$3,$C$4,$C$6,$C$5,$C$7,S$1,S$2,A64)</f>
        <v>-2375707.1999999988</v>
      </c>
      <c r="T64" s="32">
        <f>_xll.DBRW($C$1,$C$2,$C$3,$C$4,$C$6,$C$5,$C$7,T$1,T$2,A64)</f>
        <v>-2563335.629999999</v>
      </c>
      <c r="U64" s="32">
        <f>_xll.DBRW($C$1,$C$2,$C$3,$C$4,$C$6,$C$5,$C$7,U$1,U$2,A64)</f>
        <v>-2563335.629999999</v>
      </c>
      <c r="V64" s="32">
        <f>_xll.DBRW($C$1,$C$2,$C$3,$C$4,$C$6,$C$5,$C$7,V$1,V$2,A64)</f>
        <v>0</v>
      </c>
      <c r="W64" s="32">
        <f>_xll.DBRW($C$1,$C$2,$C$3,$C$4,$C$6,$C$5,$C$7,W$1,W$2,A64)</f>
        <v>0</v>
      </c>
      <c r="X64" s="32">
        <f>_xll.DBRW($C$1,$C$2,$C$3,$C$4,$C$6,$C$5,$C$7,X$1,X$2,A64)</f>
        <v>0</v>
      </c>
      <c r="Y64" s="32">
        <f>_xll.DBRW($C$1,$C$2,$C$3,$C$4,$C$6,$C$5,$C$7,Y$1,Y$2,A64)</f>
        <v>0</v>
      </c>
      <c r="Z64" s="32">
        <f>_xll.DBRW($C$1,$C$2,$C$3,$C$4,$C$6,$C$5,$C$7,Z$1,Z$2,A64)</f>
        <v>0</v>
      </c>
      <c r="AA64" s="32">
        <f>_xll.DBRW($C$1,$C$2,$C$3,$C$4,$C$6,$C$5,$C$7,AA$1,AA$2,A64)</f>
        <v>0</v>
      </c>
      <c r="AB64" s="32">
        <f>_xll.DBRW($C$1,$C$2,$C$3,$C$4,$C$6,$C$5,$C$7,AB$1,AB$2,A64)</f>
        <v>0</v>
      </c>
      <c r="AC64" s="32">
        <f>_xll.DBRW($C$1,$C$2,$C$3,$C$4,$C$6,$C$5,$C$7,AC$1,AC$2,A64)</f>
        <v>0</v>
      </c>
      <c r="AD64" s="32">
        <f>_xll.DBRW($C$1,$C$2,$C$3,$C$4,$C$6,$C$5,$C$7,AD$1,AD$2,A64)</f>
        <v>0</v>
      </c>
      <c r="AE64" s="32">
        <f>_xll.DBRW($C$1,$C$2,$C$3,$C$4,$C$6,$C$5,$C$7,AE$1,AE$2,A64)</f>
        <v>0</v>
      </c>
      <c r="AF64" s="32">
        <f>_xll.DBRW($C$1,$C$2,$C$3,$C$4,$C$6,$C$5,$C$7,AF$1,AF$2,A64)</f>
        <v>0</v>
      </c>
      <c r="AG64" s="32">
        <f>_xll.DBRW($C$1,$C$2,$C$3,$C$4,$C$6,$C$5,$C$7,AG$1,AG$2,A64)</f>
        <v>0</v>
      </c>
      <c r="AH64" s="32">
        <f>_xll.DBRW($C$1,$C$2,$C$3,$C$4,$C$6,$C$5,$C$7,AH$1,AH$2,A64)</f>
        <v>0</v>
      </c>
      <c r="AI64" s="32">
        <f>_xll.DBRW($C$1,$C$2,$C$3,$C$4,$C$6,$C$5,$C$7,AI$1,AI$2,A64)</f>
        <v>0</v>
      </c>
      <c r="AJ64" s="32">
        <f>_xll.DBRW($C$1,$C$2,$C$3,$C$4,$C$6,$C$5,$C$7,AJ$1,AJ$2,A64)</f>
        <v>0</v>
      </c>
      <c r="AK64" s="32">
        <f>_xll.DBRW($C$1,$C$2,$C$3,$C$4,$C$6,$C$5,$C$7,AK$1,AK$2,A64)</f>
        <v>0</v>
      </c>
      <c r="AL64" s="32">
        <f>_xll.DBRW($C$1,$C$2,$C$3,$C$4,$C$6,$C$5,$C$7,AL$1,AL$2,A64)</f>
        <v>0</v>
      </c>
      <c r="AM64" s="32">
        <f>_xll.DBRW($C$1,$C$2,$C$3,$C$4,$C$6,$C$5,$C$7,AM$1,AM$2,A64)</f>
        <v>0</v>
      </c>
      <c r="AN64" s="32">
        <f>_xll.DBRW($C$1,$C$2,$C$3,$C$4,$C$6,$C$5,$C$7,AN$1,AN$2,A64)</f>
        <v>0</v>
      </c>
      <c r="AO64" s="32">
        <f>_xll.DBRW($C$1,$C$2,$C$3,$C$4,$C$6,$C$5,$C$7,AO$1,AO$2,A64)</f>
        <v>0</v>
      </c>
      <c r="AP64" s="32">
        <f>_xll.DBRW($C$1,$C$2,$C$3,$C$4,$C$6,$C$5,$C$7,AP$1,AP$2,A64)</f>
        <v>0</v>
      </c>
      <c r="AQ64" s="32">
        <f>_xll.DBRW($C$1,$C$2,$C$3,$C$4,$C$6,$C$5,$C$7,AQ$1,AQ$2,A64)</f>
        <v>0</v>
      </c>
      <c r="AR64" s="32">
        <f>_xll.DBRW($C$1,$C$2,$C$3,$C$4,$C$6,$C$5,$C$7,AR$1,AR$2,A64)</f>
        <v>0</v>
      </c>
      <c r="AS64" s="32">
        <f>_xll.DBRW($C$1,$C$2,$C$3,$C$4,$C$6,$C$5,$C$7,AS$1,AS$2,A64)</f>
        <v>0</v>
      </c>
      <c r="AT64" s="32">
        <f>_xll.DBRW($C$1,$C$2,$C$3,$C$4,$C$6,$C$5,$C$7,AT$1,AT$2,A64)</f>
        <v>0</v>
      </c>
      <c r="AU64" s="32">
        <f>_xll.DBRW($C$1,$C$2,$C$3,$C$4,$C$6,$C$5,$C$7,AU$1,AU$2,A64)</f>
        <v>0</v>
      </c>
    </row>
    <row r="65" spans="1:47" ht="15.75" hidden="1" customHeight="1" outlineLevel="2">
      <c r="A65" s="1" t="s">
        <v>157</v>
      </c>
      <c r="C65" s="143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-51131.180000000008</v>
      </c>
      <c r="G65" s="32">
        <f>_xll.DBRW($C$1,$C$2,$C$3,$C$4,$C$6,$C$5,$C$7,G$1,G$2,A65)</f>
        <v>64372.160000000011</v>
      </c>
      <c r="H65" s="32">
        <f>_xll.DBRW($C$1,$C$2,$C$3,$C$4,$C$6,$C$5,$C$7,H$1,H$2,A65)</f>
        <v>185125.51000000004</v>
      </c>
      <c r="I65" s="32">
        <f>_xll.DBRW($C$1,$C$2,$C$3,$C$4,$C$6,$C$5,$C$7,I$1,I$2,A65)</f>
        <v>0</v>
      </c>
      <c r="J65" s="32">
        <f>_xll.DBRW($C$1,$C$2,$C$3,$C$4,$C$6,$C$5,$C$7,J$1,J$2,A65)</f>
        <v>0</v>
      </c>
      <c r="K65" s="32">
        <f>_xll.DBRW($C$1,$C$2,$C$3,$C$4,$C$6,$C$5,$C$7,K$1,K$2,A65)</f>
        <v>0</v>
      </c>
      <c r="L65" s="32">
        <f>_xll.DBRW($C$1,$C$2,$C$3,$C$4,$C$6,$C$5,$C$7,L$1,L$2,A65)</f>
        <v>0</v>
      </c>
      <c r="M65" s="32">
        <f>_xll.DBRW($C$1,$C$2,$C$3,$C$4,$C$6,$C$5,$C$7,M$1,M$2,A65)</f>
        <v>0</v>
      </c>
      <c r="N65" s="32">
        <f>_xll.DBRW($C$1,$C$2,$C$3,$C$4,$C$6,$C$5,$C$7,N$1,N$2,A65)</f>
        <v>0</v>
      </c>
      <c r="O65" s="32">
        <f>_xll.DBRW($C$1,$C$2,$C$3,$C$4,$C$6,$C$5,$C$7,O$1,O$2,A65)</f>
        <v>0</v>
      </c>
      <c r="P65" s="32">
        <f>_xll.DBRW($C$1,$C$2,$C$3,$C$4,$C$6,$C$5,$C$7,P$1,P$2,A65)</f>
        <v>0</v>
      </c>
      <c r="Q65" s="32">
        <f>_xll.DBRW($C$1,$C$2,$C$3,$C$4,$C$6,$C$5,$C$7,Q$1,Q$2,A65)</f>
        <v>0</v>
      </c>
      <c r="R65" s="32">
        <f>_xll.DBRW($C$1,$C$2,$C$3,$C$4,$C$6,$C$5,$C$7,R$1,R$2,A65)</f>
        <v>0</v>
      </c>
      <c r="S65" s="32">
        <f>_xll.DBRW($C$1,$C$2,$C$3,$C$4,$C$6,$C$5,$C$7,S$1,S$2,A65)</f>
        <v>-33305.070000000007</v>
      </c>
      <c r="T65" s="32">
        <f>_xll.DBRW($C$1,$C$2,$C$3,$C$4,$C$6,$C$5,$C$7,T$1,T$2,A65)</f>
        <v>-37221.170000000013</v>
      </c>
      <c r="U65" s="32">
        <f>_xll.DBRW($C$1,$C$2,$C$3,$C$4,$C$6,$C$5,$C$7,U$1,U$2,A65)</f>
        <v>-37221.170000000013</v>
      </c>
      <c r="V65" s="32">
        <f>_xll.DBRW($C$1,$C$2,$C$3,$C$4,$C$6,$C$5,$C$7,V$1,V$2,A65)</f>
        <v>0</v>
      </c>
      <c r="W65" s="32">
        <f>_xll.DBRW($C$1,$C$2,$C$3,$C$4,$C$6,$C$5,$C$7,W$1,W$2,A65)</f>
        <v>0</v>
      </c>
      <c r="X65" s="32">
        <f>_xll.DBRW($C$1,$C$2,$C$3,$C$4,$C$6,$C$5,$C$7,X$1,X$2,A65)</f>
        <v>0</v>
      </c>
      <c r="Y65" s="32">
        <f>_xll.DBRW($C$1,$C$2,$C$3,$C$4,$C$6,$C$5,$C$7,Y$1,Y$2,A65)</f>
        <v>0</v>
      </c>
      <c r="Z65" s="32">
        <f>_xll.DBRW($C$1,$C$2,$C$3,$C$4,$C$6,$C$5,$C$7,Z$1,Z$2,A65)</f>
        <v>0</v>
      </c>
      <c r="AA65" s="32">
        <f>_xll.DBRW($C$1,$C$2,$C$3,$C$4,$C$6,$C$5,$C$7,AA$1,AA$2,A65)</f>
        <v>0</v>
      </c>
      <c r="AB65" s="32">
        <f>_xll.DBRW($C$1,$C$2,$C$3,$C$4,$C$6,$C$5,$C$7,AB$1,AB$2,A65)</f>
        <v>0</v>
      </c>
      <c r="AC65" s="32">
        <f>_xll.DBRW($C$1,$C$2,$C$3,$C$4,$C$6,$C$5,$C$7,AC$1,AC$2,A65)</f>
        <v>0</v>
      </c>
      <c r="AD65" s="32">
        <f>_xll.DBRW($C$1,$C$2,$C$3,$C$4,$C$6,$C$5,$C$7,AD$1,AD$2,A65)</f>
        <v>0</v>
      </c>
      <c r="AE65" s="32">
        <f>_xll.DBRW($C$1,$C$2,$C$3,$C$4,$C$6,$C$5,$C$7,AE$1,AE$2,A65)</f>
        <v>0</v>
      </c>
      <c r="AF65" s="32">
        <f>_xll.DBRW($C$1,$C$2,$C$3,$C$4,$C$6,$C$5,$C$7,AF$1,AF$2,A65)</f>
        <v>0</v>
      </c>
      <c r="AG65" s="32">
        <f>_xll.DBRW($C$1,$C$2,$C$3,$C$4,$C$6,$C$5,$C$7,AG$1,AG$2,A65)</f>
        <v>0</v>
      </c>
      <c r="AH65" s="32">
        <f>_xll.DBRW($C$1,$C$2,$C$3,$C$4,$C$6,$C$5,$C$7,AH$1,AH$2,A65)</f>
        <v>0</v>
      </c>
      <c r="AI65" s="32">
        <f>_xll.DBRW($C$1,$C$2,$C$3,$C$4,$C$6,$C$5,$C$7,AI$1,AI$2,A65)</f>
        <v>0</v>
      </c>
      <c r="AJ65" s="32">
        <f>_xll.DBRW($C$1,$C$2,$C$3,$C$4,$C$6,$C$5,$C$7,AJ$1,AJ$2,A65)</f>
        <v>0</v>
      </c>
      <c r="AK65" s="32">
        <f>_xll.DBRW($C$1,$C$2,$C$3,$C$4,$C$6,$C$5,$C$7,AK$1,AK$2,A65)</f>
        <v>0</v>
      </c>
      <c r="AL65" s="32">
        <f>_xll.DBRW($C$1,$C$2,$C$3,$C$4,$C$6,$C$5,$C$7,AL$1,AL$2,A65)</f>
        <v>0</v>
      </c>
      <c r="AM65" s="32">
        <f>_xll.DBRW($C$1,$C$2,$C$3,$C$4,$C$6,$C$5,$C$7,AM$1,AM$2,A65)</f>
        <v>0</v>
      </c>
      <c r="AN65" s="32">
        <f>_xll.DBRW($C$1,$C$2,$C$3,$C$4,$C$6,$C$5,$C$7,AN$1,AN$2,A65)</f>
        <v>0</v>
      </c>
      <c r="AO65" s="32">
        <f>_xll.DBRW($C$1,$C$2,$C$3,$C$4,$C$6,$C$5,$C$7,AO$1,AO$2,A65)</f>
        <v>0</v>
      </c>
      <c r="AP65" s="32">
        <f>_xll.DBRW($C$1,$C$2,$C$3,$C$4,$C$6,$C$5,$C$7,AP$1,AP$2,A65)</f>
        <v>0</v>
      </c>
      <c r="AQ65" s="32">
        <f>_xll.DBRW($C$1,$C$2,$C$3,$C$4,$C$6,$C$5,$C$7,AQ$1,AQ$2,A65)</f>
        <v>0</v>
      </c>
      <c r="AR65" s="32">
        <f>_xll.DBRW($C$1,$C$2,$C$3,$C$4,$C$6,$C$5,$C$7,AR$1,AR$2,A65)</f>
        <v>0</v>
      </c>
      <c r="AS65" s="32">
        <f>_xll.DBRW($C$1,$C$2,$C$3,$C$4,$C$6,$C$5,$C$7,AS$1,AS$2,A65)</f>
        <v>0</v>
      </c>
      <c r="AT65" s="32">
        <f>_xll.DBRW($C$1,$C$2,$C$3,$C$4,$C$6,$C$5,$C$7,AT$1,AT$2,A65)</f>
        <v>0</v>
      </c>
      <c r="AU65" s="32">
        <f>_xll.DBRW($C$1,$C$2,$C$3,$C$4,$C$6,$C$5,$C$7,AU$1,AU$2,A65)</f>
        <v>0</v>
      </c>
    </row>
    <row r="66" spans="1:47" ht="15.75" hidden="1" customHeight="1" outlineLevel="2">
      <c r="A66" s="1" t="s">
        <v>158</v>
      </c>
      <c r="C66" s="143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-257707560.97999999</v>
      </c>
      <c r="G66" s="32">
        <f>_xll.DBRW($C$1,$C$2,$C$3,$C$4,$C$6,$C$5,$C$7,G$1,G$2,A66)</f>
        <v>-329746752.13</v>
      </c>
      <c r="H66" s="32">
        <f>_xll.DBRW($C$1,$C$2,$C$3,$C$4,$C$6,$C$5,$C$7,H$1,H$2,A66)</f>
        <v>-709008.84</v>
      </c>
      <c r="I66" s="32">
        <f>_xll.DBRW($C$1,$C$2,$C$3,$C$4,$C$6,$C$5,$C$7,I$1,I$2,A66)</f>
        <v>-30217</v>
      </c>
      <c r="J66" s="32">
        <f>_xll.DBRW($C$1,$C$2,$C$3,$C$4,$C$6,$C$5,$C$7,J$1,J$2,A66)</f>
        <v>222061</v>
      </c>
      <c r="K66" s="32">
        <f>_xll.DBRW($C$1,$C$2,$C$3,$C$4,$C$6,$C$5,$C$7,K$1,K$2,A66)</f>
        <v>344418.72</v>
      </c>
      <c r="L66" s="32">
        <f>_xll.DBRW($C$1,$C$2,$C$3,$C$4,$C$6,$C$5,$C$7,L$1,L$2,A66)</f>
        <v>320353.71999999997</v>
      </c>
      <c r="M66" s="32">
        <f>_xll.DBRW($C$1,$C$2,$C$3,$C$4,$C$6,$C$5,$C$7,M$1,M$2,A66)</f>
        <v>304034.65999999997</v>
      </c>
      <c r="N66" s="32">
        <f>_xll.DBRW($C$1,$C$2,$C$3,$C$4,$C$6,$C$5,$C$7,N$1,N$2,A66)</f>
        <v>269362.59999999998</v>
      </c>
      <c r="O66" s="32">
        <f>_xll.DBRW($C$1,$C$2,$C$3,$C$4,$C$6,$C$5,$C$7,O$1,O$2,A66)</f>
        <v>308112.01</v>
      </c>
      <c r="P66" s="32">
        <f>_xll.DBRW($C$1,$C$2,$C$3,$C$4,$C$6,$C$5,$C$7,P$1,P$2,A66)</f>
        <v>285963.04000000004</v>
      </c>
      <c r="Q66" s="32">
        <f>_xll.DBRW($C$1,$C$2,$C$3,$C$4,$C$6,$C$5,$C$7,Q$1,Q$2,A66)</f>
        <v>225127.90000000002</v>
      </c>
      <c r="R66" s="32">
        <f>_xll.DBRW($C$1,$C$2,$C$3,$C$4,$C$6,$C$5,$C$7,R$1,R$2,A66)</f>
        <v>189735.03000000009</v>
      </c>
      <c r="S66" s="32">
        <f>_xll.DBRW($C$1,$C$2,$C$3,$C$4,$C$6,$C$5,$C$7,S$1,S$2,A66)</f>
        <v>238087.71000000008</v>
      </c>
      <c r="T66" s="32">
        <f>_xll.DBRW($C$1,$C$2,$C$3,$C$4,$C$6,$C$5,$C$7,T$1,T$2,A66)</f>
        <v>215535.83000000007</v>
      </c>
      <c r="U66" s="32">
        <f>_xll.DBRW($C$1,$C$2,$C$3,$C$4,$C$6,$C$5,$C$7,U$1,U$2,A66)</f>
        <v>215535.83000000007</v>
      </c>
      <c r="V66" s="32">
        <f>_xll.DBRW($C$1,$C$2,$C$3,$C$4,$C$6,$C$5,$C$7,V$1,V$2,A66)</f>
        <v>0</v>
      </c>
      <c r="W66" s="32">
        <f>_xll.DBRW($C$1,$C$2,$C$3,$C$4,$C$6,$C$5,$C$7,W$1,W$2,A66)</f>
        <v>0</v>
      </c>
      <c r="X66" s="32">
        <f>_xll.DBRW($C$1,$C$2,$C$3,$C$4,$C$6,$C$5,$C$7,X$1,X$2,A66)</f>
        <v>0</v>
      </c>
      <c r="Y66" s="32">
        <f>_xll.DBRW($C$1,$C$2,$C$3,$C$4,$C$6,$C$5,$C$7,Y$1,Y$2,A66)</f>
        <v>0</v>
      </c>
      <c r="Z66" s="32">
        <f>_xll.DBRW($C$1,$C$2,$C$3,$C$4,$C$6,$C$5,$C$7,Z$1,Z$2,A66)</f>
        <v>0</v>
      </c>
      <c r="AA66" s="32">
        <f>_xll.DBRW($C$1,$C$2,$C$3,$C$4,$C$6,$C$5,$C$7,AA$1,AA$2,A66)</f>
        <v>0</v>
      </c>
      <c r="AB66" s="32">
        <f>_xll.DBRW($C$1,$C$2,$C$3,$C$4,$C$6,$C$5,$C$7,AB$1,AB$2,A66)</f>
        <v>0</v>
      </c>
      <c r="AC66" s="32">
        <f>_xll.DBRW($C$1,$C$2,$C$3,$C$4,$C$6,$C$5,$C$7,AC$1,AC$2,A66)</f>
        <v>0</v>
      </c>
      <c r="AD66" s="32">
        <f>_xll.DBRW($C$1,$C$2,$C$3,$C$4,$C$6,$C$5,$C$7,AD$1,AD$2,A66)</f>
        <v>0</v>
      </c>
      <c r="AE66" s="32">
        <f>_xll.DBRW($C$1,$C$2,$C$3,$C$4,$C$6,$C$5,$C$7,AE$1,AE$2,A66)</f>
        <v>0</v>
      </c>
      <c r="AF66" s="32">
        <f>_xll.DBRW($C$1,$C$2,$C$3,$C$4,$C$6,$C$5,$C$7,AF$1,AF$2,A66)</f>
        <v>0</v>
      </c>
      <c r="AG66" s="32">
        <f>_xll.DBRW($C$1,$C$2,$C$3,$C$4,$C$6,$C$5,$C$7,AG$1,AG$2,A66)</f>
        <v>0</v>
      </c>
      <c r="AH66" s="32">
        <f>_xll.DBRW($C$1,$C$2,$C$3,$C$4,$C$6,$C$5,$C$7,AH$1,AH$2,A66)</f>
        <v>0</v>
      </c>
      <c r="AI66" s="32">
        <f>_xll.DBRW($C$1,$C$2,$C$3,$C$4,$C$6,$C$5,$C$7,AI$1,AI$2,A66)</f>
        <v>0</v>
      </c>
      <c r="AJ66" s="32">
        <f>_xll.DBRW($C$1,$C$2,$C$3,$C$4,$C$6,$C$5,$C$7,AJ$1,AJ$2,A66)</f>
        <v>0</v>
      </c>
      <c r="AK66" s="32">
        <f>_xll.DBRW($C$1,$C$2,$C$3,$C$4,$C$6,$C$5,$C$7,AK$1,AK$2,A66)</f>
        <v>0</v>
      </c>
      <c r="AL66" s="32">
        <f>_xll.DBRW($C$1,$C$2,$C$3,$C$4,$C$6,$C$5,$C$7,AL$1,AL$2,A66)</f>
        <v>0</v>
      </c>
      <c r="AM66" s="32">
        <f>_xll.DBRW($C$1,$C$2,$C$3,$C$4,$C$6,$C$5,$C$7,AM$1,AM$2,A66)</f>
        <v>0</v>
      </c>
      <c r="AN66" s="32">
        <f>_xll.DBRW($C$1,$C$2,$C$3,$C$4,$C$6,$C$5,$C$7,AN$1,AN$2,A66)</f>
        <v>0</v>
      </c>
      <c r="AO66" s="32">
        <f>_xll.DBRW($C$1,$C$2,$C$3,$C$4,$C$6,$C$5,$C$7,AO$1,AO$2,A66)</f>
        <v>0</v>
      </c>
      <c r="AP66" s="32">
        <f>_xll.DBRW($C$1,$C$2,$C$3,$C$4,$C$6,$C$5,$C$7,AP$1,AP$2,A66)</f>
        <v>0</v>
      </c>
      <c r="AQ66" s="32">
        <f>_xll.DBRW($C$1,$C$2,$C$3,$C$4,$C$6,$C$5,$C$7,AQ$1,AQ$2,A66)</f>
        <v>0</v>
      </c>
      <c r="AR66" s="32">
        <f>_xll.DBRW($C$1,$C$2,$C$3,$C$4,$C$6,$C$5,$C$7,AR$1,AR$2,A66)</f>
        <v>0</v>
      </c>
      <c r="AS66" s="32">
        <f>_xll.DBRW($C$1,$C$2,$C$3,$C$4,$C$6,$C$5,$C$7,AS$1,AS$2,A66)</f>
        <v>0</v>
      </c>
      <c r="AT66" s="32">
        <f>_xll.DBRW($C$1,$C$2,$C$3,$C$4,$C$6,$C$5,$C$7,AT$1,AT$2,A66)</f>
        <v>0</v>
      </c>
      <c r="AU66" s="32">
        <f>_xll.DBRW($C$1,$C$2,$C$3,$C$4,$C$6,$C$5,$C$7,AU$1,AU$2,A66)</f>
        <v>0</v>
      </c>
    </row>
    <row r="67" spans="1:47" ht="15.75" hidden="1" customHeight="1" outlineLevel="2">
      <c r="A67" s="1" t="s">
        <v>159</v>
      </c>
      <c r="C67" s="143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297444.52</v>
      </c>
      <c r="G67" s="32">
        <f>_xll.DBRW($C$1,$C$2,$C$3,$C$4,$C$6,$C$5,$C$7,G$1,G$2,A67)</f>
        <v>349853.70999999996</v>
      </c>
      <c r="H67" s="32">
        <f>_xll.DBRW($C$1,$C$2,$C$3,$C$4,$C$6,$C$5,$C$7,H$1,H$2,A67)</f>
        <v>276539.65000000002</v>
      </c>
      <c r="I67" s="32">
        <f>_xll.DBRW($C$1,$C$2,$C$3,$C$4,$C$6,$C$5,$C$7,I$1,I$2,A67)</f>
        <v>834.34</v>
      </c>
      <c r="J67" s="32">
        <f>_xll.DBRW($C$1,$C$2,$C$3,$C$4,$C$6,$C$5,$C$7,J$1,J$2,A67)</f>
        <v>2241.96</v>
      </c>
      <c r="K67" s="32">
        <f>_xll.DBRW($C$1,$C$2,$C$3,$C$4,$C$6,$C$5,$C$7,K$1,K$2,A67)</f>
        <v>33084.640000000007</v>
      </c>
      <c r="L67" s="32">
        <f>_xll.DBRW($C$1,$C$2,$C$3,$C$4,$C$6,$C$5,$C$7,L$1,L$2,A67)</f>
        <v>33927.320000000007</v>
      </c>
      <c r="M67" s="32">
        <f>_xll.DBRW($C$1,$C$2,$C$3,$C$4,$C$6,$C$5,$C$7,M$1,M$2,A67)</f>
        <v>34770.000000000007</v>
      </c>
      <c r="N67" s="32">
        <f>_xll.DBRW($C$1,$C$2,$C$3,$C$4,$C$6,$C$5,$C$7,N$1,N$2,A67)</f>
        <v>35612.680000000008</v>
      </c>
      <c r="O67" s="32">
        <f>_xll.DBRW($C$1,$C$2,$C$3,$C$4,$C$6,$C$5,$C$7,O$1,O$2,A67)</f>
        <v>37298.000000000007</v>
      </c>
      <c r="P67" s="32">
        <f>_xll.DBRW($C$1,$C$2,$C$3,$C$4,$C$6,$C$5,$C$7,P$1,P$2,A67)</f>
        <v>22521.060000000005</v>
      </c>
      <c r="Q67" s="32">
        <f>_xll.DBRW($C$1,$C$2,$C$3,$C$4,$C$6,$C$5,$C$7,Q$1,Q$2,A67)</f>
        <v>21678.380000000005</v>
      </c>
      <c r="R67" s="32">
        <f>_xll.DBRW($C$1,$C$2,$C$3,$C$4,$C$6,$C$5,$C$7,R$1,R$2,A67)</f>
        <v>20835.700000000004</v>
      </c>
      <c r="S67" s="32">
        <f>_xll.DBRW($C$1,$C$2,$C$3,$C$4,$C$6,$C$5,$C$7,S$1,S$2,A67)</f>
        <v>19993.020000000004</v>
      </c>
      <c r="T67" s="32">
        <f>_xll.DBRW($C$1,$C$2,$C$3,$C$4,$C$6,$C$5,$C$7,T$1,T$2,A67)</f>
        <v>40307.660000000011</v>
      </c>
      <c r="U67" s="32">
        <f>_xll.DBRW($C$1,$C$2,$C$3,$C$4,$C$6,$C$5,$C$7,U$1,U$2,A67)</f>
        <v>40307.660000000011</v>
      </c>
      <c r="V67" s="32">
        <f>_xll.DBRW($C$1,$C$2,$C$3,$C$4,$C$6,$C$5,$C$7,V$1,V$2,A67)</f>
        <v>0</v>
      </c>
      <c r="W67" s="32">
        <f>_xll.DBRW($C$1,$C$2,$C$3,$C$4,$C$6,$C$5,$C$7,W$1,W$2,A67)</f>
        <v>0</v>
      </c>
      <c r="X67" s="32">
        <f>_xll.DBRW($C$1,$C$2,$C$3,$C$4,$C$6,$C$5,$C$7,X$1,X$2,A67)</f>
        <v>0</v>
      </c>
      <c r="Y67" s="32">
        <f>_xll.DBRW($C$1,$C$2,$C$3,$C$4,$C$6,$C$5,$C$7,Y$1,Y$2,A67)</f>
        <v>0</v>
      </c>
      <c r="Z67" s="32">
        <f>_xll.DBRW($C$1,$C$2,$C$3,$C$4,$C$6,$C$5,$C$7,Z$1,Z$2,A67)</f>
        <v>0</v>
      </c>
      <c r="AA67" s="32">
        <f>_xll.DBRW($C$1,$C$2,$C$3,$C$4,$C$6,$C$5,$C$7,AA$1,AA$2,A67)</f>
        <v>0</v>
      </c>
      <c r="AB67" s="32">
        <f>_xll.DBRW($C$1,$C$2,$C$3,$C$4,$C$6,$C$5,$C$7,AB$1,AB$2,A67)</f>
        <v>0</v>
      </c>
      <c r="AC67" s="32">
        <f>_xll.DBRW($C$1,$C$2,$C$3,$C$4,$C$6,$C$5,$C$7,AC$1,AC$2,A67)</f>
        <v>0</v>
      </c>
      <c r="AD67" s="32">
        <f>_xll.DBRW($C$1,$C$2,$C$3,$C$4,$C$6,$C$5,$C$7,AD$1,AD$2,A67)</f>
        <v>0</v>
      </c>
      <c r="AE67" s="32">
        <f>_xll.DBRW($C$1,$C$2,$C$3,$C$4,$C$6,$C$5,$C$7,AE$1,AE$2,A67)</f>
        <v>0</v>
      </c>
      <c r="AF67" s="32">
        <f>_xll.DBRW($C$1,$C$2,$C$3,$C$4,$C$6,$C$5,$C$7,AF$1,AF$2,A67)</f>
        <v>0</v>
      </c>
      <c r="AG67" s="32">
        <f>_xll.DBRW($C$1,$C$2,$C$3,$C$4,$C$6,$C$5,$C$7,AG$1,AG$2,A67)</f>
        <v>0</v>
      </c>
      <c r="AH67" s="32">
        <f>_xll.DBRW($C$1,$C$2,$C$3,$C$4,$C$6,$C$5,$C$7,AH$1,AH$2,A67)</f>
        <v>0</v>
      </c>
      <c r="AI67" s="32">
        <f>_xll.DBRW($C$1,$C$2,$C$3,$C$4,$C$6,$C$5,$C$7,AI$1,AI$2,A67)</f>
        <v>0</v>
      </c>
      <c r="AJ67" s="32">
        <f>_xll.DBRW($C$1,$C$2,$C$3,$C$4,$C$6,$C$5,$C$7,AJ$1,AJ$2,A67)</f>
        <v>0</v>
      </c>
      <c r="AK67" s="32">
        <f>_xll.DBRW($C$1,$C$2,$C$3,$C$4,$C$6,$C$5,$C$7,AK$1,AK$2,A67)</f>
        <v>0</v>
      </c>
      <c r="AL67" s="32">
        <f>_xll.DBRW($C$1,$C$2,$C$3,$C$4,$C$6,$C$5,$C$7,AL$1,AL$2,A67)</f>
        <v>0</v>
      </c>
      <c r="AM67" s="32">
        <f>_xll.DBRW($C$1,$C$2,$C$3,$C$4,$C$6,$C$5,$C$7,AM$1,AM$2,A67)</f>
        <v>0</v>
      </c>
      <c r="AN67" s="32">
        <f>_xll.DBRW($C$1,$C$2,$C$3,$C$4,$C$6,$C$5,$C$7,AN$1,AN$2,A67)</f>
        <v>0</v>
      </c>
      <c r="AO67" s="32">
        <f>_xll.DBRW($C$1,$C$2,$C$3,$C$4,$C$6,$C$5,$C$7,AO$1,AO$2,A67)</f>
        <v>0</v>
      </c>
      <c r="AP67" s="32">
        <f>_xll.DBRW($C$1,$C$2,$C$3,$C$4,$C$6,$C$5,$C$7,AP$1,AP$2,A67)</f>
        <v>0</v>
      </c>
      <c r="AQ67" s="32">
        <f>_xll.DBRW($C$1,$C$2,$C$3,$C$4,$C$6,$C$5,$C$7,AQ$1,AQ$2,A67)</f>
        <v>0</v>
      </c>
      <c r="AR67" s="32">
        <f>_xll.DBRW($C$1,$C$2,$C$3,$C$4,$C$6,$C$5,$C$7,AR$1,AR$2,A67)</f>
        <v>0</v>
      </c>
      <c r="AS67" s="32">
        <f>_xll.DBRW($C$1,$C$2,$C$3,$C$4,$C$6,$C$5,$C$7,AS$1,AS$2,A67)</f>
        <v>0</v>
      </c>
      <c r="AT67" s="32">
        <f>_xll.DBRW($C$1,$C$2,$C$3,$C$4,$C$6,$C$5,$C$7,AT$1,AT$2,A67)</f>
        <v>0</v>
      </c>
      <c r="AU67" s="32">
        <f>_xll.DBRW($C$1,$C$2,$C$3,$C$4,$C$6,$C$5,$C$7,AU$1,AU$2,A67)</f>
        <v>0</v>
      </c>
    </row>
    <row r="68" spans="1:47" ht="15.75" hidden="1" customHeight="1" outlineLevel="2">
      <c r="A68" s="1" t="s">
        <v>160</v>
      </c>
      <c r="C68" s="143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-11847503.340000004</v>
      </c>
      <c r="H68" s="32">
        <f>_xll.DBRW($C$1,$C$2,$C$3,$C$4,$C$6,$C$5,$C$7,H$1,H$2,A68)</f>
        <v>-14503791.310000001</v>
      </c>
      <c r="I68" s="32">
        <f>_xll.DBRW($C$1,$C$2,$C$3,$C$4,$C$6,$C$5,$C$7,I$1,I$2,A68)</f>
        <v>0</v>
      </c>
      <c r="J68" s="32">
        <f>_xll.DBRW($C$1,$C$2,$C$3,$C$4,$C$6,$C$5,$C$7,J$1,J$2,A68)</f>
        <v>-3676437.8600000003</v>
      </c>
      <c r="K68" s="32">
        <f>_xll.DBRW($C$1,$C$2,$C$3,$C$4,$C$6,$C$5,$C$7,K$1,K$2,A68)</f>
        <v>-5555294.2000000002</v>
      </c>
      <c r="L68" s="32">
        <f>_xll.DBRW($C$1,$C$2,$C$3,$C$4,$C$6,$C$5,$C$7,L$1,L$2,A68)</f>
        <v>-5518009.9399999995</v>
      </c>
      <c r="M68" s="32">
        <f>_xll.DBRW($C$1,$C$2,$C$3,$C$4,$C$6,$C$5,$C$7,M$1,M$2,A68)</f>
        <v>-8526170.0399999991</v>
      </c>
      <c r="N68" s="32">
        <f>_xll.DBRW($C$1,$C$2,$C$3,$C$4,$C$6,$C$5,$C$7,N$1,N$2,A68)</f>
        <v>-2071862.4199999981</v>
      </c>
      <c r="O68" s="32">
        <f>_xll.DBRW($C$1,$C$2,$C$3,$C$4,$C$6,$C$5,$C$7,O$1,O$2,A68)</f>
        <v>1.862645149230957E-9</v>
      </c>
      <c r="P68" s="32">
        <f>_xll.DBRW($C$1,$C$2,$C$3,$C$4,$C$6,$C$5,$C$7,P$1,P$2,A68)</f>
        <v>-3042841.8199999989</v>
      </c>
      <c r="Q68" s="32">
        <f>_xll.DBRW($C$1,$C$2,$C$3,$C$4,$C$6,$C$5,$C$7,Q$1,Q$2,A68)</f>
        <v>-3974045.4999999991</v>
      </c>
      <c r="R68" s="32">
        <f>_xll.DBRW($C$1,$C$2,$C$3,$C$4,$C$6,$C$5,$C$7,R$1,R$2,A68)</f>
        <v>1.3969838619232178E-9</v>
      </c>
      <c r="S68" s="32">
        <f>_xll.DBRW($C$1,$C$2,$C$3,$C$4,$C$6,$C$5,$C$7,S$1,S$2,A68)</f>
        <v>-14392259.329999996</v>
      </c>
      <c r="T68" s="32">
        <f>_xll.DBRW($C$1,$C$2,$C$3,$C$4,$C$6,$C$5,$C$7,T$1,T$2,A68)</f>
        <v>-12537570.119999997</v>
      </c>
      <c r="U68" s="32">
        <f>_xll.DBRW($C$1,$C$2,$C$3,$C$4,$C$6,$C$5,$C$7,U$1,U$2,A68)</f>
        <v>-12537570.119999997</v>
      </c>
      <c r="V68" s="32">
        <f>_xll.DBRW($C$1,$C$2,$C$3,$C$4,$C$6,$C$5,$C$7,V$1,V$2,A68)</f>
        <v>0</v>
      </c>
      <c r="W68" s="32">
        <f>_xll.DBRW($C$1,$C$2,$C$3,$C$4,$C$6,$C$5,$C$7,W$1,W$2,A68)</f>
        <v>0</v>
      </c>
      <c r="X68" s="32">
        <f>_xll.DBRW($C$1,$C$2,$C$3,$C$4,$C$6,$C$5,$C$7,X$1,X$2,A68)</f>
        <v>0</v>
      </c>
      <c r="Y68" s="32">
        <f>_xll.DBRW($C$1,$C$2,$C$3,$C$4,$C$6,$C$5,$C$7,Y$1,Y$2,A68)</f>
        <v>0</v>
      </c>
      <c r="Z68" s="32">
        <f>_xll.DBRW($C$1,$C$2,$C$3,$C$4,$C$6,$C$5,$C$7,Z$1,Z$2,A68)</f>
        <v>0</v>
      </c>
      <c r="AA68" s="32">
        <f>_xll.DBRW($C$1,$C$2,$C$3,$C$4,$C$6,$C$5,$C$7,AA$1,AA$2,A68)</f>
        <v>0</v>
      </c>
      <c r="AB68" s="32">
        <f>_xll.DBRW($C$1,$C$2,$C$3,$C$4,$C$6,$C$5,$C$7,AB$1,AB$2,A68)</f>
        <v>0</v>
      </c>
      <c r="AC68" s="32">
        <f>_xll.DBRW($C$1,$C$2,$C$3,$C$4,$C$6,$C$5,$C$7,AC$1,AC$2,A68)</f>
        <v>0</v>
      </c>
      <c r="AD68" s="32">
        <f>_xll.DBRW($C$1,$C$2,$C$3,$C$4,$C$6,$C$5,$C$7,AD$1,AD$2,A68)</f>
        <v>0</v>
      </c>
      <c r="AE68" s="32">
        <f>_xll.DBRW($C$1,$C$2,$C$3,$C$4,$C$6,$C$5,$C$7,AE$1,AE$2,A68)</f>
        <v>0</v>
      </c>
      <c r="AF68" s="32">
        <f>_xll.DBRW($C$1,$C$2,$C$3,$C$4,$C$6,$C$5,$C$7,AF$1,AF$2,A68)</f>
        <v>0</v>
      </c>
      <c r="AG68" s="32">
        <f>_xll.DBRW($C$1,$C$2,$C$3,$C$4,$C$6,$C$5,$C$7,AG$1,AG$2,A68)</f>
        <v>0</v>
      </c>
      <c r="AH68" s="32">
        <f>_xll.DBRW($C$1,$C$2,$C$3,$C$4,$C$6,$C$5,$C$7,AH$1,AH$2,A68)</f>
        <v>0</v>
      </c>
      <c r="AI68" s="32">
        <f>_xll.DBRW($C$1,$C$2,$C$3,$C$4,$C$6,$C$5,$C$7,AI$1,AI$2,A68)</f>
        <v>0</v>
      </c>
      <c r="AJ68" s="32">
        <f>_xll.DBRW($C$1,$C$2,$C$3,$C$4,$C$6,$C$5,$C$7,AJ$1,AJ$2,A68)</f>
        <v>0</v>
      </c>
      <c r="AK68" s="32">
        <f>_xll.DBRW($C$1,$C$2,$C$3,$C$4,$C$6,$C$5,$C$7,AK$1,AK$2,A68)</f>
        <v>0</v>
      </c>
      <c r="AL68" s="32">
        <f>_xll.DBRW($C$1,$C$2,$C$3,$C$4,$C$6,$C$5,$C$7,AL$1,AL$2,A68)</f>
        <v>0</v>
      </c>
      <c r="AM68" s="32">
        <f>_xll.DBRW($C$1,$C$2,$C$3,$C$4,$C$6,$C$5,$C$7,AM$1,AM$2,A68)</f>
        <v>0</v>
      </c>
      <c r="AN68" s="32">
        <f>_xll.DBRW($C$1,$C$2,$C$3,$C$4,$C$6,$C$5,$C$7,AN$1,AN$2,A68)</f>
        <v>0</v>
      </c>
      <c r="AO68" s="32">
        <f>_xll.DBRW($C$1,$C$2,$C$3,$C$4,$C$6,$C$5,$C$7,AO$1,AO$2,A68)</f>
        <v>0</v>
      </c>
      <c r="AP68" s="32">
        <f>_xll.DBRW($C$1,$C$2,$C$3,$C$4,$C$6,$C$5,$C$7,AP$1,AP$2,A68)</f>
        <v>0</v>
      </c>
      <c r="AQ68" s="32">
        <f>_xll.DBRW($C$1,$C$2,$C$3,$C$4,$C$6,$C$5,$C$7,AQ$1,AQ$2,A68)</f>
        <v>0</v>
      </c>
      <c r="AR68" s="32">
        <f>_xll.DBRW($C$1,$C$2,$C$3,$C$4,$C$6,$C$5,$C$7,AR$1,AR$2,A68)</f>
        <v>0</v>
      </c>
      <c r="AS68" s="32">
        <f>_xll.DBRW($C$1,$C$2,$C$3,$C$4,$C$6,$C$5,$C$7,AS$1,AS$2,A68)</f>
        <v>0</v>
      </c>
      <c r="AT68" s="32">
        <f>_xll.DBRW($C$1,$C$2,$C$3,$C$4,$C$6,$C$5,$C$7,AT$1,AT$2,A68)</f>
        <v>0</v>
      </c>
      <c r="AU68" s="32">
        <f>_xll.DBRW($C$1,$C$2,$C$3,$C$4,$C$6,$C$5,$C$7,AU$1,AU$2,A68)</f>
        <v>0</v>
      </c>
    </row>
    <row r="69" spans="1:47" ht="15.75" hidden="1" customHeight="1" outlineLevel="2">
      <c r="A69" s="1" t="s">
        <v>161</v>
      </c>
      <c r="C69" s="143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I69" s="32">
        <f>_xll.DBRW($C$1,$C$2,$C$3,$C$4,$C$6,$C$5,$C$7,I$1,I$2,A69)</f>
        <v>0</v>
      </c>
      <c r="J69" s="32">
        <f>_xll.DBRW($C$1,$C$2,$C$3,$C$4,$C$6,$C$5,$C$7,J$1,J$2,A69)</f>
        <v>0</v>
      </c>
      <c r="K69" s="32">
        <f>_xll.DBRW($C$1,$C$2,$C$3,$C$4,$C$6,$C$5,$C$7,K$1,K$2,A69)</f>
        <v>0</v>
      </c>
      <c r="L69" s="32">
        <f>_xll.DBRW($C$1,$C$2,$C$3,$C$4,$C$6,$C$5,$C$7,L$1,L$2,A69)</f>
        <v>0</v>
      </c>
      <c r="M69" s="32">
        <f>_xll.DBRW($C$1,$C$2,$C$3,$C$4,$C$6,$C$5,$C$7,M$1,M$2,A69)</f>
        <v>0</v>
      </c>
      <c r="N69" s="32">
        <f>_xll.DBRW($C$1,$C$2,$C$3,$C$4,$C$6,$C$5,$C$7,N$1,N$2,A69)</f>
        <v>0</v>
      </c>
      <c r="O69" s="32">
        <f>_xll.DBRW($C$1,$C$2,$C$3,$C$4,$C$6,$C$5,$C$7,O$1,O$2,A69)</f>
        <v>0</v>
      </c>
      <c r="P69" s="32">
        <f>_xll.DBRW($C$1,$C$2,$C$3,$C$4,$C$6,$C$5,$C$7,P$1,P$2,A69)</f>
        <v>0</v>
      </c>
      <c r="Q69" s="32">
        <f>_xll.DBRW($C$1,$C$2,$C$3,$C$4,$C$6,$C$5,$C$7,Q$1,Q$2,A69)</f>
        <v>0</v>
      </c>
      <c r="R69" s="32">
        <f>_xll.DBRW($C$1,$C$2,$C$3,$C$4,$C$6,$C$5,$C$7,R$1,R$2,A69)</f>
        <v>0</v>
      </c>
      <c r="S69" s="32">
        <f>_xll.DBRW($C$1,$C$2,$C$3,$C$4,$C$6,$C$5,$C$7,S$1,S$2,A69)</f>
        <v>0</v>
      </c>
      <c r="T69" s="32">
        <f>_xll.DBRW($C$1,$C$2,$C$3,$C$4,$C$6,$C$5,$C$7,T$1,T$2,A69)</f>
        <v>0</v>
      </c>
      <c r="U69" s="32">
        <f>_xll.DBRW($C$1,$C$2,$C$3,$C$4,$C$6,$C$5,$C$7,U$1,U$2,A69)</f>
        <v>0</v>
      </c>
      <c r="V69" s="32">
        <f>_xll.DBRW($C$1,$C$2,$C$3,$C$4,$C$6,$C$5,$C$7,V$1,V$2,A69)</f>
        <v>0</v>
      </c>
      <c r="W69" s="32">
        <f>_xll.DBRW($C$1,$C$2,$C$3,$C$4,$C$6,$C$5,$C$7,W$1,W$2,A69)</f>
        <v>0</v>
      </c>
      <c r="X69" s="32">
        <f>_xll.DBRW($C$1,$C$2,$C$3,$C$4,$C$6,$C$5,$C$7,X$1,X$2,A69)</f>
        <v>0</v>
      </c>
      <c r="Y69" s="32">
        <f>_xll.DBRW($C$1,$C$2,$C$3,$C$4,$C$6,$C$5,$C$7,Y$1,Y$2,A69)</f>
        <v>0</v>
      </c>
      <c r="Z69" s="32">
        <f>_xll.DBRW($C$1,$C$2,$C$3,$C$4,$C$6,$C$5,$C$7,Z$1,Z$2,A69)</f>
        <v>0</v>
      </c>
      <c r="AA69" s="32">
        <f>_xll.DBRW($C$1,$C$2,$C$3,$C$4,$C$6,$C$5,$C$7,AA$1,AA$2,A69)</f>
        <v>0</v>
      </c>
      <c r="AB69" s="32">
        <f>_xll.DBRW($C$1,$C$2,$C$3,$C$4,$C$6,$C$5,$C$7,AB$1,AB$2,A69)</f>
        <v>0</v>
      </c>
      <c r="AC69" s="32">
        <f>_xll.DBRW($C$1,$C$2,$C$3,$C$4,$C$6,$C$5,$C$7,AC$1,AC$2,A69)</f>
        <v>0</v>
      </c>
      <c r="AD69" s="32">
        <f>_xll.DBRW($C$1,$C$2,$C$3,$C$4,$C$6,$C$5,$C$7,AD$1,AD$2,A69)</f>
        <v>0</v>
      </c>
      <c r="AE69" s="32">
        <f>_xll.DBRW($C$1,$C$2,$C$3,$C$4,$C$6,$C$5,$C$7,AE$1,AE$2,A69)</f>
        <v>0</v>
      </c>
      <c r="AF69" s="32">
        <f>_xll.DBRW($C$1,$C$2,$C$3,$C$4,$C$6,$C$5,$C$7,AF$1,AF$2,A69)</f>
        <v>0</v>
      </c>
      <c r="AG69" s="32">
        <f>_xll.DBRW($C$1,$C$2,$C$3,$C$4,$C$6,$C$5,$C$7,AG$1,AG$2,A69)</f>
        <v>0</v>
      </c>
      <c r="AH69" s="32">
        <f>_xll.DBRW($C$1,$C$2,$C$3,$C$4,$C$6,$C$5,$C$7,AH$1,AH$2,A69)</f>
        <v>0</v>
      </c>
      <c r="AI69" s="32">
        <f>_xll.DBRW($C$1,$C$2,$C$3,$C$4,$C$6,$C$5,$C$7,AI$1,AI$2,A69)</f>
        <v>0</v>
      </c>
      <c r="AJ69" s="32">
        <f>_xll.DBRW($C$1,$C$2,$C$3,$C$4,$C$6,$C$5,$C$7,AJ$1,AJ$2,A69)</f>
        <v>0</v>
      </c>
      <c r="AK69" s="32">
        <f>_xll.DBRW($C$1,$C$2,$C$3,$C$4,$C$6,$C$5,$C$7,AK$1,AK$2,A69)</f>
        <v>0</v>
      </c>
      <c r="AL69" s="32">
        <f>_xll.DBRW($C$1,$C$2,$C$3,$C$4,$C$6,$C$5,$C$7,AL$1,AL$2,A69)</f>
        <v>0</v>
      </c>
      <c r="AM69" s="32">
        <f>_xll.DBRW($C$1,$C$2,$C$3,$C$4,$C$6,$C$5,$C$7,AM$1,AM$2,A69)</f>
        <v>0</v>
      </c>
      <c r="AN69" s="32">
        <f>_xll.DBRW($C$1,$C$2,$C$3,$C$4,$C$6,$C$5,$C$7,AN$1,AN$2,A69)</f>
        <v>0</v>
      </c>
      <c r="AO69" s="32">
        <f>_xll.DBRW($C$1,$C$2,$C$3,$C$4,$C$6,$C$5,$C$7,AO$1,AO$2,A69)</f>
        <v>0</v>
      </c>
      <c r="AP69" s="32">
        <f>_xll.DBRW($C$1,$C$2,$C$3,$C$4,$C$6,$C$5,$C$7,AP$1,AP$2,A69)</f>
        <v>0</v>
      </c>
      <c r="AQ69" s="32">
        <f>_xll.DBRW($C$1,$C$2,$C$3,$C$4,$C$6,$C$5,$C$7,AQ$1,AQ$2,A69)</f>
        <v>0</v>
      </c>
      <c r="AR69" s="32">
        <f>_xll.DBRW($C$1,$C$2,$C$3,$C$4,$C$6,$C$5,$C$7,AR$1,AR$2,A69)</f>
        <v>0</v>
      </c>
      <c r="AS69" s="32">
        <f>_xll.DBRW($C$1,$C$2,$C$3,$C$4,$C$6,$C$5,$C$7,AS$1,AS$2,A69)</f>
        <v>0</v>
      </c>
      <c r="AT69" s="32">
        <f>_xll.DBRW($C$1,$C$2,$C$3,$C$4,$C$6,$C$5,$C$7,AT$1,AT$2,A69)</f>
        <v>0</v>
      </c>
      <c r="AU69" s="32">
        <f>_xll.DBRW($C$1,$C$2,$C$3,$C$4,$C$6,$C$5,$C$7,AU$1,AU$2,A69)</f>
        <v>0</v>
      </c>
    </row>
    <row r="70" spans="1:47" ht="15.75" hidden="1" customHeight="1" outlineLevel="2">
      <c r="A70" s="1" t="s">
        <v>162</v>
      </c>
      <c r="C70" s="143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I70" s="32">
        <f>_xll.DBRW($C$1,$C$2,$C$3,$C$4,$C$6,$C$5,$C$7,I$1,I$2,A70)</f>
        <v>0</v>
      </c>
      <c r="J70" s="32">
        <f>_xll.DBRW($C$1,$C$2,$C$3,$C$4,$C$6,$C$5,$C$7,J$1,J$2,A70)</f>
        <v>0</v>
      </c>
      <c r="K70" s="32">
        <f>_xll.DBRW($C$1,$C$2,$C$3,$C$4,$C$6,$C$5,$C$7,K$1,K$2,A70)</f>
        <v>0</v>
      </c>
      <c r="L70" s="32">
        <f>_xll.DBRW($C$1,$C$2,$C$3,$C$4,$C$6,$C$5,$C$7,L$1,L$2,A70)</f>
        <v>0</v>
      </c>
      <c r="M70" s="32">
        <f>_xll.DBRW($C$1,$C$2,$C$3,$C$4,$C$6,$C$5,$C$7,M$1,M$2,A70)</f>
        <v>0</v>
      </c>
      <c r="N70" s="32">
        <f>_xll.DBRW($C$1,$C$2,$C$3,$C$4,$C$6,$C$5,$C$7,N$1,N$2,A70)</f>
        <v>0</v>
      </c>
      <c r="O70" s="32">
        <f>_xll.DBRW($C$1,$C$2,$C$3,$C$4,$C$6,$C$5,$C$7,O$1,O$2,A70)</f>
        <v>0</v>
      </c>
      <c r="P70" s="32">
        <f>_xll.DBRW($C$1,$C$2,$C$3,$C$4,$C$6,$C$5,$C$7,P$1,P$2,A70)</f>
        <v>0</v>
      </c>
      <c r="Q70" s="32">
        <f>_xll.DBRW($C$1,$C$2,$C$3,$C$4,$C$6,$C$5,$C$7,Q$1,Q$2,A70)</f>
        <v>0</v>
      </c>
      <c r="R70" s="32">
        <f>_xll.DBRW($C$1,$C$2,$C$3,$C$4,$C$6,$C$5,$C$7,R$1,R$2,A70)</f>
        <v>0</v>
      </c>
      <c r="S70" s="32">
        <f>_xll.DBRW($C$1,$C$2,$C$3,$C$4,$C$6,$C$5,$C$7,S$1,S$2,A70)</f>
        <v>0</v>
      </c>
      <c r="T70" s="32">
        <f>_xll.DBRW($C$1,$C$2,$C$3,$C$4,$C$6,$C$5,$C$7,T$1,T$2,A70)</f>
        <v>0</v>
      </c>
      <c r="U70" s="32">
        <f>_xll.DBRW($C$1,$C$2,$C$3,$C$4,$C$6,$C$5,$C$7,U$1,U$2,A70)</f>
        <v>0</v>
      </c>
      <c r="V70" s="32">
        <f>_xll.DBRW($C$1,$C$2,$C$3,$C$4,$C$6,$C$5,$C$7,V$1,V$2,A70)</f>
        <v>0</v>
      </c>
      <c r="W70" s="32">
        <f>_xll.DBRW($C$1,$C$2,$C$3,$C$4,$C$6,$C$5,$C$7,W$1,W$2,A70)</f>
        <v>0</v>
      </c>
      <c r="X70" s="32">
        <f>_xll.DBRW($C$1,$C$2,$C$3,$C$4,$C$6,$C$5,$C$7,X$1,X$2,A70)</f>
        <v>0</v>
      </c>
      <c r="Y70" s="32">
        <f>_xll.DBRW($C$1,$C$2,$C$3,$C$4,$C$6,$C$5,$C$7,Y$1,Y$2,A70)</f>
        <v>0</v>
      </c>
      <c r="Z70" s="32">
        <f>_xll.DBRW($C$1,$C$2,$C$3,$C$4,$C$6,$C$5,$C$7,Z$1,Z$2,A70)</f>
        <v>0</v>
      </c>
      <c r="AA70" s="32">
        <f>_xll.DBRW($C$1,$C$2,$C$3,$C$4,$C$6,$C$5,$C$7,AA$1,AA$2,A70)</f>
        <v>0</v>
      </c>
      <c r="AB70" s="32">
        <f>_xll.DBRW($C$1,$C$2,$C$3,$C$4,$C$6,$C$5,$C$7,AB$1,AB$2,A70)</f>
        <v>0</v>
      </c>
      <c r="AC70" s="32">
        <f>_xll.DBRW($C$1,$C$2,$C$3,$C$4,$C$6,$C$5,$C$7,AC$1,AC$2,A70)</f>
        <v>0</v>
      </c>
      <c r="AD70" s="32">
        <f>_xll.DBRW($C$1,$C$2,$C$3,$C$4,$C$6,$C$5,$C$7,AD$1,AD$2,A70)</f>
        <v>0</v>
      </c>
      <c r="AE70" s="32">
        <f>_xll.DBRW($C$1,$C$2,$C$3,$C$4,$C$6,$C$5,$C$7,AE$1,AE$2,A70)</f>
        <v>0</v>
      </c>
      <c r="AF70" s="32">
        <f>_xll.DBRW($C$1,$C$2,$C$3,$C$4,$C$6,$C$5,$C$7,AF$1,AF$2,A70)</f>
        <v>0</v>
      </c>
      <c r="AG70" s="32">
        <f>_xll.DBRW($C$1,$C$2,$C$3,$C$4,$C$6,$C$5,$C$7,AG$1,AG$2,A70)</f>
        <v>0</v>
      </c>
      <c r="AH70" s="32">
        <f>_xll.DBRW($C$1,$C$2,$C$3,$C$4,$C$6,$C$5,$C$7,AH$1,AH$2,A70)</f>
        <v>0</v>
      </c>
      <c r="AI70" s="32">
        <f>_xll.DBRW($C$1,$C$2,$C$3,$C$4,$C$6,$C$5,$C$7,AI$1,AI$2,A70)</f>
        <v>0</v>
      </c>
      <c r="AJ70" s="32">
        <f>_xll.DBRW($C$1,$C$2,$C$3,$C$4,$C$6,$C$5,$C$7,AJ$1,AJ$2,A70)</f>
        <v>0</v>
      </c>
      <c r="AK70" s="32">
        <f>_xll.DBRW($C$1,$C$2,$C$3,$C$4,$C$6,$C$5,$C$7,AK$1,AK$2,A70)</f>
        <v>0</v>
      </c>
      <c r="AL70" s="32">
        <f>_xll.DBRW($C$1,$C$2,$C$3,$C$4,$C$6,$C$5,$C$7,AL$1,AL$2,A70)</f>
        <v>0</v>
      </c>
      <c r="AM70" s="32">
        <f>_xll.DBRW($C$1,$C$2,$C$3,$C$4,$C$6,$C$5,$C$7,AM$1,AM$2,A70)</f>
        <v>0</v>
      </c>
      <c r="AN70" s="32">
        <f>_xll.DBRW($C$1,$C$2,$C$3,$C$4,$C$6,$C$5,$C$7,AN$1,AN$2,A70)</f>
        <v>0</v>
      </c>
      <c r="AO70" s="32">
        <f>_xll.DBRW($C$1,$C$2,$C$3,$C$4,$C$6,$C$5,$C$7,AO$1,AO$2,A70)</f>
        <v>0</v>
      </c>
      <c r="AP70" s="32">
        <f>_xll.DBRW($C$1,$C$2,$C$3,$C$4,$C$6,$C$5,$C$7,AP$1,AP$2,A70)</f>
        <v>0</v>
      </c>
      <c r="AQ70" s="32">
        <f>_xll.DBRW($C$1,$C$2,$C$3,$C$4,$C$6,$C$5,$C$7,AQ$1,AQ$2,A70)</f>
        <v>0</v>
      </c>
      <c r="AR70" s="32">
        <f>_xll.DBRW($C$1,$C$2,$C$3,$C$4,$C$6,$C$5,$C$7,AR$1,AR$2,A70)</f>
        <v>0</v>
      </c>
      <c r="AS70" s="32">
        <f>_xll.DBRW($C$1,$C$2,$C$3,$C$4,$C$6,$C$5,$C$7,AS$1,AS$2,A70)</f>
        <v>0</v>
      </c>
      <c r="AT70" s="32">
        <f>_xll.DBRW($C$1,$C$2,$C$3,$C$4,$C$6,$C$5,$C$7,AT$1,AT$2,A70)</f>
        <v>0</v>
      </c>
      <c r="AU70" s="32">
        <f>_xll.DBRW($C$1,$C$2,$C$3,$C$4,$C$6,$C$5,$C$7,AU$1,AU$2,A70)</f>
        <v>0</v>
      </c>
    </row>
    <row r="71" spans="1:47" ht="15.75" hidden="1" customHeight="1" outlineLevel="2">
      <c r="A71" s="1" t="s">
        <v>163</v>
      </c>
      <c r="C71" s="143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I71" s="32">
        <f>_xll.DBRW($C$1,$C$2,$C$3,$C$4,$C$6,$C$5,$C$7,I$1,I$2,A71)</f>
        <v>0</v>
      </c>
      <c r="J71" s="32">
        <f>_xll.DBRW($C$1,$C$2,$C$3,$C$4,$C$6,$C$5,$C$7,J$1,J$2,A71)</f>
        <v>0</v>
      </c>
      <c r="K71" s="32">
        <f>_xll.DBRW($C$1,$C$2,$C$3,$C$4,$C$6,$C$5,$C$7,K$1,K$2,A71)</f>
        <v>0</v>
      </c>
      <c r="L71" s="32">
        <f>_xll.DBRW($C$1,$C$2,$C$3,$C$4,$C$6,$C$5,$C$7,L$1,L$2,A71)</f>
        <v>0</v>
      </c>
      <c r="M71" s="32">
        <f>_xll.DBRW($C$1,$C$2,$C$3,$C$4,$C$6,$C$5,$C$7,M$1,M$2,A71)</f>
        <v>0</v>
      </c>
      <c r="N71" s="32">
        <f>_xll.DBRW($C$1,$C$2,$C$3,$C$4,$C$6,$C$5,$C$7,N$1,N$2,A71)</f>
        <v>0</v>
      </c>
      <c r="O71" s="32">
        <f>_xll.DBRW($C$1,$C$2,$C$3,$C$4,$C$6,$C$5,$C$7,O$1,O$2,A71)</f>
        <v>0</v>
      </c>
      <c r="P71" s="32">
        <f>_xll.DBRW($C$1,$C$2,$C$3,$C$4,$C$6,$C$5,$C$7,P$1,P$2,A71)</f>
        <v>0</v>
      </c>
      <c r="Q71" s="32">
        <f>_xll.DBRW($C$1,$C$2,$C$3,$C$4,$C$6,$C$5,$C$7,Q$1,Q$2,A71)</f>
        <v>0</v>
      </c>
      <c r="R71" s="32">
        <f>_xll.DBRW($C$1,$C$2,$C$3,$C$4,$C$6,$C$5,$C$7,R$1,R$2,A71)</f>
        <v>0</v>
      </c>
      <c r="S71" s="32">
        <f>_xll.DBRW($C$1,$C$2,$C$3,$C$4,$C$6,$C$5,$C$7,S$1,S$2,A71)</f>
        <v>0</v>
      </c>
      <c r="T71" s="32">
        <f>_xll.DBRW($C$1,$C$2,$C$3,$C$4,$C$6,$C$5,$C$7,T$1,T$2,A71)</f>
        <v>0</v>
      </c>
      <c r="U71" s="32">
        <f>_xll.DBRW($C$1,$C$2,$C$3,$C$4,$C$6,$C$5,$C$7,U$1,U$2,A71)</f>
        <v>0</v>
      </c>
      <c r="V71" s="32">
        <f>_xll.DBRW($C$1,$C$2,$C$3,$C$4,$C$6,$C$5,$C$7,V$1,V$2,A71)</f>
        <v>0</v>
      </c>
      <c r="W71" s="32">
        <f>_xll.DBRW($C$1,$C$2,$C$3,$C$4,$C$6,$C$5,$C$7,W$1,W$2,A71)</f>
        <v>0</v>
      </c>
      <c r="X71" s="32">
        <f>_xll.DBRW($C$1,$C$2,$C$3,$C$4,$C$6,$C$5,$C$7,X$1,X$2,A71)</f>
        <v>0</v>
      </c>
      <c r="Y71" s="32">
        <f>_xll.DBRW($C$1,$C$2,$C$3,$C$4,$C$6,$C$5,$C$7,Y$1,Y$2,A71)</f>
        <v>0</v>
      </c>
      <c r="Z71" s="32">
        <f>_xll.DBRW($C$1,$C$2,$C$3,$C$4,$C$6,$C$5,$C$7,Z$1,Z$2,A71)</f>
        <v>0</v>
      </c>
      <c r="AA71" s="32">
        <f>_xll.DBRW($C$1,$C$2,$C$3,$C$4,$C$6,$C$5,$C$7,AA$1,AA$2,A71)</f>
        <v>0</v>
      </c>
      <c r="AB71" s="32">
        <f>_xll.DBRW($C$1,$C$2,$C$3,$C$4,$C$6,$C$5,$C$7,AB$1,AB$2,A71)</f>
        <v>0</v>
      </c>
      <c r="AC71" s="32">
        <f>_xll.DBRW($C$1,$C$2,$C$3,$C$4,$C$6,$C$5,$C$7,AC$1,AC$2,A71)</f>
        <v>0</v>
      </c>
      <c r="AD71" s="32">
        <f>_xll.DBRW($C$1,$C$2,$C$3,$C$4,$C$6,$C$5,$C$7,AD$1,AD$2,A71)</f>
        <v>0</v>
      </c>
      <c r="AE71" s="32">
        <f>_xll.DBRW($C$1,$C$2,$C$3,$C$4,$C$6,$C$5,$C$7,AE$1,AE$2,A71)</f>
        <v>0</v>
      </c>
      <c r="AF71" s="32">
        <f>_xll.DBRW($C$1,$C$2,$C$3,$C$4,$C$6,$C$5,$C$7,AF$1,AF$2,A71)</f>
        <v>0</v>
      </c>
      <c r="AG71" s="32">
        <f>_xll.DBRW($C$1,$C$2,$C$3,$C$4,$C$6,$C$5,$C$7,AG$1,AG$2,A71)</f>
        <v>0</v>
      </c>
      <c r="AH71" s="32">
        <f>_xll.DBRW($C$1,$C$2,$C$3,$C$4,$C$6,$C$5,$C$7,AH$1,AH$2,A71)</f>
        <v>0</v>
      </c>
      <c r="AI71" s="32">
        <f>_xll.DBRW($C$1,$C$2,$C$3,$C$4,$C$6,$C$5,$C$7,AI$1,AI$2,A71)</f>
        <v>0</v>
      </c>
      <c r="AJ71" s="32">
        <f>_xll.DBRW($C$1,$C$2,$C$3,$C$4,$C$6,$C$5,$C$7,AJ$1,AJ$2,A71)</f>
        <v>0</v>
      </c>
      <c r="AK71" s="32">
        <f>_xll.DBRW($C$1,$C$2,$C$3,$C$4,$C$6,$C$5,$C$7,AK$1,AK$2,A71)</f>
        <v>0</v>
      </c>
      <c r="AL71" s="32">
        <f>_xll.DBRW($C$1,$C$2,$C$3,$C$4,$C$6,$C$5,$C$7,AL$1,AL$2,A71)</f>
        <v>0</v>
      </c>
      <c r="AM71" s="32">
        <f>_xll.DBRW($C$1,$C$2,$C$3,$C$4,$C$6,$C$5,$C$7,AM$1,AM$2,A71)</f>
        <v>0</v>
      </c>
      <c r="AN71" s="32">
        <f>_xll.DBRW($C$1,$C$2,$C$3,$C$4,$C$6,$C$5,$C$7,AN$1,AN$2,A71)</f>
        <v>0</v>
      </c>
      <c r="AO71" s="32">
        <f>_xll.DBRW($C$1,$C$2,$C$3,$C$4,$C$6,$C$5,$C$7,AO$1,AO$2,A71)</f>
        <v>0</v>
      </c>
      <c r="AP71" s="32">
        <f>_xll.DBRW($C$1,$C$2,$C$3,$C$4,$C$6,$C$5,$C$7,AP$1,AP$2,A71)</f>
        <v>0</v>
      </c>
      <c r="AQ71" s="32">
        <f>_xll.DBRW($C$1,$C$2,$C$3,$C$4,$C$6,$C$5,$C$7,AQ$1,AQ$2,A71)</f>
        <v>0</v>
      </c>
      <c r="AR71" s="32">
        <f>_xll.DBRW($C$1,$C$2,$C$3,$C$4,$C$6,$C$5,$C$7,AR$1,AR$2,A71)</f>
        <v>0</v>
      </c>
      <c r="AS71" s="32">
        <f>_xll.DBRW($C$1,$C$2,$C$3,$C$4,$C$6,$C$5,$C$7,AS$1,AS$2,A71)</f>
        <v>0</v>
      </c>
      <c r="AT71" s="32">
        <f>_xll.DBRW($C$1,$C$2,$C$3,$C$4,$C$6,$C$5,$C$7,AT$1,AT$2,A71)</f>
        <v>0</v>
      </c>
      <c r="AU71" s="32">
        <f>_xll.DBRW($C$1,$C$2,$C$3,$C$4,$C$6,$C$5,$C$7,AU$1,AU$2,A71)</f>
        <v>0</v>
      </c>
    </row>
    <row r="72" spans="1:47" ht="15.75" hidden="1" customHeight="1" outlineLevel="2">
      <c r="A72" s="1" t="s">
        <v>164</v>
      </c>
      <c r="C72" s="143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I72" s="32">
        <f>_xll.DBRW($C$1,$C$2,$C$3,$C$4,$C$6,$C$5,$C$7,I$1,I$2,A72)</f>
        <v>0</v>
      </c>
      <c r="J72" s="32">
        <f>_xll.DBRW($C$1,$C$2,$C$3,$C$4,$C$6,$C$5,$C$7,J$1,J$2,A72)</f>
        <v>0</v>
      </c>
      <c r="K72" s="32">
        <f>_xll.DBRW($C$1,$C$2,$C$3,$C$4,$C$6,$C$5,$C$7,K$1,K$2,A72)</f>
        <v>0</v>
      </c>
      <c r="L72" s="32">
        <f>_xll.DBRW($C$1,$C$2,$C$3,$C$4,$C$6,$C$5,$C$7,L$1,L$2,A72)</f>
        <v>0</v>
      </c>
      <c r="M72" s="32">
        <f>_xll.DBRW($C$1,$C$2,$C$3,$C$4,$C$6,$C$5,$C$7,M$1,M$2,A72)</f>
        <v>0</v>
      </c>
      <c r="N72" s="32">
        <f>_xll.DBRW($C$1,$C$2,$C$3,$C$4,$C$6,$C$5,$C$7,N$1,N$2,A72)</f>
        <v>0</v>
      </c>
      <c r="O72" s="32">
        <f>_xll.DBRW($C$1,$C$2,$C$3,$C$4,$C$6,$C$5,$C$7,O$1,O$2,A72)</f>
        <v>0</v>
      </c>
      <c r="P72" s="32">
        <f>_xll.DBRW($C$1,$C$2,$C$3,$C$4,$C$6,$C$5,$C$7,P$1,P$2,A72)</f>
        <v>0</v>
      </c>
      <c r="Q72" s="32">
        <f>_xll.DBRW($C$1,$C$2,$C$3,$C$4,$C$6,$C$5,$C$7,Q$1,Q$2,A72)</f>
        <v>0</v>
      </c>
      <c r="R72" s="32">
        <f>_xll.DBRW($C$1,$C$2,$C$3,$C$4,$C$6,$C$5,$C$7,R$1,R$2,A72)</f>
        <v>0</v>
      </c>
      <c r="S72" s="32">
        <f>_xll.DBRW($C$1,$C$2,$C$3,$C$4,$C$6,$C$5,$C$7,S$1,S$2,A72)</f>
        <v>0</v>
      </c>
      <c r="T72" s="32">
        <f>_xll.DBRW($C$1,$C$2,$C$3,$C$4,$C$6,$C$5,$C$7,T$1,T$2,A72)</f>
        <v>0</v>
      </c>
      <c r="U72" s="32">
        <f>_xll.DBRW($C$1,$C$2,$C$3,$C$4,$C$6,$C$5,$C$7,U$1,U$2,A72)</f>
        <v>0</v>
      </c>
      <c r="V72" s="32">
        <f>_xll.DBRW($C$1,$C$2,$C$3,$C$4,$C$6,$C$5,$C$7,V$1,V$2,A72)</f>
        <v>0</v>
      </c>
      <c r="W72" s="32">
        <f>_xll.DBRW($C$1,$C$2,$C$3,$C$4,$C$6,$C$5,$C$7,W$1,W$2,A72)</f>
        <v>0</v>
      </c>
      <c r="X72" s="32">
        <f>_xll.DBRW($C$1,$C$2,$C$3,$C$4,$C$6,$C$5,$C$7,X$1,X$2,A72)</f>
        <v>0</v>
      </c>
      <c r="Y72" s="32">
        <f>_xll.DBRW($C$1,$C$2,$C$3,$C$4,$C$6,$C$5,$C$7,Y$1,Y$2,A72)</f>
        <v>0</v>
      </c>
      <c r="Z72" s="32">
        <f>_xll.DBRW($C$1,$C$2,$C$3,$C$4,$C$6,$C$5,$C$7,Z$1,Z$2,A72)</f>
        <v>0</v>
      </c>
      <c r="AA72" s="32">
        <f>_xll.DBRW($C$1,$C$2,$C$3,$C$4,$C$6,$C$5,$C$7,AA$1,AA$2,A72)</f>
        <v>0</v>
      </c>
      <c r="AB72" s="32">
        <f>_xll.DBRW($C$1,$C$2,$C$3,$C$4,$C$6,$C$5,$C$7,AB$1,AB$2,A72)</f>
        <v>0</v>
      </c>
      <c r="AC72" s="32">
        <f>_xll.DBRW($C$1,$C$2,$C$3,$C$4,$C$6,$C$5,$C$7,AC$1,AC$2,A72)</f>
        <v>0</v>
      </c>
      <c r="AD72" s="32">
        <f>_xll.DBRW($C$1,$C$2,$C$3,$C$4,$C$6,$C$5,$C$7,AD$1,AD$2,A72)</f>
        <v>0</v>
      </c>
      <c r="AE72" s="32">
        <f>_xll.DBRW($C$1,$C$2,$C$3,$C$4,$C$6,$C$5,$C$7,AE$1,AE$2,A72)</f>
        <v>0</v>
      </c>
      <c r="AF72" s="32">
        <f>_xll.DBRW($C$1,$C$2,$C$3,$C$4,$C$6,$C$5,$C$7,AF$1,AF$2,A72)</f>
        <v>0</v>
      </c>
      <c r="AG72" s="32">
        <f>_xll.DBRW($C$1,$C$2,$C$3,$C$4,$C$6,$C$5,$C$7,AG$1,AG$2,A72)</f>
        <v>0</v>
      </c>
      <c r="AH72" s="32">
        <f>_xll.DBRW($C$1,$C$2,$C$3,$C$4,$C$6,$C$5,$C$7,AH$1,AH$2,A72)</f>
        <v>0</v>
      </c>
      <c r="AI72" s="32">
        <f>_xll.DBRW($C$1,$C$2,$C$3,$C$4,$C$6,$C$5,$C$7,AI$1,AI$2,A72)</f>
        <v>0</v>
      </c>
      <c r="AJ72" s="32">
        <f>_xll.DBRW($C$1,$C$2,$C$3,$C$4,$C$6,$C$5,$C$7,AJ$1,AJ$2,A72)</f>
        <v>0</v>
      </c>
      <c r="AK72" s="32">
        <f>_xll.DBRW($C$1,$C$2,$C$3,$C$4,$C$6,$C$5,$C$7,AK$1,AK$2,A72)</f>
        <v>0</v>
      </c>
      <c r="AL72" s="32">
        <f>_xll.DBRW($C$1,$C$2,$C$3,$C$4,$C$6,$C$5,$C$7,AL$1,AL$2,A72)</f>
        <v>0</v>
      </c>
      <c r="AM72" s="32">
        <f>_xll.DBRW($C$1,$C$2,$C$3,$C$4,$C$6,$C$5,$C$7,AM$1,AM$2,A72)</f>
        <v>0</v>
      </c>
      <c r="AN72" s="32">
        <f>_xll.DBRW($C$1,$C$2,$C$3,$C$4,$C$6,$C$5,$C$7,AN$1,AN$2,A72)</f>
        <v>0</v>
      </c>
      <c r="AO72" s="32">
        <f>_xll.DBRW($C$1,$C$2,$C$3,$C$4,$C$6,$C$5,$C$7,AO$1,AO$2,A72)</f>
        <v>0</v>
      </c>
      <c r="AP72" s="32">
        <f>_xll.DBRW($C$1,$C$2,$C$3,$C$4,$C$6,$C$5,$C$7,AP$1,AP$2,A72)</f>
        <v>0</v>
      </c>
      <c r="AQ72" s="32">
        <f>_xll.DBRW($C$1,$C$2,$C$3,$C$4,$C$6,$C$5,$C$7,AQ$1,AQ$2,A72)</f>
        <v>0</v>
      </c>
      <c r="AR72" s="32">
        <f>_xll.DBRW($C$1,$C$2,$C$3,$C$4,$C$6,$C$5,$C$7,AR$1,AR$2,A72)</f>
        <v>0</v>
      </c>
      <c r="AS72" s="32">
        <f>_xll.DBRW($C$1,$C$2,$C$3,$C$4,$C$6,$C$5,$C$7,AS$1,AS$2,A72)</f>
        <v>0</v>
      </c>
      <c r="AT72" s="32">
        <f>_xll.DBRW($C$1,$C$2,$C$3,$C$4,$C$6,$C$5,$C$7,AT$1,AT$2,A72)</f>
        <v>0</v>
      </c>
      <c r="AU72" s="32">
        <f>_xll.DBRW($C$1,$C$2,$C$3,$C$4,$C$6,$C$5,$C$7,AU$1,AU$2,A72)</f>
        <v>0</v>
      </c>
    </row>
    <row r="73" spans="1:47" ht="15.75" hidden="1" customHeight="1" outlineLevel="2">
      <c r="A73" s="1" t="s">
        <v>165</v>
      </c>
      <c r="C73" s="143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I73" s="32">
        <f>_xll.DBRW($C$1,$C$2,$C$3,$C$4,$C$6,$C$5,$C$7,I$1,I$2,A73)</f>
        <v>0</v>
      </c>
      <c r="J73" s="32">
        <f>_xll.DBRW($C$1,$C$2,$C$3,$C$4,$C$6,$C$5,$C$7,J$1,J$2,A73)</f>
        <v>0</v>
      </c>
      <c r="K73" s="32">
        <f>_xll.DBRW($C$1,$C$2,$C$3,$C$4,$C$6,$C$5,$C$7,K$1,K$2,A73)</f>
        <v>0</v>
      </c>
      <c r="L73" s="32">
        <f>_xll.DBRW($C$1,$C$2,$C$3,$C$4,$C$6,$C$5,$C$7,L$1,L$2,A73)</f>
        <v>0</v>
      </c>
      <c r="M73" s="32">
        <f>_xll.DBRW($C$1,$C$2,$C$3,$C$4,$C$6,$C$5,$C$7,M$1,M$2,A73)</f>
        <v>0</v>
      </c>
      <c r="N73" s="32">
        <f>_xll.DBRW($C$1,$C$2,$C$3,$C$4,$C$6,$C$5,$C$7,N$1,N$2,A73)</f>
        <v>0</v>
      </c>
      <c r="O73" s="32">
        <f>_xll.DBRW($C$1,$C$2,$C$3,$C$4,$C$6,$C$5,$C$7,O$1,O$2,A73)</f>
        <v>0</v>
      </c>
      <c r="P73" s="32">
        <f>_xll.DBRW($C$1,$C$2,$C$3,$C$4,$C$6,$C$5,$C$7,P$1,P$2,A73)</f>
        <v>0</v>
      </c>
      <c r="Q73" s="32">
        <f>_xll.DBRW($C$1,$C$2,$C$3,$C$4,$C$6,$C$5,$C$7,Q$1,Q$2,A73)</f>
        <v>0</v>
      </c>
      <c r="R73" s="32">
        <f>_xll.DBRW($C$1,$C$2,$C$3,$C$4,$C$6,$C$5,$C$7,R$1,R$2,A73)</f>
        <v>0</v>
      </c>
      <c r="S73" s="32">
        <f>_xll.DBRW($C$1,$C$2,$C$3,$C$4,$C$6,$C$5,$C$7,S$1,S$2,A73)</f>
        <v>0</v>
      </c>
      <c r="T73" s="32">
        <f>_xll.DBRW($C$1,$C$2,$C$3,$C$4,$C$6,$C$5,$C$7,T$1,T$2,A73)</f>
        <v>0</v>
      </c>
      <c r="U73" s="32">
        <f>_xll.DBRW($C$1,$C$2,$C$3,$C$4,$C$6,$C$5,$C$7,U$1,U$2,A73)</f>
        <v>0</v>
      </c>
      <c r="V73" s="32">
        <f>_xll.DBRW($C$1,$C$2,$C$3,$C$4,$C$6,$C$5,$C$7,V$1,V$2,A73)</f>
        <v>0</v>
      </c>
      <c r="W73" s="32">
        <f>_xll.DBRW($C$1,$C$2,$C$3,$C$4,$C$6,$C$5,$C$7,W$1,W$2,A73)</f>
        <v>0</v>
      </c>
      <c r="X73" s="32">
        <f>_xll.DBRW($C$1,$C$2,$C$3,$C$4,$C$6,$C$5,$C$7,X$1,X$2,A73)</f>
        <v>0</v>
      </c>
      <c r="Y73" s="32">
        <f>_xll.DBRW($C$1,$C$2,$C$3,$C$4,$C$6,$C$5,$C$7,Y$1,Y$2,A73)</f>
        <v>0</v>
      </c>
      <c r="Z73" s="32">
        <f>_xll.DBRW($C$1,$C$2,$C$3,$C$4,$C$6,$C$5,$C$7,Z$1,Z$2,A73)</f>
        <v>0</v>
      </c>
      <c r="AA73" s="32">
        <f>_xll.DBRW($C$1,$C$2,$C$3,$C$4,$C$6,$C$5,$C$7,AA$1,AA$2,A73)</f>
        <v>0</v>
      </c>
      <c r="AB73" s="32">
        <f>_xll.DBRW($C$1,$C$2,$C$3,$C$4,$C$6,$C$5,$C$7,AB$1,AB$2,A73)</f>
        <v>0</v>
      </c>
      <c r="AC73" s="32">
        <f>_xll.DBRW($C$1,$C$2,$C$3,$C$4,$C$6,$C$5,$C$7,AC$1,AC$2,A73)</f>
        <v>0</v>
      </c>
      <c r="AD73" s="32">
        <f>_xll.DBRW($C$1,$C$2,$C$3,$C$4,$C$6,$C$5,$C$7,AD$1,AD$2,A73)</f>
        <v>0</v>
      </c>
      <c r="AE73" s="32">
        <f>_xll.DBRW($C$1,$C$2,$C$3,$C$4,$C$6,$C$5,$C$7,AE$1,AE$2,A73)</f>
        <v>0</v>
      </c>
      <c r="AF73" s="32">
        <f>_xll.DBRW($C$1,$C$2,$C$3,$C$4,$C$6,$C$5,$C$7,AF$1,AF$2,A73)</f>
        <v>0</v>
      </c>
      <c r="AG73" s="32">
        <f>_xll.DBRW($C$1,$C$2,$C$3,$C$4,$C$6,$C$5,$C$7,AG$1,AG$2,A73)</f>
        <v>0</v>
      </c>
      <c r="AH73" s="32">
        <f>_xll.DBRW($C$1,$C$2,$C$3,$C$4,$C$6,$C$5,$C$7,AH$1,AH$2,A73)</f>
        <v>0</v>
      </c>
      <c r="AI73" s="32">
        <f>_xll.DBRW($C$1,$C$2,$C$3,$C$4,$C$6,$C$5,$C$7,AI$1,AI$2,A73)</f>
        <v>0</v>
      </c>
      <c r="AJ73" s="32">
        <f>_xll.DBRW($C$1,$C$2,$C$3,$C$4,$C$6,$C$5,$C$7,AJ$1,AJ$2,A73)</f>
        <v>0</v>
      </c>
      <c r="AK73" s="32">
        <f>_xll.DBRW($C$1,$C$2,$C$3,$C$4,$C$6,$C$5,$C$7,AK$1,AK$2,A73)</f>
        <v>0</v>
      </c>
      <c r="AL73" s="32">
        <f>_xll.DBRW($C$1,$C$2,$C$3,$C$4,$C$6,$C$5,$C$7,AL$1,AL$2,A73)</f>
        <v>0</v>
      </c>
      <c r="AM73" s="32">
        <f>_xll.DBRW($C$1,$C$2,$C$3,$C$4,$C$6,$C$5,$C$7,AM$1,AM$2,A73)</f>
        <v>0</v>
      </c>
      <c r="AN73" s="32">
        <f>_xll.DBRW($C$1,$C$2,$C$3,$C$4,$C$6,$C$5,$C$7,AN$1,AN$2,A73)</f>
        <v>0</v>
      </c>
      <c r="AO73" s="32">
        <f>_xll.DBRW($C$1,$C$2,$C$3,$C$4,$C$6,$C$5,$C$7,AO$1,AO$2,A73)</f>
        <v>0</v>
      </c>
      <c r="AP73" s="32">
        <f>_xll.DBRW($C$1,$C$2,$C$3,$C$4,$C$6,$C$5,$C$7,AP$1,AP$2,A73)</f>
        <v>0</v>
      </c>
      <c r="AQ73" s="32">
        <f>_xll.DBRW($C$1,$C$2,$C$3,$C$4,$C$6,$C$5,$C$7,AQ$1,AQ$2,A73)</f>
        <v>0</v>
      </c>
      <c r="AR73" s="32">
        <f>_xll.DBRW($C$1,$C$2,$C$3,$C$4,$C$6,$C$5,$C$7,AR$1,AR$2,A73)</f>
        <v>0</v>
      </c>
      <c r="AS73" s="32">
        <f>_xll.DBRW($C$1,$C$2,$C$3,$C$4,$C$6,$C$5,$C$7,AS$1,AS$2,A73)</f>
        <v>0</v>
      </c>
      <c r="AT73" s="32">
        <f>_xll.DBRW($C$1,$C$2,$C$3,$C$4,$C$6,$C$5,$C$7,AT$1,AT$2,A73)</f>
        <v>0</v>
      </c>
      <c r="AU73" s="32">
        <f>_xll.DBRW($C$1,$C$2,$C$3,$C$4,$C$6,$C$5,$C$7,AU$1,AU$2,A73)</f>
        <v>0</v>
      </c>
    </row>
    <row r="74" spans="1:47" ht="15.75" hidden="1" customHeight="1" outlineLevel="2">
      <c r="A74" s="1" t="s">
        <v>166</v>
      </c>
      <c r="C74" s="143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I74" s="32">
        <f>_xll.DBRW($C$1,$C$2,$C$3,$C$4,$C$6,$C$5,$C$7,I$1,I$2,A74)</f>
        <v>0</v>
      </c>
      <c r="J74" s="32">
        <f>_xll.DBRW($C$1,$C$2,$C$3,$C$4,$C$6,$C$5,$C$7,J$1,J$2,A74)</f>
        <v>0</v>
      </c>
      <c r="K74" s="32">
        <f>_xll.DBRW($C$1,$C$2,$C$3,$C$4,$C$6,$C$5,$C$7,K$1,K$2,A74)</f>
        <v>0</v>
      </c>
      <c r="L74" s="32">
        <f>_xll.DBRW($C$1,$C$2,$C$3,$C$4,$C$6,$C$5,$C$7,L$1,L$2,A74)</f>
        <v>0</v>
      </c>
      <c r="M74" s="32">
        <f>_xll.DBRW($C$1,$C$2,$C$3,$C$4,$C$6,$C$5,$C$7,M$1,M$2,A74)</f>
        <v>0</v>
      </c>
      <c r="N74" s="32">
        <f>_xll.DBRW($C$1,$C$2,$C$3,$C$4,$C$6,$C$5,$C$7,N$1,N$2,A74)</f>
        <v>0</v>
      </c>
      <c r="O74" s="32">
        <f>_xll.DBRW($C$1,$C$2,$C$3,$C$4,$C$6,$C$5,$C$7,O$1,O$2,A74)</f>
        <v>0</v>
      </c>
      <c r="P74" s="32">
        <f>_xll.DBRW($C$1,$C$2,$C$3,$C$4,$C$6,$C$5,$C$7,P$1,P$2,A74)</f>
        <v>0</v>
      </c>
      <c r="Q74" s="32">
        <f>_xll.DBRW($C$1,$C$2,$C$3,$C$4,$C$6,$C$5,$C$7,Q$1,Q$2,A74)</f>
        <v>0</v>
      </c>
      <c r="R74" s="32">
        <f>_xll.DBRW($C$1,$C$2,$C$3,$C$4,$C$6,$C$5,$C$7,R$1,R$2,A74)</f>
        <v>0</v>
      </c>
      <c r="S74" s="32">
        <f>_xll.DBRW($C$1,$C$2,$C$3,$C$4,$C$6,$C$5,$C$7,S$1,S$2,A74)</f>
        <v>0</v>
      </c>
      <c r="T74" s="32">
        <f>_xll.DBRW($C$1,$C$2,$C$3,$C$4,$C$6,$C$5,$C$7,T$1,T$2,A74)</f>
        <v>0</v>
      </c>
      <c r="U74" s="32">
        <f>_xll.DBRW($C$1,$C$2,$C$3,$C$4,$C$6,$C$5,$C$7,U$1,U$2,A74)</f>
        <v>0</v>
      </c>
      <c r="V74" s="32">
        <f>_xll.DBRW($C$1,$C$2,$C$3,$C$4,$C$6,$C$5,$C$7,V$1,V$2,A74)</f>
        <v>0</v>
      </c>
      <c r="W74" s="32">
        <f>_xll.DBRW($C$1,$C$2,$C$3,$C$4,$C$6,$C$5,$C$7,W$1,W$2,A74)</f>
        <v>0</v>
      </c>
      <c r="X74" s="32">
        <f>_xll.DBRW($C$1,$C$2,$C$3,$C$4,$C$6,$C$5,$C$7,X$1,X$2,A74)</f>
        <v>0</v>
      </c>
      <c r="Y74" s="32">
        <f>_xll.DBRW($C$1,$C$2,$C$3,$C$4,$C$6,$C$5,$C$7,Y$1,Y$2,A74)</f>
        <v>0</v>
      </c>
      <c r="Z74" s="32">
        <f>_xll.DBRW($C$1,$C$2,$C$3,$C$4,$C$6,$C$5,$C$7,Z$1,Z$2,A74)</f>
        <v>0</v>
      </c>
      <c r="AA74" s="32">
        <f>_xll.DBRW($C$1,$C$2,$C$3,$C$4,$C$6,$C$5,$C$7,AA$1,AA$2,A74)</f>
        <v>0</v>
      </c>
      <c r="AB74" s="32">
        <f>_xll.DBRW($C$1,$C$2,$C$3,$C$4,$C$6,$C$5,$C$7,AB$1,AB$2,A74)</f>
        <v>0</v>
      </c>
      <c r="AC74" s="32">
        <f>_xll.DBRW($C$1,$C$2,$C$3,$C$4,$C$6,$C$5,$C$7,AC$1,AC$2,A74)</f>
        <v>0</v>
      </c>
      <c r="AD74" s="32">
        <f>_xll.DBRW($C$1,$C$2,$C$3,$C$4,$C$6,$C$5,$C$7,AD$1,AD$2,A74)</f>
        <v>0</v>
      </c>
      <c r="AE74" s="32">
        <f>_xll.DBRW($C$1,$C$2,$C$3,$C$4,$C$6,$C$5,$C$7,AE$1,AE$2,A74)</f>
        <v>0</v>
      </c>
      <c r="AF74" s="32">
        <f>_xll.DBRW($C$1,$C$2,$C$3,$C$4,$C$6,$C$5,$C$7,AF$1,AF$2,A74)</f>
        <v>0</v>
      </c>
      <c r="AG74" s="32">
        <f>_xll.DBRW($C$1,$C$2,$C$3,$C$4,$C$6,$C$5,$C$7,AG$1,AG$2,A74)</f>
        <v>0</v>
      </c>
      <c r="AH74" s="32">
        <f>_xll.DBRW($C$1,$C$2,$C$3,$C$4,$C$6,$C$5,$C$7,AH$1,AH$2,A74)</f>
        <v>0</v>
      </c>
      <c r="AI74" s="32">
        <f>_xll.DBRW($C$1,$C$2,$C$3,$C$4,$C$6,$C$5,$C$7,AI$1,AI$2,A74)</f>
        <v>0</v>
      </c>
      <c r="AJ74" s="32">
        <f>_xll.DBRW($C$1,$C$2,$C$3,$C$4,$C$6,$C$5,$C$7,AJ$1,AJ$2,A74)</f>
        <v>0</v>
      </c>
      <c r="AK74" s="32">
        <f>_xll.DBRW($C$1,$C$2,$C$3,$C$4,$C$6,$C$5,$C$7,AK$1,AK$2,A74)</f>
        <v>0</v>
      </c>
      <c r="AL74" s="32">
        <f>_xll.DBRW($C$1,$C$2,$C$3,$C$4,$C$6,$C$5,$C$7,AL$1,AL$2,A74)</f>
        <v>0</v>
      </c>
      <c r="AM74" s="32">
        <f>_xll.DBRW($C$1,$C$2,$C$3,$C$4,$C$6,$C$5,$C$7,AM$1,AM$2,A74)</f>
        <v>0</v>
      </c>
      <c r="AN74" s="32">
        <f>_xll.DBRW($C$1,$C$2,$C$3,$C$4,$C$6,$C$5,$C$7,AN$1,AN$2,A74)</f>
        <v>0</v>
      </c>
      <c r="AO74" s="32">
        <f>_xll.DBRW($C$1,$C$2,$C$3,$C$4,$C$6,$C$5,$C$7,AO$1,AO$2,A74)</f>
        <v>0</v>
      </c>
      <c r="AP74" s="32">
        <f>_xll.DBRW($C$1,$C$2,$C$3,$C$4,$C$6,$C$5,$C$7,AP$1,AP$2,A74)</f>
        <v>0</v>
      </c>
      <c r="AQ74" s="32">
        <f>_xll.DBRW($C$1,$C$2,$C$3,$C$4,$C$6,$C$5,$C$7,AQ$1,AQ$2,A74)</f>
        <v>0</v>
      </c>
      <c r="AR74" s="32">
        <f>_xll.DBRW($C$1,$C$2,$C$3,$C$4,$C$6,$C$5,$C$7,AR$1,AR$2,A74)</f>
        <v>0</v>
      </c>
      <c r="AS74" s="32">
        <f>_xll.DBRW($C$1,$C$2,$C$3,$C$4,$C$6,$C$5,$C$7,AS$1,AS$2,A74)</f>
        <v>0</v>
      </c>
      <c r="AT74" s="32">
        <f>_xll.DBRW($C$1,$C$2,$C$3,$C$4,$C$6,$C$5,$C$7,AT$1,AT$2,A74)</f>
        <v>0</v>
      </c>
      <c r="AU74" s="32">
        <f>_xll.DBRW($C$1,$C$2,$C$3,$C$4,$C$6,$C$5,$C$7,AU$1,AU$2,A74)</f>
        <v>0</v>
      </c>
    </row>
    <row r="75" spans="1:47" ht="15.75" hidden="1" customHeight="1" outlineLevel="2">
      <c r="A75" s="1" t="s">
        <v>167</v>
      </c>
      <c r="C75" s="143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14125413.450000001</v>
      </c>
      <c r="G75" s="32">
        <f>_xll.DBRW($C$1,$C$2,$C$3,$C$4,$C$6,$C$5,$C$7,G$1,G$2,A75)</f>
        <v>18910975.129999999</v>
      </c>
      <c r="H75" s="32">
        <f>_xll.DBRW($C$1,$C$2,$C$3,$C$4,$C$6,$C$5,$C$7,H$1,H$2,A75)</f>
        <v>18213842.670000002</v>
      </c>
      <c r="I75" s="32">
        <f>_xll.DBRW($C$1,$C$2,$C$3,$C$4,$C$6,$C$5,$C$7,I$1,I$2,A75)</f>
        <v>730597.54999999993</v>
      </c>
      <c r="J75" s="32">
        <f>_xll.DBRW($C$1,$C$2,$C$3,$C$4,$C$6,$C$5,$C$7,J$1,J$2,A75)</f>
        <v>2769718.3</v>
      </c>
      <c r="K75" s="32">
        <f>_xll.DBRW($C$1,$C$2,$C$3,$C$4,$C$6,$C$5,$C$7,K$1,K$2,A75)</f>
        <v>4287501.47</v>
      </c>
      <c r="L75" s="32">
        <f>_xll.DBRW($C$1,$C$2,$C$3,$C$4,$C$6,$C$5,$C$7,L$1,L$2,A75)</f>
        <v>5486752.1699999999</v>
      </c>
      <c r="M75" s="32">
        <f>_xll.DBRW($C$1,$C$2,$C$3,$C$4,$C$6,$C$5,$C$7,M$1,M$2,A75)</f>
        <v>7170557.0499999998</v>
      </c>
      <c r="N75" s="32">
        <f>_xll.DBRW($C$1,$C$2,$C$3,$C$4,$C$6,$C$5,$C$7,N$1,N$2,A75)</f>
        <v>9102219.9800000004</v>
      </c>
      <c r="O75" s="32">
        <f>_xll.DBRW($C$1,$C$2,$C$3,$C$4,$C$6,$C$5,$C$7,O$1,O$2,A75)</f>
        <v>8062169.1900000004</v>
      </c>
      <c r="P75" s="32">
        <f>_xll.DBRW($C$1,$C$2,$C$3,$C$4,$C$6,$C$5,$C$7,P$1,P$2,A75)</f>
        <v>12772019.02</v>
      </c>
      <c r="Q75" s="32">
        <f>_xll.DBRW($C$1,$C$2,$C$3,$C$4,$C$6,$C$5,$C$7,Q$1,Q$2,A75)</f>
        <v>14108888.629999999</v>
      </c>
      <c r="R75" s="32">
        <f>_xll.DBRW($C$1,$C$2,$C$3,$C$4,$C$6,$C$5,$C$7,R$1,R$2,A75)</f>
        <v>11030592.779999999</v>
      </c>
      <c r="S75" s="32">
        <f>_xll.DBRW($C$1,$C$2,$C$3,$C$4,$C$6,$C$5,$C$7,S$1,S$2,A75)</f>
        <v>16961713.469999999</v>
      </c>
      <c r="T75" s="32">
        <f>_xll.DBRW($C$1,$C$2,$C$3,$C$4,$C$6,$C$5,$C$7,T$1,T$2,A75)</f>
        <v>19377065.91</v>
      </c>
      <c r="U75" s="32">
        <f>_xll.DBRW($C$1,$C$2,$C$3,$C$4,$C$6,$C$5,$C$7,U$1,U$2,A75)</f>
        <v>19377065.91</v>
      </c>
      <c r="V75" s="32">
        <f>_xll.DBRW($C$1,$C$2,$C$3,$C$4,$C$6,$C$5,$C$7,V$1,V$2,A75)</f>
        <v>0</v>
      </c>
      <c r="W75" s="32">
        <f>_xll.DBRW($C$1,$C$2,$C$3,$C$4,$C$6,$C$5,$C$7,W$1,W$2,A75)</f>
        <v>0</v>
      </c>
      <c r="X75" s="32">
        <f>_xll.DBRW($C$1,$C$2,$C$3,$C$4,$C$6,$C$5,$C$7,X$1,X$2,A75)</f>
        <v>0</v>
      </c>
      <c r="Y75" s="32">
        <f>_xll.DBRW($C$1,$C$2,$C$3,$C$4,$C$6,$C$5,$C$7,Y$1,Y$2,A75)</f>
        <v>0</v>
      </c>
      <c r="Z75" s="32">
        <f>_xll.DBRW($C$1,$C$2,$C$3,$C$4,$C$6,$C$5,$C$7,Z$1,Z$2,A75)</f>
        <v>0</v>
      </c>
      <c r="AA75" s="32">
        <f>_xll.DBRW($C$1,$C$2,$C$3,$C$4,$C$6,$C$5,$C$7,AA$1,AA$2,A75)</f>
        <v>0</v>
      </c>
      <c r="AB75" s="32">
        <f>_xll.DBRW($C$1,$C$2,$C$3,$C$4,$C$6,$C$5,$C$7,AB$1,AB$2,A75)</f>
        <v>0</v>
      </c>
      <c r="AC75" s="32">
        <f>_xll.DBRW($C$1,$C$2,$C$3,$C$4,$C$6,$C$5,$C$7,AC$1,AC$2,A75)</f>
        <v>0</v>
      </c>
      <c r="AD75" s="32">
        <f>_xll.DBRW($C$1,$C$2,$C$3,$C$4,$C$6,$C$5,$C$7,AD$1,AD$2,A75)</f>
        <v>0</v>
      </c>
      <c r="AE75" s="32">
        <f>_xll.DBRW($C$1,$C$2,$C$3,$C$4,$C$6,$C$5,$C$7,AE$1,AE$2,A75)</f>
        <v>0</v>
      </c>
      <c r="AF75" s="32">
        <f>_xll.DBRW($C$1,$C$2,$C$3,$C$4,$C$6,$C$5,$C$7,AF$1,AF$2,A75)</f>
        <v>0</v>
      </c>
      <c r="AG75" s="32">
        <f>_xll.DBRW($C$1,$C$2,$C$3,$C$4,$C$6,$C$5,$C$7,AG$1,AG$2,A75)</f>
        <v>0</v>
      </c>
      <c r="AH75" s="32">
        <f>_xll.DBRW($C$1,$C$2,$C$3,$C$4,$C$6,$C$5,$C$7,AH$1,AH$2,A75)</f>
        <v>0</v>
      </c>
      <c r="AI75" s="32">
        <f>_xll.DBRW($C$1,$C$2,$C$3,$C$4,$C$6,$C$5,$C$7,AI$1,AI$2,A75)</f>
        <v>0</v>
      </c>
      <c r="AJ75" s="32">
        <f>_xll.DBRW($C$1,$C$2,$C$3,$C$4,$C$6,$C$5,$C$7,AJ$1,AJ$2,A75)</f>
        <v>0</v>
      </c>
      <c r="AK75" s="32">
        <f>_xll.DBRW($C$1,$C$2,$C$3,$C$4,$C$6,$C$5,$C$7,AK$1,AK$2,A75)</f>
        <v>0</v>
      </c>
      <c r="AL75" s="32">
        <f>_xll.DBRW($C$1,$C$2,$C$3,$C$4,$C$6,$C$5,$C$7,AL$1,AL$2,A75)</f>
        <v>0</v>
      </c>
      <c r="AM75" s="32">
        <f>_xll.DBRW($C$1,$C$2,$C$3,$C$4,$C$6,$C$5,$C$7,AM$1,AM$2,A75)</f>
        <v>0</v>
      </c>
      <c r="AN75" s="32">
        <f>_xll.DBRW($C$1,$C$2,$C$3,$C$4,$C$6,$C$5,$C$7,AN$1,AN$2,A75)</f>
        <v>0</v>
      </c>
      <c r="AO75" s="32">
        <f>_xll.DBRW($C$1,$C$2,$C$3,$C$4,$C$6,$C$5,$C$7,AO$1,AO$2,A75)</f>
        <v>0</v>
      </c>
      <c r="AP75" s="32">
        <f>_xll.DBRW($C$1,$C$2,$C$3,$C$4,$C$6,$C$5,$C$7,AP$1,AP$2,A75)</f>
        <v>0</v>
      </c>
      <c r="AQ75" s="32">
        <f>_xll.DBRW($C$1,$C$2,$C$3,$C$4,$C$6,$C$5,$C$7,AQ$1,AQ$2,A75)</f>
        <v>0</v>
      </c>
      <c r="AR75" s="32">
        <f>_xll.DBRW($C$1,$C$2,$C$3,$C$4,$C$6,$C$5,$C$7,AR$1,AR$2,A75)</f>
        <v>0</v>
      </c>
      <c r="AS75" s="32">
        <f>_xll.DBRW($C$1,$C$2,$C$3,$C$4,$C$6,$C$5,$C$7,AS$1,AS$2,A75)</f>
        <v>0</v>
      </c>
      <c r="AT75" s="32">
        <f>_xll.DBRW($C$1,$C$2,$C$3,$C$4,$C$6,$C$5,$C$7,AT$1,AT$2,A75)</f>
        <v>0</v>
      </c>
      <c r="AU75" s="32">
        <f>_xll.DBRW($C$1,$C$2,$C$3,$C$4,$C$6,$C$5,$C$7,AU$1,AU$2,A75)</f>
        <v>0</v>
      </c>
    </row>
    <row r="76" spans="1:47" ht="15.75" hidden="1" customHeight="1" outlineLevel="2">
      <c r="A76" s="1" t="s">
        <v>168</v>
      </c>
      <c r="C76" s="143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0</v>
      </c>
      <c r="H76" s="32">
        <f>_xll.DBRW($C$1,$C$2,$C$3,$C$4,$C$6,$C$5,$C$7,H$1,H$2,A76)</f>
        <v>0</v>
      </c>
      <c r="I76" s="32">
        <f>_xll.DBRW($C$1,$C$2,$C$3,$C$4,$C$6,$C$5,$C$7,I$1,I$2,A76)</f>
        <v>0</v>
      </c>
      <c r="J76" s="32">
        <f>_xll.DBRW($C$1,$C$2,$C$3,$C$4,$C$6,$C$5,$C$7,J$1,J$2,A76)</f>
        <v>0</v>
      </c>
      <c r="K76" s="32">
        <f>_xll.DBRW($C$1,$C$2,$C$3,$C$4,$C$6,$C$5,$C$7,K$1,K$2,A76)</f>
        <v>0</v>
      </c>
      <c r="L76" s="32">
        <f>_xll.DBRW($C$1,$C$2,$C$3,$C$4,$C$6,$C$5,$C$7,L$1,L$2,A76)</f>
        <v>0</v>
      </c>
      <c r="M76" s="32">
        <f>_xll.DBRW($C$1,$C$2,$C$3,$C$4,$C$6,$C$5,$C$7,M$1,M$2,A76)</f>
        <v>0</v>
      </c>
      <c r="N76" s="32">
        <f>_xll.DBRW($C$1,$C$2,$C$3,$C$4,$C$6,$C$5,$C$7,N$1,N$2,A76)</f>
        <v>0</v>
      </c>
      <c r="O76" s="32">
        <f>_xll.DBRW($C$1,$C$2,$C$3,$C$4,$C$6,$C$5,$C$7,O$1,O$2,A76)</f>
        <v>0</v>
      </c>
      <c r="P76" s="32">
        <f>_xll.DBRW($C$1,$C$2,$C$3,$C$4,$C$6,$C$5,$C$7,P$1,P$2,A76)</f>
        <v>-1563.2200000000003</v>
      </c>
      <c r="Q76" s="32">
        <f>_xll.DBRW($C$1,$C$2,$C$3,$C$4,$C$6,$C$5,$C$7,Q$1,Q$2,A76)</f>
        <v>-1563.2200000000003</v>
      </c>
      <c r="R76" s="32">
        <f>_xll.DBRW($C$1,$C$2,$C$3,$C$4,$C$6,$C$5,$C$7,R$1,R$2,A76)</f>
        <v>0</v>
      </c>
      <c r="S76" s="32">
        <f>_xll.DBRW($C$1,$C$2,$C$3,$C$4,$C$6,$C$5,$C$7,S$1,S$2,A76)</f>
        <v>-24358.149999999998</v>
      </c>
      <c r="T76" s="32">
        <f>_xll.DBRW($C$1,$C$2,$C$3,$C$4,$C$6,$C$5,$C$7,T$1,T$2,A76)</f>
        <v>-23915.909999999996</v>
      </c>
      <c r="U76" s="32">
        <f>_xll.DBRW($C$1,$C$2,$C$3,$C$4,$C$6,$C$5,$C$7,U$1,U$2,A76)</f>
        <v>-23915.909999999996</v>
      </c>
      <c r="V76" s="32">
        <f>_xll.DBRW($C$1,$C$2,$C$3,$C$4,$C$6,$C$5,$C$7,V$1,V$2,A76)</f>
        <v>0</v>
      </c>
      <c r="W76" s="32">
        <f>_xll.DBRW($C$1,$C$2,$C$3,$C$4,$C$6,$C$5,$C$7,W$1,W$2,A76)</f>
        <v>0</v>
      </c>
      <c r="X76" s="32">
        <f>_xll.DBRW($C$1,$C$2,$C$3,$C$4,$C$6,$C$5,$C$7,X$1,X$2,A76)</f>
        <v>0</v>
      </c>
      <c r="Y76" s="32">
        <f>_xll.DBRW($C$1,$C$2,$C$3,$C$4,$C$6,$C$5,$C$7,Y$1,Y$2,A76)</f>
        <v>0</v>
      </c>
      <c r="Z76" s="32">
        <f>_xll.DBRW($C$1,$C$2,$C$3,$C$4,$C$6,$C$5,$C$7,Z$1,Z$2,A76)</f>
        <v>0</v>
      </c>
      <c r="AA76" s="32">
        <f>_xll.DBRW($C$1,$C$2,$C$3,$C$4,$C$6,$C$5,$C$7,AA$1,AA$2,A76)</f>
        <v>0</v>
      </c>
      <c r="AB76" s="32">
        <f>_xll.DBRW($C$1,$C$2,$C$3,$C$4,$C$6,$C$5,$C$7,AB$1,AB$2,A76)</f>
        <v>0</v>
      </c>
      <c r="AC76" s="32">
        <f>_xll.DBRW($C$1,$C$2,$C$3,$C$4,$C$6,$C$5,$C$7,AC$1,AC$2,A76)</f>
        <v>0</v>
      </c>
      <c r="AD76" s="32">
        <f>_xll.DBRW($C$1,$C$2,$C$3,$C$4,$C$6,$C$5,$C$7,AD$1,AD$2,A76)</f>
        <v>0</v>
      </c>
      <c r="AE76" s="32">
        <f>_xll.DBRW($C$1,$C$2,$C$3,$C$4,$C$6,$C$5,$C$7,AE$1,AE$2,A76)</f>
        <v>0</v>
      </c>
      <c r="AF76" s="32">
        <f>_xll.DBRW($C$1,$C$2,$C$3,$C$4,$C$6,$C$5,$C$7,AF$1,AF$2,A76)</f>
        <v>0</v>
      </c>
      <c r="AG76" s="32">
        <f>_xll.DBRW($C$1,$C$2,$C$3,$C$4,$C$6,$C$5,$C$7,AG$1,AG$2,A76)</f>
        <v>0</v>
      </c>
      <c r="AH76" s="32">
        <f>_xll.DBRW($C$1,$C$2,$C$3,$C$4,$C$6,$C$5,$C$7,AH$1,AH$2,A76)</f>
        <v>0</v>
      </c>
      <c r="AI76" s="32">
        <f>_xll.DBRW($C$1,$C$2,$C$3,$C$4,$C$6,$C$5,$C$7,AI$1,AI$2,A76)</f>
        <v>0</v>
      </c>
      <c r="AJ76" s="32">
        <f>_xll.DBRW($C$1,$C$2,$C$3,$C$4,$C$6,$C$5,$C$7,AJ$1,AJ$2,A76)</f>
        <v>0</v>
      </c>
      <c r="AK76" s="32">
        <f>_xll.DBRW($C$1,$C$2,$C$3,$C$4,$C$6,$C$5,$C$7,AK$1,AK$2,A76)</f>
        <v>0</v>
      </c>
      <c r="AL76" s="32">
        <f>_xll.DBRW($C$1,$C$2,$C$3,$C$4,$C$6,$C$5,$C$7,AL$1,AL$2,A76)</f>
        <v>0</v>
      </c>
      <c r="AM76" s="32">
        <f>_xll.DBRW($C$1,$C$2,$C$3,$C$4,$C$6,$C$5,$C$7,AM$1,AM$2,A76)</f>
        <v>0</v>
      </c>
      <c r="AN76" s="32">
        <f>_xll.DBRW($C$1,$C$2,$C$3,$C$4,$C$6,$C$5,$C$7,AN$1,AN$2,A76)</f>
        <v>0</v>
      </c>
      <c r="AO76" s="32">
        <f>_xll.DBRW($C$1,$C$2,$C$3,$C$4,$C$6,$C$5,$C$7,AO$1,AO$2,A76)</f>
        <v>0</v>
      </c>
      <c r="AP76" s="32">
        <f>_xll.DBRW($C$1,$C$2,$C$3,$C$4,$C$6,$C$5,$C$7,AP$1,AP$2,A76)</f>
        <v>0</v>
      </c>
      <c r="AQ76" s="32">
        <f>_xll.DBRW($C$1,$C$2,$C$3,$C$4,$C$6,$C$5,$C$7,AQ$1,AQ$2,A76)</f>
        <v>0</v>
      </c>
      <c r="AR76" s="32">
        <f>_xll.DBRW($C$1,$C$2,$C$3,$C$4,$C$6,$C$5,$C$7,AR$1,AR$2,A76)</f>
        <v>0</v>
      </c>
      <c r="AS76" s="32">
        <f>_xll.DBRW($C$1,$C$2,$C$3,$C$4,$C$6,$C$5,$C$7,AS$1,AS$2,A76)</f>
        <v>0</v>
      </c>
      <c r="AT76" s="32">
        <f>_xll.DBRW($C$1,$C$2,$C$3,$C$4,$C$6,$C$5,$C$7,AT$1,AT$2,A76)</f>
        <v>0</v>
      </c>
      <c r="AU76" s="32">
        <f>_xll.DBRW($C$1,$C$2,$C$3,$C$4,$C$6,$C$5,$C$7,AU$1,AU$2,A76)</f>
        <v>0</v>
      </c>
    </row>
    <row r="77" spans="1:47" ht="15.75" hidden="1" customHeight="1" outlineLevel="2">
      <c r="A77" s="1" t="s">
        <v>169</v>
      </c>
      <c r="C77" s="143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I77" s="32">
        <f>_xll.DBRW($C$1,$C$2,$C$3,$C$4,$C$6,$C$5,$C$7,I$1,I$2,A77)</f>
        <v>0</v>
      </c>
      <c r="J77" s="32">
        <f>_xll.DBRW($C$1,$C$2,$C$3,$C$4,$C$6,$C$5,$C$7,J$1,J$2,A77)</f>
        <v>0</v>
      </c>
      <c r="K77" s="32">
        <f>_xll.DBRW($C$1,$C$2,$C$3,$C$4,$C$6,$C$5,$C$7,K$1,K$2,A77)</f>
        <v>0</v>
      </c>
      <c r="L77" s="32">
        <f>_xll.DBRW($C$1,$C$2,$C$3,$C$4,$C$6,$C$5,$C$7,L$1,L$2,A77)</f>
        <v>0</v>
      </c>
      <c r="M77" s="32">
        <f>_xll.DBRW($C$1,$C$2,$C$3,$C$4,$C$6,$C$5,$C$7,M$1,M$2,A77)</f>
        <v>0</v>
      </c>
      <c r="N77" s="32">
        <f>_xll.DBRW($C$1,$C$2,$C$3,$C$4,$C$6,$C$5,$C$7,N$1,N$2,A77)</f>
        <v>0</v>
      </c>
      <c r="O77" s="32">
        <f>_xll.DBRW($C$1,$C$2,$C$3,$C$4,$C$6,$C$5,$C$7,O$1,O$2,A77)</f>
        <v>0</v>
      </c>
      <c r="P77" s="32">
        <f>_xll.DBRW($C$1,$C$2,$C$3,$C$4,$C$6,$C$5,$C$7,P$1,P$2,A77)</f>
        <v>0</v>
      </c>
      <c r="Q77" s="32">
        <f>_xll.DBRW($C$1,$C$2,$C$3,$C$4,$C$6,$C$5,$C$7,Q$1,Q$2,A77)</f>
        <v>0</v>
      </c>
      <c r="R77" s="32">
        <f>_xll.DBRW($C$1,$C$2,$C$3,$C$4,$C$6,$C$5,$C$7,R$1,R$2,A77)</f>
        <v>0</v>
      </c>
      <c r="S77" s="32">
        <f>_xll.DBRW($C$1,$C$2,$C$3,$C$4,$C$6,$C$5,$C$7,S$1,S$2,A77)</f>
        <v>0</v>
      </c>
      <c r="T77" s="32">
        <f>_xll.DBRW($C$1,$C$2,$C$3,$C$4,$C$6,$C$5,$C$7,T$1,T$2,A77)</f>
        <v>0</v>
      </c>
      <c r="U77" s="32">
        <f>_xll.DBRW($C$1,$C$2,$C$3,$C$4,$C$6,$C$5,$C$7,U$1,U$2,A77)</f>
        <v>0</v>
      </c>
      <c r="V77" s="32">
        <f>_xll.DBRW($C$1,$C$2,$C$3,$C$4,$C$6,$C$5,$C$7,V$1,V$2,A77)</f>
        <v>0</v>
      </c>
      <c r="W77" s="32">
        <f>_xll.DBRW($C$1,$C$2,$C$3,$C$4,$C$6,$C$5,$C$7,W$1,W$2,A77)</f>
        <v>0</v>
      </c>
      <c r="X77" s="32">
        <f>_xll.DBRW($C$1,$C$2,$C$3,$C$4,$C$6,$C$5,$C$7,X$1,X$2,A77)</f>
        <v>0</v>
      </c>
      <c r="Y77" s="32">
        <f>_xll.DBRW($C$1,$C$2,$C$3,$C$4,$C$6,$C$5,$C$7,Y$1,Y$2,A77)</f>
        <v>0</v>
      </c>
      <c r="Z77" s="32">
        <f>_xll.DBRW($C$1,$C$2,$C$3,$C$4,$C$6,$C$5,$C$7,Z$1,Z$2,A77)</f>
        <v>0</v>
      </c>
      <c r="AA77" s="32">
        <f>_xll.DBRW($C$1,$C$2,$C$3,$C$4,$C$6,$C$5,$C$7,AA$1,AA$2,A77)</f>
        <v>0</v>
      </c>
      <c r="AB77" s="32">
        <f>_xll.DBRW($C$1,$C$2,$C$3,$C$4,$C$6,$C$5,$C$7,AB$1,AB$2,A77)</f>
        <v>0</v>
      </c>
      <c r="AC77" s="32">
        <f>_xll.DBRW($C$1,$C$2,$C$3,$C$4,$C$6,$C$5,$C$7,AC$1,AC$2,A77)</f>
        <v>0</v>
      </c>
      <c r="AD77" s="32">
        <f>_xll.DBRW($C$1,$C$2,$C$3,$C$4,$C$6,$C$5,$C$7,AD$1,AD$2,A77)</f>
        <v>0</v>
      </c>
      <c r="AE77" s="32">
        <f>_xll.DBRW($C$1,$C$2,$C$3,$C$4,$C$6,$C$5,$C$7,AE$1,AE$2,A77)</f>
        <v>0</v>
      </c>
      <c r="AF77" s="32">
        <f>_xll.DBRW($C$1,$C$2,$C$3,$C$4,$C$6,$C$5,$C$7,AF$1,AF$2,A77)</f>
        <v>0</v>
      </c>
      <c r="AG77" s="32">
        <f>_xll.DBRW($C$1,$C$2,$C$3,$C$4,$C$6,$C$5,$C$7,AG$1,AG$2,A77)</f>
        <v>0</v>
      </c>
      <c r="AH77" s="32">
        <f>_xll.DBRW($C$1,$C$2,$C$3,$C$4,$C$6,$C$5,$C$7,AH$1,AH$2,A77)</f>
        <v>0</v>
      </c>
      <c r="AI77" s="32">
        <f>_xll.DBRW($C$1,$C$2,$C$3,$C$4,$C$6,$C$5,$C$7,AI$1,AI$2,A77)</f>
        <v>0</v>
      </c>
      <c r="AJ77" s="32">
        <f>_xll.DBRW($C$1,$C$2,$C$3,$C$4,$C$6,$C$5,$C$7,AJ$1,AJ$2,A77)</f>
        <v>0</v>
      </c>
      <c r="AK77" s="32">
        <f>_xll.DBRW($C$1,$C$2,$C$3,$C$4,$C$6,$C$5,$C$7,AK$1,AK$2,A77)</f>
        <v>0</v>
      </c>
      <c r="AL77" s="32">
        <f>_xll.DBRW($C$1,$C$2,$C$3,$C$4,$C$6,$C$5,$C$7,AL$1,AL$2,A77)</f>
        <v>0</v>
      </c>
      <c r="AM77" s="32">
        <f>_xll.DBRW($C$1,$C$2,$C$3,$C$4,$C$6,$C$5,$C$7,AM$1,AM$2,A77)</f>
        <v>0</v>
      </c>
      <c r="AN77" s="32">
        <f>_xll.DBRW($C$1,$C$2,$C$3,$C$4,$C$6,$C$5,$C$7,AN$1,AN$2,A77)</f>
        <v>0</v>
      </c>
      <c r="AO77" s="32">
        <f>_xll.DBRW($C$1,$C$2,$C$3,$C$4,$C$6,$C$5,$C$7,AO$1,AO$2,A77)</f>
        <v>0</v>
      </c>
      <c r="AP77" s="32">
        <f>_xll.DBRW($C$1,$C$2,$C$3,$C$4,$C$6,$C$5,$C$7,AP$1,AP$2,A77)</f>
        <v>0</v>
      </c>
      <c r="AQ77" s="32">
        <f>_xll.DBRW($C$1,$C$2,$C$3,$C$4,$C$6,$C$5,$C$7,AQ$1,AQ$2,A77)</f>
        <v>0</v>
      </c>
      <c r="AR77" s="32">
        <f>_xll.DBRW($C$1,$C$2,$C$3,$C$4,$C$6,$C$5,$C$7,AR$1,AR$2,A77)</f>
        <v>0</v>
      </c>
      <c r="AS77" s="32">
        <f>_xll.DBRW($C$1,$C$2,$C$3,$C$4,$C$6,$C$5,$C$7,AS$1,AS$2,A77)</f>
        <v>0</v>
      </c>
      <c r="AT77" s="32">
        <f>_xll.DBRW($C$1,$C$2,$C$3,$C$4,$C$6,$C$5,$C$7,AT$1,AT$2,A77)</f>
        <v>0</v>
      </c>
      <c r="AU77" s="32">
        <f>_xll.DBRW($C$1,$C$2,$C$3,$C$4,$C$6,$C$5,$C$7,AU$1,AU$2,A77)</f>
        <v>0</v>
      </c>
    </row>
    <row r="78" spans="1:47" ht="15.75" hidden="1" customHeight="1" outlineLevel="2">
      <c r="A78" s="1" t="s">
        <v>170</v>
      </c>
      <c r="C78" s="143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I78" s="32">
        <f>_xll.DBRW($C$1,$C$2,$C$3,$C$4,$C$6,$C$5,$C$7,I$1,I$2,A78)</f>
        <v>0</v>
      </c>
      <c r="J78" s="32">
        <f>_xll.DBRW($C$1,$C$2,$C$3,$C$4,$C$6,$C$5,$C$7,J$1,J$2,A78)</f>
        <v>0</v>
      </c>
      <c r="K78" s="32">
        <f>_xll.DBRW($C$1,$C$2,$C$3,$C$4,$C$6,$C$5,$C$7,K$1,K$2,A78)</f>
        <v>0</v>
      </c>
      <c r="L78" s="32">
        <f>_xll.DBRW($C$1,$C$2,$C$3,$C$4,$C$6,$C$5,$C$7,L$1,L$2,A78)</f>
        <v>0</v>
      </c>
      <c r="M78" s="32">
        <f>_xll.DBRW($C$1,$C$2,$C$3,$C$4,$C$6,$C$5,$C$7,M$1,M$2,A78)</f>
        <v>0</v>
      </c>
      <c r="N78" s="32">
        <f>_xll.DBRW($C$1,$C$2,$C$3,$C$4,$C$6,$C$5,$C$7,N$1,N$2,A78)</f>
        <v>0</v>
      </c>
      <c r="O78" s="32">
        <f>_xll.DBRW($C$1,$C$2,$C$3,$C$4,$C$6,$C$5,$C$7,O$1,O$2,A78)</f>
        <v>0</v>
      </c>
      <c r="P78" s="32">
        <f>_xll.DBRW($C$1,$C$2,$C$3,$C$4,$C$6,$C$5,$C$7,P$1,P$2,A78)</f>
        <v>0</v>
      </c>
      <c r="Q78" s="32">
        <f>_xll.DBRW($C$1,$C$2,$C$3,$C$4,$C$6,$C$5,$C$7,Q$1,Q$2,A78)</f>
        <v>0</v>
      </c>
      <c r="R78" s="32">
        <f>_xll.DBRW($C$1,$C$2,$C$3,$C$4,$C$6,$C$5,$C$7,R$1,R$2,A78)</f>
        <v>0</v>
      </c>
      <c r="S78" s="32">
        <f>_xll.DBRW($C$1,$C$2,$C$3,$C$4,$C$6,$C$5,$C$7,S$1,S$2,A78)</f>
        <v>0</v>
      </c>
      <c r="T78" s="32">
        <f>_xll.DBRW($C$1,$C$2,$C$3,$C$4,$C$6,$C$5,$C$7,T$1,T$2,A78)</f>
        <v>0</v>
      </c>
      <c r="U78" s="32">
        <f>_xll.DBRW($C$1,$C$2,$C$3,$C$4,$C$6,$C$5,$C$7,U$1,U$2,A78)</f>
        <v>0</v>
      </c>
      <c r="V78" s="32">
        <f>_xll.DBRW($C$1,$C$2,$C$3,$C$4,$C$6,$C$5,$C$7,V$1,V$2,A78)</f>
        <v>0</v>
      </c>
      <c r="W78" s="32">
        <f>_xll.DBRW($C$1,$C$2,$C$3,$C$4,$C$6,$C$5,$C$7,W$1,W$2,A78)</f>
        <v>0</v>
      </c>
      <c r="X78" s="32">
        <f>_xll.DBRW($C$1,$C$2,$C$3,$C$4,$C$6,$C$5,$C$7,X$1,X$2,A78)</f>
        <v>0</v>
      </c>
      <c r="Y78" s="32">
        <f>_xll.DBRW($C$1,$C$2,$C$3,$C$4,$C$6,$C$5,$C$7,Y$1,Y$2,A78)</f>
        <v>0</v>
      </c>
      <c r="Z78" s="32">
        <f>_xll.DBRW($C$1,$C$2,$C$3,$C$4,$C$6,$C$5,$C$7,Z$1,Z$2,A78)</f>
        <v>0</v>
      </c>
      <c r="AA78" s="32">
        <f>_xll.DBRW($C$1,$C$2,$C$3,$C$4,$C$6,$C$5,$C$7,AA$1,AA$2,A78)</f>
        <v>0</v>
      </c>
      <c r="AB78" s="32">
        <f>_xll.DBRW($C$1,$C$2,$C$3,$C$4,$C$6,$C$5,$C$7,AB$1,AB$2,A78)</f>
        <v>0</v>
      </c>
      <c r="AC78" s="32">
        <f>_xll.DBRW($C$1,$C$2,$C$3,$C$4,$C$6,$C$5,$C$7,AC$1,AC$2,A78)</f>
        <v>0</v>
      </c>
      <c r="AD78" s="32">
        <f>_xll.DBRW($C$1,$C$2,$C$3,$C$4,$C$6,$C$5,$C$7,AD$1,AD$2,A78)</f>
        <v>0</v>
      </c>
      <c r="AE78" s="32">
        <f>_xll.DBRW($C$1,$C$2,$C$3,$C$4,$C$6,$C$5,$C$7,AE$1,AE$2,A78)</f>
        <v>0</v>
      </c>
      <c r="AF78" s="32">
        <f>_xll.DBRW($C$1,$C$2,$C$3,$C$4,$C$6,$C$5,$C$7,AF$1,AF$2,A78)</f>
        <v>0</v>
      </c>
      <c r="AG78" s="32">
        <f>_xll.DBRW($C$1,$C$2,$C$3,$C$4,$C$6,$C$5,$C$7,AG$1,AG$2,A78)</f>
        <v>0</v>
      </c>
      <c r="AH78" s="32">
        <f>_xll.DBRW($C$1,$C$2,$C$3,$C$4,$C$6,$C$5,$C$7,AH$1,AH$2,A78)</f>
        <v>0</v>
      </c>
      <c r="AI78" s="32">
        <f>_xll.DBRW($C$1,$C$2,$C$3,$C$4,$C$6,$C$5,$C$7,AI$1,AI$2,A78)</f>
        <v>0</v>
      </c>
      <c r="AJ78" s="32">
        <f>_xll.DBRW($C$1,$C$2,$C$3,$C$4,$C$6,$C$5,$C$7,AJ$1,AJ$2,A78)</f>
        <v>0</v>
      </c>
      <c r="AK78" s="32">
        <f>_xll.DBRW($C$1,$C$2,$C$3,$C$4,$C$6,$C$5,$C$7,AK$1,AK$2,A78)</f>
        <v>0</v>
      </c>
      <c r="AL78" s="32">
        <f>_xll.DBRW($C$1,$C$2,$C$3,$C$4,$C$6,$C$5,$C$7,AL$1,AL$2,A78)</f>
        <v>0</v>
      </c>
      <c r="AM78" s="32">
        <f>_xll.DBRW($C$1,$C$2,$C$3,$C$4,$C$6,$C$5,$C$7,AM$1,AM$2,A78)</f>
        <v>0</v>
      </c>
      <c r="AN78" s="32">
        <f>_xll.DBRW($C$1,$C$2,$C$3,$C$4,$C$6,$C$5,$C$7,AN$1,AN$2,A78)</f>
        <v>0</v>
      </c>
      <c r="AO78" s="32">
        <f>_xll.DBRW($C$1,$C$2,$C$3,$C$4,$C$6,$C$5,$C$7,AO$1,AO$2,A78)</f>
        <v>0</v>
      </c>
      <c r="AP78" s="32">
        <f>_xll.DBRW($C$1,$C$2,$C$3,$C$4,$C$6,$C$5,$C$7,AP$1,AP$2,A78)</f>
        <v>0</v>
      </c>
      <c r="AQ78" s="32">
        <f>_xll.DBRW($C$1,$C$2,$C$3,$C$4,$C$6,$C$5,$C$7,AQ$1,AQ$2,A78)</f>
        <v>0</v>
      </c>
      <c r="AR78" s="32">
        <f>_xll.DBRW($C$1,$C$2,$C$3,$C$4,$C$6,$C$5,$C$7,AR$1,AR$2,A78)</f>
        <v>0</v>
      </c>
      <c r="AS78" s="32">
        <f>_xll.DBRW($C$1,$C$2,$C$3,$C$4,$C$6,$C$5,$C$7,AS$1,AS$2,A78)</f>
        <v>0</v>
      </c>
      <c r="AT78" s="32">
        <f>_xll.DBRW($C$1,$C$2,$C$3,$C$4,$C$6,$C$5,$C$7,AT$1,AT$2,A78)</f>
        <v>0</v>
      </c>
      <c r="AU78" s="32">
        <f>_xll.DBRW($C$1,$C$2,$C$3,$C$4,$C$6,$C$5,$C$7,AU$1,AU$2,A78)</f>
        <v>0</v>
      </c>
    </row>
    <row r="79" spans="1:47" ht="15.75" hidden="1" outlineLevel="1">
      <c r="A79" s="1" t="s">
        <v>127</v>
      </c>
      <c r="C79" s="143"/>
      <c r="E79" s="14" t="s">
        <v>26</v>
      </c>
      <c r="F79" s="32">
        <f t="shared" ref="F79:T79" si="36">SUM(F56:F78)</f>
        <v>-1265161353.2336001</v>
      </c>
      <c r="G79" s="32">
        <f t="shared" si="36"/>
        <v>-1514169110.0911996</v>
      </c>
      <c r="H79" s="32">
        <f t="shared" si="36"/>
        <v>-821834694.25339997</v>
      </c>
      <c r="I79" s="32">
        <f t="shared" si="36"/>
        <v>-55910204.853799999</v>
      </c>
      <c r="J79" s="32">
        <f t="shared" si="36"/>
        <v>-71263187.397599995</v>
      </c>
      <c r="K79" s="32">
        <f t="shared" si="36"/>
        <v>-195416222.74139997</v>
      </c>
      <c r="L79" s="32">
        <f t="shared" si="36"/>
        <v>-261375143.45520002</v>
      </c>
      <c r="M79" s="32">
        <f t="shared" si="36"/>
        <v>-322414305.48900002</v>
      </c>
      <c r="N79" s="32">
        <f t="shared" si="36"/>
        <v>-378102889.28280002</v>
      </c>
      <c r="O79" s="32">
        <f t="shared" si="36"/>
        <v>-394126984.84660006</v>
      </c>
      <c r="P79" s="32">
        <f t="shared" si="36"/>
        <v>-502430106.7104001</v>
      </c>
      <c r="Q79" s="32">
        <f t="shared" si="36"/>
        <v>-567715361.82420015</v>
      </c>
      <c r="R79" s="32">
        <f t="shared" si="36"/>
        <v>-566773465.43800008</v>
      </c>
      <c r="S79" s="32">
        <f t="shared" si="36"/>
        <v>-666508345.40180004</v>
      </c>
      <c r="T79" s="32">
        <f t="shared" si="36"/>
        <v>-849892234.64919984</v>
      </c>
      <c r="U79" s="32">
        <f>SUM(U56:U78)</f>
        <v>-849892234.64919984</v>
      </c>
      <c r="V79" s="32">
        <f t="shared" ref="V79:AG79" si="37">SUM(V56:V78)</f>
        <v>0</v>
      </c>
      <c r="W79" s="32">
        <f t="shared" si="37"/>
        <v>0</v>
      </c>
      <c r="X79" s="32">
        <f t="shared" si="37"/>
        <v>0</v>
      </c>
      <c r="Y79" s="32">
        <f t="shared" si="37"/>
        <v>0</v>
      </c>
      <c r="Z79" s="32">
        <f t="shared" si="37"/>
        <v>0</v>
      </c>
      <c r="AA79" s="32">
        <f t="shared" si="37"/>
        <v>0</v>
      </c>
      <c r="AB79" s="32">
        <f t="shared" si="37"/>
        <v>0</v>
      </c>
      <c r="AC79" s="32">
        <f t="shared" si="37"/>
        <v>0</v>
      </c>
      <c r="AD79" s="32">
        <f t="shared" si="37"/>
        <v>0</v>
      </c>
      <c r="AE79" s="32">
        <f t="shared" si="37"/>
        <v>0</v>
      </c>
      <c r="AF79" s="32">
        <f t="shared" si="37"/>
        <v>0</v>
      </c>
      <c r="AG79" s="32">
        <f t="shared" si="37"/>
        <v>0</v>
      </c>
      <c r="AH79" s="32">
        <f>SUM(AH56:AH78)</f>
        <v>0</v>
      </c>
      <c r="AI79" s="32">
        <f t="shared" ref="AI79:AT79" si="38">SUM(AI56:AI78)</f>
        <v>0</v>
      </c>
      <c r="AJ79" s="32">
        <f t="shared" si="38"/>
        <v>0</v>
      </c>
      <c r="AK79" s="32">
        <f t="shared" si="38"/>
        <v>0</v>
      </c>
      <c r="AL79" s="32">
        <f t="shared" si="38"/>
        <v>0</v>
      </c>
      <c r="AM79" s="32">
        <f t="shared" si="38"/>
        <v>0</v>
      </c>
      <c r="AN79" s="32">
        <f t="shared" si="38"/>
        <v>0</v>
      </c>
      <c r="AO79" s="32">
        <f t="shared" si="38"/>
        <v>0</v>
      </c>
      <c r="AP79" s="32">
        <f t="shared" si="38"/>
        <v>0</v>
      </c>
      <c r="AQ79" s="32">
        <f t="shared" si="38"/>
        <v>0</v>
      </c>
      <c r="AR79" s="32">
        <f t="shared" si="38"/>
        <v>0</v>
      </c>
      <c r="AS79" s="32">
        <f t="shared" si="38"/>
        <v>0</v>
      </c>
      <c r="AT79" s="32">
        <f t="shared" si="38"/>
        <v>0</v>
      </c>
      <c r="AU79" s="32">
        <f>SUM(AU56:AU78)</f>
        <v>0</v>
      </c>
    </row>
    <row r="80" spans="1:47" ht="15.75" collapsed="1">
      <c r="A80" s="1" t="s">
        <v>127</v>
      </c>
      <c r="C80" s="143"/>
      <c r="E80" s="120" t="s">
        <v>27</v>
      </c>
      <c r="F80" s="121">
        <f t="shared" ref="F80:T80" si="39">F79+F55+F53+F51+F49+F47+F44</f>
        <v>-11379642552.315399</v>
      </c>
      <c r="G80" s="121">
        <f t="shared" si="39"/>
        <v>-11315145281.019798</v>
      </c>
      <c r="H80" s="121">
        <f t="shared" si="39"/>
        <v>-10848807485.463999</v>
      </c>
      <c r="I80" s="121">
        <f t="shared" si="39"/>
        <v>-875016276.34908998</v>
      </c>
      <c r="J80" s="121">
        <f t="shared" si="39"/>
        <v>-985203353.97838211</v>
      </c>
      <c r="K80" s="121">
        <f t="shared" si="39"/>
        <v>-2788332985.6431818</v>
      </c>
      <c r="L80" s="121">
        <f t="shared" si="39"/>
        <v>-3772324468.099782</v>
      </c>
      <c r="M80" s="121">
        <f t="shared" si="39"/>
        <v>-4735225720.8115826</v>
      </c>
      <c r="N80" s="121">
        <f t="shared" si="39"/>
        <v>-5832351929.6953154</v>
      </c>
      <c r="O80" s="121">
        <f t="shared" si="39"/>
        <v>-6383267388.5015831</v>
      </c>
      <c r="P80" s="121">
        <f t="shared" si="39"/>
        <v>-7986696185.5741825</v>
      </c>
      <c r="Q80" s="121">
        <f t="shared" si="39"/>
        <v>-9018083617.9097843</v>
      </c>
      <c r="R80" s="121">
        <f t="shared" si="39"/>
        <v>-9268314517.9411812</v>
      </c>
      <c r="S80" s="121">
        <f t="shared" si="39"/>
        <v>-10521551054.762583</v>
      </c>
      <c r="T80" s="121">
        <f t="shared" si="39"/>
        <v>-12244148291.107182</v>
      </c>
      <c r="U80" s="121">
        <f>U79+U55+U53+U51+U49+U47+U44</f>
        <v>-12244148291.107182</v>
      </c>
      <c r="V80" s="121">
        <f t="shared" ref="V80:AG80" si="40">V79+V55+V53+V51+V49+V47+V44</f>
        <v>0</v>
      </c>
      <c r="W80" s="121">
        <f t="shared" si="40"/>
        <v>0</v>
      </c>
      <c r="X80" s="121">
        <f t="shared" si="40"/>
        <v>0</v>
      </c>
      <c r="Y80" s="121">
        <f t="shared" si="40"/>
        <v>0</v>
      </c>
      <c r="Z80" s="121">
        <f t="shared" si="40"/>
        <v>0</v>
      </c>
      <c r="AA80" s="121">
        <f t="shared" si="40"/>
        <v>0</v>
      </c>
      <c r="AB80" s="121">
        <f t="shared" si="40"/>
        <v>0</v>
      </c>
      <c r="AC80" s="121">
        <f t="shared" si="40"/>
        <v>0</v>
      </c>
      <c r="AD80" s="121">
        <f t="shared" si="40"/>
        <v>0</v>
      </c>
      <c r="AE80" s="121">
        <f t="shared" si="40"/>
        <v>0</v>
      </c>
      <c r="AF80" s="121">
        <f t="shared" si="40"/>
        <v>0</v>
      </c>
      <c r="AG80" s="121">
        <f t="shared" si="40"/>
        <v>0</v>
      </c>
      <c r="AH80" s="121">
        <f>AH79+AH55+AH53+AH51+AH49+AH47+AH44</f>
        <v>0</v>
      </c>
      <c r="AI80" s="121">
        <f t="shared" ref="AI80:AT80" si="41">AI79+AI55+AI53+AI51+AI49+AI47+AI44</f>
        <v>0</v>
      </c>
      <c r="AJ80" s="121">
        <f t="shared" si="41"/>
        <v>0</v>
      </c>
      <c r="AK80" s="121">
        <f t="shared" si="41"/>
        <v>0</v>
      </c>
      <c r="AL80" s="121">
        <f t="shared" si="41"/>
        <v>0</v>
      </c>
      <c r="AM80" s="121">
        <f t="shared" si="41"/>
        <v>0</v>
      </c>
      <c r="AN80" s="121">
        <f t="shared" si="41"/>
        <v>0</v>
      </c>
      <c r="AO80" s="121">
        <f t="shared" si="41"/>
        <v>0</v>
      </c>
      <c r="AP80" s="121">
        <f t="shared" si="41"/>
        <v>0</v>
      </c>
      <c r="AQ80" s="121">
        <f t="shared" si="41"/>
        <v>0</v>
      </c>
      <c r="AR80" s="121">
        <f t="shared" si="41"/>
        <v>0</v>
      </c>
      <c r="AS80" s="121">
        <f t="shared" si="41"/>
        <v>0</v>
      </c>
      <c r="AT80" s="121">
        <f t="shared" si="41"/>
        <v>0</v>
      </c>
      <c r="AU80" s="121">
        <f>AU79+AU55+AU53+AU51+AU49+AU47+AU44</f>
        <v>0</v>
      </c>
    </row>
    <row r="81" spans="1:47" ht="15.75" hidden="1" customHeight="1" outlineLevel="1">
      <c r="A81" s="1" t="s">
        <v>171</v>
      </c>
      <c r="C81" s="143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-119913140.45640002</v>
      </c>
      <c r="G81" s="31">
        <f>_xll.DBRW($C$1,$C$2,$C$3,$C$4,$C$6,$C$5,$C$7,G$1,G$2,A81)</f>
        <v>-142714858.59200001</v>
      </c>
      <c r="H81" s="31">
        <f>_xll.DBRW($C$1,$C$2,$C$3,$C$4,$C$6,$C$5,$C$7,H$1,H$2,A81)</f>
        <v>-110018095.0758</v>
      </c>
      <c r="I81" s="31">
        <f>_xll.DBRW($C$1,$C$2,$C$3,$C$4,$C$6,$C$5,$C$7,I$1,I$2,A81)</f>
        <v>-4061056.6688000001</v>
      </c>
      <c r="J81" s="31">
        <f>_xll.DBRW($C$1,$C$2,$C$3,$C$4,$C$6,$C$5,$C$7,J$1,J$2,A81)</f>
        <v>-35135056.96540001</v>
      </c>
      <c r="K81" s="31">
        <f>_xll.DBRW($C$1,$C$2,$C$3,$C$4,$C$6,$C$5,$C$7,K$1,K$2,A81)</f>
        <v>-55534095.514400013</v>
      </c>
      <c r="L81" s="31">
        <f>_xll.DBRW($C$1,$C$2,$C$3,$C$4,$C$6,$C$5,$C$7,L$1,L$2,A81)</f>
        <v>-71129154.794200003</v>
      </c>
      <c r="M81" s="31">
        <f>_xll.DBRW($C$1,$C$2,$C$3,$C$4,$C$6,$C$5,$C$7,M$1,M$2,A81)</f>
        <v>-85374899.261999995</v>
      </c>
      <c r="N81" s="31">
        <f>_xll.DBRW($C$1,$C$2,$C$3,$C$4,$C$6,$C$5,$C$7,N$1,N$2,A81)</f>
        <v>-95997458.9542</v>
      </c>
      <c r="O81" s="31">
        <f>_xll.DBRW($C$1,$C$2,$C$3,$C$4,$C$6,$C$5,$C$7,O$1,O$2,A81)</f>
        <v>-27145105.693199992</v>
      </c>
      <c r="P81" s="31">
        <f>_xll.DBRW($C$1,$C$2,$C$3,$C$4,$C$6,$C$5,$C$7,P$1,P$2,A81)</f>
        <v>-132485427.87079999</v>
      </c>
      <c r="Q81" s="31">
        <f>_xll.DBRW($C$1,$C$2,$C$3,$C$4,$C$6,$C$5,$C$7,Q$1,Q$2,A81)</f>
        <v>-155531420.31059998</v>
      </c>
      <c r="R81" s="31">
        <f>_xll.DBRW($C$1,$C$2,$C$3,$C$4,$C$6,$C$5,$C$7,R$1,R$2,A81)</f>
        <v>-39584444.578000002</v>
      </c>
      <c r="S81" s="31">
        <f>_xll.DBRW($C$1,$C$2,$C$3,$C$4,$C$6,$C$5,$C$7,S$1,S$2,A81)</f>
        <v>-110089954.31120002</v>
      </c>
      <c r="T81" s="31">
        <f>_xll.DBRW($C$1,$C$2,$C$3,$C$4,$C$6,$C$5,$C$7,T$1,T$2,A81)</f>
        <v>-202361462.09520003</v>
      </c>
      <c r="U81" s="31">
        <f>_xll.DBRW($C$1,$C$2,$C$3,$C$4,$C$6,$C$5,$C$7,U$1,U$2,A81)</f>
        <v>-202361462.09520003</v>
      </c>
      <c r="V81" s="31">
        <f>_xll.DBRW($C$1,$C$2,$C$3,$C$4,$C$6,$C$5,$C$7,V$1,V$2,A81)</f>
        <v>0</v>
      </c>
      <c r="W81" s="31">
        <f>_xll.DBRW($C$1,$C$2,$C$3,$C$4,$C$6,$C$5,$C$7,W$1,W$2,A81)</f>
        <v>0</v>
      </c>
      <c r="X81" s="31">
        <f>_xll.DBRW($C$1,$C$2,$C$3,$C$4,$C$6,$C$5,$C$7,X$1,X$2,A81)</f>
        <v>0</v>
      </c>
      <c r="Y81" s="31">
        <f>_xll.DBRW($C$1,$C$2,$C$3,$C$4,$C$6,$C$5,$C$7,Y$1,Y$2,A81)</f>
        <v>0</v>
      </c>
      <c r="Z81" s="31">
        <f>_xll.DBRW($C$1,$C$2,$C$3,$C$4,$C$6,$C$5,$C$7,Z$1,Z$2,A81)</f>
        <v>0</v>
      </c>
      <c r="AA81" s="31">
        <f>_xll.DBRW($C$1,$C$2,$C$3,$C$4,$C$6,$C$5,$C$7,AA$1,AA$2,A81)</f>
        <v>0</v>
      </c>
      <c r="AB81" s="31">
        <f>_xll.DBRW($C$1,$C$2,$C$3,$C$4,$C$6,$C$5,$C$7,AB$1,AB$2,A81)</f>
        <v>0</v>
      </c>
      <c r="AC81" s="31">
        <f>_xll.DBRW($C$1,$C$2,$C$3,$C$4,$C$6,$C$5,$C$7,AC$1,AC$2,A81)</f>
        <v>0</v>
      </c>
      <c r="AD81" s="31">
        <f>_xll.DBRW($C$1,$C$2,$C$3,$C$4,$C$6,$C$5,$C$7,AD$1,AD$2,A81)</f>
        <v>0</v>
      </c>
      <c r="AE81" s="31">
        <f>_xll.DBRW($C$1,$C$2,$C$3,$C$4,$C$6,$C$5,$C$7,AE$1,AE$2,A81)</f>
        <v>0</v>
      </c>
      <c r="AF81" s="31">
        <f>_xll.DBRW($C$1,$C$2,$C$3,$C$4,$C$6,$C$5,$C$7,AF$1,AF$2,A81)</f>
        <v>0</v>
      </c>
      <c r="AG81" s="31">
        <f>_xll.DBRW($C$1,$C$2,$C$3,$C$4,$C$6,$C$5,$C$7,AG$1,AG$2,A81)</f>
        <v>0</v>
      </c>
      <c r="AH81" s="31">
        <f>_xll.DBRW($C$1,$C$2,$C$3,$C$4,$C$6,$C$5,$C$7,AH$1,AH$2,A81)</f>
        <v>0</v>
      </c>
      <c r="AI81" s="31">
        <f>_xll.DBRW($C$1,$C$2,$C$3,$C$4,$C$6,$C$5,$C$7,AI$1,AI$2,A81)</f>
        <v>0</v>
      </c>
      <c r="AJ81" s="31">
        <f>_xll.DBRW($C$1,$C$2,$C$3,$C$4,$C$6,$C$5,$C$7,AJ$1,AJ$2,A81)</f>
        <v>0</v>
      </c>
      <c r="AK81" s="31">
        <f>_xll.DBRW($C$1,$C$2,$C$3,$C$4,$C$6,$C$5,$C$7,AK$1,AK$2,A81)</f>
        <v>0</v>
      </c>
      <c r="AL81" s="31">
        <f>_xll.DBRW($C$1,$C$2,$C$3,$C$4,$C$6,$C$5,$C$7,AL$1,AL$2,A81)</f>
        <v>0</v>
      </c>
      <c r="AM81" s="31">
        <f>_xll.DBRW($C$1,$C$2,$C$3,$C$4,$C$6,$C$5,$C$7,AM$1,AM$2,A81)</f>
        <v>0</v>
      </c>
      <c r="AN81" s="31">
        <f>_xll.DBRW($C$1,$C$2,$C$3,$C$4,$C$6,$C$5,$C$7,AN$1,AN$2,A81)</f>
        <v>0</v>
      </c>
      <c r="AO81" s="31">
        <f>_xll.DBRW($C$1,$C$2,$C$3,$C$4,$C$6,$C$5,$C$7,AO$1,AO$2,A81)</f>
        <v>0</v>
      </c>
      <c r="AP81" s="31">
        <f>_xll.DBRW($C$1,$C$2,$C$3,$C$4,$C$6,$C$5,$C$7,AP$1,AP$2,A81)</f>
        <v>0</v>
      </c>
      <c r="AQ81" s="31">
        <f>_xll.DBRW($C$1,$C$2,$C$3,$C$4,$C$6,$C$5,$C$7,AQ$1,AQ$2,A81)</f>
        <v>0</v>
      </c>
      <c r="AR81" s="31">
        <f>_xll.DBRW($C$1,$C$2,$C$3,$C$4,$C$6,$C$5,$C$7,AR$1,AR$2,A81)</f>
        <v>0</v>
      </c>
      <c r="AS81" s="31">
        <f>_xll.DBRW($C$1,$C$2,$C$3,$C$4,$C$6,$C$5,$C$7,AS$1,AS$2,A81)</f>
        <v>0</v>
      </c>
      <c r="AT81" s="31">
        <f>_xll.DBRW($C$1,$C$2,$C$3,$C$4,$C$6,$C$5,$C$7,AT$1,AT$2,A81)</f>
        <v>0</v>
      </c>
      <c r="AU81" s="31">
        <f>_xll.DBRW($C$1,$C$2,$C$3,$C$4,$C$6,$C$5,$C$7,AU$1,AU$2,A81)</f>
        <v>0</v>
      </c>
    </row>
    <row r="82" spans="1:47" ht="15.75" hidden="1" customHeight="1" outlineLevel="1">
      <c r="A82" s="1" t="s">
        <v>172</v>
      </c>
      <c r="C82" s="143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  <c r="I82" s="31">
        <f>_xll.DBRW($C$1,$C$2,$C$3,$C$4,$C$6,$C$5,$C$7,I$1,I$2,A82)</f>
        <v>0</v>
      </c>
      <c r="J82" s="31">
        <f>_xll.DBRW($C$1,$C$2,$C$3,$C$4,$C$6,$C$5,$C$7,J$1,J$2,A82)</f>
        <v>0</v>
      </c>
      <c r="K82" s="31">
        <f>_xll.DBRW($C$1,$C$2,$C$3,$C$4,$C$6,$C$5,$C$7,K$1,K$2,A82)</f>
        <v>0</v>
      </c>
      <c r="L82" s="31">
        <f>_xll.DBRW($C$1,$C$2,$C$3,$C$4,$C$6,$C$5,$C$7,L$1,L$2,A82)</f>
        <v>0</v>
      </c>
      <c r="M82" s="31">
        <f>_xll.DBRW($C$1,$C$2,$C$3,$C$4,$C$6,$C$5,$C$7,M$1,M$2,A82)</f>
        <v>0</v>
      </c>
      <c r="N82" s="31">
        <f>_xll.DBRW($C$1,$C$2,$C$3,$C$4,$C$6,$C$5,$C$7,N$1,N$2,A82)</f>
        <v>0</v>
      </c>
      <c r="O82" s="31">
        <f>_xll.DBRW($C$1,$C$2,$C$3,$C$4,$C$6,$C$5,$C$7,O$1,O$2,A82)</f>
        <v>0</v>
      </c>
      <c r="P82" s="31">
        <f>_xll.DBRW($C$1,$C$2,$C$3,$C$4,$C$6,$C$5,$C$7,P$1,P$2,A82)</f>
        <v>0</v>
      </c>
      <c r="Q82" s="31">
        <f>_xll.DBRW($C$1,$C$2,$C$3,$C$4,$C$6,$C$5,$C$7,Q$1,Q$2,A82)</f>
        <v>0</v>
      </c>
      <c r="R82" s="31">
        <f>_xll.DBRW($C$1,$C$2,$C$3,$C$4,$C$6,$C$5,$C$7,R$1,R$2,A82)</f>
        <v>0</v>
      </c>
      <c r="S82" s="31">
        <f>_xll.DBRW($C$1,$C$2,$C$3,$C$4,$C$6,$C$5,$C$7,S$1,S$2,A82)</f>
        <v>3426.39</v>
      </c>
      <c r="T82" s="31">
        <f>_xll.DBRW($C$1,$C$2,$C$3,$C$4,$C$6,$C$5,$C$7,T$1,T$2,A82)</f>
        <v>3426.39</v>
      </c>
      <c r="U82" s="31">
        <f>_xll.DBRW($C$1,$C$2,$C$3,$C$4,$C$6,$C$5,$C$7,U$1,U$2,A82)</f>
        <v>3426.39</v>
      </c>
      <c r="V82" s="31">
        <f>_xll.DBRW($C$1,$C$2,$C$3,$C$4,$C$6,$C$5,$C$7,V$1,V$2,A82)</f>
        <v>0</v>
      </c>
      <c r="W82" s="31">
        <f>_xll.DBRW($C$1,$C$2,$C$3,$C$4,$C$6,$C$5,$C$7,W$1,W$2,A82)</f>
        <v>0</v>
      </c>
      <c r="X82" s="31">
        <f>_xll.DBRW($C$1,$C$2,$C$3,$C$4,$C$6,$C$5,$C$7,X$1,X$2,A82)</f>
        <v>0</v>
      </c>
      <c r="Y82" s="31">
        <f>_xll.DBRW($C$1,$C$2,$C$3,$C$4,$C$6,$C$5,$C$7,Y$1,Y$2,A82)</f>
        <v>0</v>
      </c>
      <c r="Z82" s="31">
        <f>_xll.DBRW($C$1,$C$2,$C$3,$C$4,$C$6,$C$5,$C$7,Z$1,Z$2,A82)</f>
        <v>0</v>
      </c>
      <c r="AA82" s="31">
        <f>_xll.DBRW($C$1,$C$2,$C$3,$C$4,$C$6,$C$5,$C$7,AA$1,AA$2,A82)</f>
        <v>0</v>
      </c>
      <c r="AB82" s="31">
        <f>_xll.DBRW($C$1,$C$2,$C$3,$C$4,$C$6,$C$5,$C$7,AB$1,AB$2,A82)</f>
        <v>0</v>
      </c>
      <c r="AC82" s="31">
        <f>_xll.DBRW($C$1,$C$2,$C$3,$C$4,$C$6,$C$5,$C$7,AC$1,AC$2,A82)</f>
        <v>0</v>
      </c>
      <c r="AD82" s="31">
        <f>_xll.DBRW($C$1,$C$2,$C$3,$C$4,$C$6,$C$5,$C$7,AD$1,AD$2,A82)</f>
        <v>0</v>
      </c>
      <c r="AE82" s="31">
        <f>_xll.DBRW($C$1,$C$2,$C$3,$C$4,$C$6,$C$5,$C$7,AE$1,AE$2,A82)</f>
        <v>0</v>
      </c>
      <c r="AF82" s="31">
        <f>_xll.DBRW($C$1,$C$2,$C$3,$C$4,$C$6,$C$5,$C$7,AF$1,AF$2,A82)</f>
        <v>0</v>
      </c>
      <c r="AG82" s="31">
        <f>_xll.DBRW($C$1,$C$2,$C$3,$C$4,$C$6,$C$5,$C$7,AG$1,AG$2,A82)</f>
        <v>0</v>
      </c>
      <c r="AH82" s="31">
        <f>_xll.DBRW($C$1,$C$2,$C$3,$C$4,$C$6,$C$5,$C$7,AH$1,AH$2,A82)</f>
        <v>0</v>
      </c>
      <c r="AI82" s="31">
        <f>_xll.DBRW($C$1,$C$2,$C$3,$C$4,$C$6,$C$5,$C$7,AI$1,AI$2,A82)</f>
        <v>0</v>
      </c>
      <c r="AJ82" s="31">
        <f>_xll.DBRW($C$1,$C$2,$C$3,$C$4,$C$6,$C$5,$C$7,AJ$1,AJ$2,A82)</f>
        <v>0</v>
      </c>
      <c r="AK82" s="31">
        <f>_xll.DBRW($C$1,$C$2,$C$3,$C$4,$C$6,$C$5,$C$7,AK$1,AK$2,A82)</f>
        <v>0</v>
      </c>
      <c r="AL82" s="31">
        <f>_xll.DBRW($C$1,$C$2,$C$3,$C$4,$C$6,$C$5,$C$7,AL$1,AL$2,A82)</f>
        <v>0</v>
      </c>
      <c r="AM82" s="31">
        <f>_xll.DBRW($C$1,$C$2,$C$3,$C$4,$C$6,$C$5,$C$7,AM$1,AM$2,A82)</f>
        <v>0</v>
      </c>
      <c r="AN82" s="31">
        <f>_xll.DBRW($C$1,$C$2,$C$3,$C$4,$C$6,$C$5,$C$7,AN$1,AN$2,A82)</f>
        <v>0</v>
      </c>
      <c r="AO82" s="31">
        <f>_xll.DBRW($C$1,$C$2,$C$3,$C$4,$C$6,$C$5,$C$7,AO$1,AO$2,A82)</f>
        <v>0</v>
      </c>
      <c r="AP82" s="31">
        <f>_xll.DBRW($C$1,$C$2,$C$3,$C$4,$C$6,$C$5,$C$7,AP$1,AP$2,A82)</f>
        <v>0</v>
      </c>
      <c r="AQ82" s="31">
        <f>_xll.DBRW($C$1,$C$2,$C$3,$C$4,$C$6,$C$5,$C$7,AQ$1,AQ$2,A82)</f>
        <v>0</v>
      </c>
      <c r="AR82" s="31">
        <f>_xll.DBRW($C$1,$C$2,$C$3,$C$4,$C$6,$C$5,$C$7,AR$1,AR$2,A82)</f>
        <v>0</v>
      </c>
      <c r="AS82" s="31">
        <f>_xll.DBRW($C$1,$C$2,$C$3,$C$4,$C$6,$C$5,$C$7,AS$1,AS$2,A82)</f>
        <v>0</v>
      </c>
      <c r="AT82" s="31">
        <f>_xll.DBRW($C$1,$C$2,$C$3,$C$4,$C$6,$C$5,$C$7,AT$1,AT$2,A82)</f>
        <v>0</v>
      </c>
      <c r="AU82" s="31">
        <f>_xll.DBRW($C$1,$C$2,$C$3,$C$4,$C$6,$C$5,$C$7,AU$1,AU$2,A82)</f>
        <v>0</v>
      </c>
    </row>
    <row r="83" spans="1:47" ht="15.75" hidden="1" outlineLevel="1" collapsed="1">
      <c r="A83" s="1" t="s">
        <v>127</v>
      </c>
      <c r="C83" s="143"/>
      <c r="E83" s="14" t="s">
        <v>28</v>
      </c>
      <c r="F83" s="32">
        <f t="shared" ref="F83:T83" si="42">SUM(F81:F82)</f>
        <v>-119913140.45640002</v>
      </c>
      <c r="G83" s="32">
        <f t="shared" si="42"/>
        <v>-142714858.59200001</v>
      </c>
      <c r="H83" s="32">
        <f t="shared" si="42"/>
        <v>-110018095.0758</v>
      </c>
      <c r="I83" s="32">
        <f t="shared" si="42"/>
        <v>-4061056.6688000001</v>
      </c>
      <c r="J83" s="32">
        <f t="shared" si="42"/>
        <v>-35135056.96540001</v>
      </c>
      <c r="K83" s="32">
        <f t="shared" si="42"/>
        <v>-55534095.514400013</v>
      </c>
      <c r="L83" s="32">
        <f t="shared" si="42"/>
        <v>-71129154.794200003</v>
      </c>
      <c r="M83" s="32">
        <f t="shared" si="42"/>
        <v>-85374899.261999995</v>
      </c>
      <c r="N83" s="32">
        <f t="shared" si="42"/>
        <v>-95997458.9542</v>
      </c>
      <c r="O83" s="32">
        <f t="shared" si="42"/>
        <v>-27145105.693199992</v>
      </c>
      <c r="P83" s="32">
        <f t="shared" si="42"/>
        <v>-132485427.87079999</v>
      </c>
      <c r="Q83" s="32">
        <f t="shared" si="42"/>
        <v>-155531420.31059998</v>
      </c>
      <c r="R83" s="32">
        <f t="shared" si="42"/>
        <v>-39584444.578000002</v>
      </c>
      <c r="S83" s="32">
        <f t="shared" si="42"/>
        <v>-110086527.92120002</v>
      </c>
      <c r="T83" s="32">
        <f t="shared" si="42"/>
        <v>-202358035.70520005</v>
      </c>
      <c r="U83" s="32">
        <f>SUM(U81:U82)</f>
        <v>-202358035.70520005</v>
      </c>
      <c r="V83" s="32">
        <f t="shared" ref="V83:AG83" si="43">SUM(V81:V82)</f>
        <v>0</v>
      </c>
      <c r="W83" s="32">
        <f t="shared" si="43"/>
        <v>0</v>
      </c>
      <c r="X83" s="32">
        <f t="shared" si="43"/>
        <v>0</v>
      </c>
      <c r="Y83" s="32">
        <f t="shared" si="43"/>
        <v>0</v>
      </c>
      <c r="Z83" s="32">
        <f t="shared" si="43"/>
        <v>0</v>
      </c>
      <c r="AA83" s="32">
        <f t="shared" si="43"/>
        <v>0</v>
      </c>
      <c r="AB83" s="32">
        <f t="shared" si="43"/>
        <v>0</v>
      </c>
      <c r="AC83" s="32">
        <f t="shared" si="43"/>
        <v>0</v>
      </c>
      <c r="AD83" s="32">
        <f t="shared" si="43"/>
        <v>0</v>
      </c>
      <c r="AE83" s="32">
        <f t="shared" si="43"/>
        <v>0</v>
      </c>
      <c r="AF83" s="32">
        <f t="shared" si="43"/>
        <v>0</v>
      </c>
      <c r="AG83" s="32">
        <f t="shared" si="43"/>
        <v>0</v>
      </c>
      <c r="AH83" s="32">
        <f>SUM(AH81:AH82)</f>
        <v>0</v>
      </c>
      <c r="AI83" s="32">
        <f t="shared" ref="AI83:AT83" si="44">SUM(AI81:AI82)</f>
        <v>0</v>
      </c>
      <c r="AJ83" s="32">
        <f t="shared" si="44"/>
        <v>0</v>
      </c>
      <c r="AK83" s="32">
        <f t="shared" si="44"/>
        <v>0</v>
      </c>
      <c r="AL83" s="32">
        <f t="shared" si="44"/>
        <v>0</v>
      </c>
      <c r="AM83" s="32">
        <f t="shared" si="44"/>
        <v>0</v>
      </c>
      <c r="AN83" s="32">
        <f t="shared" si="44"/>
        <v>0</v>
      </c>
      <c r="AO83" s="32">
        <f t="shared" si="44"/>
        <v>0</v>
      </c>
      <c r="AP83" s="32">
        <f t="shared" si="44"/>
        <v>0</v>
      </c>
      <c r="AQ83" s="32">
        <f t="shared" si="44"/>
        <v>0</v>
      </c>
      <c r="AR83" s="32">
        <f t="shared" si="44"/>
        <v>0</v>
      </c>
      <c r="AS83" s="32">
        <f t="shared" si="44"/>
        <v>0</v>
      </c>
      <c r="AT83" s="32">
        <f t="shared" si="44"/>
        <v>0</v>
      </c>
      <c r="AU83" s="32">
        <f>SUM(AU81:AU82)</f>
        <v>0</v>
      </c>
    </row>
    <row r="84" spans="1:47" ht="15.75" hidden="1" customHeight="1" outlineLevel="2">
      <c r="A84" s="1" t="s">
        <v>173</v>
      </c>
      <c r="C84" s="143"/>
      <c r="E84" s="9" t="str">
        <f>_xll.DBRW(Server&amp;"}ElementAttributes_Indicator",A84,"code_English")</f>
        <v>PL1115_ET_80 - Fuel</v>
      </c>
      <c r="F84" s="32">
        <f>_xll.DBRW($C$1,$C$2,$C$3,$C$4,$C$6,$C$5,$C$7,F$1,F$2,A84)</f>
        <v>-13490282959.030003</v>
      </c>
      <c r="G84" s="32">
        <f>_xll.DBRW($C$1,$C$2,$C$3,$C$4,$C$6,$C$5,$C$7,G$1,G$2,A84)</f>
        <v>-10350807142.620001</v>
      </c>
      <c r="H84" s="32">
        <f>_xll.DBRW($C$1,$C$2,$C$3,$C$4,$C$6,$C$5,$C$7,H$1,H$2,A84)</f>
        <v>-13487831867.84</v>
      </c>
      <c r="I84" s="32">
        <f>_xll.DBRW($C$1,$C$2,$C$3,$C$4,$C$6,$C$5,$C$7,I$1,I$2,A84)</f>
        <v>-1344419773.4699998</v>
      </c>
      <c r="J84" s="32">
        <f>_xll.DBRW($C$1,$C$2,$C$3,$C$4,$C$6,$C$5,$C$7,J$1,J$2,A84)</f>
        <v>-1408588053.1599998</v>
      </c>
      <c r="K84" s="32">
        <f>_xll.DBRW($C$1,$C$2,$C$3,$C$4,$C$6,$C$5,$C$7,K$1,K$2,A84)</f>
        <v>-4398739027.329999</v>
      </c>
      <c r="L84" s="32">
        <f>_xll.DBRW($C$1,$C$2,$C$3,$C$4,$C$6,$C$5,$C$7,L$1,L$2,A84)</f>
        <v>-6126375954.4799986</v>
      </c>
      <c r="M84" s="32">
        <f>_xll.DBRW($C$1,$C$2,$C$3,$C$4,$C$6,$C$5,$C$7,M$1,M$2,A84)</f>
        <v>-7854028962.1999989</v>
      </c>
      <c r="N84" s="32">
        <f>_xll.DBRW($C$1,$C$2,$C$3,$C$4,$C$6,$C$5,$C$7,N$1,N$2,A84)</f>
        <v>-9752909765.8599987</v>
      </c>
      <c r="O84" s="32">
        <f>_xll.DBRW($C$1,$C$2,$C$3,$C$4,$C$6,$C$5,$C$7,O$1,O$2,A84)</f>
        <v>-11572869764.009998</v>
      </c>
      <c r="P84" s="32">
        <f>_xll.DBRW($C$1,$C$2,$C$3,$C$4,$C$6,$C$5,$C$7,P$1,P$2,A84)</f>
        <v>-13992341687.789997</v>
      </c>
      <c r="Q84" s="32">
        <f>_xll.DBRW($C$1,$C$2,$C$3,$C$4,$C$6,$C$5,$C$7,Q$1,Q$2,A84)</f>
        <v>-16211928008.319996</v>
      </c>
      <c r="R84" s="32">
        <f>_xll.DBRW($C$1,$C$2,$C$3,$C$4,$C$6,$C$5,$C$7,R$1,R$2,A84)</f>
        <v>-18324571465.159996</v>
      </c>
      <c r="S84" s="32">
        <f>_xll.DBRW($C$1,$C$2,$C$3,$C$4,$C$6,$C$5,$C$7,S$1,S$2,A84)</f>
        <v>-20908139109.789997</v>
      </c>
      <c r="T84" s="32">
        <f>_xll.DBRW($C$1,$C$2,$C$3,$C$4,$C$6,$C$5,$C$7,T$1,T$2,A84)</f>
        <v>-23372553675.759998</v>
      </c>
      <c r="U84" s="32">
        <f>_xll.DBRW($C$1,$C$2,$C$3,$C$4,$C$6,$C$5,$C$7,U$1,U$2,A84)</f>
        <v>-23372553675.759998</v>
      </c>
      <c r="V84" s="32">
        <f>_xll.DBRW($C$1,$C$2,$C$3,$C$4,$C$6,$C$5,$C$7,V$1,V$2,A84)</f>
        <v>0</v>
      </c>
      <c r="W84" s="32">
        <f>_xll.DBRW($C$1,$C$2,$C$3,$C$4,$C$6,$C$5,$C$7,W$1,W$2,A84)</f>
        <v>0</v>
      </c>
      <c r="X84" s="32">
        <f>_xll.DBRW($C$1,$C$2,$C$3,$C$4,$C$6,$C$5,$C$7,X$1,X$2,A84)</f>
        <v>0</v>
      </c>
      <c r="Y84" s="32">
        <f>_xll.DBRW($C$1,$C$2,$C$3,$C$4,$C$6,$C$5,$C$7,Y$1,Y$2,A84)</f>
        <v>0</v>
      </c>
      <c r="Z84" s="32">
        <f>_xll.DBRW($C$1,$C$2,$C$3,$C$4,$C$6,$C$5,$C$7,Z$1,Z$2,A84)</f>
        <v>0</v>
      </c>
      <c r="AA84" s="32">
        <f>_xll.DBRW($C$1,$C$2,$C$3,$C$4,$C$6,$C$5,$C$7,AA$1,AA$2,A84)</f>
        <v>0</v>
      </c>
      <c r="AB84" s="32">
        <f>_xll.DBRW($C$1,$C$2,$C$3,$C$4,$C$6,$C$5,$C$7,AB$1,AB$2,A84)</f>
        <v>0</v>
      </c>
      <c r="AC84" s="32">
        <f>_xll.DBRW($C$1,$C$2,$C$3,$C$4,$C$6,$C$5,$C$7,AC$1,AC$2,A84)</f>
        <v>0</v>
      </c>
      <c r="AD84" s="32">
        <f>_xll.DBRW($C$1,$C$2,$C$3,$C$4,$C$6,$C$5,$C$7,AD$1,AD$2,A84)</f>
        <v>0</v>
      </c>
      <c r="AE84" s="32">
        <f>_xll.DBRW($C$1,$C$2,$C$3,$C$4,$C$6,$C$5,$C$7,AE$1,AE$2,A84)</f>
        <v>0</v>
      </c>
      <c r="AF84" s="32">
        <f>_xll.DBRW($C$1,$C$2,$C$3,$C$4,$C$6,$C$5,$C$7,AF$1,AF$2,A84)</f>
        <v>0</v>
      </c>
      <c r="AG84" s="32">
        <f>_xll.DBRW($C$1,$C$2,$C$3,$C$4,$C$6,$C$5,$C$7,AG$1,AG$2,A84)</f>
        <v>0</v>
      </c>
      <c r="AH84" s="32">
        <f>_xll.DBRW($C$1,$C$2,$C$3,$C$4,$C$6,$C$5,$C$7,AH$1,AH$2,A84)</f>
        <v>0</v>
      </c>
      <c r="AI84" s="32">
        <f>_xll.DBRW($C$1,$C$2,$C$3,$C$4,$C$6,$C$5,$C$7,AI$1,AI$2,A84)</f>
        <v>0</v>
      </c>
      <c r="AJ84" s="32">
        <f>_xll.DBRW($C$1,$C$2,$C$3,$C$4,$C$6,$C$5,$C$7,AJ$1,AJ$2,A84)</f>
        <v>0</v>
      </c>
      <c r="AK84" s="32">
        <f>_xll.DBRW($C$1,$C$2,$C$3,$C$4,$C$6,$C$5,$C$7,AK$1,AK$2,A84)</f>
        <v>0</v>
      </c>
      <c r="AL84" s="32">
        <f>_xll.DBRW($C$1,$C$2,$C$3,$C$4,$C$6,$C$5,$C$7,AL$1,AL$2,A84)</f>
        <v>0</v>
      </c>
      <c r="AM84" s="32">
        <f>_xll.DBRW($C$1,$C$2,$C$3,$C$4,$C$6,$C$5,$C$7,AM$1,AM$2,A84)</f>
        <v>0</v>
      </c>
      <c r="AN84" s="32">
        <f>_xll.DBRW($C$1,$C$2,$C$3,$C$4,$C$6,$C$5,$C$7,AN$1,AN$2,A84)</f>
        <v>0</v>
      </c>
      <c r="AO84" s="32">
        <f>_xll.DBRW($C$1,$C$2,$C$3,$C$4,$C$6,$C$5,$C$7,AO$1,AO$2,A84)</f>
        <v>0</v>
      </c>
      <c r="AP84" s="32">
        <f>_xll.DBRW($C$1,$C$2,$C$3,$C$4,$C$6,$C$5,$C$7,AP$1,AP$2,A84)</f>
        <v>0</v>
      </c>
      <c r="AQ84" s="32">
        <f>_xll.DBRW($C$1,$C$2,$C$3,$C$4,$C$6,$C$5,$C$7,AQ$1,AQ$2,A84)</f>
        <v>0</v>
      </c>
      <c r="AR84" s="32">
        <f>_xll.DBRW($C$1,$C$2,$C$3,$C$4,$C$6,$C$5,$C$7,AR$1,AR$2,A84)</f>
        <v>0</v>
      </c>
      <c r="AS84" s="32">
        <f>_xll.DBRW($C$1,$C$2,$C$3,$C$4,$C$6,$C$5,$C$7,AS$1,AS$2,A84)</f>
        <v>0</v>
      </c>
      <c r="AT84" s="32">
        <f>_xll.DBRW($C$1,$C$2,$C$3,$C$4,$C$6,$C$5,$C$7,AT$1,AT$2,A84)</f>
        <v>0</v>
      </c>
      <c r="AU84" s="32">
        <f>_xll.DBRW($C$1,$C$2,$C$3,$C$4,$C$6,$C$5,$C$7,AU$1,AU$2,A84)</f>
        <v>0</v>
      </c>
    </row>
    <row r="85" spans="1:47" ht="15.75" hidden="1" customHeight="1" outlineLevel="2">
      <c r="A85" s="1" t="s">
        <v>174</v>
      </c>
      <c r="C85" s="143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421353.9</v>
      </c>
      <c r="G85" s="32">
        <f>_xll.DBRW($C$1,$C$2,$C$3,$C$4,$C$6,$C$5,$C$7,G$1,G$2,A85)</f>
        <v>-1507943.1600000004</v>
      </c>
      <c r="H85" s="32">
        <f>_xll.DBRW($C$1,$C$2,$C$3,$C$4,$C$6,$C$5,$C$7,H$1,H$2,A85)</f>
        <v>-6966.2000000000007</v>
      </c>
      <c r="I85" s="32">
        <f>_xll.DBRW($C$1,$C$2,$C$3,$C$4,$C$6,$C$5,$C$7,I$1,I$2,A85)</f>
        <v>0</v>
      </c>
      <c r="J85" s="32">
        <f>_xll.DBRW($C$1,$C$2,$C$3,$C$4,$C$6,$C$5,$C$7,J$1,J$2,A85)</f>
        <v>0</v>
      </c>
      <c r="K85" s="32">
        <f>_xll.DBRW($C$1,$C$2,$C$3,$C$4,$C$6,$C$5,$C$7,K$1,K$2,A85)</f>
        <v>0</v>
      </c>
      <c r="L85" s="32">
        <f>_xll.DBRW($C$1,$C$2,$C$3,$C$4,$C$6,$C$5,$C$7,L$1,L$2,A85)</f>
        <v>0</v>
      </c>
      <c r="M85" s="32">
        <f>_xll.DBRW($C$1,$C$2,$C$3,$C$4,$C$6,$C$5,$C$7,M$1,M$2,A85)</f>
        <v>0</v>
      </c>
      <c r="N85" s="32">
        <f>_xll.DBRW($C$1,$C$2,$C$3,$C$4,$C$6,$C$5,$C$7,N$1,N$2,A85)</f>
        <v>0</v>
      </c>
      <c r="O85" s="32">
        <f>_xll.DBRW($C$1,$C$2,$C$3,$C$4,$C$6,$C$5,$C$7,O$1,O$2,A85)</f>
        <v>0</v>
      </c>
      <c r="P85" s="32">
        <f>_xll.DBRW($C$1,$C$2,$C$3,$C$4,$C$6,$C$5,$C$7,P$1,P$2,A85)</f>
        <v>-1287.32</v>
      </c>
      <c r="Q85" s="32">
        <f>_xll.DBRW($C$1,$C$2,$C$3,$C$4,$C$6,$C$5,$C$7,Q$1,Q$2,A85)</f>
        <v>-1287.32</v>
      </c>
      <c r="R85" s="32">
        <f>_xll.DBRW($C$1,$C$2,$C$3,$C$4,$C$6,$C$5,$C$7,R$1,R$2,A85)</f>
        <v>0</v>
      </c>
      <c r="S85" s="32">
        <f>_xll.DBRW($C$1,$C$2,$C$3,$C$4,$C$6,$C$5,$C$7,S$1,S$2,A85)</f>
        <v>-1287.32</v>
      </c>
      <c r="T85" s="32">
        <f>_xll.DBRW($C$1,$C$2,$C$3,$C$4,$C$6,$C$5,$C$7,T$1,T$2,A85)</f>
        <v>-1287.32</v>
      </c>
      <c r="U85" s="32">
        <f>_xll.DBRW($C$1,$C$2,$C$3,$C$4,$C$6,$C$5,$C$7,U$1,U$2,A85)</f>
        <v>-1287.32</v>
      </c>
      <c r="V85" s="32">
        <f>_xll.DBRW($C$1,$C$2,$C$3,$C$4,$C$6,$C$5,$C$7,V$1,V$2,A85)</f>
        <v>0</v>
      </c>
      <c r="W85" s="32">
        <f>_xll.DBRW($C$1,$C$2,$C$3,$C$4,$C$6,$C$5,$C$7,W$1,W$2,A85)</f>
        <v>0</v>
      </c>
      <c r="X85" s="32">
        <f>_xll.DBRW($C$1,$C$2,$C$3,$C$4,$C$6,$C$5,$C$7,X$1,X$2,A85)</f>
        <v>0</v>
      </c>
      <c r="Y85" s="32">
        <f>_xll.DBRW($C$1,$C$2,$C$3,$C$4,$C$6,$C$5,$C$7,Y$1,Y$2,A85)</f>
        <v>0</v>
      </c>
      <c r="Z85" s="32">
        <f>_xll.DBRW($C$1,$C$2,$C$3,$C$4,$C$6,$C$5,$C$7,Z$1,Z$2,A85)</f>
        <v>0</v>
      </c>
      <c r="AA85" s="32">
        <f>_xll.DBRW($C$1,$C$2,$C$3,$C$4,$C$6,$C$5,$C$7,AA$1,AA$2,A85)</f>
        <v>0</v>
      </c>
      <c r="AB85" s="32">
        <f>_xll.DBRW($C$1,$C$2,$C$3,$C$4,$C$6,$C$5,$C$7,AB$1,AB$2,A85)</f>
        <v>0</v>
      </c>
      <c r="AC85" s="32">
        <f>_xll.DBRW($C$1,$C$2,$C$3,$C$4,$C$6,$C$5,$C$7,AC$1,AC$2,A85)</f>
        <v>0</v>
      </c>
      <c r="AD85" s="32">
        <f>_xll.DBRW($C$1,$C$2,$C$3,$C$4,$C$6,$C$5,$C$7,AD$1,AD$2,A85)</f>
        <v>0</v>
      </c>
      <c r="AE85" s="32">
        <f>_xll.DBRW($C$1,$C$2,$C$3,$C$4,$C$6,$C$5,$C$7,AE$1,AE$2,A85)</f>
        <v>0</v>
      </c>
      <c r="AF85" s="32">
        <f>_xll.DBRW($C$1,$C$2,$C$3,$C$4,$C$6,$C$5,$C$7,AF$1,AF$2,A85)</f>
        <v>0</v>
      </c>
      <c r="AG85" s="32">
        <f>_xll.DBRW($C$1,$C$2,$C$3,$C$4,$C$6,$C$5,$C$7,AG$1,AG$2,A85)</f>
        <v>0</v>
      </c>
      <c r="AH85" s="32">
        <f>_xll.DBRW($C$1,$C$2,$C$3,$C$4,$C$6,$C$5,$C$7,AH$1,AH$2,A85)</f>
        <v>0</v>
      </c>
      <c r="AI85" s="32">
        <f>_xll.DBRW($C$1,$C$2,$C$3,$C$4,$C$6,$C$5,$C$7,AI$1,AI$2,A85)</f>
        <v>0</v>
      </c>
      <c r="AJ85" s="32">
        <f>_xll.DBRW($C$1,$C$2,$C$3,$C$4,$C$6,$C$5,$C$7,AJ$1,AJ$2,A85)</f>
        <v>0</v>
      </c>
      <c r="AK85" s="32">
        <f>_xll.DBRW($C$1,$C$2,$C$3,$C$4,$C$6,$C$5,$C$7,AK$1,AK$2,A85)</f>
        <v>0</v>
      </c>
      <c r="AL85" s="32">
        <f>_xll.DBRW($C$1,$C$2,$C$3,$C$4,$C$6,$C$5,$C$7,AL$1,AL$2,A85)</f>
        <v>0</v>
      </c>
      <c r="AM85" s="32">
        <f>_xll.DBRW($C$1,$C$2,$C$3,$C$4,$C$6,$C$5,$C$7,AM$1,AM$2,A85)</f>
        <v>0</v>
      </c>
      <c r="AN85" s="32">
        <f>_xll.DBRW($C$1,$C$2,$C$3,$C$4,$C$6,$C$5,$C$7,AN$1,AN$2,A85)</f>
        <v>0</v>
      </c>
      <c r="AO85" s="32">
        <f>_xll.DBRW($C$1,$C$2,$C$3,$C$4,$C$6,$C$5,$C$7,AO$1,AO$2,A85)</f>
        <v>0</v>
      </c>
      <c r="AP85" s="32">
        <f>_xll.DBRW($C$1,$C$2,$C$3,$C$4,$C$6,$C$5,$C$7,AP$1,AP$2,A85)</f>
        <v>0</v>
      </c>
      <c r="AQ85" s="32">
        <f>_xll.DBRW($C$1,$C$2,$C$3,$C$4,$C$6,$C$5,$C$7,AQ$1,AQ$2,A85)</f>
        <v>0</v>
      </c>
      <c r="AR85" s="32">
        <f>_xll.DBRW($C$1,$C$2,$C$3,$C$4,$C$6,$C$5,$C$7,AR$1,AR$2,A85)</f>
        <v>0</v>
      </c>
      <c r="AS85" s="32">
        <f>_xll.DBRW($C$1,$C$2,$C$3,$C$4,$C$6,$C$5,$C$7,AS$1,AS$2,A85)</f>
        <v>0</v>
      </c>
      <c r="AT85" s="32">
        <f>_xll.DBRW($C$1,$C$2,$C$3,$C$4,$C$6,$C$5,$C$7,AT$1,AT$2,A85)</f>
        <v>0</v>
      </c>
      <c r="AU85" s="32">
        <f>_xll.DBRW($C$1,$C$2,$C$3,$C$4,$C$6,$C$5,$C$7,AU$1,AU$2,A85)</f>
        <v>0</v>
      </c>
    </row>
    <row r="86" spans="1:47" ht="15.75" hidden="1" customHeight="1" outlineLevel="2">
      <c r="A86" s="1" t="s">
        <v>175</v>
      </c>
      <c r="C86" s="143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44058717.019999996</v>
      </c>
      <c r="G86" s="32">
        <f>_xll.DBRW($C$1,$C$2,$C$3,$C$4,$C$6,$C$5,$C$7,G$1,G$2,A86)</f>
        <v>40450392.770000003</v>
      </c>
      <c r="H86" s="32">
        <f>_xll.DBRW($C$1,$C$2,$C$3,$C$4,$C$6,$C$5,$C$7,H$1,H$2,A86)</f>
        <v>42166497.300000004</v>
      </c>
      <c r="I86" s="32">
        <f>_xll.DBRW($C$1,$C$2,$C$3,$C$4,$C$6,$C$5,$C$7,I$1,I$2,A86)</f>
        <v>-652197.93000000028</v>
      </c>
      <c r="J86" s="32">
        <f>_xll.DBRW($C$1,$C$2,$C$3,$C$4,$C$6,$C$5,$C$7,J$1,J$2,A86)</f>
        <v>8280808.2499999953</v>
      </c>
      <c r="K86" s="32">
        <f>_xll.DBRW($C$1,$C$2,$C$3,$C$4,$C$6,$C$5,$C$7,K$1,K$2,A86)</f>
        <v>12989018.559999995</v>
      </c>
      <c r="L86" s="32">
        <f>_xll.DBRW($C$1,$C$2,$C$3,$C$4,$C$6,$C$5,$C$7,L$1,L$2,A86)</f>
        <v>15190317.789999995</v>
      </c>
      <c r="M86" s="32">
        <f>_xll.DBRW($C$1,$C$2,$C$3,$C$4,$C$6,$C$5,$C$7,M$1,M$2,A86)</f>
        <v>21305686.239999995</v>
      </c>
      <c r="N86" s="32">
        <f>_xll.DBRW($C$1,$C$2,$C$3,$C$4,$C$6,$C$5,$C$7,N$1,N$2,A86)</f>
        <v>27379930.939999994</v>
      </c>
      <c r="O86" s="32">
        <f>_xll.DBRW($C$1,$C$2,$C$3,$C$4,$C$6,$C$5,$C$7,O$1,O$2,A86)</f>
        <v>21131222.659999993</v>
      </c>
      <c r="P86" s="32">
        <f>_xll.DBRW($C$1,$C$2,$C$3,$C$4,$C$6,$C$5,$C$7,P$1,P$2,A86)</f>
        <v>28135030.86999999</v>
      </c>
      <c r="Q86" s="32">
        <f>_xll.DBRW($C$1,$C$2,$C$3,$C$4,$C$6,$C$5,$C$7,Q$1,Q$2,A86)</f>
        <v>31917591.059999987</v>
      </c>
      <c r="R86" s="32">
        <f>_xll.DBRW($C$1,$C$2,$C$3,$C$4,$C$6,$C$5,$C$7,R$1,R$2,A86)</f>
        <v>27949484.539999988</v>
      </c>
      <c r="S86" s="32">
        <f>_xll.DBRW($C$1,$C$2,$C$3,$C$4,$C$6,$C$5,$C$7,S$1,S$2,A86)</f>
        <v>39116928.709999986</v>
      </c>
      <c r="T86" s="32">
        <f>_xll.DBRW($C$1,$C$2,$C$3,$C$4,$C$6,$C$5,$C$7,T$1,T$2,A86)</f>
        <v>43075581.36999999</v>
      </c>
      <c r="U86" s="32">
        <f>_xll.DBRW($C$1,$C$2,$C$3,$C$4,$C$6,$C$5,$C$7,U$1,U$2,A86)</f>
        <v>43075581.36999999</v>
      </c>
      <c r="V86" s="32">
        <f>_xll.DBRW($C$1,$C$2,$C$3,$C$4,$C$6,$C$5,$C$7,V$1,V$2,A86)</f>
        <v>0</v>
      </c>
      <c r="W86" s="32">
        <f>_xll.DBRW($C$1,$C$2,$C$3,$C$4,$C$6,$C$5,$C$7,W$1,W$2,A86)</f>
        <v>0</v>
      </c>
      <c r="X86" s="32">
        <f>_xll.DBRW($C$1,$C$2,$C$3,$C$4,$C$6,$C$5,$C$7,X$1,X$2,A86)</f>
        <v>0</v>
      </c>
      <c r="Y86" s="32">
        <f>_xll.DBRW($C$1,$C$2,$C$3,$C$4,$C$6,$C$5,$C$7,Y$1,Y$2,A86)</f>
        <v>0</v>
      </c>
      <c r="Z86" s="32">
        <f>_xll.DBRW($C$1,$C$2,$C$3,$C$4,$C$6,$C$5,$C$7,Z$1,Z$2,A86)</f>
        <v>0</v>
      </c>
      <c r="AA86" s="32">
        <f>_xll.DBRW($C$1,$C$2,$C$3,$C$4,$C$6,$C$5,$C$7,AA$1,AA$2,A86)</f>
        <v>0</v>
      </c>
      <c r="AB86" s="32">
        <f>_xll.DBRW($C$1,$C$2,$C$3,$C$4,$C$6,$C$5,$C$7,AB$1,AB$2,A86)</f>
        <v>0</v>
      </c>
      <c r="AC86" s="32">
        <f>_xll.DBRW($C$1,$C$2,$C$3,$C$4,$C$6,$C$5,$C$7,AC$1,AC$2,A86)</f>
        <v>0</v>
      </c>
      <c r="AD86" s="32">
        <f>_xll.DBRW($C$1,$C$2,$C$3,$C$4,$C$6,$C$5,$C$7,AD$1,AD$2,A86)</f>
        <v>0</v>
      </c>
      <c r="AE86" s="32">
        <f>_xll.DBRW($C$1,$C$2,$C$3,$C$4,$C$6,$C$5,$C$7,AE$1,AE$2,A86)</f>
        <v>0</v>
      </c>
      <c r="AF86" s="32">
        <f>_xll.DBRW($C$1,$C$2,$C$3,$C$4,$C$6,$C$5,$C$7,AF$1,AF$2,A86)</f>
        <v>0</v>
      </c>
      <c r="AG86" s="32">
        <f>_xll.DBRW($C$1,$C$2,$C$3,$C$4,$C$6,$C$5,$C$7,AG$1,AG$2,A86)</f>
        <v>0</v>
      </c>
      <c r="AH86" s="32">
        <f>_xll.DBRW($C$1,$C$2,$C$3,$C$4,$C$6,$C$5,$C$7,AH$1,AH$2,A86)</f>
        <v>0</v>
      </c>
      <c r="AI86" s="32">
        <f>_xll.DBRW($C$1,$C$2,$C$3,$C$4,$C$6,$C$5,$C$7,AI$1,AI$2,A86)</f>
        <v>0</v>
      </c>
      <c r="AJ86" s="32">
        <f>_xll.DBRW($C$1,$C$2,$C$3,$C$4,$C$6,$C$5,$C$7,AJ$1,AJ$2,A86)</f>
        <v>0</v>
      </c>
      <c r="AK86" s="32">
        <f>_xll.DBRW($C$1,$C$2,$C$3,$C$4,$C$6,$C$5,$C$7,AK$1,AK$2,A86)</f>
        <v>0</v>
      </c>
      <c r="AL86" s="32">
        <f>_xll.DBRW($C$1,$C$2,$C$3,$C$4,$C$6,$C$5,$C$7,AL$1,AL$2,A86)</f>
        <v>0</v>
      </c>
      <c r="AM86" s="32">
        <f>_xll.DBRW($C$1,$C$2,$C$3,$C$4,$C$6,$C$5,$C$7,AM$1,AM$2,A86)</f>
        <v>0</v>
      </c>
      <c r="AN86" s="32">
        <f>_xll.DBRW($C$1,$C$2,$C$3,$C$4,$C$6,$C$5,$C$7,AN$1,AN$2,A86)</f>
        <v>0</v>
      </c>
      <c r="AO86" s="32">
        <f>_xll.DBRW($C$1,$C$2,$C$3,$C$4,$C$6,$C$5,$C$7,AO$1,AO$2,A86)</f>
        <v>0</v>
      </c>
      <c r="AP86" s="32">
        <f>_xll.DBRW($C$1,$C$2,$C$3,$C$4,$C$6,$C$5,$C$7,AP$1,AP$2,A86)</f>
        <v>0</v>
      </c>
      <c r="AQ86" s="32">
        <f>_xll.DBRW($C$1,$C$2,$C$3,$C$4,$C$6,$C$5,$C$7,AQ$1,AQ$2,A86)</f>
        <v>0</v>
      </c>
      <c r="AR86" s="32">
        <f>_xll.DBRW($C$1,$C$2,$C$3,$C$4,$C$6,$C$5,$C$7,AR$1,AR$2,A86)</f>
        <v>0</v>
      </c>
      <c r="AS86" s="32">
        <f>_xll.DBRW($C$1,$C$2,$C$3,$C$4,$C$6,$C$5,$C$7,AS$1,AS$2,A86)</f>
        <v>0</v>
      </c>
      <c r="AT86" s="32">
        <f>_xll.DBRW($C$1,$C$2,$C$3,$C$4,$C$6,$C$5,$C$7,AT$1,AT$2,A86)</f>
        <v>0</v>
      </c>
      <c r="AU86" s="32">
        <f>_xll.DBRW($C$1,$C$2,$C$3,$C$4,$C$6,$C$5,$C$7,AU$1,AU$2,A86)</f>
        <v>0</v>
      </c>
    </row>
    <row r="87" spans="1:47" ht="15.75" hidden="1" customHeight="1" outlineLevel="2">
      <c r="A87" s="1" t="s">
        <v>176</v>
      </c>
      <c r="C87" s="143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19192408.190000001</v>
      </c>
      <c r="G87" s="32">
        <f>_xll.DBRW($C$1,$C$2,$C$3,$C$4,$C$6,$C$5,$C$7,G$1,G$2,A87)</f>
        <v>19685822.350000001</v>
      </c>
      <c r="H87" s="32">
        <f>_xll.DBRW($C$1,$C$2,$C$3,$C$4,$C$6,$C$5,$C$7,H$1,H$2,A87)</f>
        <v>28459103.469999999</v>
      </c>
      <c r="I87" s="32">
        <f>_xll.DBRW($C$1,$C$2,$C$3,$C$4,$C$6,$C$5,$C$7,I$1,I$2,A87)</f>
        <v>1578336.26</v>
      </c>
      <c r="J87" s="32">
        <f>_xll.DBRW($C$1,$C$2,$C$3,$C$4,$C$6,$C$5,$C$7,J$1,J$2,A87)</f>
        <v>3796200.96</v>
      </c>
      <c r="K87" s="32">
        <f>_xll.DBRW($C$1,$C$2,$C$3,$C$4,$C$6,$C$5,$C$7,K$1,K$2,A87)</f>
        <v>7349927.3199999994</v>
      </c>
      <c r="L87" s="32">
        <f>_xll.DBRW($C$1,$C$2,$C$3,$C$4,$C$6,$C$5,$C$7,L$1,L$2,A87)</f>
        <v>9696418.5199999996</v>
      </c>
      <c r="M87" s="32">
        <f>_xll.DBRW($C$1,$C$2,$C$3,$C$4,$C$6,$C$5,$C$7,M$1,M$2,A87)</f>
        <v>14075346.280000001</v>
      </c>
      <c r="N87" s="32">
        <f>_xll.DBRW($C$1,$C$2,$C$3,$C$4,$C$6,$C$5,$C$7,N$1,N$2,A87)</f>
        <v>17656533.060000002</v>
      </c>
      <c r="O87" s="32">
        <f>_xll.DBRW($C$1,$C$2,$C$3,$C$4,$C$6,$C$5,$C$7,O$1,O$2,A87)</f>
        <v>18507713.280000001</v>
      </c>
      <c r="P87" s="32">
        <f>_xll.DBRW($C$1,$C$2,$C$3,$C$4,$C$6,$C$5,$C$7,P$1,P$2,A87)</f>
        <v>24149934.330000002</v>
      </c>
      <c r="Q87" s="32">
        <f>_xll.DBRW($C$1,$C$2,$C$3,$C$4,$C$6,$C$5,$C$7,Q$1,Q$2,A87)</f>
        <v>26939369.150000002</v>
      </c>
      <c r="R87" s="32">
        <f>_xll.DBRW($C$1,$C$2,$C$3,$C$4,$C$6,$C$5,$C$7,R$1,R$2,A87)</f>
        <v>26054861.510000002</v>
      </c>
      <c r="S87" s="32">
        <f>_xll.DBRW($C$1,$C$2,$C$3,$C$4,$C$6,$C$5,$C$7,S$1,S$2,A87)</f>
        <v>33786698.030000001</v>
      </c>
      <c r="T87" s="32">
        <f>_xll.DBRW($C$1,$C$2,$C$3,$C$4,$C$6,$C$5,$C$7,T$1,T$2,A87)</f>
        <v>36948391.75</v>
      </c>
      <c r="U87" s="32">
        <f>_xll.DBRW($C$1,$C$2,$C$3,$C$4,$C$6,$C$5,$C$7,U$1,U$2,A87)</f>
        <v>36948391.75</v>
      </c>
      <c r="V87" s="32">
        <f>_xll.DBRW($C$1,$C$2,$C$3,$C$4,$C$6,$C$5,$C$7,V$1,V$2,A87)</f>
        <v>0</v>
      </c>
      <c r="W87" s="32">
        <f>_xll.DBRW($C$1,$C$2,$C$3,$C$4,$C$6,$C$5,$C$7,W$1,W$2,A87)</f>
        <v>0</v>
      </c>
      <c r="X87" s="32">
        <f>_xll.DBRW($C$1,$C$2,$C$3,$C$4,$C$6,$C$5,$C$7,X$1,X$2,A87)</f>
        <v>0</v>
      </c>
      <c r="Y87" s="32">
        <f>_xll.DBRW($C$1,$C$2,$C$3,$C$4,$C$6,$C$5,$C$7,Y$1,Y$2,A87)</f>
        <v>0</v>
      </c>
      <c r="Z87" s="32">
        <f>_xll.DBRW($C$1,$C$2,$C$3,$C$4,$C$6,$C$5,$C$7,Z$1,Z$2,A87)</f>
        <v>0</v>
      </c>
      <c r="AA87" s="32">
        <f>_xll.DBRW($C$1,$C$2,$C$3,$C$4,$C$6,$C$5,$C$7,AA$1,AA$2,A87)</f>
        <v>0</v>
      </c>
      <c r="AB87" s="32">
        <f>_xll.DBRW($C$1,$C$2,$C$3,$C$4,$C$6,$C$5,$C$7,AB$1,AB$2,A87)</f>
        <v>0</v>
      </c>
      <c r="AC87" s="32">
        <f>_xll.DBRW($C$1,$C$2,$C$3,$C$4,$C$6,$C$5,$C$7,AC$1,AC$2,A87)</f>
        <v>0</v>
      </c>
      <c r="AD87" s="32">
        <f>_xll.DBRW($C$1,$C$2,$C$3,$C$4,$C$6,$C$5,$C$7,AD$1,AD$2,A87)</f>
        <v>0</v>
      </c>
      <c r="AE87" s="32">
        <f>_xll.DBRW($C$1,$C$2,$C$3,$C$4,$C$6,$C$5,$C$7,AE$1,AE$2,A87)</f>
        <v>0</v>
      </c>
      <c r="AF87" s="32">
        <f>_xll.DBRW($C$1,$C$2,$C$3,$C$4,$C$6,$C$5,$C$7,AF$1,AF$2,A87)</f>
        <v>0</v>
      </c>
      <c r="AG87" s="32">
        <f>_xll.DBRW($C$1,$C$2,$C$3,$C$4,$C$6,$C$5,$C$7,AG$1,AG$2,A87)</f>
        <v>0</v>
      </c>
      <c r="AH87" s="32">
        <f>_xll.DBRW($C$1,$C$2,$C$3,$C$4,$C$6,$C$5,$C$7,AH$1,AH$2,A87)</f>
        <v>0</v>
      </c>
      <c r="AI87" s="32">
        <f>_xll.DBRW($C$1,$C$2,$C$3,$C$4,$C$6,$C$5,$C$7,AI$1,AI$2,A87)</f>
        <v>0</v>
      </c>
      <c r="AJ87" s="32">
        <f>_xll.DBRW($C$1,$C$2,$C$3,$C$4,$C$6,$C$5,$C$7,AJ$1,AJ$2,A87)</f>
        <v>0</v>
      </c>
      <c r="AK87" s="32">
        <f>_xll.DBRW($C$1,$C$2,$C$3,$C$4,$C$6,$C$5,$C$7,AK$1,AK$2,A87)</f>
        <v>0</v>
      </c>
      <c r="AL87" s="32">
        <f>_xll.DBRW($C$1,$C$2,$C$3,$C$4,$C$6,$C$5,$C$7,AL$1,AL$2,A87)</f>
        <v>0</v>
      </c>
      <c r="AM87" s="32">
        <f>_xll.DBRW($C$1,$C$2,$C$3,$C$4,$C$6,$C$5,$C$7,AM$1,AM$2,A87)</f>
        <v>0</v>
      </c>
      <c r="AN87" s="32">
        <f>_xll.DBRW($C$1,$C$2,$C$3,$C$4,$C$6,$C$5,$C$7,AN$1,AN$2,A87)</f>
        <v>0</v>
      </c>
      <c r="AO87" s="32">
        <f>_xll.DBRW($C$1,$C$2,$C$3,$C$4,$C$6,$C$5,$C$7,AO$1,AO$2,A87)</f>
        <v>0</v>
      </c>
      <c r="AP87" s="32">
        <f>_xll.DBRW($C$1,$C$2,$C$3,$C$4,$C$6,$C$5,$C$7,AP$1,AP$2,A87)</f>
        <v>0</v>
      </c>
      <c r="AQ87" s="32">
        <f>_xll.DBRW($C$1,$C$2,$C$3,$C$4,$C$6,$C$5,$C$7,AQ$1,AQ$2,A87)</f>
        <v>0</v>
      </c>
      <c r="AR87" s="32">
        <f>_xll.DBRW($C$1,$C$2,$C$3,$C$4,$C$6,$C$5,$C$7,AR$1,AR$2,A87)</f>
        <v>0</v>
      </c>
      <c r="AS87" s="32">
        <f>_xll.DBRW($C$1,$C$2,$C$3,$C$4,$C$6,$C$5,$C$7,AS$1,AS$2,A87)</f>
        <v>0</v>
      </c>
      <c r="AT87" s="32">
        <f>_xll.DBRW($C$1,$C$2,$C$3,$C$4,$C$6,$C$5,$C$7,AT$1,AT$2,A87)</f>
        <v>0</v>
      </c>
      <c r="AU87" s="32">
        <f>_xll.DBRW($C$1,$C$2,$C$3,$C$4,$C$6,$C$5,$C$7,AU$1,AU$2,A87)</f>
        <v>0</v>
      </c>
    </row>
    <row r="88" spans="1:47" ht="15.75" hidden="1" outlineLevel="1">
      <c r="C88" s="143"/>
      <c r="E88" s="80" t="s">
        <v>29</v>
      </c>
      <c r="F88" s="33">
        <f t="shared" ref="F88:T88" si="45">SUM(F84:F87)</f>
        <v>-13426610479.920002</v>
      </c>
      <c r="G88" s="33">
        <f t="shared" si="45"/>
        <v>-10292178870.66</v>
      </c>
      <c r="H88" s="33">
        <f t="shared" si="45"/>
        <v>-13417213233.270002</v>
      </c>
      <c r="I88" s="33">
        <f t="shared" si="45"/>
        <v>-1343493635.1399999</v>
      </c>
      <c r="J88" s="33">
        <f t="shared" si="45"/>
        <v>-1396511043.9499998</v>
      </c>
      <c r="K88" s="33">
        <f t="shared" si="45"/>
        <v>-4378400081.4499989</v>
      </c>
      <c r="L88" s="33">
        <f t="shared" si="45"/>
        <v>-6101489218.1699982</v>
      </c>
      <c r="M88" s="33">
        <f t="shared" si="45"/>
        <v>-7818647929.6799994</v>
      </c>
      <c r="N88" s="33">
        <f t="shared" si="45"/>
        <v>-9707873301.8599987</v>
      </c>
      <c r="O88" s="33">
        <f t="shared" si="45"/>
        <v>-11533230828.069998</v>
      </c>
      <c r="P88" s="33">
        <f t="shared" si="45"/>
        <v>-13940058009.909996</v>
      </c>
      <c r="Q88" s="33">
        <f t="shared" si="45"/>
        <v>-16153072335.429996</v>
      </c>
      <c r="R88" s="33">
        <f t="shared" si="45"/>
        <v>-18270567119.109997</v>
      </c>
      <c r="S88" s="33">
        <f t="shared" si="45"/>
        <v>-20835236770.369999</v>
      </c>
      <c r="T88" s="33">
        <f t="shared" si="45"/>
        <v>-23292530989.959999</v>
      </c>
      <c r="U88" s="33">
        <f>SUM(U84:U87)</f>
        <v>-23292530989.959999</v>
      </c>
      <c r="V88" s="33">
        <f t="shared" ref="V88:AG88" si="46">SUM(V84:V87)</f>
        <v>0</v>
      </c>
      <c r="W88" s="33">
        <f t="shared" si="46"/>
        <v>0</v>
      </c>
      <c r="X88" s="33">
        <f t="shared" si="46"/>
        <v>0</v>
      </c>
      <c r="Y88" s="33">
        <f t="shared" si="46"/>
        <v>0</v>
      </c>
      <c r="Z88" s="33">
        <f t="shared" si="46"/>
        <v>0</v>
      </c>
      <c r="AA88" s="33">
        <f t="shared" si="46"/>
        <v>0</v>
      </c>
      <c r="AB88" s="33">
        <f t="shared" si="46"/>
        <v>0</v>
      </c>
      <c r="AC88" s="33">
        <f t="shared" si="46"/>
        <v>0</v>
      </c>
      <c r="AD88" s="33">
        <f t="shared" si="46"/>
        <v>0</v>
      </c>
      <c r="AE88" s="33">
        <f t="shared" si="46"/>
        <v>0</v>
      </c>
      <c r="AF88" s="33">
        <f t="shared" si="46"/>
        <v>0</v>
      </c>
      <c r="AG88" s="33">
        <f t="shared" si="46"/>
        <v>0</v>
      </c>
      <c r="AH88" s="33">
        <f>SUM(AH84:AH87)</f>
        <v>0</v>
      </c>
      <c r="AI88" s="33">
        <f t="shared" ref="AI88:AT88" si="47">SUM(AI84:AI87)</f>
        <v>0</v>
      </c>
      <c r="AJ88" s="33">
        <f t="shared" si="47"/>
        <v>0</v>
      </c>
      <c r="AK88" s="33">
        <f t="shared" si="47"/>
        <v>0</v>
      </c>
      <c r="AL88" s="33">
        <f t="shared" si="47"/>
        <v>0</v>
      </c>
      <c r="AM88" s="33">
        <f t="shared" si="47"/>
        <v>0</v>
      </c>
      <c r="AN88" s="33">
        <f t="shared" si="47"/>
        <v>0</v>
      </c>
      <c r="AO88" s="33">
        <f t="shared" si="47"/>
        <v>0</v>
      </c>
      <c r="AP88" s="33">
        <f t="shared" si="47"/>
        <v>0</v>
      </c>
      <c r="AQ88" s="33">
        <f t="shared" si="47"/>
        <v>0</v>
      </c>
      <c r="AR88" s="33">
        <f t="shared" si="47"/>
        <v>0</v>
      </c>
      <c r="AS88" s="33">
        <f t="shared" si="47"/>
        <v>0</v>
      </c>
      <c r="AT88" s="33">
        <f t="shared" si="47"/>
        <v>0</v>
      </c>
      <c r="AU88" s="33">
        <f>SUM(AU84:AU87)</f>
        <v>0</v>
      </c>
    </row>
    <row r="89" spans="1:47" ht="15.75" hidden="1" customHeight="1" outlineLevel="2">
      <c r="A89" s="1" t="s">
        <v>177</v>
      </c>
      <c r="C89" s="143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-68314802.36999999</v>
      </c>
      <c r="G89" s="32">
        <f>_xll.DBRW($C$1,$C$2,$C$3,$C$4,$C$6,$C$5,$C$7,G$1,G$2,A89)</f>
        <v>-62731941.949999996</v>
      </c>
      <c r="H89" s="32">
        <f>_xll.DBRW($C$1,$C$2,$C$3,$C$4,$C$6,$C$5,$C$7,H$1,H$2,A89)</f>
        <v>-72844989.920000002</v>
      </c>
      <c r="I89" s="32">
        <f>_xll.DBRW($C$1,$C$2,$C$3,$C$4,$C$6,$C$5,$C$7,I$1,I$2,A89)</f>
        <v>-547052.44000000006</v>
      </c>
      <c r="J89" s="32">
        <f>_xll.DBRW($C$1,$C$2,$C$3,$C$4,$C$6,$C$5,$C$7,J$1,J$2,A89)</f>
        <v>-13262427.1</v>
      </c>
      <c r="K89" s="32">
        <f>_xll.DBRW($C$1,$C$2,$C$3,$C$4,$C$6,$C$5,$C$7,K$1,K$2,A89)</f>
        <v>-23207026.689999998</v>
      </c>
      <c r="L89" s="32">
        <f>_xll.DBRW($C$1,$C$2,$C$3,$C$4,$C$6,$C$5,$C$7,L$1,L$2,A89)</f>
        <v>-36804934.309999995</v>
      </c>
      <c r="M89" s="32">
        <f>_xll.DBRW($C$1,$C$2,$C$3,$C$4,$C$6,$C$5,$C$7,M$1,M$2,A89)</f>
        <v>-187641686.38999999</v>
      </c>
      <c r="N89" s="32">
        <f>_xll.DBRW($C$1,$C$2,$C$3,$C$4,$C$6,$C$5,$C$7,N$1,N$2,A89)</f>
        <v>-226337347.53</v>
      </c>
      <c r="O89" s="32">
        <f>_xll.DBRW($C$1,$C$2,$C$3,$C$4,$C$6,$C$5,$C$7,O$1,O$2,A89)</f>
        <v>-5007137.1399999857</v>
      </c>
      <c r="P89" s="32">
        <f>_xll.DBRW($C$1,$C$2,$C$3,$C$4,$C$6,$C$5,$C$7,P$1,P$2,A89)</f>
        <v>-307247166.38</v>
      </c>
      <c r="Q89" s="32">
        <f>_xll.DBRW($C$1,$C$2,$C$3,$C$4,$C$6,$C$5,$C$7,Q$1,Q$2,A89)</f>
        <v>-333029752.68000001</v>
      </c>
      <c r="R89" s="32">
        <f>_xll.DBRW($C$1,$C$2,$C$3,$C$4,$C$6,$C$5,$C$7,R$1,R$2,A89)</f>
        <v>-7389455.7099999748</v>
      </c>
      <c r="S89" s="32">
        <f>_xll.DBRW($C$1,$C$2,$C$3,$C$4,$C$6,$C$5,$C$7,S$1,S$2,A89)</f>
        <v>-8430560.449999975</v>
      </c>
      <c r="T89" s="32">
        <f>_xll.DBRW($C$1,$C$2,$C$3,$C$4,$C$6,$C$5,$C$7,T$1,T$2,A89)</f>
        <v>-515918470.14999992</v>
      </c>
      <c r="U89" s="32">
        <f>_xll.DBRW($C$1,$C$2,$C$3,$C$4,$C$6,$C$5,$C$7,U$1,U$2,A89)</f>
        <v>-515918470.14999992</v>
      </c>
      <c r="V89" s="32">
        <f>_xll.DBRW($C$1,$C$2,$C$3,$C$4,$C$6,$C$5,$C$7,V$1,V$2,A89)</f>
        <v>0</v>
      </c>
      <c r="W89" s="32">
        <f>_xll.DBRW($C$1,$C$2,$C$3,$C$4,$C$6,$C$5,$C$7,W$1,W$2,A89)</f>
        <v>0</v>
      </c>
      <c r="X89" s="32">
        <f>_xll.DBRW($C$1,$C$2,$C$3,$C$4,$C$6,$C$5,$C$7,X$1,X$2,A89)</f>
        <v>0</v>
      </c>
      <c r="Y89" s="32">
        <f>_xll.DBRW($C$1,$C$2,$C$3,$C$4,$C$6,$C$5,$C$7,Y$1,Y$2,A89)</f>
        <v>0</v>
      </c>
      <c r="Z89" s="32">
        <f>_xll.DBRW($C$1,$C$2,$C$3,$C$4,$C$6,$C$5,$C$7,Z$1,Z$2,A89)</f>
        <v>0</v>
      </c>
      <c r="AA89" s="32">
        <f>_xll.DBRW($C$1,$C$2,$C$3,$C$4,$C$6,$C$5,$C$7,AA$1,AA$2,A89)</f>
        <v>0</v>
      </c>
      <c r="AB89" s="32">
        <f>_xll.DBRW($C$1,$C$2,$C$3,$C$4,$C$6,$C$5,$C$7,AB$1,AB$2,A89)</f>
        <v>0</v>
      </c>
      <c r="AC89" s="32">
        <f>_xll.DBRW($C$1,$C$2,$C$3,$C$4,$C$6,$C$5,$C$7,AC$1,AC$2,A89)</f>
        <v>0</v>
      </c>
      <c r="AD89" s="32">
        <f>_xll.DBRW($C$1,$C$2,$C$3,$C$4,$C$6,$C$5,$C$7,AD$1,AD$2,A89)</f>
        <v>0</v>
      </c>
      <c r="AE89" s="32">
        <f>_xll.DBRW($C$1,$C$2,$C$3,$C$4,$C$6,$C$5,$C$7,AE$1,AE$2,A89)</f>
        <v>0</v>
      </c>
      <c r="AF89" s="32">
        <f>_xll.DBRW($C$1,$C$2,$C$3,$C$4,$C$6,$C$5,$C$7,AF$1,AF$2,A89)</f>
        <v>0</v>
      </c>
      <c r="AG89" s="32">
        <f>_xll.DBRW($C$1,$C$2,$C$3,$C$4,$C$6,$C$5,$C$7,AG$1,AG$2,A89)</f>
        <v>0</v>
      </c>
      <c r="AH89" s="32">
        <f>_xll.DBRW($C$1,$C$2,$C$3,$C$4,$C$6,$C$5,$C$7,AH$1,AH$2,A89)</f>
        <v>0</v>
      </c>
      <c r="AI89" s="32">
        <f>_xll.DBRW($C$1,$C$2,$C$3,$C$4,$C$6,$C$5,$C$7,AI$1,AI$2,A89)</f>
        <v>0</v>
      </c>
      <c r="AJ89" s="32">
        <f>_xll.DBRW($C$1,$C$2,$C$3,$C$4,$C$6,$C$5,$C$7,AJ$1,AJ$2,A89)</f>
        <v>0</v>
      </c>
      <c r="AK89" s="32">
        <f>_xll.DBRW($C$1,$C$2,$C$3,$C$4,$C$6,$C$5,$C$7,AK$1,AK$2,A89)</f>
        <v>0</v>
      </c>
      <c r="AL89" s="32">
        <f>_xll.DBRW($C$1,$C$2,$C$3,$C$4,$C$6,$C$5,$C$7,AL$1,AL$2,A89)</f>
        <v>0</v>
      </c>
      <c r="AM89" s="32">
        <f>_xll.DBRW($C$1,$C$2,$C$3,$C$4,$C$6,$C$5,$C$7,AM$1,AM$2,A89)</f>
        <v>0</v>
      </c>
      <c r="AN89" s="32">
        <f>_xll.DBRW($C$1,$C$2,$C$3,$C$4,$C$6,$C$5,$C$7,AN$1,AN$2,A89)</f>
        <v>0</v>
      </c>
      <c r="AO89" s="32">
        <f>_xll.DBRW($C$1,$C$2,$C$3,$C$4,$C$6,$C$5,$C$7,AO$1,AO$2,A89)</f>
        <v>0</v>
      </c>
      <c r="AP89" s="32">
        <f>_xll.DBRW($C$1,$C$2,$C$3,$C$4,$C$6,$C$5,$C$7,AP$1,AP$2,A89)</f>
        <v>0</v>
      </c>
      <c r="AQ89" s="32">
        <f>_xll.DBRW($C$1,$C$2,$C$3,$C$4,$C$6,$C$5,$C$7,AQ$1,AQ$2,A89)</f>
        <v>0</v>
      </c>
      <c r="AR89" s="32">
        <f>_xll.DBRW($C$1,$C$2,$C$3,$C$4,$C$6,$C$5,$C$7,AR$1,AR$2,A89)</f>
        <v>0</v>
      </c>
      <c r="AS89" s="32">
        <f>_xll.DBRW($C$1,$C$2,$C$3,$C$4,$C$6,$C$5,$C$7,AS$1,AS$2,A89)</f>
        <v>0</v>
      </c>
      <c r="AT89" s="32">
        <f>_xll.DBRW($C$1,$C$2,$C$3,$C$4,$C$6,$C$5,$C$7,AT$1,AT$2,A89)</f>
        <v>0</v>
      </c>
      <c r="AU89" s="32">
        <f>_xll.DBRW($C$1,$C$2,$C$3,$C$4,$C$6,$C$5,$C$7,AU$1,AU$2,A89)</f>
        <v>0</v>
      </c>
    </row>
    <row r="90" spans="1:47" ht="15.75" hidden="1" customHeight="1" outlineLevel="2">
      <c r="A90" s="1" t="s">
        <v>178</v>
      </c>
      <c r="C90" s="143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197101.22000000003</v>
      </c>
      <c r="G90" s="32">
        <f>_xll.DBRW($C$1,$C$2,$C$3,$C$4,$C$6,$C$5,$C$7,G$1,G$2,A90)</f>
        <v>174477.3</v>
      </c>
      <c r="H90" s="32">
        <f>_xll.DBRW($C$1,$C$2,$C$3,$C$4,$C$6,$C$5,$C$7,H$1,H$2,A90)</f>
        <v>25715.439999999999</v>
      </c>
      <c r="I90" s="32">
        <f>_xll.DBRW($C$1,$C$2,$C$3,$C$4,$C$6,$C$5,$C$7,I$1,I$2,A90)</f>
        <v>3139.45</v>
      </c>
      <c r="J90" s="32">
        <f>_xll.DBRW($C$1,$C$2,$C$3,$C$4,$C$6,$C$5,$C$7,J$1,J$2,A90)</f>
        <v>4411.4699999999993</v>
      </c>
      <c r="K90" s="32">
        <f>_xll.DBRW($C$1,$C$2,$C$3,$C$4,$C$6,$C$5,$C$7,K$1,K$2,A90)</f>
        <v>7648.4499999999989</v>
      </c>
      <c r="L90" s="32">
        <f>_xll.DBRW($C$1,$C$2,$C$3,$C$4,$C$6,$C$5,$C$7,L$1,L$2,A90)</f>
        <v>9561.4199999999983</v>
      </c>
      <c r="M90" s="32">
        <f>_xll.DBRW($C$1,$C$2,$C$3,$C$4,$C$6,$C$5,$C$7,M$1,M$2,A90)</f>
        <v>13173.549999999997</v>
      </c>
      <c r="N90" s="32">
        <f>_xll.DBRW($C$1,$C$2,$C$3,$C$4,$C$6,$C$5,$C$7,N$1,N$2,A90)</f>
        <v>16236.679999999998</v>
      </c>
      <c r="O90" s="32">
        <f>_xll.DBRW($C$1,$C$2,$C$3,$C$4,$C$6,$C$5,$C$7,O$1,O$2,A90)</f>
        <v>17992.949999999997</v>
      </c>
      <c r="P90" s="32">
        <f>_xll.DBRW($C$1,$C$2,$C$3,$C$4,$C$6,$C$5,$C$7,P$1,P$2,A90)</f>
        <v>64345.359999999993</v>
      </c>
      <c r="Q90" s="32">
        <f>_xll.DBRW($C$1,$C$2,$C$3,$C$4,$C$6,$C$5,$C$7,Q$1,Q$2,A90)</f>
        <v>72465.72</v>
      </c>
      <c r="R90" s="32">
        <f>_xll.DBRW($C$1,$C$2,$C$3,$C$4,$C$6,$C$5,$C$7,R$1,R$2,A90)</f>
        <v>48012.609999999993</v>
      </c>
      <c r="S90" s="32">
        <f>_xll.DBRW($C$1,$C$2,$C$3,$C$4,$C$6,$C$5,$C$7,S$1,S$2,A90)</f>
        <v>86219.159999999989</v>
      </c>
      <c r="T90" s="32">
        <f>_xll.DBRW($C$1,$C$2,$C$3,$C$4,$C$6,$C$5,$C$7,T$1,T$2,A90)</f>
        <v>51361.62999999999</v>
      </c>
      <c r="U90" s="32">
        <f>_xll.DBRW($C$1,$C$2,$C$3,$C$4,$C$6,$C$5,$C$7,U$1,U$2,A90)</f>
        <v>51361.62999999999</v>
      </c>
      <c r="V90" s="32">
        <f>_xll.DBRW($C$1,$C$2,$C$3,$C$4,$C$6,$C$5,$C$7,V$1,V$2,A90)</f>
        <v>0</v>
      </c>
      <c r="W90" s="32">
        <f>_xll.DBRW($C$1,$C$2,$C$3,$C$4,$C$6,$C$5,$C$7,W$1,W$2,A90)</f>
        <v>0</v>
      </c>
      <c r="X90" s="32">
        <f>_xll.DBRW($C$1,$C$2,$C$3,$C$4,$C$6,$C$5,$C$7,X$1,X$2,A90)</f>
        <v>0</v>
      </c>
      <c r="Y90" s="32">
        <f>_xll.DBRW($C$1,$C$2,$C$3,$C$4,$C$6,$C$5,$C$7,Y$1,Y$2,A90)</f>
        <v>0</v>
      </c>
      <c r="Z90" s="32">
        <f>_xll.DBRW($C$1,$C$2,$C$3,$C$4,$C$6,$C$5,$C$7,Z$1,Z$2,A90)</f>
        <v>0</v>
      </c>
      <c r="AA90" s="32">
        <f>_xll.DBRW($C$1,$C$2,$C$3,$C$4,$C$6,$C$5,$C$7,AA$1,AA$2,A90)</f>
        <v>0</v>
      </c>
      <c r="AB90" s="32">
        <f>_xll.DBRW($C$1,$C$2,$C$3,$C$4,$C$6,$C$5,$C$7,AB$1,AB$2,A90)</f>
        <v>0</v>
      </c>
      <c r="AC90" s="32">
        <f>_xll.DBRW($C$1,$C$2,$C$3,$C$4,$C$6,$C$5,$C$7,AC$1,AC$2,A90)</f>
        <v>0</v>
      </c>
      <c r="AD90" s="32">
        <f>_xll.DBRW($C$1,$C$2,$C$3,$C$4,$C$6,$C$5,$C$7,AD$1,AD$2,A90)</f>
        <v>0</v>
      </c>
      <c r="AE90" s="32">
        <f>_xll.DBRW($C$1,$C$2,$C$3,$C$4,$C$6,$C$5,$C$7,AE$1,AE$2,A90)</f>
        <v>0</v>
      </c>
      <c r="AF90" s="32">
        <f>_xll.DBRW($C$1,$C$2,$C$3,$C$4,$C$6,$C$5,$C$7,AF$1,AF$2,A90)</f>
        <v>0</v>
      </c>
      <c r="AG90" s="32">
        <f>_xll.DBRW($C$1,$C$2,$C$3,$C$4,$C$6,$C$5,$C$7,AG$1,AG$2,A90)</f>
        <v>0</v>
      </c>
      <c r="AH90" s="32">
        <f>_xll.DBRW($C$1,$C$2,$C$3,$C$4,$C$6,$C$5,$C$7,AH$1,AH$2,A90)</f>
        <v>0</v>
      </c>
      <c r="AI90" s="32">
        <f>_xll.DBRW($C$1,$C$2,$C$3,$C$4,$C$6,$C$5,$C$7,AI$1,AI$2,A90)</f>
        <v>0</v>
      </c>
      <c r="AJ90" s="32">
        <f>_xll.DBRW($C$1,$C$2,$C$3,$C$4,$C$6,$C$5,$C$7,AJ$1,AJ$2,A90)</f>
        <v>0</v>
      </c>
      <c r="AK90" s="32">
        <f>_xll.DBRW($C$1,$C$2,$C$3,$C$4,$C$6,$C$5,$C$7,AK$1,AK$2,A90)</f>
        <v>0</v>
      </c>
      <c r="AL90" s="32">
        <f>_xll.DBRW($C$1,$C$2,$C$3,$C$4,$C$6,$C$5,$C$7,AL$1,AL$2,A90)</f>
        <v>0</v>
      </c>
      <c r="AM90" s="32">
        <f>_xll.DBRW($C$1,$C$2,$C$3,$C$4,$C$6,$C$5,$C$7,AM$1,AM$2,A90)</f>
        <v>0</v>
      </c>
      <c r="AN90" s="32">
        <f>_xll.DBRW($C$1,$C$2,$C$3,$C$4,$C$6,$C$5,$C$7,AN$1,AN$2,A90)</f>
        <v>0</v>
      </c>
      <c r="AO90" s="32">
        <f>_xll.DBRW($C$1,$C$2,$C$3,$C$4,$C$6,$C$5,$C$7,AO$1,AO$2,A90)</f>
        <v>0</v>
      </c>
      <c r="AP90" s="32">
        <f>_xll.DBRW($C$1,$C$2,$C$3,$C$4,$C$6,$C$5,$C$7,AP$1,AP$2,A90)</f>
        <v>0</v>
      </c>
      <c r="AQ90" s="32">
        <f>_xll.DBRW($C$1,$C$2,$C$3,$C$4,$C$6,$C$5,$C$7,AQ$1,AQ$2,A90)</f>
        <v>0</v>
      </c>
      <c r="AR90" s="32">
        <f>_xll.DBRW($C$1,$C$2,$C$3,$C$4,$C$6,$C$5,$C$7,AR$1,AR$2,A90)</f>
        <v>0</v>
      </c>
      <c r="AS90" s="32">
        <f>_xll.DBRW($C$1,$C$2,$C$3,$C$4,$C$6,$C$5,$C$7,AS$1,AS$2,A90)</f>
        <v>0</v>
      </c>
      <c r="AT90" s="32">
        <f>_xll.DBRW($C$1,$C$2,$C$3,$C$4,$C$6,$C$5,$C$7,AT$1,AT$2,A90)</f>
        <v>0</v>
      </c>
      <c r="AU90" s="32">
        <f>_xll.DBRW($C$1,$C$2,$C$3,$C$4,$C$6,$C$5,$C$7,AU$1,AU$2,A90)</f>
        <v>0</v>
      </c>
    </row>
    <row r="91" spans="1:47" ht="15.75" hidden="1" outlineLevel="1">
      <c r="A91" s="1" t="s">
        <v>177</v>
      </c>
      <c r="C91" s="143"/>
      <c r="E91" s="80" t="s">
        <v>30</v>
      </c>
      <c r="F91" s="33">
        <f t="shared" ref="F91:T91" si="48">SUM(F89:F90)</f>
        <v>-68117701.149999991</v>
      </c>
      <c r="G91" s="33">
        <f t="shared" si="48"/>
        <v>-62557464.649999999</v>
      </c>
      <c r="H91" s="33">
        <f t="shared" si="48"/>
        <v>-72819274.480000004</v>
      </c>
      <c r="I91" s="33">
        <f t="shared" si="48"/>
        <v>-543912.99000000011</v>
      </c>
      <c r="J91" s="33">
        <f t="shared" si="48"/>
        <v>-13258015.629999999</v>
      </c>
      <c r="K91" s="33">
        <f t="shared" si="48"/>
        <v>-23199378.239999998</v>
      </c>
      <c r="L91" s="33">
        <f t="shared" si="48"/>
        <v>-36795372.889999993</v>
      </c>
      <c r="M91" s="33">
        <f t="shared" si="48"/>
        <v>-187628512.83999997</v>
      </c>
      <c r="N91" s="33">
        <f t="shared" si="48"/>
        <v>-226321110.84999999</v>
      </c>
      <c r="O91" s="33">
        <f t="shared" si="48"/>
        <v>-4989144.1899999855</v>
      </c>
      <c r="P91" s="33">
        <f t="shared" si="48"/>
        <v>-307182821.01999998</v>
      </c>
      <c r="Q91" s="33">
        <f t="shared" si="48"/>
        <v>-332957286.95999998</v>
      </c>
      <c r="R91" s="33">
        <f t="shared" si="48"/>
        <v>-7341443.0999999745</v>
      </c>
      <c r="S91" s="33">
        <f t="shared" si="48"/>
        <v>-8344341.2899999749</v>
      </c>
      <c r="T91" s="33">
        <f t="shared" si="48"/>
        <v>-515867108.51999992</v>
      </c>
      <c r="U91" s="33">
        <f>SUM(U89:U90)</f>
        <v>-515867108.51999992</v>
      </c>
      <c r="V91" s="33">
        <f>SUM(V89:V90)</f>
        <v>0</v>
      </c>
      <c r="W91" s="33">
        <f t="shared" ref="W91:AG91" si="49">SUM(W89:W90)</f>
        <v>0</v>
      </c>
      <c r="X91" s="33">
        <f t="shared" si="49"/>
        <v>0</v>
      </c>
      <c r="Y91" s="33">
        <f t="shared" si="49"/>
        <v>0</v>
      </c>
      <c r="Z91" s="33">
        <f t="shared" si="49"/>
        <v>0</v>
      </c>
      <c r="AA91" s="33">
        <f t="shared" si="49"/>
        <v>0</v>
      </c>
      <c r="AB91" s="33">
        <f t="shared" si="49"/>
        <v>0</v>
      </c>
      <c r="AC91" s="33">
        <f t="shared" si="49"/>
        <v>0</v>
      </c>
      <c r="AD91" s="33">
        <f t="shared" si="49"/>
        <v>0</v>
      </c>
      <c r="AE91" s="33">
        <f t="shared" si="49"/>
        <v>0</v>
      </c>
      <c r="AF91" s="33">
        <f t="shared" si="49"/>
        <v>0</v>
      </c>
      <c r="AG91" s="33">
        <f t="shared" si="49"/>
        <v>0</v>
      </c>
      <c r="AH91" s="33">
        <f>SUM(AH89:AH90)</f>
        <v>0</v>
      </c>
      <c r="AI91" s="33">
        <f>SUM(AI89:AI90)</f>
        <v>0</v>
      </c>
      <c r="AJ91" s="33">
        <f t="shared" ref="AJ91:AT91" si="50">SUM(AJ89:AJ90)</f>
        <v>0</v>
      </c>
      <c r="AK91" s="33">
        <f t="shared" si="50"/>
        <v>0</v>
      </c>
      <c r="AL91" s="33">
        <f t="shared" si="50"/>
        <v>0</v>
      </c>
      <c r="AM91" s="33">
        <f t="shared" si="50"/>
        <v>0</v>
      </c>
      <c r="AN91" s="33">
        <f t="shared" si="50"/>
        <v>0</v>
      </c>
      <c r="AO91" s="33">
        <f t="shared" si="50"/>
        <v>0</v>
      </c>
      <c r="AP91" s="33">
        <f t="shared" si="50"/>
        <v>0</v>
      </c>
      <c r="AQ91" s="33">
        <f t="shared" si="50"/>
        <v>0</v>
      </c>
      <c r="AR91" s="33">
        <f t="shared" si="50"/>
        <v>0</v>
      </c>
      <c r="AS91" s="33">
        <f t="shared" si="50"/>
        <v>0</v>
      </c>
      <c r="AT91" s="33">
        <f t="shared" si="50"/>
        <v>0</v>
      </c>
      <c r="AU91" s="33">
        <f>SUM(AU89:AU90)</f>
        <v>0</v>
      </c>
    </row>
    <row r="92" spans="1:47" ht="15.75" hidden="1" customHeight="1" outlineLevel="2">
      <c r="A92" s="1" t="s">
        <v>179</v>
      </c>
      <c r="C92" s="143"/>
      <c r="E92" s="9" t="str">
        <f>_xll.DBRW(Server&amp;"}ElementAttributes_Indicator",A92,"code_English")</f>
        <v>PL1115_ET_82 - Gas</v>
      </c>
      <c r="F92" s="32">
        <f>_xll.DBRW($C$1,$C$2,$C$3,$C$4,$C$6,$C$5,$C$7,F$1,F$2,A92)</f>
        <v>-165249541.92339998</v>
      </c>
      <c r="G92" s="32">
        <f>_xll.DBRW($C$1,$C$2,$C$3,$C$4,$C$6,$C$5,$C$7,G$1,G$2,A92)</f>
        <v>-113403887.44919999</v>
      </c>
      <c r="H92" s="32">
        <f>_xll.DBRW($C$1,$C$2,$C$3,$C$4,$C$6,$C$5,$C$7,H$1,H$2,A92)</f>
        <v>-109603392.10619999</v>
      </c>
      <c r="I92" s="32">
        <f>_xll.DBRW($C$1,$C$2,$C$3,$C$4,$C$6,$C$5,$C$7,I$1,I$2,A92)</f>
        <v>-1174863.2412</v>
      </c>
      <c r="J92" s="32">
        <f>_xll.DBRW($C$1,$C$2,$C$3,$C$4,$C$6,$C$5,$C$7,J$1,J$2,A92)</f>
        <v>-25254404.737999998</v>
      </c>
      <c r="K92" s="32">
        <f>_xll.DBRW($C$1,$C$2,$C$3,$C$4,$C$6,$C$5,$C$7,K$1,K$2,A92)</f>
        <v>-39944302.547999993</v>
      </c>
      <c r="L92" s="32">
        <f>_xll.DBRW($C$1,$C$2,$C$3,$C$4,$C$6,$C$5,$C$7,L$1,L$2,A92)</f>
        <v>-49309949.121399991</v>
      </c>
      <c r="M92" s="32">
        <f>_xll.DBRW($C$1,$C$2,$C$3,$C$4,$C$6,$C$5,$C$7,M$1,M$2,A92)</f>
        <v>-70913605.665399998</v>
      </c>
      <c r="N92" s="32">
        <f>_xll.DBRW($C$1,$C$2,$C$3,$C$4,$C$6,$C$5,$C$7,N$1,N$2,A92)</f>
        <v>-83849476.430399999</v>
      </c>
      <c r="O92" s="32">
        <f>_xll.DBRW($C$1,$C$2,$C$3,$C$4,$C$6,$C$5,$C$7,O$1,O$2,A92)</f>
        <v>-30047213.141599998</v>
      </c>
      <c r="P92" s="32">
        <f>_xll.DBRW($C$1,$C$2,$C$3,$C$4,$C$6,$C$5,$C$7,P$1,P$2,A92)</f>
        <v>-112688013.24339999</v>
      </c>
      <c r="Q92" s="32">
        <f>_xll.DBRW($C$1,$C$2,$C$3,$C$4,$C$6,$C$5,$C$7,Q$1,Q$2,A92)</f>
        <v>-131324592.03039999</v>
      </c>
      <c r="R92" s="32">
        <f>_xll.DBRW($C$1,$C$2,$C$3,$C$4,$C$6,$C$5,$C$7,R$1,R$2,A92)</f>
        <v>-46075786.180399999</v>
      </c>
      <c r="S92" s="32">
        <f>_xll.DBRW($C$1,$C$2,$C$3,$C$4,$C$6,$C$5,$C$7,S$1,S$2,A92)</f>
        <v>-56294826.177399993</v>
      </c>
      <c r="T92" s="32">
        <f>_xll.DBRW($C$1,$C$2,$C$3,$C$4,$C$6,$C$5,$C$7,T$1,T$2,A92)</f>
        <v>-188188259.63140002</v>
      </c>
      <c r="U92" s="32">
        <f>_xll.DBRW($C$1,$C$2,$C$3,$C$4,$C$6,$C$5,$C$7,U$1,U$2,A92)</f>
        <v>-188188259.63140002</v>
      </c>
      <c r="V92" s="32">
        <f>_xll.DBRW($C$1,$C$2,$C$3,$C$4,$C$6,$C$5,$C$7,V$1,V$2,A92)</f>
        <v>0</v>
      </c>
      <c r="W92" s="32">
        <f>_xll.DBRW($C$1,$C$2,$C$3,$C$4,$C$6,$C$5,$C$7,W$1,W$2,A92)</f>
        <v>0</v>
      </c>
      <c r="X92" s="32">
        <f>_xll.DBRW($C$1,$C$2,$C$3,$C$4,$C$6,$C$5,$C$7,X$1,X$2,A92)</f>
        <v>0</v>
      </c>
      <c r="Y92" s="32">
        <f>_xll.DBRW($C$1,$C$2,$C$3,$C$4,$C$6,$C$5,$C$7,Y$1,Y$2,A92)</f>
        <v>0</v>
      </c>
      <c r="Z92" s="32">
        <f>_xll.DBRW($C$1,$C$2,$C$3,$C$4,$C$6,$C$5,$C$7,Z$1,Z$2,A92)</f>
        <v>0</v>
      </c>
      <c r="AA92" s="32">
        <f>_xll.DBRW($C$1,$C$2,$C$3,$C$4,$C$6,$C$5,$C$7,AA$1,AA$2,A92)</f>
        <v>0</v>
      </c>
      <c r="AB92" s="32">
        <f>_xll.DBRW($C$1,$C$2,$C$3,$C$4,$C$6,$C$5,$C$7,AB$1,AB$2,A92)</f>
        <v>0</v>
      </c>
      <c r="AC92" s="32">
        <f>_xll.DBRW($C$1,$C$2,$C$3,$C$4,$C$6,$C$5,$C$7,AC$1,AC$2,A92)</f>
        <v>0</v>
      </c>
      <c r="AD92" s="32">
        <f>_xll.DBRW($C$1,$C$2,$C$3,$C$4,$C$6,$C$5,$C$7,AD$1,AD$2,A92)</f>
        <v>0</v>
      </c>
      <c r="AE92" s="32">
        <f>_xll.DBRW($C$1,$C$2,$C$3,$C$4,$C$6,$C$5,$C$7,AE$1,AE$2,A92)</f>
        <v>0</v>
      </c>
      <c r="AF92" s="32">
        <f>_xll.DBRW($C$1,$C$2,$C$3,$C$4,$C$6,$C$5,$C$7,AF$1,AF$2,A92)</f>
        <v>0</v>
      </c>
      <c r="AG92" s="32">
        <f>_xll.DBRW($C$1,$C$2,$C$3,$C$4,$C$6,$C$5,$C$7,AG$1,AG$2,A92)</f>
        <v>0</v>
      </c>
      <c r="AH92" s="32">
        <f>_xll.DBRW($C$1,$C$2,$C$3,$C$4,$C$6,$C$5,$C$7,AH$1,AH$2,A92)</f>
        <v>0</v>
      </c>
      <c r="AI92" s="32">
        <f>_xll.DBRW($C$1,$C$2,$C$3,$C$4,$C$6,$C$5,$C$7,AI$1,AI$2,A92)</f>
        <v>0</v>
      </c>
      <c r="AJ92" s="32">
        <f>_xll.DBRW($C$1,$C$2,$C$3,$C$4,$C$6,$C$5,$C$7,AJ$1,AJ$2,A92)</f>
        <v>0</v>
      </c>
      <c r="AK92" s="32">
        <f>_xll.DBRW($C$1,$C$2,$C$3,$C$4,$C$6,$C$5,$C$7,AK$1,AK$2,A92)</f>
        <v>0</v>
      </c>
      <c r="AL92" s="32">
        <f>_xll.DBRW($C$1,$C$2,$C$3,$C$4,$C$6,$C$5,$C$7,AL$1,AL$2,A92)</f>
        <v>0</v>
      </c>
      <c r="AM92" s="32">
        <f>_xll.DBRW($C$1,$C$2,$C$3,$C$4,$C$6,$C$5,$C$7,AM$1,AM$2,A92)</f>
        <v>0</v>
      </c>
      <c r="AN92" s="32">
        <f>_xll.DBRW($C$1,$C$2,$C$3,$C$4,$C$6,$C$5,$C$7,AN$1,AN$2,A92)</f>
        <v>0</v>
      </c>
      <c r="AO92" s="32">
        <f>_xll.DBRW($C$1,$C$2,$C$3,$C$4,$C$6,$C$5,$C$7,AO$1,AO$2,A92)</f>
        <v>0</v>
      </c>
      <c r="AP92" s="32">
        <f>_xll.DBRW($C$1,$C$2,$C$3,$C$4,$C$6,$C$5,$C$7,AP$1,AP$2,A92)</f>
        <v>0</v>
      </c>
      <c r="AQ92" s="32">
        <f>_xll.DBRW($C$1,$C$2,$C$3,$C$4,$C$6,$C$5,$C$7,AQ$1,AQ$2,A92)</f>
        <v>0</v>
      </c>
      <c r="AR92" s="32">
        <f>_xll.DBRW($C$1,$C$2,$C$3,$C$4,$C$6,$C$5,$C$7,AR$1,AR$2,A92)</f>
        <v>0</v>
      </c>
      <c r="AS92" s="32">
        <f>_xll.DBRW($C$1,$C$2,$C$3,$C$4,$C$6,$C$5,$C$7,AS$1,AS$2,A92)</f>
        <v>0</v>
      </c>
      <c r="AT92" s="32">
        <f>_xll.DBRW($C$1,$C$2,$C$3,$C$4,$C$6,$C$5,$C$7,AT$1,AT$2,A92)</f>
        <v>0</v>
      </c>
      <c r="AU92" s="32">
        <f>_xll.DBRW($C$1,$C$2,$C$3,$C$4,$C$6,$C$5,$C$7,AU$1,AU$2,A92)</f>
        <v>0</v>
      </c>
    </row>
    <row r="93" spans="1:47" ht="15.75" hidden="1" customHeight="1" outlineLevel="2">
      <c r="A93" s="1" t="s">
        <v>180</v>
      </c>
      <c r="C93" s="143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0</v>
      </c>
      <c r="H93" s="32">
        <f>_xll.DBRW($C$1,$C$2,$C$3,$C$4,$C$6,$C$5,$C$7,H$1,H$2,A93)</f>
        <v>151763.58000000002</v>
      </c>
      <c r="I93" s="32">
        <f>_xll.DBRW($C$1,$C$2,$C$3,$C$4,$C$6,$C$5,$C$7,I$1,I$2,A93)</f>
        <v>0</v>
      </c>
      <c r="J93" s="32">
        <f>_xll.DBRW($C$1,$C$2,$C$3,$C$4,$C$6,$C$5,$C$7,J$1,J$2,A93)</f>
        <v>146724.76999999999</v>
      </c>
      <c r="K93" s="32">
        <f>_xll.DBRW($C$1,$C$2,$C$3,$C$4,$C$6,$C$5,$C$7,K$1,K$2,A93)</f>
        <v>146724.76999999999</v>
      </c>
      <c r="L93" s="32">
        <f>_xll.DBRW($C$1,$C$2,$C$3,$C$4,$C$6,$C$5,$C$7,L$1,L$2,A93)</f>
        <v>146724.76999999999</v>
      </c>
      <c r="M93" s="32">
        <f>_xll.DBRW($C$1,$C$2,$C$3,$C$4,$C$6,$C$5,$C$7,M$1,M$2,A93)</f>
        <v>399941.19</v>
      </c>
      <c r="N93" s="32">
        <f>_xll.DBRW($C$1,$C$2,$C$3,$C$4,$C$6,$C$5,$C$7,N$1,N$2,A93)</f>
        <v>431469.39999999997</v>
      </c>
      <c r="O93" s="32">
        <f>_xll.DBRW($C$1,$C$2,$C$3,$C$4,$C$6,$C$5,$C$7,O$1,O$2,A93)</f>
        <v>686916.86</v>
      </c>
      <c r="P93" s="32">
        <f>_xll.DBRW($C$1,$C$2,$C$3,$C$4,$C$6,$C$5,$C$7,P$1,P$2,A93)</f>
        <v>532689.87</v>
      </c>
      <c r="Q93" s="32">
        <f>_xll.DBRW($C$1,$C$2,$C$3,$C$4,$C$6,$C$5,$C$7,Q$1,Q$2,A93)</f>
        <v>615832.28999999992</v>
      </c>
      <c r="R93" s="32">
        <f>_xll.DBRW($C$1,$C$2,$C$3,$C$4,$C$6,$C$5,$C$7,R$1,R$2,A93)</f>
        <v>599768.28999999992</v>
      </c>
      <c r="S93" s="32">
        <f>_xll.DBRW($C$1,$C$2,$C$3,$C$4,$C$6,$C$5,$C$7,S$1,S$2,A93)</f>
        <v>767024.11999999988</v>
      </c>
      <c r="T93" s="32">
        <f>_xll.DBRW($C$1,$C$2,$C$3,$C$4,$C$6,$C$5,$C$7,T$1,T$2,A93)</f>
        <v>886750.45999999985</v>
      </c>
      <c r="U93" s="32">
        <f>_xll.DBRW($C$1,$C$2,$C$3,$C$4,$C$6,$C$5,$C$7,U$1,U$2,A93)</f>
        <v>886750.45999999985</v>
      </c>
      <c r="V93" s="32">
        <f>_xll.DBRW($C$1,$C$2,$C$3,$C$4,$C$6,$C$5,$C$7,V$1,V$2,A93)</f>
        <v>0</v>
      </c>
      <c r="W93" s="32">
        <f>_xll.DBRW($C$1,$C$2,$C$3,$C$4,$C$6,$C$5,$C$7,W$1,W$2,A93)</f>
        <v>0</v>
      </c>
      <c r="X93" s="32">
        <f>_xll.DBRW($C$1,$C$2,$C$3,$C$4,$C$6,$C$5,$C$7,X$1,X$2,A93)</f>
        <v>0</v>
      </c>
      <c r="Y93" s="32">
        <f>_xll.DBRW($C$1,$C$2,$C$3,$C$4,$C$6,$C$5,$C$7,Y$1,Y$2,A93)</f>
        <v>0</v>
      </c>
      <c r="Z93" s="32">
        <f>_xll.DBRW($C$1,$C$2,$C$3,$C$4,$C$6,$C$5,$C$7,Z$1,Z$2,A93)</f>
        <v>0</v>
      </c>
      <c r="AA93" s="32">
        <f>_xll.DBRW($C$1,$C$2,$C$3,$C$4,$C$6,$C$5,$C$7,AA$1,AA$2,A93)</f>
        <v>0</v>
      </c>
      <c r="AB93" s="32">
        <f>_xll.DBRW($C$1,$C$2,$C$3,$C$4,$C$6,$C$5,$C$7,AB$1,AB$2,A93)</f>
        <v>0</v>
      </c>
      <c r="AC93" s="32">
        <f>_xll.DBRW($C$1,$C$2,$C$3,$C$4,$C$6,$C$5,$C$7,AC$1,AC$2,A93)</f>
        <v>0</v>
      </c>
      <c r="AD93" s="32">
        <f>_xll.DBRW($C$1,$C$2,$C$3,$C$4,$C$6,$C$5,$C$7,AD$1,AD$2,A93)</f>
        <v>0</v>
      </c>
      <c r="AE93" s="32">
        <f>_xll.DBRW($C$1,$C$2,$C$3,$C$4,$C$6,$C$5,$C$7,AE$1,AE$2,A93)</f>
        <v>0</v>
      </c>
      <c r="AF93" s="32">
        <f>_xll.DBRW($C$1,$C$2,$C$3,$C$4,$C$6,$C$5,$C$7,AF$1,AF$2,A93)</f>
        <v>0</v>
      </c>
      <c r="AG93" s="32">
        <f>_xll.DBRW($C$1,$C$2,$C$3,$C$4,$C$6,$C$5,$C$7,AG$1,AG$2,A93)</f>
        <v>0</v>
      </c>
      <c r="AH93" s="32">
        <f>_xll.DBRW($C$1,$C$2,$C$3,$C$4,$C$6,$C$5,$C$7,AH$1,AH$2,A93)</f>
        <v>0</v>
      </c>
      <c r="AI93" s="32">
        <f>_xll.DBRW($C$1,$C$2,$C$3,$C$4,$C$6,$C$5,$C$7,AI$1,AI$2,A93)</f>
        <v>0</v>
      </c>
      <c r="AJ93" s="32">
        <f>_xll.DBRW($C$1,$C$2,$C$3,$C$4,$C$6,$C$5,$C$7,AJ$1,AJ$2,A93)</f>
        <v>0</v>
      </c>
      <c r="AK93" s="32">
        <f>_xll.DBRW($C$1,$C$2,$C$3,$C$4,$C$6,$C$5,$C$7,AK$1,AK$2,A93)</f>
        <v>0</v>
      </c>
      <c r="AL93" s="32">
        <f>_xll.DBRW($C$1,$C$2,$C$3,$C$4,$C$6,$C$5,$C$7,AL$1,AL$2,A93)</f>
        <v>0</v>
      </c>
      <c r="AM93" s="32">
        <f>_xll.DBRW($C$1,$C$2,$C$3,$C$4,$C$6,$C$5,$C$7,AM$1,AM$2,A93)</f>
        <v>0</v>
      </c>
      <c r="AN93" s="32">
        <f>_xll.DBRW($C$1,$C$2,$C$3,$C$4,$C$6,$C$5,$C$7,AN$1,AN$2,A93)</f>
        <v>0</v>
      </c>
      <c r="AO93" s="32">
        <f>_xll.DBRW($C$1,$C$2,$C$3,$C$4,$C$6,$C$5,$C$7,AO$1,AO$2,A93)</f>
        <v>0</v>
      </c>
      <c r="AP93" s="32">
        <f>_xll.DBRW($C$1,$C$2,$C$3,$C$4,$C$6,$C$5,$C$7,AP$1,AP$2,A93)</f>
        <v>0</v>
      </c>
      <c r="AQ93" s="32">
        <f>_xll.DBRW($C$1,$C$2,$C$3,$C$4,$C$6,$C$5,$C$7,AQ$1,AQ$2,A93)</f>
        <v>0</v>
      </c>
      <c r="AR93" s="32">
        <f>_xll.DBRW($C$1,$C$2,$C$3,$C$4,$C$6,$C$5,$C$7,AR$1,AR$2,A93)</f>
        <v>0</v>
      </c>
      <c r="AS93" s="32">
        <f>_xll.DBRW($C$1,$C$2,$C$3,$C$4,$C$6,$C$5,$C$7,AS$1,AS$2,A93)</f>
        <v>0</v>
      </c>
      <c r="AT93" s="32">
        <f>_xll.DBRW($C$1,$C$2,$C$3,$C$4,$C$6,$C$5,$C$7,AT$1,AT$2,A93)</f>
        <v>0</v>
      </c>
      <c r="AU93" s="32">
        <f>_xll.DBRW($C$1,$C$2,$C$3,$C$4,$C$6,$C$5,$C$7,AU$1,AU$2,A93)</f>
        <v>0</v>
      </c>
    </row>
    <row r="94" spans="1:47" ht="15.75" hidden="1" outlineLevel="1">
      <c r="A94" s="1" t="s">
        <v>127</v>
      </c>
      <c r="C94" s="143"/>
      <c r="E94" s="15" t="s">
        <v>31</v>
      </c>
      <c r="F94" s="33">
        <f t="shared" ref="F94:T94" si="51">SUM(F92:F93)</f>
        <v>-165249541.92339998</v>
      </c>
      <c r="G94" s="33">
        <f t="shared" si="51"/>
        <v>-113403887.44919999</v>
      </c>
      <c r="H94" s="33">
        <f t="shared" si="51"/>
        <v>-109451628.5262</v>
      </c>
      <c r="I94" s="33">
        <f t="shared" si="51"/>
        <v>-1174863.2412</v>
      </c>
      <c r="J94" s="33">
        <f t="shared" si="51"/>
        <v>-25107679.967999998</v>
      </c>
      <c r="K94" s="33">
        <f t="shared" si="51"/>
        <v>-39797577.77799999</v>
      </c>
      <c r="L94" s="33">
        <f t="shared" si="51"/>
        <v>-49163224.351399988</v>
      </c>
      <c r="M94" s="33">
        <f t="shared" si="51"/>
        <v>-70513664.475400001</v>
      </c>
      <c r="N94" s="33">
        <f t="shared" si="51"/>
        <v>-83418007.030399993</v>
      </c>
      <c r="O94" s="33">
        <f t="shared" si="51"/>
        <v>-29360296.281599998</v>
      </c>
      <c r="P94" s="33">
        <f t="shared" si="51"/>
        <v>-112155323.37339999</v>
      </c>
      <c r="Q94" s="33">
        <f t="shared" si="51"/>
        <v>-130708759.74039999</v>
      </c>
      <c r="R94" s="33">
        <f t="shared" si="51"/>
        <v>-45476017.8904</v>
      </c>
      <c r="S94" s="33">
        <f t="shared" si="51"/>
        <v>-55527802.057399996</v>
      </c>
      <c r="T94" s="33">
        <f t="shared" si="51"/>
        <v>-187301509.17140001</v>
      </c>
      <c r="U94" s="33">
        <f>SUM(U92:U93)</f>
        <v>-187301509.17140001</v>
      </c>
      <c r="V94" s="33">
        <f>SUM(V92:V93)</f>
        <v>0</v>
      </c>
      <c r="W94" s="33">
        <f t="shared" ref="W94:AG94" si="52">SUM(W92:W93)</f>
        <v>0</v>
      </c>
      <c r="X94" s="33">
        <f t="shared" si="52"/>
        <v>0</v>
      </c>
      <c r="Y94" s="33">
        <f t="shared" si="52"/>
        <v>0</v>
      </c>
      <c r="Z94" s="33">
        <f t="shared" si="52"/>
        <v>0</v>
      </c>
      <c r="AA94" s="33">
        <f t="shared" si="52"/>
        <v>0</v>
      </c>
      <c r="AB94" s="33">
        <f t="shared" si="52"/>
        <v>0</v>
      </c>
      <c r="AC94" s="33">
        <f t="shared" si="52"/>
        <v>0</v>
      </c>
      <c r="AD94" s="33">
        <f t="shared" si="52"/>
        <v>0</v>
      </c>
      <c r="AE94" s="33">
        <f t="shared" si="52"/>
        <v>0</v>
      </c>
      <c r="AF94" s="33">
        <f t="shared" si="52"/>
        <v>0</v>
      </c>
      <c r="AG94" s="33">
        <f t="shared" si="52"/>
        <v>0</v>
      </c>
      <c r="AH94" s="33">
        <f>SUM(AH92:AH93)</f>
        <v>0</v>
      </c>
      <c r="AI94" s="33">
        <f>SUM(AI92:AI93)</f>
        <v>0</v>
      </c>
      <c r="AJ94" s="33">
        <f t="shared" ref="AJ94:AT94" si="53">SUM(AJ92:AJ93)</f>
        <v>0</v>
      </c>
      <c r="AK94" s="33">
        <f t="shared" si="53"/>
        <v>0</v>
      </c>
      <c r="AL94" s="33">
        <f t="shared" si="53"/>
        <v>0</v>
      </c>
      <c r="AM94" s="33">
        <f t="shared" si="53"/>
        <v>0</v>
      </c>
      <c r="AN94" s="33">
        <f t="shared" si="53"/>
        <v>0</v>
      </c>
      <c r="AO94" s="33">
        <f t="shared" si="53"/>
        <v>0</v>
      </c>
      <c r="AP94" s="33">
        <f t="shared" si="53"/>
        <v>0</v>
      </c>
      <c r="AQ94" s="33">
        <f t="shared" si="53"/>
        <v>0</v>
      </c>
      <c r="AR94" s="33">
        <f t="shared" si="53"/>
        <v>0</v>
      </c>
      <c r="AS94" s="33">
        <f t="shared" si="53"/>
        <v>0</v>
      </c>
      <c r="AT94" s="33">
        <f t="shared" si="53"/>
        <v>0</v>
      </c>
      <c r="AU94" s="33">
        <f>SUM(AU92:AU93)</f>
        <v>0</v>
      </c>
    </row>
    <row r="95" spans="1:47" ht="15.75" hidden="1" customHeight="1" outlineLevel="2">
      <c r="A95" s="1" t="s">
        <v>181</v>
      </c>
      <c r="C95" s="143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-28939007.960000001</v>
      </c>
      <c r="G95" s="32">
        <f>_xll.DBRW($C$1,$C$2,$C$3,$C$4,$C$6,$C$5,$C$7,G$1,G$2,A95)</f>
        <v>-17634130.68</v>
      </c>
      <c r="H95" s="32">
        <f>_xll.DBRW($C$1,$C$2,$C$3,$C$4,$C$6,$C$5,$C$7,H$1,H$2,A95)</f>
        <v>-19010943.02</v>
      </c>
      <c r="I95" s="32">
        <f>_xll.DBRW($C$1,$C$2,$C$3,$C$4,$C$6,$C$5,$C$7,I$1,I$2,A95)</f>
        <v>-675008.10000000009</v>
      </c>
      <c r="J95" s="32">
        <f>_xll.DBRW($C$1,$C$2,$C$3,$C$4,$C$6,$C$5,$C$7,J$1,J$2,A95)</f>
        <v>-3353943.14</v>
      </c>
      <c r="K95" s="32">
        <f>_xll.DBRW($C$1,$C$2,$C$3,$C$4,$C$6,$C$5,$C$7,K$1,K$2,A95)</f>
        <v>-6641815.2400000002</v>
      </c>
      <c r="L95" s="32">
        <f>_xll.DBRW($C$1,$C$2,$C$3,$C$4,$C$6,$C$5,$C$7,L$1,L$2,A95)</f>
        <v>-8957011.1500000004</v>
      </c>
      <c r="M95" s="32">
        <f>_xll.DBRW($C$1,$C$2,$C$3,$C$4,$C$6,$C$5,$C$7,M$1,M$2,A95)</f>
        <v>-12901832.920000002</v>
      </c>
      <c r="N95" s="32">
        <f>_xll.DBRW($C$1,$C$2,$C$3,$C$4,$C$6,$C$5,$C$7,N$1,N$2,A95)</f>
        <v>-16652031.800000004</v>
      </c>
      <c r="O95" s="32">
        <f>_xll.DBRW($C$1,$C$2,$C$3,$C$4,$C$6,$C$5,$C$7,O$1,O$2,A95)</f>
        <v>-17681051.730000004</v>
      </c>
      <c r="P95" s="32">
        <f>_xll.DBRW($C$1,$C$2,$C$3,$C$4,$C$6,$C$5,$C$7,P$1,P$2,A95)</f>
        <v>-23748647.470000003</v>
      </c>
      <c r="Q95" s="32">
        <f>_xll.DBRW($C$1,$C$2,$C$3,$C$4,$C$6,$C$5,$C$7,Q$1,Q$2,A95)</f>
        <v>-26337909.440000001</v>
      </c>
      <c r="R95" s="32">
        <f>_xll.DBRW($C$1,$C$2,$C$3,$C$4,$C$6,$C$5,$C$7,R$1,R$2,A95)</f>
        <v>-21229851.66</v>
      </c>
      <c r="S95" s="32">
        <f>_xll.DBRW($C$1,$C$2,$C$3,$C$4,$C$6,$C$5,$C$7,S$1,S$2,A95)</f>
        <v>-32182134.450000003</v>
      </c>
      <c r="T95" s="32">
        <f>_xll.DBRW($C$1,$C$2,$C$3,$C$4,$C$6,$C$5,$C$7,T$1,T$2,A95)</f>
        <v>-35576770.939999998</v>
      </c>
      <c r="U95" s="32">
        <f>_xll.DBRW($C$1,$C$2,$C$3,$C$4,$C$6,$C$5,$C$7,U$1,U$2,A95)</f>
        <v>-35576770.939999998</v>
      </c>
      <c r="V95" s="32">
        <f>_xll.DBRW($C$1,$C$2,$C$3,$C$4,$C$6,$C$5,$C$7,V$1,V$2,A95)</f>
        <v>0</v>
      </c>
      <c r="W95" s="32">
        <f>_xll.DBRW($C$1,$C$2,$C$3,$C$4,$C$6,$C$5,$C$7,W$1,W$2,A95)</f>
        <v>0</v>
      </c>
      <c r="X95" s="32">
        <f>_xll.DBRW($C$1,$C$2,$C$3,$C$4,$C$6,$C$5,$C$7,X$1,X$2,A95)</f>
        <v>0</v>
      </c>
      <c r="Y95" s="32">
        <f>_xll.DBRW($C$1,$C$2,$C$3,$C$4,$C$6,$C$5,$C$7,Y$1,Y$2,A95)</f>
        <v>0</v>
      </c>
      <c r="Z95" s="32">
        <f>_xll.DBRW($C$1,$C$2,$C$3,$C$4,$C$6,$C$5,$C$7,Z$1,Z$2,A95)</f>
        <v>0</v>
      </c>
      <c r="AA95" s="32">
        <f>_xll.DBRW($C$1,$C$2,$C$3,$C$4,$C$6,$C$5,$C$7,AA$1,AA$2,A95)</f>
        <v>0</v>
      </c>
      <c r="AB95" s="32">
        <f>_xll.DBRW($C$1,$C$2,$C$3,$C$4,$C$6,$C$5,$C$7,AB$1,AB$2,A95)</f>
        <v>0</v>
      </c>
      <c r="AC95" s="32">
        <f>_xll.DBRW($C$1,$C$2,$C$3,$C$4,$C$6,$C$5,$C$7,AC$1,AC$2,A95)</f>
        <v>0</v>
      </c>
      <c r="AD95" s="32">
        <f>_xll.DBRW($C$1,$C$2,$C$3,$C$4,$C$6,$C$5,$C$7,AD$1,AD$2,A95)</f>
        <v>0</v>
      </c>
      <c r="AE95" s="32">
        <f>_xll.DBRW($C$1,$C$2,$C$3,$C$4,$C$6,$C$5,$C$7,AE$1,AE$2,A95)</f>
        <v>0</v>
      </c>
      <c r="AF95" s="32">
        <f>_xll.DBRW($C$1,$C$2,$C$3,$C$4,$C$6,$C$5,$C$7,AF$1,AF$2,A95)</f>
        <v>0</v>
      </c>
      <c r="AG95" s="32">
        <f>_xll.DBRW($C$1,$C$2,$C$3,$C$4,$C$6,$C$5,$C$7,AG$1,AG$2,A95)</f>
        <v>0</v>
      </c>
      <c r="AH95" s="32">
        <f>_xll.DBRW($C$1,$C$2,$C$3,$C$4,$C$6,$C$5,$C$7,AH$1,AH$2,A95)</f>
        <v>0</v>
      </c>
      <c r="AI95" s="32">
        <f>_xll.DBRW($C$1,$C$2,$C$3,$C$4,$C$6,$C$5,$C$7,AI$1,AI$2,A95)</f>
        <v>0</v>
      </c>
      <c r="AJ95" s="32">
        <f>_xll.DBRW($C$1,$C$2,$C$3,$C$4,$C$6,$C$5,$C$7,AJ$1,AJ$2,A95)</f>
        <v>0</v>
      </c>
      <c r="AK95" s="32">
        <f>_xll.DBRW($C$1,$C$2,$C$3,$C$4,$C$6,$C$5,$C$7,AK$1,AK$2,A95)</f>
        <v>0</v>
      </c>
      <c r="AL95" s="32">
        <f>_xll.DBRW($C$1,$C$2,$C$3,$C$4,$C$6,$C$5,$C$7,AL$1,AL$2,A95)</f>
        <v>0</v>
      </c>
      <c r="AM95" s="32">
        <f>_xll.DBRW($C$1,$C$2,$C$3,$C$4,$C$6,$C$5,$C$7,AM$1,AM$2,A95)</f>
        <v>0</v>
      </c>
      <c r="AN95" s="32">
        <f>_xll.DBRW($C$1,$C$2,$C$3,$C$4,$C$6,$C$5,$C$7,AN$1,AN$2,A95)</f>
        <v>0</v>
      </c>
      <c r="AO95" s="32">
        <f>_xll.DBRW($C$1,$C$2,$C$3,$C$4,$C$6,$C$5,$C$7,AO$1,AO$2,A95)</f>
        <v>0</v>
      </c>
      <c r="AP95" s="32">
        <f>_xll.DBRW($C$1,$C$2,$C$3,$C$4,$C$6,$C$5,$C$7,AP$1,AP$2,A95)</f>
        <v>0</v>
      </c>
      <c r="AQ95" s="32">
        <f>_xll.DBRW($C$1,$C$2,$C$3,$C$4,$C$6,$C$5,$C$7,AQ$1,AQ$2,A95)</f>
        <v>0</v>
      </c>
      <c r="AR95" s="32">
        <f>_xll.DBRW($C$1,$C$2,$C$3,$C$4,$C$6,$C$5,$C$7,AR$1,AR$2,A95)</f>
        <v>0</v>
      </c>
      <c r="AS95" s="32">
        <f>_xll.DBRW($C$1,$C$2,$C$3,$C$4,$C$6,$C$5,$C$7,AS$1,AS$2,A95)</f>
        <v>0</v>
      </c>
      <c r="AT95" s="32">
        <f>_xll.DBRW($C$1,$C$2,$C$3,$C$4,$C$6,$C$5,$C$7,AT$1,AT$2,A95)</f>
        <v>0</v>
      </c>
      <c r="AU95" s="32">
        <f>_xll.DBRW($C$1,$C$2,$C$3,$C$4,$C$6,$C$5,$C$7,AU$1,AU$2,A95)</f>
        <v>0</v>
      </c>
    </row>
    <row r="96" spans="1:47" ht="15.75" hidden="1" customHeight="1" outlineLevel="2">
      <c r="A96" s="1" t="s">
        <v>182</v>
      </c>
      <c r="C96" s="143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15059.730000000001</v>
      </c>
      <c r="G96" s="32">
        <f>_xll.DBRW($C$1,$C$2,$C$3,$C$4,$C$6,$C$5,$C$7,G$1,G$2,A96)</f>
        <v>26533.179999999997</v>
      </c>
      <c r="H96" s="32">
        <f>_xll.DBRW($C$1,$C$2,$C$3,$C$4,$C$6,$C$5,$C$7,H$1,H$2,A96)</f>
        <v>12686.970000000001</v>
      </c>
      <c r="I96" s="32">
        <f>_xll.DBRW($C$1,$C$2,$C$3,$C$4,$C$6,$C$5,$C$7,I$1,I$2,A96)</f>
        <v>-2051.7700000000004</v>
      </c>
      <c r="J96" s="32">
        <f>_xll.DBRW($C$1,$C$2,$C$3,$C$4,$C$6,$C$5,$C$7,J$1,J$2,A96)</f>
        <v>7632.6399999999994</v>
      </c>
      <c r="K96" s="32">
        <f>_xll.DBRW($C$1,$C$2,$C$3,$C$4,$C$6,$C$5,$C$7,K$1,K$2,A96)</f>
        <v>-1090.5300000000007</v>
      </c>
      <c r="L96" s="32">
        <f>_xll.DBRW($C$1,$C$2,$C$3,$C$4,$C$6,$C$5,$C$7,L$1,L$2,A96)</f>
        <v>-415.91000000000076</v>
      </c>
      <c r="M96" s="32">
        <f>_xll.DBRW($C$1,$C$2,$C$3,$C$4,$C$6,$C$5,$C$7,M$1,M$2,A96)</f>
        <v>1019.6199999999994</v>
      </c>
      <c r="N96" s="32">
        <f>_xll.DBRW($C$1,$C$2,$C$3,$C$4,$C$6,$C$5,$C$7,N$1,N$2,A96)</f>
        <v>2496.2099999999991</v>
      </c>
      <c r="O96" s="32">
        <f>_xll.DBRW($C$1,$C$2,$C$3,$C$4,$C$6,$C$5,$C$7,O$1,O$2,A96)</f>
        <v>4176.2299999999987</v>
      </c>
      <c r="P96" s="32">
        <f>_xll.DBRW($C$1,$C$2,$C$3,$C$4,$C$6,$C$5,$C$7,P$1,P$2,A96)</f>
        <v>5231.0599999999986</v>
      </c>
      <c r="Q96" s="32">
        <f>_xll.DBRW($C$1,$C$2,$C$3,$C$4,$C$6,$C$5,$C$7,Q$1,Q$2,A96)</f>
        <v>6713.1099999999988</v>
      </c>
      <c r="R96" s="32">
        <f>_xll.DBRW($C$1,$C$2,$C$3,$C$4,$C$6,$C$5,$C$7,R$1,R$2,A96)</f>
        <v>8925.08</v>
      </c>
      <c r="S96" s="32">
        <f>_xll.DBRW($C$1,$C$2,$C$3,$C$4,$C$6,$C$5,$C$7,S$1,S$2,A96)</f>
        <v>10469.39</v>
      </c>
      <c r="T96" s="32">
        <f>_xll.DBRW($C$1,$C$2,$C$3,$C$4,$C$6,$C$5,$C$7,T$1,T$2,A96)</f>
        <v>25041.769999999997</v>
      </c>
      <c r="U96" s="32">
        <f>_xll.DBRW($C$1,$C$2,$C$3,$C$4,$C$6,$C$5,$C$7,U$1,U$2,A96)</f>
        <v>25041.769999999997</v>
      </c>
      <c r="V96" s="32">
        <f>_xll.DBRW($C$1,$C$2,$C$3,$C$4,$C$6,$C$5,$C$7,V$1,V$2,A96)</f>
        <v>0</v>
      </c>
      <c r="W96" s="32">
        <f>_xll.DBRW($C$1,$C$2,$C$3,$C$4,$C$6,$C$5,$C$7,W$1,W$2,A96)</f>
        <v>0</v>
      </c>
      <c r="X96" s="32">
        <f>_xll.DBRW($C$1,$C$2,$C$3,$C$4,$C$6,$C$5,$C$7,X$1,X$2,A96)</f>
        <v>0</v>
      </c>
      <c r="Y96" s="32">
        <f>_xll.DBRW($C$1,$C$2,$C$3,$C$4,$C$6,$C$5,$C$7,Y$1,Y$2,A96)</f>
        <v>0</v>
      </c>
      <c r="Z96" s="32">
        <f>_xll.DBRW($C$1,$C$2,$C$3,$C$4,$C$6,$C$5,$C$7,Z$1,Z$2,A96)</f>
        <v>0</v>
      </c>
      <c r="AA96" s="32">
        <f>_xll.DBRW($C$1,$C$2,$C$3,$C$4,$C$6,$C$5,$C$7,AA$1,AA$2,A96)</f>
        <v>0</v>
      </c>
      <c r="AB96" s="32">
        <f>_xll.DBRW($C$1,$C$2,$C$3,$C$4,$C$6,$C$5,$C$7,AB$1,AB$2,A96)</f>
        <v>0</v>
      </c>
      <c r="AC96" s="32">
        <f>_xll.DBRW($C$1,$C$2,$C$3,$C$4,$C$6,$C$5,$C$7,AC$1,AC$2,A96)</f>
        <v>0</v>
      </c>
      <c r="AD96" s="32">
        <f>_xll.DBRW($C$1,$C$2,$C$3,$C$4,$C$6,$C$5,$C$7,AD$1,AD$2,A96)</f>
        <v>0</v>
      </c>
      <c r="AE96" s="32">
        <f>_xll.DBRW($C$1,$C$2,$C$3,$C$4,$C$6,$C$5,$C$7,AE$1,AE$2,A96)</f>
        <v>0</v>
      </c>
      <c r="AF96" s="32">
        <f>_xll.DBRW($C$1,$C$2,$C$3,$C$4,$C$6,$C$5,$C$7,AF$1,AF$2,A96)</f>
        <v>0</v>
      </c>
      <c r="AG96" s="32">
        <f>_xll.DBRW($C$1,$C$2,$C$3,$C$4,$C$6,$C$5,$C$7,AG$1,AG$2,A96)</f>
        <v>0</v>
      </c>
      <c r="AH96" s="32">
        <f>_xll.DBRW($C$1,$C$2,$C$3,$C$4,$C$6,$C$5,$C$7,AH$1,AH$2,A96)</f>
        <v>0</v>
      </c>
      <c r="AI96" s="32">
        <f>_xll.DBRW($C$1,$C$2,$C$3,$C$4,$C$6,$C$5,$C$7,AI$1,AI$2,A96)</f>
        <v>0</v>
      </c>
      <c r="AJ96" s="32">
        <f>_xll.DBRW($C$1,$C$2,$C$3,$C$4,$C$6,$C$5,$C$7,AJ$1,AJ$2,A96)</f>
        <v>0</v>
      </c>
      <c r="AK96" s="32">
        <f>_xll.DBRW($C$1,$C$2,$C$3,$C$4,$C$6,$C$5,$C$7,AK$1,AK$2,A96)</f>
        <v>0</v>
      </c>
      <c r="AL96" s="32">
        <f>_xll.DBRW($C$1,$C$2,$C$3,$C$4,$C$6,$C$5,$C$7,AL$1,AL$2,A96)</f>
        <v>0</v>
      </c>
      <c r="AM96" s="32">
        <f>_xll.DBRW($C$1,$C$2,$C$3,$C$4,$C$6,$C$5,$C$7,AM$1,AM$2,A96)</f>
        <v>0</v>
      </c>
      <c r="AN96" s="32">
        <f>_xll.DBRW($C$1,$C$2,$C$3,$C$4,$C$6,$C$5,$C$7,AN$1,AN$2,A96)</f>
        <v>0</v>
      </c>
      <c r="AO96" s="32">
        <f>_xll.DBRW($C$1,$C$2,$C$3,$C$4,$C$6,$C$5,$C$7,AO$1,AO$2,A96)</f>
        <v>0</v>
      </c>
      <c r="AP96" s="32">
        <f>_xll.DBRW($C$1,$C$2,$C$3,$C$4,$C$6,$C$5,$C$7,AP$1,AP$2,A96)</f>
        <v>0</v>
      </c>
      <c r="AQ96" s="32">
        <f>_xll.DBRW($C$1,$C$2,$C$3,$C$4,$C$6,$C$5,$C$7,AQ$1,AQ$2,A96)</f>
        <v>0</v>
      </c>
      <c r="AR96" s="32">
        <f>_xll.DBRW($C$1,$C$2,$C$3,$C$4,$C$6,$C$5,$C$7,AR$1,AR$2,A96)</f>
        <v>0</v>
      </c>
      <c r="AS96" s="32">
        <f>_xll.DBRW($C$1,$C$2,$C$3,$C$4,$C$6,$C$5,$C$7,AS$1,AS$2,A96)</f>
        <v>0</v>
      </c>
      <c r="AT96" s="32">
        <f>_xll.DBRW($C$1,$C$2,$C$3,$C$4,$C$6,$C$5,$C$7,AT$1,AT$2,A96)</f>
        <v>0</v>
      </c>
      <c r="AU96" s="32">
        <f>_xll.DBRW($C$1,$C$2,$C$3,$C$4,$C$6,$C$5,$C$7,AU$1,AU$2,A96)</f>
        <v>0</v>
      </c>
    </row>
    <row r="97" spans="1:47" ht="15.75" hidden="1" outlineLevel="1">
      <c r="A97" s="1" t="s">
        <v>127</v>
      </c>
      <c r="C97" s="143"/>
      <c r="E97" s="14" t="s">
        <v>32</v>
      </c>
      <c r="F97" s="32">
        <f t="shared" ref="F97:T97" si="54">SUM(F95:F96)</f>
        <v>-28923948.23</v>
      </c>
      <c r="G97" s="32">
        <f t="shared" si="54"/>
        <v>-17607597.5</v>
      </c>
      <c r="H97" s="32">
        <f t="shared" si="54"/>
        <v>-18998256.050000001</v>
      </c>
      <c r="I97" s="32">
        <f t="shared" si="54"/>
        <v>-677059.87000000011</v>
      </c>
      <c r="J97" s="32">
        <f t="shared" si="54"/>
        <v>-3346310.5</v>
      </c>
      <c r="K97" s="32">
        <f t="shared" si="54"/>
        <v>-6642905.7700000005</v>
      </c>
      <c r="L97" s="32">
        <f t="shared" si="54"/>
        <v>-8957427.0600000005</v>
      </c>
      <c r="M97" s="32">
        <f t="shared" si="54"/>
        <v>-12900813.300000003</v>
      </c>
      <c r="N97" s="32">
        <f t="shared" si="54"/>
        <v>-16649535.590000004</v>
      </c>
      <c r="O97" s="32">
        <f t="shared" si="54"/>
        <v>-17676875.500000004</v>
      </c>
      <c r="P97" s="32">
        <f t="shared" si="54"/>
        <v>-23743416.410000004</v>
      </c>
      <c r="Q97" s="32">
        <f t="shared" si="54"/>
        <v>-26331196.330000002</v>
      </c>
      <c r="R97" s="32">
        <f t="shared" si="54"/>
        <v>-21220926.580000002</v>
      </c>
      <c r="S97" s="32">
        <f t="shared" si="54"/>
        <v>-32171665.060000002</v>
      </c>
      <c r="T97" s="32">
        <f t="shared" si="54"/>
        <v>-35551729.169999994</v>
      </c>
      <c r="U97" s="32">
        <f>SUM(U95:U96)</f>
        <v>-35551729.169999994</v>
      </c>
      <c r="V97" s="32">
        <f>SUM(V95:V96)</f>
        <v>0</v>
      </c>
      <c r="W97" s="32">
        <f t="shared" ref="W97:AG97" si="55">SUM(W95:W96)</f>
        <v>0</v>
      </c>
      <c r="X97" s="32">
        <f t="shared" si="55"/>
        <v>0</v>
      </c>
      <c r="Y97" s="32">
        <f t="shared" si="55"/>
        <v>0</v>
      </c>
      <c r="Z97" s="32">
        <f t="shared" si="55"/>
        <v>0</v>
      </c>
      <c r="AA97" s="32">
        <f t="shared" si="55"/>
        <v>0</v>
      </c>
      <c r="AB97" s="32">
        <f t="shared" si="55"/>
        <v>0</v>
      </c>
      <c r="AC97" s="32">
        <f t="shared" si="55"/>
        <v>0</v>
      </c>
      <c r="AD97" s="32">
        <f t="shared" si="55"/>
        <v>0</v>
      </c>
      <c r="AE97" s="32">
        <f t="shared" si="55"/>
        <v>0</v>
      </c>
      <c r="AF97" s="32">
        <f t="shared" si="55"/>
        <v>0</v>
      </c>
      <c r="AG97" s="32">
        <f t="shared" si="55"/>
        <v>0</v>
      </c>
      <c r="AH97" s="32">
        <f>SUM(AH95:AH96)</f>
        <v>0</v>
      </c>
      <c r="AI97" s="32">
        <f>SUM(AI95:AI96)</f>
        <v>0</v>
      </c>
      <c r="AJ97" s="32">
        <f t="shared" ref="AJ97:AT97" si="56">SUM(AJ95:AJ96)</f>
        <v>0</v>
      </c>
      <c r="AK97" s="32">
        <f t="shared" si="56"/>
        <v>0</v>
      </c>
      <c r="AL97" s="32">
        <f t="shared" si="56"/>
        <v>0</v>
      </c>
      <c r="AM97" s="32">
        <f t="shared" si="56"/>
        <v>0</v>
      </c>
      <c r="AN97" s="32">
        <f t="shared" si="56"/>
        <v>0</v>
      </c>
      <c r="AO97" s="32">
        <f t="shared" si="56"/>
        <v>0</v>
      </c>
      <c r="AP97" s="32">
        <f t="shared" si="56"/>
        <v>0</v>
      </c>
      <c r="AQ97" s="32">
        <f t="shared" si="56"/>
        <v>0</v>
      </c>
      <c r="AR97" s="32">
        <f t="shared" si="56"/>
        <v>0</v>
      </c>
      <c r="AS97" s="32">
        <f t="shared" si="56"/>
        <v>0</v>
      </c>
      <c r="AT97" s="32">
        <f t="shared" si="56"/>
        <v>0</v>
      </c>
      <c r="AU97" s="32">
        <f>SUM(AU95:AU96)</f>
        <v>0</v>
      </c>
    </row>
    <row r="98" spans="1:47" ht="15.75" collapsed="1">
      <c r="A98" s="1" t="s">
        <v>127</v>
      </c>
      <c r="C98" s="143"/>
      <c r="E98" s="120" t="s">
        <v>33</v>
      </c>
      <c r="F98" s="121">
        <f t="shared" ref="F98:T98" si="57">F83+F88+F91+F94+F97</f>
        <v>-13808814811.679802</v>
      </c>
      <c r="G98" s="121">
        <f t="shared" si="57"/>
        <v>-10628462678.851198</v>
      </c>
      <c r="H98" s="121">
        <f t="shared" si="57"/>
        <v>-13728500487.402</v>
      </c>
      <c r="I98" s="121">
        <f t="shared" si="57"/>
        <v>-1349950527.9099998</v>
      </c>
      <c r="J98" s="121">
        <f t="shared" si="57"/>
        <v>-1473358107.0133998</v>
      </c>
      <c r="K98" s="121">
        <f t="shared" si="57"/>
        <v>-4503574038.7523994</v>
      </c>
      <c r="L98" s="121">
        <f t="shared" si="57"/>
        <v>-6267534397.2655993</v>
      </c>
      <c r="M98" s="121">
        <f t="shared" si="57"/>
        <v>-8175065819.5573997</v>
      </c>
      <c r="N98" s="121">
        <f t="shared" si="57"/>
        <v>-10130259414.284599</v>
      </c>
      <c r="O98" s="121">
        <f t="shared" si="57"/>
        <v>-11612402249.734798</v>
      </c>
      <c r="P98" s="121">
        <f t="shared" si="57"/>
        <v>-14515624998.584196</v>
      </c>
      <c r="Q98" s="121">
        <f t="shared" si="57"/>
        <v>-16798600998.770996</v>
      </c>
      <c r="R98" s="121">
        <f t="shared" si="57"/>
        <v>-18384189951.258396</v>
      </c>
      <c r="S98" s="121">
        <f t="shared" si="57"/>
        <v>-21041367106.698601</v>
      </c>
      <c r="T98" s="121">
        <f t="shared" si="57"/>
        <v>-24233609372.526596</v>
      </c>
      <c r="U98" s="121">
        <f>U83+U88+U91+U94+U97</f>
        <v>-24233609372.526596</v>
      </c>
      <c r="V98" s="121">
        <f t="shared" ref="V98:AG98" si="58">V83+V88+V91+V94+V97</f>
        <v>0</v>
      </c>
      <c r="W98" s="121">
        <f t="shared" si="58"/>
        <v>0</v>
      </c>
      <c r="X98" s="121">
        <f t="shared" si="58"/>
        <v>0</v>
      </c>
      <c r="Y98" s="121">
        <f t="shared" si="58"/>
        <v>0</v>
      </c>
      <c r="Z98" s="121">
        <f t="shared" si="58"/>
        <v>0</v>
      </c>
      <c r="AA98" s="121">
        <f t="shared" si="58"/>
        <v>0</v>
      </c>
      <c r="AB98" s="121">
        <f t="shared" si="58"/>
        <v>0</v>
      </c>
      <c r="AC98" s="121">
        <f t="shared" si="58"/>
        <v>0</v>
      </c>
      <c r="AD98" s="121">
        <f t="shared" si="58"/>
        <v>0</v>
      </c>
      <c r="AE98" s="121">
        <f t="shared" si="58"/>
        <v>0</v>
      </c>
      <c r="AF98" s="121">
        <f t="shared" si="58"/>
        <v>0</v>
      </c>
      <c r="AG98" s="121">
        <f t="shared" si="58"/>
        <v>0</v>
      </c>
      <c r="AH98" s="121">
        <f>AH83+AH88+AH91+AH94+AH97</f>
        <v>0</v>
      </c>
      <c r="AI98" s="121">
        <f t="shared" ref="AI98:AT98" si="59">AI83+AI88+AI91+AI94+AI97</f>
        <v>0</v>
      </c>
      <c r="AJ98" s="121">
        <f t="shared" si="59"/>
        <v>0</v>
      </c>
      <c r="AK98" s="121">
        <f t="shared" si="59"/>
        <v>0</v>
      </c>
      <c r="AL98" s="121">
        <f t="shared" si="59"/>
        <v>0</v>
      </c>
      <c r="AM98" s="121">
        <f t="shared" si="59"/>
        <v>0</v>
      </c>
      <c r="AN98" s="121">
        <f t="shared" si="59"/>
        <v>0</v>
      </c>
      <c r="AO98" s="121">
        <f t="shared" si="59"/>
        <v>0</v>
      </c>
      <c r="AP98" s="121">
        <f t="shared" si="59"/>
        <v>0</v>
      </c>
      <c r="AQ98" s="121">
        <f t="shared" si="59"/>
        <v>0</v>
      </c>
      <c r="AR98" s="121">
        <f t="shared" si="59"/>
        <v>0</v>
      </c>
      <c r="AS98" s="121">
        <f t="shared" si="59"/>
        <v>0</v>
      </c>
      <c r="AT98" s="121">
        <f t="shared" si="59"/>
        <v>0</v>
      </c>
      <c r="AU98" s="121">
        <f>AU83+AU88+AU91+AU94+AU97</f>
        <v>0</v>
      </c>
    </row>
    <row r="99" spans="1:47" ht="15.75" hidden="1" customHeight="1" outlineLevel="1">
      <c r="A99" s="1" t="s">
        <v>183</v>
      </c>
      <c r="C99" s="143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0</v>
      </c>
      <c r="H99" s="31">
        <f>_xll.DBRW($C$1,$C$2,$C$3,$C$4,$C$6,$C$5,$C$7,H$1,H$2,A99)</f>
        <v>-488076367.98000002</v>
      </c>
      <c r="I99" s="31">
        <f>_xll.DBRW($C$1,$C$2,$C$3,$C$4,$C$6,$C$5,$C$7,I$1,I$2,A99)</f>
        <v>-55881892.789999999</v>
      </c>
      <c r="J99" s="31">
        <f>_xll.DBRW($C$1,$C$2,$C$3,$C$4,$C$6,$C$5,$C$7,J$1,J$2,A99)</f>
        <v>-38435968.68</v>
      </c>
      <c r="K99" s="31">
        <f>_xll.DBRW($C$1,$C$2,$C$3,$C$4,$C$6,$C$5,$C$7,K$1,K$2,A99)</f>
        <v>-130348221.68000001</v>
      </c>
      <c r="L99" s="31">
        <f>_xll.DBRW($C$1,$C$2,$C$3,$C$4,$C$6,$C$5,$C$7,L$1,L$2,A99)</f>
        <v>-167344930.78</v>
      </c>
      <c r="M99" s="31">
        <f>_xll.DBRW($C$1,$C$2,$C$3,$C$4,$C$6,$C$5,$C$7,M$1,M$2,A99)</f>
        <v>-203996432.99000001</v>
      </c>
      <c r="N99" s="31">
        <f>_xll.DBRW($C$1,$C$2,$C$3,$C$4,$C$6,$C$5,$C$7,N$1,N$2,A99)</f>
        <v>-245032405.31</v>
      </c>
      <c r="O99" s="31">
        <f>_xll.DBRW($C$1,$C$2,$C$3,$C$4,$C$6,$C$5,$C$7,O$1,O$2,A99)</f>
        <v>-288891227.73000002</v>
      </c>
      <c r="P99" s="31">
        <f>_xll.DBRW($C$1,$C$2,$C$3,$C$4,$C$6,$C$5,$C$7,P$1,P$2,A99)</f>
        <v>-339933904.25999999</v>
      </c>
      <c r="Q99" s="31">
        <f>_xll.DBRW($C$1,$C$2,$C$3,$C$4,$C$6,$C$5,$C$7,Q$1,Q$2,A99)</f>
        <v>-375670702.89999998</v>
      </c>
      <c r="R99" s="31">
        <f>_xll.DBRW($C$1,$C$2,$C$3,$C$4,$C$6,$C$5,$C$7,R$1,R$2,A99)</f>
        <v>-407813273.63999999</v>
      </c>
      <c r="S99" s="31">
        <f>_xll.DBRW($C$1,$C$2,$C$3,$C$4,$C$6,$C$5,$C$7,S$1,S$2,A99)</f>
        <v>-439814902.49000001</v>
      </c>
      <c r="T99" s="31">
        <f>_xll.DBRW($C$1,$C$2,$C$3,$C$4,$C$6,$C$5,$C$7,T$1,T$2,A99)</f>
        <v>-479144233.98000002</v>
      </c>
      <c r="U99" s="31">
        <f>_xll.DBRW($C$1,$C$2,$C$3,$C$4,$C$6,$C$5,$C$7,U$1,U$2,A99)</f>
        <v>-479144233.98000002</v>
      </c>
      <c r="V99" s="31">
        <f>_xll.DBRW($C$1,$C$2,$C$3,$C$4,$C$6,$C$5,$C$7,V$1,V$2,A99)</f>
        <v>0</v>
      </c>
      <c r="W99" s="31">
        <f>_xll.DBRW($C$1,$C$2,$C$3,$C$4,$C$6,$C$5,$C$7,W$1,W$2,A99)</f>
        <v>0</v>
      </c>
      <c r="X99" s="31">
        <f>_xll.DBRW($C$1,$C$2,$C$3,$C$4,$C$6,$C$5,$C$7,X$1,X$2,A99)</f>
        <v>0</v>
      </c>
      <c r="Y99" s="31">
        <f>_xll.DBRW($C$1,$C$2,$C$3,$C$4,$C$6,$C$5,$C$7,Y$1,Y$2,A99)</f>
        <v>0</v>
      </c>
      <c r="Z99" s="31">
        <f>_xll.DBRW($C$1,$C$2,$C$3,$C$4,$C$6,$C$5,$C$7,Z$1,Z$2,A99)</f>
        <v>0</v>
      </c>
      <c r="AA99" s="31">
        <f>_xll.DBRW($C$1,$C$2,$C$3,$C$4,$C$6,$C$5,$C$7,AA$1,AA$2,A99)</f>
        <v>0</v>
      </c>
      <c r="AB99" s="31">
        <f>_xll.DBRW($C$1,$C$2,$C$3,$C$4,$C$6,$C$5,$C$7,AB$1,AB$2,A99)</f>
        <v>0</v>
      </c>
      <c r="AC99" s="31">
        <f>_xll.DBRW($C$1,$C$2,$C$3,$C$4,$C$6,$C$5,$C$7,AC$1,AC$2,A99)</f>
        <v>0</v>
      </c>
      <c r="AD99" s="31">
        <f>_xll.DBRW($C$1,$C$2,$C$3,$C$4,$C$6,$C$5,$C$7,AD$1,AD$2,A99)</f>
        <v>0</v>
      </c>
      <c r="AE99" s="31">
        <f>_xll.DBRW($C$1,$C$2,$C$3,$C$4,$C$6,$C$5,$C$7,AE$1,AE$2,A99)</f>
        <v>0</v>
      </c>
      <c r="AF99" s="31">
        <f>_xll.DBRW($C$1,$C$2,$C$3,$C$4,$C$6,$C$5,$C$7,AF$1,AF$2,A99)</f>
        <v>0</v>
      </c>
      <c r="AG99" s="31">
        <f>_xll.DBRW($C$1,$C$2,$C$3,$C$4,$C$6,$C$5,$C$7,AG$1,AG$2,A99)</f>
        <v>0</v>
      </c>
      <c r="AH99" s="31">
        <f>_xll.DBRW($C$1,$C$2,$C$3,$C$4,$C$6,$C$5,$C$7,AH$1,AH$2,A99)</f>
        <v>0</v>
      </c>
      <c r="AI99" s="31">
        <f>_xll.DBRW($C$1,$C$2,$C$3,$C$4,$C$6,$C$5,$C$7,AI$1,AI$2,A99)</f>
        <v>0</v>
      </c>
      <c r="AJ99" s="31">
        <f>_xll.DBRW($C$1,$C$2,$C$3,$C$4,$C$6,$C$5,$C$7,AJ$1,AJ$2,A99)</f>
        <v>0</v>
      </c>
      <c r="AK99" s="31">
        <f>_xll.DBRW($C$1,$C$2,$C$3,$C$4,$C$6,$C$5,$C$7,AK$1,AK$2,A99)</f>
        <v>0</v>
      </c>
      <c r="AL99" s="31">
        <f>_xll.DBRW($C$1,$C$2,$C$3,$C$4,$C$6,$C$5,$C$7,AL$1,AL$2,A99)</f>
        <v>0</v>
      </c>
      <c r="AM99" s="31">
        <f>_xll.DBRW($C$1,$C$2,$C$3,$C$4,$C$6,$C$5,$C$7,AM$1,AM$2,A99)</f>
        <v>0</v>
      </c>
      <c r="AN99" s="31">
        <f>_xll.DBRW($C$1,$C$2,$C$3,$C$4,$C$6,$C$5,$C$7,AN$1,AN$2,A99)</f>
        <v>0</v>
      </c>
      <c r="AO99" s="31">
        <f>_xll.DBRW($C$1,$C$2,$C$3,$C$4,$C$6,$C$5,$C$7,AO$1,AO$2,A99)</f>
        <v>0</v>
      </c>
      <c r="AP99" s="31">
        <f>_xll.DBRW($C$1,$C$2,$C$3,$C$4,$C$6,$C$5,$C$7,AP$1,AP$2,A99)</f>
        <v>0</v>
      </c>
      <c r="AQ99" s="31">
        <f>_xll.DBRW($C$1,$C$2,$C$3,$C$4,$C$6,$C$5,$C$7,AQ$1,AQ$2,A99)</f>
        <v>0</v>
      </c>
      <c r="AR99" s="31">
        <f>_xll.DBRW($C$1,$C$2,$C$3,$C$4,$C$6,$C$5,$C$7,AR$1,AR$2,A99)</f>
        <v>0</v>
      </c>
      <c r="AS99" s="31">
        <f>_xll.DBRW($C$1,$C$2,$C$3,$C$4,$C$6,$C$5,$C$7,AS$1,AS$2,A99)</f>
        <v>0</v>
      </c>
      <c r="AT99" s="31">
        <f>_xll.DBRW($C$1,$C$2,$C$3,$C$4,$C$6,$C$5,$C$7,AT$1,AT$2,A99)</f>
        <v>0</v>
      </c>
      <c r="AU99" s="31">
        <f>_xll.DBRW($C$1,$C$2,$C$3,$C$4,$C$6,$C$5,$C$7,AU$1,AU$2,A99)</f>
        <v>0</v>
      </c>
    </row>
    <row r="100" spans="1:47" ht="15.75" hidden="1" customHeight="1" outlineLevel="1">
      <c r="A100" s="1" t="s">
        <v>184</v>
      </c>
      <c r="C100" s="143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  <c r="I100" s="31">
        <f>_xll.DBRW($C$1,$C$2,$C$3,$C$4,$C$6,$C$5,$C$7,I$1,I$2,A100)</f>
        <v>0</v>
      </c>
      <c r="J100" s="31">
        <f>_xll.DBRW($C$1,$C$2,$C$3,$C$4,$C$6,$C$5,$C$7,J$1,J$2,A100)</f>
        <v>0</v>
      </c>
      <c r="K100" s="31">
        <f>_xll.DBRW($C$1,$C$2,$C$3,$C$4,$C$6,$C$5,$C$7,K$1,K$2,A100)</f>
        <v>0</v>
      </c>
      <c r="L100" s="31">
        <f>_xll.DBRW($C$1,$C$2,$C$3,$C$4,$C$6,$C$5,$C$7,L$1,L$2,A100)</f>
        <v>0</v>
      </c>
      <c r="M100" s="31">
        <f>_xll.DBRW($C$1,$C$2,$C$3,$C$4,$C$6,$C$5,$C$7,M$1,M$2,A100)</f>
        <v>0</v>
      </c>
      <c r="N100" s="31">
        <f>_xll.DBRW($C$1,$C$2,$C$3,$C$4,$C$6,$C$5,$C$7,N$1,N$2,A100)</f>
        <v>0</v>
      </c>
      <c r="O100" s="31">
        <f>_xll.DBRW($C$1,$C$2,$C$3,$C$4,$C$6,$C$5,$C$7,O$1,O$2,A100)</f>
        <v>0</v>
      </c>
      <c r="P100" s="31">
        <f>_xll.DBRW($C$1,$C$2,$C$3,$C$4,$C$6,$C$5,$C$7,P$1,P$2,A100)</f>
        <v>0</v>
      </c>
      <c r="Q100" s="31">
        <f>_xll.DBRW($C$1,$C$2,$C$3,$C$4,$C$6,$C$5,$C$7,Q$1,Q$2,A100)</f>
        <v>0</v>
      </c>
      <c r="R100" s="31">
        <f>_xll.DBRW($C$1,$C$2,$C$3,$C$4,$C$6,$C$5,$C$7,R$1,R$2,A100)</f>
        <v>0</v>
      </c>
      <c r="S100" s="31">
        <f>_xll.DBRW($C$1,$C$2,$C$3,$C$4,$C$6,$C$5,$C$7,S$1,S$2,A100)</f>
        <v>0</v>
      </c>
      <c r="T100" s="31">
        <f>_xll.DBRW($C$1,$C$2,$C$3,$C$4,$C$6,$C$5,$C$7,T$1,T$2,A100)</f>
        <v>0</v>
      </c>
      <c r="U100" s="31">
        <f>_xll.DBRW($C$1,$C$2,$C$3,$C$4,$C$6,$C$5,$C$7,U$1,U$2,A100)</f>
        <v>0</v>
      </c>
      <c r="V100" s="31">
        <f>_xll.DBRW($C$1,$C$2,$C$3,$C$4,$C$6,$C$5,$C$7,V$1,V$2,A100)</f>
        <v>0</v>
      </c>
      <c r="W100" s="31">
        <f>_xll.DBRW($C$1,$C$2,$C$3,$C$4,$C$6,$C$5,$C$7,W$1,W$2,A100)</f>
        <v>0</v>
      </c>
      <c r="X100" s="31">
        <f>_xll.DBRW($C$1,$C$2,$C$3,$C$4,$C$6,$C$5,$C$7,X$1,X$2,A100)</f>
        <v>0</v>
      </c>
      <c r="Y100" s="31">
        <f>_xll.DBRW($C$1,$C$2,$C$3,$C$4,$C$6,$C$5,$C$7,Y$1,Y$2,A100)</f>
        <v>0</v>
      </c>
      <c r="Z100" s="31">
        <f>_xll.DBRW($C$1,$C$2,$C$3,$C$4,$C$6,$C$5,$C$7,Z$1,Z$2,A100)</f>
        <v>0</v>
      </c>
      <c r="AA100" s="31">
        <f>_xll.DBRW($C$1,$C$2,$C$3,$C$4,$C$6,$C$5,$C$7,AA$1,AA$2,A100)</f>
        <v>0</v>
      </c>
      <c r="AB100" s="31">
        <f>_xll.DBRW($C$1,$C$2,$C$3,$C$4,$C$6,$C$5,$C$7,AB$1,AB$2,A100)</f>
        <v>0</v>
      </c>
      <c r="AC100" s="31">
        <f>_xll.DBRW($C$1,$C$2,$C$3,$C$4,$C$6,$C$5,$C$7,AC$1,AC$2,A100)</f>
        <v>0</v>
      </c>
      <c r="AD100" s="31">
        <f>_xll.DBRW($C$1,$C$2,$C$3,$C$4,$C$6,$C$5,$C$7,AD$1,AD$2,A100)</f>
        <v>0</v>
      </c>
      <c r="AE100" s="31">
        <f>_xll.DBRW($C$1,$C$2,$C$3,$C$4,$C$6,$C$5,$C$7,AE$1,AE$2,A100)</f>
        <v>0</v>
      </c>
      <c r="AF100" s="31">
        <f>_xll.DBRW($C$1,$C$2,$C$3,$C$4,$C$6,$C$5,$C$7,AF$1,AF$2,A100)</f>
        <v>0</v>
      </c>
      <c r="AG100" s="31">
        <f>_xll.DBRW($C$1,$C$2,$C$3,$C$4,$C$6,$C$5,$C$7,AG$1,AG$2,A100)</f>
        <v>0</v>
      </c>
      <c r="AH100" s="31">
        <f>_xll.DBRW($C$1,$C$2,$C$3,$C$4,$C$6,$C$5,$C$7,AH$1,AH$2,A100)</f>
        <v>0</v>
      </c>
      <c r="AI100" s="31">
        <f>_xll.DBRW($C$1,$C$2,$C$3,$C$4,$C$6,$C$5,$C$7,AI$1,AI$2,A100)</f>
        <v>0</v>
      </c>
      <c r="AJ100" s="31">
        <f>_xll.DBRW($C$1,$C$2,$C$3,$C$4,$C$6,$C$5,$C$7,AJ$1,AJ$2,A100)</f>
        <v>0</v>
      </c>
      <c r="AK100" s="31">
        <f>_xll.DBRW($C$1,$C$2,$C$3,$C$4,$C$6,$C$5,$C$7,AK$1,AK$2,A100)</f>
        <v>0</v>
      </c>
      <c r="AL100" s="31">
        <f>_xll.DBRW($C$1,$C$2,$C$3,$C$4,$C$6,$C$5,$C$7,AL$1,AL$2,A100)</f>
        <v>0</v>
      </c>
      <c r="AM100" s="31">
        <f>_xll.DBRW($C$1,$C$2,$C$3,$C$4,$C$6,$C$5,$C$7,AM$1,AM$2,A100)</f>
        <v>0</v>
      </c>
      <c r="AN100" s="31">
        <f>_xll.DBRW($C$1,$C$2,$C$3,$C$4,$C$6,$C$5,$C$7,AN$1,AN$2,A100)</f>
        <v>0</v>
      </c>
      <c r="AO100" s="31">
        <f>_xll.DBRW($C$1,$C$2,$C$3,$C$4,$C$6,$C$5,$C$7,AO$1,AO$2,A100)</f>
        <v>0</v>
      </c>
      <c r="AP100" s="31">
        <f>_xll.DBRW($C$1,$C$2,$C$3,$C$4,$C$6,$C$5,$C$7,AP$1,AP$2,A100)</f>
        <v>0</v>
      </c>
      <c r="AQ100" s="31">
        <f>_xll.DBRW($C$1,$C$2,$C$3,$C$4,$C$6,$C$5,$C$7,AQ$1,AQ$2,A100)</f>
        <v>0</v>
      </c>
      <c r="AR100" s="31">
        <f>_xll.DBRW($C$1,$C$2,$C$3,$C$4,$C$6,$C$5,$C$7,AR$1,AR$2,A100)</f>
        <v>0</v>
      </c>
      <c r="AS100" s="31">
        <f>_xll.DBRW($C$1,$C$2,$C$3,$C$4,$C$6,$C$5,$C$7,AS$1,AS$2,A100)</f>
        <v>0</v>
      </c>
      <c r="AT100" s="31">
        <f>_xll.DBRW($C$1,$C$2,$C$3,$C$4,$C$6,$C$5,$C$7,AT$1,AT$2,A100)</f>
        <v>0</v>
      </c>
      <c r="AU100" s="31">
        <f>_xll.DBRW($C$1,$C$2,$C$3,$C$4,$C$6,$C$5,$C$7,AU$1,AU$2,A100)</f>
        <v>0</v>
      </c>
    </row>
    <row r="101" spans="1:47" ht="15.75" hidden="1" customHeight="1" outlineLevel="1">
      <c r="A101" s="1" t="s">
        <v>185</v>
      </c>
      <c r="C101" s="143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-355672412.57180005</v>
      </c>
      <c r="G101" s="31">
        <f>_xll.DBRW($C$1,$C$2,$C$3,$C$4,$C$6,$C$5,$C$7,G$1,G$2,A101)</f>
        <v>-538285539.49860001</v>
      </c>
      <c r="H101" s="31">
        <f>_xll.DBRW($C$1,$C$2,$C$3,$C$4,$C$6,$C$5,$C$7,H$1,H$2,A101)</f>
        <v>-631720560.58660007</v>
      </c>
      <c r="I101" s="31">
        <f>_xll.DBRW($C$1,$C$2,$C$3,$C$4,$C$6,$C$5,$C$7,I$1,I$2,A101)</f>
        <v>-17774201.664000005</v>
      </c>
      <c r="J101" s="31">
        <f>_xll.DBRW($C$1,$C$2,$C$3,$C$4,$C$6,$C$5,$C$7,J$1,J$2,A101)</f>
        <v>-98770186.562000006</v>
      </c>
      <c r="K101" s="31">
        <f>_xll.DBRW($C$1,$C$2,$C$3,$C$4,$C$6,$C$5,$C$7,K$1,K$2,A101)</f>
        <v>-149612444.25299999</v>
      </c>
      <c r="L101" s="31">
        <f>_xll.DBRW($C$1,$C$2,$C$3,$C$4,$C$6,$C$5,$C$7,L$1,L$2,A101)</f>
        <v>-199519131.07419997</v>
      </c>
      <c r="M101" s="31">
        <f>_xll.DBRW($C$1,$C$2,$C$3,$C$4,$C$6,$C$5,$C$7,M$1,M$2,A101)</f>
        <v>-252175942.24819997</v>
      </c>
      <c r="N101" s="31">
        <f>_xll.DBRW($C$1,$C$2,$C$3,$C$4,$C$6,$C$5,$C$7,N$1,N$2,A101)</f>
        <v>-309972416.39579999</v>
      </c>
      <c r="O101" s="31">
        <f>_xll.DBRW($C$1,$C$2,$C$3,$C$4,$C$6,$C$5,$C$7,O$1,O$2,A101)</f>
        <v>-129578478.87240005</v>
      </c>
      <c r="P101" s="31">
        <f>_xll.DBRW($C$1,$C$2,$C$3,$C$4,$C$6,$C$5,$C$7,P$1,P$2,A101)</f>
        <v>-419228234.86900008</v>
      </c>
      <c r="Q101" s="31">
        <f>_xll.DBRW($C$1,$C$2,$C$3,$C$4,$C$6,$C$5,$C$7,Q$1,Q$2,A101)</f>
        <v>-472060923.72420007</v>
      </c>
      <c r="R101" s="31">
        <f>_xll.DBRW($C$1,$C$2,$C$3,$C$4,$C$6,$C$5,$C$7,R$1,R$2,A101)</f>
        <v>-190415796.90080005</v>
      </c>
      <c r="S101" s="31">
        <f>_xll.DBRW($C$1,$C$2,$C$3,$C$4,$C$6,$C$5,$C$7,S$1,S$2,A101)</f>
        <v>-321875742.29620004</v>
      </c>
      <c r="T101" s="31">
        <f>_xll.DBRW($C$1,$C$2,$C$3,$C$4,$C$6,$C$5,$C$7,T$1,T$2,A101)</f>
        <v>-627009387.04280019</v>
      </c>
      <c r="U101" s="31">
        <f>_xll.DBRW($C$1,$C$2,$C$3,$C$4,$C$6,$C$5,$C$7,U$1,U$2,A101)</f>
        <v>-627009387.04280019</v>
      </c>
      <c r="V101" s="31">
        <f>_xll.DBRW($C$1,$C$2,$C$3,$C$4,$C$6,$C$5,$C$7,V$1,V$2,A101)</f>
        <v>0</v>
      </c>
      <c r="W101" s="31">
        <f>_xll.DBRW($C$1,$C$2,$C$3,$C$4,$C$6,$C$5,$C$7,W$1,W$2,A101)</f>
        <v>0</v>
      </c>
      <c r="X101" s="31">
        <f>_xll.DBRW($C$1,$C$2,$C$3,$C$4,$C$6,$C$5,$C$7,X$1,X$2,A101)</f>
        <v>0</v>
      </c>
      <c r="Y101" s="31">
        <f>_xll.DBRW($C$1,$C$2,$C$3,$C$4,$C$6,$C$5,$C$7,Y$1,Y$2,A101)</f>
        <v>0</v>
      </c>
      <c r="Z101" s="31">
        <f>_xll.DBRW($C$1,$C$2,$C$3,$C$4,$C$6,$C$5,$C$7,Z$1,Z$2,A101)</f>
        <v>0</v>
      </c>
      <c r="AA101" s="31">
        <f>_xll.DBRW($C$1,$C$2,$C$3,$C$4,$C$6,$C$5,$C$7,AA$1,AA$2,A101)</f>
        <v>0</v>
      </c>
      <c r="AB101" s="31">
        <f>_xll.DBRW($C$1,$C$2,$C$3,$C$4,$C$6,$C$5,$C$7,AB$1,AB$2,A101)</f>
        <v>0</v>
      </c>
      <c r="AC101" s="31">
        <f>_xll.DBRW($C$1,$C$2,$C$3,$C$4,$C$6,$C$5,$C$7,AC$1,AC$2,A101)</f>
        <v>0</v>
      </c>
      <c r="AD101" s="31">
        <f>_xll.DBRW($C$1,$C$2,$C$3,$C$4,$C$6,$C$5,$C$7,AD$1,AD$2,A101)</f>
        <v>0</v>
      </c>
      <c r="AE101" s="31">
        <f>_xll.DBRW($C$1,$C$2,$C$3,$C$4,$C$6,$C$5,$C$7,AE$1,AE$2,A101)</f>
        <v>0</v>
      </c>
      <c r="AF101" s="31">
        <f>_xll.DBRW($C$1,$C$2,$C$3,$C$4,$C$6,$C$5,$C$7,AF$1,AF$2,A101)</f>
        <v>0</v>
      </c>
      <c r="AG101" s="31">
        <f>_xll.DBRW($C$1,$C$2,$C$3,$C$4,$C$6,$C$5,$C$7,AG$1,AG$2,A101)</f>
        <v>0</v>
      </c>
      <c r="AH101" s="31">
        <f>_xll.DBRW($C$1,$C$2,$C$3,$C$4,$C$6,$C$5,$C$7,AH$1,AH$2,A101)</f>
        <v>0</v>
      </c>
      <c r="AI101" s="31">
        <f>_xll.DBRW($C$1,$C$2,$C$3,$C$4,$C$6,$C$5,$C$7,AI$1,AI$2,A101)</f>
        <v>0</v>
      </c>
      <c r="AJ101" s="31">
        <f>_xll.DBRW($C$1,$C$2,$C$3,$C$4,$C$6,$C$5,$C$7,AJ$1,AJ$2,A101)</f>
        <v>0</v>
      </c>
      <c r="AK101" s="31">
        <f>_xll.DBRW($C$1,$C$2,$C$3,$C$4,$C$6,$C$5,$C$7,AK$1,AK$2,A101)</f>
        <v>0</v>
      </c>
      <c r="AL101" s="31">
        <f>_xll.DBRW($C$1,$C$2,$C$3,$C$4,$C$6,$C$5,$C$7,AL$1,AL$2,A101)</f>
        <v>0</v>
      </c>
      <c r="AM101" s="31">
        <f>_xll.DBRW($C$1,$C$2,$C$3,$C$4,$C$6,$C$5,$C$7,AM$1,AM$2,A101)</f>
        <v>0</v>
      </c>
      <c r="AN101" s="31">
        <f>_xll.DBRW($C$1,$C$2,$C$3,$C$4,$C$6,$C$5,$C$7,AN$1,AN$2,A101)</f>
        <v>0</v>
      </c>
      <c r="AO101" s="31">
        <f>_xll.DBRW($C$1,$C$2,$C$3,$C$4,$C$6,$C$5,$C$7,AO$1,AO$2,A101)</f>
        <v>0</v>
      </c>
      <c r="AP101" s="31">
        <f>_xll.DBRW($C$1,$C$2,$C$3,$C$4,$C$6,$C$5,$C$7,AP$1,AP$2,A101)</f>
        <v>0</v>
      </c>
      <c r="AQ101" s="31">
        <f>_xll.DBRW($C$1,$C$2,$C$3,$C$4,$C$6,$C$5,$C$7,AQ$1,AQ$2,A101)</f>
        <v>0</v>
      </c>
      <c r="AR101" s="31">
        <f>_xll.DBRW($C$1,$C$2,$C$3,$C$4,$C$6,$C$5,$C$7,AR$1,AR$2,A101)</f>
        <v>0</v>
      </c>
      <c r="AS101" s="31">
        <f>_xll.DBRW($C$1,$C$2,$C$3,$C$4,$C$6,$C$5,$C$7,AS$1,AS$2,A101)</f>
        <v>0</v>
      </c>
      <c r="AT101" s="31">
        <f>_xll.DBRW($C$1,$C$2,$C$3,$C$4,$C$6,$C$5,$C$7,AT$1,AT$2,A101)</f>
        <v>0</v>
      </c>
      <c r="AU101" s="31">
        <f>_xll.DBRW($C$1,$C$2,$C$3,$C$4,$C$6,$C$5,$C$7,AU$1,AU$2,A101)</f>
        <v>0</v>
      </c>
    </row>
    <row r="102" spans="1:47" ht="15.75" hidden="1" customHeight="1" outlineLevel="1">
      <c r="A102" s="1" t="s">
        <v>186</v>
      </c>
      <c r="C102" s="143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0</v>
      </c>
      <c r="H102" s="31">
        <f>_xll.DBRW($C$1,$C$2,$C$3,$C$4,$C$6,$C$5,$C$7,H$1,H$2,A102)</f>
        <v>-42273773.810000002</v>
      </c>
      <c r="I102" s="31">
        <f>_xll.DBRW($C$1,$C$2,$C$3,$C$4,$C$6,$C$5,$C$7,I$1,I$2,A102)</f>
        <v>-576066.21</v>
      </c>
      <c r="J102" s="31">
        <f>_xll.DBRW($C$1,$C$2,$C$3,$C$4,$C$6,$C$5,$C$7,J$1,J$2,A102)</f>
        <v>-10500453.579999998</v>
      </c>
      <c r="K102" s="31">
        <f>_xll.DBRW($C$1,$C$2,$C$3,$C$4,$C$6,$C$5,$C$7,K$1,K$2,A102)</f>
        <v>-14164328.209999997</v>
      </c>
      <c r="L102" s="31">
        <f>_xll.DBRW($C$1,$C$2,$C$3,$C$4,$C$6,$C$5,$C$7,L$1,L$2,A102)</f>
        <v>-18881277.339999996</v>
      </c>
      <c r="M102" s="31">
        <f>_xll.DBRW($C$1,$C$2,$C$3,$C$4,$C$6,$C$5,$C$7,M$1,M$2,A102)</f>
        <v>-23618627.359999996</v>
      </c>
      <c r="N102" s="31">
        <f>_xll.DBRW($C$1,$C$2,$C$3,$C$4,$C$6,$C$5,$C$7,N$1,N$2,A102)</f>
        <v>-28334238.269999996</v>
      </c>
      <c r="O102" s="31">
        <f>_xll.DBRW($C$1,$C$2,$C$3,$C$4,$C$6,$C$5,$C$7,O$1,O$2,A102)</f>
        <v>-4018412.2699999958</v>
      </c>
      <c r="P102" s="31">
        <f>_xll.DBRW($C$1,$C$2,$C$3,$C$4,$C$6,$C$5,$C$7,P$1,P$2,A102)</f>
        <v>-37798974.139999993</v>
      </c>
      <c r="Q102" s="31">
        <f>_xll.DBRW($C$1,$C$2,$C$3,$C$4,$C$6,$C$5,$C$7,Q$1,Q$2,A102)</f>
        <v>-42509268.409999996</v>
      </c>
      <c r="R102" s="31">
        <f>_xll.DBRW($C$1,$C$2,$C$3,$C$4,$C$6,$C$5,$C$7,R$1,R$2,A102)</f>
        <v>-5730552.3599999882</v>
      </c>
      <c r="S102" s="31">
        <f>_xll.DBRW($C$1,$C$2,$C$3,$C$4,$C$6,$C$5,$C$7,S$1,S$2,A102)</f>
        <v>-51934758.819999993</v>
      </c>
      <c r="T102" s="31">
        <f>_xll.DBRW($C$1,$C$2,$C$3,$C$4,$C$6,$C$5,$C$7,T$1,T$2,A102)</f>
        <v>-65887507.069999993</v>
      </c>
      <c r="U102" s="31">
        <f>_xll.DBRW($C$1,$C$2,$C$3,$C$4,$C$6,$C$5,$C$7,U$1,U$2,A102)</f>
        <v>-65887507.069999993</v>
      </c>
      <c r="V102" s="31">
        <f>_xll.DBRW($C$1,$C$2,$C$3,$C$4,$C$6,$C$5,$C$7,V$1,V$2,A102)</f>
        <v>0</v>
      </c>
      <c r="W102" s="31">
        <f>_xll.DBRW($C$1,$C$2,$C$3,$C$4,$C$6,$C$5,$C$7,W$1,W$2,A102)</f>
        <v>0</v>
      </c>
      <c r="X102" s="31">
        <f>_xll.DBRW($C$1,$C$2,$C$3,$C$4,$C$6,$C$5,$C$7,X$1,X$2,A102)</f>
        <v>0</v>
      </c>
      <c r="Y102" s="31">
        <f>_xll.DBRW($C$1,$C$2,$C$3,$C$4,$C$6,$C$5,$C$7,Y$1,Y$2,A102)</f>
        <v>0</v>
      </c>
      <c r="Z102" s="31">
        <f>_xll.DBRW($C$1,$C$2,$C$3,$C$4,$C$6,$C$5,$C$7,Z$1,Z$2,A102)</f>
        <v>0</v>
      </c>
      <c r="AA102" s="31">
        <f>_xll.DBRW($C$1,$C$2,$C$3,$C$4,$C$6,$C$5,$C$7,AA$1,AA$2,A102)</f>
        <v>0</v>
      </c>
      <c r="AB102" s="31">
        <f>_xll.DBRW($C$1,$C$2,$C$3,$C$4,$C$6,$C$5,$C$7,AB$1,AB$2,A102)</f>
        <v>0</v>
      </c>
      <c r="AC102" s="31">
        <f>_xll.DBRW($C$1,$C$2,$C$3,$C$4,$C$6,$C$5,$C$7,AC$1,AC$2,A102)</f>
        <v>0</v>
      </c>
      <c r="AD102" s="31">
        <f>_xll.DBRW($C$1,$C$2,$C$3,$C$4,$C$6,$C$5,$C$7,AD$1,AD$2,A102)</f>
        <v>0</v>
      </c>
      <c r="AE102" s="31">
        <f>_xll.DBRW($C$1,$C$2,$C$3,$C$4,$C$6,$C$5,$C$7,AE$1,AE$2,A102)</f>
        <v>0</v>
      </c>
      <c r="AF102" s="31">
        <f>_xll.DBRW($C$1,$C$2,$C$3,$C$4,$C$6,$C$5,$C$7,AF$1,AF$2,A102)</f>
        <v>0</v>
      </c>
      <c r="AG102" s="31">
        <f>_xll.DBRW($C$1,$C$2,$C$3,$C$4,$C$6,$C$5,$C$7,AG$1,AG$2,A102)</f>
        <v>0</v>
      </c>
      <c r="AH102" s="31">
        <f>_xll.DBRW($C$1,$C$2,$C$3,$C$4,$C$6,$C$5,$C$7,AH$1,AH$2,A102)</f>
        <v>0</v>
      </c>
      <c r="AI102" s="31">
        <f>_xll.DBRW($C$1,$C$2,$C$3,$C$4,$C$6,$C$5,$C$7,AI$1,AI$2,A102)</f>
        <v>0</v>
      </c>
      <c r="AJ102" s="31">
        <f>_xll.DBRW($C$1,$C$2,$C$3,$C$4,$C$6,$C$5,$C$7,AJ$1,AJ$2,A102)</f>
        <v>0</v>
      </c>
      <c r="AK102" s="31">
        <f>_xll.DBRW($C$1,$C$2,$C$3,$C$4,$C$6,$C$5,$C$7,AK$1,AK$2,A102)</f>
        <v>0</v>
      </c>
      <c r="AL102" s="31">
        <f>_xll.DBRW($C$1,$C$2,$C$3,$C$4,$C$6,$C$5,$C$7,AL$1,AL$2,A102)</f>
        <v>0</v>
      </c>
      <c r="AM102" s="31">
        <f>_xll.DBRW($C$1,$C$2,$C$3,$C$4,$C$6,$C$5,$C$7,AM$1,AM$2,A102)</f>
        <v>0</v>
      </c>
      <c r="AN102" s="31">
        <f>_xll.DBRW($C$1,$C$2,$C$3,$C$4,$C$6,$C$5,$C$7,AN$1,AN$2,A102)</f>
        <v>0</v>
      </c>
      <c r="AO102" s="31">
        <f>_xll.DBRW($C$1,$C$2,$C$3,$C$4,$C$6,$C$5,$C$7,AO$1,AO$2,A102)</f>
        <v>0</v>
      </c>
      <c r="AP102" s="31">
        <f>_xll.DBRW($C$1,$C$2,$C$3,$C$4,$C$6,$C$5,$C$7,AP$1,AP$2,A102)</f>
        <v>0</v>
      </c>
      <c r="AQ102" s="31">
        <f>_xll.DBRW($C$1,$C$2,$C$3,$C$4,$C$6,$C$5,$C$7,AQ$1,AQ$2,A102)</f>
        <v>0</v>
      </c>
      <c r="AR102" s="31">
        <f>_xll.DBRW($C$1,$C$2,$C$3,$C$4,$C$6,$C$5,$C$7,AR$1,AR$2,A102)</f>
        <v>0</v>
      </c>
      <c r="AS102" s="31">
        <f>_xll.DBRW($C$1,$C$2,$C$3,$C$4,$C$6,$C$5,$C$7,AS$1,AS$2,A102)</f>
        <v>0</v>
      </c>
      <c r="AT102" s="31">
        <f>_xll.DBRW($C$1,$C$2,$C$3,$C$4,$C$6,$C$5,$C$7,AT$1,AT$2,A102)</f>
        <v>0</v>
      </c>
      <c r="AU102" s="31">
        <f>_xll.DBRW($C$1,$C$2,$C$3,$C$4,$C$6,$C$5,$C$7,AU$1,AU$2,A102)</f>
        <v>0</v>
      </c>
    </row>
    <row r="103" spans="1:47" ht="15.75" hidden="1" customHeight="1" outlineLevel="1">
      <c r="A103" s="1" t="s">
        <v>187</v>
      </c>
      <c r="C103" s="143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  <c r="I103" s="31">
        <f>_xll.DBRW($C$1,$C$2,$C$3,$C$4,$C$6,$C$5,$C$7,I$1,I$2,A103)</f>
        <v>0</v>
      </c>
      <c r="J103" s="31">
        <f>_xll.DBRW($C$1,$C$2,$C$3,$C$4,$C$6,$C$5,$C$7,J$1,J$2,A103)</f>
        <v>0</v>
      </c>
      <c r="K103" s="31">
        <f>_xll.DBRW($C$1,$C$2,$C$3,$C$4,$C$6,$C$5,$C$7,K$1,K$2,A103)</f>
        <v>0</v>
      </c>
      <c r="L103" s="31">
        <f>_xll.DBRW($C$1,$C$2,$C$3,$C$4,$C$6,$C$5,$C$7,L$1,L$2,A103)</f>
        <v>0</v>
      </c>
      <c r="M103" s="31">
        <f>_xll.DBRW($C$1,$C$2,$C$3,$C$4,$C$6,$C$5,$C$7,M$1,M$2,A103)</f>
        <v>0</v>
      </c>
      <c r="N103" s="31">
        <f>_xll.DBRW($C$1,$C$2,$C$3,$C$4,$C$6,$C$5,$C$7,N$1,N$2,A103)</f>
        <v>0</v>
      </c>
      <c r="O103" s="31">
        <f>_xll.DBRW($C$1,$C$2,$C$3,$C$4,$C$6,$C$5,$C$7,O$1,O$2,A103)</f>
        <v>0</v>
      </c>
      <c r="P103" s="31">
        <f>_xll.DBRW($C$1,$C$2,$C$3,$C$4,$C$6,$C$5,$C$7,P$1,P$2,A103)</f>
        <v>0</v>
      </c>
      <c r="Q103" s="31">
        <f>_xll.DBRW($C$1,$C$2,$C$3,$C$4,$C$6,$C$5,$C$7,Q$1,Q$2,A103)</f>
        <v>0</v>
      </c>
      <c r="R103" s="31">
        <f>_xll.DBRW($C$1,$C$2,$C$3,$C$4,$C$6,$C$5,$C$7,R$1,R$2,A103)</f>
        <v>0</v>
      </c>
      <c r="S103" s="31">
        <f>_xll.DBRW($C$1,$C$2,$C$3,$C$4,$C$6,$C$5,$C$7,S$1,S$2,A103)</f>
        <v>0</v>
      </c>
      <c r="T103" s="31">
        <f>_xll.DBRW($C$1,$C$2,$C$3,$C$4,$C$6,$C$5,$C$7,T$1,T$2,A103)</f>
        <v>0</v>
      </c>
      <c r="U103" s="31">
        <f>_xll.DBRW($C$1,$C$2,$C$3,$C$4,$C$6,$C$5,$C$7,U$1,U$2,A103)</f>
        <v>0</v>
      </c>
      <c r="V103" s="31">
        <f>_xll.DBRW($C$1,$C$2,$C$3,$C$4,$C$6,$C$5,$C$7,V$1,V$2,A103)</f>
        <v>0</v>
      </c>
      <c r="W103" s="31">
        <f>_xll.DBRW($C$1,$C$2,$C$3,$C$4,$C$6,$C$5,$C$7,W$1,W$2,$A103)</f>
        <v>0</v>
      </c>
      <c r="X103" s="31">
        <f>_xll.DBRW($C$1,$C$2,$C$3,$C$4,$C$6,$C$5,$C$7,X$1,X$2,$A103)</f>
        <v>0</v>
      </c>
      <c r="Y103" s="31">
        <f>_xll.DBRW($C$1,$C$2,$C$3,$C$4,$C$6,$C$5,$C$7,Y$1,Y$2,$A103)</f>
        <v>0</v>
      </c>
      <c r="Z103" s="31">
        <f>_xll.DBRW($C$1,$C$2,$C$3,$C$4,$C$6,$C$5,$C$7,Z$1,Z$2,$A103)</f>
        <v>0</v>
      </c>
      <c r="AA103" s="31">
        <f>_xll.DBRW($C$1,$C$2,$C$3,$C$4,$C$6,$C$5,$C$7,AA$1,AA$2,$A103)</f>
        <v>0</v>
      </c>
      <c r="AB103" s="31">
        <f>_xll.DBRW($C$1,$C$2,$C$3,$C$4,$C$6,$C$5,$C$7,AB$1,AB$2,$A103)</f>
        <v>0</v>
      </c>
      <c r="AC103" s="31">
        <f>_xll.DBRW($C$1,$C$2,$C$3,$C$4,$C$6,$C$5,$C$7,AC$1,AC$2,$A103)</f>
        <v>0</v>
      </c>
      <c r="AD103" s="31">
        <f>_xll.DBRW($C$1,$C$2,$C$3,$C$4,$C$6,$C$5,$C$7,AD$1,AD$2,$A103)</f>
        <v>0</v>
      </c>
      <c r="AE103" s="31">
        <f>_xll.DBRW($C$1,$C$2,$C$3,$C$4,$C$6,$C$5,$C$7,AE$1,AE$2,$A103)</f>
        <v>0</v>
      </c>
      <c r="AF103" s="31">
        <f>_xll.DBRW($C$1,$C$2,$C$3,$C$4,$C$6,$C$5,$C$7,AF$1,AF$2,$A103)</f>
        <v>0</v>
      </c>
      <c r="AG103" s="31">
        <f>_xll.DBRW($C$1,$C$2,$C$3,$C$4,$C$6,$C$5,$C$7,AG$1,AG$2,$A103)</f>
        <v>0</v>
      </c>
      <c r="AH103" s="31">
        <f>_xll.DBRW($C$1,$C$2,$C$3,$C$4,$C$6,$C$5,$C$7,AH$1,AH$2,$A103)</f>
        <v>0</v>
      </c>
      <c r="AI103" s="31">
        <f>_xll.DBRW($C$1,$C$2,$C$3,$C$4,$C$6,$C$5,$C$7,AI$1,AI$2,$A103)</f>
        <v>0</v>
      </c>
      <c r="AJ103" s="31">
        <f>_xll.DBRW($C$1,$C$2,$C$3,$C$4,$C$6,$C$5,$C$7,AJ$1,AJ$2,$A103)</f>
        <v>0</v>
      </c>
      <c r="AK103" s="31">
        <f>_xll.DBRW($C$1,$C$2,$C$3,$C$4,$C$6,$C$5,$C$7,AK$1,AK$2,$A103)</f>
        <v>0</v>
      </c>
      <c r="AL103" s="31">
        <f>_xll.DBRW($C$1,$C$2,$C$3,$C$4,$C$6,$C$5,$C$7,AL$1,AL$2,$A103)</f>
        <v>0</v>
      </c>
      <c r="AM103" s="31">
        <f>_xll.DBRW($C$1,$C$2,$C$3,$C$4,$C$6,$C$5,$C$7,AM$1,AM$2,$A103)</f>
        <v>0</v>
      </c>
      <c r="AN103" s="31">
        <f>_xll.DBRW($C$1,$C$2,$C$3,$C$4,$C$6,$C$5,$C$7,AN$1,AN$2,$A103)</f>
        <v>0</v>
      </c>
      <c r="AO103" s="31">
        <f>_xll.DBRW($C$1,$C$2,$C$3,$C$4,$C$6,$C$5,$C$7,AO$1,AO$2,$A103)</f>
        <v>0</v>
      </c>
      <c r="AP103" s="31">
        <f>_xll.DBRW($C$1,$C$2,$C$3,$C$4,$C$6,$C$5,$C$7,AP$1,AP$2,$A103)</f>
        <v>0</v>
      </c>
      <c r="AQ103" s="31">
        <f>_xll.DBRW($C$1,$C$2,$C$3,$C$4,$C$6,$C$5,$C$7,AQ$1,AQ$2,$A103)</f>
        <v>0</v>
      </c>
      <c r="AR103" s="31">
        <f>_xll.DBRW($C$1,$C$2,$C$3,$C$4,$C$6,$C$5,$C$7,AR$1,AR$2,$A103)</f>
        <v>0</v>
      </c>
      <c r="AS103" s="31">
        <f>_xll.DBRW($C$1,$C$2,$C$3,$C$4,$C$6,$C$5,$C$7,AS$1,AS$2,$A103)</f>
        <v>0</v>
      </c>
      <c r="AT103" s="31">
        <f>_xll.DBRW($C$1,$C$2,$C$3,$C$4,$C$6,$C$5,$C$7,AT$1,AT$2,$A103)</f>
        <v>0</v>
      </c>
      <c r="AU103" s="31">
        <f>_xll.DBRW($C$1,$C$2,$C$3,$C$4,$C$6,$C$5,$C$7,AU$1,AU$2,$A103)</f>
        <v>0</v>
      </c>
    </row>
    <row r="104" spans="1:47" ht="15.75" hidden="1" customHeight="1" outlineLevel="1">
      <c r="A104" s="1" t="s">
        <v>188</v>
      </c>
      <c r="C104" s="143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-9285717311.9300003</v>
      </c>
      <c r="G104" s="31">
        <f>_xll.DBRW($C$1,$C$2,$C$3,$C$4,$C$6,$C$5,$C$7,G$1,G$2,$A104)</f>
        <v>-10015237843.85</v>
      </c>
      <c r="H104" s="31">
        <f>_xll.DBRW($C$1,$C$2,$C$3,$C$4,$C$6,$C$5,$C$7,H$1,H$2,$A104)</f>
        <v>-7929564007.8000002</v>
      </c>
      <c r="I104" s="31">
        <f>_xll.DBRW($C$1,$C$2,$C$3,$C$4,$C$6,$C$5,$C$7,I$1,I$2,$A104)</f>
        <v>-497087951.67000002</v>
      </c>
      <c r="J104" s="31">
        <f>_xll.DBRW($C$1,$C$2,$C$3,$C$4,$C$6,$C$5,$C$7,J$1,J$2,$A104)</f>
        <v>-547031518.51999998</v>
      </c>
      <c r="K104" s="31">
        <f>_xll.DBRW($C$1,$C$2,$C$3,$C$4,$C$6,$C$5,$C$7,K$1,K$2,$A104)</f>
        <v>-1540807153.25</v>
      </c>
      <c r="L104" s="31">
        <f>_xll.DBRW($C$1,$C$2,$C$3,$C$4,$C$6,$C$5,$C$7,L$1,L$2,$A104)</f>
        <v>-2055461012.3800001</v>
      </c>
      <c r="M104" s="31">
        <f>_xll.DBRW($C$1,$C$2,$C$3,$C$4,$C$6,$C$5,$C$7,M$1,M$2,$A104)</f>
        <v>-2567157866.9000001</v>
      </c>
      <c r="N104" s="31">
        <f>_xll.DBRW($C$1,$C$2,$C$3,$C$4,$C$6,$C$5,$C$7,N$1,N$2,$A104)</f>
        <v>-3083524665.96</v>
      </c>
      <c r="O104" s="31">
        <f>_xll.DBRW($C$1,$C$2,$C$3,$C$4,$C$6,$C$5,$C$7,O$1,O$2,$A104)</f>
        <v>-3468691197.8299999</v>
      </c>
      <c r="P104" s="31">
        <f>_xll.DBRW($C$1,$C$2,$C$3,$C$4,$C$6,$C$5,$C$7,P$1,P$2,$A104)</f>
        <v>-4093039128.3299999</v>
      </c>
      <c r="Q104" s="31">
        <f>_xll.DBRW($C$1,$C$2,$C$3,$C$4,$C$6,$C$5,$C$7,Q$1,Q$2,$A104)</f>
        <v>-4605060428.3199997</v>
      </c>
      <c r="R104" s="31">
        <f>_xll.DBRW($C$1,$C$2,$C$3,$C$4,$C$6,$C$5,$C$7,R$1,R$2,$A104)</f>
        <v>-4959092746.2999992</v>
      </c>
      <c r="S104" s="31">
        <f>_xll.DBRW($C$1,$C$2,$C$3,$C$4,$C$6,$C$5,$C$7,S$1,S$2,$A104)</f>
        <v>-5485455438.2599993</v>
      </c>
      <c r="T104" s="31">
        <f>_xll.DBRW($C$1,$C$2,$C$3,$C$4,$C$6,$C$5,$C$7,T$1,T$2,$A104)</f>
        <v>-6251190739.0499992</v>
      </c>
      <c r="U104" s="31">
        <f>_xll.DBRW($C$1,$C$2,$C$3,$C$4,$C$6,$C$5,$C$7,U$1,U$2,$A104)</f>
        <v>-6251190739.0499992</v>
      </c>
      <c r="V104" s="31">
        <f>_xll.DBRW($C$1,$C$2,$C$3,$C$4,$C$6,$C$5,$C$7,V$1,V$2,$A104)</f>
        <v>0</v>
      </c>
      <c r="W104" s="31">
        <f>_xll.DBRW($C$1,$C$2,$C$3,$C$4,$C$6,$C$5,$C$7,W$1,W$2,$A104)</f>
        <v>0</v>
      </c>
      <c r="X104" s="31">
        <f>_xll.DBRW($C$1,$C$2,$C$3,$C$4,$C$6,$C$5,$C$7,X$1,X$2,$A104)</f>
        <v>0</v>
      </c>
      <c r="Y104" s="31">
        <f>_xll.DBRW($C$1,$C$2,$C$3,$C$4,$C$6,$C$5,$C$7,Y$1,Y$2,$A104)</f>
        <v>0</v>
      </c>
      <c r="Z104" s="31">
        <f>_xll.DBRW($C$1,$C$2,$C$3,$C$4,$C$6,$C$5,$C$7,Z$1,Z$2,$A104)</f>
        <v>0</v>
      </c>
      <c r="AA104" s="31">
        <f>_xll.DBRW($C$1,$C$2,$C$3,$C$4,$C$6,$C$5,$C$7,AA$1,AA$2,$A104)</f>
        <v>0</v>
      </c>
      <c r="AB104" s="31">
        <f>_xll.DBRW($C$1,$C$2,$C$3,$C$4,$C$6,$C$5,$C$7,AB$1,AB$2,$A104)</f>
        <v>0</v>
      </c>
      <c r="AC104" s="31">
        <f>_xll.DBRW($C$1,$C$2,$C$3,$C$4,$C$6,$C$5,$C$7,AC$1,AC$2,$A104)</f>
        <v>0</v>
      </c>
      <c r="AD104" s="31">
        <f>_xll.DBRW($C$1,$C$2,$C$3,$C$4,$C$6,$C$5,$C$7,AD$1,AD$2,$A104)</f>
        <v>0</v>
      </c>
      <c r="AE104" s="31">
        <f>_xll.DBRW($C$1,$C$2,$C$3,$C$4,$C$6,$C$5,$C$7,AE$1,AE$2,$A104)</f>
        <v>0</v>
      </c>
      <c r="AF104" s="31">
        <f>_xll.DBRW($C$1,$C$2,$C$3,$C$4,$C$6,$C$5,$C$7,AF$1,AF$2,$A104)</f>
        <v>0</v>
      </c>
      <c r="AG104" s="31">
        <f>_xll.DBRW($C$1,$C$2,$C$3,$C$4,$C$6,$C$5,$C$7,AG$1,AG$2,$A104)</f>
        <v>0</v>
      </c>
      <c r="AH104" s="31">
        <f>_xll.DBRW($C$1,$C$2,$C$3,$C$4,$C$6,$C$5,$C$7,AH$1,AH$2,$A104)</f>
        <v>0</v>
      </c>
      <c r="AI104" s="31">
        <f>_xll.DBRW($C$1,$C$2,$C$3,$C$4,$C$6,$C$5,$C$7,AI$1,AI$2,$A104)</f>
        <v>0</v>
      </c>
      <c r="AJ104" s="31">
        <f>_xll.DBRW($C$1,$C$2,$C$3,$C$4,$C$6,$C$5,$C$7,AJ$1,AJ$2,$A104)</f>
        <v>0</v>
      </c>
      <c r="AK104" s="31">
        <f>_xll.DBRW($C$1,$C$2,$C$3,$C$4,$C$6,$C$5,$C$7,AK$1,AK$2,$A104)</f>
        <v>0</v>
      </c>
      <c r="AL104" s="31">
        <f>_xll.DBRW($C$1,$C$2,$C$3,$C$4,$C$6,$C$5,$C$7,AL$1,AL$2,$A104)</f>
        <v>0</v>
      </c>
      <c r="AM104" s="31">
        <f>_xll.DBRW($C$1,$C$2,$C$3,$C$4,$C$6,$C$5,$C$7,AM$1,AM$2,$A104)</f>
        <v>0</v>
      </c>
      <c r="AN104" s="31">
        <f>_xll.DBRW($C$1,$C$2,$C$3,$C$4,$C$6,$C$5,$C$7,AN$1,AN$2,$A104)</f>
        <v>0</v>
      </c>
      <c r="AO104" s="31">
        <f>_xll.DBRW($C$1,$C$2,$C$3,$C$4,$C$6,$C$5,$C$7,AO$1,AO$2,$A104)</f>
        <v>0</v>
      </c>
      <c r="AP104" s="31">
        <f>_xll.DBRW($C$1,$C$2,$C$3,$C$4,$C$6,$C$5,$C$7,AP$1,AP$2,$A104)</f>
        <v>0</v>
      </c>
      <c r="AQ104" s="31">
        <f>_xll.DBRW($C$1,$C$2,$C$3,$C$4,$C$6,$C$5,$C$7,AQ$1,AQ$2,$A104)</f>
        <v>0</v>
      </c>
      <c r="AR104" s="31">
        <f>_xll.DBRW($C$1,$C$2,$C$3,$C$4,$C$6,$C$5,$C$7,AR$1,AR$2,$A104)</f>
        <v>0</v>
      </c>
      <c r="AS104" s="31">
        <f>_xll.DBRW($C$1,$C$2,$C$3,$C$4,$C$6,$C$5,$C$7,AS$1,AS$2,$A104)</f>
        <v>0</v>
      </c>
      <c r="AT104" s="31">
        <f>_xll.DBRW($C$1,$C$2,$C$3,$C$4,$C$6,$C$5,$C$7,AT$1,AT$2,$A104)</f>
        <v>0</v>
      </c>
      <c r="AU104" s="31">
        <f>_xll.DBRW($C$1,$C$2,$C$3,$C$4,$C$6,$C$5,$C$7,AU$1,AU$2,$A104)</f>
        <v>0</v>
      </c>
    </row>
    <row r="105" spans="1:47" ht="15.75" hidden="1" customHeight="1" outlineLevel="1">
      <c r="A105" s="1" t="s">
        <v>189</v>
      </c>
      <c r="C105" s="143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-4348432.18</v>
      </c>
      <c r="G105" s="31">
        <f>_xll.DBRW($C$1,$C$2,$C$3,$C$4,$C$6,$C$5,$C$7,G$1,G$2,$A105)</f>
        <v>2327612.9600000018</v>
      </c>
      <c r="H105" s="31">
        <f>_xll.DBRW($C$1,$C$2,$C$3,$C$4,$C$6,$C$5,$C$7,H$1,H$2,$A105)</f>
        <v>23270613.449999999</v>
      </c>
      <c r="I105" s="31">
        <f>_xll.DBRW($C$1,$C$2,$C$3,$C$4,$C$6,$C$5,$C$7,I$1,I$2,$A105)</f>
        <v>363788.77999999997</v>
      </c>
      <c r="J105" s="31">
        <f>_xll.DBRW($C$1,$C$2,$C$3,$C$4,$C$6,$C$5,$C$7,J$1,J$2,$A105)</f>
        <v>399177.1</v>
      </c>
      <c r="K105" s="31">
        <f>_xll.DBRW($C$1,$C$2,$C$3,$C$4,$C$6,$C$5,$C$7,K$1,K$2,$A105)</f>
        <v>706584.07999999984</v>
      </c>
      <c r="L105" s="31">
        <f>_xll.DBRW($C$1,$C$2,$C$3,$C$4,$C$6,$C$5,$C$7,L$1,L$2,$A105)</f>
        <v>922727.01999999979</v>
      </c>
      <c r="M105" s="31">
        <f>_xll.DBRW($C$1,$C$2,$C$3,$C$4,$C$6,$C$5,$C$7,M$1,M$2,$A105)</f>
        <v>1210546.6899999997</v>
      </c>
      <c r="N105" s="31">
        <f>_xll.DBRW($C$1,$C$2,$C$3,$C$4,$C$6,$C$5,$C$7,N$1,N$2,$A105)</f>
        <v>2357196.8100000005</v>
      </c>
      <c r="O105" s="31">
        <f>_xll.DBRW($C$1,$C$2,$C$3,$C$4,$C$6,$C$5,$C$7,O$1,O$2,$A105)</f>
        <v>2660438.9900000002</v>
      </c>
      <c r="P105" s="31">
        <f>_xll.DBRW($C$1,$C$2,$C$3,$C$4,$C$6,$C$5,$C$7,P$1,P$2,$A105)</f>
        <v>35272060.329999998</v>
      </c>
      <c r="Q105" s="31">
        <f>_xll.DBRW($C$1,$C$2,$C$3,$C$4,$C$6,$C$5,$C$7,Q$1,Q$2,$A105)</f>
        <v>35672591.939999998</v>
      </c>
      <c r="R105" s="31">
        <f>_xll.DBRW($C$1,$C$2,$C$3,$C$4,$C$6,$C$5,$C$7,R$1,R$2,$A105)</f>
        <v>36221307.549999997</v>
      </c>
      <c r="S105" s="31">
        <f>_xll.DBRW($C$1,$C$2,$C$3,$C$4,$C$6,$C$5,$C$7,S$1,S$2,$A105)</f>
        <v>35489844.499999993</v>
      </c>
      <c r="T105" s="31">
        <f>_xll.DBRW($C$1,$C$2,$C$3,$C$4,$C$6,$C$5,$C$7,T$1,T$2,$A105)</f>
        <v>40239395.149999991</v>
      </c>
      <c r="U105" s="31">
        <f>_xll.DBRW($C$1,$C$2,$C$3,$C$4,$C$6,$C$5,$C$7,U$1,U$2,$A105)</f>
        <v>40239395.149999991</v>
      </c>
      <c r="V105" s="31">
        <f>_xll.DBRW($C$1,$C$2,$C$3,$C$4,$C$6,$C$5,$C$7,V$1,V$2,$A105)</f>
        <v>0</v>
      </c>
      <c r="W105" s="31">
        <f>_xll.DBRW($C$1,$C$2,$C$3,$C$4,$C$6,$C$5,$C$7,W$1,W$2,$A105)</f>
        <v>0</v>
      </c>
      <c r="X105" s="31">
        <f>_xll.DBRW($C$1,$C$2,$C$3,$C$4,$C$6,$C$5,$C$7,X$1,X$2,$A105)</f>
        <v>0</v>
      </c>
      <c r="Y105" s="31">
        <f>_xll.DBRW($C$1,$C$2,$C$3,$C$4,$C$6,$C$5,$C$7,Y$1,Y$2,$A105)</f>
        <v>0</v>
      </c>
      <c r="Z105" s="31">
        <f>_xll.DBRW($C$1,$C$2,$C$3,$C$4,$C$6,$C$5,$C$7,Z$1,Z$2,$A105)</f>
        <v>0</v>
      </c>
      <c r="AA105" s="31">
        <f>_xll.DBRW($C$1,$C$2,$C$3,$C$4,$C$6,$C$5,$C$7,AA$1,AA$2,$A105)</f>
        <v>0</v>
      </c>
      <c r="AB105" s="31">
        <f>_xll.DBRW($C$1,$C$2,$C$3,$C$4,$C$6,$C$5,$C$7,AB$1,AB$2,$A105)</f>
        <v>0</v>
      </c>
      <c r="AC105" s="31">
        <f>_xll.DBRW($C$1,$C$2,$C$3,$C$4,$C$6,$C$5,$C$7,AC$1,AC$2,$A105)</f>
        <v>0</v>
      </c>
      <c r="AD105" s="31">
        <f>_xll.DBRW($C$1,$C$2,$C$3,$C$4,$C$6,$C$5,$C$7,AD$1,AD$2,$A105)</f>
        <v>0</v>
      </c>
      <c r="AE105" s="31">
        <f>_xll.DBRW($C$1,$C$2,$C$3,$C$4,$C$6,$C$5,$C$7,AE$1,AE$2,$A105)</f>
        <v>0</v>
      </c>
      <c r="AF105" s="31">
        <f>_xll.DBRW($C$1,$C$2,$C$3,$C$4,$C$6,$C$5,$C$7,AF$1,AF$2,$A105)</f>
        <v>0</v>
      </c>
      <c r="AG105" s="31">
        <f>_xll.DBRW($C$1,$C$2,$C$3,$C$4,$C$6,$C$5,$C$7,AG$1,AG$2,$A105)</f>
        <v>0</v>
      </c>
      <c r="AH105" s="31">
        <f>_xll.DBRW($C$1,$C$2,$C$3,$C$4,$C$6,$C$5,$C$7,AH$1,AH$2,$A105)</f>
        <v>0</v>
      </c>
      <c r="AI105" s="31">
        <f>_xll.DBRW($C$1,$C$2,$C$3,$C$4,$C$6,$C$5,$C$7,AI$1,AI$2,$A105)</f>
        <v>0</v>
      </c>
      <c r="AJ105" s="31">
        <f>_xll.DBRW($C$1,$C$2,$C$3,$C$4,$C$6,$C$5,$C$7,AJ$1,AJ$2,$A105)</f>
        <v>0</v>
      </c>
      <c r="AK105" s="31">
        <f>_xll.DBRW($C$1,$C$2,$C$3,$C$4,$C$6,$C$5,$C$7,AK$1,AK$2,$A105)</f>
        <v>0</v>
      </c>
      <c r="AL105" s="31">
        <f>_xll.DBRW($C$1,$C$2,$C$3,$C$4,$C$6,$C$5,$C$7,AL$1,AL$2,$A105)</f>
        <v>0</v>
      </c>
      <c r="AM105" s="31">
        <f>_xll.DBRW($C$1,$C$2,$C$3,$C$4,$C$6,$C$5,$C$7,AM$1,AM$2,$A105)</f>
        <v>0</v>
      </c>
      <c r="AN105" s="31">
        <f>_xll.DBRW($C$1,$C$2,$C$3,$C$4,$C$6,$C$5,$C$7,AN$1,AN$2,$A105)</f>
        <v>0</v>
      </c>
      <c r="AO105" s="31">
        <f>_xll.DBRW($C$1,$C$2,$C$3,$C$4,$C$6,$C$5,$C$7,AO$1,AO$2,$A105)</f>
        <v>0</v>
      </c>
      <c r="AP105" s="31">
        <f>_xll.DBRW($C$1,$C$2,$C$3,$C$4,$C$6,$C$5,$C$7,AP$1,AP$2,$A105)</f>
        <v>0</v>
      </c>
      <c r="AQ105" s="31">
        <f>_xll.DBRW($C$1,$C$2,$C$3,$C$4,$C$6,$C$5,$C$7,AQ$1,AQ$2,$A105)</f>
        <v>0</v>
      </c>
      <c r="AR105" s="31">
        <f>_xll.DBRW($C$1,$C$2,$C$3,$C$4,$C$6,$C$5,$C$7,AR$1,AR$2,$A105)</f>
        <v>0</v>
      </c>
      <c r="AS105" s="31">
        <f>_xll.DBRW($C$1,$C$2,$C$3,$C$4,$C$6,$C$5,$C$7,AS$1,AS$2,$A105)</f>
        <v>0</v>
      </c>
      <c r="AT105" s="31">
        <f>_xll.DBRW($C$1,$C$2,$C$3,$C$4,$C$6,$C$5,$C$7,AT$1,AT$2,$A105)</f>
        <v>0</v>
      </c>
      <c r="AU105" s="31">
        <f>_xll.DBRW($C$1,$C$2,$C$3,$C$4,$C$6,$C$5,$C$7,AU$1,AU$2,$A105)</f>
        <v>0</v>
      </c>
    </row>
    <row r="106" spans="1:47" ht="15.75" hidden="1" customHeight="1" outlineLevel="1">
      <c r="A106" s="1" t="s">
        <v>190</v>
      </c>
      <c r="C106" s="143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  <c r="I106" s="31">
        <f>_xll.DBRW($C$1,$C$2,$C$3,$C$4,$C$6,$C$5,$C$7,I$1,I$2,$A106)</f>
        <v>0</v>
      </c>
      <c r="J106" s="31">
        <f>_xll.DBRW($C$1,$C$2,$C$3,$C$4,$C$6,$C$5,$C$7,J$1,J$2,$A106)</f>
        <v>0</v>
      </c>
      <c r="K106" s="31">
        <f>_xll.DBRW($C$1,$C$2,$C$3,$C$4,$C$6,$C$5,$C$7,K$1,K$2,$A106)</f>
        <v>0</v>
      </c>
      <c r="L106" s="31">
        <f>_xll.DBRW($C$1,$C$2,$C$3,$C$4,$C$6,$C$5,$C$7,L$1,L$2,$A106)</f>
        <v>0</v>
      </c>
      <c r="M106" s="31">
        <f>_xll.DBRW($C$1,$C$2,$C$3,$C$4,$C$6,$C$5,$C$7,M$1,M$2,$A106)</f>
        <v>0</v>
      </c>
      <c r="N106" s="31">
        <f>_xll.DBRW($C$1,$C$2,$C$3,$C$4,$C$6,$C$5,$C$7,N$1,N$2,$A106)</f>
        <v>0</v>
      </c>
      <c r="O106" s="31">
        <f>_xll.DBRW($C$1,$C$2,$C$3,$C$4,$C$6,$C$5,$C$7,O$1,O$2,$A106)</f>
        <v>0</v>
      </c>
      <c r="P106" s="31">
        <f>_xll.DBRW($C$1,$C$2,$C$3,$C$4,$C$6,$C$5,$C$7,P$1,P$2,$A106)</f>
        <v>0</v>
      </c>
      <c r="Q106" s="31">
        <f>_xll.DBRW($C$1,$C$2,$C$3,$C$4,$C$6,$C$5,$C$7,Q$1,Q$2,$A106)</f>
        <v>0</v>
      </c>
      <c r="R106" s="31">
        <f>_xll.DBRW($C$1,$C$2,$C$3,$C$4,$C$6,$C$5,$C$7,R$1,R$2,$A106)</f>
        <v>0</v>
      </c>
      <c r="S106" s="31">
        <f>_xll.DBRW($C$1,$C$2,$C$3,$C$4,$C$6,$C$5,$C$7,S$1,S$2,$A106)</f>
        <v>0</v>
      </c>
      <c r="T106" s="31">
        <f>_xll.DBRW($C$1,$C$2,$C$3,$C$4,$C$6,$C$5,$C$7,T$1,T$2,$A106)</f>
        <v>0</v>
      </c>
      <c r="U106" s="31">
        <f>_xll.DBRW($C$1,$C$2,$C$3,$C$4,$C$6,$C$5,$C$7,U$1,U$2,$A106)</f>
        <v>0</v>
      </c>
      <c r="V106" s="31">
        <f>_xll.DBRW($C$1,$C$2,$C$3,$C$4,$C$6,$C$5,$C$7,V$1,V$2,$A106)</f>
        <v>0</v>
      </c>
      <c r="W106" s="31">
        <f>_xll.DBRW($C$1,$C$2,$C$3,$C$4,$C$6,$C$5,$C$7,W$1,W$2,$A106)</f>
        <v>0</v>
      </c>
      <c r="X106" s="31">
        <f>_xll.DBRW($C$1,$C$2,$C$3,$C$4,$C$6,$C$5,$C$7,X$1,X$2,$A106)</f>
        <v>0</v>
      </c>
      <c r="Y106" s="31">
        <f>_xll.DBRW($C$1,$C$2,$C$3,$C$4,$C$6,$C$5,$C$7,Y$1,Y$2,$A106)</f>
        <v>0</v>
      </c>
      <c r="Z106" s="31">
        <f>_xll.DBRW($C$1,$C$2,$C$3,$C$4,$C$6,$C$5,$C$7,Z$1,Z$2,$A106)</f>
        <v>0</v>
      </c>
      <c r="AA106" s="31">
        <f>_xll.DBRW($C$1,$C$2,$C$3,$C$4,$C$6,$C$5,$C$7,AA$1,AA$2,$A106)</f>
        <v>0</v>
      </c>
      <c r="AB106" s="31">
        <f>_xll.DBRW($C$1,$C$2,$C$3,$C$4,$C$6,$C$5,$C$7,AB$1,AB$2,$A106)</f>
        <v>0</v>
      </c>
      <c r="AC106" s="31">
        <f>_xll.DBRW($C$1,$C$2,$C$3,$C$4,$C$6,$C$5,$C$7,AC$1,AC$2,$A106)</f>
        <v>0</v>
      </c>
      <c r="AD106" s="31">
        <f>_xll.DBRW($C$1,$C$2,$C$3,$C$4,$C$6,$C$5,$C$7,AD$1,AD$2,$A106)</f>
        <v>0</v>
      </c>
      <c r="AE106" s="31">
        <f>_xll.DBRW($C$1,$C$2,$C$3,$C$4,$C$6,$C$5,$C$7,AE$1,AE$2,$A106)</f>
        <v>0</v>
      </c>
      <c r="AF106" s="31">
        <f>_xll.DBRW($C$1,$C$2,$C$3,$C$4,$C$6,$C$5,$C$7,AF$1,AF$2,$A106)</f>
        <v>0</v>
      </c>
      <c r="AG106" s="31">
        <f>_xll.DBRW($C$1,$C$2,$C$3,$C$4,$C$6,$C$5,$C$7,AG$1,AG$2,$A106)</f>
        <v>0</v>
      </c>
      <c r="AH106" s="31">
        <f>_xll.DBRW($C$1,$C$2,$C$3,$C$4,$C$6,$C$5,$C$7,AH$1,AH$2,$A106)</f>
        <v>0</v>
      </c>
      <c r="AI106" s="31">
        <f>_xll.DBRW($C$1,$C$2,$C$3,$C$4,$C$6,$C$5,$C$7,AI$1,AI$2,$A106)</f>
        <v>0</v>
      </c>
      <c r="AJ106" s="31">
        <f>_xll.DBRW($C$1,$C$2,$C$3,$C$4,$C$6,$C$5,$C$7,AJ$1,AJ$2,$A106)</f>
        <v>0</v>
      </c>
      <c r="AK106" s="31">
        <f>_xll.DBRW($C$1,$C$2,$C$3,$C$4,$C$6,$C$5,$C$7,AK$1,AK$2,$A106)</f>
        <v>0</v>
      </c>
      <c r="AL106" s="31">
        <f>_xll.DBRW($C$1,$C$2,$C$3,$C$4,$C$6,$C$5,$C$7,AL$1,AL$2,$A106)</f>
        <v>0</v>
      </c>
      <c r="AM106" s="31">
        <f>_xll.DBRW($C$1,$C$2,$C$3,$C$4,$C$6,$C$5,$C$7,AM$1,AM$2,$A106)</f>
        <v>0</v>
      </c>
      <c r="AN106" s="31">
        <f>_xll.DBRW($C$1,$C$2,$C$3,$C$4,$C$6,$C$5,$C$7,AN$1,AN$2,$A106)</f>
        <v>0</v>
      </c>
      <c r="AO106" s="31">
        <f>_xll.DBRW($C$1,$C$2,$C$3,$C$4,$C$6,$C$5,$C$7,AO$1,AO$2,$A106)</f>
        <v>0</v>
      </c>
      <c r="AP106" s="31">
        <f>_xll.DBRW($C$1,$C$2,$C$3,$C$4,$C$6,$C$5,$C$7,AP$1,AP$2,$A106)</f>
        <v>0</v>
      </c>
      <c r="AQ106" s="31">
        <f>_xll.DBRW($C$1,$C$2,$C$3,$C$4,$C$6,$C$5,$C$7,AQ$1,AQ$2,$A106)</f>
        <v>0</v>
      </c>
      <c r="AR106" s="31">
        <f>_xll.DBRW($C$1,$C$2,$C$3,$C$4,$C$6,$C$5,$C$7,AR$1,AR$2,$A106)</f>
        <v>0</v>
      </c>
      <c r="AS106" s="31">
        <f>_xll.DBRW($C$1,$C$2,$C$3,$C$4,$C$6,$C$5,$C$7,AS$1,AS$2,$A106)</f>
        <v>0</v>
      </c>
      <c r="AT106" s="31">
        <f>_xll.DBRW($C$1,$C$2,$C$3,$C$4,$C$6,$C$5,$C$7,AT$1,AT$2,$A106)</f>
        <v>0</v>
      </c>
      <c r="AU106" s="31">
        <f>_xll.DBRW($C$1,$C$2,$C$3,$C$4,$C$6,$C$5,$C$7,AU$1,AU$2,$A106)</f>
        <v>0</v>
      </c>
    </row>
    <row r="107" spans="1:47" ht="15.75" hidden="1" customHeight="1" outlineLevel="1">
      <c r="A107" s="1" t="s">
        <v>191</v>
      </c>
      <c r="C107" s="143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3972434.4100000006</v>
      </c>
      <c r="G107" s="31">
        <f>_xll.DBRW($C$1,$C$2,$C$3,$C$4,$C$6,$C$5,$C$7,G$1,G$2,$A107)</f>
        <v>1363051.5500000007</v>
      </c>
      <c r="H107" s="31">
        <f>_xll.DBRW($C$1,$C$2,$C$3,$C$4,$C$6,$C$5,$C$7,H$1,H$2,$A107)</f>
        <v>-13778021.829999998</v>
      </c>
      <c r="I107" s="31">
        <f>_xll.DBRW($C$1,$C$2,$C$3,$C$4,$C$6,$C$5,$C$7,I$1,I$2,$A107)</f>
        <v>-467889.16000000003</v>
      </c>
      <c r="J107" s="31">
        <f>_xll.DBRW($C$1,$C$2,$C$3,$C$4,$C$6,$C$5,$C$7,J$1,J$2,$A107)</f>
        <v>1533666.2100000004</v>
      </c>
      <c r="K107" s="31">
        <f>_xll.DBRW($C$1,$C$2,$C$3,$C$4,$C$6,$C$5,$C$7,K$1,K$2,$A107)</f>
        <v>1784161.7400000012</v>
      </c>
      <c r="L107" s="31">
        <f>_xll.DBRW($C$1,$C$2,$C$3,$C$4,$C$6,$C$5,$C$7,L$1,L$2,$A107)</f>
        <v>3118753.4300000006</v>
      </c>
      <c r="M107" s="31">
        <f>_xll.DBRW($C$1,$C$2,$C$3,$C$4,$C$6,$C$5,$C$7,M$1,M$2,$A107)</f>
        <v>1793463.2000000007</v>
      </c>
      <c r="N107" s="31">
        <f>_xll.DBRW($C$1,$C$2,$C$3,$C$4,$C$6,$C$5,$C$7,N$1,N$2,$A107)</f>
        <v>1345373.6000000006</v>
      </c>
      <c r="O107" s="31">
        <f>_xll.DBRW($C$1,$C$2,$C$3,$C$4,$C$6,$C$5,$C$7,O$1,O$2,$A107)</f>
        <v>945521.56000000041</v>
      </c>
      <c r="P107" s="31">
        <f>_xll.DBRW($C$1,$C$2,$C$3,$C$4,$C$6,$C$5,$C$7,P$1,P$2,$A107)</f>
        <v>-27697756.24000001</v>
      </c>
      <c r="Q107" s="31">
        <f>_xll.DBRW($C$1,$C$2,$C$3,$C$4,$C$6,$C$5,$C$7,Q$1,Q$2,$A107)</f>
        <v>-26850131.870000008</v>
      </c>
      <c r="R107" s="31">
        <f>_xll.DBRW($C$1,$C$2,$C$3,$C$4,$C$6,$C$5,$C$7,R$1,R$2,$A107)</f>
        <v>-37945316.710000016</v>
      </c>
      <c r="S107" s="31">
        <f>_xll.DBRW($C$1,$C$2,$C$3,$C$4,$C$6,$C$5,$C$7,S$1,S$2,$A107)</f>
        <v>-29191674.310000017</v>
      </c>
      <c r="T107" s="31">
        <f>_xll.DBRW($C$1,$C$2,$C$3,$C$4,$C$6,$C$5,$C$7,T$1,T$2,$A107)</f>
        <v>-29567232.990000017</v>
      </c>
      <c r="U107" s="31">
        <f>_xll.DBRW($C$1,$C$2,$C$3,$C$4,$C$6,$C$5,$C$7,U$1,U$2,$A107)</f>
        <v>-29567232.990000017</v>
      </c>
      <c r="V107" s="31">
        <f>_xll.DBRW($C$1,$C$2,$C$3,$C$4,$C$6,$C$5,$C$7,V$1,V$2,$A107)</f>
        <v>0</v>
      </c>
      <c r="W107" s="31">
        <f>_xll.DBRW($C$1,$C$2,$C$3,$C$4,$C$6,$C$5,$C$7,W$1,W$2,$A107)</f>
        <v>0</v>
      </c>
      <c r="X107" s="31">
        <f>_xll.DBRW($C$1,$C$2,$C$3,$C$4,$C$6,$C$5,$C$7,X$1,X$2,$A107)</f>
        <v>0</v>
      </c>
      <c r="Y107" s="31">
        <f>_xll.DBRW($C$1,$C$2,$C$3,$C$4,$C$6,$C$5,$C$7,Y$1,Y$2,$A107)</f>
        <v>0</v>
      </c>
      <c r="Z107" s="31">
        <f>_xll.DBRW($C$1,$C$2,$C$3,$C$4,$C$6,$C$5,$C$7,Z$1,Z$2,$A107)</f>
        <v>0</v>
      </c>
      <c r="AA107" s="31">
        <f>_xll.DBRW($C$1,$C$2,$C$3,$C$4,$C$6,$C$5,$C$7,AA$1,AA$2,$A107)</f>
        <v>0</v>
      </c>
      <c r="AB107" s="31">
        <f>_xll.DBRW($C$1,$C$2,$C$3,$C$4,$C$6,$C$5,$C$7,AB$1,AB$2,$A107)</f>
        <v>0</v>
      </c>
      <c r="AC107" s="31">
        <f>_xll.DBRW($C$1,$C$2,$C$3,$C$4,$C$6,$C$5,$C$7,AC$1,AC$2,$A107)</f>
        <v>0</v>
      </c>
      <c r="AD107" s="31">
        <f>_xll.DBRW($C$1,$C$2,$C$3,$C$4,$C$6,$C$5,$C$7,AD$1,AD$2,$A107)</f>
        <v>0</v>
      </c>
      <c r="AE107" s="31">
        <f>_xll.DBRW($C$1,$C$2,$C$3,$C$4,$C$6,$C$5,$C$7,AE$1,AE$2,$A107)</f>
        <v>0</v>
      </c>
      <c r="AF107" s="31">
        <f>_xll.DBRW($C$1,$C$2,$C$3,$C$4,$C$6,$C$5,$C$7,AF$1,AF$2,$A107)</f>
        <v>0</v>
      </c>
      <c r="AG107" s="31">
        <f>_xll.DBRW($C$1,$C$2,$C$3,$C$4,$C$6,$C$5,$C$7,AG$1,AG$2,$A107)</f>
        <v>0</v>
      </c>
      <c r="AH107" s="31">
        <f>_xll.DBRW($C$1,$C$2,$C$3,$C$4,$C$6,$C$5,$C$7,AH$1,AH$2,$A107)</f>
        <v>0</v>
      </c>
      <c r="AI107" s="31">
        <f>_xll.DBRW($C$1,$C$2,$C$3,$C$4,$C$6,$C$5,$C$7,AI$1,AI$2,$A107)</f>
        <v>0</v>
      </c>
      <c r="AJ107" s="31">
        <f>_xll.DBRW($C$1,$C$2,$C$3,$C$4,$C$6,$C$5,$C$7,AJ$1,AJ$2,$A107)</f>
        <v>0</v>
      </c>
      <c r="AK107" s="31">
        <f>_xll.DBRW($C$1,$C$2,$C$3,$C$4,$C$6,$C$5,$C$7,AK$1,AK$2,$A107)</f>
        <v>0</v>
      </c>
      <c r="AL107" s="31">
        <f>_xll.DBRW($C$1,$C$2,$C$3,$C$4,$C$6,$C$5,$C$7,AL$1,AL$2,$A107)</f>
        <v>0</v>
      </c>
      <c r="AM107" s="31">
        <f>_xll.DBRW($C$1,$C$2,$C$3,$C$4,$C$6,$C$5,$C$7,AM$1,AM$2,$A107)</f>
        <v>0</v>
      </c>
      <c r="AN107" s="31">
        <f>_xll.DBRW($C$1,$C$2,$C$3,$C$4,$C$6,$C$5,$C$7,AN$1,AN$2,$A107)</f>
        <v>0</v>
      </c>
      <c r="AO107" s="31">
        <f>_xll.DBRW($C$1,$C$2,$C$3,$C$4,$C$6,$C$5,$C$7,AO$1,AO$2,$A107)</f>
        <v>0</v>
      </c>
      <c r="AP107" s="31">
        <f>_xll.DBRW($C$1,$C$2,$C$3,$C$4,$C$6,$C$5,$C$7,AP$1,AP$2,$A107)</f>
        <v>0</v>
      </c>
      <c r="AQ107" s="31">
        <f>_xll.DBRW($C$1,$C$2,$C$3,$C$4,$C$6,$C$5,$C$7,AQ$1,AQ$2,$A107)</f>
        <v>0</v>
      </c>
      <c r="AR107" s="31">
        <f>_xll.DBRW($C$1,$C$2,$C$3,$C$4,$C$6,$C$5,$C$7,AR$1,AR$2,$A107)</f>
        <v>0</v>
      </c>
      <c r="AS107" s="31">
        <f>_xll.DBRW($C$1,$C$2,$C$3,$C$4,$C$6,$C$5,$C$7,AS$1,AS$2,$A107)</f>
        <v>0</v>
      </c>
      <c r="AT107" s="31">
        <f>_xll.DBRW($C$1,$C$2,$C$3,$C$4,$C$6,$C$5,$C$7,AT$1,AT$2,$A107)</f>
        <v>0</v>
      </c>
      <c r="AU107" s="31">
        <f>_xll.DBRW($C$1,$C$2,$C$3,$C$4,$C$6,$C$5,$C$7,AU$1,AU$2,$A107)</f>
        <v>0</v>
      </c>
    </row>
    <row r="108" spans="1:47" ht="15.75" hidden="1" customHeight="1" outlineLevel="1">
      <c r="A108" s="1" t="s">
        <v>192</v>
      </c>
      <c r="C108" s="143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227441.22</v>
      </c>
      <c r="G108" s="31">
        <f>_xll.DBRW($C$1,$C$2,$C$3,$C$4,$C$6,$C$5,$C$7,G$1,G$2,$A108)</f>
        <v>-6056.01</v>
      </c>
      <c r="H108" s="31">
        <f>_xll.DBRW($C$1,$C$2,$C$3,$C$4,$C$6,$C$5,$C$7,H$1,H$2,$A108)</f>
        <v>39048.28</v>
      </c>
      <c r="I108" s="31">
        <f>_xll.DBRW($C$1,$C$2,$C$3,$C$4,$C$6,$C$5,$C$7,I$1,I$2,$A108)</f>
        <v>0</v>
      </c>
      <c r="J108" s="31">
        <f>_xll.DBRW($C$1,$C$2,$C$3,$C$4,$C$6,$C$5,$C$7,J$1,J$2,$A108)</f>
        <v>0</v>
      </c>
      <c r="K108" s="31">
        <f>_xll.DBRW($C$1,$C$2,$C$3,$C$4,$C$6,$C$5,$C$7,K$1,K$2,$A108)</f>
        <v>0</v>
      </c>
      <c r="L108" s="31">
        <f>_xll.DBRW($C$1,$C$2,$C$3,$C$4,$C$6,$C$5,$C$7,L$1,L$2,$A108)</f>
        <v>0</v>
      </c>
      <c r="M108" s="31">
        <f>_xll.DBRW($C$1,$C$2,$C$3,$C$4,$C$6,$C$5,$C$7,M$1,M$2,$A108)</f>
        <v>0</v>
      </c>
      <c r="N108" s="31">
        <f>_xll.DBRW($C$1,$C$2,$C$3,$C$4,$C$6,$C$5,$C$7,N$1,N$2,$A108)</f>
        <v>0</v>
      </c>
      <c r="O108" s="31">
        <f>_xll.DBRW($C$1,$C$2,$C$3,$C$4,$C$6,$C$5,$C$7,O$1,O$2,$A108)</f>
        <v>0</v>
      </c>
      <c r="P108" s="31">
        <f>_xll.DBRW($C$1,$C$2,$C$3,$C$4,$C$6,$C$5,$C$7,P$1,P$2,$A108)</f>
        <v>0</v>
      </c>
      <c r="Q108" s="31">
        <f>_xll.DBRW($C$1,$C$2,$C$3,$C$4,$C$6,$C$5,$C$7,Q$1,Q$2,$A108)</f>
        <v>0</v>
      </c>
      <c r="R108" s="31">
        <f>_xll.DBRW($C$1,$C$2,$C$3,$C$4,$C$6,$C$5,$C$7,R$1,R$2,$A108)</f>
        <v>0</v>
      </c>
      <c r="S108" s="31">
        <f>_xll.DBRW($C$1,$C$2,$C$3,$C$4,$C$6,$C$5,$C$7,S$1,S$2,$A108)</f>
        <v>0</v>
      </c>
      <c r="T108" s="31">
        <f>_xll.DBRW($C$1,$C$2,$C$3,$C$4,$C$6,$C$5,$C$7,T$1,T$2,$A108)</f>
        <v>0</v>
      </c>
      <c r="U108" s="31">
        <f>_xll.DBRW($C$1,$C$2,$C$3,$C$4,$C$6,$C$5,$C$7,U$1,U$2,$A108)</f>
        <v>0</v>
      </c>
      <c r="V108" s="31">
        <f>_xll.DBRW($C$1,$C$2,$C$3,$C$4,$C$6,$C$5,$C$7,V$1,V$2,$A108)</f>
        <v>0</v>
      </c>
      <c r="W108" s="31">
        <f>_xll.DBRW($C$1,$C$2,$C$3,$C$4,$C$6,$C$5,$C$7,W$1,W$2,$A108)</f>
        <v>0</v>
      </c>
      <c r="X108" s="31">
        <f>_xll.DBRW($C$1,$C$2,$C$3,$C$4,$C$6,$C$5,$C$7,X$1,X$2,$A108)</f>
        <v>0</v>
      </c>
      <c r="Y108" s="31">
        <f>_xll.DBRW($C$1,$C$2,$C$3,$C$4,$C$6,$C$5,$C$7,Y$1,Y$2,$A108)</f>
        <v>0</v>
      </c>
      <c r="Z108" s="31">
        <f>_xll.DBRW($C$1,$C$2,$C$3,$C$4,$C$6,$C$5,$C$7,Z$1,Z$2,$A108)</f>
        <v>0</v>
      </c>
      <c r="AA108" s="31">
        <f>_xll.DBRW($C$1,$C$2,$C$3,$C$4,$C$6,$C$5,$C$7,AA$1,AA$2,$A108)</f>
        <v>0</v>
      </c>
      <c r="AB108" s="31">
        <f>_xll.DBRW($C$1,$C$2,$C$3,$C$4,$C$6,$C$5,$C$7,AB$1,AB$2,$A108)</f>
        <v>0</v>
      </c>
      <c r="AC108" s="31">
        <f>_xll.DBRW($C$1,$C$2,$C$3,$C$4,$C$6,$C$5,$C$7,AC$1,AC$2,$A108)</f>
        <v>0</v>
      </c>
      <c r="AD108" s="31">
        <f>_xll.DBRW($C$1,$C$2,$C$3,$C$4,$C$6,$C$5,$C$7,AD$1,AD$2,$A108)</f>
        <v>0</v>
      </c>
      <c r="AE108" s="31">
        <f>_xll.DBRW($C$1,$C$2,$C$3,$C$4,$C$6,$C$5,$C$7,AE$1,AE$2,$A108)</f>
        <v>0</v>
      </c>
      <c r="AF108" s="31">
        <f>_xll.DBRW($C$1,$C$2,$C$3,$C$4,$C$6,$C$5,$C$7,AF$1,AF$2,$A108)</f>
        <v>0</v>
      </c>
      <c r="AG108" s="31">
        <f>_xll.DBRW($C$1,$C$2,$C$3,$C$4,$C$6,$C$5,$C$7,AG$1,AG$2,$A108)</f>
        <v>0</v>
      </c>
      <c r="AH108" s="31">
        <f>_xll.DBRW($C$1,$C$2,$C$3,$C$4,$C$6,$C$5,$C$7,AH$1,AH$2,$A108)</f>
        <v>0</v>
      </c>
      <c r="AI108" s="31">
        <f>_xll.DBRW($C$1,$C$2,$C$3,$C$4,$C$6,$C$5,$C$7,AI$1,AI$2,$A108)</f>
        <v>0</v>
      </c>
      <c r="AJ108" s="31">
        <f>_xll.DBRW($C$1,$C$2,$C$3,$C$4,$C$6,$C$5,$C$7,AJ$1,AJ$2,$A108)</f>
        <v>0</v>
      </c>
      <c r="AK108" s="31">
        <f>_xll.DBRW($C$1,$C$2,$C$3,$C$4,$C$6,$C$5,$C$7,AK$1,AK$2,$A108)</f>
        <v>0</v>
      </c>
      <c r="AL108" s="31">
        <f>_xll.DBRW($C$1,$C$2,$C$3,$C$4,$C$6,$C$5,$C$7,AL$1,AL$2,$A108)</f>
        <v>0</v>
      </c>
      <c r="AM108" s="31">
        <f>_xll.DBRW($C$1,$C$2,$C$3,$C$4,$C$6,$C$5,$C$7,AM$1,AM$2,$A108)</f>
        <v>0</v>
      </c>
      <c r="AN108" s="31">
        <f>_xll.DBRW($C$1,$C$2,$C$3,$C$4,$C$6,$C$5,$C$7,AN$1,AN$2,$A108)</f>
        <v>0</v>
      </c>
      <c r="AO108" s="31">
        <f>_xll.DBRW($C$1,$C$2,$C$3,$C$4,$C$6,$C$5,$C$7,AO$1,AO$2,$A108)</f>
        <v>0</v>
      </c>
      <c r="AP108" s="31">
        <f>_xll.DBRW($C$1,$C$2,$C$3,$C$4,$C$6,$C$5,$C$7,AP$1,AP$2,$A108)</f>
        <v>0</v>
      </c>
      <c r="AQ108" s="31">
        <f>_xll.DBRW($C$1,$C$2,$C$3,$C$4,$C$6,$C$5,$C$7,AQ$1,AQ$2,$A108)</f>
        <v>0</v>
      </c>
      <c r="AR108" s="31">
        <f>_xll.DBRW($C$1,$C$2,$C$3,$C$4,$C$6,$C$5,$C$7,AR$1,AR$2,$A108)</f>
        <v>0</v>
      </c>
      <c r="AS108" s="31">
        <f>_xll.DBRW($C$1,$C$2,$C$3,$C$4,$C$6,$C$5,$C$7,AS$1,AS$2,$A108)</f>
        <v>0</v>
      </c>
      <c r="AT108" s="31">
        <f>_xll.DBRW($C$1,$C$2,$C$3,$C$4,$C$6,$C$5,$C$7,AT$1,AT$2,$A108)</f>
        <v>0</v>
      </c>
      <c r="AU108" s="31">
        <f>_xll.DBRW($C$1,$C$2,$C$3,$C$4,$C$6,$C$5,$C$7,AU$1,AU$2,$A108)</f>
        <v>0</v>
      </c>
    </row>
    <row r="109" spans="1:47" ht="15.75" hidden="1" outlineLevel="1" collapsed="1">
      <c r="A109" s="1" t="s">
        <v>127</v>
      </c>
      <c r="C109" s="143"/>
      <c r="E109" s="14" t="s">
        <v>34</v>
      </c>
      <c r="F109" s="32">
        <f t="shared" ref="F109:T109" si="60">SUM(F99:F108)</f>
        <v>-9641538281.0518017</v>
      </c>
      <c r="G109" s="32">
        <f t="shared" si="60"/>
        <v>-10549838774.848602</v>
      </c>
      <c r="H109" s="32">
        <f t="shared" si="60"/>
        <v>-9082103070.276598</v>
      </c>
      <c r="I109" s="32">
        <f t="shared" si="60"/>
        <v>-571424212.71399999</v>
      </c>
      <c r="J109" s="32">
        <f t="shared" si="60"/>
        <v>-692805284.03199995</v>
      </c>
      <c r="K109" s="32">
        <f t="shared" si="60"/>
        <v>-1832441401.573</v>
      </c>
      <c r="L109" s="32">
        <f t="shared" si="60"/>
        <v>-2437164871.1242003</v>
      </c>
      <c r="M109" s="32">
        <f t="shared" si="60"/>
        <v>-3043944859.6082001</v>
      </c>
      <c r="N109" s="32">
        <f t="shared" si="60"/>
        <v>-3663161155.5258002</v>
      </c>
      <c r="O109" s="32">
        <f t="shared" si="60"/>
        <v>-3887573356.1524005</v>
      </c>
      <c r="P109" s="32">
        <f t="shared" si="60"/>
        <v>-4882425937.5089998</v>
      </c>
      <c r="Q109" s="32">
        <f t="shared" si="60"/>
        <v>-5486478863.2841997</v>
      </c>
      <c r="R109" s="32">
        <f t="shared" si="60"/>
        <v>-5564776378.3607988</v>
      </c>
      <c r="S109" s="32">
        <f t="shared" si="60"/>
        <v>-6292782671.6761999</v>
      </c>
      <c r="T109" s="32">
        <f t="shared" si="60"/>
        <v>-7412559704.9827995</v>
      </c>
      <c r="U109" s="32">
        <f>SUM(U99:U108)</f>
        <v>-7412559704.9827995</v>
      </c>
      <c r="V109" s="32">
        <f t="shared" ref="V109:AG109" si="61">SUM(V99:V108)</f>
        <v>0</v>
      </c>
      <c r="W109" s="32">
        <f t="shared" si="61"/>
        <v>0</v>
      </c>
      <c r="X109" s="32">
        <f t="shared" si="61"/>
        <v>0</v>
      </c>
      <c r="Y109" s="32">
        <f t="shared" si="61"/>
        <v>0</v>
      </c>
      <c r="Z109" s="32">
        <f t="shared" si="61"/>
        <v>0</v>
      </c>
      <c r="AA109" s="32">
        <f t="shared" si="61"/>
        <v>0</v>
      </c>
      <c r="AB109" s="32">
        <f t="shared" si="61"/>
        <v>0</v>
      </c>
      <c r="AC109" s="32">
        <f t="shared" si="61"/>
        <v>0</v>
      </c>
      <c r="AD109" s="32">
        <f t="shared" si="61"/>
        <v>0</v>
      </c>
      <c r="AE109" s="32">
        <f t="shared" si="61"/>
        <v>0</v>
      </c>
      <c r="AF109" s="32">
        <f t="shared" si="61"/>
        <v>0</v>
      </c>
      <c r="AG109" s="32">
        <f t="shared" si="61"/>
        <v>0</v>
      </c>
      <c r="AH109" s="32">
        <f>SUM(AH99:AH108)</f>
        <v>0</v>
      </c>
      <c r="AI109" s="32">
        <f t="shared" ref="AI109:AT109" si="62">SUM(AI99:AI108)</f>
        <v>0</v>
      </c>
      <c r="AJ109" s="32">
        <f t="shared" si="62"/>
        <v>0</v>
      </c>
      <c r="AK109" s="32">
        <f t="shared" si="62"/>
        <v>0</v>
      </c>
      <c r="AL109" s="32">
        <f t="shared" si="62"/>
        <v>0</v>
      </c>
      <c r="AM109" s="32">
        <f t="shared" si="62"/>
        <v>0</v>
      </c>
      <c r="AN109" s="32">
        <f t="shared" si="62"/>
        <v>0</v>
      </c>
      <c r="AO109" s="32">
        <f t="shared" si="62"/>
        <v>0</v>
      </c>
      <c r="AP109" s="32">
        <f t="shared" si="62"/>
        <v>0</v>
      </c>
      <c r="AQ109" s="32">
        <f t="shared" si="62"/>
        <v>0</v>
      </c>
      <c r="AR109" s="32">
        <f t="shared" si="62"/>
        <v>0</v>
      </c>
      <c r="AS109" s="32">
        <f t="shared" si="62"/>
        <v>0</v>
      </c>
      <c r="AT109" s="32">
        <f t="shared" si="62"/>
        <v>0</v>
      </c>
      <c r="AU109" s="32">
        <f>SUM(AU99:AU108)</f>
        <v>0</v>
      </c>
    </row>
    <row r="110" spans="1:47" ht="15.75" hidden="1" customHeight="1" outlineLevel="2">
      <c r="A110" s="1" t="s">
        <v>193</v>
      </c>
      <c r="C110" s="143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-84152569.345000044</v>
      </c>
      <c r="G110" s="32">
        <f>_xll.DBRW($C$1,$C$2,$C$3,$C$4,$C$6,$C$5,$C$7,G$1,G$2,$A110)</f>
        <v>-71620170.019999996</v>
      </c>
      <c r="H110" s="32">
        <f>_xll.DBRW($C$1,$C$2,$C$3,$C$4,$C$6,$C$5,$C$7,H$1,H$2,$A110)</f>
        <v>-70852746.030000001</v>
      </c>
      <c r="I110" s="32">
        <f>_xll.DBRW($C$1,$C$2,$C$3,$C$4,$C$6,$C$5,$C$7,I$1,I$2,$A110)</f>
        <v>-842883.88999999978</v>
      </c>
      <c r="J110" s="32">
        <f>_xll.DBRW($C$1,$C$2,$C$3,$C$4,$C$6,$C$5,$C$7,J$1,J$2,$A110)</f>
        <v>-4164892.1</v>
      </c>
      <c r="K110" s="32">
        <f>_xll.DBRW($C$1,$C$2,$C$3,$C$4,$C$6,$C$5,$C$7,K$1,K$2,$A110)</f>
        <v>-6430314.2000000011</v>
      </c>
      <c r="L110" s="32">
        <f>_xll.DBRW($C$1,$C$2,$C$3,$C$4,$C$6,$C$5,$C$7,L$1,L$2,$A110)</f>
        <v>-8749533.6500000022</v>
      </c>
      <c r="M110" s="32">
        <f>_xll.DBRW($C$1,$C$2,$C$3,$C$4,$C$6,$C$5,$C$7,M$1,M$2,$A110)</f>
        <v>-54202124.210000008</v>
      </c>
      <c r="N110" s="32">
        <f>_xll.DBRW($C$1,$C$2,$C$3,$C$4,$C$6,$C$5,$C$7,N$1,N$2,$A110)</f>
        <v>-56680207.770000011</v>
      </c>
      <c r="O110" s="32">
        <f>_xll.DBRW($C$1,$C$2,$C$3,$C$4,$C$6,$C$5,$C$7,O$1,O$2,$A110)</f>
        <v>-49549054.590000011</v>
      </c>
      <c r="P110" s="32">
        <f>_xll.DBRW($C$1,$C$2,$C$3,$C$4,$C$6,$C$5,$C$7,P$1,P$2,$A110)</f>
        <v>-18894654.350000009</v>
      </c>
      <c r="Q110" s="32">
        <f>_xll.DBRW($C$1,$C$2,$C$3,$C$4,$C$6,$C$5,$C$7,Q$1,Q$2,$A110)</f>
        <v>-20993888.29000001</v>
      </c>
      <c r="R110" s="32">
        <f>_xll.DBRW($C$1,$C$2,$C$3,$C$4,$C$6,$C$5,$C$7,R$1,R$2,$A110)</f>
        <v>-11589807.160000009</v>
      </c>
      <c r="S110" s="32">
        <f>_xll.DBRW($C$1,$C$2,$C$3,$C$4,$C$6,$C$5,$C$7,S$1,S$2,$A110)</f>
        <v>-10759487.40000001</v>
      </c>
      <c r="T110" s="32">
        <f>_xll.DBRW($C$1,$C$2,$C$3,$C$4,$C$6,$C$5,$C$7,T$1,T$2,$A110)</f>
        <v>-27576917.800000012</v>
      </c>
      <c r="U110" s="32">
        <f>_xll.DBRW($C$1,$C$2,$C$3,$C$4,$C$6,$C$5,$C$7,U$1,U$2,$A110)</f>
        <v>-27576917.800000012</v>
      </c>
      <c r="V110" s="32">
        <f>_xll.DBRW($C$1,$C$2,$C$3,$C$4,$C$6,$C$5,$C$7,V$1,V$2,$A110)</f>
        <v>0</v>
      </c>
      <c r="W110" s="32">
        <f>_xll.DBRW($C$1,$C$2,$C$3,$C$4,$C$6,$C$5,$C$7,W$1,W$2,$A110)</f>
        <v>0</v>
      </c>
      <c r="X110" s="32">
        <f>_xll.DBRW($C$1,$C$2,$C$3,$C$4,$C$6,$C$5,$C$7,X$1,X$2,$A110)</f>
        <v>0</v>
      </c>
      <c r="Y110" s="32">
        <f>_xll.DBRW($C$1,$C$2,$C$3,$C$4,$C$6,$C$5,$C$7,Y$1,Y$2,$A110)</f>
        <v>0</v>
      </c>
      <c r="Z110" s="32">
        <f>_xll.DBRW($C$1,$C$2,$C$3,$C$4,$C$6,$C$5,$C$7,Z$1,Z$2,$A110)</f>
        <v>0</v>
      </c>
      <c r="AA110" s="32">
        <f>_xll.DBRW($C$1,$C$2,$C$3,$C$4,$C$6,$C$5,$C$7,AA$1,AA$2,$A110)</f>
        <v>0</v>
      </c>
      <c r="AB110" s="32">
        <f>_xll.DBRW($C$1,$C$2,$C$3,$C$4,$C$6,$C$5,$C$7,AB$1,AB$2,$A110)</f>
        <v>0</v>
      </c>
      <c r="AC110" s="32">
        <f>_xll.DBRW($C$1,$C$2,$C$3,$C$4,$C$6,$C$5,$C$7,AC$1,AC$2,$A110)</f>
        <v>0</v>
      </c>
      <c r="AD110" s="32">
        <f>_xll.DBRW($C$1,$C$2,$C$3,$C$4,$C$6,$C$5,$C$7,AD$1,AD$2,$A110)</f>
        <v>0</v>
      </c>
      <c r="AE110" s="32">
        <f>_xll.DBRW($C$1,$C$2,$C$3,$C$4,$C$6,$C$5,$C$7,AE$1,AE$2,$A110)</f>
        <v>0</v>
      </c>
      <c r="AF110" s="32">
        <f>_xll.DBRW($C$1,$C$2,$C$3,$C$4,$C$6,$C$5,$C$7,AF$1,AF$2,$A110)</f>
        <v>0</v>
      </c>
      <c r="AG110" s="32">
        <f>_xll.DBRW($C$1,$C$2,$C$3,$C$4,$C$6,$C$5,$C$7,AG$1,AG$2,$A110)</f>
        <v>0</v>
      </c>
      <c r="AH110" s="32">
        <f>_xll.DBRW($C$1,$C$2,$C$3,$C$4,$C$6,$C$5,$C$7,AH$1,AH$2,$A110)</f>
        <v>0</v>
      </c>
      <c r="AI110" s="32">
        <f>_xll.DBRW($C$1,$C$2,$C$3,$C$4,$C$6,$C$5,$C$7,AI$1,AI$2,$A110)</f>
        <v>0</v>
      </c>
      <c r="AJ110" s="32">
        <f>_xll.DBRW($C$1,$C$2,$C$3,$C$4,$C$6,$C$5,$C$7,AJ$1,AJ$2,$A110)</f>
        <v>0</v>
      </c>
      <c r="AK110" s="32">
        <f>_xll.DBRW($C$1,$C$2,$C$3,$C$4,$C$6,$C$5,$C$7,AK$1,AK$2,$A110)</f>
        <v>0</v>
      </c>
      <c r="AL110" s="32">
        <f>_xll.DBRW($C$1,$C$2,$C$3,$C$4,$C$6,$C$5,$C$7,AL$1,AL$2,$A110)</f>
        <v>0</v>
      </c>
      <c r="AM110" s="32">
        <f>_xll.DBRW($C$1,$C$2,$C$3,$C$4,$C$6,$C$5,$C$7,AM$1,AM$2,$A110)</f>
        <v>0</v>
      </c>
      <c r="AN110" s="32">
        <f>_xll.DBRW($C$1,$C$2,$C$3,$C$4,$C$6,$C$5,$C$7,AN$1,AN$2,$A110)</f>
        <v>0</v>
      </c>
      <c r="AO110" s="32">
        <f>_xll.DBRW($C$1,$C$2,$C$3,$C$4,$C$6,$C$5,$C$7,AO$1,AO$2,$A110)</f>
        <v>0</v>
      </c>
      <c r="AP110" s="32">
        <f>_xll.DBRW($C$1,$C$2,$C$3,$C$4,$C$6,$C$5,$C$7,AP$1,AP$2,$A110)</f>
        <v>0</v>
      </c>
      <c r="AQ110" s="32">
        <f>_xll.DBRW($C$1,$C$2,$C$3,$C$4,$C$6,$C$5,$C$7,AQ$1,AQ$2,$A110)</f>
        <v>0</v>
      </c>
      <c r="AR110" s="32">
        <f>_xll.DBRW($C$1,$C$2,$C$3,$C$4,$C$6,$C$5,$C$7,AR$1,AR$2,$A110)</f>
        <v>0</v>
      </c>
      <c r="AS110" s="32">
        <f>_xll.DBRW($C$1,$C$2,$C$3,$C$4,$C$6,$C$5,$C$7,AS$1,AS$2,$A110)</f>
        <v>0</v>
      </c>
      <c r="AT110" s="32">
        <f>_xll.DBRW($C$1,$C$2,$C$3,$C$4,$C$6,$C$5,$C$7,AT$1,AT$2,$A110)</f>
        <v>0</v>
      </c>
      <c r="AU110" s="32">
        <f>_xll.DBRW($C$1,$C$2,$C$3,$C$4,$C$6,$C$5,$C$7,AU$1,AU$2,$A110)</f>
        <v>0</v>
      </c>
    </row>
    <row r="111" spans="1:47" ht="15.75" hidden="1" customHeight="1" outlineLevel="2">
      <c r="A111" s="1" t="s">
        <v>194</v>
      </c>
      <c r="C111" s="143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-222910545.01999998</v>
      </c>
      <c r="G111" s="32">
        <f>_xll.DBRW($C$1,$C$2,$C$3,$C$4,$C$6,$C$5,$C$7,G$1,G$2,$A111)</f>
        <v>-286096663.01999998</v>
      </c>
      <c r="H111" s="32">
        <f>_xll.DBRW($C$1,$C$2,$C$3,$C$4,$C$6,$C$5,$C$7,H$1,H$2,$A111)</f>
        <v>94880548.020000011</v>
      </c>
      <c r="I111" s="32">
        <f>_xll.DBRW($C$1,$C$2,$C$3,$C$4,$C$6,$C$5,$C$7,I$1,I$2,$A111)</f>
        <v>-3704329.46</v>
      </c>
      <c r="J111" s="32">
        <f>_xll.DBRW($C$1,$C$2,$C$3,$C$4,$C$6,$C$5,$C$7,J$1,J$2,$A111)</f>
        <v>-11010397.449999999</v>
      </c>
      <c r="K111" s="32">
        <f>_xll.DBRW($C$1,$C$2,$C$3,$C$4,$C$6,$C$5,$C$7,K$1,K$2,$A111)</f>
        <v>-21786127.469999999</v>
      </c>
      <c r="L111" s="32">
        <f>_xll.DBRW($C$1,$C$2,$C$3,$C$4,$C$6,$C$5,$C$7,L$1,L$2,$A111)</f>
        <v>-29411040.459999997</v>
      </c>
      <c r="M111" s="32">
        <f>_xll.DBRW($C$1,$C$2,$C$3,$C$4,$C$6,$C$5,$C$7,M$1,M$2,$A111)</f>
        <v>-39324024.259999998</v>
      </c>
      <c r="N111" s="32">
        <f>_xll.DBRW($C$1,$C$2,$C$3,$C$4,$C$6,$C$5,$C$7,N$1,N$2,$A111)</f>
        <v>-42941987.989999995</v>
      </c>
      <c r="O111" s="32">
        <f>_xll.DBRW($C$1,$C$2,$C$3,$C$4,$C$6,$C$5,$C$7,O$1,O$2,$A111)</f>
        <v>-45571106.859999992</v>
      </c>
      <c r="P111" s="32">
        <f>_xll.DBRW($C$1,$C$2,$C$3,$C$4,$C$6,$C$5,$C$7,P$1,P$2,$A111)</f>
        <v>-21158591.11999999</v>
      </c>
      <c r="Q111" s="32">
        <f>_xll.DBRW($C$1,$C$2,$C$3,$C$4,$C$6,$C$5,$C$7,Q$1,Q$2,$A111)</f>
        <v>-674398337.70999992</v>
      </c>
      <c r="R111" s="32">
        <f>_xll.DBRW($C$1,$C$2,$C$3,$C$4,$C$6,$C$5,$C$7,R$1,R$2,$A111)</f>
        <v>-698420056.61999989</v>
      </c>
      <c r="S111" s="32">
        <f>_xll.DBRW($C$1,$C$2,$C$3,$C$4,$C$6,$C$5,$C$7,S$1,S$2,$A111)</f>
        <v>-723291394.45999992</v>
      </c>
      <c r="T111" s="32">
        <f>_xll.DBRW($C$1,$C$2,$C$3,$C$4,$C$6,$C$5,$C$7,T$1,T$2,$A111)</f>
        <v>-749097000.93999994</v>
      </c>
      <c r="U111" s="32">
        <f>_xll.DBRW($C$1,$C$2,$C$3,$C$4,$C$6,$C$5,$C$7,U$1,U$2,$A111)</f>
        <v>-749097000.93999994</v>
      </c>
      <c r="V111" s="32">
        <f>_xll.DBRW($C$1,$C$2,$C$3,$C$4,$C$6,$C$5,$C$7,V$1,V$2,$A111)</f>
        <v>0</v>
      </c>
      <c r="W111" s="32">
        <f>_xll.DBRW($C$1,$C$2,$C$3,$C$4,$C$6,$C$5,$C$7,W$1,W$2,$A111)</f>
        <v>0</v>
      </c>
      <c r="X111" s="32">
        <f>_xll.DBRW($C$1,$C$2,$C$3,$C$4,$C$6,$C$5,$C$7,X$1,X$2,$A111)</f>
        <v>0</v>
      </c>
      <c r="Y111" s="32">
        <f>_xll.DBRW($C$1,$C$2,$C$3,$C$4,$C$6,$C$5,$C$7,Y$1,Y$2,$A111)</f>
        <v>0</v>
      </c>
      <c r="Z111" s="32">
        <f>_xll.DBRW($C$1,$C$2,$C$3,$C$4,$C$6,$C$5,$C$7,Z$1,Z$2,$A111)</f>
        <v>0</v>
      </c>
      <c r="AA111" s="32">
        <f>_xll.DBRW($C$1,$C$2,$C$3,$C$4,$C$6,$C$5,$C$7,AA$1,AA$2,$A111)</f>
        <v>0</v>
      </c>
      <c r="AB111" s="32">
        <f>_xll.DBRW($C$1,$C$2,$C$3,$C$4,$C$6,$C$5,$C$7,AB$1,AB$2,$A111)</f>
        <v>0</v>
      </c>
      <c r="AC111" s="32">
        <f>_xll.DBRW($C$1,$C$2,$C$3,$C$4,$C$6,$C$5,$C$7,AC$1,AC$2,$A111)</f>
        <v>0</v>
      </c>
      <c r="AD111" s="32">
        <f>_xll.DBRW($C$1,$C$2,$C$3,$C$4,$C$6,$C$5,$C$7,AD$1,AD$2,$A111)</f>
        <v>0</v>
      </c>
      <c r="AE111" s="32">
        <f>_xll.DBRW($C$1,$C$2,$C$3,$C$4,$C$6,$C$5,$C$7,AE$1,AE$2,$A111)</f>
        <v>0</v>
      </c>
      <c r="AF111" s="32">
        <f>_xll.DBRW($C$1,$C$2,$C$3,$C$4,$C$6,$C$5,$C$7,AF$1,AF$2,$A111)</f>
        <v>0</v>
      </c>
      <c r="AG111" s="32">
        <f>_xll.DBRW($C$1,$C$2,$C$3,$C$4,$C$6,$C$5,$C$7,AG$1,AG$2,$A111)</f>
        <v>0</v>
      </c>
      <c r="AH111" s="32">
        <f>_xll.DBRW($C$1,$C$2,$C$3,$C$4,$C$6,$C$5,$C$7,AH$1,AH$2,$A111)</f>
        <v>0</v>
      </c>
      <c r="AI111" s="32">
        <f>_xll.DBRW($C$1,$C$2,$C$3,$C$4,$C$6,$C$5,$C$7,AI$1,AI$2,$A111)</f>
        <v>0</v>
      </c>
      <c r="AJ111" s="32">
        <f>_xll.DBRW($C$1,$C$2,$C$3,$C$4,$C$6,$C$5,$C$7,AJ$1,AJ$2,$A111)</f>
        <v>0</v>
      </c>
      <c r="AK111" s="32">
        <f>_xll.DBRW($C$1,$C$2,$C$3,$C$4,$C$6,$C$5,$C$7,AK$1,AK$2,$A111)</f>
        <v>0</v>
      </c>
      <c r="AL111" s="32">
        <f>_xll.DBRW($C$1,$C$2,$C$3,$C$4,$C$6,$C$5,$C$7,AL$1,AL$2,$A111)</f>
        <v>0</v>
      </c>
      <c r="AM111" s="32">
        <f>_xll.DBRW($C$1,$C$2,$C$3,$C$4,$C$6,$C$5,$C$7,AM$1,AM$2,$A111)</f>
        <v>0</v>
      </c>
      <c r="AN111" s="32">
        <f>_xll.DBRW($C$1,$C$2,$C$3,$C$4,$C$6,$C$5,$C$7,AN$1,AN$2,$A111)</f>
        <v>0</v>
      </c>
      <c r="AO111" s="32">
        <f>_xll.DBRW($C$1,$C$2,$C$3,$C$4,$C$6,$C$5,$C$7,AO$1,AO$2,$A111)</f>
        <v>0</v>
      </c>
      <c r="AP111" s="32">
        <f>_xll.DBRW($C$1,$C$2,$C$3,$C$4,$C$6,$C$5,$C$7,AP$1,AP$2,$A111)</f>
        <v>0</v>
      </c>
      <c r="AQ111" s="32">
        <f>_xll.DBRW($C$1,$C$2,$C$3,$C$4,$C$6,$C$5,$C$7,AQ$1,AQ$2,$A111)</f>
        <v>0</v>
      </c>
      <c r="AR111" s="32">
        <f>_xll.DBRW($C$1,$C$2,$C$3,$C$4,$C$6,$C$5,$C$7,AR$1,AR$2,$A111)</f>
        <v>0</v>
      </c>
      <c r="AS111" s="32">
        <f>_xll.DBRW($C$1,$C$2,$C$3,$C$4,$C$6,$C$5,$C$7,AS$1,AS$2,$A111)</f>
        <v>0</v>
      </c>
      <c r="AT111" s="32">
        <f>_xll.DBRW($C$1,$C$2,$C$3,$C$4,$C$6,$C$5,$C$7,AT$1,AT$2,$A111)</f>
        <v>0</v>
      </c>
      <c r="AU111" s="32">
        <f>_xll.DBRW($C$1,$C$2,$C$3,$C$4,$C$6,$C$5,$C$7,AU$1,AU$2,$A111)</f>
        <v>0</v>
      </c>
    </row>
    <row r="112" spans="1:47" ht="15.75" hidden="1" customHeight="1" outlineLevel="2">
      <c r="A112" s="1" t="s">
        <v>195</v>
      </c>
      <c r="C112" s="143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737589.46</v>
      </c>
      <c r="G112" s="32">
        <f>_xll.DBRW($C$1,$C$2,$C$3,$C$4,$C$6,$C$5,$C$7,G$1,G$2,$A112)</f>
        <v>7775616.209999999</v>
      </c>
      <c r="H112" s="32">
        <f>_xll.DBRW($C$1,$C$2,$C$3,$C$4,$C$6,$C$5,$C$7,H$1,H$2,$A112)</f>
        <v>10197836.830000002</v>
      </c>
      <c r="I112" s="32">
        <f>_xll.DBRW($C$1,$C$2,$C$3,$C$4,$C$6,$C$5,$C$7,I$1,I$2,$A112)</f>
        <v>175266.11</v>
      </c>
      <c r="J112" s="32">
        <f>_xll.DBRW($C$1,$C$2,$C$3,$C$4,$C$6,$C$5,$C$7,J$1,J$2,$A112)</f>
        <v>1506945.96</v>
      </c>
      <c r="K112" s="32">
        <f>_xll.DBRW($C$1,$C$2,$C$3,$C$4,$C$6,$C$5,$C$7,K$1,K$2,$A112)</f>
        <v>2488693.5699999998</v>
      </c>
      <c r="L112" s="32">
        <f>_xll.DBRW($C$1,$C$2,$C$3,$C$4,$C$6,$C$5,$C$7,L$1,L$2,$A112)</f>
        <v>3310037.04</v>
      </c>
      <c r="M112" s="32">
        <f>_xll.DBRW($C$1,$C$2,$C$3,$C$4,$C$6,$C$5,$C$7,M$1,M$2,$A112)</f>
        <v>4088907.21</v>
      </c>
      <c r="N112" s="32">
        <f>_xll.DBRW($C$1,$C$2,$C$3,$C$4,$C$6,$C$5,$C$7,N$1,N$2,$A112)</f>
        <v>4875790.7</v>
      </c>
      <c r="O112" s="32">
        <f>_xll.DBRW($C$1,$C$2,$C$3,$C$4,$C$6,$C$5,$C$7,O$1,O$2,$A112)</f>
        <v>1045876</v>
      </c>
      <c r="P112" s="32">
        <f>_xll.DBRW($C$1,$C$2,$C$3,$C$4,$C$6,$C$5,$C$7,P$1,P$2,$A112)</f>
        <v>6351207.0600000005</v>
      </c>
      <c r="Q112" s="32">
        <f>_xll.DBRW($C$1,$C$2,$C$3,$C$4,$C$6,$C$5,$C$7,Q$1,Q$2,$A112)</f>
        <v>7140382.4100000001</v>
      </c>
      <c r="R112" s="32">
        <f>_xll.DBRW($C$1,$C$2,$C$3,$C$4,$C$6,$C$5,$C$7,R$1,R$2,$A112)</f>
        <v>1354467.5799999996</v>
      </c>
      <c r="S112" s="32">
        <f>_xll.DBRW($C$1,$C$2,$C$3,$C$4,$C$6,$C$5,$C$7,S$1,S$2,$A112)</f>
        <v>8529884.6999999974</v>
      </c>
      <c r="T112" s="32">
        <f>_xll.DBRW($C$1,$C$2,$C$3,$C$4,$C$6,$C$5,$C$7,T$1,T$2,$A112)</f>
        <v>9710710.9299999978</v>
      </c>
      <c r="U112" s="32">
        <f>_xll.DBRW($C$1,$C$2,$C$3,$C$4,$C$6,$C$5,$C$7,U$1,U$2,$A112)</f>
        <v>9710710.9299999978</v>
      </c>
      <c r="V112" s="32">
        <f>_xll.DBRW($C$1,$C$2,$C$3,$C$4,$C$6,$C$5,$C$7,V$1,V$2,$A112)</f>
        <v>0</v>
      </c>
      <c r="W112" s="32">
        <f>_xll.DBRW($C$1,$C$2,$C$3,$C$4,$C$6,$C$5,$C$7,W$1,W$2,$A112)</f>
        <v>0</v>
      </c>
      <c r="X112" s="32">
        <f>_xll.DBRW($C$1,$C$2,$C$3,$C$4,$C$6,$C$5,$C$7,X$1,X$2,$A112)</f>
        <v>0</v>
      </c>
      <c r="Y112" s="32">
        <f>_xll.DBRW($C$1,$C$2,$C$3,$C$4,$C$6,$C$5,$C$7,Y$1,Y$2,$A112)</f>
        <v>0</v>
      </c>
      <c r="Z112" s="32">
        <f>_xll.DBRW($C$1,$C$2,$C$3,$C$4,$C$6,$C$5,$C$7,Z$1,Z$2,$A112)</f>
        <v>0</v>
      </c>
      <c r="AA112" s="32">
        <f>_xll.DBRW($C$1,$C$2,$C$3,$C$4,$C$6,$C$5,$C$7,AA$1,AA$2,$A112)</f>
        <v>0</v>
      </c>
      <c r="AB112" s="32">
        <f>_xll.DBRW($C$1,$C$2,$C$3,$C$4,$C$6,$C$5,$C$7,AB$1,AB$2,$A112)</f>
        <v>0</v>
      </c>
      <c r="AC112" s="32">
        <f>_xll.DBRW($C$1,$C$2,$C$3,$C$4,$C$6,$C$5,$C$7,AC$1,AC$2,$A112)</f>
        <v>0</v>
      </c>
      <c r="AD112" s="32">
        <f>_xll.DBRW($C$1,$C$2,$C$3,$C$4,$C$6,$C$5,$C$7,AD$1,AD$2,$A112)</f>
        <v>0</v>
      </c>
      <c r="AE112" s="32">
        <f>_xll.DBRW($C$1,$C$2,$C$3,$C$4,$C$6,$C$5,$C$7,AE$1,AE$2,$A112)</f>
        <v>0</v>
      </c>
      <c r="AF112" s="32">
        <f>_xll.DBRW($C$1,$C$2,$C$3,$C$4,$C$6,$C$5,$C$7,AF$1,AF$2,$A112)</f>
        <v>0</v>
      </c>
      <c r="AG112" s="32">
        <f>_xll.DBRW($C$1,$C$2,$C$3,$C$4,$C$6,$C$5,$C$7,AG$1,AG$2,$A112)</f>
        <v>0</v>
      </c>
      <c r="AH112" s="32">
        <f>_xll.DBRW($C$1,$C$2,$C$3,$C$4,$C$6,$C$5,$C$7,AH$1,AH$2,$A112)</f>
        <v>0</v>
      </c>
      <c r="AI112" s="32">
        <f>_xll.DBRW($C$1,$C$2,$C$3,$C$4,$C$6,$C$5,$C$7,AI$1,AI$2,$A112)</f>
        <v>0</v>
      </c>
      <c r="AJ112" s="32">
        <f>_xll.DBRW($C$1,$C$2,$C$3,$C$4,$C$6,$C$5,$C$7,AJ$1,AJ$2,$A112)</f>
        <v>0</v>
      </c>
      <c r="AK112" s="32">
        <f>_xll.DBRW($C$1,$C$2,$C$3,$C$4,$C$6,$C$5,$C$7,AK$1,AK$2,$A112)</f>
        <v>0</v>
      </c>
      <c r="AL112" s="32">
        <f>_xll.DBRW($C$1,$C$2,$C$3,$C$4,$C$6,$C$5,$C$7,AL$1,AL$2,$A112)</f>
        <v>0</v>
      </c>
      <c r="AM112" s="32">
        <f>_xll.DBRW($C$1,$C$2,$C$3,$C$4,$C$6,$C$5,$C$7,AM$1,AM$2,$A112)</f>
        <v>0</v>
      </c>
      <c r="AN112" s="32">
        <f>_xll.DBRW($C$1,$C$2,$C$3,$C$4,$C$6,$C$5,$C$7,AN$1,AN$2,$A112)</f>
        <v>0</v>
      </c>
      <c r="AO112" s="32">
        <f>_xll.DBRW($C$1,$C$2,$C$3,$C$4,$C$6,$C$5,$C$7,AO$1,AO$2,$A112)</f>
        <v>0</v>
      </c>
      <c r="AP112" s="32">
        <f>_xll.DBRW($C$1,$C$2,$C$3,$C$4,$C$6,$C$5,$C$7,AP$1,AP$2,$A112)</f>
        <v>0</v>
      </c>
      <c r="AQ112" s="32">
        <f>_xll.DBRW($C$1,$C$2,$C$3,$C$4,$C$6,$C$5,$C$7,AQ$1,AQ$2,$A112)</f>
        <v>0</v>
      </c>
      <c r="AR112" s="32">
        <f>_xll.DBRW($C$1,$C$2,$C$3,$C$4,$C$6,$C$5,$C$7,AR$1,AR$2,$A112)</f>
        <v>0</v>
      </c>
      <c r="AS112" s="32">
        <f>_xll.DBRW($C$1,$C$2,$C$3,$C$4,$C$6,$C$5,$C$7,AS$1,AS$2,$A112)</f>
        <v>0</v>
      </c>
      <c r="AT112" s="32">
        <f>_xll.DBRW($C$1,$C$2,$C$3,$C$4,$C$6,$C$5,$C$7,AT$1,AT$2,$A112)</f>
        <v>0</v>
      </c>
      <c r="AU112" s="32">
        <f>_xll.DBRW($C$1,$C$2,$C$3,$C$4,$C$6,$C$5,$C$7,AU$1,AU$2,$A112)</f>
        <v>0</v>
      </c>
    </row>
    <row r="113" spans="1:47" ht="15.75" hidden="1" outlineLevel="1">
      <c r="A113" s="1" t="s">
        <v>127</v>
      </c>
      <c r="C113" s="143"/>
      <c r="E113" s="15" t="s">
        <v>32</v>
      </c>
      <c r="F113" s="33">
        <f t="shared" ref="F113:T113" si="63">SUM(F110:F112)</f>
        <v>-306325524.90500003</v>
      </c>
      <c r="G113" s="33">
        <f t="shared" si="63"/>
        <v>-349941216.82999998</v>
      </c>
      <c r="H113" s="33">
        <f t="shared" si="63"/>
        <v>34225638.820000008</v>
      </c>
      <c r="I113" s="33">
        <f t="shared" si="63"/>
        <v>-4371947.2399999993</v>
      </c>
      <c r="J113" s="33">
        <f t="shared" si="63"/>
        <v>-13668343.59</v>
      </c>
      <c r="K113" s="33">
        <f t="shared" si="63"/>
        <v>-25727748.100000001</v>
      </c>
      <c r="L113" s="33">
        <f t="shared" si="63"/>
        <v>-34850537.07</v>
      </c>
      <c r="M113" s="33">
        <f t="shared" si="63"/>
        <v>-89437241.260000005</v>
      </c>
      <c r="N113" s="33">
        <f t="shared" si="63"/>
        <v>-94746405.060000002</v>
      </c>
      <c r="O113" s="33">
        <f t="shared" si="63"/>
        <v>-94074285.450000003</v>
      </c>
      <c r="P113" s="33">
        <f t="shared" si="63"/>
        <v>-33702038.409999996</v>
      </c>
      <c r="Q113" s="33">
        <f t="shared" si="63"/>
        <v>-688251843.58999991</v>
      </c>
      <c r="R113" s="33">
        <f t="shared" si="63"/>
        <v>-708655396.19999981</v>
      </c>
      <c r="S113" s="33">
        <f t="shared" si="63"/>
        <v>-725520997.15999985</v>
      </c>
      <c r="T113" s="33">
        <f t="shared" si="63"/>
        <v>-766963207.81000006</v>
      </c>
      <c r="U113" s="33">
        <f>SUM(U110:U112)</f>
        <v>-766963207.81000006</v>
      </c>
      <c r="V113" s="33">
        <f t="shared" ref="V113:AG113" si="64">SUM(V110:V112)</f>
        <v>0</v>
      </c>
      <c r="W113" s="33">
        <f t="shared" si="64"/>
        <v>0</v>
      </c>
      <c r="X113" s="33">
        <f t="shared" si="64"/>
        <v>0</v>
      </c>
      <c r="Y113" s="33">
        <f t="shared" si="64"/>
        <v>0</v>
      </c>
      <c r="Z113" s="33">
        <f t="shared" si="64"/>
        <v>0</v>
      </c>
      <c r="AA113" s="33">
        <f t="shared" si="64"/>
        <v>0</v>
      </c>
      <c r="AB113" s="33">
        <f t="shared" si="64"/>
        <v>0</v>
      </c>
      <c r="AC113" s="33">
        <f t="shared" si="64"/>
        <v>0</v>
      </c>
      <c r="AD113" s="33">
        <f t="shared" si="64"/>
        <v>0</v>
      </c>
      <c r="AE113" s="33">
        <f t="shared" si="64"/>
        <v>0</v>
      </c>
      <c r="AF113" s="33">
        <f t="shared" si="64"/>
        <v>0</v>
      </c>
      <c r="AG113" s="33">
        <f t="shared" si="64"/>
        <v>0</v>
      </c>
      <c r="AH113" s="33">
        <f>SUM(AH110:AH112)</f>
        <v>0</v>
      </c>
      <c r="AI113" s="33">
        <f t="shared" ref="AI113:AT113" si="65">SUM(AI110:AI112)</f>
        <v>0</v>
      </c>
      <c r="AJ113" s="33">
        <f t="shared" si="65"/>
        <v>0</v>
      </c>
      <c r="AK113" s="33">
        <f t="shared" si="65"/>
        <v>0</v>
      </c>
      <c r="AL113" s="33">
        <f t="shared" si="65"/>
        <v>0</v>
      </c>
      <c r="AM113" s="33">
        <f t="shared" si="65"/>
        <v>0</v>
      </c>
      <c r="AN113" s="33">
        <f t="shared" si="65"/>
        <v>0</v>
      </c>
      <c r="AO113" s="33">
        <f t="shared" si="65"/>
        <v>0</v>
      </c>
      <c r="AP113" s="33">
        <f t="shared" si="65"/>
        <v>0</v>
      </c>
      <c r="AQ113" s="33">
        <f t="shared" si="65"/>
        <v>0</v>
      </c>
      <c r="AR113" s="33">
        <f t="shared" si="65"/>
        <v>0</v>
      </c>
      <c r="AS113" s="33">
        <f t="shared" si="65"/>
        <v>0</v>
      </c>
      <c r="AT113" s="33">
        <f t="shared" si="65"/>
        <v>0</v>
      </c>
      <c r="AU113" s="33">
        <f>SUM(AU110:AU112)</f>
        <v>0</v>
      </c>
    </row>
    <row r="114" spans="1:47" ht="15.75" collapsed="1">
      <c r="A114" s="1" t="s">
        <v>127</v>
      </c>
      <c r="C114" s="143"/>
      <c r="E114" s="120" t="s">
        <v>35</v>
      </c>
      <c r="F114" s="121">
        <f t="shared" ref="F114:T114" si="66">F113+F109</f>
        <v>-9947863805.9568024</v>
      </c>
      <c r="G114" s="121">
        <f t="shared" si="66"/>
        <v>-10899779991.678602</v>
      </c>
      <c r="H114" s="121">
        <f t="shared" si="66"/>
        <v>-9047877431.4565983</v>
      </c>
      <c r="I114" s="121">
        <f t="shared" si="66"/>
        <v>-575796159.954</v>
      </c>
      <c r="J114" s="121">
        <f t="shared" si="66"/>
        <v>-706473627.62199998</v>
      </c>
      <c r="K114" s="121">
        <f t="shared" si="66"/>
        <v>-1858169149.6729999</v>
      </c>
      <c r="L114" s="121">
        <f t="shared" si="66"/>
        <v>-2472015408.1942005</v>
      </c>
      <c r="M114" s="121">
        <f t="shared" si="66"/>
        <v>-3133382100.8682003</v>
      </c>
      <c r="N114" s="121">
        <f t="shared" si="66"/>
        <v>-3757907560.5858002</v>
      </c>
      <c r="O114" s="121">
        <f t="shared" si="66"/>
        <v>-3981647641.6024003</v>
      </c>
      <c r="P114" s="121">
        <f t="shared" si="66"/>
        <v>-4916127975.9189997</v>
      </c>
      <c r="Q114" s="121">
        <f t="shared" si="66"/>
        <v>-6174730706.8741999</v>
      </c>
      <c r="R114" s="121">
        <f t="shared" si="66"/>
        <v>-6273431774.5607986</v>
      </c>
      <c r="S114" s="121">
        <f t="shared" si="66"/>
        <v>-7018303668.8361998</v>
      </c>
      <c r="T114" s="121">
        <f t="shared" si="66"/>
        <v>-8179522912.7927999</v>
      </c>
      <c r="U114" s="121">
        <f>U113+U109</f>
        <v>-8179522912.7927999</v>
      </c>
      <c r="V114" s="121">
        <f t="shared" ref="V114:AG114" si="67">V113+V109</f>
        <v>0</v>
      </c>
      <c r="W114" s="121">
        <f t="shared" si="67"/>
        <v>0</v>
      </c>
      <c r="X114" s="121">
        <f t="shared" si="67"/>
        <v>0</v>
      </c>
      <c r="Y114" s="121">
        <f t="shared" si="67"/>
        <v>0</v>
      </c>
      <c r="Z114" s="121">
        <f t="shared" si="67"/>
        <v>0</v>
      </c>
      <c r="AA114" s="121">
        <f t="shared" si="67"/>
        <v>0</v>
      </c>
      <c r="AB114" s="121">
        <f t="shared" si="67"/>
        <v>0</v>
      </c>
      <c r="AC114" s="121">
        <f t="shared" si="67"/>
        <v>0</v>
      </c>
      <c r="AD114" s="121">
        <f t="shared" si="67"/>
        <v>0</v>
      </c>
      <c r="AE114" s="121">
        <f t="shared" si="67"/>
        <v>0</v>
      </c>
      <c r="AF114" s="121">
        <f t="shared" si="67"/>
        <v>0</v>
      </c>
      <c r="AG114" s="121">
        <f t="shared" si="67"/>
        <v>0</v>
      </c>
      <c r="AH114" s="121">
        <f>AH113+AH109</f>
        <v>0</v>
      </c>
      <c r="AI114" s="121">
        <f t="shared" ref="AI114:AT114" si="68">AI113+AI109</f>
        <v>0</v>
      </c>
      <c r="AJ114" s="121">
        <f t="shared" si="68"/>
        <v>0</v>
      </c>
      <c r="AK114" s="121">
        <f t="shared" si="68"/>
        <v>0</v>
      </c>
      <c r="AL114" s="121">
        <f t="shared" si="68"/>
        <v>0</v>
      </c>
      <c r="AM114" s="121">
        <f t="shared" si="68"/>
        <v>0</v>
      </c>
      <c r="AN114" s="121">
        <f t="shared" si="68"/>
        <v>0</v>
      </c>
      <c r="AO114" s="121">
        <f t="shared" si="68"/>
        <v>0</v>
      </c>
      <c r="AP114" s="121">
        <f t="shared" si="68"/>
        <v>0</v>
      </c>
      <c r="AQ114" s="121">
        <f t="shared" si="68"/>
        <v>0</v>
      </c>
      <c r="AR114" s="121">
        <f t="shared" si="68"/>
        <v>0</v>
      </c>
      <c r="AS114" s="121">
        <f t="shared" si="68"/>
        <v>0</v>
      </c>
      <c r="AT114" s="121">
        <f t="shared" si="68"/>
        <v>0</v>
      </c>
      <c r="AU114" s="121">
        <f>AU113+AU109</f>
        <v>0</v>
      </c>
    </row>
    <row r="115" spans="1:47" ht="15.75" hidden="1" customHeight="1" outlineLevel="1">
      <c r="A115" s="1" t="s">
        <v>196</v>
      </c>
      <c r="C115" s="143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-18991.66</v>
      </c>
      <c r="H115" s="31">
        <f>_xll.DBRW($C$1,$C$2,$C$3,$C$4,$C$6,$C$5,$C$7,H$1,H$2,$A115)</f>
        <v>-19105.490000000002</v>
      </c>
      <c r="I115" s="31">
        <f>_xll.DBRW($C$1,$C$2,$C$3,$C$4,$C$6,$C$5,$C$7,I$1,I$2,$A115)</f>
        <v>-4833.32</v>
      </c>
      <c r="J115" s="31">
        <f>_xll.DBRW($C$1,$C$2,$C$3,$C$4,$C$6,$C$5,$C$7,J$1,J$2,$A115)</f>
        <v>-12003.539999999999</v>
      </c>
      <c r="K115" s="31">
        <f>_xll.DBRW($C$1,$C$2,$C$3,$C$4,$C$6,$C$5,$C$7,K$1,K$2,$A115)</f>
        <v>-20816.839999999997</v>
      </c>
      <c r="L115" s="31">
        <f>_xll.DBRW($C$1,$C$2,$C$3,$C$4,$C$6,$C$5,$C$7,L$1,L$2,$A115)</f>
        <v>-27730.269999999997</v>
      </c>
      <c r="M115" s="31">
        <f>_xll.DBRW($C$1,$C$2,$C$3,$C$4,$C$6,$C$5,$C$7,M$1,M$2,$A115)</f>
        <v>-10345.139999999996</v>
      </c>
      <c r="N115" s="31">
        <f>_xll.DBRW($C$1,$C$2,$C$3,$C$4,$C$6,$C$5,$C$7,N$1,N$2,$A115)</f>
        <v>-43406.28</v>
      </c>
      <c r="O115" s="31">
        <f>_xll.DBRW($C$1,$C$2,$C$3,$C$4,$C$6,$C$5,$C$7,O$1,O$2,$A115)</f>
        <v>0</v>
      </c>
      <c r="P115" s="31">
        <f>_xll.DBRW($C$1,$C$2,$C$3,$C$4,$C$6,$C$5,$C$7,P$1,P$2,$A115)</f>
        <v>-57676.27</v>
      </c>
      <c r="Q115" s="31">
        <f>_xll.DBRW($C$1,$C$2,$C$3,$C$4,$C$6,$C$5,$C$7,Q$1,Q$2,$A115)</f>
        <v>-64149.42</v>
      </c>
      <c r="R115" s="31">
        <f>_xll.DBRW($C$1,$C$2,$C$3,$C$4,$C$6,$C$5,$C$7,R$1,R$2,$A115)</f>
        <v>-54768.11</v>
      </c>
      <c r="S115" s="31">
        <f>_xll.DBRW($C$1,$C$2,$C$3,$C$4,$C$6,$C$5,$C$7,S$1,S$2,$A115)</f>
        <v>-87276.03</v>
      </c>
      <c r="T115" s="31">
        <f>_xll.DBRW($C$1,$C$2,$C$3,$C$4,$C$6,$C$5,$C$7,T$1,T$2,$A115)</f>
        <v>-100769.31999999999</v>
      </c>
      <c r="U115" s="31">
        <f>_xll.DBRW($C$1,$C$2,$C$3,$C$4,$C$6,$C$5,$C$7,U$1,U$2,$A115)</f>
        <v>-100769.31999999999</v>
      </c>
      <c r="V115" s="31">
        <f>_xll.DBRW($C$1,$C$2,$C$3,$C$4,$C$6,$C$5,$C$7,V$1,V$2,$A115)</f>
        <v>0</v>
      </c>
      <c r="W115" s="31">
        <f>_xll.DBRW($C$1,$C$2,$C$3,$C$4,$C$6,$C$5,$C$7,W$1,W$2,$A115)</f>
        <v>0</v>
      </c>
      <c r="X115" s="31">
        <f>_xll.DBRW($C$1,$C$2,$C$3,$C$4,$C$6,$C$5,$C$7,X$1,X$2,$A115)</f>
        <v>0</v>
      </c>
      <c r="Y115" s="31">
        <f>_xll.DBRW($C$1,$C$2,$C$3,$C$4,$C$6,$C$5,$C$7,Y$1,Y$2,$A115)</f>
        <v>0</v>
      </c>
      <c r="Z115" s="31">
        <f>_xll.DBRW($C$1,$C$2,$C$3,$C$4,$C$6,$C$5,$C$7,Z$1,Z$2,$A115)</f>
        <v>0</v>
      </c>
      <c r="AA115" s="31">
        <f>_xll.DBRW($C$1,$C$2,$C$3,$C$4,$C$6,$C$5,$C$7,AA$1,AA$2,$A115)</f>
        <v>0</v>
      </c>
      <c r="AB115" s="31">
        <f>_xll.DBRW($C$1,$C$2,$C$3,$C$4,$C$6,$C$5,$C$7,AB$1,AB$2,$A115)</f>
        <v>0</v>
      </c>
      <c r="AC115" s="31">
        <f>_xll.DBRW($C$1,$C$2,$C$3,$C$4,$C$6,$C$5,$C$7,AC$1,AC$2,$A115)</f>
        <v>0</v>
      </c>
      <c r="AD115" s="31">
        <f>_xll.DBRW($C$1,$C$2,$C$3,$C$4,$C$6,$C$5,$C$7,AD$1,AD$2,$A115)</f>
        <v>0</v>
      </c>
      <c r="AE115" s="31">
        <f>_xll.DBRW($C$1,$C$2,$C$3,$C$4,$C$6,$C$5,$C$7,AE$1,AE$2,$A115)</f>
        <v>0</v>
      </c>
      <c r="AF115" s="31">
        <f>_xll.DBRW($C$1,$C$2,$C$3,$C$4,$C$6,$C$5,$C$7,AF$1,AF$2,$A115)</f>
        <v>0</v>
      </c>
      <c r="AG115" s="31">
        <f>_xll.DBRW($C$1,$C$2,$C$3,$C$4,$C$6,$C$5,$C$7,AG$1,AG$2,$A115)</f>
        <v>0</v>
      </c>
      <c r="AH115" s="31">
        <f>_xll.DBRW($C$1,$C$2,$C$3,$C$4,$C$6,$C$5,$C$7,AH$1,AH$2,$A115)</f>
        <v>0</v>
      </c>
      <c r="AI115" s="31">
        <f>_xll.DBRW($C$1,$C$2,$C$3,$C$4,$C$6,$C$5,$C$7,AI$1,AI$2,$A115)</f>
        <v>0</v>
      </c>
      <c r="AJ115" s="31">
        <f>_xll.DBRW($C$1,$C$2,$C$3,$C$4,$C$6,$C$5,$C$7,AJ$1,AJ$2,$A115)</f>
        <v>0</v>
      </c>
      <c r="AK115" s="31">
        <f>_xll.DBRW($C$1,$C$2,$C$3,$C$4,$C$6,$C$5,$C$7,AK$1,AK$2,$A115)</f>
        <v>0</v>
      </c>
      <c r="AL115" s="31">
        <f>_xll.DBRW($C$1,$C$2,$C$3,$C$4,$C$6,$C$5,$C$7,AL$1,AL$2,$A115)</f>
        <v>0</v>
      </c>
      <c r="AM115" s="31">
        <f>_xll.DBRW($C$1,$C$2,$C$3,$C$4,$C$6,$C$5,$C$7,AM$1,AM$2,$A115)</f>
        <v>0</v>
      </c>
      <c r="AN115" s="31">
        <f>_xll.DBRW($C$1,$C$2,$C$3,$C$4,$C$6,$C$5,$C$7,AN$1,AN$2,$A115)</f>
        <v>0</v>
      </c>
      <c r="AO115" s="31">
        <f>_xll.DBRW($C$1,$C$2,$C$3,$C$4,$C$6,$C$5,$C$7,AO$1,AO$2,$A115)</f>
        <v>0</v>
      </c>
      <c r="AP115" s="31">
        <f>_xll.DBRW($C$1,$C$2,$C$3,$C$4,$C$6,$C$5,$C$7,AP$1,AP$2,$A115)</f>
        <v>0</v>
      </c>
      <c r="AQ115" s="31">
        <f>_xll.DBRW($C$1,$C$2,$C$3,$C$4,$C$6,$C$5,$C$7,AQ$1,AQ$2,$A115)</f>
        <v>0</v>
      </c>
      <c r="AR115" s="31">
        <f>_xll.DBRW($C$1,$C$2,$C$3,$C$4,$C$6,$C$5,$C$7,AR$1,AR$2,$A115)</f>
        <v>0</v>
      </c>
      <c r="AS115" s="31">
        <f>_xll.DBRW($C$1,$C$2,$C$3,$C$4,$C$6,$C$5,$C$7,AS$1,AS$2,$A115)</f>
        <v>0</v>
      </c>
      <c r="AT115" s="31">
        <f>_xll.DBRW($C$1,$C$2,$C$3,$C$4,$C$6,$C$5,$C$7,AT$1,AT$2,$A115)</f>
        <v>0</v>
      </c>
      <c r="AU115" s="31">
        <f>_xll.DBRW($C$1,$C$2,$C$3,$C$4,$C$6,$C$5,$C$7,AU$1,AU$2,$A115)</f>
        <v>0</v>
      </c>
    </row>
    <row r="116" spans="1:47" ht="15.75" hidden="1" customHeight="1" outlineLevel="1">
      <c r="A116" s="1" t="s">
        <v>197</v>
      </c>
      <c r="C116" s="143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-35170627.460000001</v>
      </c>
      <c r="G116" s="31">
        <f>_xll.DBRW($C$1,$C$2,$C$3,$C$4,$C$6,$C$5,$C$7,G$1,G$2,$A116)</f>
        <v>-31161495.93</v>
      </c>
      <c r="H116" s="31">
        <f>_xll.DBRW($C$1,$C$2,$C$3,$C$4,$C$6,$C$5,$C$7,H$1,H$2,$A116)</f>
        <v>-42304879.369999997</v>
      </c>
      <c r="I116" s="31">
        <f>_xll.DBRW($C$1,$C$2,$C$3,$C$4,$C$6,$C$5,$C$7,I$1,I$2,$A116)</f>
        <v>-613471</v>
      </c>
      <c r="J116" s="31">
        <f>_xll.DBRW($C$1,$C$2,$C$3,$C$4,$C$6,$C$5,$C$7,J$1,J$2,$A116)</f>
        <v>-3487123.25</v>
      </c>
      <c r="K116" s="31">
        <f>_xll.DBRW($C$1,$C$2,$C$3,$C$4,$C$6,$C$5,$C$7,K$1,K$2,$A116)</f>
        <v>-6988547.1799999997</v>
      </c>
      <c r="L116" s="31">
        <f>_xll.DBRW($C$1,$C$2,$C$3,$C$4,$C$6,$C$5,$C$7,L$1,L$2,$A116)</f>
        <v>-7995407.6699999999</v>
      </c>
      <c r="M116" s="31">
        <f>_xll.DBRW($C$1,$C$2,$C$3,$C$4,$C$6,$C$5,$C$7,M$1,M$2,$A116)</f>
        <v>-10700266.17</v>
      </c>
      <c r="N116" s="31">
        <f>_xll.DBRW($C$1,$C$2,$C$3,$C$4,$C$6,$C$5,$C$7,N$1,N$2,$A116)</f>
        <v>-18782195.579999998</v>
      </c>
      <c r="O116" s="31">
        <f>_xll.DBRW($C$1,$C$2,$C$3,$C$4,$C$6,$C$5,$C$7,O$1,O$2,$A116)</f>
        <v>-2705866.9999999981</v>
      </c>
      <c r="P116" s="31">
        <f>_xll.DBRW($C$1,$C$2,$C$3,$C$4,$C$6,$C$5,$C$7,P$1,P$2,$A116)</f>
        <v>-21669565.869999997</v>
      </c>
      <c r="Q116" s="31">
        <f>_xll.DBRW($C$1,$C$2,$C$3,$C$4,$C$6,$C$5,$C$7,Q$1,Q$2,$A116)</f>
        <v>-24973940.069999997</v>
      </c>
      <c r="R116" s="31">
        <f>_xll.DBRW($C$1,$C$2,$C$3,$C$4,$C$6,$C$5,$C$7,R$1,R$2,$A116)</f>
        <v>-4552077.6599999983</v>
      </c>
      <c r="S116" s="31">
        <f>_xll.DBRW($C$1,$C$2,$C$3,$C$4,$C$6,$C$5,$C$7,S$1,S$2,$A116)</f>
        <v>-29250932.75</v>
      </c>
      <c r="T116" s="31">
        <f>_xll.DBRW($C$1,$C$2,$C$3,$C$4,$C$6,$C$5,$C$7,T$1,T$2,$A116)</f>
        <v>-34338365.709999993</v>
      </c>
      <c r="U116" s="31">
        <f>_xll.DBRW($C$1,$C$2,$C$3,$C$4,$C$6,$C$5,$C$7,U$1,U$2,$A116)</f>
        <v>-34338365.709999993</v>
      </c>
      <c r="V116" s="31">
        <f>_xll.DBRW($C$1,$C$2,$C$3,$C$4,$C$6,$C$5,$C$7,V$1,V$2,$A116)</f>
        <v>0</v>
      </c>
      <c r="W116" s="31">
        <f>_xll.DBRW($C$1,$C$2,$C$3,$C$4,$C$6,$C$5,$C$7,W$1,W$2,$A116)</f>
        <v>0</v>
      </c>
      <c r="X116" s="31">
        <f>_xll.DBRW($C$1,$C$2,$C$3,$C$4,$C$6,$C$5,$C$7,X$1,X$2,$A116)</f>
        <v>0</v>
      </c>
      <c r="Y116" s="31">
        <f>_xll.DBRW($C$1,$C$2,$C$3,$C$4,$C$6,$C$5,$C$7,Y$1,Y$2,$A116)</f>
        <v>0</v>
      </c>
      <c r="Z116" s="31">
        <f>_xll.DBRW($C$1,$C$2,$C$3,$C$4,$C$6,$C$5,$C$7,Z$1,Z$2,$A116)</f>
        <v>0</v>
      </c>
      <c r="AA116" s="31">
        <f>_xll.DBRW($C$1,$C$2,$C$3,$C$4,$C$6,$C$5,$C$7,AA$1,AA$2,$A116)</f>
        <v>0</v>
      </c>
      <c r="AB116" s="31">
        <f>_xll.DBRW($C$1,$C$2,$C$3,$C$4,$C$6,$C$5,$C$7,AB$1,AB$2,$A116)</f>
        <v>0</v>
      </c>
      <c r="AC116" s="31">
        <f>_xll.DBRW($C$1,$C$2,$C$3,$C$4,$C$6,$C$5,$C$7,AC$1,AC$2,$A116)</f>
        <v>0</v>
      </c>
      <c r="AD116" s="31">
        <f>_xll.DBRW($C$1,$C$2,$C$3,$C$4,$C$6,$C$5,$C$7,AD$1,AD$2,$A116)</f>
        <v>0</v>
      </c>
      <c r="AE116" s="31">
        <f>_xll.DBRW($C$1,$C$2,$C$3,$C$4,$C$6,$C$5,$C$7,AE$1,AE$2,$A116)</f>
        <v>0</v>
      </c>
      <c r="AF116" s="31">
        <f>_xll.DBRW($C$1,$C$2,$C$3,$C$4,$C$6,$C$5,$C$7,AF$1,AF$2,$A116)</f>
        <v>0</v>
      </c>
      <c r="AG116" s="31">
        <f>_xll.DBRW($C$1,$C$2,$C$3,$C$4,$C$6,$C$5,$C$7,AG$1,AG$2,$A116)</f>
        <v>0</v>
      </c>
      <c r="AH116" s="31">
        <f>_xll.DBRW($C$1,$C$2,$C$3,$C$4,$C$6,$C$5,$C$7,AH$1,AH$2,$A116)</f>
        <v>0</v>
      </c>
      <c r="AI116" s="31">
        <f>_xll.DBRW($C$1,$C$2,$C$3,$C$4,$C$6,$C$5,$C$7,AI$1,AI$2,$A116)</f>
        <v>0</v>
      </c>
      <c r="AJ116" s="31">
        <f>_xll.DBRW($C$1,$C$2,$C$3,$C$4,$C$6,$C$5,$C$7,AJ$1,AJ$2,$A116)</f>
        <v>0</v>
      </c>
      <c r="AK116" s="31">
        <f>_xll.DBRW($C$1,$C$2,$C$3,$C$4,$C$6,$C$5,$C$7,AK$1,AK$2,$A116)</f>
        <v>0</v>
      </c>
      <c r="AL116" s="31">
        <f>_xll.DBRW($C$1,$C$2,$C$3,$C$4,$C$6,$C$5,$C$7,AL$1,AL$2,$A116)</f>
        <v>0</v>
      </c>
      <c r="AM116" s="31">
        <f>_xll.DBRW($C$1,$C$2,$C$3,$C$4,$C$6,$C$5,$C$7,AM$1,AM$2,$A116)</f>
        <v>0</v>
      </c>
      <c r="AN116" s="31">
        <f>_xll.DBRW($C$1,$C$2,$C$3,$C$4,$C$6,$C$5,$C$7,AN$1,AN$2,$A116)</f>
        <v>0</v>
      </c>
      <c r="AO116" s="31">
        <f>_xll.DBRW($C$1,$C$2,$C$3,$C$4,$C$6,$C$5,$C$7,AO$1,AO$2,$A116)</f>
        <v>0</v>
      </c>
      <c r="AP116" s="31">
        <f>_xll.DBRW($C$1,$C$2,$C$3,$C$4,$C$6,$C$5,$C$7,AP$1,AP$2,$A116)</f>
        <v>0</v>
      </c>
      <c r="AQ116" s="31">
        <f>_xll.DBRW($C$1,$C$2,$C$3,$C$4,$C$6,$C$5,$C$7,AQ$1,AQ$2,$A116)</f>
        <v>0</v>
      </c>
      <c r="AR116" s="31">
        <f>_xll.DBRW($C$1,$C$2,$C$3,$C$4,$C$6,$C$5,$C$7,AR$1,AR$2,$A116)</f>
        <v>0</v>
      </c>
      <c r="AS116" s="31">
        <f>_xll.DBRW($C$1,$C$2,$C$3,$C$4,$C$6,$C$5,$C$7,AS$1,AS$2,$A116)</f>
        <v>0</v>
      </c>
      <c r="AT116" s="31">
        <f>_xll.DBRW($C$1,$C$2,$C$3,$C$4,$C$6,$C$5,$C$7,AT$1,AT$2,$A116)</f>
        <v>0</v>
      </c>
      <c r="AU116" s="31">
        <f>_xll.DBRW($C$1,$C$2,$C$3,$C$4,$C$6,$C$5,$C$7,AU$1,AU$2,$A116)</f>
        <v>0</v>
      </c>
    </row>
    <row r="117" spans="1:47" ht="15.75" hidden="1" customHeight="1" outlineLevel="1">
      <c r="A117" s="1" t="s">
        <v>198</v>
      </c>
      <c r="C117" s="143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-4870342.0000000009</v>
      </c>
      <c r="G117" s="31">
        <f>_xll.DBRW($C$1,$C$2,$C$3,$C$4,$C$6,$C$5,$C$7,G$1,G$2,$A117)</f>
        <v>-4135645.8600000003</v>
      </c>
      <c r="H117" s="31">
        <f>_xll.DBRW($C$1,$C$2,$C$3,$C$4,$C$6,$C$5,$C$7,H$1,H$2,$A117)</f>
        <v>-3719743.7699999996</v>
      </c>
      <c r="I117" s="31">
        <f>_xll.DBRW($C$1,$C$2,$C$3,$C$4,$C$6,$C$5,$C$7,I$1,I$2,$A117)</f>
        <v>0</v>
      </c>
      <c r="J117" s="31">
        <f>_xll.DBRW($C$1,$C$2,$C$3,$C$4,$C$6,$C$5,$C$7,J$1,J$2,$A117)</f>
        <v>-550993.69999999995</v>
      </c>
      <c r="K117" s="31">
        <f>_xll.DBRW($C$1,$C$2,$C$3,$C$4,$C$6,$C$5,$C$7,K$1,K$2,$A117)</f>
        <v>-864677.03999999992</v>
      </c>
      <c r="L117" s="31">
        <f>_xll.DBRW($C$1,$C$2,$C$3,$C$4,$C$6,$C$5,$C$7,L$1,L$2,$A117)</f>
        <v>-1154229.71</v>
      </c>
      <c r="M117" s="31">
        <f>_xll.DBRW($C$1,$C$2,$C$3,$C$4,$C$6,$C$5,$C$7,M$1,M$2,$A117)</f>
        <v>-1420815.8699999999</v>
      </c>
      <c r="N117" s="31">
        <f>_xll.DBRW($C$1,$C$2,$C$3,$C$4,$C$6,$C$5,$C$7,N$1,N$2,$A117)</f>
        <v>-1702199.39</v>
      </c>
      <c r="O117" s="31">
        <f>_xll.DBRW($C$1,$C$2,$C$3,$C$4,$C$6,$C$5,$C$7,O$1,O$2,$A117)</f>
        <v>0</v>
      </c>
      <c r="P117" s="31">
        <f>_xll.DBRW($C$1,$C$2,$C$3,$C$4,$C$6,$C$5,$C$7,P$1,P$2,$A117)</f>
        <v>-2317832.4399999995</v>
      </c>
      <c r="Q117" s="31">
        <f>_xll.DBRW($C$1,$C$2,$C$3,$C$4,$C$6,$C$5,$C$7,Q$1,Q$2,$A117)</f>
        <v>-2501110.9099999992</v>
      </c>
      <c r="R117" s="31">
        <f>_xll.DBRW($C$1,$C$2,$C$3,$C$4,$C$6,$C$5,$C$7,R$1,R$2,$A117)</f>
        <v>2.3283064365386963E-10</v>
      </c>
      <c r="S117" s="31">
        <f>_xll.DBRW($C$1,$C$2,$C$3,$C$4,$C$6,$C$5,$C$7,S$1,S$2,$A117)</f>
        <v>-2671885.33</v>
      </c>
      <c r="T117" s="31">
        <f>_xll.DBRW($C$1,$C$2,$C$3,$C$4,$C$6,$C$5,$C$7,T$1,T$2,$A117)</f>
        <v>-2484864.5099999998</v>
      </c>
      <c r="U117" s="31">
        <f>_xll.DBRW($C$1,$C$2,$C$3,$C$4,$C$6,$C$5,$C$7,U$1,U$2,$A117)</f>
        <v>-2484864.5099999998</v>
      </c>
      <c r="V117" s="31">
        <f>_xll.DBRW($C$1,$C$2,$C$3,$C$4,$C$6,$C$5,$C$7,V$1,V$2,$A117)</f>
        <v>0</v>
      </c>
      <c r="W117" s="31">
        <f>_xll.DBRW($C$1,$C$2,$C$3,$C$4,$C$6,$C$5,$C$7,W$1,W$2,$A117)</f>
        <v>0</v>
      </c>
      <c r="X117" s="31">
        <f>_xll.DBRW($C$1,$C$2,$C$3,$C$4,$C$6,$C$5,$C$7,X$1,X$2,$A117)</f>
        <v>0</v>
      </c>
      <c r="Y117" s="31">
        <f>_xll.DBRW($C$1,$C$2,$C$3,$C$4,$C$6,$C$5,$C$7,Y$1,Y$2,$A117)</f>
        <v>0</v>
      </c>
      <c r="Z117" s="31">
        <f>_xll.DBRW($C$1,$C$2,$C$3,$C$4,$C$6,$C$5,$C$7,Z$1,Z$2,$A117)</f>
        <v>0</v>
      </c>
      <c r="AA117" s="31">
        <f>_xll.DBRW($C$1,$C$2,$C$3,$C$4,$C$6,$C$5,$C$7,AA$1,AA$2,$A117)</f>
        <v>0</v>
      </c>
      <c r="AB117" s="31">
        <f>_xll.DBRW($C$1,$C$2,$C$3,$C$4,$C$6,$C$5,$C$7,AB$1,AB$2,$A117)</f>
        <v>0</v>
      </c>
      <c r="AC117" s="31">
        <f>_xll.DBRW($C$1,$C$2,$C$3,$C$4,$C$6,$C$5,$C$7,AC$1,AC$2,$A117)</f>
        <v>0</v>
      </c>
      <c r="AD117" s="31">
        <f>_xll.DBRW($C$1,$C$2,$C$3,$C$4,$C$6,$C$5,$C$7,AD$1,AD$2,$A117)</f>
        <v>0</v>
      </c>
      <c r="AE117" s="31">
        <f>_xll.DBRW($C$1,$C$2,$C$3,$C$4,$C$6,$C$5,$C$7,AE$1,AE$2,$A117)</f>
        <v>0</v>
      </c>
      <c r="AF117" s="31">
        <f>_xll.DBRW($C$1,$C$2,$C$3,$C$4,$C$6,$C$5,$C$7,AF$1,AF$2,$A117)</f>
        <v>0</v>
      </c>
      <c r="AG117" s="31">
        <f>_xll.DBRW($C$1,$C$2,$C$3,$C$4,$C$6,$C$5,$C$7,AG$1,AG$2,$A117)</f>
        <v>0</v>
      </c>
      <c r="AH117" s="31">
        <f>_xll.DBRW($C$1,$C$2,$C$3,$C$4,$C$6,$C$5,$C$7,AH$1,AH$2,$A117)</f>
        <v>0</v>
      </c>
      <c r="AI117" s="31">
        <f>_xll.DBRW($C$1,$C$2,$C$3,$C$4,$C$6,$C$5,$C$7,AI$1,AI$2,$A117)</f>
        <v>0</v>
      </c>
      <c r="AJ117" s="31">
        <f>_xll.DBRW($C$1,$C$2,$C$3,$C$4,$C$6,$C$5,$C$7,AJ$1,AJ$2,$A117)</f>
        <v>0</v>
      </c>
      <c r="AK117" s="31">
        <f>_xll.DBRW($C$1,$C$2,$C$3,$C$4,$C$6,$C$5,$C$7,AK$1,AK$2,$A117)</f>
        <v>0</v>
      </c>
      <c r="AL117" s="31">
        <f>_xll.DBRW($C$1,$C$2,$C$3,$C$4,$C$6,$C$5,$C$7,AL$1,AL$2,$A117)</f>
        <v>0</v>
      </c>
      <c r="AM117" s="31">
        <f>_xll.DBRW($C$1,$C$2,$C$3,$C$4,$C$6,$C$5,$C$7,AM$1,AM$2,$A117)</f>
        <v>0</v>
      </c>
      <c r="AN117" s="31">
        <f>_xll.DBRW($C$1,$C$2,$C$3,$C$4,$C$6,$C$5,$C$7,AN$1,AN$2,$A117)</f>
        <v>0</v>
      </c>
      <c r="AO117" s="31">
        <f>_xll.DBRW($C$1,$C$2,$C$3,$C$4,$C$6,$C$5,$C$7,AO$1,AO$2,$A117)</f>
        <v>0</v>
      </c>
      <c r="AP117" s="31">
        <f>_xll.DBRW($C$1,$C$2,$C$3,$C$4,$C$6,$C$5,$C$7,AP$1,AP$2,$A117)</f>
        <v>0</v>
      </c>
      <c r="AQ117" s="31">
        <f>_xll.DBRW($C$1,$C$2,$C$3,$C$4,$C$6,$C$5,$C$7,AQ$1,AQ$2,$A117)</f>
        <v>0</v>
      </c>
      <c r="AR117" s="31">
        <f>_xll.DBRW($C$1,$C$2,$C$3,$C$4,$C$6,$C$5,$C$7,AR$1,AR$2,$A117)</f>
        <v>0</v>
      </c>
      <c r="AS117" s="31">
        <f>_xll.DBRW($C$1,$C$2,$C$3,$C$4,$C$6,$C$5,$C$7,AS$1,AS$2,$A117)</f>
        <v>0</v>
      </c>
      <c r="AT117" s="31">
        <f>_xll.DBRW($C$1,$C$2,$C$3,$C$4,$C$6,$C$5,$C$7,AT$1,AT$2,$A117)</f>
        <v>0</v>
      </c>
      <c r="AU117" s="31">
        <f>_xll.DBRW($C$1,$C$2,$C$3,$C$4,$C$6,$C$5,$C$7,AU$1,AU$2,$A117)</f>
        <v>0</v>
      </c>
    </row>
    <row r="118" spans="1:47" ht="15.75" hidden="1" customHeight="1" outlineLevel="1">
      <c r="A118" s="1" t="s">
        <v>199</v>
      </c>
      <c r="C118" s="143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  <c r="I118" s="31">
        <f>_xll.DBRW($C$1,$C$2,$C$3,$C$4,$C$6,$C$5,$C$7,I$1,I$2,$A118)</f>
        <v>0</v>
      </c>
      <c r="J118" s="31">
        <f>_xll.DBRW($C$1,$C$2,$C$3,$C$4,$C$6,$C$5,$C$7,J$1,J$2,$A118)</f>
        <v>0</v>
      </c>
      <c r="K118" s="31">
        <f>_xll.DBRW($C$1,$C$2,$C$3,$C$4,$C$6,$C$5,$C$7,K$1,K$2,$A118)</f>
        <v>0</v>
      </c>
      <c r="L118" s="31">
        <f>_xll.DBRW($C$1,$C$2,$C$3,$C$4,$C$6,$C$5,$C$7,L$1,L$2,$A118)</f>
        <v>0</v>
      </c>
      <c r="M118" s="31">
        <f>_xll.DBRW($C$1,$C$2,$C$3,$C$4,$C$6,$C$5,$C$7,M$1,M$2,$A118)</f>
        <v>0</v>
      </c>
      <c r="N118" s="31">
        <f>_xll.DBRW($C$1,$C$2,$C$3,$C$4,$C$6,$C$5,$C$7,N$1,N$2,$A118)</f>
        <v>0</v>
      </c>
      <c r="O118" s="31">
        <f>_xll.DBRW($C$1,$C$2,$C$3,$C$4,$C$6,$C$5,$C$7,O$1,O$2,$A118)</f>
        <v>0</v>
      </c>
      <c r="P118" s="31">
        <f>_xll.DBRW($C$1,$C$2,$C$3,$C$4,$C$6,$C$5,$C$7,P$1,P$2,$A118)</f>
        <v>0</v>
      </c>
      <c r="Q118" s="31">
        <f>_xll.DBRW($C$1,$C$2,$C$3,$C$4,$C$6,$C$5,$C$7,Q$1,Q$2,$A118)</f>
        <v>-10417</v>
      </c>
      <c r="R118" s="31">
        <f>_xll.DBRW($C$1,$C$2,$C$3,$C$4,$C$6,$C$5,$C$7,R$1,R$2,$A118)</f>
        <v>-20834</v>
      </c>
      <c r="S118" s="31">
        <f>_xll.DBRW($C$1,$C$2,$C$3,$C$4,$C$6,$C$5,$C$7,S$1,S$2,$A118)</f>
        <v>-31250</v>
      </c>
      <c r="T118" s="31">
        <f>_xll.DBRW($C$1,$C$2,$C$3,$C$4,$C$6,$C$5,$C$7,T$1,T$2,$A118)</f>
        <v>0</v>
      </c>
      <c r="U118" s="31">
        <f>_xll.DBRW($C$1,$C$2,$C$3,$C$4,$C$6,$C$5,$C$7,U$1,U$2,$A118)</f>
        <v>0</v>
      </c>
      <c r="V118" s="31">
        <f>_xll.DBRW($C$1,$C$2,$C$3,$C$4,$C$6,$C$5,$C$7,V$1,V$2,$A118)</f>
        <v>0</v>
      </c>
      <c r="W118" s="31">
        <f>_xll.DBRW($C$1,$C$2,$C$3,$C$4,$C$6,$C$5,$C$7,W$1,W$2,$A118)</f>
        <v>0</v>
      </c>
      <c r="X118" s="31">
        <f>_xll.DBRW($C$1,$C$2,$C$3,$C$4,$C$6,$C$5,$C$7,X$1,X$2,$A118)</f>
        <v>0</v>
      </c>
      <c r="Y118" s="31">
        <f>_xll.DBRW($C$1,$C$2,$C$3,$C$4,$C$6,$C$5,$C$7,Y$1,Y$2,$A118)</f>
        <v>0</v>
      </c>
      <c r="Z118" s="31">
        <f>_xll.DBRW($C$1,$C$2,$C$3,$C$4,$C$6,$C$5,$C$7,Z$1,Z$2,$A118)</f>
        <v>0</v>
      </c>
      <c r="AA118" s="31">
        <f>_xll.DBRW($C$1,$C$2,$C$3,$C$4,$C$6,$C$5,$C$7,AA$1,AA$2,$A118)</f>
        <v>0</v>
      </c>
      <c r="AB118" s="31">
        <f>_xll.DBRW($C$1,$C$2,$C$3,$C$4,$C$6,$C$5,$C$7,AB$1,AB$2,$A118)</f>
        <v>0</v>
      </c>
      <c r="AC118" s="31">
        <f>_xll.DBRW($C$1,$C$2,$C$3,$C$4,$C$6,$C$5,$C$7,AC$1,AC$2,$A118)</f>
        <v>0</v>
      </c>
      <c r="AD118" s="31">
        <f>_xll.DBRW($C$1,$C$2,$C$3,$C$4,$C$6,$C$5,$C$7,AD$1,AD$2,$A118)</f>
        <v>0</v>
      </c>
      <c r="AE118" s="31">
        <f>_xll.DBRW($C$1,$C$2,$C$3,$C$4,$C$6,$C$5,$C$7,AE$1,AE$2,$A118)</f>
        <v>0</v>
      </c>
      <c r="AF118" s="31">
        <f>_xll.DBRW($C$1,$C$2,$C$3,$C$4,$C$6,$C$5,$C$7,AF$1,AF$2,$A118)</f>
        <v>0</v>
      </c>
      <c r="AG118" s="31">
        <f>_xll.DBRW($C$1,$C$2,$C$3,$C$4,$C$6,$C$5,$C$7,AG$1,AG$2,$A118)</f>
        <v>0</v>
      </c>
      <c r="AH118" s="31">
        <f>_xll.DBRW($C$1,$C$2,$C$3,$C$4,$C$6,$C$5,$C$7,AH$1,AH$2,$A118)</f>
        <v>0</v>
      </c>
      <c r="AI118" s="31">
        <f>_xll.DBRW($C$1,$C$2,$C$3,$C$4,$C$6,$C$5,$C$7,AI$1,AI$2,$A118)</f>
        <v>0</v>
      </c>
      <c r="AJ118" s="31">
        <f>_xll.DBRW($C$1,$C$2,$C$3,$C$4,$C$6,$C$5,$C$7,AJ$1,AJ$2,$A118)</f>
        <v>0</v>
      </c>
      <c r="AK118" s="31">
        <f>_xll.DBRW($C$1,$C$2,$C$3,$C$4,$C$6,$C$5,$C$7,AK$1,AK$2,$A118)</f>
        <v>0</v>
      </c>
      <c r="AL118" s="31">
        <f>_xll.DBRW($C$1,$C$2,$C$3,$C$4,$C$6,$C$5,$C$7,AL$1,AL$2,$A118)</f>
        <v>0</v>
      </c>
      <c r="AM118" s="31">
        <f>_xll.DBRW($C$1,$C$2,$C$3,$C$4,$C$6,$C$5,$C$7,AM$1,AM$2,$A118)</f>
        <v>0</v>
      </c>
      <c r="AN118" s="31">
        <f>_xll.DBRW($C$1,$C$2,$C$3,$C$4,$C$6,$C$5,$C$7,AN$1,AN$2,$A118)</f>
        <v>0</v>
      </c>
      <c r="AO118" s="31">
        <f>_xll.DBRW($C$1,$C$2,$C$3,$C$4,$C$6,$C$5,$C$7,AO$1,AO$2,$A118)</f>
        <v>0</v>
      </c>
      <c r="AP118" s="31">
        <f>_xll.DBRW($C$1,$C$2,$C$3,$C$4,$C$6,$C$5,$C$7,AP$1,AP$2,$A118)</f>
        <v>0</v>
      </c>
      <c r="AQ118" s="31">
        <f>_xll.DBRW($C$1,$C$2,$C$3,$C$4,$C$6,$C$5,$C$7,AQ$1,AQ$2,$A118)</f>
        <v>0</v>
      </c>
      <c r="AR118" s="31">
        <f>_xll.DBRW($C$1,$C$2,$C$3,$C$4,$C$6,$C$5,$C$7,AR$1,AR$2,$A118)</f>
        <v>0</v>
      </c>
      <c r="AS118" s="31">
        <f>_xll.DBRW($C$1,$C$2,$C$3,$C$4,$C$6,$C$5,$C$7,AS$1,AS$2,$A118)</f>
        <v>0</v>
      </c>
      <c r="AT118" s="31">
        <f>_xll.DBRW($C$1,$C$2,$C$3,$C$4,$C$6,$C$5,$C$7,AT$1,AT$2,$A118)</f>
        <v>0</v>
      </c>
      <c r="AU118" s="31">
        <f>_xll.DBRW($C$1,$C$2,$C$3,$C$4,$C$6,$C$5,$C$7,AU$1,AU$2,$A118)</f>
        <v>0</v>
      </c>
    </row>
    <row r="119" spans="1:47" ht="15.75" hidden="1" customHeight="1" outlineLevel="1">
      <c r="A119" s="1" t="s">
        <v>200</v>
      </c>
      <c r="C119" s="143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-546424109.19000006</v>
      </c>
      <c r="G119" s="31">
        <f>_xll.DBRW($C$1,$C$2,$C$3,$C$4,$C$6,$C$5,$C$7,G$1,G$2,$A119)</f>
        <v>-403430144.42000002</v>
      </c>
      <c r="H119" s="31">
        <f>_xll.DBRW($C$1,$C$2,$C$3,$C$4,$C$6,$C$5,$C$7,H$1,H$2,$A119)</f>
        <v>-66813262.190000005</v>
      </c>
      <c r="I119" s="31">
        <f>_xll.DBRW($C$1,$C$2,$C$3,$C$4,$C$6,$C$5,$C$7,I$1,I$2,$A119)</f>
        <v>-477496.47</v>
      </c>
      <c r="J119" s="31">
        <f>_xll.DBRW($C$1,$C$2,$C$3,$C$4,$C$6,$C$5,$C$7,J$1,J$2,$A119)</f>
        <v>-11337180.329999998</v>
      </c>
      <c r="K119" s="31">
        <f>_xll.DBRW($C$1,$C$2,$C$3,$C$4,$C$6,$C$5,$C$7,K$1,K$2,$A119)</f>
        <v>-18263114.759999998</v>
      </c>
      <c r="L119" s="31">
        <f>_xll.DBRW($C$1,$C$2,$C$3,$C$4,$C$6,$C$5,$C$7,L$1,L$2,$A119)</f>
        <v>-25276879.049999997</v>
      </c>
      <c r="M119" s="31">
        <f>_xll.DBRW($C$1,$C$2,$C$3,$C$4,$C$6,$C$5,$C$7,M$1,M$2,$A119)</f>
        <v>-32447483.259999994</v>
      </c>
      <c r="N119" s="31">
        <f>_xll.DBRW($C$1,$C$2,$C$3,$C$4,$C$6,$C$5,$C$7,N$1,N$2,$A119)</f>
        <v>-38307261.849999994</v>
      </c>
      <c r="O119" s="31">
        <f>_xll.DBRW($C$1,$C$2,$C$3,$C$4,$C$6,$C$5,$C$7,O$1,O$2,$A119)</f>
        <v>-2253545.3400000036</v>
      </c>
      <c r="P119" s="31">
        <f>_xll.DBRW($C$1,$C$2,$C$3,$C$4,$C$6,$C$5,$C$7,P$1,P$2,$A119)</f>
        <v>-49382418.530000009</v>
      </c>
      <c r="Q119" s="31">
        <f>_xll.DBRW($C$1,$C$2,$C$3,$C$4,$C$6,$C$5,$C$7,Q$1,Q$2,$A119)</f>
        <v>-54978480.050000019</v>
      </c>
      <c r="R119" s="31">
        <f>_xll.DBRW($C$1,$C$2,$C$3,$C$4,$C$6,$C$5,$C$7,R$1,R$2,$A119)</f>
        <v>-3554933.120000015</v>
      </c>
      <c r="S119" s="31">
        <f>_xll.DBRW($C$1,$C$2,$C$3,$C$4,$C$6,$C$5,$C$7,S$1,S$2,$A119)</f>
        <v>-17314707.100000009</v>
      </c>
      <c r="T119" s="31">
        <f>_xll.DBRW($C$1,$C$2,$C$3,$C$4,$C$6,$C$5,$C$7,T$1,T$2,$A119)</f>
        <v>-84416682.170000002</v>
      </c>
      <c r="U119" s="31">
        <f>_xll.DBRW($C$1,$C$2,$C$3,$C$4,$C$6,$C$5,$C$7,U$1,U$2,$A119)</f>
        <v>-84416682.170000002</v>
      </c>
      <c r="V119" s="31">
        <f>_xll.DBRW($C$1,$C$2,$C$3,$C$4,$C$6,$C$5,$C$7,V$1,V$2,$A119)</f>
        <v>0</v>
      </c>
      <c r="W119" s="31">
        <f>_xll.DBRW($C$1,$C$2,$C$3,$C$4,$C$6,$C$5,$C$7,W$1,W$2,$A119)</f>
        <v>0</v>
      </c>
      <c r="X119" s="31">
        <f>_xll.DBRW($C$1,$C$2,$C$3,$C$4,$C$6,$C$5,$C$7,X$1,X$2,$A119)</f>
        <v>0</v>
      </c>
      <c r="Y119" s="31">
        <f>_xll.DBRW($C$1,$C$2,$C$3,$C$4,$C$6,$C$5,$C$7,Y$1,Y$2,$A119)</f>
        <v>0</v>
      </c>
      <c r="Z119" s="31">
        <f>_xll.DBRW($C$1,$C$2,$C$3,$C$4,$C$6,$C$5,$C$7,Z$1,Z$2,$A119)</f>
        <v>0</v>
      </c>
      <c r="AA119" s="31">
        <f>_xll.DBRW($C$1,$C$2,$C$3,$C$4,$C$6,$C$5,$C$7,AA$1,AA$2,$A119)</f>
        <v>0</v>
      </c>
      <c r="AB119" s="31">
        <f>_xll.DBRW($C$1,$C$2,$C$3,$C$4,$C$6,$C$5,$C$7,AB$1,AB$2,$A119)</f>
        <v>0</v>
      </c>
      <c r="AC119" s="31">
        <f>_xll.DBRW($C$1,$C$2,$C$3,$C$4,$C$6,$C$5,$C$7,AC$1,AC$2,$A119)</f>
        <v>0</v>
      </c>
      <c r="AD119" s="31">
        <f>_xll.DBRW($C$1,$C$2,$C$3,$C$4,$C$6,$C$5,$C$7,AD$1,AD$2,$A119)</f>
        <v>0</v>
      </c>
      <c r="AE119" s="31">
        <f>_xll.DBRW($C$1,$C$2,$C$3,$C$4,$C$6,$C$5,$C$7,AE$1,AE$2,$A119)</f>
        <v>0</v>
      </c>
      <c r="AF119" s="31">
        <f>_xll.DBRW($C$1,$C$2,$C$3,$C$4,$C$6,$C$5,$C$7,AF$1,AF$2,$A119)</f>
        <v>0</v>
      </c>
      <c r="AG119" s="31">
        <f>_xll.DBRW($C$1,$C$2,$C$3,$C$4,$C$6,$C$5,$C$7,AG$1,AG$2,$A119)</f>
        <v>0</v>
      </c>
      <c r="AH119" s="31">
        <f>_xll.DBRW($C$1,$C$2,$C$3,$C$4,$C$6,$C$5,$C$7,AH$1,AH$2,$A119)</f>
        <v>0</v>
      </c>
      <c r="AI119" s="31">
        <f>_xll.DBRW($C$1,$C$2,$C$3,$C$4,$C$6,$C$5,$C$7,AI$1,AI$2,$A119)</f>
        <v>0</v>
      </c>
      <c r="AJ119" s="31">
        <f>_xll.DBRW($C$1,$C$2,$C$3,$C$4,$C$6,$C$5,$C$7,AJ$1,AJ$2,$A119)</f>
        <v>0</v>
      </c>
      <c r="AK119" s="31">
        <f>_xll.DBRW($C$1,$C$2,$C$3,$C$4,$C$6,$C$5,$C$7,AK$1,AK$2,$A119)</f>
        <v>0</v>
      </c>
      <c r="AL119" s="31">
        <f>_xll.DBRW($C$1,$C$2,$C$3,$C$4,$C$6,$C$5,$C$7,AL$1,AL$2,$A119)</f>
        <v>0</v>
      </c>
      <c r="AM119" s="31">
        <f>_xll.DBRW($C$1,$C$2,$C$3,$C$4,$C$6,$C$5,$C$7,AM$1,AM$2,$A119)</f>
        <v>0</v>
      </c>
      <c r="AN119" s="31">
        <f>_xll.DBRW($C$1,$C$2,$C$3,$C$4,$C$6,$C$5,$C$7,AN$1,AN$2,$A119)</f>
        <v>0</v>
      </c>
      <c r="AO119" s="31">
        <f>_xll.DBRW($C$1,$C$2,$C$3,$C$4,$C$6,$C$5,$C$7,AO$1,AO$2,$A119)</f>
        <v>0</v>
      </c>
      <c r="AP119" s="31">
        <f>_xll.DBRW($C$1,$C$2,$C$3,$C$4,$C$6,$C$5,$C$7,AP$1,AP$2,$A119)</f>
        <v>0</v>
      </c>
      <c r="AQ119" s="31">
        <f>_xll.DBRW($C$1,$C$2,$C$3,$C$4,$C$6,$C$5,$C$7,AQ$1,AQ$2,$A119)</f>
        <v>0</v>
      </c>
      <c r="AR119" s="31">
        <f>_xll.DBRW($C$1,$C$2,$C$3,$C$4,$C$6,$C$5,$C$7,AR$1,AR$2,$A119)</f>
        <v>0</v>
      </c>
      <c r="AS119" s="31">
        <f>_xll.DBRW($C$1,$C$2,$C$3,$C$4,$C$6,$C$5,$C$7,AS$1,AS$2,$A119)</f>
        <v>0</v>
      </c>
      <c r="AT119" s="31">
        <f>_xll.DBRW($C$1,$C$2,$C$3,$C$4,$C$6,$C$5,$C$7,AT$1,AT$2,$A119)</f>
        <v>0</v>
      </c>
      <c r="AU119" s="31">
        <f>_xll.DBRW($C$1,$C$2,$C$3,$C$4,$C$6,$C$5,$C$7,AU$1,AU$2,$A119)</f>
        <v>0</v>
      </c>
    </row>
    <row r="120" spans="1:47" ht="15.75" hidden="1" customHeight="1" outlineLevel="1">
      <c r="A120" s="1" t="s">
        <v>201</v>
      </c>
      <c r="C120" s="143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-185331326.69</v>
      </c>
      <c r="G120" s="31">
        <f>_xll.DBRW($C$1,$C$2,$C$3,$C$4,$C$6,$C$5,$C$7,G$1,G$2,$A120)</f>
        <v>-141891627.29000002</v>
      </c>
      <c r="H120" s="31">
        <f>_xll.DBRW($C$1,$C$2,$C$3,$C$4,$C$6,$C$5,$C$7,H$1,H$2,$A120)</f>
        <v>-434152349.4600001</v>
      </c>
      <c r="I120" s="31">
        <f>_xll.DBRW($C$1,$C$2,$C$3,$C$4,$C$6,$C$5,$C$7,I$1,I$2,$A120)</f>
        <v>-23568382.220000003</v>
      </c>
      <c r="J120" s="31">
        <f>_xll.DBRW($C$1,$C$2,$C$3,$C$4,$C$6,$C$5,$C$7,J$1,J$2,$A120)</f>
        <v>-19387181.57</v>
      </c>
      <c r="K120" s="31">
        <f>_xll.DBRW($C$1,$C$2,$C$3,$C$4,$C$6,$C$5,$C$7,K$1,K$2,$A120)</f>
        <v>-82155960.25</v>
      </c>
      <c r="L120" s="31">
        <f>_xll.DBRW($C$1,$C$2,$C$3,$C$4,$C$6,$C$5,$C$7,L$1,L$2,$A120)</f>
        <v>-102389286.38</v>
      </c>
      <c r="M120" s="31">
        <f>_xll.DBRW($C$1,$C$2,$C$3,$C$4,$C$6,$C$5,$C$7,M$1,M$2,$A120)</f>
        <v>-161403873.94</v>
      </c>
      <c r="N120" s="31">
        <f>_xll.DBRW($C$1,$C$2,$C$3,$C$4,$C$6,$C$5,$C$7,N$1,N$2,$A120)</f>
        <v>-197199266.84999999</v>
      </c>
      <c r="O120" s="31">
        <f>_xll.DBRW($C$1,$C$2,$C$3,$C$4,$C$6,$C$5,$C$7,O$1,O$2,$A120)</f>
        <v>-215242183.84999999</v>
      </c>
      <c r="P120" s="31">
        <f>_xll.DBRW($C$1,$C$2,$C$3,$C$4,$C$6,$C$5,$C$7,P$1,P$2,$A120)</f>
        <v>-326922440.05000001</v>
      </c>
      <c r="Q120" s="31">
        <f>_xll.DBRW($C$1,$C$2,$C$3,$C$4,$C$6,$C$5,$C$7,Q$1,Q$2,$A120)</f>
        <v>-347804557.94999999</v>
      </c>
      <c r="R120" s="31">
        <f>_xll.DBRW($C$1,$C$2,$C$3,$C$4,$C$6,$C$5,$C$7,R$1,R$2,$A120)</f>
        <v>-318875726.30000001</v>
      </c>
      <c r="S120" s="31">
        <f>_xll.DBRW($C$1,$C$2,$C$3,$C$4,$C$6,$C$5,$C$7,S$1,S$2,$A120)</f>
        <v>-447435254.37</v>
      </c>
      <c r="T120" s="31">
        <f>_xll.DBRW($C$1,$C$2,$C$3,$C$4,$C$6,$C$5,$C$7,T$1,T$2,$A120)</f>
        <v>-486523425.31</v>
      </c>
      <c r="U120" s="31">
        <f>_xll.DBRW($C$1,$C$2,$C$3,$C$4,$C$6,$C$5,$C$7,U$1,U$2,$A120)</f>
        <v>-486523425.31</v>
      </c>
      <c r="V120" s="31">
        <f>_xll.DBRW($C$1,$C$2,$C$3,$C$4,$C$6,$C$5,$C$7,V$1,V$2,$A120)</f>
        <v>0</v>
      </c>
      <c r="W120" s="31">
        <f>_xll.DBRW($C$1,$C$2,$C$3,$C$4,$C$6,$C$5,$C$7,W$1,W$2,$A120)</f>
        <v>0</v>
      </c>
      <c r="X120" s="31">
        <f>_xll.DBRW($C$1,$C$2,$C$3,$C$4,$C$6,$C$5,$C$7,X$1,X$2,$A120)</f>
        <v>0</v>
      </c>
      <c r="Y120" s="31">
        <f>_xll.DBRW($C$1,$C$2,$C$3,$C$4,$C$6,$C$5,$C$7,Y$1,Y$2,$A120)</f>
        <v>0</v>
      </c>
      <c r="Z120" s="31">
        <f>_xll.DBRW($C$1,$C$2,$C$3,$C$4,$C$6,$C$5,$C$7,Z$1,Z$2,$A120)</f>
        <v>0</v>
      </c>
      <c r="AA120" s="31">
        <f>_xll.DBRW($C$1,$C$2,$C$3,$C$4,$C$6,$C$5,$C$7,AA$1,AA$2,$A120)</f>
        <v>0</v>
      </c>
      <c r="AB120" s="31">
        <f>_xll.DBRW($C$1,$C$2,$C$3,$C$4,$C$6,$C$5,$C$7,AB$1,AB$2,$A120)</f>
        <v>0</v>
      </c>
      <c r="AC120" s="31">
        <f>_xll.DBRW($C$1,$C$2,$C$3,$C$4,$C$6,$C$5,$C$7,AC$1,AC$2,$A120)</f>
        <v>0</v>
      </c>
      <c r="AD120" s="31">
        <f>_xll.DBRW($C$1,$C$2,$C$3,$C$4,$C$6,$C$5,$C$7,AD$1,AD$2,$A120)</f>
        <v>0</v>
      </c>
      <c r="AE120" s="31">
        <f>_xll.DBRW($C$1,$C$2,$C$3,$C$4,$C$6,$C$5,$C$7,AE$1,AE$2,$A120)</f>
        <v>0</v>
      </c>
      <c r="AF120" s="31">
        <f>_xll.DBRW($C$1,$C$2,$C$3,$C$4,$C$6,$C$5,$C$7,AF$1,AF$2,$A120)</f>
        <v>0</v>
      </c>
      <c r="AG120" s="31">
        <f>_xll.DBRW($C$1,$C$2,$C$3,$C$4,$C$6,$C$5,$C$7,AG$1,AG$2,$A120)</f>
        <v>0</v>
      </c>
      <c r="AH120" s="31">
        <f>_xll.DBRW($C$1,$C$2,$C$3,$C$4,$C$6,$C$5,$C$7,AH$1,AH$2,$A120)</f>
        <v>0</v>
      </c>
      <c r="AI120" s="31">
        <f>_xll.DBRW($C$1,$C$2,$C$3,$C$4,$C$6,$C$5,$C$7,AI$1,AI$2,$A120)</f>
        <v>0</v>
      </c>
      <c r="AJ120" s="31">
        <f>_xll.DBRW($C$1,$C$2,$C$3,$C$4,$C$6,$C$5,$C$7,AJ$1,AJ$2,$A120)</f>
        <v>0</v>
      </c>
      <c r="AK120" s="31">
        <f>_xll.DBRW($C$1,$C$2,$C$3,$C$4,$C$6,$C$5,$C$7,AK$1,AK$2,$A120)</f>
        <v>0</v>
      </c>
      <c r="AL120" s="31">
        <f>_xll.DBRW($C$1,$C$2,$C$3,$C$4,$C$6,$C$5,$C$7,AL$1,AL$2,$A120)</f>
        <v>0</v>
      </c>
      <c r="AM120" s="31">
        <f>_xll.DBRW($C$1,$C$2,$C$3,$C$4,$C$6,$C$5,$C$7,AM$1,AM$2,$A120)</f>
        <v>0</v>
      </c>
      <c r="AN120" s="31">
        <f>_xll.DBRW($C$1,$C$2,$C$3,$C$4,$C$6,$C$5,$C$7,AN$1,AN$2,$A120)</f>
        <v>0</v>
      </c>
      <c r="AO120" s="31">
        <f>_xll.DBRW($C$1,$C$2,$C$3,$C$4,$C$6,$C$5,$C$7,AO$1,AO$2,$A120)</f>
        <v>0</v>
      </c>
      <c r="AP120" s="31">
        <f>_xll.DBRW($C$1,$C$2,$C$3,$C$4,$C$6,$C$5,$C$7,AP$1,AP$2,$A120)</f>
        <v>0</v>
      </c>
      <c r="AQ120" s="31">
        <f>_xll.DBRW($C$1,$C$2,$C$3,$C$4,$C$6,$C$5,$C$7,AQ$1,AQ$2,$A120)</f>
        <v>0</v>
      </c>
      <c r="AR120" s="31">
        <f>_xll.DBRW($C$1,$C$2,$C$3,$C$4,$C$6,$C$5,$C$7,AR$1,AR$2,$A120)</f>
        <v>0</v>
      </c>
      <c r="AS120" s="31">
        <f>_xll.DBRW($C$1,$C$2,$C$3,$C$4,$C$6,$C$5,$C$7,AS$1,AS$2,$A120)</f>
        <v>0</v>
      </c>
      <c r="AT120" s="31">
        <f>_xll.DBRW($C$1,$C$2,$C$3,$C$4,$C$6,$C$5,$C$7,AT$1,AT$2,$A120)</f>
        <v>0</v>
      </c>
      <c r="AU120" s="31">
        <f>_xll.DBRW($C$1,$C$2,$C$3,$C$4,$C$6,$C$5,$C$7,AU$1,AU$2,$A120)</f>
        <v>0</v>
      </c>
    </row>
    <row r="121" spans="1:47" ht="15.75" hidden="1" customHeight="1" outlineLevel="1">
      <c r="A121" s="1" t="s">
        <v>202</v>
      </c>
      <c r="C121" s="143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-1283033037.1722002</v>
      </c>
      <c r="G121" s="31">
        <f>_xll.DBRW($C$1,$C$2,$C$3,$C$4,$C$6,$C$5,$C$7,G$1,G$2,$A121)</f>
        <v>-1969601815.5971999</v>
      </c>
      <c r="H121" s="31">
        <f>_xll.DBRW($C$1,$C$2,$C$3,$C$4,$C$6,$C$5,$C$7,H$1,H$2,$A121)</f>
        <v>-1874020999.1784</v>
      </c>
      <c r="I121" s="31">
        <f>_xll.DBRW($C$1,$C$2,$C$3,$C$4,$C$6,$C$5,$C$7,I$1,I$2,$A121)</f>
        <v>-139897122.9228</v>
      </c>
      <c r="J121" s="31">
        <f>_xll.DBRW($C$1,$C$2,$C$3,$C$4,$C$6,$C$5,$C$7,J$1,J$2,$A121)</f>
        <v>-148864391.83560002</v>
      </c>
      <c r="K121" s="31">
        <f>_xll.DBRW($C$1,$C$2,$C$3,$C$4,$C$6,$C$5,$C$7,K$1,K$2,$A121)</f>
        <v>-425871884.33220011</v>
      </c>
      <c r="L121" s="31">
        <f>_xll.DBRW($C$1,$C$2,$C$3,$C$4,$C$6,$C$5,$C$7,L$1,L$2,$A121)</f>
        <v>-519974694.12500012</v>
      </c>
      <c r="M121" s="31">
        <f>_xll.DBRW($C$1,$C$2,$C$3,$C$4,$C$6,$C$5,$C$7,M$1,M$2,$A121)</f>
        <v>-664945228.83780015</v>
      </c>
      <c r="N121" s="31">
        <f>_xll.DBRW($C$1,$C$2,$C$3,$C$4,$C$6,$C$5,$C$7,N$1,N$2,$A121)</f>
        <v>-810198899.05660009</v>
      </c>
      <c r="O121" s="31">
        <f>_xll.DBRW($C$1,$C$2,$C$3,$C$4,$C$6,$C$5,$C$7,O$1,O$2,$A121)</f>
        <v>-935621861.78280008</v>
      </c>
      <c r="P121" s="31">
        <f>_xll.DBRW($C$1,$C$2,$C$3,$C$4,$C$6,$C$5,$C$7,P$1,P$2,$A121)</f>
        <v>-1097976651.2632</v>
      </c>
      <c r="Q121" s="31">
        <f>_xll.DBRW($C$1,$C$2,$C$3,$C$4,$C$6,$C$5,$C$7,Q$1,Q$2,$A121)</f>
        <v>-1247258726.5938001</v>
      </c>
      <c r="R121" s="31">
        <f>_xll.DBRW($C$1,$C$2,$C$3,$C$4,$C$6,$C$5,$C$7,R$1,R$2,$A121)</f>
        <v>-1371278301.8232</v>
      </c>
      <c r="S121" s="31">
        <f>_xll.DBRW($C$1,$C$2,$C$3,$C$4,$C$6,$C$5,$C$7,S$1,S$2,$A121)</f>
        <v>-1541950193.6852</v>
      </c>
      <c r="T121" s="31">
        <f>_xll.DBRW($C$1,$C$2,$C$3,$C$4,$C$6,$C$5,$C$7,T$1,T$2,$A121)</f>
        <v>-1706015224.7490001</v>
      </c>
      <c r="U121" s="31">
        <f>_xll.DBRW($C$1,$C$2,$C$3,$C$4,$C$6,$C$5,$C$7,U$1,U$2,$A121)</f>
        <v>-1706015224.7490001</v>
      </c>
      <c r="V121" s="31">
        <f>_xll.DBRW($C$1,$C$2,$C$3,$C$4,$C$6,$C$5,$C$7,V$1,V$2,$A121)</f>
        <v>0</v>
      </c>
      <c r="W121" s="31">
        <f>_xll.DBRW($C$1,$C$2,$C$3,$C$4,$C$6,$C$5,$C$7,W$1,W$2,$A121)</f>
        <v>0</v>
      </c>
      <c r="X121" s="31">
        <f>_xll.DBRW($C$1,$C$2,$C$3,$C$4,$C$6,$C$5,$C$7,X$1,X$2,$A121)</f>
        <v>0</v>
      </c>
      <c r="Y121" s="31">
        <f>_xll.DBRW($C$1,$C$2,$C$3,$C$4,$C$6,$C$5,$C$7,Y$1,Y$2,$A121)</f>
        <v>0</v>
      </c>
      <c r="Z121" s="31">
        <f>_xll.DBRW($C$1,$C$2,$C$3,$C$4,$C$6,$C$5,$C$7,Z$1,Z$2,$A121)</f>
        <v>0</v>
      </c>
      <c r="AA121" s="31">
        <f>_xll.DBRW($C$1,$C$2,$C$3,$C$4,$C$6,$C$5,$C$7,AA$1,AA$2,$A121)</f>
        <v>0</v>
      </c>
      <c r="AB121" s="31">
        <f>_xll.DBRW($C$1,$C$2,$C$3,$C$4,$C$6,$C$5,$C$7,AB$1,AB$2,$A121)</f>
        <v>0</v>
      </c>
      <c r="AC121" s="31">
        <f>_xll.DBRW($C$1,$C$2,$C$3,$C$4,$C$6,$C$5,$C$7,AC$1,AC$2,$A121)</f>
        <v>0</v>
      </c>
      <c r="AD121" s="31">
        <f>_xll.DBRW($C$1,$C$2,$C$3,$C$4,$C$6,$C$5,$C$7,AD$1,AD$2,$A121)</f>
        <v>0</v>
      </c>
      <c r="AE121" s="31">
        <f>_xll.DBRW($C$1,$C$2,$C$3,$C$4,$C$6,$C$5,$C$7,AE$1,AE$2,$A121)</f>
        <v>0</v>
      </c>
      <c r="AF121" s="31">
        <f>_xll.DBRW($C$1,$C$2,$C$3,$C$4,$C$6,$C$5,$C$7,AF$1,AF$2,$A121)</f>
        <v>0</v>
      </c>
      <c r="AG121" s="31">
        <f>_xll.DBRW($C$1,$C$2,$C$3,$C$4,$C$6,$C$5,$C$7,AG$1,AG$2,$A121)</f>
        <v>0</v>
      </c>
      <c r="AH121" s="31">
        <f>_xll.DBRW($C$1,$C$2,$C$3,$C$4,$C$6,$C$5,$C$7,AH$1,AH$2,$A121)</f>
        <v>0</v>
      </c>
      <c r="AI121" s="31">
        <f>_xll.DBRW($C$1,$C$2,$C$3,$C$4,$C$6,$C$5,$C$7,AI$1,AI$2,$A121)</f>
        <v>0</v>
      </c>
      <c r="AJ121" s="31">
        <f>_xll.DBRW($C$1,$C$2,$C$3,$C$4,$C$6,$C$5,$C$7,AJ$1,AJ$2,$A121)</f>
        <v>0</v>
      </c>
      <c r="AK121" s="31">
        <f>_xll.DBRW($C$1,$C$2,$C$3,$C$4,$C$6,$C$5,$C$7,AK$1,AK$2,$A121)</f>
        <v>0</v>
      </c>
      <c r="AL121" s="31">
        <f>_xll.DBRW($C$1,$C$2,$C$3,$C$4,$C$6,$C$5,$C$7,AL$1,AL$2,$A121)</f>
        <v>0</v>
      </c>
      <c r="AM121" s="31">
        <f>_xll.DBRW($C$1,$C$2,$C$3,$C$4,$C$6,$C$5,$C$7,AM$1,AM$2,$A121)</f>
        <v>0</v>
      </c>
      <c r="AN121" s="31">
        <f>_xll.DBRW($C$1,$C$2,$C$3,$C$4,$C$6,$C$5,$C$7,AN$1,AN$2,$A121)</f>
        <v>0</v>
      </c>
      <c r="AO121" s="31">
        <f>_xll.DBRW($C$1,$C$2,$C$3,$C$4,$C$6,$C$5,$C$7,AO$1,AO$2,$A121)</f>
        <v>0</v>
      </c>
      <c r="AP121" s="31">
        <f>_xll.DBRW($C$1,$C$2,$C$3,$C$4,$C$6,$C$5,$C$7,AP$1,AP$2,$A121)</f>
        <v>0</v>
      </c>
      <c r="AQ121" s="31">
        <f>_xll.DBRW($C$1,$C$2,$C$3,$C$4,$C$6,$C$5,$C$7,AQ$1,AQ$2,$A121)</f>
        <v>0</v>
      </c>
      <c r="AR121" s="31">
        <f>_xll.DBRW($C$1,$C$2,$C$3,$C$4,$C$6,$C$5,$C$7,AR$1,AR$2,$A121)</f>
        <v>0</v>
      </c>
      <c r="AS121" s="31">
        <f>_xll.DBRW($C$1,$C$2,$C$3,$C$4,$C$6,$C$5,$C$7,AS$1,AS$2,$A121)</f>
        <v>0</v>
      </c>
      <c r="AT121" s="31">
        <f>_xll.DBRW($C$1,$C$2,$C$3,$C$4,$C$6,$C$5,$C$7,AT$1,AT$2,$A121)</f>
        <v>0</v>
      </c>
      <c r="AU121" s="31">
        <f>_xll.DBRW($C$1,$C$2,$C$3,$C$4,$C$6,$C$5,$C$7,AU$1,AU$2,$A121)</f>
        <v>0</v>
      </c>
    </row>
    <row r="122" spans="1:47" ht="15.75" hidden="1" customHeight="1" outlineLevel="1">
      <c r="A122" s="1" t="s">
        <v>203</v>
      </c>
      <c r="C122" s="143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11423840.85</v>
      </c>
      <c r="G122" s="31">
        <f>_xll.DBRW($C$1,$C$2,$C$3,$C$4,$C$6,$C$5,$C$7,G$1,G$2,$A122)</f>
        <v>19160491.41</v>
      </c>
      <c r="H122" s="31">
        <f>_xll.DBRW($C$1,$C$2,$C$3,$C$4,$C$6,$C$5,$C$7,H$1,H$2,$A122)</f>
        <v>22678130.740000002</v>
      </c>
      <c r="I122" s="31">
        <f>_xll.DBRW($C$1,$C$2,$C$3,$C$4,$C$6,$C$5,$C$7,I$1,I$2,$A122)</f>
        <v>531155.63</v>
      </c>
      <c r="J122" s="31">
        <f>_xll.DBRW($C$1,$C$2,$C$3,$C$4,$C$6,$C$5,$C$7,J$1,J$2,$A122)</f>
        <v>2385306.9499999997</v>
      </c>
      <c r="K122" s="31">
        <f>_xll.DBRW($C$1,$C$2,$C$3,$C$4,$C$6,$C$5,$C$7,K$1,K$2,$A122)</f>
        <v>4498293.9700000007</v>
      </c>
      <c r="L122" s="31">
        <f>_xll.DBRW($C$1,$C$2,$C$3,$C$4,$C$6,$C$5,$C$7,L$1,L$2,$A122)</f>
        <v>5723407.9800000004</v>
      </c>
      <c r="M122" s="31">
        <f>_xll.DBRW($C$1,$C$2,$C$3,$C$4,$C$6,$C$5,$C$7,M$1,M$2,$A122)</f>
        <v>7247130.9699999997</v>
      </c>
      <c r="N122" s="31">
        <f>_xll.DBRW($C$1,$C$2,$C$3,$C$4,$C$6,$C$5,$C$7,N$1,N$2,$A122)</f>
        <v>9243617.7799999993</v>
      </c>
      <c r="O122" s="31">
        <f>_xll.DBRW($C$1,$C$2,$C$3,$C$4,$C$6,$C$5,$C$7,O$1,O$2,$A122)</f>
        <v>4767745.8199999994</v>
      </c>
      <c r="P122" s="31">
        <f>_xll.DBRW($C$1,$C$2,$C$3,$C$4,$C$6,$C$5,$C$7,P$1,P$2,$A122)</f>
        <v>11610930.960000001</v>
      </c>
      <c r="Q122" s="31">
        <f>_xll.DBRW($C$1,$C$2,$C$3,$C$4,$C$6,$C$5,$C$7,Q$1,Q$2,$A122)</f>
        <v>13879486.74</v>
      </c>
      <c r="R122" s="31">
        <f>_xll.DBRW($C$1,$C$2,$C$3,$C$4,$C$6,$C$5,$C$7,R$1,R$2,$A122)</f>
        <v>7196999.4099999992</v>
      </c>
      <c r="S122" s="31">
        <f>_xll.DBRW($C$1,$C$2,$C$3,$C$4,$C$6,$C$5,$C$7,S$1,S$2,$A122)</f>
        <v>16818960.889999997</v>
      </c>
      <c r="T122" s="31">
        <f>_xll.DBRW($C$1,$C$2,$C$3,$C$4,$C$6,$C$5,$C$7,T$1,T$2,$A122)</f>
        <v>26536804.949999996</v>
      </c>
      <c r="U122" s="31">
        <f>_xll.DBRW($C$1,$C$2,$C$3,$C$4,$C$6,$C$5,$C$7,U$1,U$2,$A122)</f>
        <v>26536804.949999996</v>
      </c>
      <c r="V122" s="31">
        <f>_xll.DBRW($C$1,$C$2,$C$3,$C$4,$C$6,$C$5,$C$7,V$1,V$2,$A122)</f>
        <v>0</v>
      </c>
      <c r="W122" s="31">
        <f>_xll.DBRW($C$1,$C$2,$C$3,$C$4,$C$6,$C$5,$C$7,W$1,W$2,$A122)</f>
        <v>0</v>
      </c>
      <c r="X122" s="31">
        <f>_xll.DBRW($C$1,$C$2,$C$3,$C$4,$C$6,$C$5,$C$7,X$1,X$2,$A122)</f>
        <v>0</v>
      </c>
      <c r="Y122" s="31">
        <f>_xll.DBRW($C$1,$C$2,$C$3,$C$4,$C$6,$C$5,$C$7,Y$1,Y$2,$A122)</f>
        <v>0</v>
      </c>
      <c r="Z122" s="31">
        <f>_xll.DBRW($C$1,$C$2,$C$3,$C$4,$C$6,$C$5,$C$7,Z$1,Z$2,$A122)</f>
        <v>0</v>
      </c>
      <c r="AA122" s="31">
        <f>_xll.DBRW($C$1,$C$2,$C$3,$C$4,$C$6,$C$5,$C$7,AA$1,AA$2,$A122)</f>
        <v>0</v>
      </c>
      <c r="AB122" s="31">
        <f>_xll.DBRW($C$1,$C$2,$C$3,$C$4,$C$6,$C$5,$C$7,AB$1,AB$2,$A122)</f>
        <v>0</v>
      </c>
      <c r="AC122" s="31">
        <f>_xll.DBRW($C$1,$C$2,$C$3,$C$4,$C$6,$C$5,$C$7,AC$1,AC$2,$A122)</f>
        <v>0</v>
      </c>
      <c r="AD122" s="31">
        <f>_xll.DBRW($C$1,$C$2,$C$3,$C$4,$C$6,$C$5,$C$7,AD$1,AD$2,$A122)</f>
        <v>0</v>
      </c>
      <c r="AE122" s="31">
        <f>_xll.DBRW($C$1,$C$2,$C$3,$C$4,$C$6,$C$5,$C$7,AE$1,AE$2,$A122)</f>
        <v>0</v>
      </c>
      <c r="AF122" s="31">
        <f>_xll.DBRW($C$1,$C$2,$C$3,$C$4,$C$6,$C$5,$C$7,AF$1,AF$2,$A122)</f>
        <v>0</v>
      </c>
      <c r="AG122" s="31">
        <f>_xll.DBRW($C$1,$C$2,$C$3,$C$4,$C$6,$C$5,$C$7,AG$1,AG$2,$A122)</f>
        <v>0</v>
      </c>
      <c r="AH122" s="31">
        <f>_xll.DBRW($C$1,$C$2,$C$3,$C$4,$C$6,$C$5,$C$7,AH$1,AH$2,$A122)</f>
        <v>0</v>
      </c>
      <c r="AI122" s="31">
        <f>_xll.DBRW($C$1,$C$2,$C$3,$C$4,$C$6,$C$5,$C$7,AI$1,AI$2,$A122)</f>
        <v>0</v>
      </c>
      <c r="AJ122" s="31">
        <f>_xll.DBRW($C$1,$C$2,$C$3,$C$4,$C$6,$C$5,$C$7,AJ$1,AJ$2,$A122)</f>
        <v>0</v>
      </c>
      <c r="AK122" s="31">
        <f>_xll.DBRW($C$1,$C$2,$C$3,$C$4,$C$6,$C$5,$C$7,AK$1,AK$2,$A122)</f>
        <v>0</v>
      </c>
      <c r="AL122" s="31">
        <f>_xll.DBRW($C$1,$C$2,$C$3,$C$4,$C$6,$C$5,$C$7,AL$1,AL$2,$A122)</f>
        <v>0</v>
      </c>
      <c r="AM122" s="31">
        <f>_xll.DBRW($C$1,$C$2,$C$3,$C$4,$C$6,$C$5,$C$7,AM$1,AM$2,$A122)</f>
        <v>0</v>
      </c>
      <c r="AN122" s="31">
        <f>_xll.DBRW($C$1,$C$2,$C$3,$C$4,$C$6,$C$5,$C$7,AN$1,AN$2,$A122)</f>
        <v>0</v>
      </c>
      <c r="AO122" s="31">
        <f>_xll.DBRW($C$1,$C$2,$C$3,$C$4,$C$6,$C$5,$C$7,AO$1,AO$2,$A122)</f>
        <v>0</v>
      </c>
      <c r="AP122" s="31">
        <f>_xll.DBRW($C$1,$C$2,$C$3,$C$4,$C$6,$C$5,$C$7,AP$1,AP$2,$A122)</f>
        <v>0</v>
      </c>
      <c r="AQ122" s="31">
        <f>_xll.DBRW($C$1,$C$2,$C$3,$C$4,$C$6,$C$5,$C$7,AQ$1,AQ$2,$A122)</f>
        <v>0</v>
      </c>
      <c r="AR122" s="31">
        <f>_xll.DBRW($C$1,$C$2,$C$3,$C$4,$C$6,$C$5,$C$7,AR$1,AR$2,$A122)</f>
        <v>0</v>
      </c>
      <c r="AS122" s="31">
        <f>_xll.DBRW($C$1,$C$2,$C$3,$C$4,$C$6,$C$5,$C$7,AS$1,AS$2,$A122)</f>
        <v>0</v>
      </c>
      <c r="AT122" s="31">
        <f>_xll.DBRW($C$1,$C$2,$C$3,$C$4,$C$6,$C$5,$C$7,AT$1,AT$2,$A122)</f>
        <v>0</v>
      </c>
      <c r="AU122" s="31">
        <f>_xll.DBRW($C$1,$C$2,$C$3,$C$4,$C$6,$C$5,$C$7,AU$1,AU$2,$A122)</f>
        <v>0</v>
      </c>
    </row>
    <row r="123" spans="1:47" ht="15.75" hidden="1" customHeight="1" outlineLevel="1">
      <c r="A123" s="1" t="s">
        <v>204</v>
      </c>
      <c r="C123" s="143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-2430883.5300000003</v>
      </c>
      <c r="G123" s="31">
        <f>_xll.DBRW($C$1,$C$2,$C$3,$C$4,$C$6,$C$5,$C$7,G$1,G$2,$A123)</f>
        <v>-3503401.05</v>
      </c>
      <c r="H123" s="31">
        <f>_xll.DBRW($C$1,$C$2,$C$3,$C$4,$C$6,$C$5,$C$7,H$1,H$2,$A123)</f>
        <v>-1534695.2700000003</v>
      </c>
      <c r="I123" s="31">
        <f>_xll.DBRW($C$1,$C$2,$C$3,$C$4,$C$6,$C$5,$C$7,I$1,I$2,$A123)</f>
        <v>-60135.780000000035</v>
      </c>
      <c r="J123" s="31">
        <f>_xll.DBRW($C$1,$C$2,$C$3,$C$4,$C$6,$C$5,$C$7,J$1,J$2,$A123)</f>
        <v>-556966.96000000008</v>
      </c>
      <c r="K123" s="31">
        <f>_xll.DBRW($C$1,$C$2,$C$3,$C$4,$C$6,$C$5,$C$7,K$1,K$2,$A123)</f>
        <v>-828186.21</v>
      </c>
      <c r="L123" s="31">
        <f>_xll.DBRW($C$1,$C$2,$C$3,$C$4,$C$6,$C$5,$C$7,L$1,L$2,$A123)</f>
        <v>-1021084.47</v>
      </c>
      <c r="M123" s="31">
        <f>_xll.DBRW($C$1,$C$2,$C$3,$C$4,$C$6,$C$5,$C$7,M$1,M$2,$A123)</f>
        <v>-1352404.1800000002</v>
      </c>
      <c r="N123" s="31">
        <f>_xll.DBRW($C$1,$C$2,$C$3,$C$4,$C$6,$C$5,$C$7,N$1,N$2,$A123)</f>
        <v>-1805909.7200000002</v>
      </c>
      <c r="O123" s="31">
        <f>_xll.DBRW($C$1,$C$2,$C$3,$C$4,$C$6,$C$5,$C$7,O$1,O$2,$A123)</f>
        <v>-675470.53</v>
      </c>
      <c r="P123" s="31">
        <f>_xll.DBRW($C$1,$C$2,$C$3,$C$4,$C$6,$C$5,$C$7,P$1,P$2,$A123)</f>
        <v>-2633826.4500000002</v>
      </c>
      <c r="Q123" s="31">
        <f>_xll.DBRW($C$1,$C$2,$C$3,$C$4,$C$6,$C$5,$C$7,Q$1,Q$2,$A123)</f>
        <v>-2682990.6800000006</v>
      </c>
      <c r="R123" s="31">
        <f>_xll.DBRW($C$1,$C$2,$C$3,$C$4,$C$6,$C$5,$C$7,R$1,R$2,$A123)</f>
        <v>-835551.09000000043</v>
      </c>
      <c r="S123" s="31">
        <f>_xll.DBRW($C$1,$C$2,$C$3,$C$4,$C$6,$C$5,$C$7,S$1,S$2,$A123)</f>
        <v>-3394122.7300000004</v>
      </c>
      <c r="T123" s="31">
        <f>_xll.DBRW($C$1,$C$2,$C$3,$C$4,$C$6,$C$5,$C$7,T$1,T$2,$A123)</f>
        <v>-3989876.6800000006</v>
      </c>
      <c r="U123" s="31">
        <f>_xll.DBRW($C$1,$C$2,$C$3,$C$4,$C$6,$C$5,$C$7,U$1,U$2,$A123)</f>
        <v>-3989876.6800000006</v>
      </c>
      <c r="V123" s="31">
        <f>_xll.DBRW($C$1,$C$2,$C$3,$C$4,$C$6,$C$5,$C$7,V$1,V$2,$A123)</f>
        <v>0</v>
      </c>
      <c r="W123" s="31">
        <f>_xll.DBRW($C$1,$C$2,$C$3,$C$4,$C$6,$C$5,$C$7,W$1,W$2,$A123)</f>
        <v>0</v>
      </c>
      <c r="X123" s="31">
        <f>_xll.DBRW($C$1,$C$2,$C$3,$C$4,$C$6,$C$5,$C$7,X$1,X$2,$A123)</f>
        <v>0</v>
      </c>
      <c r="Y123" s="31">
        <f>_xll.DBRW($C$1,$C$2,$C$3,$C$4,$C$6,$C$5,$C$7,Y$1,Y$2,$A123)</f>
        <v>0</v>
      </c>
      <c r="Z123" s="31">
        <f>_xll.DBRW($C$1,$C$2,$C$3,$C$4,$C$6,$C$5,$C$7,Z$1,Z$2,$A123)</f>
        <v>0</v>
      </c>
      <c r="AA123" s="31">
        <f>_xll.DBRW($C$1,$C$2,$C$3,$C$4,$C$6,$C$5,$C$7,AA$1,AA$2,$A123)</f>
        <v>0</v>
      </c>
      <c r="AB123" s="31">
        <f>_xll.DBRW($C$1,$C$2,$C$3,$C$4,$C$6,$C$5,$C$7,AB$1,AB$2,$A123)</f>
        <v>0</v>
      </c>
      <c r="AC123" s="31">
        <f>_xll.DBRW($C$1,$C$2,$C$3,$C$4,$C$6,$C$5,$C$7,AC$1,AC$2,$A123)</f>
        <v>0</v>
      </c>
      <c r="AD123" s="31">
        <f>_xll.DBRW($C$1,$C$2,$C$3,$C$4,$C$6,$C$5,$C$7,AD$1,AD$2,$A123)</f>
        <v>0</v>
      </c>
      <c r="AE123" s="31">
        <f>_xll.DBRW($C$1,$C$2,$C$3,$C$4,$C$6,$C$5,$C$7,AE$1,AE$2,$A123)</f>
        <v>0</v>
      </c>
      <c r="AF123" s="31">
        <f>_xll.DBRW($C$1,$C$2,$C$3,$C$4,$C$6,$C$5,$C$7,AF$1,AF$2,$A123)</f>
        <v>0</v>
      </c>
      <c r="AG123" s="31">
        <f>_xll.DBRW($C$1,$C$2,$C$3,$C$4,$C$6,$C$5,$C$7,AG$1,AG$2,$A123)</f>
        <v>0</v>
      </c>
      <c r="AH123" s="31">
        <f>_xll.DBRW($C$1,$C$2,$C$3,$C$4,$C$6,$C$5,$C$7,AH$1,AH$2,$A123)</f>
        <v>0</v>
      </c>
      <c r="AI123" s="31">
        <f>_xll.DBRW($C$1,$C$2,$C$3,$C$4,$C$6,$C$5,$C$7,AI$1,AI$2,$A123)</f>
        <v>0</v>
      </c>
      <c r="AJ123" s="31">
        <f>_xll.DBRW($C$1,$C$2,$C$3,$C$4,$C$6,$C$5,$C$7,AJ$1,AJ$2,$A123)</f>
        <v>0</v>
      </c>
      <c r="AK123" s="31">
        <f>_xll.DBRW($C$1,$C$2,$C$3,$C$4,$C$6,$C$5,$C$7,AK$1,AK$2,$A123)</f>
        <v>0</v>
      </c>
      <c r="AL123" s="31">
        <f>_xll.DBRW($C$1,$C$2,$C$3,$C$4,$C$6,$C$5,$C$7,AL$1,AL$2,$A123)</f>
        <v>0</v>
      </c>
      <c r="AM123" s="31">
        <f>_xll.DBRW($C$1,$C$2,$C$3,$C$4,$C$6,$C$5,$C$7,AM$1,AM$2,$A123)</f>
        <v>0</v>
      </c>
      <c r="AN123" s="31">
        <f>_xll.DBRW($C$1,$C$2,$C$3,$C$4,$C$6,$C$5,$C$7,AN$1,AN$2,$A123)</f>
        <v>0</v>
      </c>
      <c r="AO123" s="31">
        <f>_xll.DBRW($C$1,$C$2,$C$3,$C$4,$C$6,$C$5,$C$7,AO$1,AO$2,$A123)</f>
        <v>0</v>
      </c>
      <c r="AP123" s="31">
        <f>_xll.DBRW($C$1,$C$2,$C$3,$C$4,$C$6,$C$5,$C$7,AP$1,AP$2,$A123)</f>
        <v>0</v>
      </c>
      <c r="AQ123" s="31">
        <f>_xll.DBRW($C$1,$C$2,$C$3,$C$4,$C$6,$C$5,$C$7,AQ$1,AQ$2,$A123)</f>
        <v>0</v>
      </c>
      <c r="AR123" s="31">
        <f>_xll.DBRW($C$1,$C$2,$C$3,$C$4,$C$6,$C$5,$C$7,AR$1,AR$2,$A123)</f>
        <v>0</v>
      </c>
      <c r="AS123" s="31">
        <f>_xll.DBRW($C$1,$C$2,$C$3,$C$4,$C$6,$C$5,$C$7,AS$1,AS$2,$A123)</f>
        <v>0</v>
      </c>
      <c r="AT123" s="31">
        <f>_xll.DBRW($C$1,$C$2,$C$3,$C$4,$C$6,$C$5,$C$7,AT$1,AT$2,$A123)</f>
        <v>0</v>
      </c>
      <c r="AU123" s="31">
        <f>_xll.DBRW($C$1,$C$2,$C$3,$C$4,$C$6,$C$5,$C$7,AU$1,AU$2,$A123)</f>
        <v>0</v>
      </c>
    </row>
    <row r="124" spans="1:47" ht="15.75" hidden="1" customHeight="1" outlineLevel="1">
      <c r="A124" s="1" t="s">
        <v>205</v>
      </c>
      <c r="C124" s="143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0</v>
      </c>
      <c r="H124" s="31">
        <f>_xll.DBRW($C$1,$C$2,$C$3,$C$4,$C$6,$C$5,$C$7,H$1,H$2,$A124)</f>
        <v>0</v>
      </c>
      <c r="I124" s="31">
        <f>_xll.DBRW($C$1,$C$2,$C$3,$C$4,$C$6,$C$5,$C$7,I$1,I$2,$A124)</f>
        <v>-695.14</v>
      </c>
      <c r="J124" s="31">
        <f>_xll.DBRW($C$1,$C$2,$C$3,$C$4,$C$6,$C$5,$C$7,J$1,J$2,$A124)</f>
        <v>-1390.28</v>
      </c>
      <c r="K124" s="31">
        <f>_xll.DBRW($C$1,$C$2,$C$3,$C$4,$C$6,$C$5,$C$7,K$1,K$2,$A124)</f>
        <v>-2085.42</v>
      </c>
      <c r="L124" s="31">
        <f>_xll.DBRW($C$1,$C$2,$C$3,$C$4,$C$6,$C$5,$C$7,L$1,L$2,$A124)</f>
        <v>-2780.56</v>
      </c>
      <c r="M124" s="31">
        <f>_xll.DBRW($C$1,$C$2,$C$3,$C$4,$C$6,$C$5,$C$7,M$1,M$2,$A124)</f>
        <v>0</v>
      </c>
      <c r="N124" s="31">
        <f>_xll.DBRW($C$1,$C$2,$C$3,$C$4,$C$6,$C$5,$C$7,N$1,N$2,$A124)</f>
        <v>-4170.84</v>
      </c>
      <c r="O124" s="31">
        <f>_xll.DBRW($C$1,$C$2,$C$3,$C$4,$C$6,$C$5,$C$7,O$1,O$2,$A124)</f>
        <v>0</v>
      </c>
      <c r="P124" s="31">
        <f>_xll.DBRW($C$1,$C$2,$C$3,$C$4,$C$6,$C$5,$C$7,P$1,P$2,$A124)</f>
        <v>-5561.12</v>
      </c>
      <c r="Q124" s="31">
        <f>_xll.DBRW($C$1,$C$2,$C$3,$C$4,$C$6,$C$5,$C$7,Q$1,Q$2,$A124)</f>
        <v>-6256.26</v>
      </c>
      <c r="R124" s="31">
        <f>_xll.DBRW($C$1,$C$2,$C$3,$C$4,$C$6,$C$5,$C$7,R$1,R$2,$A124)</f>
        <v>-6951.4</v>
      </c>
      <c r="S124" s="31">
        <f>_xll.DBRW($C$1,$C$2,$C$3,$C$4,$C$6,$C$5,$C$7,S$1,S$2,$A124)</f>
        <v>-7646.54</v>
      </c>
      <c r="T124" s="31">
        <f>_xll.DBRW($C$1,$C$2,$C$3,$C$4,$C$6,$C$5,$C$7,T$1,T$2,$A124)</f>
        <v>-8341.68</v>
      </c>
      <c r="U124" s="31">
        <f>_xll.DBRW($C$1,$C$2,$C$3,$C$4,$C$6,$C$5,$C$7,U$1,U$2,$A124)</f>
        <v>-8341.68</v>
      </c>
      <c r="V124" s="31">
        <f>_xll.DBRW($C$1,$C$2,$C$3,$C$4,$C$6,$C$5,$C$7,V$1,V$2,$A124)</f>
        <v>0</v>
      </c>
      <c r="W124" s="31">
        <f>_xll.DBRW($C$1,$C$2,$C$3,$C$4,$C$6,$C$5,$C$7,W$1,W$2,$A124)</f>
        <v>0</v>
      </c>
      <c r="X124" s="31">
        <f>_xll.DBRW($C$1,$C$2,$C$3,$C$4,$C$6,$C$5,$C$7,X$1,X$2,$A124)</f>
        <v>0</v>
      </c>
      <c r="Y124" s="31">
        <f>_xll.DBRW($C$1,$C$2,$C$3,$C$4,$C$6,$C$5,$C$7,Y$1,Y$2,$A124)</f>
        <v>0</v>
      </c>
      <c r="Z124" s="31">
        <f>_xll.DBRW($C$1,$C$2,$C$3,$C$4,$C$6,$C$5,$C$7,Z$1,Z$2,$A124)</f>
        <v>0</v>
      </c>
      <c r="AA124" s="31">
        <f>_xll.DBRW($C$1,$C$2,$C$3,$C$4,$C$6,$C$5,$C$7,AA$1,AA$2,$A124)</f>
        <v>0</v>
      </c>
      <c r="AB124" s="31">
        <f>_xll.DBRW($C$1,$C$2,$C$3,$C$4,$C$6,$C$5,$C$7,AB$1,AB$2,$A124)</f>
        <v>0</v>
      </c>
      <c r="AC124" s="31">
        <f>_xll.DBRW($C$1,$C$2,$C$3,$C$4,$C$6,$C$5,$C$7,AC$1,AC$2,$A124)</f>
        <v>0</v>
      </c>
      <c r="AD124" s="31">
        <f>_xll.DBRW($C$1,$C$2,$C$3,$C$4,$C$6,$C$5,$C$7,AD$1,AD$2,$A124)</f>
        <v>0</v>
      </c>
      <c r="AE124" s="31">
        <f>_xll.DBRW($C$1,$C$2,$C$3,$C$4,$C$6,$C$5,$C$7,AE$1,AE$2,$A124)</f>
        <v>0</v>
      </c>
      <c r="AF124" s="31">
        <f>_xll.DBRW($C$1,$C$2,$C$3,$C$4,$C$6,$C$5,$C$7,AF$1,AF$2,$A124)</f>
        <v>0</v>
      </c>
      <c r="AG124" s="31">
        <f>_xll.DBRW($C$1,$C$2,$C$3,$C$4,$C$6,$C$5,$C$7,AG$1,AG$2,$A124)</f>
        <v>0</v>
      </c>
      <c r="AH124" s="31">
        <f>_xll.DBRW($C$1,$C$2,$C$3,$C$4,$C$6,$C$5,$C$7,AH$1,AH$2,$A124)</f>
        <v>0</v>
      </c>
      <c r="AI124" s="31">
        <f>_xll.DBRW($C$1,$C$2,$C$3,$C$4,$C$6,$C$5,$C$7,AI$1,AI$2,$A124)</f>
        <v>0</v>
      </c>
      <c r="AJ124" s="31">
        <f>_xll.DBRW($C$1,$C$2,$C$3,$C$4,$C$6,$C$5,$C$7,AJ$1,AJ$2,$A124)</f>
        <v>0</v>
      </c>
      <c r="AK124" s="31">
        <f>_xll.DBRW($C$1,$C$2,$C$3,$C$4,$C$6,$C$5,$C$7,AK$1,AK$2,$A124)</f>
        <v>0</v>
      </c>
      <c r="AL124" s="31">
        <f>_xll.DBRW($C$1,$C$2,$C$3,$C$4,$C$6,$C$5,$C$7,AL$1,AL$2,$A124)</f>
        <v>0</v>
      </c>
      <c r="AM124" s="31">
        <f>_xll.DBRW($C$1,$C$2,$C$3,$C$4,$C$6,$C$5,$C$7,AM$1,AM$2,$A124)</f>
        <v>0</v>
      </c>
      <c r="AN124" s="31">
        <f>_xll.DBRW($C$1,$C$2,$C$3,$C$4,$C$6,$C$5,$C$7,AN$1,AN$2,$A124)</f>
        <v>0</v>
      </c>
      <c r="AO124" s="31">
        <f>_xll.DBRW($C$1,$C$2,$C$3,$C$4,$C$6,$C$5,$C$7,AO$1,AO$2,$A124)</f>
        <v>0</v>
      </c>
      <c r="AP124" s="31">
        <f>_xll.DBRW($C$1,$C$2,$C$3,$C$4,$C$6,$C$5,$C$7,AP$1,AP$2,$A124)</f>
        <v>0</v>
      </c>
      <c r="AQ124" s="31">
        <f>_xll.DBRW($C$1,$C$2,$C$3,$C$4,$C$6,$C$5,$C$7,AQ$1,AQ$2,$A124)</f>
        <v>0</v>
      </c>
      <c r="AR124" s="31">
        <f>_xll.DBRW($C$1,$C$2,$C$3,$C$4,$C$6,$C$5,$C$7,AR$1,AR$2,$A124)</f>
        <v>0</v>
      </c>
      <c r="AS124" s="31">
        <f>_xll.DBRW($C$1,$C$2,$C$3,$C$4,$C$6,$C$5,$C$7,AS$1,AS$2,$A124)</f>
        <v>0</v>
      </c>
      <c r="AT124" s="31">
        <f>_xll.DBRW($C$1,$C$2,$C$3,$C$4,$C$6,$C$5,$C$7,AT$1,AT$2,$A124)</f>
        <v>0</v>
      </c>
      <c r="AU124" s="31">
        <f>_xll.DBRW($C$1,$C$2,$C$3,$C$4,$C$6,$C$5,$C$7,AU$1,AU$2,$A124)</f>
        <v>0</v>
      </c>
    </row>
    <row r="125" spans="1:47" ht="15.75" hidden="1" customHeight="1" outlineLevel="1">
      <c r="A125" s="1" t="s">
        <v>206</v>
      </c>
      <c r="C125" s="143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-2289215.5599999996</v>
      </c>
      <c r="G125" s="31">
        <f>_xll.DBRW($C$1,$C$2,$C$3,$C$4,$C$6,$C$5,$C$7,G$1,G$2,$A125)</f>
        <v>-4959869.4600000009</v>
      </c>
      <c r="H125" s="31">
        <f>_xll.DBRW($C$1,$C$2,$C$3,$C$4,$C$6,$C$5,$C$7,H$1,H$2,$A125)</f>
        <v>-1236398872.27</v>
      </c>
      <c r="I125" s="31">
        <f>_xll.DBRW($C$1,$C$2,$C$3,$C$4,$C$6,$C$5,$C$7,I$1,I$2,$A125)</f>
        <v>-156551229.69999999</v>
      </c>
      <c r="J125" s="31">
        <f>_xll.DBRW($C$1,$C$2,$C$3,$C$4,$C$6,$C$5,$C$7,J$1,J$2,$A125)</f>
        <v>-158227930.69999999</v>
      </c>
      <c r="K125" s="31">
        <f>_xll.DBRW($C$1,$C$2,$C$3,$C$4,$C$6,$C$5,$C$7,K$1,K$2,$A125)</f>
        <v>-470629414.31999999</v>
      </c>
      <c r="L125" s="31">
        <f>_xll.DBRW($C$1,$C$2,$C$3,$C$4,$C$6,$C$5,$C$7,L$1,L$2,$A125)</f>
        <v>-629029417.27999997</v>
      </c>
      <c r="M125" s="31">
        <f>_xll.DBRW($C$1,$C$2,$C$3,$C$4,$C$6,$C$5,$C$7,M$1,M$2,$A125)</f>
        <v>-785890513.28999996</v>
      </c>
      <c r="N125" s="31">
        <f>_xll.DBRW($C$1,$C$2,$C$3,$C$4,$C$6,$C$5,$C$7,N$1,N$2,$A125)</f>
        <v>-932214021.72000003</v>
      </c>
      <c r="O125" s="31">
        <f>_xll.DBRW($C$1,$C$2,$C$3,$C$4,$C$6,$C$5,$C$7,O$1,O$2,$A125)</f>
        <v>-1095858608</v>
      </c>
      <c r="P125" s="31">
        <f>_xll.DBRW($C$1,$C$2,$C$3,$C$4,$C$6,$C$5,$C$7,P$1,P$2,$A125)</f>
        <v>-1246469644.8800001</v>
      </c>
      <c r="Q125" s="31">
        <f>_xll.DBRW($C$1,$C$2,$C$3,$C$4,$C$6,$C$5,$C$7,Q$1,Q$2,$A125)</f>
        <v>-1402832529.1900001</v>
      </c>
      <c r="R125" s="31">
        <f>_xll.DBRW($C$1,$C$2,$C$3,$C$4,$C$6,$C$5,$C$7,R$1,R$2,$A125)</f>
        <v>-1565512297</v>
      </c>
      <c r="S125" s="31">
        <f>_xll.DBRW($C$1,$C$2,$C$3,$C$4,$C$6,$C$5,$C$7,S$1,S$2,$A125)</f>
        <v>-1492980807.6400001</v>
      </c>
      <c r="T125" s="31">
        <f>_xll.DBRW($C$1,$C$2,$C$3,$C$4,$C$6,$C$5,$C$7,T$1,T$2,$A125)</f>
        <v>-2623555546.9099998</v>
      </c>
      <c r="U125" s="31">
        <f>_xll.DBRW($C$1,$C$2,$C$3,$C$4,$C$6,$C$5,$C$7,U$1,U$2,$A125)</f>
        <v>-2623555546.9099998</v>
      </c>
      <c r="V125" s="31">
        <f>_xll.DBRW($C$1,$C$2,$C$3,$C$4,$C$6,$C$5,$C$7,V$1,V$2,$A125)</f>
        <v>0</v>
      </c>
      <c r="W125" s="31">
        <f>_xll.DBRW($C$1,$C$2,$C$3,$C$4,$C$6,$C$5,$C$7,W$1,W$2,$A125)</f>
        <v>0</v>
      </c>
      <c r="X125" s="31">
        <f>_xll.DBRW($C$1,$C$2,$C$3,$C$4,$C$6,$C$5,$C$7,X$1,X$2,$A125)</f>
        <v>0</v>
      </c>
      <c r="Y125" s="31">
        <f>_xll.DBRW($C$1,$C$2,$C$3,$C$4,$C$6,$C$5,$C$7,Y$1,Y$2,$A125)</f>
        <v>0</v>
      </c>
      <c r="Z125" s="31">
        <f>_xll.DBRW($C$1,$C$2,$C$3,$C$4,$C$6,$C$5,$C$7,Z$1,Z$2,$A125)</f>
        <v>0</v>
      </c>
      <c r="AA125" s="31">
        <f>_xll.DBRW($C$1,$C$2,$C$3,$C$4,$C$6,$C$5,$C$7,AA$1,AA$2,$A125)</f>
        <v>0</v>
      </c>
      <c r="AB125" s="31">
        <f>_xll.DBRW($C$1,$C$2,$C$3,$C$4,$C$6,$C$5,$C$7,AB$1,AB$2,$A125)</f>
        <v>0</v>
      </c>
      <c r="AC125" s="31">
        <f>_xll.DBRW($C$1,$C$2,$C$3,$C$4,$C$6,$C$5,$C$7,AC$1,AC$2,$A125)</f>
        <v>0</v>
      </c>
      <c r="AD125" s="31">
        <f>_xll.DBRW($C$1,$C$2,$C$3,$C$4,$C$6,$C$5,$C$7,AD$1,AD$2,$A125)</f>
        <v>0</v>
      </c>
      <c r="AE125" s="31">
        <f>_xll.DBRW($C$1,$C$2,$C$3,$C$4,$C$6,$C$5,$C$7,AE$1,AE$2,$A125)</f>
        <v>0</v>
      </c>
      <c r="AF125" s="31">
        <f>_xll.DBRW($C$1,$C$2,$C$3,$C$4,$C$6,$C$5,$C$7,AF$1,AF$2,$A125)</f>
        <v>0</v>
      </c>
      <c r="AG125" s="31">
        <f>_xll.DBRW($C$1,$C$2,$C$3,$C$4,$C$6,$C$5,$C$7,AG$1,AG$2,$A125)</f>
        <v>0</v>
      </c>
      <c r="AH125" s="31">
        <f>_xll.DBRW($C$1,$C$2,$C$3,$C$4,$C$6,$C$5,$C$7,AH$1,AH$2,$A125)</f>
        <v>0</v>
      </c>
      <c r="AI125" s="31">
        <f>_xll.DBRW($C$1,$C$2,$C$3,$C$4,$C$6,$C$5,$C$7,AI$1,AI$2,$A125)</f>
        <v>0</v>
      </c>
      <c r="AJ125" s="31">
        <f>_xll.DBRW($C$1,$C$2,$C$3,$C$4,$C$6,$C$5,$C$7,AJ$1,AJ$2,$A125)</f>
        <v>0</v>
      </c>
      <c r="AK125" s="31">
        <f>_xll.DBRW($C$1,$C$2,$C$3,$C$4,$C$6,$C$5,$C$7,AK$1,AK$2,$A125)</f>
        <v>0</v>
      </c>
      <c r="AL125" s="31">
        <f>_xll.DBRW($C$1,$C$2,$C$3,$C$4,$C$6,$C$5,$C$7,AL$1,AL$2,$A125)</f>
        <v>0</v>
      </c>
      <c r="AM125" s="31">
        <f>_xll.DBRW($C$1,$C$2,$C$3,$C$4,$C$6,$C$5,$C$7,AM$1,AM$2,$A125)</f>
        <v>0</v>
      </c>
      <c r="AN125" s="31">
        <f>_xll.DBRW($C$1,$C$2,$C$3,$C$4,$C$6,$C$5,$C$7,AN$1,AN$2,$A125)</f>
        <v>0</v>
      </c>
      <c r="AO125" s="31">
        <f>_xll.DBRW($C$1,$C$2,$C$3,$C$4,$C$6,$C$5,$C$7,AO$1,AO$2,$A125)</f>
        <v>0</v>
      </c>
      <c r="AP125" s="31">
        <f>_xll.DBRW($C$1,$C$2,$C$3,$C$4,$C$6,$C$5,$C$7,AP$1,AP$2,$A125)</f>
        <v>0</v>
      </c>
      <c r="AQ125" s="31">
        <f>_xll.DBRW($C$1,$C$2,$C$3,$C$4,$C$6,$C$5,$C$7,AQ$1,AQ$2,$A125)</f>
        <v>0</v>
      </c>
      <c r="AR125" s="31">
        <f>_xll.DBRW($C$1,$C$2,$C$3,$C$4,$C$6,$C$5,$C$7,AR$1,AR$2,$A125)</f>
        <v>0</v>
      </c>
      <c r="AS125" s="31">
        <f>_xll.DBRW($C$1,$C$2,$C$3,$C$4,$C$6,$C$5,$C$7,AS$1,AS$2,$A125)</f>
        <v>0</v>
      </c>
      <c r="AT125" s="31">
        <f>_xll.DBRW($C$1,$C$2,$C$3,$C$4,$C$6,$C$5,$C$7,AT$1,AT$2,$A125)</f>
        <v>0</v>
      </c>
      <c r="AU125" s="31">
        <f>_xll.DBRW($C$1,$C$2,$C$3,$C$4,$C$6,$C$5,$C$7,AU$1,AU$2,$A125)</f>
        <v>0</v>
      </c>
    </row>
    <row r="126" spans="1:47" ht="15.75" hidden="1" customHeight="1" outlineLevel="1">
      <c r="A126" s="1" t="s">
        <v>207</v>
      </c>
      <c r="C126" s="143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-16543146.389999997</v>
      </c>
      <c r="G126" s="31">
        <f>_xll.DBRW($C$1,$C$2,$C$3,$C$4,$C$6,$C$5,$C$7,G$1,G$2,$A126)</f>
        <v>9736344.3999999929</v>
      </c>
      <c r="H126" s="31">
        <f>_xll.DBRW($C$1,$C$2,$C$3,$C$4,$C$6,$C$5,$C$7,H$1,H$2,$A126)</f>
        <v>3547504.5700000059</v>
      </c>
      <c r="I126" s="31">
        <f>_xll.DBRW($C$1,$C$2,$C$3,$C$4,$C$6,$C$5,$C$7,I$1,I$2,$A126)</f>
        <v>-100585.85</v>
      </c>
      <c r="J126" s="31">
        <f>_xll.DBRW($C$1,$C$2,$C$3,$C$4,$C$6,$C$5,$C$7,J$1,J$2,$A126)</f>
        <v>-1689360.0000000005</v>
      </c>
      <c r="K126" s="31">
        <f>_xll.DBRW($C$1,$C$2,$C$3,$C$4,$C$6,$C$5,$C$7,K$1,K$2,$A126)</f>
        <v>-3336439.6</v>
      </c>
      <c r="L126" s="31">
        <f>_xll.DBRW($C$1,$C$2,$C$3,$C$4,$C$6,$C$5,$C$7,L$1,L$2,$A126)</f>
        <v>-2927980.57</v>
      </c>
      <c r="M126" s="31">
        <f>_xll.DBRW($C$1,$C$2,$C$3,$C$4,$C$6,$C$5,$C$7,M$1,M$2,$A126)</f>
        <v>-2867860.99</v>
      </c>
      <c r="N126" s="31">
        <f>_xll.DBRW($C$1,$C$2,$C$3,$C$4,$C$6,$C$5,$C$7,N$1,N$2,$A126)</f>
        <v>1750237.8200000003</v>
      </c>
      <c r="O126" s="31">
        <f>_xll.DBRW($C$1,$C$2,$C$3,$C$4,$C$6,$C$5,$C$7,O$1,O$2,$A126)</f>
        <v>0</v>
      </c>
      <c r="P126" s="31">
        <f>_xll.DBRW($C$1,$C$2,$C$3,$C$4,$C$6,$C$5,$C$7,P$1,P$2,$A126)</f>
        <v>8078106.3599999994</v>
      </c>
      <c r="Q126" s="31">
        <f>_xll.DBRW($C$1,$C$2,$C$3,$C$4,$C$6,$C$5,$C$7,Q$1,Q$2,$A126)</f>
        <v>12522837.039999999</v>
      </c>
      <c r="R126" s="31">
        <f>_xll.DBRW($C$1,$C$2,$C$3,$C$4,$C$6,$C$5,$C$7,R$1,R$2,$A126)</f>
        <v>-312778.17000000179</v>
      </c>
      <c r="S126" s="31">
        <f>_xll.DBRW($C$1,$C$2,$C$3,$C$4,$C$6,$C$5,$C$7,S$1,S$2,$A126)</f>
        <v>24442920.050000001</v>
      </c>
      <c r="T126" s="31">
        <f>_xll.DBRW($C$1,$C$2,$C$3,$C$4,$C$6,$C$5,$C$7,T$1,T$2,$A126)</f>
        <v>17809364.300000001</v>
      </c>
      <c r="U126" s="31">
        <f>_xll.DBRW($C$1,$C$2,$C$3,$C$4,$C$6,$C$5,$C$7,U$1,U$2,$A126)</f>
        <v>17809364.300000001</v>
      </c>
      <c r="V126" s="31">
        <f>_xll.DBRW($C$1,$C$2,$C$3,$C$4,$C$6,$C$5,$C$7,V$1,V$2,$A126)</f>
        <v>0</v>
      </c>
      <c r="W126" s="31">
        <f>_xll.DBRW($C$1,$C$2,$C$3,$C$4,$C$6,$C$5,$C$7,W$1,W$2,$A126)</f>
        <v>0</v>
      </c>
      <c r="X126" s="31">
        <f>_xll.DBRW($C$1,$C$2,$C$3,$C$4,$C$6,$C$5,$C$7,X$1,X$2,$A126)</f>
        <v>0</v>
      </c>
      <c r="Y126" s="31">
        <f>_xll.DBRW($C$1,$C$2,$C$3,$C$4,$C$6,$C$5,$C$7,Y$1,Y$2,$A126)</f>
        <v>0</v>
      </c>
      <c r="Z126" s="31">
        <f>_xll.DBRW($C$1,$C$2,$C$3,$C$4,$C$6,$C$5,$C$7,Z$1,Z$2,$A126)</f>
        <v>0</v>
      </c>
      <c r="AA126" s="31">
        <f>_xll.DBRW($C$1,$C$2,$C$3,$C$4,$C$6,$C$5,$C$7,AA$1,AA$2,$A126)</f>
        <v>0</v>
      </c>
      <c r="AB126" s="31">
        <f>_xll.DBRW($C$1,$C$2,$C$3,$C$4,$C$6,$C$5,$C$7,AB$1,AB$2,$A126)</f>
        <v>0</v>
      </c>
      <c r="AC126" s="31">
        <f>_xll.DBRW($C$1,$C$2,$C$3,$C$4,$C$6,$C$5,$C$7,AC$1,AC$2,$A126)</f>
        <v>0</v>
      </c>
      <c r="AD126" s="31">
        <f>_xll.DBRW($C$1,$C$2,$C$3,$C$4,$C$6,$C$5,$C$7,AD$1,AD$2,$A126)</f>
        <v>0</v>
      </c>
      <c r="AE126" s="31">
        <f>_xll.DBRW($C$1,$C$2,$C$3,$C$4,$C$6,$C$5,$C$7,AE$1,AE$2,$A126)</f>
        <v>0</v>
      </c>
      <c r="AF126" s="31">
        <f>_xll.DBRW($C$1,$C$2,$C$3,$C$4,$C$6,$C$5,$C$7,AF$1,AF$2,$A126)</f>
        <v>0</v>
      </c>
      <c r="AG126" s="31">
        <f>_xll.DBRW($C$1,$C$2,$C$3,$C$4,$C$6,$C$5,$C$7,AG$1,AG$2,$A126)</f>
        <v>0</v>
      </c>
      <c r="AH126" s="31">
        <f>_xll.DBRW($C$1,$C$2,$C$3,$C$4,$C$6,$C$5,$C$7,AH$1,AH$2,$A126)</f>
        <v>0</v>
      </c>
      <c r="AI126" s="31">
        <f>_xll.DBRW($C$1,$C$2,$C$3,$C$4,$C$6,$C$5,$C$7,AI$1,AI$2,$A126)</f>
        <v>0</v>
      </c>
      <c r="AJ126" s="31">
        <f>_xll.DBRW($C$1,$C$2,$C$3,$C$4,$C$6,$C$5,$C$7,AJ$1,AJ$2,$A126)</f>
        <v>0</v>
      </c>
      <c r="AK126" s="31">
        <f>_xll.DBRW($C$1,$C$2,$C$3,$C$4,$C$6,$C$5,$C$7,AK$1,AK$2,$A126)</f>
        <v>0</v>
      </c>
      <c r="AL126" s="31">
        <f>_xll.DBRW($C$1,$C$2,$C$3,$C$4,$C$6,$C$5,$C$7,AL$1,AL$2,$A126)</f>
        <v>0</v>
      </c>
      <c r="AM126" s="31">
        <f>_xll.DBRW($C$1,$C$2,$C$3,$C$4,$C$6,$C$5,$C$7,AM$1,AM$2,$A126)</f>
        <v>0</v>
      </c>
      <c r="AN126" s="31">
        <f>_xll.DBRW($C$1,$C$2,$C$3,$C$4,$C$6,$C$5,$C$7,AN$1,AN$2,$A126)</f>
        <v>0</v>
      </c>
      <c r="AO126" s="31">
        <f>_xll.DBRW($C$1,$C$2,$C$3,$C$4,$C$6,$C$5,$C$7,AO$1,AO$2,$A126)</f>
        <v>0</v>
      </c>
      <c r="AP126" s="31">
        <f>_xll.DBRW($C$1,$C$2,$C$3,$C$4,$C$6,$C$5,$C$7,AP$1,AP$2,$A126)</f>
        <v>0</v>
      </c>
      <c r="AQ126" s="31">
        <f>_xll.DBRW($C$1,$C$2,$C$3,$C$4,$C$6,$C$5,$C$7,AQ$1,AQ$2,$A126)</f>
        <v>0</v>
      </c>
      <c r="AR126" s="31">
        <f>_xll.DBRW($C$1,$C$2,$C$3,$C$4,$C$6,$C$5,$C$7,AR$1,AR$2,$A126)</f>
        <v>0</v>
      </c>
      <c r="AS126" s="31">
        <f>_xll.DBRW($C$1,$C$2,$C$3,$C$4,$C$6,$C$5,$C$7,AS$1,AS$2,$A126)</f>
        <v>0</v>
      </c>
      <c r="AT126" s="31">
        <f>_xll.DBRW($C$1,$C$2,$C$3,$C$4,$C$6,$C$5,$C$7,AT$1,AT$2,$A126)</f>
        <v>0</v>
      </c>
      <c r="AU126" s="31">
        <f>_xll.DBRW($C$1,$C$2,$C$3,$C$4,$C$6,$C$5,$C$7,AU$1,AU$2,$A126)</f>
        <v>0</v>
      </c>
    </row>
    <row r="127" spans="1:47" ht="15.75" hidden="1" customHeight="1" outlineLevel="1">
      <c r="A127" s="1" t="s">
        <v>208</v>
      </c>
      <c r="C127" s="143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0</v>
      </c>
      <c r="H127" s="31">
        <f>_xll.DBRW($C$1,$C$2,$C$3,$C$4,$C$6,$C$5,$C$7,H$1,H$2,$A127)</f>
        <v>-71339.42</v>
      </c>
      <c r="I127" s="31">
        <f>_xll.DBRW($C$1,$C$2,$C$3,$C$4,$C$6,$C$5,$C$7,I$1,I$2,$A127)</f>
        <v>0</v>
      </c>
      <c r="J127" s="31">
        <f>_xll.DBRW($C$1,$C$2,$C$3,$C$4,$C$6,$C$5,$C$7,J$1,J$2,$A127)</f>
        <v>0</v>
      </c>
      <c r="K127" s="31">
        <f>_xll.DBRW($C$1,$C$2,$C$3,$C$4,$C$6,$C$5,$C$7,K$1,K$2,$A127)</f>
        <v>1170.42</v>
      </c>
      <c r="L127" s="31">
        <f>_xll.DBRW($C$1,$C$2,$C$3,$C$4,$C$6,$C$5,$C$7,L$1,L$2,$A127)</f>
        <v>1170.42</v>
      </c>
      <c r="M127" s="31">
        <f>_xll.DBRW($C$1,$C$2,$C$3,$C$4,$C$6,$C$5,$C$7,M$1,M$2,$A127)</f>
        <v>1170.42</v>
      </c>
      <c r="N127" s="31">
        <f>_xll.DBRW($C$1,$C$2,$C$3,$C$4,$C$6,$C$5,$C$7,N$1,N$2,$A127)</f>
        <v>1170.42</v>
      </c>
      <c r="O127" s="31">
        <f>_xll.DBRW($C$1,$C$2,$C$3,$C$4,$C$6,$C$5,$C$7,O$1,O$2,$A127)</f>
        <v>0</v>
      </c>
      <c r="P127" s="31">
        <f>_xll.DBRW($C$1,$C$2,$C$3,$C$4,$C$6,$C$5,$C$7,P$1,P$2,$A127)</f>
        <v>1170.42</v>
      </c>
      <c r="Q127" s="31">
        <f>_xll.DBRW($C$1,$C$2,$C$3,$C$4,$C$6,$C$5,$C$7,Q$1,Q$2,$A127)</f>
        <v>1170.42</v>
      </c>
      <c r="R127" s="31">
        <f>_xll.DBRW($C$1,$C$2,$C$3,$C$4,$C$6,$C$5,$C$7,R$1,R$2,$A127)</f>
        <v>0</v>
      </c>
      <c r="S127" s="31">
        <f>_xll.DBRW($C$1,$C$2,$C$3,$C$4,$C$6,$C$5,$C$7,S$1,S$2,$A127)</f>
        <v>14971.68</v>
      </c>
      <c r="T127" s="31">
        <f>_xll.DBRW($C$1,$C$2,$C$3,$C$4,$C$6,$C$5,$C$7,T$1,T$2,$A127)</f>
        <v>38313.919999999998</v>
      </c>
      <c r="U127" s="31">
        <f>_xll.DBRW($C$1,$C$2,$C$3,$C$4,$C$6,$C$5,$C$7,U$1,U$2,$A127)</f>
        <v>38313.919999999998</v>
      </c>
      <c r="V127" s="31">
        <f>_xll.DBRW($C$1,$C$2,$C$3,$C$4,$C$6,$C$5,$C$7,V$1,V$2,$A127)</f>
        <v>0</v>
      </c>
      <c r="W127" s="31">
        <f>_xll.DBRW($C$1,$C$2,$C$3,$C$4,$C$6,$C$5,$C$7,W$1,W$2,$A127)</f>
        <v>0</v>
      </c>
      <c r="X127" s="31">
        <f>_xll.DBRW($C$1,$C$2,$C$3,$C$4,$C$6,$C$5,$C$7,X$1,X$2,$A127)</f>
        <v>0</v>
      </c>
      <c r="Y127" s="31">
        <f>_xll.DBRW($C$1,$C$2,$C$3,$C$4,$C$6,$C$5,$C$7,Y$1,Y$2,$A127)</f>
        <v>0</v>
      </c>
      <c r="Z127" s="31">
        <f>_xll.DBRW($C$1,$C$2,$C$3,$C$4,$C$6,$C$5,$C$7,Z$1,Z$2,$A127)</f>
        <v>0</v>
      </c>
      <c r="AA127" s="31">
        <f>_xll.DBRW($C$1,$C$2,$C$3,$C$4,$C$6,$C$5,$C$7,AA$1,AA$2,$A127)</f>
        <v>0</v>
      </c>
      <c r="AB127" s="31">
        <f>_xll.DBRW($C$1,$C$2,$C$3,$C$4,$C$6,$C$5,$C$7,AB$1,AB$2,$A127)</f>
        <v>0</v>
      </c>
      <c r="AC127" s="31">
        <f>_xll.DBRW($C$1,$C$2,$C$3,$C$4,$C$6,$C$5,$C$7,AC$1,AC$2,$A127)</f>
        <v>0</v>
      </c>
      <c r="AD127" s="31">
        <f>_xll.DBRW($C$1,$C$2,$C$3,$C$4,$C$6,$C$5,$C$7,AD$1,AD$2,$A127)</f>
        <v>0</v>
      </c>
      <c r="AE127" s="31">
        <f>_xll.DBRW($C$1,$C$2,$C$3,$C$4,$C$6,$C$5,$C$7,AE$1,AE$2,$A127)</f>
        <v>0</v>
      </c>
      <c r="AF127" s="31">
        <f>_xll.DBRW($C$1,$C$2,$C$3,$C$4,$C$6,$C$5,$C$7,AF$1,AF$2,$A127)</f>
        <v>0</v>
      </c>
      <c r="AG127" s="31">
        <f>_xll.DBRW($C$1,$C$2,$C$3,$C$4,$C$6,$C$5,$C$7,AG$1,AG$2,$A127)</f>
        <v>0</v>
      </c>
      <c r="AH127" s="31">
        <f>_xll.DBRW($C$1,$C$2,$C$3,$C$4,$C$6,$C$5,$C$7,AH$1,AH$2,$A127)</f>
        <v>0</v>
      </c>
      <c r="AI127" s="31">
        <f>_xll.DBRW($C$1,$C$2,$C$3,$C$4,$C$6,$C$5,$C$7,AI$1,AI$2,$A127)</f>
        <v>0</v>
      </c>
      <c r="AJ127" s="31">
        <f>_xll.DBRW($C$1,$C$2,$C$3,$C$4,$C$6,$C$5,$C$7,AJ$1,AJ$2,$A127)</f>
        <v>0</v>
      </c>
      <c r="AK127" s="31">
        <f>_xll.DBRW($C$1,$C$2,$C$3,$C$4,$C$6,$C$5,$C$7,AK$1,AK$2,$A127)</f>
        <v>0</v>
      </c>
      <c r="AL127" s="31">
        <f>_xll.DBRW($C$1,$C$2,$C$3,$C$4,$C$6,$C$5,$C$7,AL$1,AL$2,$A127)</f>
        <v>0</v>
      </c>
      <c r="AM127" s="31">
        <f>_xll.DBRW($C$1,$C$2,$C$3,$C$4,$C$6,$C$5,$C$7,AM$1,AM$2,$A127)</f>
        <v>0</v>
      </c>
      <c r="AN127" s="31">
        <f>_xll.DBRW($C$1,$C$2,$C$3,$C$4,$C$6,$C$5,$C$7,AN$1,AN$2,$A127)</f>
        <v>0</v>
      </c>
      <c r="AO127" s="31">
        <f>_xll.DBRW($C$1,$C$2,$C$3,$C$4,$C$6,$C$5,$C$7,AO$1,AO$2,$A127)</f>
        <v>0</v>
      </c>
      <c r="AP127" s="31">
        <f>_xll.DBRW($C$1,$C$2,$C$3,$C$4,$C$6,$C$5,$C$7,AP$1,AP$2,$A127)</f>
        <v>0</v>
      </c>
      <c r="AQ127" s="31">
        <f>_xll.DBRW($C$1,$C$2,$C$3,$C$4,$C$6,$C$5,$C$7,AQ$1,AQ$2,$A127)</f>
        <v>0</v>
      </c>
      <c r="AR127" s="31">
        <f>_xll.DBRW($C$1,$C$2,$C$3,$C$4,$C$6,$C$5,$C$7,AR$1,AR$2,$A127)</f>
        <v>0</v>
      </c>
      <c r="AS127" s="31">
        <f>_xll.DBRW($C$1,$C$2,$C$3,$C$4,$C$6,$C$5,$C$7,AS$1,AS$2,$A127)</f>
        <v>0</v>
      </c>
      <c r="AT127" s="31">
        <f>_xll.DBRW($C$1,$C$2,$C$3,$C$4,$C$6,$C$5,$C$7,AT$1,AT$2,$A127)</f>
        <v>0</v>
      </c>
      <c r="AU127" s="31">
        <f>_xll.DBRW($C$1,$C$2,$C$3,$C$4,$C$6,$C$5,$C$7,AU$1,AU$2,$A127)</f>
        <v>0</v>
      </c>
    </row>
    <row r="128" spans="1:47" ht="15.75" hidden="1" outlineLevel="1" collapsed="1">
      <c r="A128" s="1" t="s">
        <v>127</v>
      </c>
      <c r="C128" s="143"/>
      <c r="E128" s="14" t="s">
        <v>36</v>
      </c>
      <c r="F128" s="32">
        <f t="shared" ref="F128:T128" si="69">SUM(F115:F127)</f>
        <v>-2064668847.1422005</v>
      </c>
      <c r="G128" s="32">
        <f t="shared" si="69"/>
        <v>-2529806155.4572005</v>
      </c>
      <c r="H128" s="32">
        <f t="shared" si="69"/>
        <v>-3632809611.1084003</v>
      </c>
      <c r="I128" s="32">
        <f t="shared" si="69"/>
        <v>-320742796.77279997</v>
      </c>
      <c r="J128" s="32">
        <f t="shared" si="69"/>
        <v>-341729215.21560001</v>
      </c>
      <c r="K128" s="32">
        <f t="shared" si="69"/>
        <v>-1004461661.5622001</v>
      </c>
      <c r="L128" s="32">
        <f t="shared" si="69"/>
        <v>-1284074911.6849999</v>
      </c>
      <c r="M128" s="32">
        <f t="shared" si="69"/>
        <v>-1653790490.2878001</v>
      </c>
      <c r="N128" s="32">
        <f t="shared" si="69"/>
        <v>-1989262305.2666004</v>
      </c>
      <c r="O128" s="32">
        <f t="shared" si="69"/>
        <v>-2247589790.6828003</v>
      </c>
      <c r="P128" s="32">
        <f t="shared" si="69"/>
        <v>-2727745409.1332002</v>
      </c>
      <c r="Q128" s="32">
        <f t="shared" si="69"/>
        <v>-3056709663.9238005</v>
      </c>
      <c r="R128" s="32">
        <f t="shared" si="69"/>
        <v>-3257807219.2631998</v>
      </c>
      <c r="S128" s="32">
        <f t="shared" si="69"/>
        <v>-3493847223.5552001</v>
      </c>
      <c r="T128" s="32">
        <f t="shared" si="69"/>
        <v>-4897048613.8689995</v>
      </c>
      <c r="U128" s="32">
        <f>SUM(U115:U127)</f>
        <v>-4897048613.8689995</v>
      </c>
      <c r="V128" s="32">
        <f t="shared" ref="V128:AG128" si="70">SUM(V115:V127)</f>
        <v>0</v>
      </c>
      <c r="W128" s="32">
        <f t="shared" si="70"/>
        <v>0</v>
      </c>
      <c r="X128" s="32">
        <f t="shared" si="70"/>
        <v>0</v>
      </c>
      <c r="Y128" s="32">
        <f t="shared" si="70"/>
        <v>0</v>
      </c>
      <c r="Z128" s="32">
        <f t="shared" si="70"/>
        <v>0</v>
      </c>
      <c r="AA128" s="32">
        <f t="shared" si="70"/>
        <v>0</v>
      </c>
      <c r="AB128" s="32">
        <f t="shared" si="70"/>
        <v>0</v>
      </c>
      <c r="AC128" s="32">
        <f t="shared" si="70"/>
        <v>0</v>
      </c>
      <c r="AD128" s="32">
        <f t="shared" si="70"/>
        <v>0</v>
      </c>
      <c r="AE128" s="32">
        <f t="shared" si="70"/>
        <v>0</v>
      </c>
      <c r="AF128" s="32">
        <f t="shared" si="70"/>
        <v>0</v>
      </c>
      <c r="AG128" s="32">
        <f t="shared" si="70"/>
        <v>0</v>
      </c>
      <c r="AH128" s="32">
        <f>SUM(AH115:AH127)</f>
        <v>0</v>
      </c>
      <c r="AI128" s="32">
        <f t="shared" ref="AI128:AT128" si="71">SUM(AI115:AI127)</f>
        <v>0</v>
      </c>
      <c r="AJ128" s="32">
        <f t="shared" si="71"/>
        <v>0</v>
      </c>
      <c r="AK128" s="32">
        <f t="shared" si="71"/>
        <v>0</v>
      </c>
      <c r="AL128" s="32">
        <f t="shared" si="71"/>
        <v>0</v>
      </c>
      <c r="AM128" s="32">
        <f t="shared" si="71"/>
        <v>0</v>
      </c>
      <c r="AN128" s="32">
        <f t="shared" si="71"/>
        <v>0</v>
      </c>
      <c r="AO128" s="32">
        <f t="shared" si="71"/>
        <v>0</v>
      </c>
      <c r="AP128" s="32">
        <f t="shared" si="71"/>
        <v>0</v>
      </c>
      <c r="AQ128" s="32">
        <f t="shared" si="71"/>
        <v>0</v>
      </c>
      <c r="AR128" s="32">
        <f t="shared" si="71"/>
        <v>0</v>
      </c>
      <c r="AS128" s="32">
        <f t="shared" si="71"/>
        <v>0</v>
      </c>
      <c r="AT128" s="32">
        <f t="shared" si="71"/>
        <v>0</v>
      </c>
      <c r="AU128" s="32">
        <f>SUM(AU115:AU127)</f>
        <v>0</v>
      </c>
    </row>
    <row r="129" spans="1:47" ht="15.75" hidden="1" customHeight="1" outlineLevel="2">
      <c r="A129" s="1" t="s">
        <v>209</v>
      </c>
      <c r="C129" s="143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-1225284210.46</v>
      </c>
      <c r="G129" s="32">
        <f>_xll.DBRW($C$1,$C$2,$C$3,$C$4,$C$6,$C$5,$C$7,G$1,G$2,$A129)</f>
        <v>-1092007652.2300003</v>
      </c>
      <c r="H129" s="32">
        <f>_xll.DBRW($C$1,$C$2,$C$3,$C$4,$C$6,$C$5,$C$7,H$1,H$2,$A129)</f>
        <v>-1180031289.24</v>
      </c>
      <c r="I129" s="32">
        <f>_xll.DBRW($C$1,$C$2,$C$3,$C$4,$C$6,$C$5,$C$7,I$1,I$2,$A129)</f>
        <v>-135020754.69159999</v>
      </c>
      <c r="J129" s="32">
        <f>_xll.DBRW($C$1,$C$2,$C$3,$C$4,$C$6,$C$5,$C$7,J$1,J$2,$A129)</f>
        <v>-96027228.780000001</v>
      </c>
      <c r="K129" s="32">
        <f>_xll.DBRW($C$1,$C$2,$C$3,$C$4,$C$6,$C$5,$C$7,K$1,K$2,$A129)</f>
        <v>-325316876.77999997</v>
      </c>
      <c r="L129" s="32">
        <f>_xll.DBRW($C$1,$C$2,$C$3,$C$4,$C$6,$C$5,$C$7,L$1,L$2,$A129)</f>
        <v>-426643758.96999997</v>
      </c>
      <c r="M129" s="32">
        <f>_xll.DBRW($C$1,$C$2,$C$3,$C$4,$C$6,$C$5,$C$7,M$1,M$2,$A129)</f>
        <v>-528837230.26999998</v>
      </c>
      <c r="N129" s="32">
        <f>_xll.DBRW($C$1,$C$2,$C$3,$C$4,$C$6,$C$5,$C$7,N$1,N$2,$A129)</f>
        <v>-632336287.78999996</v>
      </c>
      <c r="O129" s="32">
        <f>_xll.DBRW($C$1,$C$2,$C$3,$C$4,$C$6,$C$5,$C$7,O$1,O$2,$A129)</f>
        <v>-721054830.20159996</v>
      </c>
      <c r="P129" s="32">
        <f>_xll.DBRW($C$1,$C$2,$C$3,$C$4,$C$6,$C$5,$C$7,P$1,P$2,$A129)</f>
        <v>-899284604.41999996</v>
      </c>
      <c r="Q129" s="32">
        <f>_xll.DBRW($C$1,$C$2,$C$3,$C$4,$C$6,$C$5,$C$7,Q$1,Q$2,$A129)</f>
        <v>-1020306695.1099999</v>
      </c>
      <c r="R129" s="32">
        <f>_xll.DBRW($C$1,$C$2,$C$3,$C$4,$C$6,$C$5,$C$7,R$1,R$2,$A129)</f>
        <v>-1118010329.8399999</v>
      </c>
      <c r="S129" s="32">
        <f>_xll.DBRW($C$1,$C$2,$C$3,$C$4,$C$6,$C$5,$C$7,S$1,S$2,$A129)</f>
        <v>-1249281030.0999999</v>
      </c>
      <c r="T129" s="32">
        <f>_xll.DBRW($C$1,$C$2,$C$3,$C$4,$C$6,$C$5,$C$7,T$1,T$2,$A129)</f>
        <v>-1381540400.4199998</v>
      </c>
      <c r="U129" s="32">
        <f>_xll.DBRW($C$1,$C$2,$C$3,$C$4,$C$6,$C$5,$C$7,U$1,U$2,$A129)</f>
        <v>-1381540400.4199998</v>
      </c>
      <c r="V129" s="32">
        <f>_xll.DBRW($C$1,$C$2,$C$3,$C$4,$C$6,$C$5,$C$7,V$1,V$2,$A129)</f>
        <v>0</v>
      </c>
      <c r="W129" s="32">
        <f>_xll.DBRW($C$1,$C$2,$C$3,$C$4,$C$6,$C$5,$C$7,W$1,W$2,$A129)</f>
        <v>0</v>
      </c>
      <c r="X129" s="32">
        <f>_xll.DBRW($C$1,$C$2,$C$3,$C$4,$C$6,$C$5,$C$7,X$1,X$2,$A129)</f>
        <v>0</v>
      </c>
      <c r="Y129" s="32">
        <f>_xll.DBRW($C$1,$C$2,$C$3,$C$4,$C$6,$C$5,$C$7,Y$1,Y$2,$A129)</f>
        <v>0</v>
      </c>
      <c r="Z129" s="32">
        <f>_xll.DBRW($C$1,$C$2,$C$3,$C$4,$C$6,$C$5,$C$7,Z$1,Z$2,$A129)</f>
        <v>0</v>
      </c>
      <c r="AA129" s="32">
        <f>_xll.DBRW($C$1,$C$2,$C$3,$C$4,$C$6,$C$5,$C$7,AA$1,AA$2,$A129)</f>
        <v>0</v>
      </c>
      <c r="AB129" s="32">
        <f>_xll.DBRW($C$1,$C$2,$C$3,$C$4,$C$6,$C$5,$C$7,AB$1,AB$2,$A129)</f>
        <v>0</v>
      </c>
      <c r="AC129" s="32">
        <f>_xll.DBRW($C$1,$C$2,$C$3,$C$4,$C$6,$C$5,$C$7,AC$1,AC$2,$A129)</f>
        <v>0</v>
      </c>
      <c r="AD129" s="32">
        <f>_xll.DBRW($C$1,$C$2,$C$3,$C$4,$C$6,$C$5,$C$7,AD$1,AD$2,$A129)</f>
        <v>0</v>
      </c>
      <c r="AE129" s="32">
        <f>_xll.DBRW($C$1,$C$2,$C$3,$C$4,$C$6,$C$5,$C$7,AE$1,AE$2,$A129)</f>
        <v>0</v>
      </c>
      <c r="AF129" s="32">
        <f>_xll.DBRW($C$1,$C$2,$C$3,$C$4,$C$6,$C$5,$C$7,AF$1,AF$2,$A129)</f>
        <v>0</v>
      </c>
      <c r="AG129" s="32">
        <f>_xll.DBRW($C$1,$C$2,$C$3,$C$4,$C$6,$C$5,$C$7,AG$1,AG$2,$A129)</f>
        <v>0</v>
      </c>
      <c r="AH129" s="32">
        <f>_xll.DBRW($C$1,$C$2,$C$3,$C$4,$C$6,$C$5,$C$7,AH$1,AH$2,$A129)</f>
        <v>0</v>
      </c>
      <c r="AI129" s="32">
        <f>_xll.DBRW($C$1,$C$2,$C$3,$C$4,$C$6,$C$5,$C$7,AI$1,AI$2,$A129)</f>
        <v>0</v>
      </c>
      <c r="AJ129" s="32">
        <f>_xll.DBRW($C$1,$C$2,$C$3,$C$4,$C$6,$C$5,$C$7,AJ$1,AJ$2,$A129)</f>
        <v>0</v>
      </c>
      <c r="AK129" s="32">
        <f>_xll.DBRW($C$1,$C$2,$C$3,$C$4,$C$6,$C$5,$C$7,AK$1,AK$2,$A129)</f>
        <v>0</v>
      </c>
      <c r="AL129" s="32">
        <f>_xll.DBRW($C$1,$C$2,$C$3,$C$4,$C$6,$C$5,$C$7,AL$1,AL$2,$A129)</f>
        <v>0</v>
      </c>
      <c r="AM129" s="32">
        <f>_xll.DBRW($C$1,$C$2,$C$3,$C$4,$C$6,$C$5,$C$7,AM$1,AM$2,$A129)</f>
        <v>0</v>
      </c>
      <c r="AN129" s="32">
        <f>_xll.DBRW($C$1,$C$2,$C$3,$C$4,$C$6,$C$5,$C$7,AN$1,AN$2,$A129)</f>
        <v>0</v>
      </c>
      <c r="AO129" s="32">
        <f>_xll.DBRW($C$1,$C$2,$C$3,$C$4,$C$6,$C$5,$C$7,AO$1,AO$2,$A129)</f>
        <v>0</v>
      </c>
      <c r="AP129" s="32">
        <f>_xll.DBRW($C$1,$C$2,$C$3,$C$4,$C$6,$C$5,$C$7,AP$1,AP$2,$A129)</f>
        <v>0</v>
      </c>
      <c r="AQ129" s="32">
        <f>_xll.DBRW($C$1,$C$2,$C$3,$C$4,$C$6,$C$5,$C$7,AQ$1,AQ$2,$A129)</f>
        <v>0</v>
      </c>
      <c r="AR129" s="32">
        <f>_xll.DBRW($C$1,$C$2,$C$3,$C$4,$C$6,$C$5,$C$7,AR$1,AR$2,$A129)</f>
        <v>0</v>
      </c>
      <c r="AS129" s="32">
        <f>_xll.DBRW($C$1,$C$2,$C$3,$C$4,$C$6,$C$5,$C$7,AS$1,AS$2,$A129)</f>
        <v>0</v>
      </c>
      <c r="AT129" s="32">
        <f>_xll.DBRW($C$1,$C$2,$C$3,$C$4,$C$6,$C$5,$C$7,AT$1,AT$2,$A129)</f>
        <v>0</v>
      </c>
      <c r="AU129" s="32">
        <f>_xll.DBRW($C$1,$C$2,$C$3,$C$4,$C$6,$C$5,$C$7,AU$1,AU$2,$A129)</f>
        <v>0</v>
      </c>
    </row>
    <row r="130" spans="1:47" ht="15.75" hidden="1" customHeight="1" outlineLevel="2">
      <c r="A130" s="1" t="s">
        <v>210</v>
      </c>
      <c r="C130" s="143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1590218.99</v>
      </c>
      <c r="G130" s="32">
        <f>_xll.DBRW($C$1,$C$2,$C$3,$C$4,$C$6,$C$5,$C$7,G$1,G$2,$A130)</f>
        <v>1388661.8700000003</v>
      </c>
      <c r="H130" s="32">
        <f>_xll.DBRW($C$1,$C$2,$C$3,$C$4,$C$6,$C$5,$C$7,H$1,H$2,$A130)</f>
        <v>2467115.1799999997</v>
      </c>
      <c r="I130" s="32">
        <f>_xll.DBRW($C$1,$C$2,$C$3,$C$4,$C$6,$C$5,$C$7,I$1,I$2,$A130)</f>
        <v>-843161.67999999993</v>
      </c>
      <c r="J130" s="32">
        <f>_xll.DBRW($C$1,$C$2,$C$3,$C$4,$C$6,$C$5,$C$7,J$1,J$2,$A130)</f>
        <v>350146.40000000014</v>
      </c>
      <c r="K130" s="32">
        <f>_xll.DBRW($C$1,$C$2,$C$3,$C$4,$C$6,$C$5,$C$7,K$1,K$2,$A130)</f>
        <v>544473.52000000014</v>
      </c>
      <c r="L130" s="32">
        <f>_xll.DBRW($C$1,$C$2,$C$3,$C$4,$C$6,$C$5,$C$7,L$1,L$2,$A130)</f>
        <v>257542.38000000018</v>
      </c>
      <c r="M130" s="32">
        <f>_xll.DBRW($C$1,$C$2,$C$3,$C$4,$C$6,$C$5,$C$7,M$1,M$2,$A130)</f>
        <v>862158.07000000007</v>
      </c>
      <c r="N130" s="32">
        <f>_xll.DBRW($C$1,$C$2,$C$3,$C$4,$C$6,$C$5,$C$7,N$1,N$2,$A130)</f>
        <v>1087400.3800000001</v>
      </c>
      <c r="O130" s="32">
        <f>_xll.DBRW($C$1,$C$2,$C$3,$C$4,$C$6,$C$5,$C$7,O$1,O$2,$A130)</f>
        <v>296759.30000000016</v>
      </c>
      <c r="P130" s="32">
        <f>_xll.DBRW($C$1,$C$2,$C$3,$C$4,$C$6,$C$5,$C$7,P$1,P$2,$A130)</f>
        <v>1502474.5700000008</v>
      </c>
      <c r="Q130" s="32">
        <f>_xll.DBRW($C$1,$C$2,$C$3,$C$4,$C$6,$C$5,$C$7,Q$1,Q$2,$A130)</f>
        <v>1697105.4500000007</v>
      </c>
      <c r="R130" s="32">
        <f>_xll.DBRW($C$1,$C$2,$C$3,$C$4,$C$6,$C$5,$C$7,R$1,R$2,$A130)</f>
        <v>481738.85000000091</v>
      </c>
      <c r="S130" s="32">
        <f>_xll.DBRW($C$1,$C$2,$C$3,$C$4,$C$6,$C$5,$C$7,S$1,S$2,$A130)</f>
        <v>2074215.8400000012</v>
      </c>
      <c r="T130" s="32">
        <f>_xll.DBRW($C$1,$C$2,$C$3,$C$4,$C$6,$C$5,$C$7,T$1,T$2,$A130)</f>
        <v>2282617.8600000013</v>
      </c>
      <c r="U130" s="32">
        <f>_xll.DBRW($C$1,$C$2,$C$3,$C$4,$C$6,$C$5,$C$7,U$1,U$2,$A130)</f>
        <v>2282617.8600000013</v>
      </c>
      <c r="V130" s="32">
        <f>_xll.DBRW($C$1,$C$2,$C$3,$C$4,$C$6,$C$5,$C$7,V$1,V$2,$A130)</f>
        <v>0</v>
      </c>
      <c r="W130" s="32">
        <f>_xll.DBRW($C$1,$C$2,$C$3,$C$4,$C$6,$C$5,$C$7,W$1,W$2,$A130)</f>
        <v>0</v>
      </c>
      <c r="X130" s="32">
        <f>_xll.DBRW($C$1,$C$2,$C$3,$C$4,$C$6,$C$5,$C$7,X$1,X$2,$A130)</f>
        <v>0</v>
      </c>
      <c r="Y130" s="32">
        <f>_xll.DBRW($C$1,$C$2,$C$3,$C$4,$C$6,$C$5,$C$7,Y$1,Y$2,$A130)</f>
        <v>0</v>
      </c>
      <c r="Z130" s="32">
        <f>_xll.DBRW($C$1,$C$2,$C$3,$C$4,$C$6,$C$5,$C$7,Z$1,Z$2,$A130)</f>
        <v>0</v>
      </c>
      <c r="AA130" s="32">
        <f>_xll.DBRW($C$1,$C$2,$C$3,$C$4,$C$6,$C$5,$C$7,AA$1,AA$2,$A130)</f>
        <v>0</v>
      </c>
      <c r="AB130" s="32">
        <f>_xll.DBRW($C$1,$C$2,$C$3,$C$4,$C$6,$C$5,$C$7,AB$1,AB$2,$A130)</f>
        <v>0</v>
      </c>
      <c r="AC130" s="32">
        <f>_xll.DBRW($C$1,$C$2,$C$3,$C$4,$C$6,$C$5,$C$7,AC$1,AC$2,$A130)</f>
        <v>0</v>
      </c>
      <c r="AD130" s="32">
        <f>_xll.DBRW($C$1,$C$2,$C$3,$C$4,$C$6,$C$5,$C$7,AD$1,AD$2,$A130)</f>
        <v>0</v>
      </c>
      <c r="AE130" s="32">
        <f>_xll.DBRW($C$1,$C$2,$C$3,$C$4,$C$6,$C$5,$C$7,AE$1,AE$2,$A130)</f>
        <v>0</v>
      </c>
      <c r="AF130" s="32">
        <f>_xll.DBRW($C$1,$C$2,$C$3,$C$4,$C$6,$C$5,$C$7,AF$1,AF$2,$A130)</f>
        <v>0</v>
      </c>
      <c r="AG130" s="32">
        <f>_xll.DBRW($C$1,$C$2,$C$3,$C$4,$C$6,$C$5,$C$7,AG$1,AG$2,$A130)</f>
        <v>0</v>
      </c>
      <c r="AH130" s="32">
        <f>_xll.DBRW($C$1,$C$2,$C$3,$C$4,$C$6,$C$5,$C$7,AH$1,AH$2,$A130)</f>
        <v>0</v>
      </c>
      <c r="AI130" s="32">
        <f>_xll.DBRW($C$1,$C$2,$C$3,$C$4,$C$6,$C$5,$C$7,AI$1,AI$2,$A130)</f>
        <v>0</v>
      </c>
      <c r="AJ130" s="32">
        <f>_xll.DBRW($C$1,$C$2,$C$3,$C$4,$C$6,$C$5,$C$7,AJ$1,AJ$2,$A130)</f>
        <v>0</v>
      </c>
      <c r="AK130" s="32">
        <f>_xll.DBRW($C$1,$C$2,$C$3,$C$4,$C$6,$C$5,$C$7,AK$1,AK$2,$A130)</f>
        <v>0</v>
      </c>
      <c r="AL130" s="32">
        <f>_xll.DBRW($C$1,$C$2,$C$3,$C$4,$C$6,$C$5,$C$7,AL$1,AL$2,$A130)</f>
        <v>0</v>
      </c>
      <c r="AM130" s="32">
        <f>_xll.DBRW($C$1,$C$2,$C$3,$C$4,$C$6,$C$5,$C$7,AM$1,AM$2,$A130)</f>
        <v>0</v>
      </c>
      <c r="AN130" s="32">
        <f>_xll.DBRW($C$1,$C$2,$C$3,$C$4,$C$6,$C$5,$C$7,AN$1,AN$2,$A130)</f>
        <v>0</v>
      </c>
      <c r="AO130" s="32">
        <f>_xll.DBRW($C$1,$C$2,$C$3,$C$4,$C$6,$C$5,$C$7,AO$1,AO$2,$A130)</f>
        <v>0</v>
      </c>
      <c r="AP130" s="32">
        <f>_xll.DBRW($C$1,$C$2,$C$3,$C$4,$C$6,$C$5,$C$7,AP$1,AP$2,$A130)</f>
        <v>0</v>
      </c>
      <c r="AQ130" s="32">
        <f>_xll.DBRW($C$1,$C$2,$C$3,$C$4,$C$6,$C$5,$C$7,AQ$1,AQ$2,$A130)</f>
        <v>0</v>
      </c>
      <c r="AR130" s="32">
        <f>_xll.DBRW($C$1,$C$2,$C$3,$C$4,$C$6,$C$5,$C$7,AR$1,AR$2,$A130)</f>
        <v>0</v>
      </c>
      <c r="AS130" s="32">
        <f>_xll.DBRW($C$1,$C$2,$C$3,$C$4,$C$6,$C$5,$C$7,AS$1,AS$2,$A130)</f>
        <v>0</v>
      </c>
      <c r="AT130" s="32">
        <f>_xll.DBRW($C$1,$C$2,$C$3,$C$4,$C$6,$C$5,$C$7,AT$1,AT$2,$A130)</f>
        <v>0</v>
      </c>
      <c r="AU130" s="32">
        <f>_xll.DBRW($C$1,$C$2,$C$3,$C$4,$C$6,$C$5,$C$7,AU$1,AU$2,$A130)</f>
        <v>0</v>
      </c>
    </row>
    <row r="131" spans="1:47" ht="15.75" hidden="1" customHeight="1" outlineLevel="2">
      <c r="A131" s="1" t="s">
        <v>211</v>
      </c>
      <c r="C131" s="143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-2082046.1700000002</v>
      </c>
      <c r="G131" s="32">
        <f>_xll.DBRW($C$1,$C$2,$C$3,$C$4,$C$6,$C$5,$C$7,G$1,G$2,$A131)</f>
        <v>0</v>
      </c>
      <c r="H131" s="32">
        <f>_xll.DBRW($C$1,$C$2,$C$3,$C$4,$C$6,$C$5,$C$7,H$1,H$2,$A131)</f>
        <v>0</v>
      </c>
      <c r="I131" s="32">
        <f>_xll.DBRW($C$1,$C$2,$C$3,$C$4,$C$6,$C$5,$C$7,I$1,I$2,$A131)</f>
        <v>0</v>
      </c>
      <c r="J131" s="32">
        <f>_xll.DBRW($C$1,$C$2,$C$3,$C$4,$C$6,$C$5,$C$7,J$1,J$2,$A131)</f>
        <v>0</v>
      </c>
      <c r="K131" s="32">
        <f>_xll.DBRW($C$1,$C$2,$C$3,$C$4,$C$6,$C$5,$C$7,K$1,K$2,$A131)</f>
        <v>0</v>
      </c>
      <c r="L131" s="32">
        <f>_xll.DBRW($C$1,$C$2,$C$3,$C$4,$C$6,$C$5,$C$7,L$1,L$2,$A131)</f>
        <v>0</v>
      </c>
      <c r="M131" s="32">
        <f>_xll.DBRW($C$1,$C$2,$C$3,$C$4,$C$6,$C$5,$C$7,M$1,M$2,$A131)</f>
        <v>0</v>
      </c>
      <c r="N131" s="32">
        <f>_xll.DBRW($C$1,$C$2,$C$3,$C$4,$C$6,$C$5,$C$7,N$1,N$2,$A131)</f>
        <v>0</v>
      </c>
      <c r="O131" s="32">
        <f>_xll.DBRW($C$1,$C$2,$C$3,$C$4,$C$6,$C$5,$C$7,O$1,O$2,$A131)</f>
        <v>0</v>
      </c>
      <c r="P131" s="32">
        <f>_xll.DBRW($C$1,$C$2,$C$3,$C$4,$C$6,$C$5,$C$7,P$1,P$2,$A131)</f>
        <v>-147361.94</v>
      </c>
      <c r="Q131" s="32">
        <f>_xll.DBRW($C$1,$C$2,$C$3,$C$4,$C$6,$C$5,$C$7,Q$1,Q$2,$A131)</f>
        <v>-216106.11</v>
      </c>
      <c r="R131" s="32">
        <f>_xll.DBRW($C$1,$C$2,$C$3,$C$4,$C$6,$C$5,$C$7,R$1,R$2,$A131)</f>
        <v>-201212.59999999998</v>
      </c>
      <c r="S131" s="32">
        <f>_xll.DBRW($C$1,$C$2,$C$3,$C$4,$C$6,$C$5,$C$7,S$1,S$2,$A131)</f>
        <v>-395306.10999999993</v>
      </c>
      <c r="T131" s="32">
        <f>_xll.DBRW($C$1,$C$2,$C$3,$C$4,$C$6,$C$5,$C$7,T$1,T$2,$A131)</f>
        <v>-503373.73999999993</v>
      </c>
      <c r="U131" s="32">
        <f>_xll.DBRW($C$1,$C$2,$C$3,$C$4,$C$6,$C$5,$C$7,U$1,U$2,$A131)</f>
        <v>-503373.73999999993</v>
      </c>
      <c r="V131" s="32">
        <f>_xll.DBRW($C$1,$C$2,$C$3,$C$4,$C$6,$C$5,$C$7,V$1,V$2,$A131)</f>
        <v>0</v>
      </c>
      <c r="W131" s="32">
        <f>_xll.DBRW($C$1,$C$2,$C$3,$C$4,$C$6,$C$5,$C$7,W$1,W$2,$A131)</f>
        <v>0</v>
      </c>
      <c r="X131" s="32">
        <f>_xll.DBRW($C$1,$C$2,$C$3,$C$4,$C$6,$C$5,$C$7,X$1,X$2,$A131)</f>
        <v>0</v>
      </c>
      <c r="Y131" s="32">
        <f>_xll.DBRW($C$1,$C$2,$C$3,$C$4,$C$6,$C$5,$C$7,Y$1,Y$2,$A131)</f>
        <v>0</v>
      </c>
      <c r="Z131" s="32">
        <f>_xll.DBRW($C$1,$C$2,$C$3,$C$4,$C$6,$C$5,$C$7,Z$1,Z$2,$A131)</f>
        <v>0</v>
      </c>
      <c r="AA131" s="32">
        <f>_xll.DBRW($C$1,$C$2,$C$3,$C$4,$C$6,$C$5,$C$7,AA$1,AA$2,$A131)</f>
        <v>0</v>
      </c>
      <c r="AB131" s="32">
        <f>_xll.DBRW($C$1,$C$2,$C$3,$C$4,$C$6,$C$5,$C$7,AB$1,AB$2,$A131)</f>
        <v>0</v>
      </c>
      <c r="AC131" s="32">
        <f>_xll.DBRW($C$1,$C$2,$C$3,$C$4,$C$6,$C$5,$C$7,AC$1,AC$2,$A131)</f>
        <v>0</v>
      </c>
      <c r="AD131" s="32">
        <f>_xll.DBRW($C$1,$C$2,$C$3,$C$4,$C$6,$C$5,$C$7,AD$1,AD$2,$A131)</f>
        <v>0</v>
      </c>
      <c r="AE131" s="32">
        <f>_xll.DBRW($C$1,$C$2,$C$3,$C$4,$C$6,$C$5,$C$7,AE$1,AE$2,$A131)</f>
        <v>0</v>
      </c>
      <c r="AF131" s="32">
        <f>_xll.DBRW($C$1,$C$2,$C$3,$C$4,$C$6,$C$5,$C$7,AF$1,AF$2,$A131)</f>
        <v>0</v>
      </c>
      <c r="AG131" s="32">
        <f>_xll.DBRW($C$1,$C$2,$C$3,$C$4,$C$6,$C$5,$C$7,AG$1,AG$2,$A131)</f>
        <v>0</v>
      </c>
      <c r="AH131" s="32">
        <f>_xll.DBRW($C$1,$C$2,$C$3,$C$4,$C$6,$C$5,$C$7,AH$1,AH$2,$A131)</f>
        <v>0</v>
      </c>
      <c r="AI131" s="32">
        <f>_xll.DBRW($C$1,$C$2,$C$3,$C$4,$C$6,$C$5,$C$7,AI$1,AI$2,$A131)</f>
        <v>0</v>
      </c>
      <c r="AJ131" s="32">
        <f>_xll.DBRW($C$1,$C$2,$C$3,$C$4,$C$6,$C$5,$C$7,AJ$1,AJ$2,$A131)</f>
        <v>0</v>
      </c>
      <c r="AK131" s="32">
        <f>_xll.DBRW($C$1,$C$2,$C$3,$C$4,$C$6,$C$5,$C$7,AK$1,AK$2,$A131)</f>
        <v>0</v>
      </c>
      <c r="AL131" s="32">
        <f>_xll.DBRW($C$1,$C$2,$C$3,$C$4,$C$6,$C$5,$C$7,AL$1,AL$2,$A131)</f>
        <v>0</v>
      </c>
      <c r="AM131" s="32">
        <f>_xll.DBRW($C$1,$C$2,$C$3,$C$4,$C$6,$C$5,$C$7,AM$1,AM$2,$A131)</f>
        <v>0</v>
      </c>
      <c r="AN131" s="32">
        <f>_xll.DBRW($C$1,$C$2,$C$3,$C$4,$C$6,$C$5,$C$7,AN$1,AN$2,$A131)</f>
        <v>0</v>
      </c>
      <c r="AO131" s="32">
        <f>_xll.DBRW($C$1,$C$2,$C$3,$C$4,$C$6,$C$5,$C$7,AO$1,AO$2,$A131)</f>
        <v>0</v>
      </c>
      <c r="AP131" s="32">
        <f>_xll.DBRW($C$1,$C$2,$C$3,$C$4,$C$6,$C$5,$C$7,AP$1,AP$2,$A131)</f>
        <v>0</v>
      </c>
      <c r="AQ131" s="32">
        <f>_xll.DBRW($C$1,$C$2,$C$3,$C$4,$C$6,$C$5,$C$7,AQ$1,AQ$2,$A131)</f>
        <v>0</v>
      </c>
      <c r="AR131" s="32">
        <f>_xll.DBRW($C$1,$C$2,$C$3,$C$4,$C$6,$C$5,$C$7,AR$1,AR$2,$A131)</f>
        <v>0</v>
      </c>
      <c r="AS131" s="32">
        <f>_xll.DBRW($C$1,$C$2,$C$3,$C$4,$C$6,$C$5,$C$7,AS$1,AS$2,$A131)</f>
        <v>0</v>
      </c>
      <c r="AT131" s="32">
        <f>_xll.DBRW($C$1,$C$2,$C$3,$C$4,$C$6,$C$5,$C$7,AT$1,AT$2,$A131)</f>
        <v>0</v>
      </c>
      <c r="AU131" s="32">
        <f>_xll.DBRW($C$1,$C$2,$C$3,$C$4,$C$6,$C$5,$C$7,AU$1,AU$2,$A131)</f>
        <v>0</v>
      </c>
    </row>
    <row r="132" spans="1:47" ht="15.75" hidden="1" customHeight="1" outlineLevel="2">
      <c r="A132" s="1" t="s">
        <v>212</v>
      </c>
      <c r="C132" s="143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-72197769.129199997</v>
      </c>
      <c r="G132" s="32">
        <f>_xll.DBRW($C$1,$C$2,$C$3,$C$4,$C$6,$C$5,$C$7,G$1,G$2,$A132)</f>
        <v>-71907114.661200002</v>
      </c>
      <c r="H132" s="32">
        <f>_xll.DBRW($C$1,$C$2,$C$3,$C$4,$C$6,$C$5,$C$7,H$1,H$2,$A132)</f>
        <v>-87263431.394999966</v>
      </c>
      <c r="I132" s="32">
        <f>_xll.DBRW($C$1,$C$2,$C$3,$C$4,$C$6,$C$5,$C$7,I$1,I$2,$A132)</f>
        <v>-2911577.3960999991</v>
      </c>
      <c r="J132" s="32">
        <f>_xll.DBRW($C$1,$C$2,$C$3,$C$4,$C$6,$C$5,$C$7,J$1,J$2,$A132)</f>
        <v>-13079393.5688</v>
      </c>
      <c r="K132" s="32">
        <f>_xll.DBRW($C$1,$C$2,$C$3,$C$4,$C$6,$C$5,$C$7,K$1,K$2,$A132)</f>
        <v>-20181776.9782</v>
      </c>
      <c r="L132" s="32">
        <f>_xll.DBRW($C$1,$C$2,$C$3,$C$4,$C$6,$C$5,$C$7,L$1,L$2,$A132)</f>
        <v>-27363830.217599999</v>
      </c>
      <c r="M132" s="32">
        <f>_xll.DBRW($C$1,$C$2,$C$3,$C$4,$C$6,$C$5,$C$7,M$1,M$2,$A132)</f>
        <v>-37317737.226999998</v>
      </c>
      <c r="N132" s="32">
        <f>_xll.DBRW($C$1,$C$2,$C$3,$C$4,$C$6,$C$5,$C$7,N$1,N$2,$A132)</f>
        <v>-46565370.046399996</v>
      </c>
      <c r="O132" s="32">
        <f>_xll.DBRW($C$1,$C$2,$C$3,$C$4,$C$6,$C$5,$C$7,O$1,O$2,$A132)</f>
        <v>-26620316.862799995</v>
      </c>
      <c r="P132" s="32">
        <f>_xll.DBRW($C$1,$C$2,$C$3,$C$4,$C$6,$C$5,$C$7,P$1,P$2,$A132)</f>
        <v>-49756140.075199991</v>
      </c>
      <c r="Q132" s="32">
        <f>_xll.DBRW($C$1,$C$2,$C$3,$C$4,$C$6,$C$5,$C$7,Q$1,Q$2,$A132)</f>
        <v>-56883024.004599988</v>
      </c>
      <c r="R132" s="32">
        <f>_xll.DBRW($C$1,$C$2,$C$3,$C$4,$C$6,$C$5,$C$7,R$1,R$2,$A132)</f>
        <v>-40397602.283999987</v>
      </c>
      <c r="S132" s="32">
        <f>_xll.DBRW($C$1,$C$2,$C$3,$C$4,$C$6,$C$5,$C$7,S$1,S$2,$A132)</f>
        <v>-72625189.593399987</v>
      </c>
      <c r="T132" s="32">
        <f>_xll.DBRW($C$1,$C$2,$C$3,$C$4,$C$6,$C$5,$C$7,T$1,T$2,$A132)</f>
        <v>-82993379.282999992</v>
      </c>
      <c r="U132" s="32">
        <f>_xll.DBRW($C$1,$C$2,$C$3,$C$4,$C$6,$C$5,$C$7,U$1,U$2,$A132)</f>
        <v>-82993379.282999992</v>
      </c>
      <c r="V132" s="32">
        <f>_xll.DBRW($C$1,$C$2,$C$3,$C$4,$C$6,$C$5,$C$7,V$1,V$2,$A132)</f>
        <v>0</v>
      </c>
      <c r="W132" s="32">
        <f>_xll.DBRW($C$1,$C$2,$C$3,$C$4,$C$6,$C$5,$C$7,W$1,W$2,$A132)</f>
        <v>0</v>
      </c>
      <c r="X132" s="32">
        <f>_xll.DBRW($C$1,$C$2,$C$3,$C$4,$C$6,$C$5,$C$7,X$1,X$2,$A132)</f>
        <v>0</v>
      </c>
      <c r="Y132" s="32">
        <f>_xll.DBRW($C$1,$C$2,$C$3,$C$4,$C$6,$C$5,$C$7,Y$1,Y$2,$A132)</f>
        <v>0</v>
      </c>
      <c r="Z132" s="32">
        <f>_xll.DBRW($C$1,$C$2,$C$3,$C$4,$C$6,$C$5,$C$7,Z$1,Z$2,$A132)</f>
        <v>0</v>
      </c>
      <c r="AA132" s="32">
        <f>_xll.DBRW($C$1,$C$2,$C$3,$C$4,$C$6,$C$5,$C$7,AA$1,AA$2,$A132)</f>
        <v>0</v>
      </c>
      <c r="AB132" s="32">
        <f>_xll.DBRW($C$1,$C$2,$C$3,$C$4,$C$6,$C$5,$C$7,AB$1,AB$2,$A132)</f>
        <v>0</v>
      </c>
      <c r="AC132" s="32">
        <f>_xll.DBRW($C$1,$C$2,$C$3,$C$4,$C$6,$C$5,$C$7,AC$1,AC$2,$A132)</f>
        <v>0</v>
      </c>
      <c r="AD132" s="32">
        <f>_xll.DBRW($C$1,$C$2,$C$3,$C$4,$C$6,$C$5,$C$7,AD$1,AD$2,$A132)</f>
        <v>0</v>
      </c>
      <c r="AE132" s="32">
        <f>_xll.DBRW($C$1,$C$2,$C$3,$C$4,$C$6,$C$5,$C$7,AE$1,AE$2,$A132)</f>
        <v>0</v>
      </c>
      <c r="AF132" s="32">
        <f>_xll.DBRW($C$1,$C$2,$C$3,$C$4,$C$6,$C$5,$C$7,AF$1,AF$2,$A132)</f>
        <v>0</v>
      </c>
      <c r="AG132" s="32">
        <f>_xll.DBRW($C$1,$C$2,$C$3,$C$4,$C$6,$C$5,$C$7,AG$1,AG$2,$A132)</f>
        <v>0</v>
      </c>
      <c r="AH132" s="32">
        <f>_xll.DBRW($C$1,$C$2,$C$3,$C$4,$C$6,$C$5,$C$7,AH$1,AH$2,$A132)</f>
        <v>0</v>
      </c>
      <c r="AI132" s="32">
        <f>_xll.DBRW($C$1,$C$2,$C$3,$C$4,$C$6,$C$5,$C$7,AI$1,AI$2,$A132)</f>
        <v>0</v>
      </c>
      <c r="AJ132" s="32">
        <f>_xll.DBRW($C$1,$C$2,$C$3,$C$4,$C$6,$C$5,$C$7,AJ$1,AJ$2,$A132)</f>
        <v>0</v>
      </c>
      <c r="AK132" s="32">
        <f>_xll.DBRW($C$1,$C$2,$C$3,$C$4,$C$6,$C$5,$C$7,AK$1,AK$2,$A132)</f>
        <v>0</v>
      </c>
      <c r="AL132" s="32">
        <f>_xll.DBRW($C$1,$C$2,$C$3,$C$4,$C$6,$C$5,$C$7,AL$1,AL$2,$A132)</f>
        <v>0</v>
      </c>
      <c r="AM132" s="32">
        <f>_xll.DBRW($C$1,$C$2,$C$3,$C$4,$C$6,$C$5,$C$7,AM$1,AM$2,$A132)</f>
        <v>0</v>
      </c>
      <c r="AN132" s="32">
        <f>_xll.DBRW($C$1,$C$2,$C$3,$C$4,$C$6,$C$5,$C$7,AN$1,AN$2,$A132)</f>
        <v>0</v>
      </c>
      <c r="AO132" s="32">
        <f>_xll.DBRW($C$1,$C$2,$C$3,$C$4,$C$6,$C$5,$C$7,AO$1,AO$2,$A132)</f>
        <v>0</v>
      </c>
      <c r="AP132" s="32">
        <f>_xll.DBRW($C$1,$C$2,$C$3,$C$4,$C$6,$C$5,$C$7,AP$1,AP$2,$A132)</f>
        <v>0</v>
      </c>
      <c r="AQ132" s="32">
        <f>_xll.DBRW($C$1,$C$2,$C$3,$C$4,$C$6,$C$5,$C$7,AQ$1,AQ$2,$A132)</f>
        <v>0</v>
      </c>
      <c r="AR132" s="32">
        <f>_xll.DBRW($C$1,$C$2,$C$3,$C$4,$C$6,$C$5,$C$7,AR$1,AR$2,$A132)</f>
        <v>0</v>
      </c>
      <c r="AS132" s="32">
        <f>_xll.DBRW($C$1,$C$2,$C$3,$C$4,$C$6,$C$5,$C$7,AS$1,AS$2,$A132)</f>
        <v>0</v>
      </c>
      <c r="AT132" s="32">
        <f>_xll.DBRW($C$1,$C$2,$C$3,$C$4,$C$6,$C$5,$C$7,AT$1,AT$2,$A132)</f>
        <v>0</v>
      </c>
      <c r="AU132" s="32">
        <f>_xll.DBRW($C$1,$C$2,$C$3,$C$4,$C$6,$C$5,$C$7,AU$1,AU$2,$A132)</f>
        <v>0</v>
      </c>
    </row>
    <row r="133" spans="1:47" ht="15.75" hidden="1" customHeight="1" outlineLevel="2">
      <c r="A133" s="1" t="s">
        <v>213</v>
      </c>
      <c r="C133" s="143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-139893.51</v>
      </c>
      <c r="G133" s="32">
        <f>_xll.DBRW($C$1,$C$2,$C$3,$C$4,$C$6,$C$5,$C$7,G$1,G$2,$A133)</f>
        <v>-1202829.6100000001</v>
      </c>
      <c r="H133" s="32">
        <f>_xll.DBRW($C$1,$C$2,$C$3,$C$4,$C$6,$C$5,$C$7,H$1,H$2,$A133)</f>
        <v>-1128977.5700000003</v>
      </c>
      <c r="I133" s="32">
        <f>_xll.DBRW($C$1,$C$2,$C$3,$C$4,$C$6,$C$5,$C$7,I$1,I$2,$A133)</f>
        <v>-18390.5</v>
      </c>
      <c r="J133" s="32">
        <f>_xll.DBRW($C$1,$C$2,$C$3,$C$4,$C$6,$C$5,$C$7,J$1,J$2,$A133)</f>
        <v>-171911.69</v>
      </c>
      <c r="K133" s="32">
        <f>_xll.DBRW($C$1,$C$2,$C$3,$C$4,$C$6,$C$5,$C$7,K$1,K$2,$A133)</f>
        <v>-254668.9</v>
      </c>
      <c r="L133" s="32">
        <f>_xll.DBRW($C$1,$C$2,$C$3,$C$4,$C$6,$C$5,$C$7,L$1,L$2,$A133)</f>
        <v>-337950.14</v>
      </c>
      <c r="M133" s="32">
        <f>_xll.DBRW($C$1,$C$2,$C$3,$C$4,$C$6,$C$5,$C$7,M$1,M$2,$A133)</f>
        <v>-420379.81000000006</v>
      </c>
      <c r="N133" s="32">
        <f>_xll.DBRW($C$1,$C$2,$C$3,$C$4,$C$6,$C$5,$C$7,N$1,N$2,$A133)</f>
        <v>-498959.89000000007</v>
      </c>
      <c r="O133" s="32">
        <f>_xll.DBRW($C$1,$C$2,$C$3,$C$4,$C$6,$C$5,$C$7,O$1,O$2,$A133)</f>
        <v>-107614.61000000004</v>
      </c>
      <c r="P133" s="32">
        <f>_xll.DBRW($C$1,$C$2,$C$3,$C$4,$C$6,$C$5,$C$7,P$1,P$2,$A133)</f>
        <v>-902072.7100000002</v>
      </c>
      <c r="Q133" s="32">
        <f>_xll.DBRW($C$1,$C$2,$C$3,$C$4,$C$6,$C$5,$C$7,Q$1,Q$2,$A133)</f>
        <v>-1010950.1800000002</v>
      </c>
      <c r="R133" s="32">
        <f>_xll.DBRW($C$1,$C$2,$C$3,$C$4,$C$6,$C$5,$C$7,R$1,R$2,$A133)</f>
        <v>-93786.000000000393</v>
      </c>
      <c r="S133" s="32">
        <f>_xll.DBRW($C$1,$C$2,$C$3,$C$4,$C$6,$C$5,$C$7,S$1,S$2,$A133)</f>
        <v>-1232957.3</v>
      </c>
      <c r="T133" s="32">
        <f>_xll.DBRW($C$1,$C$2,$C$3,$C$4,$C$6,$C$5,$C$7,T$1,T$2,$A133)</f>
        <v>-307001.41000000003</v>
      </c>
      <c r="U133" s="32">
        <f>_xll.DBRW($C$1,$C$2,$C$3,$C$4,$C$6,$C$5,$C$7,U$1,U$2,$A133)</f>
        <v>-307001.41000000003</v>
      </c>
      <c r="V133" s="32">
        <f>_xll.DBRW($C$1,$C$2,$C$3,$C$4,$C$6,$C$5,$C$7,V$1,V$2,$A133)</f>
        <v>0</v>
      </c>
      <c r="W133" s="32">
        <f>_xll.DBRW($C$1,$C$2,$C$3,$C$4,$C$6,$C$5,$C$7,W$1,W$2,$A133)</f>
        <v>0</v>
      </c>
      <c r="X133" s="32">
        <f>_xll.DBRW($C$1,$C$2,$C$3,$C$4,$C$6,$C$5,$C$7,X$1,X$2,$A133)</f>
        <v>0</v>
      </c>
      <c r="Y133" s="32">
        <f>_xll.DBRW($C$1,$C$2,$C$3,$C$4,$C$6,$C$5,$C$7,Y$1,Y$2,$A133)</f>
        <v>0</v>
      </c>
      <c r="Z133" s="32">
        <f>_xll.DBRW($C$1,$C$2,$C$3,$C$4,$C$6,$C$5,$C$7,Z$1,Z$2,$A133)</f>
        <v>0</v>
      </c>
      <c r="AA133" s="32">
        <f>_xll.DBRW($C$1,$C$2,$C$3,$C$4,$C$6,$C$5,$C$7,AA$1,AA$2,$A133)</f>
        <v>0</v>
      </c>
      <c r="AB133" s="32">
        <f>_xll.DBRW($C$1,$C$2,$C$3,$C$4,$C$6,$C$5,$C$7,AB$1,AB$2,$A133)</f>
        <v>0</v>
      </c>
      <c r="AC133" s="32">
        <f>_xll.DBRW($C$1,$C$2,$C$3,$C$4,$C$6,$C$5,$C$7,AC$1,AC$2,$A133)</f>
        <v>0</v>
      </c>
      <c r="AD133" s="32">
        <f>_xll.DBRW($C$1,$C$2,$C$3,$C$4,$C$6,$C$5,$C$7,AD$1,AD$2,$A133)</f>
        <v>0</v>
      </c>
      <c r="AE133" s="32">
        <f>_xll.DBRW($C$1,$C$2,$C$3,$C$4,$C$6,$C$5,$C$7,AE$1,AE$2,$A133)</f>
        <v>0</v>
      </c>
      <c r="AF133" s="32">
        <f>_xll.DBRW($C$1,$C$2,$C$3,$C$4,$C$6,$C$5,$C$7,AF$1,AF$2,$A133)</f>
        <v>0</v>
      </c>
      <c r="AG133" s="32">
        <f>_xll.DBRW($C$1,$C$2,$C$3,$C$4,$C$6,$C$5,$C$7,AG$1,AG$2,$A133)</f>
        <v>0</v>
      </c>
      <c r="AH133" s="32">
        <f>_xll.DBRW($C$1,$C$2,$C$3,$C$4,$C$6,$C$5,$C$7,AH$1,AH$2,$A133)</f>
        <v>0</v>
      </c>
      <c r="AI133" s="32">
        <f>_xll.DBRW($C$1,$C$2,$C$3,$C$4,$C$6,$C$5,$C$7,AI$1,AI$2,$A133)</f>
        <v>0</v>
      </c>
      <c r="AJ133" s="32">
        <f>_xll.DBRW($C$1,$C$2,$C$3,$C$4,$C$6,$C$5,$C$7,AJ$1,AJ$2,$A133)</f>
        <v>0</v>
      </c>
      <c r="AK133" s="32">
        <f>_xll.DBRW($C$1,$C$2,$C$3,$C$4,$C$6,$C$5,$C$7,AK$1,AK$2,$A133)</f>
        <v>0</v>
      </c>
      <c r="AL133" s="32">
        <f>_xll.DBRW($C$1,$C$2,$C$3,$C$4,$C$6,$C$5,$C$7,AL$1,AL$2,$A133)</f>
        <v>0</v>
      </c>
      <c r="AM133" s="32">
        <f>_xll.DBRW($C$1,$C$2,$C$3,$C$4,$C$6,$C$5,$C$7,AM$1,AM$2,$A133)</f>
        <v>0</v>
      </c>
      <c r="AN133" s="32">
        <f>_xll.DBRW($C$1,$C$2,$C$3,$C$4,$C$6,$C$5,$C$7,AN$1,AN$2,$A133)</f>
        <v>0</v>
      </c>
      <c r="AO133" s="32">
        <f>_xll.DBRW($C$1,$C$2,$C$3,$C$4,$C$6,$C$5,$C$7,AO$1,AO$2,$A133)</f>
        <v>0</v>
      </c>
      <c r="AP133" s="32">
        <f>_xll.DBRW($C$1,$C$2,$C$3,$C$4,$C$6,$C$5,$C$7,AP$1,AP$2,$A133)</f>
        <v>0</v>
      </c>
      <c r="AQ133" s="32">
        <f>_xll.DBRW($C$1,$C$2,$C$3,$C$4,$C$6,$C$5,$C$7,AQ$1,AQ$2,$A133)</f>
        <v>0</v>
      </c>
      <c r="AR133" s="32">
        <f>_xll.DBRW($C$1,$C$2,$C$3,$C$4,$C$6,$C$5,$C$7,AR$1,AR$2,$A133)</f>
        <v>0</v>
      </c>
      <c r="AS133" s="32">
        <f>_xll.DBRW($C$1,$C$2,$C$3,$C$4,$C$6,$C$5,$C$7,AS$1,AS$2,$A133)</f>
        <v>0</v>
      </c>
      <c r="AT133" s="32">
        <f>_xll.DBRW($C$1,$C$2,$C$3,$C$4,$C$6,$C$5,$C$7,AT$1,AT$2,$A133)</f>
        <v>0</v>
      </c>
      <c r="AU133" s="32">
        <f>_xll.DBRW($C$1,$C$2,$C$3,$C$4,$C$6,$C$5,$C$7,AU$1,AU$2,$A133)</f>
        <v>0</v>
      </c>
    </row>
    <row r="134" spans="1:47" ht="15.75" hidden="1" customHeight="1" outlineLevel="2">
      <c r="A134" s="1" t="s">
        <v>214</v>
      </c>
      <c r="C134" s="143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261438.3</v>
      </c>
      <c r="G134" s="32">
        <f>_xll.DBRW($C$1,$C$2,$C$3,$C$4,$C$6,$C$5,$C$7,G$1,G$2,$A134)</f>
        <v>-130869.50000000001</v>
      </c>
      <c r="H134" s="32">
        <f>_xll.DBRW($C$1,$C$2,$C$3,$C$4,$C$6,$C$5,$C$7,H$1,H$2,$A134)</f>
        <v>-350135.30000000005</v>
      </c>
      <c r="I134" s="32">
        <f>_xll.DBRW($C$1,$C$2,$C$3,$C$4,$C$6,$C$5,$C$7,I$1,I$2,$A134)</f>
        <v>-6427</v>
      </c>
      <c r="J134" s="32">
        <f>_xll.DBRW($C$1,$C$2,$C$3,$C$4,$C$6,$C$5,$C$7,J$1,J$2,$A134)</f>
        <v>-12687.17</v>
      </c>
      <c r="K134" s="32">
        <f>_xll.DBRW($C$1,$C$2,$C$3,$C$4,$C$6,$C$5,$C$7,K$1,K$2,$A134)</f>
        <v>-23098.25</v>
      </c>
      <c r="L134" s="32">
        <f>_xll.DBRW($C$1,$C$2,$C$3,$C$4,$C$6,$C$5,$C$7,L$1,L$2,$A134)</f>
        <v>-32213</v>
      </c>
      <c r="M134" s="32">
        <f>_xll.DBRW($C$1,$C$2,$C$3,$C$4,$C$6,$C$5,$C$7,M$1,M$2,$A134)</f>
        <v>-41450.43</v>
      </c>
      <c r="N134" s="32">
        <f>_xll.DBRW($C$1,$C$2,$C$3,$C$4,$C$6,$C$5,$C$7,N$1,N$2,$A134)</f>
        <v>-51127</v>
      </c>
      <c r="O134" s="32">
        <f>_xll.DBRW($C$1,$C$2,$C$3,$C$4,$C$6,$C$5,$C$7,O$1,O$2,$A134)</f>
        <v>-7844.5</v>
      </c>
      <c r="P134" s="32">
        <f>_xll.DBRW($C$1,$C$2,$C$3,$C$4,$C$6,$C$5,$C$7,P$1,P$2,$A134)</f>
        <v>-15718</v>
      </c>
      <c r="Q134" s="32">
        <f>_xll.DBRW($C$1,$C$2,$C$3,$C$4,$C$6,$C$5,$C$7,Q$1,Q$2,$A134)</f>
        <v>-1622.5</v>
      </c>
      <c r="R134" s="32">
        <f>_xll.DBRW($C$1,$C$2,$C$3,$C$4,$C$6,$C$5,$C$7,R$1,R$2,$A134)</f>
        <v>-8117.23</v>
      </c>
      <c r="S134" s="32">
        <f>_xll.DBRW($C$1,$C$2,$C$3,$C$4,$C$6,$C$5,$C$7,S$1,S$2,$A134)</f>
        <v>-19223.140000000003</v>
      </c>
      <c r="T134" s="32">
        <f>_xll.DBRW($C$1,$C$2,$C$3,$C$4,$C$6,$C$5,$C$7,T$1,T$2,$A134)</f>
        <v>-113362.40999999999</v>
      </c>
      <c r="U134" s="32">
        <f>_xll.DBRW($C$1,$C$2,$C$3,$C$4,$C$6,$C$5,$C$7,U$1,U$2,$A134)</f>
        <v>-113362.40999999999</v>
      </c>
      <c r="V134" s="32">
        <f>_xll.DBRW($C$1,$C$2,$C$3,$C$4,$C$6,$C$5,$C$7,V$1,V$2,$A134)</f>
        <v>0</v>
      </c>
      <c r="W134" s="32">
        <f>_xll.DBRW($C$1,$C$2,$C$3,$C$4,$C$6,$C$5,$C$7,W$1,W$2,$A134)</f>
        <v>0</v>
      </c>
      <c r="X134" s="32">
        <f>_xll.DBRW($C$1,$C$2,$C$3,$C$4,$C$6,$C$5,$C$7,X$1,X$2,$A134)</f>
        <v>0</v>
      </c>
      <c r="Y134" s="32">
        <f>_xll.DBRW($C$1,$C$2,$C$3,$C$4,$C$6,$C$5,$C$7,Y$1,Y$2,$A134)</f>
        <v>0</v>
      </c>
      <c r="Z134" s="32">
        <f>_xll.DBRW($C$1,$C$2,$C$3,$C$4,$C$6,$C$5,$C$7,Z$1,Z$2,$A134)</f>
        <v>0</v>
      </c>
      <c r="AA134" s="32">
        <f>_xll.DBRW($C$1,$C$2,$C$3,$C$4,$C$6,$C$5,$C$7,AA$1,AA$2,$A134)</f>
        <v>0</v>
      </c>
      <c r="AB134" s="32">
        <f>_xll.DBRW($C$1,$C$2,$C$3,$C$4,$C$6,$C$5,$C$7,AB$1,AB$2,$A134)</f>
        <v>0</v>
      </c>
      <c r="AC134" s="32">
        <f>_xll.DBRW($C$1,$C$2,$C$3,$C$4,$C$6,$C$5,$C$7,AC$1,AC$2,$A134)</f>
        <v>0</v>
      </c>
      <c r="AD134" s="32">
        <f>_xll.DBRW($C$1,$C$2,$C$3,$C$4,$C$6,$C$5,$C$7,AD$1,AD$2,$A134)</f>
        <v>0</v>
      </c>
      <c r="AE134" s="32">
        <f>_xll.DBRW($C$1,$C$2,$C$3,$C$4,$C$6,$C$5,$C$7,AE$1,AE$2,$A134)</f>
        <v>0</v>
      </c>
      <c r="AF134" s="32">
        <f>_xll.DBRW($C$1,$C$2,$C$3,$C$4,$C$6,$C$5,$C$7,AF$1,AF$2,$A134)</f>
        <v>0</v>
      </c>
      <c r="AG134" s="32">
        <f>_xll.DBRW($C$1,$C$2,$C$3,$C$4,$C$6,$C$5,$C$7,AG$1,AG$2,$A134)</f>
        <v>0</v>
      </c>
      <c r="AH134" s="32">
        <f>_xll.DBRW($C$1,$C$2,$C$3,$C$4,$C$6,$C$5,$C$7,AH$1,AH$2,$A134)</f>
        <v>0</v>
      </c>
      <c r="AI134" s="32">
        <f>_xll.DBRW($C$1,$C$2,$C$3,$C$4,$C$6,$C$5,$C$7,AI$1,AI$2,$A134)</f>
        <v>0</v>
      </c>
      <c r="AJ134" s="32">
        <f>_xll.DBRW($C$1,$C$2,$C$3,$C$4,$C$6,$C$5,$C$7,AJ$1,AJ$2,$A134)</f>
        <v>0</v>
      </c>
      <c r="AK134" s="32">
        <f>_xll.DBRW($C$1,$C$2,$C$3,$C$4,$C$6,$C$5,$C$7,AK$1,AK$2,$A134)</f>
        <v>0</v>
      </c>
      <c r="AL134" s="32">
        <f>_xll.DBRW($C$1,$C$2,$C$3,$C$4,$C$6,$C$5,$C$7,AL$1,AL$2,$A134)</f>
        <v>0</v>
      </c>
      <c r="AM134" s="32">
        <f>_xll.DBRW($C$1,$C$2,$C$3,$C$4,$C$6,$C$5,$C$7,AM$1,AM$2,$A134)</f>
        <v>0</v>
      </c>
      <c r="AN134" s="32">
        <f>_xll.DBRW($C$1,$C$2,$C$3,$C$4,$C$6,$C$5,$C$7,AN$1,AN$2,$A134)</f>
        <v>0</v>
      </c>
      <c r="AO134" s="32">
        <f>_xll.DBRW($C$1,$C$2,$C$3,$C$4,$C$6,$C$5,$C$7,AO$1,AO$2,$A134)</f>
        <v>0</v>
      </c>
      <c r="AP134" s="32">
        <f>_xll.DBRW($C$1,$C$2,$C$3,$C$4,$C$6,$C$5,$C$7,AP$1,AP$2,$A134)</f>
        <v>0</v>
      </c>
      <c r="AQ134" s="32">
        <f>_xll.DBRW($C$1,$C$2,$C$3,$C$4,$C$6,$C$5,$C$7,AQ$1,AQ$2,$A134)</f>
        <v>0</v>
      </c>
      <c r="AR134" s="32">
        <f>_xll.DBRW($C$1,$C$2,$C$3,$C$4,$C$6,$C$5,$C$7,AR$1,AR$2,$A134)</f>
        <v>0</v>
      </c>
      <c r="AS134" s="32">
        <f>_xll.DBRW($C$1,$C$2,$C$3,$C$4,$C$6,$C$5,$C$7,AS$1,AS$2,$A134)</f>
        <v>0</v>
      </c>
      <c r="AT134" s="32">
        <f>_xll.DBRW($C$1,$C$2,$C$3,$C$4,$C$6,$C$5,$C$7,AT$1,AT$2,$A134)</f>
        <v>0</v>
      </c>
      <c r="AU134" s="32">
        <f>_xll.DBRW($C$1,$C$2,$C$3,$C$4,$C$6,$C$5,$C$7,AU$1,AU$2,$A134)</f>
        <v>0</v>
      </c>
    </row>
    <row r="135" spans="1:47" ht="15.75" hidden="1" customHeight="1" outlineLevel="2">
      <c r="A135" s="1" t="s">
        <v>215</v>
      </c>
      <c r="C135" s="143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115672</v>
      </c>
      <c r="G135" s="32">
        <f>_xll.DBRW($C$1,$C$2,$C$3,$C$4,$C$6,$C$5,$C$7,G$1,G$2,$A135)</f>
        <v>0</v>
      </c>
      <c r="H135" s="32">
        <f>_xll.DBRW($C$1,$C$2,$C$3,$C$4,$C$6,$C$5,$C$7,H$1,H$2,$A135)</f>
        <v>38360</v>
      </c>
      <c r="I135" s="32">
        <f>_xll.DBRW($C$1,$C$2,$C$3,$C$4,$C$6,$C$5,$C$7,I$1,I$2,$A135)</f>
        <v>0</v>
      </c>
      <c r="J135" s="32">
        <f>_xll.DBRW($C$1,$C$2,$C$3,$C$4,$C$6,$C$5,$C$7,J$1,J$2,$A135)</f>
        <v>2165</v>
      </c>
      <c r="K135" s="32">
        <f>_xll.DBRW($C$1,$C$2,$C$3,$C$4,$C$6,$C$5,$C$7,K$1,K$2,$A135)</f>
        <v>3247.5</v>
      </c>
      <c r="L135" s="32">
        <f>_xll.DBRW($C$1,$C$2,$C$3,$C$4,$C$6,$C$5,$C$7,L$1,L$2,$A135)</f>
        <v>23710.83</v>
      </c>
      <c r="M135" s="32">
        <f>_xll.DBRW($C$1,$C$2,$C$3,$C$4,$C$6,$C$5,$C$7,M$1,M$2,$A135)</f>
        <v>29123.33</v>
      </c>
      <c r="N135" s="32">
        <f>_xll.DBRW($C$1,$C$2,$C$3,$C$4,$C$6,$C$5,$C$7,N$1,N$2,$A135)</f>
        <v>23710.83</v>
      </c>
      <c r="O135" s="32">
        <f>_xll.DBRW($C$1,$C$2,$C$3,$C$4,$C$6,$C$5,$C$7,O$1,O$2,$A135)</f>
        <v>33710.83</v>
      </c>
      <c r="P135" s="32">
        <f>_xll.DBRW($C$1,$C$2,$C$3,$C$4,$C$6,$C$5,$C$7,P$1,P$2,$A135)</f>
        <v>43705.83</v>
      </c>
      <c r="Q135" s="32">
        <f>_xll.DBRW($C$1,$C$2,$C$3,$C$4,$C$6,$C$5,$C$7,Q$1,Q$2,$A135)</f>
        <v>44954.83</v>
      </c>
      <c r="R135" s="32">
        <f>_xll.DBRW($C$1,$C$2,$C$3,$C$4,$C$6,$C$5,$C$7,R$1,R$2,$A135)</f>
        <v>33710.83</v>
      </c>
      <c r="S135" s="32">
        <f>_xll.DBRW($C$1,$C$2,$C$3,$C$4,$C$6,$C$5,$C$7,S$1,S$2,$A135)</f>
        <v>47453.83</v>
      </c>
      <c r="T135" s="32">
        <f>_xll.DBRW($C$1,$C$2,$C$3,$C$4,$C$6,$C$5,$C$7,T$1,T$2,$A135)</f>
        <v>131491.85999999999</v>
      </c>
      <c r="U135" s="32">
        <f>_xll.DBRW($C$1,$C$2,$C$3,$C$4,$C$6,$C$5,$C$7,U$1,U$2,$A135)</f>
        <v>131491.85999999999</v>
      </c>
      <c r="V135" s="32">
        <f>_xll.DBRW($C$1,$C$2,$C$3,$C$4,$C$6,$C$5,$C$7,V$1,V$2,$A135)</f>
        <v>0</v>
      </c>
      <c r="W135" s="32">
        <f>_xll.DBRW($C$1,$C$2,$C$3,$C$4,$C$6,$C$5,$C$7,W$1,W$2,$A135)</f>
        <v>0</v>
      </c>
      <c r="X135" s="32">
        <f>_xll.DBRW($C$1,$C$2,$C$3,$C$4,$C$6,$C$5,$C$7,X$1,X$2,$A135)</f>
        <v>0</v>
      </c>
      <c r="Y135" s="32">
        <f>_xll.DBRW($C$1,$C$2,$C$3,$C$4,$C$6,$C$5,$C$7,Y$1,Y$2,$A135)</f>
        <v>0</v>
      </c>
      <c r="Z135" s="32">
        <f>_xll.DBRW($C$1,$C$2,$C$3,$C$4,$C$6,$C$5,$C$7,Z$1,Z$2,$A135)</f>
        <v>0</v>
      </c>
      <c r="AA135" s="32">
        <f>_xll.DBRW($C$1,$C$2,$C$3,$C$4,$C$6,$C$5,$C$7,AA$1,AA$2,$A135)</f>
        <v>0</v>
      </c>
      <c r="AB135" s="32">
        <f>_xll.DBRW($C$1,$C$2,$C$3,$C$4,$C$6,$C$5,$C$7,AB$1,AB$2,$A135)</f>
        <v>0</v>
      </c>
      <c r="AC135" s="32">
        <f>_xll.DBRW($C$1,$C$2,$C$3,$C$4,$C$6,$C$5,$C$7,AC$1,AC$2,$A135)</f>
        <v>0</v>
      </c>
      <c r="AD135" s="32">
        <f>_xll.DBRW($C$1,$C$2,$C$3,$C$4,$C$6,$C$5,$C$7,AD$1,AD$2,$A135)</f>
        <v>0</v>
      </c>
      <c r="AE135" s="32">
        <f>_xll.DBRW($C$1,$C$2,$C$3,$C$4,$C$6,$C$5,$C$7,AE$1,AE$2,$A135)</f>
        <v>0</v>
      </c>
      <c r="AF135" s="32">
        <f>_xll.DBRW($C$1,$C$2,$C$3,$C$4,$C$6,$C$5,$C$7,AF$1,AF$2,$A135)</f>
        <v>0</v>
      </c>
      <c r="AG135" s="32">
        <f>_xll.DBRW($C$1,$C$2,$C$3,$C$4,$C$6,$C$5,$C$7,AG$1,AG$2,$A135)</f>
        <v>0</v>
      </c>
      <c r="AH135" s="32">
        <f>_xll.DBRW($C$1,$C$2,$C$3,$C$4,$C$6,$C$5,$C$7,AH$1,AH$2,$A135)</f>
        <v>0</v>
      </c>
      <c r="AI135" s="32">
        <f>_xll.DBRW($C$1,$C$2,$C$3,$C$4,$C$6,$C$5,$C$7,AI$1,AI$2,$A135)</f>
        <v>0</v>
      </c>
      <c r="AJ135" s="32">
        <f>_xll.DBRW($C$1,$C$2,$C$3,$C$4,$C$6,$C$5,$C$7,AJ$1,AJ$2,$A135)</f>
        <v>0</v>
      </c>
      <c r="AK135" s="32">
        <f>_xll.DBRW($C$1,$C$2,$C$3,$C$4,$C$6,$C$5,$C$7,AK$1,AK$2,$A135)</f>
        <v>0</v>
      </c>
      <c r="AL135" s="32">
        <f>_xll.DBRW($C$1,$C$2,$C$3,$C$4,$C$6,$C$5,$C$7,AL$1,AL$2,$A135)</f>
        <v>0</v>
      </c>
      <c r="AM135" s="32">
        <f>_xll.DBRW($C$1,$C$2,$C$3,$C$4,$C$6,$C$5,$C$7,AM$1,AM$2,$A135)</f>
        <v>0</v>
      </c>
      <c r="AN135" s="32">
        <f>_xll.DBRW($C$1,$C$2,$C$3,$C$4,$C$6,$C$5,$C$7,AN$1,AN$2,$A135)</f>
        <v>0</v>
      </c>
      <c r="AO135" s="32">
        <f>_xll.DBRW($C$1,$C$2,$C$3,$C$4,$C$6,$C$5,$C$7,AO$1,AO$2,$A135)</f>
        <v>0</v>
      </c>
      <c r="AP135" s="32">
        <f>_xll.DBRW($C$1,$C$2,$C$3,$C$4,$C$6,$C$5,$C$7,AP$1,AP$2,$A135)</f>
        <v>0</v>
      </c>
      <c r="AQ135" s="32">
        <f>_xll.DBRW($C$1,$C$2,$C$3,$C$4,$C$6,$C$5,$C$7,AQ$1,AQ$2,$A135)</f>
        <v>0</v>
      </c>
      <c r="AR135" s="32">
        <f>_xll.DBRW($C$1,$C$2,$C$3,$C$4,$C$6,$C$5,$C$7,AR$1,AR$2,$A135)</f>
        <v>0</v>
      </c>
      <c r="AS135" s="32">
        <f>_xll.DBRW($C$1,$C$2,$C$3,$C$4,$C$6,$C$5,$C$7,AS$1,AS$2,$A135)</f>
        <v>0</v>
      </c>
      <c r="AT135" s="32">
        <f>_xll.DBRW($C$1,$C$2,$C$3,$C$4,$C$6,$C$5,$C$7,AT$1,AT$2,$A135)</f>
        <v>0</v>
      </c>
      <c r="AU135" s="32">
        <f>_xll.DBRW($C$1,$C$2,$C$3,$C$4,$C$6,$C$5,$C$7,AU$1,AU$2,$A135)</f>
        <v>0</v>
      </c>
    </row>
    <row r="136" spans="1:47" ht="15.75" hidden="1" customHeight="1" outlineLevel="2">
      <c r="A136" s="1" t="s">
        <v>216</v>
      </c>
      <c r="C136" s="143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-1016018</v>
      </c>
      <c r="H136" s="32">
        <f>_xll.DBRW($C$1,$C$2,$C$3,$C$4,$C$6,$C$5,$C$7,H$1,H$2,$A136)</f>
        <v>432291.26</v>
      </c>
      <c r="I136" s="32">
        <f>_xll.DBRW($C$1,$C$2,$C$3,$C$4,$C$6,$C$5,$C$7,I$1,I$2,$A136)</f>
        <v>1326</v>
      </c>
      <c r="J136" s="32">
        <f>_xll.DBRW($C$1,$C$2,$C$3,$C$4,$C$6,$C$5,$C$7,J$1,J$2,$A136)</f>
        <v>77806.77</v>
      </c>
      <c r="K136" s="32">
        <f>_xll.DBRW($C$1,$C$2,$C$3,$C$4,$C$6,$C$5,$C$7,K$1,K$2,$A136)</f>
        <v>118688.31</v>
      </c>
      <c r="L136" s="32">
        <f>_xll.DBRW($C$1,$C$2,$C$3,$C$4,$C$6,$C$5,$C$7,L$1,L$2,$A136)</f>
        <v>159577.07999999999</v>
      </c>
      <c r="M136" s="32">
        <f>_xll.DBRW($C$1,$C$2,$C$3,$C$4,$C$6,$C$5,$C$7,M$1,M$2,$A136)</f>
        <v>200458.56</v>
      </c>
      <c r="N136" s="32">
        <f>_xll.DBRW($C$1,$C$2,$C$3,$C$4,$C$6,$C$5,$C$7,N$1,N$2,$A136)</f>
        <v>238695.35</v>
      </c>
      <c r="O136" s="32">
        <f>_xll.DBRW($C$1,$C$2,$C$3,$C$4,$C$6,$C$5,$C$7,O$1,O$2,$A136)</f>
        <v>280902.88</v>
      </c>
      <c r="P136" s="32">
        <f>_xll.DBRW($C$1,$C$2,$C$3,$C$4,$C$6,$C$5,$C$7,P$1,P$2,$A136)</f>
        <v>320458.40999999997</v>
      </c>
      <c r="Q136" s="32">
        <f>_xll.DBRW($C$1,$C$2,$C$3,$C$4,$C$6,$C$5,$C$7,Q$1,Q$2,$A136)</f>
        <v>360021.16</v>
      </c>
      <c r="R136" s="32">
        <f>_xll.DBRW($C$1,$C$2,$C$3,$C$4,$C$6,$C$5,$C$7,R$1,R$2,$A136)</f>
        <v>402228.69</v>
      </c>
      <c r="S136" s="32">
        <f>_xll.DBRW($C$1,$C$2,$C$3,$C$4,$C$6,$C$5,$C$7,S$1,S$2,$A136)</f>
        <v>283137.90000000002</v>
      </c>
      <c r="T136" s="32">
        <f>_xll.DBRW($C$1,$C$2,$C$3,$C$4,$C$6,$C$5,$C$7,T$1,T$2,$A136)</f>
        <v>283137.90000000002</v>
      </c>
      <c r="U136" s="32">
        <f>_xll.DBRW($C$1,$C$2,$C$3,$C$4,$C$6,$C$5,$C$7,U$1,U$2,$A136)</f>
        <v>283137.90000000002</v>
      </c>
      <c r="V136" s="32">
        <f>_xll.DBRW($C$1,$C$2,$C$3,$C$4,$C$6,$C$5,$C$7,V$1,V$2,$A136)</f>
        <v>0</v>
      </c>
      <c r="W136" s="32">
        <f>_xll.DBRW($C$1,$C$2,$C$3,$C$4,$C$6,$C$5,$C$7,W$1,W$2,$A136)</f>
        <v>0</v>
      </c>
      <c r="X136" s="32">
        <f>_xll.DBRW($C$1,$C$2,$C$3,$C$4,$C$6,$C$5,$C$7,X$1,X$2,$A136)</f>
        <v>0</v>
      </c>
      <c r="Y136" s="32">
        <f>_xll.DBRW($C$1,$C$2,$C$3,$C$4,$C$6,$C$5,$C$7,Y$1,Y$2,$A136)</f>
        <v>0</v>
      </c>
      <c r="Z136" s="32">
        <f>_xll.DBRW($C$1,$C$2,$C$3,$C$4,$C$6,$C$5,$C$7,Z$1,Z$2,$A136)</f>
        <v>0</v>
      </c>
      <c r="AA136" s="32">
        <f>_xll.DBRW($C$1,$C$2,$C$3,$C$4,$C$6,$C$5,$C$7,AA$1,AA$2,$A136)</f>
        <v>0</v>
      </c>
      <c r="AB136" s="32">
        <f>_xll.DBRW($C$1,$C$2,$C$3,$C$4,$C$6,$C$5,$C$7,AB$1,AB$2,$A136)</f>
        <v>0</v>
      </c>
      <c r="AC136" s="32">
        <f>_xll.DBRW($C$1,$C$2,$C$3,$C$4,$C$6,$C$5,$C$7,AC$1,AC$2,$A136)</f>
        <v>0</v>
      </c>
      <c r="AD136" s="32">
        <f>_xll.DBRW($C$1,$C$2,$C$3,$C$4,$C$6,$C$5,$C$7,AD$1,AD$2,$A136)</f>
        <v>0</v>
      </c>
      <c r="AE136" s="32">
        <f>_xll.DBRW($C$1,$C$2,$C$3,$C$4,$C$6,$C$5,$C$7,AE$1,AE$2,$A136)</f>
        <v>0</v>
      </c>
      <c r="AF136" s="32">
        <f>_xll.DBRW($C$1,$C$2,$C$3,$C$4,$C$6,$C$5,$C$7,AF$1,AF$2,$A136)</f>
        <v>0</v>
      </c>
      <c r="AG136" s="32">
        <f>_xll.DBRW($C$1,$C$2,$C$3,$C$4,$C$6,$C$5,$C$7,AG$1,AG$2,$A136)</f>
        <v>0</v>
      </c>
      <c r="AH136" s="32">
        <f>_xll.DBRW($C$1,$C$2,$C$3,$C$4,$C$6,$C$5,$C$7,AH$1,AH$2,$A136)</f>
        <v>0</v>
      </c>
      <c r="AI136" s="32">
        <f>_xll.DBRW($C$1,$C$2,$C$3,$C$4,$C$6,$C$5,$C$7,AI$1,AI$2,$A136)</f>
        <v>0</v>
      </c>
      <c r="AJ136" s="32">
        <f>_xll.DBRW($C$1,$C$2,$C$3,$C$4,$C$6,$C$5,$C$7,AJ$1,AJ$2,$A136)</f>
        <v>0</v>
      </c>
      <c r="AK136" s="32">
        <f>_xll.DBRW($C$1,$C$2,$C$3,$C$4,$C$6,$C$5,$C$7,AK$1,AK$2,$A136)</f>
        <v>0</v>
      </c>
      <c r="AL136" s="32">
        <f>_xll.DBRW($C$1,$C$2,$C$3,$C$4,$C$6,$C$5,$C$7,AL$1,AL$2,$A136)</f>
        <v>0</v>
      </c>
      <c r="AM136" s="32">
        <f>_xll.DBRW($C$1,$C$2,$C$3,$C$4,$C$6,$C$5,$C$7,AM$1,AM$2,$A136)</f>
        <v>0</v>
      </c>
      <c r="AN136" s="32">
        <f>_xll.DBRW($C$1,$C$2,$C$3,$C$4,$C$6,$C$5,$C$7,AN$1,AN$2,$A136)</f>
        <v>0</v>
      </c>
      <c r="AO136" s="32">
        <f>_xll.DBRW($C$1,$C$2,$C$3,$C$4,$C$6,$C$5,$C$7,AO$1,AO$2,$A136)</f>
        <v>0</v>
      </c>
      <c r="AP136" s="32">
        <f>_xll.DBRW($C$1,$C$2,$C$3,$C$4,$C$6,$C$5,$C$7,AP$1,AP$2,$A136)</f>
        <v>0</v>
      </c>
      <c r="AQ136" s="32">
        <f>_xll.DBRW($C$1,$C$2,$C$3,$C$4,$C$6,$C$5,$C$7,AQ$1,AQ$2,$A136)</f>
        <v>0</v>
      </c>
      <c r="AR136" s="32">
        <f>_xll.DBRW($C$1,$C$2,$C$3,$C$4,$C$6,$C$5,$C$7,AR$1,AR$2,$A136)</f>
        <v>0</v>
      </c>
      <c r="AS136" s="32">
        <f>_xll.DBRW($C$1,$C$2,$C$3,$C$4,$C$6,$C$5,$C$7,AS$1,AS$2,$A136)</f>
        <v>0</v>
      </c>
      <c r="AT136" s="32">
        <f>_xll.DBRW($C$1,$C$2,$C$3,$C$4,$C$6,$C$5,$C$7,AT$1,AT$2,$A136)</f>
        <v>0</v>
      </c>
      <c r="AU136" s="32">
        <f>_xll.DBRW($C$1,$C$2,$C$3,$C$4,$C$6,$C$5,$C$7,AU$1,AU$2,$A136)</f>
        <v>0</v>
      </c>
    </row>
    <row r="137" spans="1:47" ht="15.75" hidden="1" outlineLevel="1">
      <c r="A137" s="1" t="s">
        <v>217</v>
      </c>
      <c r="C137" s="143"/>
      <c r="E137" s="14" t="s">
        <v>363</v>
      </c>
      <c r="F137" s="33">
        <f t="shared" ref="F137:T137" si="72">SUM(F129:F136)</f>
        <v>-1297736589.9792001</v>
      </c>
      <c r="G137" s="33">
        <f t="shared" si="72"/>
        <v>-1164875822.1312003</v>
      </c>
      <c r="H137" s="33">
        <f t="shared" si="72"/>
        <v>-1265836067.0649998</v>
      </c>
      <c r="I137" s="33">
        <f t="shared" si="72"/>
        <v>-138798985.26769999</v>
      </c>
      <c r="J137" s="33">
        <f t="shared" si="72"/>
        <v>-108861103.0388</v>
      </c>
      <c r="K137" s="33">
        <f t="shared" si="72"/>
        <v>-345110011.57819998</v>
      </c>
      <c r="L137" s="33">
        <f t="shared" si="72"/>
        <v>-453936922.03759998</v>
      </c>
      <c r="M137" s="33">
        <f t="shared" si="72"/>
        <v>-565525057.77699995</v>
      </c>
      <c r="N137" s="33">
        <f t="shared" si="72"/>
        <v>-678101938.16639984</v>
      </c>
      <c r="O137" s="33">
        <f t="shared" si="72"/>
        <v>-747179233.16439998</v>
      </c>
      <c r="P137" s="33">
        <f t="shared" si="72"/>
        <v>-948239258.33519995</v>
      </c>
      <c r="Q137" s="33">
        <f t="shared" si="72"/>
        <v>-1076316316.4645998</v>
      </c>
      <c r="R137" s="33">
        <f t="shared" si="72"/>
        <v>-1157793369.5839999</v>
      </c>
      <c r="S137" s="33">
        <f t="shared" si="72"/>
        <v>-1321148898.6733999</v>
      </c>
      <c r="T137" s="33">
        <f t="shared" si="72"/>
        <v>-1462760269.6430001</v>
      </c>
      <c r="U137" s="33">
        <f>SUM(U129:U136)</f>
        <v>-1462760269.6430001</v>
      </c>
      <c r="V137" s="33">
        <f t="shared" ref="V137:AG137" si="73">SUM(V129:V136)</f>
        <v>0</v>
      </c>
      <c r="W137" s="33">
        <f t="shared" si="73"/>
        <v>0</v>
      </c>
      <c r="X137" s="33">
        <f t="shared" si="73"/>
        <v>0</v>
      </c>
      <c r="Y137" s="33">
        <f t="shared" si="73"/>
        <v>0</v>
      </c>
      <c r="Z137" s="33">
        <f t="shared" si="73"/>
        <v>0</v>
      </c>
      <c r="AA137" s="33">
        <f t="shared" si="73"/>
        <v>0</v>
      </c>
      <c r="AB137" s="33">
        <f t="shared" si="73"/>
        <v>0</v>
      </c>
      <c r="AC137" s="33">
        <f t="shared" si="73"/>
        <v>0</v>
      </c>
      <c r="AD137" s="33">
        <f t="shared" si="73"/>
        <v>0</v>
      </c>
      <c r="AE137" s="33">
        <f t="shared" si="73"/>
        <v>0</v>
      </c>
      <c r="AF137" s="33">
        <f t="shared" si="73"/>
        <v>0</v>
      </c>
      <c r="AG137" s="33">
        <f t="shared" si="73"/>
        <v>0</v>
      </c>
      <c r="AH137" s="33">
        <f>SUM(AH129:AH136)</f>
        <v>0</v>
      </c>
      <c r="AI137" s="33">
        <f t="shared" ref="AI137:AT137" si="74">SUM(AI129:AI136)</f>
        <v>0</v>
      </c>
      <c r="AJ137" s="33">
        <f t="shared" si="74"/>
        <v>0</v>
      </c>
      <c r="AK137" s="33">
        <f t="shared" si="74"/>
        <v>0</v>
      </c>
      <c r="AL137" s="33">
        <f t="shared" si="74"/>
        <v>0</v>
      </c>
      <c r="AM137" s="33">
        <f t="shared" si="74"/>
        <v>0</v>
      </c>
      <c r="AN137" s="33">
        <f t="shared" si="74"/>
        <v>0</v>
      </c>
      <c r="AO137" s="33">
        <f t="shared" si="74"/>
        <v>0</v>
      </c>
      <c r="AP137" s="33">
        <f t="shared" si="74"/>
        <v>0</v>
      </c>
      <c r="AQ137" s="33">
        <f t="shared" si="74"/>
        <v>0</v>
      </c>
      <c r="AR137" s="33">
        <f t="shared" si="74"/>
        <v>0</v>
      </c>
      <c r="AS137" s="33">
        <f t="shared" si="74"/>
        <v>0</v>
      </c>
      <c r="AT137" s="33">
        <f t="shared" si="74"/>
        <v>0</v>
      </c>
      <c r="AU137" s="33">
        <f>SUM(AU129:AU136)</f>
        <v>0</v>
      </c>
    </row>
    <row r="138" spans="1:47" ht="15.75" hidden="1" customHeight="1" outlineLevel="2">
      <c r="A138" s="1" t="s">
        <v>218</v>
      </c>
      <c r="C138" s="143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-7720013916.1488008</v>
      </c>
      <c r="G138" s="32">
        <f>_xll.DBRW($C$1,$C$2,$C$3,$C$4,$C$6,$C$5,$C$7,G$1,G$2,$A138)</f>
        <v>-7309409141.6869993</v>
      </c>
      <c r="H138" s="32">
        <f>_xll.DBRW($C$1,$C$2,$C$3,$C$4,$C$6,$C$5,$C$7,H$1,H$2,$A138)</f>
        <v>-7899246991.8493996</v>
      </c>
      <c r="I138" s="32">
        <f>_xll.DBRW($C$1,$C$2,$C$3,$C$4,$C$6,$C$5,$C$7,I$1,I$2,$A138)</f>
        <v>-725499871.90640008</v>
      </c>
      <c r="J138" s="32">
        <f>_xll.DBRW($C$1,$C$2,$C$3,$C$4,$C$6,$C$5,$C$7,J$1,J$2,$A138)</f>
        <v>-812017291.00751412</v>
      </c>
      <c r="K138" s="32">
        <f>_xll.DBRW($C$1,$C$2,$C$3,$C$4,$C$6,$C$5,$C$7,K$1,K$2,$A138)</f>
        <v>-2156165059.2333136</v>
      </c>
      <c r="L138" s="32">
        <f>_xll.DBRW($C$1,$C$2,$C$3,$C$4,$C$6,$C$5,$C$7,L$1,L$2,$A138)</f>
        <v>-2838635164.5087137</v>
      </c>
      <c r="M138" s="32">
        <f>_xll.DBRW($C$1,$C$2,$C$3,$C$4,$C$6,$C$5,$C$7,M$1,M$2,$A138)</f>
        <v>-3572153180.3429136</v>
      </c>
      <c r="N138" s="32">
        <f>_xll.DBRW($C$1,$C$2,$C$3,$C$4,$C$6,$C$5,$C$7,N$1,N$2,$A138)</f>
        <v>-4297031078.7522974</v>
      </c>
      <c r="O138" s="32">
        <f>_xll.DBRW($C$1,$C$2,$C$3,$C$4,$C$6,$C$5,$C$7,O$1,O$2,$A138)</f>
        <v>-4780586973.658514</v>
      </c>
      <c r="P138" s="32">
        <f>_xll.DBRW($C$1,$C$2,$C$3,$C$4,$C$6,$C$5,$C$7,P$1,P$2,$A138)</f>
        <v>-5961376487.7405138</v>
      </c>
      <c r="Q138" s="32">
        <f>_xll.DBRW($C$1,$C$2,$C$3,$C$4,$C$6,$C$5,$C$7,Q$1,Q$2,$A138)</f>
        <v>-6770837046.388114</v>
      </c>
      <c r="R138" s="32">
        <f>_xll.DBRW($C$1,$C$2,$C$3,$C$4,$C$6,$C$5,$C$7,R$1,R$2,$A138)</f>
        <v>-7165227600.5069141</v>
      </c>
      <c r="S138" s="32">
        <f>_xll.DBRW($C$1,$C$2,$C$3,$C$4,$C$6,$C$5,$C$7,S$1,S$2,$A138)</f>
        <v>-8056954855.6295147</v>
      </c>
      <c r="T138" s="32">
        <f>_xll.DBRW($C$1,$C$2,$C$3,$C$4,$C$6,$C$5,$C$7,T$1,T$2,$A138)</f>
        <v>-9299984120.7967148</v>
      </c>
      <c r="U138" s="32">
        <f>_xll.DBRW($C$1,$C$2,$C$3,$C$4,$C$6,$C$5,$C$7,U$1,U$2,$A138)</f>
        <v>-9299984120.7967148</v>
      </c>
      <c r="V138" s="32">
        <f>_xll.DBRW($C$1,$C$2,$C$3,$C$4,$C$6,$C$5,$C$7,V$1,V$2,$A138)</f>
        <v>0</v>
      </c>
      <c r="W138" s="32">
        <f>_xll.DBRW($C$1,$C$2,$C$3,$C$4,$C$6,$C$5,$C$7,W$1,W$2,$A138)</f>
        <v>0</v>
      </c>
      <c r="X138" s="32">
        <f>_xll.DBRW($C$1,$C$2,$C$3,$C$4,$C$6,$C$5,$C$7,X$1,X$2,$A138)</f>
        <v>0</v>
      </c>
      <c r="Y138" s="32">
        <f>_xll.DBRW($C$1,$C$2,$C$3,$C$4,$C$6,$C$5,$C$7,Y$1,Y$2,$A138)</f>
        <v>0</v>
      </c>
      <c r="Z138" s="32">
        <f>_xll.DBRW($C$1,$C$2,$C$3,$C$4,$C$6,$C$5,$C$7,Z$1,Z$2,$A138)</f>
        <v>0</v>
      </c>
      <c r="AA138" s="32">
        <f>_xll.DBRW($C$1,$C$2,$C$3,$C$4,$C$6,$C$5,$C$7,AA$1,AA$2,$A138)</f>
        <v>0</v>
      </c>
      <c r="AB138" s="32">
        <f>_xll.DBRW($C$1,$C$2,$C$3,$C$4,$C$6,$C$5,$C$7,AB$1,AB$2,$A138)</f>
        <v>0</v>
      </c>
      <c r="AC138" s="32">
        <f>_xll.DBRW($C$1,$C$2,$C$3,$C$4,$C$6,$C$5,$C$7,AC$1,AC$2,$A138)</f>
        <v>0</v>
      </c>
      <c r="AD138" s="32">
        <f>_xll.DBRW($C$1,$C$2,$C$3,$C$4,$C$6,$C$5,$C$7,AD$1,AD$2,$A138)</f>
        <v>0</v>
      </c>
      <c r="AE138" s="32">
        <f>_xll.DBRW($C$1,$C$2,$C$3,$C$4,$C$6,$C$5,$C$7,AE$1,AE$2,$A138)</f>
        <v>0</v>
      </c>
      <c r="AF138" s="32">
        <f>_xll.DBRW($C$1,$C$2,$C$3,$C$4,$C$6,$C$5,$C$7,AF$1,AF$2,$A138)</f>
        <v>0</v>
      </c>
      <c r="AG138" s="32">
        <f>_xll.DBRW($C$1,$C$2,$C$3,$C$4,$C$6,$C$5,$C$7,AG$1,AG$2,$A138)</f>
        <v>0</v>
      </c>
      <c r="AH138" s="32">
        <f>_xll.DBRW($C$1,$C$2,$C$3,$C$4,$C$6,$C$5,$C$7,AH$1,AH$2,$A138)</f>
        <v>0</v>
      </c>
      <c r="AI138" s="32">
        <f>_xll.DBRW($C$1,$C$2,$C$3,$C$4,$C$6,$C$5,$C$7,AI$1,AI$2,$A138)</f>
        <v>0</v>
      </c>
      <c r="AJ138" s="32">
        <f>_xll.DBRW($C$1,$C$2,$C$3,$C$4,$C$6,$C$5,$C$7,AJ$1,AJ$2,$A138)</f>
        <v>0</v>
      </c>
      <c r="AK138" s="32">
        <f>_xll.DBRW($C$1,$C$2,$C$3,$C$4,$C$6,$C$5,$C$7,AK$1,AK$2,$A138)</f>
        <v>0</v>
      </c>
      <c r="AL138" s="32">
        <f>_xll.DBRW($C$1,$C$2,$C$3,$C$4,$C$6,$C$5,$C$7,AL$1,AL$2,$A138)</f>
        <v>0</v>
      </c>
      <c r="AM138" s="32">
        <f>_xll.DBRW($C$1,$C$2,$C$3,$C$4,$C$6,$C$5,$C$7,AM$1,AM$2,$A138)</f>
        <v>0</v>
      </c>
      <c r="AN138" s="32">
        <f>_xll.DBRW($C$1,$C$2,$C$3,$C$4,$C$6,$C$5,$C$7,AN$1,AN$2,$A138)</f>
        <v>0</v>
      </c>
      <c r="AO138" s="32">
        <f>_xll.DBRW($C$1,$C$2,$C$3,$C$4,$C$6,$C$5,$C$7,AO$1,AO$2,$A138)</f>
        <v>0</v>
      </c>
      <c r="AP138" s="32">
        <f>_xll.DBRW($C$1,$C$2,$C$3,$C$4,$C$6,$C$5,$C$7,AP$1,AP$2,$A138)</f>
        <v>0</v>
      </c>
      <c r="AQ138" s="32">
        <f>_xll.DBRW($C$1,$C$2,$C$3,$C$4,$C$6,$C$5,$C$7,AQ$1,AQ$2,$A138)</f>
        <v>0</v>
      </c>
      <c r="AR138" s="32">
        <f>_xll.DBRW($C$1,$C$2,$C$3,$C$4,$C$6,$C$5,$C$7,AR$1,AR$2,$A138)</f>
        <v>0</v>
      </c>
      <c r="AS138" s="32">
        <f>_xll.DBRW($C$1,$C$2,$C$3,$C$4,$C$6,$C$5,$C$7,AS$1,AS$2,$A138)</f>
        <v>0</v>
      </c>
      <c r="AT138" s="32">
        <f>_xll.DBRW($C$1,$C$2,$C$3,$C$4,$C$6,$C$5,$C$7,AT$1,AT$2,$A138)</f>
        <v>0</v>
      </c>
      <c r="AU138" s="32">
        <f>_xll.DBRW($C$1,$C$2,$C$3,$C$4,$C$6,$C$5,$C$7,AU$1,AU$2,$A138)</f>
        <v>0</v>
      </c>
    </row>
    <row r="139" spans="1:47" ht="15.75" hidden="1" customHeight="1" outlineLevel="2">
      <c r="A139" s="1" t="s">
        <v>219</v>
      </c>
      <c r="C139" s="143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-12409676.853399998</v>
      </c>
      <c r="G139" s="32">
        <f>_xll.DBRW($C$1,$C$2,$C$3,$C$4,$C$6,$C$5,$C$7,G$1,G$2,$A139)</f>
        <v>-11811913.687600002</v>
      </c>
      <c r="H139" s="32">
        <f>_xll.DBRW($C$1,$C$2,$C$3,$C$4,$C$6,$C$5,$C$7,H$1,H$2,$A139)</f>
        <v>-20378551.344799999</v>
      </c>
      <c r="I139" s="32">
        <f>_xll.DBRW($C$1,$C$2,$C$3,$C$4,$C$6,$C$5,$C$7,I$1,I$2,$A139)</f>
        <v>-767984.39939999999</v>
      </c>
      <c r="J139" s="32">
        <f>_xll.DBRW($C$1,$C$2,$C$3,$C$4,$C$6,$C$5,$C$7,J$1,J$2,$A139)</f>
        <v>-3266919.8787999996</v>
      </c>
      <c r="K139" s="32">
        <f>_xll.DBRW($C$1,$C$2,$C$3,$C$4,$C$6,$C$5,$C$7,K$1,K$2,$A139)</f>
        <v>-4746046.5482000001</v>
      </c>
      <c r="L139" s="32">
        <f>_xll.DBRW($C$1,$C$2,$C$3,$C$4,$C$6,$C$5,$C$7,L$1,L$2,$A139)</f>
        <v>-6338314.0508000003</v>
      </c>
      <c r="M139" s="32">
        <f>_xll.DBRW($C$1,$C$2,$C$3,$C$4,$C$6,$C$5,$C$7,M$1,M$2,$A139)</f>
        <v>-8040894.7188000008</v>
      </c>
      <c r="N139" s="32">
        <f>_xll.DBRW($C$1,$C$2,$C$3,$C$4,$C$6,$C$5,$C$7,N$1,N$2,$A139)</f>
        <v>-9940688.3368000016</v>
      </c>
      <c r="O139" s="32">
        <f>_xll.DBRW($C$1,$C$2,$C$3,$C$4,$C$6,$C$5,$C$7,O$1,O$2,$A139)</f>
        <v>-8115230.4848000016</v>
      </c>
      <c r="P139" s="32">
        <f>_xll.DBRW($C$1,$C$2,$C$3,$C$4,$C$6,$C$5,$C$7,P$1,P$2,$A139)</f>
        <v>-13571188.852800002</v>
      </c>
      <c r="Q139" s="32">
        <f>_xll.DBRW($C$1,$C$2,$C$3,$C$4,$C$6,$C$5,$C$7,Q$1,Q$2,$A139)</f>
        <v>-14912404.750800002</v>
      </c>
      <c r="R139" s="32">
        <f>_xll.DBRW($C$1,$C$2,$C$3,$C$4,$C$6,$C$5,$C$7,R$1,R$2,$A139)</f>
        <v>-11706722.648800002</v>
      </c>
      <c r="S139" s="32">
        <f>_xll.DBRW($C$1,$C$2,$C$3,$C$4,$C$6,$C$5,$C$7,S$1,S$2,$A139)</f>
        <v>-14443655.076800004</v>
      </c>
      <c r="T139" s="32">
        <f>_xll.DBRW($C$1,$C$2,$C$3,$C$4,$C$6,$C$5,$C$7,T$1,T$2,$A139)</f>
        <v>-20033036.564800002</v>
      </c>
      <c r="U139" s="32">
        <f>_xll.DBRW($C$1,$C$2,$C$3,$C$4,$C$6,$C$5,$C$7,U$1,U$2,$A139)</f>
        <v>-20033036.564800002</v>
      </c>
      <c r="V139" s="32">
        <f>_xll.DBRW($C$1,$C$2,$C$3,$C$4,$C$6,$C$5,$C$7,V$1,V$2,$A139)</f>
        <v>0</v>
      </c>
      <c r="W139" s="32">
        <f>_xll.DBRW($C$1,$C$2,$C$3,$C$4,$C$6,$C$5,$C$7,W$1,W$2,$A139)</f>
        <v>0</v>
      </c>
      <c r="X139" s="32">
        <f>_xll.DBRW($C$1,$C$2,$C$3,$C$4,$C$6,$C$5,$C$7,X$1,X$2,$A139)</f>
        <v>0</v>
      </c>
      <c r="Y139" s="32">
        <f>_xll.DBRW($C$1,$C$2,$C$3,$C$4,$C$6,$C$5,$C$7,Y$1,Y$2,$A139)</f>
        <v>0</v>
      </c>
      <c r="Z139" s="32">
        <f>_xll.DBRW($C$1,$C$2,$C$3,$C$4,$C$6,$C$5,$C$7,Z$1,Z$2,$A139)</f>
        <v>0</v>
      </c>
      <c r="AA139" s="32">
        <f>_xll.DBRW($C$1,$C$2,$C$3,$C$4,$C$6,$C$5,$C$7,AA$1,AA$2,$A139)</f>
        <v>0</v>
      </c>
      <c r="AB139" s="32">
        <f>_xll.DBRW($C$1,$C$2,$C$3,$C$4,$C$6,$C$5,$C$7,AB$1,AB$2,$A139)</f>
        <v>0</v>
      </c>
      <c r="AC139" s="32">
        <f>_xll.DBRW($C$1,$C$2,$C$3,$C$4,$C$6,$C$5,$C$7,AC$1,AC$2,$A139)</f>
        <v>0</v>
      </c>
      <c r="AD139" s="32">
        <f>_xll.DBRW($C$1,$C$2,$C$3,$C$4,$C$6,$C$5,$C$7,AD$1,AD$2,$A139)</f>
        <v>0</v>
      </c>
      <c r="AE139" s="32">
        <f>_xll.DBRW($C$1,$C$2,$C$3,$C$4,$C$6,$C$5,$C$7,AE$1,AE$2,$A139)</f>
        <v>0</v>
      </c>
      <c r="AF139" s="32">
        <f>_xll.DBRW($C$1,$C$2,$C$3,$C$4,$C$6,$C$5,$C$7,AF$1,AF$2,$A139)</f>
        <v>0</v>
      </c>
      <c r="AG139" s="32">
        <f>_xll.DBRW($C$1,$C$2,$C$3,$C$4,$C$6,$C$5,$C$7,AG$1,AG$2,$A139)</f>
        <v>0</v>
      </c>
      <c r="AH139" s="32">
        <f>_xll.DBRW($C$1,$C$2,$C$3,$C$4,$C$6,$C$5,$C$7,AH$1,AH$2,$A139)</f>
        <v>0</v>
      </c>
      <c r="AI139" s="32">
        <f>_xll.DBRW($C$1,$C$2,$C$3,$C$4,$C$6,$C$5,$C$7,AI$1,AI$2,$A139)</f>
        <v>0</v>
      </c>
      <c r="AJ139" s="32">
        <f>_xll.DBRW($C$1,$C$2,$C$3,$C$4,$C$6,$C$5,$C$7,AJ$1,AJ$2,$A139)</f>
        <v>0</v>
      </c>
      <c r="AK139" s="32">
        <f>_xll.DBRW($C$1,$C$2,$C$3,$C$4,$C$6,$C$5,$C$7,AK$1,AK$2,$A139)</f>
        <v>0</v>
      </c>
      <c r="AL139" s="32">
        <f>_xll.DBRW($C$1,$C$2,$C$3,$C$4,$C$6,$C$5,$C$7,AL$1,AL$2,$A139)</f>
        <v>0</v>
      </c>
      <c r="AM139" s="32">
        <f>_xll.DBRW($C$1,$C$2,$C$3,$C$4,$C$6,$C$5,$C$7,AM$1,AM$2,$A139)</f>
        <v>0</v>
      </c>
      <c r="AN139" s="32">
        <f>_xll.DBRW($C$1,$C$2,$C$3,$C$4,$C$6,$C$5,$C$7,AN$1,AN$2,$A139)</f>
        <v>0</v>
      </c>
      <c r="AO139" s="32">
        <f>_xll.DBRW($C$1,$C$2,$C$3,$C$4,$C$6,$C$5,$C$7,AO$1,AO$2,$A139)</f>
        <v>0</v>
      </c>
      <c r="AP139" s="32">
        <f>_xll.DBRW($C$1,$C$2,$C$3,$C$4,$C$6,$C$5,$C$7,AP$1,AP$2,$A139)</f>
        <v>0</v>
      </c>
      <c r="AQ139" s="32">
        <f>_xll.DBRW($C$1,$C$2,$C$3,$C$4,$C$6,$C$5,$C$7,AQ$1,AQ$2,$A139)</f>
        <v>0</v>
      </c>
      <c r="AR139" s="32">
        <f>_xll.DBRW($C$1,$C$2,$C$3,$C$4,$C$6,$C$5,$C$7,AR$1,AR$2,$A139)</f>
        <v>0</v>
      </c>
      <c r="AS139" s="32">
        <f>_xll.DBRW($C$1,$C$2,$C$3,$C$4,$C$6,$C$5,$C$7,AS$1,AS$2,$A139)</f>
        <v>0</v>
      </c>
      <c r="AT139" s="32">
        <f>_xll.DBRW($C$1,$C$2,$C$3,$C$4,$C$6,$C$5,$C$7,AT$1,AT$2,$A139)</f>
        <v>0</v>
      </c>
      <c r="AU139" s="32">
        <f>_xll.DBRW($C$1,$C$2,$C$3,$C$4,$C$6,$C$5,$C$7,AU$1,AU$2,$A139)</f>
        <v>0</v>
      </c>
    </row>
    <row r="140" spans="1:47" ht="15.75" hidden="1" customHeight="1" outlineLevel="2">
      <c r="A140" s="1" t="s">
        <v>220</v>
      </c>
      <c r="C140" s="143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-682138.0400000005</v>
      </c>
      <c r="G140" s="32">
        <f>_xll.DBRW($C$1,$C$2,$C$3,$C$4,$C$6,$C$5,$C$7,G$1,G$2,$A140)</f>
        <v>-2151312.8800000004</v>
      </c>
      <c r="H140" s="32">
        <f>_xll.DBRW($C$1,$C$2,$C$3,$C$4,$C$6,$C$5,$C$7,H$1,H$2,$A140)</f>
        <v>1339671.1799999997</v>
      </c>
      <c r="I140" s="32">
        <f>_xll.DBRW($C$1,$C$2,$C$3,$C$4,$C$6,$C$5,$C$7,I$1,I$2,$A140)</f>
        <v>64603.270000000004</v>
      </c>
      <c r="J140" s="32">
        <f>_xll.DBRW($C$1,$C$2,$C$3,$C$4,$C$6,$C$5,$C$7,J$1,J$2,$A140)</f>
        <v>75570.23000000001</v>
      </c>
      <c r="K140" s="32">
        <f>_xll.DBRW($C$1,$C$2,$C$3,$C$4,$C$6,$C$5,$C$7,K$1,K$2,$A140)</f>
        <v>74545.040000000008</v>
      </c>
      <c r="L140" s="32">
        <f>_xll.DBRW($C$1,$C$2,$C$3,$C$4,$C$6,$C$5,$C$7,L$1,L$2,$A140)</f>
        <v>219973.74000000002</v>
      </c>
      <c r="M140" s="32">
        <f>_xll.DBRW($C$1,$C$2,$C$3,$C$4,$C$6,$C$5,$C$7,M$1,M$2,$A140)</f>
        <v>153541.94</v>
      </c>
      <c r="N140" s="32">
        <f>_xll.DBRW($C$1,$C$2,$C$3,$C$4,$C$6,$C$5,$C$7,N$1,N$2,$A140)</f>
        <v>295389.99</v>
      </c>
      <c r="O140" s="32">
        <f>_xll.DBRW($C$1,$C$2,$C$3,$C$4,$C$6,$C$5,$C$7,O$1,O$2,$A140)</f>
        <v>296460.59999999998</v>
      </c>
      <c r="P140" s="32">
        <f>_xll.DBRW($C$1,$C$2,$C$3,$C$4,$C$6,$C$5,$C$7,P$1,P$2,$A140)</f>
        <v>292598.40999999997</v>
      </c>
      <c r="Q140" s="32">
        <f>_xll.DBRW($C$1,$C$2,$C$3,$C$4,$C$6,$C$5,$C$7,Q$1,Q$2,$A140)</f>
        <v>-21487.889999999956</v>
      </c>
      <c r="R140" s="32">
        <f>_xll.DBRW($C$1,$C$2,$C$3,$C$4,$C$6,$C$5,$C$7,R$1,R$2,$A140)</f>
        <v>144036.97000000003</v>
      </c>
      <c r="S140" s="32">
        <f>_xll.DBRW($C$1,$C$2,$C$3,$C$4,$C$6,$C$5,$C$7,S$1,S$2,$A140)</f>
        <v>-358975.61</v>
      </c>
      <c r="T140" s="32">
        <f>_xll.DBRW($C$1,$C$2,$C$3,$C$4,$C$6,$C$5,$C$7,T$1,T$2,$A140)</f>
        <v>-1055360.5000000002</v>
      </c>
      <c r="U140" s="32">
        <f>_xll.DBRW($C$1,$C$2,$C$3,$C$4,$C$6,$C$5,$C$7,U$1,U$2,$A140)</f>
        <v>-1055360.5000000002</v>
      </c>
      <c r="V140" s="32">
        <f>_xll.DBRW($C$1,$C$2,$C$3,$C$4,$C$6,$C$5,$C$7,V$1,V$2,$A140)</f>
        <v>0</v>
      </c>
      <c r="W140" s="32">
        <f>_xll.DBRW($C$1,$C$2,$C$3,$C$4,$C$6,$C$5,$C$7,W$1,W$2,$A140)</f>
        <v>0</v>
      </c>
      <c r="X140" s="32">
        <f>_xll.DBRW($C$1,$C$2,$C$3,$C$4,$C$6,$C$5,$C$7,X$1,X$2,$A140)</f>
        <v>0</v>
      </c>
      <c r="Y140" s="32">
        <f>_xll.DBRW($C$1,$C$2,$C$3,$C$4,$C$6,$C$5,$C$7,Y$1,Y$2,$A140)</f>
        <v>0</v>
      </c>
      <c r="Z140" s="32">
        <f>_xll.DBRW($C$1,$C$2,$C$3,$C$4,$C$6,$C$5,$C$7,Z$1,Z$2,$A140)</f>
        <v>0</v>
      </c>
      <c r="AA140" s="32">
        <f>_xll.DBRW($C$1,$C$2,$C$3,$C$4,$C$6,$C$5,$C$7,AA$1,AA$2,$A140)</f>
        <v>0</v>
      </c>
      <c r="AB140" s="32">
        <f>_xll.DBRW($C$1,$C$2,$C$3,$C$4,$C$6,$C$5,$C$7,AB$1,AB$2,$A140)</f>
        <v>0</v>
      </c>
      <c r="AC140" s="32">
        <f>_xll.DBRW($C$1,$C$2,$C$3,$C$4,$C$6,$C$5,$C$7,AC$1,AC$2,$A140)</f>
        <v>0</v>
      </c>
      <c r="AD140" s="32">
        <f>_xll.DBRW($C$1,$C$2,$C$3,$C$4,$C$6,$C$5,$C$7,AD$1,AD$2,$A140)</f>
        <v>0</v>
      </c>
      <c r="AE140" s="32">
        <f>_xll.DBRW($C$1,$C$2,$C$3,$C$4,$C$6,$C$5,$C$7,AE$1,AE$2,$A140)</f>
        <v>0</v>
      </c>
      <c r="AF140" s="32">
        <f>_xll.DBRW($C$1,$C$2,$C$3,$C$4,$C$6,$C$5,$C$7,AF$1,AF$2,$A140)</f>
        <v>0</v>
      </c>
      <c r="AG140" s="32">
        <f>_xll.DBRW($C$1,$C$2,$C$3,$C$4,$C$6,$C$5,$C$7,AG$1,AG$2,$A140)</f>
        <v>0</v>
      </c>
      <c r="AH140" s="32">
        <f>_xll.DBRW($C$1,$C$2,$C$3,$C$4,$C$6,$C$5,$C$7,AH$1,AH$2,$A140)</f>
        <v>0</v>
      </c>
      <c r="AI140" s="32">
        <f>_xll.DBRW($C$1,$C$2,$C$3,$C$4,$C$6,$C$5,$C$7,AI$1,AI$2,$A140)</f>
        <v>0</v>
      </c>
      <c r="AJ140" s="32">
        <f>_xll.DBRW($C$1,$C$2,$C$3,$C$4,$C$6,$C$5,$C$7,AJ$1,AJ$2,$A140)</f>
        <v>0</v>
      </c>
      <c r="AK140" s="32">
        <f>_xll.DBRW($C$1,$C$2,$C$3,$C$4,$C$6,$C$5,$C$7,AK$1,AK$2,$A140)</f>
        <v>0</v>
      </c>
      <c r="AL140" s="32">
        <f>_xll.DBRW($C$1,$C$2,$C$3,$C$4,$C$6,$C$5,$C$7,AL$1,AL$2,$A140)</f>
        <v>0</v>
      </c>
      <c r="AM140" s="32">
        <f>_xll.DBRW($C$1,$C$2,$C$3,$C$4,$C$6,$C$5,$C$7,AM$1,AM$2,$A140)</f>
        <v>0</v>
      </c>
      <c r="AN140" s="32">
        <f>_xll.DBRW($C$1,$C$2,$C$3,$C$4,$C$6,$C$5,$C$7,AN$1,AN$2,$A140)</f>
        <v>0</v>
      </c>
      <c r="AO140" s="32">
        <f>_xll.DBRW($C$1,$C$2,$C$3,$C$4,$C$6,$C$5,$C$7,AO$1,AO$2,$A140)</f>
        <v>0</v>
      </c>
      <c r="AP140" s="32">
        <f>_xll.DBRW($C$1,$C$2,$C$3,$C$4,$C$6,$C$5,$C$7,AP$1,AP$2,$A140)</f>
        <v>0</v>
      </c>
      <c r="AQ140" s="32">
        <f>_xll.DBRW($C$1,$C$2,$C$3,$C$4,$C$6,$C$5,$C$7,AQ$1,AQ$2,$A140)</f>
        <v>0</v>
      </c>
      <c r="AR140" s="32">
        <f>_xll.DBRW($C$1,$C$2,$C$3,$C$4,$C$6,$C$5,$C$7,AR$1,AR$2,$A140)</f>
        <v>0</v>
      </c>
      <c r="AS140" s="32">
        <f>_xll.DBRW($C$1,$C$2,$C$3,$C$4,$C$6,$C$5,$C$7,AS$1,AS$2,$A140)</f>
        <v>0</v>
      </c>
      <c r="AT140" s="32">
        <f>_xll.DBRW($C$1,$C$2,$C$3,$C$4,$C$6,$C$5,$C$7,AT$1,AT$2,$A140)</f>
        <v>0</v>
      </c>
      <c r="AU140" s="32">
        <f>_xll.DBRW($C$1,$C$2,$C$3,$C$4,$C$6,$C$5,$C$7,AU$1,AU$2,$A140)</f>
        <v>0</v>
      </c>
    </row>
    <row r="141" spans="1:47" ht="15.75" hidden="1" customHeight="1" outlineLevel="2">
      <c r="A141" s="1" t="s">
        <v>221</v>
      </c>
      <c r="C141" s="143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13850530.499999998</v>
      </c>
      <c r="G141" s="32">
        <f>_xll.DBRW($C$1,$C$2,$C$3,$C$4,$C$6,$C$5,$C$7,G$1,G$2,$A141)</f>
        <v>27986159.079999998</v>
      </c>
      <c r="H141" s="32">
        <f>_xll.DBRW($C$1,$C$2,$C$3,$C$4,$C$6,$C$5,$C$7,H$1,H$2,$A141)</f>
        <v>27614674.520000003</v>
      </c>
      <c r="I141" s="32">
        <f>_xll.DBRW($C$1,$C$2,$C$3,$C$4,$C$6,$C$5,$C$7,I$1,I$2,$A141)</f>
        <v>550326.96</v>
      </c>
      <c r="J141" s="32">
        <f>_xll.DBRW($C$1,$C$2,$C$3,$C$4,$C$6,$C$5,$C$7,J$1,J$2,$A141)</f>
        <v>2929493.7600000002</v>
      </c>
      <c r="K141" s="32">
        <f>_xll.DBRW($C$1,$C$2,$C$3,$C$4,$C$6,$C$5,$C$7,K$1,K$2,$A141)</f>
        <v>4892377.84</v>
      </c>
      <c r="L141" s="32">
        <f>_xll.DBRW($C$1,$C$2,$C$3,$C$4,$C$6,$C$5,$C$7,L$1,L$2,$A141)</f>
        <v>5673780.7400000002</v>
      </c>
      <c r="M141" s="32">
        <f>_xll.DBRW($C$1,$C$2,$C$3,$C$4,$C$6,$C$5,$C$7,M$1,M$2,$A141)</f>
        <v>8461729.9900000002</v>
      </c>
      <c r="N141" s="32">
        <f>_xll.DBRW($C$1,$C$2,$C$3,$C$4,$C$6,$C$5,$C$7,N$1,N$2,$A141)</f>
        <v>9966447.8900000006</v>
      </c>
      <c r="O141" s="32">
        <f>_xll.DBRW($C$1,$C$2,$C$3,$C$4,$C$6,$C$5,$C$7,O$1,O$2,$A141)</f>
        <v>5035592.0500000017</v>
      </c>
      <c r="P141" s="32">
        <f>_xll.DBRW($C$1,$C$2,$C$3,$C$4,$C$6,$C$5,$C$7,P$1,P$2,$A141)</f>
        <v>12832553.359999999</v>
      </c>
      <c r="Q141" s="32">
        <f>_xll.DBRW($C$1,$C$2,$C$3,$C$4,$C$6,$C$5,$C$7,Q$1,Q$2,$A141)</f>
        <v>13739716.949999999</v>
      </c>
      <c r="R141" s="32">
        <f>_xll.DBRW($C$1,$C$2,$C$3,$C$4,$C$6,$C$5,$C$7,R$1,R$2,$A141)</f>
        <v>6910467.2699999986</v>
      </c>
      <c r="S141" s="32">
        <f>_xll.DBRW($C$1,$C$2,$C$3,$C$4,$C$6,$C$5,$C$7,S$1,S$2,$A141)</f>
        <v>16050981.819999997</v>
      </c>
      <c r="T141" s="32">
        <f>_xll.DBRW($C$1,$C$2,$C$3,$C$4,$C$6,$C$5,$C$7,T$1,T$2,$A141)</f>
        <v>18916403.229999997</v>
      </c>
      <c r="U141" s="32">
        <f>_xll.DBRW($C$1,$C$2,$C$3,$C$4,$C$6,$C$5,$C$7,U$1,U$2,$A141)</f>
        <v>18916403.229999997</v>
      </c>
      <c r="V141" s="32">
        <f>_xll.DBRW($C$1,$C$2,$C$3,$C$4,$C$6,$C$5,$C$7,V$1,V$2,$A141)</f>
        <v>0</v>
      </c>
      <c r="W141" s="32">
        <f>_xll.DBRW($C$1,$C$2,$C$3,$C$4,$C$6,$C$5,$C$7,W$1,W$2,$A141)</f>
        <v>0</v>
      </c>
      <c r="X141" s="32">
        <f>_xll.DBRW($C$1,$C$2,$C$3,$C$4,$C$6,$C$5,$C$7,X$1,X$2,$A141)</f>
        <v>0</v>
      </c>
      <c r="Y141" s="32">
        <f>_xll.DBRW($C$1,$C$2,$C$3,$C$4,$C$6,$C$5,$C$7,Y$1,Y$2,$A141)</f>
        <v>0</v>
      </c>
      <c r="Z141" s="32">
        <f>_xll.DBRW($C$1,$C$2,$C$3,$C$4,$C$6,$C$5,$C$7,Z$1,Z$2,$A141)</f>
        <v>0</v>
      </c>
      <c r="AA141" s="32">
        <f>_xll.DBRW($C$1,$C$2,$C$3,$C$4,$C$6,$C$5,$C$7,AA$1,AA$2,$A141)</f>
        <v>0</v>
      </c>
      <c r="AB141" s="32">
        <f>_xll.DBRW($C$1,$C$2,$C$3,$C$4,$C$6,$C$5,$C$7,AB$1,AB$2,$A141)</f>
        <v>0</v>
      </c>
      <c r="AC141" s="32">
        <f>_xll.DBRW($C$1,$C$2,$C$3,$C$4,$C$6,$C$5,$C$7,AC$1,AC$2,$A141)</f>
        <v>0</v>
      </c>
      <c r="AD141" s="32">
        <f>_xll.DBRW($C$1,$C$2,$C$3,$C$4,$C$6,$C$5,$C$7,AD$1,AD$2,$A141)</f>
        <v>0</v>
      </c>
      <c r="AE141" s="32">
        <f>_xll.DBRW($C$1,$C$2,$C$3,$C$4,$C$6,$C$5,$C$7,AE$1,AE$2,$A141)</f>
        <v>0</v>
      </c>
      <c r="AF141" s="32">
        <f>_xll.DBRW($C$1,$C$2,$C$3,$C$4,$C$6,$C$5,$C$7,AF$1,AF$2,$A141)</f>
        <v>0</v>
      </c>
      <c r="AG141" s="32">
        <f>_xll.DBRW($C$1,$C$2,$C$3,$C$4,$C$6,$C$5,$C$7,AG$1,AG$2,$A141)</f>
        <v>0</v>
      </c>
      <c r="AH141" s="32">
        <f>_xll.DBRW($C$1,$C$2,$C$3,$C$4,$C$6,$C$5,$C$7,AH$1,AH$2,$A141)</f>
        <v>0</v>
      </c>
      <c r="AI141" s="32">
        <f>_xll.DBRW($C$1,$C$2,$C$3,$C$4,$C$6,$C$5,$C$7,AI$1,AI$2,$A141)</f>
        <v>0</v>
      </c>
      <c r="AJ141" s="32">
        <f>_xll.DBRW($C$1,$C$2,$C$3,$C$4,$C$6,$C$5,$C$7,AJ$1,AJ$2,$A141)</f>
        <v>0</v>
      </c>
      <c r="AK141" s="32">
        <f>_xll.DBRW($C$1,$C$2,$C$3,$C$4,$C$6,$C$5,$C$7,AK$1,AK$2,$A141)</f>
        <v>0</v>
      </c>
      <c r="AL141" s="32">
        <f>_xll.DBRW($C$1,$C$2,$C$3,$C$4,$C$6,$C$5,$C$7,AL$1,AL$2,$A141)</f>
        <v>0</v>
      </c>
      <c r="AM141" s="32">
        <f>_xll.DBRW($C$1,$C$2,$C$3,$C$4,$C$6,$C$5,$C$7,AM$1,AM$2,$A141)</f>
        <v>0</v>
      </c>
      <c r="AN141" s="32">
        <f>_xll.DBRW($C$1,$C$2,$C$3,$C$4,$C$6,$C$5,$C$7,AN$1,AN$2,$A141)</f>
        <v>0</v>
      </c>
      <c r="AO141" s="32">
        <f>_xll.DBRW($C$1,$C$2,$C$3,$C$4,$C$6,$C$5,$C$7,AO$1,AO$2,$A141)</f>
        <v>0</v>
      </c>
      <c r="AP141" s="32">
        <f>_xll.DBRW($C$1,$C$2,$C$3,$C$4,$C$6,$C$5,$C$7,AP$1,AP$2,$A141)</f>
        <v>0</v>
      </c>
      <c r="AQ141" s="32">
        <f>_xll.DBRW($C$1,$C$2,$C$3,$C$4,$C$6,$C$5,$C$7,AQ$1,AQ$2,$A141)</f>
        <v>0</v>
      </c>
      <c r="AR141" s="32">
        <f>_xll.DBRW($C$1,$C$2,$C$3,$C$4,$C$6,$C$5,$C$7,AR$1,AR$2,$A141)</f>
        <v>0</v>
      </c>
      <c r="AS141" s="32">
        <f>_xll.DBRW($C$1,$C$2,$C$3,$C$4,$C$6,$C$5,$C$7,AS$1,AS$2,$A141)</f>
        <v>0</v>
      </c>
      <c r="AT141" s="32">
        <f>_xll.DBRW($C$1,$C$2,$C$3,$C$4,$C$6,$C$5,$C$7,AT$1,AT$2,$A141)</f>
        <v>0</v>
      </c>
      <c r="AU141" s="32">
        <f>_xll.DBRW($C$1,$C$2,$C$3,$C$4,$C$6,$C$5,$C$7,AU$1,AU$2,$A141)</f>
        <v>0</v>
      </c>
    </row>
    <row r="142" spans="1:47" ht="15.75" hidden="1" customHeight="1" outlineLevel="2">
      <c r="A142" s="1" t="s">
        <v>222</v>
      </c>
      <c r="C142" s="143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-8313456.8000000017</v>
      </c>
      <c r="G142" s="32">
        <f>_xll.DBRW($C$1,$C$2,$C$3,$C$4,$C$6,$C$5,$C$7,G$1,G$2,$A142)</f>
        <v>-1851801.7300000002</v>
      </c>
      <c r="H142" s="32">
        <f>_xll.DBRW($C$1,$C$2,$C$3,$C$4,$C$6,$C$5,$C$7,H$1,H$2,$A142)</f>
        <v>-996218.75000000023</v>
      </c>
      <c r="I142" s="32">
        <f>_xll.DBRW($C$1,$C$2,$C$3,$C$4,$C$6,$C$5,$C$7,I$1,I$2,$A142)</f>
        <v>-32916.11</v>
      </c>
      <c r="J142" s="32">
        <f>_xll.DBRW($C$1,$C$2,$C$3,$C$4,$C$6,$C$5,$C$7,J$1,J$2,$A142)</f>
        <v>-193362.74</v>
      </c>
      <c r="K142" s="32">
        <f>_xll.DBRW($C$1,$C$2,$C$3,$C$4,$C$6,$C$5,$C$7,K$1,K$2,$A142)</f>
        <v>-298439.78000000003</v>
      </c>
      <c r="L142" s="32">
        <f>_xll.DBRW($C$1,$C$2,$C$3,$C$4,$C$6,$C$5,$C$7,L$1,L$2,$A142)</f>
        <v>-410196.91000000003</v>
      </c>
      <c r="M142" s="32">
        <f>_xll.DBRW($C$1,$C$2,$C$3,$C$4,$C$6,$C$5,$C$7,M$1,M$2,$A142)</f>
        <v>-353709.11000000004</v>
      </c>
      <c r="N142" s="32">
        <f>_xll.DBRW($C$1,$C$2,$C$3,$C$4,$C$6,$C$5,$C$7,N$1,N$2,$A142)</f>
        <v>-515889.36000000004</v>
      </c>
      <c r="O142" s="32">
        <f>_xll.DBRW($C$1,$C$2,$C$3,$C$4,$C$6,$C$5,$C$7,O$1,O$2,$A142)</f>
        <v>-2257.9200000001001</v>
      </c>
      <c r="P142" s="32">
        <f>_xll.DBRW($C$1,$C$2,$C$3,$C$4,$C$6,$C$5,$C$7,P$1,P$2,$A142)</f>
        <v>-786535.69000000018</v>
      </c>
      <c r="Q142" s="32">
        <f>_xll.DBRW($C$1,$C$2,$C$3,$C$4,$C$6,$C$5,$C$7,Q$1,Q$2,$A142)</f>
        <v>-839203.42000000016</v>
      </c>
      <c r="R142" s="32">
        <f>_xll.DBRW($C$1,$C$2,$C$3,$C$4,$C$6,$C$5,$C$7,R$1,R$2,$A142)</f>
        <v>-108052.02000000025</v>
      </c>
      <c r="S142" s="32">
        <f>_xll.DBRW($C$1,$C$2,$C$3,$C$4,$C$6,$C$5,$C$7,S$1,S$2,$A142)</f>
        <v>-961771.81000000029</v>
      </c>
      <c r="T142" s="32">
        <f>_xll.DBRW($C$1,$C$2,$C$3,$C$4,$C$6,$C$5,$C$7,T$1,T$2,$A142)</f>
        <v>-1093138.1200000003</v>
      </c>
      <c r="U142" s="32">
        <f>_xll.DBRW($C$1,$C$2,$C$3,$C$4,$C$6,$C$5,$C$7,U$1,U$2,$A142)</f>
        <v>-1093138.1200000003</v>
      </c>
      <c r="V142" s="32">
        <f>_xll.DBRW($C$1,$C$2,$C$3,$C$4,$C$6,$C$5,$C$7,V$1,V$2,$A142)</f>
        <v>0</v>
      </c>
      <c r="W142" s="32">
        <f>_xll.DBRW($C$1,$C$2,$C$3,$C$4,$C$6,$C$5,$C$7,W$1,W$2,$A142)</f>
        <v>0</v>
      </c>
      <c r="X142" s="32">
        <f>_xll.DBRW($C$1,$C$2,$C$3,$C$4,$C$6,$C$5,$C$7,X$1,X$2,$A142)</f>
        <v>0</v>
      </c>
      <c r="Y142" s="32">
        <f>_xll.DBRW($C$1,$C$2,$C$3,$C$4,$C$6,$C$5,$C$7,Y$1,Y$2,$A142)</f>
        <v>0</v>
      </c>
      <c r="Z142" s="32">
        <f>_xll.DBRW($C$1,$C$2,$C$3,$C$4,$C$6,$C$5,$C$7,Z$1,Z$2,$A142)</f>
        <v>0</v>
      </c>
      <c r="AA142" s="32">
        <f>_xll.DBRW($C$1,$C$2,$C$3,$C$4,$C$6,$C$5,$C$7,AA$1,AA$2,$A142)</f>
        <v>0</v>
      </c>
      <c r="AB142" s="32">
        <f>_xll.DBRW($C$1,$C$2,$C$3,$C$4,$C$6,$C$5,$C$7,AB$1,AB$2,$A142)</f>
        <v>0</v>
      </c>
      <c r="AC142" s="32">
        <f>_xll.DBRW($C$1,$C$2,$C$3,$C$4,$C$6,$C$5,$C$7,AC$1,AC$2,$A142)</f>
        <v>0</v>
      </c>
      <c r="AD142" s="32">
        <f>_xll.DBRW($C$1,$C$2,$C$3,$C$4,$C$6,$C$5,$C$7,AD$1,AD$2,$A142)</f>
        <v>0</v>
      </c>
      <c r="AE142" s="32">
        <f>_xll.DBRW($C$1,$C$2,$C$3,$C$4,$C$6,$C$5,$C$7,AE$1,AE$2,$A142)</f>
        <v>0</v>
      </c>
      <c r="AF142" s="32">
        <f>_xll.DBRW($C$1,$C$2,$C$3,$C$4,$C$6,$C$5,$C$7,AF$1,AF$2,$A142)</f>
        <v>0</v>
      </c>
      <c r="AG142" s="32">
        <f>_xll.DBRW($C$1,$C$2,$C$3,$C$4,$C$6,$C$5,$C$7,AG$1,AG$2,$A142)</f>
        <v>0</v>
      </c>
      <c r="AH142" s="32">
        <f>_xll.DBRW($C$1,$C$2,$C$3,$C$4,$C$6,$C$5,$C$7,AH$1,AH$2,$A142)</f>
        <v>0</v>
      </c>
      <c r="AI142" s="32">
        <f>_xll.DBRW($C$1,$C$2,$C$3,$C$4,$C$6,$C$5,$C$7,AI$1,AI$2,$A142)</f>
        <v>0</v>
      </c>
      <c r="AJ142" s="32">
        <f>_xll.DBRW($C$1,$C$2,$C$3,$C$4,$C$6,$C$5,$C$7,AJ$1,AJ$2,$A142)</f>
        <v>0</v>
      </c>
      <c r="AK142" s="32">
        <f>_xll.DBRW($C$1,$C$2,$C$3,$C$4,$C$6,$C$5,$C$7,AK$1,AK$2,$A142)</f>
        <v>0</v>
      </c>
      <c r="AL142" s="32">
        <f>_xll.DBRW($C$1,$C$2,$C$3,$C$4,$C$6,$C$5,$C$7,AL$1,AL$2,$A142)</f>
        <v>0</v>
      </c>
      <c r="AM142" s="32">
        <f>_xll.DBRW($C$1,$C$2,$C$3,$C$4,$C$6,$C$5,$C$7,AM$1,AM$2,$A142)</f>
        <v>0</v>
      </c>
      <c r="AN142" s="32">
        <f>_xll.DBRW($C$1,$C$2,$C$3,$C$4,$C$6,$C$5,$C$7,AN$1,AN$2,$A142)</f>
        <v>0</v>
      </c>
      <c r="AO142" s="32">
        <f>_xll.DBRW($C$1,$C$2,$C$3,$C$4,$C$6,$C$5,$C$7,AO$1,AO$2,$A142)</f>
        <v>0</v>
      </c>
      <c r="AP142" s="32">
        <f>_xll.DBRW($C$1,$C$2,$C$3,$C$4,$C$6,$C$5,$C$7,AP$1,AP$2,$A142)</f>
        <v>0</v>
      </c>
      <c r="AQ142" s="32">
        <f>_xll.DBRW($C$1,$C$2,$C$3,$C$4,$C$6,$C$5,$C$7,AQ$1,AQ$2,$A142)</f>
        <v>0</v>
      </c>
      <c r="AR142" s="32">
        <f>_xll.DBRW($C$1,$C$2,$C$3,$C$4,$C$6,$C$5,$C$7,AR$1,AR$2,$A142)</f>
        <v>0</v>
      </c>
      <c r="AS142" s="32">
        <f>_xll.DBRW($C$1,$C$2,$C$3,$C$4,$C$6,$C$5,$C$7,AS$1,AS$2,$A142)</f>
        <v>0</v>
      </c>
      <c r="AT142" s="32">
        <f>_xll.DBRW($C$1,$C$2,$C$3,$C$4,$C$6,$C$5,$C$7,AT$1,AT$2,$A142)</f>
        <v>0</v>
      </c>
      <c r="AU142" s="32">
        <f>_xll.DBRW($C$1,$C$2,$C$3,$C$4,$C$6,$C$5,$C$7,AU$1,AU$2,$A142)</f>
        <v>0</v>
      </c>
    </row>
    <row r="143" spans="1:47" ht="15.75" hidden="1" customHeight="1" outlineLevel="2">
      <c r="A143" s="1" t="s">
        <v>223</v>
      </c>
      <c r="C143" s="143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-1529078.3352000001</v>
      </c>
      <c r="G143" s="32">
        <f>_xll.DBRW($C$1,$C$2,$C$3,$C$4,$C$6,$C$5,$C$7,G$1,G$2,$A143)</f>
        <v>-1321160.5016000003</v>
      </c>
      <c r="H143" s="32">
        <f>_xll.DBRW($C$1,$C$2,$C$3,$C$4,$C$6,$C$5,$C$7,H$1,H$2,$A143)</f>
        <v>-3798369.6041999995</v>
      </c>
      <c r="I143" s="32">
        <f>_xll.DBRW($C$1,$C$2,$C$3,$C$4,$C$6,$C$5,$C$7,I$1,I$2,$A143)</f>
        <v>21407.353999999996</v>
      </c>
      <c r="J143" s="32">
        <f>_xll.DBRW($C$1,$C$2,$C$3,$C$4,$C$6,$C$5,$C$7,J$1,J$2,$A143)</f>
        <v>-145111.76199999999</v>
      </c>
      <c r="K143" s="32">
        <f>_xll.DBRW($C$1,$C$2,$C$3,$C$4,$C$6,$C$5,$C$7,K$1,K$2,$A143)</f>
        <v>-267895.77620000002</v>
      </c>
      <c r="L143" s="32">
        <f>_xll.DBRW($C$1,$C$2,$C$3,$C$4,$C$6,$C$5,$C$7,L$1,L$2,$A143)</f>
        <v>-367180.17220000003</v>
      </c>
      <c r="M143" s="32">
        <f>_xll.DBRW($C$1,$C$2,$C$3,$C$4,$C$6,$C$5,$C$7,M$1,M$2,$A143)</f>
        <v>-607313.2182</v>
      </c>
      <c r="N143" s="32">
        <f>_xll.DBRW($C$1,$C$2,$C$3,$C$4,$C$6,$C$5,$C$7,N$1,N$2,$A143)</f>
        <v>-780762.14480000013</v>
      </c>
      <c r="O143" s="32">
        <f>_xll.DBRW($C$1,$C$2,$C$3,$C$4,$C$6,$C$5,$C$7,O$1,O$2,$A143)</f>
        <v>-226239.87080000015</v>
      </c>
      <c r="P143" s="32">
        <f>_xll.DBRW($C$1,$C$2,$C$3,$C$4,$C$6,$C$5,$C$7,P$1,P$2,$A143)</f>
        <v>-884171.65680000011</v>
      </c>
      <c r="Q143" s="32">
        <f>_xll.DBRW($C$1,$C$2,$C$3,$C$4,$C$6,$C$5,$C$7,Q$1,Q$2,$A143)</f>
        <v>-1009351.0526000001</v>
      </c>
      <c r="R143" s="32">
        <f>_xll.DBRW($C$1,$C$2,$C$3,$C$4,$C$6,$C$5,$C$7,R$1,R$2,$A143)</f>
        <v>-540795.8498000002</v>
      </c>
      <c r="S143" s="32">
        <f>_xll.DBRW($C$1,$C$2,$C$3,$C$4,$C$6,$C$5,$C$7,S$1,S$2,$A143)</f>
        <v>-1425224.7056000002</v>
      </c>
      <c r="T143" s="32">
        <f>_xll.DBRW($C$1,$C$2,$C$3,$C$4,$C$6,$C$5,$C$7,T$1,T$2,$A143)</f>
        <v>-1399744.2696000002</v>
      </c>
      <c r="U143" s="32">
        <f>_xll.DBRW($C$1,$C$2,$C$3,$C$4,$C$6,$C$5,$C$7,U$1,U$2,$A143)</f>
        <v>-1399744.2696000002</v>
      </c>
      <c r="V143" s="32">
        <f>_xll.DBRW($C$1,$C$2,$C$3,$C$4,$C$6,$C$5,$C$7,V$1,V$2,$A143)</f>
        <v>0</v>
      </c>
      <c r="W143" s="32">
        <f>_xll.DBRW($C$1,$C$2,$C$3,$C$4,$C$6,$C$5,$C$7,W$1,W$2,$A143)</f>
        <v>0</v>
      </c>
      <c r="X143" s="32">
        <f>_xll.DBRW($C$1,$C$2,$C$3,$C$4,$C$6,$C$5,$C$7,X$1,X$2,$A143)</f>
        <v>0</v>
      </c>
      <c r="Y143" s="32">
        <f>_xll.DBRW($C$1,$C$2,$C$3,$C$4,$C$6,$C$5,$C$7,Y$1,Y$2,$A143)</f>
        <v>0</v>
      </c>
      <c r="Z143" s="32">
        <f>_xll.DBRW($C$1,$C$2,$C$3,$C$4,$C$6,$C$5,$C$7,Z$1,Z$2,$A143)</f>
        <v>0</v>
      </c>
      <c r="AA143" s="32">
        <f>_xll.DBRW($C$1,$C$2,$C$3,$C$4,$C$6,$C$5,$C$7,AA$1,AA$2,$A143)</f>
        <v>0</v>
      </c>
      <c r="AB143" s="32">
        <f>_xll.DBRW($C$1,$C$2,$C$3,$C$4,$C$6,$C$5,$C$7,AB$1,AB$2,$A143)</f>
        <v>0</v>
      </c>
      <c r="AC143" s="32">
        <f>_xll.DBRW($C$1,$C$2,$C$3,$C$4,$C$6,$C$5,$C$7,AC$1,AC$2,$A143)</f>
        <v>0</v>
      </c>
      <c r="AD143" s="32">
        <f>_xll.DBRW($C$1,$C$2,$C$3,$C$4,$C$6,$C$5,$C$7,AD$1,AD$2,$A143)</f>
        <v>0</v>
      </c>
      <c r="AE143" s="32">
        <f>_xll.DBRW($C$1,$C$2,$C$3,$C$4,$C$6,$C$5,$C$7,AE$1,AE$2,$A143)</f>
        <v>0</v>
      </c>
      <c r="AF143" s="32">
        <f>_xll.DBRW($C$1,$C$2,$C$3,$C$4,$C$6,$C$5,$C$7,AF$1,AF$2,$A143)</f>
        <v>0</v>
      </c>
      <c r="AG143" s="32">
        <f>_xll.DBRW($C$1,$C$2,$C$3,$C$4,$C$6,$C$5,$C$7,AG$1,AG$2,$A143)</f>
        <v>0</v>
      </c>
      <c r="AH143" s="32">
        <f>_xll.DBRW($C$1,$C$2,$C$3,$C$4,$C$6,$C$5,$C$7,AH$1,AH$2,$A143)</f>
        <v>0</v>
      </c>
      <c r="AI143" s="32">
        <f>_xll.DBRW($C$1,$C$2,$C$3,$C$4,$C$6,$C$5,$C$7,AI$1,AI$2,$A143)</f>
        <v>0</v>
      </c>
      <c r="AJ143" s="32">
        <f>_xll.DBRW($C$1,$C$2,$C$3,$C$4,$C$6,$C$5,$C$7,AJ$1,AJ$2,$A143)</f>
        <v>0</v>
      </c>
      <c r="AK143" s="32">
        <f>_xll.DBRW($C$1,$C$2,$C$3,$C$4,$C$6,$C$5,$C$7,AK$1,AK$2,$A143)</f>
        <v>0</v>
      </c>
      <c r="AL143" s="32">
        <f>_xll.DBRW($C$1,$C$2,$C$3,$C$4,$C$6,$C$5,$C$7,AL$1,AL$2,$A143)</f>
        <v>0</v>
      </c>
      <c r="AM143" s="32">
        <f>_xll.DBRW($C$1,$C$2,$C$3,$C$4,$C$6,$C$5,$C$7,AM$1,AM$2,$A143)</f>
        <v>0</v>
      </c>
      <c r="AN143" s="32">
        <f>_xll.DBRW($C$1,$C$2,$C$3,$C$4,$C$6,$C$5,$C$7,AN$1,AN$2,$A143)</f>
        <v>0</v>
      </c>
      <c r="AO143" s="32">
        <f>_xll.DBRW($C$1,$C$2,$C$3,$C$4,$C$6,$C$5,$C$7,AO$1,AO$2,$A143)</f>
        <v>0</v>
      </c>
      <c r="AP143" s="32">
        <f>_xll.DBRW($C$1,$C$2,$C$3,$C$4,$C$6,$C$5,$C$7,AP$1,AP$2,$A143)</f>
        <v>0</v>
      </c>
      <c r="AQ143" s="32">
        <f>_xll.DBRW($C$1,$C$2,$C$3,$C$4,$C$6,$C$5,$C$7,AQ$1,AQ$2,$A143)</f>
        <v>0</v>
      </c>
      <c r="AR143" s="32">
        <f>_xll.DBRW($C$1,$C$2,$C$3,$C$4,$C$6,$C$5,$C$7,AR$1,AR$2,$A143)</f>
        <v>0</v>
      </c>
      <c r="AS143" s="32">
        <f>_xll.DBRW($C$1,$C$2,$C$3,$C$4,$C$6,$C$5,$C$7,AS$1,AS$2,$A143)</f>
        <v>0</v>
      </c>
      <c r="AT143" s="32">
        <f>_xll.DBRW($C$1,$C$2,$C$3,$C$4,$C$6,$C$5,$C$7,AT$1,AT$2,$A143)</f>
        <v>0</v>
      </c>
      <c r="AU143" s="32">
        <f>_xll.DBRW($C$1,$C$2,$C$3,$C$4,$C$6,$C$5,$C$7,AU$1,AU$2,$A143)</f>
        <v>0</v>
      </c>
    </row>
    <row r="144" spans="1:47" ht="15.75" hidden="1" customHeight="1" outlineLevel="2">
      <c r="A144" s="1" t="s">
        <v>224</v>
      </c>
      <c r="C144" s="143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-10502304.449999999</v>
      </c>
      <c r="G144" s="32">
        <f>_xll.DBRW($C$1,$C$2,$C$3,$C$4,$C$6,$C$5,$C$7,G$1,G$2,$A144)</f>
        <v>657781.71999999788</v>
      </c>
      <c r="H144" s="32">
        <f>_xll.DBRW($C$1,$C$2,$C$3,$C$4,$C$6,$C$5,$C$7,H$1,H$2,$A144)</f>
        <v>-23081712.409999996</v>
      </c>
      <c r="I144" s="32">
        <f>_xll.DBRW($C$1,$C$2,$C$3,$C$4,$C$6,$C$5,$C$7,I$1,I$2,$A144)</f>
        <v>-1137040.2</v>
      </c>
      <c r="J144" s="32">
        <f>_xll.DBRW($C$1,$C$2,$C$3,$C$4,$C$6,$C$5,$C$7,J$1,J$2,$A144)</f>
        <v>-1743962.0199999996</v>
      </c>
      <c r="K144" s="32">
        <f>_xll.DBRW($C$1,$C$2,$C$3,$C$4,$C$6,$C$5,$C$7,K$1,K$2,$A144)</f>
        <v>-4362321.1199999992</v>
      </c>
      <c r="L144" s="32">
        <f>_xll.DBRW($C$1,$C$2,$C$3,$C$4,$C$6,$C$5,$C$7,L$1,L$2,$A144)</f>
        <v>-5504176.7399999993</v>
      </c>
      <c r="M144" s="32">
        <f>_xll.DBRW($C$1,$C$2,$C$3,$C$4,$C$6,$C$5,$C$7,M$1,M$2,$A144)</f>
        <v>-7160877.6599999992</v>
      </c>
      <c r="N144" s="32">
        <f>_xll.DBRW($C$1,$C$2,$C$3,$C$4,$C$6,$C$5,$C$7,N$1,N$2,$A144)</f>
        <v>-8843732.6600000001</v>
      </c>
      <c r="O144" s="32">
        <f>_xll.DBRW($C$1,$C$2,$C$3,$C$4,$C$6,$C$5,$C$7,O$1,O$2,$A144)</f>
        <v>-9897000.4199999999</v>
      </c>
      <c r="P144" s="32">
        <f>_xll.DBRW($C$1,$C$2,$C$3,$C$4,$C$6,$C$5,$C$7,P$1,P$2,$A144)</f>
        <v>-12111084.68</v>
      </c>
      <c r="Q144" s="32">
        <f>_xll.DBRW($C$1,$C$2,$C$3,$C$4,$C$6,$C$5,$C$7,Q$1,Q$2,$A144)</f>
        <v>-13647555.359999999</v>
      </c>
      <c r="R144" s="32">
        <f>_xll.DBRW($C$1,$C$2,$C$3,$C$4,$C$6,$C$5,$C$7,R$1,R$2,$A144)</f>
        <v>-15352968.76</v>
      </c>
      <c r="S144" s="32">
        <f>_xll.DBRW($C$1,$C$2,$C$3,$C$4,$C$6,$C$5,$C$7,S$1,S$2,$A144)</f>
        <v>-17996176.48</v>
      </c>
      <c r="T144" s="32">
        <f>_xll.DBRW($C$1,$C$2,$C$3,$C$4,$C$6,$C$5,$C$7,T$1,T$2,$A144)</f>
        <v>-20835560.34</v>
      </c>
      <c r="U144" s="32">
        <f>_xll.DBRW($C$1,$C$2,$C$3,$C$4,$C$6,$C$5,$C$7,U$1,U$2,$A144)</f>
        <v>-20835560.34</v>
      </c>
      <c r="V144" s="32">
        <f>_xll.DBRW($C$1,$C$2,$C$3,$C$4,$C$6,$C$5,$C$7,V$1,V$2,$A144)</f>
        <v>0</v>
      </c>
      <c r="W144" s="32">
        <f>_xll.DBRW($C$1,$C$2,$C$3,$C$4,$C$6,$C$5,$C$7,W$1,W$2,$A144)</f>
        <v>0</v>
      </c>
      <c r="X144" s="32">
        <f>_xll.DBRW($C$1,$C$2,$C$3,$C$4,$C$6,$C$5,$C$7,X$1,X$2,$A144)</f>
        <v>0</v>
      </c>
      <c r="Y144" s="32">
        <f>_xll.DBRW($C$1,$C$2,$C$3,$C$4,$C$6,$C$5,$C$7,Y$1,Y$2,$A144)</f>
        <v>0</v>
      </c>
      <c r="Z144" s="32">
        <f>_xll.DBRW($C$1,$C$2,$C$3,$C$4,$C$6,$C$5,$C$7,Z$1,Z$2,$A144)</f>
        <v>0</v>
      </c>
      <c r="AA144" s="32">
        <f>_xll.DBRW($C$1,$C$2,$C$3,$C$4,$C$6,$C$5,$C$7,AA$1,AA$2,$A144)</f>
        <v>0</v>
      </c>
      <c r="AB144" s="32">
        <f>_xll.DBRW($C$1,$C$2,$C$3,$C$4,$C$6,$C$5,$C$7,AB$1,AB$2,$A144)</f>
        <v>0</v>
      </c>
      <c r="AC144" s="32">
        <f>_xll.DBRW($C$1,$C$2,$C$3,$C$4,$C$6,$C$5,$C$7,AC$1,AC$2,$A144)</f>
        <v>0</v>
      </c>
      <c r="AD144" s="32">
        <f>_xll.DBRW($C$1,$C$2,$C$3,$C$4,$C$6,$C$5,$C$7,AD$1,AD$2,$A144)</f>
        <v>0</v>
      </c>
      <c r="AE144" s="32">
        <f>_xll.DBRW($C$1,$C$2,$C$3,$C$4,$C$6,$C$5,$C$7,AE$1,AE$2,$A144)</f>
        <v>0</v>
      </c>
      <c r="AF144" s="32">
        <f>_xll.DBRW($C$1,$C$2,$C$3,$C$4,$C$6,$C$5,$C$7,AF$1,AF$2,$A144)</f>
        <v>0</v>
      </c>
      <c r="AG144" s="32">
        <f>_xll.DBRW($C$1,$C$2,$C$3,$C$4,$C$6,$C$5,$C$7,AG$1,AG$2,$A144)</f>
        <v>0</v>
      </c>
      <c r="AH144" s="32">
        <f>_xll.DBRW($C$1,$C$2,$C$3,$C$4,$C$6,$C$5,$C$7,AH$1,AH$2,$A144)</f>
        <v>0</v>
      </c>
      <c r="AI144" s="32">
        <f>_xll.DBRW($C$1,$C$2,$C$3,$C$4,$C$6,$C$5,$C$7,AI$1,AI$2,$A144)</f>
        <v>0</v>
      </c>
      <c r="AJ144" s="32">
        <f>_xll.DBRW($C$1,$C$2,$C$3,$C$4,$C$6,$C$5,$C$7,AJ$1,AJ$2,$A144)</f>
        <v>0</v>
      </c>
      <c r="AK144" s="32">
        <f>_xll.DBRW($C$1,$C$2,$C$3,$C$4,$C$6,$C$5,$C$7,AK$1,AK$2,$A144)</f>
        <v>0</v>
      </c>
      <c r="AL144" s="32">
        <f>_xll.DBRW($C$1,$C$2,$C$3,$C$4,$C$6,$C$5,$C$7,AL$1,AL$2,$A144)</f>
        <v>0</v>
      </c>
      <c r="AM144" s="32">
        <f>_xll.DBRW($C$1,$C$2,$C$3,$C$4,$C$6,$C$5,$C$7,AM$1,AM$2,$A144)</f>
        <v>0</v>
      </c>
      <c r="AN144" s="32">
        <f>_xll.DBRW($C$1,$C$2,$C$3,$C$4,$C$6,$C$5,$C$7,AN$1,AN$2,$A144)</f>
        <v>0</v>
      </c>
      <c r="AO144" s="32">
        <f>_xll.DBRW($C$1,$C$2,$C$3,$C$4,$C$6,$C$5,$C$7,AO$1,AO$2,$A144)</f>
        <v>0</v>
      </c>
      <c r="AP144" s="32">
        <f>_xll.DBRW($C$1,$C$2,$C$3,$C$4,$C$6,$C$5,$C$7,AP$1,AP$2,$A144)</f>
        <v>0</v>
      </c>
      <c r="AQ144" s="32">
        <f>_xll.DBRW($C$1,$C$2,$C$3,$C$4,$C$6,$C$5,$C$7,AQ$1,AQ$2,$A144)</f>
        <v>0</v>
      </c>
      <c r="AR144" s="32">
        <f>_xll.DBRW($C$1,$C$2,$C$3,$C$4,$C$6,$C$5,$C$7,AR$1,AR$2,$A144)</f>
        <v>0</v>
      </c>
      <c r="AS144" s="32">
        <f>_xll.DBRW($C$1,$C$2,$C$3,$C$4,$C$6,$C$5,$C$7,AS$1,AS$2,$A144)</f>
        <v>0</v>
      </c>
      <c r="AT144" s="32">
        <f>_xll.DBRW($C$1,$C$2,$C$3,$C$4,$C$6,$C$5,$C$7,AT$1,AT$2,$A144)</f>
        <v>0</v>
      </c>
      <c r="AU144" s="32">
        <f>_xll.DBRW($C$1,$C$2,$C$3,$C$4,$C$6,$C$5,$C$7,AU$1,AU$2,$A144)</f>
        <v>0</v>
      </c>
    </row>
    <row r="145" spans="1:47" ht="15.75" hidden="1" customHeight="1" outlineLevel="2">
      <c r="A145" s="1" t="s">
        <v>225</v>
      </c>
      <c r="C145" s="143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-2736967140.6896</v>
      </c>
      <c r="G145" s="32">
        <f>_xll.DBRW($C$1,$C$2,$C$3,$C$4,$C$6,$C$5,$C$7,G$1,G$2,$A145)</f>
        <v>-3284590094.0738001</v>
      </c>
      <c r="H145" s="32">
        <f>_xll.DBRW($C$1,$C$2,$C$3,$C$4,$C$6,$C$5,$C$7,H$1,H$2,$A145)</f>
        <v>-2369934085.9042001</v>
      </c>
      <c r="I145" s="32">
        <f>_xll.DBRW($C$1,$C$2,$C$3,$C$4,$C$6,$C$5,$C$7,I$1,I$2,$A145)</f>
        <v>-176418488.68160003</v>
      </c>
      <c r="J145" s="32">
        <f>_xll.DBRW($C$1,$C$2,$C$3,$C$4,$C$6,$C$5,$C$7,J$1,J$2,$A145)</f>
        <v>-340796514.11120009</v>
      </c>
      <c r="K145" s="32">
        <f>_xll.DBRW($C$1,$C$2,$C$3,$C$4,$C$6,$C$5,$C$7,K$1,K$2,$A145)</f>
        <v>-668426999.32179999</v>
      </c>
      <c r="L145" s="32">
        <f>_xll.DBRW($C$1,$C$2,$C$3,$C$4,$C$6,$C$5,$C$7,L$1,L$2,$A145)</f>
        <v>-491252966.04139996</v>
      </c>
      <c r="M145" s="32">
        <f>_xll.DBRW($C$1,$C$2,$C$3,$C$4,$C$6,$C$5,$C$7,M$1,M$2,$A145)</f>
        <v>-856651660.25099993</v>
      </c>
      <c r="N145" s="32">
        <f>_xll.DBRW($C$1,$C$2,$C$3,$C$4,$C$6,$C$5,$C$7,N$1,N$2,$A145)</f>
        <v>-1109298018.8994</v>
      </c>
      <c r="O145" s="32">
        <f>_xll.DBRW($C$1,$C$2,$C$3,$C$4,$C$6,$C$5,$C$7,O$1,O$2,$A145)</f>
        <v>-1225672715.6024001</v>
      </c>
      <c r="P145" s="32">
        <f>_xll.DBRW($C$1,$C$2,$C$3,$C$4,$C$6,$C$5,$C$7,P$1,P$2,$A145)</f>
        <v>-1622575678.4292002</v>
      </c>
      <c r="Q145" s="32">
        <f>_xll.DBRW($C$1,$C$2,$C$3,$C$4,$C$6,$C$5,$C$7,Q$1,Q$2,$A145)</f>
        <v>-1942890920.0530002</v>
      </c>
      <c r="R145" s="32">
        <f>_xll.DBRW($C$1,$C$2,$C$3,$C$4,$C$6,$C$5,$C$7,R$1,R$2,$A145)</f>
        <v>-2023364069.6274002</v>
      </c>
      <c r="S145" s="32">
        <f>_xll.DBRW($C$1,$C$2,$C$3,$C$4,$C$6,$C$5,$C$7,S$1,S$2,$A145)</f>
        <v>-2378810340.4566002</v>
      </c>
      <c r="T145" s="32">
        <f>_xll.DBRW($C$1,$C$2,$C$3,$C$4,$C$6,$C$5,$C$7,T$1,T$2,$A145)</f>
        <v>-3217485446.8227997</v>
      </c>
      <c r="U145" s="32">
        <f>_xll.DBRW($C$1,$C$2,$C$3,$C$4,$C$6,$C$5,$C$7,U$1,U$2,$A145)</f>
        <v>-3217485446.8227997</v>
      </c>
      <c r="V145" s="32">
        <f>_xll.DBRW($C$1,$C$2,$C$3,$C$4,$C$6,$C$5,$C$7,V$1,V$2,$A145)</f>
        <v>0</v>
      </c>
      <c r="W145" s="32">
        <f>_xll.DBRW($C$1,$C$2,$C$3,$C$4,$C$6,$C$5,$C$7,W$1,W$2,$A145)</f>
        <v>0</v>
      </c>
      <c r="X145" s="32">
        <f>_xll.DBRW($C$1,$C$2,$C$3,$C$4,$C$6,$C$5,$C$7,X$1,X$2,$A145)</f>
        <v>0</v>
      </c>
      <c r="Y145" s="32">
        <f>_xll.DBRW($C$1,$C$2,$C$3,$C$4,$C$6,$C$5,$C$7,Y$1,Y$2,$A145)</f>
        <v>0</v>
      </c>
      <c r="Z145" s="32">
        <f>_xll.DBRW($C$1,$C$2,$C$3,$C$4,$C$6,$C$5,$C$7,Z$1,Z$2,$A145)</f>
        <v>0</v>
      </c>
      <c r="AA145" s="32">
        <f>_xll.DBRW($C$1,$C$2,$C$3,$C$4,$C$6,$C$5,$C$7,AA$1,AA$2,$A145)</f>
        <v>0</v>
      </c>
      <c r="AB145" s="32">
        <f>_xll.DBRW($C$1,$C$2,$C$3,$C$4,$C$6,$C$5,$C$7,AB$1,AB$2,$A145)</f>
        <v>0</v>
      </c>
      <c r="AC145" s="32">
        <f>_xll.DBRW($C$1,$C$2,$C$3,$C$4,$C$6,$C$5,$C$7,AC$1,AC$2,$A145)</f>
        <v>0</v>
      </c>
      <c r="AD145" s="32">
        <f>_xll.DBRW($C$1,$C$2,$C$3,$C$4,$C$6,$C$5,$C$7,AD$1,AD$2,$A145)</f>
        <v>0</v>
      </c>
      <c r="AE145" s="32">
        <f>_xll.DBRW($C$1,$C$2,$C$3,$C$4,$C$6,$C$5,$C$7,AE$1,AE$2,$A145)</f>
        <v>0</v>
      </c>
      <c r="AF145" s="32">
        <f>_xll.DBRW($C$1,$C$2,$C$3,$C$4,$C$6,$C$5,$C$7,AF$1,AF$2,$A145)</f>
        <v>0</v>
      </c>
      <c r="AG145" s="32">
        <f>_xll.DBRW($C$1,$C$2,$C$3,$C$4,$C$6,$C$5,$C$7,AG$1,AG$2,$A145)</f>
        <v>0</v>
      </c>
      <c r="AH145" s="32">
        <f>_xll.DBRW($C$1,$C$2,$C$3,$C$4,$C$6,$C$5,$C$7,AH$1,AH$2,$A145)</f>
        <v>0</v>
      </c>
      <c r="AI145" s="32">
        <f>_xll.DBRW($C$1,$C$2,$C$3,$C$4,$C$6,$C$5,$C$7,AI$1,AI$2,$A145)</f>
        <v>0</v>
      </c>
      <c r="AJ145" s="32">
        <f>_xll.DBRW($C$1,$C$2,$C$3,$C$4,$C$6,$C$5,$C$7,AJ$1,AJ$2,$A145)</f>
        <v>0</v>
      </c>
      <c r="AK145" s="32">
        <f>_xll.DBRW($C$1,$C$2,$C$3,$C$4,$C$6,$C$5,$C$7,AK$1,AK$2,$A145)</f>
        <v>0</v>
      </c>
      <c r="AL145" s="32">
        <f>_xll.DBRW($C$1,$C$2,$C$3,$C$4,$C$6,$C$5,$C$7,AL$1,AL$2,$A145)</f>
        <v>0</v>
      </c>
      <c r="AM145" s="32">
        <f>_xll.DBRW($C$1,$C$2,$C$3,$C$4,$C$6,$C$5,$C$7,AM$1,AM$2,$A145)</f>
        <v>0</v>
      </c>
      <c r="AN145" s="32">
        <f>_xll.DBRW($C$1,$C$2,$C$3,$C$4,$C$6,$C$5,$C$7,AN$1,AN$2,$A145)</f>
        <v>0</v>
      </c>
      <c r="AO145" s="32">
        <f>_xll.DBRW($C$1,$C$2,$C$3,$C$4,$C$6,$C$5,$C$7,AO$1,AO$2,$A145)</f>
        <v>0</v>
      </c>
      <c r="AP145" s="32">
        <f>_xll.DBRW($C$1,$C$2,$C$3,$C$4,$C$6,$C$5,$C$7,AP$1,AP$2,$A145)</f>
        <v>0</v>
      </c>
      <c r="AQ145" s="32">
        <f>_xll.DBRW($C$1,$C$2,$C$3,$C$4,$C$6,$C$5,$C$7,AQ$1,AQ$2,$A145)</f>
        <v>0</v>
      </c>
      <c r="AR145" s="32">
        <f>_xll.DBRW($C$1,$C$2,$C$3,$C$4,$C$6,$C$5,$C$7,AR$1,AR$2,$A145)</f>
        <v>0</v>
      </c>
      <c r="AS145" s="32">
        <f>_xll.DBRW($C$1,$C$2,$C$3,$C$4,$C$6,$C$5,$C$7,AS$1,AS$2,$A145)</f>
        <v>0</v>
      </c>
      <c r="AT145" s="32">
        <f>_xll.DBRW($C$1,$C$2,$C$3,$C$4,$C$6,$C$5,$C$7,AT$1,AT$2,$A145)</f>
        <v>0</v>
      </c>
      <c r="AU145" s="32">
        <f>_xll.DBRW($C$1,$C$2,$C$3,$C$4,$C$6,$C$5,$C$7,AU$1,AU$2,$A145)</f>
        <v>0</v>
      </c>
    </row>
    <row r="146" spans="1:47" ht="15.75" hidden="1" customHeight="1" outlineLevel="2">
      <c r="A146" s="1" t="s">
        <v>226</v>
      </c>
      <c r="C146" s="143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0</v>
      </c>
      <c r="H146" s="32">
        <f>_xll.DBRW($C$1,$C$2,$C$3,$C$4,$C$6,$C$5,$C$7,H$1,H$2,$A146)</f>
        <v>849</v>
      </c>
      <c r="I146" s="32">
        <f>_xll.DBRW($C$1,$C$2,$C$3,$C$4,$C$6,$C$5,$C$7,I$1,I$2,$A146)</f>
        <v>278</v>
      </c>
      <c r="J146" s="32">
        <f>_xll.DBRW($C$1,$C$2,$C$3,$C$4,$C$6,$C$5,$C$7,J$1,J$2,$A146)</f>
        <v>278</v>
      </c>
      <c r="K146" s="32">
        <f>_xll.DBRW($C$1,$C$2,$C$3,$C$4,$C$6,$C$5,$C$7,K$1,K$2,$A146)</f>
        <v>278</v>
      </c>
      <c r="L146" s="32">
        <f>_xll.DBRW($C$1,$C$2,$C$3,$C$4,$C$6,$C$5,$C$7,L$1,L$2,$A146)</f>
        <v>278</v>
      </c>
      <c r="M146" s="32">
        <f>_xll.DBRW($C$1,$C$2,$C$3,$C$4,$C$6,$C$5,$C$7,M$1,M$2,$A146)</f>
        <v>278</v>
      </c>
      <c r="N146" s="32">
        <f>_xll.DBRW($C$1,$C$2,$C$3,$C$4,$C$6,$C$5,$C$7,N$1,N$2,$A146)</f>
        <v>278</v>
      </c>
      <c r="O146" s="32">
        <f>_xll.DBRW($C$1,$C$2,$C$3,$C$4,$C$6,$C$5,$C$7,O$1,O$2,$A146)</f>
        <v>278</v>
      </c>
      <c r="P146" s="32">
        <f>_xll.DBRW($C$1,$C$2,$C$3,$C$4,$C$6,$C$5,$C$7,P$1,P$2,$A146)</f>
        <v>278</v>
      </c>
      <c r="Q146" s="32">
        <f>_xll.DBRW($C$1,$C$2,$C$3,$C$4,$C$6,$C$5,$C$7,Q$1,Q$2,$A146)</f>
        <v>320</v>
      </c>
      <c r="R146" s="32">
        <f>_xll.DBRW($C$1,$C$2,$C$3,$C$4,$C$6,$C$5,$C$7,R$1,R$2,$A146)</f>
        <v>321.35000000000002</v>
      </c>
      <c r="S146" s="32">
        <f>_xll.DBRW($C$1,$C$2,$C$3,$C$4,$C$6,$C$5,$C$7,S$1,S$2,$A146)</f>
        <v>321.35000000000002</v>
      </c>
      <c r="T146" s="32">
        <f>_xll.DBRW($C$1,$C$2,$C$3,$C$4,$C$6,$C$5,$C$7,T$1,T$2,$A146)</f>
        <v>320</v>
      </c>
      <c r="U146" s="32">
        <f>_xll.DBRW($C$1,$C$2,$C$3,$C$4,$C$6,$C$5,$C$7,U$1,U$2,$A146)</f>
        <v>320</v>
      </c>
      <c r="V146" s="32">
        <f>_xll.DBRW($C$1,$C$2,$C$3,$C$4,$C$6,$C$5,$C$7,V$1,V$2,$A146)</f>
        <v>0</v>
      </c>
      <c r="W146" s="32">
        <f>_xll.DBRW($C$1,$C$2,$C$3,$C$4,$C$6,$C$5,$C$7,W$1,W$2,$A146)</f>
        <v>0</v>
      </c>
      <c r="X146" s="32">
        <f>_xll.DBRW($C$1,$C$2,$C$3,$C$4,$C$6,$C$5,$C$7,X$1,X$2,$A146)</f>
        <v>0</v>
      </c>
      <c r="Y146" s="32">
        <f>_xll.DBRW($C$1,$C$2,$C$3,$C$4,$C$6,$C$5,$C$7,Y$1,Y$2,$A146)</f>
        <v>0</v>
      </c>
      <c r="Z146" s="32">
        <f>_xll.DBRW($C$1,$C$2,$C$3,$C$4,$C$6,$C$5,$C$7,Z$1,Z$2,$A146)</f>
        <v>0</v>
      </c>
      <c r="AA146" s="32">
        <f>_xll.DBRW($C$1,$C$2,$C$3,$C$4,$C$6,$C$5,$C$7,AA$1,AA$2,$A146)</f>
        <v>0</v>
      </c>
      <c r="AB146" s="32">
        <f>_xll.DBRW($C$1,$C$2,$C$3,$C$4,$C$6,$C$5,$C$7,AB$1,AB$2,$A146)</f>
        <v>0</v>
      </c>
      <c r="AC146" s="32">
        <f>_xll.DBRW($C$1,$C$2,$C$3,$C$4,$C$6,$C$5,$C$7,AC$1,AC$2,$A146)</f>
        <v>0</v>
      </c>
      <c r="AD146" s="32">
        <f>_xll.DBRW($C$1,$C$2,$C$3,$C$4,$C$6,$C$5,$C$7,AD$1,AD$2,$A146)</f>
        <v>0</v>
      </c>
      <c r="AE146" s="32">
        <f>_xll.DBRW($C$1,$C$2,$C$3,$C$4,$C$6,$C$5,$C$7,AE$1,AE$2,$A146)</f>
        <v>0</v>
      </c>
      <c r="AF146" s="32">
        <f>_xll.DBRW($C$1,$C$2,$C$3,$C$4,$C$6,$C$5,$C$7,AF$1,AF$2,$A146)</f>
        <v>0</v>
      </c>
      <c r="AG146" s="32">
        <f>_xll.DBRW($C$1,$C$2,$C$3,$C$4,$C$6,$C$5,$C$7,AG$1,AG$2,$A146)</f>
        <v>0</v>
      </c>
      <c r="AH146" s="32">
        <f>_xll.DBRW($C$1,$C$2,$C$3,$C$4,$C$6,$C$5,$C$7,AH$1,AH$2,$A146)</f>
        <v>0</v>
      </c>
      <c r="AI146" s="32">
        <f>_xll.DBRW($C$1,$C$2,$C$3,$C$4,$C$6,$C$5,$C$7,AI$1,AI$2,$A146)</f>
        <v>0</v>
      </c>
      <c r="AJ146" s="32">
        <f>_xll.DBRW($C$1,$C$2,$C$3,$C$4,$C$6,$C$5,$C$7,AJ$1,AJ$2,$A146)</f>
        <v>0</v>
      </c>
      <c r="AK146" s="32">
        <f>_xll.DBRW($C$1,$C$2,$C$3,$C$4,$C$6,$C$5,$C$7,AK$1,AK$2,$A146)</f>
        <v>0</v>
      </c>
      <c r="AL146" s="32">
        <f>_xll.DBRW($C$1,$C$2,$C$3,$C$4,$C$6,$C$5,$C$7,AL$1,AL$2,$A146)</f>
        <v>0</v>
      </c>
      <c r="AM146" s="32">
        <f>_xll.DBRW($C$1,$C$2,$C$3,$C$4,$C$6,$C$5,$C$7,AM$1,AM$2,$A146)</f>
        <v>0</v>
      </c>
      <c r="AN146" s="32">
        <f>_xll.DBRW($C$1,$C$2,$C$3,$C$4,$C$6,$C$5,$C$7,AN$1,AN$2,$A146)</f>
        <v>0</v>
      </c>
      <c r="AO146" s="32">
        <f>_xll.DBRW($C$1,$C$2,$C$3,$C$4,$C$6,$C$5,$C$7,AO$1,AO$2,$A146)</f>
        <v>0</v>
      </c>
      <c r="AP146" s="32">
        <f>_xll.DBRW($C$1,$C$2,$C$3,$C$4,$C$6,$C$5,$C$7,AP$1,AP$2,$A146)</f>
        <v>0</v>
      </c>
      <c r="AQ146" s="32">
        <f>_xll.DBRW($C$1,$C$2,$C$3,$C$4,$C$6,$C$5,$C$7,AQ$1,AQ$2,$A146)</f>
        <v>0</v>
      </c>
      <c r="AR146" s="32">
        <f>_xll.DBRW($C$1,$C$2,$C$3,$C$4,$C$6,$C$5,$C$7,AR$1,AR$2,$A146)</f>
        <v>0</v>
      </c>
      <c r="AS146" s="32">
        <f>_xll.DBRW($C$1,$C$2,$C$3,$C$4,$C$6,$C$5,$C$7,AS$1,AS$2,$A146)</f>
        <v>0</v>
      </c>
      <c r="AT146" s="32">
        <f>_xll.DBRW($C$1,$C$2,$C$3,$C$4,$C$6,$C$5,$C$7,AT$1,AT$2,$A146)</f>
        <v>0</v>
      </c>
      <c r="AU146" s="32">
        <f>_xll.DBRW($C$1,$C$2,$C$3,$C$4,$C$6,$C$5,$C$7,AU$1,AU$2,$A146)</f>
        <v>0</v>
      </c>
    </row>
    <row r="147" spans="1:47" ht="15.75" hidden="1" customHeight="1" outlineLevel="2">
      <c r="A147" s="1" t="s">
        <v>227</v>
      </c>
      <c r="C147" s="143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-36223319.398200005</v>
      </c>
      <c r="G147" s="32">
        <f>_xll.DBRW($C$1,$C$2,$C$3,$C$4,$C$6,$C$5,$C$7,G$1,G$2,$A147)</f>
        <v>66651263.878200002</v>
      </c>
      <c r="H147" s="32">
        <f>_xll.DBRW($C$1,$C$2,$C$3,$C$4,$C$6,$C$5,$C$7,H$1,H$2,$A147)</f>
        <v>9560374.0498000011</v>
      </c>
      <c r="I147" s="32">
        <f>_xll.DBRW($C$1,$C$2,$C$3,$C$4,$C$6,$C$5,$C$7,I$1,I$2,$A147)</f>
        <v>-1049538.7569999998</v>
      </c>
      <c r="J147" s="32">
        <f>_xll.DBRW($C$1,$C$2,$C$3,$C$4,$C$6,$C$5,$C$7,J$1,J$2,$A147)</f>
        <v>-5625130.2838000003</v>
      </c>
      <c r="K147" s="32">
        <f>_xll.DBRW($C$1,$C$2,$C$3,$C$4,$C$6,$C$5,$C$7,K$1,K$2,$A147)</f>
        <v>-8450840.0612000003</v>
      </c>
      <c r="L147" s="32">
        <f>_xll.DBRW($C$1,$C$2,$C$3,$C$4,$C$6,$C$5,$C$7,L$1,L$2,$A147)</f>
        <v>-11246136.127</v>
      </c>
      <c r="M147" s="32">
        <f>_xll.DBRW($C$1,$C$2,$C$3,$C$4,$C$6,$C$5,$C$7,M$1,M$2,$A147)</f>
        <v>-14118231.648200002</v>
      </c>
      <c r="N147" s="32">
        <f>_xll.DBRW($C$1,$C$2,$C$3,$C$4,$C$6,$C$5,$C$7,N$1,N$2,$A147)</f>
        <v>-17664777.445400003</v>
      </c>
      <c r="O147" s="32">
        <f>_xll.DBRW($C$1,$C$2,$C$3,$C$4,$C$6,$C$5,$C$7,O$1,O$2,$A147)</f>
        <v>-7235146.5144000035</v>
      </c>
      <c r="P147" s="32">
        <f>_xll.DBRW($C$1,$C$2,$C$3,$C$4,$C$6,$C$5,$C$7,P$1,P$2,$A147)</f>
        <v>-22206557.544200003</v>
      </c>
      <c r="Q147" s="32">
        <f>_xll.DBRW($C$1,$C$2,$C$3,$C$4,$C$6,$C$5,$C$7,Q$1,Q$2,$A147)</f>
        <v>-23869302.857400004</v>
      </c>
      <c r="R147" s="32">
        <f>_xll.DBRW($C$1,$C$2,$C$3,$C$4,$C$6,$C$5,$C$7,R$1,R$2,$A147)</f>
        <v>-10147719.056800004</v>
      </c>
      <c r="S147" s="32">
        <f>_xll.DBRW($C$1,$C$2,$C$3,$C$4,$C$6,$C$5,$C$7,S$1,S$2,$A147)</f>
        <v>-14323133.172800004</v>
      </c>
      <c r="T147" s="32">
        <f>_xll.DBRW($C$1,$C$2,$C$3,$C$4,$C$6,$C$5,$C$7,T$1,T$2,$A147)</f>
        <v>3308674.881999996</v>
      </c>
      <c r="U147" s="32">
        <f>_xll.DBRW($C$1,$C$2,$C$3,$C$4,$C$6,$C$5,$C$7,U$1,U$2,$A147)</f>
        <v>3308674.881999996</v>
      </c>
      <c r="V147" s="32">
        <f>_xll.DBRW($C$1,$C$2,$C$3,$C$4,$C$6,$C$5,$C$7,V$1,V$2,$A147)</f>
        <v>0</v>
      </c>
      <c r="W147" s="32">
        <f>_xll.DBRW($C$1,$C$2,$C$3,$C$4,$C$6,$C$5,$C$7,W$1,W$2,$A147)</f>
        <v>0</v>
      </c>
      <c r="X147" s="32">
        <f>_xll.DBRW($C$1,$C$2,$C$3,$C$4,$C$6,$C$5,$C$7,X$1,X$2,$A147)</f>
        <v>0</v>
      </c>
      <c r="Y147" s="32">
        <f>_xll.DBRW($C$1,$C$2,$C$3,$C$4,$C$6,$C$5,$C$7,Y$1,Y$2,$A147)</f>
        <v>0</v>
      </c>
      <c r="Z147" s="32">
        <f>_xll.DBRW($C$1,$C$2,$C$3,$C$4,$C$6,$C$5,$C$7,Z$1,Z$2,$A147)</f>
        <v>0</v>
      </c>
      <c r="AA147" s="32">
        <f>_xll.DBRW($C$1,$C$2,$C$3,$C$4,$C$6,$C$5,$C$7,AA$1,AA$2,$A147)</f>
        <v>0</v>
      </c>
      <c r="AB147" s="32">
        <f>_xll.DBRW($C$1,$C$2,$C$3,$C$4,$C$6,$C$5,$C$7,AB$1,AB$2,$A147)</f>
        <v>0</v>
      </c>
      <c r="AC147" s="32">
        <f>_xll.DBRW($C$1,$C$2,$C$3,$C$4,$C$6,$C$5,$C$7,AC$1,AC$2,$A147)</f>
        <v>0</v>
      </c>
      <c r="AD147" s="32">
        <f>_xll.DBRW($C$1,$C$2,$C$3,$C$4,$C$6,$C$5,$C$7,AD$1,AD$2,$A147)</f>
        <v>0</v>
      </c>
      <c r="AE147" s="32">
        <f>_xll.DBRW($C$1,$C$2,$C$3,$C$4,$C$6,$C$5,$C$7,AE$1,AE$2,$A147)</f>
        <v>0</v>
      </c>
      <c r="AF147" s="32">
        <f>_xll.DBRW($C$1,$C$2,$C$3,$C$4,$C$6,$C$5,$C$7,AF$1,AF$2,$A147)</f>
        <v>0</v>
      </c>
      <c r="AG147" s="32">
        <f>_xll.DBRW($C$1,$C$2,$C$3,$C$4,$C$6,$C$5,$C$7,AG$1,AG$2,$A147)</f>
        <v>0</v>
      </c>
      <c r="AH147" s="32">
        <f>_xll.DBRW($C$1,$C$2,$C$3,$C$4,$C$6,$C$5,$C$7,AH$1,AH$2,$A147)</f>
        <v>0</v>
      </c>
      <c r="AI147" s="32">
        <f>_xll.DBRW($C$1,$C$2,$C$3,$C$4,$C$6,$C$5,$C$7,AI$1,AI$2,$A147)</f>
        <v>0</v>
      </c>
      <c r="AJ147" s="32">
        <f>_xll.DBRW($C$1,$C$2,$C$3,$C$4,$C$6,$C$5,$C$7,AJ$1,AJ$2,$A147)</f>
        <v>0</v>
      </c>
      <c r="AK147" s="32">
        <f>_xll.DBRW($C$1,$C$2,$C$3,$C$4,$C$6,$C$5,$C$7,AK$1,AK$2,$A147)</f>
        <v>0</v>
      </c>
      <c r="AL147" s="32">
        <f>_xll.DBRW($C$1,$C$2,$C$3,$C$4,$C$6,$C$5,$C$7,AL$1,AL$2,$A147)</f>
        <v>0</v>
      </c>
      <c r="AM147" s="32">
        <f>_xll.DBRW($C$1,$C$2,$C$3,$C$4,$C$6,$C$5,$C$7,AM$1,AM$2,$A147)</f>
        <v>0</v>
      </c>
      <c r="AN147" s="32">
        <f>_xll.DBRW($C$1,$C$2,$C$3,$C$4,$C$6,$C$5,$C$7,AN$1,AN$2,$A147)</f>
        <v>0</v>
      </c>
      <c r="AO147" s="32">
        <f>_xll.DBRW($C$1,$C$2,$C$3,$C$4,$C$6,$C$5,$C$7,AO$1,AO$2,$A147)</f>
        <v>0</v>
      </c>
      <c r="AP147" s="32">
        <f>_xll.DBRW($C$1,$C$2,$C$3,$C$4,$C$6,$C$5,$C$7,AP$1,AP$2,$A147)</f>
        <v>0</v>
      </c>
      <c r="AQ147" s="32">
        <f>_xll.DBRW($C$1,$C$2,$C$3,$C$4,$C$6,$C$5,$C$7,AQ$1,AQ$2,$A147)</f>
        <v>0</v>
      </c>
      <c r="AR147" s="32">
        <f>_xll.DBRW($C$1,$C$2,$C$3,$C$4,$C$6,$C$5,$C$7,AR$1,AR$2,$A147)</f>
        <v>0</v>
      </c>
      <c r="AS147" s="32">
        <f>_xll.DBRW($C$1,$C$2,$C$3,$C$4,$C$6,$C$5,$C$7,AS$1,AS$2,$A147)</f>
        <v>0</v>
      </c>
      <c r="AT147" s="32">
        <f>_xll.DBRW($C$1,$C$2,$C$3,$C$4,$C$6,$C$5,$C$7,AT$1,AT$2,$A147)</f>
        <v>0</v>
      </c>
      <c r="AU147" s="32">
        <f>_xll.DBRW($C$1,$C$2,$C$3,$C$4,$C$6,$C$5,$C$7,AU$1,AU$2,$A147)</f>
        <v>0</v>
      </c>
    </row>
    <row r="148" spans="1:47" ht="15.75" hidden="1" customHeight="1" outlineLevel="2">
      <c r="A148" s="1" t="s">
        <v>228</v>
      </c>
      <c r="C148" s="143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-128525236.3</v>
      </c>
      <c r="G148" s="32">
        <f>_xll.DBRW($C$1,$C$2,$C$3,$C$4,$C$6,$C$5,$C$7,G$1,G$2,$A148)</f>
        <v>-166237032.72999999</v>
      </c>
      <c r="H148" s="32">
        <f>_xll.DBRW($C$1,$C$2,$C$3,$C$4,$C$6,$C$5,$C$7,H$1,H$2,$A148)</f>
        <v>-415520.16000000003</v>
      </c>
      <c r="I148" s="32">
        <f>_xll.DBRW($C$1,$C$2,$C$3,$C$4,$C$6,$C$5,$C$7,I$1,I$2,$A148)</f>
        <v>20682.379999999997</v>
      </c>
      <c r="J148" s="32">
        <f>_xll.DBRW($C$1,$C$2,$C$3,$C$4,$C$6,$C$5,$C$7,J$1,J$2,$A148)</f>
        <v>247051.92999999996</v>
      </c>
      <c r="K148" s="32">
        <f>_xll.DBRW($C$1,$C$2,$C$3,$C$4,$C$6,$C$5,$C$7,K$1,K$2,$A148)</f>
        <v>230909.38999999996</v>
      </c>
      <c r="L148" s="32">
        <f>_xll.DBRW($C$1,$C$2,$C$3,$C$4,$C$6,$C$5,$C$7,L$1,L$2,$A148)</f>
        <v>415136.5</v>
      </c>
      <c r="M148" s="32">
        <f>_xll.DBRW($C$1,$C$2,$C$3,$C$4,$C$6,$C$5,$C$7,M$1,M$2,$A148)</f>
        <v>418904.89</v>
      </c>
      <c r="N148" s="32">
        <f>_xll.DBRW($C$1,$C$2,$C$3,$C$4,$C$6,$C$5,$C$7,N$1,N$2,$A148)</f>
        <v>380137.41000000003</v>
      </c>
      <c r="O148" s="32">
        <f>_xll.DBRW($C$1,$C$2,$C$3,$C$4,$C$6,$C$5,$C$7,O$1,O$2,$A148)</f>
        <v>393574.75</v>
      </c>
      <c r="P148" s="32">
        <f>_xll.DBRW($C$1,$C$2,$C$3,$C$4,$C$6,$C$5,$C$7,P$1,P$2,$A148)</f>
        <v>377042.29</v>
      </c>
      <c r="Q148" s="32">
        <f>_xll.DBRW($C$1,$C$2,$C$3,$C$4,$C$6,$C$5,$C$7,Q$1,Q$2,$A148)</f>
        <v>483750.12</v>
      </c>
      <c r="R148" s="32">
        <f>_xll.DBRW($C$1,$C$2,$C$3,$C$4,$C$6,$C$5,$C$7,R$1,R$2,$A148)</f>
        <v>495433.04999999993</v>
      </c>
      <c r="S148" s="32">
        <f>_xll.DBRW($C$1,$C$2,$C$3,$C$4,$C$6,$C$5,$C$7,S$1,S$2,$A148)</f>
        <v>-133798.71000000008</v>
      </c>
      <c r="T148" s="32">
        <f>_xll.DBRW($C$1,$C$2,$C$3,$C$4,$C$6,$C$5,$C$7,T$1,T$2,$A148)</f>
        <v>-2336794.5499999998</v>
      </c>
      <c r="U148" s="32">
        <f>_xll.DBRW($C$1,$C$2,$C$3,$C$4,$C$6,$C$5,$C$7,U$1,U$2,$A148)</f>
        <v>-2336794.5499999998</v>
      </c>
      <c r="V148" s="32">
        <f>_xll.DBRW($C$1,$C$2,$C$3,$C$4,$C$6,$C$5,$C$7,V$1,V$2,$A148)</f>
        <v>0</v>
      </c>
      <c r="W148" s="32">
        <f>_xll.DBRW($C$1,$C$2,$C$3,$C$4,$C$6,$C$5,$C$7,W$1,W$2,$A148)</f>
        <v>0</v>
      </c>
      <c r="X148" s="32">
        <f>_xll.DBRW($C$1,$C$2,$C$3,$C$4,$C$6,$C$5,$C$7,X$1,X$2,$A148)</f>
        <v>0</v>
      </c>
      <c r="Y148" s="32">
        <f>_xll.DBRW($C$1,$C$2,$C$3,$C$4,$C$6,$C$5,$C$7,Y$1,Y$2,$A148)</f>
        <v>0</v>
      </c>
      <c r="Z148" s="32">
        <f>_xll.DBRW($C$1,$C$2,$C$3,$C$4,$C$6,$C$5,$C$7,Z$1,Z$2,$A148)</f>
        <v>0</v>
      </c>
      <c r="AA148" s="32">
        <f>_xll.DBRW($C$1,$C$2,$C$3,$C$4,$C$6,$C$5,$C$7,AA$1,AA$2,$A148)</f>
        <v>0</v>
      </c>
      <c r="AB148" s="32">
        <f>_xll.DBRW($C$1,$C$2,$C$3,$C$4,$C$6,$C$5,$C$7,AB$1,AB$2,$A148)</f>
        <v>0</v>
      </c>
      <c r="AC148" s="32">
        <f>_xll.DBRW($C$1,$C$2,$C$3,$C$4,$C$6,$C$5,$C$7,AC$1,AC$2,$A148)</f>
        <v>0</v>
      </c>
      <c r="AD148" s="32">
        <f>_xll.DBRW($C$1,$C$2,$C$3,$C$4,$C$6,$C$5,$C$7,AD$1,AD$2,$A148)</f>
        <v>0</v>
      </c>
      <c r="AE148" s="32">
        <f>_xll.DBRW($C$1,$C$2,$C$3,$C$4,$C$6,$C$5,$C$7,AE$1,AE$2,$A148)</f>
        <v>0</v>
      </c>
      <c r="AF148" s="32">
        <f>_xll.DBRW($C$1,$C$2,$C$3,$C$4,$C$6,$C$5,$C$7,AF$1,AF$2,$A148)</f>
        <v>0</v>
      </c>
      <c r="AG148" s="32">
        <f>_xll.DBRW($C$1,$C$2,$C$3,$C$4,$C$6,$C$5,$C$7,AG$1,AG$2,$A148)</f>
        <v>0</v>
      </c>
      <c r="AH148" s="32">
        <f>_xll.DBRW($C$1,$C$2,$C$3,$C$4,$C$6,$C$5,$C$7,AH$1,AH$2,$A148)</f>
        <v>0</v>
      </c>
      <c r="AI148" s="32">
        <f>_xll.DBRW($C$1,$C$2,$C$3,$C$4,$C$6,$C$5,$C$7,AI$1,AI$2,$A148)</f>
        <v>0</v>
      </c>
      <c r="AJ148" s="32">
        <f>_xll.DBRW($C$1,$C$2,$C$3,$C$4,$C$6,$C$5,$C$7,AJ$1,AJ$2,$A148)</f>
        <v>0</v>
      </c>
      <c r="AK148" s="32">
        <f>_xll.DBRW($C$1,$C$2,$C$3,$C$4,$C$6,$C$5,$C$7,AK$1,AK$2,$A148)</f>
        <v>0</v>
      </c>
      <c r="AL148" s="32">
        <f>_xll.DBRW($C$1,$C$2,$C$3,$C$4,$C$6,$C$5,$C$7,AL$1,AL$2,$A148)</f>
        <v>0</v>
      </c>
      <c r="AM148" s="32">
        <f>_xll.DBRW($C$1,$C$2,$C$3,$C$4,$C$6,$C$5,$C$7,AM$1,AM$2,$A148)</f>
        <v>0</v>
      </c>
      <c r="AN148" s="32">
        <f>_xll.DBRW($C$1,$C$2,$C$3,$C$4,$C$6,$C$5,$C$7,AN$1,AN$2,$A148)</f>
        <v>0</v>
      </c>
      <c r="AO148" s="32">
        <f>_xll.DBRW($C$1,$C$2,$C$3,$C$4,$C$6,$C$5,$C$7,AO$1,AO$2,$A148)</f>
        <v>0</v>
      </c>
      <c r="AP148" s="32">
        <f>_xll.DBRW($C$1,$C$2,$C$3,$C$4,$C$6,$C$5,$C$7,AP$1,AP$2,$A148)</f>
        <v>0</v>
      </c>
      <c r="AQ148" s="32">
        <f>_xll.DBRW($C$1,$C$2,$C$3,$C$4,$C$6,$C$5,$C$7,AQ$1,AQ$2,$A148)</f>
        <v>0</v>
      </c>
      <c r="AR148" s="32">
        <f>_xll.DBRW($C$1,$C$2,$C$3,$C$4,$C$6,$C$5,$C$7,AR$1,AR$2,$A148)</f>
        <v>0</v>
      </c>
      <c r="AS148" s="32">
        <f>_xll.DBRW($C$1,$C$2,$C$3,$C$4,$C$6,$C$5,$C$7,AS$1,AS$2,$A148)</f>
        <v>0</v>
      </c>
      <c r="AT148" s="32">
        <f>_xll.DBRW($C$1,$C$2,$C$3,$C$4,$C$6,$C$5,$C$7,AT$1,AT$2,$A148)</f>
        <v>0</v>
      </c>
      <c r="AU148" s="32">
        <f>_xll.DBRW($C$1,$C$2,$C$3,$C$4,$C$6,$C$5,$C$7,AU$1,AU$2,$A148)</f>
        <v>0</v>
      </c>
    </row>
    <row r="149" spans="1:47" ht="15.75" hidden="1" customHeight="1" outlineLevel="2">
      <c r="A149" s="1" t="s">
        <v>229</v>
      </c>
      <c r="C149" s="143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602526.69999999995</v>
      </c>
      <c r="G149" s="32">
        <f>_xll.DBRW($C$1,$C$2,$C$3,$C$4,$C$6,$C$5,$C$7,G$1,G$2,$A149)</f>
        <v>725459.33</v>
      </c>
      <c r="H149" s="32">
        <f>_xll.DBRW($C$1,$C$2,$C$3,$C$4,$C$6,$C$5,$C$7,H$1,H$2,$A149)</f>
        <v>1034205.1699999999</v>
      </c>
      <c r="I149" s="32">
        <f>_xll.DBRW($C$1,$C$2,$C$3,$C$4,$C$6,$C$5,$C$7,I$1,I$2,$A149)</f>
        <v>0</v>
      </c>
      <c r="J149" s="32">
        <f>_xll.DBRW($C$1,$C$2,$C$3,$C$4,$C$6,$C$5,$C$7,J$1,J$2,$A149)</f>
        <v>12697.67</v>
      </c>
      <c r="K149" s="32">
        <f>_xll.DBRW($C$1,$C$2,$C$3,$C$4,$C$6,$C$5,$C$7,K$1,K$2,$A149)</f>
        <v>40976.589999999997</v>
      </c>
      <c r="L149" s="32">
        <f>_xll.DBRW($C$1,$C$2,$C$3,$C$4,$C$6,$C$5,$C$7,L$1,L$2,$A149)</f>
        <v>47325.429999999993</v>
      </c>
      <c r="M149" s="32">
        <f>_xll.DBRW($C$1,$C$2,$C$3,$C$4,$C$6,$C$5,$C$7,M$1,M$2,$A149)</f>
        <v>53674.259999999995</v>
      </c>
      <c r="N149" s="32">
        <f>_xll.DBRW($C$1,$C$2,$C$3,$C$4,$C$6,$C$5,$C$7,N$1,N$2,$A149)</f>
        <v>192233.09999999998</v>
      </c>
      <c r="O149" s="32">
        <f>_xll.DBRW($C$1,$C$2,$C$3,$C$4,$C$6,$C$5,$C$7,O$1,O$2,$A149)</f>
        <v>193144.34999999998</v>
      </c>
      <c r="P149" s="32">
        <f>_xll.DBRW($C$1,$C$2,$C$3,$C$4,$C$6,$C$5,$C$7,P$1,P$2,$A149)</f>
        <v>171609.12999999998</v>
      </c>
      <c r="Q149" s="32">
        <f>_xll.DBRW($C$1,$C$2,$C$3,$C$4,$C$6,$C$5,$C$7,Q$1,Q$2,$A149)</f>
        <v>191809.31999999998</v>
      </c>
      <c r="R149" s="32">
        <f>_xll.DBRW($C$1,$C$2,$C$3,$C$4,$C$6,$C$5,$C$7,R$1,R$2,$A149)</f>
        <v>187856.99999999997</v>
      </c>
      <c r="S149" s="32">
        <f>_xll.DBRW($C$1,$C$2,$C$3,$C$4,$C$6,$C$5,$C$7,S$1,S$2,$A149)</f>
        <v>861656.15</v>
      </c>
      <c r="T149" s="32">
        <f>_xll.DBRW($C$1,$C$2,$C$3,$C$4,$C$6,$C$5,$C$7,T$1,T$2,$A149)</f>
        <v>1297195.53</v>
      </c>
      <c r="U149" s="32">
        <f>_xll.DBRW($C$1,$C$2,$C$3,$C$4,$C$6,$C$5,$C$7,U$1,U$2,$A149)</f>
        <v>1297195.53</v>
      </c>
      <c r="V149" s="32">
        <f>_xll.DBRW($C$1,$C$2,$C$3,$C$4,$C$6,$C$5,$C$7,V$1,V$2,$A149)</f>
        <v>0</v>
      </c>
      <c r="W149" s="32">
        <f>_xll.DBRW($C$1,$C$2,$C$3,$C$4,$C$6,$C$5,$C$7,W$1,W$2,$A149)</f>
        <v>0</v>
      </c>
      <c r="X149" s="32">
        <f>_xll.DBRW($C$1,$C$2,$C$3,$C$4,$C$6,$C$5,$C$7,X$1,X$2,$A149)</f>
        <v>0</v>
      </c>
      <c r="Y149" s="32">
        <f>_xll.DBRW($C$1,$C$2,$C$3,$C$4,$C$6,$C$5,$C$7,Y$1,Y$2,$A149)</f>
        <v>0</v>
      </c>
      <c r="Z149" s="32">
        <f>_xll.DBRW($C$1,$C$2,$C$3,$C$4,$C$6,$C$5,$C$7,Z$1,Z$2,$A149)</f>
        <v>0</v>
      </c>
      <c r="AA149" s="32">
        <f>_xll.DBRW($C$1,$C$2,$C$3,$C$4,$C$6,$C$5,$C$7,AA$1,AA$2,$A149)</f>
        <v>0</v>
      </c>
      <c r="AB149" s="32">
        <f>_xll.DBRW($C$1,$C$2,$C$3,$C$4,$C$6,$C$5,$C$7,AB$1,AB$2,$A149)</f>
        <v>0</v>
      </c>
      <c r="AC149" s="32">
        <f>_xll.DBRW($C$1,$C$2,$C$3,$C$4,$C$6,$C$5,$C$7,AC$1,AC$2,$A149)</f>
        <v>0</v>
      </c>
      <c r="AD149" s="32">
        <f>_xll.DBRW($C$1,$C$2,$C$3,$C$4,$C$6,$C$5,$C$7,AD$1,AD$2,$A149)</f>
        <v>0</v>
      </c>
      <c r="AE149" s="32">
        <f>_xll.DBRW($C$1,$C$2,$C$3,$C$4,$C$6,$C$5,$C$7,AE$1,AE$2,$A149)</f>
        <v>0</v>
      </c>
      <c r="AF149" s="32">
        <f>_xll.DBRW($C$1,$C$2,$C$3,$C$4,$C$6,$C$5,$C$7,AF$1,AF$2,$A149)</f>
        <v>0</v>
      </c>
      <c r="AG149" s="32">
        <f>_xll.DBRW($C$1,$C$2,$C$3,$C$4,$C$6,$C$5,$C$7,AG$1,AG$2,$A149)</f>
        <v>0</v>
      </c>
      <c r="AH149" s="32">
        <f>_xll.DBRW($C$1,$C$2,$C$3,$C$4,$C$6,$C$5,$C$7,AH$1,AH$2,$A149)</f>
        <v>0</v>
      </c>
      <c r="AI149" s="32">
        <f>_xll.DBRW($C$1,$C$2,$C$3,$C$4,$C$6,$C$5,$C$7,AI$1,AI$2,$A149)</f>
        <v>0</v>
      </c>
      <c r="AJ149" s="32">
        <f>_xll.DBRW($C$1,$C$2,$C$3,$C$4,$C$6,$C$5,$C$7,AJ$1,AJ$2,$A149)</f>
        <v>0</v>
      </c>
      <c r="AK149" s="32">
        <f>_xll.DBRW($C$1,$C$2,$C$3,$C$4,$C$6,$C$5,$C$7,AK$1,AK$2,$A149)</f>
        <v>0</v>
      </c>
      <c r="AL149" s="32">
        <f>_xll.DBRW($C$1,$C$2,$C$3,$C$4,$C$6,$C$5,$C$7,AL$1,AL$2,$A149)</f>
        <v>0</v>
      </c>
      <c r="AM149" s="32">
        <f>_xll.DBRW($C$1,$C$2,$C$3,$C$4,$C$6,$C$5,$C$7,AM$1,AM$2,$A149)</f>
        <v>0</v>
      </c>
      <c r="AN149" s="32">
        <f>_xll.DBRW($C$1,$C$2,$C$3,$C$4,$C$6,$C$5,$C$7,AN$1,AN$2,$A149)</f>
        <v>0</v>
      </c>
      <c r="AO149" s="32">
        <f>_xll.DBRW($C$1,$C$2,$C$3,$C$4,$C$6,$C$5,$C$7,AO$1,AO$2,$A149)</f>
        <v>0</v>
      </c>
      <c r="AP149" s="32">
        <f>_xll.DBRW($C$1,$C$2,$C$3,$C$4,$C$6,$C$5,$C$7,AP$1,AP$2,$A149)</f>
        <v>0</v>
      </c>
      <c r="AQ149" s="32">
        <f>_xll.DBRW($C$1,$C$2,$C$3,$C$4,$C$6,$C$5,$C$7,AQ$1,AQ$2,$A149)</f>
        <v>0</v>
      </c>
      <c r="AR149" s="32">
        <f>_xll.DBRW($C$1,$C$2,$C$3,$C$4,$C$6,$C$5,$C$7,AR$1,AR$2,$A149)</f>
        <v>0</v>
      </c>
      <c r="AS149" s="32">
        <f>_xll.DBRW($C$1,$C$2,$C$3,$C$4,$C$6,$C$5,$C$7,AS$1,AS$2,$A149)</f>
        <v>0</v>
      </c>
      <c r="AT149" s="32">
        <f>_xll.DBRW($C$1,$C$2,$C$3,$C$4,$C$6,$C$5,$C$7,AT$1,AT$2,$A149)</f>
        <v>0</v>
      </c>
      <c r="AU149" s="32">
        <f>_xll.DBRW($C$1,$C$2,$C$3,$C$4,$C$6,$C$5,$C$7,AU$1,AU$2,$A149)</f>
        <v>0</v>
      </c>
    </row>
    <row r="150" spans="1:47" ht="15.75" hidden="1" customHeight="1" outlineLevel="2">
      <c r="A150" s="1" t="s">
        <v>230</v>
      </c>
      <c r="C150" s="143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635020.2799999998</v>
      </c>
      <c r="G150" s="32">
        <f>_xll.DBRW($C$1,$C$2,$C$3,$C$4,$C$6,$C$5,$C$7,G$1,G$2,$A150)</f>
        <v>-29919817.170000002</v>
      </c>
      <c r="H150" s="32">
        <f>_xll.DBRW($C$1,$C$2,$C$3,$C$4,$C$6,$C$5,$C$7,H$1,H$2,$A150)</f>
        <v>-12434340.890000001</v>
      </c>
      <c r="I150" s="32">
        <f>_xll.DBRW($C$1,$C$2,$C$3,$C$4,$C$6,$C$5,$C$7,I$1,I$2,$A150)</f>
        <v>1072035.3299999998</v>
      </c>
      <c r="J150" s="32">
        <f>_xll.DBRW($C$1,$C$2,$C$3,$C$4,$C$6,$C$5,$C$7,J$1,J$2,$A150)</f>
        <v>659292.24999999977</v>
      </c>
      <c r="K150" s="32">
        <f>_xll.DBRW($C$1,$C$2,$C$3,$C$4,$C$6,$C$5,$C$7,K$1,K$2,$A150)</f>
        <v>1612987.0999999999</v>
      </c>
      <c r="L150" s="32">
        <f>_xll.DBRW($C$1,$C$2,$C$3,$C$4,$C$6,$C$5,$C$7,L$1,L$2,$A150)</f>
        <v>2209499.65</v>
      </c>
      <c r="M150" s="32">
        <f>_xll.DBRW($C$1,$C$2,$C$3,$C$4,$C$6,$C$5,$C$7,M$1,M$2,$A150)</f>
        <v>2504039.7999999998</v>
      </c>
      <c r="N150" s="32">
        <f>_xll.DBRW($C$1,$C$2,$C$3,$C$4,$C$6,$C$5,$C$7,N$1,N$2,$A150)</f>
        <v>7395524.4299999988</v>
      </c>
      <c r="O150" s="32">
        <f>_xll.DBRW($C$1,$C$2,$C$3,$C$4,$C$6,$C$5,$C$7,O$1,O$2,$A150)</f>
        <v>7864487.1499999985</v>
      </c>
      <c r="P150" s="32">
        <f>_xll.DBRW($C$1,$C$2,$C$3,$C$4,$C$6,$C$5,$C$7,P$1,P$2,$A150)</f>
        <v>8324167.3099999987</v>
      </c>
      <c r="Q150" s="32">
        <f>_xll.DBRW($C$1,$C$2,$C$3,$C$4,$C$6,$C$5,$C$7,Q$1,Q$2,$A150)</f>
        <v>8799569.1099999994</v>
      </c>
      <c r="R150" s="32">
        <f>_xll.DBRW($C$1,$C$2,$C$3,$C$4,$C$6,$C$5,$C$7,R$1,R$2,$A150)</f>
        <v>10601499.68</v>
      </c>
      <c r="S150" s="32">
        <f>_xll.DBRW($C$1,$C$2,$C$3,$C$4,$C$6,$C$5,$C$7,S$1,S$2,$A150)</f>
        <v>8403420.1699999999</v>
      </c>
      <c r="T150" s="32">
        <f>_xll.DBRW($C$1,$C$2,$C$3,$C$4,$C$6,$C$5,$C$7,T$1,T$2,$A150)</f>
        <v>12405175.58</v>
      </c>
      <c r="U150" s="32">
        <f>_xll.DBRW($C$1,$C$2,$C$3,$C$4,$C$6,$C$5,$C$7,U$1,U$2,$A150)</f>
        <v>12405175.58</v>
      </c>
      <c r="V150" s="32">
        <f>_xll.DBRW($C$1,$C$2,$C$3,$C$4,$C$6,$C$5,$C$7,V$1,V$2,$A150)</f>
        <v>0</v>
      </c>
      <c r="W150" s="32">
        <f>_xll.DBRW($C$1,$C$2,$C$3,$C$4,$C$6,$C$5,$C$7,W$1,W$2,$A150)</f>
        <v>0</v>
      </c>
      <c r="X150" s="32">
        <f>_xll.DBRW($C$1,$C$2,$C$3,$C$4,$C$6,$C$5,$C$7,X$1,X$2,$A150)</f>
        <v>0</v>
      </c>
      <c r="Y150" s="32">
        <f>_xll.DBRW($C$1,$C$2,$C$3,$C$4,$C$6,$C$5,$C$7,Y$1,Y$2,$A150)</f>
        <v>0</v>
      </c>
      <c r="Z150" s="32">
        <f>_xll.DBRW($C$1,$C$2,$C$3,$C$4,$C$6,$C$5,$C$7,Z$1,Z$2,$A150)</f>
        <v>0</v>
      </c>
      <c r="AA150" s="32">
        <f>_xll.DBRW($C$1,$C$2,$C$3,$C$4,$C$6,$C$5,$C$7,AA$1,AA$2,$A150)</f>
        <v>0</v>
      </c>
      <c r="AB150" s="32">
        <f>_xll.DBRW($C$1,$C$2,$C$3,$C$4,$C$6,$C$5,$C$7,AB$1,AB$2,$A150)</f>
        <v>0</v>
      </c>
      <c r="AC150" s="32">
        <f>_xll.DBRW($C$1,$C$2,$C$3,$C$4,$C$6,$C$5,$C$7,AC$1,AC$2,$A150)</f>
        <v>0</v>
      </c>
      <c r="AD150" s="32">
        <f>_xll.DBRW($C$1,$C$2,$C$3,$C$4,$C$6,$C$5,$C$7,AD$1,AD$2,$A150)</f>
        <v>0</v>
      </c>
      <c r="AE150" s="32">
        <f>_xll.DBRW($C$1,$C$2,$C$3,$C$4,$C$6,$C$5,$C$7,AE$1,AE$2,$A150)</f>
        <v>0</v>
      </c>
      <c r="AF150" s="32">
        <f>_xll.DBRW($C$1,$C$2,$C$3,$C$4,$C$6,$C$5,$C$7,AF$1,AF$2,$A150)</f>
        <v>0</v>
      </c>
      <c r="AG150" s="32">
        <f>_xll.DBRW($C$1,$C$2,$C$3,$C$4,$C$6,$C$5,$C$7,AG$1,AG$2,$A150)</f>
        <v>0</v>
      </c>
      <c r="AH150" s="32">
        <f>_xll.DBRW($C$1,$C$2,$C$3,$C$4,$C$6,$C$5,$C$7,AH$1,AH$2,$A150)</f>
        <v>0</v>
      </c>
      <c r="AI150" s="32">
        <f>_xll.DBRW($C$1,$C$2,$C$3,$C$4,$C$6,$C$5,$C$7,AI$1,AI$2,$A150)</f>
        <v>0</v>
      </c>
      <c r="AJ150" s="32">
        <f>_xll.DBRW($C$1,$C$2,$C$3,$C$4,$C$6,$C$5,$C$7,AJ$1,AJ$2,$A150)</f>
        <v>0</v>
      </c>
      <c r="AK150" s="32">
        <f>_xll.DBRW($C$1,$C$2,$C$3,$C$4,$C$6,$C$5,$C$7,AK$1,AK$2,$A150)</f>
        <v>0</v>
      </c>
      <c r="AL150" s="32">
        <f>_xll.DBRW($C$1,$C$2,$C$3,$C$4,$C$6,$C$5,$C$7,AL$1,AL$2,$A150)</f>
        <v>0</v>
      </c>
      <c r="AM150" s="32">
        <f>_xll.DBRW($C$1,$C$2,$C$3,$C$4,$C$6,$C$5,$C$7,AM$1,AM$2,$A150)</f>
        <v>0</v>
      </c>
      <c r="AN150" s="32">
        <f>_xll.DBRW($C$1,$C$2,$C$3,$C$4,$C$6,$C$5,$C$7,AN$1,AN$2,$A150)</f>
        <v>0</v>
      </c>
      <c r="AO150" s="32">
        <f>_xll.DBRW($C$1,$C$2,$C$3,$C$4,$C$6,$C$5,$C$7,AO$1,AO$2,$A150)</f>
        <v>0</v>
      </c>
      <c r="AP150" s="32">
        <f>_xll.DBRW($C$1,$C$2,$C$3,$C$4,$C$6,$C$5,$C$7,AP$1,AP$2,$A150)</f>
        <v>0</v>
      </c>
      <c r="AQ150" s="32">
        <f>_xll.DBRW($C$1,$C$2,$C$3,$C$4,$C$6,$C$5,$C$7,AQ$1,AQ$2,$A150)</f>
        <v>0</v>
      </c>
      <c r="AR150" s="32">
        <f>_xll.DBRW($C$1,$C$2,$C$3,$C$4,$C$6,$C$5,$C$7,AR$1,AR$2,$A150)</f>
        <v>0</v>
      </c>
      <c r="AS150" s="32">
        <f>_xll.DBRW($C$1,$C$2,$C$3,$C$4,$C$6,$C$5,$C$7,AS$1,AS$2,$A150)</f>
        <v>0</v>
      </c>
      <c r="AT150" s="32">
        <f>_xll.DBRW($C$1,$C$2,$C$3,$C$4,$C$6,$C$5,$C$7,AT$1,AT$2,$A150)</f>
        <v>0</v>
      </c>
      <c r="AU150" s="32">
        <f>_xll.DBRW($C$1,$C$2,$C$3,$C$4,$C$6,$C$5,$C$7,AU$1,AU$2,$A150)</f>
        <v>0</v>
      </c>
    </row>
    <row r="151" spans="1:47" ht="15.75" hidden="1" outlineLevel="1">
      <c r="A151" s="1" t="s">
        <v>127</v>
      </c>
      <c r="C151" s="143"/>
      <c r="E151" s="15" t="s">
        <v>37</v>
      </c>
      <c r="F151" s="33">
        <f t="shared" ref="F151:T151" si="75">SUM(F138:F150)</f>
        <v>-10640078189.535198</v>
      </c>
      <c r="G151" s="33">
        <f t="shared" si="75"/>
        <v>-10711271610.451797</v>
      </c>
      <c r="H151" s="33">
        <f t="shared" si="75"/>
        <v>-10290736016.992798</v>
      </c>
      <c r="I151" s="33">
        <f t="shared" si="75"/>
        <v>-903176506.76040006</v>
      </c>
      <c r="J151" s="33">
        <f t="shared" si="75"/>
        <v>-1159863907.9633141</v>
      </c>
      <c r="K151" s="33">
        <f t="shared" si="75"/>
        <v>-2835865527.8807135</v>
      </c>
      <c r="L151" s="33">
        <f t="shared" si="75"/>
        <v>-3345188140.4901137</v>
      </c>
      <c r="M151" s="33">
        <f t="shared" si="75"/>
        <v>-4447493698.0691137</v>
      </c>
      <c r="N151" s="33">
        <f t="shared" si="75"/>
        <v>-5425844936.7786961</v>
      </c>
      <c r="O151" s="33">
        <f t="shared" si="75"/>
        <v>-6017952027.5709133</v>
      </c>
      <c r="P151" s="33">
        <f t="shared" si="75"/>
        <v>-7611513456.0935144</v>
      </c>
      <c r="Q151" s="33">
        <f t="shared" si="75"/>
        <v>-8744812106.2719135</v>
      </c>
      <c r="R151" s="33">
        <f t="shared" si="75"/>
        <v>-9208108313.1497154</v>
      </c>
      <c r="S151" s="33">
        <f t="shared" si="75"/>
        <v>-10460091552.161314</v>
      </c>
      <c r="T151" s="33">
        <f t="shared" si="75"/>
        <v>-12528295432.741915</v>
      </c>
      <c r="U151" s="33">
        <f>SUM(U138:U150)</f>
        <v>-12528295432.741915</v>
      </c>
      <c r="V151" s="33">
        <f t="shared" ref="V151:AG151" si="76">SUM(V138:V150)</f>
        <v>0</v>
      </c>
      <c r="W151" s="33">
        <f t="shared" si="76"/>
        <v>0</v>
      </c>
      <c r="X151" s="33">
        <f t="shared" si="76"/>
        <v>0</v>
      </c>
      <c r="Y151" s="33">
        <f t="shared" si="76"/>
        <v>0</v>
      </c>
      <c r="Z151" s="33">
        <f t="shared" si="76"/>
        <v>0</v>
      </c>
      <c r="AA151" s="33">
        <f t="shared" si="76"/>
        <v>0</v>
      </c>
      <c r="AB151" s="33">
        <f t="shared" si="76"/>
        <v>0</v>
      </c>
      <c r="AC151" s="33">
        <f t="shared" si="76"/>
        <v>0</v>
      </c>
      <c r="AD151" s="33">
        <f t="shared" si="76"/>
        <v>0</v>
      </c>
      <c r="AE151" s="33">
        <f t="shared" si="76"/>
        <v>0</v>
      </c>
      <c r="AF151" s="33">
        <f t="shared" si="76"/>
        <v>0</v>
      </c>
      <c r="AG151" s="33">
        <f t="shared" si="76"/>
        <v>0</v>
      </c>
      <c r="AH151" s="33">
        <f>SUM(AH138:AH150)</f>
        <v>0</v>
      </c>
      <c r="AI151" s="33">
        <f t="shared" ref="AI151:AT151" si="77">SUM(AI138:AI150)</f>
        <v>0</v>
      </c>
      <c r="AJ151" s="33">
        <f t="shared" si="77"/>
        <v>0</v>
      </c>
      <c r="AK151" s="33">
        <f t="shared" si="77"/>
        <v>0</v>
      </c>
      <c r="AL151" s="33">
        <f t="shared" si="77"/>
        <v>0</v>
      </c>
      <c r="AM151" s="33">
        <f t="shared" si="77"/>
        <v>0</v>
      </c>
      <c r="AN151" s="33">
        <f t="shared" si="77"/>
        <v>0</v>
      </c>
      <c r="AO151" s="33">
        <f t="shared" si="77"/>
        <v>0</v>
      </c>
      <c r="AP151" s="33">
        <f t="shared" si="77"/>
        <v>0</v>
      </c>
      <c r="AQ151" s="33">
        <f t="shared" si="77"/>
        <v>0</v>
      </c>
      <c r="AR151" s="33">
        <f t="shared" si="77"/>
        <v>0</v>
      </c>
      <c r="AS151" s="33">
        <f t="shared" si="77"/>
        <v>0</v>
      </c>
      <c r="AT151" s="33">
        <f t="shared" si="77"/>
        <v>0</v>
      </c>
      <c r="AU151" s="33">
        <f>SUM(AU138:AU150)</f>
        <v>0</v>
      </c>
    </row>
    <row r="152" spans="1:47" ht="15.75" hidden="1" customHeight="1" outlineLevel="2">
      <c r="A152" s="1" t="s">
        <v>231</v>
      </c>
      <c r="C152" s="143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-162196691.37200001</v>
      </c>
      <c r="G152" s="32">
        <f>_xll.DBRW($C$1,$C$2,$C$3,$C$4,$C$6,$C$5,$C$7,G$1,G$2,$A152)</f>
        <v>-200196183.90400001</v>
      </c>
      <c r="H152" s="32">
        <f>_xll.DBRW($C$1,$C$2,$C$3,$C$4,$C$6,$C$5,$C$7,H$1,H$2,$A152)</f>
        <v>-234216299.40980002</v>
      </c>
      <c r="I152" s="32">
        <f>_xll.DBRW($C$1,$C$2,$C$3,$C$4,$C$6,$C$5,$C$7,I$1,I$2,$A152)</f>
        <v>-10983451.960600004</v>
      </c>
      <c r="J152" s="32">
        <f>_xll.DBRW($C$1,$C$2,$C$3,$C$4,$C$6,$C$5,$C$7,J$1,J$2,$A152)</f>
        <v>-38899245.501200005</v>
      </c>
      <c r="K152" s="32">
        <f>_xll.DBRW($C$1,$C$2,$C$3,$C$4,$C$6,$C$5,$C$7,K$1,K$2,$A152)</f>
        <v>-57984115.061800003</v>
      </c>
      <c r="L152" s="32">
        <f>_xll.DBRW($C$1,$C$2,$C$3,$C$4,$C$6,$C$5,$C$7,L$1,L$2,$A152)</f>
        <v>-75311595.109200001</v>
      </c>
      <c r="M152" s="32">
        <f>_xll.DBRW($C$1,$C$2,$C$3,$C$4,$C$6,$C$5,$C$7,M$1,M$2,$A152)</f>
        <v>-99928873.376199991</v>
      </c>
      <c r="N152" s="32">
        <f>_xll.DBRW($C$1,$C$2,$C$3,$C$4,$C$6,$C$5,$C$7,N$1,N$2,$A152)</f>
        <v>-123006027.62079999</v>
      </c>
      <c r="O152" s="32">
        <f>_xll.DBRW($C$1,$C$2,$C$3,$C$4,$C$6,$C$5,$C$7,O$1,O$2,$A152)</f>
        <v>-65654862.621199988</v>
      </c>
      <c r="P152" s="32">
        <f>_xll.DBRW($C$1,$C$2,$C$3,$C$4,$C$6,$C$5,$C$7,P$1,P$2,$A152)</f>
        <v>-170978584.86159998</v>
      </c>
      <c r="Q152" s="32">
        <f>_xll.DBRW($C$1,$C$2,$C$3,$C$4,$C$6,$C$5,$C$7,Q$1,Q$2,$A152)</f>
        <v>-193866656.93199998</v>
      </c>
      <c r="R152" s="32">
        <f>_xll.DBRW($C$1,$C$2,$C$3,$C$4,$C$6,$C$5,$C$7,R$1,R$2,$A152)</f>
        <v>-99926353.762399957</v>
      </c>
      <c r="S152" s="32">
        <f>_xll.DBRW($C$1,$C$2,$C$3,$C$4,$C$6,$C$5,$C$7,S$1,S$2,$A152)</f>
        <v>-124482361.41279995</v>
      </c>
      <c r="T152" s="32">
        <f>_xll.DBRW($C$1,$C$2,$C$3,$C$4,$C$6,$C$5,$C$7,T$1,T$2,$A152)</f>
        <v>-270372994.58439994</v>
      </c>
      <c r="U152" s="32">
        <f>_xll.DBRW($C$1,$C$2,$C$3,$C$4,$C$6,$C$5,$C$7,U$1,U$2,$A152)</f>
        <v>-270372994.58439994</v>
      </c>
      <c r="V152" s="32">
        <f>_xll.DBRW($C$1,$C$2,$C$3,$C$4,$C$6,$C$5,$C$7,V$1,V$2,$A152)</f>
        <v>0</v>
      </c>
      <c r="W152" s="32">
        <f>_xll.DBRW($C$1,$C$2,$C$3,$C$4,$C$6,$C$5,$C$7,W$1,W$2,$A152)</f>
        <v>0</v>
      </c>
      <c r="X152" s="32">
        <f>_xll.DBRW($C$1,$C$2,$C$3,$C$4,$C$6,$C$5,$C$7,X$1,X$2,$A152)</f>
        <v>0</v>
      </c>
      <c r="Y152" s="32">
        <f>_xll.DBRW($C$1,$C$2,$C$3,$C$4,$C$6,$C$5,$C$7,Y$1,Y$2,$A152)</f>
        <v>0</v>
      </c>
      <c r="Z152" s="32">
        <f>_xll.DBRW($C$1,$C$2,$C$3,$C$4,$C$6,$C$5,$C$7,Z$1,Z$2,$A152)</f>
        <v>0</v>
      </c>
      <c r="AA152" s="32">
        <f>_xll.DBRW($C$1,$C$2,$C$3,$C$4,$C$6,$C$5,$C$7,AA$1,AA$2,$A152)</f>
        <v>0</v>
      </c>
      <c r="AB152" s="32">
        <f>_xll.DBRW($C$1,$C$2,$C$3,$C$4,$C$6,$C$5,$C$7,AB$1,AB$2,$A152)</f>
        <v>0</v>
      </c>
      <c r="AC152" s="32">
        <f>_xll.DBRW($C$1,$C$2,$C$3,$C$4,$C$6,$C$5,$C$7,AC$1,AC$2,$A152)</f>
        <v>0</v>
      </c>
      <c r="AD152" s="32">
        <f>_xll.DBRW($C$1,$C$2,$C$3,$C$4,$C$6,$C$5,$C$7,AD$1,AD$2,$A152)</f>
        <v>0</v>
      </c>
      <c r="AE152" s="32">
        <f>_xll.DBRW($C$1,$C$2,$C$3,$C$4,$C$6,$C$5,$C$7,AE$1,AE$2,$A152)</f>
        <v>0</v>
      </c>
      <c r="AF152" s="32">
        <f>_xll.DBRW($C$1,$C$2,$C$3,$C$4,$C$6,$C$5,$C$7,AF$1,AF$2,$A152)</f>
        <v>0</v>
      </c>
      <c r="AG152" s="32">
        <f>_xll.DBRW($C$1,$C$2,$C$3,$C$4,$C$6,$C$5,$C$7,AG$1,AG$2,$A152)</f>
        <v>0</v>
      </c>
      <c r="AH152" s="32">
        <f>_xll.DBRW($C$1,$C$2,$C$3,$C$4,$C$6,$C$5,$C$7,AH$1,AH$2,$A152)</f>
        <v>0</v>
      </c>
      <c r="AI152" s="32">
        <f>_xll.DBRW($C$1,$C$2,$C$3,$C$4,$C$6,$C$5,$C$7,AI$1,AI$2,$A152)</f>
        <v>0</v>
      </c>
      <c r="AJ152" s="32">
        <f>_xll.DBRW($C$1,$C$2,$C$3,$C$4,$C$6,$C$5,$C$7,AJ$1,AJ$2,$A152)</f>
        <v>0</v>
      </c>
      <c r="AK152" s="32">
        <f>_xll.DBRW($C$1,$C$2,$C$3,$C$4,$C$6,$C$5,$C$7,AK$1,AK$2,$A152)</f>
        <v>0</v>
      </c>
      <c r="AL152" s="32">
        <f>_xll.DBRW($C$1,$C$2,$C$3,$C$4,$C$6,$C$5,$C$7,AL$1,AL$2,$A152)</f>
        <v>0</v>
      </c>
      <c r="AM152" s="32">
        <f>_xll.DBRW($C$1,$C$2,$C$3,$C$4,$C$6,$C$5,$C$7,AM$1,AM$2,$A152)</f>
        <v>0</v>
      </c>
      <c r="AN152" s="32">
        <f>_xll.DBRW($C$1,$C$2,$C$3,$C$4,$C$6,$C$5,$C$7,AN$1,AN$2,$A152)</f>
        <v>0</v>
      </c>
      <c r="AO152" s="32">
        <f>_xll.DBRW($C$1,$C$2,$C$3,$C$4,$C$6,$C$5,$C$7,AO$1,AO$2,$A152)</f>
        <v>0</v>
      </c>
      <c r="AP152" s="32">
        <f>_xll.DBRW($C$1,$C$2,$C$3,$C$4,$C$6,$C$5,$C$7,AP$1,AP$2,$A152)</f>
        <v>0</v>
      </c>
      <c r="AQ152" s="32">
        <f>_xll.DBRW($C$1,$C$2,$C$3,$C$4,$C$6,$C$5,$C$7,AQ$1,AQ$2,$A152)</f>
        <v>0</v>
      </c>
      <c r="AR152" s="32">
        <f>_xll.DBRW($C$1,$C$2,$C$3,$C$4,$C$6,$C$5,$C$7,AR$1,AR$2,$A152)</f>
        <v>0</v>
      </c>
      <c r="AS152" s="32">
        <f>_xll.DBRW($C$1,$C$2,$C$3,$C$4,$C$6,$C$5,$C$7,AS$1,AS$2,$A152)</f>
        <v>0</v>
      </c>
      <c r="AT152" s="32">
        <f>_xll.DBRW($C$1,$C$2,$C$3,$C$4,$C$6,$C$5,$C$7,AT$1,AT$2,$A152)</f>
        <v>0</v>
      </c>
      <c r="AU152" s="32">
        <f>_xll.DBRW($C$1,$C$2,$C$3,$C$4,$C$6,$C$5,$C$7,AU$1,AU$2,$A152)</f>
        <v>0</v>
      </c>
    </row>
    <row r="153" spans="1:47" ht="15.75" hidden="1" customHeight="1" outlineLevel="2">
      <c r="A153" s="1" t="s">
        <v>232</v>
      </c>
      <c r="C153" s="143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430060.92000000004</v>
      </c>
      <c r="G153" s="32">
        <f>_xll.DBRW($C$1,$C$2,$C$3,$C$4,$C$6,$C$5,$C$7,G$1,G$2,$A153)</f>
        <v>2478660.8999999994</v>
      </c>
      <c r="H153" s="32">
        <f>_xll.DBRW($C$1,$C$2,$C$3,$C$4,$C$6,$C$5,$C$7,H$1,H$2,$A153)</f>
        <v>7014377.4100000001</v>
      </c>
      <c r="I153" s="32">
        <f>_xll.DBRW($C$1,$C$2,$C$3,$C$4,$C$6,$C$5,$C$7,I$1,I$2,$A153)</f>
        <v>365388.85</v>
      </c>
      <c r="J153" s="32">
        <f>_xll.DBRW($C$1,$C$2,$C$3,$C$4,$C$6,$C$5,$C$7,J$1,J$2,$A153)</f>
        <v>1846612.5100000002</v>
      </c>
      <c r="K153" s="32">
        <f>_xll.DBRW($C$1,$C$2,$C$3,$C$4,$C$6,$C$5,$C$7,K$1,K$2,$A153)</f>
        <v>2743311.24</v>
      </c>
      <c r="L153" s="32">
        <f>_xll.DBRW($C$1,$C$2,$C$3,$C$4,$C$6,$C$5,$C$7,L$1,L$2,$A153)</f>
        <v>3459963.02</v>
      </c>
      <c r="M153" s="32">
        <f>_xll.DBRW($C$1,$C$2,$C$3,$C$4,$C$6,$C$5,$C$7,M$1,M$2,$A153)</f>
        <v>4101593.09</v>
      </c>
      <c r="N153" s="32">
        <f>_xll.DBRW($C$1,$C$2,$C$3,$C$4,$C$6,$C$5,$C$7,N$1,N$2,$A153)</f>
        <v>4807825.9800000004</v>
      </c>
      <c r="O153" s="32">
        <f>_xll.DBRW($C$1,$C$2,$C$3,$C$4,$C$6,$C$5,$C$7,O$1,O$2,$A153)</f>
        <v>204332</v>
      </c>
      <c r="P153" s="32">
        <f>_xll.DBRW($C$1,$C$2,$C$3,$C$4,$C$6,$C$5,$C$7,P$1,P$2,$A153)</f>
        <v>2796150.07</v>
      </c>
      <c r="Q153" s="32">
        <f>_xll.DBRW($C$1,$C$2,$C$3,$C$4,$C$6,$C$5,$C$7,Q$1,Q$2,$A153)</f>
        <v>3069772.5999999996</v>
      </c>
      <c r="R153" s="32">
        <f>_xll.DBRW($C$1,$C$2,$C$3,$C$4,$C$6,$C$5,$C$7,R$1,R$2,$A153)</f>
        <v>4401324.33</v>
      </c>
      <c r="S153" s="32">
        <f>_xll.DBRW($C$1,$C$2,$C$3,$C$4,$C$6,$C$5,$C$7,S$1,S$2,$A153)</f>
        <v>7600399.6299999999</v>
      </c>
      <c r="T153" s="32">
        <f>_xll.DBRW($C$1,$C$2,$C$3,$C$4,$C$6,$C$5,$C$7,T$1,T$2,$A153)</f>
        <v>9024477.370000001</v>
      </c>
      <c r="U153" s="32">
        <f>_xll.DBRW($C$1,$C$2,$C$3,$C$4,$C$6,$C$5,$C$7,U$1,U$2,$A153)</f>
        <v>9024477.370000001</v>
      </c>
      <c r="V153" s="32">
        <f>_xll.DBRW($C$1,$C$2,$C$3,$C$4,$C$6,$C$5,$C$7,V$1,V$2,$A153)</f>
        <v>0</v>
      </c>
      <c r="W153" s="32">
        <f>_xll.DBRW($C$1,$C$2,$C$3,$C$4,$C$6,$C$5,$C$7,W$1,W$2,$A153)</f>
        <v>0</v>
      </c>
      <c r="X153" s="32">
        <f>_xll.DBRW($C$1,$C$2,$C$3,$C$4,$C$6,$C$5,$C$7,X$1,X$2,$A153)</f>
        <v>0</v>
      </c>
      <c r="Y153" s="32">
        <f>_xll.DBRW($C$1,$C$2,$C$3,$C$4,$C$6,$C$5,$C$7,Y$1,Y$2,$A153)</f>
        <v>0</v>
      </c>
      <c r="Z153" s="32">
        <f>_xll.DBRW($C$1,$C$2,$C$3,$C$4,$C$6,$C$5,$C$7,Z$1,Z$2,$A153)</f>
        <v>0</v>
      </c>
      <c r="AA153" s="32">
        <f>_xll.DBRW($C$1,$C$2,$C$3,$C$4,$C$6,$C$5,$C$7,AA$1,AA$2,$A153)</f>
        <v>0</v>
      </c>
      <c r="AB153" s="32">
        <f>_xll.DBRW($C$1,$C$2,$C$3,$C$4,$C$6,$C$5,$C$7,AB$1,AB$2,$A153)</f>
        <v>0</v>
      </c>
      <c r="AC153" s="32">
        <f>_xll.DBRW($C$1,$C$2,$C$3,$C$4,$C$6,$C$5,$C$7,AC$1,AC$2,$A153)</f>
        <v>0</v>
      </c>
      <c r="AD153" s="32">
        <f>_xll.DBRW($C$1,$C$2,$C$3,$C$4,$C$6,$C$5,$C$7,AD$1,AD$2,$A153)</f>
        <v>0</v>
      </c>
      <c r="AE153" s="32">
        <f>_xll.DBRW($C$1,$C$2,$C$3,$C$4,$C$6,$C$5,$C$7,AE$1,AE$2,$A153)</f>
        <v>0</v>
      </c>
      <c r="AF153" s="32">
        <f>_xll.DBRW($C$1,$C$2,$C$3,$C$4,$C$6,$C$5,$C$7,AF$1,AF$2,$A153)</f>
        <v>0</v>
      </c>
      <c r="AG153" s="32">
        <f>_xll.DBRW($C$1,$C$2,$C$3,$C$4,$C$6,$C$5,$C$7,AG$1,AG$2,$A153)</f>
        <v>0</v>
      </c>
      <c r="AH153" s="32">
        <f>_xll.DBRW($C$1,$C$2,$C$3,$C$4,$C$6,$C$5,$C$7,AH$1,AH$2,$A153)</f>
        <v>0</v>
      </c>
      <c r="AI153" s="32">
        <f>_xll.DBRW($C$1,$C$2,$C$3,$C$4,$C$6,$C$5,$C$7,AI$1,AI$2,$A153)</f>
        <v>0</v>
      </c>
      <c r="AJ153" s="32">
        <f>_xll.DBRW($C$1,$C$2,$C$3,$C$4,$C$6,$C$5,$C$7,AJ$1,AJ$2,$A153)</f>
        <v>0</v>
      </c>
      <c r="AK153" s="32">
        <f>_xll.DBRW($C$1,$C$2,$C$3,$C$4,$C$6,$C$5,$C$7,AK$1,AK$2,$A153)</f>
        <v>0</v>
      </c>
      <c r="AL153" s="32">
        <f>_xll.DBRW($C$1,$C$2,$C$3,$C$4,$C$6,$C$5,$C$7,AL$1,AL$2,$A153)</f>
        <v>0</v>
      </c>
      <c r="AM153" s="32">
        <f>_xll.DBRW($C$1,$C$2,$C$3,$C$4,$C$6,$C$5,$C$7,AM$1,AM$2,$A153)</f>
        <v>0</v>
      </c>
      <c r="AN153" s="32">
        <f>_xll.DBRW($C$1,$C$2,$C$3,$C$4,$C$6,$C$5,$C$7,AN$1,AN$2,$A153)</f>
        <v>0</v>
      </c>
      <c r="AO153" s="32">
        <f>_xll.DBRW($C$1,$C$2,$C$3,$C$4,$C$6,$C$5,$C$7,AO$1,AO$2,$A153)</f>
        <v>0</v>
      </c>
      <c r="AP153" s="32">
        <f>_xll.DBRW($C$1,$C$2,$C$3,$C$4,$C$6,$C$5,$C$7,AP$1,AP$2,$A153)</f>
        <v>0</v>
      </c>
      <c r="AQ153" s="32">
        <f>_xll.DBRW($C$1,$C$2,$C$3,$C$4,$C$6,$C$5,$C$7,AQ$1,AQ$2,$A153)</f>
        <v>0</v>
      </c>
      <c r="AR153" s="32">
        <f>_xll.DBRW($C$1,$C$2,$C$3,$C$4,$C$6,$C$5,$C$7,AR$1,AR$2,$A153)</f>
        <v>0</v>
      </c>
      <c r="AS153" s="32">
        <f>_xll.DBRW($C$1,$C$2,$C$3,$C$4,$C$6,$C$5,$C$7,AS$1,AS$2,$A153)</f>
        <v>0</v>
      </c>
      <c r="AT153" s="32">
        <f>_xll.DBRW($C$1,$C$2,$C$3,$C$4,$C$6,$C$5,$C$7,AT$1,AT$2,$A153)</f>
        <v>0</v>
      </c>
      <c r="AU153" s="32">
        <f>_xll.DBRW($C$1,$C$2,$C$3,$C$4,$C$6,$C$5,$C$7,AU$1,AU$2,$A153)</f>
        <v>0</v>
      </c>
    </row>
    <row r="154" spans="1:47" ht="15.75" hidden="1" customHeight="1" outlineLevel="2">
      <c r="A154" s="1" t="s">
        <v>233</v>
      </c>
      <c r="C154" s="143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-151093.80499992848</v>
      </c>
      <c r="G154" s="32">
        <f>_xll.DBRW($C$1,$C$2,$C$3,$C$4,$C$6,$C$5,$C$7,G$1,G$2,$A154)</f>
        <v>-283275941.28999996</v>
      </c>
      <c r="H154" s="32">
        <f>_xll.DBRW($C$1,$C$2,$C$3,$C$4,$C$6,$C$5,$C$7,H$1,H$2,$A154)</f>
        <v>-1217842313.26</v>
      </c>
      <c r="I154" s="32">
        <f>_xll.DBRW($C$1,$C$2,$C$3,$C$4,$C$6,$C$5,$C$7,I$1,I$2,$A154)</f>
        <v>-84161239.140000001</v>
      </c>
      <c r="J154" s="32">
        <f>_xll.DBRW($C$1,$C$2,$C$3,$C$4,$C$6,$C$5,$C$7,J$1,J$2,$A154)</f>
        <v>-136625516.31999999</v>
      </c>
      <c r="K154" s="32">
        <f>_xll.DBRW($C$1,$C$2,$C$3,$C$4,$C$6,$C$5,$C$7,K$1,K$2,$A154)</f>
        <v>-325700113.75</v>
      </c>
      <c r="L154" s="32">
        <f>_xll.DBRW($C$1,$C$2,$C$3,$C$4,$C$6,$C$5,$C$7,L$1,L$2,$A154)</f>
        <v>-452145596.29000002</v>
      </c>
      <c r="M154" s="32">
        <f>_xll.DBRW($C$1,$C$2,$C$3,$C$4,$C$6,$C$5,$C$7,M$1,M$2,$A154)</f>
        <v>-573804241.25999999</v>
      </c>
      <c r="N154" s="32">
        <f>_xll.DBRW($C$1,$C$2,$C$3,$C$4,$C$6,$C$5,$C$7,N$1,N$2,$A154)</f>
        <v>-707602548.66999996</v>
      </c>
      <c r="O154" s="32">
        <f>_xll.DBRW($C$1,$C$2,$C$3,$C$4,$C$6,$C$5,$C$7,O$1,O$2,$A154)</f>
        <v>-664937943</v>
      </c>
      <c r="P154" s="32">
        <f>_xll.DBRW($C$1,$C$2,$C$3,$C$4,$C$6,$C$5,$C$7,P$1,P$2,$A154)</f>
        <v>-983550194.46000004</v>
      </c>
      <c r="Q154" s="32">
        <f>_xll.DBRW($C$1,$C$2,$C$3,$C$4,$C$6,$C$5,$C$7,Q$1,Q$2,$A154)</f>
        <v>-1135577738.8900001</v>
      </c>
      <c r="R154" s="32">
        <f>_xll.DBRW($C$1,$C$2,$C$3,$C$4,$C$6,$C$5,$C$7,R$1,R$2,$A154)</f>
        <v>-1016075439.7099999</v>
      </c>
      <c r="S154" s="32">
        <f>_xll.DBRW($C$1,$C$2,$C$3,$C$4,$C$6,$C$5,$C$7,S$1,S$2,$A154)</f>
        <v>-1425544799.9299998</v>
      </c>
      <c r="T154" s="32">
        <f>_xll.DBRW($C$1,$C$2,$C$3,$C$4,$C$6,$C$5,$C$7,T$1,T$2,$A154)</f>
        <v>-1586966728.79</v>
      </c>
      <c r="U154" s="32">
        <f>_xll.DBRW($C$1,$C$2,$C$3,$C$4,$C$6,$C$5,$C$7,U$1,U$2,$A154)</f>
        <v>-1586966728.79</v>
      </c>
      <c r="V154" s="32">
        <f>_xll.DBRW($C$1,$C$2,$C$3,$C$4,$C$6,$C$5,$C$7,V$1,V$2,$A154)</f>
        <v>0</v>
      </c>
      <c r="W154" s="32">
        <f>_xll.DBRW($C$1,$C$2,$C$3,$C$4,$C$6,$C$5,$C$7,W$1,W$2,$A154)</f>
        <v>0</v>
      </c>
      <c r="X154" s="32">
        <f>_xll.DBRW($C$1,$C$2,$C$3,$C$4,$C$6,$C$5,$C$7,X$1,X$2,$A154)</f>
        <v>0</v>
      </c>
      <c r="Y154" s="32">
        <f>_xll.DBRW($C$1,$C$2,$C$3,$C$4,$C$6,$C$5,$C$7,Y$1,Y$2,$A154)</f>
        <v>0</v>
      </c>
      <c r="Z154" s="32">
        <f>_xll.DBRW($C$1,$C$2,$C$3,$C$4,$C$6,$C$5,$C$7,Z$1,Z$2,$A154)</f>
        <v>0</v>
      </c>
      <c r="AA154" s="32">
        <f>_xll.DBRW($C$1,$C$2,$C$3,$C$4,$C$6,$C$5,$C$7,AA$1,AA$2,$A154)</f>
        <v>0</v>
      </c>
      <c r="AB154" s="32">
        <f>_xll.DBRW($C$1,$C$2,$C$3,$C$4,$C$6,$C$5,$C$7,AB$1,AB$2,$A154)</f>
        <v>0</v>
      </c>
      <c r="AC154" s="32">
        <f>_xll.DBRW($C$1,$C$2,$C$3,$C$4,$C$6,$C$5,$C$7,AC$1,AC$2,$A154)</f>
        <v>0</v>
      </c>
      <c r="AD154" s="32">
        <f>_xll.DBRW($C$1,$C$2,$C$3,$C$4,$C$6,$C$5,$C$7,AD$1,AD$2,$A154)</f>
        <v>0</v>
      </c>
      <c r="AE154" s="32">
        <f>_xll.DBRW($C$1,$C$2,$C$3,$C$4,$C$6,$C$5,$C$7,AE$1,AE$2,$A154)</f>
        <v>0</v>
      </c>
      <c r="AF154" s="32">
        <f>_xll.DBRW($C$1,$C$2,$C$3,$C$4,$C$6,$C$5,$C$7,AF$1,AF$2,$A154)</f>
        <v>0</v>
      </c>
      <c r="AG154" s="32">
        <f>_xll.DBRW($C$1,$C$2,$C$3,$C$4,$C$6,$C$5,$C$7,AG$1,AG$2,$A154)</f>
        <v>0</v>
      </c>
      <c r="AH154" s="32">
        <f>_xll.DBRW($C$1,$C$2,$C$3,$C$4,$C$6,$C$5,$C$7,AH$1,AH$2,$A154)</f>
        <v>0</v>
      </c>
      <c r="AI154" s="32">
        <f>_xll.DBRW($C$1,$C$2,$C$3,$C$4,$C$6,$C$5,$C$7,AI$1,AI$2,$A154)</f>
        <v>0</v>
      </c>
      <c r="AJ154" s="32">
        <f>_xll.DBRW($C$1,$C$2,$C$3,$C$4,$C$6,$C$5,$C$7,AJ$1,AJ$2,$A154)</f>
        <v>0</v>
      </c>
      <c r="AK154" s="32">
        <f>_xll.DBRW($C$1,$C$2,$C$3,$C$4,$C$6,$C$5,$C$7,AK$1,AK$2,$A154)</f>
        <v>0</v>
      </c>
      <c r="AL154" s="32">
        <f>_xll.DBRW($C$1,$C$2,$C$3,$C$4,$C$6,$C$5,$C$7,AL$1,AL$2,$A154)</f>
        <v>0</v>
      </c>
      <c r="AM154" s="32">
        <f>_xll.DBRW($C$1,$C$2,$C$3,$C$4,$C$6,$C$5,$C$7,AM$1,AM$2,$A154)</f>
        <v>0</v>
      </c>
      <c r="AN154" s="32">
        <f>_xll.DBRW($C$1,$C$2,$C$3,$C$4,$C$6,$C$5,$C$7,AN$1,AN$2,$A154)</f>
        <v>0</v>
      </c>
      <c r="AO154" s="32">
        <f>_xll.DBRW($C$1,$C$2,$C$3,$C$4,$C$6,$C$5,$C$7,AO$1,AO$2,$A154)</f>
        <v>0</v>
      </c>
      <c r="AP154" s="32">
        <f>_xll.DBRW($C$1,$C$2,$C$3,$C$4,$C$6,$C$5,$C$7,AP$1,AP$2,$A154)</f>
        <v>0</v>
      </c>
      <c r="AQ154" s="32">
        <f>_xll.DBRW($C$1,$C$2,$C$3,$C$4,$C$6,$C$5,$C$7,AQ$1,AQ$2,$A154)</f>
        <v>0</v>
      </c>
      <c r="AR154" s="32">
        <f>_xll.DBRW($C$1,$C$2,$C$3,$C$4,$C$6,$C$5,$C$7,AR$1,AR$2,$A154)</f>
        <v>0</v>
      </c>
      <c r="AS154" s="32">
        <f>_xll.DBRW($C$1,$C$2,$C$3,$C$4,$C$6,$C$5,$C$7,AS$1,AS$2,$A154)</f>
        <v>0</v>
      </c>
      <c r="AT154" s="32">
        <f>_xll.DBRW($C$1,$C$2,$C$3,$C$4,$C$6,$C$5,$C$7,AT$1,AT$2,$A154)</f>
        <v>0</v>
      </c>
      <c r="AU154" s="32">
        <f>_xll.DBRW($C$1,$C$2,$C$3,$C$4,$C$6,$C$5,$C$7,AU$1,AU$2,$A154)</f>
        <v>0</v>
      </c>
    </row>
    <row r="155" spans="1:47" ht="15.75" hidden="1" customHeight="1" outlineLevel="2">
      <c r="A155" s="1" t="s">
        <v>234</v>
      </c>
      <c r="C155" s="143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-88131084.330000013</v>
      </c>
      <c r="G155" s="32">
        <f>_xll.DBRW($C$1,$C$2,$C$3,$C$4,$C$6,$C$5,$C$7,G$1,G$2,$A155)</f>
        <v>-83440586.020000011</v>
      </c>
      <c r="H155" s="32">
        <f>_xll.DBRW($C$1,$C$2,$C$3,$C$4,$C$6,$C$5,$C$7,H$1,H$2,$A155)</f>
        <v>-331724907.89000005</v>
      </c>
      <c r="I155" s="32">
        <f>_xll.DBRW($C$1,$C$2,$C$3,$C$4,$C$6,$C$5,$C$7,I$1,I$2,$A155)</f>
        <v>-22818035.77</v>
      </c>
      <c r="J155" s="32">
        <f>_xll.DBRW($C$1,$C$2,$C$3,$C$4,$C$6,$C$5,$C$7,J$1,J$2,$A155)</f>
        <v>-42735295.509999998</v>
      </c>
      <c r="K155" s="32">
        <f>_xll.DBRW($C$1,$C$2,$C$3,$C$4,$C$6,$C$5,$C$7,K$1,K$2,$A155)</f>
        <v>-102263461.94999999</v>
      </c>
      <c r="L155" s="32">
        <f>_xll.DBRW($C$1,$C$2,$C$3,$C$4,$C$6,$C$5,$C$7,L$1,L$2,$A155)</f>
        <v>-140452429.66</v>
      </c>
      <c r="M155" s="32">
        <f>_xll.DBRW($C$1,$C$2,$C$3,$C$4,$C$6,$C$5,$C$7,M$1,M$2,$A155)</f>
        <v>-171250381.79999998</v>
      </c>
      <c r="N155" s="32">
        <f>_xll.DBRW($C$1,$C$2,$C$3,$C$4,$C$6,$C$5,$C$7,N$1,N$2,$A155)</f>
        <v>-198958067.31999999</v>
      </c>
      <c r="O155" s="32">
        <f>_xll.DBRW($C$1,$C$2,$C$3,$C$4,$C$6,$C$5,$C$7,O$1,O$2,$A155)</f>
        <v>-193599726.85999998</v>
      </c>
      <c r="P155" s="32">
        <f>_xll.DBRW($C$1,$C$2,$C$3,$C$4,$C$6,$C$5,$C$7,P$1,P$2,$A155)</f>
        <v>-264745560.10999998</v>
      </c>
      <c r="Q155" s="32">
        <f>_xll.DBRW($C$1,$C$2,$C$3,$C$4,$C$6,$C$5,$C$7,Q$1,Q$2,$A155)</f>
        <v>-297029456.18000001</v>
      </c>
      <c r="R155" s="32">
        <f>_xll.DBRW($C$1,$C$2,$C$3,$C$4,$C$6,$C$5,$C$7,R$1,R$2,$A155)</f>
        <v>-262534868.56999999</v>
      </c>
      <c r="S155" s="32">
        <f>_xll.DBRW($C$1,$C$2,$C$3,$C$4,$C$6,$C$5,$C$7,S$1,S$2,$A155)</f>
        <v>-307806753.39999998</v>
      </c>
      <c r="T155" s="32">
        <f>_xll.DBRW($C$1,$C$2,$C$3,$C$4,$C$6,$C$5,$C$7,T$1,T$2,$A155)</f>
        <v>-402906749.38999999</v>
      </c>
      <c r="U155" s="32">
        <f>_xll.DBRW($C$1,$C$2,$C$3,$C$4,$C$6,$C$5,$C$7,U$1,U$2,$A155)</f>
        <v>-402906749.38999999</v>
      </c>
      <c r="V155" s="32">
        <f>_xll.DBRW($C$1,$C$2,$C$3,$C$4,$C$6,$C$5,$C$7,V$1,V$2,$A155)</f>
        <v>0</v>
      </c>
      <c r="W155" s="32">
        <f>_xll.DBRW($C$1,$C$2,$C$3,$C$4,$C$6,$C$5,$C$7,W$1,W$2,$A155)</f>
        <v>0</v>
      </c>
      <c r="X155" s="32">
        <f>_xll.DBRW($C$1,$C$2,$C$3,$C$4,$C$6,$C$5,$C$7,X$1,X$2,$A155)</f>
        <v>0</v>
      </c>
      <c r="Y155" s="32">
        <f>_xll.DBRW($C$1,$C$2,$C$3,$C$4,$C$6,$C$5,$C$7,Y$1,Y$2,$A155)</f>
        <v>0</v>
      </c>
      <c r="Z155" s="32">
        <f>_xll.DBRW($C$1,$C$2,$C$3,$C$4,$C$6,$C$5,$C$7,Z$1,Z$2,$A155)</f>
        <v>0</v>
      </c>
      <c r="AA155" s="32">
        <f>_xll.DBRW($C$1,$C$2,$C$3,$C$4,$C$6,$C$5,$C$7,AA$1,AA$2,$A155)</f>
        <v>0</v>
      </c>
      <c r="AB155" s="32">
        <f>_xll.DBRW($C$1,$C$2,$C$3,$C$4,$C$6,$C$5,$C$7,AB$1,AB$2,$A155)</f>
        <v>0</v>
      </c>
      <c r="AC155" s="32">
        <f>_xll.DBRW($C$1,$C$2,$C$3,$C$4,$C$6,$C$5,$C$7,AC$1,AC$2,$A155)</f>
        <v>0</v>
      </c>
      <c r="AD155" s="32">
        <f>_xll.DBRW($C$1,$C$2,$C$3,$C$4,$C$6,$C$5,$C$7,AD$1,AD$2,$A155)</f>
        <v>0</v>
      </c>
      <c r="AE155" s="32">
        <f>_xll.DBRW($C$1,$C$2,$C$3,$C$4,$C$6,$C$5,$C$7,AE$1,AE$2,$A155)</f>
        <v>0</v>
      </c>
      <c r="AF155" s="32">
        <f>_xll.DBRW($C$1,$C$2,$C$3,$C$4,$C$6,$C$5,$C$7,AF$1,AF$2,$A155)</f>
        <v>0</v>
      </c>
      <c r="AG155" s="32">
        <f>_xll.DBRW($C$1,$C$2,$C$3,$C$4,$C$6,$C$5,$C$7,AG$1,AG$2,$A155)</f>
        <v>0</v>
      </c>
      <c r="AH155" s="32">
        <f>_xll.DBRW($C$1,$C$2,$C$3,$C$4,$C$6,$C$5,$C$7,AH$1,AH$2,$A155)</f>
        <v>0</v>
      </c>
      <c r="AI155" s="32">
        <f>_xll.DBRW($C$1,$C$2,$C$3,$C$4,$C$6,$C$5,$C$7,AI$1,AI$2,$A155)</f>
        <v>0</v>
      </c>
      <c r="AJ155" s="32">
        <f>_xll.DBRW($C$1,$C$2,$C$3,$C$4,$C$6,$C$5,$C$7,AJ$1,AJ$2,$A155)</f>
        <v>0</v>
      </c>
      <c r="AK155" s="32">
        <f>_xll.DBRW($C$1,$C$2,$C$3,$C$4,$C$6,$C$5,$C$7,AK$1,AK$2,$A155)</f>
        <v>0</v>
      </c>
      <c r="AL155" s="32">
        <f>_xll.DBRW($C$1,$C$2,$C$3,$C$4,$C$6,$C$5,$C$7,AL$1,AL$2,$A155)</f>
        <v>0</v>
      </c>
      <c r="AM155" s="32">
        <f>_xll.DBRW($C$1,$C$2,$C$3,$C$4,$C$6,$C$5,$C$7,AM$1,AM$2,$A155)</f>
        <v>0</v>
      </c>
      <c r="AN155" s="32">
        <f>_xll.DBRW($C$1,$C$2,$C$3,$C$4,$C$6,$C$5,$C$7,AN$1,AN$2,$A155)</f>
        <v>0</v>
      </c>
      <c r="AO155" s="32">
        <f>_xll.DBRW($C$1,$C$2,$C$3,$C$4,$C$6,$C$5,$C$7,AO$1,AO$2,$A155)</f>
        <v>0</v>
      </c>
      <c r="AP155" s="32">
        <f>_xll.DBRW($C$1,$C$2,$C$3,$C$4,$C$6,$C$5,$C$7,AP$1,AP$2,$A155)</f>
        <v>0</v>
      </c>
      <c r="AQ155" s="32">
        <f>_xll.DBRW($C$1,$C$2,$C$3,$C$4,$C$6,$C$5,$C$7,AQ$1,AQ$2,$A155)</f>
        <v>0</v>
      </c>
      <c r="AR155" s="32">
        <f>_xll.DBRW($C$1,$C$2,$C$3,$C$4,$C$6,$C$5,$C$7,AR$1,AR$2,$A155)</f>
        <v>0</v>
      </c>
      <c r="AS155" s="32">
        <f>_xll.DBRW($C$1,$C$2,$C$3,$C$4,$C$6,$C$5,$C$7,AS$1,AS$2,$A155)</f>
        <v>0</v>
      </c>
      <c r="AT155" s="32">
        <f>_xll.DBRW($C$1,$C$2,$C$3,$C$4,$C$6,$C$5,$C$7,AT$1,AT$2,$A155)</f>
        <v>0</v>
      </c>
      <c r="AU155" s="32">
        <f>_xll.DBRW($C$1,$C$2,$C$3,$C$4,$C$6,$C$5,$C$7,AU$1,AU$2,$A155)</f>
        <v>0</v>
      </c>
    </row>
    <row r="156" spans="1:47" ht="15.75" hidden="1" customHeight="1" outlineLevel="2">
      <c r="A156" s="1" t="s">
        <v>235</v>
      </c>
      <c r="C156" s="143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-19915.970000000118</v>
      </c>
      <c r="G156" s="32">
        <f>_xll.DBRW($C$1,$C$2,$C$3,$C$4,$C$6,$C$5,$C$7,G$1,G$2,$A156)</f>
        <v>385373.19000000006</v>
      </c>
      <c r="H156" s="32">
        <f>_xll.DBRW($C$1,$C$2,$C$3,$C$4,$C$6,$C$5,$C$7,H$1,H$2,$A156)</f>
        <v>256611.4000000002</v>
      </c>
      <c r="I156" s="32">
        <f>_xll.DBRW($C$1,$C$2,$C$3,$C$4,$C$6,$C$5,$C$7,I$1,I$2,$A156)</f>
        <v>47001.221850000089</v>
      </c>
      <c r="J156" s="32">
        <f>_xll.DBRW($C$1,$C$2,$C$3,$C$4,$C$6,$C$5,$C$7,J$1,J$2,$A156)</f>
        <v>-100986.51999999984</v>
      </c>
      <c r="K156" s="32">
        <f>_xll.DBRW($C$1,$C$2,$C$3,$C$4,$C$6,$C$5,$C$7,K$1,K$2,$A156)</f>
        <v>-271590.23999999982</v>
      </c>
      <c r="L156" s="32">
        <f>_xll.DBRW($C$1,$C$2,$C$3,$C$4,$C$6,$C$5,$C$7,L$1,L$2,$A156)</f>
        <v>-645841.35999999987</v>
      </c>
      <c r="M156" s="32">
        <f>_xll.DBRW($C$1,$C$2,$C$3,$C$4,$C$6,$C$5,$C$7,M$1,M$2,$A156)</f>
        <v>-705144.23</v>
      </c>
      <c r="N156" s="32">
        <f>_xll.DBRW($C$1,$C$2,$C$3,$C$4,$C$6,$C$5,$C$7,N$1,N$2,$A156)</f>
        <v>-746938.80999999982</v>
      </c>
      <c r="O156" s="32">
        <f>_xll.DBRW($C$1,$C$2,$C$3,$C$4,$C$6,$C$5,$C$7,O$1,O$2,$A156)</f>
        <v>-132337.58799999976</v>
      </c>
      <c r="P156" s="32">
        <f>_xll.DBRW($C$1,$C$2,$C$3,$C$4,$C$6,$C$5,$C$7,P$1,P$2,$A156)</f>
        <v>-836690.66999999969</v>
      </c>
      <c r="Q156" s="32">
        <f>_xll.DBRW($C$1,$C$2,$C$3,$C$4,$C$6,$C$5,$C$7,Q$1,Q$2,$A156)</f>
        <v>-832649.60999999987</v>
      </c>
      <c r="R156" s="32">
        <f>_xll.DBRW($C$1,$C$2,$C$3,$C$4,$C$6,$C$5,$C$7,R$1,R$2,$A156)</f>
        <v>-795561.79999999935</v>
      </c>
      <c r="S156" s="32">
        <f>_xll.DBRW($C$1,$C$2,$C$3,$C$4,$C$6,$C$5,$C$7,S$1,S$2,$A156)</f>
        <v>-760295.2299999994</v>
      </c>
      <c r="T156" s="32">
        <f>_xll.DBRW($C$1,$C$2,$C$3,$C$4,$C$6,$C$5,$C$7,T$1,T$2,$A156)</f>
        <v>-147331.88999999934</v>
      </c>
      <c r="U156" s="32">
        <f>_xll.DBRW($C$1,$C$2,$C$3,$C$4,$C$6,$C$5,$C$7,U$1,U$2,$A156)</f>
        <v>-147331.88999999934</v>
      </c>
      <c r="V156" s="32">
        <f>_xll.DBRW($C$1,$C$2,$C$3,$C$4,$C$6,$C$5,$C$7,V$1,V$2,$A156)</f>
        <v>0</v>
      </c>
      <c r="W156" s="32">
        <f>_xll.DBRW($C$1,$C$2,$C$3,$C$4,$C$6,$C$5,$C$7,W$1,W$2,$A156)</f>
        <v>0</v>
      </c>
      <c r="X156" s="32">
        <f>_xll.DBRW($C$1,$C$2,$C$3,$C$4,$C$6,$C$5,$C$7,X$1,X$2,$A156)</f>
        <v>0</v>
      </c>
      <c r="Y156" s="32">
        <f>_xll.DBRW($C$1,$C$2,$C$3,$C$4,$C$6,$C$5,$C$7,Y$1,Y$2,$A156)</f>
        <v>0</v>
      </c>
      <c r="Z156" s="32">
        <f>_xll.DBRW($C$1,$C$2,$C$3,$C$4,$C$6,$C$5,$C$7,Z$1,Z$2,$A156)</f>
        <v>0</v>
      </c>
      <c r="AA156" s="32">
        <f>_xll.DBRW($C$1,$C$2,$C$3,$C$4,$C$6,$C$5,$C$7,AA$1,AA$2,$A156)</f>
        <v>0</v>
      </c>
      <c r="AB156" s="32">
        <f>_xll.DBRW($C$1,$C$2,$C$3,$C$4,$C$6,$C$5,$C$7,AB$1,AB$2,$A156)</f>
        <v>0</v>
      </c>
      <c r="AC156" s="32">
        <f>_xll.DBRW($C$1,$C$2,$C$3,$C$4,$C$6,$C$5,$C$7,AC$1,AC$2,$A156)</f>
        <v>0</v>
      </c>
      <c r="AD156" s="32">
        <f>_xll.DBRW($C$1,$C$2,$C$3,$C$4,$C$6,$C$5,$C$7,AD$1,AD$2,$A156)</f>
        <v>0</v>
      </c>
      <c r="AE156" s="32">
        <f>_xll.DBRW($C$1,$C$2,$C$3,$C$4,$C$6,$C$5,$C$7,AE$1,AE$2,$A156)</f>
        <v>0</v>
      </c>
      <c r="AF156" s="32">
        <f>_xll.DBRW($C$1,$C$2,$C$3,$C$4,$C$6,$C$5,$C$7,AF$1,AF$2,$A156)</f>
        <v>0</v>
      </c>
      <c r="AG156" s="32">
        <f>_xll.DBRW($C$1,$C$2,$C$3,$C$4,$C$6,$C$5,$C$7,AG$1,AG$2,$A156)</f>
        <v>0</v>
      </c>
      <c r="AH156" s="32">
        <f>_xll.DBRW($C$1,$C$2,$C$3,$C$4,$C$6,$C$5,$C$7,AH$1,AH$2,$A156)</f>
        <v>0</v>
      </c>
      <c r="AI156" s="32">
        <f>_xll.DBRW($C$1,$C$2,$C$3,$C$4,$C$6,$C$5,$C$7,AI$1,AI$2,$A156)</f>
        <v>0</v>
      </c>
      <c r="AJ156" s="32">
        <f>_xll.DBRW($C$1,$C$2,$C$3,$C$4,$C$6,$C$5,$C$7,AJ$1,AJ$2,$A156)</f>
        <v>0</v>
      </c>
      <c r="AK156" s="32">
        <f>_xll.DBRW($C$1,$C$2,$C$3,$C$4,$C$6,$C$5,$C$7,AK$1,AK$2,$A156)</f>
        <v>0</v>
      </c>
      <c r="AL156" s="32">
        <f>_xll.DBRW($C$1,$C$2,$C$3,$C$4,$C$6,$C$5,$C$7,AL$1,AL$2,$A156)</f>
        <v>0</v>
      </c>
      <c r="AM156" s="32">
        <f>_xll.DBRW($C$1,$C$2,$C$3,$C$4,$C$6,$C$5,$C$7,AM$1,AM$2,$A156)</f>
        <v>0</v>
      </c>
      <c r="AN156" s="32">
        <f>_xll.DBRW($C$1,$C$2,$C$3,$C$4,$C$6,$C$5,$C$7,AN$1,AN$2,$A156)</f>
        <v>0</v>
      </c>
      <c r="AO156" s="32">
        <f>_xll.DBRW($C$1,$C$2,$C$3,$C$4,$C$6,$C$5,$C$7,AO$1,AO$2,$A156)</f>
        <v>0</v>
      </c>
      <c r="AP156" s="32">
        <f>_xll.DBRW($C$1,$C$2,$C$3,$C$4,$C$6,$C$5,$C$7,AP$1,AP$2,$A156)</f>
        <v>0</v>
      </c>
      <c r="AQ156" s="32">
        <f>_xll.DBRW($C$1,$C$2,$C$3,$C$4,$C$6,$C$5,$C$7,AQ$1,AQ$2,$A156)</f>
        <v>0</v>
      </c>
      <c r="AR156" s="32">
        <f>_xll.DBRW($C$1,$C$2,$C$3,$C$4,$C$6,$C$5,$C$7,AR$1,AR$2,$A156)</f>
        <v>0</v>
      </c>
      <c r="AS156" s="32">
        <f>_xll.DBRW($C$1,$C$2,$C$3,$C$4,$C$6,$C$5,$C$7,AS$1,AS$2,$A156)</f>
        <v>0</v>
      </c>
      <c r="AT156" s="32">
        <f>_xll.DBRW($C$1,$C$2,$C$3,$C$4,$C$6,$C$5,$C$7,AT$1,AT$2,$A156)</f>
        <v>0</v>
      </c>
      <c r="AU156" s="32">
        <f>_xll.DBRW($C$1,$C$2,$C$3,$C$4,$C$6,$C$5,$C$7,AU$1,AU$2,$A156)</f>
        <v>0</v>
      </c>
    </row>
    <row r="157" spans="1:47" ht="15.75" hidden="1" customHeight="1" outlineLevel="2">
      <c r="A157" s="1" t="s">
        <v>236</v>
      </c>
      <c r="C157" s="143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-1391792253.3600001</v>
      </c>
      <c r="G157" s="32">
        <f>_xll.DBRW($C$1,$C$2,$C$3,$C$4,$C$6,$C$5,$C$7,G$1,G$2,$A157)</f>
        <v>-951230251.71999991</v>
      </c>
      <c r="H157" s="32">
        <f>_xll.DBRW($C$1,$C$2,$C$3,$C$4,$C$6,$C$5,$C$7,H$1,H$2,$A157)</f>
        <v>-574694536.05900013</v>
      </c>
      <c r="I157" s="32">
        <f>_xll.DBRW($C$1,$C$2,$C$3,$C$4,$C$6,$C$5,$C$7,I$1,I$2,$A157)</f>
        <v>-47899973.2311</v>
      </c>
      <c r="J157" s="32">
        <f>_xll.DBRW($C$1,$C$2,$C$3,$C$4,$C$6,$C$5,$C$7,J$1,J$2,$A157)</f>
        <v>-51565727.369999997</v>
      </c>
      <c r="K157" s="32">
        <f>_xll.DBRW($C$1,$C$2,$C$3,$C$4,$C$6,$C$5,$C$7,K$1,K$2,$A157)</f>
        <v>-144904035.97</v>
      </c>
      <c r="L157" s="32">
        <f>_xll.DBRW($C$1,$C$2,$C$3,$C$4,$C$6,$C$5,$C$7,L$1,L$2,$A157)</f>
        <v>-193007978.81</v>
      </c>
      <c r="M157" s="32">
        <f>_xll.DBRW($C$1,$C$2,$C$3,$C$4,$C$6,$C$5,$C$7,M$1,M$2,$A157)</f>
        <v>-241058507.69</v>
      </c>
      <c r="N157" s="32">
        <f>_xll.DBRW($C$1,$C$2,$C$3,$C$4,$C$6,$C$5,$C$7,N$1,N$2,$A157)</f>
        <v>-290060226.38</v>
      </c>
      <c r="O157" s="32">
        <f>_xll.DBRW($C$1,$C$2,$C$3,$C$4,$C$6,$C$5,$C$7,O$1,O$2,$A157)</f>
        <v>-335573114.87099999</v>
      </c>
      <c r="P157" s="32">
        <f>_xll.DBRW($C$1,$C$2,$C$3,$C$4,$C$6,$C$5,$C$7,P$1,P$2,$A157)</f>
        <v>-386978532.57999998</v>
      </c>
      <c r="Q157" s="32">
        <f>_xll.DBRW($C$1,$C$2,$C$3,$C$4,$C$6,$C$5,$C$7,Q$1,Q$2,$A157)</f>
        <v>-435403550.77999997</v>
      </c>
      <c r="R157" s="32">
        <f>_xll.DBRW($C$1,$C$2,$C$3,$C$4,$C$6,$C$5,$C$7,R$1,R$2,$A157)</f>
        <v>-481757368.01999998</v>
      </c>
      <c r="S157" s="32">
        <f>_xll.DBRW($C$1,$C$2,$C$3,$C$4,$C$6,$C$5,$C$7,S$1,S$2,$A157)</f>
        <v>-532070922.96999997</v>
      </c>
      <c r="T157" s="32">
        <f>_xll.DBRW($C$1,$C$2,$C$3,$C$4,$C$6,$C$5,$C$7,T$1,T$2,$A157)</f>
        <v>-591033685.24000001</v>
      </c>
      <c r="U157" s="32">
        <f>_xll.DBRW($C$1,$C$2,$C$3,$C$4,$C$6,$C$5,$C$7,U$1,U$2,$A157)</f>
        <v>-591033685.24000001</v>
      </c>
      <c r="V157" s="32">
        <f>_xll.DBRW($C$1,$C$2,$C$3,$C$4,$C$6,$C$5,$C$7,V$1,V$2,$A157)</f>
        <v>0</v>
      </c>
      <c r="W157" s="32">
        <f>_xll.DBRW($C$1,$C$2,$C$3,$C$4,$C$6,$C$5,$C$7,W$1,W$2,$A157)</f>
        <v>0</v>
      </c>
      <c r="X157" s="32">
        <f>_xll.DBRW($C$1,$C$2,$C$3,$C$4,$C$6,$C$5,$C$7,X$1,X$2,$A157)</f>
        <v>0</v>
      </c>
      <c r="Y157" s="32">
        <f>_xll.DBRW($C$1,$C$2,$C$3,$C$4,$C$6,$C$5,$C$7,Y$1,Y$2,$A157)</f>
        <v>0</v>
      </c>
      <c r="Z157" s="32">
        <f>_xll.DBRW($C$1,$C$2,$C$3,$C$4,$C$6,$C$5,$C$7,Z$1,Z$2,$A157)</f>
        <v>0</v>
      </c>
      <c r="AA157" s="32">
        <f>_xll.DBRW($C$1,$C$2,$C$3,$C$4,$C$6,$C$5,$C$7,AA$1,AA$2,$A157)</f>
        <v>0</v>
      </c>
      <c r="AB157" s="32">
        <f>_xll.DBRW($C$1,$C$2,$C$3,$C$4,$C$6,$C$5,$C$7,AB$1,AB$2,$A157)</f>
        <v>0</v>
      </c>
      <c r="AC157" s="32">
        <f>_xll.DBRW($C$1,$C$2,$C$3,$C$4,$C$6,$C$5,$C$7,AC$1,AC$2,$A157)</f>
        <v>0</v>
      </c>
      <c r="AD157" s="32">
        <f>_xll.DBRW($C$1,$C$2,$C$3,$C$4,$C$6,$C$5,$C$7,AD$1,AD$2,$A157)</f>
        <v>0</v>
      </c>
      <c r="AE157" s="32">
        <f>_xll.DBRW($C$1,$C$2,$C$3,$C$4,$C$6,$C$5,$C$7,AE$1,AE$2,$A157)</f>
        <v>0</v>
      </c>
      <c r="AF157" s="32">
        <f>_xll.DBRW($C$1,$C$2,$C$3,$C$4,$C$6,$C$5,$C$7,AF$1,AF$2,$A157)</f>
        <v>0</v>
      </c>
      <c r="AG157" s="32">
        <f>_xll.DBRW($C$1,$C$2,$C$3,$C$4,$C$6,$C$5,$C$7,AG$1,AG$2,$A157)</f>
        <v>0</v>
      </c>
      <c r="AH157" s="32">
        <f>_xll.DBRW($C$1,$C$2,$C$3,$C$4,$C$6,$C$5,$C$7,AH$1,AH$2,$A157)</f>
        <v>0</v>
      </c>
      <c r="AI157" s="32">
        <f>_xll.DBRW($C$1,$C$2,$C$3,$C$4,$C$6,$C$5,$C$7,AI$1,AI$2,$A157)</f>
        <v>0</v>
      </c>
      <c r="AJ157" s="32">
        <f>_xll.DBRW($C$1,$C$2,$C$3,$C$4,$C$6,$C$5,$C$7,AJ$1,AJ$2,$A157)</f>
        <v>0</v>
      </c>
      <c r="AK157" s="32">
        <f>_xll.DBRW($C$1,$C$2,$C$3,$C$4,$C$6,$C$5,$C$7,AK$1,AK$2,$A157)</f>
        <v>0</v>
      </c>
      <c r="AL157" s="32">
        <f>_xll.DBRW($C$1,$C$2,$C$3,$C$4,$C$6,$C$5,$C$7,AL$1,AL$2,$A157)</f>
        <v>0</v>
      </c>
      <c r="AM157" s="32">
        <f>_xll.DBRW($C$1,$C$2,$C$3,$C$4,$C$6,$C$5,$C$7,AM$1,AM$2,$A157)</f>
        <v>0</v>
      </c>
      <c r="AN157" s="32">
        <f>_xll.DBRW($C$1,$C$2,$C$3,$C$4,$C$6,$C$5,$C$7,AN$1,AN$2,$A157)</f>
        <v>0</v>
      </c>
      <c r="AO157" s="32">
        <f>_xll.DBRW($C$1,$C$2,$C$3,$C$4,$C$6,$C$5,$C$7,AO$1,AO$2,$A157)</f>
        <v>0</v>
      </c>
      <c r="AP157" s="32">
        <f>_xll.DBRW($C$1,$C$2,$C$3,$C$4,$C$6,$C$5,$C$7,AP$1,AP$2,$A157)</f>
        <v>0</v>
      </c>
      <c r="AQ157" s="32">
        <f>_xll.DBRW($C$1,$C$2,$C$3,$C$4,$C$6,$C$5,$C$7,AQ$1,AQ$2,$A157)</f>
        <v>0</v>
      </c>
      <c r="AR157" s="32">
        <f>_xll.DBRW($C$1,$C$2,$C$3,$C$4,$C$6,$C$5,$C$7,AR$1,AR$2,$A157)</f>
        <v>0</v>
      </c>
      <c r="AS157" s="32">
        <f>_xll.DBRW($C$1,$C$2,$C$3,$C$4,$C$6,$C$5,$C$7,AS$1,AS$2,$A157)</f>
        <v>0</v>
      </c>
      <c r="AT157" s="32">
        <f>_xll.DBRW($C$1,$C$2,$C$3,$C$4,$C$6,$C$5,$C$7,AT$1,AT$2,$A157)</f>
        <v>0</v>
      </c>
      <c r="AU157" s="32">
        <f>_xll.DBRW($C$1,$C$2,$C$3,$C$4,$C$6,$C$5,$C$7,AU$1,AU$2,$A157)</f>
        <v>0</v>
      </c>
    </row>
    <row r="158" spans="1:47" ht="15.75" hidden="1" customHeight="1" outlineLevel="2">
      <c r="A158" s="1" t="s">
        <v>237</v>
      </c>
      <c r="C158" s="143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-3599606.02</v>
      </c>
      <c r="G158" s="32">
        <f>_xll.DBRW($C$1,$C$2,$C$3,$C$4,$C$6,$C$5,$C$7,G$1,G$2,$A158)</f>
        <v>3578090.5700000008</v>
      </c>
      <c r="H158" s="32">
        <f>_xll.DBRW($C$1,$C$2,$C$3,$C$4,$C$6,$C$5,$C$7,H$1,H$2,$A158)</f>
        <v>47948850.709999993</v>
      </c>
      <c r="I158" s="32">
        <f>_xll.DBRW($C$1,$C$2,$C$3,$C$4,$C$6,$C$5,$C$7,I$1,I$2,$A158)</f>
        <v>0</v>
      </c>
      <c r="J158" s="32">
        <f>_xll.DBRW($C$1,$C$2,$C$3,$C$4,$C$6,$C$5,$C$7,J$1,J$2,$A158)</f>
        <v>11689.219999999972</v>
      </c>
      <c r="K158" s="32">
        <f>_xll.DBRW($C$1,$C$2,$C$3,$C$4,$C$6,$C$5,$C$7,K$1,K$2,$A158)</f>
        <v>519430.57</v>
      </c>
      <c r="L158" s="32">
        <f>_xll.DBRW($C$1,$C$2,$C$3,$C$4,$C$6,$C$5,$C$7,L$1,L$2,$A158)</f>
        <v>521655.8</v>
      </c>
      <c r="M158" s="32">
        <f>_xll.DBRW($C$1,$C$2,$C$3,$C$4,$C$6,$C$5,$C$7,M$1,M$2,$A158)</f>
        <v>521296.82</v>
      </c>
      <c r="N158" s="32">
        <f>_xll.DBRW($C$1,$C$2,$C$3,$C$4,$C$6,$C$5,$C$7,N$1,N$2,$A158)</f>
        <v>552525.88</v>
      </c>
      <c r="O158" s="32">
        <f>_xll.DBRW($C$1,$C$2,$C$3,$C$4,$C$6,$C$5,$C$7,O$1,O$2,$A158)</f>
        <v>1983571.5700000003</v>
      </c>
      <c r="P158" s="32">
        <f>_xll.DBRW($C$1,$C$2,$C$3,$C$4,$C$6,$C$5,$C$7,P$1,P$2,$A158)</f>
        <v>3309329.8500000006</v>
      </c>
      <c r="Q158" s="32">
        <f>_xll.DBRW($C$1,$C$2,$C$3,$C$4,$C$6,$C$5,$C$7,Q$1,Q$2,$A158)</f>
        <v>3420149.2300000004</v>
      </c>
      <c r="R158" s="32">
        <f>_xll.DBRW($C$1,$C$2,$C$3,$C$4,$C$6,$C$5,$C$7,R$1,R$2,$A158)</f>
        <v>-2203600.4800000004</v>
      </c>
      <c r="S158" s="32">
        <f>_xll.DBRW($C$1,$C$2,$C$3,$C$4,$C$6,$C$5,$C$7,S$1,S$2,$A158)</f>
        <v>4608467.0399999991</v>
      </c>
      <c r="T158" s="32">
        <f>_xll.DBRW($C$1,$C$2,$C$3,$C$4,$C$6,$C$5,$C$7,T$1,T$2,$A158)</f>
        <v>7435165.709999999</v>
      </c>
      <c r="U158" s="32">
        <f>_xll.DBRW($C$1,$C$2,$C$3,$C$4,$C$6,$C$5,$C$7,U$1,U$2,$A158)</f>
        <v>7435165.709999999</v>
      </c>
      <c r="V158" s="32">
        <f>_xll.DBRW($C$1,$C$2,$C$3,$C$4,$C$6,$C$5,$C$7,V$1,V$2,$A158)</f>
        <v>0</v>
      </c>
      <c r="W158" s="32">
        <f>_xll.DBRW($C$1,$C$2,$C$3,$C$4,$C$6,$C$5,$C$7,W$1,W$2,$A158)</f>
        <v>0</v>
      </c>
      <c r="X158" s="32">
        <f>_xll.DBRW($C$1,$C$2,$C$3,$C$4,$C$6,$C$5,$C$7,X$1,X$2,$A158)</f>
        <v>0</v>
      </c>
      <c r="Y158" s="32">
        <f>_xll.DBRW($C$1,$C$2,$C$3,$C$4,$C$6,$C$5,$C$7,Y$1,Y$2,$A158)</f>
        <v>0</v>
      </c>
      <c r="Z158" s="32">
        <f>_xll.DBRW($C$1,$C$2,$C$3,$C$4,$C$6,$C$5,$C$7,Z$1,Z$2,$A158)</f>
        <v>0</v>
      </c>
      <c r="AA158" s="32">
        <f>_xll.DBRW($C$1,$C$2,$C$3,$C$4,$C$6,$C$5,$C$7,AA$1,AA$2,$A158)</f>
        <v>0</v>
      </c>
      <c r="AB158" s="32">
        <f>_xll.DBRW($C$1,$C$2,$C$3,$C$4,$C$6,$C$5,$C$7,AB$1,AB$2,$A158)</f>
        <v>0</v>
      </c>
      <c r="AC158" s="32">
        <f>_xll.DBRW($C$1,$C$2,$C$3,$C$4,$C$6,$C$5,$C$7,AC$1,AC$2,$A158)</f>
        <v>0</v>
      </c>
      <c r="AD158" s="32">
        <f>_xll.DBRW($C$1,$C$2,$C$3,$C$4,$C$6,$C$5,$C$7,AD$1,AD$2,$A158)</f>
        <v>0</v>
      </c>
      <c r="AE158" s="32">
        <f>_xll.DBRW($C$1,$C$2,$C$3,$C$4,$C$6,$C$5,$C$7,AE$1,AE$2,$A158)</f>
        <v>0</v>
      </c>
      <c r="AF158" s="32">
        <f>_xll.DBRW($C$1,$C$2,$C$3,$C$4,$C$6,$C$5,$C$7,AF$1,AF$2,$A158)</f>
        <v>0</v>
      </c>
      <c r="AG158" s="32">
        <f>_xll.DBRW($C$1,$C$2,$C$3,$C$4,$C$6,$C$5,$C$7,AG$1,AG$2,$A158)</f>
        <v>0</v>
      </c>
      <c r="AH158" s="32">
        <f>_xll.DBRW($C$1,$C$2,$C$3,$C$4,$C$6,$C$5,$C$7,AH$1,AH$2,$A158)</f>
        <v>0</v>
      </c>
      <c r="AI158" s="32">
        <f>_xll.DBRW($C$1,$C$2,$C$3,$C$4,$C$6,$C$5,$C$7,AI$1,AI$2,$A158)</f>
        <v>0</v>
      </c>
      <c r="AJ158" s="32">
        <f>_xll.DBRW($C$1,$C$2,$C$3,$C$4,$C$6,$C$5,$C$7,AJ$1,AJ$2,$A158)</f>
        <v>0</v>
      </c>
      <c r="AK158" s="32">
        <f>_xll.DBRW($C$1,$C$2,$C$3,$C$4,$C$6,$C$5,$C$7,AK$1,AK$2,$A158)</f>
        <v>0</v>
      </c>
      <c r="AL158" s="32">
        <f>_xll.DBRW($C$1,$C$2,$C$3,$C$4,$C$6,$C$5,$C$7,AL$1,AL$2,$A158)</f>
        <v>0</v>
      </c>
      <c r="AM158" s="32">
        <f>_xll.DBRW($C$1,$C$2,$C$3,$C$4,$C$6,$C$5,$C$7,AM$1,AM$2,$A158)</f>
        <v>0</v>
      </c>
      <c r="AN158" s="32">
        <f>_xll.DBRW($C$1,$C$2,$C$3,$C$4,$C$6,$C$5,$C$7,AN$1,AN$2,$A158)</f>
        <v>0</v>
      </c>
      <c r="AO158" s="32">
        <f>_xll.DBRW($C$1,$C$2,$C$3,$C$4,$C$6,$C$5,$C$7,AO$1,AO$2,$A158)</f>
        <v>0</v>
      </c>
      <c r="AP158" s="32">
        <f>_xll.DBRW($C$1,$C$2,$C$3,$C$4,$C$6,$C$5,$C$7,AP$1,AP$2,$A158)</f>
        <v>0</v>
      </c>
      <c r="AQ158" s="32">
        <f>_xll.DBRW($C$1,$C$2,$C$3,$C$4,$C$6,$C$5,$C$7,AQ$1,AQ$2,$A158)</f>
        <v>0</v>
      </c>
      <c r="AR158" s="32">
        <f>_xll.DBRW($C$1,$C$2,$C$3,$C$4,$C$6,$C$5,$C$7,AR$1,AR$2,$A158)</f>
        <v>0</v>
      </c>
      <c r="AS158" s="32">
        <f>_xll.DBRW($C$1,$C$2,$C$3,$C$4,$C$6,$C$5,$C$7,AS$1,AS$2,$A158)</f>
        <v>0</v>
      </c>
      <c r="AT158" s="32">
        <f>_xll.DBRW($C$1,$C$2,$C$3,$C$4,$C$6,$C$5,$C$7,AT$1,AT$2,$A158)</f>
        <v>0</v>
      </c>
      <c r="AU158" s="32">
        <f>_xll.DBRW($C$1,$C$2,$C$3,$C$4,$C$6,$C$5,$C$7,AU$1,AU$2,$A158)</f>
        <v>0</v>
      </c>
    </row>
    <row r="159" spans="1:47" ht="15.75" hidden="1" customHeight="1" outlineLevel="2">
      <c r="A159" s="1" t="s">
        <v>238</v>
      </c>
      <c r="C159" s="143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I159" s="32">
        <f>_xll.DBRW($C$1,$C$2,$C$3,$C$4,$C$6,$C$5,$C$7,I$1,I$2,$A159)</f>
        <v>0</v>
      </c>
      <c r="J159" s="32">
        <f>_xll.DBRW($C$1,$C$2,$C$3,$C$4,$C$6,$C$5,$C$7,J$1,J$2,$A159)</f>
        <v>0</v>
      </c>
      <c r="K159" s="32">
        <f>_xll.DBRW($C$1,$C$2,$C$3,$C$4,$C$6,$C$5,$C$7,K$1,K$2,$A159)</f>
        <v>0</v>
      </c>
      <c r="L159" s="32">
        <f>_xll.DBRW($C$1,$C$2,$C$3,$C$4,$C$6,$C$5,$C$7,L$1,L$2,$A159)</f>
        <v>0</v>
      </c>
      <c r="M159" s="32">
        <f>_xll.DBRW($C$1,$C$2,$C$3,$C$4,$C$6,$C$5,$C$7,M$1,M$2,$A159)</f>
        <v>0</v>
      </c>
      <c r="N159" s="32">
        <f>_xll.DBRW($C$1,$C$2,$C$3,$C$4,$C$6,$C$5,$C$7,N$1,N$2,$A159)</f>
        <v>0</v>
      </c>
      <c r="O159" s="32">
        <f>_xll.DBRW($C$1,$C$2,$C$3,$C$4,$C$6,$C$5,$C$7,O$1,O$2,$A159)</f>
        <v>0</v>
      </c>
      <c r="P159" s="32">
        <f>_xll.DBRW($C$1,$C$2,$C$3,$C$4,$C$6,$C$5,$C$7,P$1,P$2,$A159)</f>
        <v>0</v>
      </c>
      <c r="Q159" s="32">
        <f>_xll.DBRW($C$1,$C$2,$C$3,$C$4,$C$6,$C$5,$C$7,Q$1,Q$2,$A159)</f>
        <v>0</v>
      </c>
      <c r="R159" s="32">
        <f>_xll.DBRW($C$1,$C$2,$C$3,$C$4,$C$6,$C$5,$C$7,R$1,R$2,$A159)</f>
        <v>0</v>
      </c>
      <c r="S159" s="32">
        <f>_xll.DBRW($C$1,$C$2,$C$3,$C$4,$C$6,$C$5,$C$7,S$1,S$2,$A159)</f>
        <v>0</v>
      </c>
      <c r="T159" s="32">
        <f>_xll.DBRW($C$1,$C$2,$C$3,$C$4,$C$6,$C$5,$C$7,T$1,T$2,$A159)</f>
        <v>0</v>
      </c>
      <c r="U159" s="32">
        <f>_xll.DBRW($C$1,$C$2,$C$3,$C$4,$C$6,$C$5,$C$7,U$1,U$2,$A159)</f>
        <v>0</v>
      </c>
      <c r="V159" s="32">
        <f>_xll.DBRW($C$1,$C$2,$C$3,$C$4,$C$6,$C$5,$C$7,V$1,V$2,$A159)</f>
        <v>0</v>
      </c>
      <c r="W159" s="32">
        <f>_xll.DBRW($C$1,$C$2,$C$3,$C$4,$C$6,$C$5,$C$7,W$1,W$2,$A159)</f>
        <v>0</v>
      </c>
      <c r="X159" s="32">
        <f>_xll.DBRW($C$1,$C$2,$C$3,$C$4,$C$6,$C$5,$C$7,X$1,X$2,$A159)</f>
        <v>0</v>
      </c>
      <c r="Y159" s="32">
        <f>_xll.DBRW($C$1,$C$2,$C$3,$C$4,$C$6,$C$5,$C$7,Y$1,Y$2,$A159)</f>
        <v>0</v>
      </c>
      <c r="Z159" s="32">
        <f>_xll.DBRW($C$1,$C$2,$C$3,$C$4,$C$6,$C$5,$C$7,Z$1,Z$2,$A159)</f>
        <v>0</v>
      </c>
      <c r="AA159" s="32">
        <f>_xll.DBRW($C$1,$C$2,$C$3,$C$4,$C$6,$C$5,$C$7,AA$1,AA$2,$A159)</f>
        <v>0</v>
      </c>
      <c r="AB159" s="32">
        <f>_xll.DBRW($C$1,$C$2,$C$3,$C$4,$C$6,$C$5,$C$7,AB$1,AB$2,$A159)</f>
        <v>0</v>
      </c>
      <c r="AC159" s="32">
        <f>_xll.DBRW($C$1,$C$2,$C$3,$C$4,$C$6,$C$5,$C$7,AC$1,AC$2,$A159)</f>
        <v>0</v>
      </c>
      <c r="AD159" s="32">
        <f>_xll.DBRW($C$1,$C$2,$C$3,$C$4,$C$6,$C$5,$C$7,AD$1,AD$2,$A159)</f>
        <v>0</v>
      </c>
      <c r="AE159" s="32">
        <f>_xll.DBRW($C$1,$C$2,$C$3,$C$4,$C$6,$C$5,$C$7,AE$1,AE$2,$A159)</f>
        <v>0</v>
      </c>
      <c r="AF159" s="32">
        <f>_xll.DBRW($C$1,$C$2,$C$3,$C$4,$C$6,$C$5,$C$7,AF$1,AF$2,$A159)</f>
        <v>0</v>
      </c>
      <c r="AG159" s="32">
        <f>_xll.DBRW($C$1,$C$2,$C$3,$C$4,$C$6,$C$5,$C$7,AG$1,AG$2,$A159)</f>
        <v>0</v>
      </c>
      <c r="AH159" s="32">
        <f>_xll.DBRW($C$1,$C$2,$C$3,$C$4,$C$6,$C$5,$C$7,AH$1,AH$2,$A159)</f>
        <v>0</v>
      </c>
      <c r="AI159" s="32">
        <f>_xll.DBRW($C$1,$C$2,$C$3,$C$4,$C$6,$C$5,$C$7,AI$1,AI$2,$A159)</f>
        <v>0</v>
      </c>
      <c r="AJ159" s="32">
        <f>_xll.DBRW($C$1,$C$2,$C$3,$C$4,$C$6,$C$5,$C$7,AJ$1,AJ$2,$A159)</f>
        <v>0</v>
      </c>
      <c r="AK159" s="32">
        <f>_xll.DBRW($C$1,$C$2,$C$3,$C$4,$C$6,$C$5,$C$7,AK$1,AK$2,$A159)</f>
        <v>0</v>
      </c>
      <c r="AL159" s="32">
        <f>_xll.DBRW($C$1,$C$2,$C$3,$C$4,$C$6,$C$5,$C$7,AL$1,AL$2,$A159)</f>
        <v>0</v>
      </c>
      <c r="AM159" s="32">
        <f>_xll.DBRW($C$1,$C$2,$C$3,$C$4,$C$6,$C$5,$C$7,AM$1,AM$2,$A159)</f>
        <v>0</v>
      </c>
      <c r="AN159" s="32">
        <f>_xll.DBRW($C$1,$C$2,$C$3,$C$4,$C$6,$C$5,$C$7,AN$1,AN$2,$A159)</f>
        <v>0</v>
      </c>
      <c r="AO159" s="32">
        <f>_xll.DBRW($C$1,$C$2,$C$3,$C$4,$C$6,$C$5,$C$7,AO$1,AO$2,$A159)</f>
        <v>0</v>
      </c>
      <c r="AP159" s="32">
        <f>_xll.DBRW($C$1,$C$2,$C$3,$C$4,$C$6,$C$5,$C$7,AP$1,AP$2,$A159)</f>
        <v>0</v>
      </c>
      <c r="AQ159" s="32">
        <f>_xll.DBRW($C$1,$C$2,$C$3,$C$4,$C$6,$C$5,$C$7,AQ$1,AQ$2,$A159)</f>
        <v>0</v>
      </c>
      <c r="AR159" s="32">
        <f>_xll.DBRW($C$1,$C$2,$C$3,$C$4,$C$6,$C$5,$C$7,AR$1,AR$2,$A159)</f>
        <v>0</v>
      </c>
      <c r="AS159" s="32">
        <f>_xll.DBRW($C$1,$C$2,$C$3,$C$4,$C$6,$C$5,$C$7,AS$1,AS$2,$A159)</f>
        <v>0</v>
      </c>
      <c r="AT159" s="32">
        <f>_xll.DBRW($C$1,$C$2,$C$3,$C$4,$C$6,$C$5,$C$7,AT$1,AT$2,$A159)</f>
        <v>0</v>
      </c>
      <c r="AU159" s="32">
        <f>_xll.DBRW($C$1,$C$2,$C$3,$C$4,$C$6,$C$5,$C$7,AU$1,AU$2,$A159)</f>
        <v>0</v>
      </c>
    </row>
    <row r="160" spans="1:47" ht="15.75" hidden="1" customHeight="1" outlineLevel="2">
      <c r="A160" s="1" t="s">
        <v>239</v>
      </c>
      <c r="C160" s="143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-159834446.79499999</v>
      </c>
      <c r="G160" s="32">
        <f>_xll.DBRW($C$1,$C$2,$C$3,$C$4,$C$6,$C$5,$C$7,G$1,G$2,$A160)</f>
        <v>-157460692.45999998</v>
      </c>
      <c r="H160" s="32">
        <f>_xll.DBRW($C$1,$C$2,$C$3,$C$4,$C$6,$C$5,$C$7,H$1,H$2,$A160)</f>
        <v>-1109469357.21</v>
      </c>
      <c r="I160" s="32">
        <f>_xll.DBRW($C$1,$C$2,$C$3,$C$4,$C$6,$C$5,$C$7,I$1,I$2,$A160)</f>
        <v>-96637885.141699985</v>
      </c>
      <c r="J160" s="32">
        <f>_xll.DBRW($C$1,$C$2,$C$3,$C$4,$C$6,$C$5,$C$7,J$1,J$2,$A160)</f>
        <v>-93197615.799999982</v>
      </c>
      <c r="K160" s="32">
        <f>_xll.DBRW($C$1,$C$2,$C$3,$C$4,$C$6,$C$5,$C$7,K$1,K$2,$A160)</f>
        <v>-285159766.82999998</v>
      </c>
      <c r="L160" s="32">
        <f>_xll.DBRW($C$1,$C$2,$C$3,$C$4,$C$6,$C$5,$C$7,L$1,L$2,$A160)</f>
        <v>-387983900.79999995</v>
      </c>
      <c r="M160" s="32">
        <f>_xll.DBRW($C$1,$C$2,$C$3,$C$4,$C$6,$C$5,$C$7,M$1,M$2,$A160)</f>
        <v>-499744656.54999995</v>
      </c>
      <c r="N160" s="32">
        <f>_xll.DBRW($C$1,$C$2,$C$3,$C$4,$C$6,$C$5,$C$7,N$1,N$2,$A160)</f>
        <v>-615856861.93999994</v>
      </c>
      <c r="O160" s="32">
        <f>_xll.DBRW($C$1,$C$2,$C$3,$C$4,$C$6,$C$5,$C$7,O$1,O$2,$A160)</f>
        <v>-720910996.28600001</v>
      </c>
      <c r="P160" s="32">
        <f>_xll.DBRW($C$1,$C$2,$C$3,$C$4,$C$6,$C$5,$C$7,P$1,P$2,$A160)</f>
        <v>-901696184.60000002</v>
      </c>
      <c r="Q160" s="32">
        <f>_xll.DBRW($C$1,$C$2,$C$3,$C$4,$C$6,$C$5,$C$7,Q$1,Q$2,$A160)</f>
        <v>-1032667412.9100001</v>
      </c>
      <c r="R160" s="32">
        <f>_xll.DBRW($C$1,$C$2,$C$3,$C$4,$C$6,$C$5,$C$7,R$1,R$2,$A160)</f>
        <v>-1134653163.77</v>
      </c>
      <c r="S160" s="32">
        <f>_xll.DBRW($C$1,$C$2,$C$3,$C$4,$C$6,$C$5,$C$7,S$1,S$2,$A160)</f>
        <v>-1264751929.1800001</v>
      </c>
      <c r="T160" s="32">
        <f>_xll.DBRW($C$1,$C$2,$C$3,$C$4,$C$6,$C$5,$C$7,T$1,T$2,$A160)</f>
        <v>-1395746978.6200001</v>
      </c>
      <c r="U160" s="32">
        <f>_xll.DBRW($C$1,$C$2,$C$3,$C$4,$C$6,$C$5,$C$7,U$1,U$2,$A160)</f>
        <v>-1395746978.6200001</v>
      </c>
      <c r="V160" s="32">
        <f>_xll.DBRW($C$1,$C$2,$C$3,$C$4,$C$6,$C$5,$C$7,V$1,V$2,$A160)</f>
        <v>0</v>
      </c>
      <c r="W160" s="32">
        <f>_xll.DBRW($C$1,$C$2,$C$3,$C$4,$C$6,$C$5,$C$7,W$1,W$2,$A160)</f>
        <v>0</v>
      </c>
      <c r="X160" s="32">
        <f>_xll.DBRW($C$1,$C$2,$C$3,$C$4,$C$6,$C$5,$C$7,X$1,X$2,$A160)</f>
        <v>0</v>
      </c>
      <c r="Y160" s="32">
        <f>_xll.DBRW($C$1,$C$2,$C$3,$C$4,$C$6,$C$5,$C$7,Y$1,Y$2,$A160)</f>
        <v>0</v>
      </c>
      <c r="Z160" s="32">
        <f>_xll.DBRW($C$1,$C$2,$C$3,$C$4,$C$6,$C$5,$C$7,Z$1,Z$2,$A160)</f>
        <v>0</v>
      </c>
      <c r="AA160" s="32">
        <f>_xll.DBRW($C$1,$C$2,$C$3,$C$4,$C$6,$C$5,$C$7,AA$1,AA$2,$A160)</f>
        <v>0</v>
      </c>
      <c r="AB160" s="32">
        <f>_xll.DBRW($C$1,$C$2,$C$3,$C$4,$C$6,$C$5,$C$7,AB$1,AB$2,$A160)</f>
        <v>0</v>
      </c>
      <c r="AC160" s="32">
        <f>_xll.DBRW($C$1,$C$2,$C$3,$C$4,$C$6,$C$5,$C$7,AC$1,AC$2,$A160)</f>
        <v>0</v>
      </c>
      <c r="AD160" s="32">
        <f>_xll.DBRW($C$1,$C$2,$C$3,$C$4,$C$6,$C$5,$C$7,AD$1,AD$2,$A160)</f>
        <v>0</v>
      </c>
      <c r="AE160" s="32">
        <f>_xll.DBRW($C$1,$C$2,$C$3,$C$4,$C$6,$C$5,$C$7,AE$1,AE$2,$A160)</f>
        <v>0</v>
      </c>
      <c r="AF160" s="32">
        <f>_xll.DBRW($C$1,$C$2,$C$3,$C$4,$C$6,$C$5,$C$7,AF$1,AF$2,$A160)</f>
        <v>0</v>
      </c>
      <c r="AG160" s="32">
        <f>_xll.DBRW($C$1,$C$2,$C$3,$C$4,$C$6,$C$5,$C$7,AG$1,AG$2,$A160)</f>
        <v>0</v>
      </c>
      <c r="AH160" s="32">
        <f>_xll.DBRW($C$1,$C$2,$C$3,$C$4,$C$6,$C$5,$C$7,AH$1,AH$2,$A160)</f>
        <v>0</v>
      </c>
      <c r="AI160" s="32">
        <f>_xll.DBRW($C$1,$C$2,$C$3,$C$4,$C$6,$C$5,$C$7,AI$1,AI$2,$A160)</f>
        <v>0</v>
      </c>
      <c r="AJ160" s="32">
        <f>_xll.DBRW($C$1,$C$2,$C$3,$C$4,$C$6,$C$5,$C$7,AJ$1,AJ$2,$A160)</f>
        <v>0</v>
      </c>
      <c r="AK160" s="32">
        <f>_xll.DBRW($C$1,$C$2,$C$3,$C$4,$C$6,$C$5,$C$7,AK$1,AK$2,$A160)</f>
        <v>0</v>
      </c>
      <c r="AL160" s="32">
        <f>_xll.DBRW($C$1,$C$2,$C$3,$C$4,$C$6,$C$5,$C$7,AL$1,AL$2,$A160)</f>
        <v>0</v>
      </c>
      <c r="AM160" s="32">
        <f>_xll.DBRW($C$1,$C$2,$C$3,$C$4,$C$6,$C$5,$C$7,AM$1,AM$2,$A160)</f>
        <v>0</v>
      </c>
      <c r="AN160" s="32">
        <f>_xll.DBRW($C$1,$C$2,$C$3,$C$4,$C$6,$C$5,$C$7,AN$1,AN$2,$A160)</f>
        <v>0</v>
      </c>
      <c r="AO160" s="32">
        <f>_xll.DBRW($C$1,$C$2,$C$3,$C$4,$C$6,$C$5,$C$7,AO$1,AO$2,$A160)</f>
        <v>0</v>
      </c>
      <c r="AP160" s="32">
        <f>_xll.DBRW($C$1,$C$2,$C$3,$C$4,$C$6,$C$5,$C$7,AP$1,AP$2,$A160)</f>
        <v>0</v>
      </c>
      <c r="AQ160" s="32">
        <f>_xll.DBRW($C$1,$C$2,$C$3,$C$4,$C$6,$C$5,$C$7,AQ$1,AQ$2,$A160)</f>
        <v>0</v>
      </c>
      <c r="AR160" s="32">
        <f>_xll.DBRW($C$1,$C$2,$C$3,$C$4,$C$6,$C$5,$C$7,AR$1,AR$2,$A160)</f>
        <v>0</v>
      </c>
      <c r="AS160" s="32">
        <f>_xll.DBRW($C$1,$C$2,$C$3,$C$4,$C$6,$C$5,$C$7,AS$1,AS$2,$A160)</f>
        <v>0</v>
      </c>
      <c r="AT160" s="32">
        <f>_xll.DBRW($C$1,$C$2,$C$3,$C$4,$C$6,$C$5,$C$7,AT$1,AT$2,$A160)</f>
        <v>0</v>
      </c>
      <c r="AU160" s="32">
        <f>_xll.DBRW($C$1,$C$2,$C$3,$C$4,$C$6,$C$5,$C$7,AU$1,AU$2,$A160)</f>
        <v>0</v>
      </c>
    </row>
    <row r="161" spans="1:47" ht="15.75" hidden="1" customHeight="1" outlineLevel="2">
      <c r="A161" s="1" t="s">
        <v>240</v>
      </c>
      <c r="C161" s="143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-421521.82499999995</v>
      </c>
      <c r="G161" s="32">
        <f>_xll.DBRW($C$1,$C$2,$C$3,$C$4,$C$6,$C$5,$C$7,G$1,G$2,$A161)</f>
        <v>-776187.58000000007</v>
      </c>
      <c r="H161" s="32">
        <f>_xll.DBRW($C$1,$C$2,$C$3,$C$4,$C$6,$C$5,$C$7,H$1,H$2,$A161)</f>
        <v>-826912.50999999989</v>
      </c>
      <c r="I161" s="32">
        <f>_xll.DBRW($C$1,$C$2,$C$3,$C$4,$C$6,$C$5,$C$7,I$1,I$2,$A161)</f>
        <v>-101134</v>
      </c>
      <c r="J161" s="32">
        <f>_xll.DBRW($C$1,$C$2,$C$3,$C$4,$C$6,$C$5,$C$7,J$1,J$2,$A161)</f>
        <v>-248846.8</v>
      </c>
      <c r="K161" s="32">
        <f>_xll.DBRW($C$1,$C$2,$C$3,$C$4,$C$6,$C$5,$C$7,K$1,K$2,$A161)</f>
        <v>-353766.63</v>
      </c>
      <c r="L161" s="32">
        <f>_xll.DBRW($C$1,$C$2,$C$3,$C$4,$C$6,$C$5,$C$7,L$1,L$2,$A161)</f>
        <v>-454267</v>
      </c>
      <c r="M161" s="32">
        <f>_xll.DBRW($C$1,$C$2,$C$3,$C$4,$C$6,$C$5,$C$7,M$1,M$2,$A161)</f>
        <v>-550544.02</v>
      </c>
      <c r="N161" s="32">
        <f>_xll.DBRW($C$1,$C$2,$C$3,$C$4,$C$6,$C$5,$C$7,N$1,N$2,$A161)</f>
        <v>-649163.41</v>
      </c>
      <c r="O161" s="32">
        <f>_xll.DBRW($C$1,$C$2,$C$3,$C$4,$C$6,$C$5,$C$7,O$1,O$2,$A161)</f>
        <v>-703188</v>
      </c>
      <c r="P161" s="32">
        <f>_xll.DBRW($C$1,$C$2,$C$3,$C$4,$C$6,$C$5,$C$7,P$1,P$2,$A161)</f>
        <v>-759849.79</v>
      </c>
      <c r="Q161" s="32">
        <f>_xll.DBRW($C$1,$C$2,$C$3,$C$4,$C$6,$C$5,$C$7,Q$1,Q$2,$A161)</f>
        <v>-922036.51</v>
      </c>
      <c r="R161" s="32">
        <f>_xll.DBRW($C$1,$C$2,$C$3,$C$4,$C$6,$C$5,$C$7,R$1,R$2,$A161)</f>
        <v>-1010315.59</v>
      </c>
      <c r="S161" s="32">
        <f>_xll.DBRW($C$1,$C$2,$C$3,$C$4,$C$6,$C$5,$C$7,S$1,S$2,$A161)</f>
        <v>-1148257.1600000001</v>
      </c>
      <c r="T161" s="32">
        <f>_xll.DBRW($C$1,$C$2,$C$3,$C$4,$C$6,$C$5,$C$7,T$1,T$2,$A161)</f>
        <v>-1303938.02</v>
      </c>
      <c r="U161" s="32">
        <f>_xll.DBRW($C$1,$C$2,$C$3,$C$4,$C$6,$C$5,$C$7,U$1,U$2,$A161)</f>
        <v>-1303938.02</v>
      </c>
      <c r="V161" s="32">
        <f>_xll.DBRW($C$1,$C$2,$C$3,$C$4,$C$6,$C$5,$C$7,V$1,V$2,$A161)</f>
        <v>0</v>
      </c>
      <c r="W161" s="32">
        <f>_xll.DBRW($C$1,$C$2,$C$3,$C$4,$C$6,$C$5,$C$7,W$1,W$2,$A161)</f>
        <v>0</v>
      </c>
      <c r="X161" s="32">
        <f>_xll.DBRW($C$1,$C$2,$C$3,$C$4,$C$6,$C$5,$C$7,X$1,X$2,$A161)</f>
        <v>0</v>
      </c>
      <c r="Y161" s="32">
        <f>_xll.DBRW($C$1,$C$2,$C$3,$C$4,$C$6,$C$5,$C$7,Y$1,Y$2,$A161)</f>
        <v>0</v>
      </c>
      <c r="Z161" s="32">
        <f>_xll.DBRW($C$1,$C$2,$C$3,$C$4,$C$6,$C$5,$C$7,Z$1,Z$2,$A161)</f>
        <v>0</v>
      </c>
      <c r="AA161" s="32">
        <f>_xll.DBRW($C$1,$C$2,$C$3,$C$4,$C$6,$C$5,$C$7,AA$1,AA$2,$A161)</f>
        <v>0</v>
      </c>
      <c r="AB161" s="32">
        <f>_xll.DBRW($C$1,$C$2,$C$3,$C$4,$C$6,$C$5,$C$7,AB$1,AB$2,$A161)</f>
        <v>0</v>
      </c>
      <c r="AC161" s="32">
        <f>_xll.DBRW($C$1,$C$2,$C$3,$C$4,$C$6,$C$5,$C$7,AC$1,AC$2,$A161)</f>
        <v>0</v>
      </c>
      <c r="AD161" s="32">
        <f>_xll.DBRW($C$1,$C$2,$C$3,$C$4,$C$6,$C$5,$C$7,AD$1,AD$2,$A161)</f>
        <v>0</v>
      </c>
      <c r="AE161" s="32">
        <f>_xll.DBRW($C$1,$C$2,$C$3,$C$4,$C$6,$C$5,$C$7,AE$1,AE$2,$A161)</f>
        <v>0</v>
      </c>
      <c r="AF161" s="32">
        <f>_xll.DBRW($C$1,$C$2,$C$3,$C$4,$C$6,$C$5,$C$7,AF$1,AF$2,$A161)</f>
        <v>0</v>
      </c>
      <c r="AG161" s="32">
        <f>_xll.DBRW($C$1,$C$2,$C$3,$C$4,$C$6,$C$5,$C$7,AG$1,AG$2,$A161)</f>
        <v>0</v>
      </c>
      <c r="AH161" s="32">
        <f>_xll.DBRW($C$1,$C$2,$C$3,$C$4,$C$6,$C$5,$C$7,AH$1,AH$2,$A161)</f>
        <v>0</v>
      </c>
      <c r="AI161" s="32">
        <f>_xll.DBRW($C$1,$C$2,$C$3,$C$4,$C$6,$C$5,$C$7,AI$1,AI$2,$A161)</f>
        <v>0</v>
      </c>
      <c r="AJ161" s="32">
        <f>_xll.DBRW($C$1,$C$2,$C$3,$C$4,$C$6,$C$5,$C$7,AJ$1,AJ$2,$A161)</f>
        <v>0</v>
      </c>
      <c r="AK161" s="32">
        <f>_xll.DBRW($C$1,$C$2,$C$3,$C$4,$C$6,$C$5,$C$7,AK$1,AK$2,$A161)</f>
        <v>0</v>
      </c>
      <c r="AL161" s="32">
        <f>_xll.DBRW($C$1,$C$2,$C$3,$C$4,$C$6,$C$5,$C$7,AL$1,AL$2,$A161)</f>
        <v>0</v>
      </c>
      <c r="AM161" s="32">
        <f>_xll.DBRW($C$1,$C$2,$C$3,$C$4,$C$6,$C$5,$C$7,AM$1,AM$2,$A161)</f>
        <v>0</v>
      </c>
      <c r="AN161" s="32">
        <f>_xll.DBRW($C$1,$C$2,$C$3,$C$4,$C$6,$C$5,$C$7,AN$1,AN$2,$A161)</f>
        <v>0</v>
      </c>
      <c r="AO161" s="32">
        <f>_xll.DBRW($C$1,$C$2,$C$3,$C$4,$C$6,$C$5,$C$7,AO$1,AO$2,$A161)</f>
        <v>0</v>
      </c>
      <c r="AP161" s="32">
        <f>_xll.DBRW($C$1,$C$2,$C$3,$C$4,$C$6,$C$5,$C$7,AP$1,AP$2,$A161)</f>
        <v>0</v>
      </c>
      <c r="AQ161" s="32">
        <f>_xll.DBRW($C$1,$C$2,$C$3,$C$4,$C$6,$C$5,$C$7,AQ$1,AQ$2,$A161)</f>
        <v>0</v>
      </c>
      <c r="AR161" s="32">
        <f>_xll.DBRW($C$1,$C$2,$C$3,$C$4,$C$6,$C$5,$C$7,AR$1,AR$2,$A161)</f>
        <v>0</v>
      </c>
      <c r="AS161" s="32">
        <f>_xll.DBRW($C$1,$C$2,$C$3,$C$4,$C$6,$C$5,$C$7,AS$1,AS$2,$A161)</f>
        <v>0</v>
      </c>
      <c r="AT161" s="32">
        <f>_xll.DBRW($C$1,$C$2,$C$3,$C$4,$C$6,$C$5,$C$7,AT$1,AT$2,$A161)</f>
        <v>0</v>
      </c>
      <c r="AU161" s="32">
        <f>_xll.DBRW($C$1,$C$2,$C$3,$C$4,$C$6,$C$5,$C$7,AU$1,AU$2,$A161)</f>
        <v>0</v>
      </c>
    </row>
    <row r="162" spans="1:47" ht="15.75" hidden="1" customHeight="1" outlineLevel="2">
      <c r="A162" s="1" t="s">
        <v>241</v>
      </c>
      <c r="C162" s="143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-2895.06</v>
      </c>
      <c r="I162" s="32">
        <f>_xll.DBRW($C$1,$C$2,$C$3,$C$4,$C$6,$C$5,$C$7,I$1,I$2,$A162)</f>
        <v>0</v>
      </c>
      <c r="J162" s="32">
        <f>_xll.DBRW($C$1,$C$2,$C$3,$C$4,$C$6,$C$5,$C$7,J$1,J$2,$A162)</f>
        <v>0</v>
      </c>
      <c r="K162" s="32">
        <f>_xll.DBRW($C$1,$C$2,$C$3,$C$4,$C$6,$C$5,$C$7,K$1,K$2,$A162)</f>
        <v>0</v>
      </c>
      <c r="L162" s="32">
        <f>_xll.DBRW($C$1,$C$2,$C$3,$C$4,$C$6,$C$5,$C$7,L$1,L$2,$A162)</f>
        <v>0</v>
      </c>
      <c r="M162" s="32">
        <f>_xll.DBRW($C$1,$C$2,$C$3,$C$4,$C$6,$C$5,$C$7,M$1,M$2,$A162)</f>
        <v>0</v>
      </c>
      <c r="N162" s="32">
        <f>_xll.DBRW($C$1,$C$2,$C$3,$C$4,$C$6,$C$5,$C$7,N$1,N$2,$A162)</f>
        <v>0</v>
      </c>
      <c r="O162" s="32">
        <f>_xll.DBRW($C$1,$C$2,$C$3,$C$4,$C$6,$C$5,$C$7,O$1,O$2,$A162)</f>
        <v>0</v>
      </c>
      <c r="P162" s="32">
        <f>_xll.DBRW($C$1,$C$2,$C$3,$C$4,$C$6,$C$5,$C$7,P$1,P$2,$A162)</f>
        <v>0</v>
      </c>
      <c r="Q162" s="32">
        <f>_xll.DBRW($C$1,$C$2,$C$3,$C$4,$C$6,$C$5,$C$7,Q$1,Q$2,$A162)</f>
        <v>0</v>
      </c>
      <c r="R162" s="32">
        <f>_xll.DBRW($C$1,$C$2,$C$3,$C$4,$C$6,$C$5,$C$7,R$1,R$2,$A162)</f>
        <v>0</v>
      </c>
      <c r="S162" s="32">
        <f>_xll.DBRW($C$1,$C$2,$C$3,$C$4,$C$6,$C$5,$C$7,S$1,S$2,$A162)</f>
        <v>-22404.059999999998</v>
      </c>
      <c r="T162" s="32">
        <f>_xll.DBRW($C$1,$C$2,$C$3,$C$4,$C$6,$C$5,$C$7,T$1,T$2,$A162)</f>
        <v>-22404.059999999998</v>
      </c>
      <c r="U162" s="32">
        <f>_xll.DBRW($C$1,$C$2,$C$3,$C$4,$C$6,$C$5,$C$7,U$1,U$2,$A162)</f>
        <v>-22404.059999999998</v>
      </c>
      <c r="V162" s="32">
        <f>_xll.DBRW($C$1,$C$2,$C$3,$C$4,$C$6,$C$5,$C$7,V$1,V$2,$A162)</f>
        <v>0</v>
      </c>
      <c r="W162" s="32">
        <f>_xll.DBRW($C$1,$C$2,$C$3,$C$4,$C$6,$C$5,$C$7,W$1,W$2,$A162)</f>
        <v>0</v>
      </c>
      <c r="X162" s="32">
        <f>_xll.DBRW($C$1,$C$2,$C$3,$C$4,$C$6,$C$5,$C$7,X$1,X$2,$A162)</f>
        <v>0</v>
      </c>
      <c r="Y162" s="32">
        <f>_xll.DBRW($C$1,$C$2,$C$3,$C$4,$C$6,$C$5,$C$7,Y$1,Y$2,$A162)</f>
        <v>0</v>
      </c>
      <c r="Z162" s="32">
        <f>_xll.DBRW($C$1,$C$2,$C$3,$C$4,$C$6,$C$5,$C$7,Z$1,Z$2,$A162)</f>
        <v>0</v>
      </c>
      <c r="AA162" s="32">
        <f>_xll.DBRW($C$1,$C$2,$C$3,$C$4,$C$6,$C$5,$C$7,AA$1,AA$2,$A162)</f>
        <v>0</v>
      </c>
      <c r="AB162" s="32">
        <f>_xll.DBRW($C$1,$C$2,$C$3,$C$4,$C$6,$C$5,$C$7,AB$1,AB$2,$A162)</f>
        <v>0</v>
      </c>
      <c r="AC162" s="32">
        <f>_xll.DBRW($C$1,$C$2,$C$3,$C$4,$C$6,$C$5,$C$7,AC$1,AC$2,$A162)</f>
        <v>0</v>
      </c>
      <c r="AD162" s="32">
        <f>_xll.DBRW($C$1,$C$2,$C$3,$C$4,$C$6,$C$5,$C$7,AD$1,AD$2,$A162)</f>
        <v>0</v>
      </c>
      <c r="AE162" s="32">
        <f>_xll.DBRW($C$1,$C$2,$C$3,$C$4,$C$6,$C$5,$C$7,AE$1,AE$2,$A162)</f>
        <v>0</v>
      </c>
      <c r="AF162" s="32">
        <f>_xll.DBRW($C$1,$C$2,$C$3,$C$4,$C$6,$C$5,$C$7,AF$1,AF$2,$A162)</f>
        <v>0</v>
      </c>
      <c r="AG162" s="32">
        <f>_xll.DBRW($C$1,$C$2,$C$3,$C$4,$C$6,$C$5,$C$7,AG$1,AG$2,$A162)</f>
        <v>0</v>
      </c>
      <c r="AH162" s="32">
        <f>_xll.DBRW($C$1,$C$2,$C$3,$C$4,$C$6,$C$5,$C$7,AH$1,AH$2,$A162)</f>
        <v>0</v>
      </c>
      <c r="AI162" s="32">
        <f>_xll.DBRW($C$1,$C$2,$C$3,$C$4,$C$6,$C$5,$C$7,AI$1,AI$2,$A162)</f>
        <v>0</v>
      </c>
      <c r="AJ162" s="32">
        <f>_xll.DBRW($C$1,$C$2,$C$3,$C$4,$C$6,$C$5,$C$7,AJ$1,AJ$2,$A162)</f>
        <v>0</v>
      </c>
      <c r="AK162" s="32">
        <f>_xll.DBRW($C$1,$C$2,$C$3,$C$4,$C$6,$C$5,$C$7,AK$1,AK$2,$A162)</f>
        <v>0</v>
      </c>
      <c r="AL162" s="32">
        <f>_xll.DBRW($C$1,$C$2,$C$3,$C$4,$C$6,$C$5,$C$7,AL$1,AL$2,$A162)</f>
        <v>0</v>
      </c>
      <c r="AM162" s="32">
        <f>_xll.DBRW($C$1,$C$2,$C$3,$C$4,$C$6,$C$5,$C$7,AM$1,AM$2,$A162)</f>
        <v>0</v>
      </c>
      <c r="AN162" s="32">
        <f>_xll.DBRW($C$1,$C$2,$C$3,$C$4,$C$6,$C$5,$C$7,AN$1,AN$2,$A162)</f>
        <v>0</v>
      </c>
      <c r="AO162" s="32">
        <f>_xll.DBRW($C$1,$C$2,$C$3,$C$4,$C$6,$C$5,$C$7,AO$1,AO$2,$A162)</f>
        <v>0</v>
      </c>
      <c r="AP162" s="32">
        <f>_xll.DBRW($C$1,$C$2,$C$3,$C$4,$C$6,$C$5,$C$7,AP$1,AP$2,$A162)</f>
        <v>0</v>
      </c>
      <c r="AQ162" s="32">
        <f>_xll.DBRW($C$1,$C$2,$C$3,$C$4,$C$6,$C$5,$C$7,AQ$1,AQ$2,$A162)</f>
        <v>0</v>
      </c>
      <c r="AR162" s="32">
        <f>_xll.DBRW($C$1,$C$2,$C$3,$C$4,$C$6,$C$5,$C$7,AR$1,AR$2,$A162)</f>
        <v>0</v>
      </c>
      <c r="AS162" s="32">
        <f>_xll.DBRW($C$1,$C$2,$C$3,$C$4,$C$6,$C$5,$C$7,AS$1,AS$2,$A162)</f>
        <v>0</v>
      </c>
      <c r="AT162" s="32">
        <f>_xll.DBRW($C$1,$C$2,$C$3,$C$4,$C$6,$C$5,$C$7,AT$1,AT$2,$A162)</f>
        <v>0</v>
      </c>
      <c r="AU162" s="32">
        <f>_xll.DBRW($C$1,$C$2,$C$3,$C$4,$C$6,$C$5,$C$7,AU$1,AU$2,$A162)</f>
        <v>0</v>
      </c>
    </row>
    <row r="163" spans="1:47" ht="15.75" hidden="1" customHeight="1" outlineLevel="2">
      <c r="A163" s="1" t="s">
        <v>242</v>
      </c>
      <c r="C163" s="143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2586180.2999999998</v>
      </c>
      <c r="G163" s="32">
        <f>_xll.DBRW($C$1,$C$2,$C$3,$C$4,$C$6,$C$5,$C$7,G$1,G$2,$A163)</f>
        <v>7731349.8200000003</v>
      </c>
      <c r="H163" s="32">
        <f>_xll.DBRW($C$1,$C$2,$C$3,$C$4,$C$6,$C$5,$C$7,H$1,H$2,$A163)</f>
        <v>8614869.7699999996</v>
      </c>
      <c r="I163" s="32">
        <f>_xll.DBRW($C$1,$C$2,$C$3,$C$4,$C$6,$C$5,$C$7,I$1,I$2,$A163)</f>
        <v>712568.2</v>
      </c>
      <c r="J163" s="32">
        <f>_xll.DBRW($C$1,$C$2,$C$3,$C$4,$C$6,$C$5,$C$7,J$1,J$2,$A163)</f>
        <v>1396509.13</v>
      </c>
      <c r="K163" s="32">
        <f>_xll.DBRW($C$1,$C$2,$C$3,$C$4,$C$6,$C$5,$C$7,K$1,K$2,$A163)</f>
        <v>2079853.0599999998</v>
      </c>
      <c r="L163" s="32">
        <f>_xll.DBRW($C$1,$C$2,$C$3,$C$4,$C$6,$C$5,$C$7,L$1,L$2,$A163)</f>
        <v>2730055.04</v>
      </c>
      <c r="M163" s="32">
        <f>_xll.DBRW($C$1,$C$2,$C$3,$C$4,$C$6,$C$5,$C$7,M$1,M$2,$A163)</f>
        <v>3467666.15</v>
      </c>
      <c r="N163" s="32">
        <f>_xll.DBRW($C$1,$C$2,$C$3,$C$4,$C$6,$C$5,$C$7,N$1,N$2,$A163)</f>
        <v>4098955.17</v>
      </c>
      <c r="O163" s="32">
        <f>_xll.DBRW($C$1,$C$2,$C$3,$C$4,$C$6,$C$5,$C$7,O$1,O$2,$A163)</f>
        <v>4684739.6099999994</v>
      </c>
      <c r="P163" s="32">
        <f>_xll.DBRW($C$1,$C$2,$C$3,$C$4,$C$6,$C$5,$C$7,P$1,P$2,$A163)</f>
        <v>5526571.8599999994</v>
      </c>
      <c r="Q163" s="32">
        <f>_xll.DBRW($C$1,$C$2,$C$3,$C$4,$C$6,$C$5,$C$7,Q$1,Q$2,$A163)</f>
        <v>6157374.2399999993</v>
      </c>
      <c r="R163" s="32">
        <f>_xll.DBRW($C$1,$C$2,$C$3,$C$4,$C$6,$C$5,$C$7,R$1,R$2,$A163)</f>
        <v>6746665.1799999988</v>
      </c>
      <c r="S163" s="32">
        <f>_xll.DBRW($C$1,$C$2,$C$3,$C$4,$C$6,$C$5,$C$7,S$1,S$2,$A163)</f>
        <v>7428358.379999999</v>
      </c>
      <c r="T163" s="32">
        <f>_xll.DBRW($C$1,$C$2,$C$3,$C$4,$C$6,$C$5,$C$7,T$1,T$2,$A163)</f>
        <v>8048349.4399999995</v>
      </c>
      <c r="U163" s="32">
        <f>_xll.DBRW($C$1,$C$2,$C$3,$C$4,$C$6,$C$5,$C$7,U$1,U$2,$A163)</f>
        <v>8048349.4399999995</v>
      </c>
      <c r="V163" s="32">
        <f>_xll.DBRW($C$1,$C$2,$C$3,$C$4,$C$6,$C$5,$C$7,V$1,V$2,$A163)</f>
        <v>0</v>
      </c>
      <c r="W163" s="32">
        <f>_xll.DBRW($C$1,$C$2,$C$3,$C$4,$C$6,$C$5,$C$7,W$1,W$2,$A163)</f>
        <v>0</v>
      </c>
      <c r="X163" s="32">
        <f>_xll.DBRW($C$1,$C$2,$C$3,$C$4,$C$6,$C$5,$C$7,X$1,X$2,$A163)</f>
        <v>0</v>
      </c>
      <c r="Y163" s="32">
        <f>_xll.DBRW($C$1,$C$2,$C$3,$C$4,$C$6,$C$5,$C$7,Y$1,Y$2,$A163)</f>
        <v>0</v>
      </c>
      <c r="Z163" s="32">
        <f>_xll.DBRW($C$1,$C$2,$C$3,$C$4,$C$6,$C$5,$C$7,Z$1,Z$2,$A163)</f>
        <v>0</v>
      </c>
      <c r="AA163" s="32">
        <f>_xll.DBRW($C$1,$C$2,$C$3,$C$4,$C$6,$C$5,$C$7,AA$1,AA$2,$A163)</f>
        <v>0</v>
      </c>
      <c r="AB163" s="32">
        <f>_xll.DBRW($C$1,$C$2,$C$3,$C$4,$C$6,$C$5,$C$7,AB$1,AB$2,$A163)</f>
        <v>0</v>
      </c>
      <c r="AC163" s="32">
        <f>_xll.DBRW($C$1,$C$2,$C$3,$C$4,$C$6,$C$5,$C$7,AC$1,AC$2,$A163)</f>
        <v>0</v>
      </c>
      <c r="AD163" s="32">
        <f>_xll.DBRW($C$1,$C$2,$C$3,$C$4,$C$6,$C$5,$C$7,AD$1,AD$2,$A163)</f>
        <v>0</v>
      </c>
      <c r="AE163" s="32">
        <f>_xll.DBRW($C$1,$C$2,$C$3,$C$4,$C$6,$C$5,$C$7,AE$1,AE$2,$A163)</f>
        <v>0</v>
      </c>
      <c r="AF163" s="32">
        <f>_xll.DBRW($C$1,$C$2,$C$3,$C$4,$C$6,$C$5,$C$7,AF$1,AF$2,$A163)</f>
        <v>0</v>
      </c>
      <c r="AG163" s="32">
        <f>_xll.DBRW($C$1,$C$2,$C$3,$C$4,$C$6,$C$5,$C$7,AG$1,AG$2,$A163)</f>
        <v>0</v>
      </c>
      <c r="AH163" s="32">
        <f>_xll.DBRW($C$1,$C$2,$C$3,$C$4,$C$6,$C$5,$C$7,AH$1,AH$2,$A163)</f>
        <v>0</v>
      </c>
      <c r="AI163" s="32">
        <f>_xll.DBRW($C$1,$C$2,$C$3,$C$4,$C$6,$C$5,$C$7,AI$1,AI$2,$A163)</f>
        <v>0</v>
      </c>
      <c r="AJ163" s="32">
        <f>_xll.DBRW($C$1,$C$2,$C$3,$C$4,$C$6,$C$5,$C$7,AJ$1,AJ$2,$A163)</f>
        <v>0</v>
      </c>
      <c r="AK163" s="32">
        <f>_xll.DBRW($C$1,$C$2,$C$3,$C$4,$C$6,$C$5,$C$7,AK$1,AK$2,$A163)</f>
        <v>0</v>
      </c>
      <c r="AL163" s="32">
        <f>_xll.DBRW($C$1,$C$2,$C$3,$C$4,$C$6,$C$5,$C$7,AL$1,AL$2,$A163)</f>
        <v>0</v>
      </c>
      <c r="AM163" s="32">
        <f>_xll.DBRW($C$1,$C$2,$C$3,$C$4,$C$6,$C$5,$C$7,AM$1,AM$2,$A163)</f>
        <v>0</v>
      </c>
      <c r="AN163" s="32">
        <f>_xll.DBRW($C$1,$C$2,$C$3,$C$4,$C$6,$C$5,$C$7,AN$1,AN$2,$A163)</f>
        <v>0</v>
      </c>
      <c r="AO163" s="32">
        <f>_xll.DBRW($C$1,$C$2,$C$3,$C$4,$C$6,$C$5,$C$7,AO$1,AO$2,$A163)</f>
        <v>0</v>
      </c>
      <c r="AP163" s="32">
        <f>_xll.DBRW($C$1,$C$2,$C$3,$C$4,$C$6,$C$5,$C$7,AP$1,AP$2,$A163)</f>
        <v>0</v>
      </c>
      <c r="AQ163" s="32">
        <f>_xll.DBRW($C$1,$C$2,$C$3,$C$4,$C$6,$C$5,$C$7,AQ$1,AQ$2,$A163)</f>
        <v>0</v>
      </c>
      <c r="AR163" s="32">
        <f>_xll.DBRW($C$1,$C$2,$C$3,$C$4,$C$6,$C$5,$C$7,AR$1,AR$2,$A163)</f>
        <v>0</v>
      </c>
      <c r="AS163" s="32">
        <f>_xll.DBRW($C$1,$C$2,$C$3,$C$4,$C$6,$C$5,$C$7,AS$1,AS$2,$A163)</f>
        <v>0</v>
      </c>
      <c r="AT163" s="32">
        <f>_xll.DBRW($C$1,$C$2,$C$3,$C$4,$C$6,$C$5,$C$7,AT$1,AT$2,$A163)</f>
        <v>0</v>
      </c>
      <c r="AU163" s="32">
        <f>_xll.DBRW($C$1,$C$2,$C$3,$C$4,$C$6,$C$5,$C$7,AU$1,AU$2,$A163)</f>
        <v>0</v>
      </c>
    </row>
    <row r="164" spans="1:47" ht="15.75" hidden="1" customHeight="1" outlineLevel="2">
      <c r="A164" s="1" t="s">
        <v>243</v>
      </c>
      <c r="C164" s="143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-110881955.02520001</v>
      </c>
      <c r="G164" s="32">
        <f>_xll.DBRW($C$1,$C$2,$C$3,$C$4,$C$6,$C$5,$C$7,G$1,G$2,$A164)</f>
        <v>-122013851.06179999</v>
      </c>
      <c r="H164" s="32">
        <f>_xll.DBRW($C$1,$C$2,$C$3,$C$4,$C$6,$C$5,$C$7,H$1,H$2,$A164)</f>
        <v>-570321915.72119999</v>
      </c>
      <c r="I164" s="32">
        <f>_xll.DBRW($C$1,$C$2,$C$3,$C$4,$C$6,$C$5,$C$7,I$1,I$2,$A164)</f>
        <v>-26526383.367199998</v>
      </c>
      <c r="J164" s="32">
        <f>_xll.DBRW($C$1,$C$2,$C$3,$C$4,$C$6,$C$5,$C$7,J$1,J$2,$A164)</f>
        <v>-39626042.551600002</v>
      </c>
      <c r="K164" s="32">
        <f>_xll.DBRW($C$1,$C$2,$C$3,$C$4,$C$6,$C$5,$C$7,K$1,K$2,$A164)</f>
        <v>-94191417.477400005</v>
      </c>
      <c r="L164" s="32">
        <f>_xll.DBRW($C$1,$C$2,$C$3,$C$4,$C$6,$C$5,$C$7,L$1,L$2,$A164)</f>
        <v>-132730202.854</v>
      </c>
      <c r="M164" s="32">
        <f>_xll.DBRW($C$1,$C$2,$C$3,$C$4,$C$6,$C$5,$C$7,M$1,M$2,$A164)</f>
        <v>-197152242.98980001</v>
      </c>
      <c r="N164" s="32">
        <f>_xll.DBRW($C$1,$C$2,$C$3,$C$4,$C$6,$C$5,$C$7,N$1,N$2,$A164)</f>
        <v>-267598756.59560001</v>
      </c>
      <c r="O164" s="32">
        <f>_xll.DBRW($C$1,$C$2,$C$3,$C$4,$C$6,$C$5,$C$7,O$1,O$2,$A164)</f>
        <v>-244366848.50920001</v>
      </c>
      <c r="P164" s="32">
        <f>_xll.DBRW($C$1,$C$2,$C$3,$C$4,$C$6,$C$5,$C$7,P$1,P$2,$A164)</f>
        <v>-338357418.8628</v>
      </c>
      <c r="Q164" s="32">
        <f>_xll.DBRW($C$1,$C$2,$C$3,$C$4,$C$6,$C$5,$C$7,Q$1,Q$2,$A164)</f>
        <v>-372693725.33640003</v>
      </c>
      <c r="R164" s="32">
        <f>_xll.DBRW($C$1,$C$2,$C$3,$C$4,$C$6,$C$5,$C$7,R$1,R$2,$A164)</f>
        <v>-356718299</v>
      </c>
      <c r="S164" s="32">
        <f>_xll.DBRW($C$1,$C$2,$C$3,$C$4,$C$6,$C$5,$C$7,S$1,S$2,$A164)</f>
        <v>-908240422.15359998</v>
      </c>
      <c r="T164" s="32">
        <f>_xll.DBRW($C$1,$C$2,$C$3,$C$4,$C$6,$C$5,$C$7,T$1,T$2,$A164)</f>
        <v>-1306588946.7262001</v>
      </c>
      <c r="U164" s="32">
        <f>_xll.DBRW($C$1,$C$2,$C$3,$C$4,$C$6,$C$5,$C$7,U$1,U$2,$A164)</f>
        <v>-1306588946.7262001</v>
      </c>
      <c r="V164" s="32">
        <f>_xll.DBRW($C$1,$C$2,$C$3,$C$4,$C$6,$C$5,$C$7,V$1,V$2,$A164)</f>
        <v>0</v>
      </c>
      <c r="W164" s="32">
        <f>_xll.DBRW($C$1,$C$2,$C$3,$C$4,$C$6,$C$5,$C$7,W$1,W$2,$A164)</f>
        <v>0</v>
      </c>
      <c r="X164" s="32">
        <f>_xll.DBRW($C$1,$C$2,$C$3,$C$4,$C$6,$C$5,$C$7,X$1,X$2,$A164)</f>
        <v>0</v>
      </c>
      <c r="Y164" s="32">
        <f>_xll.DBRW($C$1,$C$2,$C$3,$C$4,$C$6,$C$5,$C$7,Y$1,Y$2,$A164)</f>
        <v>0</v>
      </c>
      <c r="Z164" s="32">
        <f>_xll.DBRW($C$1,$C$2,$C$3,$C$4,$C$6,$C$5,$C$7,Z$1,Z$2,$A164)</f>
        <v>0</v>
      </c>
      <c r="AA164" s="32">
        <f>_xll.DBRW($C$1,$C$2,$C$3,$C$4,$C$6,$C$5,$C$7,AA$1,AA$2,$A164)</f>
        <v>0</v>
      </c>
      <c r="AB164" s="32">
        <f>_xll.DBRW($C$1,$C$2,$C$3,$C$4,$C$6,$C$5,$C$7,AB$1,AB$2,$A164)</f>
        <v>0</v>
      </c>
      <c r="AC164" s="32">
        <f>_xll.DBRW($C$1,$C$2,$C$3,$C$4,$C$6,$C$5,$C$7,AC$1,AC$2,$A164)</f>
        <v>0</v>
      </c>
      <c r="AD164" s="32">
        <f>_xll.DBRW($C$1,$C$2,$C$3,$C$4,$C$6,$C$5,$C$7,AD$1,AD$2,$A164)</f>
        <v>0</v>
      </c>
      <c r="AE164" s="32">
        <f>_xll.DBRW($C$1,$C$2,$C$3,$C$4,$C$6,$C$5,$C$7,AE$1,AE$2,$A164)</f>
        <v>0</v>
      </c>
      <c r="AF164" s="32">
        <f>_xll.DBRW($C$1,$C$2,$C$3,$C$4,$C$6,$C$5,$C$7,AF$1,AF$2,$A164)</f>
        <v>0</v>
      </c>
      <c r="AG164" s="32">
        <f>_xll.DBRW($C$1,$C$2,$C$3,$C$4,$C$6,$C$5,$C$7,AG$1,AG$2,$A164)</f>
        <v>0</v>
      </c>
      <c r="AH164" s="32">
        <f>_xll.DBRW($C$1,$C$2,$C$3,$C$4,$C$6,$C$5,$C$7,AH$1,AH$2,$A164)</f>
        <v>0</v>
      </c>
      <c r="AI164" s="32">
        <f>_xll.DBRW($C$1,$C$2,$C$3,$C$4,$C$6,$C$5,$C$7,AI$1,AI$2,$A164)</f>
        <v>0</v>
      </c>
      <c r="AJ164" s="32">
        <f>_xll.DBRW($C$1,$C$2,$C$3,$C$4,$C$6,$C$5,$C$7,AJ$1,AJ$2,$A164)</f>
        <v>0</v>
      </c>
      <c r="AK164" s="32">
        <f>_xll.DBRW($C$1,$C$2,$C$3,$C$4,$C$6,$C$5,$C$7,AK$1,AK$2,$A164)</f>
        <v>0</v>
      </c>
      <c r="AL164" s="32">
        <f>_xll.DBRW($C$1,$C$2,$C$3,$C$4,$C$6,$C$5,$C$7,AL$1,AL$2,$A164)</f>
        <v>0</v>
      </c>
      <c r="AM164" s="32">
        <f>_xll.DBRW($C$1,$C$2,$C$3,$C$4,$C$6,$C$5,$C$7,AM$1,AM$2,$A164)</f>
        <v>0</v>
      </c>
      <c r="AN164" s="32">
        <f>_xll.DBRW($C$1,$C$2,$C$3,$C$4,$C$6,$C$5,$C$7,AN$1,AN$2,$A164)</f>
        <v>0</v>
      </c>
      <c r="AO164" s="32">
        <f>_xll.DBRW($C$1,$C$2,$C$3,$C$4,$C$6,$C$5,$C$7,AO$1,AO$2,$A164)</f>
        <v>0</v>
      </c>
      <c r="AP164" s="32">
        <f>_xll.DBRW($C$1,$C$2,$C$3,$C$4,$C$6,$C$5,$C$7,AP$1,AP$2,$A164)</f>
        <v>0</v>
      </c>
      <c r="AQ164" s="32">
        <f>_xll.DBRW($C$1,$C$2,$C$3,$C$4,$C$6,$C$5,$C$7,AQ$1,AQ$2,$A164)</f>
        <v>0</v>
      </c>
      <c r="AR164" s="32">
        <f>_xll.DBRW($C$1,$C$2,$C$3,$C$4,$C$6,$C$5,$C$7,AR$1,AR$2,$A164)</f>
        <v>0</v>
      </c>
      <c r="AS164" s="32">
        <f>_xll.DBRW($C$1,$C$2,$C$3,$C$4,$C$6,$C$5,$C$7,AS$1,AS$2,$A164)</f>
        <v>0</v>
      </c>
      <c r="AT164" s="32">
        <f>_xll.DBRW($C$1,$C$2,$C$3,$C$4,$C$6,$C$5,$C$7,AT$1,AT$2,$A164)</f>
        <v>0</v>
      </c>
      <c r="AU164" s="32">
        <f>_xll.DBRW($C$1,$C$2,$C$3,$C$4,$C$6,$C$5,$C$7,AU$1,AU$2,$A164)</f>
        <v>0</v>
      </c>
    </row>
    <row r="165" spans="1:47" ht="15.75" hidden="1" customHeight="1" outlineLevel="2">
      <c r="A165" s="1" t="s">
        <v>244</v>
      </c>
      <c r="C165" s="143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-1871849.0499999998</v>
      </c>
      <c r="G165" s="32">
        <f>_xll.DBRW($C$1,$C$2,$C$3,$C$4,$C$6,$C$5,$C$7,G$1,G$2,$A165)</f>
        <v>-1899892.9900000009</v>
      </c>
      <c r="H165" s="32">
        <f>_xll.DBRW($C$1,$C$2,$C$3,$C$4,$C$6,$C$5,$C$7,H$1,H$2,$A165)</f>
        <v>-1739546.1099999999</v>
      </c>
      <c r="I165" s="32">
        <f>_xll.DBRW($C$1,$C$2,$C$3,$C$4,$C$6,$C$5,$C$7,I$1,I$2,$A165)</f>
        <v>-40177.040000000001</v>
      </c>
      <c r="J165" s="32">
        <f>_xll.DBRW($C$1,$C$2,$C$3,$C$4,$C$6,$C$5,$C$7,J$1,J$2,$A165)</f>
        <v>-154623.75</v>
      </c>
      <c r="K165" s="32">
        <f>_xll.DBRW($C$1,$C$2,$C$3,$C$4,$C$6,$C$5,$C$7,K$1,K$2,$A165)</f>
        <v>-247434.32</v>
      </c>
      <c r="L165" s="32">
        <f>_xll.DBRW($C$1,$C$2,$C$3,$C$4,$C$6,$C$5,$C$7,L$1,L$2,$A165)</f>
        <v>-379643.88</v>
      </c>
      <c r="M165" s="32">
        <f>_xll.DBRW($C$1,$C$2,$C$3,$C$4,$C$6,$C$5,$C$7,M$1,M$2,$A165)</f>
        <v>-443919.63</v>
      </c>
      <c r="N165" s="32">
        <f>_xll.DBRW($C$1,$C$2,$C$3,$C$4,$C$6,$C$5,$C$7,N$1,N$2,$A165)</f>
        <v>-520669.28</v>
      </c>
      <c r="O165" s="32">
        <f>_xll.DBRW($C$1,$C$2,$C$3,$C$4,$C$6,$C$5,$C$7,O$1,O$2,$A165)</f>
        <v>-305516.84000000003</v>
      </c>
      <c r="P165" s="32">
        <f>_xll.DBRW($C$1,$C$2,$C$3,$C$4,$C$6,$C$5,$C$7,P$1,P$2,$A165)</f>
        <v>-624843.52000000002</v>
      </c>
      <c r="Q165" s="32">
        <f>_xll.DBRW($C$1,$C$2,$C$3,$C$4,$C$6,$C$5,$C$7,Q$1,Q$2,$A165)</f>
        <v>-682999.46000000008</v>
      </c>
      <c r="R165" s="32">
        <f>_xll.DBRW($C$1,$C$2,$C$3,$C$4,$C$6,$C$5,$C$7,R$1,R$2,$A165)</f>
        <v>-422938.73000000004</v>
      </c>
      <c r="S165" s="32">
        <f>_xll.DBRW($C$1,$C$2,$C$3,$C$4,$C$6,$C$5,$C$7,S$1,S$2,$A165)</f>
        <v>-608027.38</v>
      </c>
      <c r="T165" s="32">
        <f>_xll.DBRW($C$1,$C$2,$C$3,$C$4,$C$6,$C$5,$C$7,T$1,T$2,$A165)</f>
        <v>-1137850.3500000001</v>
      </c>
      <c r="U165" s="32">
        <f>_xll.DBRW($C$1,$C$2,$C$3,$C$4,$C$6,$C$5,$C$7,U$1,U$2,$A165)</f>
        <v>-1137850.3500000001</v>
      </c>
      <c r="V165" s="32">
        <f>_xll.DBRW($C$1,$C$2,$C$3,$C$4,$C$6,$C$5,$C$7,V$1,V$2,$A165)</f>
        <v>0</v>
      </c>
      <c r="W165" s="32">
        <f>_xll.DBRW($C$1,$C$2,$C$3,$C$4,$C$6,$C$5,$C$7,W$1,W$2,$A165)</f>
        <v>0</v>
      </c>
      <c r="X165" s="32">
        <f>_xll.DBRW($C$1,$C$2,$C$3,$C$4,$C$6,$C$5,$C$7,X$1,X$2,$A165)</f>
        <v>0</v>
      </c>
      <c r="Y165" s="32">
        <f>_xll.DBRW($C$1,$C$2,$C$3,$C$4,$C$6,$C$5,$C$7,Y$1,Y$2,$A165)</f>
        <v>0</v>
      </c>
      <c r="Z165" s="32">
        <f>_xll.DBRW($C$1,$C$2,$C$3,$C$4,$C$6,$C$5,$C$7,Z$1,Z$2,$A165)</f>
        <v>0</v>
      </c>
      <c r="AA165" s="32">
        <f>_xll.DBRW($C$1,$C$2,$C$3,$C$4,$C$6,$C$5,$C$7,AA$1,AA$2,$A165)</f>
        <v>0</v>
      </c>
      <c r="AB165" s="32">
        <f>_xll.DBRW($C$1,$C$2,$C$3,$C$4,$C$6,$C$5,$C$7,AB$1,AB$2,$A165)</f>
        <v>0</v>
      </c>
      <c r="AC165" s="32">
        <f>_xll.DBRW($C$1,$C$2,$C$3,$C$4,$C$6,$C$5,$C$7,AC$1,AC$2,$A165)</f>
        <v>0</v>
      </c>
      <c r="AD165" s="32">
        <f>_xll.DBRW($C$1,$C$2,$C$3,$C$4,$C$6,$C$5,$C$7,AD$1,AD$2,$A165)</f>
        <v>0</v>
      </c>
      <c r="AE165" s="32">
        <f>_xll.DBRW($C$1,$C$2,$C$3,$C$4,$C$6,$C$5,$C$7,AE$1,AE$2,$A165)</f>
        <v>0</v>
      </c>
      <c r="AF165" s="32">
        <f>_xll.DBRW($C$1,$C$2,$C$3,$C$4,$C$6,$C$5,$C$7,AF$1,AF$2,$A165)</f>
        <v>0</v>
      </c>
      <c r="AG165" s="32">
        <f>_xll.DBRW($C$1,$C$2,$C$3,$C$4,$C$6,$C$5,$C$7,AG$1,AG$2,$A165)</f>
        <v>0</v>
      </c>
      <c r="AH165" s="32">
        <f>_xll.DBRW($C$1,$C$2,$C$3,$C$4,$C$6,$C$5,$C$7,AH$1,AH$2,$A165)</f>
        <v>0</v>
      </c>
      <c r="AI165" s="32">
        <f>_xll.DBRW($C$1,$C$2,$C$3,$C$4,$C$6,$C$5,$C$7,AI$1,AI$2,$A165)</f>
        <v>0</v>
      </c>
      <c r="AJ165" s="32">
        <f>_xll.DBRW($C$1,$C$2,$C$3,$C$4,$C$6,$C$5,$C$7,AJ$1,AJ$2,$A165)</f>
        <v>0</v>
      </c>
      <c r="AK165" s="32">
        <f>_xll.DBRW($C$1,$C$2,$C$3,$C$4,$C$6,$C$5,$C$7,AK$1,AK$2,$A165)</f>
        <v>0</v>
      </c>
      <c r="AL165" s="32">
        <f>_xll.DBRW($C$1,$C$2,$C$3,$C$4,$C$6,$C$5,$C$7,AL$1,AL$2,$A165)</f>
        <v>0</v>
      </c>
      <c r="AM165" s="32">
        <f>_xll.DBRW($C$1,$C$2,$C$3,$C$4,$C$6,$C$5,$C$7,AM$1,AM$2,$A165)</f>
        <v>0</v>
      </c>
      <c r="AN165" s="32">
        <f>_xll.DBRW($C$1,$C$2,$C$3,$C$4,$C$6,$C$5,$C$7,AN$1,AN$2,$A165)</f>
        <v>0</v>
      </c>
      <c r="AO165" s="32">
        <f>_xll.DBRW($C$1,$C$2,$C$3,$C$4,$C$6,$C$5,$C$7,AO$1,AO$2,$A165)</f>
        <v>0</v>
      </c>
      <c r="AP165" s="32">
        <f>_xll.DBRW($C$1,$C$2,$C$3,$C$4,$C$6,$C$5,$C$7,AP$1,AP$2,$A165)</f>
        <v>0</v>
      </c>
      <c r="AQ165" s="32">
        <f>_xll.DBRW($C$1,$C$2,$C$3,$C$4,$C$6,$C$5,$C$7,AQ$1,AQ$2,$A165)</f>
        <v>0</v>
      </c>
      <c r="AR165" s="32">
        <f>_xll.DBRW($C$1,$C$2,$C$3,$C$4,$C$6,$C$5,$C$7,AR$1,AR$2,$A165)</f>
        <v>0</v>
      </c>
      <c r="AS165" s="32">
        <f>_xll.DBRW($C$1,$C$2,$C$3,$C$4,$C$6,$C$5,$C$7,AS$1,AS$2,$A165)</f>
        <v>0</v>
      </c>
      <c r="AT165" s="32">
        <f>_xll.DBRW($C$1,$C$2,$C$3,$C$4,$C$6,$C$5,$C$7,AT$1,AT$2,$A165)</f>
        <v>0</v>
      </c>
      <c r="AU165" s="32">
        <f>_xll.DBRW($C$1,$C$2,$C$3,$C$4,$C$6,$C$5,$C$7,AU$1,AU$2,$A165)</f>
        <v>0</v>
      </c>
    </row>
    <row r="166" spans="1:47" ht="15.75" hidden="1" customHeight="1" outlineLevel="2">
      <c r="A166" s="1" t="s">
        <v>245</v>
      </c>
      <c r="C166" s="143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-39132871.569999993</v>
      </c>
      <c r="G166" s="32">
        <f>_xll.DBRW($C$1,$C$2,$C$3,$C$4,$C$6,$C$5,$C$7,G$1,G$2,$A166)</f>
        <v>-43376549.721799992</v>
      </c>
      <c r="H166" s="32">
        <f>_xll.DBRW($C$1,$C$2,$C$3,$C$4,$C$6,$C$5,$C$7,H$1,H$2,$A166)</f>
        <v>-36917129.1778</v>
      </c>
      <c r="I166" s="32">
        <f>_xll.DBRW($C$1,$C$2,$C$3,$C$4,$C$6,$C$5,$C$7,I$1,I$2,$A166)</f>
        <v>-2465140.5642000004</v>
      </c>
      <c r="J166" s="32">
        <f>_xll.DBRW($C$1,$C$2,$C$3,$C$4,$C$6,$C$5,$C$7,J$1,J$2,$A166)</f>
        <v>-6130443.5784</v>
      </c>
      <c r="K166" s="32">
        <f>_xll.DBRW($C$1,$C$2,$C$3,$C$4,$C$6,$C$5,$C$7,K$1,K$2,$A166)</f>
        <v>-9803898.9305999987</v>
      </c>
      <c r="L166" s="32">
        <f>_xll.DBRW($C$1,$C$2,$C$3,$C$4,$C$6,$C$5,$C$7,L$1,L$2,$A166)</f>
        <v>-13147411.3324</v>
      </c>
      <c r="M166" s="32">
        <f>_xll.DBRW($C$1,$C$2,$C$3,$C$4,$C$6,$C$5,$C$7,M$1,M$2,$A166)</f>
        <v>-17123030.208799999</v>
      </c>
      <c r="N166" s="32">
        <f>_xll.DBRW($C$1,$C$2,$C$3,$C$4,$C$6,$C$5,$C$7,N$1,N$2,$A166)</f>
        <v>-13189233.609799998</v>
      </c>
      <c r="O166" s="32">
        <f>_xll.DBRW($C$1,$C$2,$C$3,$C$4,$C$6,$C$5,$C$7,O$1,O$2,$A166)</f>
        <v>-12131955.586199999</v>
      </c>
      <c r="P166" s="32">
        <f>_xll.DBRW($C$1,$C$2,$C$3,$C$4,$C$6,$C$5,$C$7,P$1,P$2,$A166)</f>
        <v>-19134337.285399999</v>
      </c>
      <c r="Q166" s="32">
        <f>_xll.DBRW($C$1,$C$2,$C$3,$C$4,$C$6,$C$5,$C$7,Q$1,Q$2,$A166)</f>
        <v>-23155968.9736</v>
      </c>
      <c r="R166" s="32">
        <f>_xll.DBRW($C$1,$C$2,$C$3,$C$4,$C$6,$C$5,$C$7,R$1,R$2,$A166)</f>
        <v>-22206694.466599997</v>
      </c>
      <c r="S166" s="32">
        <f>_xll.DBRW($C$1,$C$2,$C$3,$C$4,$C$6,$C$5,$C$7,S$1,S$2,$A166)</f>
        <v>-29509873.446599998</v>
      </c>
      <c r="T166" s="32">
        <f>_xll.DBRW($C$1,$C$2,$C$3,$C$4,$C$6,$C$5,$C$7,T$1,T$2,$A166)</f>
        <v>-34356966.113199994</v>
      </c>
      <c r="U166" s="32">
        <f>_xll.DBRW($C$1,$C$2,$C$3,$C$4,$C$6,$C$5,$C$7,U$1,U$2,$A166)</f>
        <v>-34356966.113199994</v>
      </c>
      <c r="V166" s="32">
        <f>_xll.DBRW($C$1,$C$2,$C$3,$C$4,$C$6,$C$5,$C$7,V$1,V$2,$A166)</f>
        <v>0</v>
      </c>
      <c r="W166" s="32">
        <f>_xll.DBRW($C$1,$C$2,$C$3,$C$4,$C$6,$C$5,$C$7,W$1,W$2,$A166)</f>
        <v>0</v>
      </c>
      <c r="X166" s="32">
        <f>_xll.DBRW($C$1,$C$2,$C$3,$C$4,$C$6,$C$5,$C$7,X$1,X$2,$A166)</f>
        <v>0</v>
      </c>
      <c r="Y166" s="32">
        <f>_xll.DBRW($C$1,$C$2,$C$3,$C$4,$C$6,$C$5,$C$7,Y$1,Y$2,$A166)</f>
        <v>0</v>
      </c>
      <c r="Z166" s="32">
        <f>_xll.DBRW($C$1,$C$2,$C$3,$C$4,$C$6,$C$5,$C$7,Z$1,Z$2,$A166)</f>
        <v>0</v>
      </c>
      <c r="AA166" s="32">
        <f>_xll.DBRW($C$1,$C$2,$C$3,$C$4,$C$6,$C$5,$C$7,AA$1,AA$2,$A166)</f>
        <v>0</v>
      </c>
      <c r="AB166" s="32">
        <f>_xll.DBRW($C$1,$C$2,$C$3,$C$4,$C$6,$C$5,$C$7,AB$1,AB$2,$A166)</f>
        <v>0</v>
      </c>
      <c r="AC166" s="32">
        <f>_xll.DBRW($C$1,$C$2,$C$3,$C$4,$C$6,$C$5,$C$7,AC$1,AC$2,$A166)</f>
        <v>0</v>
      </c>
      <c r="AD166" s="32">
        <f>_xll.DBRW($C$1,$C$2,$C$3,$C$4,$C$6,$C$5,$C$7,AD$1,AD$2,$A166)</f>
        <v>0</v>
      </c>
      <c r="AE166" s="32">
        <f>_xll.DBRW($C$1,$C$2,$C$3,$C$4,$C$6,$C$5,$C$7,AE$1,AE$2,$A166)</f>
        <v>0</v>
      </c>
      <c r="AF166" s="32">
        <f>_xll.DBRW($C$1,$C$2,$C$3,$C$4,$C$6,$C$5,$C$7,AF$1,AF$2,$A166)</f>
        <v>0</v>
      </c>
      <c r="AG166" s="32">
        <f>_xll.DBRW($C$1,$C$2,$C$3,$C$4,$C$6,$C$5,$C$7,AG$1,AG$2,$A166)</f>
        <v>0</v>
      </c>
      <c r="AH166" s="32">
        <f>_xll.DBRW($C$1,$C$2,$C$3,$C$4,$C$6,$C$5,$C$7,AH$1,AH$2,$A166)</f>
        <v>0</v>
      </c>
      <c r="AI166" s="32">
        <f>_xll.DBRW($C$1,$C$2,$C$3,$C$4,$C$6,$C$5,$C$7,AI$1,AI$2,$A166)</f>
        <v>0</v>
      </c>
      <c r="AJ166" s="32">
        <f>_xll.DBRW($C$1,$C$2,$C$3,$C$4,$C$6,$C$5,$C$7,AJ$1,AJ$2,$A166)</f>
        <v>0</v>
      </c>
      <c r="AK166" s="32">
        <f>_xll.DBRW($C$1,$C$2,$C$3,$C$4,$C$6,$C$5,$C$7,AK$1,AK$2,$A166)</f>
        <v>0</v>
      </c>
      <c r="AL166" s="32">
        <f>_xll.DBRW($C$1,$C$2,$C$3,$C$4,$C$6,$C$5,$C$7,AL$1,AL$2,$A166)</f>
        <v>0</v>
      </c>
      <c r="AM166" s="32">
        <f>_xll.DBRW($C$1,$C$2,$C$3,$C$4,$C$6,$C$5,$C$7,AM$1,AM$2,$A166)</f>
        <v>0</v>
      </c>
      <c r="AN166" s="32">
        <f>_xll.DBRW($C$1,$C$2,$C$3,$C$4,$C$6,$C$5,$C$7,AN$1,AN$2,$A166)</f>
        <v>0</v>
      </c>
      <c r="AO166" s="32">
        <f>_xll.DBRW($C$1,$C$2,$C$3,$C$4,$C$6,$C$5,$C$7,AO$1,AO$2,$A166)</f>
        <v>0</v>
      </c>
      <c r="AP166" s="32">
        <f>_xll.DBRW($C$1,$C$2,$C$3,$C$4,$C$6,$C$5,$C$7,AP$1,AP$2,$A166)</f>
        <v>0</v>
      </c>
      <c r="AQ166" s="32">
        <f>_xll.DBRW($C$1,$C$2,$C$3,$C$4,$C$6,$C$5,$C$7,AQ$1,AQ$2,$A166)</f>
        <v>0</v>
      </c>
      <c r="AR166" s="32">
        <f>_xll.DBRW($C$1,$C$2,$C$3,$C$4,$C$6,$C$5,$C$7,AR$1,AR$2,$A166)</f>
        <v>0</v>
      </c>
      <c r="AS166" s="32">
        <f>_xll.DBRW($C$1,$C$2,$C$3,$C$4,$C$6,$C$5,$C$7,AS$1,AS$2,$A166)</f>
        <v>0</v>
      </c>
      <c r="AT166" s="32">
        <f>_xll.DBRW($C$1,$C$2,$C$3,$C$4,$C$6,$C$5,$C$7,AT$1,AT$2,$A166)</f>
        <v>0</v>
      </c>
      <c r="AU166" s="32">
        <f>_xll.DBRW($C$1,$C$2,$C$3,$C$4,$C$6,$C$5,$C$7,AU$1,AU$2,$A166)</f>
        <v>0</v>
      </c>
    </row>
    <row r="167" spans="1:47" ht="15.75" hidden="1" customHeight="1" outlineLevel="2">
      <c r="A167" s="1" t="s">
        <v>246</v>
      </c>
      <c r="C167" s="143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-2161852.7199999997</v>
      </c>
      <c r="G167" s="32">
        <f>_xll.DBRW($C$1,$C$2,$C$3,$C$4,$C$6,$C$5,$C$7,G$1,G$2,$A167)</f>
        <v>-2377598.65</v>
      </c>
      <c r="H167" s="32">
        <f>_xll.DBRW($C$1,$C$2,$C$3,$C$4,$C$6,$C$5,$C$7,H$1,H$2,$A167)</f>
        <v>-1385525.87</v>
      </c>
      <c r="I167" s="32">
        <f>_xll.DBRW($C$1,$C$2,$C$3,$C$4,$C$6,$C$5,$C$7,I$1,I$2,$A167)</f>
        <v>-129102.75</v>
      </c>
      <c r="J167" s="32">
        <f>_xll.DBRW($C$1,$C$2,$C$3,$C$4,$C$6,$C$5,$C$7,J$1,J$2,$A167)</f>
        <v>-1758144.53</v>
      </c>
      <c r="K167" s="32">
        <f>_xll.DBRW($C$1,$C$2,$C$3,$C$4,$C$6,$C$5,$C$7,K$1,K$2,$A167)</f>
        <v>-1856027.55</v>
      </c>
      <c r="L167" s="32">
        <f>_xll.DBRW($C$1,$C$2,$C$3,$C$4,$C$6,$C$5,$C$7,L$1,L$2,$A167)</f>
        <v>-1953721.75</v>
      </c>
      <c r="M167" s="32">
        <f>_xll.DBRW($C$1,$C$2,$C$3,$C$4,$C$6,$C$5,$C$7,M$1,M$2,$A167)</f>
        <v>-2054162.75</v>
      </c>
      <c r="N167" s="32">
        <f>_xll.DBRW($C$1,$C$2,$C$3,$C$4,$C$6,$C$5,$C$7,N$1,N$2,$A167)</f>
        <v>-2153556.54</v>
      </c>
      <c r="O167" s="32">
        <f>_xll.DBRW($C$1,$C$2,$C$3,$C$4,$C$6,$C$5,$C$7,O$1,O$2,$A167)</f>
        <v>-2182393.0499999998</v>
      </c>
      <c r="P167" s="32">
        <f>_xll.DBRW($C$1,$C$2,$C$3,$C$4,$C$6,$C$5,$C$7,P$1,P$2,$A167)</f>
        <v>-2447596.0199999996</v>
      </c>
      <c r="Q167" s="32">
        <f>_xll.DBRW($C$1,$C$2,$C$3,$C$4,$C$6,$C$5,$C$7,Q$1,Q$2,$A167)</f>
        <v>-2497388.0899999994</v>
      </c>
      <c r="R167" s="32">
        <f>_xll.DBRW($C$1,$C$2,$C$3,$C$4,$C$6,$C$5,$C$7,R$1,R$2,$A167)</f>
        <v>-2458490.6299999994</v>
      </c>
      <c r="S167" s="32">
        <f>_xll.DBRW($C$1,$C$2,$C$3,$C$4,$C$6,$C$5,$C$7,S$1,S$2,$A167)</f>
        <v>-2674133.6899999995</v>
      </c>
      <c r="T167" s="32">
        <f>_xll.DBRW($C$1,$C$2,$C$3,$C$4,$C$6,$C$5,$C$7,T$1,T$2,$A167)</f>
        <v>-2774482.1899999995</v>
      </c>
      <c r="U167" s="32">
        <f>_xll.DBRW($C$1,$C$2,$C$3,$C$4,$C$6,$C$5,$C$7,U$1,U$2,$A167)</f>
        <v>-2774482.1899999995</v>
      </c>
      <c r="V167" s="32">
        <f>_xll.DBRW($C$1,$C$2,$C$3,$C$4,$C$6,$C$5,$C$7,V$1,V$2,$A167)</f>
        <v>0</v>
      </c>
      <c r="W167" s="32">
        <f>_xll.DBRW($C$1,$C$2,$C$3,$C$4,$C$6,$C$5,$C$7,W$1,W$2,$A167)</f>
        <v>0</v>
      </c>
      <c r="X167" s="32">
        <f>_xll.DBRW($C$1,$C$2,$C$3,$C$4,$C$6,$C$5,$C$7,X$1,X$2,$A167)</f>
        <v>0</v>
      </c>
      <c r="Y167" s="32">
        <f>_xll.DBRW($C$1,$C$2,$C$3,$C$4,$C$6,$C$5,$C$7,Y$1,Y$2,$A167)</f>
        <v>0</v>
      </c>
      <c r="Z167" s="32">
        <f>_xll.DBRW($C$1,$C$2,$C$3,$C$4,$C$6,$C$5,$C$7,Z$1,Z$2,$A167)</f>
        <v>0</v>
      </c>
      <c r="AA167" s="32">
        <f>_xll.DBRW($C$1,$C$2,$C$3,$C$4,$C$6,$C$5,$C$7,AA$1,AA$2,$A167)</f>
        <v>0</v>
      </c>
      <c r="AB167" s="32">
        <f>_xll.DBRW($C$1,$C$2,$C$3,$C$4,$C$6,$C$5,$C$7,AB$1,AB$2,$A167)</f>
        <v>0</v>
      </c>
      <c r="AC167" s="32">
        <f>_xll.DBRW($C$1,$C$2,$C$3,$C$4,$C$6,$C$5,$C$7,AC$1,AC$2,$A167)</f>
        <v>0</v>
      </c>
      <c r="AD167" s="32">
        <f>_xll.DBRW($C$1,$C$2,$C$3,$C$4,$C$6,$C$5,$C$7,AD$1,AD$2,$A167)</f>
        <v>0</v>
      </c>
      <c r="AE167" s="32">
        <f>_xll.DBRW($C$1,$C$2,$C$3,$C$4,$C$6,$C$5,$C$7,AE$1,AE$2,$A167)</f>
        <v>0</v>
      </c>
      <c r="AF167" s="32">
        <f>_xll.DBRW($C$1,$C$2,$C$3,$C$4,$C$6,$C$5,$C$7,AF$1,AF$2,$A167)</f>
        <v>0</v>
      </c>
      <c r="AG167" s="32">
        <f>_xll.DBRW($C$1,$C$2,$C$3,$C$4,$C$6,$C$5,$C$7,AG$1,AG$2,$A167)</f>
        <v>0</v>
      </c>
      <c r="AH167" s="32">
        <f>_xll.DBRW($C$1,$C$2,$C$3,$C$4,$C$6,$C$5,$C$7,AH$1,AH$2,$A167)</f>
        <v>0</v>
      </c>
      <c r="AI167" s="32">
        <f>_xll.DBRW($C$1,$C$2,$C$3,$C$4,$C$6,$C$5,$C$7,AI$1,AI$2,$A167)</f>
        <v>0</v>
      </c>
      <c r="AJ167" s="32">
        <f>_xll.DBRW($C$1,$C$2,$C$3,$C$4,$C$6,$C$5,$C$7,AJ$1,AJ$2,$A167)</f>
        <v>0</v>
      </c>
      <c r="AK167" s="32">
        <f>_xll.DBRW($C$1,$C$2,$C$3,$C$4,$C$6,$C$5,$C$7,AK$1,AK$2,$A167)</f>
        <v>0</v>
      </c>
      <c r="AL167" s="32">
        <f>_xll.DBRW($C$1,$C$2,$C$3,$C$4,$C$6,$C$5,$C$7,AL$1,AL$2,$A167)</f>
        <v>0</v>
      </c>
      <c r="AM167" s="32">
        <f>_xll.DBRW($C$1,$C$2,$C$3,$C$4,$C$6,$C$5,$C$7,AM$1,AM$2,$A167)</f>
        <v>0</v>
      </c>
      <c r="AN167" s="32">
        <f>_xll.DBRW($C$1,$C$2,$C$3,$C$4,$C$6,$C$5,$C$7,AN$1,AN$2,$A167)</f>
        <v>0</v>
      </c>
      <c r="AO167" s="32">
        <f>_xll.DBRW($C$1,$C$2,$C$3,$C$4,$C$6,$C$5,$C$7,AO$1,AO$2,$A167)</f>
        <v>0</v>
      </c>
      <c r="AP167" s="32">
        <f>_xll.DBRW($C$1,$C$2,$C$3,$C$4,$C$6,$C$5,$C$7,AP$1,AP$2,$A167)</f>
        <v>0</v>
      </c>
      <c r="AQ167" s="32">
        <f>_xll.DBRW($C$1,$C$2,$C$3,$C$4,$C$6,$C$5,$C$7,AQ$1,AQ$2,$A167)</f>
        <v>0</v>
      </c>
      <c r="AR167" s="32">
        <f>_xll.DBRW($C$1,$C$2,$C$3,$C$4,$C$6,$C$5,$C$7,AR$1,AR$2,$A167)</f>
        <v>0</v>
      </c>
      <c r="AS167" s="32">
        <f>_xll.DBRW($C$1,$C$2,$C$3,$C$4,$C$6,$C$5,$C$7,AS$1,AS$2,$A167)</f>
        <v>0</v>
      </c>
      <c r="AT167" s="32">
        <f>_xll.DBRW($C$1,$C$2,$C$3,$C$4,$C$6,$C$5,$C$7,AT$1,AT$2,$A167)</f>
        <v>0</v>
      </c>
      <c r="AU167" s="32">
        <f>_xll.DBRW($C$1,$C$2,$C$3,$C$4,$C$6,$C$5,$C$7,AU$1,AU$2,$A167)</f>
        <v>0</v>
      </c>
    </row>
    <row r="168" spans="1:47" ht="15.75" hidden="1" customHeight="1" outlineLevel="2">
      <c r="A168" s="1" t="s">
        <v>247</v>
      </c>
      <c r="C168" s="143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2015.3149999999996</v>
      </c>
      <c r="G168" s="32">
        <f>_xll.DBRW($C$1,$C$2,$C$3,$C$4,$C$6,$C$5,$C$7,G$1,G$2,$A168)</f>
        <v>-8228.7000000000007</v>
      </c>
      <c r="H168" s="32">
        <f>_xll.DBRW($C$1,$C$2,$C$3,$C$4,$C$6,$C$5,$C$7,H$1,H$2,$A168)</f>
        <v>-72586</v>
      </c>
      <c r="I168" s="32">
        <f>_xll.DBRW($C$1,$C$2,$C$3,$C$4,$C$6,$C$5,$C$7,I$1,I$2,$A168)</f>
        <v>-97</v>
      </c>
      <c r="J168" s="32">
        <f>_xll.DBRW($C$1,$C$2,$C$3,$C$4,$C$6,$C$5,$C$7,J$1,J$2,$A168)</f>
        <v>2527</v>
      </c>
      <c r="K168" s="32">
        <f>_xll.DBRW($C$1,$C$2,$C$3,$C$4,$C$6,$C$5,$C$7,K$1,K$2,$A168)</f>
        <v>2480</v>
      </c>
      <c r="L168" s="32">
        <f>_xll.DBRW($C$1,$C$2,$C$3,$C$4,$C$6,$C$5,$C$7,L$1,L$2,$A168)</f>
        <v>2434</v>
      </c>
      <c r="M168" s="32">
        <f>_xll.DBRW($C$1,$C$2,$C$3,$C$4,$C$6,$C$5,$C$7,M$1,M$2,$A168)</f>
        <v>2387</v>
      </c>
      <c r="N168" s="32">
        <f>_xll.DBRW($C$1,$C$2,$C$3,$C$4,$C$6,$C$5,$C$7,N$1,N$2,$A168)</f>
        <v>2340</v>
      </c>
      <c r="O168" s="32">
        <f>_xll.DBRW($C$1,$C$2,$C$3,$C$4,$C$6,$C$5,$C$7,O$1,O$2,$A168)</f>
        <v>2293</v>
      </c>
      <c r="P168" s="32">
        <f>_xll.DBRW($C$1,$C$2,$C$3,$C$4,$C$6,$C$5,$C$7,P$1,P$2,$A168)</f>
        <v>4547</v>
      </c>
      <c r="Q168" s="32">
        <f>_xll.DBRW($C$1,$C$2,$C$3,$C$4,$C$6,$C$5,$C$7,Q$1,Q$2,$A168)</f>
        <v>5750</v>
      </c>
      <c r="R168" s="32">
        <f>_xll.DBRW($C$1,$C$2,$C$3,$C$4,$C$6,$C$5,$C$7,R$1,R$2,$A168)</f>
        <v>2153.1</v>
      </c>
      <c r="S168" s="32">
        <f>_xll.DBRW($C$1,$C$2,$C$3,$C$4,$C$6,$C$5,$C$7,S$1,S$2,$A168)</f>
        <v>8782.2899999999991</v>
      </c>
      <c r="T168" s="32">
        <f>_xll.DBRW($C$1,$C$2,$C$3,$C$4,$C$6,$C$5,$C$7,T$1,T$2,$A168)</f>
        <v>8729</v>
      </c>
      <c r="U168" s="32">
        <f>_xll.DBRW($C$1,$C$2,$C$3,$C$4,$C$6,$C$5,$C$7,U$1,U$2,$A168)</f>
        <v>8729</v>
      </c>
      <c r="V168" s="32">
        <f>_xll.DBRW($C$1,$C$2,$C$3,$C$4,$C$6,$C$5,$C$7,V$1,V$2,$A168)</f>
        <v>0</v>
      </c>
      <c r="W168" s="32">
        <f>_xll.DBRW($C$1,$C$2,$C$3,$C$4,$C$6,$C$5,$C$7,W$1,W$2,$A168)</f>
        <v>0</v>
      </c>
      <c r="X168" s="32">
        <f>_xll.DBRW($C$1,$C$2,$C$3,$C$4,$C$6,$C$5,$C$7,X$1,X$2,$A168)</f>
        <v>0</v>
      </c>
      <c r="Y168" s="32">
        <f>_xll.DBRW($C$1,$C$2,$C$3,$C$4,$C$6,$C$5,$C$7,Y$1,Y$2,$A168)</f>
        <v>0</v>
      </c>
      <c r="Z168" s="32">
        <f>_xll.DBRW($C$1,$C$2,$C$3,$C$4,$C$6,$C$5,$C$7,Z$1,Z$2,$A168)</f>
        <v>0</v>
      </c>
      <c r="AA168" s="32">
        <f>_xll.DBRW($C$1,$C$2,$C$3,$C$4,$C$6,$C$5,$C$7,AA$1,AA$2,$A168)</f>
        <v>0</v>
      </c>
      <c r="AB168" s="32">
        <f>_xll.DBRW($C$1,$C$2,$C$3,$C$4,$C$6,$C$5,$C$7,AB$1,AB$2,$A168)</f>
        <v>0</v>
      </c>
      <c r="AC168" s="32">
        <f>_xll.DBRW($C$1,$C$2,$C$3,$C$4,$C$6,$C$5,$C$7,AC$1,AC$2,$A168)</f>
        <v>0</v>
      </c>
      <c r="AD168" s="32">
        <f>_xll.DBRW($C$1,$C$2,$C$3,$C$4,$C$6,$C$5,$C$7,AD$1,AD$2,$A168)</f>
        <v>0</v>
      </c>
      <c r="AE168" s="32">
        <f>_xll.DBRW($C$1,$C$2,$C$3,$C$4,$C$6,$C$5,$C$7,AE$1,AE$2,$A168)</f>
        <v>0</v>
      </c>
      <c r="AF168" s="32">
        <f>_xll.DBRW($C$1,$C$2,$C$3,$C$4,$C$6,$C$5,$C$7,AF$1,AF$2,$A168)</f>
        <v>0</v>
      </c>
      <c r="AG168" s="32">
        <f>_xll.DBRW($C$1,$C$2,$C$3,$C$4,$C$6,$C$5,$C$7,AG$1,AG$2,$A168)</f>
        <v>0</v>
      </c>
      <c r="AH168" s="32">
        <f>_xll.DBRW($C$1,$C$2,$C$3,$C$4,$C$6,$C$5,$C$7,AH$1,AH$2,$A168)</f>
        <v>0</v>
      </c>
      <c r="AI168" s="32">
        <f>_xll.DBRW($C$1,$C$2,$C$3,$C$4,$C$6,$C$5,$C$7,AI$1,AI$2,$A168)</f>
        <v>0</v>
      </c>
      <c r="AJ168" s="32">
        <f>_xll.DBRW($C$1,$C$2,$C$3,$C$4,$C$6,$C$5,$C$7,AJ$1,AJ$2,$A168)</f>
        <v>0</v>
      </c>
      <c r="AK168" s="32">
        <f>_xll.DBRW($C$1,$C$2,$C$3,$C$4,$C$6,$C$5,$C$7,AK$1,AK$2,$A168)</f>
        <v>0</v>
      </c>
      <c r="AL168" s="32">
        <f>_xll.DBRW($C$1,$C$2,$C$3,$C$4,$C$6,$C$5,$C$7,AL$1,AL$2,$A168)</f>
        <v>0</v>
      </c>
      <c r="AM168" s="32">
        <f>_xll.DBRW($C$1,$C$2,$C$3,$C$4,$C$6,$C$5,$C$7,AM$1,AM$2,$A168)</f>
        <v>0</v>
      </c>
      <c r="AN168" s="32">
        <f>_xll.DBRW($C$1,$C$2,$C$3,$C$4,$C$6,$C$5,$C$7,AN$1,AN$2,$A168)</f>
        <v>0</v>
      </c>
      <c r="AO168" s="32">
        <f>_xll.DBRW($C$1,$C$2,$C$3,$C$4,$C$6,$C$5,$C$7,AO$1,AO$2,$A168)</f>
        <v>0</v>
      </c>
      <c r="AP168" s="32">
        <f>_xll.DBRW($C$1,$C$2,$C$3,$C$4,$C$6,$C$5,$C$7,AP$1,AP$2,$A168)</f>
        <v>0</v>
      </c>
      <c r="AQ168" s="32">
        <f>_xll.DBRW($C$1,$C$2,$C$3,$C$4,$C$6,$C$5,$C$7,AQ$1,AQ$2,$A168)</f>
        <v>0</v>
      </c>
      <c r="AR168" s="32">
        <f>_xll.DBRW($C$1,$C$2,$C$3,$C$4,$C$6,$C$5,$C$7,AR$1,AR$2,$A168)</f>
        <v>0</v>
      </c>
      <c r="AS168" s="32">
        <f>_xll.DBRW($C$1,$C$2,$C$3,$C$4,$C$6,$C$5,$C$7,AS$1,AS$2,$A168)</f>
        <v>0</v>
      </c>
      <c r="AT168" s="32">
        <f>_xll.DBRW($C$1,$C$2,$C$3,$C$4,$C$6,$C$5,$C$7,AT$1,AT$2,$A168)</f>
        <v>0</v>
      </c>
      <c r="AU168" s="32">
        <f>_xll.DBRW($C$1,$C$2,$C$3,$C$4,$C$6,$C$5,$C$7,AU$1,AU$2,$A168)</f>
        <v>0</v>
      </c>
    </row>
    <row r="169" spans="1:47" ht="15.75" hidden="1" outlineLevel="1">
      <c r="A169" s="1" t="s">
        <v>127</v>
      </c>
      <c r="C169" s="143"/>
      <c r="E169" s="15" t="s">
        <v>38</v>
      </c>
      <c r="F169" s="33">
        <f t="shared" ref="F169:T169" si="78">SUM(F152:F168)</f>
        <v>-1957176885.3072002</v>
      </c>
      <c r="G169" s="33">
        <f t="shared" si="78"/>
        <v>-1831882489.6176002</v>
      </c>
      <c r="H169" s="33">
        <f t="shared" si="78"/>
        <v>-4015379214.9878006</v>
      </c>
      <c r="I169" s="33">
        <f t="shared" si="78"/>
        <v>-290637661.69295001</v>
      </c>
      <c r="J169" s="33">
        <f t="shared" si="78"/>
        <v>-407785150.37119997</v>
      </c>
      <c r="K169" s="33">
        <f t="shared" si="78"/>
        <v>-1017390553.8397999</v>
      </c>
      <c r="L169" s="33">
        <f t="shared" si="78"/>
        <v>-1391498480.9856005</v>
      </c>
      <c r="M169" s="33">
        <f t="shared" si="78"/>
        <v>-1795722761.4448001</v>
      </c>
      <c r="N169" s="33">
        <f t="shared" si="78"/>
        <v>-2210880403.1461997</v>
      </c>
      <c r="O169" s="33">
        <f t="shared" si="78"/>
        <v>-2233623947.031601</v>
      </c>
      <c r="P169" s="33">
        <f t="shared" si="78"/>
        <v>-3058473193.9797997</v>
      </c>
      <c r="Q169" s="33">
        <f t="shared" si="78"/>
        <v>-3482676537.6020007</v>
      </c>
      <c r="R169" s="33">
        <f t="shared" si="78"/>
        <v>-3369612951.9190001</v>
      </c>
      <c r="S169" s="33">
        <f t="shared" si="78"/>
        <v>-4577974172.6729994</v>
      </c>
      <c r="T169" s="33">
        <f t="shared" si="78"/>
        <v>-5568842334.4538002</v>
      </c>
      <c r="U169" s="33">
        <f>SUM(U152:U168)</f>
        <v>-5568842334.4538002</v>
      </c>
      <c r="V169" s="33">
        <f t="shared" ref="V169:AG169" si="79">SUM(V152:V168)</f>
        <v>0</v>
      </c>
      <c r="W169" s="33">
        <f t="shared" si="79"/>
        <v>0</v>
      </c>
      <c r="X169" s="33">
        <f t="shared" si="79"/>
        <v>0</v>
      </c>
      <c r="Y169" s="33">
        <f t="shared" si="79"/>
        <v>0</v>
      </c>
      <c r="Z169" s="33">
        <f t="shared" si="79"/>
        <v>0</v>
      </c>
      <c r="AA169" s="33">
        <f t="shared" si="79"/>
        <v>0</v>
      </c>
      <c r="AB169" s="33">
        <f t="shared" si="79"/>
        <v>0</v>
      </c>
      <c r="AC169" s="33">
        <f t="shared" si="79"/>
        <v>0</v>
      </c>
      <c r="AD169" s="33">
        <f t="shared" si="79"/>
        <v>0</v>
      </c>
      <c r="AE169" s="33">
        <f t="shared" si="79"/>
        <v>0</v>
      </c>
      <c r="AF169" s="33">
        <f t="shared" si="79"/>
        <v>0</v>
      </c>
      <c r="AG169" s="33">
        <f t="shared" si="79"/>
        <v>0</v>
      </c>
      <c r="AH169" s="33">
        <f>SUM(AH152:AH168)</f>
        <v>0</v>
      </c>
      <c r="AI169" s="33">
        <f t="shared" ref="AI169:AT169" si="80">SUM(AI152:AI168)</f>
        <v>0</v>
      </c>
      <c r="AJ169" s="33">
        <f t="shared" si="80"/>
        <v>0</v>
      </c>
      <c r="AK169" s="33">
        <f t="shared" si="80"/>
        <v>0</v>
      </c>
      <c r="AL169" s="33">
        <f t="shared" si="80"/>
        <v>0</v>
      </c>
      <c r="AM169" s="33">
        <f t="shared" si="80"/>
        <v>0</v>
      </c>
      <c r="AN169" s="33">
        <f t="shared" si="80"/>
        <v>0</v>
      </c>
      <c r="AO169" s="33">
        <f t="shared" si="80"/>
        <v>0</v>
      </c>
      <c r="AP169" s="33">
        <f t="shared" si="80"/>
        <v>0</v>
      </c>
      <c r="AQ169" s="33">
        <f t="shared" si="80"/>
        <v>0</v>
      </c>
      <c r="AR169" s="33">
        <f t="shared" si="80"/>
        <v>0</v>
      </c>
      <c r="AS169" s="33">
        <f t="shared" si="80"/>
        <v>0</v>
      </c>
      <c r="AT169" s="33">
        <f t="shared" si="80"/>
        <v>0</v>
      </c>
      <c r="AU169" s="33">
        <f>SUM(AU152:AU168)</f>
        <v>0</v>
      </c>
    </row>
    <row r="170" spans="1:47" ht="15.75" hidden="1" customHeight="1" outlineLevel="2">
      <c r="A170" s="1" t="s">
        <v>248</v>
      </c>
      <c r="C170" s="143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3016088.12</v>
      </c>
      <c r="G170" s="32">
        <f>_xll.DBRW($C$1,$C$2,$C$3,$C$4,$C$6,$C$5,$C$7,G$1,G$2,$A170)</f>
        <v>-61963999.620000005</v>
      </c>
      <c r="H170" s="32">
        <f>_xll.DBRW($C$1,$C$2,$C$3,$C$4,$C$6,$C$5,$C$7,H$1,H$2,$A170)</f>
        <v>-87585.730000000054</v>
      </c>
      <c r="I170" s="32">
        <f>_xll.DBRW($C$1,$C$2,$C$3,$C$4,$C$6,$C$5,$C$7,I$1,I$2,$A170)</f>
        <v>0</v>
      </c>
      <c r="J170" s="32">
        <f>_xll.DBRW($C$1,$C$2,$C$3,$C$4,$C$6,$C$5,$C$7,J$1,J$2,$A170)</f>
        <v>-89196.51</v>
      </c>
      <c r="K170" s="32">
        <f>_xll.DBRW($C$1,$C$2,$C$3,$C$4,$C$6,$C$5,$C$7,K$1,K$2,$A170)</f>
        <v>-155995.22999999998</v>
      </c>
      <c r="L170" s="32">
        <f>_xll.DBRW($C$1,$C$2,$C$3,$C$4,$C$6,$C$5,$C$7,L$1,L$2,$A170)</f>
        <v>-190665.55999999997</v>
      </c>
      <c r="M170" s="32">
        <f>_xll.DBRW($C$1,$C$2,$C$3,$C$4,$C$6,$C$5,$C$7,M$1,M$2,$A170)</f>
        <v>-189886.52999999997</v>
      </c>
      <c r="N170" s="32">
        <f>_xll.DBRW($C$1,$C$2,$C$3,$C$4,$C$6,$C$5,$C$7,N$1,N$2,$A170)</f>
        <v>-261152.49</v>
      </c>
      <c r="O170" s="32">
        <f>_xll.DBRW($C$1,$C$2,$C$3,$C$4,$C$6,$C$5,$C$7,O$1,O$2,$A170)</f>
        <v>5.8207660913467407E-11</v>
      </c>
      <c r="P170" s="32">
        <f>_xll.DBRW($C$1,$C$2,$C$3,$C$4,$C$6,$C$5,$C$7,P$1,P$2,$A170)</f>
        <v>-312988.67999999988</v>
      </c>
      <c r="Q170" s="32">
        <f>_xll.DBRW($C$1,$C$2,$C$3,$C$4,$C$6,$C$5,$C$7,Q$1,Q$2,$A170)</f>
        <v>-346172.5199999999</v>
      </c>
      <c r="R170" s="32">
        <f>_xll.DBRW($C$1,$C$2,$C$3,$C$4,$C$6,$C$5,$C$7,R$1,R$2,$A170)</f>
        <v>5.8207660913467407E-11</v>
      </c>
      <c r="S170" s="32">
        <f>_xll.DBRW($C$1,$C$2,$C$3,$C$4,$C$6,$C$5,$C$7,S$1,S$2,$A170)</f>
        <v>-414680.60999999993</v>
      </c>
      <c r="T170" s="32">
        <f>_xll.DBRW($C$1,$C$2,$C$3,$C$4,$C$6,$C$5,$C$7,T$1,T$2,$A170)</f>
        <v>-583543.09999999986</v>
      </c>
      <c r="U170" s="32">
        <f>_xll.DBRW($C$1,$C$2,$C$3,$C$4,$C$6,$C$5,$C$7,U$1,U$2,$A170)</f>
        <v>-583543.09999999986</v>
      </c>
      <c r="V170" s="32">
        <f>_xll.DBRW($C$1,$C$2,$C$3,$C$4,$C$6,$C$5,$C$7,V$1,V$2,$A170)</f>
        <v>0</v>
      </c>
      <c r="W170" s="32">
        <f>_xll.DBRW($C$1,$C$2,$C$3,$C$4,$C$6,$C$5,$C$7,W$1,W$2,$A170)</f>
        <v>0</v>
      </c>
      <c r="X170" s="32">
        <f>_xll.DBRW($C$1,$C$2,$C$3,$C$4,$C$6,$C$5,$C$7,X$1,X$2,$A170)</f>
        <v>0</v>
      </c>
      <c r="Y170" s="32">
        <f>_xll.DBRW($C$1,$C$2,$C$3,$C$4,$C$6,$C$5,$C$7,Y$1,Y$2,$A170)</f>
        <v>0</v>
      </c>
      <c r="Z170" s="32">
        <f>_xll.DBRW($C$1,$C$2,$C$3,$C$4,$C$6,$C$5,$C$7,Z$1,Z$2,$A170)</f>
        <v>0</v>
      </c>
      <c r="AA170" s="32">
        <f>_xll.DBRW($C$1,$C$2,$C$3,$C$4,$C$6,$C$5,$C$7,AA$1,AA$2,$A170)</f>
        <v>0</v>
      </c>
      <c r="AB170" s="32">
        <f>_xll.DBRW($C$1,$C$2,$C$3,$C$4,$C$6,$C$5,$C$7,AB$1,AB$2,$A170)</f>
        <v>0</v>
      </c>
      <c r="AC170" s="32">
        <f>_xll.DBRW($C$1,$C$2,$C$3,$C$4,$C$6,$C$5,$C$7,AC$1,AC$2,$A170)</f>
        <v>0</v>
      </c>
      <c r="AD170" s="32">
        <f>_xll.DBRW($C$1,$C$2,$C$3,$C$4,$C$6,$C$5,$C$7,AD$1,AD$2,$A170)</f>
        <v>0</v>
      </c>
      <c r="AE170" s="32">
        <f>_xll.DBRW($C$1,$C$2,$C$3,$C$4,$C$6,$C$5,$C$7,AE$1,AE$2,$A170)</f>
        <v>0</v>
      </c>
      <c r="AF170" s="32">
        <f>_xll.DBRW($C$1,$C$2,$C$3,$C$4,$C$6,$C$5,$C$7,AF$1,AF$2,$A170)</f>
        <v>0</v>
      </c>
      <c r="AG170" s="32">
        <f>_xll.DBRW($C$1,$C$2,$C$3,$C$4,$C$6,$C$5,$C$7,AG$1,AG$2,$A170)</f>
        <v>0</v>
      </c>
      <c r="AH170" s="32">
        <f>_xll.DBRW($C$1,$C$2,$C$3,$C$4,$C$6,$C$5,$C$7,AH$1,AH$2,$A170)</f>
        <v>0</v>
      </c>
      <c r="AI170" s="32">
        <f>_xll.DBRW($C$1,$C$2,$C$3,$C$4,$C$6,$C$5,$C$7,AI$1,AI$2,$A170)</f>
        <v>0</v>
      </c>
      <c r="AJ170" s="32">
        <f>_xll.DBRW($C$1,$C$2,$C$3,$C$4,$C$6,$C$5,$C$7,AJ$1,AJ$2,$A170)</f>
        <v>0</v>
      </c>
      <c r="AK170" s="32">
        <f>_xll.DBRW($C$1,$C$2,$C$3,$C$4,$C$6,$C$5,$C$7,AK$1,AK$2,$A170)</f>
        <v>0</v>
      </c>
      <c r="AL170" s="32">
        <f>_xll.DBRW($C$1,$C$2,$C$3,$C$4,$C$6,$C$5,$C$7,AL$1,AL$2,$A170)</f>
        <v>0</v>
      </c>
      <c r="AM170" s="32">
        <f>_xll.DBRW($C$1,$C$2,$C$3,$C$4,$C$6,$C$5,$C$7,AM$1,AM$2,$A170)</f>
        <v>0</v>
      </c>
      <c r="AN170" s="32">
        <f>_xll.DBRW($C$1,$C$2,$C$3,$C$4,$C$6,$C$5,$C$7,AN$1,AN$2,$A170)</f>
        <v>0</v>
      </c>
      <c r="AO170" s="32">
        <f>_xll.DBRW($C$1,$C$2,$C$3,$C$4,$C$6,$C$5,$C$7,AO$1,AO$2,$A170)</f>
        <v>0</v>
      </c>
      <c r="AP170" s="32">
        <f>_xll.DBRW($C$1,$C$2,$C$3,$C$4,$C$6,$C$5,$C$7,AP$1,AP$2,$A170)</f>
        <v>0</v>
      </c>
      <c r="AQ170" s="32">
        <f>_xll.DBRW($C$1,$C$2,$C$3,$C$4,$C$6,$C$5,$C$7,AQ$1,AQ$2,$A170)</f>
        <v>0</v>
      </c>
      <c r="AR170" s="32">
        <f>_xll.DBRW($C$1,$C$2,$C$3,$C$4,$C$6,$C$5,$C$7,AR$1,AR$2,$A170)</f>
        <v>0</v>
      </c>
      <c r="AS170" s="32">
        <f>_xll.DBRW($C$1,$C$2,$C$3,$C$4,$C$6,$C$5,$C$7,AS$1,AS$2,$A170)</f>
        <v>0</v>
      </c>
      <c r="AT170" s="32">
        <f>_xll.DBRW($C$1,$C$2,$C$3,$C$4,$C$6,$C$5,$C$7,AT$1,AT$2,$A170)</f>
        <v>0</v>
      </c>
      <c r="AU170" s="32">
        <f>_xll.DBRW($C$1,$C$2,$C$3,$C$4,$C$6,$C$5,$C$7,AU$1,AU$2,$A170)</f>
        <v>0</v>
      </c>
    </row>
    <row r="171" spans="1:47" ht="15.75" hidden="1" customHeight="1" outlineLevel="2">
      <c r="A171" s="1" t="s">
        <v>249</v>
      </c>
      <c r="C171" s="143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-79111191.329999983</v>
      </c>
      <c r="G171" s="32">
        <f>_xll.DBRW($C$1,$C$2,$C$3,$C$4,$C$6,$C$5,$C$7,G$1,G$2,$A171)</f>
        <v>-77728079.770000011</v>
      </c>
      <c r="H171" s="32">
        <f>_xll.DBRW($C$1,$C$2,$C$3,$C$4,$C$6,$C$5,$C$7,H$1,H$2,$A171)</f>
        <v>-73662375.890000015</v>
      </c>
      <c r="I171" s="32">
        <f>_xll.DBRW($C$1,$C$2,$C$3,$C$4,$C$6,$C$5,$C$7,I$1,I$2,$A171)</f>
        <v>0</v>
      </c>
      <c r="J171" s="32">
        <f>_xll.DBRW($C$1,$C$2,$C$3,$C$4,$C$6,$C$5,$C$7,J$1,J$2,$A171)</f>
        <v>-13139310.740000004</v>
      </c>
      <c r="K171" s="32">
        <f>_xll.DBRW($C$1,$C$2,$C$3,$C$4,$C$6,$C$5,$C$7,K$1,K$2,$A171)</f>
        <v>-19302854.220000003</v>
      </c>
      <c r="L171" s="32">
        <f>_xll.DBRW($C$1,$C$2,$C$3,$C$4,$C$6,$C$5,$C$7,L$1,L$2,$A171)</f>
        <v>-25382194.460000001</v>
      </c>
      <c r="M171" s="32">
        <f>_xll.DBRW($C$1,$C$2,$C$3,$C$4,$C$6,$C$5,$C$7,M$1,M$2,$A171)</f>
        <v>-31767903.890000001</v>
      </c>
      <c r="N171" s="32">
        <f>_xll.DBRW($C$1,$C$2,$C$3,$C$4,$C$6,$C$5,$C$7,N$1,N$2,$A171)</f>
        <v>-37836976.769999996</v>
      </c>
      <c r="O171" s="32">
        <f>_xll.DBRW($C$1,$C$2,$C$3,$C$4,$C$6,$C$5,$C$7,O$1,O$2,$A171)</f>
        <v>1.4901161193847656E-8</v>
      </c>
      <c r="P171" s="32">
        <f>_xll.DBRW($C$1,$C$2,$C$3,$C$4,$C$6,$C$5,$C$7,P$1,P$2,$A171)</f>
        <v>-50198823.98999998</v>
      </c>
      <c r="Q171" s="32">
        <f>_xll.DBRW($C$1,$C$2,$C$3,$C$4,$C$6,$C$5,$C$7,Q$1,Q$2,$A171)</f>
        <v>-56191028.709999979</v>
      </c>
      <c r="R171" s="32">
        <f>_xll.DBRW($C$1,$C$2,$C$3,$C$4,$C$6,$C$5,$C$7,R$1,R$2,$A171)</f>
        <v>2.7939677238464355E-8</v>
      </c>
      <c r="S171" s="32">
        <f>_xll.DBRW($C$1,$C$2,$C$3,$C$4,$C$6,$C$5,$C$7,S$1,S$2,$A171)</f>
        <v>-68761243.289999992</v>
      </c>
      <c r="T171" s="32">
        <f>_xll.DBRW($C$1,$C$2,$C$3,$C$4,$C$6,$C$5,$C$7,T$1,T$2,$A171)</f>
        <v>-74553748.879999995</v>
      </c>
      <c r="U171" s="32">
        <f>_xll.DBRW($C$1,$C$2,$C$3,$C$4,$C$6,$C$5,$C$7,U$1,U$2,$A171)</f>
        <v>-74553748.879999995</v>
      </c>
      <c r="V171" s="32">
        <f>_xll.DBRW($C$1,$C$2,$C$3,$C$4,$C$6,$C$5,$C$7,V$1,V$2,$A171)</f>
        <v>0</v>
      </c>
      <c r="W171" s="32">
        <f>_xll.DBRW($C$1,$C$2,$C$3,$C$4,$C$6,$C$5,$C$7,W$1,W$2,$A171)</f>
        <v>0</v>
      </c>
      <c r="X171" s="32">
        <f>_xll.DBRW($C$1,$C$2,$C$3,$C$4,$C$6,$C$5,$C$7,X$1,X$2,$A171)</f>
        <v>0</v>
      </c>
      <c r="Y171" s="32">
        <f>_xll.DBRW($C$1,$C$2,$C$3,$C$4,$C$6,$C$5,$C$7,Y$1,Y$2,$A171)</f>
        <v>0</v>
      </c>
      <c r="Z171" s="32">
        <f>_xll.DBRW($C$1,$C$2,$C$3,$C$4,$C$6,$C$5,$C$7,Z$1,Z$2,$A171)</f>
        <v>0</v>
      </c>
      <c r="AA171" s="32">
        <f>_xll.DBRW($C$1,$C$2,$C$3,$C$4,$C$6,$C$5,$C$7,AA$1,AA$2,$A171)</f>
        <v>0</v>
      </c>
      <c r="AB171" s="32">
        <f>_xll.DBRW($C$1,$C$2,$C$3,$C$4,$C$6,$C$5,$C$7,AB$1,AB$2,$A171)</f>
        <v>0</v>
      </c>
      <c r="AC171" s="32">
        <f>_xll.DBRW($C$1,$C$2,$C$3,$C$4,$C$6,$C$5,$C$7,AC$1,AC$2,$A171)</f>
        <v>0</v>
      </c>
      <c r="AD171" s="32">
        <f>_xll.DBRW($C$1,$C$2,$C$3,$C$4,$C$6,$C$5,$C$7,AD$1,AD$2,$A171)</f>
        <v>0</v>
      </c>
      <c r="AE171" s="32">
        <f>_xll.DBRW($C$1,$C$2,$C$3,$C$4,$C$6,$C$5,$C$7,AE$1,AE$2,$A171)</f>
        <v>0</v>
      </c>
      <c r="AF171" s="32">
        <f>_xll.DBRW($C$1,$C$2,$C$3,$C$4,$C$6,$C$5,$C$7,AF$1,AF$2,$A171)</f>
        <v>0</v>
      </c>
      <c r="AG171" s="32">
        <f>_xll.DBRW($C$1,$C$2,$C$3,$C$4,$C$6,$C$5,$C$7,AG$1,AG$2,$A171)</f>
        <v>0</v>
      </c>
      <c r="AH171" s="32">
        <f>_xll.DBRW($C$1,$C$2,$C$3,$C$4,$C$6,$C$5,$C$7,AH$1,AH$2,$A171)</f>
        <v>0</v>
      </c>
      <c r="AI171" s="32">
        <f>_xll.DBRW($C$1,$C$2,$C$3,$C$4,$C$6,$C$5,$C$7,AI$1,AI$2,$A171)</f>
        <v>0</v>
      </c>
      <c r="AJ171" s="32">
        <f>_xll.DBRW($C$1,$C$2,$C$3,$C$4,$C$6,$C$5,$C$7,AJ$1,AJ$2,$A171)</f>
        <v>0</v>
      </c>
      <c r="AK171" s="32">
        <f>_xll.DBRW($C$1,$C$2,$C$3,$C$4,$C$6,$C$5,$C$7,AK$1,AK$2,$A171)</f>
        <v>0</v>
      </c>
      <c r="AL171" s="32">
        <f>_xll.DBRW($C$1,$C$2,$C$3,$C$4,$C$6,$C$5,$C$7,AL$1,AL$2,$A171)</f>
        <v>0</v>
      </c>
      <c r="AM171" s="32">
        <f>_xll.DBRW($C$1,$C$2,$C$3,$C$4,$C$6,$C$5,$C$7,AM$1,AM$2,$A171)</f>
        <v>0</v>
      </c>
      <c r="AN171" s="32">
        <f>_xll.DBRW($C$1,$C$2,$C$3,$C$4,$C$6,$C$5,$C$7,AN$1,AN$2,$A171)</f>
        <v>0</v>
      </c>
      <c r="AO171" s="32">
        <f>_xll.DBRW($C$1,$C$2,$C$3,$C$4,$C$6,$C$5,$C$7,AO$1,AO$2,$A171)</f>
        <v>0</v>
      </c>
      <c r="AP171" s="32">
        <f>_xll.DBRW($C$1,$C$2,$C$3,$C$4,$C$6,$C$5,$C$7,AP$1,AP$2,$A171)</f>
        <v>0</v>
      </c>
      <c r="AQ171" s="32">
        <f>_xll.DBRW($C$1,$C$2,$C$3,$C$4,$C$6,$C$5,$C$7,AQ$1,AQ$2,$A171)</f>
        <v>0</v>
      </c>
      <c r="AR171" s="32">
        <f>_xll.DBRW($C$1,$C$2,$C$3,$C$4,$C$6,$C$5,$C$7,AR$1,AR$2,$A171)</f>
        <v>0</v>
      </c>
      <c r="AS171" s="32">
        <f>_xll.DBRW($C$1,$C$2,$C$3,$C$4,$C$6,$C$5,$C$7,AS$1,AS$2,$A171)</f>
        <v>0</v>
      </c>
      <c r="AT171" s="32">
        <f>_xll.DBRW($C$1,$C$2,$C$3,$C$4,$C$6,$C$5,$C$7,AT$1,AT$2,$A171)</f>
        <v>0</v>
      </c>
      <c r="AU171" s="32">
        <f>_xll.DBRW($C$1,$C$2,$C$3,$C$4,$C$6,$C$5,$C$7,AU$1,AU$2,$A171)</f>
        <v>0</v>
      </c>
    </row>
    <row r="172" spans="1:47" ht="15.75" hidden="1" customHeight="1" outlineLevel="2">
      <c r="A172" s="1" t="s">
        <v>250</v>
      </c>
      <c r="C172" s="143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-123854538.15000001</v>
      </c>
      <c r="G172" s="32">
        <f>_xll.DBRW($C$1,$C$2,$C$3,$C$4,$C$6,$C$5,$C$7,G$1,G$2,$A172)</f>
        <v>-53499552.12000002</v>
      </c>
      <c r="H172" s="32">
        <f>_xll.DBRW($C$1,$C$2,$C$3,$C$4,$C$6,$C$5,$C$7,H$1,H$2,$A172)</f>
        <v>-106130275.54000005</v>
      </c>
      <c r="I172" s="32">
        <f>_xll.DBRW($C$1,$C$2,$C$3,$C$4,$C$6,$C$5,$C$7,I$1,I$2,$A172)</f>
        <v>-1822826.6196999997</v>
      </c>
      <c r="J172" s="32">
        <f>_xll.DBRW($C$1,$C$2,$C$3,$C$4,$C$6,$C$5,$C$7,J$1,J$2,$A172)</f>
        <v>-16685986.380000006</v>
      </c>
      <c r="K172" s="32">
        <f>_xll.DBRW($C$1,$C$2,$C$3,$C$4,$C$6,$C$5,$C$7,K$1,K$2,$A172)</f>
        <v>-31922311.500000011</v>
      </c>
      <c r="L172" s="32">
        <f>_xll.DBRW($C$1,$C$2,$C$3,$C$4,$C$6,$C$5,$C$7,L$1,L$2,$A172)</f>
        <v>-45902638.099999994</v>
      </c>
      <c r="M172" s="32">
        <f>_xll.DBRW($C$1,$C$2,$C$3,$C$4,$C$6,$C$5,$C$7,M$1,M$2,$A172)</f>
        <v>-50814676.180000015</v>
      </c>
      <c r="N172" s="32">
        <f>_xll.DBRW($C$1,$C$2,$C$3,$C$4,$C$6,$C$5,$C$7,N$1,N$2,$A172)</f>
        <v>-365756087.97000009</v>
      </c>
      <c r="O172" s="32">
        <f>_xll.DBRW($C$1,$C$2,$C$3,$C$4,$C$6,$C$5,$C$7,O$1,O$2,$A172)</f>
        <v>-325264359.88000005</v>
      </c>
      <c r="P172" s="32">
        <f>_xll.DBRW($C$1,$C$2,$C$3,$C$4,$C$6,$C$5,$C$7,P$1,P$2,$A172)</f>
        <v>-416569766.4600001</v>
      </c>
      <c r="Q172" s="32">
        <f>_xll.DBRW($C$1,$C$2,$C$3,$C$4,$C$6,$C$5,$C$7,Q$1,Q$2,$A172)</f>
        <v>-431063030.50000012</v>
      </c>
      <c r="R172" s="32">
        <f>_xll.DBRW($C$1,$C$2,$C$3,$C$4,$C$6,$C$5,$C$7,R$1,R$2,$A172)</f>
        <v>-336593942.82000011</v>
      </c>
      <c r="S172" s="32">
        <f>_xll.DBRW($C$1,$C$2,$C$3,$C$4,$C$6,$C$5,$C$7,S$1,S$2,$A172)</f>
        <v>-406228528.91000009</v>
      </c>
      <c r="T172" s="32">
        <f>_xll.DBRW($C$1,$C$2,$C$3,$C$4,$C$6,$C$5,$C$7,T$1,T$2,$A172)</f>
        <v>-585259139.24000013</v>
      </c>
      <c r="U172" s="32">
        <f>_xll.DBRW($C$1,$C$2,$C$3,$C$4,$C$6,$C$5,$C$7,U$1,U$2,$A172)</f>
        <v>-585259139.24000013</v>
      </c>
      <c r="V172" s="32">
        <f>_xll.DBRW($C$1,$C$2,$C$3,$C$4,$C$6,$C$5,$C$7,V$1,V$2,$A172)</f>
        <v>0</v>
      </c>
      <c r="W172" s="32">
        <f>_xll.DBRW($C$1,$C$2,$C$3,$C$4,$C$6,$C$5,$C$7,W$1,W$2,$A172)</f>
        <v>0</v>
      </c>
      <c r="X172" s="32">
        <f>_xll.DBRW($C$1,$C$2,$C$3,$C$4,$C$6,$C$5,$C$7,X$1,X$2,$A172)</f>
        <v>0</v>
      </c>
      <c r="Y172" s="32">
        <f>_xll.DBRW($C$1,$C$2,$C$3,$C$4,$C$6,$C$5,$C$7,Y$1,Y$2,$A172)</f>
        <v>0</v>
      </c>
      <c r="Z172" s="32">
        <f>_xll.DBRW($C$1,$C$2,$C$3,$C$4,$C$6,$C$5,$C$7,Z$1,Z$2,$A172)</f>
        <v>0</v>
      </c>
      <c r="AA172" s="32">
        <f>_xll.DBRW($C$1,$C$2,$C$3,$C$4,$C$6,$C$5,$C$7,AA$1,AA$2,$A172)</f>
        <v>0</v>
      </c>
      <c r="AB172" s="32">
        <f>_xll.DBRW($C$1,$C$2,$C$3,$C$4,$C$6,$C$5,$C$7,AB$1,AB$2,$A172)</f>
        <v>0</v>
      </c>
      <c r="AC172" s="32">
        <f>_xll.DBRW($C$1,$C$2,$C$3,$C$4,$C$6,$C$5,$C$7,AC$1,AC$2,$A172)</f>
        <v>0</v>
      </c>
      <c r="AD172" s="32">
        <f>_xll.DBRW($C$1,$C$2,$C$3,$C$4,$C$6,$C$5,$C$7,AD$1,AD$2,$A172)</f>
        <v>0</v>
      </c>
      <c r="AE172" s="32">
        <f>_xll.DBRW($C$1,$C$2,$C$3,$C$4,$C$6,$C$5,$C$7,AE$1,AE$2,$A172)</f>
        <v>0</v>
      </c>
      <c r="AF172" s="32">
        <f>_xll.DBRW($C$1,$C$2,$C$3,$C$4,$C$6,$C$5,$C$7,AF$1,AF$2,$A172)</f>
        <v>0</v>
      </c>
      <c r="AG172" s="32">
        <f>_xll.DBRW($C$1,$C$2,$C$3,$C$4,$C$6,$C$5,$C$7,AG$1,AG$2,$A172)</f>
        <v>0</v>
      </c>
      <c r="AH172" s="32">
        <f>_xll.DBRW($C$1,$C$2,$C$3,$C$4,$C$6,$C$5,$C$7,AH$1,AH$2,$A172)</f>
        <v>0</v>
      </c>
      <c r="AI172" s="32">
        <f>_xll.DBRW($C$1,$C$2,$C$3,$C$4,$C$6,$C$5,$C$7,AI$1,AI$2,$A172)</f>
        <v>0</v>
      </c>
      <c r="AJ172" s="32">
        <f>_xll.DBRW($C$1,$C$2,$C$3,$C$4,$C$6,$C$5,$C$7,AJ$1,AJ$2,$A172)</f>
        <v>0</v>
      </c>
      <c r="AK172" s="32">
        <f>_xll.DBRW($C$1,$C$2,$C$3,$C$4,$C$6,$C$5,$C$7,AK$1,AK$2,$A172)</f>
        <v>0</v>
      </c>
      <c r="AL172" s="32">
        <f>_xll.DBRW($C$1,$C$2,$C$3,$C$4,$C$6,$C$5,$C$7,AL$1,AL$2,$A172)</f>
        <v>0</v>
      </c>
      <c r="AM172" s="32">
        <f>_xll.DBRW($C$1,$C$2,$C$3,$C$4,$C$6,$C$5,$C$7,AM$1,AM$2,$A172)</f>
        <v>0</v>
      </c>
      <c r="AN172" s="32">
        <f>_xll.DBRW($C$1,$C$2,$C$3,$C$4,$C$6,$C$5,$C$7,AN$1,AN$2,$A172)</f>
        <v>0</v>
      </c>
      <c r="AO172" s="32">
        <f>_xll.DBRW($C$1,$C$2,$C$3,$C$4,$C$6,$C$5,$C$7,AO$1,AO$2,$A172)</f>
        <v>0</v>
      </c>
      <c r="AP172" s="32">
        <f>_xll.DBRW($C$1,$C$2,$C$3,$C$4,$C$6,$C$5,$C$7,AP$1,AP$2,$A172)</f>
        <v>0</v>
      </c>
      <c r="AQ172" s="32">
        <f>_xll.DBRW($C$1,$C$2,$C$3,$C$4,$C$6,$C$5,$C$7,AQ$1,AQ$2,$A172)</f>
        <v>0</v>
      </c>
      <c r="AR172" s="32">
        <f>_xll.DBRW($C$1,$C$2,$C$3,$C$4,$C$6,$C$5,$C$7,AR$1,AR$2,$A172)</f>
        <v>0</v>
      </c>
      <c r="AS172" s="32">
        <f>_xll.DBRW($C$1,$C$2,$C$3,$C$4,$C$6,$C$5,$C$7,AS$1,AS$2,$A172)</f>
        <v>0</v>
      </c>
      <c r="AT172" s="32">
        <f>_xll.DBRW($C$1,$C$2,$C$3,$C$4,$C$6,$C$5,$C$7,AT$1,AT$2,$A172)</f>
        <v>0</v>
      </c>
      <c r="AU172" s="32">
        <f>_xll.DBRW($C$1,$C$2,$C$3,$C$4,$C$6,$C$5,$C$7,AU$1,AU$2,$A172)</f>
        <v>0</v>
      </c>
    </row>
    <row r="173" spans="1:47" ht="15.75" hidden="1" customHeight="1" outlineLevel="2">
      <c r="A173" s="1" t="s">
        <v>251</v>
      </c>
      <c r="C173" s="143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-1092890.5900000001</v>
      </c>
      <c r="G173" s="32">
        <f>_xll.DBRW($C$1,$C$2,$C$3,$C$4,$C$6,$C$5,$C$7,G$1,G$2,$A173)</f>
        <v>-1121736.79</v>
      </c>
      <c r="H173" s="32">
        <f>_xll.DBRW($C$1,$C$2,$C$3,$C$4,$C$6,$C$5,$C$7,H$1,H$2,$A173)</f>
        <v>-1297660.67</v>
      </c>
      <c r="I173" s="32">
        <f>_xll.DBRW($C$1,$C$2,$C$3,$C$4,$C$6,$C$5,$C$7,I$1,I$2,$A173)</f>
        <v>-88928.7</v>
      </c>
      <c r="J173" s="32">
        <f>_xll.DBRW($C$1,$C$2,$C$3,$C$4,$C$6,$C$5,$C$7,J$1,J$2,$A173)</f>
        <v>-199335.64</v>
      </c>
      <c r="K173" s="32">
        <f>_xll.DBRW($C$1,$C$2,$C$3,$C$4,$C$6,$C$5,$C$7,K$1,K$2,$A173)</f>
        <v>-339704.41000000003</v>
      </c>
      <c r="L173" s="32">
        <f>_xll.DBRW($C$1,$C$2,$C$3,$C$4,$C$6,$C$5,$C$7,L$1,L$2,$A173)</f>
        <v>-417330.66000000003</v>
      </c>
      <c r="M173" s="32">
        <f>_xll.DBRW($C$1,$C$2,$C$3,$C$4,$C$6,$C$5,$C$7,M$1,M$2,$A173)</f>
        <v>-525630.01</v>
      </c>
      <c r="N173" s="32">
        <f>_xll.DBRW($C$1,$C$2,$C$3,$C$4,$C$6,$C$5,$C$7,N$1,N$2,$A173)</f>
        <v>-644074.34000000008</v>
      </c>
      <c r="O173" s="32">
        <f>_xll.DBRW($C$1,$C$2,$C$3,$C$4,$C$6,$C$5,$C$7,O$1,O$2,$A173)</f>
        <v>-726943.56</v>
      </c>
      <c r="P173" s="32">
        <f>_xll.DBRW($C$1,$C$2,$C$3,$C$4,$C$6,$C$5,$C$7,P$1,P$2,$A173)</f>
        <v>-1069417.23</v>
      </c>
      <c r="Q173" s="32">
        <f>_xll.DBRW($C$1,$C$2,$C$3,$C$4,$C$6,$C$5,$C$7,Q$1,Q$2,$A173)</f>
        <v>-1197942.74</v>
      </c>
      <c r="R173" s="32">
        <f>_xll.DBRW($C$1,$C$2,$C$3,$C$4,$C$6,$C$5,$C$7,R$1,R$2,$A173)</f>
        <v>-1269156.6399999999</v>
      </c>
      <c r="S173" s="32">
        <f>_xll.DBRW($C$1,$C$2,$C$3,$C$4,$C$6,$C$5,$C$7,S$1,S$2,$A173)</f>
        <v>-1394996.5799999998</v>
      </c>
      <c r="T173" s="32">
        <f>_xll.DBRW($C$1,$C$2,$C$3,$C$4,$C$6,$C$5,$C$7,T$1,T$2,$A173)</f>
        <v>-1423212.2999999998</v>
      </c>
      <c r="U173" s="32">
        <f>_xll.DBRW($C$1,$C$2,$C$3,$C$4,$C$6,$C$5,$C$7,U$1,U$2,$A173)</f>
        <v>-1423212.2999999998</v>
      </c>
      <c r="V173" s="32">
        <f>_xll.DBRW($C$1,$C$2,$C$3,$C$4,$C$6,$C$5,$C$7,V$1,V$2,$A173)</f>
        <v>0</v>
      </c>
      <c r="W173" s="32">
        <f>_xll.DBRW($C$1,$C$2,$C$3,$C$4,$C$6,$C$5,$C$7,W$1,W$2,$A173)</f>
        <v>0</v>
      </c>
      <c r="X173" s="32">
        <f>_xll.DBRW($C$1,$C$2,$C$3,$C$4,$C$6,$C$5,$C$7,X$1,X$2,$A173)</f>
        <v>0</v>
      </c>
      <c r="Y173" s="32">
        <f>_xll.DBRW($C$1,$C$2,$C$3,$C$4,$C$6,$C$5,$C$7,Y$1,Y$2,$A173)</f>
        <v>0</v>
      </c>
      <c r="Z173" s="32">
        <f>_xll.DBRW($C$1,$C$2,$C$3,$C$4,$C$6,$C$5,$C$7,Z$1,Z$2,$A173)</f>
        <v>0</v>
      </c>
      <c r="AA173" s="32">
        <f>_xll.DBRW($C$1,$C$2,$C$3,$C$4,$C$6,$C$5,$C$7,AA$1,AA$2,$A173)</f>
        <v>0</v>
      </c>
      <c r="AB173" s="32">
        <f>_xll.DBRW($C$1,$C$2,$C$3,$C$4,$C$6,$C$5,$C$7,AB$1,AB$2,$A173)</f>
        <v>0</v>
      </c>
      <c r="AC173" s="32">
        <f>_xll.DBRW($C$1,$C$2,$C$3,$C$4,$C$6,$C$5,$C$7,AC$1,AC$2,$A173)</f>
        <v>0</v>
      </c>
      <c r="AD173" s="32">
        <f>_xll.DBRW($C$1,$C$2,$C$3,$C$4,$C$6,$C$5,$C$7,AD$1,AD$2,$A173)</f>
        <v>0</v>
      </c>
      <c r="AE173" s="32">
        <f>_xll.DBRW($C$1,$C$2,$C$3,$C$4,$C$6,$C$5,$C$7,AE$1,AE$2,$A173)</f>
        <v>0</v>
      </c>
      <c r="AF173" s="32">
        <f>_xll.DBRW($C$1,$C$2,$C$3,$C$4,$C$6,$C$5,$C$7,AF$1,AF$2,$A173)</f>
        <v>0</v>
      </c>
      <c r="AG173" s="32">
        <f>_xll.DBRW($C$1,$C$2,$C$3,$C$4,$C$6,$C$5,$C$7,AG$1,AG$2,$A173)</f>
        <v>0</v>
      </c>
      <c r="AH173" s="32">
        <f>_xll.DBRW($C$1,$C$2,$C$3,$C$4,$C$6,$C$5,$C$7,AH$1,AH$2,$A173)</f>
        <v>0</v>
      </c>
      <c r="AI173" s="32">
        <f>_xll.DBRW($C$1,$C$2,$C$3,$C$4,$C$6,$C$5,$C$7,AI$1,AI$2,$A173)</f>
        <v>0</v>
      </c>
      <c r="AJ173" s="32">
        <f>_xll.DBRW($C$1,$C$2,$C$3,$C$4,$C$6,$C$5,$C$7,AJ$1,AJ$2,$A173)</f>
        <v>0</v>
      </c>
      <c r="AK173" s="32">
        <f>_xll.DBRW($C$1,$C$2,$C$3,$C$4,$C$6,$C$5,$C$7,AK$1,AK$2,$A173)</f>
        <v>0</v>
      </c>
      <c r="AL173" s="32">
        <f>_xll.DBRW($C$1,$C$2,$C$3,$C$4,$C$6,$C$5,$C$7,AL$1,AL$2,$A173)</f>
        <v>0</v>
      </c>
      <c r="AM173" s="32">
        <f>_xll.DBRW($C$1,$C$2,$C$3,$C$4,$C$6,$C$5,$C$7,AM$1,AM$2,$A173)</f>
        <v>0</v>
      </c>
      <c r="AN173" s="32">
        <f>_xll.DBRW($C$1,$C$2,$C$3,$C$4,$C$6,$C$5,$C$7,AN$1,AN$2,$A173)</f>
        <v>0</v>
      </c>
      <c r="AO173" s="32">
        <f>_xll.DBRW($C$1,$C$2,$C$3,$C$4,$C$6,$C$5,$C$7,AO$1,AO$2,$A173)</f>
        <v>0</v>
      </c>
      <c r="AP173" s="32">
        <f>_xll.DBRW($C$1,$C$2,$C$3,$C$4,$C$6,$C$5,$C$7,AP$1,AP$2,$A173)</f>
        <v>0</v>
      </c>
      <c r="AQ173" s="32">
        <f>_xll.DBRW($C$1,$C$2,$C$3,$C$4,$C$6,$C$5,$C$7,AQ$1,AQ$2,$A173)</f>
        <v>0</v>
      </c>
      <c r="AR173" s="32">
        <f>_xll.DBRW($C$1,$C$2,$C$3,$C$4,$C$6,$C$5,$C$7,AR$1,AR$2,$A173)</f>
        <v>0</v>
      </c>
      <c r="AS173" s="32">
        <f>_xll.DBRW($C$1,$C$2,$C$3,$C$4,$C$6,$C$5,$C$7,AS$1,AS$2,$A173)</f>
        <v>0</v>
      </c>
      <c r="AT173" s="32">
        <f>_xll.DBRW($C$1,$C$2,$C$3,$C$4,$C$6,$C$5,$C$7,AT$1,AT$2,$A173)</f>
        <v>0</v>
      </c>
      <c r="AU173" s="32">
        <f>_xll.DBRW($C$1,$C$2,$C$3,$C$4,$C$6,$C$5,$C$7,AU$1,AU$2,$A173)</f>
        <v>0</v>
      </c>
    </row>
    <row r="174" spans="1:47" ht="15.75" hidden="1" customHeight="1" outlineLevel="2">
      <c r="A174" s="1" t="s">
        <v>252</v>
      </c>
      <c r="C174" s="143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-3646258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I174" s="32">
        <f>_xll.DBRW($C$1,$C$2,$C$3,$C$4,$C$6,$C$5,$C$7,I$1,I$2,$A174)</f>
        <v>0</v>
      </c>
      <c r="J174" s="32">
        <f>_xll.DBRW($C$1,$C$2,$C$3,$C$4,$C$6,$C$5,$C$7,J$1,J$2,$A174)</f>
        <v>0</v>
      </c>
      <c r="K174" s="32">
        <f>_xll.DBRW($C$1,$C$2,$C$3,$C$4,$C$6,$C$5,$C$7,K$1,K$2,$A174)</f>
        <v>0</v>
      </c>
      <c r="L174" s="32">
        <f>_xll.DBRW($C$1,$C$2,$C$3,$C$4,$C$6,$C$5,$C$7,L$1,L$2,$A174)</f>
        <v>0</v>
      </c>
      <c r="M174" s="32">
        <f>_xll.DBRW($C$1,$C$2,$C$3,$C$4,$C$6,$C$5,$C$7,M$1,M$2,$A174)</f>
        <v>0</v>
      </c>
      <c r="N174" s="32">
        <f>_xll.DBRW($C$1,$C$2,$C$3,$C$4,$C$6,$C$5,$C$7,N$1,N$2,$A174)</f>
        <v>0</v>
      </c>
      <c r="O174" s="32">
        <f>_xll.DBRW($C$1,$C$2,$C$3,$C$4,$C$6,$C$5,$C$7,O$1,O$2,$A174)</f>
        <v>0</v>
      </c>
      <c r="P174" s="32">
        <f>_xll.DBRW($C$1,$C$2,$C$3,$C$4,$C$6,$C$5,$C$7,P$1,P$2,$A174)</f>
        <v>0</v>
      </c>
      <c r="Q174" s="32">
        <f>_xll.DBRW($C$1,$C$2,$C$3,$C$4,$C$6,$C$5,$C$7,Q$1,Q$2,$A174)</f>
        <v>0</v>
      </c>
      <c r="R174" s="32">
        <f>_xll.DBRW($C$1,$C$2,$C$3,$C$4,$C$6,$C$5,$C$7,R$1,R$2,$A174)</f>
        <v>0</v>
      </c>
      <c r="S174" s="32">
        <f>_xll.DBRW($C$1,$C$2,$C$3,$C$4,$C$6,$C$5,$C$7,S$1,S$2,$A174)</f>
        <v>0</v>
      </c>
      <c r="T174" s="32">
        <f>_xll.DBRW($C$1,$C$2,$C$3,$C$4,$C$6,$C$5,$C$7,T$1,T$2,$A174)</f>
        <v>0</v>
      </c>
      <c r="U174" s="32">
        <f>_xll.DBRW($C$1,$C$2,$C$3,$C$4,$C$6,$C$5,$C$7,U$1,U$2,$A174)</f>
        <v>0</v>
      </c>
      <c r="V174" s="32">
        <f>_xll.DBRW($C$1,$C$2,$C$3,$C$4,$C$6,$C$5,$C$7,V$1,V$2,$A174)</f>
        <v>0</v>
      </c>
      <c r="W174" s="32">
        <f>_xll.DBRW($C$1,$C$2,$C$3,$C$4,$C$6,$C$5,$C$7,W$1,W$2,$A174)</f>
        <v>0</v>
      </c>
      <c r="X174" s="32">
        <f>_xll.DBRW($C$1,$C$2,$C$3,$C$4,$C$6,$C$5,$C$7,X$1,X$2,$A174)</f>
        <v>0</v>
      </c>
      <c r="Y174" s="32">
        <f>_xll.DBRW($C$1,$C$2,$C$3,$C$4,$C$6,$C$5,$C$7,Y$1,Y$2,$A174)</f>
        <v>0</v>
      </c>
      <c r="Z174" s="32">
        <f>_xll.DBRW($C$1,$C$2,$C$3,$C$4,$C$6,$C$5,$C$7,Z$1,Z$2,$A174)</f>
        <v>0</v>
      </c>
      <c r="AA174" s="32">
        <f>_xll.DBRW($C$1,$C$2,$C$3,$C$4,$C$6,$C$5,$C$7,AA$1,AA$2,$A174)</f>
        <v>0</v>
      </c>
      <c r="AB174" s="32">
        <f>_xll.DBRW($C$1,$C$2,$C$3,$C$4,$C$6,$C$5,$C$7,AB$1,AB$2,$A174)</f>
        <v>0</v>
      </c>
      <c r="AC174" s="32">
        <f>_xll.DBRW($C$1,$C$2,$C$3,$C$4,$C$6,$C$5,$C$7,AC$1,AC$2,$A174)</f>
        <v>0</v>
      </c>
      <c r="AD174" s="32">
        <f>_xll.DBRW($C$1,$C$2,$C$3,$C$4,$C$6,$C$5,$C$7,AD$1,AD$2,$A174)</f>
        <v>0</v>
      </c>
      <c r="AE174" s="32">
        <f>_xll.DBRW($C$1,$C$2,$C$3,$C$4,$C$6,$C$5,$C$7,AE$1,AE$2,$A174)</f>
        <v>0</v>
      </c>
      <c r="AF174" s="32">
        <f>_xll.DBRW($C$1,$C$2,$C$3,$C$4,$C$6,$C$5,$C$7,AF$1,AF$2,$A174)</f>
        <v>0</v>
      </c>
      <c r="AG174" s="32">
        <f>_xll.DBRW($C$1,$C$2,$C$3,$C$4,$C$6,$C$5,$C$7,AG$1,AG$2,$A174)</f>
        <v>0</v>
      </c>
      <c r="AH174" s="32">
        <f>_xll.DBRW($C$1,$C$2,$C$3,$C$4,$C$6,$C$5,$C$7,AH$1,AH$2,$A174)</f>
        <v>0</v>
      </c>
      <c r="AI174" s="32">
        <f>_xll.DBRW($C$1,$C$2,$C$3,$C$4,$C$6,$C$5,$C$7,AI$1,AI$2,$A174)</f>
        <v>0</v>
      </c>
      <c r="AJ174" s="32">
        <f>_xll.DBRW($C$1,$C$2,$C$3,$C$4,$C$6,$C$5,$C$7,AJ$1,AJ$2,$A174)</f>
        <v>0</v>
      </c>
      <c r="AK174" s="32">
        <f>_xll.DBRW($C$1,$C$2,$C$3,$C$4,$C$6,$C$5,$C$7,AK$1,AK$2,$A174)</f>
        <v>0</v>
      </c>
      <c r="AL174" s="32">
        <f>_xll.DBRW($C$1,$C$2,$C$3,$C$4,$C$6,$C$5,$C$7,AL$1,AL$2,$A174)</f>
        <v>0</v>
      </c>
      <c r="AM174" s="32">
        <f>_xll.DBRW($C$1,$C$2,$C$3,$C$4,$C$6,$C$5,$C$7,AM$1,AM$2,$A174)</f>
        <v>0</v>
      </c>
      <c r="AN174" s="32">
        <f>_xll.DBRW($C$1,$C$2,$C$3,$C$4,$C$6,$C$5,$C$7,AN$1,AN$2,$A174)</f>
        <v>0</v>
      </c>
      <c r="AO174" s="32">
        <f>_xll.DBRW($C$1,$C$2,$C$3,$C$4,$C$6,$C$5,$C$7,AO$1,AO$2,$A174)</f>
        <v>0</v>
      </c>
      <c r="AP174" s="32">
        <f>_xll.DBRW($C$1,$C$2,$C$3,$C$4,$C$6,$C$5,$C$7,AP$1,AP$2,$A174)</f>
        <v>0</v>
      </c>
      <c r="AQ174" s="32">
        <f>_xll.DBRW($C$1,$C$2,$C$3,$C$4,$C$6,$C$5,$C$7,AQ$1,AQ$2,$A174)</f>
        <v>0</v>
      </c>
      <c r="AR174" s="32">
        <f>_xll.DBRW($C$1,$C$2,$C$3,$C$4,$C$6,$C$5,$C$7,AR$1,AR$2,$A174)</f>
        <v>0</v>
      </c>
      <c r="AS174" s="32">
        <f>_xll.DBRW($C$1,$C$2,$C$3,$C$4,$C$6,$C$5,$C$7,AS$1,AS$2,$A174)</f>
        <v>0</v>
      </c>
      <c r="AT174" s="32">
        <f>_xll.DBRW($C$1,$C$2,$C$3,$C$4,$C$6,$C$5,$C$7,AT$1,AT$2,$A174)</f>
        <v>0</v>
      </c>
      <c r="AU174" s="32">
        <f>_xll.DBRW($C$1,$C$2,$C$3,$C$4,$C$6,$C$5,$C$7,AU$1,AU$2,$A174)</f>
        <v>0</v>
      </c>
    </row>
    <row r="175" spans="1:47" ht="15.75" hidden="1" customHeight="1" outlineLevel="2">
      <c r="A175" s="1" t="s">
        <v>253</v>
      </c>
      <c r="C175" s="143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-1278312.6600000001</v>
      </c>
      <c r="H175" s="32">
        <f>_xll.DBRW($C$1,$C$2,$C$3,$C$4,$C$6,$C$5,$C$7,H$1,H$2,$A175)</f>
        <v>-1554540.2400000002</v>
      </c>
      <c r="I175" s="32">
        <f>_xll.DBRW($C$1,$C$2,$C$3,$C$4,$C$6,$C$5,$C$7,I$1,I$2,$A175)</f>
        <v>-14911.06</v>
      </c>
      <c r="J175" s="32">
        <f>_xll.DBRW($C$1,$C$2,$C$3,$C$4,$C$6,$C$5,$C$7,J$1,J$2,$A175)</f>
        <v>-234576.46000000005</v>
      </c>
      <c r="K175" s="32">
        <f>_xll.DBRW($C$1,$C$2,$C$3,$C$4,$C$6,$C$5,$C$7,K$1,K$2,$A175)</f>
        <v>-355888.58000000007</v>
      </c>
      <c r="L175" s="32">
        <f>_xll.DBRW($C$1,$C$2,$C$3,$C$4,$C$6,$C$5,$C$7,L$1,L$2,$A175)</f>
        <v>-476959.58000000007</v>
      </c>
      <c r="M175" s="32">
        <f>_xll.DBRW($C$1,$C$2,$C$3,$C$4,$C$6,$C$5,$C$7,M$1,M$2,$A175)</f>
        <v>-577387.74000000011</v>
      </c>
      <c r="N175" s="32">
        <f>_xll.DBRW($C$1,$C$2,$C$3,$C$4,$C$6,$C$5,$C$7,N$1,N$2,$A175)</f>
        <v>-757540.75000000012</v>
      </c>
      <c r="O175" s="32">
        <f>_xll.DBRW($C$1,$C$2,$C$3,$C$4,$C$6,$C$5,$C$7,O$1,O$2,$A175)</f>
        <v>-1.1641532182693481E-10</v>
      </c>
      <c r="P175" s="32">
        <f>_xll.DBRW($C$1,$C$2,$C$3,$C$4,$C$6,$C$5,$C$7,P$1,P$2,$A175)</f>
        <v>-54734.650000000125</v>
      </c>
      <c r="Q175" s="32">
        <f>_xll.DBRW($C$1,$C$2,$C$3,$C$4,$C$6,$C$5,$C$7,Q$1,Q$2,$A175)</f>
        <v>-61649.400000000125</v>
      </c>
      <c r="R175" s="32">
        <f>_xll.DBRW($C$1,$C$2,$C$3,$C$4,$C$6,$C$5,$C$7,R$1,R$2,$A175)</f>
        <v>-52763.900000000125</v>
      </c>
      <c r="S175" s="32">
        <f>_xll.DBRW($C$1,$C$2,$C$3,$C$4,$C$6,$C$5,$C$7,S$1,S$2,$A175)</f>
        <v>-75981.550000000134</v>
      </c>
      <c r="T175" s="32">
        <f>_xll.DBRW($C$1,$C$2,$C$3,$C$4,$C$6,$C$5,$C$7,T$1,T$2,$A175)</f>
        <v>-83398.940000000133</v>
      </c>
      <c r="U175" s="32">
        <f>_xll.DBRW($C$1,$C$2,$C$3,$C$4,$C$6,$C$5,$C$7,U$1,U$2,$A175)</f>
        <v>-83398.940000000133</v>
      </c>
      <c r="V175" s="32">
        <f>_xll.DBRW($C$1,$C$2,$C$3,$C$4,$C$6,$C$5,$C$7,V$1,V$2,$A175)</f>
        <v>0</v>
      </c>
      <c r="W175" s="32">
        <f>_xll.DBRW($C$1,$C$2,$C$3,$C$4,$C$6,$C$5,$C$7,W$1,W$2,$A175)</f>
        <v>0</v>
      </c>
      <c r="X175" s="32">
        <f>_xll.DBRW($C$1,$C$2,$C$3,$C$4,$C$6,$C$5,$C$7,X$1,X$2,$A175)</f>
        <v>0</v>
      </c>
      <c r="Y175" s="32">
        <f>_xll.DBRW($C$1,$C$2,$C$3,$C$4,$C$6,$C$5,$C$7,Y$1,Y$2,$A175)</f>
        <v>0</v>
      </c>
      <c r="Z175" s="32">
        <f>_xll.DBRW($C$1,$C$2,$C$3,$C$4,$C$6,$C$5,$C$7,Z$1,Z$2,$A175)</f>
        <v>0</v>
      </c>
      <c r="AA175" s="32">
        <f>_xll.DBRW($C$1,$C$2,$C$3,$C$4,$C$6,$C$5,$C$7,AA$1,AA$2,$A175)</f>
        <v>0</v>
      </c>
      <c r="AB175" s="32">
        <f>_xll.DBRW($C$1,$C$2,$C$3,$C$4,$C$6,$C$5,$C$7,AB$1,AB$2,$A175)</f>
        <v>0</v>
      </c>
      <c r="AC175" s="32">
        <f>_xll.DBRW($C$1,$C$2,$C$3,$C$4,$C$6,$C$5,$C$7,AC$1,AC$2,$A175)</f>
        <v>0</v>
      </c>
      <c r="AD175" s="32">
        <f>_xll.DBRW($C$1,$C$2,$C$3,$C$4,$C$6,$C$5,$C$7,AD$1,AD$2,$A175)</f>
        <v>0</v>
      </c>
      <c r="AE175" s="32">
        <f>_xll.DBRW($C$1,$C$2,$C$3,$C$4,$C$6,$C$5,$C$7,AE$1,AE$2,$A175)</f>
        <v>0</v>
      </c>
      <c r="AF175" s="32">
        <f>_xll.DBRW($C$1,$C$2,$C$3,$C$4,$C$6,$C$5,$C$7,AF$1,AF$2,$A175)</f>
        <v>0</v>
      </c>
      <c r="AG175" s="32">
        <f>_xll.DBRW($C$1,$C$2,$C$3,$C$4,$C$6,$C$5,$C$7,AG$1,AG$2,$A175)</f>
        <v>0</v>
      </c>
      <c r="AH175" s="32">
        <f>_xll.DBRW($C$1,$C$2,$C$3,$C$4,$C$6,$C$5,$C$7,AH$1,AH$2,$A175)</f>
        <v>0</v>
      </c>
      <c r="AI175" s="32">
        <f>_xll.DBRW($C$1,$C$2,$C$3,$C$4,$C$6,$C$5,$C$7,AI$1,AI$2,$A175)</f>
        <v>0</v>
      </c>
      <c r="AJ175" s="32">
        <f>_xll.DBRW($C$1,$C$2,$C$3,$C$4,$C$6,$C$5,$C$7,AJ$1,AJ$2,$A175)</f>
        <v>0</v>
      </c>
      <c r="AK175" s="32">
        <f>_xll.DBRW($C$1,$C$2,$C$3,$C$4,$C$6,$C$5,$C$7,AK$1,AK$2,$A175)</f>
        <v>0</v>
      </c>
      <c r="AL175" s="32">
        <f>_xll.DBRW($C$1,$C$2,$C$3,$C$4,$C$6,$C$5,$C$7,AL$1,AL$2,$A175)</f>
        <v>0</v>
      </c>
      <c r="AM175" s="32">
        <f>_xll.DBRW($C$1,$C$2,$C$3,$C$4,$C$6,$C$5,$C$7,AM$1,AM$2,$A175)</f>
        <v>0</v>
      </c>
      <c r="AN175" s="32">
        <f>_xll.DBRW($C$1,$C$2,$C$3,$C$4,$C$6,$C$5,$C$7,AN$1,AN$2,$A175)</f>
        <v>0</v>
      </c>
      <c r="AO175" s="32">
        <f>_xll.DBRW($C$1,$C$2,$C$3,$C$4,$C$6,$C$5,$C$7,AO$1,AO$2,$A175)</f>
        <v>0</v>
      </c>
      <c r="AP175" s="32">
        <f>_xll.DBRW($C$1,$C$2,$C$3,$C$4,$C$6,$C$5,$C$7,AP$1,AP$2,$A175)</f>
        <v>0</v>
      </c>
      <c r="AQ175" s="32">
        <f>_xll.DBRW($C$1,$C$2,$C$3,$C$4,$C$6,$C$5,$C$7,AQ$1,AQ$2,$A175)</f>
        <v>0</v>
      </c>
      <c r="AR175" s="32">
        <f>_xll.DBRW($C$1,$C$2,$C$3,$C$4,$C$6,$C$5,$C$7,AR$1,AR$2,$A175)</f>
        <v>0</v>
      </c>
      <c r="AS175" s="32">
        <f>_xll.DBRW($C$1,$C$2,$C$3,$C$4,$C$6,$C$5,$C$7,AS$1,AS$2,$A175)</f>
        <v>0</v>
      </c>
      <c r="AT175" s="32">
        <f>_xll.DBRW($C$1,$C$2,$C$3,$C$4,$C$6,$C$5,$C$7,AT$1,AT$2,$A175)</f>
        <v>0</v>
      </c>
      <c r="AU175" s="32">
        <f>_xll.DBRW($C$1,$C$2,$C$3,$C$4,$C$6,$C$5,$C$7,AU$1,AU$2,$A175)</f>
        <v>0</v>
      </c>
    </row>
    <row r="176" spans="1:47" ht="15.75" hidden="1" customHeight="1" outlineLevel="2">
      <c r="A176" s="1" t="s">
        <v>254</v>
      </c>
      <c r="C176" s="143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509186.95999999996</v>
      </c>
      <c r="G176" s="32">
        <f>_xll.DBRW($C$1,$C$2,$C$3,$C$4,$C$6,$C$5,$C$7,G$1,G$2,$A176)</f>
        <v>787685.80999999982</v>
      </c>
      <c r="H176" s="32">
        <f>_xll.DBRW($C$1,$C$2,$C$3,$C$4,$C$6,$C$5,$C$7,H$1,H$2,$A176)</f>
        <v>919442.49</v>
      </c>
      <c r="I176" s="32">
        <f>_xll.DBRW($C$1,$C$2,$C$3,$C$4,$C$6,$C$5,$C$7,I$1,I$2,$A176)</f>
        <v>-82411.410000000018</v>
      </c>
      <c r="J176" s="32">
        <f>_xll.DBRW($C$1,$C$2,$C$3,$C$4,$C$6,$C$5,$C$7,J$1,J$2,$A176)</f>
        <v>224196.72999999998</v>
      </c>
      <c r="K176" s="32">
        <f>_xll.DBRW($C$1,$C$2,$C$3,$C$4,$C$6,$C$5,$C$7,K$1,K$2,$A176)</f>
        <v>261778.15999999997</v>
      </c>
      <c r="L176" s="32">
        <f>_xll.DBRW($C$1,$C$2,$C$3,$C$4,$C$6,$C$5,$C$7,L$1,L$2,$A176)</f>
        <v>17894.749999999942</v>
      </c>
      <c r="M176" s="32">
        <f>_xll.DBRW($C$1,$C$2,$C$3,$C$4,$C$6,$C$5,$C$7,M$1,M$2,$A176)</f>
        <v>843693.8899999999</v>
      </c>
      <c r="N176" s="32">
        <f>_xll.DBRW($C$1,$C$2,$C$3,$C$4,$C$6,$C$5,$C$7,N$1,N$2,$A176)</f>
        <v>918105.99999999988</v>
      </c>
      <c r="O176" s="32">
        <f>_xll.DBRW($C$1,$C$2,$C$3,$C$4,$C$6,$C$5,$C$7,O$1,O$2,$A176)</f>
        <v>533185.30999999982</v>
      </c>
      <c r="P176" s="32">
        <f>_xll.DBRW($C$1,$C$2,$C$3,$C$4,$C$6,$C$5,$C$7,P$1,P$2,$A176)</f>
        <v>921888.74999999988</v>
      </c>
      <c r="Q176" s="32">
        <f>_xll.DBRW($C$1,$C$2,$C$3,$C$4,$C$6,$C$5,$C$7,Q$1,Q$2,$A176)</f>
        <v>936189.70999999985</v>
      </c>
      <c r="R176" s="32">
        <f>_xll.DBRW($C$1,$C$2,$C$3,$C$4,$C$6,$C$5,$C$7,R$1,R$2,$A176)</f>
        <v>611792.45999999985</v>
      </c>
      <c r="S176" s="32">
        <f>_xll.DBRW($C$1,$C$2,$C$3,$C$4,$C$6,$C$5,$C$7,S$1,S$2,$A176)</f>
        <v>1227199.1199999999</v>
      </c>
      <c r="T176" s="32">
        <f>_xll.DBRW($C$1,$C$2,$C$3,$C$4,$C$6,$C$5,$C$7,T$1,T$2,$A176)</f>
        <v>772216.0399999998</v>
      </c>
      <c r="U176" s="32">
        <f>_xll.DBRW($C$1,$C$2,$C$3,$C$4,$C$6,$C$5,$C$7,U$1,U$2,$A176)</f>
        <v>772216.0399999998</v>
      </c>
      <c r="V176" s="32">
        <f>_xll.DBRW($C$1,$C$2,$C$3,$C$4,$C$6,$C$5,$C$7,V$1,V$2,$A176)</f>
        <v>0</v>
      </c>
      <c r="W176" s="32">
        <f>_xll.DBRW($C$1,$C$2,$C$3,$C$4,$C$6,$C$5,$C$7,W$1,W$2,$A176)</f>
        <v>0</v>
      </c>
      <c r="X176" s="32">
        <f>_xll.DBRW($C$1,$C$2,$C$3,$C$4,$C$6,$C$5,$C$7,X$1,X$2,$A176)</f>
        <v>0</v>
      </c>
      <c r="Y176" s="32">
        <f>_xll.DBRW($C$1,$C$2,$C$3,$C$4,$C$6,$C$5,$C$7,Y$1,Y$2,$A176)</f>
        <v>0</v>
      </c>
      <c r="Z176" s="32">
        <f>_xll.DBRW($C$1,$C$2,$C$3,$C$4,$C$6,$C$5,$C$7,Z$1,Z$2,$A176)</f>
        <v>0</v>
      </c>
      <c r="AA176" s="32">
        <f>_xll.DBRW($C$1,$C$2,$C$3,$C$4,$C$6,$C$5,$C$7,AA$1,AA$2,$A176)</f>
        <v>0</v>
      </c>
      <c r="AB176" s="32">
        <f>_xll.DBRW($C$1,$C$2,$C$3,$C$4,$C$6,$C$5,$C$7,AB$1,AB$2,$A176)</f>
        <v>0</v>
      </c>
      <c r="AC176" s="32">
        <f>_xll.DBRW($C$1,$C$2,$C$3,$C$4,$C$6,$C$5,$C$7,AC$1,AC$2,$A176)</f>
        <v>0</v>
      </c>
      <c r="AD176" s="32">
        <f>_xll.DBRW($C$1,$C$2,$C$3,$C$4,$C$6,$C$5,$C$7,AD$1,AD$2,$A176)</f>
        <v>0</v>
      </c>
      <c r="AE176" s="32">
        <f>_xll.DBRW($C$1,$C$2,$C$3,$C$4,$C$6,$C$5,$C$7,AE$1,AE$2,$A176)</f>
        <v>0</v>
      </c>
      <c r="AF176" s="32">
        <f>_xll.DBRW($C$1,$C$2,$C$3,$C$4,$C$6,$C$5,$C$7,AF$1,AF$2,$A176)</f>
        <v>0</v>
      </c>
      <c r="AG176" s="32">
        <f>_xll.DBRW($C$1,$C$2,$C$3,$C$4,$C$6,$C$5,$C$7,AG$1,AG$2,$A176)</f>
        <v>0</v>
      </c>
      <c r="AH176" s="32">
        <f>_xll.DBRW($C$1,$C$2,$C$3,$C$4,$C$6,$C$5,$C$7,AH$1,AH$2,$A176)</f>
        <v>0</v>
      </c>
      <c r="AI176" s="32">
        <f>_xll.DBRW($C$1,$C$2,$C$3,$C$4,$C$6,$C$5,$C$7,AI$1,AI$2,$A176)</f>
        <v>0</v>
      </c>
      <c r="AJ176" s="32">
        <f>_xll.DBRW($C$1,$C$2,$C$3,$C$4,$C$6,$C$5,$C$7,AJ$1,AJ$2,$A176)</f>
        <v>0</v>
      </c>
      <c r="AK176" s="32">
        <f>_xll.DBRW($C$1,$C$2,$C$3,$C$4,$C$6,$C$5,$C$7,AK$1,AK$2,$A176)</f>
        <v>0</v>
      </c>
      <c r="AL176" s="32">
        <f>_xll.DBRW($C$1,$C$2,$C$3,$C$4,$C$6,$C$5,$C$7,AL$1,AL$2,$A176)</f>
        <v>0</v>
      </c>
      <c r="AM176" s="32">
        <f>_xll.DBRW($C$1,$C$2,$C$3,$C$4,$C$6,$C$5,$C$7,AM$1,AM$2,$A176)</f>
        <v>0</v>
      </c>
      <c r="AN176" s="32">
        <f>_xll.DBRW($C$1,$C$2,$C$3,$C$4,$C$6,$C$5,$C$7,AN$1,AN$2,$A176)</f>
        <v>0</v>
      </c>
      <c r="AO176" s="32">
        <f>_xll.DBRW($C$1,$C$2,$C$3,$C$4,$C$6,$C$5,$C$7,AO$1,AO$2,$A176)</f>
        <v>0</v>
      </c>
      <c r="AP176" s="32">
        <f>_xll.DBRW($C$1,$C$2,$C$3,$C$4,$C$6,$C$5,$C$7,AP$1,AP$2,$A176)</f>
        <v>0</v>
      </c>
      <c r="AQ176" s="32">
        <f>_xll.DBRW($C$1,$C$2,$C$3,$C$4,$C$6,$C$5,$C$7,AQ$1,AQ$2,$A176)</f>
        <v>0</v>
      </c>
      <c r="AR176" s="32">
        <f>_xll.DBRW($C$1,$C$2,$C$3,$C$4,$C$6,$C$5,$C$7,AR$1,AR$2,$A176)</f>
        <v>0</v>
      </c>
      <c r="AS176" s="32">
        <f>_xll.DBRW($C$1,$C$2,$C$3,$C$4,$C$6,$C$5,$C$7,AS$1,AS$2,$A176)</f>
        <v>0</v>
      </c>
      <c r="AT176" s="32">
        <f>_xll.DBRW($C$1,$C$2,$C$3,$C$4,$C$6,$C$5,$C$7,AT$1,AT$2,$A176)</f>
        <v>0</v>
      </c>
      <c r="AU176" s="32">
        <f>_xll.DBRW($C$1,$C$2,$C$3,$C$4,$C$6,$C$5,$C$7,AU$1,AU$2,$A176)</f>
        <v>0</v>
      </c>
    </row>
    <row r="177" spans="1:47" ht="15.75" hidden="1" customHeight="1" outlineLevel="2">
      <c r="A177" s="1" t="s">
        <v>255</v>
      </c>
      <c r="C177" s="143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-1260597.32</v>
      </c>
      <c r="G177" s="32">
        <f>_xll.DBRW($C$1,$C$2,$C$3,$C$4,$C$6,$C$5,$C$7,G$1,G$2,$A177)</f>
        <v>-3644997.17</v>
      </c>
      <c r="H177" s="32">
        <f>_xll.DBRW($C$1,$C$2,$C$3,$C$4,$C$6,$C$5,$C$7,H$1,H$2,$A177)</f>
        <v>-5712640.6199999992</v>
      </c>
      <c r="I177" s="32">
        <f>_xll.DBRW($C$1,$C$2,$C$3,$C$4,$C$6,$C$5,$C$7,I$1,I$2,$A177)</f>
        <v>-67565.549999999988</v>
      </c>
      <c r="J177" s="32">
        <f>_xll.DBRW($C$1,$C$2,$C$3,$C$4,$C$6,$C$5,$C$7,J$1,J$2,$A177)</f>
        <v>-258771.46</v>
      </c>
      <c r="K177" s="32">
        <f>_xll.DBRW($C$1,$C$2,$C$3,$C$4,$C$6,$C$5,$C$7,K$1,K$2,$A177)</f>
        <v>-387222.16</v>
      </c>
      <c r="L177" s="32">
        <f>_xll.DBRW($C$1,$C$2,$C$3,$C$4,$C$6,$C$5,$C$7,L$1,L$2,$A177)</f>
        <v>-390767.43999999994</v>
      </c>
      <c r="M177" s="32">
        <f>_xll.DBRW($C$1,$C$2,$C$3,$C$4,$C$6,$C$5,$C$7,M$1,M$2,$A177)</f>
        <v>-1354283.93</v>
      </c>
      <c r="N177" s="32">
        <f>_xll.DBRW($C$1,$C$2,$C$3,$C$4,$C$6,$C$5,$C$7,N$1,N$2,$A177)</f>
        <v>-1464442.8699999999</v>
      </c>
      <c r="O177" s="32">
        <f>_xll.DBRW($C$1,$C$2,$C$3,$C$4,$C$6,$C$5,$C$7,O$1,O$2,$A177)</f>
        <v>-1240833.1099999999</v>
      </c>
      <c r="P177" s="32">
        <f>_xll.DBRW($C$1,$C$2,$C$3,$C$4,$C$6,$C$5,$C$7,P$1,P$2,$A177)</f>
        <v>-2795590.98</v>
      </c>
      <c r="Q177" s="32">
        <f>_xll.DBRW($C$1,$C$2,$C$3,$C$4,$C$6,$C$5,$C$7,Q$1,Q$2,$A177)</f>
        <v>-2840638.4699999997</v>
      </c>
      <c r="R177" s="32">
        <f>_xll.DBRW($C$1,$C$2,$C$3,$C$4,$C$6,$C$5,$C$7,R$1,R$2,$A177)</f>
        <v>-2840638.4699999997</v>
      </c>
      <c r="S177" s="32">
        <f>_xll.DBRW($C$1,$C$2,$C$3,$C$4,$C$6,$C$5,$C$7,S$1,S$2,$A177)</f>
        <v>-3918135.38</v>
      </c>
      <c r="T177" s="32">
        <f>_xll.DBRW($C$1,$C$2,$C$3,$C$4,$C$6,$C$5,$C$7,T$1,T$2,$A177)</f>
        <v>-3971996.8</v>
      </c>
      <c r="U177" s="32">
        <f>_xll.DBRW($C$1,$C$2,$C$3,$C$4,$C$6,$C$5,$C$7,U$1,U$2,$A177)</f>
        <v>-3971996.8</v>
      </c>
      <c r="V177" s="32">
        <f>_xll.DBRW($C$1,$C$2,$C$3,$C$4,$C$6,$C$5,$C$7,V$1,V$2,$A177)</f>
        <v>0</v>
      </c>
      <c r="W177" s="32">
        <f>_xll.DBRW($C$1,$C$2,$C$3,$C$4,$C$6,$C$5,$C$7,W$1,W$2,$A177)</f>
        <v>0</v>
      </c>
      <c r="X177" s="32">
        <f>_xll.DBRW($C$1,$C$2,$C$3,$C$4,$C$6,$C$5,$C$7,X$1,X$2,$A177)</f>
        <v>0</v>
      </c>
      <c r="Y177" s="32">
        <f>_xll.DBRW($C$1,$C$2,$C$3,$C$4,$C$6,$C$5,$C$7,Y$1,Y$2,$A177)</f>
        <v>0</v>
      </c>
      <c r="Z177" s="32">
        <f>_xll.DBRW($C$1,$C$2,$C$3,$C$4,$C$6,$C$5,$C$7,Z$1,Z$2,$A177)</f>
        <v>0</v>
      </c>
      <c r="AA177" s="32">
        <f>_xll.DBRW($C$1,$C$2,$C$3,$C$4,$C$6,$C$5,$C$7,AA$1,AA$2,$A177)</f>
        <v>0</v>
      </c>
      <c r="AB177" s="32">
        <f>_xll.DBRW($C$1,$C$2,$C$3,$C$4,$C$6,$C$5,$C$7,AB$1,AB$2,$A177)</f>
        <v>0</v>
      </c>
      <c r="AC177" s="32">
        <f>_xll.DBRW($C$1,$C$2,$C$3,$C$4,$C$6,$C$5,$C$7,AC$1,AC$2,$A177)</f>
        <v>0</v>
      </c>
      <c r="AD177" s="32">
        <f>_xll.DBRW($C$1,$C$2,$C$3,$C$4,$C$6,$C$5,$C$7,AD$1,AD$2,$A177)</f>
        <v>0</v>
      </c>
      <c r="AE177" s="32">
        <f>_xll.DBRW($C$1,$C$2,$C$3,$C$4,$C$6,$C$5,$C$7,AE$1,AE$2,$A177)</f>
        <v>0</v>
      </c>
      <c r="AF177" s="32">
        <f>_xll.DBRW($C$1,$C$2,$C$3,$C$4,$C$6,$C$5,$C$7,AF$1,AF$2,$A177)</f>
        <v>0</v>
      </c>
      <c r="AG177" s="32">
        <f>_xll.DBRW($C$1,$C$2,$C$3,$C$4,$C$6,$C$5,$C$7,AG$1,AG$2,$A177)</f>
        <v>0</v>
      </c>
      <c r="AH177" s="32">
        <f>_xll.DBRW($C$1,$C$2,$C$3,$C$4,$C$6,$C$5,$C$7,AH$1,AH$2,$A177)</f>
        <v>0</v>
      </c>
      <c r="AI177" s="32">
        <f>_xll.DBRW($C$1,$C$2,$C$3,$C$4,$C$6,$C$5,$C$7,AI$1,AI$2,$A177)</f>
        <v>0</v>
      </c>
      <c r="AJ177" s="32">
        <f>_xll.DBRW($C$1,$C$2,$C$3,$C$4,$C$6,$C$5,$C$7,AJ$1,AJ$2,$A177)</f>
        <v>0</v>
      </c>
      <c r="AK177" s="32">
        <f>_xll.DBRW($C$1,$C$2,$C$3,$C$4,$C$6,$C$5,$C$7,AK$1,AK$2,$A177)</f>
        <v>0</v>
      </c>
      <c r="AL177" s="32">
        <f>_xll.DBRW($C$1,$C$2,$C$3,$C$4,$C$6,$C$5,$C$7,AL$1,AL$2,$A177)</f>
        <v>0</v>
      </c>
      <c r="AM177" s="32">
        <f>_xll.DBRW($C$1,$C$2,$C$3,$C$4,$C$6,$C$5,$C$7,AM$1,AM$2,$A177)</f>
        <v>0</v>
      </c>
      <c r="AN177" s="32">
        <f>_xll.DBRW($C$1,$C$2,$C$3,$C$4,$C$6,$C$5,$C$7,AN$1,AN$2,$A177)</f>
        <v>0</v>
      </c>
      <c r="AO177" s="32">
        <f>_xll.DBRW($C$1,$C$2,$C$3,$C$4,$C$6,$C$5,$C$7,AO$1,AO$2,$A177)</f>
        <v>0</v>
      </c>
      <c r="AP177" s="32">
        <f>_xll.DBRW($C$1,$C$2,$C$3,$C$4,$C$6,$C$5,$C$7,AP$1,AP$2,$A177)</f>
        <v>0</v>
      </c>
      <c r="AQ177" s="32">
        <f>_xll.DBRW($C$1,$C$2,$C$3,$C$4,$C$6,$C$5,$C$7,AQ$1,AQ$2,$A177)</f>
        <v>0</v>
      </c>
      <c r="AR177" s="32">
        <f>_xll.DBRW($C$1,$C$2,$C$3,$C$4,$C$6,$C$5,$C$7,AR$1,AR$2,$A177)</f>
        <v>0</v>
      </c>
      <c r="AS177" s="32">
        <f>_xll.DBRW($C$1,$C$2,$C$3,$C$4,$C$6,$C$5,$C$7,AS$1,AS$2,$A177)</f>
        <v>0</v>
      </c>
      <c r="AT177" s="32">
        <f>_xll.DBRW($C$1,$C$2,$C$3,$C$4,$C$6,$C$5,$C$7,AT$1,AT$2,$A177)</f>
        <v>0</v>
      </c>
      <c r="AU177" s="32">
        <f>_xll.DBRW($C$1,$C$2,$C$3,$C$4,$C$6,$C$5,$C$7,AU$1,AU$2,$A177)</f>
        <v>0</v>
      </c>
    </row>
    <row r="178" spans="1:47" ht="15.75" hidden="1" customHeight="1" outlineLevel="2">
      <c r="A178" s="1" t="s">
        <v>256</v>
      </c>
      <c r="C178" s="143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-3706965.13</v>
      </c>
      <c r="G178" s="32">
        <f>_xll.DBRW($C$1,$C$2,$C$3,$C$4,$C$6,$C$5,$C$7,G$1,G$2,$A178)</f>
        <v>-9512092.9099999666</v>
      </c>
      <c r="H178" s="32">
        <f>_xll.DBRW($C$1,$C$2,$C$3,$C$4,$C$6,$C$5,$C$7,H$1,H$2,$A178)</f>
        <v>-1230436.3700000006</v>
      </c>
      <c r="I178" s="32">
        <f>_xll.DBRW($C$1,$C$2,$C$3,$C$4,$C$6,$C$5,$C$7,I$1,I$2,$A178)</f>
        <v>124960.97</v>
      </c>
      <c r="J178" s="32">
        <f>_xll.DBRW($C$1,$C$2,$C$3,$C$4,$C$6,$C$5,$C$7,J$1,J$2,$A178)</f>
        <v>-13639.739999999991</v>
      </c>
      <c r="K178" s="32">
        <f>_xll.DBRW($C$1,$C$2,$C$3,$C$4,$C$6,$C$5,$C$7,K$1,K$2,$A178)</f>
        <v>4714533.9400000004</v>
      </c>
      <c r="L178" s="32">
        <f>_xll.DBRW($C$1,$C$2,$C$3,$C$4,$C$6,$C$5,$C$7,L$1,L$2,$A178)</f>
        <v>4929671.1000000006</v>
      </c>
      <c r="M178" s="32">
        <f>_xll.DBRW($C$1,$C$2,$C$3,$C$4,$C$6,$C$5,$C$7,M$1,M$2,$A178)</f>
        <v>8236500.5100000007</v>
      </c>
      <c r="N178" s="32">
        <f>_xll.DBRW($C$1,$C$2,$C$3,$C$4,$C$6,$C$5,$C$7,N$1,N$2,$A178)</f>
        <v>7471532.5200000005</v>
      </c>
      <c r="O178" s="32">
        <f>_xll.DBRW($C$1,$C$2,$C$3,$C$4,$C$6,$C$5,$C$7,O$1,O$2,$A178)</f>
        <v>5348440.5</v>
      </c>
      <c r="P178" s="32">
        <f>_xll.DBRW($C$1,$C$2,$C$3,$C$4,$C$6,$C$5,$C$7,P$1,P$2,$A178)</f>
        <v>7252024.7299999995</v>
      </c>
      <c r="Q178" s="32">
        <f>_xll.DBRW($C$1,$C$2,$C$3,$C$4,$C$6,$C$5,$C$7,Q$1,Q$2,$A178)</f>
        <v>6444730.0799999991</v>
      </c>
      <c r="R178" s="32">
        <f>_xll.DBRW($C$1,$C$2,$C$3,$C$4,$C$6,$C$5,$C$7,R$1,R$2,$A178)</f>
        <v>4803081.5199999986</v>
      </c>
      <c r="S178" s="32">
        <f>_xll.DBRW($C$1,$C$2,$C$3,$C$4,$C$6,$C$5,$C$7,S$1,S$2,$A178)</f>
        <v>9279036.25</v>
      </c>
      <c r="T178" s="32">
        <f>_xll.DBRW($C$1,$C$2,$C$3,$C$4,$C$6,$C$5,$C$7,T$1,T$2,$A178)</f>
        <v>8286870.0899999989</v>
      </c>
      <c r="U178" s="32">
        <f>_xll.DBRW($C$1,$C$2,$C$3,$C$4,$C$6,$C$5,$C$7,U$1,U$2,$A178)</f>
        <v>8286870.0899999989</v>
      </c>
      <c r="V178" s="32">
        <f>_xll.DBRW($C$1,$C$2,$C$3,$C$4,$C$6,$C$5,$C$7,V$1,V$2,$A178)</f>
        <v>0</v>
      </c>
      <c r="W178" s="32">
        <f>_xll.DBRW($C$1,$C$2,$C$3,$C$4,$C$6,$C$5,$C$7,W$1,W$2,$A178)</f>
        <v>0</v>
      </c>
      <c r="X178" s="32">
        <f>_xll.DBRW($C$1,$C$2,$C$3,$C$4,$C$6,$C$5,$C$7,X$1,X$2,$A178)</f>
        <v>0</v>
      </c>
      <c r="Y178" s="32">
        <f>_xll.DBRW($C$1,$C$2,$C$3,$C$4,$C$6,$C$5,$C$7,Y$1,Y$2,$A178)</f>
        <v>0</v>
      </c>
      <c r="Z178" s="32">
        <f>_xll.DBRW($C$1,$C$2,$C$3,$C$4,$C$6,$C$5,$C$7,Z$1,Z$2,$A178)</f>
        <v>0</v>
      </c>
      <c r="AA178" s="32">
        <f>_xll.DBRW($C$1,$C$2,$C$3,$C$4,$C$6,$C$5,$C$7,AA$1,AA$2,$A178)</f>
        <v>0</v>
      </c>
      <c r="AB178" s="32">
        <f>_xll.DBRW($C$1,$C$2,$C$3,$C$4,$C$6,$C$5,$C$7,AB$1,AB$2,$A178)</f>
        <v>0</v>
      </c>
      <c r="AC178" s="32">
        <f>_xll.DBRW($C$1,$C$2,$C$3,$C$4,$C$6,$C$5,$C$7,AC$1,AC$2,$A178)</f>
        <v>0</v>
      </c>
      <c r="AD178" s="32">
        <f>_xll.DBRW($C$1,$C$2,$C$3,$C$4,$C$6,$C$5,$C$7,AD$1,AD$2,$A178)</f>
        <v>0</v>
      </c>
      <c r="AE178" s="32">
        <f>_xll.DBRW($C$1,$C$2,$C$3,$C$4,$C$6,$C$5,$C$7,AE$1,AE$2,$A178)</f>
        <v>0</v>
      </c>
      <c r="AF178" s="32">
        <f>_xll.DBRW($C$1,$C$2,$C$3,$C$4,$C$6,$C$5,$C$7,AF$1,AF$2,$A178)</f>
        <v>0</v>
      </c>
      <c r="AG178" s="32">
        <f>_xll.DBRW($C$1,$C$2,$C$3,$C$4,$C$6,$C$5,$C$7,AG$1,AG$2,$A178)</f>
        <v>0</v>
      </c>
      <c r="AH178" s="32">
        <f>_xll.DBRW($C$1,$C$2,$C$3,$C$4,$C$6,$C$5,$C$7,AH$1,AH$2,$A178)</f>
        <v>0</v>
      </c>
      <c r="AI178" s="32">
        <f>_xll.DBRW($C$1,$C$2,$C$3,$C$4,$C$6,$C$5,$C$7,AI$1,AI$2,$A178)</f>
        <v>0</v>
      </c>
      <c r="AJ178" s="32">
        <f>_xll.DBRW($C$1,$C$2,$C$3,$C$4,$C$6,$C$5,$C$7,AJ$1,AJ$2,$A178)</f>
        <v>0</v>
      </c>
      <c r="AK178" s="32">
        <f>_xll.DBRW($C$1,$C$2,$C$3,$C$4,$C$6,$C$5,$C$7,AK$1,AK$2,$A178)</f>
        <v>0</v>
      </c>
      <c r="AL178" s="32">
        <f>_xll.DBRW($C$1,$C$2,$C$3,$C$4,$C$6,$C$5,$C$7,AL$1,AL$2,$A178)</f>
        <v>0</v>
      </c>
      <c r="AM178" s="32">
        <f>_xll.DBRW($C$1,$C$2,$C$3,$C$4,$C$6,$C$5,$C$7,AM$1,AM$2,$A178)</f>
        <v>0</v>
      </c>
      <c r="AN178" s="32">
        <f>_xll.DBRW($C$1,$C$2,$C$3,$C$4,$C$6,$C$5,$C$7,AN$1,AN$2,$A178)</f>
        <v>0</v>
      </c>
      <c r="AO178" s="32">
        <f>_xll.DBRW($C$1,$C$2,$C$3,$C$4,$C$6,$C$5,$C$7,AO$1,AO$2,$A178)</f>
        <v>0</v>
      </c>
      <c r="AP178" s="32">
        <f>_xll.DBRW($C$1,$C$2,$C$3,$C$4,$C$6,$C$5,$C$7,AP$1,AP$2,$A178)</f>
        <v>0</v>
      </c>
      <c r="AQ178" s="32">
        <f>_xll.DBRW($C$1,$C$2,$C$3,$C$4,$C$6,$C$5,$C$7,AQ$1,AQ$2,$A178)</f>
        <v>0</v>
      </c>
      <c r="AR178" s="32">
        <f>_xll.DBRW($C$1,$C$2,$C$3,$C$4,$C$6,$C$5,$C$7,AR$1,AR$2,$A178)</f>
        <v>0</v>
      </c>
      <c r="AS178" s="32">
        <f>_xll.DBRW($C$1,$C$2,$C$3,$C$4,$C$6,$C$5,$C$7,AS$1,AS$2,$A178)</f>
        <v>0</v>
      </c>
      <c r="AT178" s="32">
        <f>_xll.DBRW($C$1,$C$2,$C$3,$C$4,$C$6,$C$5,$C$7,AT$1,AT$2,$A178)</f>
        <v>0</v>
      </c>
      <c r="AU178" s="32">
        <f>_xll.DBRW($C$1,$C$2,$C$3,$C$4,$C$6,$C$5,$C$7,AU$1,AU$2,$A178)</f>
        <v>0</v>
      </c>
    </row>
    <row r="179" spans="1:47" ht="15.75" hidden="1" customHeight="1" outlineLevel="2">
      <c r="A179" s="1" t="s">
        <v>257</v>
      </c>
      <c r="C179" s="143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-46711815.43</v>
      </c>
      <c r="H179" s="32">
        <f>_xll.DBRW($C$1,$C$2,$C$3,$C$4,$C$6,$C$5,$C$7,H$1,H$2,$A179)</f>
        <v>-11598948.9714</v>
      </c>
      <c r="I179" s="32">
        <f>_xll.DBRW($C$1,$C$2,$C$3,$C$4,$C$6,$C$5,$C$7,I$1,I$2,$A179)</f>
        <v>0</v>
      </c>
      <c r="J179" s="32">
        <f>_xll.DBRW($C$1,$C$2,$C$3,$C$4,$C$6,$C$5,$C$7,J$1,J$2,$A179)</f>
        <v>1825166</v>
      </c>
      <c r="K179" s="32">
        <f>_xll.DBRW($C$1,$C$2,$C$3,$C$4,$C$6,$C$5,$C$7,K$1,K$2,$A179)</f>
        <v>2737749</v>
      </c>
      <c r="L179" s="32">
        <f>_xll.DBRW($C$1,$C$2,$C$3,$C$4,$C$6,$C$5,$C$7,L$1,L$2,$A179)</f>
        <v>3650332</v>
      </c>
      <c r="M179" s="32">
        <f>_xll.DBRW($C$1,$C$2,$C$3,$C$4,$C$6,$C$5,$C$7,M$1,M$2,$A179)</f>
        <v>4562915</v>
      </c>
      <c r="N179" s="32">
        <f>_xll.DBRW($C$1,$C$2,$C$3,$C$4,$C$6,$C$5,$C$7,N$1,N$2,$A179)</f>
        <v>5475500</v>
      </c>
      <c r="O179" s="32">
        <f>_xll.DBRW($C$1,$C$2,$C$3,$C$4,$C$6,$C$5,$C$7,O$1,O$2,$A179)</f>
        <v>0</v>
      </c>
      <c r="P179" s="32">
        <f>_xll.DBRW($C$1,$C$2,$C$3,$C$4,$C$6,$C$5,$C$7,P$1,P$2,$A179)</f>
        <v>7917332.6600000001</v>
      </c>
      <c r="Q179" s="32">
        <f>_xll.DBRW($C$1,$C$2,$C$3,$C$4,$C$6,$C$5,$C$7,Q$1,Q$2,$A179)</f>
        <v>8906999</v>
      </c>
      <c r="R179" s="32">
        <f>_xll.DBRW($C$1,$C$2,$C$3,$C$4,$C$6,$C$5,$C$7,R$1,R$2,$A179)</f>
        <v>-1.1641532182693481E-10</v>
      </c>
      <c r="S179" s="32">
        <f>_xll.DBRW($C$1,$C$2,$C$3,$C$4,$C$6,$C$5,$C$7,S$1,S$2,$A179)</f>
        <v>10897952.949999999</v>
      </c>
      <c r="T179" s="32">
        <f>_xll.DBRW($C$1,$C$2,$C$3,$C$4,$C$6,$C$5,$C$7,T$1,T$2,$A179)</f>
        <v>-60392052.730000004</v>
      </c>
      <c r="U179" s="32">
        <f>_xll.DBRW($C$1,$C$2,$C$3,$C$4,$C$6,$C$5,$C$7,U$1,U$2,$A179)</f>
        <v>-60392052.730000004</v>
      </c>
      <c r="V179" s="32">
        <f>_xll.DBRW($C$1,$C$2,$C$3,$C$4,$C$6,$C$5,$C$7,V$1,V$2,$A179)</f>
        <v>0</v>
      </c>
      <c r="W179" s="32">
        <f>_xll.DBRW($C$1,$C$2,$C$3,$C$4,$C$6,$C$5,$C$7,W$1,W$2,$A179)</f>
        <v>0</v>
      </c>
      <c r="X179" s="32">
        <f>_xll.DBRW($C$1,$C$2,$C$3,$C$4,$C$6,$C$5,$C$7,X$1,X$2,$A179)</f>
        <v>0</v>
      </c>
      <c r="Y179" s="32">
        <f>_xll.DBRW($C$1,$C$2,$C$3,$C$4,$C$6,$C$5,$C$7,Y$1,Y$2,$A179)</f>
        <v>0</v>
      </c>
      <c r="Z179" s="32">
        <f>_xll.DBRW($C$1,$C$2,$C$3,$C$4,$C$6,$C$5,$C$7,Z$1,Z$2,$A179)</f>
        <v>0</v>
      </c>
      <c r="AA179" s="32">
        <f>_xll.DBRW($C$1,$C$2,$C$3,$C$4,$C$6,$C$5,$C$7,AA$1,AA$2,$A179)</f>
        <v>0</v>
      </c>
      <c r="AB179" s="32">
        <f>_xll.DBRW($C$1,$C$2,$C$3,$C$4,$C$6,$C$5,$C$7,AB$1,AB$2,$A179)</f>
        <v>0</v>
      </c>
      <c r="AC179" s="32">
        <f>_xll.DBRW($C$1,$C$2,$C$3,$C$4,$C$6,$C$5,$C$7,AC$1,AC$2,$A179)</f>
        <v>0</v>
      </c>
      <c r="AD179" s="32">
        <f>_xll.DBRW($C$1,$C$2,$C$3,$C$4,$C$6,$C$5,$C$7,AD$1,AD$2,$A179)</f>
        <v>0</v>
      </c>
      <c r="AE179" s="32">
        <f>_xll.DBRW($C$1,$C$2,$C$3,$C$4,$C$6,$C$5,$C$7,AE$1,AE$2,$A179)</f>
        <v>0</v>
      </c>
      <c r="AF179" s="32">
        <f>_xll.DBRW($C$1,$C$2,$C$3,$C$4,$C$6,$C$5,$C$7,AF$1,AF$2,$A179)</f>
        <v>0</v>
      </c>
      <c r="AG179" s="32">
        <f>_xll.DBRW($C$1,$C$2,$C$3,$C$4,$C$6,$C$5,$C$7,AG$1,AG$2,$A179)</f>
        <v>0</v>
      </c>
      <c r="AH179" s="32">
        <f>_xll.DBRW($C$1,$C$2,$C$3,$C$4,$C$6,$C$5,$C$7,AH$1,AH$2,$A179)</f>
        <v>0</v>
      </c>
      <c r="AI179" s="32">
        <f>_xll.DBRW($C$1,$C$2,$C$3,$C$4,$C$6,$C$5,$C$7,AI$1,AI$2,$A179)</f>
        <v>0</v>
      </c>
      <c r="AJ179" s="32">
        <f>_xll.DBRW($C$1,$C$2,$C$3,$C$4,$C$6,$C$5,$C$7,AJ$1,AJ$2,$A179)</f>
        <v>0</v>
      </c>
      <c r="AK179" s="32">
        <f>_xll.DBRW($C$1,$C$2,$C$3,$C$4,$C$6,$C$5,$C$7,AK$1,AK$2,$A179)</f>
        <v>0</v>
      </c>
      <c r="AL179" s="32">
        <f>_xll.DBRW($C$1,$C$2,$C$3,$C$4,$C$6,$C$5,$C$7,AL$1,AL$2,$A179)</f>
        <v>0</v>
      </c>
      <c r="AM179" s="32">
        <f>_xll.DBRW($C$1,$C$2,$C$3,$C$4,$C$6,$C$5,$C$7,AM$1,AM$2,$A179)</f>
        <v>0</v>
      </c>
      <c r="AN179" s="32">
        <f>_xll.DBRW($C$1,$C$2,$C$3,$C$4,$C$6,$C$5,$C$7,AN$1,AN$2,$A179)</f>
        <v>0</v>
      </c>
      <c r="AO179" s="32">
        <f>_xll.DBRW($C$1,$C$2,$C$3,$C$4,$C$6,$C$5,$C$7,AO$1,AO$2,$A179)</f>
        <v>0</v>
      </c>
      <c r="AP179" s="32">
        <f>_xll.DBRW($C$1,$C$2,$C$3,$C$4,$C$6,$C$5,$C$7,AP$1,AP$2,$A179)</f>
        <v>0</v>
      </c>
      <c r="AQ179" s="32">
        <f>_xll.DBRW($C$1,$C$2,$C$3,$C$4,$C$6,$C$5,$C$7,AQ$1,AQ$2,$A179)</f>
        <v>0</v>
      </c>
      <c r="AR179" s="32">
        <f>_xll.DBRW($C$1,$C$2,$C$3,$C$4,$C$6,$C$5,$C$7,AR$1,AR$2,$A179)</f>
        <v>0</v>
      </c>
      <c r="AS179" s="32">
        <f>_xll.DBRW($C$1,$C$2,$C$3,$C$4,$C$6,$C$5,$C$7,AS$1,AS$2,$A179)</f>
        <v>0</v>
      </c>
      <c r="AT179" s="32">
        <f>_xll.DBRW($C$1,$C$2,$C$3,$C$4,$C$6,$C$5,$C$7,AT$1,AT$2,$A179)</f>
        <v>0</v>
      </c>
      <c r="AU179" s="32">
        <f>_xll.DBRW($C$1,$C$2,$C$3,$C$4,$C$6,$C$5,$C$7,AU$1,AU$2,$A179)</f>
        <v>0</v>
      </c>
    </row>
    <row r="180" spans="1:47" ht="15.75" hidden="1" customHeight="1" outlineLevel="2">
      <c r="A180" s="1" t="s">
        <v>258</v>
      </c>
      <c r="C180" s="143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I180" s="32">
        <f>_xll.DBRW($C$1,$C$2,$C$3,$C$4,$C$6,$C$5,$C$7,I$1,I$2,$A180)</f>
        <v>0</v>
      </c>
      <c r="J180" s="32">
        <f>_xll.DBRW($C$1,$C$2,$C$3,$C$4,$C$6,$C$5,$C$7,J$1,J$2,$A180)</f>
        <v>0</v>
      </c>
      <c r="K180" s="32">
        <f>_xll.DBRW($C$1,$C$2,$C$3,$C$4,$C$6,$C$5,$C$7,K$1,K$2,$A180)</f>
        <v>0</v>
      </c>
      <c r="L180" s="32">
        <f>_xll.DBRW($C$1,$C$2,$C$3,$C$4,$C$6,$C$5,$C$7,L$1,L$2,$A180)</f>
        <v>0</v>
      </c>
      <c r="M180" s="32">
        <f>_xll.DBRW($C$1,$C$2,$C$3,$C$4,$C$6,$C$5,$C$7,M$1,M$2,$A180)</f>
        <v>0</v>
      </c>
      <c r="N180" s="32">
        <f>_xll.DBRW($C$1,$C$2,$C$3,$C$4,$C$6,$C$5,$C$7,N$1,N$2,$A180)</f>
        <v>0</v>
      </c>
      <c r="O180" s="32">
        <f>_xll.DBRW($C$1,$C$2,$C$3,$C$4,$C$6,$C$5,$C$7,O$1,O$2,$A180)</f>
        <v>0</v>
      </c>
      <c r="P180" s="32">
        <f>_xll.DBRW($C$1,$C$2,$C$3,$C$4,$C$6,$C$5,$C$7,P$1,P$2,$A180)</f>
        <v>0</v>
      </c>
      <c r="Q180" s="32">
        <f>_xll.DBRW($C$1,$C$2,$C$3,$C$4,$C$6,$C$5,$C$7,Q$1,Q$2,$A180)</f>
        <v>0</v>
      </c>
      <c r="R180" s="32">
        <f>_xll.DBRW($C$1,$C$2,$C$3,$C$4,$C$6,$C$5,$C$7,R$1,R$2,$A180)</f>
        <v>0</v>
      </c>
      <c r="S180" s="32">
        <f>_xll.DBRW($C$1,$C$2,$C$3,$C$4,$C$6,$C$5,$C$7,S$1,S$2,$A180)</f>
        <v>0</v>
      </c>
      <c r="T180" s="32">
        <f>_xll.DBRW($C$1,$C$2,$C$3,$C$4,$C$6,$C$5,$C$7,T$1,T$2,$A180)</f>
        <v>0</v>
      </c>
      <c r="U180" s="32">
        <f>_xll.DBRW($C$1,$C$2,$C$3,$C$4,$C$6,$C$5,$C$7,U$1,U$2,$A180)</f>
        <v>0</v>
      </c>
      <c r="V180" s="32">
        <f>_xll.DBRW($C$1,$C$2,$C$3,$C$4,$C$6,$C$5,$C$7,V$1,V$2,$A180)</f>
        <v>0</v>
      </c>
      <c r="W180" s="32">
        <f>_xll.DBRW($C$1,$C$2,$C$3,$C$4,$C$6,$C$5,$C$7,W$1,W$2,$A180)</f>
        <v>0</v>
      </c>
      <c r="X180" s="32">
        <f>_xll.DBRW($C$1,$C$2,$C$3,$C$4,$C$6,$C$5,$C$7,X$1,X$2,$A180)</f>
        <v>0</v>
      </c>
      <c r="Y180" s="32">
        <f>_xll.DBRW($C$1,$C$2,$C$3,$C$4,$C$6,$C$5,$C$7,Y$1,Y$2,$A180)</f>
        <v>0</v>
      </c>
      <c r="Z180" s="32">
        <f>_xll.DBRW($C$1,$C$2,$C$3,$C$4,$C$6,$C$5,$C$7,Z$1,Z$2,$A180)</f>
        <v>0</v>
      </c>
      <c r="AA180" s="32">
        <f>_xll.DBRW($C$1,$C$2,$C$3,$C$4,$C$6,$C$5,$C$7,AA$1,AA$2,$A180)</f>
        <v>0</v>
      </c>
      <c r="AB180" s="32">
        <f>_xll.DBRW($C$1,$C$2,$C$3,$C$4,$C$6,$C$5,$C$7,AB$1,AB$2,$A180)</f>
        <v>0</v>
      </c>
      <c r="AC180" s="32">
        <f>_xll.DBRW($C$1,$C$2,$C$3,$C$4,$C$6,$C$5,$C$7,AC$1,AC$2,$A180)</f>
        <v>0</v>
      </c>
      <c r="AD180" s="32">
        <f>_xll.DBRW($C$1,$C$2,$C$3,$C$4,$C$6,$C$5,$C$7,AD$1,AD$2,$A180)</f>
        <v>0</v>
      </c>
      <c r="AE180" s="32">
        <f>_xll.DBRW($C$1,$C$2,$C$3,$C$4,$C$6,$C$5,$C$7,AE$1,AE$2,$A180)</f>
        <v>0</v>
      </c>
      <c r="AF180" s="32">
        <f>_xll.DBRW($C$1,$C$2,$C$3,$C$4,$C$6,$C$5,$C$7,AF$1,AF$2,$A180)</f>
        <v>0</v>
      </c>
      <c r="AG180" s="32">
        <f>_xll.DBRW($C$1,$C$2,$C$3,$C$4,$C$6,$C$5,$C$7,AG$1,AG$2,$A180)</f>
        <v>0</v>
      </c>
      <c r="AH180" s="32">
        <f>_xll.DBRW($C$1,$C$2,$C$3,$C$4,$C$6,$C$5,$C$7,AH$1,AH$2,$A180)</f>
        <v>0</v>
      </c>
      <c r="AI180" s="32">
        <f>_xll.DBRW($C$1,$C$2,$C$3,$C$4,$C$6,$C$5,$C$7,AI$1,AI$2,$A180)</f>
        <v>0</v>
      </c>
      <c r="AJ180" s="32">
        <f>_xll.DBRW($C$1,$C$2,$C$3,$C$4,$C$6,$C$5,$C$7,AJ$1,AJ$2,$A180)</f>
        <v>0</v>
      </c>
      <c r="AK180" s="32">
        <f>_xll.DBRW($C$1,$C$2,$C$3,$C$4,$C$6,$C$5,$C$7,AK$1,AK$2,$A180)</f>
        <v>0</v>
      </c>
      <c r="AL180" s="32">
        <f>_xll.DBRW($C$1,$C$2,$C$3,$C$4,$C$6,$C$5,$C$7,AL$1,AL$2,$A180)</f>
        <v>0</v>
      </c>
      <c r="AM180" s="32">
        <f>_xll.DBRW($C$1,$C$2,$C$3,$C$4,$C$6,$C$5,$C$7,AM$1,AM$2,$A180)</f>
        <v>0</v>
      </c>
      <c r="AN180" s="32">
        <f>_xll.DBRW($C$1,$C$2,$C$3,$C$4,$C$6,$C$5,$C$7,AN$1,AN$2,$A180)</f>
        <v>0</v>
      </c>
      <c r="AO180" s="32">
        <f>_xll.DBRW($C$1,$C$2,$C$3,$C$4,$C$6,$C$5,$C$7,AO$1,AO$2,$A180)</f>
        <v>0</v>
      </c>
      <c r="AP180" s="32">
        <f>_xll.DBRW($C$1,$C$2,$C$3,$C$4,$C$6,$C$5,$C$7,AP$1,AP$2,$A180)</f>
        <v>0</v>
      </c>
      <c r="AQ180" s="32">
        <f>_xll.DBRW($C$1,$C$2,$C$3,$C$4,$C$6,$C$5,$C$7,AQ$1,AQ$2,$A180)</f>
        <v>0</v>
      </c>
      <c r="AR180" s="32">
        <f>_xll.DBRW($C$1,$C$2,$C$3,$C$4,$C$6,$C$5,$C$7,AR$1,AR$2,$A180)</f>
        <v>0</v>
      </c>
      <c r="AS180" s="32">
        <f>_xll.DBRW($C$1,$C$2,$C$3,$C$4,$C$6,$C$5,$C$7,AS$1,AS$2,$A180)</f>
        <v>0</v>
      </c>
      <c r="AT180" s="32">
        <f>_xll.DBRW($C$1,$C$2,$C$3,$C$4,$C$6,$C$5,$C$7,AT$1,AT$2,$A180)</f>
        <v>0</v>
      </c>
      <c r="AU180" s="32">
        <f>_xll.DBRW($C$1,$C$2,$C$3,$C$4,$C$6,$C$5,$C$7,AU$1,AU$2,$A180)</f>
        <v>0</v>
      </c>
    </row>
    <row r="181" spans="1:47" ht="15.75" hidden="1" customHeight="1" outlineLevel="2">
      <c r="A181" s="1" t="s">
        <v>259</v>
      </c>
      <c r="C181" s="143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312179.07999999996</v>
      </c>
      <c r="G181" s="32">
        <f>_xll.DBRW($C$1,$C$2,$C$3,$C$4,$C$6,$C$5,$C$7,G$1,G$2,$A181)</f>
        <v>-45902302.359999999</v>
      </c>
      <c r="H181" s="32">
        <f>_xll.DBRW($C$1,$C$2,$C$3,$C$4,$C$6,$C$5,$C$7,H$1,H$2,$A181)</f>
        <v>-35754209.960000008</v>
      </c>
      <c r="I181" s="32">
        <f>_xll.DBRW($C$1,$C$2,$C$3,$C$4,$C$6,$C$5,$C$7,I$1,I$2,$A181)</f>
        <v>-391929.01999999996</v>
      </c>
      <c r="J181" s="32">
        <f>_xll.DBRW($C$1,$C$2,$C$3,$C$4,$C$6,$C$5,$C$7,J$1,J$2,$A181)</f>
        <v>-5048870.72</v>
      </c>
      <c r="K181" s="32">
        <f>_xll.DBRW($C$1,$C$2,$C$3,$C$4,$C$6,$C$5,$C$7,K$1,K$2,$A181)</f>
        <v>-4652488.09</v>
      </c>
      <c r="L181" s="32">
        <f>_xll.DBRW($C$1,$C$2,$C$3,$C$4,$C$6,$C$5,$C$7,L$1,L$2,$A181)</f>
        <v>-5045935.13</v>
      </c>
      <c r="M181" s="32">
        <f>_xll.DBRW($C$1,$C$2,$C$3,$C$4,$C$6,$C$5,$C$7,M$1,M$2,$A181)</f>
        <v>-5194553.95</v>
      </c>
      <c r="N181" s="32">
        <f>_xll.DBRW($C$1,$C$2,$C$3,$C$4,$C$6,$C$5,$C$7,N$1,N$2,$A181)</f>
        <v>-5058817.3900000006</v>
      </c>
      <c r="O181" s="32">
        <f>_xll.DBRW($C$1,$C$2,$C$3,$C$4,$C$6,$C$5,$C$7,O$1,O$2,$A181)</f>
        <v>-1044280.1500000008</v>
      </c>
      <c r="P181" s="32">
        <f>_xll.DBRW($C$1,$C$2,$C$3,$C$4,$C$6,$C$5,$C$7,P$1,P$2,$A181)</f>
        <v>-9883058.1900000013</v>
      </c>
      <c r="Q181" s="32">
        <f>_xll.DBRW($C$1,$C$2,$C$3,$C$4,$C$6,$C$5,$C$7,Q$1,Q$2,$A181)</f>
        <v>-10533777.870000001</v>
      </c>
      <c r="R181" s="32">
        <f>_xll.DBRW($C$1,$C$2,$C$3,$C$4,$C$6,$C$5,$C$7,R$1,R$2,$A181)</f>
        <v>-1323830.4400000018</v>
      </c>
      <c r="S181" s="32">
        <f>_xll.DBRW($C$1,$C$2,$C$3,$C$4,$C$6,$C$5,$C$7,S$1,S$2,$A181)</f>
        <v>-1290306.3800000018</v>
      </c>
      <c r="T181" s="32">
        <f>_xll.DBRW($C$1,$C$2,$C$3,$C$4,$C$6,$C$5,$C$7,T$1,T$2,$A181)</f>
        <v>-10043536.690000001</v>
      </c>
      <c r="U181" s="32">
        <f>_xll.DBRW($C$1,$C$2,$C$3,$C$4,$C$6,$C$5,$C$7,U$1,U$2,$A181)</f>
        <v>-10043536.690000001</v>
      </c>
      <c r="V181" s="32">
        <f>_xll.DBRW($C$1,$C$2,$C$3,$C$4,$C$6,$C$5,$C$7,V$1,V$2,$A181)</f>
        <v>0</v>
      </c>
      <c r="W181" s="32">
        <f>_xll.DBRW($C$1,$C$2,$C$3,$C$4,$C$6,$C$5,$C$7,W$1,W$2,$A181)</f>
        <v>0</v>
      </c>
      <c r="X181" s="32">
        <f>_xll.DBRW($C$1,$C$2,$C$3,$C$4,$C$6,$C$5,$C$7,X$1,X$2,$A181)</f>
        <v>0</v>
      </c>
      <c r="Y181" s="32">
        <f>_xll.DBRW($C$1,$C$2,$C$3,$C$4,$C$6,$C$5,$C$7,Y$1,Y$2,$A181)</f>
        <v>0</v>
      </c>
      <c r="Z181" s="32">
        <f>_xll.DBRW($C$1,$C$2,$C$3,$C$4,$C$6,$C$5,$C$7,Z$1,Z$2,$A181)</f>
        <v>0</v>
      </c>
      <c r="AA181" s="32">
        <f>_xll.DBRW($C$1,$C$2,$C$3,$C$4,$C$6,$C$5,$C$7,AA$1,AA$2,$A181)</f>
        <v>0</v>
      </c>
      <c r="AB181" s="32">
        <f>_xll.DBRW($C$1,$C$2,$C$3,$C$4,$C$6,$C$5,$C$7,AB$1,AB$2,$A181)</f>
        <v>0</v>
      </c>
      <c r="AC181" s="32">
        <f>_xll.DBRW($C$1,$C$2,$C$3,$C$4,$C$6,$C$5,$C$7,AC$1,AC$2,$A181)</f>
        <v>0</v>
      </c>
      <c r="AD181" s="32">
        <f>_xll.DBRW($C$1,$C$2,$C$3,$C$4,$C$6,$C$5,$C$7,AD$1,AD$2,$A181)</f>
        <v>0</v>
      </c>
      <c r="AE181" s="32">
        <f>_xll.DBRW($C$1,$C$2,$C$3,$C$4,$C$6,$C$5,$C$7,AE$1,AE$2,$A181)</f>
        <v>0</v>
      </c>
      <c r="AF181" s="32">
        <f>_xll.DBRW($C$1,$C$2,$C$3,$C$4,$C$6,$C$5,$C$7,AF$1,AF$2,$A181)</f>
        <v>0</v>
      </c>
      <c r="AG181" s="32">
        <f>_xll.DBRW($C$1,$C$2,$C$3,$C$4,$C$6,$C$5,$C$7,AG$1,AG$2,$A181)</f>
        <v>0</v>
      </c>
      <c r="AH181" s="32">
        <f>_xll.DBRW($C$1,$C$2,$C$3,$C$4,$C$6,$C$5,$C$7,AH$1,AH$2,$A181)</f>
        <v>0</v>
      </c>
      <c r="AI181" s="32">
        <f>_xll.DBRW($C$1,$C$2,$C$3,$C$4,$C$6,$C$5,$C$7,AI$1,AI$2,$A181)</f>
        <v>0</v>
      </c>
      <c r="AJ181" s="32">
        <f>_xll.DBRW($C$1,$C$2,$C$3,$C$4,$C$6,$C$5,$C$7,AJ$1,AJ$2,$A181)</f>
        <v>0</v>
      </c>
      <c r="AK181" s="32">
        <f>_xll.DBRW($C$1,$C$2,$C$3,$C$4,$C$6,$C$5,$C$7,AK$1,AK$2,$A181)</f>
        <v>0</v>
      </c>
      <c r="AL181" s="32">
        <f>_xll.DBRW($C$1,$C$2,$C$3,$C$4,$C$6,$C$5,$C$7,AL$1,AL$2,$A181)</f>
        <v>0</v>
      </c>
      <c r="AM181" s="32">
        <f>_xll.DBRW($C$1,$C$2,$C$3,$C$4,$C$6,$C$5,$C$7,AM$1,AM$2,$A181)</f>
        <v>0</v>
      </c>
      <c r="AN181" s="32">
        <f>_xll.DBRW($C$1,$C$2,$C$3,$C$4,$C$6,$C$5,$C$7,AN$1,AN$2,$A181)</f>
        <v>0</v>
      </c>
      <c r="AO181" s="32">
        <f>_xll.DBRW($C$1,$C$2,$C$3,$C$4,$C$6,$C$5,$C$7,AO$1,AO$2,$A181)</f>
        <v>0</v>
      </c>
      <c r="AP181" s="32">
        <f>_xll.DBRW($C$1,$C$2,$C$3,$C$4,$C$6,$C$5,$C$7,AP$1,AP$2,$A181)</f>
        <v>0</v>
      </c>
      <c r="AQ181" s="32">
        <f>_xll.DBRW($C$1,$C$2,$C$3,$C$4,$C$6,$C$5,$C$7,AQ$1,AQ$2,$A181)</f>
        <v>0</v>
      </c>
      <c r="AR181" s="32">
        <f>_xll.DBRW($C$1,$C$2,$C$3,$C$4,$C$6,$C$5,$C$7,AR$1,AR$2,$A181)</f>
        <v>0</v>
      </c>
      <c r="AS181" s="32">
        <f>_xll.DBRW($C$1,$C$2,$C$3,$C$4,$C$6,$C$5,$C$7,AS$1,AS$2,$A181)</f>
        <v>0</v>
      </c>
      <c r="AT181" s="32">
        <f>_xll.DBRW($C$1,$C$2,$C$3,$C$4,$C$6,$C$5,$C$7,AT$1,AT$2,$A181)</f>
        <v>0</v>
      </c>
      <c r="AU181" s="32">
        <f>_xll.DBRW($C$1,$C$2,$C$3,$C$4,$C$6,$C$5,$C$7,AU$1,AU$2,$A181)</f>
        <v>0</v>
      </c>
    </row>
    <row r="182" spans="1:47" ht="15.75" hidden="1" customHeight="1" outlineLevel="2">
      <c r="A182" s="1" t="s">
        <v>260</v>
      </c>
      <c r="C182" s="143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75.899999999999991</v>
      </c>
      <c r="G182" s="32">
        <f>_xll.DBRW($C$1,$C$2,$C$3,$C$4,$C$6,$C$5,$C$7,G$1,G$2,$A182)</f>
        <v>33.25</v>
      </c>
      <c r="H182" s="32">
        <f>_xll.DBRW($C$1,$C$2,$C$3,$C$4,$C$6,$C$5,$C$7,H$1,H$2,$A182)</f>
        <v>209.96000000000004</v>
      </c>
      <c r="I182" s="32">
        <f>_xll.DBRW($C$1,$C$2,$C$3,$C$4,$C$6,$C$5,$C$7,I$1,I$2,$A182)</f>
        <v>0</v>
      </c>
      <c r="J182" s="32">
        <f>_xll.DBRW($C$1,$C$2,$C$3,$C$4,$C$6,$C$5,$C$7,J$1,J$2,$A182)</f>
        <v>30.06</v>
      </c>
      <c r="K182" s="32">
        <f>_xll.DBRW($C$1,$C$2,$C$3,$C$4,$C$6,$C$5,$C$7,K$1,K$2,$A182)</f>
        <v>30.06</v>
      </c>
      <c r="L182" s="32">
        <f>_xll.DBRW($C$1,$C$2,$C$3,$C$4,$C$6,$C$5,$C$7,L$1,L$2,$A182)</f>
        <v>30.06</v>
      </c>
      <c r="M182" s="32">
        <f>_xll.DBRW($C$1,$C$2,$C$3,$C$4,$C$6,$C$5,$C$7,M$1,M$2,$A182)</f>
        <v>30.06</v>
      </c>
      <c r="N182" s="32">
        <f>_xll.DBRW($C$1,$C$2,$C$3,$C$4,$C$6,$C$5,$C$7,N$1,N$2,$A182)</f>
        <v>30.06</v>
      </c>
      <c r="O182" s="32">
        <f>_xll.DBRW($C$1,$C$2,$C$3,$C$4,$C$6,$C$5,$C$7,O$1,O$2,$A182)</f>
        <v>29</v>
      </c>
      <c r="P182" s="32">
        <f>_xll.DBRW($C$1,$C$2,$C$3,$C$4,$C$6,$C$5,$C$7,P$1,P$2,$A182)</f>
        <v>0</v>
      </c>
      <c r="Q182" s="32">
        <f>_xll.DBRW($C$1,$C$2,$C$3,$C$4,$C$6,$C$5,$C$7,Q$1,Q$2,$A182)</f>
        <v>0</v>
      </c>
      <c r="R182" s="32">
        <f>_xll.DBRW($C$1,$C$2,$C$3,$C$4,$C$6,$C$5,$C$7,R$1,R$2,$A182)</f>
        <v>0</v>
      </c>
      <c r="S182" s="32">
        <f>_xll.DBRW($C$1,$C$2,$C$3,$C$4,$C$6,$C$5,$C$7,S$1,S$2,$A182)</f>
        <v>0</v>
      </c>
      <c r="T182" s="32">
        <f>_xll.DBRW($C$1,$C$2,$C$3,$C$4,$C$6,$C$5,$C$7,T$1,T$2,$A182)</f>
        <v>0</v>
      </c>
      <c r="U182" s="32">
        <f>_xll.DBRW($C$1,$C$2,$C$3,$C$4,$C$6,$C$5,$C$7,U$1,U$2,$A182)</f>
        <v>0</v>
      </c>
      <c r="V182" s="32">
        <f>_xll.DBRW($C$1,$C$2,$C$3,$C$4,$C$6,$C$5,$C$7,V$1,V$2,$A182)</f>
        <v>0</v>
      </c>
      <c r="W182" s="32">
        <f>_xll.DBRW($C$1,$C$2,$C$3,$C$4,$C$6,$C$5,$C$7,W$1,W$2,$A182)</f>
        <v>0</v>
      </c>
      <c r="X182" s="32">
        <f>_xll.DBRW($C$1,$C$2,$C$3,$C$4,$C$6,$C$5,$C$7,X$1,X$2,$A182)</f>
        <v>0</v>
      </c>
      <c r="Y182" s="32">
        <f>_xll.DBRW($C$1,$C$2,$C$3,$C$4,$C$6,$C$5,$C$7,Y$1,Y$2,$A182)</f>
        <v>0</v>
      </c>
      <c r="Z182" s="32">
        <f>_xll.DBRW($C$1,$C$2,$C$3,$C$4,$C$6,$C$5,$C$7,Z$1,Z$2,$A182)</f>
        <v>0</v>
      </c>
      <c r="AA182" s="32">
        <f>_xll.DBRW($C$1,$C$2,$C$3,$C$4,$C$6,$C$5,$C$7,AA$1,AA$2,$A182)</f>
        <v>0</v>
      </c>
      <c r="AB182" s="32">
        <f>_xll.DBRW($C$1,$C$2,$C$3,$C$4,$C$6,$C$5,$C$7,AB$1,AB$2,$A182)</f>
        <v>0</v>
      </c>
      <c r="AC182" s="32">
        <f>_xll.DBRW($C$1,$C$2,$C$3,$C$4,$C$6,$C$5,$C$7,AC$1,AC$2,$A182)</f>
        <v>0</v>
      </c>
      <c r="AD182" s="32">
        <f>_xll.DBRW($C$1,$C$2,$C$3,$C$4,$C$6,$C$5,$C$7,AD$1,AD$2,$A182)</f>
        <v>0</v>
      </c>
      <c r="AE182" s="32">
        <f>_xll.DBRW($C$1,$C$2,$C$3,$C$4,$C$6,$C$5,$C$7,AE$1,AE$2,$A182)</f>
        <v>0</v>
      </c>
      <c r="AF182" s="32">
        <f>_xll.DBRW($C$1,$C$2,$C$3,$C$4,$C$6,$C$5,$C$7,AF$1,AF$2,$A182)</f>
        <v>0</v>
      </c>
      <c r="AG182" s="32">
        <f>_xll.DBRW($C$1,$C$2,$C$3,$C$4,$C$6,$C$5,$C$7,AG$1,AG$2,$A182)</f>
        <v>0</v>
      </c>
      <c r="AH182" s="32">
        <f>_xll.DBRW($C$1,$C$2,$C$3,$C$4,$C$6,$C$5,$C$7,AH$1,AH$2,$A182)</f>
        <v>0</v>
      </c>
      <c r="AI182" s="32">
        <f>_xll.DBRW($C$1,$C$2,$C$3,$C$4,$C$6,$C$5,$C$7,AI$1,AI$2,$A182)</f>
        <v>0</v>
      </c>
      <c r="AJ182" s="32">
        <f>_xll.DBRW($C$1,$C$2,$C$3,$C$4,$C$6,$C$5,$C$7,AJ$1,AJ$2,$A182)</f>
        <v>0</v>
      </c>
      <c r="AK182" s="32">
        <f>_xll.DBRW($C$1,$C$2,$C$3,$C$4,$C$6,$C$5,$C$7,AK$1,AK$2,$A182)</f>
        <v>0</v>
      </c>
      <c r="AL182" s="32">
        <f>_xll.DBRW($C$1,$C$2,$C$3,$C$4,$C$6,$C$5,$C$7,AL$1,AL$2,$A182)</f>
        <v>0</v>
      </c>
      <c r="AM182" s="32">
        <f>_xll.DBRW($C$1,$C$2,$C$3,$C$4,$C$6,$C$5,$C$7,AM$1,AM$2,$A182)</f>
        <v>0</v>
      </c>
      <c r="AN182" s="32">
        <f>_xll.DBRW($C$1,$C$2,$C$3,$C$4,$C$6,$C$5,$C$7,AN$1,AN$2,$A182)</f>
        <v>0</v>
      </c>
      <c r="AO182" s="32">
        <f>_xll.DBRW($C$1,$C$2,$C$3,$C$4,$C$6,$C$5,$C$7,AO$1,AO$2,$A182)</f>
        <v>0</v>
      </c>
      <c r="AP182" s="32">
        <f>_xll.DBRW($C$1,$C$2,$C$3,$C$4,$C$6,$C$5,$C$7,AP$1,AP$2,$A182)</f>
        <v>0</v>
      </c>
      <c r="AQ182" s="32">
        <f>_xll.DBRW($C$1,$C$2,$C$3,$C$4,$C$6,$C$5,$C$7,AQ$1,AQ$2,$A182)</f>
        <v>0</v>
      </c>
      <c r="AR182" s="32">
        <f>_xll.DBRW($C$1,$C$2,$C$3,$C$4,$C$6,$C$5,$C$7,AR$1,AR$2,$A182)</f>
        <v>0</v>
      </c>
      <c r="AS182" s="32">
        <f>_xll.DBRW($C$1,$C$2,$C$3,$C$4,$C$6,$C$5,$C$7,AS$1,AS$2,$A182)</f>
        <v>0</v>
      </c>
      <c r="AT182" s="32">
        <f>_xll.DBRW($C$1,$C$2,$C$3,$C$4,$C$6,$C$5,$C$7,AT$1,AT$2,$A182)</f>
        <v>0</v>
      </c>
      <c r="AU182" s="32">
        <f>_xll.DBRW($C$1,$C$2,$C$3,$C$4,$C$6,$C$5,$C$7,AU$1,AU$2,$A182)</f>
        <v>0</v>
      </c>
    </row>
    <row r="183" spans="1:47" ht="15.75" hidden="1" customHeight="1" outlineLevel="2">
      <c r="A183" s="1" t="s">
        <v>261</v>
      </c>
      <c r="C183" s="143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1174959.47</v>
      </c>
      <c r="G183" s="32">
        <f>_xll.DBRW($C$1,$C$2,$C$3,$C$4,$C$6,$C$5,$C$7,G$1,G$2,$A183)</f>
        <v>-17334323.759999998</v>
      </c>
      <c r="H183" s="32">
        <f>_xll.DBRW($C$1,$C$2,$C$3,$C$4,$C$6,$C$5,$C$7,H$1,H$2,$A183)</f>
        <v>10279428.68</v>
      </c>
      <c r="I183" s="32">
        <f>_xll.DBRW($C$1,$C$2,$C$3,$C$4,$C$6,$C$5,$C$7,I$1,I$2,$A183)</f>
        <v>54714.73</v>
      </c>
      <c r="J183" s="32">
        <f>_xll.DBRW($C$1,$C$2,$C$3,$C$4,$C$6,$C$5,$C$7,J$1,J$2,$A183)</f>
        <v>318970.73</v>
      </c>
      <c r="K183" s="32">
        <f>_xll.DBRW($C$1,$C$2,$C$3,$C$4,$C$6,$C$5,$C$7,K$1,K$2,$A183)</f>
        <v>528350.06999999995</v>
      </c>
      <c r="L183" s="32">
        <f>_xll.DBRW($C$1,$C$2,$C$3,$C$4,$C$6,$C$5,$C$7,L$1,L$2,$A183)</f>
        <v>531895.35</v>
      </c>
      <c r="M183" s="32">
        <f>_xll.DBRW($C$1,$C$2,$C$3,$C$4,$C$6,$C$5,$C$7,M$1,M$2,$A183)</f>
        <v>1523909.4300000002</v>
      </c>
      <c r="N183" s="32">
        <f>_xll.DBRW($C$1,$C$2,$C$3,$C$4,$C$6,$C$5,$C$7,N$1,N$2,$A183)</f>
        <v>1644350.4800000002</v>
      </c>
      <c r="O183" s="32">
        <f>_xll.DBRW($C$1,$C$2,$C$3,$C$4,$C$6,$C$5,$C$7,O$1,O$2,$A183)</f>
        <v>1644350.4800000002</v>
      </c>
      <c r="P183" s="32">
        <f>_xll.DBRW($C$1,$C$2,$C$3,$C$4,$C$6,$C$5,$C$7,P$1,P$2,$A183)</f>
        <v>2995769.95</v>
      </c>
      <c r="Q183" s="32">
        <f>_xll.DBRW($C$1,$C$2,$C$3,$C$4,$C$6,$C$5,$C$7,Q$1,Q$2,$A183)</f>
        <v>3040585.0900000003</v>
      </c>
      <c r="R183" s="32">
        <f>_xll.DBRW($C$1,$C$2,$C$3,$C$4,$C$6,$C$5,$C$7,R$1,R$2,$A183)</f>
        <v>3040585.0900000003</v>
      </c>
      <c r="S183" s="32">
        <f>_xll.DBRW($C$1,$C$2,$C$3,$C$4,$C$6,$C$5,$C$7,S$1,S$2,$A183)</f>
        <v>4151313.1400000006</v>
      </c>
      <c r="T183" s="32">
        <f>_xll.DBRW($C$1,$C$2,$C$3,$C$4,$C$6,$C$5,$C$7,T$1,T$2,$A183)</f>
        <v>5937584.9199999999</v>
      </c>
      <c r="U183" s="32">
        <f>_xll.DBRW($C$1,$C$2,$C$3,$C$4,$C$6,$C$5,$C$7,U$1,U$2,$A183)</f>
        <v>5937584.9199999999</v>
      </c>
      <c r="V183" s="32">
        <f>_xll.DBRW($C$1,$C$2,$C$3,$C$4,$C$6,$C$5,$C$7,V$1,V$2,$A183)</f>
        <v>0</v>
      </c>
      <c r="W183" s="32">
        <f>_xll.DBRW($C$1,$C$2,$C$3,$C$4,$C$6,$C$5,$C$7,W$1,W$2,$A183)</f>
        <v>0</v>
      </c>
      <c r="X183" s="32">
        <f>_xll.DBRW($C$1,$C$2,$C$3,$C$4,$C$6,$C$5,$C$7,X$1,X$2,$A183)</f>
        <v>0</v>
      </c>
      <c r="Y183" s="32">
        <f>_xll.DBRW($C$1,$C$2,$C$3,$C$4,$C$6,$C$5,$C$7,Y$1,Y$2,$A183)</f>
        <v>0</v>
      </c>
      <c r="Z183" s="32">
        <f>_xll.DBRW($C$1,$C$2,$C$3,$C$4,$C$6,$C$5,$C$7,Z$1,Z$2,$A183)</f>
        <v>0</v>
      </c>
      <c r="AA183" s="32">
        <f>_xll.DBRW($C$1,$C$2,$C$3,$C$4,$C$6,$C$5,$C$7,AA$1,AA$2,$A183)</f>
        <v>0</v>
      </c>
      <c r="AB183" s="32">
        <f>_xll.DBRW($C$1,$C$2,$C$3,$C$4,$C$6,$C$5,$C$7,AB$1,AB$2,$A183)</f>
        <v>0</v>
      </c>
      <c r="AC183" s="32">
        <f>_xll.DBRW($C$1,$C$2,$C$3,$C$4,$C$6,$C$5,$C$7,AC$1,AC$2,$A183)</f>
        <v>0</v>
      </c>
      <c r="AD183" s="32">
        <f>_xll.DBRW($C$1,$C$2,$C$3,$C$4,$C$6,$C$5,$C$7,AD$1,AD$2,$A183)</f>
        <v>0</v>
      </c>
      <c r="AE183" s="32">
        <f>_xll.DBRW($C$1,$C$2,$C$3,$C$4,$C$6,$C$5,$C$7,AE$1,AE$2,$A183)</f>
        <v>0</v>
      </c>
      <c r="AF183" s="32">
        <f>_xll.DBRW($C$1,$C$2,$C$3,$C$4,$C$6,$C$5,$C$7,AF$1,AF$2,$A183)</f>
        <v>0</v>
      </c>
      <c r="AG183" s="32">
        <f>_xll.DBRW($C$1,$C$2,$C$3,$C$4,$C$6,$C$5,$C$7,AG$1,AG$2,$A183)</f>
        <v>0</v>
      </c>
      <c r="AH183" s="32">
        <f>_xll.DBRW($C$1,$C$2,$C$3,$C$4,$C$6,$C$5,$C$7,AH$1,AH$2,$A183)</f>
        <v>0</v>
      </c>
      <c r="AI183" s="32">
        <f>_xll.DBRW($C$1,$C$2,$C$3,$C$4,$C$6,$C$5,$C$7,AI$1,AI$2,$A183)</f>
        <v>0</v>
      </c>
      <c r="AJ183" s="32">
        <f>_xll.DBRW($C$1,$C$2,$C$3,$C$4,$C$6,$C$5,$C$7,AJ$1,AJ$2,$A183)</f>
        <v>0</v>
      </c>
      <c r="AK183" s="32">
        <f>_xll.DBRW($C$1,$C$2,$C$3,$C$4,$C$6,$C$5,$C$7,AK$1,AK$2,$A183)</f>
        <v>0</v>
      </c>
      <c r="AL183" s="32">
        <f>_xll.DBRW($C$1,$C$2,$C$3,$C$4,$C$6,$C$5,$C$7,AL$1,AL$2,$A183)</f>
        <v>0</v>
      </c>
      <c r="AM183" s="32">
        <f>_xll.DBRW($C$1,$C$2,$C$3,$C$4,$C$6,$C$5,$C$7,AM$1,AM$2,$A183)</f>
        <v>0</v>
      </c>
      <c r="AN183" s="32">
        <f>_xll.DBRW($C$1,$C$2,$C$3,$C$4,$C$6,$C$5,$C$7,AN$1,AN$2,$A183)</f>
        <v>0</v>
      </c>
      <c r="AO183" s="32">
        <f>_xll.DBRW($C$1,$C$2,$C$3,$C$4,$C$6,$C$5,$C$7,AO$1,AO$2,$A183)</f>
        <v>0</v>
      </c>
      <c r="AP183" s="32">
        <f>_xll.DBRW($C$1,$C$2,$C$3,$C$4,$C$6,$C$5,$C$7,AP$1,AP$2,$A183)</f>
        <v>0</v>
      </c>
      <c r="AQ183" s="32">
        <f>_xll.DBRW($C$1,$C$2,$C$3,$C$4,$C$6,$C$5,$C$7,AQ$1,AQ$2,$A183)</f>
        <v>0</v>
      </c>
      <c r="AR183" s="32">
        <f>_xll.DBRW($C$1,$C$2,$C$3,$C$4,$C$6,$C$5,$C$7,AR$1,AR$2,$A183)</f>
        <v>0</v>
      </c>
      <c r="AS183" s="32">
        <f>_xll.DBRW($C$1,$C$2,$C$3,$C$4,$C$6,$C$5,$C$7,AS$1,AS$2,$A183)</f>
        <v>0</v>
      </c>
      <c r="AT183" s="32">
        <f>_xll.DBRW($C$1,$C$2,$C$3,$C$4,$C$6,$C$5,$C$7,AT$1,AT$2,$A183)</f>
        <v>0</v>
      </c>
      <c r="AU183" s="32">
        <f>_xll.DBRW($C$1,$C$2,$C$3,$C$4,$C$6,$C$5,$C$7,AU$1,AU$2,$A183)</f>
        <v>0</v>
      </c>
    </row>
    <row r="184" spans="1:47" ht="15.75" hidden="1" customHeight="1" outlineLevel="2">
      <c r="A184" s="1" t="s">
        <v>262</v>
      </c>
      <c r="C184" s="143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-1650064.9</v>
      </c>
      <c r="G184" s="32">
        <f>_xll.DBRW($C$1,$C$2,$C$3,$C$4,$C$6,$C$5,$C$7,G$1,G$2,$A184)</f>
        <v>0</v>
      </c>
      <c r="H184" s="32">
        <f>_xll.DBRW($C$1,$C$2,$C$3,$C$4,$C$6,$C$5,$C$7,H$1,H$2,$A184)</f>
        <v>-1563238.95</v>
      </c>
      <c r="I184" s="32">
        <f>_xll.DBRW($C$1,$C$2,$C$3,$C$4,$C$6,$C$5,$C$7,I$1,I$2,$A184)</f>
        <v>0</v>
      </c>
      <c r="J184" s="32">
        <f>_xll.DBRW($C$1,$C$2,$C$3,$C$4,$C$6,$C$5,$C$7,J$1,J$2,$A184)</f>
        <v>0</v>
      </c>
      <c r="K184" s="32">
        <f>_xll.DBRW($C$1,$C$2,$C$3,$C$4,$C$6,$C$5,$C$7,K$1,K$2,$A184)</f>
        <v>0</v>
      </c>
      <c r="L184" s="32">
        <f>_xll.DBRW($C$1,$C$2,$C$3,$C$4,$C$6,$C$5,$C$7,L$1,L$2,$A184)</f>
        <v>0</v>
      </c>
      <c r="M184" s="32">
        <f>_xll.DBRW($C$1,$C$2,$C$3,$C$4,$C$6,$C$5,$C$7,M$1,M$2,$A184)</f>
        <v>0</v>
      </c>
      <c r="N184" s="32">
        <f>_xll.DBRW($C$1,$C$2,$C$3,$C$4,$C$6,$C$5,$C$7,N$1,N$2,$A184)</f>
        <v>0</v>
      </c>
      <c r="O184" s="32">
        <f>_xll.DBRW($C$1,$C$2,$C$3,$C$4,$C$6,$C$5,$C$7,O$1,O$2,$A184)</f>
        <v>0</v>
      </c>
      <c r="P184" s="32">
        <f>_xll.DBRW($C$1,$C$2,$C$3,$C$4,$C$6,$C$5,$C$7,P$1,P$2,$A184)</f>
        <v>0</v>
      </c>
      <c r="Q184" s="32">
        <f>_xll.DBRW($C$1,$C$2,$C$3,$C$4,$C$6,$C$5,$C$7,Q$1,Q$2,$A184)</f>
        <v>0</v>
      </c>
      <c r="R184" s="32">
        <f>_xll.DBRW($C$1,$C$2,$C$3,$C$4,$C$6,$C$5,$C$7,R$1,R$2,$A184)</f>
        <v>0</v>
      </c>
      <c r="S184" s="32">
        <f>_xll.DBRW($C$1,$C$2,$C$3,$C$4,$C$6,$C$5,$C$7,S$1,S$2,$A184)</f>
        <v>0</v>
      </c>
      <c r="T184" s="32">
        <f>_xll.DBRW($C$1,$C$2,$C$3,$C$4,$C$6,$C$5,$C$7,T$1,T$2,$A184)</f>
        <v>-173651.9</v>
      </c>
      <c r="U184" s="32">
        <f>_xll.DBRW($C$1,$C$2,$C$3,$C$4,$C$6,$C$5,$C$7,U$1,U$2,$A184)</f>
        <v>-173651.9</v>
      </c>
      <c r="V184" s="32">
        <f>_xll.DBRW($C$1,$C$2,$C$3,$C$4,$C$6,$C$5,$C$7,V$1,V$2,$A184)</f>
        <v>0</v>
      </c>
      <c r="W184" s="32">
        <f>_xll.DBRW($C$1,$C$2,$C$3,$C$4,$C$6,$C$5,$C$7,W$1,W$2,$A184)</f>
        <v>0</v>
      </c>
      <c r="X184" s="32">
        <f>_xll.DBRW($C$1,$C$2,$C$3,$C$4,$C$6,$C$5,$C$7,X$1,X$2,$A184)</f>
        <v>0</v>
      </c>
      <c r="Y184" s="32">
        <f>_xll.DBRW($C$1,$C$2,$C$3,$C$4,$C$6,$C$5,$C$7,Y$1,Y$2,$A184)</f>
        <v>0</v>
      </c>
      <c r="Z184" s="32">
        <f>_xll.DBRW($C$1,$C$2,$C$3,$C$4,$C$6,$C$5,$C$7,Z$1,Z$2,$A184)</f>
        <v>0</v>
      </c>
      <c r="AA184" s="32">
        <f>_xll.DBRW($C$1,$C$2,$C$3,$C$4,$C$6,$C$5,$C$7,AA$1,AA$2,$A184)</f>
        <v>0</v>
      </c>
      <c r="AB184" s="32">
        <f>_xll.DBRW($C$1,$C$2,$C$3,$C$4,$C$6,$C$5,$C$7,AB$1,AB$2,$A184)</f>
        <v>0</v>
      </c>
      <c r="AC184" s="32">
        <f>_xll.DBRW($C$1,$C$2,$C$3,$C$4,$C$6,$C$5,$C$7,AC$1,AC$2,$A184)</f>
        <v>0</v>
      </c>
      <c r="AD184" s="32">
        <f>_xll.DBRW($C$1,$C$2,$C$3,$C$4,$C$6,$C$5,$C$7,AD$1,AD$2,$A184)</f>
        <v>0</v>
      </c>
      <c r="AE184" s="32">
        <f>_xll.DBRW($C$1,$C$2,$C$3,$C$4,$C$6,$C$5,$C$7,AE$1,AE$2,$A184)</f>
        <v>0</v>
      </c>
      <c r="AF184" s="32">
        <f>_xll.DBRW($C$1,$C$2,$C$3,$C$4,$C$6,$C$5,$C$7,AF$1,AF$2,$A184)</f>
        <v>0</v>
      </c>
      <c r="AG184" s="32">
        <f>_xll.DBRW($C$1,$C$2,$C$3,$C$4,$C$6,$C$5,$C$7,AG$1,AG$2,$A184)</f>
        <v>0</v>
      </c>
      <c r="AH184" s="32">
        <f>_xll.DBRW($C$1,$C$2,$C$3,$C$4,$C$6,$C$5,$C$7,AH$1,AH$2,$A184)</f>
        <v>0</v>
      </c>
      <c r="AI184" s="32">
        <f>_xll.DBRW($C$1,$C$2,$C$3,$C$4,$C$6,$C$5,$C$7,AI$1,AI$2,$A184)</f>
        <v>0</v>
      </c>
      <c r="AJ184" s="32">
        <f>_xll.DBRW($C$1,$C$2,$C$3,$C$4,$C$6,$C$5,$C$7,AJ$1,AJ$2,$A184)</f>
        <v>0</v>
      </c>
      <c r="AK184" s="32">
        <f>_xll.DBRW($C$1,$C$2,$C$3,$C$4,$C$6,$C$5,$C$7,AK$1,AK$2,$A184)</f>
        <v>0</v>
      </c>
      <c r="AL184" s="32">
        <f>_xll.DBRW($C$1,$C$2,$C$3,$C$4,$C$6,$C$5,$C$7,AL$1,AL$2,$A184)</f>
        <v>0</v>
      </c>
      <c r="AM184" s="32">
        <f>_xll.DBRW($C$1,$C$2,$C$3,$C$4,$C$6,$C$5,$C$7,AM$1,AM$2,$A184)</f>
        <v>0</v>
      </c>
      <c r="AN184" s="32">
        <f>_xll.DBRW($C$1,$C$2,$C$3,$C$4,$C$6,$C$5,$C$7,AN$1,AN$2,$A184)</f>
        <v>0</v>
      </c>
      <c r="AO184" s="32">
        <f>_xll.DBRW($C$1,$C$2,$C$3,$C$4,$C$6,$C$5,$C$7,AO$1,AO$2,$A184)</f>
        <v>0</v>
      </c>
      <c r="AP184" s="32">
        <f>_xll.DBRW($C$1,$C$2,$C$3,$C$4,$C$6,$C$5,$C$7,AP$1,AP$2,$A184)</f>
        <v>0</v>
      </c>
      <c r="AQ184" s="32">
        <f>_xll.DBRW($C$1,$C$2,$C$3,$C$4,$C$6,$C$5,$C$7,AQ$1,AQ$2,$A184)</f>
        <v>0</v>
      </c>
      <c r="AR184" s="32">
        <f>_xll.DBRW($C$1,$C$2,$C$3,$C$4,$C$6,$C$5,$C$7,AR$1,AR$2,$A184)</f>
        <v>0</v>
      </c>
      <c r="AS184" s="32">
        <f>_xll.DBRW($C$1,$C$2,$C$3,$C$4,$C$6,$C$5,$C$7,AS$1,AS$2,$A184)</f>
        <v>0</v>
      </c>
      <c r="AT184" s="32">
        <f>_xll.DBRW($C$1,$C$2,$C$3,$C$4,$C$6,$C$5,$C$7,AT$1,AT$2,$A184)</f>
        <v>0</v>
      </c>
      <c r="AU184" s="32">
        <f>_xll.DBRW($C$1,$C$2,$C$3,$C$4,$C$6,$C$5,$C$7,AU$1,AU$2,$A184)</f>
        <v>0</v>
      </c>
    </row>
    <row r="185" spans="1:47" ht="15.75" hidden="1" outlineLevel="1">
      <c r="A185" s="1" t="s">
        <v>127</v>
      </c>
      <c r="C185" s="143"/>
      <c r="E185" s="14" t="s">
        <v>32</v>
      </c>
      <c r="F185" s="32">
        <f t="shared" ref="F185:AU185" si="81">SUM(F170:F184)</f>
        <v>-209310015.88999996</v>
      </c>
      <c r="G185" s="32">
        <f t="shared" si="81"/>
        <v>-317909493.52999997</v>
      </c>
      <c r="H185" s="32">
        <f t="shared" si="81"/>
        <v>-227392831.81140006</v>
      </c>
      <c r="I185" s="32">
        <f t="shared" si="81"/>
        <v>-2288896.6596999997</v>
      </c>
      <c r="J185" s="32">
        <f t="shared" si="81"/>
        <v>-33301324.130000006</v>
      </c>
      <c r="K185" s="32">
        <f t="shared" si="81"/>
        <v>-48874022.960000016</v>
      </c>
      <c r="L185" s="32">
        <f t="shared" si="81"/>
        <v>-68676667.669999987</v>
      </c>
      <c r="M185" s="32">
        <f t="shared" si="81"/>
        <v>-75257273.340000018</v>
      </c>
      <c r="N185" s="32">
        <f t="shared" si="81"/>
        <v>-396269573.52000004</v>
      </c>
      <c r="O185" s="32">
        <f t="shared" si="81"/>
        <v>-320750411.41000003</v>
      </c>
      <c r="P185" s="32">
        <f t="shared" si="81"/>
        <v>-461797364.09000003</v>
      </c>
      <c r="Q185" s="32">
        <f t="shared" si="81"/>
        <v>-482905736.33000016</v>
      </c>
      <c r="R185" s="32">
        <f t="shared" si="81"/>
        <v>-333624873.20000017</v>
      </c>
      <c r="S185" s="32">
        <f t="shared" si="81"/>
        <v>-456528371.24000007</v>
      </c>
      <c r="T185" s="32">
        <f t="shared" si="81"/>
        <v>-721487609.53000021</v>
      </c>
      <c r="U185" s="32">
        <f t="shared" si="81"/>
        <v>-721487609.53000021</v>
      </c>
      <c r="V185" s="32">
        <f t="shared" si="81"/>
        <v>0</v>
      </c>
      <c r="W185" s="32">
        <f t="shared" si="81"/>
        <v>0</v>
      </c>
      <c r="X185" s="32">
        <f t="shared" si="81"/>
        <v>0</v>
      </c>
      <c r="Y185" s="32">
        <f t="shared" si="81"/>
        <v>0</v>
      </c>
      <c r="Z185" s="32">
        <f t="shared" si="81"/>
        <v>0</v>
      </c>
      <c r="AA185" s="32">
        <f t="shared" si="81"/>
        <v>0</v>
      </c>
      <c r="AB185" s="32">
        <f t="shared" si="81"/>
        <v>0</v>
      </c>
      <c r="AC185" s="32">
        <f t="shared" si="81"/>
        <v>0</v>
      </c>
      <c r="AD185" s="32">
        <f t="shared" si="81"/>
        <v>0</v>
      </c>
      <c r="AE185" s="32">
        <f t="shared" si="81"/>
        <v>0</v>
      </c>
      <c r="AF185" s="32">
        <f t="shared" si="81"/>
        <v>0</v>
      </c>
      <c r="AG185" s="32">
        <f t="shared" si="81"/>
        <v>0</v>
      </c>
      <c r="AH185" s="32">
        <f t="shared" si="81"/>
        <v>0</v>
      </c>
      <c r="AI185" s="32">
        <f t="shared" si="81"/>
        <v>0</v>
      </c>
      <c r="AJ185" s="32">
        <f t="shared" si="81"/>
        <v>0</v>
      </c>
      <c r="AK185" s="32">
        <f t="shared" si="81"/>
        <v>0</v>
      </c>
      <c r="AL185" s="32">
        <f t="shared" si="81"/>
        <v>0</v>
      </c>
      <c r="AM185" s="32">
        <f t="shared" si="81"/>
        <v>0</v>
      </c>
      <c r="AN185" s="32">
        <f t="shared" si="81"/>
        <v>0</v>
      </c>
      <c r="AO185" s="32">
        <f t="shared" si="81"/>
        <v>0</v>
      </c>
      <c r="AP185" s="32">
        <f t="shared" si="81"/>
        <v>0</v>
      </c>
      <c r="AQ185" s="32">
        <f t="shared" si="81"/>
        <v>0</v>
      </c>
      <c r="AR185" s="32">
        <f t="shared" si="81"/>
        <v>0</v>
      </c>
      <c r="AS185" s="32">
        <f t="shared" si="81"/>
        <v>0</v>
      </c>
      <c r="AT185" s="32">
        <f t="shared" si="81"/>
        <v>0</v>
      </c>
      <c r="AU185" s="32">
        <f t="shared" si="81"/>
        <v>0</v>
      </c>
    </row>
    <row r="186" spans="1:47" ht="15.75" collapsed="1">
      <c r="A186" s="1" t="s">
        <v>127</v>
      </c>
      <c r="C186" s="143"/>
      <c r="E186" s="120" t="s">
        <v>39</v>
      </c>
      <c r="F186" s="121">
        <f t="shared" ref="F186:AU186" si="82">F185+F169+F151+F137+F128</f>
        <v>-16168970527.8538</v>
      </c>
      <c r="G186" s="121">
        <f t="shared" si="82"/>
        <v>-16555745571.187799</v>
      </c>
      <c r="H186" s="121">
        <f t="shared" si="82"/>
        <v>-19432153741.965401</v>
      </c>
      <c r="I186" s="121">
        <f t="shared" si="82"/>
        <v>-1655644847.1535499</v>
      </c>
      <c r="J186" s="121">
        <f t="shared" si="82"/>
        <v>-2051540700.718914</v>
      </c>
      <c r="K186" s="121">
        <f t="shared" si="82"/>
        <v>-5251701777.8209133</v>
      </c>
      <c r="L186" s="121">
        <f t="shared" si="82"/>
        <v>-6543375122.8683128</v>
      </c>
      <c r="M186" s="121">
        <f t="shared" si="82"/>
        <v>-8537789280.9187145</v>
      </c>
      <c r="N186" s="121">
        <f t="shared" si="82"/>
        <v>-10700359156.877895</v>
      </c>
      <c r="O186" s="121">
        <f t="shared" si="82"/>
        <v>-11567095409.859715</v>
      </c>
      <c r="P186" s="121">
        <f t="shared" si="82"/>
        <v>-14807768681.631714</v>
      </c>
      <c r="Q186" s="121">
        <f t="shared" si="82"/>
        <v>-16843420360.592316</v>
      </c>
      <c r="R186" s="121">
        <f t="shared" si="82"/>
        <v>-17326946727.115913</v>
      </c>
      <c r="S186" s="121">
        <f t="shared" si="82"/>
        <v>-20309590218.302914</v>
      </c>
      <c r="T186" s="121">
        <f t="shared" si="82"/>
        <v>-25178434260.237717</v>
      </c>
      <c r="U186" s="121">
        <f t="shared" si="82"/>
        <v>-25178434260.237717</v>
      </c>
      <c r="V186" s="121">
        <f t="shared" si="82"/>
        <v>0</v>
      </c>
      <c r="W186" s="121">
        <f t="shared" si="82"/>
        <v>0</v>
      </c>
      <c r="X186" s="121">
        <f t="shared" si="82"/>
        <v>0</v>
      </c>
      <c r="Y186" s="121">
        <f t="shared" si="82"/>
        <v>0</v>
      </c>
      <c r="Z186" s="121">
        <f t="shared" si="82"/>
        <v>0</v>
      </c>
      <c r="AA186" s="121">
        <f t="shared" si="82"/>
        <v>0</v>
      </c>
      <c r="AB186" s="121">
        <f t="shared" si="82"/>
        <v>0</v>
      </c>
      <c r="AC186" s="121">
        <f t="shared" si="82"/>
        <v>0</v>
      </c>
      <c r="AD186" s="121">
        <f t="shared" si="82"/>
        <v>0</v>
      </c>
      <c r="AE186" s="121">
        <f t="shared" si="82"/>
        <v>0</v>
      </c>
      <c r="AF186" s="121">
        <f t="shared" si="82"/>
        <v>0</v>
      </c>
      <c r="AG186" s="121">
        <f t="shared" si="82"/>
        <v>0</v>
      </c>
      <c r="AH186" s="121">
        <f t="shared" si="82"/>
        <v>0</v>
      </c>
      <c r="AI186" s="121">
        <f t="shared" si="82"/>
        <v>0</v>
      </c>
      <c r="AJ186" s="121">
        <f t="shared" si="82"/>
        <v>0</v>
      </c>
      <c r="AK186" s="121">
        <f t="shared" si="82"/>
        <v>0</v>
      </c>
      <c r="AL186" s="121">
        <f t="shared" si="82"/>
        <v>0</v>
      </c>
      <c r="AM186" s="121">
        <f t="shared" si="82"/>
        <v>0</v>
      </c>
      <c r="AN186" s="121">
        <f t="shared" si="82"/>
        <v>0</v>
      </c>
      <c r="AO186" s="121">
        <f t="shared" si="82"/>
        <v>0</v>
      </c>
      <c r="AP186" s="121">
        <f t="shared" si="82"/>
        <v>0</v>
      </c>
      <c r="AQ186" s="121">
        <f t="shared" si="82"/>
        <v>0</v>
      </c>
      <c r="AR186" s="121">
        <f t="shared" si="82"/>
        <v>0</v>
      </c>
      <c r="AS186" s="121">
        <f t="shared" si="82"/>
        <v>0</v>
      </c>
      <c r="AT186" s="121">
        <f t="shared" si="82"/>
        <v>0</v>
      </c>
      <c r="AU186" s="121">
        <f t="shared" si="82"/>
        <v>0</v>
      </c>
    </row>
    <row r="187" spans="1:47" ht="15.75" hidden="1" customHeight="1" outlineLevel="1">
      <c r="A187" s="1" t="s">
        <v>263</v>
      </c>
      <c r="C187" s="143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I187" s="31">
        <f>_xll.DBRW($C$1,$C$2,$C$3,$C$4,$C$6,$C$5,$C$7,I$1,I$2,$A187)</f>
        <v>0</v>
      </c>
      <c r="J187" s="31">
        <f>_xll.DBRW($C$1,$C$2,$C$3,$C$4,$C$6,$C$5,$C$7,J$1,J$2,$A187)</f>
        <v>0</v>
      </c>
      <c r="K187" s="31">
        <f>_xll.DBRW($C$1,$C$2,$C$3,$C$4,$C$6,$C$5,$C$7,K$1,K$2,$A187)</f>
        <v>0</v>
      </c>
      <c r="L187" s="31">
        <f>_xll.DBRW($C$1,$C$2,$C$3,$C$4,$C$6,$C$5,$C$7,L$1,L$2,$A187)</f>
        <v>0</v>
      </c>
      <c r="M187" s="31">
        <f>_xll.DBRW($C$1,$C$2,$C$3,$C$4,$C$6,$C$5,$C$7,M$1,M$2,$A187)</f>
        <v>0</v>
      </c>
      <c r="N187" s="31">
        <f>_xll.DBRW($C$1,$C$2,$C$3,$C$4,$C$6,$C$5,$C$7,N$1,N$2,$A187)</f>
        <v>0</v>
      </c>
      <c r="O187" s="31">
        <f>_xll.DBRW($C$1,$C$2,$C$3,$C$4,$C$6,$C$5,$C$7,O$1,O$2,$A187)</f>
        <v>0</v>
      </c>
      <c r="P187" s="31">
        <f>_xll.DBRW($C$1,$C$2,$C$3,$C$4,$C$6,$C$5,$C$7,P$1,P$2,$A187)</f>
        <v>0</v>
      </c>
      <c r="Q187" s="31">
        <f>_xll.DBRW($C$1,$C$2,$C$3,$C$4,$C$6,$C$5,$C$7,Q$1,Q$2,$A187)</f>
        <v>0</v>
      </c>
      <c r="R187" s="31">
        <f>_xll.DBRW($C$1,$C$2,$C$3,$C$4,$C$6,$C$5,$C$7,R$1,R$2,$A187)</f>
        <v>0</v>
      </c>
      <c r="S187" s="31">
        <f>_xll.DBRW($C$1,$C$2,$C$3,$C$4,$C$6,$C$5,$C$7,S$1,S$2,$A187)</f>
        <v>0</v>
      </c>
      <c r="T187" s="31">
        <f>_xll.DBRW($C$1,$C$2,$C$3,$C$4,$C$6,$C$5,$C$7,T$1,T$2,$A187)</f>
        <v>0</v>
      </c>
      <c r="U187" s="31">
        <f>_xll.DBRW($C$1,$C$2,$C$3,$C$4,$C$6,$C$5,$C$7,U$1,U$2,$A187)</f>
        <v>0</v>
      </c>
      <c r="V187" s="31">
        <f>_xll.DBRW($C$1,$C$2,$C$3,$C$4,$C$6,$C$5,$C$7,V$1,V$2,$A187)</f>
        <v>0</v>
      </c>
      <c r="W187" s="31">
        <f>_xll.DBRW($C$1,$C$2,$C$3,$C$4,$C$6,$C$5,$C$7,W$1,W$2,$A187)</f>
        <v>0</v>
      </c>
      <c r="X187" s="31">
        <f>_xll.DBRW($C$1,$C$2,$C$3,$C$4,$C$6,$C$5,$C$7,X$1,X$2,$A187)</f>
        <v>0</v>
      </c>
      <c r="Y187" s="31">
        <f>_xll.DBRW($C$1,$C$2,$C$3,$C$4,$C$6,$C$5,$C$7,Y$1,Y$2,$A187)</f>
        <v>0</v>
      </c>
      <c r="Z187" s="31">
        <f>_xll.DBRW($C$1,$C$2,$C$3,$C$4,$C$6,$C$5,$C$7,Z$1,Z$2,$A187)</f>
        <v>0</v>
      </c>
      <c r="AA187" s="31">
        <f>_xll.DBRW($C$1,$C$2,$C$3,$C$4,$C$6,$C$5,$C$7,AA$1,AA$2,$A187)</f>
        <v>0</v>
      </c>
      <c r="AB187" s="31">
        <f>_xll.DBRW($C$1,$C$2,$C$3,$C$4,$C$6,$C$5,$C$7,AB$1,AB$2,$A187)</f>
        <v>0</v>
      </c>
      <c r="AC187" s="31">
        <f>_xll.DBRW($C$1,$C$2,$C$3,$C$4,$C$6,$C$5,$C$7,AC$1,AC$2,$A187)</f>
        <v>0</v>
      </c>
      <c r="AD187" s="31">
        <f>_xll.DBRW($C$1,$C$2,$C$3,$C$4,$C$6,$C$5,$C$7,AD$1,AD$2,$A187)</f>
        <v>0</v>
      </c>
      <c r="AE187" s="31">
        <f>_xll.DBRW($C$1,$C$2,$C$3,$C$4,$C$6,$C$5,$C$7,AE$1,AE$2,$A187)</f>
        <v>0</v>
      </c>
      <c r="AF187" s="31">
        <f>_xll.DBRW($C$1,$C$2,$C$3,$C$4,$C$6,$C$5,$C$7,AF$1,AF$2,$A187)</f>
        <v>0</v>
      </c>
      <c r="AG187" s="31">
        <f>_xll.DBRW($C$1,$C$2,$C$3,$C$4,$C$6,$C$5,$C$7,AG$1,AG$2,$A187)</f>
        <v>0</v>
      </c>
      <c r="AH187" s="31">
        <f>_xll.DBRW($C$1,$C$2,$C$3,$C$4,$C$6,$C$5,$C$7,AH$1,AH$2,$A187)</f>
        <v>0</v>
      </c>
      <c r="AI187" s="31">
        <f>_xll.DBRW($C$1,$C$2,$C$3,$C$4,$C$6,$C$5,$C$7,AI$1,AI$2,$A187)</f>
        <v>0</v>
      </c>
      <c r="AJ187" s="31">
        <f>_xll.DBRW($C$1,$C$2,$C$3,$C$4,$C$6,$C$5,$C$7,AJ$1,AJ$2,$A187)</f>
        <v>0</v>
      </c>
      <c r="AK187" s="31">
        <f>_xll.DBRW($C$1,$C$2,$C$3,$C$4,$C$6,$C$5,$C$7,AK$1,AK$2,$A187)</f>
        <v>0</v>
      </c>
      <c r="AL187" s="31">
        <f>_xll.DBRW($C$1,$C$2,$C$3,$C$4,$C$6,$C$5,$C$7,AL$1,AL$2,$A187)</f>
        <v>0</v>
      </c>
      <c r="AM187" s="31">
        <f>_xll.DBRW($C$1,$C$2,$C$3,$C$4,$C$6,$C$5,$C$7,AM$1,AM$2,$A187)</f>
        <v>0</v>
      </c>
      <c r="AN187" s="31">
        <f>_xll.DBRW($C$1,$C$2,$C$3,$C$4,$C$6,$C$5,$C$7,AN$1,AN$2,$A187)</f>
        <v>0</v>
      </c>
      <c r="AO187" s="31">
        <f>_xll.DBRW($C$1,$C$2,$C$3,$C$4,$C$6,$C$5,$C$7,AO$1,AO$2,$A187)</f>
        <v>0</v>
      </c>
      <c r="AP187" s="31">
        <f>_xll.DBRW($C$1,$C$2,$C$3,$C$4,$C$6,$C$5,$C$7,AP$1,AP$2,$A187)</f>
        <v>0</v>
      </c>
      <c r="AQ187" s="31">
        <f>_xll.DBRW($C$1,$C$2,$C$3,$C$4,$C$6,$C$5,$C$7,AQ$1,AQ$2,$A187)</f>
        <v>0</v>
      </c>
      <c r="AR187" s="31">
        <f>_xll.DBRW($C$1,$C$2,$C$3,$C$4,$C$6,$C$5,$C$7,AR$1,AR$2,$A187)</f>
        <v>0</v>
      </c>
      <c r="AS187" s="31">
        <f>_xll.DBRW($C$1,$C$2,$C$3,$C$4,$C$6,$C$5,$C$7,AS$1,AS$2,$A187)</f>
        <v>0</v>
      </c>
      <c r="AT187" s="31">
        <f>_xll.DBRW($C$1,$C$2,$C$3,$C$4,$C$6,$C$5,$C$7,AT$1,AT$2,$A187)</f>
        <v>0</v>
      </c>
      <c r="AU187" s="31">
        <f>_xll.DBRW($C$1,$C$2,$C$3,$C$4,$C$6,$C$5,$C$7,AU$1,AU$2,$A187)</f>
        <v>0</v>
      </c>
    </row>
    <row r="188" spans="1:47" ht="15.75" hidden="1" customHeight="1" outlineLevel="1">
      <c r="A188" s="1" t="s">
        <v>264</v>
      </c>
      <c r="C188" s="143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I188" s="31">
        <f>_xll.DBRW($C$1,$C$2,$C$3,$C$4,$C$6,$C$5,$C$7,I$1,I$2,$A188)</f>
        <v>0</v>
      </c>
      <c r="J188" s="31">
        <f>_xll.DBRW($C$1,$C$2,$C$3,$C$4,$C$6,$C$5,$C$7,J$1,J$2,$A188)</f>
        <v>0</v>
      </c>
      <c r="K188" s="31">
        <f>_xll.DBRW($C$1,$C$2,$C$3,$C$4,$C$6,$C$5,$C$7,K$1,K$2,$A188)</f>
        <v>0</v>
      </c>
      <c r="L188" s="31">
        <f>_xll.DBRW($C$1,$C$2,$C$3,$C$4,$C$6,$C$5,$C$7,L$1,L$2,$A188)</f>
        <v>0</v>
      </c>
      <c r="M188" s="31">
        <f>_xll.DBRW($C$1,$C$2,$C$3,$C$4,$C$6,$C$5,$C$7,M$1,M$2,$A188)</f>
        <v>0</v>
      </c>
      <c r="N188" s="31">
        <f>_xll.DBRW($C$1,$C$2,$C$3,$C$4,$C$6,$C$5,$C$7,N$1,N$2,$A188)</f>
        <v>0</v>
      </c>
      <c r="O188" s="31">
        <f>_xll.DBRW($C$1,$C$2,$C$3,$C$4,$C$6,$C$5,$C$7,O$1,O$2,$A188)</f>
        <v>0</v>
      </c>
      <c r="P188" s="31">
        <f>_xll.DBRW($C$1,$C$2,$C$3,$C$4,$C$6,$C$5,$C$7,P$1,P$2,$A188)</f>
        <v>0</v>
      </c>
      <c r="Q188" s="31">
        <f>_xll.DBRW($C$1,$C$2,$C$3,$C$4,$C$6,$C$5,$C$7,Q$1,Q$2,$A188)</f>
        <v>0</v>
      </c>
      <c r="R188" s="31">
        <f>_xll.DBRW($C$1,$C$2,$C$3,$C$4,$C$6,$C$5,$C$7,R$1,R$2,$A188)</f>
        <v>0</v>
      </c>
      <c r="S188" s="31">
        <f>_xll.DBRW($C$1,$C$2,$C$3,$C$4,$C$6,$C$5,$C$7,S$1,S$2,$A188)</f>
        <v>0</v>
      </c>
      <c r="T188" s="31">
        <f>_xll.DBRW($C$1,$C$2,$C$3,$C$4,$C$6,$C$5,$C$7,T$1,T$2,$A188)</f>
        <v>0</v>
      </c>
      <c r="U188" s="31">
        <f>_xll.DBRW($C$1,$C$2,$C$3,$C$4,$C$6,$C$5,$C$7,U$1,U$2,$A188)</f>
        <v>0</v>
      </c>
      <c r="V188" s="31">
        <f>_xll.DBRW($C$1,$C$2,$C$3,$C$4,$C$6,$C$5,$C$7,V$1,V$2,$A188)</f>
        <v>0</v>
      </c>
      <c r="W188" s="31">
        <f>_xll.DBRW($C$1,$C$2,$C$3,$C$4,$C$6,$C$5,$C$7,W$1,W$2,$A188)</f>
        <v>0</v>
      </c>
      <c r="X188" s="31">
        <f>_xll.DBRW($C$1,$C$2,$C$3,$C$4,$C$6,$C$5,$C$7,X$1,X$2,$A188)</f>
        <v>0</v>
      </c>
      <c r="Y188" s="31">
        <f>_xll.DBRW($C$1,$C$2,$C$3,$C$4,$C$6,$C$5,$C$7,Y$1,Y$2,$A188)</f>
        <v>0</v>
      </c>
      <c r="Z188" s="31">
        <f>_xll.DBRW($C$1,$C$2,$C$3,$C$4,$C$6,$C$5,$C$7,Z$1,Z$2,$A188)</f>
        <v>0</v>
      </c>
      <c r="AA188" s="31">
        <f>_xll.DBRW($C$1,$C$2,$C$3,$C$4,$C$6,$C$5,$C$7,AA$1,AA$2,$A188)</f>
        <v>0</v>
      </c>
      <c r="AB188" s="31">
        <f>_xll.DBRW($C$1,$C$2,$C$3,$C$4,$C$6,$C$5,$C$7,AB$1,AB$2,$A188)</f>
        <v>0</v>
      </c>
      <c r="AC188" s="31">
        <f>_xll.DBRW($C$1,$C$2,$C$3,$C$4,$C$6,$C$5,$C$7,AC$1,AC$2,$A188)</f>
        <v>0</v>
      </c>
      <c r="AD188" s="31">
        <f>_xll.DBRW($C$1,$C$2,$C$3,$C$4,$C$6,$C$5,$C$7,AD$1,AD$2,$A188)</f>
        <v>0</v>
      </c>
      <c r="AE188" s="31">
        <f>_xll.DBRW($C$1,$C$2,$C$3,$C$4,$C$6,$C$5,$C$7,AE$1,AE$2,$A188)</f>
        <v>0</v>
      </c>
      <c r="AF188" s="31">
        <f>_xll.DBRW($C$1,$C$2,$C$3,$C$4,$C$6,$C$5,$C$7,AF$1,AF$2,$A188)</f>
        <v>0</v>
      </c>
      <c r="AG188" s="31">
        <f>_xll.DBRW($C$1,$C$2,$C$3,$C$4,$C$6,$C$5,$C$7,AG$1,AG$2,$A188)</f>
        <v>0</v>
      </c>
      <c r="AH188" s="31">
        <f>_xll.DBRW($C$1,$C$2,$C$3,$C$4,$C$6,$C$5,$C$7,AH$1,AH$2,$A188)</f>
        <v>0</v>
      </c>
      <c r="AI188" s="31">
        <f>_xll.DBRW($C$1,$C$2,$C$3,$C$4,$C$6,$C$5,$C$7,AI$1,AI$2,$A188)</f>
        <v>0</v>
      </c>
      <c r="AJ188" s="31">
        <f>_xll.DBRW($C$1,$C$2,$C$3,$C$4,$C$6,$C$5,$C$7,AJ$1,AJ$2,$A188)</f>
        <v>0</v>
      </c>
      <c r="AK188" s="31">
        <f>_xll.DBRW($C$1,$C$2,$C$3,$C$4,$C$6,$C$5,$C$7,AK$1,AK$2,$A188)</f>
        <v>0</v>
      </c>
      <c r="AL188" s="31">
        <f>_xll.DBRW($C$1,$C$2,$C$3,$C$4,$C$6,$C$5,$C$7,AL$1,AL$2,$A188)</f>
        <v>0</v>
      </c>
      <c r="AM188" s="31">
        <f>_xll.DBRW($C$1,$C$2,$C$3,$C$4,$C$6,$C$5,$C$7,AM$1,AM$2,$A188)</f>
        <v>0</v>
      </c>
      <c r="AN188" s="31">
        <f>_xll.DBRW($C$1,$C$2,$C$3,$C$4,$C$6,$C$5,$C$7,AN$1,AN$2,$A188)</f>
        <v>0</v>
      </c>
      <c r="AO188" s="31">
        <f>_xll.DBRW($C$1,$C$2,$C$3,$C$4,$C$6,$C$5,$C$7,AO$1,AO$2,$A188)</f>
        <v>0</v>
      </c>
      <c r="AP188" s="31">
        <f>_xll.DBRW($C$1,$C$2,$C$3,$C$4,$C$6,$C$5,$C$7,AP$1,AP$2,$A188)</f>
        <v>0</v>
      </c>
      <c r="AQ188" s="31">
        <f>_xll.DBRW($C$1,$C$2,$C$3,$C$4,$C$6,$C$5,$C$7,AQ$1,AQ$2,$A188)</f>
        <v>0</v>
      </c>
      <c r="AR188" s="31">
        <f>_xll.DBRW($C$1,$C$2,$C$3,$C$4,$C$6,$C$5,$C$7,AR$1,AR$2,$A188)</f>
        <v>0</v>
      </c>
      <c r="AS188" s="31">
        <f>_xll.DBRW($C$1,$C$2,$C$3,$C$4,$C$6,$C$5,$C$7,AS$1,AS$2,$A188)</f>
        <v>0</v>
      </c>
      <c r="AT188" s="31">
        <f>_xll.DBRW($C$1,$C$2,$C$3,$C$4,$C$6,$C$5,$C$7,AT$1,AT$2,$A188)</f>
        <v>0</v>
      </c>
      <c r="AU188" s="31">
        <f>_xll.DBRW($C$1,$C$2,$C$3,$C$4,$C$6,$C$5,$C$7,AU$1,AU$2,$A188)</f>
        <v>0</v>
      </c>
    </row>
    <row r="189" spans="1:47" ht="15.75" hidden="1" customHeight="1" outlineLevel="1">
      <c r="A189" s="1" t="s">
        <v>265</v>
      </c>
      <c r="C189" s="143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I189" s="31">
        <f>_xll.DBRW($C$1,$C$2,$C$3,$C$4,$C$6,$C$5,$C$7,I$1,I$2,$A189)</f>
        <v>0</v>
      </c>
      <c r="J189" s="31">
        <f>_xll.DBRW($C$1,$C$2,$C$3,$C$4,$C$6,$C$5,$C$7,J$1,J$2,$A189)</f>
        <v>0</v>
      </c>
      <c r="K189" s="31">
        <f>_xll.DBRW($C$1,$C$2,$C$3,$C$4,$C$6,$C$5,$C$7,K$1,K$2,$A189)</f>
        <v>0</v>
      </c>
      <c r="L189" s="31">
        <f>_xll.DBRW($C$1,$C$2,$C$3,$C$4,$C$6,$C$5,$C$7,L$1,L$2,$A189)</f>
        <v>0</v>
      </c>
      <c r="M189" s="31">
        <f>_xll.DBRW($C$1,$C$2,$C$3,$C$4,$C$6,$C$5,$C$7,M$1,M$2,$A189)</f>
        <v>0</v>
      </c>
      <c r="N189" s="31">
        <f>_xll.DBRW($C$1,$C$2,$C$3,$C$4,$C$6,$C$5,$C$7,N$1,N$2,$A189)</f>
        <v>0</v>
      </c>
      <c r="O189" s="31">
        <f>_xll.DBRW($C$1,$C$2,$C$3,$C$4,$C$6,$C$5,$C$7,O$1,O$2,$A189)</f>
        <v>0</v>
      </c>
      <c r="P189" s="31">
        <f>_xll.DBRW($C$1,$C$2,$C$3,$C$4,$C$6,$C$5,$C$7,P$1,P$2,$A189)</f>
        <v>0</v>
      </c>
      <c r="Q189" s="31">
        <f>_xll.DBRW($C$1,$C$2,$C$3,$C$4,$C$6,$C$5,$C$7,Q$1,Q$2,$A189)</f>
        <v>0</v>
      </c>
      <c r="R189" s="31">
        <f>_xll.DBRW($C$1,$C$2,$C$3,$C$4,$C$6,$C$5,$C$7,R$1,R$2,$A189)</f>
        <v>0</v>
      </c>
      <c r="S189" s="31">
        <f>_xll.DBRW($C$1,$C$2,$C$3,$C$4,$C$6,$C$5,$C$7,S$1,S$2,$A189)</f>
        <v>0</v>
      </c>
      <c r="T189" s="31">
        <f>_xll.DBRW($C$1,$C$2,$C$3,$C$4,$C$6,$C$5,$C$7,T$1,T$2,$A189)</f>
        <v>0</v>
      </c>
      <c r="U189" s="31">
        <f>_xll.DBRW($C$1,$C$2,$C$3,$C$4,$C$6,$C$5,$C$7,U$1,U$2,$A189)</f>
        <v>0</v>
      </c>
      <c r="V189" s="31">
        <f>_xll.DBRW($C$1,$C$2,$C$3,$C$4,$C$6,$C$5,$C$7,V$1,V$2,$A189)</f>
        <v>0</v>
      </c>
      <c r="W189" s="31">
        <f>_xll.DBRW($C$1,$C$2,$C$3,$C$4,$C$6,$C$5,$C$7,W$1,W$2,$A189)</f>
        <v>0</v>
      </c>
      <c r="X189" s="31">
        <f>_xll.DBRW($C$1,$C$2,$C$3,$C$4,$C$6,$C$5,$C$7,X$1,X$2,$A189)</f>
        <v>0</v>
      </c>
      <c r="Y189" s="31">
        <f>_xll.DBRW($C$1,$C$2,$C$3,$C$4,$C$6,$C$5,$C$7,Y$1,Y$2,$A189)</f>
        <v>0</v>
      </c>
      <c r="Z189" s="31">
        <f>_xll.DBRW($C$1,$C$2,$C$3,$C$4,$C$6,$C$5,$C$7,Z$1,Z$2,$A189)</f>
        <v>0</v>
      </c>
      <c r="AA189" s="31">
        <f>_xll.DBRW($C$1,$C$2,$C$3,$C$4,$C$6,$C$5,$C$7,AA$1,AA$2,$A189)</f>
        <v>0</v>
      </c>
      <c r="AB189" s="31">
        <f>_xll.DBRW($C$1,$C$2,$C$3,$C$4,$C$6,$C$5,$C$7,AB$1,AB$2,$A189)</f>
        <v>0</v>
      </c>
      <c r="AC189" s="31">
        <f>_xll.DBRW($C$1,$C$2,$C$3,$C$4,$C$6,$C$5,$C$7,AC$1,AC$2,$A189)</f>
        <v>0</v>
      </c>
      <c r="AD189" s="31">
        <f>_xll.DBRW($C$1,$C$2,$C$3,$C$4,$C$6,$C$5,$C$7,AD$1,AD$2,$A189)</f>
        <v>0</v>
      </c>
      <c r="AE189" s="31">
        <f>_xll.DBRW($C$1,$C$2,$C$3,$C$4,$C$6,$C$5,$C$7,AE$1,AE$2,$A189)</f>
        <v>0</v>
      </c>
      <c r="AF189" s="31">
        <f>_xll.DBRW($C$1,$C$2,$C$3,$C$4,$C$6,$C$5,$C$7,AF$1,AF$2,$A189)</f>
        <v>0</v>
      </c>
      <c r="AG189" s="31">
        <f>_xll.DBRW($C$1,$C$2,$C$3,$C$4,$C$6,$C$5,$C$7,AG$1,AG$2,$A189)</f>
        <v>0</v>
      </c>
      <c r="AH189" s="31">
        <f>_xll.DBRW($C$1,$C$2,$C$3,$C$4,$C$6,$C$5,$C$7,AH$1,AH$2,$A189)</f>
        <v>0</v>
      </c>
      <c r="AI189" s="31">
        <f>_xll.DBRW($C$1,$C$2,$C$3,$C$4,$C$6,$C$5,$C$7,AI$1,AI$2,$A189)</f>
        <v>0</v>
      </c>
      <c r="AJ189" s="31">
        <f>_xll.DBRW($C$1,$C$2,$C$3,$C$4,$C$6,$C$5,$C$7,AJ$1,AJ$2,$A189)</f>
        <v>0</v>
      </c>
      <c r="AK189" s="31">
        <f>_xll.DBRW($C$1,$C$2,$C$3,$C$4,$C$6,$C$5,$C$7,AK$1,AK$2,$A189)</f>
        <v>0</v>
      </c>
      <c r="AL189" s="31">
        <f>_xll.DBRW($C$1,$C$2,$C$3,$C$4,$C$6,$C$5,$C$7,AL$1,AL$2,$A189)</f>
        <v>0</v>
      </c>
      <c r="AM189" s="31">
        <f>_xll.DBRW($C$1,$C$2,$C$3,$C$4,$C$6,$C$5,$C$7,AM$1,AM$2,$A189)</f>
        <v>0</v>
      </c>
      <c r="AN189" s="31">
        <f>_xll.DBRW($C$1,$C$2,$C$3,$C$4,$C$6,$C$5,$C$7,AN$1,AN$2,$A189)</f>
        <v>0</v>
      </c>
      <c r="AO189" s="31">
        <f>_xll.DBRW($C$1,$C$2,$C$3,$C$4,$C$6,$C$5,$C$7,AO$1,AO$2,$A189)</f>
        <v>0</v>
      </c>
      <c r="AP189" s="31">
        <f>_xll.DBRW($C$1,$C$2,$C$3,$C$4,$C$6,$C$5,$C$7,AP$1,AP$2,$A189)</f>
        <v>0</v>
      </c>
      <c r="AQ189" s="31">
        <f>_xll.DBRW($C$1,$C$2,$C$3,$C$4,$C$6,$C$5,$C$7,AQ$1,AQ$2,$A189)</f>
        <v>0</v>
      </c>
      <c r="AR189" s="31">
        <f>_xll.DBRW($C$1,$C$2,$C$3,$C$4,$C$6,$C$5,$C$7,AR$1,AR$2,$A189)</f>
        <v>0</v>
      </c>
      <c r="AS189" s="31">
        <f>_xll.DBRW($C$1,$C$2,$C$3,$C$4,$C$6,$C$5,$C$7,AS$1,AS$2,$A189)</f>
        <v>0</v>
      </c>
      <c r="AT189" s="31">
        <f>_xll.DBRW($C$1,$C$2,$C$3,$C$4,$C$6,$C$5,$C$7,AT$1,AT$2,$A189)</f>
        <v>0</v>
      </c>
      <c r="AU189" s="31">
        <f>_xll.DBRW($C$1,$C$2,$C$3,$C$4,$C$6,$C$5,$C$7,AU$1,AU$2,$A189)</f>
        <v>0</v>
      </c>
    </row>
    <row r="190" spans="1:47" ht="15.75" hidden="1" customHeight="1" outlineLevel="1">
      <c r="A190" s="1" t="s">
        <v>266</v>
      </c>
      <c r="C190" s="143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I190" s="31">
        <f>_xll.DBRW($C$1,$C$2,$C$3,$C$4,$C$6,$C$5,$C$7,I$1,I$2,$A190)</f>
        <v>0</v>
      </c>
      <c r="J190" s="31">
        <f>_xll.DBRW($C$1,$C$2,$C$3,$C$4,$C$6,$C$5,$C$7,J$1,J$2,$A190)</f>
        <v>0</v>
      </c>
      <c r="K190" s="31">
        <f>_xll.DBRW($C$1,$C$2,$C$3,$C$4,$C$6,$C$5,$C$7,K$1,K$2,$A190)</f>
        <v>0</v>
      </c>
      <c r="L190" s="31">
        <f>_xll.DBRW($C$1,$C$2,$C$3,$C$4,$C$6,$C$5,$C$7,L$1,L$2,$A190)</f>
        <v>0</v>
      </c>
      <c r="M190" s="31">
        <f>_xll.DBRW($C$1,$C$2,$C$3,$C$4,$C$6,$C$5,$C$7,M$1,M$2,$A190)</f>
        <v>0</v>
      </c>
      <c r="N190" s="31">
        <f>_xll.DBRW($C$1,$C$2,$C$3,$C$4,$C$6,$C$5,$C$7,N$1,N$2,$A190)</f>
        <v>0</v>
      </c>
      <c r="O190" s="31">
        <f>_xll.DBRW($C$1,$C$2,$C$3,$C$4,$C$6,$C$5,$C$7,O$1,O$2,$A190)</f>
        <v>0</v>
      </c>
      <c r="P190" s="31">
        <f>_xll.DBRW($C$1,$C$2,$C$3,$C$4,$C$6,$C$5,$C$7,P$1,P$2,$A190)</f>
        <v>0</v>
      </c>
      <c r="Q190" s="31">
        <f>_xll.DBRW($C$1,$C$2,$C$3,$C$4,$C$6,$C$5,$C$7,Q$1,Q$2,$A190)</f>
        <v>0</v>
      </c>
      <c r="R190" s="31">
        <f>_xll.DBRW($C$1,$C$2,$C$3,$C$4,$C$6,$C$5,$C$7,R$1,R$2,$A190)</f>
        <v>0</v>
      </c>
      <c r="S190" s="31">
        <f>_xll.DBRW($C$1,$C$2,$C$3,$C$4,$C$6,$C$5,$C$7,S$1,S$2,$A190)</f>
        <v>0</v>
      </c>
      <c r="T190" s="31">
        <f>_xll.DBRW($C$1,$C$2,$C$3,$C$4,$C$6,$C$5,$C$7,T$1,T$2,$A190)</f>
        <v>0</v>
      </c>
      <c r="U190" s="31">
        <f>_xll.DBRW($C$1,$C$2,$C$3,$C$4,$C$6,$C$5,$C$7,U$1,U$2,$A190)</f>
        <v>0</v>
      </c>
      <c r="V190" s="31">
        <f>_xll.DBRW($C$1,$C$2,$C$3,$C$4,$C$6,$C$5,$C$7,V$1,V$2,$A190)</f>
        <v>0</v>
      </c>
      <c r="W190" s="31">
        <f>_xll.DBRW($C$1,$C$2,$C$3,$C$4,$C$6,$C$5,$C$7,W$1,W$2,$A190)</f>
        <v>0</v>
      </c>
      <c r="X190" s="31">
        <f>_xll.DBRW($C$1,$C$2,$C$3,$C$4,$C$6,$C$5,$C$7,X$1,X$2,$A190)</f>
        <v>0</v>
      </c>
      <c r="Y190" s="31">
        <f>_xll.DBRW($C$1,$C$2,$C$3,$C$4,$C$6,$C$5,$C$7,Y$1,Y$2,$A190)</f>
        <v>0</v>
      </c>
      <c r="Z190" s="31">
        <f>_xll.DBRW($C$1,$C$2,$C$3,$C$4,$C$6,$C$5,$C$7,Z$1,Z$2,$A190)</f>
        <v>0</v>
      </c>
      <c r="AA190" s="31">
        <f>_xll.DBRW($C$1,$C$2,$C$3,$C$4,$C$6,$C$5,$C$7,AA$1,AA$2,$A190)</f>
        <v>0</v>
      </c>
      <c r="AB190" s="31">
        <f>_xll.DBRW($C$1,$C$2,$C$3,$C$4,$C$6,$C$5,$C$7,AB$1,AB$2,$A190)</f>
        <v>0</v>
      </c>
      <c r="AC190" s="31">
        <f>_xll.DBRW($C$1,$C$2,$C$3,$C$4,$C$6,$C$5,$C$7,AC$1,AC$2,$A190)</f>
        <v>0</v>
      </c>
      <c r="AD190" s="31">
        <f>_xll.DBRW($C$1,$C$2,$C$3,$C$4,$C$6,$C$5,$C$7,AD$1,AD$2,$A190)</f>
        <v>0</v>
      </c>
      <c r="AE190" s="31">
        <f>_xll.DBRW($C$1,$C$2,$C$3,$C$4,$C$6,$C$5,$C$7,AE$1,AE$2,$A190)</f>
        <v>0</v>
      </c>
      <c r="AF190" s="31">
        <f>_xll.DBRW($C$1,$C$2,$C$3,$C$4,$C$6,$C$5,$C$7,AF$1,AF$2,$A190)</f>
        <v>0</v>
      </c>
      <c r="AG190" s="31">
        <f>_xll.DBRW($C$1,$C$2,$C$3,$C$4,$C$6,$C$5,$C$7,AG$1,AG$2,$A190)</f>
        <v>0</v>
      </c>
      <c r="AH190" s="31">
        <f>_xll.DBRW($C$1,$C$2,$C$3,$C$4,$C$6,$C$5,$C$7,AH$1,AH$2,$A190)</f>
        <v>0</v>
      </c>
      <c r="AI190" s="31">
        <f>_xll.DBRW($C$1,$C$2,$C$3,$C$4,$C$6,$C$5,$C$7,AI$1,AI$2,$A190)</f>
        <v>0</v>
      </c>
      <c r="AJ190" s="31">
        <f>_xll.DBRW($C$1,$C$2,$C$3,$C$4,$C$6,$C$5,$C$7,AJ$1,AJ$2,$A190)</f>
        <v>0</v>
      </c>
      <c r="AK190" s="31">
        <f>_xll.DBRW($C$1,$C$2,$C$3,$C$4,$C$6,$C$5,$C$7,AK$1,AK$2,$A190)</f>
        <v>0</v>
      </c>
      <c r="AL190" s="31">
        <f>_xll.DBRW($C$1,$C$2,$C$3,$C$4,$C$6,$C$5,$C$7,AL$1,AL$2,$A190)</f>
        <v>0</v>
      </c>
      <c r="AM190" s="31">
        <f>_xll.DBRW($C$1,$C$2,$C$3,$C$4,$C$6,$C$5,$C$7,AM$1,AM$2,$A190)</f>
        <v>0</v>
      </c>
      <c r="AN190" s="31">
        <f>_xll.DBRW($C$1,$C$2,$C$3,$C$4,$C$6,$C$5,$C$7,AN$1,AN$2,$A190)</f>
        <v>0</v>
      </c>
      <c r="AO190" s="31">
        <f>_xll.DBRW($C$1,$C$2,$C$3,$C$4,$C$6,$C$5,$C$7,AO$1,AO$2,$A190)</f>
        <v>0</v>
      </c>
      <c r="AP190" s="31">
        <f>_xll.DBRW($C$1,$C$2,$C$3,$C$4,$C$6,$C$5,$C$7,AP$1,AP$2,$A190)</f>
        <v>0</v>
      </c>
      <c r="AQ190" s="31">
        <f>_xll.DBRW($C$1,$C$2,$C$3,$C$4,$C$6,$C$5,$C$7,AQ$1,AQ$2,$A190)</f>
        <v>0</v>
      </c>
      <c r="AR190" s="31">
        <f>_xll.DBRW($C$1,$C$2,$C$3,$C$4,$C$6,$C$5,$C$7,AR$1,AR$2,$A190)</f>
        <v>0</v>
      </c>
      <c r="AS190" s="31">
        <f>_xll.DBRW($C$1,$C$2,$C$3,$C$4,$C$6,$C$5,$C$7,AS$1,AS$2,$A190)</f>
        <v>0</v>
      </c>
      <c r="AT190" s="31">
        <f>_xll.DBRW($C$1,$C$2,$C$3,$C$4,$C$6,$C$5,$C$7,AT$1,AT$2,$A190)</f>
        <v>0</v>
      </c>
      <c r="AU190" s="31">
        <f>_xll.DBRW($C$1,$C$2,$C$3,$C$4,$C$6,$C$5,$C$7,AU$1,AU$2,$A190)</f>
        <v>0</v>
      </c>
    </row>
    <row r="191" spans="1:47" ht="15.75" hidden="1" customHeight="1" outlineLevel="1">
      <c r="A191" s="1" t="s">
        <v>267</v>
      </c>
      <c r="C191" s="143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I191" s="31">
        <f>_xll.DBRW($C$1,$C$2,$C$3,$C$4,$C$6,$C$5,$C$7,I$1,I$2,$A191)</f>
        <v>0</v>
      </c>
      <c r="J191" s="31">
        <f>_xll.DBRW($C$1,$C$2,$C$3,$C$4,$C$6,$C$5,$C$7,J$1,J$2,$A191)</f>
        <v>0</v>
      </c>
      <c r="K191" s="31">
        <f>_xll.DBRW($C$1,$C$2,$C$3,$C$4,$C$6,$C$5,$C$7,K$1,K$2,$A191)</f>
        <v>0</v>
      </c>
      <c r="L191" s="31">
        <f>_xll.DBRW($C$1,$C$2,$C$3,$C$4,$C$6,$C$5,$C$7,L$1,L$2,$A191)</f>
        <v>0</v>
      </c>
      <c r="M191" s="31">
        <f>_xll.DBRW($C$1,$C$2,$C$3,$C$4,$C$6,$C$5,$C$7,M$1,M$2,$A191)</f>
        <v>0</v>
      </c>
      <c r="N191" s="31">
        <f>_xll.DBRW($C$1,$C$2,$C$3,$C$4,$C$6,$C$5,$C$7,N$1,N$2,$A191)</f>
        <v>0</v>
      </c>
      <c r="O191" s="31">
        <f>_xll.DBRW($C$1,$C$2,$C$3,$C$4,$C$6,$C$5,$C$7,O$1,O$2,$A191)</f>
        <v>0</v>
      </c>
      <c r="P191" s="31">
        <f>_xll.DBRW($C$1,$C$2,$C$3,$C$4,$C$6,$C$5,$C$7,P$1,P$2,$A191)</f>
        <v>0</v>
      </c>
      <c r="Q191" s="31">
        <f>_xll.DBRW($C$1,$C$2,$C$3,$C$4,$C$6,$C$5,$C$7,Q$1,Q$2,$A191)</f>
        <v>0</v>
      </c>
      <c r="R191" s="31">
        <f>_xll.DBRW($C$1,$C$2,$C$3,$C$4,$C$6,$C$5,$C$7,R$1,R$2,$A191)</f>
        <v>0</v>
      </c>
      <c r="S191" s="31">
        <f>_xll.DBRW($C$1,$C$2,$C$3,$C$4,$C$6,$C$5,$C$7,S$1,S$2,$A191)</f>
        <v>0</v>
      </c>
      <c r="T191" s="31">
        <f>_xll.DBRW($C$1,$C$2,$C$3,$C$4,$C$6,$C$5,$C$7,T$1,T$2,$A191)</f>
        <v>0</v>
      </c>
      <c r="U191" s="31">
        <f>_xll.DBRW($C$1,$C$2,$C$3,$C$4,$C$6,$C$5,$C$7,U$1,U$2,$A191)</f>
        <v>0</v>
      </c>
      <c r="V191" s="31">
        <f>_xll.DBRW($C$1,$C$2,$C$3,$C$4,$C$6,$C$5,$C$7,V$1,V$2,$A191)</f>
        <v>0</v>
      </c>
      <c r="W191" s="31">
        <f>_xll.DBRW($C$1,$C$2,$C$3,$C$4,$C$6,$C$5,$C$7,W$1,W$2,$A191)</f>
        <v>0</v>
      </c>
      <c r="X191" s="31">
        <f>_xll.DBRW($C$1,$C$2,$C$3,$C$4,$C$6,$C$5,$C$7,X$1,X$2,$A191)</f>
        <v>0</v>
      </c>
      <c r="Y191" s="31">
        <f>_xll.DBRW($C$1,$C$2,$C$3,$C$4,$C$6,$C$5,$C$7,Y$1,Y$2,$A191)</f>
        <v>0</v>
      </c>
      <c r="Z191" s="31">
        <f>_xll.DBRW($C$1,$C$2,$C$3,$C$4,$C$6,$C$5,$C$7,Z$1,Z$2,$A191)</f>
        <v>0</v>
      </c>
      <c r="AA191" s="31">
        <f>_xll.DBRW($C$1,$C$2,$C$3,$C$4,$C$6,$C$5,$C$7,AA$1,AA$2,$A191)</f>
        <v>0</v>
      </c>
      <c r="AB191" s="31">
        <f>_xll.DBRW($C$1,$C$2,$C$3,$C$4,$C$6,$C$5,$C$7,AB$1,AB$2,$A191)</f>
        <v>0</v>
      </c>
      <c r="AC191" s="31">
        <f>_xll.DBRW($C$1,$C$2,$C$3,$C$4,$C$6,$C$5,$C$7,AC$1,AC$2,$A191)</f>
        <v>0</v>
      </c>
      <c r="AD191" s="31">
        <f>_xll.DBRW($C$1,$C$2,$C$3,$C$4,$C$6,$C$5,$C$7,AD$1,AD$2,$A191)</f>
        <v>0</v>
      </c>
      <c r="AE191" s="31">
        <f>_xll.DBRW($C$1,$C$2,$C$3,$C$4,$C$6,$C$5,$C$7,AE$1,AE$2,$A191)</f>
        <v>0</v>
      </c>
      <c r="AF191" s="31">
        <f>_xll.DBRW($C$1,$C$2,$C$3,$C$4,$C$6,$C$5,$C$7,AF$1,AF$2,$A191)</f>
        <v>0</v>
      </c>
      <c r="AG191" s="31">
        <f>_xll.DBRW($C$1,$C$2,$C$3,$C$4,$C$6,$C$5,$C$7,AG$1,AG$2,$A191)</f>
        <v>0</v>
      </c>
      <c r="AH191" s="31">
        <f>_xll.DBRW($C$1,$C$2,$C$3,$C$4,$C$6,$C$5,$C$7,AH$1,AH$2,$A191)</f>
        <v>0</v>
      </c>
      <c r="AI191" s="31">
        <f>_xll.DBRW($C$1,$C$2,$C$3,$C$4,$C$6,$C$5,$C$7,AI$1,AI$2,$A191)</f>
        <v>0</v>
      </c>
      <c r="AJ191" s="31">
        <f>_xll.DBRW($C$1,$C$2,$C$3,$C$4,$C$6,$C$5,$C$7,AJ$1,AJ$2,$A191)</f>
        <v>0</v>
      </c>
      <c r="AK191" s="31">
        <f>_xll.DBRW($C$1,$C$2,$C$3,$C$4,$C$6,$C$5,$C$7,AK$1,AK$2,$A191)</f>
        <v>0</v>
      </c>
      <c r="AL191" s="31">
        <f>_xll.DBRW($C$1,$C$2,$C$3,$C$4,$C$6,$C$5,$C$7,AL$1,AL$2,$A191)</f>
        <v>0</v>
      </c>
      <c r="AM191" s="31">
        <f>_xll.DBRW($C$1,$C$2,$C$3,$C$4,$C$6,$C$5,$C$7,AM$1,AM$2,$A191)</f>
        <v>0</v>
      </c>
      <c r="AN191" s="31">
        <f>_xll.DBRW($C$1,$C$2,$C$3,$C$4,$C$6,$C$5,$C$7,AN$1,AN$2,$A191)</f>
        <v>0</v>
      </c>
      <c r="AO191" s="31">
        <f>_xll.DBRW($C$1,$C$2,$C$3,$C$4,$C$6,$C$5,$C$7,AO$1,AO$2,$A191)</f>
        <v>0</v>
      </c>
      <c r="AP191" s="31">
        <f>_xll.DBRW($C$1,$C$2,$C$3,$C$4,$C$6,$C$5,$C$7,AP$1,AP$2,$A191)</f>
        <v>0</v>
      </c>
      <c r="AQ191" s="31">
        <f>_xll.DBRW($C$1,$C$2,$C$3,$C$4,$C$6,$C$5,$C$7,AQ$1,AQ$2,$A191)</f>
        <v>0</v>
      </c>
      <c r="AR191" s="31">
        <f>_xll.DBRW($C$1,$C$2,$C$3,$C$4,$C$6,$C$5,$C$7,AR$1,AR$2,$A191)</f>
        <v>0</v>
      </c>
      <c r="AS191" s="31">
        <f>_xll.DBRW($C$1,$C$2,$C$3,$C$4,$C$6,$C$5,$C$7,AS$1,AS$2,$A191)</f>
        <v>0</v>
      </c>
      <c r="AT191" s="31">
        <f>_xll.DBRW($C$1,$C$2,$C$3,$C$4,$C$6,$C$5,$C$7,AT$1,AT$2,$A191)</f>
        <v>0</v>
      </c>
      <c r="AU191" s="31">
        <f>_xll.DBRW($C$1,$C$2,$C$3,$C$4,$C$6,$C$5,$C$7,AU$1,AU$2,$A191)</f>
        <v>0</v>
      </c>
    </row>
    <row r="192" spans="1:47" ht="15.75" hidden="1" customHeight="1" outlineLevel="1">
      <c r="A192" s="1" t="s">
        <v>268</v>
      </c>
      <c r="C192" s="143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I192" s="31">
        <f>_xll.DBRW($C$1,$C$2,$C$3,$C$4,$C$6,$C$5,$C$7,I$1,I$2,$A192)</f>
        <v>0</v>
      </c>
      <c r="J192" s="31">
        <f>_xll.DBRW($C$1,$C$2,$C$3,$C$4,$C$6,$C$5,$C$7,J$1,J$2,$A192)</f>
        <v>0</v>
      </c>
      <c r="K192" s="31">
        <f>_xll.DBRW($C$1,$C$2,$C$3,$C$4,$C$6,$C$5,$C$7,K$1,K$2,$A192)</f>
        <v>0</v>
      </c>
      <c r="L192" s="31">
        <f>_xll.DBRW($C$1,$C$2,$C$3,$C$4,$C$6,$C$5,$C$7,L$1,L$2,$A192)</f>
        <v>0</v>
      </c>
      <c r="M192" s="31">
        <f>_xll.DBRW($C$1,$C$2,$C$3,$C$4,$C$6,$C$5,$C$7,M$1,M$2,$A192)</f>
        <v>0</v>
      </c>
      <c r="N192" s="31">
        <f>_xll.DBRW($C$1,$C$2,$C$3,$C$4,$C$6,$C$5,$C$7,N$1,N$2,$A192)</f>
        <v>0</v>
      </c>
      <c r="O192" s="31">
        <f>_xll.DBRW($C$1,$C$2,$C$3,$C$4,$C$6,$C$5,$C$7,O$1,O$2,$A192)</f>
        <v>0</v>
      </c>
      <c r="P192" s="31">
        <f>_xll.DBRW($C$1,$C$2,$C$3,$C$4,$C$6,$C$5,$C$7,P$1,P$2,$A192)</f>
        <v>0</v>
      </c>
      <c r="Q192" s="31">
        <f>_xll.DBRW($C$1,$C$2,$C$3,$C$4,$C$6,$C$5,$C$7,Q$1,Q$2,$A192)</f>
        <v>0</v>
      </c>
      <c r="R192" s="31">
        <f>_xll.DBRW($C$1,$C$2,$C$3,$C$4,$C$6,$C$5,$C$7,R$1,R$2,$A192)</f>
        <v>0</v>
      </c>
      <c r="S192" s="31">
        <f>_xll.DBRW($C$1,$C$2,$C$3,$C$4,$C$6,$C$5,$C$7,S$1,S$2,$A192)</f>
        <v>0</v>
      </c>
      <c r="T192" s="31">
        <f>_xll.DBRW($C$1,$C$2,$C$3,$C$4,$C$6,$C$5,$C$7,T$1,T$2,$A192)</f>
        <v>0</v>
      </c>
      <c r="U192" s="31">
        <f>_xll.DBRW($C$1,$C$2,$C$3,$C$4,$C$6,$C$5,$C$7,U$1,U$2,$A192)</f>
        <v>0</v>
      </c>
      <c r="V192" s="31">
        <f>_xll.DBRW($C$1,$C$2,$C$3,$C$4,$C$6,$C$5,$C$7,V$1,V$2,$A192)</f>
        <v>0</v>
      </c>
      <c r="W192" s="31">
        <f>_xll.DBRW($C$1,$C$2,$C$3,$C$4,$C$6,$C$5,$C$7,W$1,W$2,$A192)</f>
        <v>0</v>
      </c>
      <c r="X192" s="31">
        <f>_xll.DBRW($C$1,$C$2,$C$3,$C$4,$C$6,$C$5,$C$7,X$1,X$2,$A192)</f>
        <v>0</v>
      </c>
      <c r="Y192" s="31">
        <f>_xll.DBRW($C$1,$C$2,$C$3,$C$4,$C$6,$C$5,$C$7,Y$1,Y$2,$A192)</f>
        <v>0</v>
      </c>
      <c r="Z192" s="31">
        <f>_xll.DBRW($C$1,$C$2,$C$3,$C$4,$C$6,$C$5,$C$7,Z$1,Z$2,$A192)</f>
        <v>0</v>
      </c>
      <c r="AA192" s="31">
        <f>_xll.DBRW($C$1,$C$2,$C$3,$C$4,$C$6,$C$5,$C$7,AA$1,AA$2,$A192)</f>
        <v>0</v>
      </c>
      <c r="AB192" s="31">
        <f>_xll.DBRW($C$1,$C$2,$C$3,$C$4,$C$6,$C$5,$C$7,AB$1,AB$2,$A192)</f>
        <v>0</v>
      </c>
      <c r="AC192" s="31">
        <f>_xll.DBRW($C$1,$C$2,$C$3,$C$4,$C$6,$C$5,$C$7,AC$1,AC$2,$A192)</f>
        <v>0</v>
      </c>
      <c r="AD192" s="31">
        <f>_xll.DBRW($C$1,$C$2,$C$3,$C$4,$C$6,$C$5,$C$7,AD$1,AD$2,$A192)</f>
        <v>0</v>
      </c>
      <c r="AE192" s="31">
        <f>_xll.DBRW($C$1,$C$2,$C$3,$C$4,$C$6,$C$5,$C$7,AE$1,AE$2,$A192)</f>
        <v>0</v>
      </c>
      <c r="AF192" s="31">
        <f>_xll.DBRW($C$1,$C$2,$C$3,$C$4,$C$6,$C$5,$C$7,AF$1,AF$2,$A192)</f>
        <v>0</v>
      </c>
      <c r="AG192" s="31">
        <f>_xll.DBRW($C$1,$C$2,$C$3,$C$4,$C$6,$C$5,$C$7,AG$1,AG$2,$A192)</f>
        <v>0</v>
      </c>
      <c r="AH192" s="31">
        <f>_xll.DBRW($C$1,$C$2,$C$3,$C$4,$C$6,$C$5,$C$7,AH$1,AH$2,$A192)</f>
        <v>0</v>
      </c>
      <c r="AI192" s="31">
        <f>_xll.DBRW($C$1,$C$2,$C$3,$C$4,$C$6,$C$5,$C$7,AI$1,AI$2,$A192)</f>
        <v>0</v>
      </c>
      <c r="AJ192" s="31">
        <f>_xll.DBRW($C$1,$C$2,$C$3,$C$4,$C$6,$C$5,$C$7,AJ$1,AJ$2,$A192)</f>
        <v>0</v>
      </c>
      <c r="AK192" s="31">
        <f>_xll.DBRW($C$1,$C$2,$C$3,$C$4,$C$6,$C$5,$C$7,AK$1,AK$2,$A192)</f>
        <v>0</v>
      </c>
      <c r="AL192" s="31">
        <f>_xll.DBRW($C$1,$C$2,$C$3,$C$4,$C$6,$C$5,$C$7,AL$1,AL$2,$A192)</f>
        <v>0</v>
      </c>
      <c r="AM192" s="31">
        <f>_xll.DBRW($C$1,$C$2,$C$3,$C$4,$C$6,$C$5,$C$7,AM$1,AM$2,$A192)</f>
        <v>0</v>
      </c>
      <c r="AN192" s="31">
        <f>_xll.DBRW($C$1,$C$2,$C$3,$C$4,$C$6,$C$5,$C$7,AN$1,AN$2,$A192)</f>
        <v>0</v>
      </c>
      <c r="AO192" s="31">
        <f>_xll.DBRW($C$1,$C$2,$C$3,$C$4,$C$6,$C$5,$C$7,AO$1,AO$2,$A192)</f>
        <v>0</v>
      </c>
      <c r="AP192" s="31">
        <f>_xll.DBRW($C$1,$C$2,$C$3,$C$4,$C$6,$C$5,$C$7,AP$1,AP$2,$A192)</f>
        <v>0</v>
      </c>
      <c r="AQ192" s="31">
        <f>_xll.DBRW($C$1,$C$2,$C$3,$C$4,$C$6,$C$5,$C$7,AQ$1,AQ$2,$A192)</f>
        <v>0</v>
      </c>
      <c r="AR192" s="31">
        <f>_xll.DBRW($C$1,$C$2,$C$3,$C$4,$C$6,$C$5,$C$7,AR$1,AR$2,$A192)</f>
        <v>0</v>
      </c>
      <c r="AS192" s="31">
        <f>_xll.DBRW($C$1,$C$2,$C$3,$C$4,$C$6,$C$5,$C$7,AS$1,AS$2,$A192)</f>
        <v>0</v>
      </c>
      <c r="AT192" s="31">
        <f>_xll.DBRW($C$1,$C$2,$C$3,$C$4,$C$6,$C$5,$C$7,AT$1,AT$2,$A192)</f>
        <v>0</v>
      </c>
      <c r="AU192" s="31">
        <f>_xll.DBRW($C$1,$C$2,$C$3,$C$4,$C$6,$C$5,$C$7,AU$1,AU$2,$A192)</f>
        <v>0</v>
      </c>
    </row>
    <row r="193" spans="1:47" ht="15.75" hidden="1" customHeight="1" outlineLevel="1">
      <c r="A193" s="1" t="s">
        <v>269</v>
      </c>
      <c r="C193" s="143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</row>
    <row r="194" spans="1:47" ht="15.75" hidden="1" customHeight="1" outlineLevel="1">
      <c r="A194" s="1" t="s">
        <v>270</v>
      </c>
      <c r="C194" s="143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I194" s="31">
        <f>_xll.DBRW($C$1,$C$2,$C$3,$C$4,$C$6,$C$5,$C$7,I$1,I$2,$A194)</f>
        <v>0</v>
      </c>
      <c r="J194" s="31">
        <f>_xll.DBRW($C$1,$C$2,$C$3,$C$4,$C$6,$C$5,$C$7,J$1,J$2,$A194)</f>
        <v>0</v>
      </c>
      <c r="K194" s="31">
        <f>_xll.DBRW($C$1,$C$2,$C$3,$C$4,$C$6,$C$5,$C$7,K$1,K$2,$A194)</f>
        <v>0</v>
      </c>
      <c r="L194" s="31">
        <f>_xll.DBRW($C$1,$C$2,$C$3,$C$4,$C$6,$C$5,$C$7,L$1,L$2,$A194)</f>
        <v>0</v>
      </c>
      <c r="M194" s="31">
        <f>_xll.DBRW($C$1,$C$2,$C$3,$C$4,$C$6,$C$5,$C$7,M$1,M$2,$A194)</f>
        <v>0</v>
      </c>
      <c r="N194" s="31">
        <f>_xll.DBRW($C$1,$C$2,$C$3,$C$4,$C$6,$C$5,$C$7,N$1,N$2,$A194)</f>
        <v>0</v>
      </c>
      <c r="O194" s="31">
        <f>_xll.DBRW($C$1,$C$2,$C$3,$C$4,$C$6,$C$5,$C$7,O$1,O$2,$A194)</f>
        <v>0</v>
      </c>
      <c r="P194" s="31">
        <f>_xll.DBRW($C$1,$C$2,$C$3,$C$4,$C$6,$C$5,$C$7,P$1,P$2,$A194)</f>
        <v>0</v>
      </c>
      <c r="Q194" s="31">
        <f>_xll.DBRW($C$1,$C$2,$C$3,$C$4,$C$6,$C$5,$C$7,Q$1,Q$2,$A194)</f>
        <v>0</v>
      </c>
      <c r="R194" s="31">
        <f>_xll.DBRW($C$1,$C$2,$C$3,$C$4,$C$6,$C$5,$C$7,R$1,R$2,$A194)</f>
        <v>0</v>
      </c>
      <c r="S194" s="31">
        <f>_xll.DBRW($C$1,$C$2,$C$3,$C$4,$C$6,$C$5,$C$7,S$1,S$2,$A194)</f>
        <v>0</v>
      </c>
      <c r="T194" s="31">
        <f>_xll.DBRW($C$1,$C$2,$C$3,$C$4,$C$6,$C$5,$C$7,T$1,T$2,$A194)</f>
        <v>0</v>
      </c>
      <c r="U194" s="31">
        <f>_xll.DBRW($C$1,$C$2,$C$3,$C$4,$C$6,$C$5,$C$7,U$1,U$2,$A194)</f>
        <v>0</v>
      </c>
      <c r="V194" s="31">
        <f>_xll.DBRW($C$1,$C$2,$C$3,$C$4,$C$6,$C$5,$C$7,V$1,V$2,$A194)</f>
        <v>0</v>
      </c>
      <c r="W194" s="31">
        <f>_xll.DBRW($C$1,$C$2,$C$3,$C$4,$C$6,$C$5,$C$7,W$1,W$2,$A194)</f>
        <v>0</v>
      </c>
      <c r="X194" s="31">
        <f>_xll.DBRW($C$1,$C$2,$C$3,$C$4,$C$6,$C$5,$C$7,X$1,X$2,$A194)</f>
        <v>0</v>
      </c>
      <c r="Y194" s="31">
        <f>_xll.DBRW($C$1,$C$2,$C$3,$C$4,$C$6,$C$5,$C$7,Y$1,Y$2,$A194)</f>
        <v>0</v>
      </c>
      <c r="Z194" s="31">
        <f>_xll.DBRW($C$1,$C$2,$C$3,$C$4,$C$6,$C$5,$C$7,Z$1,Z$2,$A194)</f>
        <v>0</v>
      </c>
      <c r="AA194" s="31">
        <f>_xll.DBRW($C$1,$C$2,$C$3,$C$4,$C$6,$C$5,$C$7,AA$1,AA$2,$A194)</f>
        <v>0</v>
      </c>
      <c r="AB194" s="31">
        <f>_xll.DBRW($C$1,$C$2,$C$3,$C$4,$C$6,$C$5,$C$7,AB$1,AB$2,$A194)</f>
        <v>0</v>
      </c>
      <c r="AC194" s="31">
        <f>_xll.DBRW($C$1,$C$2,$C$3,$C$4,$C$6,$C$5,$C$7,AC$1,AC$2,$A194)</f>
        <v>0</v>
      </c>
      <c r="AD194" s="31">
        <f>_xll.DBRW($C$1,$C$2,$C$3,$C$4,$C$6,$C$5,$C$7,AD$1,AD$2,$A194)</f>
        <v>0</v>
      </c>
      <c r="AE194" s="31">
        <f>_xll.DBRW($C$1,$C$2,$C$3,$C$4,$C$6,$C$5,$C$7,AE$1,AE$2,$A194)</f>
        <v>0</v>
      </c>
      <c r="AF194" s="31">
        <f>_xll.DBRW($C$1,$C$2,$C$3,$C$4,$C$6,$C$5,$C$7,AF$1,AF$2,$A194)</f>
        <v>0</v>
      </c>
      <c r="AG194" s="31">
        <f>_xll.DBRW($C$1,$C$2,$C$3,$C$4,$C$6,$C$5,$C$7,AG$1,AG$2,$A194)</f>
        <v>0</v>
      </c>
      <c r="AH194" s="31">
        <f>_xll.DBRW($C$1,$C$2,$C$3,$C$4,$C$6,$C$5,$C$7,AH$1,AH$2,$A194)</f>
        <v>0</v>
      </c>
      <c r="AI194" s="31">
        <f>_xll.DBRW($C$1,$C$2,$C$3,$C$4,$C$6,$C$5,$C$7,AI$1,AI$2,$A194)</f>
        <v>0</v>
      </c>
      <c r="AJ194" s="31">
        <f>_xll.DBRW($C$1,$C$2,$C$3,$C$4,$C$6,$C$5,$C$7,AJ$1,AJ$2,$A194)</f>
        <v>0</v>
      </c>
      <c r="AK194" s="31">
        <f>_xll.DBRW($C$1,$C$2,$C$3,$C$4,$C$6,$C$5,$C$7,AK$1,AK$2,$A194)</f>
        <v>0</v>
      </c>
      <c r="AL194" s="31">
        <f>_xll.DBRW($C$1,$C$2,$C$3,$C$4,$C$6,$C$5,$C$7,AL$1,AL$2,$A194)</f>
        <v>0</v>
      </c>
      <c r="AM194" s="31">
        <f>_xll.DBRW($C$1,$C$2,$C$3,$C$4,$C$6,$C$5,$C$7,AM$1,AM$2,$A194)</f>
        <v>0</v>
      </c>
      <c r="AN194" s="31">
        <f>_xll.DBRW($C$1,$C$2,$C$3,$C$4,$C$6,$C$5,$C$7,AN$1,AN$2,$A194)</f>
        <v>0</v>
      </c>
      <c r="AO194" s="31">
        <f>_xll.DBRW($C$1,$C$2,$C$3,$C$4,$C$6,$C$5,$C$7,AO$1,AO$2,$A194)</f>
        <v>0</v>
      </c>
      <c r="AP194" s="31">
        <f>_xll.DBRW($C$1,$C$2,$C$3,$C$4,$C$6,$C$5,$C$7,AP$1,AP$2,$A194)</f>
        <v>0</v>
      </c>
      <c r="AQ194" s="31">
        <f>_xll.DBRW($C$1,$C$2,$C$3,$C$4,$C$6,$C$5,$C$7,AQ$1,AQ$2,$A194)</f>
        <v>0</v>
      </c>
      <c r="AR194" s="31">
        <f>_xll.DBRW($C$1,$C$2,$C$3,$C$4,$C$6,$C$5,$C$7,AR$1,AR$2,$A194)</f>
        <v>0</v>
      </c>
      <c r="AS194" s="31">
        <f>_xll.DBRW($C$1,$C$2,$C$3,$C$4,$C$6,$C$5,$C$7,AS$1,AS$2,$A194)</f>
        <v>0</v>
      </c>
      <c r="AT194" s="31">
        <f>_xll.DBRW($C$1,$C$2,$C$3,$C$4,$C$6,$C$5,$C$7,AT$1,AT$2,$A194)</f>
        <v>0</v>
      </c>
      <c r="AU194" s="31">
        <f>_xll.DBRW($C$1,$C$2,$C$3,$C$4,$C$6,$C$5,$C$7,AU$1,AU$2,$A194)</f>
        <v>0</v>
      </c>
    </row>
    <row r="195" spans="1:47" ht="15.75" hidden="1" customHeight="1" outlineLevel="1">
      <c r="A195" s="1" t="s">
        <v>271</v>
      </c>
      <c r="C195" s="143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I195" s="31">
        <f>_xll.DBRW($C$1,$C$2,$C$3,$C$4,$C$6,$C$5,$C$7,I$1,I$2,$A195)</f>
        <v>0</v>
      </c>
      <c r="J195" s="31">
        <f>_xll.DBRW($C$1,$C$2,$C$3,$C$4,$C$6,$C$5,$C$7,J$1,J$2,$A195)</f>
        <v>0</v>
      </c>
      <c r="K195" s="31">
        <f>_xll.DBRW($C$1,$C$2,$C$3,$C$4,$C$6,$C$5,$C$7,K$1,K$2,$A195)</f>
        <v>0</v>
      </c>
      <c r="L195" s="31">
        <f>_xll.DBRW($C$1,$C$2,$C$3,$C$4,$C$6,$C$5,$C$7,L$1,L$2,$A195)</f>
        <v>0</v>
      </c>
      <c r="M195" s="31">
        <f>_xll.DBRW($C$1,$C$2,$C$3,$C$4,$C$6,$C$5,$C$7,M$1,M$2,$A195)</f>
        <v>0</v>
      </c>
      <c r="N195" s="31">
        <f>_xll.DBRW($C$1,$C$2,$C$3,$C$4,$C$6,$C$5,$C$7,N$1,N$2,$A195)</f>
        <v>0</v>
      </c>
      <c r="O195" s="31">
        <f>_xll.DBRW($C$1,$C$2,$C$3,$C$4,$C$6,$C$5,$C$7,O$1,O$2,$A195)</f>
        <v>0</v>
      </c>
      <c r="P195" s="31">
        <f>_xll.DBRW($C$1,$C$2,$C$3,$C$4,$C$6,$C$5,$C$7,P$1,P$2,$A195)</f>
        <v>0</v>
      </c>
      <c r="Q195" s="31">
        <f>_xll.DBRW($C$1,$C$2,$C$3,$C$4,$C$6,$C$5,$C$7,Q$1,Q$2,$A195)</f>
        <v>0</v>
      </c>
      <c r="R195" s="31">
        <f>_xll.DBRW($C$1,$C$2,$C$3,$C$4,$C$6,$C$5,$C$7,R$1,R$2,$A195)</f>
        <v>0</v>
      </c>
      <c r="S195" s="31">
        <f>_xll.DBRW($C$1,$C$2,$C$3,$C$4,$C$6,$C$5,$C$7,S$1,S$2,$A195)</f>
        <v>0</v>
      </c>
      <c r="T195" s="31">
        <f>_xll.DBRW($C$1,$C$2,$C$3,$C$4,$C$6,$C$5,$C$7,T$1,T$2,$A195)</f>
        <v>0</v>
      </c>
      <c r="U195" s="31">
        <f>_xll.DBRW($C$1,$C$2,$C$3,$C$4,$C$6,$C$5,$C$7,U$1,U$2,$A195)</f>
        <v>0</v>
      </c>
      <c r="V195" s="31">
        <f>_xll.DBRW($C$1,$C$2,$C$3,$C$4,$C$6,$C$5,$C$7,V$1,V$2,$A195)</f>
        <v>0</v>
      </c>
      <c r="W195" s="31">
        <f>_xll.DBRW($C$1,$C$2,$C$3,$C$4,$C$6,$C$5,$C$7,W$1,W$2,$A195)</f>
        <v>0</v>
      </c>
      <c r="X195" s="31">
        <f>_xll.DBRW($C$1,$C$2,$C$3,$C$4,$C$6,$C$5,$C$7,X$1,X$2,$A195)</f>
        <v>0</v>
      </c>
      <c r="Y195" s="31">
        <f>_xll.DBRW($C$1,$C$2,$C$3,$C$4,$C$6,$C$5,$C$7,Y$1,Y$2,$A195)</f>
        <v>0</v>
      </c>
      <c r="Z195" s="31">
        <f>_xll.DBRW($C$1,$C$2,$C$3,$C$4,$C$6,$C$5,$C$7,Z$1,Z$2,$A195)</f>
        <v>0</v>
      </c>
      <c r="AA195" s="31">
        <f>_xll.DBRW($C$1,$C$2,$C$3,$C$4,$C$6,$C$5,$C$7,AA$1,AA$2,$A195)</f>
        <v>0</v>
      </c>
      <c r="AB195" s="31">
        <f>_xll.DBRW($C$1,$C$2,$C$3,$C$4,$C$6,$C$5,$C$7,AB$1,AB$2,$A195)</f>
        <v>0</v>
      </c>
      <c r="AC195" s="31">
        <f>_xll.DBRW($C$1,$C$2,$C$3,$C$4,$C$6,$C$5,$C$7,AC$1,AC$2,$A195)</f>
        <v>0</v>
      </c>
      <c r="AD195" s="31">
        <f>_xll.DBRW($C$1,$C$2,$C$3,$C$4,$C$6,$C$5,$C$7,AD$1,AD$2,$A195)</f>
        <v>0</v>
      </c>
      <c r="AE195" s="31">
        <f>_xll.DBRW($C$1,$C$2,$C$3,$C$4,$C$6,$C$5,$C$7,AE$1,AE$2,$A195)</f>
        <v>0</v>
      </c>
      <c r="AF195" s="31">
        <f>_xll.DBRW($C$1,$C$2,$C$3,$C$4,$C$6,$C$5,$C$7,AF$1,AF$2,$A195)</f>
        <v>0</v>
      </c>
      <c r="AG195" s="31">
        <f>_xll.DBRW($C$1,$C$2,$C$3,$C$4,$C$6,$C$5,$C$7,AG$1,AG$2,$A195)</f>
        <v>0</v>
      </c>
      <c r="AH195" s="31">
        <f>_xll.DBRW($C$1,$C$2,$C$3,$C$4,$C$6,$C$5,$C$7,AH$1,AH$2,$A195)</f>
        <v>0</v>
      </c>
      <c r="AI195" s="31">
        <f>_xll.DBRW($C$1,$C$2,$C$3,$C$4,$C$6,$C$5,$C$7,AI$1,AI$2,$A195)</f>
        <v>0</v>
      </c>
      <c r="AJ195" s="31">
        <f>_xll.DBRW($C$1,$C$2,$C$3,$C$4,$C$6,$C$5,$C$7,AJ$1,AJ$2,$A195)</f>
        <v>0</v>
      </c>
      <c r="AK195" s="31">
        <f>_xll.DBRW($C$1,$C$2,$C$3,$C$4,$C$6,$C$5,$C$7,AK$1,AK$2,$A195)</f>
        <v>0</v>
      </c>
      <c r="AL195" s="31">
        <f>_xll.DBRW($C$1,$C$2,$C$3,$C$4,$C$6,$C$5,$C$7,AL$1,AL$2,$A195)</f>
        <v>0</v>
      </c>
      <c r="AM195" s="31">
        <f>_xll.DBRW($C$1,$C$2,$C$3,$C$4,$C$6,$C$5,$C$7,AM$1,AM$2,$A195)</f>
        <v>0</v>
      </c>
      <c r="AN195" s="31">
        <f>_xll.DBRW($C$1,$C$2,$C$3,$C$4,$C$6,$C$5,$C$7,AN$1,AN$2,$A195)</f>
        <v>0</v>
      </c>
      <c r="AO195" s="31">
        <f>_xll.DBRW($C$1,$C$2,$C$3,$C$4,$C$6,$C$5,$C$7,AO$1,AO$2,$A195)</f>
        <v>0</v>
      </c>
      <c r="AP195" s="31">
        <f>_xll.DBRW($C$1,$C$2,$C$3,$C$4,$C$6,$C$5,$C$7,AP$1,AP$2,$A195)</f>
        <v>0</v>
      </c>
      <c r="AQ195" s="31">
        <f>_xll.DBRW($C$1,$C$2,$C$3,$C$4,$C$6,$C$5,$C$7,AQ$1,AQ$2,$A195)</f>
        <v>0</v>
      </c>
      <c r="AR195" s="31">
        <f>_xll.DBRW($C$1,$C$2,$C$3,$C$4,$C$6,$C$5,$C$7,AR$1,AR$2,$A195)</f>
        <v>0</v>
      </c>
      <c r="AS195" s="31">
        <f>_xll.DBRW($C$1,$C$2,$C$3,$C$4,$C$6,$C$5,$C$7,AS$1,AS$2,$A195)</f>
        <v>0</v>
      </c>
      <c r="AT195" s="31">
        <f>_xll.DBRW($C$1,$C$2,$C$3,$C$4,$C$6,$C$5,$C$7,AT$1,AT$2,$A195)</f>
        <v>0</v>
      </c>
      <c r="AU195" s="31">
        <f>_xll.DBRW($C$1,$C$2,$C$3,$C$4,$C$6,$C$5,$C$7,AU$1,AU$2,$A195)</f>
        <v>0</v>
      </c>
    </row>
    <row r="196" spans="1:47" ht="15.75" hidden="1" customHeight="1" outlineLevel="1">
      <c r="A196" s="1" t="s">
        <v>272</v>
      </c>
      <c r="C196" s="143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I196" s="31">
        <f>_xll.DBRW($C$1,$C$2,$C$3,$C$4,$C$6,$C$5,$C$7,I$1,I$2,$A196)</f>
        <v>0</v>
      </c>
      <c r="J196" s="31">
        <f>_xll.DBRW($C$1,$C$2,$C$3,$C$4,$C$6,$C$5,$C$7,J$1,J$2,$A196)</f>
        <v>0</v>
      </c>
      <c r="K196" s="31">
        <f>_xll.DBRW($C$1,$C$2,$C$3,$C$4,$C$6,$C$5,$C$7,K$1,K$2,$A196)</f>
        <v>0</v>
      </c>
      <c r="L196" s="31">
        <f>_xll.DBRW($C$1,$C$2,$C$3,$C$4,$C$6,$C$5,$C$7,L$1,L$2,$A196)</f>
        <v>0</v>
      </c>
      <c r="M196" s="31">
        <f>_xll.DBRW($C$1,$C$2,$C$3,$C$4,$C$6,$C$5,$C$7,M$1,M$2,$A196)</f>
        <v>0</v>
      </c>
      <c r="N196" s="31">
        <f>_xll.DBRW($C$1,$C$2,$C$3,$C$4,$C$6,$C$5,$C$7,N$1,N$2,$A196)</f>
        <v>0</v>
      </c>
      <c r="O196" s="31">
        <f>_xll.DBRW($C$1,$C$2,$C$3,$C$4,$C$6,$C$5,$C$7,O$1,O$2,$A196)</f>
        <v>0</v>
      </c>
      <c r="P196" s="31">
        <f>_xll.DBRW($C$1,$C$2,$C$3,$C$4,$C$6,$C$5,$C$7,P$1,P$2,$A196)</f>
        <v>0</v>
      </c>
      <c r="Q196" s="31">
        <f>_xll.DBRW($C$1,$C$2,$C$3,$C$4,$C$6,$C$5,$C$7,Q$1,Q$2,$A196)</f>
        <v>0</v>
      </c>
      <c r="R196" s="31">
        <f>_xll.DBRW($C$1,$C$2,$C$3,$C$4,$C$6,$C$5,$C$7,R$1,R$2,$A196)</f>
        <v>0</v>
      </c>
      <c r="S196" s="31">
        <f>_xll.DBRW($C$1,$C$2,$C$3,$C$4,$C$6,$C$5,$C$7,S$1,S$2,$A196)</f>
        <v>0</v>
      </c>
      <c r="T196" s="31">
        <f>_xll.DBRW($C$1,$C$2,$C$3,$C$4,$C$6,$C$5,$C$7,T$1,T$2,$A196)</f>
        <v>0</v>
      </c>
      <c r="U196" s="31">
        <f>_xll.DBRW($C$1,$C$2,$C$3,$C$4,$C$6,$C$5,$C$7,U$1,U$2,$A196)</f>
        <v>0</v>
      </c>
      <c r="V196" s="31">
        <f>_xll.DBRW($C$1,$C$2,$C$3,$C$4,$C$6,$C$5,$C$7,V$1,V$2,$A196)</f>
        <v>0</v>
      </c>
      <c r="W196" s="31">
        <f>_xll.DBRW($C$1,$C$2,$C$3,$C$4,$C$6,$C$5,$C$7,W$1,W$2,$A196)</f>
        <v>0</v>
      </c>
      <c r="X196" s="31">
        <f>_xll.DBRW($C$1,$C$2,$C$3,$C$4,$C$6,$C$5,$C$7,X$1,X$2,$A196)</f>
        <v>0</v>
      </c>
      <c r="Y196" s="31">
        <f>_xll.DBRW($C$1,$C$2,$C$3,$C$4,$C$6,$C$5,$C$7,Y$1,Y$2,$A196)</f>
        <v>0</v>
      </c>
      <c r="Z196" s="31">
        <f>_xll.DBRW($C$1,$C$2,$C$3,$C$4,$C$6,$C$5,$C$7,Z$1,Z$2,$A196)</f>
        <v>0</v>
      </c>
      <c r="AA196" s="31">
        <f>_xll.DBRW($C$1,$C$2,$C$3,$C$4,$C$6,$C$5,$C$7,AA$1,AA$2,$A196)</f>
        <v>0</v>
      </c>
      <c r="AB196" s="31">
        <f>_xll.DBRW($C$1,$C$2,$C$3,$C$4,$C$6,$C$5,$C$7,AB$1,AB$2,$A196)</f>
        <v>0</v>
      </c>
      <c r="AC196" s="31">
        <f>_xll.DBRW($C$1,$C$2,$C$3,$C$4,$C$6,$C$5,$C$7,AC$1,AC$2,$A196)</f>
        <v>0</v>
      </c>
      <c r="AD196" s="31">
        <f>_xll.DBRW($C$1,$C$2,$C$3,$C$4,$C$6,$C$5,$C$7,AD$1,AD$2,$A196)</f>
        <v>0</v>
      </c>
      <c r="AE196" s="31">
        <f>_xll.DBRW($C$1,$C$2,$C$3,$C$4,$C$6,$C$5,$C$7,AE$1,AE$2,$A196)</f>
        <v>0</v>
      </c>
      <c r="AF196" s="31">
        <f>_xll.DBRW($C$1,$C$2,$C$3,$C$4,$C$6,$C$5,$C$7,AF$1,AF$2,$A196)</f>
        <v>0</v>
      </c>
      <c r="AG196" s="31">
        <f>_xll.DBRW($C$1,$C$2,$C$3,$C$4,$C$6,$C$5,$C$7,AG$1,AG$2,$A196)</f>
        <v>0</v>
      </c>
      <c r="AH196" s="31">
        <f>_xll.DBRW($C$1,$C$2,$C$3,$C$4,$C$6,$C$5,$C$7,AH$1,AH$2,$A196)</f>
        <v>0</v>
      </c>
      <c r="AI196" s="31">
        <f>_xll.DBRW($C$1,$C$2,$C$3,$C$4,$C$6,$C$5,$C$7,AI$1,AI$2,$A196)</f>
        <v>0</v>
      </c>
      <c r="AJ196" s="31">
        <f>_xll.DBRW($C$1,$C$2,$C$3,$C$4,$C$6,$C$5,$C$7,AJ$1,AJ$2,$A196)</f>
        <v>0</v>
      </c>
      <c r="AK196" s="31">
        <f>_xll.DBRW($C$1,$C$2,$C$3,$C$4,$C$6,$C$5,$C$7,AK$1,AK$2,$A196)</f>
        <v>0</v>
      </c>
      <c r="AL196" s="31">
        <f>_xll.DBRW($C$1,$C$2,$C$3,$C$4,$C$6,$C$5,$C$7,AL$1,AL$2,$A196)</f>
        <v>0</v>
      </c>
      <c r="AM196" s="31">
        <f>_xll.DBRW($C$1,$C$2,$C$3,$C$4,$C$6,$C$5,$C$7,AM$1,AM$2,$A196)</f>
        <v>0</v>
      </c>
      <c r="AN196" s="31">
        <f>_xll.DBRW($C$1,$C$2,$C$3,$C$4,$C$6,$C$5,$C$7,AN$1,AN$2,$A196)</f>
        <v>0</v>
      </c>
      <c r="AO196" s="31">
        <f>_xll.DBRW($C$1,$C$2,$C$3,$C$4,$C$6,$C$5,$C$7,AO$1,AO$2,$A196)</f>
        <v>0</v>
      </c>
      <c r="AP196" s="31">
        <f>_xll.DBRW($C$1,$C$2,$C$3,$C$4,$C$6,$C$5,$C$7,AP$1,AP$2,$A196)</f>
        <v>0</v>
      </c>
      <c r="AQ196" s="31">
        <f>_xll.DBRW($C$1,$C$2,$C$3,$C$4,$C$6,$C$5,$C$7,AQ$1,AQ$2,$A196)</f>
        <v>0</v>
      </c>
      <c r="AR196" s="31">
        <f>_xll.DBRW($C$1,$C$2,$C$3,$C$4,$C$6,$C$5,$C$7,AR$1,AR$2,$A196)</f>
        <v>0</v>
      </c>
      <c r="AS196" s="31">
        <f>_xll.DBRW($C$1,$C$2,$C$3,$C$4,$C$6,$C$5,$C$7,AS$1,AS$2,$A196)</f>
        <v>0</v>
      </c>
      <c r="AT196" s="31">
        <f>_xll.DBRW($C$1,$C$2,$C$3,$C$4,$C$6,$C$5,$C$7,AT$1,AT$2,$A196)</f>
        <v>0</v>
      </c>
      <c r="AU196" s="31">
        <f>_xll.DBRW($C$1,$C$2,$C$3,$C$4,$C$6,$C$5,$C$7,AU$1,AU$2,$A196)</f>
        <v>0</v>
      </c>
    </row>
    <row r="197" spans="1:47" ht="15.75" hidden="1" customHeight="1" outlineLevel="1">
      <c r="A197" s="1" t="s">
        <v>273</v>
      </c>
      <c r="C197" s="143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I197" s="31">
        <f>_xll.DBRW($C$1,$C$2,$C$3,$C$4,$C$6,$C$5,$C$7,I$1,I$2,$A197)</f>
        <v>0</v>
      </c>
      <c r="J197" s="31">
        <f>_xll.DBRW($C$1,$C$2,$C$3,$C$4,$C$6,$C$5,$C$7,J$1,J$2,$A197)</f>
        <v>0</v>
      </c>
      <c r="K197" s="31">
        <f>_xll.DBRW($C$1,$C$2,$C$3,$C$4,$C$6,$C$5,$C$7,K$1,K$2,$A197)</f>
        <v>0</v>
      </c>
      <c r="L197" s="31">
        <f>_xll.DBRW($C$1,$C$2,$C$3,$C$4,$C$6,$C$5,$C$7,L$1,L$2,$A197)</f>
        <v>0</v>
      </c>
      <c r="M197" s="31">
        <f>_xll.DBRW($C$1,$C$2,$C$3,$C$4,$C$6,$C$5,$C$7,M$1,M$2,$A197)</f>
        <v>0</v>
      </c>
      <c r="N197" s="31">
        <f>_xll.DBRW($C$1,$C$2,$C$3,$C$4,$C$6,$C$5,$C$7,N$1,N$2,$A197)</f>
        <v>0</v>
      </c>
      <c r="O197" s="31">
        <f>_xll.DBRW($C$1,$C$2,$C$3,$C$4,$C$6,$C$5,$C$7,O$1,O$2,$A197)</f>
        <v>0</v>
      </c>
      <c r="P197" s="31">
        <f>_xll.DBRW($C$1,$C$2,$C$3,$C$4,$C$6,$C$5,$C$7,P$1,P$2,$A197)</f>
        <v>0</v>
      </c>
      <c r="Q197" s="31">
        <f>_xll.DBRW($C$1,$C$2,$C$3,$C$4,$C$6,$C$5,$C$7,Q$1,Q$2,$A197)</f>
        <v>0</v>
      </c>
      <c r="R197" s="31">
        <f>_xll.DBRW($C$1,$C$2,$C$3,$C$4,$C$6,$C$5,$C$7,R$1,R$2,$A197)</f>
        <v>0</v>
      </c>
      <c r="S197" s="31">
        <f>_xll.DBRW($C$1,$C$2,$C$3,$C$4,$C$6,$C$5,$C$7,S$1,S$2,$A197)</f>
        <v>0</v>
      </c>
      <c r="T197" s="31">
        <f>_xll.DBRW($C$1,$C$2,$C$3,$C$4,$C$6,$C$5,$C$7,T$1,T$2,$A197)</f>
        <v>0</v>
      </c>
      <c r="U197" s="31">
        <f>_xll.DBRW($C$1,$C$2,$C$3,$C$4,$C$6,$C$5,$C$7,U$1,U$2,$A197)</f>
        <v>0</v>
      </c>
      <c r="V197" s="31">
        <f>_xll.DBRW($C$1,$C$2,$C$3,$C$4,$C$6,$C$5,$C$7,V$1,V$2,$A197)</f>
        <v>0</v>
      </c>
      <c r="W197" s="31">
        <f>_xll.DBRW($C$1,$C$2,$C$3,$C$4,$C$6,$C$5,$C$7,W$1,W$2,$A197)</f>
        <v>0</v>
      </c>
      <c r="X197" s="31">
        <f>_xll.DBRW($C$1,$C$2,$C$3,$C$4,$C$6,$C$5,$C$7,X$1,X$2,$A197)</f>
        <v>0</v>
      </c>
      <c r="Y197" s="31">
        <f>_xll.DBRW($C$1,$C$2,$C$3,$C$4,$C$6,$C$5,$C$7,Y$1,Y$2,$A197)</f>
        <v>0</v>
      </c>
      <c r="Z197" s="31">
        <f>_xll.DBRW($C$1,$C$2,$C$3,$C$4,$C$6,$C$5,$C$7,Z$1,Z$2,$A197)</f>
        <v>0</v>
      </c>
      <c r="AA197" s="31">
        <f>_xll.DBRW($C$1,$C$2,$C$3,$C$4,$C$6,$C$5,$C$7,AA$1,AA$2,$A197)</f>
        <v>0</v>
      </c>
      <c r="AB197" s="31">
        <f>_xll.DBRW($C$1,$C$2,$C$3,$C$4,$C$6,$C$5,$C$7,AB$1,AB$2,$A197)</f>
        <v>0</v>
      </c>
      <c r="AC197" s="31">
        <f>_xll.DBRW($C$1,$C$2,$C$3,$C$4,$C$6,$C$5,$C$7,AC$1,AC$2,$A197)</f>
        <v>0</v>
      </c>
      <c r="AD197" s="31">
        <f>_xll.DBRW($C$1,$C$2,$C$3,$C$4,$C$6,$C$5,$C$7,AD$1,AD$2,$A197)</f>
        <v>0</v>
      </c>
      <c r="AE197" s="31">
        <f>_xll.DBRW($C$1,$C$2,$C$3,$C$4,$C$6,$C$5,$C$7,AE$1,AE$2,$A197)</f>
        <v>0</v>
      </c>
      <c r="AF197" s="31">
        <f>_xll.DBRW($C$1,$C$2,$C$3,$C$4,$C$6,$C$5,$C$7,AF$1,AF$2,$A197)</f>
        <v>0</v>
      </c>
      <c r="AG197" s="31">
        <f>_xll.DBRW($C$1,$C$2,$C$3,$C$4,$C$6,$C$5,$C$7,AG$1,AG$2,$A197)</f>
        <v>0</v>
      </c>
      <c r="AH197" s="31">
        <f>_xll.DBRW($C$1,$C$2,$C$3,$C$4,$C$6,$C$5,$C$7,AH$1,AH$2,$A197)</f>
        <v>0</v>
      </c>
      <c r="AI197" s="31">
        <f>_xll.DBRW($C$1,$C$2,$C$3,$C$4,$C$6,$C$5,$C$7,AI$1,AI$2,$A197)</f>
        <v>0</v>
      </c>
      <c r="AJ197" s="31">
        <f>_xll.DBRW($C$1,$C$2,$C$3,$C$4,$C$6,$C$5,$C$7,AJ$1,AJ$2,$A197)</f>
        <v>0</v>
      </c>
      <c r="AK197" s="31">
        <f>_xll.DBRW($C$1,$C$2,$C$3,$C$4,$C$6,$C$5,$C$7,AK$1,AK$2,$A197)</f>
        <v>0</v>
      </c>
      <c r="AL197" s="31">
        <f>_xll.DBRW($C$1,$C$2,$C$3,$C$4,$C$6,$C$5,$C$7,AL$1,AL$2,$A197)</f>
        <v>0</v>
      </c>
      <c r="AM197" s="31">
        <f>_xll.DBRW($C$1,$C$2,$C$3,$C$4,$C$6,$C$5,$C$7,AM$1,AM$2,$A197)</f>
        <v>0</v>
      </c>
      <c r="AN197" s="31">
        <f>_xll.DBRW($C$1,$C$2,$C$3,$C$4,$C$6,$C$5,$C$7,AN$1,AN$2,$A197)</f>
        <v>0</v>
      </c>
      <c r="AO197" s="31">
        <f>_xll.DBRW($C$1,$C$2,$C$3,$C$4,$C$6,$C$5,$C$7,AO$1,AO$2,$A197)</f>
        <v>0</v>
      </c>
      <c r="AP197" s="31">
        <f>_xll.DBRW($C$1,$C$2,$C$3,$C$4,$C$6,$C$5,$C$7,AP$1,AP$2,$A197)</f>
        <v>0</v>
      </c>
      <c r="AQ197" s="31">
        <f>_xll.DBRW($C$1,$C$2,$C$3,$C$4,$C$6,$C$5,$C$7,AQ$1,AQ$2,$A197)</f>
        <v>0</v>
      </c>
      <c r="AR197" s="31">
        <f>_xll.DBRW($C$1,$C$2,$C$3,$C$4,$C$6,$C$5,$C$7,AR$1,AR$2,$A197)</f>
        <v>0</v>
      </c>
      <c r="AS197" s="31">
        <f>_xll.DBRW($C$1,$C$2,$C$3,$C$4,$C$6,$C$5,$C$7,AS$1,AS$2,$A197)</f>
        <v>0</v>
      </c>
      <c r="AT197" s="31">
        <f>_xll.DBRW($C$1,$C$2,$C$3,$C$4,$C$6,$C$5,$C$7,AT$1,AT$2,$A197)</f>
        <v>0</v>
      </c>
      <c r="AU197" s="31">
        <f>_xll.DBRW($C$1,$C$2,$C$3,$C$4,$C$6,$C$5,$C$7,AU$1,AU$2,$A197)</f>
        <v>0</v>
      </c>
    </row>
    <row r="198" spans="1:47" ht="15.75" hidden="1" customHeight="1" outlineLevel="1">
      <c r="A198" s="1" t="s">
        <v>274</v>
      </c>
      <c r="C198" s="143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I198" s="31">
        <f>_xll.DBRW($C$1,$C$2,$C$3,$C$4,$C$6,$C$5,$C$7,I$1,I$2,$A198)</f>
        <v>0</v>
      </c>
      <c r="J198" s="31">
        <f>_xll.DBRW($C$1,$C$2,$C$3,$C$4,$C$6,$C$5,$C$7,J$1,J$2,$A198)</f>
        <v>0</v>
      </c>
      <c r="K198" s="31">
        <f>_xll.DBRW($C$1,$C$2,$C$3,$C$4,$C$6,$C$5,$C$7,K$1,K$2,$A198)</f>
        <v>0</v>
      </c>
      <c r="L198" s="31">
        <f>_xll.DBRW($C$1,$C$2,$C$3,$C$4,$C$6,$C$5,$C$7,L$1,L$2,$A198)</f>
        <v>0</v>
      </c>
      <c r="M198" s="31">
        <f>_xll.DBRW($C$1,$C$2,$C$3,$C$4,$C$6,$C$5,$C$7,M$1,M$2,$A198)</f>
        <v>0</v>
      </c>
      <c r="N198" s="31">
        <f>_xll.DBRW($C$1,$C$2,$C$3,$C$4,$C$6,$C$5,$C$7,N$1,N$2,$A198)</f>
        <v>0</v>
      </c>
      <c r="O198" s="31">
        <f>_xll.DBRW($C$1,$C$2,$C$3,$C$4,$C$6,$C$5,$C$7,O$1,O$2,$A198)</f>
        <v>0</v>
      </c>
      <c r="P198" s="31">
        <f>_xll.DBRW($C$1,$C$2,$C$3,$C$4,$C$6,$C$5,$C$7,P$1,P$2,$A198)</f>
        <v>0</v>
      </c>
      <c r="Q198" s="31">
        <f>_xll.DBRW($C$1,$C$2,$C$3,$C$4,$C$6,$C$5,$C$7,Q$1,Q$2,$A198)</f>
        <v>0</v>
      </c>
      <c r="R198" s="31">
        <f>_xll.DBRW($C$1,$C$2,$C$3,$C$4,$C$6,$C$5,$C$7,R$1,R$2,$A198)</f>
        <v>0</v>
      </c>
      <c r="S198" s="31">
        <f>_xll.DBRW($C$1,$C$2,$C$3,$C$4,$C$6,$C$5,$C$7,S$1,S$2,$A198)</f>
        <v>0</v>
      </c>
      <c r="T198" s="31">
        <f>_xll.DBRW($C$1,$C$2,$C$3,$C$4,$C$6,$C$5,$C$7,T$1,T$2,$A198)</f>
        <v>0</v>
      </c>
      <c r="U198" s="31">
        <f>_xll.DBRW($C$1,$C$2,$C$3,$C$4,$C$6,$C$5,$C$7,U$1,U$2,$A198)</f>
        <v>0</v>
      </c>
      <c r="V198" s="31">
        <f>_xll.DBRW($C$1,$C$2,$C$3,$C$4,$C$6,$C$5,$C$7,V$1,V$2,$A198)</f>
        <v>0</v>
      </c>
      <c r="W198" s="31">
        <f>_xll.DBRW($C$1,$C$2,$C$3,$C$4,$C$6,$C$5,$C$7,W$1,W$2,$A198)</f>
        <v>0</v>
      </c>
      <c r="X198" s="31">
        <f>_xll.DBRW($C$1,$C$2,$C$3,$C$4,$C$6,$C$5,$C$7,X$1,X$2,$A198)</f>
        <v>0</v>
      </c>
      <c r="Y198" s="31">
        <f>_xll.DBRW($C$1,$C$2,$C$3,$C$4,$C$6,$C$5,$C$7,Y$1,Y$2,$A198)</f>
        <v>0</v>
      </c>
      <c r="Z198" s="31">
        <f>_xll.DBRW($C$1,$C$2,$C$3,$C$4,$C$6,$C$5,$C$7,Z$1,Z$2,$A198)</f>
        <v>0</v>
      </c>
      <c r="AA198" s="31">
        <f>_xll.DBRW($C$1,$C$2,$C$3,$C$4,$C$6,$C$5,$C$7,AA$1,AA$2,$A198)</f>
        <v>0</v>
      </c>
      <c r="AB198" s="31">
        <f>_xll.DBRW($C$1,$C$2,$C$3,$C$4,$C$6,$C$5,$C$7,AB$1,AB$2,$A198)</f>
        <v>0</v>
      </c>
      <c r="AC198" s="31">
        <f>_xll.DBRW($C$1,$C$2,$C$3,$C$4,$C$6,$C$5,$C$7,AC$1,AC$2,$A198)</f>
        <v>0</v>
      </c>
      <c r="AD198" s="31">
        <f>_xll.DBRW($C$1,$C$2,$C$3,$C$4,$C$6,$C$5,$C$7,AD$1,AD$2,$A198)</f>
        <v>0</v>
      </c>
      <c r="AE198" s="31">
        <f>_xll.DBRW($C$1,$C$2,$C$3,$C$4,$C$6,$C$5,$C$7,AE$1,AE$2,$A198)</f>
        <v>0</v>
      </c>
      <c r="AF198" s="31">
        <f>_xll.DBRW($C$1,$C$2,$C$3,$C$4,$C$6,$C$5,$C$7,AF$1,AF$2,$A198)</f>
        <v>0</v>
      </c>
      <c r="AG198" s="31">
        <f>_xll.DBRW($C$1,$C$2,$C$3,$C$4,$C$6,$C$5,$C$7,AG$1,AG$2,$A198)</f>
        <v>0</v>
      </c>
      <c r="AH198" s="31">
        <f>_xll.DBRW($C$1,$C$2,$C$3,$C$4,$C$6,$C$5,$C$7,AH$1,AH$2,$A198)</f>
        <v>0</v>
      </c>
      <c r="AI198" s="31">
        <f>_xll.DBRW($C$1,$C$2,$C$3,$C$4,$C$6,$C$5,$C$7,AI$1,AI$2,$A198)</f>
        <v>0</v>
      </c>
      <c r="AJ198" s="31">
        <f>_xll.DBRW($C$1,$C$2,$C$3,$C$4,$C$6,$C$5,$C$7,AJ$1,AJ$2,$A198)</f>
        <v>0</v>
      </c>
      <c r="AK198" s="31">
        <f>_xll.DBRW($C$1,$C$2,$C$3,$C$4,$C$6,$C$5,$C$7,AK$1,AK$2,$A198)</f>
        <v>0</v>
      </c>
      <c r="AL198" s="31">
        <f>_xll.DBRW($C$1,$C$2,$C$3,$C$4,$C$6,$C$5,$C$7,AL$1,AL$2,$A198)</f>
        <v>0</v>
      </c>
      <c r="AM198" s="31">
        <f>_xll.DBRW($C$1,$C$2,$C$3,$C$4,$C$6,$C$5,$C$7,AM$1,AM$2,$A198)</f>
        <v>0</v>
      </c>
      <c r="AN198" s="31">
        <f>_xll.DBRW($C$1,$C$2,$C$3,$C$4,$C$6,$C$5,$C$7,AN$1,AN$2,$A198)</f>
        <v>0</v>
      </c>
      <c r="AO198" s="31">
        <f>_xll.DBRW($C$1,$C$2,$C$3,$C$4,$C$6,$C$5,$C$7,AO$1,AO$2,$A198)</f>
        <v>0</v>
      </c>
      <c r="AP198" s="31">
        <f>_xll.DBRW($C$1,$C$2,$C$3,$C$4,$C$6,$C$5,$C$7,AP$1,AP$2,$A198)</f>
        <v>0</v>
      </c>
      <c r="AQ198" s="31">
        <f>_xll.DBRW($C$1,$C$2,$C$3,$C$4,$C$6,$C$5,$C$7,AQ$1,AQ$2,$A198)</f>
        <v>0</v>
      </c>
      <c r="AR198" s="31">
        <f>_xll.DBRW($C$1,$C$2,$C$3,$C$4,$C$6,$C$5,$C$7,AR$1,AR$2,$A198)</f>
        <v>0</v>
      </c>
      <c r="AS198" s="31">
        <f>_xll.DBRW($C$1,$C$2,$C$3,$C$4,$C$6,$C$5,$C$7,AS$1,AS$2,$A198)</f>
        <v>0</v>
      </c>
      <c r="AT198" s="31">
        <f>_xll.DBRW($C$1,$C$2,$C$3,$C$4,$C$6,$C$5,$C$7,AT$1,AT$2,$A198)</f>
        <v>0</v>
      </c>
      <c r="AU198" s="31">
        <f>_xll.DBRW($C$1,$C$2,$C$3,$C$4,$C$6,$C$5,$C$7,AU$1,AU$2,$A198)</f>
        <v>0</v>
      </c>
    </row>
    <row r="199" spans="1:47" ht="15.75" hidden="1" customHeight="1" outlineLevel="1">
      <c r="A199" s="1" t="s">
        <v>275</v>
      </c>
      <c r="C199" s="143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I199" s="31">
        <f>_xll.DBRW($C$1,$C$2,$C$3,$C$4,$C$6,$C$5,$C$7,I$1,I$2,$A199)</f>
        <v>0</v>
      </c>
      <c r="J199" s="31">
        <f>_xll.DBRW($C$1,$C$2,$C$3,$C$4,$C$6,$C$5,$C$7,J$1,J$2,$A199)</f>
        <v>0</v>
      </c>
      <c r="K199" s="31">
        <f>_xll.DBRW($C$1,$C$2,$C$3,$C$4,$C$6,$C$5,$C$7,K$1,K$2,$A199)</f>
        <v>0</v>
      </c>
      <c r="L199" s="31">
        <f>_xll.DBRW($C$1,$C$2,$C$3,$C$4,$C$6,$C$5,$C$7,L$1,L$2,$A199)</f>
        <v>0</v>
      </c>
      <c r="M199" s="31">
        <f>_xll.DBRW($C$1,$C$2,$C$3,$C$4,$C$6,$C$5,$C$7,M$1,M$2,$A199)</f>
        <v>0</v>
      </c>
      <c r="N199" s="31">
        <f>_xll.DBRW($C$1,$C$2,$C$3,$C$4,$C$6,$C$5,$C$7,N$1,N$2,$A199)</f>
        <v>0</v>
      </c>
      <c r="O199" s="31">
        <f>_xll.DBRW($C$1,$C$2,$C$3,$C$4,$C$6,$C$5,$C$7,O$1,O$2,$A199)</f>
        <v>0</v>
      </c>
      <c r="P199" s="31">
        <f>_xll.DBRW($C$1,$C$2,$C$3,$C$4,$C$6,$C$5,$C$7,P$1,P$2,$A199)</f>
        <v>0</v>
      </c>
      <c r="Q199" s="31">
        <f>_xll.DBRW($C$1,$C$2,$C$3,$C$4,$C$6,$C$5,$C$7,Q$1,Q$2,$A199)</f>
        <v>0</v>
      </c>
      <c r="R199" s="31">
        <f>_xll.DBRW($C$1,$C$2,$C$3,$C$4,$C$6,$C$5,$C$7,R$1,R$2,$A199)</f>
        <v>0</v>
      </c>
      <c r="S199" s="31">
        <f>_xll.DBRW($C$1,$C$2,$C$3,$C$4,$C$6,$C$5,$C$7,S$1,S$2,$A199)</f>
        <v>0</v>
      </c>
      <c r="T199" s="31">
        <f>_xll.DBRW($C$1,$C$2,$C$3,$C$4,$C$6,$C$5,$C$7,T$1,T$2,$A199)</f>
        <v>0</v>
      </c>
      <c r="U199" s="31">
        <f>_xll.DBRW($C$1,$C$2,$C$3,$C$4,$C$6,$C$5,$C$7,U$1,U$2,$A199)</f>
        <v>0</v>
      </c>
      <c r="V199" s="31">
        <f>_xll.DBRW($C$1,$C$2,$C$3,$C$4,$C$6,$C$5,$C$7,V$1,V$2,$A199)</f>
        <v>0</v>
      </c>
      <c r="W199" s="31">
        <f>_xll.DBRW($C$1,$C$2,$C$3,$C$4,$C$6,$C$5,$C$7,W$1,W$2,$A199)</f>
        <v>0</v>
      </c>
      <c r="X199" s="31">
        <f>_xll.DBRW($C$1,$C$2,$C$3,$C$4,$C$6,$C$5,$C$7,X$1,X$2,$A199)</f>
        <v>0</v>
      </c>
      <c r="Y199" s="31">
        <f>_xll.DBRW($C$1,$C$2,$C$3,$C$4,$C$6,$C$5,$C$7,Y$1,Y$2,$A199)</f>
        <v>0</v>
      </c>
      <c r="Z199" s="31">
        <f>_xll.DBRW($C$1,$C$2,$C$3,$C$4,$C$6,$C$5,$C$7,Z$1,Z$2,$A199)</f>
        <v>0</v>
      </c>
      <c r="AA199" s="31">
        <f>_xll.DBRW($C$1,$C$2,$C$3,$C$4,$C$6,$C$5,$C$7,AA$1,AA$2,$A199)</f>
        <v>0</v>
      </c>
      <c r="AB199" s="31">
        <f>_xll.DBRW($C$1,$C$2,$C$3,$C$4,$C$6,$C$5,$C$7,AB$1,AB$2,$A199)</f>
        <v>0</v>
      </c>
      <c r="AC199" s="31">
        <f>_xll.DBRW($C$1,$C$2,$C$3,$C$4,$C$6,$C$5,$C$7,AC$1,AC$2,$A199)</f>
        <v>0</v>
      </c>
      <c r="AD199" s="31">
        <f>_xll.DBRW($C$1,$C$2,$C$3,$C$4,$C$6,$C$5,$C$7,AD$1,AD$2,$A199)</f>
        <v>0</v>
      </c>
      <c r="AE199" s="31">
        <f>_xll.DBRW($C$1,$C$2,$C$3,$C$4,$C$6,$C$5,$C$7,AE$1,AE$2,$A199)</f>
        <v>0</v>
      </c>
      <c r="AF199" s="31">
        <f>_xll.DBRW($C$1,$C$2,$C$3,$C$4,$C$6,$C$5,$C$7,AF$1,AF$2,$A199)</f>
        <v>0</v>
      </c>
      <c r="AG199" s="31">
        <f>_xll.DBRW($C$1,$C$2,$C$3,$C$4,$C$6,$C$5,$C$7,AG$1,AG$2,$A199)</f>
        <v>0</v>
      </c>
      <c r="AH199" s="31">
        <f>_xll.DBRW($C$1,$C$2,$C$3,$C$4,$C$6,$C$5,$C$7,AH$1,AH$2,$A199)</f>
        <v>0</v>
      </c>
      <c r="AI199" s="31">
        <f>_xll.DBRW($C$1,$C$2,$C$3,$C$4,$C$6,$C$5,$C$7,AI$1,AI$2,$A199)</f>
        <v>0</v>
      </c>
      <c r="AJ199" s="31">
        <f>_xll.DBRW($C$1,$C$2,$C$3,$C$4,$C$6,$C$5,$C$7,AJ$1,AJ$2,$A199)</f>
        <v>0</v>
      </c>
      <c r="AK199" s="31">
        <f>_xll.DBRW($C$1,$C$2,$C$3,$C$4,$C$6,$C$5,$C$7,AK$1,AK$2,$A199)</f>
        <v>0</v>
      </c>
      <c r="AL199" s="31">
        <f>_xll.DBRW($C$1,$C$2,$C$3,$C$4,$C$6,$C$5,$C$7,AL$1,AL$2,$A199)</f>
        <v>0</v>
      </c>
      <c r="AM199" s="31">
        <f>_xll.DBRW($C$1,$C$2,$C$3,$C$4,$C$6,$C$5,$C$7,AM$1,AM$2,$A199)</f>
        <v>0</v>
      </c>
      <c r="AN199" s="31">
        <f>_xll.DBRW($C$1,$C$2,$C$3,$C$4,$C$6,$C$5,$C$7,AN$1,AN$2,$A199)</f>
        <v>0</v>
      </c>
      <c r="AO199" s="31">
        <f>_xll.DBRW($C$1,$C$2,$C$3,$C$4,$C$6,$C$5,$C$7,AO$1,AO$2,$A199)</f>
        <v>0</v>
      </c>
      <c r="AP199" s="31">
        <f>_xll.DBRW($C$1,$C$2,$C$3,$C$4,$C$6,$C$5,$C$7,AP$1,AP$2,$A199)</f>
        <v>0</v>
      </c>
      <c r="AQ199" s="31">
        <f>_xll.DBRW($C$1,$C$2,$C$3,$C$4,$C$6,$C$5,$C$7,AQ$1,AQ$2,$A199)</f>
        <v>0</v>
      </c>
      <c r="AR199" s="31">
        <f>_xll.DBRW($C$1,$C$2,$C$3,$C$4,$C$6,$C$5,$C$7,AR$1,AR$2,$A199)</f>
        <v>0</v>
      </c>
      <c r="AS199" s="31">
        <f>_xll.DBRW($C$1,$C$2,$C$3,$C$4,$C$6,$C$5,$C$7,AS$1,AS$2,$A199)</f>
        <v>0</v>
      </c>
      <c r="AT199" s="31">
        <f>_xll.DBRW($C$1,$C$2,$C$3,$C$4,$C$6,$C$5,$C$7,AT$1,AT$2,$A199)</f>
        <v>0</v>
      </c>
      <c r="AU199" s="31">
        <f>_xll.DBRW($C$1,$C$2,$C$3,$C$4,$C$6,$C$5,$C$7,AU$1,AU$2,$A199)</f>
        <v>0</v>
      </c>
    </row>
    <row r="200" spans="1:47" ht="15.75" hidden="1" customHeight="1" outlineLevel="1">
      <c r="A200" s="1" t="s">
        <v>276</v>
      </c>
      <c r="C200" s="143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I200" s="31">
        <f>_xll.DBRW($C$1,$C$2,$C$3,$C$4,$C$6,$C$5,$C$7,I$1,I$2,$A200)</f>
        <v>0</v>
      </c>
      <c r="J200" s="31">
        <f>_xll.DBRW($C$1,$C$2,$C$3,$C$4,$C$6,$C$5,$C$7,J$1,J$2,$A200)</f>
        <v>0</v>
      </c>
      <c r="K200" s="31">
        <f>_xll.DBRW($C$1,$C$2,$C$3,$C$4,$C$6,$C$5,$C$7,K$1,K$2,$A200)</f>
        <v>0</v>
      </c>
      <c r="L200" s="31">
        <f>_xll.DBRW($C$1,$C$2,$C$3,$C$4,$C$6,$C$5,$C$7,L$1,L$2,$A200)</f>
        <v>0</v>
      </c>
      <c r="M200" s="31">
        <f>_xll.DBRW($C$1,$C$2,$C$3,$C$4,$C$6,$C$5,$C$7,M$1,M$2,$A200)</f>
        <v>0</v>
      </c>
      <c r="N200" s="31">
        <f>_xll.DBRW($C$1,$C$2,$C$3,$C$4,$C$6,$C$5,$C$7,N$1,N$2,$A200)</f>
        <v>0</v>
      </c>
      <c r="O200" s="31">
        <f>_xll.DBRW($C$1,$C$2,$C$3,$C$4,$C$6,$C$5,$C$7,O$1,O$2,$A200)</f>
        <v>0</v>
      </c>
      <c r="P200" s="31">
        <f>_xll.DBRW($C$1,$C$2,$C$3,$C$4,$C$6,$C$5,$C$7,P$1,P$2,$A200)</f>
        <v>0</v>
      </c>
      <c r="Q200" s="31">
        <f>_xll.DBRW($C$1,$C$2,$C$3,$C$4,$C$6,$C$5,$C$7,Q$1,Q$2,$A200)</f>
        <v>0</v>
      </c>
      <c r="R200" s="31">
        <f>_xll.DBRW($C$1,$C$2,$C$3,$C$4,$C$6,$C$5,$C$7,R$1,R$2,$A200)</f>
        <v>0</v>
      </c>
      <c r="S200" s="31">
        <f>_xll.DBRW($C$1,$C$2,$C$3,$C$4,$C$6,$C$5,$C$7,S$1,S$2,$A200)</f>
        <v>0</v>
      </c>
      <c r="T200" s="31">
        <f>_xll.DBRW($C$1,$C$2,$C$3,$C$4,$C$6,$C$5,$C$7,T$1,T$2,$A200)</f>
        <v>0</v>
      </c>
      <c r="U200" s="31">
        <f>_xll.DBRW($C$1,$C$2,$C$3,$C$4,$C$6,$C$5,$C$7,U$1,U$2,$A200)</f>
        <v>0</v>
      </c>
      <c r="V200" s="31">
        <f>_xll.DBRW($C$1,$C$2,$C$3,$C$4,$C$6,$C$5,$C$7,V$1,V$2,$A200)</f>
        <v>0</v>
      </c>
      <c r="W200" s="31">
        <f>_xll.DBRW($C$1,$C$2,$C$3,$C$4,$C$6,$C$5,$C$7,W$1,W$2,$A200)</f>
        <v>0</v>
      </c>
      <c r="X200" s="31">
        <f>_xll.DBRW($C$1,$C$2,$C$3,$C$4,$C$6,$C$5,$C$7,X$1,X$2,$A200)</f>
        <v>0</v>
      </c>
      <c r="Y200" s="31">
        <f>_xll.DBRW($C$1,$C$2,$C$3,$C$4,$C$6,$C$5,$C$7,Y$1,Y$2,$A200)</f>
        <v>0</v>
      </c>
      <c r="Z200" s="31">
        <f>_xll.DBRW($C$1,$C$2,$C$3,$C$4,$C$6,$C$5,$C$7,Z$1,Z$2,$A200)</f>
        <v>0</v>
      </c>
      <c r="AA200" s="31">
        <f>_xll.DBRW($C$1,$C$2,$C$3,$C$4,$C$6,$C$5,$C$7,AA$1,AA$2,$A200)</f>
        <v>0</v>
      </c>
      <c r="AB200" s="31">
        <f>_xll.DBRW($C$1,$C$2,$C$3,$C$4,$C$6,$C$5,$C$7,AB$1,AB$2,$A200)</f>
        <v>0</v>
      </c>
      <c r="AC200" s="31">
        <f>_xll.DBRW($C$1,$C$2,$C$3,$C$4,$C$6,$C$5,$C$7,AC$1,AC$2,$A200)</f>
        <v>0</v>
      </c>
      <c r="AD200" s="31">
        <f>_xll.DBRW($C$1,$C$2,$C$3,$C$4,$C$6,$C$5,$C$7,AD$1,AD$2,$A200)</f>
        <v>0</v>
      </c>
      <c r="AE200" s="31">
        <f>_xll.DBRW($C$1,$C$2,$C$3,$C$4,$C$6,$C$5,$C$7,AE$1,AE$2,$A200)</f>
        <v>0</v>
      </c>
      <c r="AF200" s="31">
        <f>_xll.DBRW($C$1,$C$2,$C$3,$C$4,$C$6,$C$5,$C$7,AF$1,AF$2,$A200)</f>
        <v>0</v>
      </c>
      <c r="AG200" s="31">
        <f>_xll.DBRW($C$1,$C$2,$C$3,$C$4,$C$6,$C$5,$C$7,AG$1,AG$2,$A200)</f>
        <v>0</v>
      </c>
      <c r="AH200" s="31">
        <f>_xll.DBRW($C$1,$C$2,$C$3,$C$4,$C$6,$C$5,$C$7,AH$1,AH$2,$A200)</f>
        <v>0</v>
      </c>
      <c r="AI200" s="31">
        <f>_xll.DBRW($C$1,$C$2,$C$3,$C$4,$C$6,$C$5,$C$7,AI$1,AI$2,$A200)</f>
        <v>0</v>
      </c>
      <c r="AJ200" s="31">
        <f>_xll.DBRW($C$1,$C$2,$C$3,$C$4,$C$6,$C$5,$C$7,AJ$1,AJ$2,$A200)</f>
        <v>0</v>
      </c>
      <c r="AK200" s="31">
        <f>_xll.DBRW($C$1,$C$2,$C$3,$C$4,$C$6,$C$5,$C$7,AK$1,AK$2,$A200)</f>
        <v>0</v>
      </c>
      <c r="AL200" s="31">
        <f>_xll.DBRW($C$1,$C$2,$C$3,$C$4,$C$6,$C$5,$C$7,AL$1,AL$2,$A200)</f>
        <v>0</v>
      </c>
      <c r="AM200" s="31">
        <f>_xll.DBRW($C$1,$C$2,$C$3,$C$4,$C$6,$C$5,$C$7,AM$1,AM$2,$A200)</f>
        <v>0</v>
      </c>
      <c r="AN200" s="31">
        <f>_xll.DBRW($C$1,$C$2,$C$3,$C$4,$C$6,$C$5,$C$7,AN$1,AN$2,$A200)</f>
        <v>0</v>
      </c>
      <c r="AO200" s="31">
        <f>_xll.DBRW($C$1,$C$2,$C$3,$C$4,$C$6,$C$5,$C$7,AO$1,AO$2,$A200)</f>
        <v>0</v>
      </c>
      <c r="AP200" s="31">
        <f>_xll.DBRW($C$1,$C$2,$C$3,$C$4,$C$6,$C$5,$C$7,AP$1,AP$2,$A200)</f>
        <v>0</v>
      </c>
      <c r="AQ200" s="31">
        <f>_xll.DBRW($C$1,$C$2,$C$3,$C$4,$C$6,$C$5,$C$7,AQ$1,AQ$2,$A200)</f>
        <v>0</v>
      </c>
      <c r="AR200" s="31">
        <f>_xll.DBRW($C$1,$C$2,$C$3,$C$4,$C$6,$C$5,$C$7,AR$1,AR$2,$A200)</f>
        <v>0</v>
      </c>
      <c r="AS200" s="31">
        <f>_xll.DBRW($C$1,$C$2,$C$3,$C$4,$C$6,$C$5,$C$7,AS$1,AS$2,$A200)</f>
        <v>0</v>
      </c>
      <c r="AT200" s="31">
        <f>_xll.DBRW($C$1,$C$2,$C$3,$C$4,$C$6,$C$5,$C$7,AT$1,AT$2,$A200)</f>
        <v>0</v>
      </c>
      <c r="AU200" s="31">
        <f>_xll.DBRW($C$1,$C$2,$C$3,$C$4,$C$6,$C$5,$C$7,AU$1,AU$2,$A200)</f>
        <v>0</v>
      </c>
    </row>
    <row r="201" spans="1:47" ht="15.75" hidden="1" customHeight="1" outlineLevel="1">
      <c r="A201" s="1" t="s">
        <v>277</v>
      </c>
      <c r="C201" s="143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I201" s="31">
        <f>_xll.DBRW($C$1,$C$2,$C$3,$C$4,$C$6,$C$5,$C$7,I$1,I$2,$A201)</f>
        <v>0</v>
      </c>
      <c r="J201" s="31">
        <f>_xll.DBRW($C$1,$C$2,$C$3,$C$4,$C$6,$C$5,$C$7,J$1,J$2,$A201)</f>
        <v>0</v>
      </c>
      <c r="K201" s="31">
        <f>_xll.DBRW($C$1,$C$2,$C$3,$C$4,$C$6,$C$5,$C$7,K$1,K$2,$A201)</f>
        <v>0</v>
      </c>
      <c r="L201" s="31">
        <f>_xll.DBRW($C$1,$C$2,$C$3,$C$4,$C$6,$C$5,$C$7,L$1,L$2,$A201)</f>
        <v>0</v>
      </c>
      <c r="M201" s="31">
        <f>_xll.DBRW($C$1,$C$2,$C$3,$C$4,$C$6,$C$5,$C$7,M$1,M$2,$A201)</f>
        <v>0</v>
      </c>
      <c r="N201" s="31">
        <f>_xll.DBRW($C$1,$C$2,$C$3,$C$4,$C$6,$C$5,$C$7,N$1,N$2,$A201)</f>
        <v>0</v>
      </c>
      <c r="O201" s="31">
        <f>_xll.DBRW($C$1,$C$2,$C$3,$C$4,$C$6,$C$5,$C$7,O$1,O$2,$A201)</f>
        <v>0</v>
      </c>
      <c r="P201" s="31">
        <f>_xll.DBRW($C$1,$C$2,$C$3,$C$4,$C$6,$C$5,$C$7,P$1,P$2,$A201)</f>
        <v>0</v>
      </c>
      <c r="Q201" s="31">
        <f>_xll.DBRW($C$1,$C$2,$C$3,$C$4,$C$6,$C$5,$C$7,Q$1,Q$2,$A201)</f>
        <v>0</v>
      </c>
      <c r="R201" s="31">
        <f>_xll.DBRW($C$1,$C$2,$C$3,$C$4,$C$6,$C$5,$C$7,R$1,R$2,$A201)</f>
        <v>0</v>
      </c>
      <c r="S201" s="31">
        <f>_xll.DBRW($C$1,$C$2,$C$3,$C$4,$C$6,$C$5,$C$7,S$1,S$2,$A201)</f>
        <v>0</v>
      </c>
      <c r="T201" s="31">
        <f>_xll.DBRW($C$1,$C$2,$C$3,$C$4,$C$6,$C$5,$C$7,T$1,T$2,$A201)</f>
        <v>0</v>
      </c>
      <c r="U201" s="31">
        <f>_xll.DBRW($C$1,$C$2,$C$3,$C$4,$C$6,$C$5,$C$7,U$1,U$2,$A201)</f>
        <v>0</v>
      </c>
      <c r="V201" s="31">
        <f>_xll.DBRW($C$1,$C$2,$C$3,$C$4,$C$6,$C$5,$C$7,V$1,V$2,$A201)</f>
        <v>0</v>
      </c>
      <c r="W201" s="31">
        <f>_xll.DBRW($C$1,$C$2,$C$3,$C$4,$C$6,$C$5,$C$7,W$1,W$2,$A201)</f>
        <v>0</v>
      </c>
      <c r="X201" s="31">
        <f>_xll.DBRW($C$1,$C$2,$C$3,$C$4,$C$6,$C$5,$C$7,X$1,X$2,$A201)</f>
        <v>0</v>
      </c>
      <c r="Y201" s="31">
        <f>_xll.DBRW($C$1,$C$2,$C$3,$C$4,$C$6,$C$5,$C$7,Y$1,Y$2,$A201)</f>
        <v>0</v>
      </c>
      <c r="Z201" s="31">
        <f>_xll.DBRW($C$1,$C$2,$C$3,$C$4,$C$6,$C$5,$C$7,Z$1,Z$2,$A201)</f>
        <v>0</v>
      </c>
      <c r="AA201" s="31">
        <f>_xll.DBRW($C$1,$C$2,$C$3,$C$4,$C$6,$C$5,$C$7,AA$1,AA$2,$A201)</f>
        <v>0</v>
      </c>
      <c r="AB201" s="31">
        <f>_xll.DBRW($C$1,$C$2,$C$3,$C$4,$C$6,$C$5,$C$7,AB$1,AB$2,$A201)</f>
        <v>0</v>
      </c>
      <c r="AC201" s="31">
        <f>_xll.DBRW($C$1,$C$2,$C$3,$C$4,$C$6,$C$5,$C$7,AC$1,AC$2,$A201)</f>
        <v>0</v>
      </c>
      <c r="AD201" s="31">
        <f>_xll.DBRW($C$1,$C$2,$C$3,$C$4,$C$6,$C$5,$C$7,AD$1,AD$2,$A201)</f>
        <v>0</v>
      </c>
      <c r="AE201" s="31">
        <f>_xll.DBRW($C$1,$C$2,$C$3,$C$4,$C$6,$C$5,$C$7,AE$1,AE$2,$A201)</f>
        <v>0</v>
      </c>
      <c r="AF201" s="31">
        <f>_xll.DBRW($C$1,$C$2,$C$3,$C$4,$C$6,$C$5,$C$7,AF$1,AF$2,$A201)</f>
        <v>0</v>
      </c>
      <c r="AG201" s="31">
        <f>_xll.DBRW($C$1,$C$2,$C$3,$C$4,$C$6,$C$5,$C$7,AG$1,AG$2,$A201)</f>
        <v>0</v>
      </c>
      <c r="AH201" s="31">
        <f>_xll.DBRW($C$1,$C$2,$C$3,$C$4,$C$6,$C$5,$C$7,AH$1,AH$2,$A201)</f>
        <v>0</v>
      </c>
      <c r="AI201" s="31">
        <f>_xll.DBRW($C$1,$C$2,$C$3,$C$4,$C$6,$C$5,$C$7,AI$1,AI$2,$A201)</f>
        <v>0</v>
      </c>
      <c r="AJ201" s="31">
        <f>_xll.DBRW($C$1,$C$2,$C$3,$C$4,$C$6,$C$5,$C$7,AJ$1,AJ$2,$A201)</f>
        <v>0</v>
      </c>
      <c r="AK201" s="31">
        <f>_xll.DBRW($C$1,$C$2,$C$3,$C$4,$C$6,$C$5,$C$7,AK$1,AK$2,$A201)</f>
        <v>0</v>
      </c>
      <c r="AL201" s="31">
        <f>_xll.DBRW($C$1,$C$2,$C$3,$C$4,$C$6,$C$5,$C$7,AL$1,AL$2,$A201)</f>
        <v>0</v>
      </c>
      <c r="AM201" s="31">
        <f>_xll.DBRW($C$1,$C$2,$C$3,$C$4,$C$6,$C$5,$C$7,AM$1,AM$2,$A201)</f>
        <v>0</v>
      </c>
      <c r="AN201" s="31">
        <f>_xll.DBRW($C$1,$C$2,$C$3,$C$4,$C$6,$C$5,$C$7,AN$1,AN$2,$A201)</f>
        <v>0</v>
      </c>
      <c r="AO201" s="31">
        <f>_xll.DBRW($C$1,$C$2,$C$3,$C$4,$C$6,$C$5,$C$7,AO$1,AO$2,$A201)</f>
        <v>0</v>
      </c>
      <c r="AP201" s="31">
        <f>_xll.DBRW($C$1,$C$2,$C$3,$C$4,$C$6,$C$5,$C$7,AP$1,AP$2,$A201)</f>
        <v>0</v>
      </c>
      <c r="AQ201" s="31">
        <f>_xll.DBRW($C$1,$C$2,$C$3,$C$4,$C$6,$C$5,$C$7,AQ$1,AQ$2,$A201)</f>
        <v>0</v>
      </c>
      <c r="AR201" s="31">
        <f>_xll.DBRW($C$1,$C$2,$C$3,$C$4,$C$6,$C$5,$C$7,AR$1,AR$2,$A201)</f>
        <v>0</v>
      </c>
      <c r="AS201" s="31">
        <f>_xll.DBRW($C$1,$C$2,$C$3,$C$4,$C$6,$C$5,$C$7,AS$1,AS$2,$A201)</f>
        <v>0</v>
      </c>
      <c r="AT201" s="31">
        <f>_xll.DBRW($C$1,$C$2,$C$3,$C$4,$C$6,$C$5,$C$7,AT$1,AT$2,$A201)</f>
        <v>0</v>
      </c>
      <c r="AU201" s="31">
        <f>_xll.DBRW($C$1,$C$2,$C$3,$C$4,$C$6,$C$5,$C$7,AU$1,AU$2,$A201)</f>
        <v>0</v>
      </c>
    </row>
    <row r="202" spans="1:47" ht="15.75" hidden="1" customHeight="1" outlineLevel="1">
      <c r="A202" s="1" t="s">
        <v>278</v>
      </c>
      <c r="C202" s="143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I202" s="31">
        <f>_xll.DBRW($C$1,$C$2,$C$3,$C$4,$C$6,$C$5,$C$7,I$1,I$2,$A202)</f>
        <v>0</v>
      </c>
      <c r="J202" s="31">
        <f>_xll.DBRW($C$1,$C$2,$C$3,$C$4,$C$6,$C$5,$C$7,J$1,J$2,$A202)</f>
        <v>0</v>
      </c>
      <c r="K202" s="31">
        <f>_xll.DBRW($C$1,$C$2,$C$3,$C$4,$C$6,$C$5,$C$7,K$1,K$2,$A202)</f>
        <v>0</v>
      </c>
      <c r="L202" s="31">
        <f>_xll.DBRW($C$1,$C$2,$C$3,$C$4,$C$6,$C$5,$C$7,L$1,L$2,$A202)</f>
        <v>0</v>
      </c>
      <c r="M202" s="31">
        <f>_xll.DBRW($C$1,$C$2,$C$3,$C$4,$C$6,$C$5,$C$7,M$1,M$2,$A202)</f>
        <v>0</v>
      </c>
      <c r="N202" s="31">
        <f>_xll.DBRW($C$1,$C$2,$C$3,$C$4,$C$6,$C$5,$C$7,N$1,N$2,$A202)</f>
        <v>0</v>
      </c>
      <c r="O202" s="31">
        <f>_xll.DBRW($C$1,$C$2,$C$3,$C$4,$C$6,$C$5,$C$7,O$1,O$2,$A202)</f>
        <v>0</v>
      </c>
      <c r="P202" s="31">
        <f>_xll.DBRW($C$1,$C$2,$C$3,$C$4,$C$6,$C$5,$C$7,P$1,P$2,$A202)</f>
        <v>0</v>
      </c>
      <c r="Q202" s="31">
        <f>_xll.DBRW($C$1,$C$2,$C$3,$C$4,$C$6,$C$5,$C$7,Q$1,Q$2,$A202)</f>
        <v>0</v>
      </c>
      <c r="R202" s="31">
        <f>_xll.DBRW($C$1,$C$2,$C$3,$C$4,$C$6,$C$5,$C$7,R$1,R$2,$A202)</f>
        <v>0</v>
      </c>
      <c r="S202" s="31">
        <f>_xll.DBRW($C$1,$C$2,$C$3,$C$4,$C$6,$C$5,$C$7,S$1,S$2,$A202)</f>
        <v>0</v>
      </c>
      <c r="T202" s="31">
        <f>_xll.DBRW($C$1,$C$2,$C$3,$C$4,$C$6,$C$5,$C$7,T$1,T$2,$A202)</f>
        <v>0</v>
      </c>
      <c r="U202" s="31">
        <f>_xll.DBRW($C$1,$C$2,$C$3,$C$4,$C$6,$C$5,$C$7,U$1,U$2,$A202)</f>
        <v>0</v>
      </c>
      <c r="V202" s="31">
        <f>_xll.DBRW($C$1,$C$2,$C$3,$C$4,$C$6,$C$5,$C$7,V$1,V$2,$A202)</f>
        <v>0</v>
      </c>
      <c r="W202" s="31">
        <f>_xll.DBRW($C$1,$C$2,$C$3,$C$4,$C$6,$C$5,$C$7,W$1,W$2,$A202)</f>
        <v>0</v>
      </c>
      <c r="X202" s="31">
        <f>_xll.DBRW($C$1,$C$2,$C$3,$C$4,$C$6,$C$5,$C$7,X$1,X$2,$A202)</f>
        <v>0</v>
      </c>
      <c r="Y202" s="31">
        <f>_xll.DBRW($C$1,$C$2,$C$3,$C$4,$C$6,$C$5,$C$7,Y$1,Y$2,$A202)</f>
        <v>0</v>
      </c>
      <c r="Z202" s="31">
        <f>_xll.DBRW($C$1,$C$2,$C$3,$C$4,$C$6,$C$5,$C$7,Z$1,Z$2,$A202)</f>
        <v>0</v>
      </c>
      <c r="AA202" s="31">
        <f>_xll.DBRW($C$1,$C$2,$C$3,$C$4,$C$6,$C$5,$C$7,AA$1,AA$2,$A202)</f>
        <v>0</v>
      </c>
      <c r="AB202" s="31">
        <f>_xll.DBRW($C$1,$C$2,$C$3,$C$4,$C$6,$C$5,$C$7,AB$1,AB$2,$A202)</f>
        <v>0</v>
      </c>
      <c r="AC202" s="31">
        <f>_xll.DBRW($C$1,$C$2,$C$3,$C$4,$C$6,$C$5,$C$7,AC$1,AC$2,$A202)</f>
        <v>0</v>
      </c>
      <c r="AD202" s="31">
        <f>_xll.DBRW($C$1,$C$2,$C$3,$C$4,$C$6,$C$5,$C$7,AD$1,AD$2,$A202)</f>
        <v>0</v>
      </c>
      <c r="AE202" s="31">
        <f>_xll.DBRW($C$1,$C$2,$C$3,$C$4,$C$6,$C$5,$C$7,AE$1,AE$2,$A202)</f>
        <v>0</v>
      </c>
      <c r="AF202" s="31">
        <f>_xll.DBRW($C$1,$C$2,$C$3,$C$4,$C$6,$C$5,$C$7,AF$1,AF$2,$A202)</f>
        <v>0</v>
      </c>
      <c r="AG202" s="31">
        <f>_xll.DBRW($C$1,$C$2,$C$3,$C$4,$C$6,$C$5,$C$7,AG$1,AG$2,$A202)</f>
        <v>0</v>
      </c>
      <c r="AH202" s="31">
        <f>_xll.DBRW($C$1,$C$2,$C$3,$C$4,$C$6,$C$5,$C$7,AH$1,AH$2,$A202)</f>
        <v>0</v>
      </c>
      <c r="AI202" s="31">
        <f>_xll.DBRW($C$1,$C$2,$C$3,$C$4,$C$6,$C$5,$C$7,AI$1,AI$2,$A202)</f>
        <v>0</v>
      </c>
      <c r="AJ202" s="31">
        <f>_xll.DBRW($C$1,$C$2,$C$3,$C$4,$C$6,$C$5,$C$7,AJ$1,AJ$2,$A202)</f>
        <v>0</v>
      </c>
      <c r="AK202" s="31">
        <f>_xll.DBRW($C$1,$C$2,$C$3,$C$4,$C$6,$C$5,$C$7,AK$1,AK$2,$A202)</f>
        <v>0</v>
      </c>
      <c r="AL202" s="31">
        <f>_xll.DBRW($C$1,$C$2,$C$3,$C$4,$C$6,$C$5,$C$7,AL$1,AL$2,$A202)</f>
        <v>0</v>
      </c>
      <c r="AM202" s="31">
        <f>_xll.DBRW($C$1,$C$2,$C$3,$C$4,$C$6,$C$5,$C$7,AM$1,AM$2,$A202)</f>
        <v>0</v>
      </c>
      <c r="AN202" s="31">
        <f>_xll.DBRW($C$1,$C$2,$C$3,$C$4,$C$6,$C$5,$C$7,AN$1,AN$2,$A202)</f>
        <v>0</v>
      </c>
      <c r="AO202" s="31">
        <f>_xll.DBRW($C$1,$C$2,$C$3,$C$4,$C$6,$C$5,$C$7,AO$1,AO$2,$A202)</f>
        <v>0</v>
      </c>
      <c r="AP202" s="31">
        <f>_xll.DBRW($C$1,$C$2,$C$3,$C$4,$C$6,$C$5,$C$7,AP$1,AP$2,$A202)</f>
        <v>0</v>
      </c>
      <c r="AQ202" s="31">
        <f>_xll.DBRW($C$1,$C$2,$C$3,$C$4,$C$6,$C$5,$C$7,AQ$1,AQ$2,$A202)</f>
        <v>0</v>
      </c>
      <c r="AR202" s="31">
        <f>_xll.DBRW($C$1,$C$2,$C$3,$C$4,$C$6,$C$5,$C$7,AR$1,AR$2,$A202)</f>
        <v>0</v>
      </c>
      <c r="AS202" s="31">
        <f>_xll.DBRW($C$1,$C$2,$C$3,$C$4,$C$6,$C$5,$C$7,AS$1,AS$2,$A202)</f>
        <v>0</v>
      </c>
      <c r="AT202" s="31">
        <f>_xll.DBRW($C$1,$C$2,$C$3,$C$4,$C$6,$C$5,$C$7,AT$1,AT$2,$A202)</f>
        <v>0</v>
      </c>
      <c r="AU202" s="31">
        <f>_xll.DBRW($C$1,$C$2,$C$3,$C$4,$C$6,$C$5,$C$7,AU$1,AU$2,$A202)</f>
        <v>0</v>
      </c>
    </row>
    <row r="203" spans="1:47" ht="15.75" hidden="1" customHeight="1" outlineLevel="1">
      <c r="A203" s="1" t="s">
        <v>279</v>
      </c>
      <c r="C203" s="143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I203" s="31">
        <f>_xll.DBRW($C$1,$C$2,$C$3,$C$4,$C$6,$C$5,$C$7,I$1,I$2,$A203)</f>
        <v>0</v>
      </c>
      <c r="J203" s="31">
        <f>_xll.DBRW($C$1,$C$2,$C$3,$C$4,$C$6,$C$5,$C$7,J$1,J$2,$A203)</f>
        <v>0</v>
      </c>
      <c r="K203" s="31">
        <f>_xll.DBRW($C$1,$C$2,$C$3,$C$4,$C$6,$C$5,$C$7,K$1,K$2,$A203)</f>
        <v>0</v>
      </c>
      <c r="L203" s="31">
        <f>_xll.DBRW($C$1,$C$2,$C$3,$C$4,$C$6,$C$5,$C$7,L$1,L$2,$A203)</f>
        <v>0</v>
      </c>
      <c r="M203" s="31">
        <f>_xll.DBRW($C$1,$C$2,$C$3,$C$4,$C$6,$C$5,$C$7,M$1,M$2,$A203)</f>
        <v>0</v>
      </c>
      <c r="N203" s="31">
        <f>_xll.DBRW($C$1,$C$2,$C$3,$C$4,$C$6,$C$5,$C$7,N$1,N$2,$A203)</f>
        <v>0</v>
      </c>
      <c r="O203" s="31">
        <f>_xll.DBRW($C$1,$C$2,$C$3,$C$4,$C$6,$C$5,$C$7,O$1,O$2,$A203)</f>
        <v>0</v>
      </c>
      <c r="P203" s="31">
        <f>_xll.DBRW($C$1,$C$2,$C$3,$C$4,$C$6,$C$5,$C$7,P$1,P$2,$A203)</f>
        <v>0</v>
      </c>
      <c r="Q203" s="31">
        <f>_xll.DBRW($C$1,$C$2,$C$3,$C$4,$C$6,$C$5,$C$7,Q$1,Q$2,$A203)</f>
        <v>0</v>
      </c>
      <c r="R203" s="31">
        <f>_xll.DBRW($C$1,$C$2,$C$3,$C$4,$C$6,$C$5,$C$7,R$1,R$2,$A203)</f>
        <v>0</v>
      </c>
      <c r="S203" s="31">
        <f>_xll.DBRW($C$1,$C$2,$C$3,$C$4,$C$6,$C$5,$C$7,S$1,S$2,$A203)</f>
        <v>0</v>
      </c>
      <c r="T203" s="31">
        <f>_xll.DBRW($C$1,$C$2,$C$3,$C$4,$C$6,$C$5,$C$7,T$1,T$2,$A203)</f>
        <v>0</v>
      </c>
      <c r="U203" s="31">
        <f>_xll.DBRW($C$1,$C$2,$C$3,$C$4,$C$6,$C$5,$C$7,U$1,U$2,$A203)</f>
        <v>0</v>
      </c>
      <c r="V203" s="31">
        <f>_xll.DBRW($C$1,$C$2,$C$3,$C$4,$C$6,$C$5,$C$7,V$1,V$2,$A203)</f>
        <v>0</v>
      </c>
      <c r="W203" s="31">
        <f>_xll.DBRW($C$1,$C$2,$C$3,$C$4,$C$6,$C$5,$C$7,W$1,W$2,$A203)</f>
        <v>0</v>
      </c>
      <c r="X203" s="31">
        <f>_xll.DBRW($C$1,$C$2,$C$3,$C$4,$C$6,$C$5,$C$7,X$1,X$2,$A203)</f>
        <v>0</v>
      </c>
      <c r="Y203" s="31">
        <f>_xll.DBRW($C$1,$C$2,$C$3,$C$4,$C$6,$C$5,$C$7,Y$1,Y$2,$A203)</f>
        <v>0</v>
      </c>
      <c r="Z203" s="31">
        <f>_xll.DBRW($C$1,$C$2,$C$3,$C$4,$C$6,$C$5,$C$7,Z$1,Z$2,$A203)</f>
        <v>0</v>
      </c>
      <c r="AA203" s="31">
        <f>_xll.DBRW($C$1,$C$2,$C$3,$C$4,$C$6,$C$5,$C$7,AA$1,AA$2,$A203)</f>
        <v>0</v>
      </c>
      <c r="AB203" s="31">
        <f>_xll.DBRW($C$1,$C$2,$C$3,$C$4,$C$6,$C$5,$C$7,AB$1,AB$2,$A203)</f>
        <v>0</v>
      </c>
      <c r="AC203" s="31">
        <f>_xll.DBRW($C$1,$C$2,$C$3,$C$4,$C$6,$C$5,$C$7,AC$1,AC$2,$A203)</f>
        <v>0</v>
      </c>
      <c r="AD203" s="31">
        <f>_xll.DBRW($C$1,$C$2,$C$3,$C$4,$C$6,$C$5,$C$7,AD$1,AD$2,$A203)</f>
        <v>0</v>
      </c>
      <c r="AE203" s="31">
        <f>_xll.DBRW($C$1,$C$2,$C$3,$C$4,$C$6,$C$5,$C$7,AE$1,AE$2,$A203)</f>
        <v>0</v>
      </c>
      <c r="AF203" s="31">
        <f>_xll.DBRW($C$1,$C$2,$C$3,$C$4,$C$6,$C$5,$C$7,AF$1,AF$2,$A203)</f>
        <v>0</v>
      </c>
      <c r="AG203" s="31">
        <f>_xll.DBRW($C$1,$C$2,$C$3,$C$4,$C$6,$C$5,$C$7,AG$1,AG$2,$A203)</f>
        <v>0</v>
      </c>
      <c r="AH203" s="31">
        <f>_xll.DBRW($C$1,$C$2,$C$3,$C$4,$C$6,$C$5,$C$7,AH$1,AH$2,$A203)</f>
        <v>0</v>
      </c>
      <c r="AI203" s="31">
        <f>_xll.DBRW($C$1,$C$2,$C$3,$C$4,$C$6,$C$5,$C$7,AI$1,AI$2,$A203)</f>
        <v>0</v>
      </c>
      <c r="AJ203" s="31">
        <f>_xll.DBRW($C$1,$C$2,$C$3,$C$4,$C$6,$C$5,$C$7,AJ$1,AJ$2,$A203)</f>
        <v>0</v>
      </c>
      <c r="AK203" s="31">
        <f>_xll.DBRW($C$1,$C$2,$C$3,$C$4,$C$6,$C$5,$C$7,AK$1,AK$2,$A203)</f>
        <v>0</v>
      </c>
      <c r="AL203" s="31">
        <f>_xll.DBRW($C$1,$C$2,$C$3,$C$4,$C$6,$C$5,$C$7,AL$1,AL$2,$A203)</f>
        <v>0</v>
      </c>
      <c r="AM203" s="31">
        <f>_xll.DBRW($C$1,$C$2,$C$3,$C$4,$C$6,$C$5,$C$7,AM$1,AM$2,$A203)</f>
        <v>0</v>
      </c>
      <c r="AN203" s="31">
        <f>_xll.DBRW($C$1,$C$2,$C$3,$C$4,$C$6,$C$5,$C$7,AN$1,AN$2,$A203)</f>
        <v>0</v>
      </c>
      <c r="AO203" s="31">
        <f>_xll.DBRW($C$1,$C$2,$C$3,$C$4,$C$6,$C$5,$C$7,AO$1,AO$2,$A203)</f>
        <v>0</v>
      </c>
      <c r="AP203" s="31">
        <f>_xll.DBRW($C$1,$C$2,$C$3,$C$4,$C$6,$C$5,$C$7,AP$1,AP$2,$A203)</f>
        <v>0</v>
      </c>
      <c r="AQ203" s="31">
        <f>_xll.DBRW($C$1,$C$2,$C$3,$C$4,$C$6,$C$5,$C$7,AQ$1,AQ$2,$A203)</f>
        <v>0</v>
      </c>
      <c r="AR203" s="31">
        <f>_xll.DBRW($C$1,$C$2,$C$3,$C$4,$C$6,$C$5,$C$7,AR$1,AR$2,$A203)</f>
        <v>0</v>
      </c>
      <c r="AS203" s="31">
        <f>_xll.DBRW($C$1,$C$2,$C$3,$C$4,$C$6,$C$5,$C$7,AS$1,AS$2,$A203)</f>
        <v>0</v>
      </c>
      <c r="AT203" s="31">
        <f>_xll.DBRW($C$1,$C$2,$C$3,$C$4,$C$6,$C$5,$C$7,AT$1,AT$2,$A203)</f>
        <v>0</v>
      </c>
      <c r="AU203" s="31">
        <f>_xll.DBRW($C$1,$C$2,$C$3,$C$4,$C$6,$C$5,$C$7,AU$1,AU$2,$A203)</f>
        <v>0</v>
      </c>
    </row>
    <row r="204" spans="1:47" ht="15.75" hidden="1" customHeight="1" outlineLevel="1">
      <c r="A204" s="1" t="s">
        <v>280</v>
      </c>
      <c r="C204" s="143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I204" s="31">
        <f>_xll.DBRW($C$1,$C$2,$C$3,$C$4,$C$6,$C$5,$C$7,I$1,I$2,$A204)</f>
        <v>0</v>
      </c>
      <c r="J204" s="31">
        <f>_xll.DBRW($C$1,$C$2,$C$3,$C$4,$C$6,$C$5,$C$7,J$1,J$2,$A204)</f>
        <v>0</v>
      </c>
      <c r="K204" s="31">
        <f>_xll.DBRW($C$1,$C$2,$C$3,$C$4,$C$6,$C$5,$C$7,K$1,K$2,$A204)</f>
        <v>0</v>
      </c>
      <c r="L204" s="31">
        <f>_xll.DBRW($C$1,$C$2,$C$3,$C$4,$C$6,$C$5,$C$7,L$1,L$2,$A204)</f>
        <v>0</v>
      </c>
      <c r="M204" s="31">
        <f>_xll.DBRW($C$1,$C$2,$C$3,$C$4,$C$6,$C$5,$C$7,M$1,M$2,$A204)</f>
        <v>0</v>
      </c>
      <c r="N204" s="31">
        <f>_xll.DBRW($C$1,$C$2,$C$3,$C$4,$C$6,$C$5,$C$7,N$1,N$2,$A204)</f>
        <v>0</v>
      </c>
      <c r="O204" s="31">
        <f>_xll.DBRW($C$1,$C$2,$C$3,$C$4,$C$6,$C$5,$C$7,O$1,O$2,$A204)</f>
        <v>0</v>
      </c>
      <c r="P204" s="31">
        <f>_xll.DBRW($C$1,$C$2,$C$3,$C$4,$C$6,$C$5,$C$7,P$1,P$2,$A204)</f>
        <v>0</v>
      </c>
      <c r="Q204" s="31">
        <f>_xll.DBRW($C$1,$C$2,$C$3,$C$4,$C$6,$C$5,$C$7,Q$1,Q$2,$A204)</f>
        <v>0</v>
      </c>
      <c r="R204" s="31">
        <f>_xll.DBRW($C$1,$C$2,$C$3,$C$4,$C$6,$C$5,$C$7,R$1,R$2,$A204)</f>
        <v>0</v>
      </c>
      <c r="S204" s="31">
        <f>_xll.DBRW($C$1,$C$2,$C$3,$C$4,$C$6,$C$5,$C$7,S$1,S$2,$A204)</f>
        <v>0</v>
      </c>
      <c r="T204" s="31">
        <f>_xll.DBRW($C$1,$C$2,$C$3,$C$4,$C$6,$C$5,$C$7,T$1,T$2,$A204)</f>
        <v>0</v>
      </c>
      <c r="U204" s="31">
        <f>_xll.DBRW($C$1,$C$2,$C$3,$C$4,$C$6,$C$5,$C$7,U$1,U$2,$A204)</f>
        <v>0</v>
      </c>
      <c r="V204" s="31">
        <f>_xll.DBRW($C$1,$C$2,$C$3,$C$4,$C$6,$C$5,$C$7,V$1,V$2,$A204)</f>
        <v>0</v>
      </c>
      <c r="W204" s="31">
        <f>_xll.DBRW($C$1,$C$2,$C$3,$C$4,$C$6,$C$5,$C$7,W$1,W$2,$A204)</f>
        <v>0</v>
      </c>
      <c r="X204" s="31">
        <f>_xll.DBRW($C$1,$C$2,$C$3,$C$4,$C$6,$C$5,$C$7,X$1,X$2,$A204)</f>
        <v>0</v>
      </c>
      <c r="Y204" s="31">
        <f>_xll.DBRW($C$1,$C$2,$C$3,$C$4,$C$6,$C$5,$C$7,Y$1,Y$2,$A204)</f>
        <v>0</v>
      </c>
      <c r="Z204" s="31">
        <f>_xll.DBRW($C$1,$C$2,$C$3,$C$4,$C$6,$C$5,$C$7,Z$1,Z$2,$A204)</f>
        <v>0</v>
      </c>
      <c r="AA204" s="31">
        <f>_xll.DBRW($C$1,$C$2,$C$3,$C$4,$C$6,$C$5,$C$7,AA$1,AA$2,$A204)</f>
        <v>0</v>
      </c>
      <c r="AB204" s="31">
        <f>_xll.DBRW($C$1,$C$2,$C$3,$C$4,$C$6,$C$5,$C$7,AB$1,AB$2,$A204)</f>
        <v>0</v>
      </c>
      <c r="AC204" s="31">
        <f>_xll.DBRW($C$1,$C$2,$C$3,$C$4,$C$6,$C$5,$C$7,AC$1,AC$2,$A204)</f>
        <v>0</v>
      </c>
      <c r="AD204" s="31">
        <f>_xll.DBRW($C$1,$C$2,$C$3,$C$4,$C$6,$C$5,$C$7,AD$1,AD$2,$A204)</f>
        <v>0</v>
      </c>
      <c r="AE204" s="31">
        <f>_xll.DBRW($C$1,$C$2,$C$3,$C$4,$C$6,$C$5,$C$7,AE$1,AE$2,$A204)</f>
        <v>0</v>
      </c>
      <c r="AF204" s="31">
        <f>_xll.DBRW($C$1,$C$2,$C$3,$C$4,$C$6,$C$5,$C$7,AF$1,AF$2,$A204)</f>
        <v>0</v>
      </c>
      <c r="AG204" s="31">
        <f>_xll.DBRW($C$1,$C$2,$C$3,$C$4,$C$6,$C$5,$C$7,AG$1,AG$2,$A204)</f>
        <v>0</v>
      </c>
      <c r="AH204" s="31">
        <f>_xll.DBRW($C$1,$C$2,$C$3,$C$4,$C$6,$C$5,$C$7,AH$1,AH$2,$A204)</f>
        <v>0</v>
      </c>
      <c r="AI204" s="31">
        <f>_xll.DBRW($C$1,$C$2,$C$3,$C$4,$C$6,$C$5,$C$7,AI$1,AI$2,$A204)</f>
        <v>0</v>
      </c>
      <c r="AJ204" s="31">
        <f>_xll.DBRW($C$1,$C$2,$C$3,$C$4,$C$6,$C$5,$C$7,AJ$1,AJ$2,$A204)</f>
        <v>0</v>
      </c>
      <c r="AK204" s="31">
        <f>_xll.DBRW($C$1,$C$2,$C$3,$C$4,$C$6,$C$5,$C$7,AK$1,AK$2,$A204)</f>
        <v>0</v>
      </c>
      <c r="AL204" s="31">
        <f>_xll.DBRW($C$1,$C$2,$C$3,$C$4,$C$6,$C$5,$C$7,AL$1,AL$2,$A204)</f>
        <v>0</v>
      </c>
      <c r="AM204" s="31">
        <f>_xll.DBRW($C$1,$C$2,$C$3,$C$4,$C$6,$C$5,$C$7,AM$1,AM$2,$A204)</f>
        <v>0</v>
      </c>
      <c r="AN204" s="31">
        <f>_xll.DBRW($C$1,$C$2,$C$3,$C$4,$C$6,$C$5,$C$7,AN$1,AN$2,$A204)</f>
        <v>0</v>
      </c>
      <c r="AO204" s="31">
        <f>_xll.DBRW($C$1,$C$2,$C$3,$C$4,$C$6,$C$5,$C$7,AO$1,AO$2,$A204)</f>
        <v>0</v>
      </c>
      <c r="AP204" s="31">
        <f>_xll.DBRW($C$1,$C$2,$C$3,$C$4,$C$6,$C$5,$C$7,AP$1,AP$2,$A204)</f>
        <v>0</v>
      </c>
      <c r="AQ204" s="31">
        <f>_xll.DBRW($C$1,$C$2,$C$3,$C$4,$C$6,$C$5,$C$7,AQ$1,AQ$2,$A204)</f>
        <v>0</v>
      </c>
      <c r="AR204" s="31">
        <f>_xll.DBRW($C$1,$C$2,$C$3,$C$4,$C$6,$C$5,$C$7,AR$1,AR$2,$A204)</f>
        <v>0</v>
      </c>
      <c r="AS204" s="31">
        <f>_xll.DBRW($C$1,$C$2,$C$3,$C$4,$C$6,$C$5,$C$7,AS$1,AS$2,$A204)</f>
        <v>0</v>
      </c>
      <c r="AT204" s="31">
        <f>_xll.DBRW($C$1,$C$2,$C$3,$C$4,$C$6,$C$5,$C$7,AT$1,AT$2,$A204)</f>
        <v>0</v>
      </c>
      <c r="AU204" s="31">
        <f>_xll.DBRW($C$1,$C$2,$C$3,$C$4,$C$6,$C$5,$C$7,AU$1,AU$2,$A204)</f>
        <v>0</v>
      </c>
    </row>
    <row r="205" spans="1:47" ht="15.75" hidden="1" customHeight="1" outlineLevel="1">
      <c r="A205" s="1" t="s">
        <v>281</v>
      </c>
      <c r="C205" s="143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I205" s="31">
        <f>_xll.DBRW($C$1,$C$2,$C$3,$C$4,$C$6,$C$5,$C$7,I$1,I$2,$A205)</f>
        <v>0</v>
      </c>
      <c r="J205" s="31">
        <f>_xll.DBRW($C$1,$C$2,$C$3,$C$4,$C$6,$C$5,$C$7,J$1,J$2,$A205)</f>
        <v>0</v>
      </c>
      <c r="K205" s="31">
        <f>_xll.DBRW($C$1,$C$2,$C$3,$C$4,$C$6,$C$5,$C$7,K$1,K$2,$A205)</f>
        <v>0</v>
      </c>
      <c r="L205" s="31">
        <f>_xll.DBRW($C$1,$C$2,$C$3,$C$4,$C$6,$C$5,$C$7,L$1,L$2,$A205)</f>
        <v>0</v>
      </c>
      <c r="M205" s="31">
        <f>_xll.DBRW($C$1,$C$2,$C$3,$C$4,$C$6,$C$5,$C$7,M$1,M$2,$A205)</f>
        <v>0</v>
      </c>
      <c r="N205" s="31">
        <f>_xll.DBRW($C$1,$C$2,$C$3,$C$4,$C$6,$C$5,$C$7,N$1,N$2,$A205)</f>
        <v>0</v>
      </c>
      <c r="O205" s="31">
        <f>_xll.DBRW($C$1,$C$2,$C$3,$C$4,$C$6,$C$5,$C$7,O$1,O$2,$A205)</f>
        <v>0</v>
      </c>
      <c r="P205" s="31">
        <f>_xll.DBRW($C$1,$C$2,$C$3,$C$4,$C$6,$C$5,$C$7,P$1,P$2,$A205)</f>
        <v>0</v>
      </c>
      <c r="Q205" s="31">
        <f>_xll.DBRW($C$1,$C$2,$C$3,$C$4,$C$6,$C$5,$C$7,Q$1,Q$2,$A205)</f>
        <v>0</v>
      </c>
      <c r="R205" s="31">
        <f>_xll.DBRW($C$1,$C$2,$C$3,$C$4,$C$6,$C$5,$C$7,R$1,R$2,$A205)</f>
        <v>0</v>
      </c>
      <c r="S205" s="31">
        <f>_xll.DBRW($C$1,$C$2,$C$3,$C$4,$C$6,$C$5,$C$7,S$1,S$2,$A205)</f>
        <v>0</v>
      </c>
      <c r="T205" s="31">
        <f>_xll.DBRW($C$1,$C$2,$C$3,$C$4,$C$6,$C$5,$C$7,T$1,T$2,$A205)</f>
        <v>0</v>
      </c>
      <c r="U205" s="31">
        <f>_xll.DBRW($C$1,$C$2,$C$3,$C$4,$C$6,$C$5,$C$7,U$1,U$2,$A205)</f>
        <v>0</v>
      </c>
      <c r="V205" s="31">
        <f>_xll.DBRW($C$1,$C$2,$C$3,$C$4,$C$6,$C$5,$C$7,V$1,V$2,$A205)</f>
        <v>0</v>
      </c>
      <c r="W205" s="31">
        <f>_xll.DBRW($C$1,$C$2,$C$3,$C$4,$C$6,$C$5,$C$7,W$1,W$2,$A205)</f>
        <v>0</v>
      </c>
      <c r="X205" s="31">
        <f>_xll.DBRW($C$1,$C$2,$C$3,$C$4,$C$6,$C$5,$C$7,X$1,X$2,$A205)</f>
        <v>0</v>
      </c>
      <c r="Y205" s="31">
        <f>_xll.DBRW($C$1,$C$2,$C$3,$C$4,$C$6,$C$5,$C$7,Y$1,Y$2,$A205)</f>
        <v>0</v>
      </c>
      <c r="Z205" s="31">
        <f>_xll.DBRW($C$1,$C$2,$C$3,$C$4,$C$6,$C$5,$C$7,Z$1,Z$2,$A205)</f>
        <v>0</v>
      </c>
      <c r="AA205" s="31">
        <f>_xll.DBRW($C$1,$C$2,$C$3,$C$4,$C$6,$C$5,$C$7,AA$1,AA$2,$A205)</f>
        <v>0</v>
      </c>
      <c r="AB205" s="31">
        <f>_xll.DBRW($C$1,$C$2,$C$3,$C$4,$C$6,$C$5,$C$7,AB$1,AB$2,$A205)</f>
        <v>0</v>
      </c>
      <c r="AC205" s="31">
        <f>_xll.DBRW($C$1,$C$2,$C$3,$C$4,$C$6,$C$5,$C$7,AC$1,AC$2,$A205)</f>
        <v>0</v>
      </c>
      <c r="AD205" s="31">
        <f>_xll.DBRW($C$1,$C$2,$C$3,$C$4,$C$6,$C$5,$C$7,AD$1,AD$2,$A205)</f>
        <v>0</v>
      </c>
      <c r="AE205" s="31">
        <f>_xll.DBRW($C$1,$C$2,$C$3,$C$4,$C$6,$C$5,$C$7,AE$1,AE$2,$A205)</f>
        <v>0</v>
      </c>
      <c r="AF205" s="31">
        <f>_xll.DBRW($C$1,$C$2,$C$3,$C$4,$C$6,$C$5,$C$7,AF$1,AF$2,$A205)</f>
        <v>0</v>
      </c>
      <c r="AG205" s="31">
        <f>_xll.DBRW($C$1,$C$2,$C$3,$C$4,$C$6,$C$5,$C$7,AG$1,AG$2,$A205)</f>
        <v>0</v>
      </c>
      <c r="AH205" s="31">
        <f>_xll.DBRW($C$1,$C$2,$C$3,$C$4,$C$6,$C$5,$C$7,AH$1,AH$2,$A205)</f>
        <v>0</v>
      </c>
      <c r="AI205" s="31">
        <f>_xll.DBRW($C$1,$C$2,$C$3,$C$4,$C$6,$C$5,$C$7,AI$1,AI$2,$A205)</f>
        <v>0</v>
      </c>
      <c r="AJ205" s="31">
        <f>_xll.DBRW($C$1,$C$2,$C$3,$C$4,$C$6,$C$5,$C$7,AJ$1,AJ$2,$A205)</f>
        <v>0</v>
      </c>
      <c r="AK205" s="31">
        <f>_xll.DBRW($C$1,$C$2,$C$3,$C$4,$C$6,$C$5,$C$7,AK$1,AK$2,$A205)</f>
        <v>0</v>
      </c>
      <c r="AL205" s="31">
        <f>_xll.DBRW($C$1,$C$2,$C$3,$C$4,$C$6,$C$5,$C$7,AL$1,AL$2,$A205)</f>
        <v>0</v>
      </c>
      <c r="AM205" s="31">
        <f>_xll.DBRW($C$1,$C$2,$C$3,$C$4,$C$6,$C$5,$C$7,AM$1,AM$2,$A205)</f>
        <v>0</v>
      </c>
      <c r="AN205" s="31">
        <f>_xll.DBRW($C$1,$C$2,$C$3,$C$4,$C$6,$C$5,$C$7,AN$1,AN$2,$A205)</f>
        <v>0</v>
      </c>
      <c r="AO205" s="31">
        <f>_xll.DBRW($C$1,$C$2,$C$3,$C$4,$C$6,$C$5,$C$7,AO$1,AO$2,$A205)</f>
        <v>0</v>
      </c>
      <c r="AP205" s="31">
        <f>_xll.DBRW($C$1,$C$2,$C$3,$C$4,$C$6,$C$5,$C$7,AP$1,AP$2,$A205)</f>
        <v>0</v>
      </c>
      <c r="AQ205" s="31">
        <f>_xll.DBRW($C$1,$C$2,$C$3,$C$4,$C$6,$C$5,$C$7,AQ$1,AQ$2,$A205)</f>
        <v>0</v>
      </c>
      <c r="AR205" s="31">
        <f>_xll.DBRW($C$1,$C$2,$C$3,$C$4,$C$6,$C$5,$C$7,AR$1,AR$2,$A205)</f>
        <v>0</v>
      </c>
      <c r="AS205" s="31">
        <f>_xll.DBRW($C$1,$C$2,$C$3,$C$4,$C$6,$C$5,$C$7,AS$1,AS$2,$A205)</f>
        <v>0</v>
      </c>
      <c r="AT205" s="31">
        <f>_xll.DBRW($C$1,$C$2,$C$3,$C$4,$C$6,$C$5,$C$7,AT$1,AT$2,$A205)</f>
        <v>0</v>
      </c>
      <c r="AU205" s="31">
        <f>_xll.DBRW($C$1,$C$2,$C$3,$C$4,$C$6,$C$5,$C$7,AU$1,AU$2,$A205)</f>
        <v>0</v>
      </c>
    </row>
    <row r="206" spans="1:47" ht="15.75" hidden="1" customHeight="1" outlineLevel="1">
      <c r="A206" s="1" t="s">
        <v>282</v>
      </c>
      <c r="C206" s="143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I206" s="31">
        <f>_xll.DBRW($C$1,$C$2,$C$3,$C$4,$C$6,$C$5,$C$7,I$1,I$2,$A206)</f>
        <v>0</v>
      </c>
      <c r="J206" s="31">
        <f>_xll.DBRW($C$1,$C$2,$C$3,$C$4,$C$6,$C$5,$C$7,J$1,J$2,$A206)</f>
        <v>0</v>
      </c>
      <c r="K206" s="31">
        <f>_xll.DBRW($C$1,$C$2,$C$3,$C$4,$C$6,$C$5,$C$7,K$1,K$2,$A206)</f>
        <v>0</v>
      </c>
      <c r="L206" s="31">
        <f>_xll.DBRW($C$1,$C$2,$C$3,$C$4,$C$6,$C$5,$C$7,L$1,L$2,$A206)</f>
        <v>0</v>
      </c>
      <c r="M206" s="31">
        <f>_xll.DBRW($C$1,$C$2,$C$3,$C$4,$C$6,$C$5,$C$7,M$1,M$2,$A206)</f>
        <v>0</v>
      </c>
      <c r="N206" s="31">
        <f>_xll.DBRW($C$1,$C$2,$C$3,$C$4,$C$6,$C$5,$C$7,N$1,N$2,$A206)</f>
        <v>0</v>
      </c>
      <c r="O206" s="31">
        <f>_xll.DBRW($C$1,$C$2,$C$3,$C$4,$C$6,$C$5,$C$7,O$1,O$2,$A206)</f>
        <v>0</v>
      </c>
      <c r="P206" s="31">
        <f>_xll.DBRW($C$1,$C$2,$C$3,$C$4,$C$6,$C$5,$C$7,P$1,P$2,$A206)</f>
        <v>0</v>
      </c>
      <c r="Q206" s="31">
        <f>_xll.DBRW($C$1,$C$2,$C$3,$C$4,$C$6,$C$5,$C$7,Q$1,Q$2,$A206)</f>
        <v>0</v>
      </c>
      <c r="R206" s="31">
        <f>_xll.DBRW($C$1,$C$2,$C$3,$C$4,$C$6,$C$5,$C$7,R$1,R$2,$A206)</f>
        <v>0</v>
      </c>
      <c r="S206" s="31">
        <f>_xll.DBRW($C$1,$C$2,$C$3,$C$4,$C$6,$C$5,$C$7,S$1,S$2,$A206)</f>
        <v>0</v>
      </c>
      <c r="T206" s="31">
        <f>_xll.DBRW($C$1,$C$2,$C$3,$C$4,$C$6,$C$5,$C$7,T$1,T$2,$A206)</f>
        <v>0</v>
      </c>
      <c r="U206" s="31">
        <f>_xll.DBRW($C$1,$C$2,$C$3,$C$4,$C$6,$C$5,$C$7,U$1,U$2,$A206)</f>
        <v>0</v>
      </c>
      <c r="V206" s="31">
        <f>_xll.DBRW($C$1,$C$2,$C$3,$C$4,$C$6,$C$5,$C$7,V$1,V$2,$A206)</f>
        <v>0</v>
      </c>
      <c r="W206" s="31">
        <f>_xll.DBRW($C$1,$C$2,$C$3,$C$4,$C$6,$C$5,$C$7,W$1,W$2,$A206)</f>
        <v>0</v>
      </c>
      <c r="X206" s="31">
        <f>_xll.DBRW($C$1,$C$2,$C$3,$C$4,$C$6,$C$5,$C$7,X$1,X$2,$A206)</f>
        <v>0</v>
      </c>
      <c r="Y206" s="31">
        <f>_xll.DBRW($C$1,$C$2,$C$3,$C$4,$C$6,$C$5,$C$7,Y$1,Y$2,$A206)</f>
        <v>0</v>
      </c>
      <c r="Z206" s="31">
        <f>_xll.DBRW($C$1,$C$2,$C$3,$C$4,$C$6,$C$5,$C$7,Z$1,Z$2,$A206)</f>
        <v>0</v>
      </c>
      <c r="AA206" s="31">
        <f>_xll.DBRW($C$1,$C$2,$C$3,$C$4,$C$6,$C$5,$C$7,AA$1,AA$2,$A206)</f>
        <v>0</v>
      </c>
      <c r="AB206" s="31">
        <f>_xll.DBRW($C$1,$C$2,$C$3,$C$4,$C$6,$C$5,$C$7,AB$1,AB$2,$A206)</f>
        <v>0</v>
      </c>
      <c r="AC206" s="31">
        <f>_xll.DBRW($C$1,$C$2,$C$3,$C$4,$C$6,$C$5,$C$7,AC$1,AC$2,$A206)</f>
        <v>0</v>
      </c>
      <c r="AD206" s="31">
        <f>_xll.DBRW($C$1,$C$2,$C$3,$C$4,$C$6,$C$5,$C$7,AD$1,AD$2,$A206)</f>
        <v>0</v>
      </c>
      <c r="AE206" s="31">
        <f>_xll.DBRW($C$1,$C$2,$C$3,$C$4,$C$6,$C$5,$C$7,AE$1,AE$2,$A206)</f>
        <v>0</v>
      </c>
      <c r="AF206" s="31">
        <f>_xll.DBRW($C$1,$C$2,$C$3,$C$4,$C$6,$C$5,$C$7,AF$1,AF$2,$A206)</f>
        <v>0</v>
      </c>
      <c r="AG206" s="31">
        <f>_xll.DBRW($C$1,$C$2,$C$3,$C$4,$C$6,$C$5,$C$7,AG$1,AG$2,$A206)</f>
        <v>0</v>
      </c>
      <c r="AH206" s="31">
        <f>_xll.DBRW($C$1,$C$2,$C$3,$C$4,$C$6,$C$5,$C$7,AH$1,AH$2,$A206)</f>
        <v>0</v>
      </c>
      <c r="AI206" s="31">
        <f>_xll.DBRW($C$1,$C$2,$C$3,$C$4,$C$6,$C$5,$C$7,AI$1,AI$2,$A206)</f>
        <v>0</v>
      </c>
      <c r="AJ206" s="31">
        <f>_xll.DBRW($C$1,$C$2,$C$3,$C$4,$C$6,$C$5,$C$7,AJ$1,AJ$2,$A206)</f>
        <v>0</v>
      </c>
      <c r="AK206" s="31">
        <f>_xll.DBRW($C$1,$C$2,$C$3,$C$4,$C$6,$C$5,$C$7,AK$1,AK$2,$A206)</f>
        <v>0</v>
      </c>
      <c r="AL206" s="31">
        <f>_xll.DBRW($C$1,$C$2,$C$3,$C$4,$C$6,$C$5,$C$7,AL$1,AL$2,$A206)</f>
        <v>0</v>
      </c>
      <c r="AM206" s="31">
        <f>_xll.DBRW($C$1,$C$2,$C$3,$C$4,$C$6,$C$5,$C$7,AM$1,AM$2,$A206)</f>
        <v>0</v>
      </c>
      <c r="AN206" s="31">
        <f>_xll.DBRW($C$1,$C$2,$C$3,$C$4,$C$6,$C$5,$C$7,AN$1,AN$2,$A206)</f>
        <v>0</v>
      </c>
      <c r="AO206" s="31">
        <f>_xll.DBRW($C$1,$C$2,$C$3,$C$4,$C$6,$C$5,$C$7,AO$1,AO$2,$A206)</f>
        <v>0</v>
      </c>
      <c r="AP206" s="31">
        <f>_xll.DBRW($C$1,$C$2,$C$3,$C$4,$C$6,$C$5,$C$7,AP$1,AP$2,$A206)</f>
        <v>0</v>
      </c>
      <c r="AQ206" s="31">
        <f>_xll.DBRW($C$1,$C$2,$C$3,$C$4,$C$6,$C$5,$C$7,AQ$1,AQ$2,$A206)</f>
        <v>0</v>
      </c>
      <c r="AR206" s="31">
        <f>_xll.DBRW($C$1,$C$2,$C$3,$C$4,$C$6,$C$5,$C$7,AR$1,AR$2,$A206)</f>
        <v>0</v>
      </c>
      <c r="AS206" s="31">
        <f>_xll.DBRW($C$1,$C$2,$C$3,$C$4,$C$6,$C$5,$C$7,AS$1,AS$2,$A206)</f>
        <v>0</v>
      </c>
      <c r="AT206" s="31">
        <f>_xll.DBRW($C$1,$C$2,$C$3,$C$4,$C$6,$C$5,$C$7,AT$1,AT$2,$A206)</f>
        <v>0</v>
      </c>
      <c r="AU206" s="31">
        <f>_xll.DBRW($C$1,$C$2,$C$3,$C$4,$C$6,$C$5,$C$7,AU$1,AU$2,$A206)</f>
        <v>0</v>
      </c>
    </row>
    <row r="207" spans="1:47" ht="15.75" hidden="1" customHeight="1" outlineLevel="1">
      <c r="A207" s="1" t="s">
        <v>283</v>
      </c>
      <c r="C207" s="143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I207" s="31">
        <f>_xll.DBRW($C$1,$C$2,$C$3,$C$4,$C$6,$C$5,$C$7,I$1,I$2,$A207)</f>
        <v>0</v>
      </c>
      <c r="J207" s="31">
        <f>_xll.DBRW($C$1,$C$2,$C$3,$C$4,$C$6,$C$5,$C$7,J$1,J$2,$A207)</f>
        <v>0</v>
      </c>
      <c r="K207" s="31">
        <f>_xll.DBRW($C$1,$C$2,$C$3,$C$4,$C$6,$C$5,$C$7,K$1,K$2,$A207)</f>
        <v>0</v>
      </c>
      <c r="L207" s="31">
        <f>_xll.DBRW($C$1,$C$2,$C$3,$C$4,$C$6,$C$5,$C$7,L$1,L$2,$A207)</f>
        <v>0</v>
      </c>
      <c r="M207" s="31">
        <f>_xll.DBRW($C$1,$C$2,$C$3,$C$4,$C$6,$C$5,$C$7,M$1,M$2,$A207)</f>
        <v>0</v>
      </c>
      <c r="N207" s="31">
        <f>_xll.DBRW($C$1,$C$2,$C$3,$C$4,$C$6,$C$5,$C$7,N$1,N$2,$A207)</f>
        <v>0</v>
      </c>
      <c r="O207" s="31">
        <f>_xll.DBRW($C$1,$C$2,$C$3,$C$4,$C$6,$C$5,$C$7,O$1,O$2,$A207)</f>
        <v>0</v>
      </c>
      <c r="P207" s="31">
        <f>_xll.DBRW($C$1,$C$2,$C$3,$C$4,$C$6,$C$5,$C$7,P$1,P$2,$A207)</f>
        <v>0</v>
      </c>
      <c r="Q207" s="31">
        <f>_xll.DBRW($C$1,$C$2,$C$3,$C$4,$C$6,$C$5,$C$7,Q$1,Q$2,$A207)</f>
        <v>0</v>
      </c>
      <c r="R207" s="31">
        <f>_xll.DBRW($C$1,$C$2,$C$3,$C$4,$C$6,$C$5,$C$7,R$1,R$2,$A207)</f>
        <v>0</v>
      </c>
      <c r="S207" s="31">
        <f>_xll.DBRW($C$1,$C$2,$C$3,$C$4,$C$6,$C$5,$C$7,S$1,S$2,$A207)</f>
        <v>0</v>
      </c>
      <c r="T207" s="31">
        <f>_xll.DBRW($C$1,$C$2,$C$3,$C$4,$C$6,$C$5,$C$7,T$1,T$2,$A207)</f>
        <v>0</v>
      </c>
      <c r="U207" s="31">
        <f>_xll.DBRW($C$1,$C$2,$C$3,$C$4,$C$6,$C$5,$C$7,U$1,U$2,$A207)</f>
        <v>0</v>
      </c>
      <c r="V207" s="31">
        <f>_xll.DBRW($C$1,$C$2,$C$3,$C$4,$C$6,$C$5,$C$7,V$1,V$2,$A207)</f>
        <v>0</v>
      </c>
      <c r="W207" s="31">
        <f>_xll.DBRW($C$1,$C$2,$C$3,$C$4,$C$6,$C$5,$C$7,W$1,W$2,$A207)</f>
        <v>0</v>
      </c>
      <c r="X207" s="31">
        <f>_xll.DBRW($C$1,$C$2,$C$3,$C$4,$C$6,$C$5,$C$7,X$1,X$2,$A207)</f>
        <v>0</v>
      </c>
      <c r="Y207" s="31">
        <f>_xll.DBRW($C$1,$C$2,$C$3,$C$4,$C$6,$C$5,$C$7,Y$1,Y$2,$A207)</f>
        <v>0</v>
      </c>
      <c r="Z207" s="31">
        <f>_xll.DBRW($C$1,$C$2,$C$3,$C$4,$C$6,$C$5,$C$7,Z$1,Z$2,$A207)</f>
        <v>0</v>
      </c>
      <c r="AA207" s="31">
        <f>_xll.DBRW($C$1,$C$2,$C$3,$C$4,$C$6,$C$5,$C$7,AA$1,AA$2,$A207)</f>
        <v>0</v>
      </c>
      <c r="AB207" s="31">
        <f>_xll.DBRW($C$1,$C$2,$C$3,$C$4,$C$6,$C$5,$C$7,AB$1,AB$2,$A207)</f>
        <v>0</v>
      </c>
      <c r="AC207" s="31">
        <f>_xll.DBRW($C$1,$C$2,$C$3,$C$4,$C$6,$C$5,$C$7,AC$1,AC$2,$A207)</f>
        <v>0</v>
      </c>
      <c r="AD207" s="31">
        <f>_xll.DBRW($C$1,$C$2,$C$3,$C$4,$C$6,$C$5,$C$7,AD$1,AD$2,$A207)</f>
        <v>0</v>
      </c>
      <c r="AE207" s="31">
        <f>_xll.DBRW($C$1,$C$2,$C$3,$C$4,$C$6,$C$5,$C$7,AE$1,AE$2,$A207)</f>
        <v>0</v>
      </c>
      <c r="AF207" s="31">
        <f>_xll.DBRW($C$1,$C$2,$C$3,$C$4,$C$6,$C$5,$C$7,AF$1,AF$2,$A207)</f>
        <v>0</v>
      </c>
      <c r="AG207" s="31">
        <f>_xll.DBRW($C$1,$C$2,$C$3,$C$4,$C$6,$C$5,$C$7,AG$1,AG$2,$A207)</f>
        <v>0</v>
      </c>
      <c r="AH207" s="31">
        <f>_xll.DBRW($C$1,$C$2,$C$3,$C$4,$C$6,$C$5,$C$7,AH$1,AH$2,$A207)</f>
        <v>0</v>
      </c>
      <c r="AI207" s="31">
        <f>_xll.DBRW($C$1,$C$2,$C$3,$C$4,$C$6,$C$5,$C$7,AI$1,AI$2,$A207)</f>
        <v>0</v>
      </c>
      <c r="AJ207" s="31">
        <f>_xll.DBRW($C$1,$C$2,$C$3,$C$4,$C$6,$C$5,$C$7,AJ$1,AJ$2,$A207)</f>
        <v>0</v>
      </c>
      <c r="AK207" s="31">
        <f>_xll.DBRW($C$1,$C$2,$C$3,$C$4,$C$6,$C$5,$C$7,AK$1,AK$2,$A207)</f>
        <v>0</v>
      </c>
      <c r="AL207" s="31">
        <f>_xll.DBRW($C$1,$C$2,$C$3,$C$4,$C$6,$C$5,$C$7,AL$1,AL$2,$A207)</f>
        <v>0</v>
      </c>
      <c r="AM207" s="31">
        <f>_xll.DBRW($C$1,$C$2,$C$3,$C$4,$C$6,$C$5,$C$7,AM$1,AM$2,$A207)</f>
        <v>0</v>
      </c>
      <c r="AN207" s="31">
        <f>_xll.DBRW($C$1,$C$2,$C$3,$C$4,$C$6,$C$5,$C$7,AN$1,AN$2,$A207)</f>
        <v>0</v>
      </c>
      <c r="AO207" s="31">
        <f>_xll.DBRW($C$1,$C$2,$C$3,$C$4,$C$6,$C$5,$C$7,AO$1,AO$2,$A207)</f>
        <v>0</v>
      </c>
      <c r="AP207" s="31">
        <f>_xll.DBRW($C$1,$C$2,$C$3,$C$4,$C$6,$C$5,$C$7,AP$1,AP$2,$A207)</f>
        <v>0</v>
      </c>
      <c r="AQ207" s="31">
        <f>_xll.DBRW($C$1,$C$2,$C$3,$C$4,$C$6,$C$5,$C$7,AQ$1,AQ$2,$A207)</f>
        <v>0</v>
      </c>
      <c r="AR207" s="31">
        <f>_xll.DBRW($C$1,$C$2,$C$3,$C$4,$C$6,$C$5,$C$7,AR$1,AR$2,$A207)</f>
        <v>0</v>
      </c>
      <c r="AS207" s="31">
        <f>_xll.DBRW($C$1,$C$2,$C$3,$C$4,$C$6,$C$5,$C$7,AS$1,AS$2,$A207)</f>
        <v>0</v>
      </c>
      <c r="AT207" s="31">
        <f>_xll.DBRW($C$1,$C$2,$C$3,$C$4,$C$6,$C$5,$C$7,AT$1,AT$2,$A207)</f>
        <v>0</v>
      </c>
      <c r="AU207" s="31">
        <f>_xll.DBRW($C$1,$C$2,$C$3,$C$4,$C$6,$C$5,$C$7,AU$1,AU$2,$A207)</f>
        <v>0</v>
      </c>
    </row>
    <row r="208" spans="1:47" ht="15.75" hidden="1" customHeight="1" outlineLevel="1">
      <c r="A208" s="1" t="s">
        <v>284</v>
      </c>
      <c r="C208" s="143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I208" s="31">
        <f>_xll.DBRW($C$1,$C$2,$C$3,$C$4,$C$6,$C$5,$C$7,I$1,I$2,$A208)</f>
        <v>0</v>
      </c>
      <c r="J208" s="31">
        <f>_xll.DBRW($C$1,$C$2,$C$3,$C$4,$C$6,$C$5,$C$7,J$1,J$2,$A208)</f>
        <v>0</v>
      </c>
      <c r="K208" s="31">
        <f>_xll.DBRW($C$1,$C$2,$C$3,$C$4,$C$6,$C$5,$C$7,K$1,K$2,$A208)</f>
        <v>0</v>
      </c>
      <c r="L208" s="31">
        <f>_xll.DBRW($C$1,$C$2,$C$3,$C$4,$C$6,$C$5,$C$7,L$1,L$2,$A208)</f>
        <v>0</v>
      </c>
      <c r="M208" s="31">
        <f>_xll.DBRW($C$1,$C$2,$C$3,$C$4,$C$6,$C$5,$C$7,M$1,M$2,$A208)</f>
        <v>0</v>
      </c>
      <c r="N208" s="31">
        <f>_xll.DBRW($C$1,$C$2,$C$3,$C$4,$C$6,$C$5,$C$7,N$1,N$2,$A208)</f>
        <v>0</v>
      </c>
      <c r="O208" s="31">
        <f>_xll.DBRW($C$1,$C$2,$C$3,$C$4,$C$6,$C$5,$C$7,O$1,O$2,$A208)</f>
        <v>0</v>
      </c>
      <c r="P208" s="31">
        <f>_xll.DBRW($C$1,$C$2,$C$3,$C$4,$C$6,$C$5,$C$7,P$1,P$2,$A208)</f>
        <v>0</v>
      </c>
      <c r="Q208" s="31">
        <f>_xll.DBRW($C$1,$C$2,$C$3,$C$4,$C$6,$C$5,$C$7,Q$1,Q$2,$A208)</f>
        <v>0</v>
      </c>
      <c r="R208" s="31">
        <f>_xll.DBRW($C$1,$C$2,$C$3,$C$4,$C$6,$C$5,$C$7,R$1,R$2,$A208)</f>
        <v>0</v>
      </c>
      <c r="S208" s="31">
        <f>_xll.DBRW($C$1,$C$2,$C$3,$C$4,$C$6,$C$5,$C$7,S$1,S$2,$A208)</f>
        <v>0</v>
      </c>
      <c r="T208" s="31">
        <f>_xll.DBRW($C$1,$C$2,$C$3,$C$4,$C$6,$C$5,$C$7,T$1,T$2,$A208)</f>
        <v>0</v>
      </c>
      <c r="U208" s="31">
        <f>_xll.DBRW($C$1,$C$2,$C$3,$C$4,$C$6,$C$5,$C$7,U$1,U$2,$A208)</f>
        <v>0</v>
      </c>
      <c r="V208" s="31">
        <f>_xll.DBRW($C$1,$C$2,$C$3,$C$4,$C$6,$C$5,$C$7,V$1,V$2,$A208)</f>
        <v>0</v>
      </c>
      <c r="W208" s="31">
        <f>_xll.DBRW($C$1,$C$2,$C$3,$C$4,$C$6,$C$5,$C$7,W$1,W$2,$A208)</f>
        <v>0</v>
      </c>
      <c r="X208" s="31">
        <f>_xll.DBRW($C$1,$C$2,$C$3,$C$4,$C$6,$C$5,$C$7,X$1,X$2,$A208)</f>
        <v>0</v>
      </c>
      <c r="Y208" s="31">
        <f>_xll.DBRW($C$1,$C$2,$C$3,$C$4,$C$6,$C$5,$C$7,Y$1,Y$2,$A208)</f>
        <v>0</v>
      </c>
      <c r="Z208" s="31">
        <f>_xll.DBRW($C$1,$C$2,$C$3,$C$4,$C$6,$C$5,$C$7,Z$1,Z$2,$A208)</f>
        <v>0</v>
      </c>
      <c r="AA208" s="31">
        <f>_xll.DBRW($C$1,$C$2,$C$3,$C$4,$C$6,$C$5,$C$7,AA$1,AA$2,$A208)</f>
        <v>0</v>
      </c>
      <c r="AB208" s="31">
        <f>_xll.DBRW($C$1,$C$2,$C$3,$C$4,$C$6,$C$5,$C$7,AB$1,AB$2,$A208)</f>
        <v>0</v>
      </c>
      <c r="AC208" s="31">
        <f>_xll.DBRW($C$1,$C$2,$C$3,$C$4,$C$6,$C$5,$C$7,AC$1,AC$2,$A208)</f>
        <v>0</v>
      </c>
      <c r="AD208" s="31">
        <f>_xll.DBRW($C$1,$C$2,$C$3,$C$4,$C$6,$C$5,$C$7,AD$1,AD$2,$A208)</f>
        <v>0</v>
      </c>
      <c r="AE208" s="31">
        <f>_xll.DBRW($C$1,$C$2,$C$3,$C$4,$C$6,$C$5,$C$7,AE$1,AE$2,$A208)</f>
        <v>0</v>
      </c>
      <c r="AF208" s="31">
        <f>_xll.DBRW($C$1,$C$2,$C$3,$C$4,$C$6,$C$5,$C$7,AF$1,AF$2,$A208)</f>
        <v>0</v>
      </c>
      <c r="AG208" s="31">
        <f>_xll.DBRW($C$1,$C$2,$C$3,$C$4,$C$6,$C$5,$C$7,AG$1,AG$2,$A208)</f>
        <v>0</v>
      </c>
      <c r="AH208" s="31">
        <f>_xll.DBRW($C$1,$C$2,$C$3,$C$4,$C$6,$C$5,$C$7,AH$1,AH$2,$A208)</f>
        <v>0</v>
      </c>
      <c r="AI208" s="31">
        <f>_xll.DBRW($C$1,$C$2,$C$3,$C$4,$C$6,$C$5,$C$7,AI$1,AI$2,$A208)</f>
        <v>0</v>
      </c>
      <c r="AJ208" s="31">
        <f>_xll.DBRW($C$1,$C$2,$C$3,$C$4,$C$6,$C$5,$C$7,AJ$1,AJ$2,$A208)</f>
        <v>0</v>
      </c>
      <c r="AK208" s="31">
        <f>_xll.DBRW($C$1,$C$2,$C$3,$C$4,$C$6,$C$5,$C$7,AK$1,AK$2,$A208)</f>
        <v>0</v>
      </c>
      <c r="AL208" s="31">
        <f>_xll.DBRW($C$1,$C$2,$C$3,$C$4,$C$6,$C$5,$C$7,AL$1,AL$2,$A208)</f>
        <v>0</v>
      </c>
      <c r="AM208" s="31">
        <f>_xll.DBRW($C$1,$C$2,$C$3,$C$4,$C$6,$C$5,$C$7,AM$1,AM$2,$A208)</f>
        <v>0</v>
      </c>
      <c r="AN208" s="31">
        <f>_xll.DBRW($C$1,$C$2,$C$3,$C$4,$C$6,$C$5,$C$7,AN$1,AN$2,$A208)</f>
        <v>0</v>
      </c>
      <c r="AO208" s="31">
        <f>_xll.DBRW($C$1,$C$2,$C$3,$C$4,$C$6,$C$5,$C$7,AO$1,AO$2,$A208)</f>
        <v>0</v>
      </c>
      <c r="AP208" s="31">
        <f>_xll.DBRW($C$1,$C$2,$C$3,$C$4,$C$6,$C$5,$C$7,AP$1,AP$2,$A208)</f>
        <v>0</v>
      </c>
      <c r="AQ208" s="31">
        <f>_xll.DBRW($C$1,$C$2,$C$3,$C$4,$C$6,$C$5,$C$7,AQ$1,AQ$2,$A208)</f>
        <v>0</v>
      </c>
      <c r="AR208" s="31">
        <f>_xll.DBRW($C$1,$C$2,$C$3,$C$4,$C$6,$C$5,$C$7,AR$1,AR$2,$A208)</f>
        <v>0</v>
      </c>
      <c r="AS208" s="31">
        <f>_xll.DBRW($C$1,$C$2,$C$3,$C$4,$C$6,$C$5,$C$7,AS$1,AS$2,$A208)</f>
        <v>0</v>
      </c>
      <c r="AT208" s="31">
        <f>_xll.DBRW($C$1,$C$2,$C$3,$C$4,$C$6,$C$5,$C$7,AT$1,AT$2,$A208)</f>
        <v>0</v>
      </c>
      <c r="AU208" s="31">
        <f>_xll.DBRW($C$1,$C$2,$C$3,$C$4,$C$6,$C$5,$C$7,AU$1,AU$2,$A208)</f>
        <v>0</v>
      </c>
    </row>
    <row r="209" spans="1:47" ht="15.75" hidden="1" customHeight="1" outlineLevel="1">
      <c r="A209" s="1" t="s">
        <v>285</v>
      </c>
      <c r="C209" s="143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I209" s="31">
        <f>_xll.DBRW($C$1,$C$2,$C$3,$C$4,$C$6,$C$5,$C$7,I$1,I$2,$A209)</f>
        <v>0</v>
      </c>
      <c r="J209" s="31">
        <f>_xll.DBRW($C$1,$C$2,$C$3,$C$4,$C$6,$C$5,$C$7,J$1,J$2,$A209)</f>
        <v>0</v>
      </c>
      <c r="K209" s="31">
        <f>_xll.DBRW($C$1,$C$2,$C$3,$C$4,$C$6,$C$5,$C$7,K$1,K$2,$A209)</f>
        <v>0</v>
      </c>
      <c r="L209" s="31">
        <f>_xll.DBRW($C$1,$C$2,$C$3,$C$4,$C$6,$C$5,$C$7,L$1,L$2,$A209)</f>
        <v>0</v>
      </c>
      <c r="M209" s="31">
        <f>_xll.DBRW($C$1,$C$2,$C$3,$C$4,$C$6,$C$5,$C$7,M$1,M$2,$A209)</f>
        <v>0</v>
      </c>
      <c r="N209" s="31">
        <f>_xll.DBRW($C$1,$C$2,$C$3,$C$4,$C$6,$C$5,$C$7,N$1,N$2,$A209)</f>
        <v>0</v>
      </c>
      <c r="O209" s="31">
        <f>_xll.DBRW($C$1,$C$2,$C$3,$C$4,$C$6,$C$5,$C$7,O$1,O$2,$A209)</f>
        <v>0</v>
      </c>
      <c r="P209" s="31">
        <f>_xll.DBRW($C$1,$C$2,$C$3,$C$4,$C$6,$C$5,$C$7,P$1,P$2,$A209)</f>
        <v>0</v>
      </c>
      <c r="Q209" s="31">
        <f>_xll.DBRW($C$1,$C$2,$C$3,$C$4,$C$6,$C$5,$C$7,Q$1,Q$2,$A209)</f>
        <v>0</v>
      </c>
      <c r="R209" s="31">
        <f>_xll.DBRW($C$1,$C$2,$C$3,$C$4,$C$6,$C$5,$C$7,R$1,R$2,$A209)</f>
        <v>0</v>
      </c>
      <c r="S209" s="31">
        <f>_xll.DBRW($C$1,$C$2,$C$3,$C$4,$C$6,$C$5,$C$7,S$1,S$2,$A209)</f>
        <v>0</v>
      </c>
      <c r="T209" s="31">
        <f>_xll.DBRW($C$1,$C$2,$C$3,$C$4,$C$6,$C$5,$C$7,T$1,T$2,$A209)</f>
        <v>0</v>
      </c>
      <c r="U209" s="31">
        <f>_xll.DBRW($C$1,$C$2,$C$3,$C$4,$C$6,$C$5,$C$7,U$1,U$2,$A209)</f>
        <v>0</v>
      </c>
      <c r="V209" s="31">
        <f>_xll.DBRW($C$1,$C$2,$C$3,$C$4,$C$6,$C$5,$C$7,V$1,V$2,$A209)</f>
        <v>0</v>
      </c>
      <c r="W209" s="31">
        <f>_xll.DBRW($C$1,$C$2,$C$3,$C$4,$C$6,$C$5,$C$7,W$1,W$2,$A209)</f>
        <v>0</v>
      </c>
      <c r="X209" s="31">
        <f>_xll.DBRW($C$1,$C$2,$C$3,$C$4,$C$6,$C$5,$C$7,X$1,X$2,$A209)</f>
        <v>0</v>
      </c>
      <c r="Y209" s="31">
        <f>_xll.DBRW($C$1,$C$2,$C$3,$C$4,$C$6,$C$5,$C$7,Y$1,Y$2,$A209)</f>
        <v>0</v>
      </c>
      <c r="Z209" s="31">
        <f>_xll.DBRW($C$1,$C$2,$C$3,$C$4,$C$6,$C$5,$C$7,Z$1,Z$2,$A209)</f>
        <v>0</v>
      </c>
      <c r="AA209" s="31">
        <f>_xll.DBRW($C$1,$C$2,$C$3,$C$4,$C$6,$C$5,$C$7,AA$1,AA$2,$A209)</f>
        <v>0</v>
      </c>
      <c r="AB209" s="31">
        <f>_xll.DBRW($C$1,$C$2,$C$3,$C$4,$C$6,$C$5,$C$7,AB$1,AB$2,$A209)</f>
        <v>0</v>
      </c>
      <c r="AC209" s="31">
        <f>_xll.DBRW($C$1,$C$2,$C$3,$C$4,$C$6,$C$5,$C$7,AC$1,AC$2,$A209)</f>
        <v>0</v>
      </c>
      <c r="AD209" s="31">
        <f>_xll.DBRW($C$1,$C$2,$C$3,$C$4,$C$6,$C$5,$C$7,AD$1,AD$2,$A209)</f>
        <v>0</v>
      </c>
      <c r="AE209" s="31">
        <f>_xll.DBRW($C$1,$C$2,$C$3,$C$4,$C$6,$C$5,$C$7,AE$1,AE$2,$A209)</f>
        <v>0</v>
      </c>
      <c r="AF209" s="31">
        <f>_xll.DBRW($C$1,$C$2,$C$3,$C$4,$C$6,$C$5,$C$7,AF$1,AF$2,$A209)</f>
        <v>0</v>
      </c>
      <c r="AG209" s="31">
        <f>_xll.DBRW($C$1,$C$2,$C$3,$C$4,$C$6,$C$5,$C$7,AG$1,AG$2,$A209)</f>
        <v>0</v>
      </c>
      <c r="AH209" s="31">
        <f>_xll.DBRW($C$1,$C$2,$C$3,$C$4,$C$6,$C$5,$C$7,AH$1,AH$2,$A209)</f>
        <v>0</v>
      </c>
      <c r="AI209" s="31">
        <f>_xll.DBRW($C$1,$C$2,$C$3,$C$4,$C$6,$C$5,$C$7,AI$1,AI$2,$A209)</f>
        <v>0</v>
      </c>
      <c r="AJ209" s="31">
        <f>_xll.DBRW($C$1,$C$2,$C$3,$C$4,$C$6,$C$5,$C$7,AJ$1,AJ$2,$A209)</f>
        <v>0</v>
      </c>
      <c r="AK209" s="31">
        <f>_xll.DBRW($C$1,$C$2,$C$3,$C$4,$C$6,$C$5,$C$7,AK$1,AK$2,$A209)</f>
        <v>0</v>
      </c>
      <c r="AL209" s="31">
        <f>_xll.DBRW($C$1,$C$2,$C$3,$C$4,$C$6,$C$5,$C$7,AL$1,AL$2,$A209)</f>
        <v>0</v>
      </c>
      <c r="AM209" s="31">
        <f>_xll.DBRW($C$1,$C$2,$C$3,$C$4,$C$6,$C$5,$C$7,AM$1,AM$2,$A209)</f>
        <v>0</v>
      </c>
      <c r="AN209" s="31">
        <f>_xll.DBRW($C$1,$C$2,$C$3,$C$4,$C$6,$C$5,$C$7,AN$1,AN$2,$A209)</f>
        <v>0</v>
      </c>
      <c r="AO209" s="31">
        <f>_xll.DBRW($C$1,$C$2,$C$3,$C$4,$C$6,$C$5,$C$7,AO$1,AO$2,$A209)</f>
        <v>0</v>
      </c>
      <c r="AP209" s="31">
        <f>_xll.DBRW($C$1,$C$2,$C$3,$C$4,$C$6,$C$5,$C$7,AP$1,AP$2,$A209)</f>
        <v>0</v>
      </c>
      <c r="AQ209" s="31">
        <f>_xll.DBRW($C$1,$C$2,$C$3,$C$4,$C$6,$C$5,$C$7,AQ$1,AQ$2,$A209)</f>
        <v>0</v>
      </c>
      <c r="AR209" s="31">
        <f>_xll.DBRW($C$1,$C$2,$C$3,$C$4,$C$6,$C$5,$C$7,AR$1,AR$2,$A209)</f>
        <v>0</v>
      </c>
      <c r="AS209" s="31">
        <f>_xll.DBRW($C$1,$C$2,$C$3,$C$4,$C$6,$C$5,$C$7,AS$1,AS$2,$A209)</f>
        <v>0</v>
      </c>
      <c r="AT209" s="31">
        <f>_xll.DBRW($C$1,$C$2,$C$3,$C$4,$C$6,$C$5,$C$7,AT$1,AT$2,$A209)</f>
        <v>0</v>
      </c>
      <c r="AU209" s="31">
        <f>_xll.DBRW($C$1,$C$2,$C$3,$C$4,$C$6,$C$5,$C$7,AU$1,AU$2,$A209)</f>
        <v>0</v>
      </c>
    </row>
    <row r="210" spans="1:47" ht="15.75" hidden="1" customHeight="1" outlineLevel="1">
      <c r="A210" s="1" t="s">
        <v>286</v>
      </c>
      <c r="C210" s="143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I210" s="31">
        <f>_xll.DBRW($C$1,$C$2,$C$3,$C$4,$C$6,$C$5,$C$7,I$1,I$2,$A210)</f>
        <v>0</v>
      </c>
      <c r="J210" s="31">
        <f>_xll.DBRW($C$1,$C$2,$C$3,$C$4,$C$6,$C$5,$C$7,J$1,J$2,$A210)</f>
        <v>0</v>
      </c>
      <c r="K210" s="31">
        <f>_xll.DBRW($C$1,$C$2,$C$3,$C$4,$C$6,$C$5,$C$7,K$1,K$2,$A210)</f>
        <v>0</v>
      </c>
      <c r="L210" s="31">
        <f>_xll.DBRW($C$1,$C$2,$C$3,$C$4,$C$6,$C$5,$C$7,L$1,L$2,$A210)</f>
        <v>0</v>
      </c>
      <c r="M210" s="31">
        <f>_xll.DBRW($C$1,$C$2,$C$3,$C$4,$C$6,$C$5,$C$7,M$1,M$2,$A210)</f>
        <v>0</v>
      </c>
      <c r="N210" s="31">
        <f>_xll.DBRW($C$1,$C$2,$C$3,$C$4,$C$6,$C$5,$C$7,N$1,N$2,$A210)</f>
        <v>0</v>
      </c>
      <c r="O210" s="31">
        <f>_xll.DBRW($C$1,$C$2,$C$3,$C$4,$C$6,$C$5,$C$7,O$1,O$2,$A210)</f>
        <v>0</v>
      </c>
      <c r="P210" s="31">
        <f>_xll.DBRW($C$1,$C$2,$C$3,$C$4,$C$6,$C$5,$C$7,P$1,P$2,$A210)</f>
        <v>0</v>
      </c>
      <c r="Q210" s="31">
        <f>_xll.DBRW($C$1,$C$2,$C$3,$C$4,$C$6,$C$5,$C$7,Q$1,Q$2,$A210)</f>
        <v>0</v>
      </c>
      <c r="R210" s="31">
        <f>_xll.DBRW($C$1,$C$2,$C$3,$C$4,$C$6,$C$5,$C$7,R$1,R$2,$A210)</f>
        <v>0</v>
      </c>
      <c r="S210" s="31">
        <f>_xll.DBRW($C$1,$C$2,$C$3,$C$4,$C$6,$C$5,$C$7,S$1,S$2,$A210)</f>
        <v>0</v>
      </c>
      <c r="T210" s="31">
        <f>_xll.DBRW($C$1,$C$2,$C$3,$C$4,$C$6,$C$5,$C$7,T$1,T$2,$A210)</f>
        <v>0</v>
      </c>
      <c r="U210" s="31">
        <f>_xll.DBRW($C$1,$C$2,$C$3,$C$4,$C$6,$C$5,$C$7,U$1,U$2,$A210)</f>
        <v>0</v>
      </c>
      <c r="V210" s="31">
        <f>_xll.DBRW($C$1,$C$2,$C$3,$C$4,$C$6,$C$5,$C$7,V$1,V$2,$A210)</f>
        <v>0</v>
      </c>
      <c r="W210" s="31">
        <f>_xll.DBRW($C$1,$C$2,$C$3,$C$4,$C$6,$C$5,$C$7,W$1,W$2,$A210)</f>
        <v>0</v>
      </c>
      <c r="X210" s="31">
        <f>_xll.DBRW($C$1,$C$2,$C$3,$C$4,$C$6,$C$5,$C$7,X$1,X$2,$A210)</f>
        <v>0</v>
      </c>
      <c r="Y210" s="31">
        <f>_xll.DBRW($C$1,$C$2,$C$3,$C$4,$C$6,$C$5,$C$7,Y$1,Y$2,$A210)</f>
        <v>0</v>
      </c>
      <c r="Z210" s="31">
        <f>_xll.DBRW($C$1,$C$2,$C$3,$C$4,$C$6,$C$5,$C$7,Z$1,Z$2,$A210)</f>
        <v>0</v>
      </c>
      <c r="AA210" s="31">
        <f>_xll.DBRW($C$1,$C$2,$C$3,$C$4,$C$6,$C$5,$C$7,AA$1,AA$2,$A210)</f>
        <v>0</v>
      </c>
      <c r="AB210" s="31">
        <f>_xll.DBRW($C$1,$C$2,$C$3,$C$4,$C$6,$C$5,$C$7,AB$1,AB$2,$A210)</f>
        <v>0</v>
      </c>
      <c r="AC210" s="31">
        <f>_xll.DBRW($C$1,$C$2,$C$3,$C$4,$C$6,$C$5,$C$7,AC$1,AC$2,$A210)</f>
        <v>0</v>
      </c>
      <c r="AD210" s="31">
        <f>_xll.DBRW($C$1,$C$2,$C$3,$C$4,$C$6,$C$5,$C$7,AD$1,AD$2,$A210)</f>
        <v>0</v>
      </c>
      <c r="AE210" s="31">
        <f>_xll.DBRW($C$1,$C$2,$C$3,$C$4,$C$6,$C$5,$C$7,AE$1,AE$2,$A210)</f>
        <v>0</v>
      </c>
      <c r="AF210" s="31">
        <f>_xll.DBRW($C$1,$C$2,$C$3,$C$4,$C$6,$C$5,$C$7,AF$1,AF$2,$A210)</f>
        <v>0</v>
      </c>
      <c r="AG210" s="31">
        <f>_xll.DBRW($C$1,$C$2,$C$3,$C$4,$C$6,$C$5,$C$7,AG$1,AG$2,$A210)</f>
        <v>0</v>
      </c>
      <c r="AH210" s="31">
        <f>_xll.DBRW($C$1,$C$2,$C$3,$C$4,$C$6,$C$5,$C$7,AH$1,AH$2,$A210)</f>
        <v>0</v>
      </c>
      <c r="AI210" s="31">
        <f>_xll.DBRW($C$1,$C$2,$C$3,$C$4,$C$6,$C$5,$C$7,AI$1,AI$2,$A210)</f>
        <v>0</v>
      </c>
      <c r="AJ210" s="31">
        <f>_xll.DBRW($C$1,$C$2,$C$3,$C$4,$C$6,$C$5,$C$7,AJ$1,AJ$2,$A210)</f>
        <v>0</v>
      </c>
      <c r="AK210" s="31">
        <f>_xll.DBRW($C$1,$C$2,$C$3,$C$4,$C$6,$C$5,$C$7,AK$1,AK$2,$A210)</f>
        <v>0</v>
      </c>
      <c r="AL210" s="31">
        <f>_xll.DBRW($C$1,$C$2,$C$3,$C$4,$C$6,$C$5,$C$7,AL$1,AL$2,$A210)</f>
        <v>0</v>
      </c>
      <c r="AM210" s="31">
        <f>_xll.DBRW($C$1,$C$2,$C$3,$C$4,$C$6,$C$5,$C$7,AM$1,AM$2,$A210)</f>
        <v>0</v>
      </c>
      <c r="AN210" s="31">
        <f>_xll.DBRW($C$1,$C$2,$C$3,$C$4,$C$6,$C$5,$C$7,AN$1,AN$2,$A210)</f>
        <v>0</v>
      </c>
      <c r="AO210" s="31">
        <f>_xll.DBRW($C$1,$C$2,$C$3,$C$4,$C$6,$C$5,$C$7,AO$1,AO$2,$A210)</f>
        <v>0</v>
      </c>
      <c r="AP210" s="31">
        <f>_xll.DBRW($C$1,$C$2,$C$3,$C$4,$C$6,$C$5,$C$7,AP$1,AP$2,$A210)</f>
        <v>0</v>
      </c>
      <c r="AQ210" s="31">
        <f>_xll.DBRW($C$1,$C$2,$C$3,$C$4,$C$6,$C$5,$C$7,AQ$1,AQ$2,$A210)</f>
        <v>0</v>
      </c>
      <c r="AR210" s="31">
        <f>_xll.DBRW($C$1,$C$2,$C$3,$C$4,$C$6,$C$5,$C$7,AR$1,AR$2,$A210)</f>
        <v>0</v>
      </c>
      <c r="AS210" s="31">
        <f>_xll.DBRW($C$1,$C$2,$C$3,$C$4,$C$6,$C$5,$C$7,AS$1,AS$2,$A210)</f>
        <v>0</v>
      </c>
      <c r="AT210" s="31">
        <f>_xll.DBRW($C$1,$C$2,$C$3,$C$4,$C$6,$C$5,$C$7,AT$1,AT$2,$A210)</f>
        <v>0</v>
      </c>
      <c r="AU210" s="31">
        <f>_xll.DBRW($C$1,$C$2,$C$3,$C$4,$C$6,$C$5,$C$7,AU$1,AU$2,$A210)</f>
        <v>0</v>
      </c>
    </row>
    <row r="211" spans="1:47" ht="15.75" hidden="1" customHeight="1" outlineLevel="1">
      <c r="A211" s="1" t="s">
        <v>287</v>
      </c>
      <c r="C211" s="143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I211" s="31">
        <f>_xll.DBRW($C$1,$C$2,$C$3,$C$4,$C$6,$C$5,$C$7,I$1,I$2,$A211)</f>
        <v>0</v>
      </c>
      <c r="J211" s="31">
        <f>_xll.DBRW($C$1,$C$2,$C$3,$C$4,$C$6,$C$5,$C$7,J$1,J$2,$A211)</f>
        <v>0</v>
      </c>
      <c r="K211" s="31">
        <f>_xll.DBRW($C$1,$C$2,$C$3,$C$4,$C$6,$C$5,$C$7,K$1,K$2,$A211)</f>
        <v>0</v>
      </c>
      <c r="L211" s="31">
        <f>_xll.DBRW($C$1,$C$2,$C$3,$C$4,$C$6,$C$5,$C$7,L$1,L$2,$A211)</f>
        <v>0</v>
      </c>
      <c r="M211" s="31">
        <f>_xll.DBRW($C$1,$C$2,$C$3,$C$4,$C$6,$C$5,$C$7,M$1,M$2,$A211)</f>
        <v>0</v>
      </c>
      <c r="N211" s="31">
        <f>_xll.DBRW($C$1,$C$2,$C$3,$C$4,$C$6,$C$5,$C$7,N$1,N$2,$A211)</f>
        <v>0</v>
      </c>
      <c r="O211" s="31">
        <f>_xll.DBRW($C$1,$C$2,$C$3,$C$4,$C$6,$C$5,$C$7,O$1,O$2,$A211)</f>
        <v>0</v>
      </c>
      <c r="P211" s="31">
        <f>_xll.DBRW($C$1,$C$2,$C$3,$C$4,$C$6,$C$5,$C$7,P$1,P$2,$A211)</f>
        <v>0</v>
      </c>
      <c r="Q211" s="31">
        <f>_xll.DBRW($C$1,$C$2,$C$3,$C$4,$C$6,$C$5,$C$7,Q$1,Q$2,$A211)</f>
        <v>0</v>
      </c>
      <c r="R211" s="31">
        <f>_xll.DBRW($C$1,$C$2,$C$3,$C$4,$C$6,$C$5,$C$7,R$1,R$2,$A211)</f>
        <v>0</v>
      </c>
      <c r="S211" s="31">
        <f>_xll.DBRW($C$1,$C$2,$C$3,$C$4,$C$6,$C$5,$C$7,S$1,S$2,$A211)</f>
        <v>0</v>
      </c>
      <c r="T211" s="31">
        <f>_xll.DBRW($C$1,$C$2,$C$3,$C$4,$C$6,$C$5,$C$7,T$1,T$2,$A211)</f>
        <v>0</v>
      </c>
      <c r="U211" s="31">
        <f>_xll.DBRW($C$1,$C$2,$C$3,$C$4,$C$6,$C$5,$C$7,U$1,U$2,$A211)</f>
        <v>0</v>
      </c>
      <c r="V211" s="31">
        <f>_xll.DBRW($C$1,$C$2,$C$3,$C$4,$C$6,$C$5,$C$7,V$1,V$2,$A211)</f>
        <v>0</v>
      </c>
      <c r="W211" s="31">
        <f>_xll.DBRW($C$1,$C$2,$C$3,$C$4,$C$6,$C$5,$C$7,W$1,W$2,$A211)</f>
        <v>0</v>
      </c>
      <c r="X211" s="31">
        <f>_xll.DBRW($C$1,$C$2,$C$3,$C$4,$C$6,$C$5,$C$7,X$1,X$2,$A211)</f>
        <v>0</v>
      </c>
      <c r="Y211" s="31">
        <f>_xll.DBRW($C$1,$C$2,$C$3,$C$4,$C$6,$C$5,$C$7,Y$1,Y$2,$A211)</f>
        <v>0</v>
      </c>
      <c r="Z211" s="31">
        <f>_xll.DBRW($C$1,$C$2,$C$3,$C$4,$C$6,$C$5,$C$7,Z$1,Z$2,$A211)</f>
        <v>0</v>
      </c>
      <c r="AA211" s="31">
        <f>_xll.DBRW($C$1,$C$2,$C$3,$C$4,$C$6,$C$5,$C$7,AA$1,AA$2,$A211)</f>
        <v>0</v>
      </c>
      <c r="AB211" s="31">
        <f>_xll.DBRW($C$1,$C$2,$C$3,$C$4,$C$6,$C$5,$C$7,AB$1,AB$2,$A211)</f>
        <v>0</v>
      </c>
      <c r="AC211" s="31">
        <f>_xll.DBRW($C$1,$C$2,$C$3,$C$4,$C$6,$C$5,$C$7,AC$1,AC$2,$A211)</f>
        <v>0</v>
      </c>
      <c r="AD211" s="31">
        <f>_xll.DBRW($C$1,$C$2,$C$3,$C$4,$C$6,$C$5,$C$7,AD$1,AD$2,$A211)</f>
        <v>0</v>
      </c>
      <c r="AE211" s="31">
        <f>_xll.DBRW($C$1,$C$2,$C$3,$C$4,$C$6,$C$5,$C$7,AE$1,AE$2,$A211)</f>
        <v>0</v>
      </c>
      <c r="AF211" s="31">
        <f>_xll.DBRW($C$1,$C$2,$C$3,$C$4,$C$6,$C$5,$C$7,AF$1,AF$2,$A211)</f>
        <v>0</v>
      </c>
      <c r="AG211" s="31">
        <f>_xll.DBRW($C$1,$C$2,$C$3,$C$4,$C$6,$C$5,$C$7,AG$1,AG$2,$A211)</f>
        <v>0</v>
      </c>
      <c r="AH211" s="31">
        <f>_xll.DBRW($C$1,$C$2,$C$3,$C$4,$C$6,$C$5,$C$7,AH$1,AH$2,$A211)</f>
        <v>0</v>
      </c>
      <c r="AI211" s="31">
        <f>_xll.DBRW($C$1,$C$2,$C$3,$C$4,$C$6,$C$5,$C$7,AI$1,AI$2,$A211)</f>
        <v>0</v>
      </c>
      <c r="AJ211" s="31">
        <f>_xll.DBRW($C$1,$C$2,$C$3,$C$4,$C$6,$C$5,$C$7,AJ$1,AJ$2,$A211)</f>
        <v>0</v>
      </c>
      <c r="AK211" s="31">
        <f>_xll.DBRW($C$1,$C$2,$C$3,$C$4,$C$6,$C$5,$C$7,AK$1,AK$2,$A211)</f>
        <v>0</v>
      </c>
      <c r="AL211" s="31">
        <f>_xll.DBRW($C$1,$C$2,$C$3,$C$4,$C$6,$C$5,$C$7,AL$1,AL$2,$A211)</f>
        <v>0</v>
      </c>
      <c r="AM211" s="31">
        <f>_xll.DBRW($C$1,$C$2,$C$3,$C$4,$C$6,$C$5,$C$7,AM$1,AM$2,$A211)</f>
        <v>0</v>
      </c>
      <c r="AN211" s="31">
        <f>_xll.DBRW($C$1,$C$2,$C$3,$C$4,$C$6,$C$5,$C$7,AN$1,AN$2,$A211)</f>
        <v>0</v>
      </c>
      <c r="AO211" s="31">
        <f>_xll.DBRW($C$1,$C$2,$C$3,$C$4,$C$6,$C$5,$C$7,AO$1,AO$2,$A211)</f>
        <v>0</v>
      </c>
      <c r="AP211" s="31">
        <f>_xll.DBRW($C$1,$C$2,$C$3,$C$4,$C$6,$C$5,$C$7,AP$1,AP$2,$A211)</f>
        <v>0</v>
      </c>
      <c r="AQ211" s="31">
        <f>_xll.DBRW($C$1,$C$2,$C$3,$C$4,$C$6,$C$5,$C$7,AQ$1,AQ$2,$A211)</f>
        <v>0</v>
      </c>
      <c r="AR211" s="31">
        <f>_xll.DBRW($C$1,$C$2,$C$3,$C$4,$C$6,$C$5,$C$7,AR$1,AR$2,$A211)</f>
        <v>0</v>
      </c>
      <c r="AS211" s="31">
        <f>_xll.DBRW($C$1,$C$2,$C$3,$C$4,$C$6,$C$5,$C$7,AS$1,AS$2,$A211)</f>
        <v>0</v>
      </c>
      <c r="AT211" s="31">
        <f>_xll.DBRW($C$1,$C$2,$C$3,$C$4,$C$6,$C$5,$C$7,AT$1,AT$2,$A211)</f>
        <v>0</v>
      </c>
      <c r="AU211" s="31">
        <f>_xll.DBRW($C$1,$C$2,$C$3,$C$4,$C$6,$C$5,$C$7,AU$1,AU$2,$A211)</f>
        <v>0</v>
      </c>
    </row>
    <row r="212" spans="1:47" ht="15.75" hidden="1" customHeight="1" outlineLevel="1">
      <c r="A212" s="1" t="s">
        <v>288</v>
      </c>
      <c r="C212" s="143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I212" s="31">
        <f>_xll.DBRW($C$1,$C$2,$C$3,$C$4,$C$6,$C$5,$C$7,I$1,I$2,$A212)</f>
        <v>0</v>
      </c>
      <c r="J212" s="31">
        <f>_xll.DBRW($C$1,$C$2,$C$3,$C$4,$C$6,$C$5,$C$7,J$1,J$2,$A212)</f>
        <v>0</v>
      </c>
      <c r="K212" s="31">
        <f>_xll.DBRW($C$1,$C$2,$C$3,$C$4,$C$6,$C$5,$C$7,K$1,K$2,$A212)</f>
        <v>0</v>
      </c>
      <c r="L212" s="31">
        <f>_xll.DBRW($C$1,$C$2,$C$3,$C$4,$C$6,$C$5,$C$7,L$1,L$2,$A212)</f>
        <v>0</v>
      </c>
      <c r="M212" s="31">
        <f>_xll.DBRW($C$1,$C$2,$C$3,$C$4,$C$6,$C$5,$C$7,M$1,M$2,$A212)</f>
        <v>0</v>
      </c>
      <c r="N212" s="31">
        <f>_xll.DBRW($C$1,$C$2,$C$3,$C$4,$C$6,$C$5,$C$7,N$1,N$2,$A212)</f>
        <v>0</v>
      </c>
      <c r="O212" s="31">
        <f>_xll.DBRW($C$1,$C$2,$C$3,$C$4,$C$6,$C$5,$C$7,O$1,O$2,$A212)</f>
        <v>0</v>
      </c>
      <c r="P212" s="31">
        <f>_xll.DBRW($C$1,$C$2,$C$3,$C$4,$C$6,$C$5,$C$7,P$1,P$2,$A212)</f>
        <v>0</v>
      </c>
      <c r="Q212" s="31">
        <f>_xll.DBRW($C$1,$C$2,$C$3,$C$4,$C$6,$C$5,$C$7,Q$1,Q$2,$A212)</f>
        <v>0</v>
      </c>
      <c r="R212" s="31">
        <f>_xll.DBRW($C$1,$C$2,$C$3,$C$4,$C$6,$C$5,$C$7,R$1,R$2,$A212)</f>
        <v>0</v>
      </c>
      <c r="S212" s="31">
        <f>_xll.DBRW($C$1,$C$2,$C$3,$C$4,$C$6,$C$5,$C$7,S$1,S$2,$A212)</f>
        <v>0</v>
      </c>
      <c r="T212" s="31">
        <f>_xll.DBRW($C$1,$C$2,$C$3,$C$4,$C$6,$C$5,$C$7,T$1,T$2,$A212)</f>
        <v>0</v>
      </c>
      <c r="U212" s="31">
        <f>_xll.DBRW($C$1,$C$2,$C$3,$C$4,$C$6,$C$5,$C$7,U$1,U$2,$A212)</f>
        <v>0</v>
      </c>
      <c r="V212" s="31">
        <f>_xll.DBRW($C$1,$C$2,$C$3,$C$4,$C$6,$C$5,$C$7,V$1,V$2,$A212)</f>
        <v>0</v>
      </c>
      <c r="W212" s="31">
        <f>_xll.DBRW($C$1,$C$2,$C$3,$C$4,$C$6,$C$5,$C$7,W$1,W$2,$A212)</f>
        <v>0</v>
      </c>
      <c r="X212" s="31">
        <f>_xll.DBRW($C$1,$C$2,$C$3,$C$4,$C$6,$C$5,$C$7,X$1,X$2,$A212)</f>
        <v>0</v>
      </c>
      <c r="Y212" s="31">
        <f>_xll.DBRW($C$1,$C$2,$C$3,$C$4,$C$6,$C$5,$C$7,Y$1,Y$2,$A212)</f>
        <v>0</v>
      </c>
      <c r="Z212" s="31">
        <f>_xll.DBRW($C$1,$C$2,$C$3,$C$4,$C$6,$C$5,$C$7,Z$1,Z$2,$A212)</f>
        <v>0</v>
      </c>
      <c r="AA212" s="31">
        <f>_xll.DBRW($C$1,$C$2,$C$3,$C$4,$C$6,$C$5,$C$7,AA$1,AA$2,$A212)</f>
        <v>0</v>
      </c>
      <c r="AB212" s="31">
        <f>_xll.DBRW($C$1,$C$2,$C$3,$C$4,$C$6,$C$5,$C$7,AB$1,AB$2,$A212)</f>
        <v>0</v>
      </c>
      <c r="AC212" s="31">
        <f>_xll.DBRW($C$1,$C$2,$C$3,$C$4,$C$6,$C$5,$C$7,AC$1,AC$2,$A212)</f>
        <v>0</v>
      </c>
      <c r="AD212" s="31">
        <f>_xll.DBRW($C$1,$C$2,$C$3,$C$4,$C$6,$C$5,$C$7,AD$1,AD$2,$A212)</f>
        <v>0</v>
      </c>
      <c r="AE212" s="31">
        <f>_xll.DBRW($C$1,$C$2,$C$3,$C$4,$C$6,$C$5,$C$7,AE$1,AE$2,$A212)</f>
        <v>0</v>
      </c>
      <c r="AF212" s="31">
        <f>_xll.DBRW($C$1,$C$2,$C$3,$C$4,$C$6,$C$5,$C$7,AF$1,AF$2,$A212)</f>
        <v>0</v>
      </c>
      <c r="AG212" s="31">
        <f>_xll.DBRW($C$1,$C$2,$C$3,$C$4,$C$6,$C$5,$C$7,AG$1,AG$2,$A212)</f>
        <v>0</v>
      </c>
      <c r="AH212" s="31">
        <f>_xll.DBRW($C$1,$C$2,$C$3,$C$4,$C$6,$C$5,$C$7,AH$1,AH$2,$A212)</f>
        <v>0</v>
      </c>
      <c r="AI212" s="31">
        <f>_xll.DBRW($C$1,$C$2,$C$3,$C$4,$C$6,$C$5,$C$7,AI$1,AI$2,$A212)</f>
        <v>0</v>
      </c>
      <c r="AJ212" s="31">
        <f>_xll.DBRW($C$1,$C$2,$C$3,$C$4,$C$6,$C$5,$C$7,AJ$1,AJ$2,$A212)</f>
        <v>0</v>
      </c>
      <c r="AK212" s="31">
        <f>_xll.DBRW($C$1,$C$2,$C$3,$C$4,$C$6,$C$5,$C$7,AK$1,AK$2,$A212)</f>
        <v>0</v>
      </c>
      <c r="AL212" s="31">
        <f>_xll.DBRW($C$1,$C$2,$C$3,$C$4,$C$6,$C$5,$C$7,AL$1,AL$2,$A212)</f>
        <v>0</v>
      </c>
      <c r="AM212" s="31">
        <f>_xll.DBRW($C$1,$C$2,$C$3,$C$4,$C$6,$C$5,$C$7,AM$1,AM$2,$A212)</f>
        <v>0</v>
      </c>
      <c r="AN212" s="31">
        <f>_xll.DBRW($C$1,$C$2,$C$3,$C$4,$C$6,$C$5,$C$7,AN$1,AN$2,$A212)</f>
        <v>0</v>
      </c>
      <c r="AO212" s="31">
        <f>_xll.DBRW($C$1,$C$2,$C$3,$C$4,$C$6,$C$5,$C$7,AO$1,AO$2,$A212)</f>
        <v>0</v>
      </c>
      <c r="AP212" s="31">
        <f>_xll.DBRW($C$1,$C$2,$C$3,$C$4,$C$6,$C$5,$C$7,AP$1,AP$2,$A212)</f>
        <v>0</v>
      </c>
      <c r="AQ212" s="31">
        <f>_xll.DBRW($C$1,$C$2,$C$3,$C$4,$C$6,$C$5,$C$7,AQ$1,AQ$2,$A212)</f>
        <v>0</v>
      </c>
      <c r="AR212" s="31">
        <f>_xll.DBRW($C$1,$C$2,$C$3,$C$4,$C$6,$C$5,$C$7,AR$1,AR$2,$A212)</f>
        <v>0</v>
      </c>
      <c r="AS212" s="31">
        <f>_xll.DBRW($C$1,$C$2,$C$3,$C$4,$C$6,$C$5,$C$7,AS$1,AS$2,$A212)</f>
        <v>0</v>
      </c>
      <c r="AT212" s="31">
        <f>_xll.DBRW($C$1,$C$2,$C$3,$C$4,$C$6,$C$5,$C$7,AT$1,AT$2,$A212)</f>
        <v>0</v>
      </c>
      <c r="AU212" s="31">
        <f>_xll.DBRW($C$1,$C$2,$C$3,$C$4,$C$6,$C$5,$C$7,AU$1,AU$2,$A212)</f>
        <v>0</v>
      </c>
    </row>
    <row r="213" spans="1:47" ht="15.75" hidden="1" customHeight="1" outlineLevel="1">
      <c r="A213" s="1" t="s">
        <v>289</v>
      </c>
      <c r="C213" s="143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I213" s="31">
        <f>_xll.DBRW($C$1,$C$2,$C$3,$C$4,$C$6,$C$5,$C$7,I$1,I$2,$A213)</f>
        <v>0</v>
      </c>
      <c r="J213" s="31">
        <f>_xll.DBRW($C$1,$C$2,$C$3,$C$4,$C$6,$C$5,$C$7,J$1,J$2,$A213)</f>
        <v>0</v>
      </c>
      <c r="K213" s="31">
        <f>_xll.DBRW($C$1,$C$2,$C$3,$C$4,$C$6,$C$5,$C$7,K$1,K$2,$A213)</f>
        <v>0</v>
      </c>
      <c r="L213" s="31">
        <f>_xll.DBRW($C$1,$C$2,$C$3,$C$4,$C$6,$C$5,$C$7,L$1,L$2,$A213)</f>
        <v>0</v>
      </c>
      <c r="M213" s="31">
        <f>_xll.DBRW($C$1,$C$2,$C$3,$C$4,$C$6,$C$5,$C$7,M$1,M$2,$A213)</f>
        <v>0</v>
      </c>
      <c r="N213" s="31">
        <f>_xll.DBRW($C$1,$C$2,$C$3,$C$4,$C$6,$C$5,$C$7,N$1,N$2,$A213)</f>
        <v>0</v>
      </c>
      <c r="O213" s="31">
        <f>_xll.DBRW($C$1,$C$2,$C$3,$C$4,$C$6,$C$5,$C$7,O$1,O$2,$A213)</f>
        <v>0</v>
      </c>
      <c r="P213" s="31">
        <f>_xll.DBRW($C$1,$C$2,$C$3,$C$4,$C$6,$C$5,$C$7,P$1,P$2,$A213)</f>
        <v>0</v>
      </c>
      <c r="Q213" s="31">
        <f>_xll.DBRW($C$1,$C$2,$C$3,$C$4,$C$6,$C$5,$C$7,Q$1,Q$2,$A213)</f>
        <v>0</v>
      </c>
      <c r="R213" s="31">
        <f>_xll.DBRW($C$1,$C$2,$C$3,$C$4,$C$6,$C$5,$C$7,R$1,R$2,$A213)</f>
        <v>0</v>
      </c>
      <c r="S213" s="31">
        <f>_xll.DBRW($C$1,$C$2,$C$3,$C$4,$C$6,$C$5,$C$7,S$1,S$2,$A213)</f>
        <v>0</v>
      </c>
      <c r="T213" s="31">
        <f>_xll.DBRW($C$1,$C$2,$C$3,$C$4,$C$6,$C$5,$C$7,T$1,T$2,$A213)</f>
        <v>0</v>
      </c>
      <c r="U213" s="31">
        <f>_xll.DBRW($C$1,$C$2,$C$3,$C$4,$C$6,$C$5,$C$7,U$1,U$2,$A213)</f>
        <v>0</v>
      </c>
      <c r="V213" s="31">
        <f>_xll.DBRW($C$1,$C$2,$C$3,$C$4,$C$6,$C$5,$C$7,V$1,V$2,$A213)</f>
        <v>0</v>
      </c>
      <c r="W213" s="31">
        <f>_xll.DBRW($C$1,$C$2,$C$3,$C$4,$C$6,$C$5,$C$7,W$1,W$2,$A213)</f>
        <v>0</v>
      </c>
      <c r="X213" s="31">
        <f>_xll.DBRW($C$1,$C$2,$C$3,$C$4,$C$6,$C$5,$C$7,X$1,X$2,$A213)</f>
        <v>0</v>
      </c>
      <c r="Y213" s="31">
        <f>_xll.DBRW($C$1,$C$2,$C$3,$C$4,$C$6,$C$5,$C$7,Y$1,Y$2,$A213)</f>
        <v>0</v>
      </c>
      <c r="Z213" s="31">
        <f>_xll.DBRW($C$1,$C$2,$C$3,$C$4,$C$6,$C$5,$C$7,Z$1,Z$2,$A213)</f>
        <v>0</v>
      </c>
      <c r="AA213" s="31">
        <f>_xll.DBRW($C$1,$C$2,$C$3,$C$4,$C$6,$C$5,$C$7,AA$1,AA$2,$A213)</f>
        <v>0</v>
      </c>
      <c r="AB213" s="31">
        <f>_xll.DBRW($C$1,$C$2,$C$3,$C$4,$C$6,$C$5,$C$7,AB$1,AB$2,$A213)</f>
        <v>0</v>
      </c>
      <c r="AC213" s="31">
        <f>_xll.DBRW($C$1,$C$2,$C$3,$C$4,$C$6,$C$5,$C$7,AC$1,AC$2,$A213)</f>
        <v>0</v>
      </c>
      <c r="AD213" s="31">
        <f>_xll.DBRW($C$1,$C$2,$C$3,$C$4,$C$6,$C$5,$C$7,AD$1,AD$2,$A213)</f>
        <v>0</v>
      </c>
      <c r="AE213" s="31">
        <f>_xll.DBRW($C$1,$C$2,$C$3,$C$4,$C$6,$C$5,$C$7,AE$1,AE$2,$A213)</f>
        <v>0</v>
      </c>
      <c r="AF213" s="31">
        <f>_xll.DBRW($C$1,$C$2,$C$3,$C$4,$C$6,$C$5,$C$7,AF$1,AF$2,$A213)</f>
        <v>0</v>
      </c>
      <c r="AG213" s="31">
        <f>_xll.DBRW($C$1,$C$2,$C$3,$C$4,$C$6,$C$5,$C$7,AG$1,AG$2,$A213)</f>
        <v>0</v>
      </c>
      <c r="AH213" s="31">
        <f>_xll.DBRW($C$1,$C$2,$C$3,$C$4,$C$6,$C$5,$C$7,AH$1,AH$2,$A213)</f>
        <v>0</v>
      </c>
      <c r="AI213" s="31">
        <f>_xll.DBRW($C$1,$C$2,$C$3,$C$4,$C$6,$C$5,$C$7,AI$1,AI$2,$A213)</f>
        <v>0</v>
      </c>
      <c r="AJ213" s="31">
        <f>_xll.DBRW($C$1,$C$2,$C$3,$C$4,$C$6,$C$5,$C$7,AJ$1,AJ$2,$A213)</f>
        <v>0</v>
      </c>
      <c r="AK213" s="31">
        <f>_xll.DBRW($C$1,$C$2,$C$3,$C$4,$C$6,$C$5,$C$7,AK$1,AK$2,$A213)</f>
        <v>0</v>
      </c>
      <c r="AL213" s="31">
        <f>_xll.DBRW($C$1,$C$2,$C$3,$C$4,$C$6,$C$5,$C$7,AL$1,AL$2,$A213)</f>
        <v>0</v>
      </c>
      <c r="AM213" s="31">
        <f>_xll.DBRW($C$1,$C$2,$C$3,$C$4,$C$6,$C$5,$C$7,AM$1,AM$2,$A213)</f>
        <v>0</v>
      </c>
      <c r="AN213" s="31">
        <f>_xll.DBRW($C$1,$C$2,$C$3,$C$4,$C$6,$C$5,$C$7,AN$1,AN$2,$A213)</f>
        <v>0</v>
      </c>
      <c r="AO213" s="31">
        <f>_xll.DBRW($C$1,$C$2,$C$3,$C$4,$C$6,$C$5,$C$7,AO$1,AO$2,$A213)</f>
        <v>0</v>
      </c>
      <c r="AP213" s="31">
        <f>_xll.DBRW($C$1,$C$2,$C$3,$C$4,$C$6,$C$5,$C$7,AP$1,AP$2,$A213)</f>
        <v>0</v>
      </c>
      <c r="AQ213" s="31">
        <f>_xll.DBRW($C$1,$C$2,$C$3,$C$4,$C$6,$C$5,$C$7,AQ$1,AQ$2,$A213)</f>
        <v>0</v>
      </c>
      <c r="AR213" s="31">
        <f>_xll.DBRW($C$1,$C$2,$C$3,$C$4,$C$6,$C$5,$C$7,AR$1,AR$2,$A213)</f>
        <v>0</v>
      </c>
      <c r="AS213" s="31">
        <f>_xll.DBRW($C$1,$C$2,$C$3,$C$4,$C$6,$C$5,$C$7,AS$1,AS$2,$A213)</f>
        <v>0</v>
      </c>
      <c r="AT213" s="31">
        <f>_xll.DBRW($C$1,$C$2,$C$3,$C$4,$C$6,$C$5,$C$7,AT$1,AT$2,$A213)</f>
        <v>0</v>
      </c>
      <c r="AU213" s="31">
        <f>_xll.DBRW($C$1,$C$2,$C$3,$C$4,$C$6,$C$5,$C$7,AU$1,AU$2,$A213)</f>
        <v>0</v>
      </c>
    </row>
    <row r="214" spans="1:47" ht="15.75" hidden="1" customHeight="1" outlineLevel="1">
      <c r="A214" s="1" t="s">
        <v>290</v>
      </c>
      <c r="C214" s="143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I214" s="31">
        <f>_xll.DBRW($C$1,$C$2,$C$3,$C$4,$C$6,$C$5,$C$7,I$1,I$2,$A214)</f>
        <v>0</v>
      </c>
      <c r="J214" s="31">
        <f>_xll.DBRW($C$1,$C$2,$C$3,$C$4,$C$6,$C$5,$C$7,J$1,J$2,$A214)</f>
        <v>0</v>
      </c>
      <c r="K214" s="31">
        <f>_xll.DBRW($C$1,$C$2,$C$3,$C$4,$C$6,$C$5,$C$7,K$1,K$2,$A214)</f>
        <v>0</v>
      </c>
      <c r="L214" s="31">
        <f>_xll.DBRW($C$1,$C$2,$C$3,$C$4,$C$6,$C$5,$C$7,L$1,L$2,$A214)</f>
        <v>0</v>
      </c>
      <c r="M214" s="31">
        <f>_xll.DBRW($C$1,$C$2,$C$3,$C$4,$C$6,$C$5,$C$7,M$1,M$2,$A214)</f>
        <v>0</v>
      </c>
      <c r="N214" s="31">
        <f>_xll.DBRW($C$1,$C$2,$C$3,$C$4,$C$6,$C$5,$C$7,N$1,N$2,$A214)</f>
        <v>0</v>
      </c>
      <c r="O214" s="31">
        <f>_xll.DBRW($C$1,$C$2,$C$3,$C$4,$C$6,$C$5,$C$7,O$1,O$2,$A214)</f>
        <v>0</v>
      </c>
      <c r="P214" s="31">
        <f>_xll.DBRW($C$1,$C$2,$C$3,$C$4,$C$6,$C$5,$C$7,P$1,P$2,$A214)</f>
        <v>0</v>
      </c>
      <c r="Q214" s="31">
        <f>_xll.DBRW($C$1,$C$2,$C$3,$C$4,$C$6,$C$5,$C$7,Q$1,Q$2,$A214)</f>
        <v>0</v>
      </c>
      <c r="R214" s="31">
        <f>_xll.DBRW($C$1,$C$2,$C$3,$C$4,$C$6,$C$5,$C$7,R$1,R$2,$A214)</f>
        <v>0</v>
      </c>
      <c r="S214" s="31">
        <f>_xll.DBRW($C$1,$C$2,$C$3,$C$4,$C$6,$C$5,$C$7,S$1,S$2,$A214)</f>
        <v>0</v>
      </c>
      <c r="T214" s="31">
        <f>_xll.DBRW($C$1,$C$2,$C$3,$C$4,$C$6,$C$5,$C$7,T$1,T$2,$A214)</f>
        <v>0</v>
      </c>
      <c r="U214" s="31">
        <f>_xll.DBRW($C$1,$C$2,$C$3,$C$4,$C$6,$C$5,$C$7,U$1,U$2,$A214)</f>
        <v>0</v>
      </c>
      <c r="V214" s="31">
        <f>_xll.DBRW($C$1,$C$2,$C$3,$C$4,$C$6,$C$5,$C$7,V$1,V$2,$A214)</f>
        <v>0</v>
      </c>
      <c r="W214" s="31">
        <f>_xll.DBRW($C$1,$C$2,$C$3,$C$4,$C$6,$C$5,$C$7,W$1,W$2,$A214)</f>
        <v>0</v>
      </c>
      <c r="X214" s="31">
        <f>_xll.DBRW($C$1,$C$2,$C$3,$C$4,$C$6,$C$5,$C$7,X$1,X$2,$A214)</f>
        <v>0</v>
      </c>
      <c r="Y214" s="31">
        <f>_xll.DBRW($C$1,$C$2,$C$3,$C$4,$C$6,$C$5,$C$7,Y$1,Y$2,$A214)</f>
        <v>0</v>
      </c>
      <c r="Z214" s="31">
        <f>_xll.DBRW($C$1,$C$2,$C$3,$C$4,$C$6,$C$5,$C$7,Z$1,Z$2,$A214)</f>
        <v>0</v>
      </c>
      <c r="AA214" s="31">
        <f>_xll.DBRW($C$1,$C$2,$C$3,$C$4,$C$6,$C$5,$C$7,AA$1,AA$2,$A214)</f>
        <v>0</v>
      </c>
      <c r="AB214" s="31">
        <f>_xll.DBRW($C$1,$C$2,$C$3,$C$4,$C$6,$C$5,$C$7,AB$1,AB$2,$A214)</f>
        <v>0</v>
      </c>
      <c r="AC214" s="31">
        <f>_xll.DBRW($C$1,$C$2,$C$3,$C$4,$C$6,$C$5,$C$7,AC$1,AC$2,$A214)</f>
        <v>0</v>
      </c>
      <c r="AD214" s="31">
        <f>_xll.DBRW($C$1,$C$2,$C$3,$C$4,$C$6,$C$5,$C$7,AD$1,AD$2,$A214)</f>
        <v>0</v>
      </c>
      <c r="AE214" s="31">
        <f>_xll.DBRW($C$1,$C$2,$C$3,$C$4,$C$6,$C$5,$C$7,AE$1,AE$2,$A214)</f>
        <v>0</v>
      </c>
      <c r="AF214" s="31">
        <f>_xll.DBRW($C$1,$C$2,$C$3,$C$4,$C$6,$C$5,$C$7,AF$1,AF$2,$A214)</f>
        <v>0</v>
      </c>
      <c r="AG214" s="31">
        <f>_xll.DBRW($C$1,$C$2,$C$3,$C$4,$C$6,$C$5,$C$7,AG$1,AG$2,$A214)</f>
        <v>0</v>
      </c>
      <c r="AH214" s="31">
        <f>_xll.DBRW($C$1,$C$2,$C$3,$C$4,$C$6,$C$5,$C$7,AH$1,AH$2,$A214)</f>
        <v>0</v>
      </c>
      <c r="AI214" s="31">
        <f>_xll.DBRW($C$1,$C$2,$C$3,$C$4,$C$6,$C$5,$C$7,AI$1,AI$2,$A214)</f>
        <v>0</v>
      </c>
      <c r="AJ214" s="31">
        <f>_xll.DBRW($C$1,$C$2,$C$3,$C$4,$C$6,$C$5,$C$7,AJ$1,AJ$2,$A214)</f>
        <v>0</v>
      </c>
      <c r="AK214" s="31">
        <f>_xll.DBRW($C$1,$C$2,$C$3,$C$4,$C$6,$C$5,$C$7,AK$1,AK$2,$A214)</f>
        <v>0</v>
      </c>
      <c r="AL214" s="31">
        <f>_xll.DBRW($C$1,$C$2,$C$3,$C$4,$C$6,$C$5,$C$7,AL$1,AL$2,$A214)</f>
        <v>0</v>
      </c>
      <c r="AM214" s="31">
        <f>_xll.DBRW($C$1,$C$2,$C$3,$C$4,$C$6,$C$5,$C$7,AM$1,AM$2,$A214)</f>
        <v>0</v>
      </c>
      <c r="AN214" s="31">
        <f>_xll.DBRW($C$1,$C$2,$C$3,$C$4,$C$6,$C$5,$C$7,AN$1,AN$2,$A214)</f>
        <v>0</v>
      </c>
      <c r="AO214" s="31">
        <f>_xll.DBRW($C$1,$C$2,$C$3,$C$4,$C$6,$C$5,$C$7,AO$1,AO$2,$A214)</f>
        <v>0</v>
      </c>
      <c r="AP214" s="31">
        <f>_xll.DBRW($C$1,$C$2,$C$3,$C$4,$C$6,$C$5,$C$7,AP$1,AP$2,$A214)</f>
        <v>0</v>
      </c>
      <c r="AQ214" s="31">
        <f>_xll.DBRW($C$1,$C$2,$C$3,$C$4,$C$6,$C$5,$C$7,AQ$1,AQ$2,$A214)</f>
        <v>0</v>
      </c>
      <c r="AR214" s="31">
        <f>_xll.DBRW($C$1,$C$2,$C$3,$C$4,$C$6,$C$5,$C$7,AR$1,AR$2,$A214)</f>
        <v>0</v>
      </c>
      <c r="AS214" s="31">
        <f>_xll.DBRW($C$1,$C$2,$C$3,$C$4,$C$6,$C$5,$C$7,AS$1,AS$2,$A214)</f>
        <v>0</v>
      </c>
      <c r="AT214" s="31">
        <f>_xll.DBRW($C$1,$C$2,$C$3,$C$4,$C$6,$C$5,$C$7,AT$1,AT$2,$A214)</f>
        <v>0</v>
      </c>
      <c r="AU214" s="31">
        <f>_xll.DBRW($C$1,$C$2,$C$3,$C$4,$C$6,$C$5,$C$7,AU$1,AU$2,$A214)</f>
        <v>0</v>
      </c>
    </row>
    <row r="215" spans="1:47" ht="15.75" hidden="1" customHeight="1" outlineLevel="1">
      <c r="A215" s="1" t="s">
        <v>291</v>
      </c>
      <c r="C215" s="143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I215" s="31">
        <f>_xll.DBRW($C$1,$C$2,$C$3,$C$4,$C$6,$C$5,$C$7,I$1,I$2,$A215)</f>
        <v>0</v>
      </c>
      <c r="J215" s="31">
        <f>_xll.DBRW($C$1,$C$2,$C$3,$C$4,$C$6,$C$5,$C$7,J$1,J$2,$A215)</f>
        <v>0</v>
      </c>
      <c r="K215" s="31">
        <f>_xll.DBRW($C$1,$C$2,$C$3,$C$4,$C$6,$C$5,$C$7,K$1,K$2,$A215)</f>
        <v>0</v>
      </c>
      <c r="L215" s="31">
        <f>_xll.DBRW($C$1,$C$2,$C$3,$C$4,$C$6,$C$5,$C$7,L$1,L$2,$A215)</f>
        <v>0</v>
      </c>
      <c r="M215" s="31">
        <f>_xll.DBRW($C$1,$C$2,$C$3,$C$4,$C$6,$C$5,$C$7,M$1,M$2,$A215)</f>
        <v>0</v>
      </c>
      <c r="N215" s="31">
        <f>_xll.DBRW($C$1,$C$2,$C$3,$C$4,$C$6,$C$5,$C$7,N$1,N$2,$A215)</f>
        <v>0</v>
      </c>
      <c r="O215" s="31">
        <f>_xll.DBRW($C$1,$C$2,$C$3,$C$4,$C$6,$C$5,$C$7,O$1,O$2,$A215)</f>
        <v>0</v>
      </c>
      <c r="P215" s="31">
        <f>_xll.DBRW($C$1,$C$2,$C$3,$C$4,$C$6,$C$5,$C$7,P$1,P$2,$A215)</f>
        <v>0</v>
      </c>
      <c r="Q215" s="31">
        <f>_xll.DBRW($C$1,$C$2,$C$3,$C$4,$C$6,$C$5,$C$7,Q$1,Q$2,$A215)</f>
        <v>0</v>
      </c>
      <c r="R215" s="31">
        <f>_xll.DBRW($C$1,$C$2,$C$3,$C$4,$C$6,$C$5,$C$7,R$1,R$2,$A215)</f>
        <v>0</v>
      </c>
      <c r="S215" s="31">
        <f>_xll.DBRW($C$1,$C$2,$C$3,$C$4,$C$6,$C$5,$C$7,S$1,S$2,$A215)</f>
        <v>0</v>
      </c>
      <c r="T215" s="31">
        <f>_xll.DBRW($C$1,$C$2,$C$3,$C$4,$C$6,$C$5,$C$7,T$1,T$2,$A215)</f>
        <v>0</v>
      </c>
      <c r="U215" s="31">
        <f>_xll.DBRW($C$1,$C$2,$C$3,$C$4,$C$6,$C$5,$C$7,U$1,U$2,$A215)</f>
        <v>0</v>
      </c>
      <c r="V215" s="31">
        <f>_xll.DBRW($C$1,$C$2,$C$3,$C$4,$C$6,$C$5,$C$7,V$1,V$2,$A215)</f>
        <v>0</v>
      </c>
      <c r="W215" s="31">
        <f>_xll.DBRW($C$1,$C$2,$C$3,$C$4,$C$6,$C$5,$C$7,W$1,W$2,$A215)</f>
        <v>0</v>
      </c>
      <c r="X215" s="31">
        <f>_xll.DBRW($C$1,$C$2,$C$3,$C$4,$C$6,$C$5,$C$7,X$1,X$2,$A215)</f>
        <v>0</v>
      </c>
      <c r="Y215" s="31">
        <f>_xll.DBRW($C$1,$C$2,$C$3,$C$4,$C$6,$C$5,$C$7,Y$1,Y$2,$A215)</f>
        <v>0</v>
      </c>
      <c r="Z215" s="31">
        <f>_xll.DBRW($C$1,$C$2,$C$3,$C$4,$C$6,$C$5,$C$7,Z$1,Z$2,$A215)</f>
        <v>0</v>
      </c>
      <c r="AA215" s="31">
        <f>_xll.DBRW($C$1,$C$2,$C$3,$C$4,$C$6,$C$5,$C$7,AA$1,AA$2,$A215)</f>
        <v>0</v>
      </c>
      <c r="AB215" s="31">
        <f>_xll.DBRW($C$1,$C$2,$C$3,$C$4,$C$6,$C$5,$C$7,AB$1,AB$2,$A215)</f>
        <v>0</v>
      </c>
      <c r="AC215" s="31">
        <f>_xll.DBRW($C$1,$C$2,$C$3,$C$4,$C$6,$C$5,$C$7,AC$1,AC$2,$A215)</f>
        <v>0</v>
      </c>
      <c r="AD215" s="31">
        <f>_xll.DBRW($C$1,$C$2,$C$3,$C$4,$C$6,$C$5,$C$7,AD$1,AD$2,$A215)</f>
        <v>0</v>
      </c>
      <c r="AE215" s="31">
        <f>_xll.DBRW($C$1,$C$2,$C$3,$C$4,$C$6,$C$5,$C$7,AE$1,AE$2,$A215)</f>
        <v>0</v>
      </c>
      <c r="AF215" s="31">
        <f>_xll.DBRW($C$1,$C$2,$C$3,$C$4,$C$6,$C$5,$C$7,AF$1,AF$2,$A215)</f>
        <v>0</v>
      </c>
      <c r="AG215" s="31">
        <f>_xll.DBRW($C$1,$C$2,$C$3,$C$4,$C$6,$C$5,$C$7,AG$1,AG$2,$A215)</f>
        <v>0</v>
      </c>
      <c r="AH215" s="31">
        <f>_xll.DBRW($C$1,$C$2,$C$3,$C$4,$C$6,$C$5,$C$7,AH$1,AH$2,$A215)</f>
        <v>0</v>
      </c>
      <c r="AI215" s="31">
        <f>_xll.DBRW($C$1,$C$2,$C$3,$C$4,$C$6,$C$5,$C$7,AI$1,AI$2,$A215)</f>
        <v>0</v>
      </c>
      <c r="AJ215" s="31">
        <f>_xll.DBRW($C$1,$C$2,$C$3,$C$4,$C$6,$C$5,$C$7,AJ$1,AJ$2,$A215)</f>
        <v>0</v>
      </c>
      <c r="AK215" s="31">
        <f>_xll.DBRW($C$1,$C$2,$C$3,$C$4,$C$6,$C$5,$C$7,AK$1,AK$2,$A215)</f>
        <v>0</v>
      </c>
      <c r="AL215" s="31">
        <f>_xll.DBRW($C$1,$C$2,$C$3,$C$4,$C$6,$C$5,$C$7,AL$1,AL$2,$A215)</f>
        <v>0</v>
      </c>
      <c r="AM215" s="31">
        <f>_xll.DBRW($C$1,$C$2,$C$3,$C$4,$C$6,$C$5,$C$7,AM$1,AM$2,$A215)</f>
        <v>0</v>
      </c>
      <c r="AN215" s="31">
        <f>_xll.DBRW($C$1,$C$2,$C$3,$C$4,$C$6,$C$5,$C$7,AN$1,AN$2,$A215)</f>
        <v>0</v>
      </c>
      <c r="AO215" s="31">
        <f>_xll.DBRW($C$1,$C$2,$C$3,$C$4,$C$6,$C$5,$C$7,AO$1,AO$2,$A215)</f>
        <v>0</v>
      </c>
      <c r="AP215" s="31">
        <f>_xll.DBRW($C$1,$C$2,$C$3,$C$4,$C$6,$C$5,$C$7,AP$1,AP$2,$A215)</f>
        <v>0</v>
      </c>
      <c r="AQ215" s="31">
        <f>_xll.DBRW($C$1,$C$2,$C$3,$C$4,$C$6,$C$5,$C$7,AQ$1,AQ$2,$A215)</f>
        <v>0</v>
      </c>
      <c r="AR215" s="31">
        <f>_xll.DBRW($C$1,$C$2,$C$3,$C$4,$C$6,$C$5,$C$7,AR$1,AR$2,$A215)</f>
        <v>0</v>
      </c>
      <c r="AS215" s="31">
        <f>_xll.DBRW($C$1,$C$2,$C$3,$C$4,$C$6,$C$5,$C$7,AS$1,AS$2,$A215)</f>
        <v>0</v>
      </c>
      <c r="AT215" s="31">
        <f>_xll.DBRW($C$1,$C$2,$C$3,$C$4,$C$6,$C$5,$C$7,AT$1,AT$2,$A215)</f>
        <v>0</v>
      </c>
      <c r="AU215" s="31">
        <f>_xll.DBRW($C$1,$C$2,$C$3,$C$4,$C$6,$C$5,$C$7,AU$1,AU$2,$A215)</f>
        <v>0</v>
      </c>
    </row>
    <row r="216" spans="1:47" ht="15.75" hidden="1" customHeight="1" outlineLevel="1">
      <c r="A216" s="1" t="s">
        <v>292</v>
      </c>
      <c r="C216" s="143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I216" s="31">
        <f>_xll.DBRW($C$1,$C$2,$C$3,$C$4,$C$6,$C$5,$C$7,I$1,I$2,$A216)</f>
        <v>0</v>
      </c>
      <c r="J216" s="31">
        <f>_xll.DBRW($C$1,$C$2,$C$3,$C$4,$C$6,$C$5,$C$7,J$1,J$2,$A216)</f>
        <v>0</v>
      </c>
      <c r="K216" s="31">
        <f>_xll.DBRW($C$1,$C$2,$C$3,$C$4,$C$6,$C$5,$C$7,K$1,K$2,$A216)</f>
        <v>0</v>
      </c>
      <c r="L216" s="31">
        <f>_xll.DBRW($C$1,$C$2,$C$3,$C$4,$C$6,$C$5,$C$7,L$1,L$2,$A216)</f>
        <v>0</v>
      </c>
      <c r="M216" s="31">
        <f>_xll.DBRW($C$1,$C$2,$C$3,$C$4,$C$6,$C$5,$C$7,M$1,M$2,$A216)</f>
        <v>0</v>
      </c>
      <c r="N216" s="31">
        <f>_xll.DBRW($C$1,$C$2,$C$3,$C$4,$C$6,$C$5,$C$7,N$1,N$2,$A216)</f>
        <v>0</v>
      </c>
      <c r="O216" s="31">
        <f>_xll.DBRW($C$1,$C$2,$C$3,$C$4,$C$6,$C$5,$C$7,O$1,O$2,$A216)</f>
        <v>0</v>
      </c>
      <c r="P216" s="31">
        <f>_xll.DBRW($C$1,$C$2,$C$3,$C$4,$C$6,$C$5,$C$7,P$1,P$2,$A216)</f>
        <v>0</v>
      </c>
      <c r="Q216" s="31">
        <f>_xll.DBRW($C$1,$C$2,$C$3,$C$4,$C$6,$C$5,$C$7,Q$1,Q$2,$A216)</f>
        <v>0</v>
      </c>
      <c r="R216" s="31">
        <f>_xll.DBRW($C$1,$C$2,$C$3,$C$4,$C$6,$C$5,$C$7,R$1,R$2,$A216)</f>
        <v>0</v>
      </c>
      <c r="S216" s="31">
        <f>_xll.DBRW($C$1,$C$2,$C$3,$C$4,$C$6,$C$5,$C$7,S$1,S$2,$A216)</f>
        <v>0</v>
      </c>
      <c r="T216" s="31">
        <f>_xll.DBRW($C$1,$C$2,$C$3,$C$4,$C$6,$C$5,$C$7,T$1,T$2,$A216)</f>
        <v>0</v>
      </c>
      <c r="U216" s="31">
        <f>_xll.DBRW($C$1,$C$2,$C$3,$C$4,$C$6,$C$5,$C$7,U$1,U$2,$A216)</f>
        <v>0</v>
      </c>
      <c r="V216" s="31">
        <f>_xll.DBRW($C$1,$C$2,$C$3,$C$4,$C$6,$C$5,$C$7,V$1,V$2,$A216)</f>
        <v>0</v>
      </c>
      <c r="W216" s="31">
        <f>_xll.DBRW($C$1,$C$2,$C$3,$C$4,$C$6,$C$5,$C$7,W$1,W$2,$A216)</f>
        <v>0</v>
      </c>
      <c r="X216" s="31">
        <f>_xll.DBRW($C$1,$C$2,$C$3,$C$4,$C$6,$C$5,$C$7,X$1,X$2,$A216)</f>
        <v>0</v>
      </c>
      <c r="Y216" s="31">
        <f>_xll.DBRW($C$1,$C$2,$C$3,$C$4,$C$6,$C$5,$C$7,Y$1,Y$2,$A216)</f>
        <v>0</v>
      </c>
      <c r="Z216" s="31">
        <f>_xll.DBRW($C$1,$C$2,$C$3,$C$4,$C$6,$C$5,$C$7,Z$1,Z$2,$A216)</f>
        <v>0</v>
      </c>
      <c r="AA216" s="31">
        <f>_xll.DBRW($C$1,$C$2,$C$3,$C$4,$C$6,$C$5,$C$7,AA$1,AA$2,$A216)</f>
        <v>0</v>
      </c>
      <c r="AB216" s="31">
        <f>_xll.DBRW($C$1,$C$2,$C$3,$C$4,$C$6,$C$5,$C$7,AB$1,AB$2,$A216)</f>
        <v>0</v>
      </c>
      <c r="AC216" s="31">
        <f>_xll.DBRW($C$1,$C$2,$C$3,$C$4,$C$6,$C$5,$C$7,AC$1,AC$2,$A216)</f>
        <v>0</v>
      </c>
      <c r="AD216" s="31">
        <f>_xll.DBRW($C$1,$C$2,$C$3,$C$4,$C$6,$C$5,$C$7,AD$1,AD$2,$A216)</f>
        <v>0</v>
      </c>
      <c r="AE216" s="31">
        <f>_xll.DBRW($C$1,$C$2,$C$3,$C$4,$C$6,$C$5,$C$7,AE$1,AE$2,$A216)</f>
        <v>0</v>
      </c>
      <c r="AF216" s="31">
        <f>_xll.DBRW($C$1,$C$2,$C$3,$C$4,$C$6,$C$5,$C$7,AF$1,AF$2,$A216)</f>
        <v>0</v>
      </c>
      <c r="AG216" s="31">
        <f>_xll.DBRW($C$1,$C$2,$C$3,$C$4,$C$6,$C$5,$C$7,AG$1,AG$2,$A216)</f>
        <v>0</v>
      </c>
      <c r="AH216" s="31">
        <f>_xll.DBRW($C$1,$C$2,$C$3,$C$4,$C$6,$C$5,$C$7,AH$1,AH$2,$A216)</f>
        <v>0</v>
      </c>
      <c r="AI216" s="31">
        <f>_xll.DBRW($C$1,$C$2,$C$3,$C$4,$C$6,$C$5,$C$7,AI$1,AI$2,$A216)</f>
        <v>0</v>
      </c>
      <c r="AJ216" s="31">
        <f>_xll.DBRW($C$1,$C$2,$C$3,$C$4,$C$6,$C$5,$C$7,AJ$1,AJ$2,$A216)</f>
        <v>0</v>
      </c>
      <c r="AK216" s="31">
        <f>_xll.DBRW($C$1,$C$2,$C$3,$C$4,$C$6,$C$5,$C$7,AK$1,AK$2,$A216)</f>
        <v>0</v>
      </c>
      <c r="AL216" s="31">
        <f>_xll.DBRW($C$1,$C$2,$C$3,$C$4,$C$6,$C$5,$C$7,AL$1,AL$2,$A216)</f>
        <v>0</v>
      </c>
      <c r="AM216" s="31">
        <f>_xll.DBRW($C$1,$C$2,$C$3,$C$4,$C$6,$C$5,$C$7,AM$1,AM$2,$A216)</f>
        <v>0</v>
      </c>
      <c r="AN216" s="31">
        <f>_xll.DBRW($C$1,$C$2,$C$3,$C$4,$C$6,$C$5,$C$7,AN$1,AN$2,$A216)</f>
        <v>0</v>
      </c>
      <c r="AO216" s="31">
        <f>_xll.DBRW($C$1,$C$2,$C$3,$C$4,$C$6,$C$5,$C$7,AO$1,AO$2,$A216)</f>
        <v>0</v>
      </c>
      <c r="AP216" s="31">
        <f>_xll.DBRW($C$1,$C$2,$C$3,$C$4,$C$6,$C$5,$C$7,AP$1,AP$2,$A216)</f>
        <v>0</v>
      </c>
      <c r="AQ216" s="31">
        <f>_xll.DBRW($C$1,$C$2,$C$3,$C$4,$C$6,$C$5,$C$7,AQ$1,AQ$2,$A216)</f>
        <v>0</v>
      </c>
      <c r="AR216" s="31">
        <f>_xll.DBRW($C$1,$C$2,$C$3,$C$4,$C$6,$C$5,$C$7,AR$1,AR$2,$A216)</f>
        <v>0</v>
      </c>
      <c r="AS216" s="31">
        <f>_xll.DBRW($C$1,$C$2,$C$3,$C$4,$C$6,$C$5,$C$7,AS$1,AS$2,$A216)</f>
        <v>0</v>
      </c>
      <c r="AT216" s="31">
        <f>_xll.DBRW($C$1,$C$2,$C$3,$C$4,$C$6,$C$5,$C$7,AT$1,AT$2,$A216)</f>
        <v>0</v>
      </c>
      <c r="AU216" s="31">
        <f>_xll.DBRW($C$1,$C$2,$C$3,$C$4,$C$6,$C$5,$C$7,AU$1,AU$2,$A216)</f>
        <v>0</v>
      </c>
    </row>
    <row r="217" spans="1:47" ht="15.75" hidden="1" customHeight="1" outlineLevel="1">
      <c r="A217" s="1" t="s">
        <v>293</v>
      </c>
      <c r="C217" s="143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I217" s="31">
        <f>_xll.DBRW($C$1,$C$2,$C$3,$C$4,$C$6,$C$5,$C$7,I$1,I$2,$A217)</f>
        <v>0</v>
      </c>
      <c r="J217" s="31">
        <f>_xll.DBRW($C$1,$C$2,$C$3,$C$4,$C$6,$C$5,$C$7,J$1,J$2,$A217)</f>
        <v>0</v>
      </c>
      <c r="K217" s="31">
        <f>_xll.DBRW($C$1,$C$2,$C$3,$C$4,$C$6,$C$5,$C$7,K$1,K$2,$A217)</f>
        <v>0</v>
      </c>
      <c r="L217" s="31">
        <f>_xll.DBRW($C$1,$C$2,$C$3,$C$4,$C$6,$C$5,$C$7,L$1,L$2,$A217)</f>
        <v>0</v>
      </c>
      <c r="M217" s="31">
        <f>_xll.DBRW($C$1,$C$2,$C$3,$C$4,$C$6,$C$5,$C$7,M$1,M$2,$A217)</f>
        <v>0</v>
      </c>
      <c r="N217" s="31">
        <f>_xll.DBRW($C$1,$C$2,$C$3,$C$4,$C$6,$C$5,$C$7,N$1,N$2,$A217)</f>
        <v>0</v>
      </c>
      <c r="O217" s="31">
        <f>_xll.DBRW($C$1,$C$2,$C$3,$C$4,$C$6,$C$5,$C$7,O$1,O$2,$A217)</f>
        <v>0</v>
      </c>
      <c r="P217" s="31">
        <f>_xll.DBRW($C$1,$C$2,$C$3,$C$4,$C$6,$C$5,$C$7,P$1,P$2,$A217)</f>
        <v>0</v>
      </c>
      <c r="Q217" s="31">
        <f>_xll.DBRW($C$1,$C$2,$C$3,$C$4,$C$6,$C$5,$C$7,Q$1,Q$2,$A217)</f>
        <v>0</v>
      </c>
      <c r="R217" s="31">
        <f>_xll.DBRW($C$1,$C$2,$C$3,$C$4,$C$6,$C$5,$C$7,R$1,R$2,$A217)</f>
        <v>0</v>
      </c>
      <c r="S217" s="31">
        <f>_xll.DBRW($C$1,$C$2,$C$3,$C$4,$C$6,$C$5,$C$7,S$1,S$2,$A217)</f>
        <v>0</v>
      </c>
      <c r="T217" s="31">
        <f>_xll.DBRW($C$1,$C$2,$C$3,$C$4,$C$6,$C$5,$C$7,T$1,T$2,$A217)</f>
        <v>0</v>
      </c>
      <c r="U217" s="31">
        <f>_xll.DBRW($C$1,$C$2,$C$3,$C$4,$C$6,$C$5,$C$7,U$1,U$2,$A217)</f>
        <v>0</v>
      </c>
      <c r="V217" s="31">
        <f>_xll.DBRW($C$1,$C$2,$C$3,$C$4,$C$6,$C$5,$C$7,V$1,V$2,$A217)</f>
        <v>0</v>
      </c>
      <c r="W217" s="31">
        <f>_xll.DBRW($C$1,$C$2,$C$3,$C$4,$C$6,$C$5,$C$7,W$1,W$2,$A217)</f>
        <v>0</v>
      </c>
      <c r="X217" s="31">
        <f>_xll.DBRW($C$1,$C$2,$C$3,$C$4,$C$6,$C$5,$C$7,X$1,X$2,$A217)</f>
        <v>0</v>
      </c>
      <c r="Y217" s="31">
        <f>_xll.DBRW($C$1,$C$2,$C$3,$C$4,$C$6,$C$5,$C$7,Y$1,Y$2,$A217)</f>
        <v>0</v>
      </c>
      <c r="Z217" s="31">
        <f>_xll.DBRW($C$1,$C$2,$C$3,$C$4,$C$6,$C$5,$C$7,Z$1,Z$2,$A217)</f>
        <v>0</v>
      </c>
      <c r="AA217" s="31">
        <f>_xll.DBRW($C$1,$C$2,$C$3,$C$4,$C$6,$C$5,$C$7,AA$1,AA$2,$A217)</f>
        <v>0</v>
      </c>
      <c r="AB217" s="31">
        <f>_xll.DBRW($C$1,$C$2,$C$3,$C$4,$C$6,$C$5,$C$7,AB$1,AB$2,$A217)</f>
        <v>0</v>
      </c>
      <c r="AC217" s="31">
        <f>_xll.DBRW($C$1,$C$2,$C$3,$C$4,$C$6,$C$5,$C$7,AC$1,AC$2,$A217)</f>
        <v>0</v>
      </c>
      <c r="AD217" s="31">
        <f>_xll.DBRW($C$1,$C$2,$C$3,$C$4,$C$6,$C$5,$C$7,AD$1,AD$2,$A217)</f>
        <v>0</v>
      </c>
      <c r="AE217" s="31">
        <f>_xll.DBRW($C$1,$C$2,$C$3,$C$4,$C$6,$C$5,$C$7,AE$1,AE$2,$A217)</f>
        <v>0</v>
      </c>
      <c r="AF217" s="31">
        <f>_xll.DBRW($C$1,$C$2,$C$3,$C$4,$C$6,$C$5,$C$7,AF$1,AF$2,$A217)</f>
        <v>0</v>
      </c>
      <c r="AG217" s="31">
        <f>_xll.DBRW($C$1,$C$2,$C$3,$C$4,$C$6,$C$5,$C$7,AG$1,AG$2,$A217)</f>
        <v>0</v>
      </c>
      <c r="AH217" s="31">
        <f>_xll.DBRW($C$1,$C$2,$C$3,$C$4,$C$6,$C$5,$C$7,AH$1,AH$2,$A217)</f>
        <v>0</v>
      </c>
      <c r="AI217" s="31">
        <f>_xll.DBRW($C$1,$C$2,$C$3,$C$4,$C$6,$C$5,$C$7,AI$1,AI$2,$A217)</f>
        <v>0</v>
      </c>
      <c r="AJ217" s="31">
        <f>_xll.DBRW($C$1,$C$2,$C$3,$C$4,$C$6,$C$5,$C$7,AJ$1,AJ$2,$A217)</f>
        <v>0</v>
      </c>
      <c r="AK217" s="31">
        <f>_xll.DBRW($C$1,$C$2,$C$3,$C$4,$C$6,$C$5,$C$7,AK$1,AK$2,$A217)</f>
        <v>0</v>
      </c>
      <c r="AL217" s="31">
        <f>_xll.DBRW($C$1,$C$2,$C$3,$C$4,$C$6,$C$5,$C$7,AL$1,AL$2,$A217)</f>
        <v>0</v>
      </c>
      <c r="AM217" s="31">
        <f>_xll.DBRW($C$1,$C$2,$C$3,$C$4,$C$6,$C$5,$C$7,AM$1,AM$2,$A217)</f>
        <v>0</v>
      </c>
      <c r="AN217" s="31">
        <f>_xll.DBRW($C$1,$C$2,$C$3,$C$4,$C$6,$C$5,$C$7,AN$1,AN$2,$A217)</f>
        <v>0</v>
      </c>
      <c r="AO217" s="31">
        <f>_xll.DBRW($C$1,$C$2,$C$3,$C$4,$C$6,$C$5,$C$7,AO$1,AO$2,$A217)</f>
        <v>0</v>
      </c>
      <c r="AP217" s="31">
        <f>_xll.DBRW($C$1,$C$2,$C$3,$C$4,$C$6,$C$5,$C$7,AP$1,AP$2,$A217)</f>
        <v>0</v>
      </c>
      <c r="AQ217" s="31">
        <f>_xll.DBRW($C$1,$C$2,$C$3,$C$4,$C$6,$C$5,$C$7,AQ$1,AQ$2,$A217)</f>
        <v>0</v>
      </c>
      <c r="AR217" s="31">
        <f>_xll.DBRW($C$1,$C$2,$C$3,$C$4,$C$6,$C$5,$C$7,AR$1,AR$2,$A217)</f>
        <v>0</v>
      </c>
      <c r="AS217" s="31">
        <f>_xll.DBRW($C$1,$C$2,$C$3,$C$4,$C$6,$C$5,$C$7,AS$1,AS$2,$A217)</f>
        <v>0</v>
      </c>
      <c r="AT217" s="31">
        <f>_xll.DBRW($C$1,$C$2,$C$3,$C$4,$C$6,$C$5,$C$7,AT$1,AT$2,$A217)</f>
        <v>0</v>
      </c>
      <c r="AU217" s="31">
        <f>_xll.DBRW($C$1,$C$2,$C$3,$C$4,$C$6,$C$5,$C$7,AU$1,AU$2,$A217)</f>
        <v>0</v>
      </c>
    </row>
    <row r="218" spans="1:47" ht="15" collapsed="1">
      <c r="A218" s="1" t="s">
        <v>127</v>
      </c>
      <c r="C218" s="143"/>
      <c r="E218" s="22" t="s">
        <v>40</v>
      </c>
      <c r="F218" s="35">
        <f t="shared" ref="F218:T218" si="83">SUM(F187:F217)</f>
        <v>0</v>
      </c>
      <c r="G218" s="35">
        <f t="shared" si="83"/>
        <v>0</v>
      </c>
      <c r="H218" s="35">
        <f t="shared" si="83"/>
        <v>0</v>
      </c>
      <c r="I218" s="35">
        <f t="shared" si="83"/>
        <v>0</v>
      </c>
      <c r="J218" s="35">
        <f t="shared" si="83"/>
        <v>0</v>
      </c>
      <c r="K218" s="35">
        <f t="shared" si="83"/>
        <v>0</v>
      </c>
      <c r="L218" s="35">
        <f t="shared" si="83"/>
        <v>0</v>
      </c>
      <c r="M218" s="35">
        <f t="shared" si="83"/>
        <v>0</v>
      </c>
      <c r="N218" s="35">
        <f t="shared" si="83"/>
        <v>0</v>
      </c>
      <c r="O218" s="35">
        <f t="shared" si="83"/>
        <v>0</v>
      </c>
      <c r="P218" s="35">
        <f t="shared" si="83"/>
        <v>0</v>
      </c>
      <c r="Q218" s="35">
        <f t="shared" si="83"/>
        <v>0</v>
      </c>
      <c r="R218" s="35">
        <f t="shared" si="83"/>
        <v>0</v>
      </c>
      <c r="S218" s="35">
        <f t="shared" si="83"/>
        <v>0</v>
      </c>
      <c r="T218" s="35">
        <f t="shared" si="83"/>
        <v>0</v>
      </c>
      <c r="U218" s="35">
        <f>SUM(U187:U217)</f>
        <v>0</v>
      </c>
      <c r="V218" s="35">
        <f t="shared" ref="V218:AG218" si="84">SUM(V187:V217)</f>
        <v>0</v>
      </c>
      <c r="W218" s="35">
        <f t="shared" si="84"/>
        <v>0</v>
      </c>
      <c r="X218" s="35">
        <f t="shared" si="84"/>
        <v>0</v>
      </c>
      <c r="Y218" s="35">
        <f t="shared" si="84"/>
        <v>0</v>
      </c>
      <c r="Z218" s="35">
        <f t="shared" si="84"/>
        <v>0</v>
      </c>
      <c r="AA218" s="35">
        <f t="shared" si="84"/>
        <v>0</v>
      </c>
      <c r="AB218" s="35">
        <f t="shared" si="84"/>
        <v>0</v>
      </c>
      <c r="AC218" s="35">
        <f t="shared" si="84"/>
        <v>0</v>
      </c>
      <c r="AD218" s="35">
        <f t="shared" si="84"/>
        <v>0</v>
      </c>
      <c r="AE218" s="35">
        <f t="shared" si="84"/>
        <v>0</v>
      </c>
      <c r="AF218" s="35">
        <f t="shared" si="84"/>
        <v>0</v>
      </c>
      <c r="AG218" s="35">
        <f t="shared" si="84"/>
        <v>0</v>
      </c>
      <c r="AH218" s="35">
        <f>SUM(AH187:AH217)</f>
        <v>0</v>
      </c>
      <c r="AI218" s="35">
        <f t="shared" ref="AI218:AT218" si="85">SUM(AI187:AI217)</f>
        <v>0</v>
      </c>
      <c r="AJ218" s="35">
        <f t="shared" si="85"/>
        <v>0</v>
      </c>
      <c r="AK218" s="35">
        <f t="shared" si="85"/>
        <v>0</v>
      </c>
      <c r="AL218" s="35">
        <f t="shared" si="85"/>
        <v>0</v>
      </c>
      <c r="AM218" s="35">
        <f t="shared" si="85"/>
        <v>0</v>
      </c>
      <c r="AN218" s="35">
        <f t="shared" si="85"/>
        <v>0</v>
      </c>
      <c r="AO218" s="35">
        <f t="shared" si="85"/>
        <v>0</v>
      </c>
      <c r="AP218" s="35">
        <f t="shared" si="85"/>
        <v>0</v>
      </c>
      <c r="AQ218" s="35">
        <f t="shared" si="85"/>
        <v>0</v>
      </c>
      <c r="AR218" s="35">
        <f t="shared" si="85"/>
        <v>0</v>
      </c>
      <c r="AS218" s="35">
        <f t="shared" si="85"/>
        <v>0</v>
      </c>
      <c r="AT218" s="35">
        <f t="shared" si="85"/>
        <v>0</v>
      </c>
      <c r="AU218" s="35">
        <f>SUM(AU187:AU217)</f>
        <v>0</v>
      </c>
    </row>
    <row r="219" spans="1:47" ht="15.75">
      <c r="A219" s="1" t="s">
        <v>127</v>
      </c>
      <c r="C219" s="143"/>
      <c r="E219" s="116" t="s">
        <v>41</v>
      </c>
      <c r="F219" s="117">
        <f t="shared" ref="F219:AU219" si="86">F30+F41+F80+F98+F114+F186+F218</f>
        <v>11644828718.536757</v>
      </c>
      <c r="G219" s="117">
        <f t="shared" si="86"/>
        <v>12811400939.777571</v>
      </c>
      <c r="H219" s="117">
        <f t="shared" si="86"/>
        <v>-31691557612.96727</v>
      </c>
      <c r="I219" s="117">
        <f t="shared" si="86"/>
        <v>-3298903698.3253403</v>
      </c>
      <c r="J219" s="117">
        <f t="shared" si="86"/>
        <v>-2400832011.0347157</v>
      </c>
      <c r="K219" s="117">
        <f t="shared" si="86"/>
        <v>-8488950493.3235073</v>
      </c>
      <c r="L219" s="117">
        <f t="shared" si="86"/>
        <v>-11024645804.891321</v>
      </c>
      <c r="M219" s="117">
        <f t="shared" si="86"/>
        <v>-13988171689.019732</v>
      </c>
      <c r="N219" s="117">
        <f t="shared" si="86"/>
        <v>-17479716692.200581</v>
      </c>
      <c r="O219" s="117">
        <f t="shared" si="86"/>
        <v>-21919157867.515434</v>
      </c>
      <c r="P219" s="117">
        <f t="shared" si="86"/>
        <v>-25467396311.961308</v>
      </c>
      <c r="Q219" s="117">
        <f t="shared" si="86"/>
        <v>-28978594347.130516</v>
      </c>
      <c r="R219" s="117">
        <f t="shared" si="86"/>
        <v>-33509877254.348309</v>
      </c>
      <c r="S219" s="117">
        <f t="shared" si="86"/>
        <v>-37044236947.873306</v>
      </c>
      <c r="T219" s="117">
        <f t="shared" si="86"/>
        <v>-41464763407.586906</v>
      </c>
      <c r="U219" s="117">
        <f t="shared" si="86"/>
        <v>-41464763407.586906</v>
      </c>
      <c r="V219" s="117">
        <f t="shared" si="86"/>
        <v>0</v>
      </c>
      <c r="W219" s="117">
        <f t="shared" si="86"/>
        <v>0</v>
      </c>
      <c r="X219" s="117">
        <f t="shared" si="86"/>
        <v>0</v>
      </c>
      <c r="Y219" s="117">
        <f t="shared" si="86"/>
        <v>0</v>
      </c>
      <c r="Z219" s="117">
        <f t="shared" si="86"/>
        <v>0</v>
      </c>
      <c r="AA219" s="117">
        <f t="shared" si="86"/>
        <v>0</v>
      </c>
      <c r="AB219" s="117">
        <f t="shared" si="86"/>
        <v>0</v>
      </c>
      <c r="AC219" s="117">
        <f t="shared" si="86"/>
        <v>0</v>
      </c>
      <c r="AD219" s="117">
        <f t="shared" si="86"/>
        <v>0</v>
      </c>
      <c r="AE219" s="117">
        <f t="shared" si="86"/>
        <v>0</v>
      </c>
      <c r="AF219" s="117">
        <f t="shared" si="86"/>
        <v>0</v>
      </c>
      <c r="AG219" s="117">
        <f t="shared" si="86"/>
        <v>0</v>
      </c>
      <c r="AH219" s="117">
        <f t="shared" si="86"/>
        <v>0</v>
      </c>
      <c r="AI219" s="117">
        <f t="shared" si="86"/>
        <v>0</v>
      </c>
      <c r="AJ219" s="117">
        <f t="shared" si="86"/>
        <v>0</v>
      </c>
      <c r="AK219" s="117">
        <f t="shared" si="86"/>
        <v>0</v>
      </c>
      <c r="AL219" s="117">
        <f t="shared" si="86"/>
        <v>0</v>
      </c>
      <c r="AM219" s="117">
        <f t="shared" si="86"/>
        <v>0</v>
      </c>
      <c r="AN219" s="117">
        <f t="shared" si="86"/>
        <v>0</v>
      </c>
      <c r="AO219" s="117">
        <f t="shared" si="86"/>
        <v>0</v>
      </c>
      <c r="AP219" s="117">
        <f t="shared" si="86"/>
        <v>0</v>
      </c>
      <c r="AQ219" s="117">
        <f t="shared" si="86"/>
        <v>0</v>
      </c>
      <c r="AR219" s="117">
        <f t="shared" si="86"/>
        <v>0</v>
      </c>
      <c r="AS219" s="117">
        <f t="shared" si="86"/>
        <v>0</v>
      </c>
      <c r="AT219" s="117">
        <f t="shared" si="86"/>
        <v>0</v>
      </c>
      <c r="AU219" s="117">
        <f t="shared" si="86"/>
        <v>0</v>
      </c>
    </row>
    <row r="220" spans="1:47" ht="9" customHeight="1">
      <c r="A220" s="1" t="s">
        <v>127</v>
      </c>
      <c r="C220" s="143"/>
      <c r="E220" s="7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4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2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</row>
    <row r="221" spans="1:47" ht="15.75">
      <c r="A221" s="1" t="s">
        <v>294</v>
      </c>
      <c r="C221" s="143"/>
      <c r="E221" s="116" t="s">
        <v>42</v>
      </c>
      <c r="F221" s="117">
        <f t="shared" ref="F221:AU221" si="87">F27+F219</f>
        <v>12079558674.746758</v>
      </c>
      <c r="G221" s="117">
        <f t="shared" si="87"/>
        <v>12941108664.40757</v>
      </c>
      <c r="H221" s="117">
        <f t="shared" si="87"/>
        <v>11050860612.172729</v>
      </c>
      <c r="I221" s="117">
        <f t="shared" si="87"/>
        <v>547071883.02465963</v>
      </c>
      <c r="J221" s="117">
        <f t="shared" si="87"/>
        <v>920212786.50528431</v>
      </c>
      <c r="K221" s="117">
        <f t="shared" si="87"/>
        <v>3173446332.2964916</v>
      </c>
      <c r="L221" s="117">
        <f t="shared" si="87"/>
        <v>4770624769.0386791</v>
      </c>
      <c r="M221" s="117">
        <f t="shared" si="87"/>
        <v>6281512912.1002674</v>
      </c>
      <c r="N221" s="117">
        <f t="shared" si="87"/>
        <v>7363040646.3094177</v>
      </c>
      <c r="O221" s="117">
        <f t="shared" si="87"/>
        <v>8234170598.784565</v>
      </c>
      <c r="P221" s="117">
        <f t="shared" si="87"/>
        <v>9087528345.4386864</v>
      </c>
      <c r="Q221" s="117">
        <f t="shared" si="87"/>
        <v>10550594064.319481</v>
      </c>
      <c r="R221" s="117">
        <f t="shared" si="87"/>
        <v>11947324343.781681</v>
      </c>
      <c r="S221" s="117">
        <f t="shared" si="87"/>
        <v>13345998757.52668</v>
      </c>
      <c r="T221" s="117">
        <f t="shared" si="87"/>
        <v>13480343985.763084</v>
      </c>
      <c r="U221" s="117">
        <f t="shared" si="87"/>
        <v>13480343985.763084</v>
      </c>
      <c r="V221" s="117">
        <f t="shared" si="87"/>
        <v>0</v>
      </c>
      <c r="W221" s="117">
        <f t="shared" si="87"/>
        <v>0</v>
      </c>
      <c r="X221" s="117">
        <f t="shared" si="87"/>
        <v>0</v>
      </c>
      <c r="Y221" s="117">
        <f t="shared" si="87"/>
        <v>0</v>
      </c>
      <c r="Z221" s="117">
        <f t="shared" si="87"/>
        <v>0</v>
      </c>
      <c r="AA221" s="117">
        <f t="shared" si="87"/>
        <v>0</v>
      </c>
      <c r="AB221" s="117">
        <f t="shared" si="87"/>
        <v>0</v>
      </c>
      <c r="AC221" s="117">
        <f t="shared" si="87"/>
        <v>0</v>
      </c>
      <c r="AD221" s="117">
        <f t="shared" si="87"/>
        <v>0</v>
      </c>
      <c r="AE221" s="117">
        <f t="shared" si="87"/>
        <v>0</v>
      </c>
      <c r="AF221" s="117">
        <f t="shared" si="87"/>
        <v>0</v>
      </c>
      <c r="AG221" s="117">
        <f t="shared" si="87"/>
        <v>0</v>
      </c>
      <c r="AH221" s="117">
        <f t="shared" si="87"/>
        <v>0</v>
      </c>
      <c r="AI221" s="117">
        <f t="shared" si="87"/>
        <v>0</v>
      </c>
      <c r="AJ221" s="117">
        <f t="shared" si="87"/>
        <v>0</v>
      </c>
      <c r="AK221" s="117">
        <f t="shared" si="87"/>
        <v>0</v>
      </c>
      <c r="AL221" s="117">
        <f t="shared" si="87"/>
        <v>0</v>
      </c>
      <c r="AM221" s="117">
        <f t="shared" si="87"/>
        <v>0</v>
      </c>
      <c r="AN221" s="117">
        <f t="shared" si="87"/>
        <v>0</v>
      </c>
      <c r="AO221" s="117">
        <f t="shared" si="87"/>
        <v>0</v>
      </c>
      <c r="AP221" s="117">
        <f t="shared" si="87"/>
        <v>0</v>
      </c>
      <c r="AQ221" s="117">
        <f t="shared" si="87"/>
        <v>0</v>
      </c>
      <c r="AR221" s="117">
        <f t="shared" si="87"/>
        <v>0</v>
      </c>
      <c r="AS221" s="117">
        <f t="shared" si="87"/>
        <v>0</v>
      </c>
      <c r="AT221" s="117">
        <f t="shared" si="87"/>
        <v>0</v>
      </c>
      <c r="AU221" s="117">
        <f t="shared" si="87"/>
        <v>0</v>
      </c>
    </row>
    <row r="222" spans="1:47" ht="9" customHeight="1">
      <c r="A222" s="1" t="s">
        <v>127</v>
      </c>
      <c r="C222" s="143"/>
      <c r="E222" s="7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2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</row>
    <row r="223" spans="1:47" ht="15.75" hidden="1" customHeight="1" outlineLevel="1">
      <c r="A223" s="1" t="s">
        <v>295</v>
      </c>
      <c r="C223" s="143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-113122868.85000002</v>
      </c>
      <c r="G223" s="10">
        <f>_xll.DBRW($C$1,$C$2,$C$3,$C$4,$C$6,$C$5,$C$7,G$1,G$2,$A223)</f>
        <v>-73281555.019999966</v>
      </c>
      <c r="H223" s="10">
        <f>_xll.DBRW($C$1,$C$2,$C$3,$C$4,$C$6,$C$5,$C$7,H$1,H$2,$A223)</f>
        <v>-501781086.42999977</v>
      </c>
      <c r="I223" s="10">
        <f>_xll.DBRW($C$1,$C$2,$C$3,$C$4,$C$6,$C$5,$C$7,I$1,I$2,$A223)</f>
        <v>-41304514.549999997</v>
      </c>
      <c r="J223" s="10">
        <f>_xll.DBRW($C$1,$C$2,$C$3,$C$4,$C$6,$C$5,$C$7,J$1,J$2,$A223)</f>
        <v>-41807407.779999994</v>
      </c>
      <c r="K223" s="10">
        <f>_xll.DBRW($C$1,$C$2,$C$3,$C$4,$C$6,$C$5,$C$7,K$1,K$2,$A223)</f>
        <v>-137988216.76999998</v>
      </c>
      <c r="L223" s="10">
        <f>_xll.DBRW($C$1,$C$2,$C$3,$C$4,$C$6,$C$5,$C$7,L$1,L$2,$A223)</f>
        <v>-175582211.04999998</v>
      </c>
      <c r="M223" s="10">
        <f>_xll.DBRW($C$1,$C$2,$C$3,$C$4,$C$6,$C$5,$C$7,M$1,M$2,$A223)</f>
        <v>-227150858.27999994</v>
      </c>
      <c r="N223" s="10">
        <f>_xll.DBRW($C$1,$C$2,$C$3,$C$4,$C$6,$C$5,$C$7,N$1,N$2,$A223)</f>
        <v>-257468231.87999994</v>
      </c>
      <c r="O223" s="10">
        <f>_xll.DBRW($C$1,$C$2,$C$3,$C$4,$C$6,$C$5,$C$7,O$1,O$2,$A223)</f>
        <v>-301843243.66999996</v>
      </c>
      <c r="P223" s="10">
        <f>_xll.DBRW($C$1,$C$2,$C$3,$C$4,$C$6,$C$5,$C$7,P$1,P$2,$A223)</f>
        <v>-380270228.74000001</v>
      </c>
      <c r="Q223" s="10">
        <f>_xll.DBRW($C$1,$C$2,$C$3,$C$4,$C$6,$C$5,$C$7,Q$1,Q$2,$A223)</f>
        <v>-418896426.36000001</v>
      </c>
      <c r="R223" s="10">
        <f>_xll.DBRW($C$1,$C$2,$C$3,$C$4,$C$6,$C$5,$C$7,R$1,R$2,$A223)</f>
        <v>-425608630.59000003</v>
      </c>
      <c r="S223" s="10">
        <f>_xll.DBRW($C$1,$C$2,$C$3,$C$4,$C$6,$C$5,$C$7,S$1,S$2,$A223)</f>
        <v>-478163791.12</v>
      </c>
      <c r="T223" s="10">
        <f>_xll.DBRW($C$1,$C$2,$C$3,$C$4,$C$6,$C$5,$C$7,T$1,T$2,$A223)</f>
        <v>-536609776.49000001</v>
      </c>
      <c r="U223" s="10">
        <f>_xll.DBRW($C$1,$C$2,$C$3,$C$4,$C$6,$C$5,$C$7,U$1,U$2,$A223)</f>
        <v>-536609776.49000001</v>
      </c>
      <c r="V223" s="10">
        <f>_xll.DBRW($C$1,$C$2,$C$3,$C$4,$C$6,$C$5,$C$7,V$1,V$2,$A223)</f>
        <v>0</v>
      </c>
      <c r="W223" s="10">
        <f>_xll.DBRW($C$1,$C$2,$C$3,$C$4,$C$6,$C$5,$C$7,W$1,W$2,$A223)</f>
        <v>0</v>
      </c>
      <c r="X223" s="10">
        <f>_xll.DBRW($C$1,$C$2,$C$3,$C$4,$C$6,$C$5,$C$7,X$1,X$2,$A223)</f>
        <v>0</v>
      </c>
      <c r="Y223" s="10">
        <f>_xll.DBRW($C$1,$C$2,$C$3,$C$4,$C$6,$C$5,$C$7,Y$1,Y$2,$A223)</f>
        <v>0</v>
      </c>
      <c r="Z223" s="10">
        <f>_xll.DBRW($C$1,$C$2,$C$3,$C$4,$C$6,$C$5,$C$7,Z$1,Z$2,$A223)</f>
        <v>0</v>
      </c>
      <c r="AA223" s="10">
        <f>_xll.DBRW($C$1,$C$2,$C$3,$C$4,$C$6,$C$5,$C$7,AA$1,AA$2,$A223)</f>
        <v>0</v>
      </c>
      <c r="AB223" s="10">
        <f>_xll.DBRW($C$1,$C$2,$C$3,$C$4,$C$6,$C$5,$C$7,AB$1,AB$2,$A223)</f>
        <v>0</v>
      </c>
      <c r="AC223" s="10">
        <f>_xll.DBRW($C$1,$C$2,$C$3,$C$4,$C$6,$C$5,$C$7,AC$1,AC$2,$A223)</f>
        <v>0</v>
      </c>
      <c r="AD223" s="10">
        <f>_xll.DBRW($C$1,$C$2,$C$3,$C$4,$C$6,$C$5,$C$7,AD$1,AD$2,$A223)</f>
        <v>0</v>
      </c>
      <c r="AE223" s="10">
        <f>_xll.DBRW($C$1,$C$2,$C$3,$C$4,$C$6,$C$5,$C$7,AE$1,AE$2,$A223)</f>
        <v>0</v>
      </c>
      <c r="AF223" s="10">
        <f>_xll.DBRW($C$1,$C$2,$C$3,$C$4,$C$6,$C$5,$C$7,AF$1,AF$2,$A223)</f>
        <v>0</v>
      </c>
      <c r="AG223" s="10">
        <f>_xll.DBRW($C$1,$C$2,$C$3,$C$4,$C$6,$C$5,$C$7,AG$1,AG$2,$A223)</f>
        <v>0</v>
      </c>
      <c r="AH223" s="23">
        <f>_xll.DBRW($C$1,$C$2,$C$3,$C$4,$C$6,$C$5,$C$7,AH$1,AH$2,$A223)</f>
        <v>0</v>
      </c>
      <c r="AI223" s="10">
        <f>_xll.DBRW($C$1,$C$2,$C$3,$C$4,$C$6,$C$5,$C$7,AI$1,AI$2,$A223)</f>
        <v>0</v>
      </c>
      <c r="AJ223" s="10">
        <f>_xll.DBRW($C$1,$C$2,$C$3,$C$4,$C$6,$C$5,$C$7,AJ$1,AJ$2,$A223)</f>
        <v>0</v>
      </c>
      <c r="AK223" s="10">
        <f>_xll.DBRW($C$1,$C$2,$C$3,$C$4,$C$6,$C$5,$C$7,AK$1,AK$2,$A223)</f>
        <v>0</v>
      </c>
      <c r="AL223" s="10">
        <f>_xll.DBRW($C$1,$C$2,$C$3,$C$4,$C$6,$C$5,$C$7,AL$1,AL$2,$A223)</f>
        <v>0</v>
      </c>
      <c r="AM223" s="10">
        <f>_xll.DBRW($C$1,$C$2,$C$3,$C$4,$C$6,$C$5,$C$7,AM$1,AM$2,$A223)</f>
        <v>0</v>
      </c>
      <c r="AN223" s="10">
        <f>_xll.DBRW($C$1,$C$2,$C$3,$C$4,$C$6,$C$5,$C$7,AN$1,AN$2,$A223)</f>
        <v>0</v>
      </c>
      <c r="AO223" s="10">
        <f>_xll.DBRW($C$1,$C$2,$C$3,$C$4,$C$6,$C$5,$C$7,AO$1,AO$2,$A223)</f>
        <v>0</v>
      </c>
      <c r="AP223" s="10">
        <f>_xll.DBRW($C$1,$C$2,$C$3,$C$4,$C$6,$C$5,$C$7,AP$1,AP$2,$A223)</f>
        <v>0</v>
      </c>
      <c r="AQ223" s="10">
        <f>_xll.DBRW($C$1,$C$2,$C$3,$C$4,$C$6,$C$5,$C$7,AQ$1,AQ$2,$A223)</f>
        <v>0</v>
      </c>
      <c r="AR223" s="10">
        <f>_xll.DBRW($C$1,$C$2,$C$3,$C$4,$C$6,$C$5,$C$7,AR$1,AR$2,$A223)</f>
        <v>0</v>
      </c>
      <c r="AS223" s="10">
        <f>_xll.DBRW($C$1,$C$2,$C$3,$C$4,$C$6,$C$5,$C$7,AS$1,AS$2,$A223)</f>
        <v>0</v>
      </c>
      <c r="AT223" s="10">
        <f>_xll.DBRW($C$1,$C$2,$C$3,$C$4,$C$6,$C$5,$C$7,AT$1,AT$2,$A223)</f>
        <v>0</v>
      </c>
      <c r="AU223" s="10">
        <f>_xll.DBRW($C$1,$C$2,$C$3,$C$4,$C$6,$C$5,$C$7,AU$1,AU$2,$A223)</f>
        <v>0</v>
      </c>
    </row>
    <row r="224" spans="1:47" ht="15.75" hidden="1" customHeight="1" outlineLevel="1">
      <c r="A224" s="1" t="s">
        <v>296</v>
      </c>
      <c r="C224" s="143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  <c r="I224" s="10">
        <f>_xll.DBRW($C$1,$C$2,$C$3,$C$4,$C$6,$C$5,$C$7,I$1,I$2,$A224)</f>
        <v>0</v>
      </c>
      <c r="J224" s="10">
        <f>_xll.DBRW($C$1,$C$2,$C$3,$C$4,$C$6,$C$5,$C$7,J$1,J$2,$A224)</f>
        <v>0</v>
      </c>
      <c r="K224" s="10">
        <f>_xll.DBRW($C$1,$C$2,$C$3,$C$4,$C$6,$C$5,$C$7,K$1,K$2,$A224)</f>
        <v>0</v>
      </c>
      <c r="L224" s="10">
        <f>_xll.DBRW($C$1,$C$2,$C$3,$C$4,$C$6,$C$5,$C$7,L$1,L$2,$A224)</f>
        <v>0</v>
      </c>
      <c r="M224" s="10">
        <f>_xll.DBRW($C$1,$C$2,$C$3,$C$4,$C$6,$C$5,$C$7,M$1,M$2,$A224)</f>
        <v>0</v>
      </c>
      <c r="N224" s="10">
        <f>_xll.DBRW($C$1,$C$2,$C$3,$C$4,$C$6,$C$5,$C$7,N$1,N$2,$A224)</f>
        <v>0</v>
      </c>
      <c r="O224" s="10">
        <f>_xll.DBRW($C$1,$C$2,$C$3,$C$4,$C$6,$C$5,$C$7,O$1,O$2,$A224)</f>
        <v>0</v>
      </c>
      <c r="P224" s="10">
        <f>_xll.DBRW($C$1,$C$2,$C$3,$C$4,$C$6,$C$5,$C$7,P$1,P$2,$A224)</f>
        <v>0</v>
      </c>
      <c r="Q224" s="10">
        <f>_xll.DBRW($C$1,$C$2,$C$3,$C$4,$C$6,$C$5,$C$7,Q$1,Q$2,$A224)</f>
        <v>0</v>
      </c>
      <c r="R224" s="10">
        <f>_xll.DBRW($C$1,$C$2,$C$3,$C$4,$C$6,$C$5,$C$7,R$1,R$2,$A224)</f>
        <v>0</v>
      </c>
      <c r="S224" s="10">
        <f>_xll.DBRW($C$1,$C$2,$C$3,$C$4,$C$6,$C$5,$C$7,S$1,S$2,$A224)</f>
        <v>0</v>
      </c>
      <c r="T224" s="10">
        <f>_xll.DBRW($C$1,$C$2,$C$3,$C$4,$C$6,$C$5,$C$7,T$1,T$2,$A224)</f>
        <v>0</v>
      </c>
      <c r="U224" s="10">
        <f>_xll.DBRW($C$1,$C$2,$C$3,$C$4,$C$6,$C$5,$C$7,U$1,U$2,$A224)</f>
        <v>0</v>
      </c>
      <c r="V224" s="10">
        <f>_xll.DBRW($C$1,$C$2,$C$3,$C$4,$C$6,$C$5,$C$7,V$1,V$2,$A224)</f>
        <v>0</v>
      </c>
      <c r="W224" s="10">
        <f>_xll.DBRW($C$1,$C$2,$C$3,$C$4,$C$6,$C$5,$C$7,W$1,W$2,$A224)</f>
        <v>0</v>
      </c>
      <c r="X224" s="10">
        <f>_xll.DBRW($C$1,$C$2,$C$3,$C$4,$C$6,$C$5,$C$7,X$1,X$2,$A224)</f>
        <v>0</v>
      </c>
      <c r="Y224" s="10">
        <f>_xll.DBRW($C$1,$C$2,$C$3,$C$4,$C$6,$C$5,$C$7,Y$1,Y$2,$A224)</f>
        <v>0</v>
      </c>
      <c r="Z224" s="10">
        <f>_xll.DBRW($C$1,$C$2,$C$3,$C$4,$C$6,$C$5,$C$7,Z$1,Z$2,$A224)</f>
        <v>0</v>
      </c>
      <c r="AA224" s="10">
        <f>_xll.DBRW($C$1,$C$2,$C$3,$C$4,$C$6,$C$5,$C$7,AA$1,AA$2,$A224)</f>
        <v>0</v>
      </c>
      <c r="AB224" s="10">
        <f>_xll.DBRW($C$1,$C$2,$C$3,$C$4,$C$6,$C$5,$C$7,AB$1,AB$2,$A224)</f>
        <v>0</v>
      </c>
      <c r="AC224" s="10">
        <f>_xll.DBRW($C$1,$C$2,$C$3,$C$4,$C$6,$C$5,$C$7,AC$1,AC$2,$A224)</f>
        <v>0</v>
      </c>
      <c r="AD224" s="10">
        <f>_xll.DBRW($C$1,$C$2,$C$3,$C$4,$C$6,$C$5,$C$7,AD$1,AD$2,$A224)</f>
        <v>0</v>
      </c>
      <c r="AE224" s="10">
        <f>_xll.DBRW($C$1,$C$2,$C$3,$C$4,$C$6,$C$5,$C$7,AE$1,AE$2,$A224)</f>
        <v>0</v>
      </c>
      <c r="AF224" s="10">
        <f>_xll.DBRW($C$1,$C$2,$C$3,$C$4,$C$6,$C$5,$C$7,AF$1,AF$2,$A224)</f>
        <v>0</v>
      </c>
      <c r="AG224" s="10">
        <f>_xll.DBRW($C$1,$C$2,$C$3,$C$4,$C$6,$C$5,$C$7,AG$1,AG$2,$A224)</f>
        <v>0</v>
      </c>
      <c r="AH224" s="23">
        <f>_xll.DBRW($C$1,$C$2,$C$3,$C$4,$C$6,$C$5,$C$7,AH$1,AH$2,$A224)</f>
        <v>0</v>
      </c>
      <c r="AI224" s="10">
        <f>_xll.DBRW($C$1,$C$2,$C$3,$C$4,$C$6,$C$5,$C$7,AI$1,AI$2,$A224)</f>
        <v>0</v>
      </c>
      <c r="AJ224" s="10">
        <f>_xll.DBRW($C$1,$C$2,$C$3,$C$4,$C$6,$C$5,$C$7,AJ$1,AJ$2,$A224)</f>
        <v>0</v>
      </c>
      <c r="AK224" s="10">
        <f>_xll.DBRW($C$1,$C$2,$C$3,$C$4,$C$6,$C$5,$C$7,AK$1,AK$2,$A224)</f>
        <v>0</v>
      </c>
      <c r="AL224" s="10">
        <f>_xll.DBRW($C$1,$C$2,$C$3,$C$4,$C$6,$C$5,$C$7,AL$1,AL$2,$A224)</f>
        <v>0</v>
      </c>
      <c r="AM224" s="10">
        <f>_xll.DBRW($C$1,$C$2,$C$3,$C$4,$C$6,$C$5,$C$7,AM$1,AM$2,$A224)</f>
        <v>0</v>
      </c>
      <c r="AN224" s="10">
        <f>_xll.DBRW($C$1,$C$2,$C$3,$C$4,$C$6,$C$5,$C$7,AN$1,AN$2,$A224)</f>
        <v>0</v>
      </c>
      <c r="AO224" s="10">
        <f>_xll.DBRW($C$1,$C$2,$C$3,$C$4,$C$6,$C$5,$C$7,AO$1,AO$2,$A224)</f>
        <v>0</v>
      </c>
      <c r="AP224" s="10">
        <f>_xll.DBRW($C$1,$C$2,$C$3,$C$4,$C$6,$C$5,$C$7,AP$1,AP$2,$A224)</f>
        <v>0</v>
      </c>
      <c r="AQ224" s="10">
        <f>_xll.DBRW($C$1,$C$2,$C$3,$C$4,$C$6,$C$5,$C$7,AQ$1,AQ$2,$A224)</f>
        <v>0</v>
      </c>
      <c r="AR224" s="10">
        <f>_xll.DBRW($C$1,$C$2,$C$3,$C$4,$C$6,$C$5,$C$7,AR$1,AR$2,$A224)</f>
        <v>0</v>
      </c>
      <c r="AS224" s="10">
        <f>_xll.DBRW($C$1,$C$2,$C$3,$C$4,$C$6,$C$5,$C$7,AS$1,AS$2,$A224)</f>
        <v>0</v>
      </c>
      <c r="AT224" s="10">
        <f>_xll.DBRW($C$1,$C$2,$C$3,$C$4,$C$6,$C$5,$C$7,AT$1,AT$2,$A224)</f>
        <v>0</v>
      </c>
      <c r="AU224" s="10">
        <f>_xll.DBRW($C$1,$C$2,$C$3,$C$4,$C$6,$C$5,$C$7,AU$1,AU$2,$A224)</f>
        <v>0</v>
      </c>
    </row>
    <row r="225" spans="1:47" ht="15.75" hidden="1" outlineLevel="1" collapsed="1">
      <c r="A225" s="1" t="s">
        <v>127</v>
      </c>
      <c r="C225" s="143"/>
      <c r="E225" s="14" t="s">
        <v>43</v>
      </c>
      <c r="F225" s="37">
        <f t="shared" ref="F225:T225" si="88">F224+F223</f>
        <v>-113122868.85000002</v>
      </c>
      <c r="G225" s="37">
        <f t="shared" si="88"/>
        <v>-73281555.019999966</v>
      </c>
      <c r="H225" s="37">
        <f t="shared" si="88"/>
        <v>-501781086.42999977</v>
      </c>
      <c r="I225" s="37">
        <f t="shared" si="88"/>
        <v>-41304514.549999997</v>
      </c>
      <c r="J225" s="37">
        <f t="shared" si="88"/>
        <v>-41807407.779999994</v>
      </c>
      <c r="K225" s="37">
        <f t="shared" si="88"/>
        <v>-137988216.76999998</v>
      </c>
      <c r="L225" s="37">
        <f t="shared" si="88"/>
        <v>-175582211.04999998</v>
      </c>
      <c r="M225" s="37">
        <f t="shared" si="88"/>
        <v>-227150858.27999994</v>
      </c>
      <c r="N225" s="37">
        <f t="shared" si="88"/>
        <v>-257468231.87999994</v>
      </c>
      <c r="O225" s="37">
        <f t="shared" si="88"/>
        <v>-301843243.66999996</v>
      </c>
      <c r="P225" s="37">
        <f t="shared" si="88"/>
        <v>-380270228.74000001</v>
      </c>
      <c r="Q225" s="37">
        <f t="shared" si="88"/>
        <v>-418896426.36000001</v>
      </c>
      <c r="R225" s="37">
        <f t="shared" si="88"/>
        <v>-425608630.59000003</v>
      </c>
      <c r="S225" s="37">
        <f t="shared" si="88"/>
        <v>-478163791.12</v>
      </c>
      <c r="T225" s="37">
        <f t="shared" si="88"/>
        <v>-536609776.49000001</v>
      </c>
      <c r="U225" s="37">
        <f>U224+U223</f>
        <v>-536609776.49000001</v>
      </c>
      <c r="V225" s="37">
        <f t="shared" ref="V225:AG225" si="89">V224+V223</f>
        <v>0</v>
      </c>
      <c r="W225" s="37">
        <f t="shared" si="89"/>
        <v>0</v>
      </c>
      <c r="X225" s="37">
        <f t="shared" si="89"/>
        <v>0</v>
      </c>
      <c r="Y225" s="37">
        <f t="shared" si="89"/>
        <v>0</v>
      </c>
      <c r="Z225" s="37">
        <f t="shared" si="89"/>
        <v>0</v>
      </c>
      <c r="AA225" s="37">
        <f t="shared" si="89"/>
        <v>0</v>
      </c>
      <c r="AB225" s="37">
        <f t="shared" si="89"/>
        <v>0</v>
      </c>
      <c r="AC225" s="37">
        <f t="shared" si="89"/>
        <v>0</v>
      </c>
      <c r="AD225" s="37">
        <f t="shared" si="89"/>
        <v>0</v>
      </c>
      <c r="AE225" s="37">
        <f t="shared" si="89"/>
        <v>0</v>
      </c>
      <c r="AF225" s="37">
        <f t="shared" si="89"/>
        <v>0</v>
      </c>
      <c r="AG225" s="37">
        <f t="shared" si="89"/>
        <v>0</v>
      </c>
      <c r="AH225" s="37">
        <f>AH224+AH223</f>
        <v>0</v>
      </c>
      <c r="AI225" s="37">
        <f t="shared" ref="AI225:AT225" si="90">AI224+AI223</f>
        <v>0</v>
      </c>
      <c r="AJ225" s="37">
        <f t="shared" si="90"/>
        <v>0</v>
      </c>
      <c r="AK225" s="37">
        <f t="shared" si="90"/>
        <v>0</v>
      </c>
      <c r="AL225" s="37">
        <f t="shared" si="90"/>
        <v>0</v>
      </c>
      <c r="AM225" s="37">
        <f t="shared" si="90"/>
        <v>0</v>
      </c>
      <c r="AN225" s="37">
        <f t="shared" si="90"/>
        <v>0</v>
      </c>
      <c r="AO225" s="37">
        <f t="shared" si="90"/>
        <v>0</v>
      </c>
      <c r="AP225" s="37">
        <f t="shared" si="90"/>
        <v>0</v>
      </c>
      <c r="AQ225" s="37">
        <f t="shared" si="90"/>
        <v>0</v>
      </c>
      <c r="AR225" s="37">
        <f t="shared" si="90"/>
        <v>0</v>
      </c>
      <c r="AS225" s="37">
        <f t="shared" si="90"/>
        <v>0</v>
      </c>
      <c r="AT225" s="37">
        <f t="shared" si="90"/>
        <v>0</v>
      </c>
      <c r="AU225" s="37">
        <f>AU224+AU223</f>
        <v>0</v>
      </c>
    </row>
    <row r="226" spans="1:47" ht="15.75" hidden="1" customHeight="1" outlineLevel="2">
      <c r="A226" s="1" t="s">
        <v>297</v>
      </c>
      <c r="C226" s="143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-103478380.75999999</v>
      </c>
      <c r="G226" s="32">
        <f>_xll.DBRW($C$1,$C$2,$C$3,$C$4,$C$6,$C$5,$C$7,G$1,G$2,$A226)</f>
        <v>-137668382.00999999</v>
      </c>
      <c r="H226" s="32">
        <f>_xll.DBRW($C$1,$C$2,$C$3,$C$4,$C$6,$C$5,$C$7,H$1,H$2,$A226)</f>
        <v>-18708583.209999997</v>
      </c>
      <c r="I226" s="32">
        <f>_xll.DBRW($C$1,$C$2,$C$3,$C$4,$C$6,$C$5,$C$7,I$1,I$2,$A226)</f>
        <v>-376157.03000000009</v>
      </c>
      <c r="J226" s="32">
        <f>_xll.DBRW($C$1,$C$2,$C$3,$C$4,$C$6,$C$5,$C$7,J$1,J$2,$A226)</f>
        <v>-2670505.7799999998</v>
      </c>
      <c r="K226" s="32">
        <f>_xll.DBRW($C$1,$C$2,$C$3,$C$4,$C$6,$C$5,$C$7,K$1,K$2,$A226)</f>
        <v>-4107288.86</v>
      </c>
      <c r="L226" s="32">
        <f>_xll.DBRW($C$1,$C$2,$C$3,$C$4,$C$6,$C$5,$C$7,L$1,L$2,$A226)</f>
        <v>-5810353.2699999996</v>
      </c>
      <c r="M226" s="32">
        <f>_xll.DBRW($C$1,$C$2,$C$3,$C$4,$C$6,$C$5,$C$7,M$1,M$2,$A226)</f>
        <v>-7276090.1499999994</v>
      </c>
      <c r="N226" s="32">
        <f>_xll.DBRW($C$1,$C$2,$C$3,$C$4,$C$6,$C$5,$C$7,N$1,N$2,$A226)</f>
        <v>-8887882.0099999998</v>
      </c>
      <c r="O226" s="32">
        <f>_xll.DBRW($C$1,$C$2,$C$3,$C$4,$C$6,$C$5,$C$7,O$1,O$2,$A226)</f>
        <v>-2791575.3</v>
      </c>
      <c r="P226" s="32">
        <f>_xll.DBRW($C$1,$C$2,$C$3,$C$4,$C$6,$C$5,$C$7,P$1,P$2,$A226)</f>
        <v>-11876784.459999997</v>
      </c>
      <c r="Q226" s="32">
        <f>_xll.DBRW($C$1,$C$2,$C$3,$C$4,$C$6,$C$5,$C$7,Q$1,Q$2,$A226)</f>
        <v>-13416684.609999998</v>
      </c>
      <c r="R226" s="32">
        <f>_xll.DBRW($C$1,$C$2,$C$3,$C$4,$C$6,$C$5,$C$7,R$1,R$2,$A226)</f>
        <v>-4517052.8799999971</v>
      </c>
      <c r="S226" s="32">
        <f>_xll.DBRW($C$1,$C$2,$C$3,$C$4,$C$6,$C$5,$C$7,S$1,S$2,$A226)</f>
        <v>-8838103.7499999963</v>
      </c>
      <c r="T226" s="32">
        <f>_xll.DBRW($C$1,$C$2,$C$3,$C$4,$C$6,$C$5,$C$7,T$1,T$2,$A226)</f>
        <v>-18654778.509999998</v>
      </c>
      <c r="U226" s="32">
        <f>_xll.DBRW($C$1,$C$2,$C$3,$C$4,$C$6,$C$5,$C$7,U$1,U$2,$A226)</f>
        <v>-18654778.509999998</v>
      </c>
      <c r="V226" s="32">
        <f>_xll.DBRW($C$1,$C$2,$C$3,$C$4,$C$6,$C$5,$C$7,V$1,V$2,$A226)</f>
        <v>0</v>
      </c>
      <c r="W226" s="32">
        <f>_xll.DBRW($C$1,$C$2,$C$3,$C$4,$C$6,$C$5,$C$7,W$1,W$2,$A226)</f>
        <v>0</v>
      </c>
      <c r="X226" s="32">
        <f>_xll.DBRW($C$1,$C$2,$C$3,$C$4,$C$6,$C$5,$C$7,X$1,X$2,$A226)</f>
        <v>0</v>
      </c>
      <c r="Y226" s="32">
        <f>_xll.DBRW($C$1,$C$2,$C$3,$C$4,$C$6,$C$5,$C$7,Y$1,Y$2,$A226)</f>
        <v>0</v>
      </c>
      <c r="Z226" s="32">
        <f>_xll.DBRW($C$1,$C$2,$C$3,$C$4,$C$6,$C$5,$C$7,Z$1,Z$2,$A226)</f>
        <v>0</v>
      </c>
      <c r="AA226" s="32">
        <f>_xll.DBRW($C$1,$C$2,$C$3,$C$4,$C$6,$C$5,$C$7,AA$1,AA$2,$A226)</f>
        <v>0</v>
      </c>
      <c r="AB226" s="32">
        <f>_xll.DBRW($C$1,$C$2,$C$3,$C$4,$C$6,$C$5,$C$7,AB$1,AB$2,$A226)</f>
        <v>0</v>
      </c>
      <c r="AC226" s="32">
        <f>_xll.DBRW($C$1,$C$2,$C$3,$C$4,$C$6,$C$5,$C$7,AC$1,AC$2,$A226)</f>
        <v>0</v>
      </c>
      <c r="AD226" s="32">
        <f>_xll.DBRW($C$1,$C$2,$C$3,$C$4,$C$6,$C$5,$C$7,AD$1,AD$2,$A226)</f>
        <v>0</v>
      </c>
      <c r="AE226" s="32">
        <f>_xll.DBRW($C$1,$C$2,$C$3,$C$4,$C$6,$C$5,$C$7,AE$1,AE$2,$A226)</f>
        <v>0</v>
      </c>
      <c r="AF226" s="32">
        <f>_xll.DBRW($C$1,$C$2,$C$3,$C$4,$C$6,$C$5,$C$7,AF$1,AF$2,$A226)</f>
        <v>0</v>
      </c>
      <c r="AG226" s="32">
        <f>_xll.DBRW($C$1,$C$2,$C$3,$C$4,$C$6,$C$5,$C$7,AG$1,AG$2,$A226)</f>
        <v>0</v>
      </c>
      <c r="AH226" s="32">
        <f>_xll.DBRW($C$1,$C$2,$C$3,$C$4,$C$6,$C$5,$C$7,AH$1,AH$2,$A226)</f>
        <v>0</v>
      </c>
      <c r="AI226" s="32">
        <f>_xll.DBRW($C$1,$C$2,$C$3,$C$4,$C$6,$C$5,$C$7,AI$1,AI$2,$A226)</f>
        <v>0</v>
      </c>
      <c r="AJ226" s="32">
        <f>_xll.DBRW($C$1,$C$2,$C$3,$C$4,$C$6,$C$5,$C$7,AJ$1,AJ$2,$A226)</f>
        <v>0</v>
      </c>
      <c r="AK226" s="32">
        <f>_xll.DBRW($C$1,$C$2,$C$3,$C$4,$C$6,$C$5,$C$7,AK$1,AK$2,$A226)</f>
        <v>0</v>
      </c>
      <c r="AL226" s="32">
        <f>_xll.DBRW($C$1,$C$2,$C$3,$C$4,$C$6,$C$5,$C$7,AL$1,AL$2,$A226)</f>
        <v>0</v>
      </c>
      <c r="AM226" s="32">
        <f>_xll.DBRW($C$1,$C$2,$C$3,$C$4,$C$6,$C$5,$C$7,AM$1,AM$2,$A226)</f>
        <v>0</v>
      </c>
      <c r="AN226" s="32">
        <f>_xll.DBRW($C$1,$C$2,$C$3,$C$4,$C$6,$C$5,$C$7,AN$1,AN$2,$A226)</f>
        <v>0</v>
      </c>
      <c r="AO226" s="32">
        <f>_xll.DBRW($C$1,$C$2,$C$3,$C$4,$C$6,$C$5,$C$7,AO$1,AO$2,$A226)</f>
        <v>0</v>
      </c>
      <c r="AP226" s="32">
        <f>_xll.DBRW($C$1,$C$2,$C$3,$C$4,$C$6,$C$5,$C$7,AP$1,AP$2,$A226)</f>
        <v>0</v>
      </c>
      <c r="AQ226" s="32">
        <f>_xll.DBRW($C$1,$C$2,$C$3,$C$4,$C$6,$C$5,$C$7,AQ$1,AQ$2,$A226)</f>
        <v>0</v>
      </c>
      <c r="AR226" s="32">
        <f>_xll.DBRW($C$1,$C$2,$C$3,$C$4,$C$6,$C$5,$C$7,AR$1,AR$2,$A226)</f>
        <v>0</v>
      </c>
      <c r="AS226" s="32">
        <f>_xll.DBRW($C$1,$C$2,$C$3,$C$4,$C$6,$C$5,$C$7,AS$1,AS$2,$A226)</f>
        <v>0</v>
      </c>
      <c r="AT226" s="32">
        <f>_xll.DBRW($C$1,$C$2,$C$3,$C$4,$C$6,$C$5,$C$7,AT$1,AT$2,$A226)</f>
        <v>0</v>
      </c>
      <c r="AU226" s="32">
        <f>_xll.DBRW($C$1,$C$2,$C$3,$C$4,$C$6,$C$5,$C$7,AU$1,AU$2,$A226)</f>
        <v>0</v>
      </c>
    </row>
    <row r="227" spans="1:47" ht="15.75" hidden="1" outlineLevel="1">
      <c r="A227" s="1" t="s">
        <v>127</v>
      </c>
      <c r="C227" s="143"/>
      <c r="E227" s="15" t="s">
        <v>44</v>
      </c>
      <c r="F227" s="38">
        <f t="shared" ref="F227:T227" si="91">F226</f>
        <v>-103478380.75999999</v>
      </c>
      <c r="G227" s="38">
        <f t="shared" si="91"/>
        <v>-137668382.00999999</v>
      </c>
      <c r="H227" s="38">
        <f t="shared" si="91"/>
        <v>-18708583.209999997</v>
      </c>
      <c r="I227" s="38">
        <f t="shared" si="91"/>
        <v>-376157.03000000009</v>
      </c>
      <c r="J227" s="38">
        <f t="shared" si="91"/>
        <v>-2670505.7799999998</v>
      </c>
      <c r="K227" s="38">
        <f t="shared" si="91"/>
        <v>-4107288.86</v>
      </c>
      <c r="L227" s="38">
        <f t="shared" si="91"/>
        <v>-5810353.2699999996</v>
      </c>
      <c r="M227" s="38">
        <f t="shared" si="91"/>
        <v>-7276090.1499999994</v>
      </c>
      <c r="N227" s="38">
        <f t="shared" si="91"/>
        <v>-8887882.0099999998</v>
      </c>
      <c r="O227" s="38">
        <f t="shared" si="91"/>
        <v>-2791575.3</v>
      </c>
      <c r="P227" s="38">
        <f t="shared" si="91"/>
        <v>-11876784.459999997</v>
      </c>
      <c r="Q227" s="38">
        <f t="shared" si="91"/>
        <v>-13416684.609999998</v>
      </c>
      <c r="R227" s="38">
        <f t="shared" si="91"/>
        <v>-4517052.8799999971</v>
      </c>
      <c r="S227" s="38">
        <f t="shared" si="91"/>
        <v>-8838103.7499999963</v>
      </c>
      <c r="T227" s="38">
        <f t="shared" si="91"/>
        <v>-18654778.509999998</v>
      </c>
      <c r="U227" s="38">
        <f>U226</f>
        <v>-18654778.509999998</v>
      </c>
      <c r="V227" s="38">
        <f>V226</f>
        <v>0</v>
      </c>
      <c r="W227" s="38">
        <f t="shared" ref="W227:AG227" si="92">W226</f>
        <v>0</v>
      </c>
      <c r="X227" s="38">
        <f t="shared" si="92"/>
        <v>0</v>
      </c>
      <c r="Y227" s="38">
        <f t="shared" si="92"/>
        <v>0</v>
      </c>
      <c r="Z227" s="38">
        <f t="shared" si="92"/>
        <v>0</v>
      </c>
      <c r="AA227" s="38">
        <f t="shared" si="92"/>
        <v>0</v>
      </c>
      <c r="AB227" s="38">
        <f t="shared" si="92"/>
        <v>0</v>
      </c>
      <c r="AC227" s="38">
        <f t="shared" si="92"/>
        <v>0</v>
      </c>
      <c r="AD227" s="38">
        <f t="shared" si="92"/>
        <v>0</v>
      </c>
      <c r="AE227" s="38">
        <f t="shared" si="92"/>
        <v>0</v>
      </c>
      <c r="AF227" s="38">
        <f t="shared" si="92"/>
        <v>0</v>
      </c>
      <c r="AG227" s="38">
        <f t="shared" si="92"/>
        <v>0</v>
      </c>
      <c r="AH227" s="38">
        <f>AH226</f>
        <v>0</v>
      </c>
      <c r="AI227" s="38">
        <f>AI226</f>
        <v>0</v>
      </c>
      <c r="AJ227" s="38">
        <f t="shared" ref="AJ227:AT227" si="93">AJ226</f>
        <v>0</v>
      </c>
      <c r="AK227" s="38">
        <f t="shared" si="93"/>
        <v>0</v>
      </c>
      <c r="AL227" s="38">
        <f t="shared" si="93"/>
        <v>0</v>
      </c>
      <c r="AM227" s="38">
        <f t="shared" si="93"/>
        <v>0</v>
      </c>
      <c r="AN227" s="38">
        <f t="shared" si="93"/>
        <v>0</v>
      </c>
      <c r="AO227" s="38">
        <f t="shared" si="93"/>
        <v>0</v>
      </c>
      <c r="AP227" s="38">
        <f t="shared" si="93"/>
        <v>0</v>
      </c>
      <c r="AQ227" s="38">
        <f t="shared" si="93"/>
        <v>0</v>
      </c>
      <c r="AR227" s="38">
        <f t="shared" si="93"/>
        <v>0</v>
      </c>
      <c r="AS227" s="38">
        <f t="shared" si="93"/>
        <v>0</v>
      </c>
      <c r="AT227" s="38">
        <f t="shared" si="93"/>
        <v>0</v>
      </c>
      <c r="AU227" s="38">
        <f>AU226</f>
        <v>0</v>
      </c>
    </row>
    <row r="228" spans="1:47" ht="15.75" hidden="1" customHeight="1" outlineLevel="2">
      <c r="A228" s="1" t="s">
        <v>298</v>
      </c>
      <c r="C228" s="143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-371800936.00300002</v>
      </c>
      <c r="G228" s="32">
        <f>_xll.DBRW($C$1,$C$2,$C$3,$C$4,$C$6,$C$5,$C$7,G$1,G$2,$A228)</f>
        <v>-356793760.33679998</v>
      </c>
      <c r="H228" s="32">
        <f>_xll.DBRW($C$1,$C$2,$C$3,$C$4,$C$6,$C$5,$C$7,H$1,H$2,$A228)</f>
        <v>-940166084.03420007</v>
      </c>
      <c r="I228" s="32">
        <f>_xll.DBRW($C$1,$C$2,$C$3,$C$4,$C$6,$C$5,$C$7,I$1,I$2,$A228)</f>
        <v>-215775996.21999997</v>
      </c>
      <c r="J228" s="32">
        <f>_xll.DBRW($C$1,$C$2,$C$3,$C$4,$C$6,$C$5,$C$7,J$1,J$2,$A228)</f>
        <v>-73476905.655999988</v>
      </c>
      <c r="K228" s="32">
        <f>_xll.DBRW($C$1,$C$2,$C$3,$C$4,$C$6,$C$5,$C$7,K$1,K$2,$A228)</f>
        <v>-259805548.66199994</v>
      </c>
      <c r="L228" s="32">
        <f>_xll.DBRW($C$1,$C$2,$C$3,$C$4,$C$6,$C$5,$C$7,L$1,L$2,$A228)</f>
        <v>-325807741.83799994</v>
      </c>
      <c r="M228" s="32">
        <f>_xll.DBRW($C$1,$C$2,$C$3,$C$4,$C$6,$C$5,$C$7,M$1,M$2,$A228)</f>
        <v>-402605038.90399998</v>
      </c>
      <c r="N228" s="32">
        <f>_xll.DBRW($C$1,$C$2,$C$3,$C$4,$C$6,$C$5,$C$7,N$1,N$2,$A228)</f>
        <v>-479757342.50999999</v>
      </c>
      <c r="O228" s="32">
        <f>_xll.DBRW($C$1,$C$2,$C$3,$C$4,$C$6,$C$5,$C$7,O$1,O$2,$A228)</f>
        <v>-555092750.96599996</v>
      </c>
      <c r="P228" s="32">
        <f>_xll.DBRW($C$1,$C$2,$C$3,$C$4,$C$6,$C$5,$C$7,P$1,P$2,$A228)</f>
        <v>-648272335.90199995</v>
      </c>
      <c r="Q228" s="32">
        <f>_xll.DBRW($C$1,$C$2,$C$3,$C$4,$C$6,$C$5,$C$7,Q$1,Q$2,$A228)</f>
        <v>-712087970.7184</v>
      </c>
      <c r="R228" s="32">
        <f>_xll.DBRW($C$1,$C$2,$C$3,$C$4,$C$6,$C$5,$C$7,R$1,R$2,$A228)</f>
        <v>-728852462.73440003</v>
      </c>
      <c r="S228" s="32">
        <f>_xll.DBRW($C$1,$C$2,$C$3,$C$4,$C$6,$C$5,$C$7,S$1,S$2,$A228)</f>
        <v>-795371746.24100006</v>
      </c>
      <c r="T228" s="32">
        <f>_xll.DBRW($C$1,$C$2,$C$3,$C$4,$C$6,$C$5,$C$7,T$1,T$2,$A228)</f>
        <v>-911012679.05040002</v>
      </c>
      <c r="U228" s="32">
        <f>_xll.DBRW($C$1,$C$2,$C$3,$C$4,$C$6,$C$5,$C$7,U$1,U$2,$A228)</f>
        <v>-911012679.05040002</v>
      </c>
      <c r="V228" s="32">
        <f>_xll.DBRW($C$1,$C$2,$C$3,$C$4,$C$6,$C$5,$C$7,V$1,V$2,$A228)</f>
        <v>0</v>
      </c>
      <c r="W228" s="32">
        <f>_xll.DBRW($C$1,$C$2,$C$3,$C$4,$C$6,$C$5,$C$7,W$1,W$2,$A228)</f>
        <v>0</v>
      </c>
      <c r="X228" s="32">
        <f>_xll.DBRW($C$1,$C$2,$C$3,$C$4,$C$6,$C$5,$C$7,X$1,X$2,$A228)</f>
        <v>0</v>
      </c>
      <c r="Y228" s="32">
        <f>_xll.DBRW($C$1,$C$2,$C$3,$C$4,$C$6,$C$5,$C$7,Y$1,Y$2,$A228)</f>
        <v>0</v>
      </c>
      <c r="Z228" s="32">
        <f>_xll.DBRW($C$1,$C$2,$C$3,$C$4,$C$6,$C$5,$C$7,Z$1,Z$2,$A228)</f>
        <v>0</v>
      </c>
      <c r="AA228" s="32">
        <f>_xll.DBRW($C$1,$C$2,$C$3,$C$4,$C$6,$C$5,$C$7,AA$1,AA$2,$A228)</f>
        <v>0</v>
      </c>
      <c r="AB228" s="32">
        <f>_xll.DBRW($C$1,$C$2,$C$3,$C$4,$C$6,$C$5,$C$7,AB$1,AB$2,$A228)</f>
        <v>0</v>
      </c>
      <c r="AC228" s="32">
        <f>_xll.DBRW($C$1,$C$2,$C$3,$C$4,$C$6,$C$5,$C$7,AC$1,AC$2,$A228)</f>
        <v>0</v>
      </c>
      <c r="AD228" s="32">
        <f>_xll.DBRW($C$1,$C$2,$C$3,$C$4,$C$6,$C$5,$C$7,AD$1,AD$2,$A228)</f>
        <v>0</v>
      </c>
      <c r="AE228" s="32">
        <f>_xll.DBRW($C$1,$C$2,$C$3,$C$4,$C$6,$C$5,$C$7,AE$1,AE$2,$A228)</f>
        <v>0</v>
      </c>
      <c r="AF228" s="32">
        <f>_xll.DBRW($C$1,$C$2,$C$3,$C$4,$C$6,$C$5,$C$7,AF$1,AF$2,$A228)</f>
        <v>0</v>
      </c>
      <c r="AG228" s="32">
        <f>_xll.DBRW($C$1,$C$2,$C$3,$C$4,$C$6,$C$5,$C$7,AG$1,AG$2,$A228)</f>
        <v>0</v>
      </c>
      <c r="AH228" s="32">
        <f>_xll.DBRW($C$1,$C$2,$C$3,$C$4,$C$6,$C$5,$C$7,AH$1,AH$2,$A228)</f>
        <v>0</v>
      </c>
      <c r="AI228" s="32">
        <f>_xll.DBRW($C$1,$C$2,$C$3,$C$4,$C$6,$C$5,$C$7,AI$1,AI$2,$A228)</f>
        <v>0</v>
      </c>
      <c r="AJ228" s="32">
        <f>_xll.DBRW($C$1,$C$2,$C$3,$C$4,$C$6,$C$5,$C$7,AJ$1,AJ$2,$A228)</f>
        <v>0</v>
      </c>
      <c r="AK228" s="32">
        <f>_xll.DBRW($C$1,$C$2,$C$3,$C$4,$C$6,$C$5,$C$7,AK$1,AK$2,$A228)</f>
        <v>0</v>
      </c>
      <c r="AL228" s="32">
        <f>_xll.DBRW($C$1,$C$2,$C$3,$C$4,$C$6,$C$5,$C$7,AL$1,AL$2,$A228)</f>
        <v>0</v>
      </c>
      <c r="AM228" s="32">
        <f>_xll.DBRW($C$1,$C$2,$C$3,$C$4,$C$6,$C$5,$C$7,AM$1,AM$2,$A228)</f>
        <v>0</v>
      </c>
      <c r="AN228" s="32">
        <f>_xll.DBRW($C$1,$C$2,$C$3,$C$4,$C$6,$C$5,$C$7,AN$1,AN$2,$A228)</f>
        <v>0</v>
      </c>
      <c r="AO228" s="32">
        <f>_xll.DBRW($C$1,$C$2,$C$3,$C$4,$C$6,$C$5,$C$7,AO$1,AO$2,$A228)</f>
        <v>0</v>
      </c>
      <c r="AP228" s="32">
        <f>_xll.DBRW($C$1,$C$2,$C$3,$C$4,$C$6,$C$5,$C$7,AP$1,AP$2,$A228)</f>
        <v>0</v>
      </c>
      <c r="AQ228" s="32">
        <f>_xll.DBRW($C$1,$C$2,$C$3,$C$4,$C$6,$C$5,$C$7,AQ$1,AQ$2,$A228)</f>
        <v>0</v>
      </c>
      <c r="AR228" s="32">
        <f>_xll.DBRW($C$1,$C$2,$C$3,$C$4,$C$6,$C$5,$C$7,AR$1,AR$2,$A228)</f>
        <v>0</v>
      </c>
      <c r="AS228" s="32">
        <f>_xll.DBRW($C$1,$C$2,$C$3,$C$4,$C$6,$C$5,$C$7,AS$1,AS$2,$A228)</f>
        <v>0</v>
      </c>
      <c r="AT228" s="32">
        <f>_xll.DBRW($C$1,$C$2,$C$3,$C$4,$C$6,$C$5,$C$7,AT$1,AT$2,$A228)</f>
        <v>0</v>
      </c>
      <c r="AU228" s="32">
        <f>_xll.DBRW($C$1,$C$2,$C$3,$C$4,$C$6,$C$5,$C$7,AU$1,AU$2,$A228)</f>
        <v>0</v>
      </c>
    </row>
    <row r="229" spans="1:47" ht="15.75" hidden="1" outlineLevel="1">
      <c r="A229" s="1" t="s">
        <v>298</v>
      </c>
      <c r="C229" s="143"/>
      <c r="E229" s="15" t="s">
        <v>45</v>
      </c>
      <c r="F229" s="38">
        <f t="shared" ref="F229:T229" si="94">F228</f>
        <v>-371800936.00300002</v>
      </c>
      <c r="G229" s="38">
        <f t="shared" si="94"/>
        <v>-356793760.33679998</v>
      </c>
      <c r="H229" s="38">
        <f t="shared" si="94"/>
        <v>-940166084.03420007</v>
      </c>
      <c r="I229" s="38">
        <f t="shared" si="94"/>
        <v>-215775996.21999997</v>
      </c>
      <c r="J229" s="38">
        <f t="shared" si="94"/>
        <v>-73476905.655999988</v>
      </c>
      <c r="K229" s="38">
        <f t="shared" si="94"/>
        <v>-259805548.66199994</v>
      </c>
      <c r="L229" s="38">
        <f t="shared" si="94"/>
        <v>-325807741.83799994</v>
      </c>
      <c r="M229" s="38">
        <f t="shared" si="94"/>
        <v>-402605038.90399998</v>
      </c>
      <c r="N229" s="38">
        <f t="shared" si="94"/>
        <v>-479757342.50999999</v>
      </c>
      <c r="O229" s="38">
        <f t="shared" si="94"/>
        <v>-555092750.96599996</v>
      </c>
      <c r="P229" s="38">
        <f t="shared" si="94"/>
        <v>-648272335.90199995</v>
      </c>
      <c r="Q229" s="38">
        <f t="shared" si="94"/>
        <v>-712087970.7184</v>
      </c>
      <c r="R229" s="38">
        <f t="shared" si="94"/>
        <v>-728852462.73440003</v>
      </c>
      <c r="S229" s="38">
        <f t="shared" si="94"/>
        <v>-795371746.24100006</v>
      </c>
      <c r="T229" s="38">
        <f t="shared" si="94"/>
        <v>-911012679.05040002</v>
      </c>
      <c r="U229" s="38">
        <f>U228</f>
        <v>-911012679.05040002</v>
      </c>
      <c r="V229" s="38">
        <f>V228</f>
        <v>0</v>
      </c>
      <c r="W229" s="38">
        <f t="shared" ref="W229:AG229" si="95">W228</f>
        <v>0</v>
      </c>
      <c r="X229" s="38">
        <f t="shared" si="95"/>
        <v>0</v>
      </c>
      <c r="Y229" s="38">
        <f t="shared" si="95"/>
        <v>0</v>
      </c>
      <c r="Z229" s="38">
        <f t="shared" si="95"/>
        <v>0</v>
      </c>
      <c r="AA229" s="38">
        <f t="shared" si="95"/>
        <v>0</v>
      </c>
      <c r="AB229" s="38">
        <f t="shared" si="95"/>
        <v>0</v>
      </c>
      <c r="AC229" s="38">
        <f t="shared" si="95"/>
        <v>0</v>
      </c>
      <c r="AD229" s="38">
        <f t="shared" si="95"/>
        <v>0</v>
      </c>
      <c r="AE229" s="38">
        <f t="shared" si="95"/>
        <v>0</v>
      </c>
      <c r="AF229" s="38">
        <f t="shared" si="95"/>
        <v>0</v>
      </c>
      <c r="AG229" s="38">
        <f t="shared" si="95"/>
        <v>0</v>
      </c>
      <c r="AH229" s="38">
        <f>AH228</f>
        <v>0</v>
      </c>
      <c r="AI229" s="38">
        <f>AI228</f>
        <v>0</v>
      </c>
      <c r="AJ229" s="38">
        <f t="shared" ref="AJ229:AT229" si="96">AJ228</f>
        <v>0</v>
      </c>
      <c r="AK229" s="38">
        <f t="shared" si="96"/>
        <v>0</v>
      </c>
      <c r="AL229" s="38">
        <f t="shared" si="96"/>
        <v>0</v>
      </c>
      <c r="AM229" s="38">
        <f t="shared" si="96"/>
        <v>0</v>
      </c>
      <c r="AN229" s="38">
        <f t="shared" si="96"/>
        <v>0</v>
      </c>
      <c r="AO229" s="38">
        <f t="shared" si="96"/>
        <v>0</v>
      </c>
      <c r="AP229" s="38">
        <f t="shared" si="96"/>
        <v>0</v>
      </c>
      <c r="AQ229" s="38">
        <f t="shared" si="96"/>
        <v>0</v>
      </c>
      <c r="AR229" s="38">
        <f t="shared" si="96"/>
        <v>0</v>
      </c>
      <c r="AS229" s="38">
        <f t="shared" si="96"/>
        <v>0</v>
      </c>
      <c r="AT229" s="38">
        <f t="shared" si="96"/>
        <v>0</v>
      </c>
      <c r="AU229" s="38">
        <f>AU228</f>
        <v>0</v>
      </c>
    </row>
    <row r="230" spans="1:47" ht="15.75" hidden="1" customHeight="1" outlineLevel="2">
      <c r="A230" s="1" t="s">
        <v>299</v>
      </c>
      <c r="C230" s="143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-1279177971.4100008</v>
      </c>
      <c r="G230" s="32">
        <f>_xll.DBRW($C$1,$C$2,$C$3,$C$4,$C$6,$C$5,$C$7,G$1,G$2,$A230)</f>
        <v>-1339885722.1297994</v>
      </c>
      <c r="H230" s="32">
        <f>_xll.DBRW($C$1,$C$2,$C$3,$C$4,$C$6,$C$5,$C$7,H$1,H$2,$A230)</f>
        <v>-803323626.3300029</v>
      </c>
      <c r="I230" s="32">
        <f>_xll.DBRW($C$1,$C$2,$C$3,$C$4,$C$6,$C$5,$C$7,I$1,I$2,$A230)</f>
        <v>-50679187.860719986</v>
      </c>
      <c r="J230" s="32">
        <f>_xll.DBRW($C$1,$C$2,$C$3,$C$4,$C$6,$C$5,$C$7,J$1,J$2,$A230)</f>
        <v>-111339164.69183598</v>
      </c>
      <c r="K230" s="32">
        <f>_xll.DBRW($C$1,$C$2,$C$3,$C$4,$C$6,$C$5,$C$7,K$1,K$2,$A230)</f>
        <v>-195517656.30843693</v>
      </c>
      <c r="L230" s="32">
        <f>_xll.DBRW($C$1,$C$2,$C$3,$C$4,$C$6,$C$5,$C$7,L$1,L$2,$A230)</f>
        <v>-294630714.08824372</v>
      </c>
      <c r="M230" s="32">
        <f>_xll.DBRW($C$1,$C$2,$C$3,$C$4,$C$6,$C$5,$C$7,M$1,M$2,$A230)</f>
        <v>-360451823.26303804</v>
      </c>
      <c r="N230" s="32">
        <f>_xll.DBRW($C$1,$C$2,$C$3,$C$4,$C$6,$C$5,$C$7,N$1,N$2,$A230)</f>
        <v>-450711222.55551976</v>
      </c>
      <c r="O230" s="32">
        <f>_xll.DBRW($C$1,$C$2,$C$3,$C$4,$C$6,$C$5,$C$7,O$1,O$2,$A230)</f>
        <v>-336738285.16703779</v>
      </c>
      <c r="P230" s="32">
        <f>_xll.DBRW($C$1,$C$2,$C$3,$C$4,$C$6,$C$5,$C$7,P$1,P$2,$A230)</f>
        <v>-567500999.47302818</v>
      </c>
      <c r="Q230" s="32">
        <f>_xll.DBRW($C$1,$C$2,$C$3,$C$4,$C$6,$C$5,$C$7,Q$1,Q$2,$A230)</f>
        <v>-634707915.31305707</v>
      </c>
      <c r="R230" s="32">
        <f>_xll.DBRW($C$1,$C$2,$C$3,$C$4,$C$6,$C$5,$C$7,R$1,R$2,$A230)</f>
        <v>-519634347.9370572</v>
      </c>
      <c r="S230" s="32">
        <f>_xll.DBRW($C$1,$C$2,$C$3,$C$4,$C$6,$C$5,$C$7,S$1,S$2,$A230)</f>
        <v>-645616127.68569577</v>
      </c>
      <c r="T230" s="32">
        <f>_xll.DBRW($C$1,$C$2,$C$3,$C$4,$C$6,$C$5,$C$7,T$1,T$2,$A230)</f>
        <v>-898548573.06807351</v>
      </c>
      <c r="U230" s="32">
        <f>_xll.DBRW($C$1,$C$2,$C$3,$C$4,$C$6,$C$5,$C$7,U$1,U$2,$A230)</f>
        <v>-898548573.06807351</v>
      </c>
      <c r="V230" s="32">
        <f>_xll.DBRW($C$1,$C$2,$C$3,$C$4,$C$6,$C$5,$C$7,V$1,V$2,$A230)</f>
        <v>0</v>
      </c>
      <c r="W230" s="32">
        <f>_xll.DBRW($C$1,$C$2,$C$3,$C$4,$C$6,$C$5,$C$7,W$1,W$2,$A230)</f>
        <v>0</v>
      </c>
      <c r="X230" s="32">
        <f>_xll.DBRW($C$1,$C$2,$C$3,$C$4,$C$6,$C$5,$C$7,X$1,X$2,$A230)</f>
        <v>0</v>
      </c>
      <c r="Y230" s="32">
        <f>_xll.DBRW($C$1,$C$2,$C$3,$C$4,$C$6,$C$5,$C$7,Y$1,Y$2,$A230)</f>
        <v>0</v>
      </c>
      <c r="Z230" s="32">
        <f>_xll.DBRW($C$1,$C$2,$C$3,$C$4,$C$6,$C$5,$C$7,Z$1,Z$2,$A230)</f>
        <v>0</v>
      </c>
      <c r="AA230" s="32">
        <f>_xll.DBRW($C$1,$C$2,$C$3,$C$4,$C$6,$C$5,$C$7,AA$1,AA$2,$A230)</f>
        <v>0</v>
      </c>
      <c r="AB230" s="32">
        <f>_xll.DBRW($C$1,$C$2,$C$3,$C$4,$C$6,$C$5,$C$7,AB$1,AB$2,$A230)</f>
        <v>0</v>
      </c>
      <c r="AC230" s="32">
        <f>_xll.DBRW($C$1,$C$2,$C$3,$C$4,$C$6,$C$5,$C$7,AC$1,AC$2,$A230)</f>
        <v>0</v>
      </c>
      <c r="AD230" s="32">
        <f>_xll.DBRW($C$1,$C$2,$C$3,$C$4,$C$6,$C$5,$C$7,AD$1,AD$2,$A230)</f>
        <v>0</v>
      </c>
      <c r="AE230" s="32">
        <f>_xll.DBRW($C$1,$C$2,$C$3,$C$4,$C$6,$C$5,$C$7,AE$1,AE$2,$A230)</f>
        <v>0</v>
      </c>
      <c r="AF230" s="32">
        <f>_xll.DBRW($C$1,$C$2,$C$3,$C$4,$C$6,$C$5,$C$7,AF$1,AF$2,$A230)</f>
        <v>0</v>
      </c>
      <c r="AG230" s="32">
        <f>_xll.DBRW($C$1,$C$2,$C$3,$C$4,$C$6,$C$5,$C$7,AG$1,AG$2,$A230)</f>
        <v>0</v>
      </c>
      <c r="AH230" s="32">
        <f>_xll.DBRW($C$1,$C$2,$C$3,$C$4,$C$6,$C$5,$C$7,AH$1,AH$2,$A230)</f>
        <v>0</v>
      </c>
      <c r="AI230" s="32">
        <f>_xll.DBRW($C$1,$C$2,$C$3,$C$4,$C$6,$C$5,$C$7,AI$1,AI$2,$A230)</f>
        <v>0</v>
      </c>
      <c r="AJ230" s="32">
        <f>_xll.DBRW($C$1,$C$2,$C$3,$C$4,$C$6,$C$5,$C$7,AJ$1,AJ$2,$A230)</f>
        <v>0</v>
      </c>
      <c r="AK230" s="32">
        <f>_xll.DBRW($C$1,$C$2,$C$3,$C$4,$C$6,$C$5,$C$7,AK$1,AK$2,$A230)</f>
        <v>0</v>
      </c>
      <c r="AL230" s="32">
        <f>_xll.DBRW($C$1,$C$2,$C$3,$C$4,$C$6,$C$5,$C$7,AL$1,AL$2,$A230)</f>
        <v>0</v>
      </c>
      <c r="AM230" s="32">
        <f>_xll.DBRW($C$1,$C$2,$C$3,$C$4,$C$6,$C$5,$C$7,AM$1,AM$2,$A230)</f>
        <v>0</v>
      </c>
      <c r="AN230" s="32">
        <f>_xll.DBRW($C$1,$C$2,$C$3,$C$4,$C$6,$C$5,$C$7,AN$1,AN$2,$A230)</f>
        <v>0</v>
      </c>
      <c r="AO230" s="32">
        <f>_xll.DBRW($C$1,$C$2,$C$3,$C$4,$C$6,$C$5,$C$7,AO$1,AO$2,$A230)</f>
        <v>0</v>
      </c>
      <c r="AP230" s="32">
        <f>_xll.DBRW($C$1,$C$2,$C$3,$C$4,$C$6,$C$5,$C$7,AP$1,AP$2,$A230)</f>
        <v>0</v>
      </c>
      <c r="AQ230" s="32">
        <f>_xll.DBRW($C$1,$C$2,$C$3,$C$4,$C$6,$C$5,$C$7,AQ$1,AQ$2,$A230)</f>
        <v>0</v>
      </c>
      <c r="AR230" s="32">
        <f>_xll.DBRW($C$1,$C$2,$C$3,$C$4,$C$6,$C$5,$C$7,AR$1,AR$2,$A230)</f>
        <v>0</v>
      </c>
      <c r="AS230" s="32">
        <f>_xll.DBRW($C$1,$C$2,$C$3,$C$4,$C$6,$C$5,$C$7,AS$1,AS$2,$A230)</f>
        <v>0</v>
      </c>
      <c r="AT230" s="32">
        <f>_xll.DBRW($C$1,$C$2,$C$3,$C$4,$C$6,$C$5,$C$7,AT$1,AT$2,$A230)</f>
        <v>0</v>
      </c>
      <c r="AU230" s="32">
        <f>_xll.DBRW($C$1,$C$2,$C$3,$C$4,$C$6,$C$5,$C$7,AU$1,AU$2,$A230)</f>
        <v>0</v>
      </c>
    </row>
    <row r="231" spans="1:47" ht="15.75" hidden="1" outlineLevel="1">
      <c r="A231" s="1" t="s">
        <v>127</v>
      </c>
      <c r="C231" s="143"/>
      <c r="E231" s="15" t="s">
        <v>46</v>
      </c>
      <c r="F231" s="38">
        <f t="shared" ref="F231:T231" si="97">F230</f>
        <v>-1279177971.4100008</v>
      </c>
      <c r="G231" s="38">
        <f t="shared" si="97"/>
        <v>-1339885722.1297994</v>
      </c>
      <c r="H231" s="38">
        <f t="shared" si="97"/>
        <v>-803323626.3300029</v>
      </c>
      <c r="I231" s="38">
        <f t="shared" si="97"/>
        <v>-50679187.860719986</v>
      </c>
      <c r="J231" s="38">
        <f t="shared" si="97"/>
        <v>-111339164.69183598</v>
      </c>
      <c r="K231" s="38">
        <f t="shared" si="97"/>
        <v>-195517656.30843693</v>
      </c>
      <c r="L231" s="38">
        <f t="shared" si="97"/>
        <v>-294630714.08824372</v>
      </c>
      <c r="M231" s="38">
        <f t="shared" si="97"/>
        <v>-360451823.26303804</v>
      </c>
      <c r="N231" s="38">
        <f t="shared" si="97"/>
        <v>-450711222.55551976</v>
      </c>
      <c r="O231" s="38">
        <f t="shared" si="97"/>
        <v>-336738285.16703779</v>
      </c>
      <c r="P231" s="38">
        <f t="shared" si="97"/>
        <v>-567500999.47302818</v>
      </c>
      <c r="Q231" s="38">
        <f t="shared" si="97"/>
        <v>-634707915.31305707</v>
      </c>
      <c r="R231" s="38">
        <f t="shared" si="97"/>
        <v>-519634347.9370572</v>
      </c>
      <c r="S231" s="38">
        <f t="shared" si="97"/>
        <v>-645616127.68569577</v>
      </c>
      <c r="T231" s="38">
        <f t="shared" si="97"/>
        <v>-898548573.06807351</v>
      </c>
      <c r="U231" s="38">
        <f>U230</f>
        <v>-898548573.06807351</v>
      </c>
      <c r="V231" s="38">
        <f>V230</f>
        <v>0</v>
      </c>
      <c r="W231" s="38">
        <f t="shared" ref="W231:AG231" si="98">W230</f>
        <v>0</v>
      </c>
      <c r="X231" s="38">
        <f t="shared" si="98"/>
        <v>0</v>
      </c>
      <c r="Y231" s="38">
        <f t="shared" si="98"/>
        <v>0</v>
      </c>
      <c r="Z231" s="38">
        <f t="shared" si="98"/>
        <v>0</v>
      </c>
      <c r="AA231" s="38">
        <f t="shared" si="98"/>
        <v>0</v>
      </c>
      <c r="AB231" s="38">
        <f t="shared" si="98"/>
        <v>0</v>
      </c>
      <c r="AC231" s="38">
        <f t="shared" si="98"/>
        <v>0</v>
      </c>
      <c r="AD231" s="38">
        <f t="shared" si="98"/>
        <v>0</v>
      </c>
      <c r="AE231" s="38">
        <f t="shared" si="98"/>
        <v>0</v>
      </c>
      <c r="AF231" s="38">
        <f t="shared" si="98"/>
        <v>0</v>
      </c>
      <c r="AG231" s="38">
        <f t="shared" si="98"/>
        <v>0</v>
      </c>
      <c r="AH231" s="38">
        <f>AH230</f>
        <v>0</v>
      </c>
      <c r="AI231" s="38">
        <f>AI230</f>
        <v>0</v>
      </c>
      <c r="AJ231" s="38">
        <f t="shared" ref="AJ231:AT231" si="99">AJ230</f>
        <v>0</v>
      </c>
      <c r="AK231" s="38">
        <f t="shared" si="99"/>
        <v>0</v>
      </c>
      <c r="AL231" s="38">
        <f t="shared" si="99"/>
        <v>0</v>
      </c>
      <c r="AM231" s="38">
        <f t="shared" si="99"/>
        <v>0</v>
      </c>
      <c r="AN231" s="38">
        <f t="shared" si="99"/>
        <v>0</v>
      </c>
      <c r="AO231" s="38">
        <f t="shared" si="99"/>
        <v>0</v>
      </c>
      <c r="AP231" s="38">
        <f t="shared" si="99"/>
        <v>0</v>
      </c>
      <c r="AQ231" s="38">
        <f t="shared" si="99"/>
        <v>0</v>
      </c>
      <c r="AR231" s="38">
        <f t="shared" si="99"/>
        <v>0</v>
      </c>
      <c r="AS231" s="38">
        <f t="shared" si="99"/>
        <v>0</v>
      </c>
      <c r="AT231" s="38">
        <f t="shared" si="99"/>
        <v>0</v>
      </c>
      <c r="AU231" s="38">
        <f>AU230</f>
        <v>0</v>
      </c>
    </row>
    <row r="232" spans="1:47" ht="15.75" hidden="1" customHeight="1" outlineLevel="2">
      <c r="A232" s="1" t="s">
        <v>300</v>
      </c>
      <c r="C232" s="143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-1336737483.4120002</v>
      </c>
      <c r="G232" s="32">
        <f>_xll.DBRW($C$1,$C$2,$C$3,$C$4,$C$6,$C$5,$C$7,G$1,G$2,$A232)</f>
        <v>-973609013.15299988</v>
      </c>
      <c r="H232" s="32">
        <f>_xll.DBRW($C$1,$C$2,$C$3,$C$4,$C$6,$C$5,$C$7,H$1,H$2,$A232)</f>
        <v>-140921110.31579998</v>
      </c>
      <c r="I232" s="32">
        <f>_xll.DBRW($C$1,$C$2,$C$3,$C$4,$C$6,$C$5,$C$7,I$1,I$2,$A232)</f>
        <v>-9246118.9661999978</v>
      </c>
      <c r="J232" s="32">
        <f>_xll.DBRW($C$1,$C$2,$C$3,$C$4,$C$6,$C$5,$C$7,J$1,J$2,$A232)</f>
        <v>-12860843.401399998</v>
      </c>
      <c r="K232" s="32">
        <f>_xll.DBRW($C$1,$C$2,$C$3,$C$4,$C$6,$C$5,$C$7,K$1,K$2,$A232)</f>
        <v>-31594815.466399997</v>
      </c>
      <c r="L232" s="32">
        <f>_xll.DBRW($C$1,$C$2,$C$3,$C$4,$C$6,$C$5,$C$7,L$1,L$2,$A232)</f>
        <v>-41249127.343800001</v>
      </c>
      <c r="M232" s="32">
        <f>_xll.DBRW($C$1,$C$2,$C$3,$C$4,$C$6,$C$5,$C$7,M$1,M$2,$A232)</f>
        <v>-56282734.925999999</v>
      </c>
      <c r="N232" s="32">
        <f>_xll.DBRW($C$1,$C$2,$C$3,$C$4,$C$6,$C$5,$C$7,N$1,N$2,$A232)</f>
        <v>-70644359.817399994</v>
      </c>
      <c r="O232" s="32">
        <f>_xll.DBRW($C$1,$C$2,$C$3,$C$4,$C$6,$C$5,$C$7,O$1,O$2,$A232)</f>
        <v>-77878627.366799995</v>
      </c>
      <c r="P232" s="32">
        <f>_xll.DBRW($C$1,$C$2,$C$3,$C$4,$C$6,$C$5,$C$7,P$1,P$2,$A232)</f>
        <v>-103073760.59899999</v>
      </c>
      <c r="Q232" s="32">
        <f>_xll.DBRW($C$1,$C$2,$C$3,$C$4,$C$6,$C$5,$C$7,Q$1,Q$2,$A232)</f>
        <v>-120127418</v>
      </c>
      <c r="R232" s="32">
        <f>_xll.DBRW($C$1,$C$2,$C$3,$C$4,$C$6,$C$5,$C$7,R$1,R$2,$A232)</f>
        <v>-137910942.68259999</v>
      </c>
      <c r="S232" s="32">
        <f>_xll.DBRW($C$1,$C$2,$C$3,$C$4,$C$6,$C$5,$C$7,S$1,S$2,$A232)</f>
        <v>-173350294.15200001</v>
      </c>
      <c r="T232" s="32">
        <f>_xll.DBRW($C$1,$C$2,$C$3,$C$4,$C$6,$C$5,$C$7,T$1,T$2,$A232)</f>
        <v>-214242459.67540002</v>
      </c>
      <c r="U232" s="32">
        <f>_xll.DBRW($C$1,$C$2,$C$3,$C$4,$C$6,$C$5,$C$7,U$1,U$2,$A232)</f>
        <v>-214242459.67540002</v>
      </c>
      <c r="V232" s="32">
        <f>_xll.DBRW($C$1,$C$2,$C$3,$C$4,$C$6,$C$5,$C$7,V$1,V$2,$A232)</f>
        <v>0</v>
      </c>
      <c r="W232" s="32">
        <f>_xll.DBRW($C$1,$C$2,$C$3,$C$4,$C$6,$C$5,$C$7,W$1,W$2,$A232)</f>
        <v>0</v>
      </c>
      <c r="X232" s="32">
        <f>_xll.DBRW($C$1,$C$2,$C$3,$C$4,$C$6,$C$5,$C$7,X$1,X$2,$A232)</f>
        <v>0</v>
      </c>
      <c r="Y232" s="32">
        <f>_xll.DBRW($C$1,$C$2,$C$3,$C$4,$C$6,$C$5,$C$7,Y$1,Y$2,$A232)</f>
        <v>0</v>
      </c>
      <c r="Z232" s="32">
        <f>_xll.DBRW($C$1,$C$2,$C$3,$C$4,$C$6,$C$5,$C$7,Z$1,Z$2,$A232)</f>
        <v>0</v>
      </c>
      <c r="AA232" s="32">
        <f>_xll.DBRW($C$1,$C$2,$C$3,$C$4,$C$6,$C$5,$C$7,AA$1,AA$2,$A232)</f>
        <v>0</v>
      </c>
      <c r="AB232" s="32">
        <f>_xll.DBRW($C$1,$C$2,$C$3,$C$4,$C$6,$C$5,$C$7,AB$1,AB$2,$A232)</f>
        <v>0</v>
      </c>
      <c r="AC232" s="32">
        <f>_xll.DBRW($C$1,$C$2,$C$3,$C$4,$C$6,$C$5,$C$7,AC$1,AC$2,$A232)</f>
        <v>0</v>
      </c>
      <c r="AD232" s="32">
        <f>_xll.DBRW($C$1,$C$2,$C$3,$C$4,$C$6,$C$5,$C$7,AD$1,AD$2,$A232)</f>
        <v>0</v>
      </c>
      <c r="AE232" s="32">
        <f>_xll.DBRW($C$1,$C$2,$C$3,$C$4,$C$6,$C$5,$C$7,AE$1,AE$2,$A232)</f>
        <v>0</v>
      </c>
      <c r="AF232" s="32">
        <f>_xll.DBRW($C$1,$C$2,$C$3,$C$4,$C$6,$C$5,$C$7,AF$1,AF$2,$A232)</f>
        <v>0</v>
      </c>
      <c r="AG232" s="32">
        <f>_xll.DBRW($C$1,$C$2,$C$3,$C$4,$C$6,$C$5,$C$7,AG$1,AG$2,$A232)</f>
        <v>0</v>
      </c>
      <c r="AH232" s="32">
        <f>_xll.DBRW($C$1,$C$2,$C$3,$C$4,$C$6,$C$5,$C$7,AH$1,AH$2,$A232)</f>
        <v>0</v>
      </c>
      <c r="AI232" s="32">
        <f>_xll.DBRW($C$1,$C$2,$C$3,$C$4,$C$6,$C$5,$C$7,AI$1,AI$2,$A232)</f>
        <v>0</v>
      </c>
      <c r="AJ232" s="32">
        <f>_xll.DBRW($C$1,$C$2,$C$3,$C$4,$C$6,$C$5,$C$7,AJ$1,AJ$2,$A232)</f>
        <v>0</v>
      </c>
      <c r="AK232" s="32">
        <f>_xll.DBRW($C$1,$C$2,$C$3,$C$4,$C$6,$C$5,$C$7,AK$1,AK$2,$A232)</f>
        <v>0</v>
      </c>
      <c r="AL232" s="32">
        <f>_xll.DBRW($C$1,$C$2,$C$3,$C$4,$C$6,$C$5,$C$7,AL$1,AL$2,$A232)</f>
        <v>0</v>
      </c>
      <c r="AM232" s="32">
        <f>_xll.DBRW($C$1,$C$2,$C$3,$C$4,$C$6,$C$5,$C$7,AM$1,AM$2,$A232)</f>
        <v>0</v>
      </c>
      <c r="AN232" s="32">
        <f>_xll.DBRW($C$1,$C$2,$C$3,$C$4,$C$6,$C$5,$C$7,AN$1,AN$2,$A232)</f>
        <v>0</v>
      </c>
      <c r="AO232" s="32">
        <f>_xll.DBRW($C$1,$C$2,$C$3,$C$4,$C$6,$C$5,$C$7,AO$1,AO$2,$A232)</f>
        <v>0</v>
      </c>
      <c r="AP232" s="32">
        <f>_xll.DBRW($C$1,$C$2,$C$3,$C$4,$C$6,$C$5,$C$7,AP$1,AP$2,$A232)</f>
        <v>0</v>
      </c>
      <c r="AQ232" s="32">
        <f>_xll.DBRW($C$1,$C$2,$C$3,$C$4,$C$6,$C$5,$C$7,AQ$1,AQ$2,$A232)</f>
        <v>0</v>
      </c>
      <c r="AR232" s="32">
        <f>_xll.DBRW($C$1,$C$2,$C$3,$C$4,$C$6,$C$5,$C$7,AR$1,AR$2,$A232)</f>
        <v>0</v>
      </c>
      <c r="AS232" s="32">
        <f>_xll.DBRW($C$1,$C$2,$C$3,$C$4,$C$6,$C$5,$C$7,AS$1,AS$2,$A232)</f>
        <v>0</v>
      </c>
      <c r="AT232" s="32">
        <f>_xll.DBRW($C$1,$C$2,$C$3,$C$4,$C$6,$C$5,$C$7,AT$1,AT$2,$A232)</f>
        <v>0</v>
      </c>
      <c r="AU232" s="32">
        <f>_xll.DBRW($C$1,$C$2,$C$3,$C$4,$C$6,$C$5,$C$7,AU$1,AU$2,$A232)</f>
        <v>0</v>
      </c>
    </row>
    <row r="233" spans="1:47" ht="15.75" hidden="1" outlineLevel="1">
      <c r="A233" s="1" t="s">
        <v>127</v>
      </c>
      <c r="C233" s="143"/>
      <c r="E233" s="15" t="s">
        <v>47</v>
      </c>
      <c r="F233" s="38">
        <f t="shared" ref="F233:T233" si="100">F232</f>
        <v>-1336737483.4120002</v>
      </c>
      <c r="G233" s="38">
        <f t="shared" si="100"/>
        <v>-973609013.15299988</v>
      </c>
      <c r="H233" s="38">
        <f t="shared" si="100"/>
        <v>-140921110.31579998</v>
      </c>
      <c r="I233" s="38">
        <f t="shared" si="100"/>
        <v>-9246118.9661999978</v>
      </c>
      <c r="J233" s="38">
        <f t="shared" si="100"/>
        <v>-12860843.401399998</v>
      </c>
      <c r="K233" s="38">
        <f t="shared" si="100"/>
        <v>-31594815.466399997</v>
      </c>
      <c r="L233" s="38">
        <f t="shared" si="100"/>
        <v>-41249127.343800001</v>
      </c>
      <c r="M233" s="38">
        <f t="shared" si="100"/>
        <v>-56282734.925999999</v>
      </c>
      <c r="N233" s="38">
        <f t="shared" si="100"/>
        <v>-70644359.817399994</v>
      </c>
      <c r="O233" s="38">
        <f t="shared" si="100"/>
        <v>-77878627.366799995</v>
      </c>
      <c r="P233" s="38">
        <f t="shared" si="100"/>
        <v>-103073760.59899999</v>
      </c>
      <c r="Q233" s="38">
        <f t="shared" si="100"/>
        <v>-120127418</v>
      </c>
      <c r="R233" s="38">
        <f t="shared" si="100"/>
        <v>-137910942.68259999</v>
      </c>
      <c r="S233" s="38">
        <f t="shared" si="100"/>
        <v>-173350294.15200001</v>
      </c>
      <c r="T233" s="38">
        <f t="shared" si="100"/>
        <v>-214242459.67540002</v>
      </c>
      <c r="U233" s="38">
        <f>U232</f>
        <v>-214242459.67540002</v>
      </c>
      <c r="V233" s="38">
        <f>V232</f>
        <v>0</v>
      </c>
      <c r="W233" s="38">
        <f t="shared" ref="W233:AG233" si="101">W232</f>
        <v>0</v>
      </c>
      <c r="X233" s="38">
        <f t="shared" si="101"/>
        <v>0</v>
      </c>
      <c r="Y233" s="38">
        <f t="shared" si="101"/>
        <v>0</v>
      </c>
      <c r="Z233" s="38">
        <f t="shared" si="101"/>
        <v>0</v>
      </c>
      <c r="AA233" s="38">
        <f t="shared" si="101"/>
        <v>0</v>
      </c>
      <c r="AB233" s="38">
        <f t="shared" si="101"/>
        <v>0</v>
      </c>
      <c r="AC233" s="38">
        <f t="shared" si="101"/>
        <v>0</v>
      </c>
      <c r="AD233" s="38">
        <f t="shared" si="101"/>
        <v>0</v>
      </c>
      <c r="AE233" s="38">
        <f t="shared" si="101"/>
        <v>0</v>
      </c>
      <c r="AF233" s="38">
        <f t="shared" si="101"/>
        <v>0</v>
      </c>
      <c r="AG233" s="38">
        <f t="shared" si="101"/>
        <v>0</v>
      </c>
      <c r="AH233" s="38">
        <f>AH232</f>
        <v>0</v>
      </c>
      <c r="AI233" s="38">
        <f>AI232</f>
        <v>0</v>
      </c>
      <c r="AJ233" s="38">
        <f t="shared" ref="AJ233:AT233" si="102">AJ232</f>
        <v>0</v>
      </c>
      <c r="AK233" s="38">
        <f t="shared" si="102"/>
        <v>0</v>
      </c>
      <c r="AL233" s="38">
        <f t="shared" si="102"/>
        <v>0</v>
      </c>
      <c r="AM233" s="38">
        <f t="shared" si="102"/>
        <v>0</v>
      </c>
      <c r="AN233" s="38">
        <f t="shared" si="102"/>
        <v>0</v>
      </c>
      <c r="AO233" s="38">
        <f t="shared" si="102"/>
        <v>0</v>
      </c>
      <c r="AP233" s="38">
        <f t="shared" si="102"/>
        <v>0</v>
      </c>
      <c r="AQ233" s="38">
        <f t="shared" si="102"/>
        <v>0</v>
      </c>
      <c r="AR233" s="38">
        <f t="shared" si="102"/>
        <v>0</v>
      </c>
      <c r="AS233" s="38">
        <f t="shared" si="102"/>
        <v>0</v>
      </c>
      <c r="AT233" s="38">
        <f t="shared" si="102"/>
        <v>0</v>
      </c>
      <c r="AU233" s="38">
        <f>AU232</f>
        <v>0</v>
      </c>
    </row>
    <row r="234" spans="1:47" ht="15.75" hidden="1" customHeight="1" outlineLevel="2">
      <c r="A234" s="1" t="s">
        <v>301</v>
      </c>
      <c r="C234" s="143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-645024538.24119997</v>
      </c>
      <c r="G234" s="32">
        <f>_xll.DBRW($C$1,$C$2,$C$3,$C$4,$C$6,$C$5,$C$7,G$1,G$2,$A234)</f>
        <v>-565551479.92339981</v>
      </c>
      <c r="H234" s="32">
        <f>_xll.DBRW($C$1,$C$2,$C$3,$C$4,$C$6,$C$5,$C$7,H$1,H$2,$A234)</f>
        <v>-1153770079.1099994</v>
      </c>
      <c r="I234" s="32">
        <f>_xll.DBRW($C$1,$C$2,$C$3,$C$4,$C$6,$C$5,$C$7,I$1,I$2,$A234)</f>
        <v>-247440440.00900003</v>
      </c>
      <c r="J234" s="32">
        <f>_xll.DBRW($C$1,$C$2,$C$3,$C$4,$C$6,$C$5,$C$7,J$1,J$2,$A234)</f>
        <v>43537058.672000021</v>
      </c>
      <c r="K234" s="32">
        <f>_xll.DBRW($C$1,$C$2,$C$3,$C$4,$C$6,$C$5,$C$7,K$1,K$2,$A234)</f>
        <v>-285431202.96419996</v>
      </c>
      <c r="L234" s="32">
        <f>_xll.DBRW($C$1,$C$2,$C$3,$C$4,$C$6,$C$5,$C$7,L$1,L$2,$A234)</f>
        <v>-379498152.45799994</v>
      </c>
      <c r="M234" s="32">
        <f>_xll.DBRW($C$1,$C$2,$C$3,$C$4,$C$6,$C$5,$C$7,M$1,M$2,$A234)</f>
        <v>-487314434.07379997</v>
      </c>
      <c r="N234" s="32">
        <f>_xll.DBRW($C$1,$C$2,$C$3,$C$4,$C$6,$C$5,$C$7,N$1,N$2,$A234)</f>
        <v>-586765902.64380002</v>
      </c>
      <c r="O234" s="32">
        <f>_xll.DBRW($C$1,$C$2,$C$3,$C$4,$C$6,$C$5,$C$7,O$1,O$2,$A234)</f>
        <v>-662804462.45379996</v>
      </c>
      <c r="P234" s="32">
        <f>_xll.DBRW($C$1,$C$2,$C$3,$C$4,$C$6,$C$5,$C$7,P$1,P$2,$A234)</f>
        <v>-920021495.89380002</v>
      </c>
      <c r="Q234" s="32">
        <f>_xll.DBRW($C$1,$C$2,$C$3,$C$4,$C$6,$C$5,$C$7,Q$1,Q$2,$A234)</f>
        <v>-1039563601.7638</v>
      </c>
      <c r="R234" s="32">
        <f>_xll.DBRW($C$1,$C$2,$C$3,$C$4,$C$6,$C$5,$C$7,R$1,R$2,$A234)</f>
        <v>-1087804911.4438</v>
      </c>
      <c r="S234" s="32">
        <f>_xll.DBRW($C$1,$C$2,$C$3,$C$4,$C$6,$C$5,$C$7,S$1,S$2,$A234)</f>
        <v>-1265497679.9038</v>
      </c>
      <c r="T234" s="32">
        <f>_xll.DBRW($C$1,$C$2,$C$3,$C$4,$C$6,$C$5,$C$7,T$1,T$2,$A234)</f>
        <v>-1494348480.4000001</v>
      </c>
      <c r="U234" s="32">
        <f>_xll.DBRW($C$1,$C$2,$C$3,$C$4,$C$6,$C$5,$C$7,U$1,U$2,$A234)</f>
        <v>-1494348480.4000001</v>
      </c>
      <c r="V234" s="32">
        <f>_xll.DBRW($C$1,$C$2,$C$3,$C$4,$C$6,$C$5,$C$7,V$1,V$2,$A234)</f>
        <v>0</v>
      </c>
      <c r="W234" s="32">
        <f>_xll.DBRW($C$1,$C$2,$C$3,$C$4,$C$6,$C$5,$C$7,W$1,W$2,$A234)</f>
        <v>0</v>
      </c>
      <c r="X234" s="32">
        <f>_xll.DBRW($C$1,$C$2,$C$3,$C$4,$C$6,$C$5,$C$7,X$1,X$2,$A234)</f>
        <v>0</v>
      </c>
      <c r="Y234" s="32">
        <f>_xll.DBRW($C$1,$C$2,$C$3,$C$4,$C$6,$C$5,$C$7,Y$1,Y$2,$A234)</f>
        <v>0</v>
      </c>
      <c r="Z234" s="32">
        <f>_xll.DBRW($C$1,$C$2,$C$3,$C$4,$C$6,$C$5,$C$7,Z$1,Z$2,$A234)</f>
        <v>0</v>
      </c>
      <c r="AA234" s="32">
        <f>_xll.DBRW($C$1,$C$2,$C$3,$C$4,$C$6,$C$5,$C$7,AA$1,AA$2,$A234)</f>
        <v>0</v>
      </c>
      <c r="AB234" s="32">
        <f>_xll.DBRW($C$1,$C$2,$C$3,$C$4,$C$6,$C$5,$C$7,AB$1,AB$2,$A234)</f>
        <v>0</v>
      </c>
      <c r="AC234" s="32">
        <f>_xll.DBRW($C$1,$C$2,$C$3,$C$4,$C$6,$C$5,$C$7,AC$1,AC$2,$A234)</f>
        <v>0</v>
      </c>
      <c r="AD234" s="32">
        <f>_xll.DBRW($C$1,$C$2,$C$3,$C$4,$C$6,$C$5,$C$7,AD$1,AD$2,$A234)</f>
        <v>0</v>
      </c>
      <c r="AE234" s="32">
        <f>_xll.DBRW($C$1,$C$2,$C$3,$C$4,$C$6,$C$5,$C$7,AE$1,AE$2,$A234)</f>
        <v>0</v>
      </c>
      <c r="AF234" s="32">
        <f>_xll.DBRW($C$1,$C$2,$C$3,$C$4,$C$6,$C$5,$C$7,AF$1,AF$2,$A234)</f>
        <v>0</v>
      </c>
      <c r="AG234" s="32">
        <f>_xll.DBRW($C$1,$C$2,$C$3,$C$4,$C$6,$C$5,$C$7,AG$1,AG$2,$A234)</f>
        <v>0</v>
      </c>
      <c r="AH234" s="32">
        <f>_xll.DBRW($C$1,$C$2,$C$3,$C$4,$C$6,$C$5,$C$7,AH$1,AH$2,$A234)</f>
        <v>0</v>
      </c>
      <c r="AI234" s="32">
        <f>_xll.DBRW($C$1,$C$2,$C$3,$C$4,$C$6,$C$5,$C$7,AI$1,AI$2,$A234)</f>
        <v>0</v>
      </c>
      <c r="AJ234" s="32">
        <f>_xll.DBRW($C$1,$C$2,$C$3,$C$4,$C$6,$C$5,$C$7,AJ$1,AJ$2,$A234)</f>
        <v>0</v>
      </c>
      <c r="AK234" s="32">
        <f>_xll.DBRW($C$1,$C$2,$C$3,$C$4,$C$6,$C$5,$C$7,AK$1,AK$2,$A234)</f>
        <v>0</v>
      </c>
      <c r="AL234" s="32">
        <f>_xll.DBRW($C$1,$C$2,$C$3,$C$4,$C$6,$C$5,$C$7,AL$1,AL$2,$A234)</f>
        <v>0</v>
      </c>
      <c r="AM234" s="32">
        <f>_xll.DBRW($C$1,$C$2,$C$3,$C$4,$C$6,$C$5,$C$7,AM$1,AM$2,$A234)</f>
        <v>0</v>
      </c>
      <c r="AN234" s="32">
        <f>_xll.DBRW($C$1,$C$2,$C$3,$C$4,$C$6,$C$5,$C$7,AN$1,AN$2,$A234)</f>
        <v>0</v>
      </c>
      <c r="AO234" s="32">
        <f>_xll.DBRW($C$1,$C$2,$C$3,$C$4,$C$6,$C$5,$C$7,AO$1,AO$2,$A234)</f>
        <v>0</v>
      </c>
      <c r="AP234" s="32">
        <f>_xll.DBRW($C$1,$C$2,$C$3,$C$4,$C$6,$C$5,$C$7,AP$1,AP$2,$A234)</f>
        <v>0</v>
      </c>
      <c r="AQ234" s="32">
        <f>_xll.DBRW($C$1,$C$2,$C$3,$C$4,$C$6,$C$5,$C$7,AQ$1,AQ$2,$A234)</f>
        <v>0</v>
      </c>
      <c r="AR234" s="32">
        <f>_xll.DBRW($C$1,$C$2,$C$3,$C$4,$C$6,$C$5,$C$7,AR$1,AR$2,$A234)</f>
        <v>0</v>
      </c>
      <c r="AS234" s="32">
        <f>_xll.DBRW($C$1,$C$2,$C$3,$C$4,$C$6,$C$5,$C$7,AS$1,AS$2,$A234)</f>
        <v>0</v>
      </c>
      <c r="AT234" s="32">
        <f>_xll.DBRW($C$1,$C$2,$C$3,$C$4,$C$6,$C$5,$C$7,AT$1,AT$2,$A234)</f>
        <v>0</v>
      </c>
      <c r="AU234" s="32">
        <f>_xll.DBRW($C$1,$C$2,$C$3,$C$4,$C$6,$C$5,$C$7,AU$1,AU$2,$A234)</f>
        <v>0</v>
      </c>
    </row>
    <row r="235" spans="1:47" ht="15.75" hidden="1" outlineLevel="1">
      <c r="A235" s="1" t="s">
        <v>127</v>
      </c>
      <c r="C235" s="143"/>
      <c r="E235" s="15" t="s">
        <v>48</v>
      </c>
      <c r="F235" s="38">
        <f t="shared" ref="F235:T235" si="103">F234</f>
        <v>-645024538.24119997</v>
      </c>
      <c r="G235" s="38">
        <f t="shared" si="103"/>
        <v>-565551479.92339981</v>
      </c>
      <c r="H235" s="38">
        <f t="shared" si="103"/>
        <v>-1153770079.1099994</v>
      </c>
      <c r="I235" s="38">
        <f t="shared" si="103"/>
        <v>-247440440.00900003</v>
      </c>
      <c r="J235" s="38">
        <f t="shared" si="103"/>
        <v>43537058.672000021</v>
      </c>
      <c r="K235" s="38">
        <f t="shared" si="103"/>
        <v>-285431202.96419996</v>
      </c>
      <c r="L235" s="38">
        <f t="shared" si="103"/>
        <v>-379498152.45799994</v>
      </c>
      <c r="M235" s="38">
        <f t="shared" si="103"/>
        <v>-487314434.07379997</v>
      </c>
      <c r="N235" s="38">
        <f t="shared" si="103"/>
        <v>-586765902.64380002</v>
      </c>
      <c r="O235" s="38">
        <f t="shared" si="103"/>
        <v>-662804462.45379996</v>
      </c>
      <c r="P235" s="38">
        <f t="shared" si="103"/>
        <v>-920021495.89380002</v>
      </c>
      <c r="Q235" s="38">
        <f t="shared" si="103"/>
        <v>-1039563601.7638</v>
      </c>
      <c r="R235" s="38">
        <f t="shared" si="103"/>
        <v>-1087804911.4438</v>
      </c>
      <c r="S235" s="38">
        <f t="shared" si="103"/>
        <v>-1265497679.9038</v>
      </c>
      <c r="T235" s="38">
        <f t="shared" si="103"/>
        <v>-1494348480.4000001</v>
      </c>
      <c r="U235" s="38">
        <f>U234</f>
        <v>-1494348480.4000001</v>
      </c>
      <c r="V235" s="38">
        <f>V234</f>
        <v>0</v>
      </c>
      <c r="W235" s="38">
        <f t="shared" ref="W235:AG235" si="104">W234</f>
        <v>0</v>
      </c>
      <c r="X235" s="38">
        <f t="shared" si="104"/>
        <v>0</v>
      </c>
      <c r="Y235" s="38">
        <f t="shared" si="104"/>
        <v>0</v>
      </c>
      <c r="Z235" s="38">
        <f t="shared" si="104"/>
        <v>0</v>
      </c>
      <c r="AA235" s="38">
        <f t="shared" si="104"/>
        <v>0</v>
      </c>
      <c r="AB235" s="38">
        <f t="shared" si="104"/>
        <v>0</v>
      </c>
      <c r="AC235" s="38">
        <f t="shared" si="104"/>
        <v>0</v>
      </c>
      <c r="AD235" s="38">
        <f t="shared" si="104"/>
        <v>0</v>
      </c>
      <c r="AE235" s="38">
        <f t="shared" si="104"/>
        <v>0</v>
      </c>
      <c r="AF235" s="38">
        <f t="shared" si="104"/>
        <v>0</v>
      </c>
      <c r="AG235" s="38">
        <f t="shared" si="104"/>
        <v>0</v>
      </c>
      <c r="AH235" s="38">
        <f>AH234</f>
        <v>0</v>
      </c>
      <c r="AI235" s="38">
        <f>AI234</f>
        <v>0</v>
      </c>
      <c r="AJ235" s="38">
        <f t="shared" ref="AJ235:AT235" si="105">AJ234</f>
        <v>0</v>
      </c>
      <c r="AK235" s="38">
        <f t="shared" si="105"/>
        <v>0</v>
      </c>
      <c r="AL235" s="38">
        <f t="shared" si="105"/>
        <v>0</v>
      </c>
      <c r="AM235" s="38">
        <f t="shared" si="105"/>
        <v>0</v>
      </c>
      <c r="AN235" s="38">
        <f t="shared" si="105"/>
        <v>0</v>
      </c>
      <c r="AO235" s="38">
        <f t="shared" si="105"/>
        <v>0</v>
      </c>
      <c r="AP235" s="38">
        <f t="shared" si="105"/>
        <v>0</v>
      </c>
      <c r="AQ235" s="38">
        <f t="shared" si="105"/>
        <v>0</v>
      </c>
      <c r="AR235" s="38">
        <f t="shared" si="105"/>
        <v>0</v>
      </c>
      <c r="AS235" s="38">
        <f t="shared" si="105"/>
        <v>0</v>
      </c>
      <c r="AT235" s="38">
        <f t="shared" si="105"/>
        <v>0</v>
      </c>
      <c r="AU235" s="38">
        <f>AU234</f>
        <v>0</v>
      </c>
    </row>
    <row r="236" spans="1:47" ht="15.75" hidden="1" customHeight="1" outlineLevel="2">
      <c r="A236" s="1" t="s">
        <v>302</v>
      </c>
      <c r="C236" s="143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-92743095.330000013</v>
      </c>
      <c r="G236" s="32">
        <f>_xll.DBRW($C$1,$C$2,$C$3,$C$4,$C$6,$C$5,$C$7,G$1,G$2,$A236)</f>
        <v>-116599684.30000001</v>
      </c>
      <c r="H236" s="32">
        <f>_xll.DBRW($C$1,$C$2,$C$3,$C$4,$C$6,$C$5,$C$7,H$1,H$2,$A236)</f>
        <v>-562311.42000000004</v>
      </c>
      <c r="I236" s="32">
        <f>_xll.DBRW($C$1,$C$2,$C$3,$C$4,$C$6,$C$5,$C$7,I$1,I$2,$A236)</f>
        <v>-3988.55</v>
      </c>
      <c r="J236" s="32">
        <f>_xll.DBRW($C$1,$C$2,$C$3,$C$4,$C$6,$C$5,$C$7,J$1,J$2,$A236)</f>
        <v>-84992.58</v>
      </c>
      <c r="K236" s="32">
        <f>_xll.DBRW($C$1,$C$2,$C$3,$C$4,$C$6,$C$5,$C$7,K$1,K$2,$A236)</f>
        <v>-136289.02999999997</v>
      </c>
      <c r="L236" s="32">
        <f>_xll.DBRW($C$1,$C$2,$C$3,$C$4,$C$6,$C$5,$C$7,L$1,L$2,$A236)</f>
        <v>-165305.47</v>
      </c>
      <c r="M236" s="32">
        <f>_xll.DBRW($C$1,$C$2,$C$3,$C$4,$C$6,$C$5,$C$7,M$1,M$2,$A236)</f>
        <v>-206532.76</v>
      </c>
      <c r="N236" s="32">
        <f>_xll.DBRW($C$1,$C$2,$C$3,$C$4,$C$6,$C$5,$C$7,N$1,N$2,$A236)</f>
        <v>-3027794.41</v>
      </c>
      <c r="O236" s="32">
        <f>_xll.DBRW($C$1,$C$2,$C$3,$C$4,$C$6,$C$5,$C$7,O$1,O$2,$A236)</f>
        <v>-4483883.26</v>
      </c>
      <c r="P236" s="32">
        <f>_xll.DBRW($C$1,$C$2,$C$3,$C$4,$C$6,$C$5,$C$7,P$1,P$2,$A236)</f>
        <v>-5325245.1899999995</v>
      </c>
      <c r="Q236" s="32">
        <f>_xll.DBRW($C$1,$C$2,$C$3,$C$4,$C$6,$C$5,$C$7,Q$1,Q$2,$A236)</f>
        <v>-7040048.3199999994</v>
      </c>
      <c r="R236" s="32">
        <f>_xll.DBRW($C$1,$C$2,$C$3,$C$4,$C$6,$C$5,$C$7,R$1,R$2,$A236)</f>
        <v>-8377254.2199999997</v>
      </c>
      <c r="S236" s="32">
        <f>_xll.DBRW($C$1,$C$2,$C$3,$C$4,$C$6,$C$5,$C$7,S$1,S$2,$A236)</f>
        <v>-10414939.74</v>
      </c>
      <c r="T236" s="32">
        <f>_xll.DBRW($C$1,$C$2,$C$3,$C$4,$C$6,$C$5,$C$7,T$1,T$2,$A236)</f>
        <v>-11340835.85</v>
      </c>
      <c r="U236" s="32">
        <f>_xll.DBRW($C$1,$C$2,$C$3,$C$4,$C$6,$C$5,$C$7,U$1,U$2,$A236)</f>
        <v>-11340835.85</v>
      </c>
      <c r="V236" s="32">
        <f>_xll.DBRW($C$1,$C$2,$C$3,$C$4,$C$6,$C$5,$C$7,V$1,V$2,$A236)</f>
        <v>0</v>
      </c>
      <c r="W236" s="32">
        <f>_xll.DBRW($C$1,$C$2,$C$3,$C$4,$C$6,$C$5,$C$7,W$1,W$2,$A236)</f>
        <v>0</v>
      </c>
      <c r="X236" s="32">
        <f>_xll.DBRW($C$1,$C$2,$C$3,$C$4,$C$6,$C$5,$C$7,X$1,X$2,$A236)</f>
        <v>0</v>
      </c>
      <c r="Y236" s="32">
        <f>_xll.DBRW($C$1,$C$2,$C$3,$C$4,$C$6,$C$5,$C$7,Y$1,Y$2,$A236)</f>
        <v>0</v>
      </c>
      <c r="Z236" s="32">
        <f>_xll.DBRW($C$1,$C$2,$C$3,$C$4,$C$6,$C$5,$C$7,Z$1,Z$2,$A236)</f>
        <v>0</v>
      </c>
      <c r="AA236" s="32">
        <f>_xll.DBRW($C$1,$C$2,$C$3,$C$4,$C$6,$C$5,$C$7,AA$1,AA$2,$A236)</f>
        <v>0</v>
      </c>
      <c r="AB236" s="32">
        <f>_xll.DBRW($C$1,$C$2,$C$3,$C$4,$C$6,$C$5,$C$7,AB$1,AB$2,$A236)</f>
        <v>0</v>
      </c>
      <c r="AC236" s="32">
        <f>_xll.DBRW($C$1,$C$2,$C$3,$C$4,$C$6,$C$5,$C$7,AC$1,AC$2,$A236)</f>
        <v>0</v>
      </c>
      <c r="AD236" s="32">
        <f>_xll.DBRW($C$1,$C$2,$C$3,$C$4,$C$6,$C$5,$C$7,AD$1,AD$2,$A236)</f>
        <v>0</v>
      </c>
      <c r="AE236" s="32">
        <f>_xll.DBRW($C$1,$C$2,$C$3,$C$4,$C$6,$C$5,$C$7,AE$1,AE$2,$A236)</f>
        <v>0</v>
      </c>
      <c r="AF236" s="32">
        <f>_xll.DBRW($C$1,$C$2,$C$3,$C$4,$C$6,$C$5,$C$7,AF$1,AF$2,$A236)</f>
        <v>0</v>
      </c>
      <c r="AG236" s="32">
        <f>_xll.DBRW($C$1,$C$2,$C$3,$C$4,$C$6,$C$5,$C$7,AG$1,AG$2,$A236)</f>
        <v>0</v>
      </c>
      <c r="AH236" s="32">
        <f>_xll.DBRW($C$1,$C$2,$C$3,$C$4,$C$6,$C$5,$C$7,AH$1,AH$2,$A236)</f>
        <v>0</v>
      </c>
      <c r="AI236" s="32">
        <f>_xll.DBRW($C$1,$C$2,$C$3,$C$4,$C$6,$C$5,$C$7,AI$1,AI$2,$A236)</f>
        <v>0</v>
      </c>
      <c r="AJ236" s="32">
        <f>_xll.DBRW($C$1,$C$2,$C$3,$C$4,$C$6,$C$5,$C$7,AJ$1,AJ$2,$A236)</f>
        <v>0</v>
      </c>
      <c r="AK236" s="32">
        <f>_xll.DBRW($C$1,$C$2,$C$3,$C$4,$C$6,$C$5,$C$7,AK$1,AK$2,$A236)</f>
        <v>0</v>
      </c>
      <c r="AL236" s="32">
        <f>_xll.DBRW($C$1,$C$2,$C$3,$C$4,$C$6,$C$5,$C$7,AL$1,AL$2,$A236)</f>
        <v>0</v>
      </c>
      <c r="AM236" s="32">
        <f>_xll.DBRW($C$1,$C$2,$C$3,$C$4,$C$6,$C$5,$C$7,AM$1,AM$2,$A236)</f>
        <v>0</v>
      </c>
      <c r="AN236" s="32">
        <f>_xll.DBRW($C$1,$C$2,$C$3,$C$4,$C$6,$C$5,$C$7,AN$1,AN$2,$A236)</f>
        <v>0</v>
      </c>
      <c r="AO236" s="32">
        <f>_xll.DBRW($C$1,$C$2,$C$3,$C$4,$C$6,$C$5,$C$7,AO$1,AO$2,$A236)</f>
        <v>0</v>
      </c>
      <c r="AP236" s="32">
        <f>_xll.DBRW($C$1,$C$2,$C$3,$C$4,$C$6,$C$5,$C$7,AP$1,AP$2,$A236)</f>
        <v>0</v>
      </c>
      <c r="AQ236" s="32">
        <f>_xll.DBRW($C$1,$C$2,$C$3,$C$4,$C$6,$C$5,$C$7,AQ$1,AQ$2,$A236)</f>
        <v>0</v>
      </c>
      <c r="AR236" s="32">
        <f>_xll.DBRW($C$1,$C$2,$C$3,$C$4,$C$6,$C$5,$C$7,AR$1,AR$2,$A236)</f>
        <v>0</v>
      </c>
      <c r="AS236" s="32">
        <f>_xll.DBRW($C$1,$C$2,$C$3,$C$4,$C$6,$C$5,$C$7,AS$1,AS$2,$A236)</f>
        <v>0</v>
      </c>
      <c r="AT236" s="32">
        <f>_xll.DBRW($C$1,$C$2,$C$3,$C$4,$C$6,$C$5,$C$7,AT$1,AT$2,$A236)</f>
        <v>0</v>
      </c>
      <c r="AU236" s="32">
        <f>_xll.DBRW($C$1,$C$2,$C$3,$C$4,$C$6,$C$5,$C$7,AU$1,AU$2,$A236)</f>
        <v>0</v>
      </c>
    </row>
    <row r="237" spans="1:47" ht="15.75" hidden="1" outlineLevel="1">
      <c r="C237" s="143"/>
      <c r="E237" s="80" t="s">
        <v>49</v>
      </c>
      <c r="F237" s="38">
        <f t="shared" ref="F237:T237" si="106">F236</f>
        <v>-92743095.330000013</v>
      </c>
      <c r="G237" s="38">
        <f t="shared" si="106"/>
        <v>-116599684.30000001</v>
      </c>
      <c r="H237" s="38">
        <f t="shared" si="106"/>
        <v>-562311.42000000004</v>
      </c>
      <c r="I237" s="38">
        <f t="shared" si="106"/>
        <v>-3988.55</v>
      </c>
      <c r="J237" s="38">
        <f t="shared" si="106"/>
        <v>-84992.58</v>
      </c>
      <c r="K237" s="38">
        <f t="shared" si="106"/>
        <v>-136289.02999999997</v>
      </c>
      <c r="L237" s="38">
        <f t="shared" si="106"/>
        <v>-165305.47</v>
      </c>
      <c r="M237" s="38">
        <f t="shared" si="106"/>
        <v>-206532.76</v>
      </c>
      <c r="N237" s="38">
        <f t="shared" si="106"/>
        <v>-3027794.41</v>
      </c>
      <c r="O237" s="38">
        <f t="shared" si="106"/>
        <v>-4483883.26</v>
      </c>
      <c r="P237" s="38">
        <f t="shared" si="106"/>
        <v>-5325245.1899999995</v>
      </c>
      <c r="Q237" s="38">
        <f t="shared" si="106"/>
        <v>-7040048.3199999994</v>
      </c>
      <c r="R237" s="38">
        <f t="shared" si="106"/>
        <v>-8377254.2199999997</v>
      </c>
      <c r="S237" s="38">
        <f t="shared" si="106"/>
        <v>-10414939.74</v>
      </c>
      <c r="T237" s="38">
        <f t="shared" si="106"/>
        <v>-11340835.85</v>
      </c>
      <c r="U237" s="38">
        <f>U236</f>
        <v>-11340835.85</v>
      </c>
      <c r="V237" s="38">
        <f>V236</f>
        <v>0</v>
      </c>
      <c r="W237" s="38">
        <f t="shared" ref="W237:AG237" si="107">W236</f>
        <v>0</v>
      </c>
      <c r="X237" s="38">
        <f t="shared" si="107"/>
        <v>0</v>
      </c>
      <c r="Y237" s="38">
        <f t="shared" si="107"/>
        <v>0</v>
      </c>
      <c r="Z237" s="38">
        <f t="shared" si="107"/>
        <v>0</v>
      </c>
      <c r="AA237" s="38">
        <f t="shared" si="107"/>
        <v>0</v>
      </c>
      <c r="AB237" s="38">
        <f t="shared" si="107"/>
        <v>0</v>
      </c>
      <c r="AC237" s="38">
        <f t="shared" si="107"/>
        <v>0</v>
      </c>
      <c r="AD237" s="38">
        <f t="shared" si="107"/>
        <v>0</v>
      </c>
      <c r="AE237" s="38">
        <f t="shared" si="107"/>
        <v>0</v>
      </c>
      <c r="AF237" s="38">
        <f t="shared" si="107"/>
        <v>0</v>
      </c>
      <c r="AG237" s="38">
        <f t="shared" si="107"/>
        <v>0</v>
      </c>
      <c r="AH237" s="38">
        <f>AH236</f>
        <v>0</v>
      </c>
      <c r="AI237" s="38">
        <f>AI236</f>
        <v>0</v>
      </c>
      <c r="AJ237" s="38">
        <f t="shared" ref="AJ237:AT237" si="108">AJ236</f>
        <v>0</v>
      </c>
      <c r="AK237" s="38">
        <f t="shared" si="108"/>
        <v>0</v>
      </c>
      <c r="AL237" s="38">
        <f t="shared" si="108"/>
        <v>0</v>
      </c>
      <c r="AM237" s="38">
        <f t="shared" si="108"/>
        <v>0</v>
      </c>
      <c r="AN237" s="38">
        <f t="shared" si="108"/>
        <v>0</v>
      </c>
      <c r="AO237" s="38">
        <f t="shared" si="108"/>
        <v>0</v>
      </c>
      <c r="AP237" s="38">
        <f t="shared" si="108"/>
        <v>0</v>
      </c>
      <c r="AQ237" s="38">
        <f t="shared" si="108"/>
        <v>0</v>
      </c>
      <c r="AR237" s="38">
        <f t="shared" si="108"/>
        <v>0</v>
      </c>
      <c r="AS237" s="38">
        <f t="shared" si="108"/>
        <v>0</v>
      </c>
      <c r="AT237" s="38">
        <f t="shared" si="108"/>
        <v>0</v>
      </c>
      <c r="AU237" s="38">
        <f>AU236</f>
        <v>0</v>
      </c>
    </row>
    <row r="238" spans="1:47" ht="15.75" hidden="1" customHeight="1" outlineLevel="2">
      <c r="A238" s="1" t="s">
        <v>303</v>
      </c>
      <c r="C238" s="143"/>
      <c r="E238" s="9" t="str">
        <f>_xll.DBRW(Server&amp;"}ElementAttributes_Indicator",A238,"code_English")</f>
        <v>PL0000_IT - IT</v>
      </c>
      <c r="F238" s="32">
        <f>_xll.DBRW($C$1,$C$2,$C$3,$C$4,$C$6,$C$5,$C$7,F$1,F$2,$A238)</f>
        <v>-64417562.62000002</v>
      </c>
      <c r="G238" s="32">
        <f>_xll.DBRW($C$1,$C$2,$C$3,$C$4,$C$6,$C$5,$C$7,G$1,G$2,$A238)</f>
        <v>-65510167.690000027</v>
      </c>
      <c r="H238" s="32">
        <f>_xll.DBRW($C$1,$C$2,$C$3,$C$4,$C$6,$C$5,$C$7,H$1,H$2,$A238)</f>
        <v>-120358116.10999995</v>
      </c>
      <c r="I238" s="32">
        <f>_xll.DBRW($C$1,$C$2,$C$3,$C$4,$C$6,$C$5,$C$7,I$1,I$2,$A238)</f>
        <v>-13262712.290000001</v>
      </c>
      <c r="J238" s="32">
        <f>_xll.DBRW($C$1,$C$2,$C$3,$C$4,$C$6,$C$5,$C$7,J$1,J$2,$A238)</f>
        <v>-17730145.240000002</v>
      </c>
      <c r="K238" s="32">
        <f>_xll.DBRW($C$1,$C$2,$C$3,$C$4,$C$6,$C$5,$C$7,K$1,K$2,$A238)</f>
        <v>-43669928.030000009</v>
      </c>
      <c r="L238" s="32">
        <f>_xll.DBRW($C$1,$C$2,$C$3,$C$4,$C$6,$C$5,$C$7,L$1,L$2,$A238)</f>
        <v>-56642804.56000001</v>
      </c>
      <c r="M238" s="32">
        <f>_xll.DBRW($C$1,$C$2,$C$3,$C$4,$C$6,$C$5,$C$7,M$1,M$2,$A238)</f>
        <v>-75075625.360000014</v>
      </c>
      <c r="N238" s="32">
        <f>_xll.DBRW($C$1,$C$2,$C$3,$C$4,$C$6,$C$5,$C$7,N$1,N$2,$A238)</f>
        <v>-87461642.860000014</v>
      </c>
      <c r="O238" s="32">
        <f>_xll.DBRW($C$1,$C$2,$C$3,$C$4,$C$6,$C$5,$C$7,O$1,O$2,$A238)</f>
        <v>-62637997.650000021</v>
      </c>
      <c r="P238" s="32">
        <f>_xll.DBRW($C$1,$C$2,$C$3,$C$4,$C$6,$C$5,$C$7,P$1,P$2,$A238)</f>
        <v>-119501725.55000001</v>
      </c>
      <c r="Q238" s="32">
        <f>_xll.DBRW($C$1,$C$2,$C$3,$C$4,$C$6,$C$5,$C$7,Q$1,Q$2,$A238)</f>
        <v>-139288079.03000003</v>
      </c>
      <c r="R238" s="32">
        <f>_xll.DBRW($C$1,$C$2,$C$3,$C$4,$C$6,$C$5,$C$7,R$1,R$2,$A238)</f>
        <v>-92070598.560000017</v>
      </c>
      <c r="S238" s="32">
        <f>_xll.DBRW($C$1,$C$2,$C$3,$C$4,$C$6,$C$5,$C$7,S$1,S$2,$A238)</f>
        <v>-132018881.12</v>
      </c>
      <c r="T238" s="32">
        <f>_xll.DBRW($C$1,$C$2,$C$3,$C$4,$C$6,$C$5,$C$7,T$1,T$2,$A238)</f>
        <v>-188945473.27000001</v>
      </c>
      <c r="U238" s="32">
        <f>_xll.DBRW($C$1,$C$2,$C$3,$C$4,$C$6,$C$5,$C$7,U$1,U$2,$A238)</f>
        <v>-188945473.27000001</v>
      </c>
      <c r="V238" s="32">
        <f>_xll.DBRW($C$1,$C$2,$C$3,$C$4,$C$6,$C$5,$C$7,V$1,V$2,$A238)</f>
        <v>0</v>
      </c>
      <c r="W238" s="32">
        <f>_xll.DBRW($C$1,$C$2,$C$3,$C$4,$C$6,$C$5,$C$7,W$1,W$2,$A238)</f>
        <v>0</v>
      </c>
      <c r="X238" s="32">
        <f>_xll.DBRW($C$1,$C$2,$C$3,$C$4,$C$6,$C$5,$C$7,X$1,X$2,$A238)</f>
        <v>0</v>
      </c>
      <c r="Y238" s="32">
        <f>_xll.DBRW($C$1,$C$2,$C$3,$C$4,$C$6,$C$5,$C$7,Y$1,Y$2,$A238)</f>
        <v>0</v>
      </c>
      <c r="Z238" s="32">
        <f>_xll.DBRW($C$1,$C$2,$C$3,$C$4,$C$6,$C$5,$C$7,Z$1,Z$2,$A238)</f>
        <v>0</v>
      </c>
      <c r="AA238" s="32">
        <f>_xll.DBRW($C$1,$C$2,$C$3,$C$4,$C$6,$C$5,$C$7,AA$1,AA$2,$A238)</f>
        <v>0</v>
      </c>
      <c r="AB238" s="32">
        <f>_xll.DBRW($C$1,$C$2,$C$3,$C$4,$C$6,$C$5,$C$7,AB$1,AB$2,$A238)</f>
        <v>0</v>
      </c>
      <c r="AC238" s="32">
        <f>_xll.DBRW($C$1,$C$2,$C$3,$C$4,$C$6,$C$5,$C$7,AC$1,AC$2,$A238)</f>
        <v>0</v>
      </c>
      <c r="AD238" s="32">
        <f>_xll.DBRW($C$1,$C$2,$C$3,$C$4,$C$6,$C$5,$C$7,AD$1,AD$2,$A238)</f>
        <v>0</v>
      </c>
      <c r="AE238" s="32">
        <f>_xll.DBRW($C$1,$C$2,$C$3,$C$4,$C$6,$C$5,$C$7,AE$1,AE$2,$A238)</f>
        <v>0</v>
      </c>
      <c r="AF238" s="32">
        <f>_xll.DBRW($C$1,$C$2,$C$3,$C$4,$C$6,$C$5,$C$7,AF$1,AF$2,$A238)</f>
        <v>0</v>
      </c>
      <c r="AG238" s="32">
        <f>_xll.DBRW($C$1,$C$2,$C$3,$C$4,$C$6,$C$5,$C$7,AG$1,AG$2,$A238)</f>
        <v>0</v>
      </c>
      <c r="AH238" s="32">
        <f>_xll.DBRW($C$1,$C$2,$C$3,$C$4,$C$6,$C$5,$C$7,AH$1,AH$2,$A238)</f>
        <v>0</v>
      </c>
      <c r="AI238" s="32">
        <f>_xll.DBRW($C$1,$C$2,$C$3,$C$4,$C$6,$C$5,$C$7,AI$1,AI$2,$A238)</f>
        <v>0</v>
      </c>
      <c r="AJ238" s="32">
        <f>_xll.DBRW($C$1,$C$2,$C$3,$C$4,$C$6,$C$5,$C$7,AJ$1,AJ$2,$A238)</f>
        <v>0</v>
      </c>
      <c r="AK238" s="32">
        <f>_xll.DBRW($C$1,$C$2,$C$3,$C$4,$C$6,$C$5,$C$7,AK$1,AK$2,$A238)</f>
        <v>0</v>
      </c>
      <c r="AL238" s="32">
        <f>_xll.DBRW($C$1,$C$2,$C$3,$C$4,$C$6,$C$5,$C$7,AL$1,AL$2,$A238)</f>
        <v>0</v>
      </c>
      <c r="AM238" s="32">
        <f>_xll.DBRW($C$1,$C$2,$C$3,$C$4,$C$6,$C$5,$C$7,AM$1,AM$2,$A238)</f>
        <v>0</v>
      </c>
      <c r="AN238" s="32">
        <f>_xll.DBRW($C$1,$C$2,$C$3,$C$4,$C$6,$C$5,$C$7,AN$1,AN$2,$A238)</f>
        <v>0</v>
      </c>
      <c r="AO238" s="32">
        <f>_xll.DBRW($C$1,$C$2,$C$3,$C$4,$C$6,$C$5,$C$7,AO$1,AO$2,$A238)</f>
        <v>0</v>
      </c>
      <c r="AP238" s="32">
        <f>_xll.DBRW($C$1,$C$2,$C$3,$C$4,$C$6,$C$5,$C$7,AP$1,AP$2,$A238)</f>
        <v>0</v>
      </c>
      <c r="AQ238" s="32">
        <f>_xll.DBRW($C$1,$C$2,$C$3,$C$4,$C$6,$C$5,$C$7,AQ$1,AQ$2,$A238)</f>
        <v>0</v>
      </c>
      <c r="AR238" s="32">
        <f>_xll.DBRW($C$1,$C$2,$C$3,$C$4,$C$6,$C$5,$C$7,AR$1,AR$2,$A238)</f>
        <v>0</v>
      </c>
      <c r="AS238" s="32">
        <f>_xll.DBRW($C$1,$C$2,$C$3,$C$4,$C$6,$C$5,$C$7,AS$1,AS$2,$A238)</f>
        <v>0</v>
      </c>
      <c r="AT238" s="32">
        <f>_xll.DBRW($C$1,$C$2,$C$3,$C$4,$C$6,$C$5,$C$7,AT$1,AT$2,$A238)</f>
        <v>0</v>
      </c>
      <c r="AU238" s="32">
        <f>_xll.DBRW($C$1,$C$2,$C$3,$C$4,$C$6,$C$5,$C$7,AU$1,AU$2,$A238)</f>
        <v>0</v>
      </c>
    </row>
    <row r="239" spans="1:47" ht="15.75" hidden="1" outlineLevel="1">
      <c r="C239" s="143"/>
      <c r="E239" s="80" t="s">
        <v>50</v>
      </c>
      <c r="F239" s="38">
        <f t="shared" ref="F239:T239" si="109">F238</f>
        <v>-64417562.62000002</v>
      </c>
      <c r="G239" s="38">
        <f t="shared" si="109"/>
        <v>-65510167.690000027</v>
      </c>
      <c r="H239" s="38">
        <f t="shared" si="109"/>
        <v>-120358116.10999995</v>
      </c>
      <c r="I239" s="38">
        <f t="shared" si="109"/>
        <v>-13262712.290000001</v>
      </c>
      <c r="J239" s="38">
        <f t="shared" si="109"/>
        <v>-17730145.240000002</v>
      </c>
      <c r="K239" s="38">
        <f t="shared" si="109"/>
        <v>-43669928.030000009</v>
      </c>
      <c r="L239" s="38">
        <f t="shared" si="109"/>
        <v>-56642804.56000001</v>
      </c>
      <c r="M239" s="38">
        <f t="shared" si="109"/>
        <v>-75075625.360000014</v>
      </c>
      <c r="N239" s="38">
        <f t="shared" si="109"/>
        <v>-87461642.860000014</v>
      </c>
      <c r="O239" s="38">
        <f t="shared" si="109"/>
        <v>-62637997.650000021</v>
      </c>
      <c r="P239" s="38">
        <f t="shared" si="109"/>
        <v>-119501725.55000001</v>
      </c>
      <c r="Q239" s="38">
        <f t="shared" si="109"/>
        <v>-139288079.03000003</v>
      </c>
      <c r="R239" s="38">
        <f t="shared" si="109"/>
        <v>-92070598.560000017</v>
      </c>
      <c r="S239" s="38">
        <f t="shared" si="109"/>
        <v>-132018881.12</v>
      </c>
      <c r="T239" s="38">
        <f t="shared" si="109"/>
        <v>-188945473.27000001</v>
      </c>
      <c r="U239" s="38">
        <f>U238</f>
        <v>-188945473.27000001</v>
      </c>
      <c r="V239" s="38">
        <f>V238</f>
        <v>0</v>
      </c>
      <c r="W239" s="38">
        <f t="shared" ref="W239:AG239" si="110">W238</f>
        <v>0</v>
      </c>
      <c r="X239" s="38">
        <f t="shared" si="110"/>
        <v>0</v>
      </c>
      <c r="Y239" s="38">
        <f t="shared" si="110"/>
        <v>0</v>
      </c>
      <c r="Z239" s="38">
        <f t="shared" si="110"/>
        <v>0</v>
      </c>
      <c r="AA239" s="38">
        <f t="shared" si="110"/>
        <v>0</v>
      </c>
      <c r="AB239" s="38">
        <f t="shared" si="110"/>
        <v>0</v>
      </c>
      <c r="AC239" s="38">
        <f t="shared" si="110"/>
        <v>0</v>
      </c>
      <c r="AD239" s="38">
        <f t="shared" si="110"/>
        <v>0</v>
      </c>
      <c r="AE239" s="38">
        <f t="shared" si="110"/>
        <v>0</v>
      </c>
      <c r="AF239" s="38">
        <f t="shared" si="110"/>
        <v>0</v>
      </c>
      <c r="AG239" s="38">
        <f t="shared" si="110"/>
        <v>0</v>
      </c>
      <c r="AH239" s="38">
        <f>AH238</f>
        <v>0</v>
      </c>
      <c r="AI239" s="38">
        <f>AI238</f>
        <v>0</v>
      </c>
      <c r="AJ239" s="38">
        <f t="shared" ref="AJ239:AT239" si="111">AJ238</f>
        <v>0</v>
      </c>
      <c r="AK239" s="38">
        <f t="shared" si="111"/>
        <v>0</v>
      </c>
      <c r="AL239" s="38">
        <f t="shared" si="111"/>
        <v>0</v>
      </c>
      <c r="AM239" s="38">
        <f t="shared" si="111"/>
        <v>0</v>
      </c>
      <c r="AN239" s="38">
        <f t="shared" si="111"/>
        <v>0</v>
      </c>
      <c r="AO239" s="38">
        <f t="shared" si="111"/>
        <v>0</v>
      </c>
      <c r="AP239" s="38">
        <f t="shared" si="111"/>
        <v>0</v>
      </c>
      <c r="AQ239" s="38">
        <f t="shared" si="111"/>
        <v>0</v>
      </c>
      <c r="AR239" s="38">
        <f t="shared" si="111"/>
        <v>0</v>
      </c>
      <c r="AS239" s="38">
        <f t="shared" si="111"/>
        <v>0</v>
      </c>
      <c r="AT239" s="38">
        <f t="shared" si="111"/>
        <v>0</v>
      </c>
      <c r="AU239" s="38">
        <f>AU238</f>
        <v>0</v>
      </c>
    </row>
    <row r="240" spans="1:47" ht="15.75" hidden="1" customHeight="1" outlineLevel="2">
      <c r="A240" s="1" t="s">
        <v>304</v>
      </c>
      <c r="C240" s="143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-688996346.32239985</v>
      </c>
      <c r="G240" s="32">
        <f>_xll.DBRW($C$1,$C$2,$C$3,$C$4,$C$6,$C$5,$C$7,G$1,G$2,$A240)</f>
        <v>-892437234.94199979</v>
      </c>
      <c r="H240" s="32">
        <f>_xll.DBRW($C$1,$C$2,$C$3,$C$4,$C$6,$C$5,$C$7,H$1,H$2,$A240)</f>
        <v>-528145577.6918</v>
      </c>
      <c r="I240" s="32">
        <f>_xll.DBRW($C$1,$C$2,$C$3,$C$4,$C$6,$C$5,$C$7,I$1,I$2,$A240)</f>
        <v>-42076758.907400005</v>
      </c>
      <c r="J240" s="32">
        <f>_xll.DBRW($C$1,$C$2,$C$3,$C$4,$C$6,$C$5,$C$7,J$1,J$2,$A240)</f>
        <v>-53022992.743800007</v>
      </c>
      <c r="K240" s="32">
        <f>_xll.DBRW($C$1,$C$2,$C$3,$C$4,$C$6,$C$5,$C$7,K$1,K$2,$A240)</f>
        <v>-148659405.65940002</v>
      </c>
      <c r="L240" s="32">
        <f>_xll.DBRW($C$1,$C$2,$C$3,$C$4,$C$6,$C$5,$C$7,L$1,L$2,$A240)</f>
        <v>-181473601.87380004</v>
      </c>
      <c r="M240" s="32">
        <f>_xll.DBRW($C$1,$C$2,$C$3,$C$4,$C$6,$C$5,$C$7,M$1,M$2,$A240)</f>
        <v>-263074371.80080009</v>
      </c>
      <c r="N240" s="32">
        <f>_xll.DBRW($C$1,$C$2,$C$3,$C$4,$C$6,$C$5,$C$7,N$1,N$2,$A240)</f>
        <v>-394111027.85780007</v>
      </c>
      <c r="O240" s="32">
        <f>_xll.DBRW($C$1,$C$2,$C$3,$C$4,$C$6,$C$5,$C$7,O$1,O$2,$A240)</f>
        <v>-424105576.6148001</v>
      </c>
      <c r="P240" s="32">
        <f>_xll.DBRW($C$1,$C$2,$C$3,$C$4,$C$6,$C$5,$C$7,P$1,P$2,$A240)</f>
        <v>-472806408.98180008</v>
      </c>
      <c r="Q240" s="32">
        <f>_xll.DBRW($C$1,$C$2,$C$3,$C$4,$C$6,$C$5,$C$7,Q$1,Q$2,$A240)</f>
        <v>-507914102.02560008</v>
      </c>
      <c r="R240" s="32">
        <f>_xll.DBRW($C$1,$C$2,$C$3,$C$4,$C$6,$C$5,$C$7,R$1,R$2,$A240)</f>
        <v>-530399634.23940009</v>
      </c>
      <c r="S240" s="32">
        <f>_xll.DBRW($C$1,$C$2,$C$3,$C$4,$C$6,$C$5,$C$7,S$1,S$2,$A240)</f>
        <v>-619304540.52640009</v>
      </c>
      <c r="T240" s="32">
        <f>_xll.DBRW($C$1,$C$2,$C$3,$C$4,$C$6,$C$5,$C$7,T$1,T$2,$A240)</f>
        <v>-665024180.41060019</v>
      </c>
      <c r="U240" s="32">
        <f>_xll.DBRW($C$1,$C$2,$C$3,$C$4,$C$6,$C$5,$C$7,U$1,U$2,$A240)</f>
        <v>-665024180.41060019</v>
      </c>
      <c r="V240" s="32">
        <f>_xll.DBRW($C$1,$C$2,$C$3,$C$4,$C$6,$C$5,$C$7,V$1,V$2,$A240)</f>
        <v>0</v>
      </c>
      <c r="W240" s="32">
        <f>_xll.DBRW($C$1,$C$2,$C$3,$C$4,$C$6,$C$5,$C$7,W$1,W$2,$A240)</f>
        <v>0</v>
      </c>
      <c r="X240" s="32">
        <f>_xll.DBRW($C$1,$C$2,$C$3,$C$4,$C$6,$C$5,$C$7,X$1,X$2,$A240)</f>
        <v>0</v>
      </c>
      <c r="Y240" s="32">
        <f>_xll.DBRW($C$1,$C$2,$C$3,$C$4,$C$6,$C$5,$C$7,Y$1,Y$2,$A240)</f>
        <v>0</v>
      </c>
      <c r="Z240" s="32">
        <f>_xll.DBRW($C$1,$C$2,$C$3,$C$4,$C$6,$C$5,$C$7,Z$1,Z$2,$A240)</f>
        <v>0</v>
      </c>
      <c r="AA240" s="32">
        <f>_xll.DBRW($C$1,$C$2,$C$3,$C$4,$C$6,$C$5,$C$7,AA$1,AA$2,$A240)</f>
        <v>0</v>
      </c>
      <c r="AB240" s="32">
        <f>_xll.DBRW($C$1,$C$2,$C$3,$C$4,$C$6,$C$5,$C$7,AB$1,AB$2,$A240)</f>
        <v>0</v>
      </c>
      <c r="AC240" s="32">
        <f>_xll.DBRW($C$1,$C$2,$C$3,$C$4,$C$6,$C$5,$C$7,AC$1,AC$2,$A240)</f>
        <v>0</v>
      </c>
      <c r="AD240" s="32">
        <f>_xll.DBRW($C$1,$C$2,$C$3,$C$4,$C$6,$C$5,$C$7,AD$1,AD$2,$A240)</f>
        <v>0</v>
      </c>
      <c r="AE240" s="32">
        <f>_xll.DBRW($C$1,$C$2,$C$3,$C$4,$C$6,$C$5,$C$7,AE$1,AE$2,$A240)</f>
        <v>0</v>
      </c>
      <c r="AF240" s="32">
        <f>_xll.DBRW($C$1,$C$2,$C$3,$C$4,$C$6,$C$5,$C$7,AF$1,AF$2,$A240)</f>
        <v>0</v>
      </c>
      <c r="AG240" s="32">
        <f>_xll.DBRW($C$1,$C$2,$C$3,$C$4,$C$6,$C$5,$C$7,AG$1,AG$2,$A240)</f>
        <v>0</v>
      </c>
      <c r="AH240" s="32">
        <f>_xll.DBRW($C$1,$C$2,$C$3,$C$4,$C$6,$C$5,$C$7,AH$1,AH$2,$A240)</f>
        <v>0</v>
      </c>
      <c r="AI240" s="32">
        <f>_xll.DBRW($C$1,$C$2,$C$3,$C$4,$C$6,$C$5,$C$7,AI$1,AI$2,$A240)</f>
        <v>0</v>
      </c>
      <c r="AJ240" s="32">
        <f>_xll.DBRW($C$1,$C$2,$C$3,$C$4,$C$6,$C$5,$C$7,AJ$1,AJ$2,$A240)</f>
        <v>0</v>
      </c>
      <c r="AK240" s="32">
        <f>_xll.DBRW($C$1,$C$2,$C$3,$C$4,$C$6,$C$5,$C$7,AK$1,AK$2,$A240)</f>
        <v>0</v>
      </c>
      <c r="AL240" s="32">
        <f>_xll.DBRW($C$1,$C$2,$C$3,$C$4,$C$6,$C$5,$C$7,AL$1,AL$2,$A240)</f>
        <v>0</v>
      </c>
      <c r="AM240" s="32">
        <f>_xll.DBRW($C$1,$C$2,$C$3,$C$4,$C$6,$C$5,$C$7,AM$1,AM$2,$A240)</f>
        <v>0</v>
      </c>
      <c r="AN240" s="32">
        <f>_xll.DBRW($C$1,$C$2,$C$3,$C$4,$C$6,$C$5,$C$7,AN$1,AN$2,$A240)</f>
        <v>0</v>
      </c>
      <c r="AO240" s="32">
        <f>_xll.DBRW($C$1,$C$2,$C$3,$C$4,$C$6,$C$5,$C$7,AO$1,AO$2,$A240)</f>
        <v>0</v>
      </c>
      <c r="AP240" s="32">
        <f>_xll.DBRW($C$1,$C$2,$C$3,$C$4,$C$6,$C$5,$C$7,AP$1,AP$2,$A240)</f>
        <v>0</v>
      </c>
      <c r="AQ240" s="32">
        <f>_xll.DBRW($C$1,$C$2,$C$3,$C$4,$C$6,$C$5,$C$7,AQ$1,AQ$2,$A240)</f>
        <v>0</v>
      </c>
      <c r="AR240" s="32">
        <f>_xll.DBRW($C$1,$C$2,$C$3,$C$4,$C$6,$C$5,$C$7,AR$1,AR$2,$A240)</f>
        <v>0</v>
      </c>
      <c r="AS240" s="32">
        <f>_xll.DBRW($C$1,$C$2,$C$3,$C$4,$C$6,$C$5,$C$7,AS$1,AS$2,$A240)</f>
        <v>0</v>
      </c>
      <c r="AT240" s="32">
        <f>_xll.DBRW($C$1,$C$2,$C$3,$C$4,$C$6,$C$5,$C$7,AT$1,AT$2,$A240)</f>
        <v>0</v>
      </c>
      <c r="AU240" s="32">
        <f>_xll.DBRW($C$1,$C$2,$C$3,$C$4,$C$6,$C$5,$C$7,AU$1,AU$2,$A240)</f>
        <v>0</v>
      </c>
    </row>
    <row r="241" spans="1:47" ht="15.75" hidden="1" outlineLevel="1">
      <c r="C241" s="143"/>
      <c r="E241" s="80" t="s">
        <v>51</v>
      </c>
      <c r="F241" s="38">
        <f t="shared" ref="F241:T241" si="112">F240</f>
        <v>-688996346.32239985</v>
      </c>
      <c r="G241" s="38">
        <f t="shared" si="112"/>
        <v>-892437234.94199979</v>
      </c>
      <c r="H241" s="38">
        <f t="shared" si="112"/>
        <v>-528145577.6918</v>
      </c>
      <c r="I241" s="38">
        <f t="shared" si="112"/>
        <v>-42076758.907400005</v>
      </c>
      <c r="J241" s="38">
        <f t="shared" si="112"/>
        <v>-53022992.743800007</v>
      </c>
      <c r="K241" s="38">
        <f t="shared" si="112"/>
        <v>-148659405.65940002</v>
      </c>
      <c r="L241" s="38">
        <f t="shared" si="112"/>
        <v>-181473601.87380004</v>
      </c>
      <c r="M241" s="38">
        <f t="shared" si="112"/>
        <v>-263074371.80080009</v>
      </c>
      <c r="N241" s="38">
        <f t="shared" si="112"/>
        <v>-394111027.85780007</v>
      </c>
      <c r="O241" s="38">
        <f t="shared" si="112"/>
        <v>-424105576.6148001</v>
      </c>
      <c r="P241" s="38">
        <f t="shared" si="112"/>
        <v>-472806408.98180008</v>
      </c>
      <c r="Q241" s="38">
        <f t="shared" si="112"/>
        <v>-507914102.02560008</v>
      </c>
      <c r="R241" s="38">
        <f t="shared" si="112"/>
        <v>-530399634.23940009</v>
      </c>
      <c r="S241" s="38">
        <f t="shared" si="112"/>
        <v>-619304540.52640009</v>
      </c>
      <c r="T241" s="38">
        <f t="shared" si="112"/>
        <v>-665024180.41060019</v>
      </c>
      <c r="U241" s="38">
        <f>U240</f>
        <v>-665024180.41060019</v>
      </c>
      <c r="V241" s="38">
        <f>V240</f>
        <v>0</v>
      </c>
      <c r="W241" s="38">
        <f t="shared" ref="W241:AG241" si="113">W240</f>
        <v>0</v>
      </c>
      <c r="X241" s="38">
        <f t="shared" si="113"/>
        <v>0</v>
      </c>
      <c r="Y241" s="38">
        <f t="shared" si="113"/>
        <v>0</v>
      </c>
      <c r="Z241" s="38">
        <f t="shared" si="113"/>
        <v>0</v>
      </c>
      <c r="AA241" s="38">
        <f t="shared" si="113"/>
        <v>0</v>
      </c>
      <c r="AB241" s="38">
        <f t="shared" si="113"/>
        <v>0</v>
      </c>
      <c r="AC241" s="38">
        <f t="shared" si="113"/>
        <v>0</v>
      </c>
      <c r="AD241" s="38">
        <f t="shared" si="113"/>
        <v>0</v>
      </c>
      <c r="AE241" s="38">
        <f t="shared" si="113"/>
        <v>0</v>
      </c>
      <c r="AF241" s="38">
        <f t="shared" si="113"/>
        <v>0</v>
      </c>
      <c r="AG241" s="38">
        <f t="shared" si="113"/>
        <v>0</v>
      </c>
      <c r="AH241" s="38">
        <f>AH240</f>
        <v>0</v>
      </c>
      <c r="AI241" s="38">
        <f>AI240</f>
        <v>0</v>
      </c>
      <c r="AJ241" s="38">
        <f t="shared" ref="AJ241:AT241" si="114">AJ240</f>
        <v>0</v>
      </c>
      <c r="AK241" s="38">
        <f t="shared" si="114"/>
        <v>0</v>
      </c>
      <c r="AL241" s="38">
        <f t="shared" si="114"/>
        <v>0</v>
      </c>
      <c r="AM241" s="38">
        <f t="shared" si="114"/>
        <v>0</v>
      </c>
      <c r="AN241" s="38">
        <f t="shared" si="114"/>
        <v>0</v>
      </c>
      <c r="AO241" s="38">
        <f t="shared" si="114"/>
        <v>0</v>
      </c>
      <c r="AP241" s="38">
        <f t="shared" si="114"/>
        <v>0</v>
      </c>
      <c r="AQ241" s="38">
        <f t="shared" si="114"/>
        <v>0</v>
      </c>
      <c r="AR241" s="38">
        <f t="shared" si="114"/>
        <v>0</v>
      </c>
      <c r="AS241" s="38">
        <f t="shared" si="114"/>
        <v>0</v>
      </c>
      <c r="AT241" s="38">
        <f t="shared" si="114"/>
        <v>0</v>
      </c>
      <c r="AU241" s="38">
        <f>AU240</f>
        <v>0</v>
      </c>
    </row>
    <row r="242" spans="1:47" ht="15.75" hidden="1" customHeight="1" outlineLevel="2">
      <c r="A242" s="1" t="s">
        <v>305</v>
      </c>
      <c r="C242" s="143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-8710096.3300000001</v>
      </c>
      <c r="G242" s="32">
        <f>_xll.DBRW($C$1,$C$2,$C$3,$C$4,$C$6,$C$5,$C$7,G$1,G$2,$A242)</f>
        <v>-8742051.0299999993</v>
      </c>
      <c r="H242" s="32">
        <f>_xll.DBRW($C$1,$C$2,$C$3,$C$4,$C$6,$C$5,$C$7,H$1,H$2,$A242)</f>
        <v>-99622255.100000024</v>
      </c>
      <c r="I242" s="32">
        <f>_xll.DBRW($C$1,$C$2,$C$3,$C$4,$C$6,$C$5,$C$7,I$1,I$2,$A242)</f>
        <v>-4204027.1100000003</v>
      </c>
      <c r="J242" s="32">
        <f>_xll.DBRW($C$1,$C$2,$C$3,$C$4,$C$6,$C$5,$C$7,J$1,J$2,$A242)</f>
        <v>-4748387.0200000005</v>
      </c>
      <c r="K242" s="32">
        <f>_xll.DBRW($C$1,$C$2,$C$3,$C$4,$C$6,$C$5,$C$7,K$1,K$2,$A242)</f>
        <v>-13053927.710000003</v>
      </c>
      <c r="L242" s="32">
        <f>_xll.DBRW($C$1,$C$2,$C$3,$C$4,$C$6,$C$5,$C$7,L$1,L$2,$A242)</f>
        <v>-17106561.260000002</v>
      </c>
      <c r="M242" s="32">
        <f>_xll.DBRW($C$1,$C$2,$C$3,$C$4,$C$6,$C$5,$C$7,M$1,M$2,$A242)</f>
        <v>-24541571.340000004</v>
      </c>
      <c r="N242" s="32">
        <f>_xll.DBRW($C$1,$C$2,$C$3,$C$4,$C$6,$C$5,$C$7,N$1,N$2,$A242)</f>
        <v>-29415145.640000004</v>
      </c>
      <c r="O242" s="32">
        <f>_xll.DBRW($C$1,$C$2,$C$3,$C$4,$C$6,$C$5,$C$7,O$1,O$2,$A242)</f>
        <v>-30243598.150000002</v>
      </c>
      <c r="P242" s="32">
        <f>_xll.DBRW($C$1,$C$2,$C$3,$C$4,$C$6,$C$5,$C$7,P$1,P$2,$A242)</f>
        <v>-40257768.120000005</v>
      </c>
      <c r="Q242" s="32">
        <f>_xll.DBRW($C$1,$C$2,$C$3,$C$4,$C$6,$C$5,$C$7,Q$1,Q$2,$A242)</f>
        <v>-44872664.300000004</v>
      </c>
      <c r="R242" s="32">
        <f>_xll.DBRW($C$1,$C$2,$C$3,$C$4,$C$6,$C$5,$C$7,R$1,R$2,$A242)</f>
        <v>-43899177.450000003</v>
      </c>
      <c r="S242" s="32">
        <f>_xll.DBRW($C$1,$C$2,$C$3,$C$4,$C$6,$C$5,$C$7,S$1,S$2,$A242)</f>
        <v>-50149057.080000006</v>
      </c>
      <c r="T242" s="32">
        <f>_xll.DBRW($C$1,$C$2,$C$3,$C$4,$C$6,$C$5,$C$7,T$1,T$2,$A242)</f>
        <v>-62054350.990000002</v>
      </c>
      <c r="U242" s="32">
        <f>_xll.DBRW($C$1,$C$2,$C$3,$C$4,$C$6,$C$5,$C$7,U$1,U$2,$A242)</f>
        <v>-62054350.990000002</v>
      </c>
      <c r="V242" s="32">
        <f>_xll.DBRW($C$1,$C$2,$C$3,$C$4,$C$6,$C$5,$C$7,V$1,V$2,$A242)</f>
        <v>0</v>
      </c>
      <c r="W242" s="32">
        <f>_xll.DBRW($C$1,$C$2,$C$3,$C$4,$C$6,$C$5,$C$7,W$1,W$2,$A242)</f>
        <v>0</v>
      </c>
      <c r="X242" s="32">
        <f>_xll.DBRW($C$1,$C$2,$C$3,$C$4,$C$6,$C$5,$C$7,X$1,X$2,$A242)</f>
        <v>0</v>
      </c>
      <c r="Y242" s="32">
        <f>_xll.DBRW($C$1,$C$2,$C$3,$C$4,$C$6,$C$5,$C$7,Y$1,Y$2,$A242)</f>
        <v>0</v>
      </c>
      <c r="Z242" s="32">
        <f>_xll.DBRW($C$1,$C$2,$C$3,$C$4,$C$6,$C$5,$C$7,Z$1,Z$2,$A242)</f>
        <v>0</v>
      </c>
      <c r="AA242" s="32">
        <f>_xll.DBRW($C$1,$C$2,$C$3,$C$4,$C$6,$C$5,$C$7,AA$1,AA$2,$A242)</f>
        <v>0</v>
      </c>
      <c r="AB242" s="32">
        <f>_xll.DBRW($C$1,$C$2,$C$3,$C$4,$C$6,$C$5,$C$7,AB$1,AB$2,$A242)</f>
        <v>0</v>
      </c>
      <c r="AC242" s="32">
        <f>_xll.DBRW($C$1,$C$2,$C$3,$C$4,$C$6,$C$5,$C$7,AC$1,AC$2,$A242)</f>
        <v>0</v>
      </c>
      <c r="AD242" s="32">
        <f>_xll.DBRW($C$1,$C$2,$C$3,$C$4,$C$6,$C$5,$C$7,AD$1,AD$2,$A242)</f>
        <v>0</v>
      </c>
      <c r="AE242" s="32">
        <f>_xll.DBRW($C$1,$C$2,$C$3,$C$4,$C$6,$C$5,$C$7,AE$1,AE$2,$A242)</f>
        <v>0</v>
      </c>
      <c r="AF242" s="32">
        <f>_xll.DBRW($C$1,$C$2,$C$3,$C$4,$C$6,$C$5,$C$7,AF$1,AF$2,$A242)</f>
        <v>0</v>
      </c>
      <c r="AG242" s="32">
        <f>_xll.DBRW($C$1,$C$2,$C$3,$C$4,$C$6,$C$5,$C$7,AG$1,AG$2,$A242)</f>
        <v>0</v>
      </c>
      <c r="AH242" s="32">
        <f>_xll.DBRW($C$1,$C$2,$C$3,$C$4,$C$6,$C$5,$C$7,AH$1,AH$2,$A242)</f>
        <v>0</v>
      </c>
      <c r="AI242" s="32">
        <f>_xll.DBRW($C$1,$C$2,$C$3,$C$4,$C$6,$C$5,$C$7,AI$1,AI$2,$A242)</f>
        <v>0</v>
      </c>
      <c r="AJ242" s="32">
        <f>_xll.DBRW($C$1,$C$2,$C$3,$C$4,$C$6,$C$5,$C$7,AJ$1,AJ$2,$A242)</f>
        <v>0</v>
      </c>
      <c r="AK242" s="32">
        <f>_xll.DBRW($C$1,$C$2,$C$3,$C$4,$C$6,$C$5,$C$7,AK$1,AK$2,$A242)</f>
        <v>0</v>
      </c>
      <c r="AL242" s="32">
        <f>_xll.DBRW($C$1,$C$2,$C$3,$C$4,$C$6,$C$5,$C$7,AL$1,AL$2,$A242)</f>
        <v>0</v>
      </c>
      <c r="AM242" s="32">
        <f>_xll.DBRW($C$1,$C$2,$C$3,$C$4,$C$6,$C$5,$C$7,AM$1,AM$2,$A242)</f>
        <v>0</v>
      </c>
      <c r="AN242" s="32">
        <f>_xll.DBRW($C$1,$C$2,$C$3,$C$4,$C$6,$C$5,$C$7,AN$1,AN$2,$A242)</f>
        <v>0</v>
      </c>
      <c r="AO242" s="32">
        <f>_xll.DBRW($C$1,$C$2,$C$3,$C$4,$C$6,$C$5,$C$7,AO$1,AO$2,$A242)</f>
        <v>0</v>
      </c>
      <c r="AP242" s="32">
        <f>_xll.DBRW($C$1,$C$2,$C$3,$C$4,$C$6,$C$5,$C$7,AP$1,AP$2,$A242)</f>
        <v>0</v>
      </c>
      <c r="AQ242" s="32">
        <f>_xll.DBRW($C$1,$C$2,$C$3,$C$4,$C$6,$C$5,$C$7,AQ$1,AQ$2,$A242)</f>
        <v>0</v>
      </c>
      <c r="AR242" s="32">
        <f>_xll.DBRW($C$1,$C$2,$C$3,$C$4,$C$6,$C$5,$C$7,AR$1,AR$2,$A242)</f>
        <v>0</v>
      </c>
      <c r="AS242" s="32">
        <f>_xll.DBRW($C$1,$C$2,$C$3,$C$4,$C$6,$C$5,$C$7,AS$1,AS$2,$A242)</f>
        <v>0</v>
      </c>
      <c r="AT242" s="32">
        <f>_xll.DBRW($C$1,$C$2,$C$3,$C$4,$C$6,$C$5,$C$7,AT$1,AT$2,$A242)</f>
        <v>0</v>
      </c>
      <c r="AU242" s="32">
        <f>_xll.DBRW($C$1,$C$2,$C$3,$C$4,$C$6,$C$5,$C$7,AU$1,AU$2,$A242)</f>
        <v>0</v>
      </c>
    </row>
    <row r="243" spans="1:47" ht="15.75" hidden="1" outlineLevel="1">
      <c r="C243" s="143"/>
      <c r="E243" s="80" t="s">
        <v>52</v>
      </c>
      <c r="F243" s="38">
        <f t="shared" ref="F243:T243" si="115">F242</f>
        <v>-8710096.3300000001</v>
      </c>
      <c r="G243" s="38">
        <f t="shared" si="115"/>
        <v>-8742051.0299999993</v>
      </c>
      <c r="H243" s="38">
        <f t="shared" si="115"/>
        <v>-99622255.100000024</v>
      </c>
      <c r="I243" s="38">
        <f t="shared" si="115"/>
        <v>-4204027.1100000003</v>
      </c>
      <c r="J243" s="38">
        <f t="shared" si="115"/>
        <v>-4748387.0200000005</v>
      </c>
      <c r="K243" s="38">
        <f t="shared" si="115"/>
        <v>-13053927.710000003</v>
      </c>
      <c r="L243" s="38">
        <f t="shared" si="115"/>
        <v>-17106561.260000002</v>
      </c>
      <c r="M243" s="38">
        <f t="shared" si="115"/>
        <v>-24541571.340000004</v>
      </c>
      <c r="N243" s="38">
        <f t="shared" si="115"/>
        <v>-29415145.640000004</v>
      </c>
      <c r="O243" s="38">
        <f t="shared" si="115"/>
        <v>-30243598.150000002</v>
      </c>
      <c r="P243" s="38">
        <f t="shared" si="115"/>
        <v>-40257768.120000005</v>
      </c>
      <c r="Q243" s="38">
        <f t="shared" si="115"/>
        <v>-44872664.300000004</v>
      </c>
      <c r="R243" s="38">
        <f t="shared" si="115"/>
        <v>-43899177.450000003</v>
      </c>
      <c r="S243" s="38">
        <f t="shared" si="115"/>
        <v>-50149057.080000006</v>
      </c>
      <c r="T243" s="38">
        <f t="shared" si="115"/>
        <v>-62054350.990000002</v>
      </c>
      <c r="U243" s="38">
        <f>U242</f>
        <v>-62054350.990000002</v>
      </c>
      <c r="V243" s="38">
        <f>V242</f>
        <v>0</v>
      </c>
      <c r="W243" s="38">
        <f t="shared" ref="W243:AG243" si="116">W242</f>
        <v>0</v>
      </c>
      <c r="X243" s="38">
        <f t="shared" si="116"/>
        <v>0</v>
      </c>
      <c r="Y243" s="38">
        <f t="shared" si="116"/>
        <v>0</v>
      </c>
      <c r="Z243" s="38">
        <f t="shared" si="116"/>
        <v>0</v>
      </c>
      <c r="AA243" s="38">
        <f t="shared" si="116"/>
        <v>0</v>
      </c>
      <c r="AB243" s="38">
        <f t="shared" si="116"/>
        <v>0</v>
      </c>
      <c r="AC243" s="38">
        <f t="shared" si="116"/>
        <v>0</v>
      </c>
      <c r="AD243" s="38">
        <f t="shared" si="116"/>
        <v>0</v>
      </c>
      <c r="AE243" s="38">
        <f t="shared" si="116"/>
        <v>0</v>
      </c>
      <c r="AF243" s="38">
        <f t="shared" si="116"/>
        <v>0</v>
      </c>
      <c r="AG243" s="38">
        <f t="shared" si="116"/>
        <v>0</v>
      </c>
      <c r="AH243" s="38">
        <f>AH242</f>
        <v>0</v>
      </c>
      <c r="AI243" s="38">
        <f>AI242</f>
        <v>0</v>
      </c>
      <c r="AJ243" s="38">
        <f t="shared" ref="AJ243:AT243" si="117">AJ242</f>
        <v>0</v>
      </c>
      <c r="AK243" s="38">
        <f t="shared" si="117"/>
        <v>0</v>
      </c>
      <c r="AL243" s="38">
        <f t="shared" si="117"/>
        <v>0</v>
      </c>
      <c r="AM243" s="38">
        <f t="shared" si="117"/>
        <v>0</v>
      </c>
      <c r="AN243" s="38">
        <f t="shared" si="117"/>
        <v>0</v>
      </c>
      <c r="AO243" s="38">
        <f t="shared" si="117"/>
        <v>0</v>
      </c>
      <c r="AP243" s="38">
        <f t="shared" si="117"/>
        <v>0</v>
      </c>
      <c r="AQ243" s="38">
        <f t="shared" si="117"/>
        <v>0</v>
      </c>
      <c r="AR243" s="38">
        <f t="shared" si="117"/>
        <v>0</v>
      </c>
      <c r="AS243" s="38">
        <f t="shared" si="117"/>
        <v>0</v>
      </c>
      <c r="AT243" s="38">
        <f t="shared" si="117"/>
        <v>0</v>
      </c>
      <c r="AU243" s="38">
        <f>AU242</f>
        <v>0</v>
      </c>
    </row>
    <row r="244" spans="1:47" ht="15.75" hidden="1" customHeight="1" outlineLevel="2">
      <c r="A244" s="1" t="s">
        <v>306</v>
      </c>
      <c r="C244" s="143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-2681749.7900000005</v>
      </c>
      <c r="G244" s="32">
        <f>_xll.DBRW($C$1,$C$2,$C$3,$C$4,$C$6,$C$5,$C$7,G$1,G$2,$A244)</f>
        <v>-1926183.2800000003</v>
      </c>
      <c r="H244" s="32">
        <f>_xll.DBRW($C$1,$C$2,$C$3,$C$4,$C$6,$C$5,$C$7,H$1,H$2,$A244)</f>
        <v>-243973571.24999997</v>
      </c>
      <c r="I244" s="32">
        <f>_xll.DBRW($C$1,$C$2,$C$3,$C$4,$C$6,$C$5,$C$7,I$1,I$2,$A244)</f>
        <v>-38347604.269999996</v>
      </c>
      <c r="J244" s="32">
        <f>_xll.DBRW($C$1,$C$2,$C$3,$C$4,$C$6,$C$5,$C$7,J$1,J$2,$A244)</f>
        <v>-60645460.869999997</v>
      </c>
      <c r="K244" s="32">
        <f>_xll.DBRW($C$1,$C$2,$C$3,$C$4,$C$6,$C$5,$C$7,K$1,K$2,$A244)</f>
        <v>-26784785.98</v>
      </c>
      <c r="L244" s="32">
        <f>_xll.DBRW($C$1,$C$2,$C$3,$C$4,$C$6,$C$5,$C$7,L$1,L$2,$A244)</f>
        <v>-57911120.399999999</v>
      </c>
      <c r="M244" s="32">
        <f>_xll.DBRW($C$1,$C$2,$C$3,$C$4,$C$6,$C$5,$C$7,M$1,M$2,$A244)</f>
        <v>-61764107.359999999</v>
      </c>
      <c r="N244" s="32">
        <f>_xll.DBRW($C$1,$C$2,$C$3,$C$4,$C$6,$C$5,$C$7,N$1,N$2,$A244)</f>
        <v>-74831084.429999992</v>
      </c>
      <c r="O244" s="32">
        <f>_xll.DBRW($C$1,$C$2,$C$3,$C$4,$C$6,$C$5,$C$7,O$1,O$2,$A244)</f>
        <v>-131957131.30999999</v>
      </c>
      <c r="P244" s="32">
        <f>_xll.DBRW($C$1,$C$2,$C$3,$C$4,$C$6,$C$5,$C$7,P$1,P$2,$A244)</f>
        <v>-142684174.28999999</v>
      </c>
      <c r="Q244" s="32">
        <f>_xll.DBRW($C$1,$C$2,$C$3,$C$4,$C$6,$C$5,$C$7,Q$1,Q$2,$A244)</f>
        <v>-150620249.69999999</v>
      </c>
      <c r="R244" s="32">
        <f>_xll.DBRW($C$1,$C$2,$C$3,$C$4,$C$6,$C$5,$C$7,R$1,R$2,$A244)</f>
        <v>-157808969.53</v>
      </c>
      <c r="S244" s="32">
        <f>_xll.DBRW($C$1,$C$2,$C$3,$C$4,$C$6,$C$5,$C$7,S$1,S$2,$A244)</f>
        <v>-190200872.25999999</v>
      </c>
      <c r="T244" s="32">
        <f>_xll.DBRW($C$1,$C$2,$C$3,$C$4,$C$6,$C$5,$C$7,T$1,T$2,$A244)</f>
        <v>-193817536.57999998</v>
      </c>
      <c r="U244" s="32">
        <f>_xll.DBRW($C$1,$C$2,$C$3,$C$4,$C$6,$C$5,$C$7,U$1,U$2,$A244)</f>
        <v>-193817536.57999998</v>
      </c>
      <c r="V244" s="32">
        <f>_xll.DBRW($C$1,$C$2,$C$3,$C$4,$C$6,$C$5,$C$7,V$1,V$2,$A244)</f>
        <v>0</v>
      </c>
      <c r="W244" s="32">
        <f>_xll.DBRW($C$1,$C$2,$C$3,$C$4,$C$6,$C$5,$C$7,W$1,W$2,$A244)</f>
        <v>0</v>
      </c>
      <c r="X244" s="32">
        <f>_xll.DBRW($C$1,$C$2,$C$3,$C$4,$C$6,$C$5,$C$7,X$1,X$2,$A244)</f>
        <v>0</v>
      </c>
      <c r="Y244" s="32">
        <f>_xll.DBRW($C$1,$C$2,$C$3,$C$4,$C$6,$C$5,$C$7,Y$1,Y$2,$A244)</f>
        <v>0</v>
      </c>
      <c r="Z244" s="32">
        <f>_xll.DBRW($C$1,$C$2,$C$3,$C$4,$C$6,$C$5,$C$7,Z$1,Z$2,$A244)</f>
        <v>0</v>
      </c>
      <c r="AA244" s="32">
        <f>_xll.DBRW($C$1,$C$2,$C$3,$C$4,$C$6,$C$5,$C$7,AA$1,AA$2,$A244)</f>
        <v>0</v>
      </c>
      <c r="AB244" s="32">
        <f>_xll.DBRW($C$1,$C$2,$C$3,$C$4,$C$6,$C$5,$C$7,AB$1,AB$2,$A244)</f>
        <v>0</v>
      </c>
      <c r="AC244" s="32">
        <f>_xll.DBRW($C$1,$C$2,$C$3,$C$4,$C$6,$C$5,$C$7,AC$1,AC$2,$A244)</f>
        <v>0</v>
      </c>
      <c r="AD244" s="32">
        <f>_xll.DBRW($C$1,$C$2,$C$3,$C$4,$C$6,$C$5,$C$7,AD$1,AD$2,$A244)</f>
        <v>0</v>
      </c>
      <c r="AE244" s="32">
        <f>_xll.DBRW($C$1,$C$2,$C$3,$C$4,$C$6,$C$5,$C$7,AE$1,AE$2,$A244)</f>
        <v>0</v>
      </c>
      <c r="AF244" s="32">
        <f>_xll.DBRW($C$1,$C$2,$C$3,$C$4,$C$6,$C$5,$C$7,AF$1,AF$2,$A244)</f>
        <v>0</v>
      </c>
      <c r="AG244" s="32">
        <f>_xll.DBRW($C$1,$C$2,$C$3,$C$4,$C$6,$C$5,$C$7,AG$1,AG$2,$A244)</f>
        <v>0</v>
      </c>
      <c r="AH244" s="32">
        <f>_xll.DBRW($C$1,$C$2,$C$3,$C$4,$C$6,$C$5,$C$7,AH$1,AH$2,$A244)</f>
        <v>0</v>
      </c>
      <c r="AI244" s="32">
        <f>_xll.DBRW($C$1,$C$2,$C$3,$C$4,$C$6,$C$5,$C$7,AI$1,AI$2,$A244)</f>
        <v>0</v>
      </c>
      <c r="AJ244" s="32">
        <f>_xll.DBRW($C$1,$C$2,$C$3,$C$4,$C$6,$C$5,$C$7,AJ$1,AJ$2,$A244)</f>
        <v>0</v>
      </c>
      <c r="AK244" s="32">
        <f>_xll.DBRW($C$1,$C$2,$C$3,$C$4,$C$6,$C$5,$C$7,AK$1,AK$2,$A244)</f>
        <v>0</v>
      </c>
      <c r="AL244" s="32">
        <f>_xll.DBRW($C$1,$C$2,$C$3,$C$4,$C$6,$C$5,$C$7,AL$1,AL$2,$A244)</f>
        <v>0</v>
      </c>
      <c r="AM244" s="32">
        <f>_xll.DBRW($C$1,$C$2,$C$3,$C$4,$C$6,$C$5,$C$7,AM$1,AM$2,$A244)</f>
        <v>0</v>
      </c>
      <c r="AN244" s="32">
        <f>_xll.DBRW($C$1,$C$2,$C$3,$C$4,$C$6,$C$5,$C$7,AN$1,AN$2,$A244)</f>
        <v>0</v>
      </c>
      <c r="AO244" s="32">
        <f>_xll.DBRW($C$1,$C$2,$C$3,$C$4,$C$6,$C$5,$C$7,AO$1,AO$2,$A244)</f>
        <v>0</v>
      </c>
      <c r="AP244" s="32">
        <f>_xll.DBRW($C$1,$C$2,$C$3,$C$4,$C$6,$C$5,$C$7,AP$1,AP$2,$A244)</f>
        <v>0</v>
      </c>
      <c r="AQ244" s="32">
        <f>_xll.DBRW($C$1,$C$2,$C$3,$C$4,$C$6,$C$5,$C$7,AQ$1,AQ$2,$A244)</f>
        <v>0</v>
      </c>
      <c r="AR244" s="32">
        <f>_xll.DBRW($C$1,$C$2,$C$3,$C$4,$C$6,$C$5,$C$7,AR$1,AR$2,$A244)</f>
        <v>0</v>
      </c>
      <c r="AS244" s="32">
        <f>_xll.DBRW($C$1,$C$2,$C$3,$C$4,$C$6,$C$5,$C$7,AS$1,AS$2,$A244)</f>
        <v>0</v>
      </c>
      <c r="AT244" s="32">
        <f>_xll.DBRW($C$1,$C$2,$C$3,$C$4,$C$6,$C$5,$C$7,AT$1,AT$2,$A244)</f>
        <v>0</v>
      </c>
      <c r="AU244" s="32">
        <f>_xll.DBRW($C$1,$C$2,$C$3,$C$4,$C$6,$C$5,$C$7,AU$1,AU$2,$A244)</f>
        <v>0</v>
      </c>
    </row>
    <row r="245" spans="1:47" ht="15.75" hidden="1" outlineLevel="1">
      <c r="C245" s="143"/>
      <c r="E245" s="80" t="s">
        <v>53</v>
      </c>
      <c r="F245" s="38">
        <f t="shared" ref="F245:T245" si="118">F244</f>
        <v>-2681749.7900000005</v>
      </c>
      <c r="G245" s="38">
        <f t="shared" si="118"/>
        <v>-1926183.2800000003</v>
      </c>
      <c r="H245" s="38">
        <f t="shared" si="118"/>
        <v>-243973571.24999997</v>
      </c>
      <c r="I245" s="38">
        <f t="shared" si="118"/>
        <v>-38347604.269999996</v>
      </c>
      <c r="J245" s="38">
        <f t="shared" si="118"/>
        <v>-60645460.869999997</v>
      </c>
      <c r="K245" s="38">
        <f t="shared" si="118"/>
        <v>-26784785.98</v>
      </c>
      <c r="L245" s="38">
        <f t="shared" si="118"/>
        <v>-57911120.399999999</v>
      </c>
      <c r="M245" s="38">
        <f t="shared" si="118"/>
        <v>-61764107.359999999</v>
      </c>
      <c r="N245" s="38">
        <f t="shared" si="118"/>
        <v>-74831084.429999992</v>
      </c>
      <c r="O245" s="38">
        <f t="shared" si="118"/>
        <v>-131957131.30999999</v>
      </c>
      <c r="P245" s="38">
        <f t="shared" si="118"/>
        <v>-142684174.28999999</v>
      </c>
      <c r="Q245" s="38">
        <f t="shared" si="118"/>
        <v>-150620249.69999999</v>
      </c>
      <c r="R245" s="38">
        <f t="shared" si="118"/>
        <v>-157808969.53</v>
      </c>
      <c r="S245" s="38">
        <f t="shared" si="118"/>
        <v>-190200872.25999999</v>
      </c>
      <c r="T245" s="38">
        <f t="shared" si="118"/>
        <v>-193817536.57999998</v>
      </c>
      <c r="U245" s="38">
        <f>U244</f>
        <v>-193817536.57999998</v>
      </c>
      <c r="V245" s="38">
        <f>V244</f>
        <v>0</v>
      </c>
      <c r="W245" s="38">
        <f t="shared" ref="W245:AG245" si="119">W244</f>
        <v>0</v>
      </c>
      <c r="X245" s="38">
        <f t="shared" si="119"/>
        <v>0</v>
      </c>
      <c r="Y245" s="38">
        <f t="shared" si="119"/>
        <v>0</v>
      </c>
      <c r="Z245" s="38">
        <f t="shared" si="119"/>
        <v>0</v>
      </c>
      <c r="AA245" s="38">
        <f t="shared" si="119"/>
        <v>0</v>
      </c>
      <c r="AB245" s="38">
        <f t="shared" si="119"/>
        <v>0</v>
      </c>
      <c r="AC245" s="38">
        <f t="shared" si="119"/>
        <v>0</v>
      </c>
      <c r="AD245" s="38">
        <f t="shared" si="119"/>
        <v>0</v>
      </c>
      <c r="AE245" s="38">
        <f t="shared" si="119"/>
        <v>0</v>
      </c>
      <c r="AF245" s="38">
        <f t="shared" si="119"/>
        <v>0</v>
      </c>
      <c r="AG245" s="38">
        <f t="shared" si="119"/>
        <v>0</v>
      </c>
      <c r="AH245" s="38">
        <f>AH244</f>
        <v>0</v>
      </c>
      <c r="AI245" s="38">
        <f>AI244</f>
        <v>0</v>
      </c>
      <c r="AJ245" s="38">
        <f t="shared" ref="AJ245:AT245" si="120">AJ244</f>
        <v>0</v>
      </c>
      <c r="AK245" s="38">
        <f t="shared" si="120"/>
        <v>0</v>
      </c>
      <c r="AL245" s="38">
        <f t="shared" si="120"/>
        <v>0</v>
      </c>
      <c r="AM245" s="38">
        <f t="shared" si="120"/>
        <v>0</v>
      </c>
      <c r="AN245" s="38">
        <f t="shared" si="120"/>
        <v>0</v>
      </c>
      <c r="AO245" s="38">
        <f t="shared" si="120"/>
        <v>0</v>
      </c>
      <c r="AP245" s="38">
        <f t="shared" si="120"/>
        <v>0</v>
      </c>
      <c r="AQ245" s="38">
        <f t="shared" si="120"/>
        <v>0</v>
      </c>
      <c r="AR245" s="38">
        <f t="shared" si="120"/>
        <v>0</v>
      </c>
      <c r="AS245" s="38">
        <f t="shared" si="120"/>
        <v>0</v>
      </c>
      <c r="AT245" s="38">
        <f t="shared" si="120"/>
        <v>0</v>
      </c>
      <c r="AU245" s="38">
        <f>AU244</f>
        <v>0</v>
      </c>
    </row>
    <row r="246" spans="1:47" ht="15.75" hidden="1" customHeight="1" outlineLevel="2">
      <c r="A246" s="1" t="s">
        <v>307</v>
      </c>
      <c r="C246" s="143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-3624853.0100000002</v>
      </c>
      <c r="G246" s="32">
        <f>_xll.DBRW($C$1,$C$2,$C$3,$C$4,$C$6,$C$5,$C$7,G$1,G$2,$A246)</f>
        <v>-4469820.55</v>
      </c>
      <c r="H246" s="32">
        <f>_xll.DBRW($C$1,$C$2,$C$3,$C$4,$C$6,$C$5,$C$7,H$1,H$2,$A246)</f>
        <v>-1035757.3799999999</v>
      </c>
      <c r="I246" s="32">
        <f>_xll.DBRW($C$1,$C$2,$C$3,$C$4,$C$6,$C$5,$C$7,I$1,I$2,$A246)</f>
        <v>-38735.72</v>
      </c>
      <c r="J246" s="32">
        <f>_xll.DBRW($C$1,$C$2,$C$3,$C$4,$C$6,$C$5,$C$7,J$1,J$2,$A246)</f>
        <v>-182217.34000000003</v>
      </c>
      <c r="K246" s="32">
        <f>_xll.DBRW($C$1,$C$2,$C$3,$C$4,$C$6,$C$5,$C$7,K$1,K$2,$A246)</f>
        <v>-325657.30000000005</v>
      </c>
      <c r="L246" s="32">
        <f>_xll.DBRW($C$1,$C$2,$C$3,$C$4,$C$6,$C$5,$C$7,L$1,L$2,$A246)</f>
        <v>-395558.86</v>
      </c>
      <c r="M246" s="32">
        <f>_xll.DBRW($C$1,$C$2,$C$3,$C$4,$C$6,$C$5,$C$7,M$1,M$2,$A246)</f>
        <v>-516304.50000000006</v>
      </c>
      <c r="N246" s="32">
        <f>_xll.DBRW($C$1,$C$2,$C$3,$C$4,$C$6,$C$5,$C$7,N$1,N$2,$A246)</f>
        <v>-612802.16</v>
      </c>
      <c r="O246" s="32">
        <f>_xll.DBRW($C$1,$C$2,$C$3,$C$4,$C$6,$C$5,$C$7,O$1,O$2,$A246)</f>
        <v>-304208.12</v>
      </c>
      <c r="P246" s="32">
        <f>_xll.DBRW($C$1,$C$2,$C$3,$C$4,$C$6,$C$5,$C$7,P$1,P$2,$A246)</f>
        <v>-790051.99</v>
      </c>
      <c r="Q246" s="32">
        <f>_xll.DBRW($C$1,$C$2,$C$3,$C$4,$C$6,$C$5,$C$7,Q$1,Q$2,$A246)</f>
        <v>-818176.57</v>
      </c>
      <c r="R246" s="32">
        <f>_xll.DBRW($C$1,$C$2,$C$3,$C$4,$C$6,$C$5,$C$7,R$1,R$2,$A246)</f>
        <v>-378221.55</v>
      </c>
      <c r="S246" s="32">
        <f>_xll.DBRW($C$1,$C$2,$C$3,$C$4,$C$6,$C$5,$C$7,S$1,S$2,$A246)</f>
        <v>-988938</v>
      </c>
      <c r="T246" s="32">
        <f>_xll.DBRW($C$1,$C$2,$C$3,$C$4,$C$6,$C$5,$C$7,T$1,T$2,$A246)</f>
        <v>-1075862.53</v>
      </c>
      <c r="U246" s="32">
        <f>_xll.DBRW($C$1,$C$2,$C$3,$C$4,$C$6,$C$5,$C$7,U$1,U$2,$A246)</f>
        <v>-1075862.53</v>
      </c>
      <c r="V246" s="32">
        <f>_xll.DBRW($C$1,$C$2,$C$3,$C$4,$C$6,$C$5,$C$7,V$1,V$2,$A246)</f>
        <v>0</v>
      </c>
      <c r="W246" s="32">
        <f>_xll.DBRW($C$1,$C$2,$C$3,$C$4,$C$6,$C$5,$C$7,W$1,W$2,$A246)</f>
        <v>0</v>
      </c>
      <c r="X246" s="32">
        <f>_xll.DBRW($C$1,$C$2,$C$3,$C$4,$C$6,$C$5,$C$7,X$1,X$2,$A246)</f>
        <v>0</v>
      </c>
      <c r="Y246" s="32">
        <f>_xll.DBRW($C$1,$C$2,$C$3,$C$4,$C$6,$C$5,$C$7,Y$1,Y$2,$A246)</f>
        <v>0</v>
      </c>
      <c r="Z246" s="32">
        <f>_xll.DBRW($C$1,$C$2,$C$3,$C$4,$C$6,$C$5,$C$7,Z$1,Z$2,$A246)</f>
        <v>0</v>
      </c>
      <c r="AA246" s="32">
        <f>_xll.DBRW($C$1,$C$2,$C$3,$C$4,$C$6,$C$5,$C$7,AA$1,AA$2,$A246)</f>
        <v>0</v>
      </c>
      <c r="AB246" s="32">
        <f>_xll.DBRW($C$1,$C$2,$C$3,$C$4,$C$6,$C$5,$C$7,AB$1,AB$2,$A246)</f>
        <v>0</v>
      </c>
      <c r="AC246" s="32">
        <f>_xll.DBRW($C$1,$C$2,$C$3,$C$4,$C$6,$C$5,$C$7,AC$1,AC$2,$A246)</f>
        <v>0</v>
      </c>
      <c r="AD246" s="32">
        <f>_xll.DBRW($C$1,$C$2,$C$3,$C$4,$C$6,$C$5,$C$7,AD$1,AD$2,$A246)</f>
        <v>0</v>
      </c>
      <c r="AE246" s="32">
        <f>_xll.DBRW($C$1,$C$2,$C$3,$C$4,$C$6,$C$5,$C$7,AE$1,AE$2,$A246)</f>
        <v>0</v>
      </c>
      <c r="AF246" s="32">
        <f>_xll.DBRW($C$1,$C$2,$C$3,$C$4,$C$6,$C$5,$C$7,AF$1,AF$2,$A246)</f>
        <v>0</v>
      </c>
      <c r="AG246" s="32">
        <f>_xll.DBRW($C$1,$C$2,$C$3,$C$4,$C$6,$C$5,$C$7,AG$1,AG$2,$A246)</f>
        <v>0</v>
      </c>
      <c r="AH246" s="32">
        <f>_xll.DBRW($C$1,$C$2,$C$3,$C$4,$C$6,$C$5,$C$7,AH$1,AH$2,$A246)</f>
        <v>0</v>
      </c>
      <c r="AI246" s="32">
        <f>_xll.DBRW($C$1,$C$2,$C$3,$C$4,$C$6,$C$5,$C$7,AI$1,AI$2,$A246)</f>
        <v>0</v>
      </c>
      <c r="AJ246" s="32">
        <f>_xll.DBRW($C$1,$C$2,$C$3,$C$4,$C$6,$C$5,$C$7,AJ$1,AJ$2,$A246)</f>
        <v>0</v>
      </c>
      <c r="AK246" s="32">
        <f>_xll.DBRW($C$1,$C$2,$C$3,$C$4,$C$6,$C$5,$C$7,AK$1,AK$2,$A246)</f>
        <v>0</v>
      </c>
      <c r="AL246" s="32">
        <f>_xll.DBRW($C$1,$C$2,$C$3,$C$4,$C$6,$C$5,$C$7,AL$1,AL$2,$A246)</f>
        <v>0</v>
      </c>
      <c r="AM246" s="32">
        <f>_xll.DBRW($C$1,$C$2,$C$3,$C$4,$C$6,$C$5,$C$7,AM$1,AM$2,$A246)</f>
        <v>0</v>
      </c>
      <c r="AN246" s="32">
        <f>_xll.DBRW($C$1,$C$2,$C$3,$C$4,$C$6,$C$5,$C$7,AN$1,AN$2,$A246)</f>
        <v>0</v>
      </c>
      <c r="AO246" s="32">
        <f>_xll.DBRW($C$1,$C$2,$C$3,$C$4,$C$6,$C$5,$C$7,AO$1,AO$2,$A246)</f>
        <v>0</v>
      </c>
      <c r="AP246" s="32">
        <f>_xll.DBRW($C$1,$C$2,$C$3,$C$4,$C$6,$C$5,$C$7,AP$1,AP$2,$A246)</f>
        <v>0</v>
      </c>
      <c r="AQ246" s="32">
        <f>_xll.DBRW($C$1,$C$2,$C$3,$C$4,$C$6,$C$5,$C$7,AQ$1,AQ$2,$A246)</f>
        <v>0</v>
      </c>
      <c r="AR246" s="32">
        <f>_xll.DBRW($C$1,$C$2,$C$3,$C$4,$C$6,$C$5,$C$7,AR$1,AR$2,$A246)</f>
        <v>0</v>
      </c>
      <c r="AS246" s="32">
        <f>_xll.DBRW($C$1,$C$2,$C$3,$C$4,$C$6,$C$5,$C$7,AS$1,AS$2,$A246)</f>
        <v>0</v>
      </c>
      <c r="AT246" s="32">
        <f>_xll.DBRW($C$1,$C$2,$C$3,$C$4,$C$6,$C$5,$C$7,AT$1,AT$2,$A246)</f>
        <v>0</v>
      </c>
      <c r="AU246" s="32">
        <f>_xll.DBRW($C$1,$C$2,$C$3,$C$4,$C$6,$C$5,$C$7,AU$1,AU$2,$A246)</f>
        <v>0</v>
      </c>
    </row>
    <row r="247" spans="1:47" ht="15.75" hidden="1" outlineLevel="1">
      <c r="C247" s="143"/>
      <c r="E247" s="80" t="s">
        <v>54</v>
      </c>
      <c r="F247" s="38">
        <f t="shared" ref="F247:T247" si="121">F246</f>
        <v>-3624853.0100000002</v>
      </c>
      <c r="G247" s="38">
        <f t="shared" si="121"/>
        <v>-4469820.55</v>
      </c>
      <c r="H247" s="38">
        <f t="shared" si="121"/>
        <v>-1035757.3799999999</v>
      </c>
      <c r="I247" s="38">
        <f t="shared" si="121"/>
        <v>-38735.72</v>
      </c>
      <c r="J247" s="38">
        <f t="shared" si="121"/>
        <v>-182217.34000000003</v>
      </c>
      <c r="K247" s="38">
        <f t="shared" si="121"/>
        <v>-325657.30000000005</v>
      </c>
      <c r="L247" s="38">
        <f t="shared" si="121"/>
        <v>-395558.86</v>
      </c>
      <c r="M247" s="38">
        <f t="shared" si="121"/>
        <v>-516304.50000000006</v>
      </c>
      <c r="N247" s="38">
        <f t="shared" si="121"/>
        <v>-612802.16</v>
      </c>
      <c r="O247" s="38">
        <f t="shared" si="121"/>
        <v>-304208.12</v>
      </c>
      <c r="P247" s="38">
        <f t="shared" si="121"/>
        <v>-790051.99</v>
      </c>
      <c r="Q247" s="38">
        <f t="shared" si="121"/>
        <v>-818176.57</v>
      </c>
      <c r="R247" s="38">
        <f t="shared" si="121"/>
        <v>-378221.55</v>
      </c>
      <c r="S247" s="38">
        <f t="shared" si="121"/>
        <v>-988938</v>
      </c>
      <c r="T247" s="38">
        <f t="shared" si="121"/>
        <v>-1075862.53</v>
      </c>
      <c r="U247" s="38">
        <f>U246</f>
        <v>-1075862.53</v>
      </c>
      <c r="V247" s="38">
        <f>V246</f>
        <v>0</v>
      </c>
      <c r="W247" s="38">
        <f t="shared" ref="W247:AG247" si="122">W246</f>
        <v>0</v>
      </c>
      <c r="X247" s="38">
        <f t="shared" si="122"/>
        <v>0</v>
      </c>
      <c r="Y247" s="38">
        <f t="shared" si="122"/>
        <v>0</v>
      </c>
      <c r="Z247" s="38">
        <f t="shared" si="122"/>
        <v>0</v>
      </c>
      <c r="AA247" s="38">
        <f t="shared" si="122"/>
        <v>0</v>
      </c>
      <c r="AB247" s="38">
        <f t="shared" si="122"/>
        <v>0</v>
      </c>
      <c r="AC247" s="38">
        <f t="shared" si="122"/>
        <v>0</v>
      </c>
      <c r="AD247" s="38">
        <f t="shared" si="122"/>
        <v>0</v>
      </c>
      <c r="AE247" s="38">
        <f t="shared" si="122"/>
        <v>0</v>
      </c>
      <c r="AF247" s="38">
        <f t="shared" si="122"/>
        <v>0</v>
      </c>
      <c r="AG247" s="38">
        <f t="shared" si="122"/>
        <v>0</v>
      </c>
      <c r="AH247" s="38">
        <f>AH246</f>
        <v>0</v>
      </c>
      <c r="AI247" s="38">
        <f>AI246</f>
        <v>0</v>
      </c>
      <c r="AJ247" s="38">
        <f t="shared" ref="AJ247:AT247" si="123">AJ246</f>
        <v>0</v>
      </c>
      <c r="AK247" s="38">
        <f t="shared" si="123"/>
        <v>0</v>
      </c>
      <c r="AL247" s="38">
        <f t="shared" si="123"/>
        <v>0</v>
      </c>
      <c r="AM247" s="38">
        <f t="shared" si="123"/>
        <v>0</v>
      </c>
      <c r="AN247" s="38">
        <f t="shared" si="123"/>
        <v>0</v>
      </c>
      <c r="AO247" s="38">
        <f t="shared" si="123"/>
        <v>0</v>
      </c>
      <c r="AP247" s="38">
        <f t="shared" si="123"/>
        <v>0</v>
      </c>
      <c r="AQ247" s="38">
        <f t="shared" si="123"/>
        <v>0</v>
      </c>
      <c r="AR247" s="38">
        <f t="shared" si="123"/>
        <v>0</v>
      </c>
      <c r="AS247" s="38">
        <f t="shared" si="123"/>
        <v>0</v>
      </c>
      <c r="AT247" s="38">
        <f t="shared" si="123"/>
        <v>0</v>
      </c>
      <c r="AU247" s="38">
        <f>AU246</f>
        <v>0</v>
      </c>
    </row>
    <row r="248" spans="1:47" ht="15.75" hidden="1" customHeight="1" outlineLevel="2">
      <c r="A248" s="1" t="s">
        <v>308</v>
      </c>
      <c r="C248" s="143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-22421845.569999997</v>
      </c>
      <c r="G248" s="32">
        <f>_xll.DBRW($C$1,$C$2,$C$3,$C$4,$C$6,$C$5,$C$7,G$1,G$2,$A248)</f>
        <v>-20567112.259999998</v>
      </c>
      <c r="H248" s="32">
        <f>_xll.DBRW($C$1,$C$2,$C$3,$C$4,$C$6,$C$5,$C$7,H$1,H$2,$A248)</f>
        <v>-23363225.32</v>
      </c>
      <c r="I248" s="32">
        <f>_xll.DBRW($C$1,$C$2,$C$3,$C$4,$C$6,$C$5,$C$7,I$1,I$2,$A248)</f>
        <v>-662614.89000000013</v>
      </c>
      <c r="J248" s="32">
        <f>_xll.DBRW($C$1,$C$2,$C$3,$C$4,$C$6,$C$5,$C$7,J$1,J$2,$A248)</f>
        <v>-3671028.37</v>
      </c>
      <c r="K248" s="32">
        <f>_xll.DBRW($C$1,$C$2,$C$3,$C$4,$C$6,$C$5,$C$7,K$1,K$2,$A248)</f>
        <v>-5956929.129999999</v>
      </c>
      <c r="L248" s="32">
        <f>_xll.DBRW($C$1,$C$2,$C$3,$C$4,$C$6,$C$5,$C$7,L$1,L$2,$A248)</f>
        <v>-7827857.709999999</v>
      </c>
      <c r="M248" s="32">
        <f>_xll.DBRW($C$1,$C$2,$C$3,$C$4,$C$6,$C$5,$C$7,M$1,M$2,$A248)</f>
        <v>-9714413.9900000002</v>
      </c>
      <c r="N248" s="32">
        <f>_xll.DBRW($C$1,$C$2,$C$3,$C$4,$C$6,$C$5,$C$7,N$1,N$2,$A248)</f>
        <v>-11527109.700000001</v>
      </c>
      <c r="O248" s="32">
        <f>_xll.DBRW($C$1,$C$2,$C$3,$C$4,$C$6,$C$5,$C$7,O$1,O$2,$A248)</f>
        <v>-4799070.6400000015</v>
      </c>
      <c r="P248" s="32">
        <f>_xll.DBRW($C$1,$C$2,$C$3,$C$4,$C$6,$C$5,$C$7,P$1,P$2,$A248)</f>
        <v>-15211763.570000004</v>
      </c>
      <c r="Q248" s="32">
        <f>_xll.DBRW($C$1,$C$2,$C$3,$C$4,$C$6,$C$5,$C$7,Q$1,Q$2,$A248)</f>
        <v>-17606510.23</v>
      </c>
      <c r="R248" s="32">
        <f>_xll.DBRW($C$1,$C$2,$C$3,$C$4,$C$6,$C$5,$C$7,R$1,R$2,$A248)</f>
        <v>-6850772.2100000037</v>
      </c>
      <c r="S248" s="32">
        <f>_xll.DBRW($C$1,$C$2,$C$3,$C$4,$C$6,$C$5,$C$7,S$1,S$2,$A248)</f>
        <v>-11883415.650000002</v>
      </c>
      <c r="T248" s="32">
        <f>_xll.DBRW($C$1,$C$2,$C$3,$C$4,$C$6,$C$5,$C$7,T$1,T$2,$A248)</f>
        <v>-25216233.170000002</v>
      </c>
      <c r="U248" s="32">
        <f>_xll.DBRW($C$1,$C$2,$C$3,$C$4,$C$6,$C$5,$C$7,U$1,U$2,$A248)</f>
        <v>-25216233.170000002</v>
      </c>
      <c r="V248" s="32">
        <f>_xll.DBRW($C$1,$C$2,$C$3,$C$4,$C$6,$C$5,$C$7,V$1,V$2,$A248)</f>
        <v>0</v>
      </c>
      <c r="W248" s="32">
        <f>_xll.DBRW($C$1,$C$2,$C$3,$C$4,$C$6,$C$5,$C$7,W$1,W$2,$A248)</f>
        <v>0</v>
      </c>
      <c r="X248" s="32">
        <f>_xll.DBRW($C$1,$C$2,$C$3,$C$4,$C$6,$C$5,$C$7,X$1,X$2,$A248)</f>
        <v>0</v>
      </c>
      <c r="Y248" s="32">
        <f>_xll.DBRW($C$1,$C$2,$C$3,$C$4,$C$6,$C$5,$C$7,Y$1,Y$2,$A248)</f>
        <v>0</v>
      </c>
      <c r="Z248" s="32">
        <f>_xll.DBRW($C$1,$C$2,$C$3,$C$4,$C$6,$C$5,$C$7,Z$1,Z$2,$A248)</f>
        <v>0</v>
      </c>
      <c r="AA248" s="32">
        <f>_xll.DBRW($C$1,$C$2,$C$3,$C$4,$C$6,$C$5,$C$7,AA$1,AA$2,$A248)</f>
        <v>0</v>
      </c>
      <c r="AB248" s="32">
        <f>_xll.DBRW($C$1,$C$2,$C$3,$C$4,$C$6,$C$5,$C$7,AB$1,AB$2,$A248)</f>
        <v>0</v>
      </c>
      <c r="AC248" s="32">
        <f>_xll.DBRW($C$1,$C$2,$C$3,$C$4,$C$6,$C$5,$C$7,AC$1,AC$2,$A248)</f>
        <v>0</v>
      </c>
      <c r="AD248" s="32">
        <f>_xll.DBRW($C$1,$C$2,$C$3,$C$4,$C$6,$C$5,$C$7,AD$1,AD$2,$A248)</f>
        <v>0</v>
      </c>
      <c r="AE248" s="32">
        <f>_xll.DBRW($C$1,$C$2,$C$3,$C$4,$C$6,$C$5,$C$7,AE$1,AE$2,$A248)</f>
        <v>0</v>
      </c>
      <c r="AF248" s="32">
        <f>_xll.DBRW($C$1,$C$2,$C$3,$C$4,$C$6,$C$5,$C$7,AF$1,AF$2,$A248)</f>
        <v>0</v>
      </c>
      <c r="AG248" s="32">
        <f>_xll.DBRW($C$1,$C$2,$C$3,$C$4,$C$6,$C$5,$C$7,AG$1,AG$2,$A248)</f>
        <v>0</v>
      </c>
      <c r="AH248" s="32">
        <f>_xll.DBRW($C$1,$C$2,$C$3,$C$4,$C$6,$C$5,$C$7,AH$1,AH$2,$A248)</f>
        <v>0</v>
      </c>
      <c r="AI248" s="32">
        <f>_xll.DBRW($C$1,$C$2,$C$3,$C$4,$C$6,$C$5,$C$7,AI$1,AI$2,$A248)</f>
        <v>0</v>
      </c>
      <c r="AJ248" s="32">
        <f>_xll.DBRW($C$1,$C$2,$C$3,$C$4,$C$6,$C$5,$C$7,AJ$1,AJ$2,$A248)</f>
        <v>0</v>
      </c>
      <c r="AK248" s="32">
        <f>_xll.DBRW($C$1,$C$2,$C$3,$C$4,$C$6,$C$5,$C$7,AK$1,AK$2,$A248)</f>
        <v>0</v>
      </c>
      <c r="AL248" s="32">
        <f>_xll.DBRW($C$1,$C$2,$C$3,$C$4,$C$6,$C$5,$C$7,AL$1,AL$2,$A248)</f>
        <v>0</v>
      </c>
      <c r="AM248" s="32">
        <f>_xll.DBRW($C$1,$C$2,$C$3,$C$4,$C$6,$C$5,$C$7,AM$1,AM$2,$A248)</f>
        <v>0</v>
      </c>
      <c r="AN248" s="32">
        <f>_xll.DBRW($C$1,$C$2,$C$3,$C$4,$C$6,$C$5,$C$7,AN$1,AN$2,$A248)</f>
        <v>0</v>
      </c>
      <c r="AO248" s="32">
        <f>_xll.DBRW($C$1,$C$2,$C$3,$C$4,$C$6,$C$5,$C$7,AO$1,AO$2,$A248)</f>
        <v>0</v>
      </c>
      <c r="AP248" s="32">
        <f>_xll.DBRW($C$1,$C$2,$C$3,$C$4,$C$6,$C$5,$C$7,AP$1,AP$2,$A248)</f>
        <v>0</v>
      </c>
      <c r="AQ248" s="32">
        <f>_xll.DBRW($C$1,$C$2,$C$3,$C$4,$C$6,$C$5,$C$7,AQ$1,AQ$2,$A248)</f>
        <v>0</v>
      </c>
      <c r="AR248" s="32">
        <f>_xll.DBRW($C$1,$C$2,$C$3,$C$4,$C$6,$C$5,$C$7,AR$1,AR$2,$A248)</f>
        <v>0</v>
      </c>
      <c r="AS248" s="32">
        <f>_xll.DBRW($C$1,$C$2,$C$3,$C$4,$C$6,$C$5,$C$7,AS$1,AS$2,$A248)</f>
        <v>0</v>
      </c>
      <c r="AT248" s="32">
        <f>_xll.DBRW($C$1,$C$2,$C$3,$C$4,$C$6,$C$5,$C$7,AT$1,AT$2,$A248)</f>
        <v>0</v>
      </c>
      <c r="AU248" s="32">
        <f>_xll.DBRW($C$1,$C$2,$C$3,$C$4,$C$6,$C$5,$C$7,AU$1,AU$2,$A248)</f>
        <v>0</v>
      </c>
    </row>
    <row r="249" spans="1:47" ht="15.75" hidden="1" outlineLevel="1">
      <c r="C249" s="143"/>
      <c r="E249" s="80" t="s">
        <v>55</v>
      </c>
      <c r="F249" s="38">
        <f t="shared" ref="F249:T249" si="124">F248</f>
        <v>-22421845.569999997</v>
      </c>
      <c r="G249" s="38">
        <f t="shared" si="124"/>
        <v>-20567112.259999998</v>
      </c>
      <c r="H249" s="38">
        <f t="shared" si="124"/>
        <v>-23363225.32</v>
      </c>
      <c r="I249" s="38">
        <f t="shared" si="124"/>
        <v>-662614.89000000013</v>
      </c>
      <c r="J249" s="38">
        <f t="shared" si="124"/>
        <v>-3671028.37</v>
      </c>
      <c r="K249" s="38">
        <f t="shared" si="124"/>
        <v>-5956929.129999999</v>
      </c>
      <c r="L249" s="38">
        <f t="shared" si="124"/>
        <v>-7827857.709999999</v>
      </c>
      <c r="M249" s="38">
        <f t="shared" si="124"/>
        <v>-9714413.9900000002</v>
      </c>
      <c r="N249" s="38">
        <f t="shared" si="124"/>
        <v>-11527109.700000001</v>
      </c>
      <c r="O249" s="38">
        <f t="shared" si="124"/>
        <v>-4799070.6400000015</v>
      </c>
      <c r="P249" s="38">
        <f t="shared" si="124"/>
        <v>-15211763.570000004</v>
      </c>
      <c r="Q249" s="38">
        <f t="shared" si="124"/>
        <v>-17606510.23</v>
      </c>
      <c r="R249" s="38">
        <f t="shared" si="124"/>
        <v>-6850772.2100000037</v>
      </c>
      <c r="S249" s="38">
        <f t="shared" si="124"/>
        <v>-11883415.650000002</v>
      </c>
      <c r="T249" s="38">
        <f t="shared" si="124"/>
        <v>-25216233.170000002</v>
      </c>
      <c r="U249" s="38">
        <f>U248</f>
        <v>-25216233.170000002</v>
      </c>
      <c r="V249" s="38">
        <f>V248</f>
        <v>0</v>
      </c>
      <c r="W249" s="38">
        <f t="shared" ref="W249:AG249" si="125">W248</f>
        <v>0</v>
      </c>
      <c r="X249" s="38">
        <f t="shared" si="125"/>
        <v>0</v>
      </c>
      <c r="Y249" s="38">
        <f t="shared" si="125"/>
        <v>0</v>
      </c>
      <c r="Z249" s="38">
        <f t="shared" si="125"/>
        <v>0</v>
      </c>
      <c r="AA249" s="38">
        <f t="shared" si="125"/>
        <v>0</v>
      </c>
      <c r="AB249" s="38">
        <f t="shared" si="125"/>
        <v>0</v>
      </c>
      <c r="AC249" s="38">
        <f t="shared" si="125"/>
        <v>0</v>
      </c>
      <c r="AD249" s="38">
        <f t="shared" si="125"/>
        <v>0</v>
      </c>
      <c r="AE249" s="38">
        <f t="shared" si="125"/>
        <v>0</v>
      </c>
      <c r="AF249" s="38">
        <f t="shared" si="125"/>
        <v>0</v>
      </c>
      <c r="AG249" s="38">
        <f t="shared" si="125"/>
        <v>0</v>
      </c>
      <c r="AH249" s="38">
        <f>AH248</f>
        <v>0</v>
      </c>
      <c r="AI249" s="38">
        <f>AI248</f>
        <v>0</v>
      </c>
      <c r="AJ249" s="38">
        <f t="shared" ref="AJ249:AT249" si="126">AJ248</f>
        <v>0</v>
      </c>
      <c r="AK249" s="38">
        <f t="shared" si="126"/>
        <v>0</v>
      </c>
      <c r="AL249" s="38">
        <f t="shared" si="126"/>
        <v>0</v>
      </c>
      <c r="AM249" s="38">
        <f t="shared" si="126"/>
        <v>0</v>
      </c>
      <c r="AN249" s="38">
        <f t="shared" si="126"/>
        <v>0</v>
      </c>
      <c r="AO249" s="38">
        <f t="shared" si="126"/>
        <v>0</v>
      </c>
      <c r="AP249" s="38">
        <f t="shared" si="126"/>
        <v>0</v>
      </c>
      <c r="AQ249" s="38">
        <f t="shared" si="126"/>
        <v>0</v>
      </c>
      <c r="AR249" s="38">
        <f t="shared" si="126"/>
        <v>0</v>
      </c>
      <c r="AS249" s="38">
        <f t="shared" si="126"/>
        <v>0</v>
      </c>
      <c r="AT249" s="38">
        <f t="shared" si="126"/>
        <v>0</v>
      </c>
      <c r="AU249" s="38">
        <f>AU248</f>
        <v>0</v>
      </c>
    </row>
    <row r="250" spans="1:47" ht="15.75" hidden="1" customHeight="1" outlineLevel="2">
      <c r="A250" s="1" t="s">
        <v>309</v>
      </c>
      <c r="C250" s="143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-19399568.460000005</v>
      </c>
      <c r="G250" s="32">
        <f>_xll.DBRW($C$1,$C$2,$C$3,$C$4,$C$6,$C$5,$C$7,G$1,G$2,$A250)</f>
        <v>-20984998.719999999</v>
      </c>
      <c r="H250" s="32">
        <f>_xll.DBRW($C$1,$C$2,$C$3,$C$4,$C$6,$C$5,$C$7,H$1,H$2,$A250)</f>
        <v>-15248891.630000005</v>
      </c>
      <c r="I250" s="32">
        <f>_xll.DBRW($C$1,$C$2,$C$3,$C$4,$C$6,$C$5,$C$7,I$1,I$2,$A250)</f>
        <v>-1244784.55</v>
      </c>
      <c r="J250" s="32">
        <f>_xll.DBRW($C$1,$C$2,$C$3,$C$4,$C$6,$C$5,$C$7,J$1,J$2,$A250)</f>
        <v>-5327796.3999999994</v>
      </c>
      <c r="K250" s="32">
        <f>_xll.DBRW($C$1,$C$2,$C$3,$C$4,$C$6,$C$5,$C$7,K$1,K$2,$A250)</f>
        <v>-7070598.9299999997</v>
      </c>
      <c r="L250" s="32">
        <f>_xll.DBRW($C$1,$C$2,$C$3,$C$4,$C$6,$C$5,$C$7,L$1,L$2,$A250)</f>
        <v>-9669613.4199999999</v>
      </c>
      <c r="M250" s="32">
        <f>_xll.DBRW($C$1,$C$2,$C$3,$C$4,$C$6,$C$5,$C$7,M$1,M$2,$A250)</f>
        <v>-12071715.959999997</v>
      </c>
      <c r="N250" s="32">
        <f>_xll.DBRW($C$1,$C$2,$C$3,$C$4,$C$6,$C$5,$C$7,N$1,N$2,$A250)</f>
        <v>-14897248.239999998</v>
      </c>
      <c r="O250" s="32">
        <f>_xll.DBRW($C$1,$C$2,$C$3,$C$4,$C$6,$C$5,$C$7,O$1,O$2,$A250)</f>
        <v>-5070121.76</v>
      </c>
      <c r="P250" s="32">
        <f>_xll.DBRW($C$1,$C$2,$C$3,$C$4,$C$6,$C$5,$C$7,P$1,P$2,$A250)</f>
        <v>-18197819.209999997</v>
      </c>
      <c r="Q250" s="32">
        <f>_xll.DBRW($C$1,$C$2,$C$3,$C$4,$C$6,$C$5,$C$7,Q$1,Q$2,$A250)</f>
        <v>-19840120.169999998</v>
      </c>
      <c r="R250" s="32">
        <f>_xll.DBRW($C$1,$C$2,$C$3,$C$4,$C$6,$C$5,$C$7,R$1,R$2,$A250)</f>
        <v>-5979678.9499999993</v>
      </c>
      <c r="S250" s="32">
        <f>_xll.DBRW($C$1,$C$2,$C$3,$C$4,$C$6,$C$5,$C$7,S$1,S$2,$A250)</f>
        <v>-11592384.43</v>
      </c>
      <c r="T250" s="32">
        <f>_xll.DBRW($C$1,$C$2,$C$3,$C$4,$C$6,$C$5,$C$7,T$1,T$2,$A250)</f>
        <v>-27689283.889999997</v>
      </c>
      <c r="U250" s="32">
        <f>_xll.DBRW($C$1,$C$2,$C$3,$C$4,$C$6,$C$5,$C$7,U$1,U$2,$A250)</f>
        <v>-27689283.889999997</v>
      </c>
      <c r="V250" s="32">
        <f>_xll.DBRW($C$1,$C$2,$C$3,$C$4,$C$6,$C$5,$C$7,V$1,V$2,$A250)</f>
        <v>0</v>
      </c>
      <c r="W250" s="32">
        <f>_xll.DBRW($C$1,$C$2,$C$3,$C$4,$C$6,$C$5,$C$7,W$1,W$2,$A250)</f>
        <v>0</v>
      </c>
      <c r="X250" s="32">
        <f>_xll.DBRW($C$1,$C$2,$C$3,$C$4,$C$6,$C$5,$C$7,X$1,X$2,$A250)</f>
        <v>0</v>
      </c>
      <c r="Y250" s="32">
        <f>_xll.DBRW($C$1,$C$2,$C$3,$C$4,$C$6,$C$5,$C$7,Y$1,Y$2,$A250)</f>
        <v>0</v>
      </c>
      <c r="Z250" s="32">
        <f>_xll.DBRW($C$1,$C$2,$C$3,$C$4,$C$6,$C$5,$C$7,Z$1,Z$2,$A250)</f>
        <v>0</v>
      </c>
      <c r="AA250" s="32">
        <f>_xll.DBRW($C$1,$C$2,$C$3,$C$4,$C$6,$C$5,$C$7,AA$1,AA$2,$A250)</f>
        <v>0</v>
      </c>
      <c r="AB250" s="32">
        <f>_xll.DBRW($C$1,$C$2,$C$3,$C$4,$C$6,$C$5,$C$7,AB$1,AB$2,$A250)</f>
        <v>0</v>
      </c>
      <c r="AC250" s="32">
        <f>_xll.DBRW($C$1,$C$2,$C$3,$C$4,$C$6,$C$5,$C$7,AC$1,AC$2,$A250)</f>
        <v>0</v>
      </c>
      <c r="AD250" s="32">
        <f>_xll.DBRW($C$1,$C$2,$C$3,$C$4,$C$6,$C$5,$C$7,AD$1,AD$2,$A250)</f>
        <v>0</v>
      </c>
      <c r="AE250" s="32">
        <f>_xll.DBRW($C$1,$C$2,$C$3,$C$4,$C$6,$C$5,$C$7,AE$1,AE$2,$A250)</f>
        <v>0</v>
      </c>
      <c r="AF250" s="32">
        <f>_xll.DBRW($C$1,$C$2,$C$3,$C$4,$C$6,$C$5,$C$7,AF$1,AF$2,$A250)</f>
        <v>0</v>
      </c>
      <c r="AG250" s="32">
        <f>_xll.DBRW($C$1,$C$2,$C$3,$C$4,$C$6,$C$5,$C$7,AG$1,AG$2,$A250)</f>
        <v>0</v>
      </c>
      <c r="AH250" s="32">
        <f>_xll.DBRW($C$1,$C$2,$C$3,$C$4,$C$6,$C$5,$C$7,AH$1,AH$2,$A250)</f>
        <v>0</v>
      </c>
      <c r="AI250" s="32">
        <f>_xll.DBRW($C$1,$C$2,$C$3,$C$4,$C$6,$C$5,$C$7,AI$1,AI$2,$A250)</f>
        <v>0</v>
      </c>
      <c r="AJ250" s="32">
        <f>_xll.DBRW($C$1,$C$2,$C$3,$C$4,$C$6,$C$5,$C$7,AJ$1,AJ$2,$A250)</f>
        <v>0</v>
      </c>
      <c r="AK250" s="32">
        <f>_xll.DBRW($C$1,$C$2,$C$3,$C$4,$C$6,$C$5,$C$7,AK$1,AK$2,$A250)</f>
        <v>0</v>
      </c>
      <c r="AL250" s="32">
        <f>_xll.DBRW($C$1,$C$2,$C$3,$C$4,$C$6,$C$5,$C$7,AL$1,AL$2,$A250)</f>
        <v>0</v>
      </c>
      <c r="AM250" s="32">
        <f>_xll.DBRW($C$1,$C$2,$C$3,$C$4,$C$6,$C$5,$C$7,AM$1,AM$2,$A250)</f>
        <v>0</v>
      </c>
      <c r="AN250" s="32">
        <f>_xll.DBRW($C$1,$C$2,$C$3,$C$4,$C$6,$C$5,$C$7,AN$1,AN$2,$A250)</f>
        <v>0</v>
      </c>
      <c r="AO250" s="32">
        <f>_xll.DBRW($C$1,$C$2,$C$3,$C$4,$C$6,$C$5,$C$7,AO$1,AO$2,$A250)</f>
        <v>0</v>
      </c>
      <c r="AP250" s="32">
        <f>_xll.DBRW($C$1,$C$2,$C$3,$C$4,$C$6,$C$5,$C$7,AP$1,AP$2,$A250)</f>
        <v>0</v>
      </c>
      <c r="AQ250" s="32">
        <f>_xll.DBRW($C$1,$C$2,$C$3,$C$4,$C$6,$C$5,$C$7,AQ$1,AQ$2,$A250)</f>
        <v>0</v>
      </c>
      <c r="AR250" s="32">
        <f>_xll.DBRW($C$1,$C$2,$C$3,$C$4,$C$6,$C$5,$C$7,AR$1,AR$2,$A250)</f>
        <v>0</v>
      </c>
      <c r="AS250" s="32">
        <f>_xll.DBRW($C$1,$C$2,$C$3,$C$4,$C$6,$C$5,$C$7,AS$1,AS$2,$A250)</f>
        <v>0</v>
      </c>
      <c r="AT250" s="32">
        <f>_xll.DBRW($C$1,$C$2,$C$3,$C$4,$C$6,$C$5,$C$7,AT$1,AT$2,$A250)</f>
        <v>0</v>
      </c>
      <c r="AU250" s="32">
        <f>_xll.DBRW($C$1,$C$2,$C$3,$C$4,$C$6,$C$5,$C$7,AU$1,AU$2,$A250)</f>
        <v>0</v>
      </c>
    </row>
    <row r="251" spans="1:47" ht="15.75" hidden="1" outlineLevel="1">
      <c r="C251" s="143"/>
      <c r="E251" s="80" t="s">
        <v>56</v>
      </c>
      <c r="F251" s="38">
        <f t="shared" ref="F251:T251" si="127">F250</f>
        <v>-19399568.460000005</v>
      </c>
      <c r="G251" s="38">
        <f t="shared" si="127"/>
        <v>-20984998.719999999</v>
      </c>
      <c r="H251" s="38">
        <f t="shared" si="127"/>
        <v>-15248891.630000005</v>
      </c>
      <c r="I251" s="38">
        <f t="shared" si="127"/>
        <v>-1244784.55</v>
      </c>
      <c r="J251" s="38">
        <f t="shared" si="127"/>
        <v>-5327796.3999999994</v>
      </c>
      <c r="K251" s="38">
        <f t="shared" si="127"/>
        <v>-7070598.9299999997</v>
      </c>
      <c r="L251" s="38">
        <f t="shared" si="127"/>
        <v>-9669613.4199999999</v>
      </c>
      <c r="M251" s="38">
        <f t="shared" si="127"/>
        <v>-12071715.959999997</v>
      </c>
      <c r="N251" s="38">
        <f t="shared" si="127"/>
        <v>-14897248.239999998</v>
      </c>
      <c r="O251" s="38">
        <f t="shared" si="127"/>
        <v>-5070121.76</v>
      </c>
      <c r="P251" s="38">
        <f t="shared" si="127"/>
        <v>-18197819.209999997</v>
      </c>
      <c r="Q251" s="38">
        <f t="shared" si="127"/>
        <v>-19840120.169999998</v>
      </c>
      <c r="R251" s="38">
        <f t="shared" si="127"/>
        <v>-5979678.9499999993</v>
      </c>
      <c r="S251" s="38">
        <f t="shared" si="127"/>
        <v>-11592384.43</v>
      </c>
      <c r="T251" s="38">
        <f t="shared" si="127"/>
        <v>-27689283.889999997</v>
      </c>
      <c r="U251" s="38">
        <f>U250</f>
        <v>-27689283.889999997</v>
      </c>
      <c r="V251" s="38">
        <f>V250</f>
        <v>0</v>
      </c>
      <c r="W251" s="38">
        <f t="shared" ref="W251:AG251" si="128">W250</f>
        <v>0</v>
      </c>
      <c r="X251" s="38">
        <f t="shared" si="128"/>
        <v>0</v>
      </c>
      <c r="Y251" s="38">
        <f t="shared" si="128"/>
        <v>0</v>
      </c>
      <c r="Z251" s="38">
        <f t="shared" si="128"/>
        <v>0</v>
      </c>
      <c r="AA251" s="38">
        <f t="shared" si="128"/>
        <v>0</v>
      </c>
      <c r="AB251" s="38">
        <f t="shared" si="128"/>
        <v>0</v>
      </c>
      <c r="AC251" s="38">
        <f t="shared" si="128"/>
        <v>0</v>
      </c>
      <c r="AD251" s="38">
        <f t="shared" si="128"/>
        <v>0</v>
      </c>
      <c r="AE251" s="38">
        <f t="shared" si="128"/>
        <v>0</v>
      </c>
      <c r="AF251" s="38">
        <f t="shared" si="128"/>
        <v>0</v>
      </c>
      <c r="AG251" s="38">
        <f t="shared" si="128"/>
        <v>0</v>
      </c>
      <c r="AH251" s="38">
        <f>AH250</f>
        <v>0</v>
      </c>
      <c r="AI251" s="38">
        <f>AI250</f>
        <v>0</v>
      </c>
      <c r="AJ251" s="38">
        <f t="shared" ref="AJ251:AT251" si="129">AJ250</f>
        <v>0</v>
      </c>
      <c r="AK251" s="38">
        <f t="shared" si="129"/>
        <v>0</v>
      </c>
      <c r="AL251" s="38">
        <f t="shared" si="129"/>
        <v>0</v>
      </c>
      <c r="AM251" s="38">
        <f t="shared" si="129"/>
        <v>0</v>
      </c>
      <c r="AN251" s="38">
        <f t="shared" si="129"/>
        <v>0</v>
      </c>
      <c r="AO251" s="38">
        <f t="shared" si="129"/>
        <v>0</v>
      </c>
      <c r="AP251" s="38">
        <f t="shared" si="129"/>
        <v>0</v>
      </c>
      <c r="AQ251" s="38">
        <f t="shared" si="129"/>
        <v>0</v>
      </c>
      <c r="AR251" s="38">
        <f t="shared" si="129"/>
        <v>0</v>
      </c>
      <c r="AS251" s="38">
        <f t="shared" si="129"/>
        <v>0</v>
      </c>
      <c r="AT251" s="38">
        <f t="shared" si="129"/>
        <v>0</v>
      </c>
      <c r="AU251" s="38">
        <f>AU250</f>
        <v>0</v>
      </c>
    </row>
    <row r="252" spans="1:47" ht="15.75" hidden="1" customHeight="1" outlineLevel="2">
      <c r="A252" s="1" t="s">
        <v>310</v>
      </c>
      <c r="C252" s="143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-68181.819999999992</v>
      </c>
      <c r="G252" s="32">
        <f>_xll.DBRW($C$1,$C$2,$C$3,$C$4,$C$6,$C$5,$C$7,G$1,G$2,$A252)</f>
        <v>-249243.56</v>
      </c>
      <c r="H252" s="32">
        <f>_xll.DBRW($C$1,$C$2,$C$3,$C$4,$C$6,$C$5,$C$7,H$1,H$2,$A252)</f>
        <v>-320120.0799999999</v>
      </c>
      <c r="I252" s="32">
        <f>_xll.DBRW($C$1,$C$2,$C$3,$C$4,$C$6,$C$5,$C$7,I$1,I$2,$A252)</f>
        <v>-633.27</v>
      </c>
      <c r="J252" s="32">
        <f>_xll.DBRW($C$1,$C$2,$C$3,$C$4,$C$6,$C$5,$C$7,J$1,J$2,$A252)</f>
        <v>-65061.729999999996</v>
      </c>
      <c r="K252" s="32">
        <f>_xll.DBRW($C$1,$C$2,$C$3,$C$4,$C$6,$C$5,$C$7,K$1,K$2,$A252)</f>
        <v>-99174.38</v>
      </c>
      <c r="L252" s="32">
        <f>_xll.DBRW($C$1,$C$2,$C$3,$C$4,$C$6,$C$5,$C$7,L$1,L$2,$A252)</f>
        <v>-137888.01</v>
      </c>
      <c r="M252" s="32">
        <f>_xll.DBRW($C$1,$C$2,$C$3,$C$4,$C$6,$C$5,$C$7,M$1,M$2,$A252)</f>
        <v>-166797.45000000001</v>
      </c>
      <c r="N252" s="32">
        <f>_xll.DBRW($C$1,$C$2,$C$3,$C$4,$C$6,$C$5,$C$7,N$1,N$2,$A252)</f>
        <v>-199041.49000000002</v>
      </c>
      <c r="O252" s="32">
        <f>_xll.DBRW($C$1,$C$2,$C$3,$C$4,$C$6,$C$5,$C$7,O$1,O$2,$A252)</f>
        <v>-1620.6300000000047</v>
      </c>
      <c r="P252" s="32">
        <f>_xll.DBRW($C$1,$C$2,$C$3,$C$4,$C$6,$C$5,$C$7,P$1,P$2,$A252)</f>
        <v>-264204.56</v>
      </c>
      <c r="Q252" s="32">
        <f>_xll.DBRW($C$1,$C$2,$C$3,$C$4,$C$6,$C$5,$C$7,Q$1,Q$2,$A252)</f>
        <v>-273012.26</v>
      </c>
      <c r="R252" s="32">
        <f>_xll.DBRW($C$1,$C$2,$C$3,$C$4,$C$6,$C$5,$C$7,R$1,R$2,$A252)</f>
        <v>-6146.0199999999586</v>
      </c>
      <c r="S252" s="32">
        <f>_xll.DBRW($C$1,$C$2,$C$3,$C$4,$C$6,$C$5,$C$7,S$1,S$2,$A252)</f>
        <v>-354227.79</v>
      </c>
      <c r="T252" s="32">
        <f>_xll.DBRW($C$1,$C$2,$C$3,$C$4,$C$6,$C$5,$C$7,T$1,T$2,$A252)</f>
        <v>-351674.03999999992</v>
      </c>
      <c r="U252" s="32">
        <f>_xll.DBRW($C$1,$C$2,$C$3,$C$4,$C$6,$C$5,$C$7,U$1,U$2,$A252)</f>
        <v>-351674.03999999992</v>
      </c>
      <c r="V252" s="32">
        <f>_xll.DBRW($C$1,$C$2,$C$3,$C$4,$C$6,$C$5,$C$7,V$1,V$2,$A252)</f>
        <v>0</v>
      </c>
      <c r="W252" s="32">
        <f>_xll.DBRW($C$1,$C$2,$C$3,$C$4,$C$6,$C$5,$C$7,W$1,W$2,$A252)</f>
        <v>0</v>
      </c>
      <c r="X252" s="32">
        <f>_xll.DBRW($C$1,$C$2,$C$3,$C$4,$C$6,$C$5,$C$7,X$1,X$2,$A252)</f>
        <v>0</v>
      </c>
      <c r="Y252" s="32">
        <f>_xll.DBRW($C$1,$C$2,$C$3,$C$4,$C$6,$C$5,$C$7,Y$1,Y$2,$A252)</f>
        <v>0</v>
      </c>
      <c r="Z252" s="32">
        <f>_xll.DBRW($C$1,$C$2,$C$3,$C$4,$C$6,$C$5,$C$7,Z$1,Z$2,$A252)</f>
        <v>0</v>
      </c>
      <c r="AA252" s="32">
        <f>_xll.DBRW($C$1,$C$2,$C$3,$C$4,$C$6,$C$5,$C$7,AA$1,AA$2,$A252)</f>
        <v>0</v>
      </c>
      <c r="AB252" s="32">
        <f>_xll.DBRW($C$1,$C$2,$C$3,$C$4,$C$6,$C$5,$C$7,AB$1,AB$2,$A252)</f>
        <v>0</v>
      </c>
      <c r="AC252" s="32">
        <f>_xll.DBRW($C$1,$C$2,$C$3,$C$4,$C$6,$C$5,$C$7,AC$1,AC$2,$A252)</f>
        <v>0</v>
      </c>
      <c r="AD252" s="32">
        <f>_xll.DBRW($C$1,$C$2,$C$3,$C$4,$C$6,$C$5,$C$7,AD$1,AD$2,$A252)</f>
        <v>0</v>
      </c>
      <c r="AE252" s="32">
        <f>_xll.DBRW($C$1,$C$2,$C$3,$C$4,$C$6,$C$5,$C$7,AE$1,AE$2,$A252)</f>
        <v>0</v>
      </c>
      <c r="AF252" s="32">
        <f>_xll.DBRW($C$1,$C$2,$C$3,$C$4,$C$6,$C$5,$C$7,AF$1,AF$2,$A252)</f>
        <v>0</v>
      </c>
      <c r="AG252" s="32">
        <f>_xll.DBRW($C$1,$C$2,$C$3,$C$4,$C$6,$C$5,$C$7,AG$1,AG$2,$A252)</f>
        <v>0</v>
      </c>
      <c r="AH252" s="32">
        <f>_xll.DBRW($C$1,$C$2,$C$3,$C$4,$C$6,$C$5,$C$7,AH$1,AH$2,$A252)</f>
        <v>0</v>
      </c>
      <c r="AI252" s="32">
        <f>_xll.DBRW($C$1,$C$2,$C$3,$C$4,$C$6,$C$5,$C$7,AI$1,AI$2,$A252)</f>
        <v>0</v>
      </c>
      <c r="AJ252" s="32">
        <f>_xll.DBRW($C$1,$C$2,$C$3,$C$4,$C$6,$C$5,$C$7,AJ$1,AJ$2,$A252)</f>
        <v>0</v>
      </c>
      <c r="AK252" s="32">
        <f>_xll.DBRW($C$1,$C$2,$C$3,$C$4,$C$6,$C$5,$C$7,AK$1,AK$2,$A252)</f>
        <v>0</v>
      </c>
      <c r="AL252" s="32">
        <f>_xll.DBRW($C$1,$C$2,$C$3,$C$4,$C$6,$C$5,$C$7,AL$1,AL$2,$A252)</f>
        <v>0</v>
      </c>
      <c r="AM252" s="32">
        <f>_xll.DBRW($C$1,$C$2,$C$3,$C$4,$C$6,$C$5,$C$7,AM$1,AM$2,$A252)</f>
        <v>0</v>
      </c>
      <c r="AN252" s="32">
        <f>_xll.DBRW($C$1,$C$2,$C$3,$C$4,$C$6,$C$5,$C$7,AN$1,AN$2,$A252)</f>
        <v>0</v>
      </c>
      <c r="AO252" s="32">
        <f>_xll.DBRW($C$1,$C$2,$C$3,$C$4,$C$6,$C$5,$C$7,AO$1,AO$2,$A252)</f>
        <v>0</v>
      </c>
      <c r="AP252" s="32">
        <f>_xll.DBRW($C$1,$C$2,$C$3,$C$4,$C$6,$C$5,$C$7,AP$1,AP$2,$A252)</f>
        <v>0</v>
      </c>
      <c r="AQ252" s="32">
        <f>_xll.DBRW($C$1,$C$2,$C$3,$C$4,$C$6,$C$5,$C$7,AQ$1,AQ$2,$A252)</f>
        <v>0</v>
      </c>
      <c r="AR252" s="32">
        <f>_xll.DBRW($C$1,$C$2,$C$3,$C$4,$C$6,$C$5,$C$7,AR$1,AR$2,$A252)</f>
        <v>0</v>
      </c>
      <c r="AS252" s="32">
        <f>_xll.DBRW($C$1,$C$2,$C$3,$C$4,$C$6,$C$5,$C$7,AS$1,AS$2,$A252)</f>
        <v>0</v>
      </c>
      <c r="AT252" s="32">
        <f>_xll.DBRW($C$1,$C$2,$C$3,$C$4,$C$6,$C$5,$C$7,AT$1,AT$2,$A252)</f>
        <v>0</v>
      </c>
      <c r="AU252" s="32">
        <f>_xll.DBRW($C$1,$C$2,$C$3,$C$4,$C$6,$C$5,$C$7,AU$1,AU$2,$A252)</f>
        <v>0</v>
      </c>
    </row>
    <row r="253" spans="1:47" ht="15.75" hidden="1" outlineLevel="1">
      <c r="C253" s="143"/>
      <c r="E253" s="80" t="s">
        <v>57</v>
      </c>
      <c r="F253" s="38">
        <f t="shared" ref="F253:T253" si="130">F252</f>
        <v>-68181.819999999992</v>
      </c>
      <c r="G253" s="38">
        <f t="shared" si="130"/>
        <v>-249243.56</v>
      </c>
      <c r="H253" s="38">
        <f t="shared" si="130"/>
        <v>-320120.0799999999</v>
      </c>
      <c r="I253" s="38">
        <f t="shared" si="130"/>
        <v>-633.27</v>
      </c>
      <c r="J253" s="38">
        <f t="shared" si="130"/>
        <v>-65061.729999999996</v>
      </c>
      <c r="K253" s="38">
        <f t="shared" si="130"/>
        <v>-99174.38</v>
      </c>
      <c r="L253" s="38">
        <f t="shared" si="130"/>
        <v>-137888.01</v>
      </c>
      <c r="M253" s="38">
        <f t="shared" si="130"/>
        <v>-166797.45000000001</v>
      </c>
      <c r="N253" s="38">
        <f t="shared" si="130"/>
        <v>-199041.49000000002</v>
      </c>
      <c r="O253" s="38">
        <f t="shared" si="130"/>
        <v>-1620.6300000000047</v>
      </c>
      <c r="P253" s="38">
        <f t="shared" si="130"/>
        <v>-264204.56</v>
      </c>
      <c r="Q253" s="38">
        <f t="shared" si="130"/>
        <v>-273012.26</v>
      </c>
      <c r="R253" s="38">
        <f t="shared" si="130"/>
        <v>-6146.0199999999586</v>
      </c>
      <c r="S253" s="38">
        <f t="shared" si="130"/>
        <v>-354227.79</v>
      </c>
      <c r="T253" s="38">
        <f t="shared" si="130"/>
        <v>-351674.03999999992</v>
      </c>
      <c r="U253" s="38">
        <f>U252</f>
        <v>-351674.03999999992</v>
      </c>
      <c r="V253" s="38">
        <f>V252</f>
        <v>0</v>
      </c>
      <c r="W253" s="38">
        <f t="shared" ref="W253:AG253" si="131">W252</f>
        <v>0</v>
      </c>
      <c r="X253" s="38">
        <f t="shared" si="131"/>
        <v>0</v>
      </c>
      <c r="Y253" s="38">
        <f t="shared" si="131"/>
        <v>0</v>
      </c>
      <c r="Z253" s="38">
        <f t="shared" si="131"/>
        <v>0</v>
      </c>
      <c r="AA253" s="38">
        <f t="shared" si="131"/>
        <v>0</v>
      </c>
      <c r="AB253" s="38">
        <f t="shared" si="131"/>
        <v>0</v>
      </c>
      <c r="AC253" s="38">
        <f t="shared" si="131"/>
        <v>0</v>
      </c>
      <c r="AD253" s="38">
        <f t="shared" si="131"/>
        <v>0</v>
      </c>
      <c r="AE253" s="38">
        <f t="shared" si="131"/>
        <v>0</v>
      </c>
      <c r="AF253" s="38">
        <f t="shared" si="131"/>
        <v>0</v>
      </c>
      <c r="AG253" s="38">
        <f t="shared" si="131"/>
        <v>0</v>
      </c>
      <c r="AH253" s="38">
        <f>AH252</f>
        <v>0</v>
      </c>
      <c r="AI253" s="38">
        <f>AI252</f>
        <v>0</v>
      </c>
      <c r="AJ253" s="38">
        <f t="shared" ref="AJ253:AT253" si="132">AJ252</f>
        <v>0</v>
      </c>
      <c r="AK253" s="38">
        <f t="shared" si="132"/>
        <v>0</v>
      </c>
      <c r="AL253" s="38">
        <f t="shared" si="132"/>
        <v>0</v>
      </c>
      <c r="AM253" s="38">
        <f t="shared" si="132"/>
        <v>0</v>
      </c>
      <c r="AN253" s="38">
        <f t="shared" si="132"/>
        <v>0</v>
      </c>
      <c r="AO253" s="38">
        <f t="shared" si="132"/>
        <v>0</v>
      </c>
      <c r="AP253" s="38">
        <f t="shared" si="132"/>
        <v>0</v>
      </c>
      <c r="AQ253" s="38">
        <f t="shared" si="132"/>
        <v>0</v>
      </c>
      <c r="AR253" s="38">
        <f t="shared" si="132"/>
        <v>0</v>
      </c>
      <c r="AS253" s="38">
        <f t="shared" si="132"/>
        <v>0</v>
      </c>
      <c r="AT253" s="38">
        <f t="shared" si="132"/>
        <v>0</v>
      </c>
      <c r="AU253" s="38">
        <f>AU252</f>
        <v>0</v>
      </c>
    </row>
    <row r="254" spans="1:47" ht="15.75" hidden="1" customHeight="1" outlineLevel="2">
      <c r="A254" s="1" t="s">
        <v>311</v>
      </c>
      <c r="C254" s="143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-807026066.13000023</v>
      </c>
      <c r="G254" s="32">
        <f>_xll.DBRW($C$1,$C$2,$C$3,$C$4,$C$6,$C$5,$C$7,G$1,G$2,$A254)</f>
        <v>-788604000.83999991</v>
      </c>
      <c r="H254" s="32">
        <f>_xll.DBRW($C$1,$C$2,$C$3,$C$4,$C$6,$C$5,$C$7,H$1,H$2,$A254)</f>
        <v>-671180801.06999969</v>
      </c>
      <c r="I254" s="32">
        <f>_xll.DBRW($C$1,$C$2,$C$3,$C$4,$C$6,$C$5,$C$7,I$1,I$2,$A254)</f>
        <v>-54343948.106900014</v>
      </c>
      <c r="J254" s="32">
        <f>_xll.DBRW($C$1,$C$2,$C$3,$C$4,$C$6,$C$5,$C$7,J$1,J$2,$A254)</f>
        <v>-61930408.610000007</v>
      </c>
      <c r="K254" s="32">
        <f>_xll.DBRW($C$1,$C$2,$C$3,$C$4,$C$6,$C$5,$C$7,K$1,K$2,$A254)</f>
        <v>-181837837.86999997</v>
      </c>
      <c r="L254" s="32">
        <f>_xll.DBRW($C$1,$C$2,$C$3,$C$4,$C$6,$C$5,$C$7,L$1,L$2,$A254)</f>
        <v>-142613349.95999998</v>
      </c>
      <c r="M254" s="32">
        <f>_xll.DBRW($C$1,$C$2,$C$3,$C$4,$C$6,$C$5,$C$7,M$1,M$2,$A254)</f>
        <v>-284944378.40999997</v>
      </c>
      <c r="N254" s="32">
        <f>_xll.DBRW($C$1,$C$2,$C$3,$C$4,$C$6,$C$5,$C$7,N$1,N$2,$A254)</f>
        <v>-279785707.61000001</v>
      </c>
      <c r="O254" s="32">
        <f>_xll.DBRW($C$1,$C$2,$C$3,$C$4,$C$6,$C$5,$C$7,O$1,O$2,$A254)</f>
        <v>-370909218.51700002</v>
      </c>
      <c r="P254" s="32">
        <f>_xll.DBRW($C$1,$C$2,$C$3,$C$4,$C$6,$C$5,$C$7,P$1,P$2,$A254)</f>
        <v>-40547433.200000048</v>
      </c>
      <c r="Q254" s="32">
        <f>_xll.DBRW($C$1,$C$2,$C$3,$C$4,$C$6,$C$5,$C$7,Q$1,Q$2,$A254)</f>
        <v>-31594291.40000008</v>
      </c>
      <c r="R254" s="32">
        <f>_xll.DBRW($C$1,$C$2,$C$3,$C$4,$C$6,$C$5,$C$7,R$1,R$2,$A254)</f>
        <v>-121769855.04000008</v>
      </c>
      <c r="S254" s="32">
        <f>_xll.DBRW($C$1,$C$2,$C$3,$C$4,$C$6,$C$5,$C$7,S$1,S$2,$A254)</f>
        <v>-337647948.68000001</v>
      </c>
      <c r="T254" s="32">
        <f>_xll.DBRW($C$1,$C$2,$C$3,$C$4,$C$6,$C$5,$C$7,T$1,T$2,$A254)</f>
        <v>-379061315.66000009</v>
      </c>
      <c r="U254" s="32">
        <f>_xll.DBRW($C$1,$C$2,$C$3,$C$4,$C$6,$C$5,$C$7,U$1,U$2,$A254)</f>
        <v>-379061315.66000009</v>
      </c>
      <c r="V254" s="32">
        <f>_xll.DBRW($C$1,$C$2,$C$3,$C$4,$C$6,$C$5,$C$7,V$1,V$2,$A254)</f>
        <v>0</v>
      </c>
      <c r="W254" s="32">
        <f>_xll.DBRW($C$1,$C$2,$C$3,$C$4,$C$6,$C$5,$C$7,W$1,W$2,$A254)</f>
        <v>0</v>
      </c>
      <c r="X254" s="32">
        <f>_xll.DBRW($C$1,$C$2,$C$3,$C$4,$C$6,$C$5,$C$7,X$1,X$2,$A254)</f>
        <v>0</v>
      </c>
      <c r="Y254" s="32">
        <f>_xll.DBRW($C$1,$C$2,$C$3,$C$4,$C$6,$C$5,$C$7,Y$1,Y$2,$A254)</f>
        <v>0</v>
      </c>
      <c r="Z254" s="32">
        <f>_xll.DBRW($C$1,$C$2,$C$3,$C$4,$C$6,$C$5,$C$7,Z$1,Z$2,$A254)</f>
        <v>0</v>
      </c>
      <c r="AA254" s="32">
        <f>_xll.DBRW($C$1,$C$2,$C$3,$C$4,$C$6,$C$5,$C$7,AA$1,AA$2,$A254)</f>
        <v>0</v>
      </c>
      <c r="AB254" s="32">
        <f>_xll.DBRW($C$1,$C$2,$C$3,$C$4,$C$6,$C$5,$C$7,AB$1,AB$2,$A254)</f>
        <v>0</v>
      </c>
      <c r="AC254" s="32">
        <f>_xll.DBRW($C$1,$C$2,$C$3,$C$4,$C$6,$C$5,$C$7,AC$1,AC$2,$A254)</f>
        <v>0</v>
      </c>
      <c r="AD254" s="32">
        <f>_xll.DBRW($C$1,$C$2,$C$3,$C$4,$C$6,$C$5,$C$7,AD$1,AD$2,$A254)</f>
        <v>0</v>
      </c>
      <c r="AE254" s="32">
        <f>_xll.DBRW($C$1,$C$2,$C$3,$C$4,$C$6,$C$5,$C$7,AE$1,AE$2,$A254)</f>
        <v>0</v>
      </c>
      <c r="AF254" s="32">
        <f>_xll.DBRW($C$1,$C$2,$C$3,$C$4,$C$6,$C$5,$C$7,AF$1,AF$2,$A254)</f>
        <v>0</v>
      </c>
      <c r="AG254" s="32">
        <f>_xll.DBRW($C$1,$C$2,$C$3,$C$4,$C$6,$C$5,$C$7,AG$1,AG$2,$A254)</f>
        <v>0</v>
      </c>
      <c r="AH254" s="32">
        <f>_xll.DBRW($C$1,$C$2,$C$3,$C$4,$C$6,$C$5,$C$7,AH$1,AH$2,$A254)</f>
        <v>0</v>
      </c>
      <c r="AI254" s="32">
        <f>_xll.DBRW($C$1,$C$2,$C$3,$C$4,$C$6,$C$5,$C$7,AI$1,AI$2,$A254)</f>
        <v>0</v>
      </c>
      <c r="AJ254" s="32">
        <f>_xll.DBRW($C$1,$C$2,$C$3,$C$4,$C$6,$C$5,$C$7,AJ$1,AJ$2,$A254)</f>
        <v>0</v>
      </c>
      <c r="AK254" s="32">
        <f>_xll.DBRW($C$1,$C$2,$C$3,$C$4,$C$6,$C$5,$C$7,AK$1,AK$2,$A254)</f>
        <v>0</v>
      </c>
      <c r="AL254" s="32">
        <f>_xll.DBRW($C$1,$C$2,$C$3,$C$4,$C$6,$C$5,$C$7,AL$1,AL$2,$A254)</f>
        <v>0</v>
      </c>
      <c r="AM254" s="32">
        <f>_xll.DBRW($C$1,$C$2,$C$3,$C$4,$C$6,$C$5,$C$7,AM$1,AM$2,$A254)</f>
        <v>0</v>
      </c>
      <c r="AN254" s="32">
        <f>_xll.DBRW($C$1,$C$2,$C$3,$C$4,$C$6,$C$5,$C$7,AN$1,AN$2,$A254)</f>
        <v>0</v>
      </c>
      <c r="AO254" s="32">
        <f>_xll.DBRW($C$1,$C$2,$C$3,$C$4,$C$6,$C$5,$C$7,AO$1,AO$2,$A254)</f>
        <v>0</v>
      </c>
      <c r="AP254" s="32">
        <f>_xll.DBRW($C$1,$C$2,$C$3,$C$4,$C$6,$C$5,$C$7,AP$1,AP$2,$A254)</f>
        <v>0</v>
      </c>
      <c r="AQ254" s="32">
        <f>_xll.DBRW($C$1,$C$2,$C$3,$C$4,$C$6,$C$5,$C$7,AQ$1,AQ$2,$A254)</f>
        <v>0</v>
      </c>
      <c r="AR254" s="32">
        <f>_xll.DBRW($C$1,$C$2,$C$3,$C$4,$C$6,$C$5,$C$7,AR$1,AR$2,$A254)</f>
        <v>0</v>
      </c>
      <c r="AS254" s="32">
        <f>_xll.DBRW($C$1,$C$2,$C$3,$C$4,$C$6,$C$5,$C$7,AS$1,AS$2,$A254)</f>
        <v>0</v>
      </c>
      <c r="AT254" s="32">
        <f>_xll.DBRW($C$1,$C$2,$C$3,$C$4,$C$6,$C$5,$C$7,AT$1,AT$2,$A254)</f>
        <v>0</v>
      </c>
      <c r="AU254" s="32">
        <f>_xll.DBRW($C$1,$C$2,$C$3,$C$4,$C$6,$C$5,$C$7,AU$1,AU$2,$A254)</f>
        <v>0</v>
      </c>
    </row>
    <row r="255" spans="1:47" ht="15.75" hidden="1" outlineLevel="1">
      <c r="C255" s="143"/>
      <c r="E255" s="80" t="s">
        <v>58</v>
      </c>
      <c r="F255" s="38">
        <f t="shared" ref="F255:T255" si="133">F254</f>
        <v>-807026066.13000023</v>
      </c>
      <c r="G255" s="38">
        <f t="shared" si="133"/>
        <v>-788604000.83999991</v>
      </c>
      <c r="H255" s="38">
        <f t="shared" si="133"/>
        <v>-671180801.06999969</v>
      </c>
      <c r="I255" s="38">
        <f t="shared" si="133"/>
        <v>-54343948.106900014</v>
      </c>
      <c r="J255" s="38">
        <f t="shared" si="133"/>
        <v>-61930408.610000007</v>
      </c>
      <c r="K255" s="38">
        <f t="shared" si="133"/>
        <v>-181837837.86999997</v>
      </c>
      <c r="L255" s="38">
        <f t="shared" si="133"/>
        <v>-142613349.95999998</v>
      </c>
      <c r="M255" s="38">
        <f t="shared" si="133"/>
        <v>-284944378.40999997</v>
      </c>
      <c r="N255" s="38">
        <f t="shared" si="133"/>
        <v>-279785707.61000001</v>
      </c>
      <c r="O255" s="38">
        <f t="shared" si="133"/>
        <v>-370909218.51700002</v>
      </c>
      <c r="P255" s="38">
        <f t="shared" si="133"/>
        <v>-40547433.200000048</v>
      </c>
      <c r="Q255" s="38">
        <f t="shared" si="133"/>
        <v>-31594291.40000008</v>
      </c>
      <c r="R255" s="38">
        <f t="shared" si="133"/>
        <v>-121769855.04000008</v>
      </c>
      <c r="S255" s="38">
        <f t="shared" si="133"/>
        <v>-337647948.68000001</v>
      </c>
      <c r="T255" s="38">
        <f t="shared" si="133"/>
        <v>-379061315.66000009</v>
      </c>
      <c r="U255" s="38">
        <f>U254</f>
        <v>-379061315.66000009</v>
      </c>
      <c r="V255" s="38">
        <f>V254</f>
        <v>0</v>
      </c>
      <c r="W255" s="38">
        <f t="shared" ref="W255:AG255" si="134">W254</f>
        <v>0</v>
      </c>
      <c r="X255" s="38">
        <f t="shared" si="134"/>
        <v>0</v>
      </c>
      <c r="Y255" s="38">
        <f t="shared" si="134"/>
        <v>0</v>
      </c>
      <c r="Z255" s="38">
        <f t="shared" si="134"/>
        <v>0</v>
      </c>
      <c r="AA255" s="38">
        <f t="shared" si="134"/>
        <v>0</v>
      </c>
      <c r="AB255" s="38">
        <f t="shared" si="134"/>
        <v>0</v>
      </c>
      <c r="AC255" s="38">
        <f t="shared" si="134"/>
        <v>0</v>
      </c>
      <c r="AD255" s="38">
        <f t="shared" si="134"/>
        <v>0</v>
      </c>
      <c r="AE255" s="38">
        <f t="shared" si="134"/>
        <v>0</v>
      </c>
      <c r="AF255" s="38">
        <f t="shared" si="134"/>
        <v>0</v>
      </c>
      <c r="AG255" s="38">
        <f t="shared" si="134"/>
        <v>0</v>
      </c>
      <c r="AH255" s="38">
        <f>AH254</f>
        <v>0</v>
      </c>
      <c r="AI255" s="38">
        <f>AI254</f>
        <v>0</v>
      </c>
      <c r="AJ255" s="38">
        <f t="shared" ref="AJ255:AT255" si="135">AJ254</f>
        <v>0</v>
      </c>
      <c r="AK255" s="38">
        <f t="shared" si="135"/>
        <v>0</v>
      </c>
      <c r="AL255" s="38">
        <f t="shared" si="135"/>
        <v>0</v>
      </c>
      <c r="AM255" s="38">
        <f t="shared" si="135"/>
        <v>0</v>
      </c>
      <c r="AN255" s="38">
        <f t="shared" si="135"/>
        <v>0</v>
      </c>
      <c r="AO255" s="38">
        <f t="shared" si="135"/>
        <v>0</v>
      </c>
      <c r="AP255" s="38">
        <f t="shared" si="135"/>
        <v>0</v>
      </c>
      <c r="AQ255" s="38">
        <f t="shared" si="135"/>
        <v>0</v>
      </c>
      <c r="AR255" s="38">
        <f t="shared" si="135"/>
        <v>0</v>
      </c>
      <c r="AS255" s="38">
        <f t="shared" si="135"/>
        <v>0</v>
      </c>
      <c r="AT255" s="38">
        <f t="shared" si="135"/>
        <v>0</v>
      </c>
      <c r="AU255" s="38">
        <f>AU254</f>
        <v>0</v>
      </c>
    </row>
    <row r="256" spans="1:47" ht="15.75" hidden="1" customHeight="1" outlineLevel="2">
      <c r="A256" s="1" t="s">
        <v>312</v>
      </c>
      <c r="C256" s="143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I256" s="32">
        <f>_xll.DBRW($C$1,$C$2,$C$3,$C$4,$C$6,$C$5,$C$7,I$1,I$2,$A256)</f>
        <v>0</v>
      </c>
      <c r="J256" s="32">
        <f>_xll.DBRW($C$1,$C$2,$C$3,$C$4,$C$6,$C$5,$C$7,J$1,J$2,$A256)</f>
        <v>0</v>
      </c>
      <c r="K256" s="32">
        <f>_xll.DBRW($C$1,$C$2,$C$3,$C$4,$C$6,$C$5,$C$7,K$1,K$2,$A256)</f>
        <v>0</v>
      </c>
      <c r="L256" s="32">
        <f>_xll.DBRW($C$1,$C$2,$C$3,$C$4,$C$6,$C$5,$C$7,L$1,L$2,$A256)</f>
        <v>0</v>
      </c>
      <c r="M256" s="32">
        <f>_xll.DBRW($C$1,$C$2,$C$3,$C$4,$C$6,$C$5,$C$7,M$1,M$2,$A256)</f>
        <v>0</v>
      </c>
      <c r="N256" s="32">
        <f>_xll.DBRW($C$1,$C$2,$C$3,$C$4,$C$6,$C$5,$C$7,N$1,N$2,$A256)</f>
        <v>0</v>
      </c>
      <c r="O256" s="32">
        <f>_xll.DBRW($C$1,$C$2,$C$3,$C$4,$C$6,$C$5,$C$7,O$1,O$2,$A256)</f>
        <v>0</v>
      </c>
      <c r="P256" s="32">
        <f>_xll.DBRW($C$1,$C$2,$C$3,$C$4,$C$6,$C$5,$C$7,P$1,P$2,$A256)</f>
        <v>0</v>
      </c>
      <c r="Q256" s="32">
        <f>_xll.DBRW($C$1,$C$2,$C$3,$C$4,$C$6,$C$5,$C$7,Q$1,Q$2,$A256)</f>
        <v>0</v>
      </c>
      <c r="R256" s="32">
        <f>_xll.DBRW($C$1,$C$2,$C$3,$C$4,$C$6,$C$5,$C$7,R$1,R$2,$A256)</f>
        <v>0</v>
      </c>
      <c r="S256" s="32">
        <f>_xll.DBRW($C$1,$C$2,$C$3,$C$4,$C$6,$C$5,$C$7,S$1,S$2,$A256)</f>
        <v>0</v>
      </c>
      <c r="T256" s="32">
        <f>_xll.DBRW($C$1,$C$2,$C$3,$C$4,$C$6,$C$5,$C$7,T$1,T$2,$A256)</f>
        <v>0</v>
      </c>
      <c r="U256" s="32">
        <f>_xll.DBRW($C$1,$C$2,$C$3,$C$4,$C$6,$C$5,$C$7,U$1,U$2,$A256)</f>
        <v>0</v>
      </c>
      <c r="V256" s="32">
        <f>_xll.DBRW($C$1,$C$2,$C$3,$C$4,$C$6,$C$5,$C$7,V$1,V$2,$A256)</f>
        <v>0</v>
      </c>
      <c r="W256" s="32">
        <f>_xll.DBRW($C$1,$C$2,$C$3,$C$4,$C$6,$C$5,$C$7,W$1,W$2,$A256)</f>
        <v>0</v>
      </c>
      <c r="X256" s="32">
        <f>_xll.DBRW($C$1,$C$2,$C$3,$C$4,$C$6,$C$5,$C$7,X$1,X$2,$A256)</f>
        <v>0</v>
      </c>
      <c r="Y256" s="32">
        <f>_xll.DBRW($C$1,$C$2,$C$3,$C$4,$C$6,$C$5,$C$7,Y$1,Y$2,$A256)</f>
        <v>0</v>
      </c>
      <c r="Z256" s="32">
        <f>_xll.DBRW($C$1,$C$2,$C$3,$C$4,$C$6,$C$5,$C$7,Z$1,Z$2,$A256)</f>
        <v>0</v>
      </c>
      <c r="AA256" s="32">
        <f>_xll.DBRW($C$1,$C$2,$C$3,$C$4,$C$6,$C$5,$C$7,AA$1,AA$2,$A256)</f>
        <v>0</v>
      </c>
      <c r="AB256" s="32">
        <f>_xll.DBRW($C$1,$C$2,$C$3,$C$4,$C$6,$C$5,$C$7,AB$1,AB$2,$A256)</f>
        <v>0</v>
      </c>
      <c r="AC256" s="32">
        <f>_xll.DBRW($C$1,$C$2,$C$3,$C$4,$C$6,$C$5,$C$7,AC$1,AC$2,$A256)</f>
        <v>0</v>
      </c>
      <c r="AD256" s="32">
        <f>_xll.DBRW($C$1,$C$2,$C$3,$C$4,$C$6,$C$5,$C$7,AD$1,AD$2,$A256)</f>
        <v>0</v>
      </c>
      <c r="AE256" s="32">
        <f>_xll.DBRW($C$1,$C$2,$C$3,$C$4,$C$6,$C$5,$C$7,AE$1,AE$2,$A256)</f>
        <v>0</v>
      </c>
      <c r="AF256" s="32">
        <f>_xll.DBRW($C$1,$C$2,$C$3,$C$4,$C$6,$C$5,$C$7,AF$1,AF$2,$A256)</f>
        <v>0</v>
      </c>
      <c r="AG256" s="32">
        <f>_xll.DBRW($C$1,$C$2,$C$3,$C$4,$C$6,$C$5,$C$7,AG$1,AG$2,$A256)</f>
        <v>0</v>
      </c>
      <c r="AH256" s="32">
        <f>_xll.DBRW($C$1,$C$2,$C$3,$C$4,$C$6,$C$5,$C$7,AH$1,AH$2,$A256)</f>
        <v>0</v>
      </c>
      <c r="AI256" s="32">
        <f>_xll.DBRW($C$1,$C$2,$C$3,$C$4,$C$6,$C$5,$C$7,AI$1,AI$2,$A256)</f>
        <v>0</v>
      </c>
      <c r="AJ256" s="32">
        <f>_xll.DBRW($C$1,$C$2,$C$3,$C$4,$C$6,$C$5,$C$7,AJ$1,AJ$2,$A256)</f>
        <v>0</v>
      </c>
      <c r="AK256" s="32">
        <f>_xll.DBRW($C$1,$C$2,$C$3,$C$4,$C$6,$C$5,$C$7,AK$1,AK$2,$A256)</f>
        <v>0</v>
      </c>
      <c r="AL256" s="32">
        <f>_xll.DBRW($C$1,$C$2,$C$3,$C$4,$C$6,$C$5,$C$7,AL$1,AL$2,$A256)</f>
        <v>0</v>
      </c>
      <c r="AM256" s="32">
        <f>_xll.DBRW($C$1,$C$2,$C$3,$C$4,$C$6,$C$5,$C$7,AM$1,AM$2,$A256)</f>
        <v>0</v>
      </c>
      <c r="AN256" s="32">
        <f>_xll.DBRW($C$1,$C$2,$C$3,$C$4,$C$6,$C$5,$C$7,AN$1,AN$2,$A256)</f>
        <v>0</v>
      </c>
      <c r="AO256" s="32">
        <f>_xll.DBRW($C$1,$C$2,$C$3,$C$4,$C$6,$C$5,$C$7,AO$1,AO$2,$A256)</f>
        <v>0</v>
      </c>
      <c r="AP256" s="32">
        <f>_xll.DBRW($C$1,$C$2,$C$3,$C$4,$C$6,$C$5,$C$7,AP$1,AP$2,$A256)</f>
        <v>0</v>
      </c>
      <c r="AQ256" s="32">
        <f>_xll.DBRW($C$1,$C$2,$C$3,$C$4,$C$6,$C$5,$C$7,AQ$1,AQ$2,$A256)</f>
        <v>0</v>
      </c>
      <c r="AR256" s="32">
        <f>_xll.DBRW($C$1,$C$2,$C$3,$C$4,$C$6,$C$5,$C$7,AR$1,AR$2,$A256)</f>
        <v>0</v>
      </c>
      <c r="AS256" s="32">
        <f>_xll.DBRW($C$1,$C$2,$C$3,$C$4,$C$6,$C$5,$C$7,AS$1,AS$2,$A256)</f>
        <v>0</v>
      </c>
      <c r="AT256" s="32">
        <f>_xll.DBRW($C$1,$C$2,$C$3,$C$4,$C$6,$C$5,$C$7,AT$1,AT$2,$A256)</f>
        <v>0</v>
      </c>
      <c r="AU256" s="32">
        <f>_xll.DBRW($C$1,$C$2,$C$3,$C$4,$C$6,$C$5,$C$7,AU$1,AU$2,$A256)</f>
        <v>0</v>
      </c>
    </row>
    <row r="257" spans="1:47" ht="15" hidden="1" outlineLevel="1">
      <c r="A257" s="1" t="s">
        <v>127</v>
      </c>
      <c r="C257" s="143"/>
      <c r="E257" s="22" t="s">
        <v>59</v>
      </c>
      <c r="F257" s="35">
        <f t="shared" ref="F257:T257" si="136">F256</f>
        <v>0</v>
      </c>
      <c r="G257" s="35">
        <f t="shared" si="136"/>
        <v>0</v>
      </c>
      <c r="H257" s="35">
        <f t="shared" si="136"/>
        <v>0</v>
      </c>
      <c r="I257" s="35">
        <f t="shared" si="136"/>
        <v>0</v>
      </c>
      <c r="J257" s="35">
        <f t="shared" si="136"/>
        <v>0</v>
      </c>
      <c r="K257" s="35">
        <f t="shared" si="136"/>
        <v>0</v>
      </c>
      <c r="L257" s="35">
        <f t="shared" si="136"/>
        <v>0</v>
      </c>
      <c r="M257" s="35">
        <f t="shared" si="136"/>
        <v>0</v>
      </c>
      <c r="N257" s="35">
        <f t="shared" si="136"/>
        <v>0</v>
      </c>
      <c r="O257" s="35">
        <f t="shared" si="136"/>
        <v>0</v>
      </c>
      <c r="P257" s="35">
        <f t="shared" si="136"/>
        <v>0</v>
      </c>
      <c r="Q257" s="35">
        <f t="shared" si="136"/>
        <v>0</v>
      </c>
      <c r="R257" s="35">
        <f t="shared" si="136"/>
        <v>0</v>
      </c>
      <c r="S257" s="35">
        <f t="shared" si="136"/>
        <v>0</v>
      </c>
      <c r="T257" s="35">
        <f t="shared" si="136"/>
        <v>0</v>
      </c>
      <c r="U257" s="35">
        <f>U256</f>
        <v>0</v>
      </c>
      <c r="V257" s="35">
        <f t="shared" ref="V257:AG257" si="137">V256</f>
        <v>0</v>
      </c>
      <c r="W257" s="35">
        <f t="shared" si="137"/>
        <v>0</v>
      </c>
      <c r="X257" s="35">
        <f t="shared" si="137"/>
        <v>0</v>
      </c>
      <c r="Y257" s="35">
        <f t="shared" si="137"/>
        <v>0</v>
      </c>
      <c r="Z257" s="35">
        <f t="shared" si="137"/>
        <v>0</v>
      </c>
      <c r="AA257" s="35">
        <f t="shared" si="137"/>
        <v>0</v>
      </c>
      <c r="AB257" s="35">
        <f t="shared" si="137"/>
        <v>0</v>
      </c>
      <c r="AC257" s="35">
        <f t="shared" si="137"/>
        <v>0</v>
      </c>
      <c r="AD257" s="35">
        <f t="shared" si="137"/>
        <v>0</v>
      </c>
      <c r="AE257" s="35">
        <f t="shared" si="137"/>
        <v>0</v>
      </c>
      <c r="AF257" s="35">
        <f t="shared" si="137"/>
        <v>0</v>
      </c>
      <c r="AG257" s="35">
        <f t="shared" si="137"/>
        <v>0</v>
      </c>
      <c r="AH257" s="35">
        <f>AH256</f>
        <v>0</v>
      </c>
      <c r="AI257" s="35">
        <f t="shared" ref="AI257:AT257" si="138">AI256</f>
        <v>0</v>
      </c>
      <c r="AJ257" s="35">
        <f t="shared" si="138"/>
        <v>0</v>
      </c>
      <c r="AK257" s="35">
        <f t="shared" si="138"/>
        <v>0</v>
      </c>
      <c r="AL257" s="35">
        <f t="shared" si="138"/>
        <v>0</v>
      </c>
      <c r="AM257" s="35">
        <f t="shared" si="138"/>
        <v>0</v>
      </c>
      <c r="AN257" s="35">
        <f t="shared" si="138"/>
        <v>0</v>
      </c>
      <c r="AO257" s="35">
        <f t="shared" si="138"/>
        <v>0</v>
      </c>
      <c r="AP257" s="35">
        <f t="shared" si="138"/>
        <v>0</v>
      </c>
      <c r="AQ257" s="35">
        <f t="shared" si="138"/>
        <v>0</v>
      </c>
      <c r="AR257" s="35">
        <f t="shared" si="138"/>
        <v>0</v>
      </c>
      <c r="AS257" s="35">
        <f t="shared" si="138"/>
        <v>0</v>
      </c>
      <c r="AT257" s="35">
        <f t="shared" si="138"/>
        <v>0</v>
      </c>
      <c r="AU257" s="35">
        <f>AU256</f>
        <v>0</v>
      </c>
    </row>
    <row r="258" spans="1:47" ht="15.75" collapsed="1">
      <c r="A258" s="1" t="s">
        <v>60</v>
      </c>
      <c r="C258" s="143"/>
      <c r="E258" s="120" t="s">
        <v>60</v>
      </c>
      <c r="F258" s="121">
        <f t="shared" ref="F258:T258" si="139">F225+F227+F229+F231+F233+F235+F237+F239+F241+F243+F245+F247+F249+F251+F253+F255+F257</f>
        <v>-5559431544.0586004</v>
      </c>
      <c r="G258" s="121">
        <f t="shared" si="139"/>
        <v>-5366880409.7449999</v>
      </c>
      <c r="H258" s="121">
        <f t="shared" si="139"/>
        <v>-5262481196.481802</v>
      </c>
      <c r="I258" s="121">
        <f t="shared" si="139"/>
        <v>-719008222.30021977</v>
      </c>
      <c r="J258" s="121">
        <f t="shared" si="139"/>
        <v>-406026259.54103595</v>
      </c>
      <c r="K258" s="121">
        <f t="shared" si="139"/>
        <v>-1342039263.050437</v>
      </c>
      <c r="L258" s="121">
        <f t="shared" si="139"/>
        <v>-1696521961.5718439</v>
      </c>
      <c r="M258" s="121">
        <f t="shared" si="139"/>
        <v>-2273156798.527638</v>
      </c>
      <c r="N258" s="121">
        <f t="shared" si="139"/>
        <v>-2750103545.8145189</v>
      </c>
      <c r="O258" s="121">
        <f t="shared" si="139"/>
        <v>-2971661371.575438</v>
      </c>
      <c r="P258" s="121">
        <f t="shared" si="139"/>
        <v>-3486602199.7296286</v>
      </c>
      <c r="Q258" s="121">
        <f t="shared" si="139"/>
        <v>-3858667270.7708583</v>
      </c>
      <c r="R258" s="121">
        <f t="shared" si="139"/>
        <v>-3871868656.0372572</v>
      </c>
      <c r="S258" s="121">
        <f t="shared" si="139"/>
        <v>-4731392948.1288958</v>
      </c>
      <c r="T258" s="121">
        <f t="shared" si="139"/>
        <v>-5627993493.5844736</v>
      </c>
      <c r="U258" s="121">
        <f>U225+U227+U229+U231+U233+U235+U237+U239+U241+U243+U245+U247+U249+U251+U253+U255+U257</f>
        <v>-5627993493.5844736</v>
      </c>
      <c r="V258" s="121">
        <f t="shared" ref="V258:AG258" si="140">V225+V227+V229+V231+V233+V235+V237+V239+V241+V243+V245+V247+V249+V251+V253+V255+V257</f>
        <v>0</v>
      </c>
      <c r="W258" s="121">
        <f t="shared" si="140"/>
        <v>0</v>
      </c>
      <c r="X258" s="121">
        <f t="shared" si="140"/>
        <v>0</v>
      </c>
      <c r="Y258" s="121">
        <f t="shared" si="140"/>
        <v>0</v>
      </c>
      <c r="Z258" s="121">
        <f t="shared" si="140"/>
        <v>0</v>
      </c>
      <c r="AA258" s="121">
        <f t="shared" si="140"/>
        <v>0</v>
      </c>
      <c r="AB258" s="121">
        <f t="shared" si="140"/>
        <v>0</v>
      </c>
      <c r="AC258" s="121">
        <f t="shared" si="140"/>
        <v>0</v>
      </c>
      <c r="AD258" s="121">
        <f t="shared" si="140"/>
        <v>0</v>
      </c>
      <c r="AE258" s="121">
        <f t="shared" si="140"/>
        <v>0</v>
      </c>
      <c r="AF258" s="121">
        <f t="shared" si="140"/>
        <v>0</v>
      </c>
      <c r="AG258" s="121">
        <f t="shared" si="140"/>
        <v>0</v>
      </c>
      <c r="AH258" s="121">
        <f>AH225+AH227+AH229+AH231+AH233+AH235+AH237+AH239+AH241+AH243+AH245+AH247+AH249+AH251+AH253+AH255+AH257</f>
        <v>0</v>
      </c>
      <c r="AI258" s="121">
        <f t="shared" ref="AI258:AT258" si="141">AI225+AI227+AI229+AI231+AI233+AI235+AI237+AI239+AI241+AI243+AI245+AI247+AI249+AI251+AI253+AI255+AI257</f>
        <v>0</v>
      </c>
      <c r="AJ258" s="121">
        <f t="shared" si="141"/>
        <v>0</v>
      </c>
      <c r="AK258" s="121">
        <f t="shared" si="141"/>
        <v>0</v>
      </c>
      <c r="AL258" s="121">
        <f t="shared" si="141"/>
        <v>0</v>
      </c>
      <c r="AM258" s="121">
        <f t="shared" si="141"/>
        <v>0</v>
      </c>
      <c r="AN258" s="121">
        <f t="shared" si="141"/>
        <v>0</v>
      </c>
      <c r="AO258" s="121">
        <f t="shared" si="141"/>
        <v>0</v>
      </c>
      <c r="AP258" s="121">
        <f t="shared" si="141"/>
        <v>0</v>
      </c>
      <c r="AQ258" s="121">
        <f t="shared" si="141"/>
        <v>0</v>
      </c>
      <c r="AR258" s="121">
        <f t="shared" si="141"/>
        <v>0</v>
      </c>
      <c r="AS258" s="121">
        <f t="shared" si="141"/>
        <v>0</v>
      </c>
      <c r="AT258" s="121">
        <f t="shared" si="141"/>
        <v>0</v>
      </c>
      <c r="AU258" s="121">
        <f>AU225+AU227+AU229+AU231+AU233+AU235+AU237+AU239+AU241+AU243+AU245+AU247+AU249+AU251+AU253+AU255+AU257</f>
        <v>0</v>
      </c>
    </row>
    <row r="259" spans="1:47" ht="15.75" hidden="1" customHeight="1" outlineLevel="1">
      <c r="A259" s="1" t="s">
        <v>313</v>
      </c>
      <c r="C259" s="143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-1390035.8399999999</v>
      </c>
      <c r="G259" s="31">
        <f>_xll.DBRW($C$1,$C$2,$C$3,$C$4,$C$6,$C$5,$C$7,G$1,G$2,$A259)</f>
        <v>-107704029.53000002</v>
      </c>
      <c r="H259" s="31">
        <f>_xll.DBRW($C$1,$C$2,$C$3,$C$4,$C$6,$C$5,$C$7,H$1,H$2,$A259)</f>
        <v>-1233302.2899999998</v>
      </c>
      <c r="I259" s="31">
        <f>_xll.DBRW($C$1,$C$2,$C$3,$C$4,$C$6,$C$5,$C$7,I$1,I$2,$A259)</f>
        <v>0</v>
      </c>
      <c r="J259" s="31">
        <f>_xll.DBRW($C$1,$C$2,$C$3,$C$4,$C$6,$C$5,$C$7,J$1,J$2,$A259)</f>
        <v>11010539.02</v>
      </c>
      <c r="K259" s="31">
        <f>_xll.DBRW($C$1,$C$2,$C$3,$C$4,$C$6,$C$5,$C$7,K$1,K$2,$A259)</f>
        <v>11010538.52</v>
      </c>
      <c r="L259" s="31">
        <f>_xll.DBRW($C$1,$C$2,$C$3,$C$4,$C$6,$C$5,$C$7,L$1,L$2,$A259)</f>
        <v>10287689.119999999</v>
      </c>
      <c r="M259" s="31">
        <f>_xll.DBRW($C$1,$C$2,$C$3,$C$4,$C$6,$C$5,$C$7,M$1,M$2,$A259)</f>
        <v>10367199.319999998</v>
      </c>
      <c r="N259" s="31">
        <f>_xll.DBRW($C$1,$C$2,$C$3,$C$4,$C$6,$C$5,$C$7,N$1,N$2,$A259)</f>
        <v>10414358.509999998</v>
      </c>
      <c r="O259" s="31">
        <f>_xll.DBRW($C$1,$C$2,$C$3,$C$4,$C$6,$C$5,$C$7,O$1,O$2,$A259)</f>
        <v>11703308.899999999</v>
      </c>
      <c r="P259" s="31">
        <f>_xll.DBRW($C$1,$C$2,$C$3,$C$4,$C$6,$C$5,$C$7,P$1,P$2,$A259)</f>
        <v>11650799.339999998</v>
      </c>
      <c r="Q259" s="31">
        <f>_xll.DBRW($C$1,$C$2,$C$3,$C$4,$C$6,$C$5,$C$7,Q$1,Q$2,$A259)</f>
        <v>11603640.209999997</v>
      </c>
      <c r="R259" s="31">
        <f>_xll.DBRW($C$1,$C$2,$C$3,$C$4,$C$6,$C$5,$C$7,R$1,R$2,$A259)</f>
        <v>12326490.109999998</v>
      </c>
      <c r="S259" s="31">
        <f>_xll.DBRW($C$1,$C$2,$C$3,$C$4,$C$6,$C$5,$C$7,S$1,S$2,$A259)</f>
        <v>12395980.629999997</v>
      </c>
      <c r="T259" s="31">
        <f>_xll.DBRW($C$1,$C$2,$C$3,$C$4,$C$6,$C$5,$C$7,T$1,T$2,$A259)</f>
        <v>8408865.6599999983</v>
      </c>
      <c r="U259" s="31">
        <f>_xll.DBRW($C$1,$C$2,$C$3,$C$4,$C$6,$C$5,$C$7,U$1,U$2,$A259)</f>
        <v>8408865.6599999983</v>
      </c>
      <c r="V259" s="31">
        <f>_xll.DBRW($C$1,$C$2,$C$3,$C$4,$C$6,$C$5,$C$7,V$1,V$2,$A259)</f>
        <v>0</v>
      </c>
      <c r="W259" s="31">
        <f>_xll.DBRW($C$1,$C$2,$C$3,$C$4,$C$6,$C$5,$C$7,W$1,W$2,$A259)</f>
        <v>0</v>
      </c>
      <c r="X259" s="31">
        <f>_xll.DBRW($C$1,$C$2,$C$3,$C$4,$C$6,$C$5,$C$7,X$1,X$2,$A259)</f>
        <v>0</v>
      </c>
      <c r="Y259" s="31">
        <f>_xll.DBRW($C$1,$C$2,$C$3,$C$4,$C$6,$C$5,$C$7,Y$1,Y$2,$A259)</f>
        <v>0</v>
      </c>
      <c r="Z259" s="31">
        <f>_xll.DBRW($C$1,$C$2,$C$3,$C$4,$C$6,$C$5,$C$7,Z$1,Z$2,$A259)</f>
        <v>0</v>
      </c>
      <c r="AA259" s="31">
        <f>_xll.DBRW($C$1,$C$2,$C$3,$C$4,$C$6,$C$5,$C$7,AA$1,AA$2,$A259)</f>
        <v>0</v>
      </c>
      <c r="AB259" s="31">
        <f>_xll.DBRW($C$1,$C$2,$C$3,$C$4,$C$6,$C$5,$C$7,AB$1,AB$2,$A259)</f>
        <v>0</v>
      </c>
      <c r="AC259" s="31">
        <f>_xll.DBRW($C$1,$C$2,$C$3,$C$4,$C$6,$C$5,$C$7,AC$1,AC$2,$A259)</f>
        <v>0</v>
      </c>
      <c r="AD259" s="31">
        <f>_xll.DBRW($C$1,$C$2,$C$3,$C$4,$C$6,$C$5,$C$7,AD$1,AD$2,$A259)</f>
        <v>0</v>
      </c>
      <c r="AE259" s="31">
        <f>_xll.DBRW($C$1,$C$2,$C$3,$C$4,$C$6,$C$5,$C$7,AE$1,AE$2,$A259)</f>
        <v>0</v>
      </c>
      <c r="AF259" s="31">
        <f>_xll.DBRW($C$1,$C$2,$C$3,$C$4,$C$6,$C$5,$C$7,AF$1,AF$2,$A259)</f>
        <v>0</v>
      </c>
      <c r="AG259" s="31">
        <f>_xll.DBRW($C$1,$C$2,$C$3,$C$4,$C$6,$C$5,$C$7,AG$1,AG$2,$A259)</f>
        <v>0</v>
      </c>
      <c r="AH259" s="31">
        <f>_xll.DBRW($C$1,$C$2,$C$3,$C$4,$C$6,$C$5,$C$7,AH$1,AH$2,$A259)</f>
        <v>0</v>
      </c>
      <c r="AI259" s="31">
        <f>_xll.DBRW($C$1,$C$2,$C$3,$C$4,$C$6,$C$5,$C$7,AI$1,AI$2,$A259)</f>
        <v>0</v>
      </c>
      <c r="AJ259" s="31">
        <f>_xll.DBRW($C$1,$C$2,$C$3,$C$4,$C$6,$C$5,$C$7,AJ$1,AJ$2,$A259)</f>
        <v>0</v>
      </c>
      <c r="AK259" s="31">
        <f>_xll.DBRW($C$1,$C$2,$C$3,$C$4,$C$6,$C$5,$C$7,AK$1,AK$2,$A259)</f>
        <v>0</v>
      </c>
      <c r="AL259" s="31">
        <f>_xll.DBRW($C$1,$C$2,$C$3,$C$4,$C$6,$C$5,$C$7,AL$1,AL$2,$A259)</f>
        <v>0</v>
      </c>
      <c r="AM259" s="31">
        <f>_xll.DBRW($C$1,$C$2,$C$3,$C$4,$C$6,$C$5,$C$7,AM$1,AM$2,$A259)</f>
        <v>0</v>
      </c>
      <c r="AN259" s="31">
        <f>_xll.DBRW($C$1,$C$2,$C$3,$C$4,$C$6,$C$5,$C$7,AN$1,AN$2,$A259)</f>
        <v>0</v>
      </c>
      <c r="AO259" s="31">
        <f>_xll.DBRW($C$1,$C$2,$C$3,$C$4,$C$6,$C$5,$C$7,AO$1,AO$2,$A259)</f>
        <v>0</v>
      </c>
      <c r="AP259" s="31">
        <f>_xll.DBRW($C$1,$C$2,$C$3,$C$4,$C$6,$C$5,$C$7,AP$1,AP$2,$A259)</f>
        <v>0</v>
      </c>
      <c r="AQ259" s="31">
        <f>_xll.DBRW($C$1,$C$2,$C$3,$C$4,$C$6,$C$5,$C$7,AQ$1,AQ$2,$A259)</f>
        <v>0</v>
      </c>
      <c r="AR259" s="31">
        <f>_xll.DBRW($C$1,$C$2,$C$3,$C$4,$C$6,$C$5,$C$7,AR$1,AR$2,$A259)</f>
        <v>0</v>
      </c>
      <c r="AS259" s="31">
        <f>_xll.DBRW($C$1,$C$2,$C$3,$C$4,$C$6,$C$5,$C$7,AS$1,AS$2,$A259)</f>
        <v>0</v>
      </c>
      <c r="AT259" s="31">
        <f>_xll.DBRW($C$1,$C$2,$C$3,$C$4,$C$6,$C$5,$C$7,AT$1,AT$2,$A259)</f>
        <v>0</v>
      </c>
      <c r="AU259" s="31">
        <f>_xll.DBRW($C$1,$C$2,$C$3,$C$4,$C$6,$C$5,$C$7,AU$1,AU$2,$A259)</f>
        <v>0</v>
      </c>
    </row>
    <row r="260" spans="1:47" ht="15.75" hidden="1" customHeight="1" outlineLevel="1">
      <c r="A260" s="1" t="s">
        <v>314</v>
      </c>
      <c r="C260" s="143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  <c r="I260" s="31">
        <f>_xll.DBRW($C$1,$C$2,$C$3,$C$4,$C$6,$C$5,$C$7,I$1,I$2,$A260)</f>
        <v>0</v>
      </c>
      <c r="J260" s="31">
        <f>_xll.DBRW($C$1,$C$2,$C$3,$C$4,$C$6,$C$5,$C$7,J$1,J$2,$A260)</f>
        <v>0</v>
      </c>
      <c r="K260" s="31">
        <f>_xll.DBRW($C$1,$C$2,$C$3,$C$4,$C$6,$C$5,$C$7,K$1,K$2,$A260)</f>
        <v>0</v>
      </c>
      <c r="L260" s="31">
        <f>_xll.DBRW($C$1,$C$2,$C$3,$C$4,$C$6,$C$5,$C$7,L$1,L$2,$A260)</f>
        <v>0</v>
      </c>
      <c r="M260" s="31">
        <f>_xll.DBRW($C$1,$C$2,$C$3,$C$4,$C$6,$C$5,$C$7,M$1,M$2,$A260)</f>
        <v>0</v>
      </c>
      <c r="N260" s="31">
        <f>_xll.DBRW($C$1,$C$2,$C$3,$C$4,$C$6,$C$5,$C$7,N$1,N$2,$A260)</f>
        <v>0</v>
      </c>
      <c r="O260" s="31">
        <f>_xll.DBRW($C$1,$C$2,$C$3,$C$4,$C$6,$C$5,$C$7,O$1,O$2,$A260)</f>
        <v>0</v>
      </c>
      <c r="P260" s="31">
        <f>_xll.DBRW($C$1,$C$2,$C$3,$C$4,$C$6,$C$5,$C$7,P$1,P$2,$A260)</f>
        <v>0</v>
      </c>
      <c r="Q260" s="31">
        <f>_xll.DBRW($C$1,$C$2,$C$3,$C$4,$C$6,$C$5,$C$7,Q$1,Q$2,$A260)</f>
        <v>0</v>
      </c>
      <c r="R260" s="31">
        <f>_xll.DBRW($C$1,$C$2,$C$3,$C$4,$C$6,$C$5,$C$7,R$1,R$2,$A260)</f>
        <v>0</v>
      </c>
      <c r="S260" s="31">
        <f>_xll.DBRW($C$1,$C$2,$C$3,$C$4,$C$6,$C$5,$C$7,S$1,S$2,$A260)</f>
        <v>0</v>
      </c>
      <c r="T260" s="31">
        <f>_xll.DBRW($C$1,$C$2,$C$3,$C$4,$C$6,$C$5,$C$7,T$1,T$2,$A260)</f>
        <v>0</v>
      </c>
      <c r="U260" s="31">
        <f>_xll.DBRW($C$1,$C$2,$C$3,$C$4,$C$6,$C$5,$C$7,U$1,U$2,$A260)</f>
        <v>0</v>
      </c>
      <c r="V260" s="31">
        <f>_xll.DBRW($C$1,$C$2,$C$3,$C$4,$C$6,$C$5,$C$7,V$1,V$2,$A260)</f>
        <v>0</v>
      </c>
      <c r="W260" s="31">
        <f>_xll.DBRW($C$1,$C$2,$C$3,$C$4,$C$6,$C$5,$C$7,W$1,W$2,$A260)</f>
        <v>0</v>
      </c>
      <c r="X260" s="31">
        <f>_xll.DBRW($C$1,$C$2,$C$3,$C$4,$C$6,$C$5,$C$7,X$1,X$2,$A260)</f>
        <v>0</v>
      </c>
      <c r="Y260" s="31">
        <f>_xll.DBRW($C$1,$C$2,$C$3,$C$4,$C$6,$C$5,$C$7,Y$1,Y$2,$A260)</f>
        <v>0</v>
      </c>
      <c r="Z260" s="31">
        <f>_xll.DBRW($C$1,$C$2,$C$3,$C$4,$C$6,$C$5,$C$7,Z$1,Z$2,$A260)</f>
        <v>0</v>
      </c>
      <c r="AA260" s="31">
        <f>_xll.DBRW($C$1,$C$2,$C$3,$C$4,$C$6,$C$5,$C$7,AA$1,AA$2,$A260)</f>
        <v>0</v>
      </c>
      <c r="AB260" s="31">
        <f>_xll.DBRW($C$1,$C$2,$C$3,$C$4,$C$6,$C$5,$C$7,AB$1,AB$2,$A260)</f>
        <v>0</v>
      </c>
      <c r="AC260" s="31">
        <f>_xll.DBRW($C$1,$C$2,$C$3,$C$4,$C$6,$C$5,$C$7,AC$1,AC$2,$A260)</f>
        <v>0</v>
      </c>
      <c r="AD260" s="31">
        <f>_xll.DBRW($C$1,$C$2,$C$3,$C$4,$C$6,$C$5,$C$7,AD$1,AD$2,$A260)</f>
        <v>0</v>
      </c>
      <c r="AE260" s="31">
        <f>_xll.DBRW($C$1,$C$2,$C$3,$C$4,$C$6,$C$5,$C$7,AE$1,AE$2,$A260)</f>
        <v>0</v>
      </c>
      <c r="AF260" s="31">
        <f>_xll.DBRW($C$1,$C$2,$C$3,$C$4,$C$6,$C$5,$C$7,AF$1,AF$2,$A260)</f>
        <v>0</v>
      </c>
      <c r="AG260" s="31">
        <f>_xll.DBRW($C$1,$C$2,$C$3,$C$4,$C$6,$C$5,$C$7,AG$1,AG$2,$A260)</f>
        <v>0</v>
      </c>
      <c r="AH260" s="31">
        <f>_xll.DBRW($C$1,$C$2,$C$3,$C$4,$C$6,$C$5,$C$7,AH$1,AH$2,$A260)</f>
        <v>0</v>
      </c>
      <c r="AI260" s="31">
        <f>_xll.DBRW($C$1,$C$2,$C$3,$C$4,$C$6,$C$5,$C$7,AI$1,AI$2,$A260)</f>
        <v>0</v>
      </c>
      <c r="AJ260" s="31">
        <f>_xll.DBRW($C$1,$C$2,$C$3,$C$4,$C$6,$C$5,$C$7,AJ$1,AJ$2,$A260)</f>
        <v>0</v>
      </c>
      <c r="AK260" s="31">
        <f>_xll.DBRW($C$1,$C$2,$C$3,$C$4,$C$6,$C$5,$C$7,AK$1,AK$2,$A260)</f>
        <v>0</v>
      </c>
      <c r="AL260" s="31">
        <f>_xll.DBRW($C$1,$C$2,$C$3,$C$4,$C$6,$C$5,$C$7,AL$1,AL$2,$A260)</f>
        <v>0</v>
      </c>
      <c r="AM260" s="31">
        <f>_xll.DBRW($C$1,$C$2,$C$3,$C$4,$C$6,$C$5,$C$7,AM$1,AM$2,$A260)</f>
        <v>0</v>
      </c>
      <c r="AN260" s="31">
        <f>_xll.DBRW($C$1,$C$2,$C$3,$C$4,$C$6,$C$5,$C$7,AN$1,AN$2,$A260)</f>
        <v>0</v>
      </c>
      <c r="AO260" s="31">
        <f>_xll.DBRW($C$1,$C$2,$C$3,$C$4,$C$6,$C$5,$C$7,AO$1,AO$2,$A260)</f>
        <v>0</v>
      </c>
      <c r="AP260" s="31">
        <f>_xll.DBRW($C$1,$C$2,$C$3,$C$4,$C$6,$C$5,$C$7,AP$1,AP$2,$A260)</f>
        <v>0</v>
      </c>
      <c r="AQ260" s="31">
        <f>_xll.DBRW($C$1,$C$2,$C$3,$C$4,$C$6,$C$5,$C$7,AQ$1,AQ$2,$A260)</f>
        <v>0</v>
      </c>
      <c r="AR260" s="31">
        <f>_xll.DBRW($C$1,$C$2,$C$3,$C$4,$C$6,$C$5,$C$7,AR$1,AR$2,$A260)</f>
        <v>0</v>
      </c>
      <c r="AS260" s="31">
        <f>_xll.DBRW($C$1,$C$2,$C$3,$C$4,$C$6,$C$5,$C$7,AS$1,AS$2,$A260)</f>
        <v>0</v>
      </c>
      <c r="AT260" s="31">
        <f>_xll.DBRW($C$1,$C$2,$C$3,$C$4,$C$6,$C$5,$C$7,AT$1,AT$2,$A260)</f>
        <v>0</v>
      </c>
      <c r="AU260" s="31">
        <f>_xll.DBRW($C$1,$C$2,$C$3,$C$4,$C$6,$C$5,$C$7,AU$1,AU$2,$A260)</f>
        <v>0</v>
      </c>
    </row>
    <row r="261" spans="1:47" ht="15.75" collapsed="1">
      <c r="A261" s="1" t="s">
        <v>127</v>
      </c>
      <c r="C261" s="143"/>
      <c r="E261" s="120" t="s">
        <v>61</v>
      </c>
      <c r="F261" s="121">
        <f t="shared" ref="F261:T261" si="142">F259+F260</f>
        <v>-1390035.8399999999</v>
      </c>
      <c r="G261" s="121">
        <f t="shared" si="142"/>
        <v>-107704029.53000002</v>
      </c>
      <c r="H261" s="121">
        <f t="shared" si="142"/>
        <v>-1233302.2899999998</v>
      </c>
      <c r="I261" s="121">
        <f t="shared" si="142"/>
        <v>0</v>
      </c>
      <c r="J261" s="121">
        <f t="shared" si="142"/>
        <v>11010539.02</v>
      </c>
      <c r="K261" s="121">
        <f t="shared" si="142"/>
        <v>11010538.52</v>
      </c>
      <c r="L261" s="121">
        <f t="shared" si="142"/>
        <v>10287689.119999999</v>
      </c>
      <c r="M261" s="121">
        <f t="shared" si="142"/>
        <v>10367199.319999998</v>
      </c>
      <c r="N261" s="121">
        <f t="shared" si="142"/>
        <v>10414358.509999998</v>
      </c>
      <c r="O261" s="121">
        <f t="shared" si="142"/>
        <v>11703308.899999999</v>
      </c>
      <c r="P261" s="121">
        <f t="shared" si="142"/>
        <v>11650799.339999998</v>
      </c>
      <c r="Q261" s="121">
        <f t="shared" si="142"/>
        <v>11603640.209999997</v>
      </c>
      <c r="R261" s="121">
        <f t="shared" si="142"/>
        <v>12326490.109999998</v>
      </c>
      <c r="S261" s="121">
        <f t="shared" si="142"/>
        <v>12395980.629999997</v>
      </c>
      <c r="T261" s="121">
        <f t="shared" si="142"/>
        <v>8408865.6599999983</v>
      </c>
      <c r="U261" s="121">
        <f>U259+U260</f>
        <v>8408865.6599999983</v>
      </c>
      <c r="V261" s="121">
        <f t="shared" ref="V261:AG261" si="143">V259+V260</f>
        <v>0</v>
      </c>
      <c r="W261" s="121">
        <f t="shared" si="143"/>
        <v>0</v>
      </c>
      <c r="X261" s="121">
        <f t="shared" si="143"/>
        <v>0</v>
      </c>
      <c r="Y261" s="121">
        <f t="shared" si="143"/>
        <v>0</v>
      </c>
      <c r="Z261" s="121">
        <f t="shared" si="143"/>
        <v>0</v>
      </c>
      <c r="AA261" s="121">
        <f t="shared" si="143"/>
        <v>0</v>
      </c>
      <c r="AB261" s="121">
        <f t="shared" si="143"/>
        <v>0</v>
      </c>
      <c r="AC261" s="121">
        <f t="shared" si="143"/>
        <v>0</v>
      </c>
      <c r="AD261" s="121">
        <f t="shared" si="143"/>
        <v>0</v>
      </c>
      <c r="AE261" s="121">
        <f t="shared" si="143"/>
        <v>0</v>
      </c>
      <c r="AF261" s="121">
        <f t="shared" si="143"/>
        <v>0</v>
      </c>
      <c r="AG261" s="121">
        <f t="shared" si="143"/>
        <v>0</v>
      </c>
      <c r="AH261" s="121">
        <f>AH259+AH260</f>
        <v>0</v>
      </c>
      <c r="AI261" s="121">
        <f t="shared" ref="AI261:AT261" si="144">AI259+AI260</f>
        <v>0</v>
      </c>
      <c r="AJ261" s="121">
        <f t="shared" si="144"/>
        <v>0</v>
      </c>
      <c r="AK261" s="121">
        <f t="shared" si="144"/>
        <v>0</v>
      </c>
      <c r="AL261" s="121">
        <f t="shared" si="144"/>
        <v>0</v>
      </c>
      <c r="AM261" s="121">
        <f t="shared" si="144"/>
        <v>0</v>
      </c>
      <c r="AN261" s="121">
        <f t="shared" si="144"/>
        <v>0</v>
      </c>
      <c r="AO261" s="121">
        <f t="shared" si="144"/>
        <v>0</v>
      </c>
      <c r="AP261" s="121">
        <f t="shared" si="144"/>
        <v>0</v>
      </c>
      <c r="AQ261" s="121">
        <f t="shared" si="144"/>
        <v>0</v>
      </c>
      <c r="AR261" s="121">
        <f t="shared" si="144"/>
        <v>0</v>
      </c>
      <c r="AS261" s="121">
        <f t="shared" si="144"/>
        <v>0</v>
      </c>
      <c r="AT261" s="121">
        <f t="shared" si="144"/>
        <v>0</v>
      </c>
      <c r="AU261" s="121">
        <f>AU259+AU260</f>
        <v>0</v>
      </c>
    </row>
    <row r="262" spans="1:47" ht="15.75" hidden="1" customHeight="1" outlineLevel="1">
      <c r="A262" s="1" t="s">
        <v>315</v>
      </c>
      <c r="C262" s="143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7358653086.0084629</v>
      </c>
      <c r="G262" s="31">
        <f>_xll.DBRW($C$1,$C$2,$C$3,$C$4,$C$6,$C$5,$C$7,G$1,G$2,$A262)</f>
        <v>39449060787.791496</v>
      </c>
      <c r="H262" s="31">
        <f>_xll.DBRW($C$1,$C$2,$C$3,$C$4,$C$6,$C$5,$C$7,H$1,H$2,$A262)</f>
        <v>17476561846.707901</v>
      </c>
      <c r="I262" s="31">
        <f>_xll.DBRW($C$1,$C$2,$C$3,$C$4,$C$6,$C$5,$C$7,I$1,I$2,$A262)</f>
        <v>0</v>
      </c>
      <c r="J262" s="31">
        <f>_xll.DBRW($C$1,$C$2,$C$3,$C$4,$C$6,$C$5,$C$7,J$1,J$2,$A262)</f>
        <v>-208261070.33000001</v>
      </c>
      <c r="K262" s="31">
        <f>_xll.DBRW($C$1,$C$2,$C$3,$C$4,$C$6,$C$5,$C$7,K$1,K$2,$A262)</f>
        <v>-406871291.67940003</v>
      </c>
      <c r="L262" s="31">
        <f>_xll.DBRW($C$1,$C$2,$C$3,$C$4,$C$6,$C$5,$C$7,L$1,L$2,$A262)</f>
        <v>2873642504.9793</v>
      </c>
      <c r="M262" s="31">
        <f>_xll.DBRW($C$1,$C$2,$C$3,$C$4,$C$6,$C$5,$C$7,M$1,M$2,$A262)</f>
        <v>3791283356.8355999</v>
      </c>
      <c r="N262" s="31">
        <f>_xll.DBRW($C$1,$C$2,$C$3,$C$4,$C$6,$C$5,$C$7,N$1,N$2,$A262)</f>
        <v>4108900503.6029</v>
      </c>
      <c r="O262" s="31">
        <f>_xll.DBRW($C$1,$C$2,$C$3,$C$4,$C$6,$C$5,$C$7,O$1,O$2,$A262)</f>
        <v>4108773103.6029</v>
      </c>
      <c r="P262" s="31">
        <f>_xll.DBRW($C$1,$C$2,$C$3,$C$4,$C$6,$C$5,$C$7,P$1,P$2,$A262)</f>
        <v>-2792294668.7409997</v>
      </c>
      <c r="Q262" s="31">
        <f>_xll.DBRW($C$1,$C$2,$C$3,$C$4,$C$6,$C$5,$C$7,Q$1,Q$2,$A262)</f>
        <v>-2105985117.3201997</v>
      </c>
      <c r="R262" s="31">
        <f>_xll.DBRW($C$1,$C$2,$C$3,$C$4,$C$6,$C$5,$C$7,R$1,R$2,$A262)</f>
        <v>-2105985117.3201997</v>
      </c>
      <c r="S262" s="31">
        <f>_xll.DBRW($C$1,$C$2,$C$3,$C$4,$C$6,$C$5,$C$7,S$1,S$2,$A262)</f>
        <v>-4686202581.9928999</v>
      </c>
      <c r="T262" s="31">
        <f>_xll.DBRW($C$1,$C$2,$C$3,$C$4,$C$6,$C$5,$C$7,T$1,T$2,$A262)</f>
        <v>-3446636785.0311995</v>
      </c>
      <c r="U262" s="31">
        <f>_xll.DBRW($C$1,$C$2,$C$3,$C$4,$C$6,$C$5,$C$7,U$1,U$2,$A262)</f>
        <v>-3446636785.0311995</v>
      </c>
      <c r="V262" s="31">
        <f>_xll.DBRW($C$1,$C$2,$C$3,$C$4,$C$6,$C$5,$C$7,V$1,V$2,$A262)</f>
        <v>0</v>
      </c>
      <c r="W262" s="31">
        <f>_xll.DBRW($C$1,$C$2,$C$3,$C$4,$C$6,$C$5,$C$7,W$1,W$2,$A262)</f>
        <v>0</v>
      </c>
      <c r="X262" s="31">
        <f>_xll.DBRW($C$1,$C$2,$C$3,$C$4,$C$6,$C$5,$C$7,X$1,X$2,$A262)</f>
        <v>0</v>
      </c>
      <c r="Y262" s="31">
        <f>_xll.DBRW($C$1,$C$2,$C$3,$C$4,$C$6,$C$5,$C$7,Y$1,Y$2,$A262)</f>
        <v>0</v>
      </c>
      <c r="Z262" s="31">
        <f>_xll.DBRW($C$1,$C$2,$C$3,$C$4,$C$6,$C$5,$C$7,Z$1,Z$2,$A262)</f>
        <v>0</v>
      </c>
      <c r="AA262" s="31">
        <f>_xll.DBRW($C$1,$C$2,$C$3,$C$4,$C$6,$C$5,$C$7,AA$1,AA$2,$A262)</f>
        <v>0</v>
      </c>
      <c r="AB262" s="31">
        <f>_xll.DBRW($C$1,$C$2,$C$3,$C$4,$C$6,$C$5,$C$7,AB$1,AB$2,$A262)</f>
        <v>0</v>
      </c>
      <c r="AC262" s="31">
        <f>_xll.DBRW($C$1,$C$2,$C$3,$C$4,$C$6,$C$5,$C$7,AC$1,AC$2,$A262)</f>
        <v>0</v>
      </c>
      <c r="AD262" s="31">
        <f>_xll.DBRW($C$1,$C$2,$C$3,$C$4,$C$6,$C$5,$C$7,AD$1,AD$2,$A262)</f>
        <v>0</v>
      </c>
      <c r="AE262" s="31">
        <f>_xll.DBRW($C$1,$C$2,$C$3,$C$4,$C$6,$C$5,$C$7,AE$1,AE$2,$A262)</f>
        <v>0</v>
      </c>
      <c r="AF262" s="31">
        <f>_xll.DBRW($C$1,$C$2,$C$3,$C$4,$C$6,$C$5,$C$7,AF$1,AF$2,$A262)</f>
        <v>0</v>
      </c>
      <c r="AG262" s="31">
        <f>_xll.DBRW($C$1,$C$2,$C$3,$C$4,$C$6,$C$5,$C$7,AG$1,AG$2,$A262)</f>
        <v>0</v>
      </c>
      <c r="AH262" s="31">
        <f>_xll.DBRW($C$1,$C$2,$C$3,$C$4,$C$6,$C$5,$C$7,AH$1,AH$2,$A262)</f>
        <v>0</v>
      </c>
      <c r="AI262" s="31">
        <f>_xll.DBRW($C$1,$C$2,$C$3,$C$4,$C$6,$C$5,$C$7,AI$1,AI$2,$A262)</f>
        <v>0</v>
      </c>
      <c r="AJ262" s="31">
        <f>_xll.DBRW($C$1,$C$2,$C$3,$C$4,$C$6,$C$5,$C$7,AJ$1,AJ$2,$A262)</f>
        <v>0</v>
      </c>
      <c r="AK262" s="31">
        <f>_xll.DBRW($C$1,$C$2,$C$3,$C$4,$C$6,$C$5,$C$7,AK$1,AK$2,$A262)</f>
        <v>0</v>
      </c>
      <c r="AL262" s="31">
        <f>_xll.DBRW($C$1,$C$2,$C$3,$C$4,$C$6,$C$5,$C$7,AL$1,AL$2,$A262)</f>
        <v>0</v>
      </c>
      <c r="AM262" s="31">
        <f>_xll.DBRW($C$1,$C$2,$C$3,$C$4,$C$6,$C$5,$C$7,AM$1,AM$2,$A262)</f>
        <v>0</v>
      </c>
      <c r="AN262" s="31">
        <f>_xll.DBRW($C$1,$C$2,$C$3,$C$4,$C$6,$C$5,$C$7,AN$1,AN$2,$A262)</f>
        <v>0</v>
      </c>
      <c r="AO262" s="31">
        <f>_xll.DBRW($C$1,$C$2,$C$3,$C$4,$C$6,$C$5,$C$7,AO$1,AO$2,$A262)</f>
        <v>0</v>
      </c>
      <c r="AP262" s="31">
        <f>_xll.DBRW($C$1,$C$2,$C$3,$C$4,$C$6,$C$5,$C$7,AP$1,AP$2,$A262)</f>
        <v>0</v>
      </c>
      <c r="AQ262" s="31">
        <f>_xll.DBRW($C$1,$C$2,$C$3,$C$4,$C$6,$C$5,$C$7,AQ$1,AQ$2,$A262)</f>
        <v>0</v>
      </c>
      <c r="AR262" s="31">
        <f>_xll.DBRW($C$1,$C$2,$C$3,$C$4,$C$6,$C$5,$C$7,AR$1,AR$2,$A262)</f>
        <v>0</v>
      </c>
      <c r="AS262" s="31">
        <f>_xll.DBRW($C$1,$C$2,$C$3,$C$4,$C$6,$C$5,$C$7,AS$1,AS$2,$A262)</f>
        <v>0</v>
      </c>
      <c r="AT262" s="31">
        <f>_xll.DBRW($C$1,$C$2,$C$3,$C$4,$C$6,$C$5,$C$7,AT$1,AT$2,$A262)</f>
        <v>0</v>
      </c>
      <c r="AU262" s="31">
        <f>_xll.DBRW($C$1,$C$2,$C$3,$C$4,$C$6,$C$5,$C$7,AU$1,AU$2,$A262)</f>
        <v>0</v>
      </c>
    </row>
    <row r="263" spans="1:47" ht="15.75" hidden="1" customHeight="1" outlineLevel="1">
      <c r="A263" s="1" t="s">
        <v>316</v>
      </c>
      <c r="C263" s="143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  <c r="I263" s="31">
        <f>_xll.DBRW($C$1,$C$2,$C$3,$C$4,$C$6,$C$5,$C$7,I$1,I$2,$A263)</f>
        <v>0</v>
      </c>
      <c r="J263" s="31">
        <f>_xll.DBRW($C$1,$C$2,$C$3,$C$4,$C$6,$C$5,$C$7,J$1,J$2,$A263)</f>
        <v>0</v>
      </c>
      <c r="K263" s="31">
        <f>_xll.DBRW($C$1,$C$2,$C$3,$C$4,$C$6,$C$5,$C$7,K$1,K$2,$A263)</f>
        <v>0</v>
      </c>
      <c r="L263" s="31">
        <f>_xll.DBRW($C$1,$C$2,$C$3,$C$4,$C$6,$C$5,$C$7,L$1,L$2,$A263)</f>
        <v>0</v>
      </c>
      <c r="M263" s="31">
        <f>_xll.DBRW($C$1,$C$2,$C$3,$C$4,$C$6,$C$5,$C$7,M$1,M$2,$A263)</f>
        <v>0</v>
      </c>
      <c r="N263" s="31">
        <f>_xll.DBRW($C$1,$C$2,$C$3,$C$4,$C$6,$C$5,$C$7,N$1,N$2,$A263)</f>
        <v>0</v>
      </c>
      <c r="O263" s="31">
        <f>_xll.DBRW($C$1,$C$2,$C$3,$C$4,$C$6,$C$5,$C$7,O$1,O$2,$A263)</f>
        <v>0</v>
      </c>
      <c r="P263" s="31">
        <f>_xll.DBRW($C$1,$C$2,$C$3,$C$4,$C$6,$C$5,$C$7,P$1,P$2,$A263)</f>
        <v>0</v>
      </c>
      <c r="Q263" s="31">
        <f>_xll.DBRW($C$1,$C$2,$C$3,$C$4,$C$6,$C$5,$C$7,Q$1,Q$2,$A263)</f>
        <v>0</v>
      </c>
      <c r="R263" s="31">
        <f>_xll.DBRW($C$1,$C$2,$C$3,$C$4,$C$6,$C$5,$C$7,R$1,R$2,$A263)</f>
        <v>0</v>
      </c>
      <c r="S263" s="31">
        <f>_xll.DBRW($C$1,$C$2,$C$3,$C$4,$C$6,$C$5,$C$7,S$1,S$2,$A263)</f>
        <v>0</v>
      </c>
      <c r="T263" s="31">
        <f>_xll.DBRW($C$1,$C$2,$C$3,$C$4,$C$6,$C$5,$C$7,T$1,T$2,$A263)</f>
        <v>0</v>
      </c>
      <c r="U263" s="31">
        <f>_xll.DBRW($C$1,$C$2,$C$3,$C$4,$C$6,$C$5,$C$7,U$1,U$2,$A263)</f>
        <v>0</v>
      </c>
      <c r="V263" s="31">
        <f>_xll.DBRW($C$1,$C$2,$C$3,$C$4,$C$6,$C$5,$C$7,V$1,V$2,$A263)</f>
        <v>0</v>
      </c>
      <c r="W263" s="31">
        <f>_xll.DBRW($C$1,$C$2,$C$3,$C$4,$C$6,$C$5,$C$7,W$1,W$2,$A263)</f>
        <v>0</v>
      </c>
      <c r="X263" s="31">
        <f>_xll.DBRW($C$1,$C$2,$C$3,$C$4,$C$6,$C$5,$C$7,X$1,X$2,$A263)</f>
        <v>0</v>
      </c>
      <c r="Y263" s="31">
        <f>_xll.DBRW($C$1,$C$2,$C$3,$C$4,$C$6,$C$5,$C$7,Y$1,Y$2,$A263)</f>
        <v>0</v>
      </c>
      <c r="Z263" s="31">
        <f>_xll.DBRW($C$1,$C$2,$C$3,$C$4,$C$6,$C$5,$C$7,Z$1,Z$2,$A263)</f>
        <v>0</v>
      </c>
      <c r="AA263" s="31">
        <f>_xll.DBRW($C$1,$C$2,$C$3,$C$4,$C$6,$C$5,$C$7,AA$1,AA$2,$A263)</f>
        <v>0</v>
      </c>
      <c r="AB263" s="31">
        <f>_xll.DBRW($C$1,$C$2,$C$3,$C$4,$C$6,$C$5,$C$7,AB$1,AB$2,$A263)</f>
        <v>0</v>
      </c>
      <c r="AC263" s="31">
        <f>_xll.DBRW($C$1,$C$2,$C$3,$C$4,$C$6,$C$5,$C$7,AC$1,AC$2,$A263)</f>
        <v>0</v>
      </c>
      <c r="AD263" s="31">
        <f>_xll.DBRW($C$1,$C$2,$C$3,$C$4,$C$6,$C$5,$C$7,AD$1,AD$2,$A263)</f>
        <v>0</v>
      </c>
      <c r="AE263" s="31">
        <f>_xll.DBRW($C$1,$C$2,$C$3,$C$4,$C$6,$C$5,$C$7,AE$1,AE$2,$A263)</f>
        <v>0</v>
      </c>
      <c r="AF263" s="31">
        <f>_xll.DBRW($C$1,$C$2,$C$3,$C$4,$C$6,$C$5,$C$7,AF$1,AF$2,$A263)</f>
        <v>0</v>
      </c>
      <c r="AG263" s="31">
        <f>_xll.DBRW($C$1,$C$2,$C$3,$C$4,$C$6,$C$5,$C$7,AG$1,AG$2,$A263)</f>
        <v>0</v>
      </c>
      <c r="AH263" s="31">
        <f>_xll.DBRW($C$1,$C$2,$C$3,$C$4,$C$6,$C$5,$C$7,AH$1,AH$2,$A263)</f>
        <v>0</v>
      </c>
      <c r="AI263" s="31">
        <f>_xll.DBRW($C$1,$C$2,$C$3,$C$4,$C$6,$C$5,$C$7,AI$1,AI$2,$A263)</f>
        <v>0</v>
      </c>
      <c r="AJ263" s="31">
        <f>_xll.DBRW($C$1,$C$2,$C$3,$C$4,$C$6,$C$5,$C$7,AJ$1,AJ$2,$A263)</f>
        <v>0</v>
      </c>
      <c r="AK263" s="31">
        <f>_xll.DBRW($C$1,$C$2,$C$3,$C$4,$C$6,$C$5,$C$7,AK$1,AK$2,$A263)</f>
        <v>0</v>
      </c>
      <c r="AL263" s="31">
        <f>_xll.DBRW($C$1,$C$2,$C$3,$C$4,$C$6,$C$5,$C$7,AL$1,AL$2,$A263)</f>
        <v>0</v>
      </c>
      <c r="AM263" s="31">
        <f>_xll.DBRW($C$1,$C$2,$C$3,$C$4,$C$6,$C$5,$C$7,AM$1,AM$2,$A263)</f>
        <v>0</v>
      </c>
      <c r="AN263" s="31">
        <f>_xll.DBRW($C$1,$C$2,$C$3,$C$4,$C$6,$C$5,$C$7,AN$1,AN$2,$A263)</f>
        <v>0</v>
      </c>
      <c r="AO263" s="31">
        <f>_xll.DBRW($C$1,$C$2,$C$3,$C$4,$C$6,$C$5,$C$7,AO$1,AO$2,$A263)</f>
        <v>0</v>
      </c>
      <c r="AP263" s="31">
        <f>_xll.DBRW($C$1,$C$2,$C$3,$C$4,$C$6,$C$5,$C$7,AP$1,AP$2,$A263)</f>
        <v>0</v>
      </c>
      <c r="AQ263" s="31">
        <f>_xll.DBRW($C$1,$C$2,$C$3,$C$4,$C$6,$C$5,$C$7,AQ$1,AQ$2,$A263)</f>
        <v>0</v>
      </c>
      <c r="AR263" s="31">
        <f>_xll.DBRW($C$1,$C$2,$C$3,$C$4,$C$6,$C$5,$C$7,AR$1,AR$2,$A263)</f>
        <v>0</v>
      </c>
      <c r="AS263" s="31">
        <f>_xll.DBRW($C$1,$C$2,$C$3,$C$4,$C$6,$C$5,$C$7,AS$1,AS$2,$A263)</f>
        <v>0</v>
      </c>
      <c r="AT263" s="31">
        <f>_xll.DBRW($C$1,$C$2,$C$3,$C$4,$C$6,$C$5,$C$7,AT$1,AT$2,$A263)</f>
        <v>0</v>
      </c>
      <c r="AU263" s="31">
        <f>_xll.DBRW($C$1,$C$2,$C$3,$C$4,$C$6,$C$5,$C$7,AU$1,AU$2,$A263)</f>
        <v>0</v>
      </c>
    </row>
    <row r="264" spans="1:47" ht="15.75" hidden="1" customHeight="1" outlineLevel="1">
      <c r="A264" s="1" t="s">
        <v>317</v>
      </c>
      <c r="C264" s="143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  <c r="I264" s="31">
        <f>_xll.DBRW($C$1,$C$2,$C$3,$C$4,$C$6,$C$5,$C$7,I$1,I$2,$A264)</f>
        <v>0</v>
      </c>
      <c r="J264" s="31">
        <f>_xll.DBRW($C$1,$C$2,$C$3,$C$4,$C$6,$C$5,$C$7,J$1,J$2,$A264)</f>
        <v>0</v>
      </c>
      <c r="K264" s="31">
        <f>_xll.DBRW($C$1,$C$2,$C$3,$C$4,$C$6,$C$5,$C$7,K$1,K$2,$A264)</f>
        <v>0</v>
      </c>
      <c r="L264" s="31">
        <f>_xll.DBRW($C$1,$C$2,$C$3,$C$4,$C$6,$C$5,$C$7,L$1,L$2,$A264)</f>
        <v>0</v>
      </c>
      <c r="M264" s="31">
        <f>_xll.DBRW($C$1,$C$2,$C$3,$C$4,$C$6,$C$5,$C$7,M$1,M$2,$A264)</f>
        <v>0</v>
      </c>
      <c r="N264" s="31">
        <f>_xll.DBRW($C$1,$C$2,$C$3,$C$4,$C$6,$C$5,$C$7,N$1,N$2,$A264)</f>
        <v>0</v>
      </c>
      <c r="O264" s="31">
        <f>_xll.DBRW($C$1,$C$2,$C$3,$C$4,$C$6,$C$5,$C$7,O$1,O$2,$A264)</f>
        <v>0</v>
      </c>
      <c r="P264" s="31">
        <f>_xll.DBRW($C$1,$C$2,$C$3,$C$4,$C$6,$C$5,$C$7,P$1,P$2,$A264)</f>
        <v>0</v>
      </c>
      <c r="Q264" s="31">
        <f>_xll.DBRW($C$1,$C$2,$C$3,$C$4,$C$6,$C$5,$C$7,Q$1,Q$2,$A264)</f>
        <v>0</v>
      </c>
      <c r="R264" s="31">
        <f>_xll.DBRW($C$1,$C$2,$C$3,$C$4,$C$6,$C$5,$C$7,R$1,R$2,$A264)</f>
        <v>0</v>
      </c>
      <c r="S264" s="31">
        <f>_xll.DBRW($C$1,$C$2,$C$3,$C$4,$C$6,$C$5,$C$7,S$1,S$2,$A264)</f>
        <v>0</v>
      </c>
      <c r="T264" s="31">
        <f>_xll.DBRW($C$1,$C$2,$C$3,$C$4,$C$6,$C$5,$C$7,T$1,T$2,$A264)</f>
        <v>0</v>
      </c>
      <c r="U264" s="31">
        <f>_xll.DBRW($C$1,$C$2,$C$3,$C$4,$C$6,$C$5,$C$7,U$1,U$2,$A264)</f>
        <v>0</v>
      </c>
      <c r="V264" s="31">
        <f>_xll.DBRW($C$1,$C$2,$C$3,$C$4,$C$6,$C$5,$C$7,V$1,V$2,$A264)</f>
        <v>0</v>
      </c>
      <c r="W264" s="31">
        <f>_xll.DBRW($C$1,$C$2,$C$3,$C$4,$C$6,$C$5,$C$7,W$1,W$2,$A264)</f>
        <v>0</v>
      </c>
      <c r="X264" s="31">
        <f>_xll.DBRW($C$1,$C$2,$C$3,$C$4,$C$6,$C$5,$C$7,X$1,X$2,$A264)</f>
        <v>0</v>
      </c>
      <c r="Y264" s="31">
        <f>_xll.DBRW($C$1,$C$2,$C$3,$C$4,$C$6,$C$5,$C$7,Y$1,Y$2,$A264)</f>
        <v>0</v>
      </c>
      <c r="Z264" s="31">
        <f>_xll.DBRW($C$1,$C$2,$C$3,$C$4,$C$6,$C$5,$C$7,Z$1,Z$2,$A264)</f>
        <v>0</v>
      </c>
      <c r="AA264" s="31">
        <f>_xll.DBRW($C$1,$C$2,$C$3,$C$4,$C$6,$C$5,$C$7,AA$1,AA$2,$A264)</f>
        <v>0</v>
      </c>
      <c r="AB264" s="31">
        <f>_xll.DBRW($C$1,$C$2,$C$3,$C$4,$C$6,$C$5,$C$7,AB$1,AB$2,$A264)</f>
        <v>0</v>
      </c>
      <c r="AC264" s="31">
        <f>_xll.DBRW($C$1,$C$2,$C$3,$C$4,$C$6,$C$5,$C$7,AC$1,AC$2,$A264)</f>
        <v>0</v>
      </c>
      <c r="AD264" s="31">
        <f>_xll.DBRW($C$1,$C$2,$C$3,$C$4,$C$6,$C$5,$C$7,AD$1,AD$2,$A264)</f>
        <v>0</v>
      </c>
      <c r="AE264" s="31">
        <f>_xll.DBRW($C$1,$C$2,$C$3,$C$4,$C$6,$C$5,$C$7,AE$1,AE$2,$A264)</f>
        <v>0</v>
      </c>
      <c r="AF264" s="31">
        <f>_xll.DBRW($C$1,$C$2,$C$3,$C$4,$C$6,$C$5,$C$7,AF$1,AF$2,$A264)</f>
        <v>0</v>
      </c>
      <c r="AG264" s="31">
        <f>_xll.DBRW($C$1,$C$2,$C$3,$C$4,$C$6,$C$5,$C$7,AG$1,AG$2,$A264)</f>
        <v>0</v>
      </c>
      <c r="AH264" s="31">
        <f>_xll.DBRW($C$1,$C$2,$C$3,$C$4,$C$6,$C$5,$C$7,AH$1,AH$2,$A264)</f>
        <v>0</v>
      </c>
      <c r="AI264" s="31">
        <f>_xll.DBRW($C$1,$C$2,$C$3,$C$4,$C$6,$C$5,$C$7,AI$1,AI$2,$A264)</f>
        <v>0</v>
      </c>
      <c r="AJ264" s="31">
        <f>_xll.DBRW($C$1,$C$2,$C$3,$C$4,$C$6,$C$5,$C$7,AJ$1,AJ$2,$A264)</f>
        <v>0</v>
      </c>
      <c r="AK264" s="31">
        <f>_xll.DBRW($C$1,$C$2,$C$3,$C$4,$C$6,$C$5,$C$7,AK$1,AK$2,$A264)</f>
        <v>0</v>
      </c>
      <c r="AL264" s="31">
        <f>_xll.DBRW($C$1,$C$2,$C$3,$C$4,$C$6,$C$5,$C$7,AL$1,AL$2,$A264)</f>
        <v>0</v>
      </c>
      <c r="AM264" s="31">
        <f>_xll.DBRW($C$1,$C$2,$C$3,$C$4,$C$6,$C$5,$C$7,AM$1,AM$2,$A264)</f>
        <v>0</v>
      </c>
      <c r="AN264" s="31">
        <f>_xll.DBRW($C$1,$C$2,$C$3,$C$4,$C$6,$C$5,$C$7,AN$1,AN$2,$A264)</f>
        <v>0</v>
      </c>
      <c r="AO264" s="31">
        <f>_xll.DBRW($C$1,$C$2,$C$3,$C$4,$C$6,$C$5,$C$7,AO$1,AO$2,$A264)</f>
        <v>0</v>
      </c>
      <c r="AP264" s="31">
        <f>_xll.DBRW($C$1,$C$2,$C$3,$C$4,$C$6,$C$5,$C$7,AP$1,AP$2,$A264)</f>
        <v>0</v>
      </c>
      <c r="AQ264" s="31">
        <f>_xll.DBRW($C$1,$C$2,$C$3,$C$4,$C$6,$C$5,$C$7,AQ$1,AQ$2,$A264)</f>
        <v>0</v>
      </c>
      <c r="AR264" s="31">
        <f>_xll.DBRW($C$1,$C$2,$C$3,$C$4,$C$6,$C$5,$C$7,AR$1,AR$2,$A264)</f>
        <v>0</v>
      </c>
      <c r="AS264" s="31">
        <f>_xll.DBRW($C$1,$C$2,$C$3,$C$4,$C$6,$C$5,$C$7,AS$1,AS$2,$A264)</f>
        <v>0</v>
      </c>
      <c r="AT264" s="31">
        <f>_xll.DBRW($C$1,$C$2,$C$3,$C$4,$C$6,$C$5,$C$7,AT$1,AT$2,$A264)</f>
        <v>0</v>
      </c>
      <c r="AU264" s="31">
        <f>_xll.DBRW($C$1,$C$2,$C$3,$C$4,$C$6,$C$5,$C$7,AU$1,AU$2,$A264)</f>
        <v>0</v>
      </c>
    </row>
    <row r="265" spans="1:47" ht="15.75" hidden="1" customHeight="1" outlineLevel="1">
      <c r="A265" s="1" t="s">
        <v>318</v>
      </c>
      <c r="C265" s="143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  <c r="I265" s="31">
        <f>_xll.DBRW($C$1,$C$2,$C$3,$C$4,$C$6,$C$5,$C$7,I$1,I$2,$A265)</f>
        <v>0</v>
      </c>
      <c r="J265" s="31">
        <f>_xll.DBRW($C$1,$C$2,$C$3,$C$4,$C$6,$C$5,$C$7,J$1,J$2,$A265)</f>
        <v>0</v>
      </c>
      <c r="K265" s="31">
        <f>_xll.DBRW($C$1,$C$2,$C$3,$C$4,$C$6,$C$5,$C$7,K$1,K$2,$A265)</f>
        <v>0</v>
      </c>
      <c r="L265" s="31">
        <f>_xll.DBRW($C$1,$C$2,$C$3,$C$4,$C$6,$C$5,$C$7,L$1,L$2,$A265)</f>
        <v>0</v>
      </c>
      <c r="M265" s="31">
        <f>_xll.DBRW($C$1,$C$2,$C$3,$C$4,$C$6,$C$5,$C$7,M$1,M$2,$A265)</f>
        <v>0</v>
      </c>
      <c r="N265" s="31">
        <f>_xll.DBRW($C$1,$C$2,$C$3,$C$4,$C$6,$C$5,$C$7,N$1,N$2,$A265)</f>
        <v>0</v>
      </c>
      <c r="O265" s="31">
        <f>_xll.DBRW($C$1,$C$2,$C$3,$C$4,$C$6,$C$5,$C$7,O$1,O$2,$A265)</f>
        <v>0</v>
      </c>
      <c r="P265" s="31">
        <f>_xll.DBRW($C$1,$C$2,$C$3,$C$4,$C$6,$C$5,$C$7,P$1,P$2,$A265)</f>
        <v>0</v>
      </c>
      <c r="Q265" s="31">
        <f>_xll.DBRW($C$1,$C$2,$C$3,$C$4,$C$6,$C$5,$C$7,Q$1,Q$2,$A265)</f>
        <v>0</v>
      </c>
      <c r="R265" s="31">
        <f>_xll.DBRW($C$1,$C$2,$C$3,$C$4,$C$6,$C$5,$C$7,R$1,R$2,$A265)</f>
        <v>0</v>
      </c>
      <c r="S265" s="31">
        <f>_xll.DBRW($C$1,$C$2,$C$3,$C$4,$C$6,$C$5,$C$7,S$1,S$2,$A265)</f>
        <v>0</v>
      </c>
      <c r="T265" s="31">
        <f>_xll.DBRW($C$1,$C$2,$C$3,$C$4,$C$6,$C$5,$C$7,T$1,T$2,$A265)</f>
        <v>0</v>
      </c>
      <c r="U265" s="31">
        <f>_xll.DBRW($C$1,$C$2,$C$3,$C$4,$C$6,$C$5,$C$7,U$1,U$2,$A265)</f>
        <v>0</v>
      </c>
      <c r="V265" s="31">
        <f>_xll.DBRW($C$1,$C$2,$C$3,$C$4,$C$6,$C$5,$C$7,V$1,V$2,$A265)</f>
        <v>0</v>
      </c>
      <c r="W265" s="31">
        <f>_xll.DBRW($C$1,$C$2,$C$3,$C$4,$C$6,$C$5,$C$7,W$1,W$2,$A265)</f>
        <v>0</v>
      </c>
      <c r="X265" s="31">
        <f>_xll.DBRW($C$1,$C$2,$C$3,$C$4,$C$6,$C$5,$C$7,X$1,X$2,$A265)</f>
        <v>0</v>
      </c>
      <c r="Y265" s="31">
        <f>_xll.DBRW($C$1,$C$2,$C$3,$C$4,$C$6,$C$5,$C$7,Y$1,Y$2,$A265)</f>
        <v>0</v>
      </c>
      <c r="Z265" s="31">
        <f>_xll.DBRW($C$1,$C$2,$C$3,$C$4,$C$6,$C$5,$C$7,Z$1,Z$2,$A265)</f>
        <v>0</v>
      </c>
      <c r="AA265" s="31">
        <f>_xll.DBRW($C$1,$C$2,$C$3,$C$4,$C$6,$C$5,$C$7,AA$1,AA$2,$A265)</f>
        <v>0</v>
      </c>
      <c r="AB265" s="31">
        <f>_xll.DBRW($C$1,$C$2,$C$3,$C$4,$C$6,$C$5,$C$7,AB$1,AB$2,$A265)</f>
        <v>0</v>
      </c>
      <c r="AC265" s="31">
        <f>_xll.DBRW($C$1,$C$2,$C$3,$C$4,$C$6,$C$5,$C$7,AC$1,AC$2,$A265)</f>
        <v>0</v>
      </c>
      <c r="AD265" s="31">
        <f>_xll.DBRW($C$1,$C$2,$C$3,$C$4,$C$6,$C$5,$C$7,AD$1,AD$2,$A265)</f>
        <v>0</v>
      </c>
      <c r="AE265" s="31">
        <f>_xll.DBRW($C$1,$C$2,$C$3,$C$4,$C$6,$C$5,$C$7,AE$1,AE$2,$A265)</f>
        <v>0</v>
      </c>
      <c r="AF265" s="31">
        <f>_xll.DBRW($C$1,$C$2,$C$3,$C$4,$C$6,$C$5,$C$7,AF$1,AF$2,$A265)</f>
        <v>0</v>
      </c>
      <c r="AG265" s="31">
        <f>_xll.DBRW($C$1,$C$2,$C$3,$C$4,$C$6,$C$5,$C$7,AG$1,AG$2,$A265)</f>
        <v>0</v>
      </c>
      <c r="AH265" s="31">
        <f>_xll.DBRW($C$1,$C$2,$C$3,$C$4,$C$6,$C$5,$C$7,AH$1,AH$2,$A265)</f>
        <v>0</v>
      </c>
      <c r="AI265" s="31">
        <f>_xll.DBRW($C$1,$C$2,$C$3,$C$4,$C$6,$C$5,$C$7,AI$1,AI$2,$A265)</f>
        <v>0</v>
      </c>
      <c r="AJ265" s="31">
        <f>_xll.DBRW($C$1,$C$2,$C$3,$C$4,$C$6,$C$5,$C$7,AJ$1,AJ$2,$A265)</f>
        <v>0</v>
      </c>
      <c r="AK265" s="31">
        <f>_xll.DBRW($C$1,$C$2,$C$3,$C$4,$C$6,$C$5,$C$7,AK$1,AK$2,$A265)</f>
        <v>0</v>
      </c>
      <c r="AL265" s="31">
        <f>_xll.DBRW($C$1,$C$2,$C$3,$C$4,$C$6,$C$5,$C$7,AL$1,AL$2,$A265)</f>
        <v>0</v>
      </c>
      <c r="AM265" s="31">
        <f>_xll.DBRW($C$1,$C$2,$C$3,$C$4,$C$6,$C$5,$C$7,AM$1,AM$2,$A265)</f>
        <v>0</v>
      </c>
      <c r="AN265" s="31">
        <f>_xll.DBRW($C$1,$C$2,$C$3,$C$4,$C$6,$C$5,$C$7,AN$1,AN$2,$A265)</f>
        <v>0</v>
      </c>
      <c r="AO265" s="31">
        <f>_xll.DBRW($C$1,$C$2,$C$3,$C$4,$C$6,$C$5,$C$7,AO$1,AO$2,$A265)</f>
        <v>0</v>
      </c>
      <c r="AP265" s="31">
        <f>_xll.DBRW($C$1,$C$2,$C$3,$C$4,$C$6,$C$5,$C$7,AP$1,AP$2,$A265)</f>
        <v>0</v>
      </c>
      <c r="AQ265" s="31">
        <f>_xll.DBRW($C$1,$C$2,$C$3,$C$4,$C$6,$C$5,$C$7,AQ$1,AQ$2,$A265)</f>
        <v>0</v>
      </c>
      <c r="AR265" s="31">
        <f>_xll.DBRW($C$1,$C$2,$C$3,$C$4,$C$6,$C$5,$C$7,AR$1,AR$2,$A265)</f>
        <v>0</v>
      </c>
      <c r="AS265" s="31">
        <f>_xll.DBRW($C$1,$C$2,$C$3,$C$4,$C$6,$C$5,$C$7,AS$1,AS$2,$A265)</f>
        <v>0</v>
      </c>
      <c r="AT265" s="31">
        <f>_xll.DBRW($C$1,$C$2,$C$3,$C$4,$C$6,$C$5,$C$7,AT$1,AT$2,$A265)</f>
        <v>0</v>
      </c>
      <c r="AU265" s="31">
        <f>_xll.DBRW($C$1,$C$2,$C$3,$C$4,$C$6,$C$5,$C$7,AU$1,AU$2,$A265)</f>
        <v>0</v>
      </c>
    </row>
    <row r="266" spans="1:47" ht="15.75" hidden="1" outlineLevel="1" collapsed="1">
      <c r="A266" s="1" t="s">
        <v>127</v>
      </c>
      <c r="C266" s="143"/>
      <c r="E266" s="120" t="s">
        <v>62</v>
      </c>
      <c r="F266" s="121">
        <f>SUM(F262:F265)</f>
        <v>7358653086.0084629</v>
      </c>
      <c r="G266" s="121">
        <f>SUM(G262:G265)</f>
        <v>39449060787.791496</v>
      </c>
      <c r="H266" s="121">
        <f t="shared" ref="H266:AU266" si="145">SUM(H262:H265)</f>
        <v>17476561846.707901</v>
      </c>
      <c r="I266" s="121">
        <f t="shared" si="145"/>
        <v>0</v>
      </c>
      <c r="J266" s="121">
        <f t="shared" si="145"/>
        <v>-208261070.33000001</v>
      </c>
      <c r="K266" s="121">
        <f t="shared" si="145"/>
        <v>-406871291.67940003</v>
      </c>
      <c r="L266" s="121">
        <f t="shared" si="145"/>
        <v>2873642504.9793</v>
      </c>
      <c r="M266" s="121">
        <f t="shared" si="145"/>
        <v>3791283356.8355999</v>
      </c>
      <c r="N266" s="121">
        <f t="shared" si="145"/>
        <v>4108900503.6029</v>
      </c>
      <c r="O266" s="121">
        <f t="shared" si="145"/>
        <v>4108773103.6029</v>
      </c>
      <c r="P266" s="121">
        <f t="shared" si="145"/>
        <v>-2792294668.7409997</v>
      </c>
      <c r="Q266" s="121">
        <f t="shared" si="145"/>
        <v>-2105985117.3201997</v>
      </c>
      <c r="R266" s="121">
        <f t="shared" si="145"/>
        <v>-2105985117.3201997</v>
      </c>
      <c r="S266" s="121">
        <f t="shared" si="145"/>
        <v>-4686202581.9928999</v>
      </c>
      <c r="T266" s="121">
        <f t="shared" si="145"/>
        <v>-3446636785.0311995</v>
      </c>
      <c r="U266" s="121">
        <f t="shared" si="145"/>
        <v>-3446636785.0311995</v>
      </c>
      <c r="V266" s="121">
        <f t="shared" si="145"/>
        <v>0</v>
      </c>
      <c r="W266" s="121">
        <f t="shared" si="145"/>
        <v>0</v>
      </c>
      <c r="X266" s="121">
        <f t="shared" si="145"/>
        <v>0</v>
      </c>
      <c r="Y266" s="121">
        <f t="shared" si="145"/>
        <v>0</v>
      </c>
      <c r="Z266" s="121">
        <f t="shared" si="145"/>
        <v>0</v>
      </c>
      <c r="AA266" s="121">
        <f t="shared" si="145"/>
        <v>0</v>
      </c>
      <c r="AB266" s="121">
        <f t="shared" si="145"/>
        <v>0</v>
      </c>
      <c r="AC266" s="121">
        <f t="shared" si="145"/>
        <v>0</v>
      </c>
      <c r="AD266" s="121">
        <f t="shared" si="145"/>
        <v>0</v>
      </c>
      <c r="AE266" s="121">
        <f t="shared" si="145"/>
        <v>0</v>
      </c>
      <c r="AF266" s="121">
        <f t="shared" si="145"/>
        <v>0</v>
      </c>
      <c r="AG266" s="121">
        <f t="shared" si="145"/>
        <v>0</v>
      </c>
      <c r="AH266" s="121">
        <f t="shared" si="145"/>
        <v>0</v>
      </c>
      <c r="AI266" s="121">
        <f t="shared" si="145"/>
        <v>0</v>
      </c>
      <c r="AJ266" s="121">
        <f t="shared" si="145"/>
        <v>0</v>
      </c>
      <c r="AK266" s="121">
        <f t="shared" si="145"/>
        <v>0</v>
      </c>
      <c r="AL266" s="121">
        <f t="shared" si="145"/>
        <v>0</v>
      </c>
      <c r="AM266" s="121">
        <f t="shared" si="145"/>
        <v>0</v>
      </c>
      <c r="AN266" s="121">
        <f t="shared" si="145"/>
        <v>0</v>
      </c>
      <c r="AO266" s="121">
        <f t="shared" si="145"/>
        <v>0</v>
      </c>
      <c r="AP266" s="121">
        <f t="shared" si="145"/>
        <v>0</v>
      </c>
      <c r="AQ266" s="121">
        <f t="shared" si="145"/>
        <v>0</v>
      </c>
      <c r="AR266" s="121">
        <f t="shared" si="145"/>
        <v>0</v>
      </c>
      <c r="AS266" s="121">
        <f t="shared" si="145"/>
        <v>0</v>
      </c>
      <c r="AT266" s="121">
        <f t="shared" si="145"/>
        <v>0</v>
      </c>
      <c r="AU266" s="121">
        <f t="shared" si="145"/>
        <v>0</v>
      </c>
    </row>
    <row r="267" spans="1:47" ht="15.75" hidden="1" customHeight="1" outlineLevel="2">
      <c r="A267" s="1" t="s">
        <v>319</v>
      </c>
      <c r="C267" s="143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-483069564.18349427</v>
      </c>
      <c r="G267" s="31">
        <f>_xll.DBRW($C$1,$C$2,$C$3,$C$4,$C$6,$C$5,$C$7,G$1,G$2,$A267)</f>
        <v>-19981265502.262299</v>
      </c>
      <c r="H267" s="31">
        <f>_xll.DBRW($C$1,$C$2,$C$3,$C$4,$C$6,$C$5,$C$7,H$1,H$2,$A267)</f>
        <v>-4647799095.934</v>
      </c>
      <c r="I267" s="31">
        <f>_xll.DBRW($C$1,$C$2,$C$3,$C$4,$C$6,$C$5,$C$7,I$1,I$2,$A267)</f>
        <v>-6480.3789999998835</v>
      </c>
      <c r="J267" s="31">
        <f>_xll.DBRW($C$1,$C$2,$C$3,$C$4,$C$6,$C$5,$C$7,J$1,J$2,$A267)</f>
        <v>-6480.3789999998835</v>
      </c>
      <c r="K267" s="31">
        <f>_xll.DBRW($C$1,$C$2,$C$3,$C$4,$C$6,$C$5,$C$7,K$1,K$2,$A267)</f>
        <v>-6480.3789999998835</v>
      </c>
      <c r="L267" s="31">
        <f>_xll.DBRW($C$1,$C$2,$C$3,$C$4,$C$6,$C$5,$C$7,L$1,L$2,$A267)</f>
        <v>-6480.3789999998835</v>
      </c>
      <c r="M267" s="31">
        <f>_xll.DBRW($C$1,$C$2,$C$3,$C$4,$C$6,$C$5,$C$7,M$1,M$2,$A267)</f>
        <v>-6480.3789999998835</v>
      </c>
      <c r="N267" s="31">
        <f>_xll.DBRW($C$1,$C$2,$C$3,$C$4,$C$6,$C$5,$C$7,N$1,N$2,$A267)</f>
        <v>-6480.3789999998835</v>
      </c>
      <c r="O267" s="31">
        <f>_xll.DBRW($C$1,$C$2,$C$3,$C$4,$C$6,$C$5,$C$7,O$1,O$2,$A267)</f>
        <v>-1065396025.8249999</v>
      </c>
      <c r="P267" s="31">
        <f>_xll.DBRW($C$1,$C$2,$C$3,$C$4,$C$6,$C$5,$C$7,P$1,P$2,$A267)</f>
        <v>-1065396025.8249999</v>
      </c>
      <c r="Q267" s="31">
        <f>_xll.DBRW($C$1,$C$2,$C$3,$C$4,$C$6,$C$5,$C$7,Q$1,Q$2,$A267)</f>
        <v>-1065396025.8249999</v>
      </c>
      <c r="R267" s="31">
        <f>_xll.DBRW($C$1,$C$2,$C$3,$C$4,$C$6,$C$5,$C$7,R$1,R$2,$A267)</f>
        <v>-1671173886.4660001</v>
      </c>
      <c r="S267" s="31">
        <f>_xll.DBRW($C$1,$C$2,$C$3,$C$4,$C$6,$C$5,$C$7,S$1,S$2,$A267)</f>
        <v>-1671173886.4660001</v>
      </c>
      <c r="T267" s="31">
        <f>_xll.DBRW($C$1,$C$2,$C$3,$C$4,$C$6,$C$5,$C$7,T$1,T$2,$A267)</f>
        <v>-1671173886.4660001</v>
      </c>
      <c r="U267" s="31">
        <f>_xll.DBRW($C$1,$C$2,$C$3,$C$4,$C$6,$C$5,$C$7,U$1,U$2,$A267)</f>
        <v>-1671173886.4660001</v>
      </c>
      <c r="V267" s="31">
        <f>_xll.DBRW($C$1,$C$2,$C$3,$C$4,$C$6,$C$5,$C$7,V$1,V$2,$A267)</f>
        <v>0</v>
      </c>
      <c r="W267" s="31">
        <f>_xll.DBRW($C$1,$C$2,$C$3,$C$4,$C$6,$C$5,$C$7,W$1,W$2,$A267)</f>
        <v>0</v>
      </c>
      <c r="X267" s="31">
        <f>_xll.DBRW($C$1,$C$2,$C$3,$C$4,$C$6,$C$5,$C$7,X$1,X$2,$A267)</f>
        <v>0</v>
      </c>
      <c r="Y267" s="31">
        <f>_xll.DBRW($C$1,$C$2,$C$3,$C$4,$C$6,$C$5,$C$7,Y$1,Y$2,$A267)</f>
        <v>0</v>
      </c>
      <c r="Z267" s="31">
        <f>_xll.DBRW($C$1,$C$2,$C$3,$C$4,$C$6,$C$5,$C$7,Z$1,Z$2,$A267)</f>
        <v>0</v>
      </c>
      <c r="AA267" s="31">
        <f>_xll.DBRW($C$1,$C$2,$C$3,$C$4,$C$6,$C$5,$C$7,AA$1,AA$2,$A267)</f>
        <v>0</v>
      </c>
      <c r="AB267" s="31">
        <f>_xll.DBRW($C$1,$C$2,$C$3,$C$4,$C$6,$C$5,$C$7,AB$1,AB$2,$A267)</f>
        <v>0</v>
      </c>
      <c r="AC267" s="31">
        <f>_xll.DBRW($C$1,$C$2,$C$3,$C$4,$C$6,$C$5,$C$7,AC$1,AC$2,$A267)</f>
        <v>0</v>
      </c>
      <c r="AD267" s="31">
        <f>_xll.DBRW($C$1,$C$2,$C$3,$C$4,$C$6,$C$5,$C$7,AD$1,AD$2,$A267)</f>
        <v>0</v>
      </c>
      <c r="AE267" s="31">
        <f>_xll.DBRW($C$1,$C$2,$C$3,$C$4,$C$6,$C$5,$C$7,AE$1,AE$2,$A267)</f>
        <v>0</v>
      </c>
      <c r="AF267" s="31">
        <f>_xll.DBRW($C$1,$C$2,$C$3,$C$4,$C$6,$C$5,$C$7,AF$1,AF$2,$A267)</f>
        <v>0</v>
      </c>
      <c r="AG267" s="31">
        <f>_xll.DBRW($C$1,$C$2,$C$3,$C$4,$C$6,$C$5,$C$7,AG$1,AG$2,$A267)</f>
        <v>0</v>
      </c>
      <c r="AH267" s="31">
        <f>_xll.DBRW($C$1,$C$2,$C$3,$C$4,$C$6,$C$5,$C$7,AH$1,AH$2,$A267)</f>
        <v>0</v>
      </c>
      <c r="AI267" s="31">
        <f>_xll.DBRW($C$1,$C$2,$C$3,$C$4,$C$6,$C$5,$C$7,AI$1,AI$2,$A267)</f>
        <v>0</v>
      </c>
      <c r="AJ267" s="31">
        <f>_xll.DBRW($C$1,$C$2,$C$3,$C$4,$C$6,$C$5,$C$7,AJ$1,AJ$2,$A267)</f>
        <v>0</v>
      </c>
      <c r="AK267" s="31">
        <f>_xll.DBRW($C$1,$C$2,$C$3,$C$4,$C$6,$C$5,$C$7,AK$1,AK$2,$A267)</f>
        <v>0</v>
      </c>
      <c r="AL267" s="31">
        <f>_xll.DBRW($C$1,$C$2,$C$3,$C$4,$C$6,$C$5,$C$7,AL$1,AL$2,$A267)</f>
        <v>0</v>
      </c>
      <c r="AM267" s="31">
        <f>_xll.DBRW($C$1,$C$2,$C$3,$C$4,$C$6,$C$5,$C$7,AM$1,AM$2,$A267)</f>
        <v>0</v>
      </c>
      <c r="AN267" s="31">
        <f>_xll.DBRW($C$1,$C$2,$C$3,$C$4,$C$6,$C$5,$C$7,AN$1,AN$2,$A267)</f>
        <v>0</v>
      </c>
      <c r="AO267" s="31">
        <f>_xll.DBRW($C$1,$C$2,$C$3,$C$4,$C$6,$C$5,$C$7,AO$1,AO$2,$A267)</f>
        <v>0</v>
      </c>
      <c r="AP267" s="31">
        <f>_xll.DBRW($C$1,$C$2,$C$3,$C$4,$C$6,$C$5,$C$7,AP$1,AP$2,$A267)</f>
        <v>0</v>
      </c>
      <c r="AQ267" s="31">
        <f>_xll.DBRW($C$1,$C$2,$C$3,$C$4,$C$6,$C$5,$C$7,AQ$1,AQ$2,$A267)</f>
        <v>0</v>
      </c>
      <c r="AR267" s="31">
        <f>_xll.DBRW($C$1,$C$2,$C$3,$C$4,$C$6,$C$5,$C$7,AR$1,AR$2,$A267)</f>
        <v>0</v>
      </c>
      <c r="AS267" s="31">
        <f>_xll.DBRW($C$1,$C$2,$C$3,$C$4,$C$6,$C$5,$C$7,AS$1,AS$2,$A267)</f>
        <v>0</v>
      </c>
      <c r="AT267" s="31">
        <f>_xll.DBRW($C$1,$C$2,$C$3,$C$4,$C$6,$C$5,$C$7,AT$1,AT$2,$A267)</f>
        <v>0</v>
      </c>
      <c r="AU267" s="31">
        <f>_xll.DBRW($C$1,$C$2,$C$3,$C$4,$C$6,$C$5,$C$7,AU$1,AU$2,$A267)</f>
        <v>0</v>
      </c>
    </row>
    <row r="268" spans="1:47" ht="15.75" hidden="1" customHeight="1" outlineLevel="2">
      <c r="A268" s="1" t="s">
        <v>320</v>
      </c>
      <c r="C268" s="143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  <c r="I268" s="31">
        <f>_xll.DBRW($C$1,$C$2,$C$3,$C$4,$C$6,$C$5,$C$7,I$1,I$2,$A268)</f>
        <v>0</v>
      </c>
      <c r="J268" s="31">
        <f>_xll.DBRW($C$1,$C$2,$C$3,$C$4,$C$6,$C$5,$C$7,J$1,J$2,$A268)</f>
        <v>0</v>
      </c>
      <c r="K268" s="31">
        <f>_xll.DBRW($C$1,$C$2,$C$3,$C$4,$C$6,$C$5,$C$7,K$1,K$2,$A268)</f>
        <v>0</v>
      </c>
      <c r="L268" s="31">
        <f>_xll.DBRW($C$1,$C$2,$C$3,$C$4,$C$6,$C$5,$C$7,L$1,L$2,$A268)</f>
        <v>0</v>
      </c>
      <c r="M268" s="31">
        <f>_xll.DBRW($C$1,$C$2,$C$3,$C$4,$C$6,$C$5,$C$7,M$1,M$2,$A268)</f>
        <v>0</v>
      </c>
      <c r="N268" s="31">
        <f>_xll.DBRW($C$1,$C$2,$C$3,$C$4,$C$6,$C$5,$C$7,N$1,N$2,$A268)</f>
        <v>0</v>
      </c>
      <c r="O268" s="31">
        <f>_xll.DBRW($C$1,$C$2,$C$3,$C$4,$C$6,$C$5,$C$7,O$1,O$2,$A268)</f>
        <v>0</v>
      </c>
      <c r="P268" s="31">
        <f>_xll.DBRW($C$1,$C$2,$C$3,$C$4,$C$6,$C$5,$C$7,P$1,P$2,$A268)</f>
        <v>0</v>
      </c>
      <c r="Q268" s="31">
        <f>_xll.DBRW($C$1,$C$2,$C$3,$C$4,$C$6,$C$5,$C$7,Q$1,Q$2,$A268)</f>
        <v>0</v>
      </c>
      <c r="R268" s="31">
        <f>_xll.DBRW($C$1,$C$2,$C$3,$C$4,$C$6,$C$5,$C$7,R$1,R$2,$A268)</f>
        <v>0</v>
      </c>
      <c r="S268" s="31">
        <f>_xll.DBRW($C$1,$C$2,$C$3,$C$4,$C$6,$C$5,$C$7,S$1,S$2,$A268)</f>
        <v>0</v>
      </c>
      <c r="T268" s="31">
        <f>_xll.DBRW($C$1,$C$2,$C$3,$C$4,$C$6,$C$5,$C$7,T$1,T$2,$A268)</f>
        <v>0</v>
      </c>
      <c r="U268" s="31">
        <f>_xll.DBRW($C$1,$C$2,$C$3,$C$4,$C$6,$C$5,$C$7,U$1,U$2,$A268)</f>
        <v>0</v>
      </c>
      <c r="V268" s="31">
        <f>_xll.DBRW($C$1,$C$2,$C$3,$C$4,$C$6,$C$5,$C$7,V$1,V$2,$A268)</f>
        <v>0</v>
      </c>
      <c r="W268" s="31">
        <f>_xll.DBRW($C$1,$C$2,$C$3,$C$4,$C$6,$C$5,$C$7,W$1,W$2,$A268)</f>
        <v>0</v>
      </c>
      <c r="X268" s="31">
        <f>_xll.DBRW($C$1,$C$2,$C$3,$C$4,$C$6,$C$5,$C$7,X$1,X$2,$A268)</f>
        <v>0</v>
      </c>
      <c r="Y268" s="31">
        <f>_xll.DBRW($C$1,$C$2,$C$3,$C$4,$C$6,$C$5,$C$7,Y$1,Y$2,$A268)</f>
        <v>0</v>
      </c>
      <c r="Z268" s="31">
        <f>_xll.DBRW($C$1,$C$2,$C$3,$C$4,$C$6,$C$5,$C$7,Z$1,Z$2,$A268)</f>
        <v>0</v>
      </c>
      <c r="AA268" s="31">
        <f>_xll.DBRW($C$1,$C$2,$C$3,$C$4,$C$6,$C$5,$C$7,AA$1,AA$2,$A268)</f>
        <v>0</v>
      </c>
      <c r="AB268" s="31">
        <f>_xll.DBRW($C$1,$C$2,$C$3,$C$4,$C$6,$C$5,$C$7,AB$1,AB$2,$A268)</f>
        <v>0</v>
      </c>
      <c r="AC268" s="31">
        <f>_xll.DBRW($C$1,$C$2,$C$3,$C$4,$C$6,$C$5,$C$7,AC$1,AC$2,$A268)</f>
        <v>0</v>
      </c>
      <c r="AD268" s="31">
        <f>_xll.DBRW($C$1,$C$2,$C$3,$C$4,$C$6,$C$5,$C$7,AD$1,AD$2,$A268)</f>
        <v>0</v>
      </c>
      <c r="AE268" s="31">
        <f>_xll.DBRW($C$1,$C$2,$C$3,$C$4,$C$6,$C$5,$C$7,AE$1,AE$2,$A268)</f>
        <v>0</v>
      </c>
      <c r="AF268" s="31">
        <f>_xll.DBRW($C$1,$C$2,$C$3,$C$4,$C$6,$C$5,$C$7,AF$1,AF$2,$A268)</f>
        <v>0</v>
      </c>
      <c r="AG268" s="31">
        <f>_xll.DBRW($C$1,$C$2,$C$3,$C$4,$C$6,$C$5,$C$7,AG$1,AG$2,$A268)</f>
        <v>0</v>
      </c>
      <c r="AH268" s="31">
        <f>_xll.DBRW($C$1,$C$2,$C$3,$C$4,$C$6,$C$5,$C$7,AH$1,AH$2,$A268)</f>
        <v>0</v>
      </c>
      <c r="AI268" s="31">
        <f>_xll.DBRW($C$1,$C$2,$C$3,$C$4,$C$6,$C$5,$C$7,AI$1,AI$2,$A268)</f>
        <v>0</v>
      </c>
      <c r="AJ268" s="31">
        <f>_xll.DBRW($C$1,$C$2,$C$3,$C$4,$C$6,$C$5,$C$7,AJ$1,AJ$2,$A268)</f>
        <v>0</v>
      </c>
      <c r="AK268" s="31">
        <f>_xll.DBRW($C$1,$C$2,$C$3,$C$4,$C$6,$C$5,$C$7,AK$1,AK$2,$A268)</f>
        <v>0</v>
      </c>
      <c r="AL268" s="31">
        <f>_xll.DBRW($C$1,$C$2,$C$3,$C$4,$C$6,$C$5,$C$7,AL$1,AL$2,$A268)</f>
        <v>0</v>
      </c>
      <c r="AM268" s="31">
        <f>_xll.DBRW($C$1,$C$2,$C$3,$C$4,$C$6,$C$5,$C$7,AM$1,AM$2,$A268)</f>
        <v>0</v>
      </c>
      <c r="AN268" s="31">
        <f>_xll.DBRW($C$1,$C$2,$C$3,$C$4,$C$6,$C$5,$C$7,AN$1,AN$2,$A268)</f>
        <v>0</v>
      </c>
      <c r="AO268" s="31">
        <f>_xll.DBRW($C$1,$C$2,$C$3,$C$4,$C$6,$C$5,$C$7,AO$1,AO$2,$A268)</f>
        <v>0</v>
      </c>
      <c r="AP268" s="31">
        <f>_xll.DBRW($C$1,$C$2,$C$3,$C$4,$C$6,$C$5,$C$7,AP$1,AP$2,$A268)</f>
        <v>0</v>
      </c>
      <c r="AQ268" s="31">
        <f>_xll.DBRW($C$1,$C$2,$C$3,$C$4,$C$6,$C$5,$C$7,AQ$1,AQ$2,$A268)</f>
        <v>0</v>
      </c>
      <c r="AR268" s="31">
        <f>_xll.DBRW($C$1,$C$2,$C$3,$C$4,$C$6,$C$5,$C$7,AR$1,AR$2,$A268)</f>
        <v>0</v>
      </c>
      <c r="AS268" s="31">
        <f>_xll.DBRW($C$1,$C$2,$C$3,$C$4,$C$6,$C$5,$C$7,AS$1,AS$2,$A268)</f>
        <v>0</v>
      </c>
      <c r="AT268" s="31">
        <f>_xll.DBRW($C$1,$C$2,$C$3,$C$4,$C$6,$C$5,$C$7,AT$1,AT$2,$A268)</f>
        <v>0</v>
      </c>
      <c r="AU268" s="31">
        <f>_xll.DBRW($C$1,$C$2,$C$3,$C$4,$C$6,$C$5,$C$7,AU$1,AU$2,$A268)</f>
        <v>0</v>
      </c>
    </row>
    <row r="269" spans="1:47" ht="15.75" hidden="1" customHeight="1" outlineLevel="2">
      <c r="A269" s="1" t="s">
        <v>321</v>
      </c>
      <c r="C269" s="143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  <c r="I269" s="31">
        <f>_xll.DBRW($C$1,$C$2,$C$3,$C$4,$C$6,$C$5,$C$7,I$1,I$2,$A269)</f>
        <v>0</v>
      </c>
      <c r="J269" s="31">
        <f>_xll.DBRW($C$1,$C$2,$C$3,$C$4,$C$6,$C$5,$C$7,J$1,J$2,$A269)</f>
        <v>0</v>
      </c>
      <c r="K269" s="31">
        <f>_xll.DBRW($C$1,$C$2,$C$3,$C$4,$C$6,$C$5,$C$7,K$1,K$2,$A269)</f>
        <v>0</v>
      </c>
      <c r="L269" s="31">
        <f>_xll.DBRW($C$1,$C$2,$C$3,$C$4,$C$6,$C$5,$C$7,L$1,L$2,$A269)</f>
        <v>0</v>
      </c>
      <c r="M269" s="31">
        <f>_xll.DBRW($C$1,$C$2,$C$3,$C$4,$C$6,$C$5,$C$7,M$1,M$2,$A269)</f>
        <v>0</v>
      </c>
      <c r="N269" s="31">
        <f>_xll.DBRW($C$1,$C$2,$C$3,$C$4,$C$6,$C$5,$C$7,N$1,N$2,$A269)</f>
        <v>0</v>
      </c>
      <c r="O269" s="31">
        <f>_xll.DBRW($C$1,$C$2,$C$3,$C$4,$C$6,$C$5,$C$7,O$1,O$2,$A269)</f>
        <v>0</v>
      </c>
      <c r="P269" s="31">
        <f>_xll.DBRW($C$1,$C$2,$C$3,$C$4,$C$6,$C$5,$C$7,P$1,P$2,$A269)</f>
        <v>0</v>
      </c>
      <c r="Q269" s="31">
        <f>_xll.DBRW($C$1,$C$2,$C$3,$C$4,$C$6,$C$5,$C$7,Q$1,Q$2,$A269)</f>
        <v>0</v>
      </c>
      <c r="R269" s="31">
        <f>_xll.DBRW($C$1,$C$2,$C$3,$C$4,$C$6,$C$5,$C$7,R$1,R$2,$A269)</f>
        <v>0</v>
      </c>
      <c r="S269" s="31">
        <f>_xll.DBRW($C$1,$C$2,$C$3,$C$4,$C$6,$C$5,$C$7,S$1,S$2,$A269)</f>
        <v>0</v>
      </c>
      <c r="T269" s="31">
        <f>_xll.DBRW($C$1,$C$2,$C$3,$C$4,$C$6,$C$5,$C$7,T$1,T$2,$A269)</f>
        <v>0</v>
      </c>
      <c r="U269" s="31">
        <f>_xll.DBRW($C$1,$C$2,$C$3,$C$4,$C$6,$C$5,$C$7,U$1,U$2,$A269)</f>
        <v>0</v>
      </c>
      <c r="V269" s="31">
        <f>_xll.DBRW($C$1,$C$2,$C$3,$C$4,$C$6,$C$5,$C$7,V$1,V$2,$A269)</f>
        <v>0</v>
      </c>
      <c r="W269" s="31">
        <f>_xll.DBRW($C$1,$C$2,$C$3,$C$4,$C$6,$C$5,$C$7,W$1,W$2,$A269)</f>
        <v>0</v>
      </c>
      <c r="X269" s="31">
        <f>_xll.DBRW($C$1,$C$2,$C$3,$C$4,$C$6,$C$5,$C$7,X$1,X$2,$A269)</f>
        <v>0</v>
      </c>
      <c r="Y269" s="31">
        <f>_xll.DBRW($C$1,$C$2,$C$3,$C$4,$C$6,$C$5,$C$7,Y$1,Y$2,$A269)</f>
        <v>0</v>
      </c>
      <c r="Z269" s="31">
        <f>_xll.DBRW($C$1,$C$2,$C$3,$C$4,$C$6,$C$5,$C$7,Z$1,Z$2,$A269)</f>
        <v>0</v>
      </c>
      <c r="AA269" s="31">
        <f>_xll.DBRW($C$1,$C$2,$C$3,$C$4,$C$6,$C$5,$C$7,AA$1,AA$2,$A269)</f>
        <v>0</v>
      </c>
      <c r="AB269" s="31">
        <f>_xll.DBRW($C$1,$C$2,$C$3,$C$4,$C$6,$C$5,$C$7,AB$1,AB$2,$A269)</f>
        <v>0</v>
      </c>
      <c r="AC269" s="31">
        <f>_xll.DBRW($C$1,$C$2,$C$3,$C$4,$C$6,$C$5,$C$7,AC$1,AC$2,$A269)</f>
        <v>0</v>
      </c>
      <c r="AD269" s="31">
        <f>_xll.DBRW($C$1,$C$2,$C$3,$C$4,$C$6,$C$5,$C$7,AD$1,AD$2,$A269)</f>
        <v>0</v>
      </c>
      <c r="AE269" s="31">
        <f>_xll.DBRW($C$1,$C$2,$C$3,$C$4,$C$6,$C$5,$C$7,AE$1,AE$2,$A269)</f>
        <v>0</v>
      </c>
      <c r="AF269" s="31">
        <f>_xll.DBRW($C$1,$C$2,$C$3,$C$4,$C$6,$C$5,$C$7,AF$1,AF$2,$A269)</f>
        <v>0</v>
      </c>
      <c r="AG269" s="31">
        <f>_xll.DBRW($C$1,$C$2,$C$3,$C$4,$C$6,$C$5,$C$7,AG$1,AG$2,$A269)</f>
        <v>0</v>
      </c>
      <c r="AH269" s="31">
        <f>_xll.DBRW($C$1,$C$2,$C$3,$C$4,$C$6,$C$5,$C$7,AH$1,AH$2,$A269)</f>
        <v>0</v>
      </c>
      <c r="AI269" s="31">
        <f>_xll.DBRW($C$1,$C$2,$C$3,$C$4,$C$6,$C$5,$C$7,AI$1,AI$2,$A269)</f>
        <v>0</v>
      </c>
      <c r="AJ269" s="31">
        <f>_xll.DBRW($C$1,$C$2,$C$3,$C$4,$C$6,$C$5,$C$7,AJ$1,AJ$2,$A269)</f>
        <v>0</v>
      </c>
      <c r="AK269" s="31">
        <f>_xll.DBRW($C$1,$C$2,$C$3,$C$4,$C$6,$C$5,$C$7,AK$1,AK$2,$A269)</f>
        <v>0</v>
      </c>
      <c r="AL269" s="31">
        <f>_xll.DBRW($C$1,$C$2,$C$3,$C$4,$C$6,$C$5,$C$7,AL$1,AL$2,$A269)</f>
        <v>0</v>
      </c>
      <c r="AM269" s="31">
        <f>_xll.DBRW($C$1,$C$2,$C$3,$C$4,$C$6,$C$5,$C$7,AM$1,AM$2,$A269)</f>
        <v>0</v>
      </c>
      <c r="AN269" s="31">
        <f>_xll.DBRW($C$1,$C$2,$C$3,$C$4,$C$6,$C$5,$C$7,AN$1,AN$2,$A269)</f>
        <v>0</v>
      </c>
      <c r="AO269" s="31">
        <f>_xll.DBRW($C$1,$C$2,$C$3,$C$4,$C$6,$C$5,$C$7,AO$1,AO$2,$A269)</f>
        <v>0</v>
      </c>
      <c r="AP269" s="31">
        <f>_xll.DBRW($C$1,$C$2,$C$3,$C$4,$C$6,$C$5,$C$7,AP$1,AP$2,$A269)</f>
        <v>0</v>
      </c>
      <c r="AQ269" s="31">
        <f>_xll.DBRW($C$1,$C$2,$C$3,$C$4,$C$6,$C$5,$C$7,AQ$1,AQ$2,$A269)</f>
        <v>0</v>
      </c>
      <c r="AR269" s="31">
        <f>_xll.DBRW($C$1,$C$2,$C$3,$C$4,$C$6,$C$5,$C$7,AR$1,AR$2,$A269)</f>
        <v>0</v>
      </c>
      <c r="AS269" s="31">
        <f>_xll.DBRW($C$1,$C$2,$C$3,$C$4,$C$6,$C$5,$C$7,AS$1,AS$2,$A269)</f>
        <v>0</v>
      </c>
      <c r="AT269" s="31">
        <f>_xll.DBRW($C$1,$C$2,$C$3,$C$4,$C$6,$C$5,$C$7,AT$1,AT$2,$A269)</f>
        <v>0</v>
      </c>
      <c r="AU269" s="31">
        <f>_xll.DBRW($C$1,$C$2,$C$3,$C$4,$C$6,$C$5,$C$7,AU$1,AU$2,$A269)</f>
        <v>0</v>
      </c>
    </row>
    <row r="270" spans="1:47" ht="15.75" hidden="1" customHeight="1" outlineLevel="2">
      <c r="A270" s="1" t="s">
        <v>322</v>
      </c>
      <c r="C270" s="143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  <c r="I270" s="31">
        <f>_xll.DBRW($C$1,$C$2,$C$3,$C$4,$C$6,$C$5,$C$7,I$1,I$2,$A270)</f>
        <v>0</v>
      </c>
      <c r="J270" s="31">
        <f>_xll.DBRW($C$1,$C$2,$C$3,$C$4,$C$6,$C$5,$C$7,J$1,J$2,$A270)</f>
        <v>0</v>
      </c>
      <c r="K270" s="31">
        <f>_xll.DBRW($C$1,$C$2,$C$3,$C$4,$C$6,$C$5,$C$7,K$1,K$2,$A270)</f>
        <v>0</v>
      </c>
      <c r="L270" s="31">
        <f>_xll.DBRW($C$1,$C$2,$C$3,$C$4,$C$6,$C$5,$C$7,L$1,L$2,$A270)</f>
        <v>0</v>
      </c>
      <c r="M270" s="31">
        <f>_xll.DBRW($C$1,$C$2,$C$3,$C$4,$C$6,$C$5,$C$7,M$1,M$2,$A270)</f>
        <v>0</v>
      </c>
      <c r="N270" s="31">
        <f>_xll.DBRW($C$1,$C$2,$C$3,$C$4,$C$6,$C$5,$C$7,N$1,N$2,$A270)</f>
        <v>0</v>
      </c>
      <c r="O270" s="31">
        <f>_xll.DBRW($C$1,$C$2,$C$3,$C$4,$C$6,$C$5,$C$7,O$1,O$2,$A270)</f>
        <v>0</v>
      </c>
      <c r="P270" s="31">
        <f>_xll.DBRW($C$1,$C$2,$C$3,$C$4,$C$6,$C$5,$C$7,P$1,P$2,$A270)</f>
        <v>0</v>
      </c>
      <c r="Q270" s="31">
        <f>_xll.DBRW($C$1,$C$2,$C$3,$C$4,$C$6,$C$5,$C$7,Q$1,Q$2,$A270)</f>
        <v>0</v>
      </c>
      <c r="R270" s="31">
        <f>_xll.DBRW($C$1,$C$2,$C$3,$C$4,$C$6,$C$5,$C$7,R$1,R$2,$A270)</f>
        <v>0</v>
      </c>
      <c r="S270" s="31">
        <f>_xll.DBRW($C$1,$C$2,$C$3,$C$4,$C$6,$C$5,$C$7,S$1,S$2,$A270)</f>
        <v>0</v>
      </c>
      <c r="T270" s="31">
        <f>_xll.DBRW($C$1,$C$2,$C$3,$C$4,$C$6,$C$5,$C$7,T$1,T$2,$A270)</f>
        <v>0</v>
      </c>
      <c r="U270" s="31">
        <f>_xll.DBRW($C$1,$C$2,$C$3,$C$4,$C$6,$C$5,$C$7,U$1,U$2,$A270)</f>
        <v>0</v>
      </c>
      <c r="V270" s="31">
        <f>_xll.DBRW($C$1,$C$2,$C$3,$C$4,$C$6,$C$5,$C$7,V$1,V$2,$A270)</f>
        <v>0</v>
      </c>
      <c r="W270" s="31">
        <f>_xll.DBRW($C$1,$C$2,$C$3,$C$4,$C$6,$C$5,$C$7,W$1,W$2,$A270)</f>
        <v>0</v>
      </c>
      <c r="X270" s="31">
        <f>_xll.DBRW($C$1,$C$2,$C$3,$C$4,$C$6,$C$5,$C$7,X$1,X$2,$A270)</f>
        <v>0</v>
      </c>
      <c r="Y270" s="31">
        <f>_xll.DBRW($C$1,$C$2,$C$3,$C$4,$C$6,$C$5,$C$7,Y$1,Y$2,$A270)</f>
        <v>0</v>
      </c>
      <c r="Z270" s="31">
        <f>_xll.DBRW($C$1,$C$2,$C$3,$C$4,$C$6,$C$5,$C$7,Z$1,Z$2,$A270)</f>
        <v>0</v>
      </c>
      <c r="AA270" s="31">
        <f>_xll.DBRW($C$1,$C$2,$C$3,$C$4,$C$6,$C$5,$C$7,AA$1,AA$2,$A270)</f>
        <v>0</v>
      </c>
      <c r="AB270" s="31">
        <f>_xll.DBRW($C$1,$C$2,$C$3,$C$4,$C$6,$C$5,$C$7,AB$1,AB$2,$A270)</f>
        <v>0</v>
      </c>
      <c r="AC270" s="31">
        <f>_xll.DBRW($C$1,$C$2,$C$3,$C$4,$C$6,$C$5,$C$7,AC$1,AC$2,$A270)</f>
        <v>0</v>
      </c>
      <c r="AD270" s="31">
        <f>_xll.DBRW($C$1,$C$2,$C$3,$C$4,$C$6,$C$5,$C$7,AD$1,AD$2,$A270)</f>
        <v>0</v>
      </c>
      <c r="AE270" s="31">
        <f>_xll.DBRW($C$1,$C$2,$C$3,$C$4,$C$6,$C$5,$C$7,AE$1,AE$2,$A270)</f>
        <v>0</v>
      </c>
      <c r="AF270" s="31">
        <f>_xll.DBRW($C$1,$C$2,$C$3,$C$4,$C$6,$C$5,$C$7,AF$1,AF$2,$A270)</f>
        <v>0</v>
      </c>
      <c r="AG270" s="31">
        <f>_xll.DBRW($C$1,$C$2,$C$3,$C$4,$C$6,$C$5,$C$7,AG$1,AG$2,$A270)</f>
        <v>0</v>
      </c>
      <c r="AH270" s="31">
        <f>_xll.DBRW($C$1,$C$2,$C$3,$C$4,$C$6,$C$5,$C$7,AH$1,AH$2,$A270)</f>
        <v>0</v>
      </c>
      <c r="AI270" s="31">
        <f>_xll.DBRW($C$1,$C$2,$C$3,$C$4,$C$6,$C$5,$C$7,AI$1,AI$2,$A270)</f>
        <v>0</v>
      </c>
      <c r="AJ270" s="31">
        <f>_xll.DBRW($C$1,$C$2,$C$3,$C$4,$C$6,$C$5,$C$7,AJ$1,AJ$2,$A270)</f>
        <v>0</v>
      </c>
      <c r="AK270" s="31">
        <f>_xll.DBRW($C$1,$C$2,$C$3,$C$4,$C$6,$C$5,$C$7,AK$1,AK$2,$A270)</f>
        <v>0</v>
      </c>
      <c r="AL270" s="31">
        <f>_xll.DBRW($C$1,$C$2,$C$3,$C$4,$C$6,$C$5,$C$7,AL$1,AL$2,$A270)</f>
        <v>0</v>
      </c>
      <c r="AM270" s="31">
        <f>_xll.DBRW($C$1,$C$2,$C$3,$C$4,$C$6,$C$5,$C$7,AM$1,AM$2,$A270)</f>
        <v>0</v>
      </c>
      <c r="AN270" s="31">
        <f>_xll.DBRW($C$1,$C$2,$C$3,$C$4,$C$6,$C$5,$C$7,AN$1,AN$2,$A270)</f>
        <v>0</v>
      </c>
      <c r="AO270" s="31">
        <f>_xll.DBRW($C$1,$C$2,$C$3,$C$4,$C$6,$C$5,$C$7,AO$1,AO$2,$A270)</f>
        <v>0</v>
      </c>
      <c r="AP270" s="31">
        <f>_xll.DBRW($C$1,$C$2,$C$3,$C$4,$C$6,$C$5,$C$7,AP$1,AP$2,$A270)</f>
        <v>0</v>
      </c>
      <c r="AQ270" s="31">
        <f>_xll.DBRW($C$1,$C$2,$C$3,$C$4,$C$6,$C$5,$C$7,AQ$1,AQ$2,$A270)</f>
        <v>0</v>
      </c>
      <c r="AR270" s="31">
        <f>_xll.DBRW($C$1,$C$2,$C$3,$C$4,$C$6,$C$5,$C$7,AR$1,AR$2,$A270)</f>
        <v>0</v>
      </c>
      <c r="AS270" s="31">
        <f>_xll.DBRW($C$1,$C$2,$C$3,$C$4,$C$6,$C$5,$C$7,AS$1,AS$2,$A270)</f>
        <v>0</v>
      </c>
      <c r="AT270" s="31">
        <f>_xll.DBRW($C$1,$C$2,$C$3,$C$4,$C$6,$C$5,$C$7,AT$1,AT$2,$A270)</f>
        <v>0</v>
      </c>
      <c r="AU270" s="31">
        <f>_xll.DBRW($C$1,$C$2,$C$3,$C$4,$C$6,$C$5,$C$7,AU$1,AU$2,$A270)</f>
        <v>0</v>
      </c>
    </row>
    <row r="271" spans="1:47" ht="15.75" hidden="1" outlineLevel="1">
      <c r="A271" s="1" t="s">
        <v>323</v>
      </c>
      <c r="C271" s="143"/>
      <c r="E271" s="120" t="s">
        <v>63</v>
      </c>
      <c r="F271" s="121">
        <f t="shared" ref="F271:AU271" si="146">SUM(F267:F270)</f>
        <v>-483069564.18349427</v>
      </c>
      <c r="G271" s="121">
        <f t="shared" si="146"/>
        <v>-19981265502.262299</v>
      </c>
      <c r="H271" s="121">
        <f t="shared" si="146"/>
        <v>-4647799095.934</v>
      </c>
      <c r="I271" s="121">
        <f t="shared" si="146"/>
        <v>-6480.3789999998835</v>
      </c>
      <c r="J271" s="121">
        <f t="shared" si="146"/>
        <v>-6480.3789999998835</v>
      </c>
      <c r="K271" s="121">
        <f t="shared" si="146"/>
        <v>-6480.3789999998835</v>
      </c>
      <c r="L271" s="121">
        <f t="shared" si="146"/>
        <v>-6480.3789999998835</v>
      </c>
      <c r="M271" s="121">
        <f t="shared" si="146"/>
        <v>-6480.3789999998835</v>
      </c>
      <c r="N271" s="121">
        <f t="shared" si="146"/>
        <v>-6480.3789999998835</v>
      </c>
      <c r="O271" s="121">
        <f t="shared" si="146"/>
        <v>-1065396025.8249999</v>
      </c>
      <c r="P271" s="121">
        <f t="shared" si="146"/>
        <v>-1065396025.8249999</v>
      </c>
      <c r="Q271" s="121">
        <f t="shared" si="146"/>
        <v>-1065396025.8249999</v>
      </c>
      <c r="R271" s="121">
        <f t="shared" si="146"/>
        <v>-1671173886.4660001</v>
      </c>
      <c r="S271" s="121">
        <f t="shared" si="146"/>
        <v>-1671173886.4660001</v>
      </c>
      <c r="T271" s="121">
        <f t="shared" si="146"/>
        <v>-1671173886.4660001</v>
      </c>
      <c r="U271" s="121">
        <f t="shared" si="146"/>
        <v>-1671173886.4660001</v>
      </c>
      <c r="V271" s="121">
        <f t="shared" si="146"/>
        <v>0</v>
      </c>
      <c r="W271" s="121">
        <f t="shared" si="146"/>
        <v>0</v>
      </c>
      <c r="X271" s="121">
        <f t="shared" si="146"/>
        <v>0</v>
      </c>
      <c r="Y271" s="121">
        <f t="shared" si="146"/>
        <v>0</v>
      </c>
      <c r="Z271" s="121">
        <f t="shared" si="146"/>
        <v>0</v>
      </c>
      <c r="AA271" s="121">
        <f t="shared" si="146"/>
        <v>0</v>
      </c>
      <c r="AB271" s="121">
        <f t="shared" si="146"/>
        <v>0</v>
      </c>
      <c r="AC271" s="121">
        <f t="shared" si="146"/>
        <v>0</v>
      </c>
      <c r="AD271" s="121">
        <f t="shared" si="146"/>
        <v>0</v>
      </c>
      <c r="AE271" s="121">
        <f t="shared" si="146"/>
        <v>0</v>
      </c>
      <c r="AF271" s="121">
        <f t="shared" si="146"/>
        <v>0</v>
      </c>
      <c r="AG271" s="121">
        <f t="shared" si="146"/>
        <v>0</v>
      </c>
      <c r="AH271" s="121">
        <f t="shared" si="146"/>
        <v>0</v>
      </c>
      <c r="AI271" s="121">
        <f t="shared" si="146"/>
        <v>0</v>
      </c>
      <c r="AJ271" s="121">
        <f t="shared" si="146"/>
        <v>0</v>
      </c>
      <c r="AK271" s="121">
        <f t="shared" si="146"/>
        <v>0</v>
      </c>
      <c r="AL271" s="121">
        <f t="shared" si="146"/>
        <v>0</v>
      </c>
      <c r="AM271" s="121">
        <f t="shared" si="146"/>
        <v>0</v>
      </c>
      <c r="AN271" s="121">
        <f t="shared" si="146"/>
        <v>0</v>
      </c>
      <c r="AO271" s="121">
        <f t="shared" si="146"/>
        <v>0</v>
      </c>
      <c r="AP271" s="121">
        <f t="shared" si="146"/>
        <v>0</v>
      </c>
      <c r="AQ271" s="121">
        <f t="shared" si="146"/>
        <v>0</v>
      </c>
      <c r="AR271" s="121">
        <f t="shared" si="146"/>
        <v>0</v>
      </c>
      <c r="AS271" s="121">
        <f t="shared" si="146"/>
        <v>0</v>
      </c>
      <c r="AT271" s="121">
        <f t="shared" si="146"/>
        <v>0</v>
      </c>
      <c r="AU271" s="121">
        <f t="shared" si="146"/>
        <v>0</v>
      </c>
    </row>
    <row r="272" spans="1:47" ht="15.75" hidden="1" outlineLevel="1">
      <c r="A272" s="1" t="s">
        <v>324</v>
      </c>
      <c r="C272" s="143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13396105672.363167</v>
      </c>
      <c r="G272" s="31">
        <f>_xll.DBRW($C$1,$C$2,$C$3,$C$4,$C$6,$C$5,$C$7,G$1,G$2,$A272)</f>
        <v>26934316187.181801</v>
      </c>
      <c r="H272" s="31">
        <f>_xll.DBRW($C$1,$C$2,$C$3,$C$4,$C$6,$C$5,$C$7,H$1,H$2,$A272)</f>
        <v>18615986006.974899</v>
      </c>
      <c r="I272" s="31">
        <f>_xll.DBRW($C$1,$C$2,$C$3,$C$4,$C$6,$C$5,$C$7,I$1,I$2,$A272)</f>
        <v>-171920469.65455997</v>
      </c>
      <c r="J272" s="31">
        <f>_xll.DBRW($C$1,$C$2,$C$3,$C$4,$C$6,$C$5,$C$7,J$1,J$2,$A272)</f>
        <v>317008595.27524781</v>
      </c>
      <c r="K272" s="31">
        <f>_xll.DBRW($C$1,$C$2,$C$3,$C$4,$C$6,$C$5,$C$7,K$1,K$2,$A272)</f>
        <v>1435657915.7076471</v>
      </c>
      <c r="L272" s="31">
        <f>_xll.DBRW($C$1,$C$2,$C$3,$C$4,$C$6,$C$5,$C$7,L$1,L$2,$A272)</f>
        <v>5958245601.1871405</v>
      </c>
      <c r="M272" s="31">
        <f>_xll.DBRW($C$1,$C$2,$C$3,$C$4,$C$6,$C$5,$C$7,M$1,M$2,$A272)</f>
        <v>7810282269.349246</v>
      </c>
      <c r="N272" s="31">
        <f>_xll.DBRW($C$1,$C$2,$C$3,$C$4,$C$6,$C$5,$C$7,N$1,N$2,$A272)</f>
        <v>8732586562.2288074</v>
      </c>
      <c r="O272" s="31">
        <f>_xll.DBRW($C$1,$C$2,$C$3,$C$4,$C$6,$C$5,$C$7,O$1,O$2,$A272)</f>
        <v>8317872043.8870449</v>
      </c>
      <c r="P272" s="31">
        <f>_xll.DBRW($C$1,$C$2,$C$3,$C$4,$C$6,$C$5,$C$7,P$1,P$2,$A272)</f>
        <v>1755340830.4830542</v>
      </c>
      <c r="Q272" s="31">
        <f>_xll.DBRW($C$1,$C$2,$C$3,$C$4,$C$6,$C$5,$C$7,Q$1,Q$2,$A272)</f>
        <v>3532664370.6134243</v>
      </c>
      <c r="R272" s="31">
        <f>_xll.DBRW($C$1,$C$2,$C$3,$C$4,$C$6,$C$5,$C$7,R$1,R$2,$A272)</f>
        <v>4310705144.068224</v>
      </c>
      <c r="S272" s="31">
        <f>_xll.DBRW($C$1,$C$2,$C$3,$C$4,$C$6,$C$5,$C$7,S$1,S$2,$A272)</f>
        <v>2270251401.5688863</v>
      </c>
      <c r="T272" s="31">
        <f>_xll.DBRW($C$1,$C$2,$C$3,$C$4,$C$6,$C$5,$C$7,T$1,T$2,$A272)</f>
        <v>2743648766.3414092</v>
      </c>
      <c r="U272" s="31">
        <f>_xll.DBRW($C$1,$C$2,$C$3,$C$4,$C$6,$C$5,$C$7,U$1,U$2,$A272)</f>
        <v>2743648766.3414092</v>
      </c>
      <c r="V272" s="31">
        <f>_xll.DBRW($C$1,$C$2,$C$3,$C$4,$C$6,$C$5,$C$7,V$1,V$2,$A272)</f>
        <v>0</v>
      </c>
      <c r="W272" s="31">
        <f>_xll.DBRW($C$1,$C$2,$C$3,$C$4,$C$6,$C$5,$C$7,W$1,W$2,$A272)</f>
        <v>0</v>
      </c>
      <c r="X272" s="31">
        <f>_xll.DBRW($C$1,$C$2,$C$3,$C$4,$C$6,$C$5,$C$7,X$1,X$2,$A272)</f>
        <v>0</v>
      </c>
      <c r="Y272" s="31">
        <f>_xll.DBRW($C$1,$C$2,$C$3,$C$4,$C$6,$C$5,$C$7,Y$1,Y$2,$A272)</f>
        <v>0</v>
      </c>
      <c r="Z272" s="31">
        <f>_xll.DBRW($C$1,$C$2,$C$3,$C$4,$C$6,$C$5,$C$7,Z$1,Z$2,$A272)</f>
        <v>0</v>
      </c>
      <c r="AA272" s="31">
        <f>_xll.DBRW($C$1,$C$2,$C$3,$C$4,$C$6,$C$5,$C$7,AA$1,AA$2,$A272)</f>
        <v>0</v>
      </c>
      <c r="AB272" s="31">
        <f>_xll.DBRW($C$1,$C$2,$C$3,$C$4,$C$6,$C$5,$C$7,AB$1,AB$2,$A272)</f>
        <v>0</v>
      </c>
      <c r="AC272" s="31">
        <f>_xll.DBRW($C$1,$C$2,$C$3,$C$4,$C$6,$C$5,$C$7,AC$1,AC$2,$A272)</f>
        <v>0</v>
      </c>
      <c r="AD272" s="31">
        <f>_xll.DBRW($C$1,$C$2,$C$3,$C$4,$C$6,$C$5,$C$7,AD$1,AD$2,$A272)</f>
        <v>0</v>
      </c>
      <c r="AE272" s="31">
        <f>_xll.DBRW($C$1,$C$2,$C$3,$C$4,$C$6,$C$5,$C$7,AE$1,AE$2,$A272)</f>
        <v>0</v>
      </c>
      <c r="AF272" s="31">
        <f>_xll.DBRW($C$1,$C$2,$C$3,$C$4,$C$6,$C$5,$C$7,AF$1,AF$2,$A272)</f>
        <v>0</v>
      </c>
      <c r="AG272" s="31">
        <f>_xll.DBRW($C$1,$C$2,$C$3,$C$4,$C$6,$C$5,$C$7,AG$1,AG$2,$A272)</f>
        <v>0</v>
      </c>
      <c r="AH272" s="31">
        <f>_xll.DBRW($C$1,$C$2,$C$3,$C$4,$C$6,$C$5,$C$7,AH$1,AH$2,$A272)</f>
        <v>0</v>
      </c>
      <c r="AI272" s="31">
        <f>_xll.DBRW($C$1,$C$2,$C$3,$C$4,$C$6,$C$5,$C$7,AI$1,AI$2,$A272)</f>
        <v>0</v>
      </c>
      <c r="AJ272" s="31">
        <f>_xll.DBRW($C$1,$C$2,$C$3,$C$4,$C$6,$C$5,$C$7,AJ$1,AJ$2,$A272)</f>
        <v>0</v>
      </c>
      <c r="AK272" s="31">
        <f>_xll.DBRW($C$1,$C$2,$C$3,$C$4,$C$6,$C$5,$C$7,AK$1,AK$2,$A272)</f>
        <v>0</v>
      </c>
      <c r="AL272" s="31">
        <f>_xll.DBRW($C$1,$C$2,$C$3,$C$4,$C$6,$C$5,$C$7,AL$1,AL$2,$A272)</f>
        <v>0</v>
      </c>
      <c r="AM272" s="31">
        <f>_xll.DBRW($C$1,$C$2,$C$3,$C$4,$C$6,$C$5,$C$7,AM$1,AM$2,$A272)</f>
        <v>0</v>
      </c>
      <c r="AN272" s="31">
        <f>_xll.DBRW($C$1,$C$2,$C$3,$C$4,$C$6,$C$5,$C$7,AN$1,AN$2,$A272)</f>
        <v>0</v>
      </c>
      <c r="AO272" s="31">
        <f>_xll.DBRW($C$1,$C$2,$C$3,$C$4,$C$6,$C$5,$C$7,AO$1,AO$2,$A272)</f>
        <v>0</v>
      </c>
      <c r="AP272" s="31">
        <f>_xll.DBRW($C$1,$C$2,$C$3,$C$4,$C$6,$C$5,$C$7,AP$1,AP$2,$A272)</f>
        <v>0</v>
      </c>
      <c r="AQ272" s="31">
        <f>_xll.DBRW($C$1,$C$2,$C$3,$C$4,$C$6,$C$5,$C$7,AQ$1,AQ$2,$A272)</f>
        <v>0</v>
      </c>
      <c r="AR272" s="31">
        <f>_xll.DBRW($C$1,$C$2,$C$3,$C$4,$C$6,$C$5,$C$7,AR$1,AR$2,$A272)</f>
        <v>0</v>
      </c>
      <c r="AS272" s="31">
        <f>_xll.DBRW($C$1,$C$2,$C$3,$C$4,$C$6,$C$5,$C$7,AS$1,AS$2,$A272)</f>
        <v>0</v>
      </c>
      <c r="AT272" s="31">
        <f>_xll.DBRW($C$1,$C$2,$C$3,$C$4,$C$6,$C$5,$C$7,AT$1,AT$2,$A272)</f>
        <v>0</v>
      </c>
      <c r="AU272" s="31">
        <f>_xll.DBRW($C$1,$C$2,$C$3,$C$4,$C$6,$C$5,$C$7,AU$1,AU$2,$A272)</f>
        <v>0</v>
      </c>
    </row>
    <row r="273" spans="1:47" ht="15.75" collapsed="1">
      <c r="A273" s="1" t="s">
        <v>127</v>
      </c>
      <c r="C273" s="143"/>
      <c r="E273" s="116" t="s">
        <v>64</v>
      </c>
      <c r="F273" s="117">
        <f t="shared" ref="F273:AU273" si="147">F272</f>
        <v>13396105672.363167</v>
      </c>
      <c r="G273" s="117">
        <f t="shared" si="147"/>
        <v>26934316187.181801</v>
      </c>
      <c r="H273" s="117">
        <f>H272</f>
        <v>18615986006.974899</v>
      </c>
      <c r="I273" s="117">
        <f t="shared" si="147"/>
        <v>-171920469.65455997</v>
      </c>
      <c r="J273" s="117">
        <f t="shared" si="147"/>
        <v>317008595.27524781</v>
      </c>
      <c r="K273" s="117">
        <f t="shared" si="147"/>
        <v>1435657915.7076471</v>
      </c>
      <c r="L273" s="117">
        <f t="shared" si="147"/>
        <v>5958245601.1871405</v>
      </c>
      <c r="M273" s="117">
        <f t="shared" si="147"/>
        <v>7810282269.349246</v>
      </c>
      <c r="N273" s="117">
        <f t="shared" si="147"/>
        <v>8732586562.2288074</v>
      </c>
      <c r="O273" s="117">
        <f t="shared" si="147"/>
        <v>8317872043.8870449</v>
      </c>
      <c r="P273" s="117">
        <f t="shared" si="147"/>
        <v>1755340830.4830542</v>
      </c>
      <c r="Q273" s="117">
        <f t="shared" si="147"/>
        <v>3532664370.6134243</v>
      </c>
      <c r="R273" s="117">
        <f t="shared" si="147"/>
        <v>4310705144.068224</v>
      </c>
      <c r="S273" s="117">
        <f t="shared" si="147"/>
        <v>2270251401.5688863</v>
      </c>
      <c r="T273" s="117">
        <f t="shared" si="147"/>
        <v>2743648766.3414092</v>
      </c>
      <c r="U273" s="117">
        <f t="shared" si="147"/>
        <v>2743648766.3414092</v>
      </c>
      <c r="V273" s="117">
        <f t="shared" si="147"/>
        <v>0</v>
      </c>
      <c r="W273" s="117">
        <f t="shared" si="147"/>
        <v>0</v>
      </c>
      <c r="X273" s="117">
        <f t="shared" si="147"/>
        <v>0</v>
      </c>
      <c r="Y273" s="117">
        <f t="shared" si="147"/>
        <v>0</v>
      </c>
      <c r="Z273" s="117">
        <f t="shared" si="147"/>
        <v>0</v>
      </c>
      <c r="AA273" s="117">
        <f t="shared" si="147"/>
        <v>0</v>
      </c>
      <c r="AB273" s="117">
        <f t="shared" si="147"/>
        <v>0</v>
      </c>
      <c r="AC273" s="117">
        <f t="shared" si="147"/>
        <v>0</v>
      </c>
      <c r="AD273" s="117">
        <f t="shared" si="147"/>
        <v>0</v>
      </c>
      <c r="AE273" s="117">
        <f t="shared" si="147"/>
        <v>0</v>
      </c>
      <c r="AF273" s="117">
        <f t="shared" si="147"/>
        <v>0</v>
      </c>
      <c r="AG273" s="117">
        <f t="shared" si="147"/>
        <v>0</v>
      </c>
      <c r="AH273" s="117">
        <f t="shared" si="147"/>
        <v>0</v>
      </c>
      <c r="AI273" s="117">
        <f t="shared" si="147"/>
        <v>0</v>
      </c>
      <c r="AJ273" s="117">
        <f t="shared" si="147"/>
        <v>0</v>
      </c>
      <c r="AK273" s="117">
        <f t="shared" si="147"/>
        <v>0</v>
      </c>
      <c r="AL273" s="117">
        <f t="shared" si="147"/>
        <v>0</v>
      </c>
      <c r="AM273" s="117">
        <f t="shared" si="147"/>
        <v>0</v>
      </c>
      <c r="AN273" s="117">
        <f t="shared" si="147"/>
        <v>0</v>
      </c>
      <c r="AO273" s="117">
        <f t="shared" si="147"/>
        <v>0</v>
      </c>
      <c r="AP273" s="117">
        <f t="shared" si="147"/>
        <v>0</v>
      </c>
      <c r="AQ273" s="117">
        <f t="shared" si="147"/>
        <v>0</v>
      </c>
      <c r="AR273" s="117">
        <f t="shared" si="147"/>
        <v>0</v>
      </c>
      <c r="AS273" s="117">
        <f t="shared" si="147"/>
        <v>0</v>
      </c>
      <c r="AT273" s="117">
        <f t="shared" si="147"/>
        <v>0</v>
      </c>
      <c r="AU273" s="117">
        <f t="shared" si="147"/>
        <v>0</v>
      </c>
    </row>
    <row r="274" spans="1:47" ht="15.75" hidden="1" outlineLevel="1">
      <c r="A274" s="1" t="s">
        <v>325</v>
      </c>
      <c r="C274" s="143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13393382342.363171</v>
      </c>
      <c r="G274" s="31">
        <f>_xll.DBRW($C$1,$C$2,$C$3,$C$4,$C$6,$C$5,$C$7,G$1,G$2,$A274)</f>
        <v>26934318187.181797</v>
      </c>
      <c r="H274" s="31">
        <f>_xll.DBRW($C$1,$C$2,$C$3,$C$4,$C$6,$C$5,$C$7,H$1,H$2,$A274)</f>
        <v>18615980006.974922</v>
      </c>
      <c r="I274" s="31">
        <f>_xll.DBRW($C$1,$C$2,$C$3,$C$4,$C$6,$C$5,$C$7,I$1,I$2,$A274)</f>
        <v>-171942819.65456006</v>
      </c>
      <c r="J274" s="31">
        <f>_xll.DBRW($C$1,$C$2,$C$3,$C$4,$C$6,$C$5,$C$7,J$1,J$2,$A274)</f>
        <v>316931595.27524793</v>
      </c>
      <c r="K274" s="31">
        <f>_xll.DBRW($C$1,$C$2,$C$3,$C$4,$C$6,$C$5,$C$7,K$1,K$2,$A274)</f>
        <v>1435541915.7076423</v>
      </c>
      <c r="L274" s="31">
        <f>_xll.DBRW($C$1,$C$2,$C$3,$C$4,$C$6,$C$5,$C$7,L$1,L$2,$A274)</f>
        <v>5958028601.1871357</v>
      </c>
      <c r="M274" s="31">
        <f>_xll.DBRW($C$1,$C$2,$C$3,$C$4,$C$6,$C$5,$C$7,M$1,M$2,$A274)</f>
        <v>7810002269.3492441</v>
      </c>
      <c r="N274" s="31">
        <f>_xll.DBRW($C$1,$C$2,$C$3,$C$4,$C$6,$C$5,$C$7,N$1,N$2,$A274)</f>
        <v>8732247562.2288094</v>
      </c>
      <c r="O274" s="31">
        <f>_xll.DBRW($C$1,$C$2,$C$3,$C$4,$C$6,$C$5,$C$7,O$1,O$2,$A274)</f>
        <v>8317589613.8870468</v>
      </c>
      <c r="P274" s="31">
        <f>_xll.DBRW($C$1,$C$2,$C$3,$C$4,$C$6,$C$5,$C$7,P$1,P$2,$A274)</f>
        <v>1754888330.4830608</v>
      </c>
      <c r="Q274" s="31">
        <f>_xll.DBRW($C$1,$C$2,$C$3,$C$4,$C$6,$C$5,$C$7,Q$1,Q$2,$A274)</f>
        <v>3532151370.61343</v>
      </c>
      <c r="R274" s="31">
        <f>_xll.DBRW($C$1,$C$2,$C$3,$C$4,$C$6,$C$5,$C$7,R$1,R$2,$A274)</f>
        <v>4310623174.0682278</v>
      </c>
      <c r="S274" s="31">
        <f>_xll.DBRW($C$1,$C$2,$C$3,$C$4,$C$6,$C$5,$C$7,S$1,S$2,$A274)</f>
        <v>2269627401.5688839</v>
      </c>
      <c r="T274" s="31">
        <f>_xll.DBRW($C$1,$C$2,$C$3,$C$4,$C$6,$C$5,$C$7,T$1,T$2,$A274)</f>
        <v>2742950766.3414078</v>
      </c>
      <c r="U274" s="31">
        <f>_xll.DBRW($C$1,$C$2,$C$3,$C$4,$C$6,$C$5,$C$7,U$1,U$2,$A274)</f>
        <v>2742950766.3414078</v>
      </c>
      <c r="V274" s="31">
        <f>_xll.DBRW($C$1,$C$2,$C$3,$C$4,$C$6,$C$5,$C$7,V$1,V$2,$A274)</f>
        <v>0</v>
      </c>
      <c r="W274" s="31">
        <f>_xll.DBRW($C$1,$C$2,$C$3,$C$4,$C$6,$C$5,$C$7,W$1,W$2,$A274)</f>
        <v>0</v>
      </c>
      <c r="X274" s="31">
        <f>_xll.DBRW($C$1,$C$2,$C$3,$C$4,$C$6,$C$5,$C$7,X$1,X$2,$A274)</f>
        <v>0</v>
      </c>
      <c r="Y274" s="31">
        <f>_xll.DBRW($C$1,$C$2,$C$3,$C$4,$C$6,$C$5,$C$7,Y$1,Y$2,$A274)</f>
        <v>0</v>
      </c>
      <c r="Z274" s="31">
        <f>_xll.DBRW($C$1,$C$2,$C$3,$C$4,$C$6,$C$5,$C$7,Z$1,Z$2,$A274)</f>
        <v>0</v>
      </c>
      <c r="AA274" s="31">
        <f>_xll.DBRW($C$1,$C$2,$C$3,$C$4,$C$6,$C$5,$C$7,AA$1,AA$2,$A274)</f>
        <v>0</v>
      </c>
      <c r="AB274" s="31">
        <f>_xll.DBRW($C$1,$C$2,$C$3,$C$4,$C$6,$C$5,$C$7,AB$1,AB$2,$A274)</f>
        <v>0</v>
      </c>
      <c r="AC274" s="31">
        <f>_xll.DBRW($C$1,$C$2,$C$3,$C$4,$C$6,$C$5,$C$7,AC$1,AC$2,$A274)</f>
        <v>0</v>
      </c>
      <c r="AD274" s="31">
        <f>_xll.DBRW($C$1,$C$2,$C$3,$C$4,$C$6,$C$5,$C$7,AD$1,AD$2,$A274)</f>
        <v>0</v>
      </c>
      <c r="AE274" s="31">
        <f>_xll.DBRW($C$1,$C$2,$C$3,$C$4,$C$6,$C$5,$C$7,AE$1,AE$2,$A274)</f>
        <v>0</v>
      </c>
      <c r="AF274" s="31">
        <f>_xll.DBRW($C$1,$C$2,$C$3,$C$4,$C$6,$C$5,$C$7,AF$1,AF$2,$A274)</f>
        <v>0</v>
      </c>
      <c r="AG274" s="31">
        <f>_xll.DBRW($C$1,$C$2,$C$3,$C$4,$C$6,$C$5,$C$7,AG$1,AG$2,$A274)</f>
        <v>0</v>
      </c>
      <c r="AH274" s="31">
        <f>_xll.DBRW($C$1,$C$2,$C$3,$C$4,$C$6,$C$5,$C$7,AH$1,AH$2,$A274)</f>
        <v>0</v>
      </c>
      <c r="AI274" s="31">
        <f>_xll.DBRW($C$1,$C$2,$C$3,$C$4,$C$6,$C$5,$C$7,AI$1,AI$2,$A274)</f>
        <v>0</v>
      </c>
      <c r="AJ274" s="31">
        <f>_xll.DBRW($C$1,$C$2,$C$3,$C$4,$C$6,$C$5,$C$7,AJ$1,AJ$2,$A274)</f>
        <v>0</v>
      </c>
      <c r="AK274" s="31">
        <f>_xll.DBRW($C$1,$C$2,$C$3,$C$4,$C$6,$C$5,$C$7,AK$1,AK$2,$A274)</f>
        <v>0</v>
      </c>
      <c r="AL274" s="31">
        <f>_xll.DBRW($C$1,$C$2,$C$3,$C$4,$C$6,$C$5,$C$7,AL$1,AL$2,$A274)</f>
        <v>0</v>
      </c>
      <c r="AM274" s="31">
        <f>_xll.DBRW($C$1,$C$2,$C$3,$C$4,$C$6,$C$5,$C$7,AM$1,AM$2,$A274)</f>
        <v>0</v>
      </c>
      <c r="AN274" s="31">
        <f>_xll.DBRW($C$1,$C$2,$C$3,$C$4,$C$6,$C$5,$C$7,AN$1,AN$2,$A274)</f>
        <v>0</v>
      </c>
      <c r="AO274" s="31">
        <f>_xll.DBRW($C$1,$C$2,$C$3,$C$4,$C$6,$C$5,$C$7,AO$1,AO$2,$A274)</f>
        <v>0</v>
      </c>
      <c r="AP274" s="31">
        <f>_xll.DBRW($C$1,$C$2,$C$3,$C$4,$C$6,$C$5,$C$7,AP$1,AP$2,$A274)</f>
        <v>0</v>
      </c>
      <c r="AQ274" s="31">
        <f>_xll.DBRW($C$1,$C$2,$C$3,$C$4,$C$6,$C$5,$C$7,AQ$1,AQ$2,$A274)</f>
        <v>0</v>
      </c>
      <c r="AR274" s="31">
        <f>_xll.DBRW($C$1,$C$2,$C$3,$C$4,$C$6,$C$5,$C$7,AR$1,AR$2,$A274)</f>
        <v>0</v>
      </c>
      <c r="AS274" s="31">
        <f>_xll.DBRW($C$1,$C$2,$C$3,$C$4,$C$6,$C$5,$C$7,AS$1,AS$2,$A274)</f>
        <v>0</v>
      </c>
      <c r="AT274" s="31">
        <f>_xll.DBRW($C$1,$C$2,$C$3,$C$4,$C$6,$C$5,$C$7,AT$1,AT$2,$A274)</f>
        <v>0</v>
      </c>
      <c r="AU274" s="31">
        <f>_xll.DBRW($C$1,$C$2,$C$3,$C$4,$C$6,$C$5,$C$7,AU$1,AU$2,$A274)</f>
        <v>0</v>
      </c>
    </row>
    <row r="275" spans="1:47" ht="15.75" collapsed="1">
      <c r="A275" s="1" t="s">
        <v>127</v>
      </c>
      <c r="C275" s="143"/>
      <c r="E275" s="116" t="s">
        <v>65</v>
      </c>
      <c r="F275" s="117">
        <f t="shared" ref="F275:AU275" si="148">F274</f>
        <v>13393382342.363171</v>
      </c>
      <c r="G275" s="117">
        <f t="shared" si="148"/>
        <v>26934318187.181797</v>
      </c>
      <c r="H275" s="117">
        <f t="shared" si="148"/>
        <v>18615980006.974922</v>
      </c>
      <c r="I275" s="117">
        <f t="shared" si="148"/>
        <v>-171942819.65456006</v>
      </c>
      <c r="J275" s="117">
        <f t="shared" si="148"/>
        <v>316931595.27524793</v>
      </c>
      <c r="K275" s="117">
        <f t="shared" si="148"/>
        <v>1435541915.7076423</v>
      </c>
      <c r="L275" s="117">
        <f t="shared" si="148"/>
        <v>5958028601.1871357</v>
      </c>
      <c r="M275" s="117">
        <f t="shared" si="148"/>
        <v>7810002269.3492441</v>
      </c>
      <c r="N275" s="117">
        <f t="shared" si="148"/>
        <v>8732247562.2288094</v>
      </c>
      <c r="O275" s="117">
        <f t="shared" si="148"/>
        <v>8317589613.8870468</v>
      </c>
      <c r="P275" s="117">
        <f t="shared" si="148"/>
        <v>1754888330.4830608</v>
      </c>
      <c r="Q275" s="117">
        <f t="shared" si="148"/>
        <v>3532151370.61343</v>
      </c>
      <c r="R275" s="117">
        <f t="shared" si="148"/>
        <v>4310623174.0682278</v>
      </c>
      <c r="S275" s="117">
        <f t="shared" si="148"/>
        <v>2269627401.5688839</v>
      </c>
      <c r="T275" s="117">
        <f t="shared" si="148"/>
        <v>2742950766.3414078</v>
      </c>
      <c r="U275" s="117">
        <f t="shared" si="148"/>
        <v>2742950766.3414078</v>
      </c>
      <c r="V275" s="117">
        <f t="shared" si="148"/>
        <v>0</v>
      </c>
      <c r="W275" s="117">
        <f t="shared" si="148"/>
        <v>0</v>
      </c>
      <c r="X275" s="117">
        <f t="shared" si="148"/>
        <v>0</v>
      </c>
      <c r="Y275" s="117">
        <f t="shared" si="148"/>
        <v>0</v>
      </c>
      <c r="Z275" s="117">
        <f t="shared" si="148"/>
        <v>0</v>
      </c>
      <c r="AA275" s="117">
        <f t="shared" si="148"/>
        <v>0</v>
      </c>
      <c r="AB275" s="117">
        <f t="shared" si="148"/>
        <v>0</v>
      </c>
      <c r="AC275" s="117">
        <f t="shared" si="148"/>
        <v>0</v>
      </c>
      <c r="AD275" s="117">
        <f t="shared" si="148"/>
        <v>0</v>
      </c>
      <c r="AE275" s="117">
        <f t="shared" si="148"/>
        <v>0</v>
      </c>
      <c r="AF275" s="117">
        <f t="shared" si="148"/>
        <v>0</v>
      </c>
      <c r="AG275" s="117">
        <f t="shared" si="148"/>
        <v>0</v>
      </c>
      <c r="AH275" s="117">
        <f t="shared" si="148"/>
        <v>0</v>
      </c>
      <c r="AI275" s="117">
        <f t="shared" si="148"/>
        <v>0</v>
      </c>
      <c r="AJ275" s="117">
        <f t="shared" si="148"/>
        <v>0</v>
      </c>
      <c r="AK275" s="117">
        <f t="shared" si="148"/>
        <v>0</v>
      </c>
      <c r="AL275" s="117">
        <f t="shared" si="148"/>
        <v>0</v>
      </c>
      <c r="AM275" s="117">
        <f t="shared" si="148"/>
        <v>0</v>
      </c>
      <c r="AN275" s="117">
        <f t="shared" si="148"/>
        <v>0</v>
      </c>
      <c r="AO275" s="117">
        <f t="shared" si="148"/>
        <v>0</v>
      </c>
      <c r="AP275" s="117">
        <f t="shared" si="148"/>
        <v>0</v>
      </c>
      <c r="AQ275" s="117">
        <f t="shared" si="148"/>
        <v>0</v>
      </c>
      <c r="AR275" s="117">
        <f t="shared" si="148"/>
        <v>0</v>
      </c>
      <c r="AS275" s="117">
        <f t="shared" si="148"/>
        <v>0</v>
      </c>
      <c r="AT275" s="117">
        <f t="shared" si="148"/>
        <v>0</v>
      </c>
      <c r="AU275" s="117">
        <f t="shared" si="148"/>
        <v>0</v>
      </c>
    </row>
    <row r="276" spans="1:47" ht="15">
      <c r="A276" s="1" t="s">
        <v>127</v>
      </c>
      <c r="C276" s="143"/>
      <c r="E276" s="122" t="s">
        <v>66</v>
      </c>
      <c r="F276" s="123">
        <f t="shared" ref="F276:AU276" si="149">IFERROR(F275/F21,"-")</f>
        <v>0.14812673781211758</v>
      </c>
      <c r="G276" s="123">
        <f t="shared" si="149"/>
        <v>0.30597660194065013</v>
      </c>
      <c r="H276" s="123">
        <f t="shared" si="149"/>
        <v>0.2094409303906917</v>
      </c>
      <c r="I276" s="123">
        <f t="shared" si="149"/>
        <v>-2.5294530258079592E-2</v>
      </c>
      <c r="J276" s="123">
        <f t="shared" si="149"/>
        <v>3.6505647037937697E-2</v>
      </c>
      <c r="K276" s="123">
        <f t="shared" si="149"/>
        <v>5.9695023385949224E-2</v>
      </c>
      <c r="L276" s="123">
        <f t="shared" si="149"/>
        <v>0.1823702711390815</v>
      </c>
      <c r="M276" s="123">
        <f t="shared" si="149"/>
        <v>0.18519551178785926</v>
      </c>
      <c r="N276" s="123">
        <f t="shared" si="149"/>
        <v>0.16890777705936896</v>
      </c>
      <c r="O276" s="123">
        <f t="shared" si="149"/>
        <v>0.1485809073748568</v>
      </c>
      <c r="P276" s="123">
        <f t="shared" si="149"/>
        <v>2.4766755469173292E-2</v>
      </c>
      <c r="Q276" s="123">
        <f t="shared" si="149"/>
        <v>4.3260008748887871E-2</v>
      </c>
      <c r="R276" s="123">
        <f t="shared" si="149"/>
        <v>5.0572967341755121E-2</v>
      </c>
      <c r="S276" s="123">
        <f t="shared" si="149"/>
        <v>2.3223506432997372E-2</v>
      </c>
      <c r="T276" s="123">
        <f t="shared" si="149"/>
        <v>2.3996582261955807E-2</v>
      </c>
      <c r="U276" s="123">
        <f t="shared" si="149"/>
        <v>2.3996582261955807E-2</v>
      </c>
      <c r="V276" s="123" t="str">
        <f t="shared" si="149"/>
        <v>-</v>
      </c>
      <c r="W276" s="123" t="str">
        <f t="shared" si="149"/>
        <v>-</v>
      </c>
      <c r="X276" s="123" t="str">
        <f t="shared" si="149"/>
        <v>-</v>
      </c>
      <c r="Y276" s="123" t="str">
        <f t="shared" si="149"/>
        <v>-</v>
      </c>
      <c r="Z276" s="123" t="str">
        <f t="shared" si="149"/>
        <v>-</v>
      </c>
      <c r="AA276" s="123" t="str">
        <f t="shared" si="149"/>
        <v>-</v>
      </c>
      <c r="AB276" s="123" t="str">
        <f t="shared" si="149"/>
        <v>-</v>
      </c>
      <c r="AC276" s="123" t="str">
        <f t="shared" si="149"/>
        <v>-</v>
      </c>
      <c r="AD276" s="123" t="str">
        <f t="shared" si="149"/>
        <v>-</v>
      </c>
      <c r="AE276" s="123" t="str">
        <f t="shared" si="149"/>
        <v>-</v>
      </c>
      <c r="AF276" s="123" t="str">
        <f t="shared" si="149"/>
        <v>-</v>
      </c>
      <c r="AG276" s="123" t="str">
        <f t="shared" si="149"/>
        <v>-</v>
      </c>
      <c r="AH276" s="123" t="str">
        <f t="shared" si="149"/>
        <v>-</v>
      </c>
      <c r="AI276" s="123" t="str">
        <f t="shared" si="149"/>
        <v>-</v>
      </c>
      <c r="AJ276" s="123" t="str">
        <f t="shared" si="149"/>
        <v>-</v>
      </c>
      <c r="AK276" s="123" t="str">
        <f t="shared" si="149"/>
        <v>-</v>
      </c>
      <c r="AL276" s="123" t="str">
        <f t="shared" si="149"/>
        <v>-</v>
      </c>
      <c r="AM276" s="123" t="str">
        <f t="shared" si="149"/>
        <v>-</v>
      </c>
      <c r="AN276" s="123" t="str">
        <f t="shared" si="149"/>
        <v>-</v>
      </c>
      <c r="AO276" s="123" t="str">
        <f t="shared" si="149"/>
        <v>-</v>
      </c>
      <c r="AP276" s="123" t="str">
        <f t="shared" si="149"/>
        <v>-</v>
      </c>
      <c r="AQ276" s="123" t="str">
        <f t="shared" si="149"/>
        <v>-</v>
      </c>
      <c r="AR276" s="123" t="str">
        <f t="shared" si="149"/>
        <v>-</v>
      </c>
      <c r="AS276" s="123" t="str">
        <f t="shared" si="149"/>
        <v>-</v>
      </c>
      <c r="AT276" s="123" t="str">
        <f t="shared" si="149"/>
        <v>-</v>
      </c>
      <c r="AU276" s="123" t="str">
        <f t="shared" si="149"/>
        <v>-</v>
      </c>
    </row>
    <row r="277" spans="1:47" ht="15">
      <c r="A277" s="1" t="s">
        <v>127</v>
      </c>
      <c r="C277" s="25"/>
      <c r="E277" s="26"/>
      <c r="F277" s="51">
        <f t="shared" ref="F277:AU277" si="150">ROUND(F275-F221-F258-F261-F266-F271,4)</f>
        <v>-938274.31</v>
      </c>
      <c r="G277" s="51">
        <f>ROUND(G275-G221-G258-G261-G266-G271,4)</f>
        <v>-1323.48</v>
      </c>
      <c r="H277" s="51">
        <f t="shared" si="150"/>
        <v>71142.800099999993</v>
      </c>
      <c r="I277" s="51">
        <f t="shared" si="150"/>
        <v>0</v>
      </c>
      <c r="J277" s="51">
        <f t="shared" si="150"/>
        <v>2080</v>
      </c>
      <c r="K277" s="51">
        <f t="shared" si="150"/>
        <v>2080</v>
      </c>
      <c r="L277" s="51">
        <f t="shared" si="150"/>
        <v>2080</v>
      </c>
      <c r="M277" s="51">
        <f t="shared" si="150"/>
        <v>2080</v>
      </c>
      <c r="N277" s="51">
        <f t="shared" si="150"/>
        <v>2080</v>
      </c>
      <c r="O277" s="51">
        <f t="shared" si="150"/>
        <v>0</v>
      </c>
      <c r="P277" s="51">
        <f t="shared" si="150"/>
        <v>2080</v>
      </c>
      <c r="Q277" s="51">
        <f t="shared" si="150"/>
        <v>2080</v>
      </c>
      <c r="R277" s="51">
        <f t="shared" si="150"/>
        <v>0</v>
      </c>
      <c r="S277" s="51">
        <f t="shared" si="150"/>
        <v>2080</v>
      </c>
      <c r="T277" s="51">
        <f t="shared" si="150"/>
        <v>2080</v>
      </c>
      <c r="U277" s="51">
        <f t="shared" si="150"/>
        <v>2080</v>
      </c>
      <c r="V277" s="51">
        <f t="shared" si="150"/>
        <v>0</v>
      </c>
      <c r="W277" s="51">
        <f t="shared" si="150"/>
        <v>0</v>
      </c>
      <c r="X277" s="51">
        <f t="shared" si="150"/>
        <v>0</v>
      </c>
      <c r="Y277" s="51">
        <f t="shared" si="150"/>
        <v>0</v>
      </c>
      <c r="Z277" s="51">
        <f t="shared" si="150"/>
        <v>0</v>
      </c>
      <c r="AA277" s="51">
        <f t="shared" si="150"/>
        <v>0</v>
      </c>
      <c r="AB277" s="51">
        <f t="shared" si="150"/>
        <v>0</v>
      </c>
      <c r="AC277" s="51">
        <f t="shared" si="150"/>
        <v>0</v>
      </c>
      <c r="AD277" s="51">
        <f t="shared" si="150"/>
        <v>0</v>
      </c>
      <c r="AE277" s="51">
        <f t="shared" si="150"/>
        <v>0</v>
      </c>
      <c r="AF277" s="51">
        <f t="shared" si="150"/>
        <v>0</v>
      </c>
      <c r="AG277" s="51">
        <f t="shared" si="150"/>
        <v>0</v>
      </c>
      <c r="AH277" s="51">
        <f t="shared" si="150"/>
        <v>0</v>
      </c>
      <c r="AI277" s="51">
        <f t="shared" si="150"/>
        <v>0</v>
      </c>
      <c r="AJ277" s="51">
        <f t="shared" si="150"/>
        <v>0</v>
      </c>
      <c r="AK277" s="51">
        <f t="shared" si="150"/>
        <v>0</v>
      </c>
      <c r="AL277" s="51">
        <f t="shared" si="150"/>
        <v>0</v>
      </c>
      <c r="AM277" s="51">
        <f t="shared" si="150"/>
        <v>0</v>
      </c>
      <c r="AN277" s="51">
        <f t="shared" si="150"/>
        <v>0</v>
      </c>
      <c r="AO277" s="51">
        <f t="shared" si="150"/>
        <v>0</v>
      </c>
      <c r="AP277" s="51">
        <f t="shared" si="150"/>
        <v>0</v>
      </c>
      <c r="AQ277" s="51">
        <f t="shared" si="150"/>
        <v>0</v>
      </c>
      <c r="AR277" s="51">
        <f t="shared" si="150"/>
        <v>0</v>
      </c>
      <c r="AS277" s="51">
        <f t="shared" si="150"/>
        <v>0</v>
      </c>
      <c r="AT277" s="51">
        <f t="shared" si="150"/>
        <v>0</v>
      </c>
      <c r="AU277" s="51">
        <f t="shared" si="150"/>
        <v>0</v>
      </c>
    </row>
    <row r="278" spans="1:47" ht="15.75">
      <c r="A278" s="1" t="s">
        <v>127</v>
      </c>
      <c r="E278" s="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27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</row>
    <row r="279" spans="1:47" ht="15.75" hidden="1" outlineLevel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-3966526060.4498334</v>
      </c>
      <c r="G279" s="10">
        <f>_xll.DBRW($C$1,$C$2,$C$3,$C$4,$C$6,$C$5,$C$7,G$1,G$2,$A279)</f>
        <v>-3505070840.5426197</v>
      </c>
      <c r="H279" s="10">
        <f>_xll.DBRW($C$1,$C$2,$C$3,$C$4,$C$6,$C$5,$C$7,H$1,H$2,$A279)</f>
        <v>-1564440542.7102182</v>
      </c>
      <c r="I279" s="10">
        <f>_xll.DBRW($C$1,$C$2,$C$3,$C$4,$C$6,$C$5,$C$7,I$1,I$2,$A279)</f>
        <v>-911786.67639030004</v>
      </c>
      <c r="J279" s="10">
        <f>_xll.DBRW($C$1,$C$2,$C$3,$C$4,$C$6,$C$5,$C$7,J$1,J$2,$A279)</f>
        <v>-97857052.961007595</v>
      </c>
      <c r="K279" s="10">
        <f>_xll.DBRW($C$1,$C$2,$C$3,$C$4,$C$6,$C$5,$C$7,K$1,K$2,$A279)</f>
        <v>-123148360.34201536</v>
      </c>
      <c r="L279" s="10">
        <f>_xll.DBRW($C$1,$C$2,$C$3,$C$4,$C$6,$C$5,$C$7,L$1,L$2,$A279)</f>
        <v>-383344605.18874949</v>
      </c>
      <c r="M279" s="10">
        <f>_xll.DBRW($C$1,$C$2,$C$3,$C$4,$C$6,$C$5,$C$7,M$1,M$2,$A279)</f>
        <v>-459843521.60312426</v>
      </c>
      <c r="N279" s="10">
        <f>_xll.DBRW($C$1,$C$2,$C$3,$C$4,$C$6,$C$5,$C$7,N$1,N$2,$A279)</f>
        <v>-1325818410.2569876</v>
      </c>
      <c r="O279" s="10">
        <f>_xll.DBRW($C$1,$C$2,$C$3,$C$4,$C$6,$C$5,$C$7,O$1,O$2,$A279)</f>
        <v>-80066050.572203636</v>
      </c>
      <c r="P279" s="10">
        <f>_xll.DBRW($C$1,$C$2,$C$3,$C$4,$C$6,$C$5,$C$7,P$1,P$2,$A279)</f>
        <v>-2237278281.207058</v>
      </c>
      <c r="Q279" s="10">
        <f>_xll.DBRW($C$1,$C$2,$C$3,$C$4,$C$6,$C$5,$C$7,Q$1,Q$2,$A279)</f>
        <v>-2596723191.9984946</v>
      </c>
      <c r="R279" s="10">
        <f>_xll.DBRW($C$1,$C$2,$C$3,$C$4,$C$6,$C$5,$C$7,R$1,R$2,$A279)</f>
        <v>-87912489.786407769</v>
      </c>
      <c r="S279" s="10">
        <f>_xll.DBRW($C$1,$C$2,$C$3,$C$4,$C$6,$C$5,$C$7,S$1,S$2,$A279)</f>
        <v>-2308901243.4200754</v>
      </c>
      <c r="T279" s="10">
        <f>_xll.DBRW($C$1,$C$2,$C$3,$C$4,$C$6,$C$5,$C$7,T$1,T$2,$A279)</f>
        <v>-2036567776.5643296</v>
      </c>
      <c r="U279" s="10">
        <f>_xll.DBRW($C$1,$C$2,$C$3,$C$4,$C$6,$C$5,$C$7,U$1,U$2,$A279)</f>
        <v>-2036567776.5643296</v>
      </c>
      <c r="V279" s="10">
        <f>_xll.DBRW($C$1,$C$2,$C$3,$C$4,$C$6,$C$5,$C$7,V$1,V$2,$A279)</f>
        <v>0</v>
      </c>
      <c r="W279" s="10">
        <f>_xll.DBRW($C$1,$C$2,$C$3,$C$4,$C$6,$C$5,$C$7,W$1,W$2,$A279)</f>
        <v>0</v>
      </c>
      <c r="X279" s="10">
        <f>_xll.DBRW($C$1,$C$2,$C$3,$C$4,$C$6,$C$5,$C$7,X$1,X$2,$A279)</f>
        <v>0</v>
      </c>
      <c r="Y279" s="10">
        <f>_xll.DBRW($C$1,$C$2,$C$3,$C$4,$C$6,$C$5,$C$7,Y$1,Y$2,$A279)</f>
        <v>0</v>
      </c>
      <c r="Z279" s="10">
        <f>_xll.DBRW($C$1,$C$2,$C$3,$C$4,$C$6,$C$5,$C$7,Z$1,Z$2,$A279)</f>
        <v>0</v>
      </c>
      <c r="AA279" s="10">
        <f>_xll.DBRW($C$1,$C$2,$C$3,$C$4,$C$6,$C$5,$C$7,AA$1,AA$2,$A279)</f>
        <v>0</v>
      </c>
      <c r="AB279" s="10">
        <f>_xll.DBRW($C$1,$C$2,$C$3,$C$4,$C$6,$C$5,$C$7,AB$1,AB$2,$A279)</f>
        <v>0</v>
      </c>
      <c r="AC279" s="10">
        <f>_xll.DBRW($C$1,$C$2,$C$3,$C$4,$C$6,$C$5,$C$7,AC$1,AC$2,$A279)</f>
        <v>0</v>
      </c>
      <c r="AD279" s="10">
        <f>_xll.DBRW($C$1,$C$2,$C$3,$C$4,$C$6,$C$5,$C$7,AD$1,AD$2,$A279)</f>
        <v>0</v>
      </c>
      <c r="AE279" s="10">
        <f>_xll.DBRW($C$1,$C$2,$C$3,$C$4,$C$6,$C$5,$C$7,AE$1,AE$2,$A279)</f>
        <v>0</v>
      </c>
      <c r="AF279" s="10">
        <f>_xll.DBRW($C$1,$C$2,$C$3,$C$4,$C$6,$C$5,$C$7,AF$1,AF$2,$A279)</f>
        <v>0</v>
      </c>
      <c r="AG279" s="10">
        <f>_xll.DBRW($C$1,$C$2,$C$3,$C$4,$C$6,$C$5,$C$7,AG$1,AG$2,$A279)</f>
        <v>0</v>
      </c>
      <c r="AH279" s="10">
        <f>_xll.DBRW($C$1,$C$2,$C$3,$C$4,$C$6,$C$5,$C$7,AH$1,AH$2,$A279)</f>
        <v>0</v>
      </c>
      <c r="AI279" s="10">
        <f>_xll.DBRW($C$1,$C$2,$C$3,$C$4,$C$6,$C$5,$C$7,AI$1,AI$2,$A279)</f>
        <v>0</v>
      </c>
      <c r="AJ279" s="10">
        <f>_xll.DBRW($C$1,$C$2,$C$3,$C$4,$C$6,$C$5,$C$7,AJ$1,AJ$2,$A279)</f>
        <v>0</v>
      </c>
      <c r="AK279" s="10">
        <f>_xll.DBRW($C$1,$C$2,$C$3,$C$4,$C$6,$C$5,$C$7,AK$1,AK$2,$A279)</f>
        <v>0</v>
      </c>
      <c r="AL279" s="10">
        <f>_xll.DBRW($C$1,$C$2,$C$3,$C$4,$C$6,$C$5,$C$7,AL$1,AL$2,$A279)</f>
        <v>0</v>
      </c>
      <c r="AM279" s="10">
        <f>_xll.DBRW($C$1,$C$2,$C$3,$C$4,$C$6,$C$5,$C$7,AM$1,AM$2,$A279)</f>
        <v>0</v>
      </c>
      <c r="AN279" s="10">
        <f>_xll.DBRW($C$1,$C$2,$C$3,$C$4,$C$6,$C$5,$C$7,AN$1,AN$2,$A279)</f>
        <v>0</v>
      </c>
      <c r="AO279" s="10">
        <f>_xll.DBRW($C$1,$C$2,$C$3,$C$4,$C$6,$C$5,$C$7,AO$1,AO$2,$A279)</f>
        <v>0</v>
      </c>
      <c r="AP279" s="10">
        <f>_xll.DBRW($C$1,$C$2,$C$3,$C$4,$C$6,$C$5,$C$7,AP$1,AP$2,$A279)</f>
        <v>0</v>
      </c>
      <c r="AQ279" s="10">
        <f>_xll.DBRW($C$1,$C$2,$C$3,$C$4,$C$6,$C$5,$C$7,AQ$1,AQ$2,$A279)</f>
        <v>0</v>
      </c>
      <c r="AR279" s="10">
        <f>_xll.DBRW($C$1,$C$2,$C$3,$C$4,$C$6,$C$5,$C$7,AR$1,AR$2,$A279)</f>
        <v>0</v>
      </c>
      <c r="AS279" s="10">
        <f>_xll.DBRW($C$1,$C$2,$C$3,$C$4,$C$6,$C$5,$C$7,AS$1,AS$2,$A279)</f>
        <v>0</v>
      </c>
      <c r="AT279" s="10">
        <f>_xll.DBRW($C$1,$C$2,$C$3,$C$4,$C$6,$C$5,$C$7,AT$1,AT$2,$A279)</f>
        <v>0</v>
      </c>
      <c r="AU279" s="10">
        <f>_xll.DBRW($C$1,$C$2,$C$3,$C$4,$C$6,$C$5,$C$7,AU$1,AU$2,$A279)</f>
        <v>0</v>
      </c>
    </row>
    <row r="280" spans="1:47" ht="15.75" hidden="1" outlineLevel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94069195.124670193</v>
      </c>
      <c r="G280" s="10">
        <f>_xll.DBRW($C$1,$C$2,$C$3,$C$4,$C$6,$C$5,$C$7,G$1,G$2,$A280)</f>
        <v>235059838.61368608</v>
      </c>
      <c r="H280" s="10">
        <f>_xll.DBRW($C$1,$C$2,$C$3,$C$4,$C$6,$C$5,$C$7,H$1,H$2,$A280)</f>
        <v>157760044.99688193</v>
      </c>
      <c r="I280" s="10">
        <f>_xll.DBRW($C$1,$C$2,$C$3,$C$4,$C$6,$C$5,$C$7,I$1,I$2,$A280)</f>
        <v>91000</v>
      </c>
      <c r="J280" s="10">
        <f>_xll.DBRW($C$1,$C$2,$C$3,$C$4,$C$6,$C$5,$C$7,J$1,J$2,$A280)</f>
        <v>56645689.899165511</v>
      </c>
      <c r="K280" s="10">
        <f>_xll.DBRW($C$1,$C$2,$C$3,$C$4,$C$6,$C$5,$C$7,K$1,K$2,$A280)</f>
        <v>59128951.186415352</v>
      </c>
      <c r="L280" s="10">
        <f>_xll.DBRW($C$1,$C$2,$C$3,$C$4,$C$6,$C$5,$C$7,L$1,L$2,$A280)</f>
        <v>62377133.030975893</v>
      </c>
      <c r="M280" s="10">
        <f>_xll.DBRW($C$1,$C$2,$C$3,$C$4,$C$6,$C$5,$C$7,M$1,M$2,$A280)</f>
        <v>96762957.565590158</v>
      </c>
      <c r="N280" s="10">
        <f>_xll.DBRW($C$1,$C$2,$C$3,$C$4,$C$6,$C$5,$C$7,N$1,N$2,$A280)</f>
        <v>100615140.45208451</v>
      </c>
      <c r="O280" s="10">
        <f>_xll.DBRW($C$1,$C$2,$C$3,$C$4,$C$6,$C$5,$C$7,O$1,O$2,$A280)</f>
        <v>1096521.7811160982</v>
      </c>
      <c r="P280" s="10">
        <f>_xll.DBRW($C$1,$C$2,$C$3,$C$4,$C$6,$C$5,$C$7,P$1,P$2,$A280)</f>
        <v>176545501.37272817</v>
      </c>
      <c r="Q280" s="10">
        <f>_xll.DBRW($C$1,$C$2,$C$3,$C$4,$C$6,$C$5,$C$7,Q$1,Q$2,$A280)</f>
        <v>188279218.85622129</v>
      </c>
      <c r="R280" s="10">
        <f>_xll.DBRW($C$1,$C$2,$C$3,$C$4,$C$6,$C$5,$C$7,R$1,R$2,$A280)</f>
        <v>1564810.2229141966</v>
      </c>
      <c r="S280" s="10">
        <f>_xll.DBRW($C$1,$C$2,$C$3,$C$4,$C$6,$C$5,$C$7,S$1,S$2,$A280)</f>
        <v>238943927.3900784</v>
      </c>
      <c r="T280" s="10">
        <f>_xll.DBRW($C$1,$C$2,$C$3,$C$4,$C$6,$C$5,$C$7,T$1,T$2,$A280)</f>
        <v>229209507.76791117</v>
      </c>
      <c r="U280" s="10">
        <f>_xll.DBRW($C$1,$C$2,$C$3,$C$4,$C$6,$C$5,$C$7,U$1,U$2,$A280)</f>
        <v>229209507.76791117</v>
      </c>
      <c r="V280" s="10">
        <f>_xll.DBRW($C$1,$C$2,$C$3,$C$4,$C$6,$C$5,$C$7,V$1,V$2,$A280)</f>
        <v>0</v>
      </c>
      <c r="W280" s="10">
        <f>_xll.DBRW($C$1,$C$2,$C$3,$C$4,$C$6,$C$5,$C$7,W$1,W$2,$A280)</f>
        <v>0</v>
      </c>
      <c r="X280" s="10">
        <f>_xll.DBRW($C$1,$C$2,$C$3,$C$4,$C$6,$C$5,$C$7,X$1,X$2,$A280)</f>
        <v>0</v>
      </c>
      <c r="Y280" s="10">
        <f>_xll.DBRW($C$1,$C$2,$C$3,$C$4,$C$6,$C$5,$C$7,Y$1,Y$2,$A280)</f>
        <v>0</v>
      </c>
      <c r="Z280" s="10">
        <f>_xll.DBRW($C$1,$C$2,$C$3,$C$4,$C$6,$C$5,$C$7,Z$1,Z$2,$A280)</f>
        <v>0</v>
      </c>
      <c r="AA280" s="10">
        <f>_xll.DBRW($C$1,$C$2,$C$3,$C$4,$C$6,$C$5,$C$7,AA$1,AA$2,$A280)</f>
        <v>0</v>
      </c>
      <c r="AB280" s="10">
        <f>_xll.DBRW($C$1,$C$2,$C$3,$C$4,$C$6,$C$5,$C$7,AB$1,AB$2,$A280)</f>
        <v>0</v>
      </c>
      <c r="AC280" s="10">
        <f>_xll.DBRW($C$1,$C$2,$C$3,$C$4,$C$6,$C$5,$C$7,AC$1,AC$2,$A280)</f>
        <v>0</v>
      </c>
      <c r="AD280" s="10">
        <f>_xll.DBRW($C$1,$C$2,$C$3,$C$4,$C$6,$C$5,$C$7,AD$1,AD$2,$A280)</f>
        <v>0</v>
      </c>
      <c r="AE280" s="10">
        <f>_xll.DBRW($C$1,$C$2,$C$3,$C$4,$C$6,$C$5,$C$7,AE$1,AE$2,$A280)</f>
        <v>0</v>
      </c>
      <c r="AF280" s="10">
        <f>_xll.DBRW($C$1,$C$2,$C$3,$C$4,$C$6,$C$5,$C$7,AF$1,AF$2,$A280)</f>
        <v>0</v>
      </c>
      <c r="AG280" s="10">
        <f>_xll.DBRW($C$1,$C$2,$C$3,$C$4,$C$6,$C$5,$C$7,AG$1,AG$2,$A280)</f>
        <v>0</v>
      </c>
      <c r="AH280" s="10">
        <f>_xll.DBRW($C$1,$C$2,$C$3,$C$4,$C$6,$C$5,$C$7,AH$1,AH$2,$A280)</f>
        <v>0</v>
      </c>
      <c r="AI280" s="10">
        <f>_xll.DBRW($C$1,$C$2,$C$3,$C$4,$C$6,$C$5,$C$7,AI$1,AI$2,$A280)</f>
        <v>0</v>
      </c>
      <c r="AJ280" s="10">
        <f>_xll.DBRW($C$1,$C$2,$C$3,$C$4,$C$6,$C$5,$C$7,AJ$1,AJ$2,$A280)</f>
        <v>0</v>
      </c>
      <c r="AK280" s="10">
        <f>_xll.DBRW($C$1,$C$2,$C$3,$C$4,$C$6,$C$5,$C$7,AK$1,AK$2,$A280)</f>
        <v>0</v>
      </c>
      <c r="AL280" s="10">
        <f>_xll.DBRW($C$1,$C$2,$C$3,$C$4,$C$6,$C$5,$C$7,AL$1,AL$2,$A280)</f>
        <v>0</v>
      </c>
      <c r="AM280" s="10">
        <f>_xll.DBRW($C$1,$C$2,$C$3,$C$4,$C$6,$C$5,$C$7,AM$1,AM$2,$A280)</f>
        <v>0</v>
      </c>
      <c r="AN280" s="10">
        <f>_xll.DBRW($C$1,$C$2,$C$3,$C$4,$C$6,$C$5,$C$7,AN$1,AN$2,$A280)</f>
        <v>0</v>
      </c>
      <c r="AO280" s="10">
        <f>_xll.DBRW($C$1,$C$2,$C$3,$C$4,$C$6,$C$5,$C$7,AO$1,AO$2,$A280)</f>
        <v>0</v>
      </c>
      <c r="AP280" s="10">
        <f>_xll.DBRW($C$1,$C$2,$C$3,$C$4,$C$6,$C$5,$C$7,AP$1,AP$2,$A280)</f>
        <v>0</v>
      </c>
      <c r="AQ280" s="10">
        <f>_xll.DBRW($C$1,$C$2,$C$3,$C$4,$C$6,$C$5,$C$7,AQ$1,AQ$2,$A280)</f>
        <v>0</v>
      </c>
      <c r="AR280" s="10">
        <f>_xll.DBRW($C$1,$C$2,$C$3,$C$4,$C$6,$C$5,$C$7,AR$1,AR$2,$A280)</f>
        <v>0</v>
      </c>
      <c r="AS280" s="10">
        <f>_xll.DBRW($C$1,$C$2,$C$3,$C$4,$C$6,$C$5,$C$7,AS$1,AS$2,$A280)</f>
        <v>0</v>
      </c>
      <c r="AT280" s="10">
        <f>_xll.DBRW($C$1,$C$2,$C$3,$C$4,$C$6,$C$5,$C$7,AT$1,AT$2,$A280)</f>
        <v>0</v>
      </c>
      <c r="AU280" s="10">
        <f>_xll.DBRW($C$1,$C$2,$C$3,$C$4,$C$6,$C$5,$C$7,AU$1,AU$2,$A280)</f>
        <v>0</v>
      </c>
    </row>
    <row r="281" spans="1:47" ht="15.75" customHeight="1" collapsed="1">
      <c r="C281" s="143" t="s">
        <v>67</v>
      </c>
      <c r="E281" s="84" t="s">
        <v>68</v>
      </c>
      <c r="F281" s="39">
        <f t="shared" ref="F281:T281" si="151">SUM(F279:F280)</f>
        <v>-3872456865.3251634</v>
      </c>
      <c r="G281" s="39">
        <f t="shared" si="151"/>
        <v>-3270011001.9289336</v>
      </c>
      <c r="H281" s="39">
        <f t="shared" si="151"/>
        <v>-1406680497.7133362</v>
      </c>
      <c r="I281" s="39">
        <f t="shared" si="151"/>
        <v>-820786.67639030004</v>
      </c>
      <c r="J281" s="39">
        <f t="shared" si="151"/>
        <v>-41211363.061842084</v>
      </c>
      <c r="K281" s="39">
        <f t="shared" si="151"/>
        <v>-64019409.155600004</v>
      </c>
      <c r="L281" s="39">
        <f t="shared" si="151"/>
        <v>-320967472.15777361</v>
      </c>
      <c r="M281" s="39">
        <f t="shared" si="151"/>
        <v>-363080564.03753412</v>
      </c>
      <c r="N281" s="39">
        <f t="shared" si="151"/>
        <v>-1225203269.804903</v>
      </c>
      <c r="O281" s="39">
        <f t="shared" si="151"/>
        <v>-78969528.791087538</v>
      </c>
      <c r="P281" s="39">
        <f t="shared" si="151"/>
        <v>-2060732779.8343298</v>
      </c>
      <c r="Q281" s="39">
        <f t="shared" si="151"/>
        <v>-2408443973.1422734</v>
      </c>
      <c r="R281" s="39">
        <f t="shared" si="151"/>
        <v>-86347679.56349358</v>
      </c>
      <c r="S281" s="39">
        <f t="shared" si="151"/>
        <v>-2069957316.0299971</v>
      </c>
      <c r="T281" s="39">
        <f t="shared" si="151"/>
        <v>-1807358268.7964184</v>
      </c>
      <c r="U281" s="39">
        <f>SUM(U279:U280)</f>
        <v>-1807358268.7964184</v>
      </c>
      <c r="V281" s="39">
        <f t="shared" ref="V281:AG281" si="152">SUM(V279:V280)</f>
        <v>0</v>
      </c>
      <c r="W281" s="39">
        <f t="shared" si="152"/>
        <v>0</v>
      </c>
      <c r="X281" s="39">
        <f t="shared" si="152"/>
        <v>0</v>
      </c>
      <c r="Y281" s="39">
        <f t="shared" si="152"/>
        <v>0</v>
      </c>
      <c r="Z281" s="39">
        <f t="shared" si="152"/>
        <v>0</v>
      </c>
      <c r="AA281" s="39">
        <f t="shared" si="152"/>
        <v>0</v>
      </c>
      <c r="AB281" s="39">
        <f t="shared" si="152"/>
        <v>0</v>
      </c>
      <c r="AC281" s="39">
        <f t="shared" si="152"/>
        <v>0</v>
      </c>
      <c r="AD281" s="39">
        <f t="shared" si="152"/>
        <v>0</v>
      </c>
      <c r="AE281" s="39">
        <f t="shared" si="152"/>
        <v>0</v>
      </c>
      <c r="AF281" s="39">
        <f t="shared" si="152"/>
        <v>0</v>
      </c>
      <c r="AG281" s="39">
        <f t="shared" si="152"/>
        <v>0</v>
      </c>
      <c r="AH281" s="39">
        <f>SUM(AH279:AH280)</f>
        <v>0</v>
      </c>
      <c r="AI281" s="39">
        <f t="shared" ref="AI281:AT281" si="153">SUM(AI279:AI280)</f>
        <v>0</v>
      </c>
      <c r="AJ281" s="39">
        <f t="shared" si="153"/>
        <v>0</v>
      </c>
      <c r="AK281" s="39">
        <f t="shared" si="153"/>
        <v>0</v>
      </c>
      <c r="AL281" s="39">
        <f t="shared" si="153"/>
        <v>0</v>
      </c>
      <c r="AM281" s="39">
        <f t="shared" si="153"/>
        <v>0</v>
      </c>
      <c r="AN281" s="39">
        <f t="shared" si="153"/>
        <v>0</v>
      </c>
      <c r="AO281" s="39">
        <f t="shared" si="153"/>
        <v>0</v>
      </c>
      <c r="AP281" s="39">
        <f t="shared" si="153"/>
        <v>0</v>
      </c>
      <c r="AQ281" s="39">
        <f t="shared" si="153"/>
        <v>0</v>
      </c>
      <c r="AR281" s="39">
        <f t="shared" si="153"/>
        <v>0</v>
      </c>
      <c r="AS281" s="39">
        <f t="shared" si="153"/>
        <v>0</v>
      </c>
      <c r="AT281" s="39">
        <f t="shared" si="153"/>
        <v>0</v>
      </c>
      <c r="AU281" s="39">
        <f>SUM(AU279:AU280)</f>
        <v>0</v>
      </c>
    </row>
    <row r="282" spans="1:47" ht="15.75" hidden="1" customHeight="1" outlineLevel="1">
      <c r="A282" s="1" t="s">
        <v>328</v>
      </c>
      <c r="C282" s="143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-300797188.89606643</v>
      </c>
      <c r="G282" s="32">
        <f>_xll.DBRW($C$1,$C$2,$C$3,$C$4,$C$6,$C$5,$C$7,G$1,G$2,$A282)</f>
        <v>-195671650.12787831</v>
      </c>
      <c r="H282" s="32">
        <f>_xll.DBRW($C$1,$C$2,$C$3,$C$4,$C$6,$C$5,$C$7,H$1,H$2,$A282)</f>
        <v>-134611946.0390178</v>
      </c>
      <c r="I282" s="32">
        <f>_xll.DBRW($C$1,$C$2,$C$3,$C$4,$C$6,$C$5,$C$7,I$1,I$2,$A282)</f>
        <v>-1663504.8533219001</v>
      </c>
      <c r="J282" s="32">
        <f>_xll.DBRW($C$1,$C$2,$C$3,$C$4,$C$6,$C$5,$C$7,J$1,J$2,$A282)</f>
        <v>-23174570.7854199</v>
      </c>
      <c r="K282" s="32">
        <f>_xll.DBRW($C$1,$C$2,$C$3,$C$4,$C$6,$C$5,$C$7,K$1,K$2,$A282)</f>
        <v>-36026889.14167805</v>
      </c>
      <c r="L282" s="32">
        <f>_xll.DBRW($C$1,$C$2,$C$3,$C$4,$C$6,$C$5,$C$7,L$1,L$2,$A282)</f>
        <v>-38571117.227000378</v>
      </c>
      <c r="M282" s="32">
        <f>_xll.DBRW($C$1,$C$2,$C$3,$C$4,$C$6,$C$5,$C$7,M$1,M$2,$A282)</f>
        <v>-57928176.830774739</v>
      </c>
      <c r="N282" s="32">
        <f>_xll.DBRW($C$1,$C$2,$C$3,$C$4,$C$6,$C$5,$C$7,N$1,N$2,$A282)</f>
        <v>-102860048.3708671</v>
      </c>
      <c r="O282" s="32">
        <f>_xll.DBRW($C$1,$C$2,$C$3,$C$4,$C$6,$C$5,$C$7,O$1,O$2,$A282)</f>
        <v>-19679300.468805209</v>
      </c>
      <c r="P282" s="32">
        <f>_xll.DBRW($C$1,$C$2,$C$3,$C$4,$C$6,$C$5,$C$7,P$1,P$2,$A282)</f>
        <v>-90913026.392003506</v>
      </c>
      <c r="Q282" s="32">
        <f>_xll.DBRW($C$1,$C$2,$C$3,$C$4,$C$6,$C$5,$C$7,Q$1,Q$2,$A282)</f>
        <v>-111839065.6951361</v>
      </c>
      <c r="R282" s="32">
        <f>_xll.DBRW($C$1,$C$2,$C$3,$C$4,$C$6,$C$5,$C$7,R$1,R$2,$A282)</f>
        <v>-5845270.4691179879</v>
      </c>
      <c r="S282" s="32">
        <f>_xll.DBRW($C$1,$C$2,$C$3,$C$4,$C$6,$C$5,$C$7,S$1,S$2,$A282)</f>
        <v>-4358618116.7019415</v>
      </c>
      <c r="T282" s="32">
        <f>_xll.DBRW($C$1,$C$2,$C$3,$C$4,$C$6,$C$5,$C$7,T$1,T$2,$A282)</f>
        <v>-4297224321.7340202</v>
      </c>
      <c r="U282" s="32">
        <f>_xll.DBRW($C$1,$C$2,$C$3,$C$4,$C$6,$C$5,$C$7,U$1,U$2,$A282)</f>
        <v>-4297224321.7340202</v>
      </c>
      <c r="V282" s="32">
        <f>_xll.DBRW($C$1,$C$2,$C$3,$C$4,$C$6,$C$5,$C$7,V$1,V$2,$A282)</f>
        <v>0</v>
      </c>
      <c r="W282" s="32">
        <f>_xll.DBRW($C$1,$C$2,$C$3,$C$4,$C$6,$C$5,$C$7,W$1,W$2,$A282)</f>
        <v>0</v>
      </c>
      <c r="X282" s="32">
        <f>_xll.DBRW($C$1,$C$2,$C$3,$C$4,$C$6,$C$5,$C$7,X$1,X$2,$A282)</f>
        <v>0</v>
      </c>
      <c r="Y282" s="32">
        <f>_xll.DBRW($C$1,$C$2,$C$3,$C$4,$C$6,$C$5,$C$7,Y$1,Y$2,$A282)</f>
        <v>0</v>
      </c>
      <c r="Z282" s="32">
        <f>_xll.DBRW($C$1,$C$2,$C$3,$C$4,$C$6,$C$5,$C$7,Z$1,Z$2,$A282)</f>
        <v>0</v>
      </c>
      <c r="AA282" s="32">
        <f>_xll.DBRW($C$1,$C$2,$C$3,$C$4,$C$6,$C$5,$C$7,AA$1,AA$2,$A282)</f>
        <v>0</v>
      </c>
      <c r="AB282" s="32">
        <f>_xll.DBRW($C$1,$C$2,$C$3,$C$4,$C$6,$C$5,$C$7,AB$1,AB$2,$A282)</f>
        <v>0</v>
      </c>
      <c r="AC282" s="32">
        <f>_xll.DBRW($C$1,$C$2,$C$3,$C$4,$C$6,$C$5,$C$7,AC$1,AC$2,$A282)</f>
        <v>0</v>
      </c>
      <c r="AD282" s="32">
        <f>_xll.DBRW($C$1,$C$2,$C$3,$C$4,$C$6,$C$5,$C$7,AD$1,AD$2,$A282)</f>
        <v>0</v>
      </c>
      <c r="AE282" s="32">
        <f>_xll.DBRW($C$1,$C$2,$C$3,$C$4,$C$6,$C$5,$C$7,AE$1,AE$2,$A282)</f>
        <v>0</v>
      </c>
      <c r="AF282" s="32">
        <f>_xll.DBRW($C$1,$C$2,$C$3,$C$4,$C$6,$C$5,$C$7,AF$1,AF$2,$A282)</f>
        <v>0</v>
      </c>
      <c r="AG282" s="32">
        <f>_xll.DBRW($C$1,$C$2,$C$3,$C$4,$C$6,$C$5,$C$7,AG$1,AG$2,$A282)</f>
        <v>0</v>
      </c>
      <c r="AH282" s="32">
        <f>_xll.DBRW($C$1,$C$2,$C$3,$C$4,$C$6,$C$5,$C$7,AH$1,AH$2,$A282)</f>
        <v>0</v>
      </c>
      <c r="AI282" s="32">
        <f>_xll.DBRW($C$1,$C$2,$C$3,$C$4,$C$6,$C$5,$C$7,AI$1,AI$2,$A282)</f>
        <v>0</v>
      </c>
      <c r="AJ282" s="32">
        <f>_xll.DBRW($C$1,$C$2,$C$3,$C$4,$C$6,$C$5,$C$7,AJ$1,AJ$2,$A282)</f>
        <v>0</v>
      </c>
      <c r="AK282" s="32">
        <f>_xll.DBRW($C$1,$C$2,$C$3,$C$4,$C$6,$C$5,$C$7,AK$1,AK$2,$A282)</f>
        <v>0</v>
      </c>
      <c r="AL282" s="32">
        <f>_xll.DBRW($C$1,$C$2,$C$3,$C$4,$C$6,$C$5,$C$7,AL$1,AL$2,$A282)</f>
        <v>0</v>
      </c>
      <c r="AM282" s="32">
        <f>_xll.DBRW($C$1,$C$2,$C$3,$C$4,$C$6,$C$5,$C$7,AM$1,AM$2,$A282)</f>
        <v>0</v>
      </c>
      <c r="AN282" s="32">
        <f>_xll.DBRW($C$1,$C$2,$C$3,$C$4,$C$6,$C$5,$C$7,AN$1,AN$2,$A282)</f>
        <v>0</v>
      </c>
      <c r="AO282" s="32">
        <f>_xll.DBRW($C$1,$C$2,$C$3,$C$4,$C$6,$C$5,$C$7,AO$1,AO$2,$A282)</f>
        <v>0</v>
      </c>
      <c r="AP282" s="32">
        <f>_xll.DBRW($C$1,$C$2,$C$3,$C$4,$C$6,$C$5,$C$7,AP$1,AP$2,$A282)</f>
        <v>0</v>
      </c>
      <c r="AQ282" s="32">
        <f>_xll.DBRW($C$1,$C$2,$C$3,$C$4,$C$6,$C$5,$C$7,AQ$1,AQ$2,$A282)</f>
        <v>0</v>
      </c>
      <c r="AR282" s="32">
        <f>_xll.DBRW($C$1,$C$2,$C$3,$C$4,$C$6,$C$5,$C$7,AR$1,AR$2,$A282)</f>
        <v>0</v>
      </c>
      <c r="AS282" s="32">
        <f>_xll.DBRW($C$1,$C$2,$C$3,$C$4,$C$6,$C$5,$C$7,AS$1,AS$2,$A282)</f>
        <v>0</v>
      </c>
      <c r="AT282" s="32">
        <f>_xll.DBRW($C$1,$C$2,$C$3,$C$4,$C$6,$C$5,$C$7,AT$1,AT$2,$A282)</f>
        <v>0</v>
      </c>
      <c r="AU282" s="32">
        <f>_xll.DBRW($C$1,$C$2,$C$3,$C$4,$C$6,$C$5,$C$7,AU$1,AU$2,$A282)</f>
        <v>0</v>
      </c>
    </row>
    <row r="283" spans="1:47" ht="15.75" hidden="1" customHeight="1" outlineLevel="1">
      <c r="A283" s="1" t="s">
        <v>329</v>
      </c>
      <c r="C283" s="143"/>
      <c r="E283" s="9" t="s">
        <v>365</v>
      </c>
      <c r="F283" s="32">
        <f>_xll.DBRW($C$1,$C$2,$C$3,$C$4,$C$6,$C$5,$C$7,F$1,F$2,$A283)</f>
        <v>5163383.6407217002</v>
      </c>
      <c r="G283" s="32">
        <f>_xll.DBRW($C$1,$C$2,$C$3,$C$4,$C$6,$C$5,$C$7,G$1,G$2,$A283)</f>
        <v>39839684.310301006</v>
      </c>
      <c r="H283" s="32">
        <f>_xll.DBRW($C$1,$C$2,$C$3,$C$4,$C$6,$C$5,$C$7,H$1,H$2,$A283)</f>
        <v>44705008.32047078</v>
      </c>
      <c r="I283" s="32">
        <f>_xll.DBRW($C$1,$C$2,$C$3,$C$4,$C$6,$C$5,$C$7,I$1,I$2,$A283)</f>
        <v>985.99405439999987</v>
      </c>
      <c r="J283" s="32">
        <f>_xll.DBRW($C$1,$C$2,$C$3,$C$4,$C$6,$C$5,$C$7,J$1,J$2,$A283)</f>
        <v>2413511.0336885001</v>
      </c>
      <c r="K283" s="32">
        <f>_xll.DBRW($C$1,$C$2,$C$3,$C$4,$C$6,$C$5,$C$7,K$1,K$2,$A283)</f>
        <v>3348993.8550800001</v>
      </c>
      <c r="L283" s="32">
        <f>_xll.DBRW($C$1,$C$2,$C$3,$C$4,$C$6,$C$5,$C$7,L$1,L$2,$A283)</f>
        <v>3359342.2777106003</v>
      </c>
      <c r="M283" s="32">
        <f>_xll.DBRW($C$1,$C$2,$C$3,$C$4,$C$6,$C$5,$C$7,M$1,M$2,$A283)</f>
        <v>3507131.2357715005</v>
      </c>
      <c r="N283" s="32">
        <f>_xll.DBRW($C$1,$C$2,$C$3,$C$4,$C$6,$C$5,$C$7,N$1,N$2,$A283)</f>
        <v>4040494.4707660004</v>
      </c>
      <c r="O283" s="32">
        <f>_xll.DBRW($C$1,$C$2,$C$3,$C$4,$C$6,$C$5,$C$7,O$1,O$2,$A283)</f>
        <v>634492.82351050014</v>
      </c>
      <c r="P283" s="32">
        <f>_xll.DBRW($C$1,$C$2,$C$3,$C$4,$C$6,$C$5,$C$7,P$1,P$2,$A283)</f>
        <v>9267746.3648338988</v>
      </c>
      <c r="Q283" s="32">
        <f>_xll.DBRW($C$1,$C$2,$C$3,$C$4,$C$6,$C$5,$C$7,Q$1,Q$2,$A283)</f>
        <v>9295257.2657621987</v>
      </c>
      <c r="R283" s="32">
        <f>_xll.DBRW($C$1,$C$2,$C$3,$C$4,$C$6,$C$5,$C$7,R$1,R$2,$A283)</f>
        <v>443816.3980160004</v>
      </c>
      <c r="S283" s="32">
        <f>_xll.DBRW($C$1,$C$2,$C$3,$C$4,$C$6,$C$5,$C$7,S$1,S$2,$A283)</f>
        <v>23753447.950187705</v>
      </c>
      <c r="T283" s="32">
        <f>_xll.DBRW($C$1,$C$2,$C$3,$C$4,$C$6,$C$5,$C$7,T$1,T$2,$A283)</f>
        <v>25911879.793830112</v>
      </c>
      <c r="U283" s="32">
        <f>_xll.DBRW($C$1,$C$2,$C$3,$C$4,$C$6,$C$5,$C$7,U$1,U$2,$A283)</f>
        <v>25911879.793830112</v>
      </c>
      <c r="V283" s="32">
        <f>_xll.DBRW($C$1,$C$2,$C$3,$C$4,$C$6,$C$5,$C$7,V$1,V$2,$A283)</f>
        <v>0</v>
      </c>
      <c r="W283" s="32">
        <f>_xll.DBRW($C$1,$C$2,$C$3,$C$4,$C$6,$C$5,$C$7,W$1,W$2,$A283)</f>
        <v>0</v>
      </c>
      <c r="X283" s="32">
        <f>_xll.DBRW($C$1,$C$2,$C$3,$C$4,$C$6,$C$5,$C$7,X$1,X$2,$A283)</f>
        <v>0</v>
      </c>
      <c r="Y283" s="32">
        <f>_xll.DBRW($C$1,$C$2,$C$3,$C$4,$C$6,$C$5,$C$7,Y$1,Y$2,$A283)</f>
        <v>0</v>
      </c>
      <c r="Z283" s="32">
        <f>_xll.DBRW($C$1,$C$2,$C$3,$C$4,$C$6,$C$5,$C$7,Z$1,Z$2,$A283)</f>
        <v>0</v>
      </c>
      <c r="AA283" s="32">
        <f>_xll.DBRW($C$1,$C$2,$C$3,$C$4,$C$6,$C$5,$C$7,AA$1,AA$2,$A283)</f>
        <v>0</v>
      </c>
      <c r="AB283" s="32">
        <f>_xll.DBRW($C$1,$C$2,$C$3,$C$4,$C$6,$C$5,$C$7,AB$1,AB$2,$A283)</f>
        <v>0</v>
      </c>
      <c r="AC283" s="32">
        <f>_xll.DBRW($C$1,$C$2,$C$3,$C$4,$C$6,$C$5,$C$7,AC$1,AC$2,$A283)</f>
        <v>0</v>
      </c>
      <c r="AD283" s="32">
        <f>_xll.DBRW($C$1,$C$2,$C$3,$C$4,$C$6,$C$5,$C$7,AD$1,AD$2,$A283)</f>
        <v>0</v>
      </c>
      <c r="AE283" s="32">
        <f>_xll.DBRW($C$1,$C$2,$C$3,$C$4,$C$6,$C$5,$C$7,AE$1,AE$2,$A283)</f>
        <v>0</v>
      </c>
      <c r="AF283" s="32">
        <f>_xll.DBRW($C$1,$C$2,$C$3,$C$4,$C$6,$C$5,$C$7,AF$1,AF$2,$A283)</f>
        <v>0</v>
      </c>
      <c r="AG283" s="32">
        <f>_xll.DBRW($C$1,$C$2,$C$3,$C$4,$C$6,$C$5,$C$7,AG$1,AG$2,$A283)</f>
        <v>0</v>
      </c>
      <c r="AH283" s="32">
        <f>_xll.DBRW($C$1,$C$2,$C$3,$C$4,$C$6,$C$5,$C$7,AH$1,AH$2,$A283)</f>
        <v>0</v>
      </c>
      <c r="AI283" s="32">
        <f>_xll.DBRW($C$1,$C$2,$C$3,$C$4,$C$6,$C$5,$C$7,AI$1,AI$2,$A283)</f>
        <v>0</v>
      </c>
      <c r="AJ283" s="32">
        <f>_xll.DBRW($C$1,$C$2,$C$3,$C$4,$C$6,$C$5,$C$7,AJ$1,AJ$2,$A283)</f>
        <v>0</v>
      </c>
      <c r="AK283" s="32">
        <f>_xll.DBRW($C$1,$C$2,$C$3,$C$4,$C$6,$C$5,$C$7,AK$1,AK$2,$A283)</f>
        <v>0</v>
      </c>
      <c r="AL283" s="32">
        <f>_xll.DBRW($C$1,$C$2,$C$3,$C$4,$C$6,$C$5,$C$7,AL$1,AL$2,$A283)</f>
        <v>0</v>
      </c>
      <c r="AM283" s="32">
        <f>_xll.DBRW($C$1,$C$2,$C$3,$C$4,$C$6,$C$5,$C$7,AM$1,AM$2,$A283)</f>
        <v>0</v>
      </c>
      <c r="AN283" s="32">
        <f>_xll.DBRW($C$1,$C$2,$C$3,$C$4,$C$6,$C$5,$C$7,AN$1,AN$2,$A283)</f>
        <v>0</v>
      </c>
      <c r="AO283" s="32">
        <f>_xll.DBRW($C$1,$C$2,$C$3,$C$4,$C$6,$C$5,$C$7,AO$1,AO$2,$A283)</f>
        <v>0</v>
      </c>
      <c r="AP283" s="32">
        <f>_xll.DBRW($C$1,$C$2,$C$3,$C$4,$C$6,$C$5,$C$7,AP$1,AP$2,$A283)</f>
        <v>0</v>
      </c>
      <c r="AQ283" s="32">
        <f>_xll.DBRW($C$1,$C$2,$C$3,$C$4,$C$6,$C$5,$C$7,AQ$1,AQ$2,$A283)</f>
        <v>0</v>
      </c>
      <c r="AR283" s="32">
        <f>_xll.DBRW($C$1,$C$2,$C$3,$C$4,$C$6,$C$5,$C$7,AR$1,AR$2,$A283)</f>
        <v>0</v>
      </c>
      <c r="AS283" s="32">
        <f>_xll.DBRW($C$1,$C$2,$C$3,$C$4,$C$6,$C$5,$C$7,AS$1,AS$2,$A283)</f>
        <v>0</v>
      </c>
      <c r="AT283" s="32">
        <f>_xll.DBRW($C$1,$C$2,$C$3,$C$4,$C$6,$C$5,$C$7,AT$1,AT$2,$A283)</f>
        <v>0</v>
      </c>
      <c r="AU283" s="32">
        <f>_xll.DBRW($C$1,$C$2,$C$3,$C$4,$C$6,$C$5,$C$7,AU$1,AU$2,$A283)</f>
        <v>0</v>
      </c>
    </row>
    <row r="284" spans="1:47" ht="15.75" collapsed="1">
      <c r="C284" s="143"/>
      <c r="E284" s="80" t="s">
        <v>69</v>
      </c>
      <c r="F284" s="38">
        <f t="shared" ref="F284:T284" si="154">SUM(F282:F283)</f>
        <v>-295633805.25534475</v>
      </c>
      <c r="G284" s="38">
        <f t="shared" si="154"/>
        <v>-155831965.8175773</v>
      </c>
      <c r="H284" s="38">
        <f t="shared" si="154"/>
        <v>-89906937.718547016</v>
      </c>
      <c r="I284" s="38">
        <f t="shared" si="154"/>
        <v>-1662518.8592675002</v>
      </c>
      <c r="J284" s="38">
        <f t="shared" si="154"/>
        <v>-20761059.751731399</v>
      </c>
      <c r="K284" s="38">
        <f t="shared" si="154"/>
        <v>-32677895.286598049</v>
      </c>
      <c r="L284" s="38">
        <f t="shared" si="154"/>
        <v>-35211774.949289776</v>
      </c>
      <c r="M284" s="38">
        <f t="shared" si="154"/>
        <v>-54421045.59500324</v>
      </c>
      <c r="N284" s="38">
        <f t="shared" si="154"/>
        <v>-98819553.900101095</v>
      </c>
      <c r="O284" s="38">
        <f t="shared" si="154"/>
        <v>-19044807.645294707</v>
      </c>
      <c r="P284" s="38">
        <f t="shared" si="154"/>
        <v>-81645280.027169615</v>
      </c>
      <c r="Q284" s="38">
        <f t="shared" si="154"/>
        <v>-102543808.42937391</v>
      </c>
      <c r="R284" s="38">
        <f t="shared" si="154"/>
        <v>-5401454.0711019877</v>
      </c>
      <c r="S284" s="38">
        <f t="shared" si="154"/>
        <v>-4334864668.7517538</v>
      </c>
      <c r="T284" s="38">
        <f t="shared" si="154"/>
        <v>-4271312441.9401903</v>
      </c>
      <c r="U284" s="38">
        <f>SUM(U282:U283)</f>
        <v>-4271312441.9401903</v>
      </c>
      <c r="V284" s="38">
        <f t="shared" ref="V284:AG284" si="155">SUM(V282:V283)</f>
        <v>0</v>
      </c>
      <c r="W284" s="38">
        <f t="shared" si="155"/>
        <v>0</v>
      </c>
      <c r="X284" s="38">
        <f t="shared" si="155"/>
        <v>0</v>
      </c>
      <c r="Y284" s="38">
        <f t="shared" si="155"/>
        <v>0</v>
      </c>
      <c r="Z284" s="38">
        <f t="shared" si="155"/>
        <v>0</v>
      </c>
      <c r="AA284" s="38">
        <f t="shared" si="155"/>
        <v>0</v>
      </c>
      <c r="AB284" s="38">
        <f t="shared" si="155"/>
        <v>0</v>
      </c>
      <c r="AC284" s="38">
        <f t="shared" si="155"/>
        <v>0</v>
      </c>
      <c r="AD284" s="38">
        <f t="shared" si="155"/>
        <v>0</v>
      </c>
      <c r="AE284" s="38">
        <f t="shared" si="155"/>
        <v>0</v>
      </c>
      <c r="AF284" s="38">
        <f t="shared" si="155"/>
        <v>0</v>
      </c>
      <c r="AG284" s="38">
        <f t="shared" si="155"/>
        <v>0</v>
      </c>
      <c r="AH284" s="38">
        <f>SUM(AH282:AH283)</f>
        <v>0</v>
      </c>
      <c r="AI284" s="38">
        <f t="shared" ref="AI284:AT284" si="156">SUM(AI282:AI283)</f>
        <v>0</v>
      </c>
      <c r="AJ284" s="38">
        <f t="shared" si="156"/>
        <v>0</v>
      </c>
      <c r="AK284" s="38">
        <f t="shared" si="156"/>
        <v>0</v>
      </c>
      <c r="AL284" s="38">
        <f t="shared" si="156"/>
        <v>0</v>
      </c>
      <c r="AM284" s="38">
        <f t="shared" si="156"/>
        <v>0</v>
      </c>
      <c r="AN284" s="38">
        <f t="shared" si="156"/>
        <v>0</v>
      </c>
      <c r="AO284" s="38">
        <f t="shared" si="156"/>
        <v>0</v>
      </c>
      <c r="AP284" s="38">
        <f t="shared" si="156"/>
        <v>0</v>
      </c>
      <c r="AQ284" s="38">
        <f t="shared" si="156"/>
        <v>0</v>
      </c>
      <c r="AR284" s="38">
        <f t="shared" si="156"/>
        <v>0</v>
      </c>
      <c r="AS284" s="38">
        <f t="shared" si="156"/>
        <v>0</v>
      </c>
      <c r="AT284" s="38">
        <f t="shared" si="156"/>
        <v>0</v>
      </c>
      <c r="AU284" s="38">
        <f>SUM(AU282:AU283)</f>
        <v>0</v>
      </c>
    </row>
    <row r="285" spans="1:47" ht="15.75" hidden="1" customHeight="1" outlineLevel="1">
      <c r="A285" s="1" t="s">
        <v>352</v>
      </c>
      <c r="C285" s="143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1:47" ht="15.75" hidden="1" customHeight="1" outlineLevel="1">
      <c r="A286" s="1" t="s">
        <v>353</v>
      </c>
      <c r="C286" s="143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1:47" ht="15.75" collapsed="1">
      <c r="C287" s="143"/>
      <c r="E287" s="80" t="s">
        <v>70</v>
      </c>
      <c r="F287" s="38">
        <f t="shared" ref="F287:AU287" si="157">SUM(F285:F286)</f>
        <v>0</v>
      </c>
      <c r="G287" s="38">
        <f t="shared" si="157"/>
        <v>0</v>
      </c>
      <c r="H287" s="38">
        <f t="shared" si="157"/>
        <v>0</v>
      </c>
      <c r="I287" s="38">
        <f t="shared" si="157"/>
        <v>0</v>
      </c>
      <c r="J287" s="38">
        <f t="shared" si="157"/>
        <v>0</v>
      </c>
      <c r="K287" s="38">
        <f t="shared" si="157"/>
        <v>0</v>
      </c>
      <c r="L287" s="38">
        <f t="shared" si="157"/>
        <v>0</v>
      </c>
      <c r="M287" s="38">
        <f t="shared" si="157"/>
        <v>0</v>
      </c>
      <c r="N287" s="38">
        <f t="shared" si="157"/>
        <v>0</v>
      </c>
      <c r="O287" s="38">
        <f t="shared" si="157"/>
        <v>0</v>
      </c>
      <c r="P287" s="38">
        <f t="shared" si="157"/>
        <v>0</v>
      </c>
      <c r="Q287" s="38">
        <f t="shared" si="157"/>
        <v>0</v>
      </c>
      <c r="R287" s="38">
        <f t="shared" si="157"/>
        <v>0</v>
      </c>
      <c r="S287" s="38">
        <f t="shared" si="157"/>
        <v>0</v>
      </c>
      <c r="T287" s="38">
        <f t="shared" si="157"/>
        <v>0</v>
      </c>
      <c r="U287" s="38">
        <f t="shared" si="157"/>
        <v>0</v>
      </c>
      <c r="V287" s="38">
        <f t="shared" si="157"/>
        <v>0</v>
      </c>
      <c r="W287" s="38">
        <f t="shared" si="157"/>
        <v>0</v>
      </c>
      <c r="X287" s="38">
        <f t="shared" si="157"/>
        <v>0</v>
      </c>
      <c r="Y287" s="38">
        <f t="shared" si="157"/>
        <v>0</v>
      </c>
      <c r="Z287" s="38">
        <f t="shared" si="157"/>
        <v>0</v>
      </c>
      <c r="AA287" s="38">
        <f t="shared" si="157"/>
        <v>0</v>
      </c>
      <c r="AB287" s="38">
        <f t="shared" si="157"/>
        <v>0</v>
      </c>
      <c r="AC287" s="38">
        <f t="shared" si="157"/>
        <v>0</v>
      </c>
      <c r="AD287" s="38">
        <f t="shared" si="157"/>
        <v>0</v>
      </c>
      <c r="AE287" s="38">
        <f t="shared" si="157"/>
        <v>0</v>
      </c>
      <c r="AF287" s="38">
        <f t="shared" si="157"/>
        <v>0</v>
      </c>
      <c r="AG287" s="38">
        <f t="shared" si="157"/>
        <v>0</v>
      </c>
      <c r="AH287" s="38">
        <f t="shared" si="157"/>
        <v>0</v>
      </c>
      <c r="AI287" s="38">
        <f t="shared" si="157"/>
        <v>0</v>
      </c>
      <c r="AJ287" s="38">
        <f t="shared" si="157"/>
        <v>0</v>
      </c>
      <c r="AK287" s="38">
        <f t="shared" si="157"/>
        <v>0</v>
      </c>
      <c r="AL287" s="38">
        <f t="shared" si="157"/>
        <v>0</v>
      </c>
      <c r="AM287" s="38">
        <f t="shared" si="157"/>
        <v>0</v>
      </c>
      <c r="AN287" s="38">
        <f t="shared" si="157"/>
        <v>0</v>
      </c>
      <c r="AO287" s="38">
        <f t="shared" si="157"/>
        <v>0</v>
      </c>
      <c r="AP287" s="38">
        <f t="shared" si="157"/>
        <v>0</v>
      </c>
      <c r="AQ287" s="38">
        <f t="shared" si="157"/>
        <v>0</v>
      </c>
      <c r="AR287" s="38">
        <f t="shared" si="157"/>
        <v>0</v>
      </c>
      <c r="AS287" s="38">
        <f t="shared" si="157"/>
        <v>0</v>
      </c>
      <c r="AT287" s="38">
        <f t="shared" si="157"/>
        <v>0</v>
      </c>
      <c r="AU287" s="38">
        <f t="shared" si="157"/>
        <v>0</v>
      </c>
    </row>
    <row r="288" spans="1:47" ht="15.75" hidden="1" customHeight="1" outlineLevel="1">
      <c r="A288" s="1" t="s">
        <v>330</v>
      </c>
      <c r="C288" s="143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-8800753820.9436283</v>
      </c>
      <c r="G288" s="32">
        <f>_xll.DBRW($C$1,$C$2,$C$3,$C$4,$C$6,$C$5,$C$7,G$1,G$2,$A288)</f>
        <v>-2171860146.5074577</v>
      </c>
      <c r="H288" s="32">
        <f>_xll.DBRW($C$1,$C$2,$C$3,$C$4,$C$6,$C$5,$C$7,H$1,H$2,$A288)</f>
        <v>-8262829457.981988</v>
      </c>
      <c r="I288" s="32">
        <f>_xll.DBRW($C$1,$C$2,$C$3,$C$4,$C$6,$C$5,$C$7,I$1,I$2,$A288)</f>
        <v>-21309717.355402298</v>
      </c>
      <c r="J288" s="32">
        <f>_xll.DBRW($C$1,$C$2,$C$3,$C$4,$C$6,$C$5,$C$7,J$1,J$2,$A288)</f>
        <v>-138667605.84047869</v>
      </c>
      <c r="K288" s="32">
        <f>_xll.DBRW($C$1,$C$2,$C$3,$C$4,$C$6,$C$5,$C$7,K$1,K$2,$A288)</f>
        <v>-388764054.74448365</v>
      </c>
      <c r="L288" s="32">
        <f>_xll.DBRW($C$1,$C$2,$C$3,$C$4,$C$6,$C$5,$C$7,L$1,L$2,$A288)</f>
        <v>-407850772.62061584</v>
      </c>
      <c r="M288" s="32">
        <f>_xll.DBRW($C$1,$C$2,$C$3,$C$4,$C$6,$C$5,$C$7,M$1,M$2,$A288)</f>
        <v>-414191662.68527323</v>
      </c>
      <c r="N288" s="32">
        <f>_xll.DBRW($C$1,$C$2,$C$3,$C$4,$C$6,$C$5,$C$7,N$1,N$2,$A288)</f>
        <v>-200984694.09222025</v>
      </c>
      <c r="O288" s="32">
        <f>_xll.DBRW($C$1,$C$2,$C$3,$C$4,$C$6,$C$5,$C$7,O$1,O$2,$A288)</f>
        <v>-63000521.993521214</v>
      </c>
      <c r="P288" s="32">
        <f>_xll.DBRW($C$1,$C$2,$C$3,$C$4,$C$6,$C$5,$C$7,P$1,P$2,$A288)</f>
        <v>-260961236.79004991</v>
      </c>
      <c r="Q288" s="32">
        <f>_xll.DBRW($C$1,$C$2,$C$3,$C$4,$C$6,$C$5,$C$7,Q$1,Q$2,$A288)</f>
        <v>-358563852.02925646</v>
      </c>
      <c r="R288" s="32">
        <f>_xll.DBRW($C$1,$C$2,$C$3,$C$4,$C$6,$C$5,$C$7,R$1,R$2,$A288)</f>
        <v>-44778589.421511635</v>
      </c>
      <c r="S288" s="32">
        <f>_xll.DBRW($C$1,$C$2,$C$3,$C$4,$C$6,$C$5,$C$7,S$1,S$2,$A288)</f>
        <v>-793543955.63108397</v>
      </c>
      <c r="T288" s="32">
        <f>_xll.DBRW($C$1,$C$2,$C$3,$C$4,$C$6,$C$5,$C$7,T$1,T$2,$A288)</f>
        <v>-1894719432.2161109</v>
      </c>
      <c r="U288" s="32">
        <f>_xll.DBRW($C$1,$C$2,$C$3,$C$4,$C$6,$C$5,$C$7,U$1,U$2,$A288)</f>
        <v>-1894719432.2161109</v>
      </c>
      <c r="V288" s="32">
        <f>_xll.DBRW($C$1,$C$2,$C$3,$C$4,$C$6,$C$5,$C$7,V$1,V$2,$A288)</f>
        <v>0</v>
      </c>
      <c r="W288" s="32">
        <f>_xll.DBRW($C$1,$C$2,$C$3,$C$4,$C$6,$C$5,$C$7,W$1,W$2,$A288)</f>
        <v>0</v>
      </c>
      <c r="X288" s="32">
        <f>_xll.DBRW($C$1,$C$2,$C$3,$C$4,$C$6,$C$5,$C$7,X$1,X$2,$A288)</f>
        <v>0</v>
      </c>
      <c r="Y288" s="32">
        <f>_xll.DBRW($C$1,$C$2,$C$3,$C$4,$C$6,$C$5,$C$7,Y$1,Y$2,$A288)</f>
        <v>0</v>
      </c>
      <c r="Z288" s="32">
        <f>_xll.DBRW($C$1,$C$2,$C$3,$C$4,$C$6,$C$5,$C$7,Z$1,Z$2,$A288)</f>
        <v>0</v>
      </c>
      <c r="AA288" s="32">
        <f>_xll.DBRW($C$1,$C$2,$C$3,$C$4,$C$6,$C$5,$C$7,AA$1,AA$2,$A288)</f>
        <v>0</v>
      </c>
      <c r="AB288" s="32">
        <f>_xll.DBRW($C$1,$C$2,$C$3,$C$4,$C$6,$C$5,$C$7,AB$1,AB$2,$A288)</f>
        <v>0</v>
      </c>
      <c r="AC288" s="32">
        <f>_xll.DBRW($C$1,$C$2,$C$3,$C$4,$C$6,$C$5,$C$7,AC$1,AC$2,$A288)</f>
        <v>0</v>
      </c>
      <c r="AD288" s="32">
        <f>_xll.DBRW($C$1,$C$2,$C$3,$C$4,$C$6,$C$5,$C$7,AD$1,AD$2,$A288)</f>
        <v>0</v>
      </c>
      <c r="AE288" s="32">
        <f>_xll.DBRW($C$1,$C$2,$C$3,$C$4,$C$6,$C$5,$C$7,AE$1,AE$2,$A288)</f>
        <v>0</v>
      </c>
      <c r="AF288" s="32">
        <f>_xll.DBRW($C$1,$C$2,$C$3,$C$4,$C$6,$C$5,$C$7,AF$1,AF$2,$A288)</f>
        <v>0</v>
      </c>
      <c r="AG288" s="32">
        <f>_xll.DBRW($C$1,$C$2,$C$3,$C$4,$C$6,$C$5,$C$7,AG$1,AG$2,$A288)</f>
        <v>0</v>
      </c>
      <c r="AH288" s="32">
        <f>_xll.DBRW($C$1,$C$2,$C$3,$C$4,$C$6,$C$5,$C$7,AH$1,AH$2,$A288)</f>
        <v>0</v>
      </c>
      <c r="AI288" s="32">
        <f>_xll.DBRW($C$1,$C$2,$C$3,$C$4,$C$6,$C$5,$C$7,AI$1,AI$2,$A288)</f>
        <v>0</v>
      </c>
      <c r="AJ288" s="32">
        <f>_xll.DBRW($C$1,$C$2,$C$3,$C$4,$C$6,$C$5,$C$7,AJ$1,AJ$2,$A288)</f>
        <v>0</v>
      </c>
      <c r="AK288" s="32">
        <f>_xll.DBRW($C$1,$C$2,$C$3,$C$4,$C$6,$C$5,$C$7,AK$1,AK$2,$A288)</f>
        <v>0</v>
      </c>
      <c r="AL288" s="32">
        <f>_xll.DBRW($C$1,$C$2,$C$3,$C$4,$C$6,$C$5,$C$7,AL$1,AL$2,$A288)</f>
        <v>0</v>
      </c>
      <c r="AM288" s="32">
        <f>_xll.DBRW($C$1,$C$2,$C$3,$C$4,$C$6,$C$5,$C$7,AM$1,AM$2,$A288)</f>
        <v>0</v>
      </c>
      <c r="AN288" s="32">
        <f>_xll.DBRW($C$1,$C$2,$C$3,$C$4,$C$6,$C$5,$C$7,AN$1,AN$2,$A288)</f>
        <v>0</v>
      </c>
      <c r="AO288" s="32">
        <f>_xll.DBRW($C$1,$C$2,$C$3,$C$4,$C$6,$C$5,$C$7,AO$1,AO$2,$A288)</f>
        <v>0</v>
      </c>
      <c r="AP288" s="32">
        <f>_xll.DBRW($C$1,$C$2,$C$3,$C$4,$C$6,$C$5,$C$7,AP$1,AP$2,$A288)</f>
        <v>0</v>
      </c>
      <c r="AQ288" s="32">
        <f>_xll.DBRW($C$1,$C$2,$C$3,$C$4,$C$6,$C$5,$C$7,AQ$1,AQ$2,$A288)</f>
        <v>0</v>
      </c>
      <c r="AR288" s="32">
        <f>_xll.DBRW($C$1,$C$2,$C$3,$C$4,$C$6,$C$5,$C$7,AR$1,AR$2,$A288)</f>
        <v>0</v>
      </c>
      <c r="AS288" s="32">
        <f>_xll.DBRW($C$1,$C$2,$C$3,$C$4,$C$6,$C$5,$C$7,AS$1,AS$2,$A288)</f>
        <v>0</v>
      </c>
      <c r="AT288" s="32">
        <f>_xll.DBRW($C$1,$C$2,$C$3,$C$4,$C$6,$C$5,$C$7,AT$1,AT$2,$A288)</f>
        <v>0</v>
      </c>
      <c r="AU288" s="32">
        <f>_xll.DBRW($C$1,$C$2,$C$3,$C$4,$C$6,$C$5,$C$7,AU$1,AU$2,$A288)</f>
        <v>0</v>
      </c>
    </row>
    <row r="289" spans="1:47" ht="15.75" hidden="1" customHeight="1" outlineLevel="1">
      <c r="A289" s="1" t="s">
        <v>331</v>
      </c>
      <c r="C289" s="143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429722307.29207128</v>
      </c>
      <c r="G289" s="32">
        <f>_xll.DBRW($C$1,$C$2,$C$3,$C$4,$C$6,$C$5,$C$7,G$1,G$2,$A289)</f>
        <v>466757339.88555044</v>
      </c>
      <c r="H289" s="32">
        <f>_xll.DBRW($C$1,$C$2,$C$3,$C$4,$C$6,$C$5,$C$7,H$1,H$2,$A289)</f>
        <v>336806186.01242054</v>
      </c>
      <c r="I289" s="32">
        <f>_xll.DBRW($C$1,$C$2,$C$3,$C$4,$C$6,$C$5,$C$7,I$1,I$2,$A289)</f>
        <v>81000</v>
      </c>
      <c r="J289" s="32">
        <f>_xll.DBRW($C$1,$C$2,$C$3,$C$4,$C$6,$C$5,$C$7,J$1,J$2,$A289)</f>
        <v>144536410.74231812</v>
      </c>
      <c r="K289" s="32">
        <f>_xll.DBRW($C$1,$C$2,$C$3,$C$4,$C$6,$C$5,$C$7,K$1,K$2,$A289)</f>
        <v>172140437.29953665</v>
      </c>
      <c r="L289" s="32">
        <f>_xll.DBRW($C$1,$C$2,$C$3,$C$4,$C$6,$C$5,$C$7,L$1,L$2,$A289)</f>
        <v>229143088.11309239</v>
      </c>
      <c r="M289" s="32">
        <f>_xll.DBRW($C$1,$C$2,$C$3,$C$4,$C$6,$C$5,$C$7,M$1,M$2,$A289)</f>
        <v>268032104.5049527</v>
      </c>
      <c r="N289" s="32">
        <f>_xll.DBRW($C$1,$C$2,$C$3,$C$4,$C$6,$C$5,$C$7,N$1,N$2,$A289)</f>
        <v>336464892.30551922</v>
      </c>
      <c r="O289" s="32">
        <f>_xll.DBRW($C$1,$C$2,$C$3,$C$4,$C$6,$C$5,$C$7,O$1,O$2,$A289)</f>
        <v>2679647.0204875469</v>
      </c>
      <c r="P289" s="32">
        <f>_xll.DBRW($C$1,$C$2,$C$3,$C$4,$C$6,$C$5,$C$7,P$1,P$2,$A289)</f>
        <v>344025068.33014774</v>
      </c>
      <c r="Q289" s="32">
        <f>_xll.DBRW($C$1,$C$2,$C$3,$C$4,$C$6,$C$5,$C$7,Q$1,Q$2,$A289)</f>
        <v>239161745.23413324</v>
      </c>
      <c r="R289" s="32">
        <f>_xll.DBRW($C$1,$C$2,$C$3,$C$4,$C$6,$C$5,$C$7,R$1,R$2,$A289)</f>
        <v>3711075.2318764627</v>
      </c>
      <c r="S289" s="32">
        <f>_xll.DBRW($C$1,$C$2,$C$3,$C$4,$C$6,$C$5,$C$7,S$1,S$2,$A289)</f>
        <v>67247747.638144344</v>
      </c>
      <c r="T289" s="32">
        <f>_xll.DBRW($C$1,$C$2,$C$3,$C$4,$C$6,$C$5,$C$7,T$1,T$2,$A289)</f>
        <v>52257345.203582905</v>
      </c>
      <c r="U289" s="32">
        <f>_xll.DBRW($C$1,$C$2,$C$3,$C$4,$C$6,$C$5,$C$7,U$1,U$2,$A289)</f>
        <v>52257345.203582905</v>
      </c>
      <c r="V289" s="32">
        <f>_xll.DBRW($C$1,$C$2,$C$3,$C$4,$C$6,$C$5,$C$7,V$1,V$2,$A289)</f>
        <v>0</v>
      </c>
      <c r="W289" s="32">
        <f>_xll.DBRW($C$1,$C$2,$C$3,$C$4,$C$6,$C$5,$C$7,W$1,W$2,$A289)</f>
        <v>0</v>
      </c>
      <c r="X289" s="32">
        <f>_xll.DBRW($C$1,$C$2,$C$3,$C$4,$C$6,$C$5,$C$7,X$1,X$2,$A289)</f>
        <v>0</v>
      </c>
      <c r="Y289" s="32">
        <f>_xll.DBRW($C$1,$C$2,$C$3,$C$4,$C$6,$C$5,$C$7,Y$1,Y$2,$A289)</f>
        <v>0</v>
      </c>
      <c r="Z289" s="32">
        <f>_xll.DBRW($C$1,$C$2,$C$3,$C$4,$C$6,$C$5,$C$7,Z$1,Z$2,$A289)</f>
        <v>0</v>
      </c>
      <c r="AA289" s="32">
        <f>_xll.DBRW($C$1,$C$2,$C$3,$C$4,$C$6,$C$5,$C$7,AA$1,AA$2,$A289)</f>
        <v>0</v>
      </c>
      <c r="AB289" s="32">
        <f>_xll.DBRW($C$1,$C$2,$C$3,$C$4,$C$6,$C$5,$C$7,AB$1,AB$2,$A289)</f>
        <v>0</v>
      </c>
      <c r="AC289" s="32">
        <f>_xll.DBRW($C$1,$C$2,$C$3,$C$4,$C$6,$C$5,$C$7,AC$1,AC$2,$A289)</f>
        <v>0</v>
      </c>
      <c r="AD289" s="32">
        <f>_xll.DBRW($C$1,$C$2,$C$3,$C$4,$C$6,$C$5,$C$7,AD$1,AD$2,$A289)</f>
        <v>0</v>
      </c>
      <c r="AE289" s="32">
        <f>_xll.DBRW($C$1,$C$2,$C$3,$C$4,$C$6,$C$5,$C$7,AE$1,AE$2,$A289)</f>
        <v>0</v>
      </c>
      <c r="AF289" s="32">
        <f>_xll.DBRW($C$1,$C$2,$C$3,$C$4,$C$6,$C$5,$C$7,AF$1,AF$2,$A289)</f>
        <v>0</v>
      </c>
      <c r="AG289" s="32">
        <f>_xll.DBRW($C$1,$C$2,$C$3,$C$4,$C$6,$C$5,$C$7,AG$1,AG$2,$A289)</f>
        <v>0</v>
      </c>
      <c r="AH289" s="32">
        <f>_xll.DBRW($C$1,$C$2,$C$3,$C$4,$C$6,$C$5,$C$7,AH$1,AH$2,$A289)</f>
        <v>0</v>
      </c>
      <c r="AI289" s="32">
        <f>_xll.DBRW($C$1,$C$2,$C$3,$C$4,$C$6,$C$5,$C$7,AI$1,AI$2,$A289)</f>
        <v>0</v>
      </c>
      <c r="AJ289" s="32">
        <f>_xll.DBRW($C$1,$C$2,$C$3,$C$4,$C$6,$C$5,$C$7,AJ$1,AJ$2,$A289)</f>
        <v>0</v>
      </c>
      <c r="AK289" s="32">
        <f>_xll.DBRW($C$1,$C$2,$C$3,$C$4,$C$6,$C$5,$C$7,AK$1,AK$2,$A289)</f>
        <v>0</v>
      </c>
      <c r="AL289" s="32">
        <f>_xll.DBRW($C$1,$C$2,$C$3,$C$4,$C$6,$C$5,$C$7,AL$1,AL$2,$A289)</f>
        <v>0</v>
      </c>
      <c r="AM289" s="32">
        <f>_xll.DBRW($C$1,$C$2,$C$3,$C$4,$C$6,$C$5,$C$7,AM$1,AM$2,$A289)</f>
        <v>0</v>
      </c>
      <c r="AN289" s="32">
        <f>_xll.DBRW($C$1,$C$2,$C$3,$C$4,$C$6,$C$5,$C$7,AN$1,AN$2,$A289)</f>
        <v>0</v>
      </c>
      <c r="AO289" s="32">
        <f>_xll.DBRW($C$1,$C$2,$C$3,$C$4,$C$6,$C$5,$C$7,AO$1,AO$2,$A289)</f>
        <v>0</v>
      </c>
      <c r="AP289" s="32">
        <f>_xll.DBRW($C$1,$C$2,$C$3,$C$4,$C$6,$C$5,$C$7,AP$1,AP$2,$A289)</f>
        <v>0</v>
      </c>
      <c r="AQ289" s="32">
        <f>_xll.DBRW($C$1,$C$2,$C$3,$C$4,$C$6,$C$5,$C$7,AQ$1,AQ$2,$A289)</f>
        <v>0</v>
      </c>
      <c r="AR289" s="32">
        <f>_xll.DBRW($C$1,$C$2,$C$3,$C$4,$C$6,$C$5,$C$7,AR$1,AR$2,$A289)</f>
        <v>0</v>
      </c>
      <c r="AS289" s="32">
        <f>_xll.DBRW($C$1,$C$2,$C$3,$C$4,$C$6,$C$5,$C$7,AS$1,AS$2,$A289)</f>
        <v>0</v>
      </c>
      <c r="AT289" s="32">
        <f>_xll.DBRW($C$1,$C$2,$C$3,$C$4,$C$6,$C$5,$C$7,AT$1,AT$2,$A289)</f>
        <v>0</v>
      </c>
      <c r="AU289" s="32">
        <f>_xll.DBRW($C$1,$C$2,$C$3,$C$4,$C$6,$C$5,$C$7,AU$1,AU$2,$A289)</f>
        <v>0</v>
      </c>
    </row>
    <row r="290" spans="1:47" ht="15.75" collapsed="1">
      <c r="C290" s="143"/>
      <c r="E290" s="83" t="s">
        <v>71</v>
      </c>
      <c r="F290" s="124">
        <f t="shared" ref="F290:T290" si="158">SUM(F288:F289)</f>
        <v>-8371031513.651557</v>
      </c>
      <c r="G290" s="124">
        <f t="shared" si="158"/>
        <v>-1705102806.6219072</v>
      </c>
      <c r="H290" s="124">
        <f t="shared" si="158"/>
        <v>-7926023271.9695673</v>
      </c>
      <c r="I290" s="124">
        <f t="shared" si="158"/>
        <v>-21228717.355402298</v>
      </c>
      <c r="J290" s="124">
        <f t="shared" si="158"/>
        <v>5868804.9018394351</v>
      </c>
      <c r="K290" s="124">
        <f t="shared" si="158"/>
        <v>-216623617.444947</v>
      </c>
      <c r="L290" s="124">
        <f t="shared" si="158"/>
        <v>-178707684.50752345</v>
      </c>
      <c r="M290" s="124">
        <f t="shared" si="158"/>
        <v>-146159558.18032053</v>
      </c>
      <c r="N290" s="124">
        <f t="shared" si="158"/>
        <v>135480198.21329898</v>
      </c>
      <c r="O290" s="124">
        <f t="shared" si="158"/>
        <v>-60320874.973033667</v>
      </c>
      <c r="P290" s="124">
        <f t="shared" si="158"/>
        <v>83063831.540097833</v>
      </c>
      <c r="Q290" s="124">
        <f t="shared" si="158"/>
        <v>-119402106.79512322</v>
      </c>
      <c r="R290" s="124">
        <f t="shared" si="158"/>
        <v>-41067514.189635172</v>
      </c>
      <c r="S290" s="124">
        <f t="shared" si="158"/>
        <v>-726296207.99293959</v>
      </c>
      <c r="T290" s="124">
        <f t="shared" si="158"/>
        <v>-1842462087.0125279</v>
      </c>
      <c r="U290" s="124">
        <f>SUM(U288:U289)</f>
        <v>-1842462087.0125279</v>
      </c>
      <c r="V290" s="124">
        <f t="shared" ref="V290:AG290" si="159">SUM(V288:V289)</f>
        <v>0</v>
      </c>
      <c r="W290" s="124">
        <f t="shared" si="159"/>
        <v>0</v>
      </c>
      <c r="X290" s="124">
        <f t="shared" si="159"/>
        <v>0</v>
      </c>
      <c r="Y290" s="124">
        <f t="shared" si="159"/>
        <v>0</v>
      </c>
      <c r="Z290" s="124">
        <f t="shared" si="159"/>
        <v>0</v>
      </c>
      <c r="AA290" s="124">
        <f t="shared" si="159"/>
        <v>0</v>
      </c>
      <c r="AB290" s="124">
        <f t="shared" si="159"/>
        <v>0</v>
      </c>
      <c r="AC290" s="124">
        <f t="shared" si="159"/>
        <v>0</v>
      </c>
      <c r="AD290" s="124">
        <f t="shared" si="159"/>
        <v>0</v>
      </c>
      <c r="AE290" s="124">
        <f t="shared" si="159"/>
        <v>0</v>
      </c>
      <c r="AF290" s="124">
        <f t="shared" si="159"/>
        <v>0</v>
      </c>
      <c r="AG290" s="124">
        <f t="shared" si="159"/>
        <v>0</v>
      </c>
      <c r="AH290" s="124">
        <f>SUM(AH288:AH289)</f>
        <v>0</v>
      </c>
      <c r="AI290" s="124">
        <f t="shared" ref="AI290:AT290" si="160">SUM(AI288:AI289)</f>
        <v>0</v>
      </c>
      <c r="AJ290" s="124">
        <f t="shared" si="160"/>
        <v>0</v>
      </c>
      <c r="AK290" s="124">
        <f t="shared" si="160"/>
        <v>0</v>
      </c>
      <c r="AL290" s="124">
        <f t="shared" si="160"/>
        <v>0</v>
      </c>
      <c r="AM290" s="124">
        <f t="shared" si="160"/>
        <v>0</v>
      </c>
      <c r="AN290" s="124">
        <f t="shared" si="160"/>
        <v>0</v>
      </c>
      <c r="AO290" s="124">
        <f t="shared" si="160"/>
        <v>0</v>
      </c>
      <c r="AP290" s="124">
        <f t="shared" si="160"/>
        <v>0</v>
      </c>
      <c r="AQ290" s="124">
        <f t="shared" si="160"/>
        <v>0</v>
      </c>
      <c r="AR290" s="124">
        <f t="shared" si="160"/>
        <v>0</v>
      </c>
      <c r="AS290" s="124">
        <f t="shared" si="160"/>
        <v>0</v>
      </c>
      <c r="AT290" s="124">
        <f t="shared" si="160"/>
        <v>0</v>
      </c>
      <c r="AU290" s="124">
        <f>SUM(AU288:AU289)</f>
        <v>0</v>
      </c>
    </row>
    <row r="291" spans="1:47" ht="15.75">
      <c r="A291" s="1" t="s">
        <v>127</v>
      </c>
      <c r="C291" s="143"/>
      <c r="E291" s="120" t="s">
        <v>72</v>
      </c>
      <c r="F291" s="121">
        <f t="shared" ref="F291:T291" si="161">F281+F284+F290</f>
        <v>-12539122184.232065</v>
      </c>
      <c r="G291" s="121">
        <f t="shared" si="161"/>
        <v>-5130945774.3684177</v>
      </c>
      <c r="H291" s="121">
        <f t="shared" si="161"/>
        <v>-9422610707.4014511</v>
      </c>
      <c r="I291" s="121">
        <f t="shared" si="161"/>
        <v>-23712022.891060099</v>
      </c>
      <c r="J291" s="121">
        <f t="shared" si="161"/>
        <v>-56103617.911734045</v>
      </c>
      <c r="K291" s="121">
        <f t="shared" si="161"/>
        <v>-313320921.88714504</v>
      </c>
      <c r="L291" s="121">
        <f t="shared" si="161"/>
        <v>-534886931.61458683</v>
      </c>
      <c r="M291" s="121">
        <f t="shared" si="161"/>
        <v>-563661167.81285787</v>
      </c>
      <c r="N291" s="121">
        <f t="shared" si="161"/>
        <v>-1188542625.4917052</v>
      </c>
      <c r="O291" s="121">
        <f t="shared" si="161"/>
        <v>-158335211.4094159</v>
      </c>
      <c r="P291" s="121">
        <f t="shared" si="161"/>
        <v>-2059314228.3214016</v>
      </c>
      <c r="Q291" s="121">
        <f t="shared" si="161"/>
        <v>-2630389888.3667703</v>
      </c>
      <c r="R291" s="121">
        <f t="shared" si="161"/>
        <v>-132816647.82423075</v>
      </c>
      <c r="S291" s="121">
        <f t="shared" si="161"/>
        <v>-7131118192.7746906</v>
      </c>
      <c r="T291" s="121">
        <f t="shared" si="161"/>
        <v>-7921132797.749136</v>
      </c>
      <c r="U291" s="121">
        <f>U281+U284+U290</f>
        <v>-7921132797.749136</v>
      </c>
      <c r="V291" s="121">
        <f t="shared" ref="V291:AG291" si="162">V281+V284+V290</f>
        <v>0</v>
      </c>
      <c r="W291" s="121">
        <f t="shared" si="162"/>
        <v>0</v>
      </c>
      <c r="X291" s="121">
        <f t="shared" si="162"/>
        <v>0</v>
      </c>
      <c r="Y291" s="121">
        <f t="shared" si="162"/>
        <v>0</v>
      </c>
      <c r="Z291" s="121">
        <f t="shared" si="162"/>
        <v>0</v>
      </c>
      <c r="AA291" s="121">
        <f t="shared" si="162"/>
        <v>0</v>
      </c>
      <c r="AB291" s="121">
        <f t="shared" si="162"/>
        <v>0</v>
      </c>
      <c r="AC291" s="121">
        <f t="shared" si="162"/>
        <v>0</v>
      </c>
      <c r="AD291" s="121">
        <f t="shared" si="162"/>
        <v>0</v>
      </c>
      <c r="AE291" s="121">
        <f t="shared" si="162"/>
        <v>0</v>
      </c>
      <c r="AF291" s="121">
        <f t="shared" si="162"/>
        <v>0</v>
      </c>
      <c r="AG291" s="121">
        <f t="shared" si="162"/>
        <v>0</v>
      </c>
      <c r="AH291" s="121">
        <f>AH281+AH284+AH290</f>
        <v>0</v>
      </c>
      <c r="AI291" s="121">
        <f t="shared" ref="AI291:AT291" si="163">AI281+AI284+AI290</f>
        <v>0</v>
      </c>
      <c r="AJ291" s="121">
        <f t="shared" si="163"/>
        <v>0</v>
      </c>
      <c r="AK291" s="121">
        <f t="shared" si="163"/>
        <v>0</v>
      </c>
      <c r="AL291" s="121">
        <f t="shared" si="163"/>
        <v>0</v>
      </c>
      <c r="AM291" s="121">
        <f t="shared" si="163"/>
        <v>0</v>
      </c>
      <c r="AN291" s="121">
        <f t="shared" si="163"/>
        <v>0</v>
      </c>
      <c r="AO291" s="121">
        <f t="shared" si="163"/>
        <v>0</v>
      </c>
      <c r="AP291" s="121">
        <f t="shared" si="163"/>
        <v>0</v>
      </c>
      <c r="AQ291" s="121">
        <f t="shared" si="163"/>
        <v>0</v>
      </c>
      <c r="AR291" s="121">
        <f t="shared" si="163"/>
        <v>0</v>
      </c>
      <c r="AS291" s="121">
        <f t="shared" si="163"/>
        <v>0</v>
      </c>
      <c r="AT291" s="121">
        <f t="shared" si="163"/>
        <v>0</v>
      </c>
      <c r="AU291" s="121">
        <f>AU281+AU284+AU290</f>
        <v>0</v>
      </c>
    </row>
    <row r="292" spans="1:47" ht="9" customHeight="1">
      <c r="A292" s="1" t="s">
        <v>127</v>
      </c>
      <c r="C292" s="143"/>
      <c r="E292" s="7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</row>
    <row r="293" spans="1:47" ht="15.75">
      <c r="A293" s="1" t="s">
        <v>332</v>
      </c>
      <c r="C293" s="143"/>
      <c r="E293" s="84" t="s">
        <v>73</v>
      </c>
      <c r="F293" s="39">
        <f>_xll.DBRW($C$1,$C$2,$C$3,$C$4,$C$6,$C$5,$C$7,F$1,F$2,$A293)</f>
        <v>53315661774.234505</v>
      </c>
      <c r="G293" s="39">
        <f>_xll.DBRW($C$1,$C$2,$C$3,$C$4,$C$6,$C$5,$C$7,G$1,G$2,$A293)</f>
        <v>49589882496.208572</v>
      </c>
      <c r="H293" s="39">
        <f>_xll.DBRW($C$1,$C$2,$C$3,$C$4,$C$6,$C$5,$C$7,H$1,H$2,$A293)</f>
        <v>48902164704.071556</v>
      </c>
      <c r="I293" s="39">
        <f>_xll.DBRW($C$1,$C$2,$C$3,$C$4,$C$6,$C$5,$C$7,I$1,I$2,$A293)</f>
        <v>48961842081.346642</v>
      </c>
      <c r="J293" s="39">
        <f>_xll.DBRW($C$1,$C$2,$C$3,$C$4,$C$6,$C$5,$C$7,J$1,J$2,$A293)</f>
        <v>48886860410.504509</v>
      </c>
      <c r="K293" s="39">
        <f>_xll.DBRW($C$1,$C$2,$C$3,$C$4,$C$6,$C$5,$C$7,K$1,K$2,$A293)</f>
        <v>42158758377.543159</v>
      </c>
      <c r="L293" s="39">
        <f>_xll.DBRW($C$1,$C$2,$C$3,$C$4,$C$6,$C$5,$C$7,L$1,L$2,$A293)</f>
        <v>54231779035.15728</v>
      </c>
      <c r="M293" s="39">
        <f>_xll.DBRW($C$1,$C$2,$C$3,$C$4,$C$6,$C$5,$C$7,M$1,M$2,$A293)</f>
        <v>43591446510.048096</v>
      </c>
      <c r="N293" s="39">
        <f>_xll.DBRW($C$1,$C$2,$C$3,$C$4,$C$6,$C$5,$C$7,N$1,N$2,$A293)</f>
        <v>49088501476.9375</v>
      </c>
      <c r="O293" s="39">
        <f>_xll.DBRW($C$1,$C$2,$C$3,$C$4,$C$6,$C$5,$C$7,O$1,O$2,$A293)</f>
        <v>48840708996.83638</v>
      </c>
      <c r="P293" s="39">
        <f>_xll.DBRW($C$1,$C$2,$C$3,$C$4,$C$6,$C$5,$C$7,P$1,P$2,$A293)</f>
        <v>32298497585.502422</v>
      </c>
      <c r="Q293" s="39">
        <f>_xll.DBRW($C$1,$C$2,$C$3,$C$4,$C$6,$C$5,$C$7,Q$1,Q$2,$A293)</f>
        <v>38536237948.601501</v>
      </c>
      <c r="R293" s="39">
        <f>_xll.DBRW($C$1,$C$2,$C$3,$C$4,$C$6,$C$5,$C$7,R$1,R$2,$A293)</f>
        <v>48818869477.901299</v>
      </c>
      <c r="S293" s="39">
        <f>_xll.DBRW($C$1,$C$2,$C$3,$C$4,$C$6,$C$5,$C$7,S$1,S$2,$A293)</f>
        <v>37638484405.304611</v>
      </c>
      <c r="T293" s="39">
        <f>_xll.DBRW($C$1,$C$2,$C$3,$C$4,$C$6,$C$5,$C$7,T$1,T$2,$A293)</f>
        <v>37785477242.150818</v>
      </c>
      <c r="U293" s="39">
        <f>_xll.DBRW($C$1,$C$2,$C$3,$C$4,$C$6,$C$5,$C$7,U$1,U$2,$A293)</f>
        <v>37785477242.150818</v>
      </c>
      <c r="V293" s="39">
        <f>_xll.DBRW($C$1,$C$2,$C$3,$C$4,$C$6,$C$5,$C$7,V$1,V$2,$A293)</f>
        <v>0</v>
      </c>
      <c r="W293" s="39">
        <f>_xll.DBRW($C$1,$C$2,$C$3,$C$4,$C$6,$C$5,$C$7,W$1,W$2,$A293)</f>
        <v>0</v>
      </c>
      <c r="X293" s="39">
        <f>_xll.DBRW($C$1,$C$2,$C$3,$C$4,$C$6,$C$5,$C$7,X$1,X$2,$A293)</f>
        <v>0</v>
      </c>
      <c r="Y293" s="39">
        <f>_xll.DBRW($C$1,$C$2,$C$3,$C$4,$C$6,$C$5,$C$7,Y$1,Y$2,$A293)</f>
        <v>0</v>
      </c>
      <c r="Z293" s="39">
        <f>_xll.DBRW($C$1,$C$2,$C$3,$C$4,$C$6,$C$5,$C$7,Z$1,Z$2,$A293)</f>
        <v>0</v>
      </c>
      <c r="AA293" s="39">
        <f>_xll.DBRW($C$1,$C$2,$C$3,$C$4,$C$6,$C$5,$C$7,AA$1,AA$2,$A293)</f>
        <v>0</v>
      </c>
      <c r="AB293" s="39">
        <f>_xll.DBRW($C$1,$C$2,$C$3,$C$4,$C$6,$C$5,$C$7,AB$1,AB$2,$A293)</f>
        <v>0</v>
      </c>
      <c r="AC293" s="39">
        <f>_xll.DBRW($C$1,$C$2,$C$3,$C$4,$C$6,$C$5,$C$7,AC$1,AC$2,$A293)</f>
        <v>0</v>
      </c>
      <c r="AD293" s="39">
        <f>_xll.DBRW($C$1,$C$2,$C$3,$C$4,$C$6,$C$5,$C$7,AD$1,AD$2,$A293)</f>
        <v>0</v>
      </c>
      <c r="AE293" s="39">
        <f>_xll.DBRW($C$1,$C$2,$C$3,$C$4,$C$6,$C$5,$C$7,AE$1,AE$2,$A293)</f>
        <v>0</v>
      </c>
      <c r="AF293" s="39">
        <f>_xll.DBRW($C$1,$C$2,$C$3,$C$4,$C$6,$C$5,$C$7,AF$1,AF$2,$A293)</f>
        <v>0</v>
      </c>
      <c r="AG293" s="39">
        <f>_xll.DBRW($C$1,$C$2,$C$3,$C$4,$C$6,$C$5,$C$7,AG$1,AG$2,$A293)</f>
        <v>0</v>
      </c>
      <c r="AH293" s="39">
        <f>_xll.DBRW($C$1,$C$2,$C$3,$C$4,$C$6,$C$5,$C$7,AH$1,AH$2,$A293)</f>
        <v>0</v>
      </c>
      <c r="AI293" s="39">
        <f>_xll.DBRW($C$1,$C$2,$C$3,$C$4,$C$6,$C$5,$C$7,AI$1,AI$2,$A293)</f>
        <v>0</v>
      </c>
      <c r="AJ293" s="39">
        <f>_xll.DBRW($C$1,$C$2,$C$3,$C$4,$C$6,$C$5,$C$7,AJ$1,AJ$2,$A293)</f>
        <v>0</v>
      </c>
      <c r="AK293" s="39">
        <f>_xll.DBRW($C$1,$C$2,$C$3,$C$4,$C$6,$C$5,$C$7,AK$1,AK$2,$A293)</f>
        <v>0</v>
      </c>
      <c r="AL293" s="39">
        <f>_xll.DBRW($C$1,$C$2,$C$3,$C$4,$C$6,$C$5,$C$7,AL$1,AL$2,$A293)</f>
        <v>0</v>
      </c>
      <c r="AM293" s="39">
        <f>_xll.DBRW($C$1,$C$2,$C$3,$C$4,$C$6,$C$5,$C$7,AM$1,AM$2,$A293)</f>
        <v>0</v>
      </c>
      <c r="AN293" s="39">
        <f>_xll.DBRW($C$1,$C$2,$C$3,$C$4,$C$6,$C$5,$C$7,AN$1,AN$2,$A293)</f>
        <v>0</v>
      </c>
      <c r="AO293" s="39">
        <f>_xll.DBRW($C$1,$C$2,$C$3,$C$4,$C$6,$C$5,$C$7,AO$1,AO$2,$A293)</f>
        <v>0</v>
      </c>
      <c r="AP293" s="39">
        <f>_xll.DBRW($C$1,$C$2,$C$3,$C$4,$C$6,$C$5,$C$7,AP$1,AP$2,$A293)</f>
        <v>0</v>
      </c>
      <c r="AQ293" s="39">
        <f>_xll.DBRW($C$1,$C$2,$C$3,$C$4,$C$6,$C$5,$C$7,AQ$1,AQ$2,$A293)</f>
        <v>0</v>
      </c>
      <c r="AR293" s="39">
        <f>_xll.DBRW($C$1,$C$2,$C$3,$C$4,$C$6,$C$5,$C$7,AR$1,AR$2,$A293)</f>
        <v>0</v>
      </c>
      <c r="AS293" s="39">
        <f>_xll.DBRW($C$1,$C$2,$C$3,$C$4,$C$6,$C$5,$C$7,AS$1,AS$2,$A293)</f>
        <v>0</v>
      </c>
      <c r="AT293" s="39">
        <f>_xll.DBRW($C$1,$C$2,$C$3,$C$4,$C$6,$C$5,$C$7,AT$1,AT$2,$A293)</f>
        <v>0</v>
      </c>
      <c r="AU293" s="39">
        <f>_xll.DBRW($C$1,$C$2,$C$3,$C$4,$C$6,$C$5,$C$7,AU$1,AU$2,$A293)</f>
        <v>0</v>
      </c>
    </row>
    <row r="294" spans="1:47" ht="15.75">
      <c r="A294" s="1" t="s">
        <v>371</v>
      </c>
      <c r="C294" s="143"/>
      <c r="E294" s="120" t="str">
        <f>_xll.DBRW(Server&amp;"}ElementAttributes_Indicator",A294,"code_English")</f>
        <v>ROCE - RETURN ON CAPITAL EMPLOYED</v>
      </c>
      <c r="F294" s="125">
        <f>_xll.DBRW($C$1,$C$2,$C$3,$C$4,$C$6,$C$5,$C$7,F$1,F$2,$A294)</f>
        <v>49.86036439246778</v>
      </c>
      <c r="G294" s="125">
        <f>_xll.DBRW($C$1,$C$2,$C$3,$C$4,$C$6,$C$5,$C$7,G$1,G$2,$A294)</f>
        <v>-316.00426523701958</v>
      </c>
      <c r="H294" s="125">
        <f>_xll.DBRW($C$1,$C$2,$C$3,$C$4,$C$6,$C$5,$C$7,H$1,H$2,$A294)</f>
        <v>203.50779703845214</v>
      </c>
      <c r="I294" s="125">
        <f>_xll.DBRW($C$1,$C$2,$C$3,$C$4,$C$6,$C$5,$C$7,I$1,I$2,$A294)</f>
        <v>3.0677489716841984</v>
      </c>
      <c r="J294" s="125">
        <f>_xll.DBRW($C$1,$C$2,$C$3,$C$4,$C$6,$C$5,$C$7,J$1,J$2,$A294)</f>
        <v>28.447867285711272</v>
      </c>
      <c r="K294" s="125">
        <f>_xll.DBRW($C$1,$C$2,$C$3,$C$4,$C$6,$C$5,$C$7,K$1,K$2,$A294)</f>
        <v>-20.899173894169284</v>
      </c>
      <c r="L294" s="125">
        <f>_xll.DBRW($C$1,$C$2,$C$3,$C$4,$C$6,$C$5,$C$7,L$1,L$2,$A294)</f>
        <v>-5.473721139614705</v>
      </c>
      <c r="M294" s="125">
        <f>_xll.DBRW($C$1,$C$2,$C$3,$C$4,$C$6,$C$5,$C$7,M$1,M$2,$A294)</f>
        <v>21.698216105271861</v>
      </c>
      <c r="N294" s="125">
        <f>_xll.DBRW($C$1,$C$2,$C$3,$C$4,$C$6,$C$5,$C$7,N$1,N$2,$A294)</f>
        <v>106.12356312675504</v>
      </c>
      <c r="O294" s="125">
        <f>_xll.DBRW($C$1,$C$2,$C$3,$C$4,$C$6,$C$5,$C$7,O$1,O$2,$A294)</f>
        <v>71.219580324282092</v>
      </c>
      <c r="P294" s="125">
        <f>_xll.DBRW($C$1,$C$2,$C$3,$C$4,$C$6,$C$5,$C$7,P$1,P$2,$A294)</f>
        <v>172.86813998387726</v>
      </c>
      <c r="Q294" s="125">
        <f>_xll.DBRW($C$1,$C$2,$C$3,$C$4,$C$6,$C$5,$C$7,Q$1,Q$2,$A294)</f>
        <v>194.57481373762965</v>
      </c>
      <c r="R294" s="125">
        <f>_xll.DBRW($C$1,$C$2,$C$3,$C$4,$C$6,$C$5,$C$7,R$1,R$2,$A294)</f>
        <v>165.37054402814442</v>
      </c>
      <c r="S294" s="125">
        <f>_xll.DBRW($C$1,$C$2,$C$3,$C$4,$C$6,$C$5,$C$7,S$1,S$2,$A294)</f>
        <v>-492.14042651113914</v>
      </c>
      <c r="T294" s="125">
        <f>_xll.DBRW($C$1,$C$2,$C$3,$C$4,$C$6,$C$5,$C$7,T$1,T$2,$A294)</f>
        <v>-489.57015757561038</v>
      </c>
      <c r="U294" s="125">
        <f>_xll.DBRW($C$1,$C$2,$C$3,$C$4,$C$6,$C$5,$C$7,U$1,U$2,$A294)</f>
        <v>-489.57015757561038</v>
      </c>
      <c r="V294" s="125">
        <f>_xll.DBRW($C$1,$C$2,$C$3,$C$4,$C$6,$C$5,$C$7,V$1,V$2,$A294)</f>
        <v>0</v>
      </c>
      <c r="W294" s="125">
        <f>_xll.DBRW($C$1,$C$2,$C$3,$C$4,$C$6,$C$5,$C$7,W$1,W$2,$A294)</f>
        <v>0</v>
      </c>
      <c r="X294" s="125">
        <f>_xll.DBRW($C$1,$C$2,$C$3,$C$4,$C$6,$C$5,$C$7,X$1,X$2,$A294)</f>
        <v>0</v>
      </c>
      <c r="Y294" s="125">
        <f>_xll.DBRW($C$1,$C$2,$C$3,$C$4,$C$6,$C$5,$C$7,Y$1,Y$2,$A294)</f>
        <v>0</v>
      </c>
      <c r="Z294" s="125">
        <f>_xll.DBRW($C$1,$C$2,$C$3,$C$4,$C$6,$C$5,$C$7,Z$1,Z$2,$A294)</f>
        <v>0</v>
      </c>
      <c r="AA294" s="125">
        <f>_xll.DBRW($C$1,$C$2,$C$3,$C$4,$C$6,$C$5,$C$7,AA$1,AA$2,$A294)</f>
        <v>0</v>
      </c>
      <c r="AB294" s="125">
        <f>_xll.DBRW($C$1,$C$2,$C$3,$C$4,$C$6,$C$5,$C$7,AB$1,AB$2,$A294)</f>
        <v>0</v>
      </c>
      <c r="AC294" s="125">
        <f>_xll.DBRW($C$1,$C$2,$C$3,$C$4,$C$6,$C$5,$C$7,AC$1,AC$2,$A294)</f>
        <v>0</v>
      </c>
      <c r="AD294" s="125">
        <f>_xll.DBRW($C$1,$C$2,$C$3,$C$4,$C$6,$C$5,$C$7,AD$1,AD$2,$A294)</f>
        <v>0</v>
      </c>
      <c r="AE294" s="125">
        <f>_xll.DBRW($C$1,$C$2,$C$3,$C$4,$C$6,$C$5,$C$7,AE$1,AE$2,$A294)</f>
        <v>0</v>
      </c>
      <c r="AF294" s="125">
        <f>_xll.DBRW($C$1,$C$2,$C$3,$C$4,$C$6,$C$5,$C$7,AF$1,AF$2,$A294)</f>
        <v>0</v>
      </c>
      <c r="AG294" s="125">
        <f>_xll.DBRW($C$1,$C$2,$C$3,$C$4,$C$6,$C$5,$C$7,AG$1,AG$2,$A294)</f>
        <v>0</v>
      </c>
      <c r="AH294" s="125">
        <f>_xll.DBRW($C$1,$C$2,$C$3,$C$4,$C$6,$C$5,$C$7,AH$1,AH$2,$A294)</f>
        <v>0</v>
      </c>
      <c r="AI294" s="125">
        <f>_xll.DBRW($C$1,$C$2,$C$3,$C$4,$C$6,$C$5,$C$7,AI$1,AI$2,$A294)</f>
        <v>0</v>
      </c>
      <c r="AJ294" s="125">
        <f>_xll.DBRW($C$1,$C$2,$C$3,$C$4,$C$6,$C$5,$C$7,AJ$1,AJ$2,$A294)</f>
        <v>0</v>
      </c>
      <c r="AK294" s="125">
        <f>_xll.DBRW($C$1,$C$2,$C$3,$C$4,$C$6,$C$5,$C$7,AK$1,AK$2,$A294)</f>
        <v>0</v>
      </c>
      <c r="AL294" s="125">
        <f>_xll.DBRW($C$1,$C$2,$C$3,$C$4,$C$6,$C$5,$C$7,AL$1,AL$2,$A294)</f>
        <v>0</v>
      </c>
      <c r="AM294" s="125">
        <f>_xll.DBRW($C$1,$C$2,$C$3,$C$4,$C$6,$C$5,$C$7,AM$1,AM$2,$A294)</f>
        <v>0</v>
      </c>
      <c r="AN294" s="125">
        <f>_xll.DBRW($C$1,$C$2,$C$3,$C$4,$C$6,$C$5,$C$7,AN$1,AN$2,$A294)</f>
        <v>0</v>
      </c>
      <c r="AO294" s="125">
        <f>_xll.DBRW($C$1,$C$2,$C$3,$C$4,$C$6,$C$5,$C$7,AO$1,AO$2,$A294)</f>
        <v>0</v>
      </c>
      <c r="AP294" s="125">
        <f>_xll.DBRW($C$1,$C$2,$C$3,$C$4,$C$6,$C$5,$C$7,AP$1,AP$2,$A294)</f>
        <v>0</v>
      </c>
      <c r="AQ294" s="125">
        <f>_xll.DBRW($C$1,$C$2,$C$3,$C$4,$C$6,$C$5,$C$7,AQ$1,AQ$2,$A294)</f>
        <v>0</v>
      </c>
      <c r="AR294" s="125">
        <f>_xll.DBRW($C$1,$C$2,$C$3,$C$4,$C$6,$C$5,$C$7,AR$1,AR$2,$A294)</f>
        <v>0</v>
      </c>
      <c r="AS294" s="125">
        <f>_xll.DBRW($C$1,$C$2,$C$3,$C$4,$C$6,$C$5,$C$7,AS$1,AS$2,$A294)</f>
        <v>0</v>
      </c>
      <c r="AT294" s="125">
        <f>_xll.DBRW($C$1,$C$2,$C$3,$C$4,$C$6,$C$5,$C$7,AT$1,AT$2,$A294)</f>
        <v>0</v>
      </c>
      <c r="AU294" s="125">
        <f>_xll.DBRW($C$1,$C$2,$C$3,$C$4,$C$6,$C$5,$C$7,AU$1,AU$2,$A294)</f>
        <v>0</v>
      </c>
    </row>
    <row r="295" spans="1:47" ht="15.75">
      <c r="A295" s="1" t="s">
        <v>127</v>
      </c>
      <c r="C295" s="25"/>
      <c r="E295" s="61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</row>
    <row r="296" spans="1:47" ht="15.75">
      <c r="A296" s="1" t="s">
        <v>127</v>
      </c>
      <c r="E296" s="18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</row>
    <row r="297" spans="1:47" ht="15.75" hidden="1" outlineLevel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1485979982.9138541</v>
      </c>
      <c r="G297" s="16">
        <f>_xll.DBRW($C$1,$C$2,$C$3,$C$4,$C$6,$C$5,$C$7,G$1,G$2,$A297)</f>
        <v>1049420819.4605614</v>
      </c>
      <c r="H297" s="16">
        <f>_xll.DBRW($C$1,$C$2,$C$3,$C$4,$C$6,$C$5,$C$7,H$1,H$2,$A297)</f>
        <v>1189038664.9529171</v>
      </c>
      <c r="I297" s="16">
        <f>_xll.DBRW($C$1,$C$2,$C$3,$C$4,$C$6,$C$5,$C$7,I$1,I$2,$A297)</f>
        <v>54913638.724033333</v>
      </c>
      <c r="J297" s="16">
        <f>_xll.DBRW($C$1,$C$2,$C$3,$C$4,$C$6,$C$5,$C$7,J$1,J$2,$A297)</f>
        <v>157368106.82677075</v>
      </c>
      <c r="K297" s="16">
        <f>_xll.DBRW($C$1,$C$2,$C$3,$C$4,$C$6,$C$5,$C$7,K$1,K$2,$A297)</f>
        <v>244559251.24677074</v>
      </c>
      <c r="L297" s="16">
        <f>_xll.DBRW($C$1,$C$2,$C$3,$C$4,$C$6,$C$5,$C$7,L$1,L$2,$A297)</f>
        <v>325328929.87010407</v>
      </c>
      <c r="M297" s="16">
        <f>_xll.DBRW($C$1,$C$2,$C$3,$C$4,$C$6,$C$5,$C$7,M$1,M$2,$A297)</f>
        <v>414793770.15856338</v>
      </c>
      <c r="N297" s="16">
        <f>_xll.DBRW($C$1,$C$2,$C$3,$C$4,$C$6,$C$5,$C$7,N$1,N$2,$A297)</f>
        <v>503673238.45816666</v>
      </c>
      <c r="O297" s="16">
        <f>_xll.DBRW($C$1,$C$2,$C$3,$C$4,$C$6,$C$5,$C$7,O$1,O$2,$A297)</f>
        <v>10881733381.602167</v>
      </c>
      <c r="P297" s="16">
        <f>_xll.DBRW($C$1,$C$2,$C$3,$C$4,$C$6,$C$5,$C$7,P$1,P$2,$A297)</f>
        <v>726533343.12560081</v>
      </c>
      <c r="Q297" s="16">
        <f>_xll.DBRW($C$1,$C$2,$C$3,$C$4,$C$6,$C$5,$C$7,Q$1,Q$2,$A297)</f>
        <v>845512104.52658498</v>
      </c>
      <c r="R297" s="16">
        <f>_xll.DBRW($C$1,$C$2,$C$3,$C$4,$C$6,$C$5,$C$7,R$1,R$2,$A297)</f>
        <v>886491900.46658504</v>
      </c>
      <c r="S297" s="16">
        <f>_xll.DBRW($C$1,$C$2,$C$3,$C$4,$C$6,$C$5,$C$7,S$1,S$2,$A297)</f>
        <v>1119494692.1097336</v>
      </c>
      <c r="T297" s="16">
        <f>_xll.DBRW($C$1,$C$2,$C$3,$C$4,$C$6,$C$5,$C$7,T$1,T$2,$A297)</f>
        <v>1207155731.1397336</v>
      </c>
      <c r="U297" s="16">
        <f>_xll.DBRW($C$1,$C$2,$C$3,$C$4,$C$6,$C$5,$C$7,U$1,U$2,$A297)</f>
        <v>1207155731.1397336</v>
      </c>
      <c r="V297" s="16">
        <f>_xll.DBRW($C$1,$C$2,$C$3,$C$4,$C$6,$C$5,$C$7,V$1,V$2,$A297)</f>
        <v>0</v>
      </c>
      <c r="W297" s="16">
        <f>_xll.DBRW($C$1,$C$2,$C$3,$C$4,$C$6,$C$5,$C$7,W$1,W$2,$A297)</f>
        <v>0</v>
      </c>
      <c r="X297" s="16">
        <f>_xll.DBRW($C$1,$C$2,$C$3,$C$4,$C$6,$C$5,$C$7,X$1,X$2,$A297)</f>
        <v>0</v>
      </c>
      <c r="Y297" s="16">
        <f>_xll.DBRW($C$1,$C$2,$C$3,$C$4,$C$6,$C$5,$C$7,Y$1,Y$2,$A297)</f>
        <v>0</v>
      </c>
      <c r="Z297" s="16">
        <f>_xll.DBRW($C$1,$C$2,$C$3,$C$4,$C$6,$C$5,$C$7,Z$1,Z$2,$A297)</f>
        <v>0</v>
      </c>
      <c r="AA297" s="16">
        <f>_xll.DBRW($C$1,$C$2,$C$3,$C$4,$C$6,$C$5,$C$7,AA$1,AA$2,$A297)</f>
        <v>0</v>
      </c>
      <c r="AB297" s="16">
        <f>_xll.DBRW($C$1,$C$2,$C$3,$C$4,$C$6,$C$5,$C$7,AB$1,AB$2,$A297)</f>
        <v>0</v>
      </c>
      <c r="AC297" s="16">
        <f>_xll.DBRW($C$1,$C$2,$C$3,$C$4,$C$6,$C$5,$C$7,AC$1,AC$2,$A297)</f>
        <v>0</v>
      </c>
      <c r="AD297" s="16">
        <f>_xll.DBRW($C$1,$C$2,$C$3,$C$4,$C$6,$C$5,$C$7,AD$1,AD$2,$A297)</f>
        <v>0</v>
      </c>
      <c r="AE297" s="16">
        <f>_xll.DBRW($C$1,$C$2,$C$3,$C$4,$C$6,$C$5,$C$7,AE$1,AE$2,$A297)</f>
        <v>0</v>
      </c>
      <c r="AF297" s="16">
        <f>_xll.DBRW($C$1,$C$2,$C$3,$C$4,$C$6,$C$5,$C$7,AF$1,AF$2,$A297)</f>
        <v>0</v>
      </c>
      <c r="AG297" s="16">
        <f>_xll.DBRW($C$1,$C$2,$C$3,$C$4,$C$6,$C$5,$C$7,AG$1,AG$2,$A297)</f>
        <v>0</v>
      </c>
      <c r="AH297" s="16">
        <f>_xll.DBRW($C$1,$C$2,$C$3,$C$4,$C$6,$C$5,$C$7,AH$1,AH$2,$A297)</f>
        <v>0</v>
      </c>
      <c r="AI297" s="16">
        <f>_xll.DBRW($C$1,$C$2,$C$3,$C$4,$C$6,$C$5,$C$7,AI$1,AI$2,$A297)</f>
        <v>0</v>
      </c>
      <c r="AJ297" s="16">
        <f>_xll.DBRW($C$1,$C$2,$C$3,$C$4,$C$6,$C$5,$C$7,AJ$1,AJ$2,$A297)</f>
        <v>0</v>
      </c>
      <c r="AK297" s="16">
        <f>_xll.DBRW($C$1,$C$2,$C$3,$C$4,$C$6,$C$5,$C$7,AK$1,AK$2,$A297)</f>
        <v>0</v>
      </c>
      <c r="AL297" s="16">
        <f>_xll.DBRW($C$1,$C$2,$C$3,$C$4,$C$6,$C$5,$C$7,AL$1,AL$2,$A297)</f>
        <v>0</v>
      </c>
      <c r="AM297" s="16">
        <f>_xll.DBRW($C$1,$C$2,$C$3,$C$4,$C$6,$C$5,$C$7,AM$1,AM$2,$A297)</f>
        <v>0</v>
      </c>
      <c r="AN297" s="16">
        <f>_xll.DBRW($C$1,$C$2,$C$3,$C$4,$C$6,$C$5,$C$7,AN$1,AN$2,$A297)</f>
        <v>0</v>
      </c>
      <c r="AO297" s="16">
        <f>_xll.DBRW($C$1,$C$2,$C$3,$C$4,$C$6,$C$5,$C$7,AO$1,AO$2,$A297)</f>
        <v>0</v>
      </c>
      <c r="AP297" s="16">
        <f>_xll.DBRW($C$1,$C$2,$C$3,$C$4,$C$6,$C$5,$C$7,AP$1,AP$2,$A297)</f>
        <v>0</v>
      </c>
      <c r="AQ297" s="16">
        <f>_xll.DBRW($C$1,$C$2,$C$3,$C$4,$C$6,$C$5,$C$7,AQ$1,AQ$2,$A297)</f>
        <v>0</v>
      </c>
      <c r="AR297" s="16">
        <f>_xll.DBRW($C$1,$C$2,$C$3,$C$4,$C$6,$C$5,$C$7,AR$1,AR$2,$A297)</f>
        <v>0</v>
      </c>
      <c r="AS297" s="16">
        <f>_xll.DBRW($C$1,$C$2,$C$3,$C$4,$C$6,$C$5,$C$7,AS$1,AS$2,$A297)</f>
        <v>0</v>
      </c>
      <c r="AT297" s="16">
        <f>_xll.DBRW($C$1,$C$2,$C$3,$C$4,$C$6,$C$5,$C$7,AT$1,AT$2,$A297)</f>
        <v>0</v>
      </c>
      <c r="AU297" s="16">
        <f>_xll.DBRW($C$1,$C$2,$C$3,$C$4,$C$6,$C$5,$C$7,AU$1,AU$2,$A297)</f>
        <v>0</v>
      </c>
    </row>
    <row r="298" spans="1:47" ht="15.75" hidden="1" outlineLevel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  <c r="I298" s="38">
        <f>_xll.DBRW($C$1,$C$2,$C$3,$C$4,$C$6,$C$5,$C$7,I$1,I$2,$A298)</f>
        <v>0</v>
      </c>
      <c r="J298" s="38">
        <f>_xll.DBRW($C$1,$C$2,$C$3,$C$4,$C$6,$C$5,$C$7,J$1,J$2,$A298)</f>
        <v>0</v>
      </c>
      <c r="K298" s="38">
        <f>_xll.DBRW($C$1,$C$2,$C$3,$C$4,$C$6,$C$5,$C$7,K$1,K$2,$A298)</f>
        <v>0</v>
      </c>
      <c r="L298" s="38">
        <f>_xll.DBRW($C$1,$C$2,$C$3,$C$4,$C$6,$C$5,$C$7,L$1,L$2,$A298)</f>
        <v>0</v>
      </c>
      <c r="M298" s="38">
        <f>_xll.DBRW($C$1,$C$2,$C$3,$C$4,$C$6,$C$5,$C$7,M$1,M$2,$A298)</f>
        <v>0</v>
      </c>
      <c r="N298" s="38">
        <f>_xll.DBRW($C$1,$C$2,$C$3,$C$4,$C$6,$C$5,$C$7,N$1,N$2,$A298)</f>
        <v>0</v>
      </c>
      <c r="O298" s="38">
        <f>_xll.DBRW($C$1,$C$2,$C$3,$C$4,$C$6,$C$5,$C$7,O$1,O$2,$A298)</f>
        <v>0</v>
      </c>
      <c r="P298" s="38">
        <f>_xll.DBRW($C$1,$C$2,$C$3,$C$4,$C$6,$C$5,$C$7,P$1,P$2,$A298)</f>
        <v>0</v>
      </c>
      <c r="Q298" s="38">
        <f>_xll.DBRW($C$1,$C$2,$C$3,$C$4,$C$6,$C$5,$C$7,Q$1,Q$2,$A298)</f>
        <v>0</v>
      </c>
      <c r="R298" s="38">
        <f>_xll.DBRW($C$1,$C$2,$C$3,$C$4,$C$6,$C$5,$C$7,R$1,R$2,$A298)</f>
        <v>0</v>
      </c>
      <c r="S298" s="38">
        <f>_xll.DBRW($C$1,$C$2,$C$3,$C$4,$C$6,$C$5,$C$7,S$1,S$2,$A298)</f>
        <v>0</v>
      </c>
      <c r="T298" s="38">
        <f>_xll.DBRW($C$1,$C$2,$C$3,$C$4,$C$6,$C$5,$C$7,T$1,T$2,$A298)</f>
        <v>0</v>
      </c>
      <c r="U298" s="38">
        <f>_xll.DBRW($C$1,$C$2,$C$3,$C$4,$C$6,$C$5,$C$7,U$1,U$2,$A298)</f>
        <v>0</v>
      </c>
      <c r="V298" s="38">
        <f>_xll.DBRW($C$1,$C$2,$C$3,$C$4,$C$6,$C$5,$C$7,V$1,V$2,$A298)</f>
        <v>0</v>
      </c>
      <c r="W298" s="38">
        <f>_xll.DBRW($C$1,$C$2,$C$3,$C$4,$C$6,$C$5,$C$7,W$1,W$2,$A298)</f>
        <v>0</v>
      </c>
      <c r="X298" s="38">
        <f>_xll.DBRW($C$1,$C$2,$C$3,$C$4,$C$6,$C$5,$C$7,X$1,X$2,$A298)</f>
        <v>0</v>
      </c>
      <c r="Y298" s="38">
        <f>_xll.DBRW($C$1,$C$2,$C$3,$C$4,$C$6,$C$5,$C$7,Y$1,Y$2,$A298)</f>
        <v>0</v>
      </c>
      <c r="Z298" s="38">
        <f>_xll.DBRW($C$1,$C$2,$C$3,$C$4,$C$6,$C$5,$C$7,Z$1,Z$2,$A298)</f>
        <v>0</v>
      </c>
      <c r="AA298" s="38">
        <f>_xll.DBRW($C$1,$C$2,$C$3,$C$4,$C$6,$C$5,$C$7,AA$1,AA$2,$A298)</f>
        <v>0</v>
      </c>
      <c r="AB298" s="38">
        <f>_xll.DBRW($C$1,$C$2,$C$3,$C$4,$C$6,$C$5,$C$7,AB$1,AB$2,$A298)</f>
        <v>0</v>
      </c>
      <c r="AC298" s="38">
        <f>_xll.DBRW($C$1,$C$2,$C$3,$C$4,$C$6,$C$5,$C$7,AC$1,AC$2,$A298)</f>
        <v>0</v>
      </c>
      <c r="AD298" s="38">
        <f>_xll.DBRW($C$1,$C$2,$C$3,$C$4,$C$6,$C$5,$C$7,AD$1,AD$2,$A298)</f>
        <v>0</v>
      </c>
      <c r="AE298" s="38">
        <f>_xll.DBRW($C$1,$C$2,$C$3,$C$4,$C$6,$C$5,$C$7,AE$1,AE$2,$A298)</f>
        <v>0</v>
      </c>
      <c r="AF298" s="38">
        <f>_xll.DBRW($C$1,$C$2,$C$3,$C$4,$C$6,$C$5,$C$7,AF$1,AF$2,$A298)</f>
        <v>0</v>
      </c>
      <c r="AG298" s="38">
        <f>_xll.DBRW($C$1,$C$2,$C$3,$C$4,$C$6,$C$5,$C$7,AG$1,AG$2,$A298)</f>
        <v>0</v>
      </c>
      <c r="AH298" s="38">
        <f>_xll.DBRW($C$1,$C$2,$C$3,$C$4,$C$6,$C$5,$C$7,AH$1,AH$2,$A298)</f>
        <v>0</v>
      </c>
      <c r="AI298" s="38">
        <f>_xll.DBRW($C$1,$C$2,$C$3,$C$4,$C$6,$C$5,$C$7,AI$1,AI$2,$A298)</f>
        <v>0</v>
      </c>
      <c r="AJ298" s="38">
        <f>_xll.DBRW($C$1,$C$2,$C$3,$C$4,$C$6,$C$5,$C$7,AJ$1,AJ$2,$A298)</f>
        <v>0</v>
      </c>
      <c r="AK298" s="38">
        <f>_xll.DBRW($C$1,$C$2,$C$3,$C$4,$C$6,$C$5,$C$7,AK$1,AK$2,$A298)</f>
        <v>0</v>
      </c>
      <c r="AL298" s="38">
        <f>_xll.DBRW($C$1,$C$2,$C$3,$C$4,$C$6,$C$5,$C$7,AL$1,AL$2,$A298)</f>
        <v>0</v>
      </c>
      <c r="AM298" s="38">
        <f>_xll.DBRW($C$1,$C$2,$C$3,$C$4,$C$6,$C$5,$C$7,AM$1,AM$2,$A298)</f>
        <v>0</v>
      </c>
      <c r="AN298" s="38">
        <f>_xll.DBRW($C$1,$C$2,$C$3,$C$4,$C$6,$C$5,$C$7,AN$1,AN$2,$A298)</f>
        <v>0</v>
      </c>
      <c r="AO298" s="38">
        <f>_xll.DBRW($C$1,$C$2,$C$3,$C$4,$C$6,$C$5,$C$7,AO$1,AO$2,$A298)</f>
        <v>0</v>
      </c>
      <c r="AP298" s="38">
        <f>_xll.DBRW($C$1,$C$2,$C$3,$C$4,$C$6,$C$5,$C$7,AP$1,AP$2,$A298)</f>
        <v>0</v>
      </c>
      <c r="AQ298" s="38">
        <f>_xll.DBRW($C$1,$C$2,$C$3,$C$4,$C$6,$C$5,$C$7,AQ$1,AQ$2,$A298)</f>
        <v>0</v>
      </c>
      <c r="AR298" s="38">
        <f>_xll.DBRW($C$1,$C$2,$C$3,$C$4,$C$6,$C$5,$C$7,AR$1,AR$2,$A298)</f>
        <v>0</v>
      </c>
      <c r="AS298" s="38">
        <f>_xll.DBRW($C$1,$C$2,$C$3,$C$4,$C$6,$C$5,$C$7,AS$1,AS$2,$A298)</f>
        <v>0</v>
      </c>
      <c r="AT298" s="38">
        <f>_xll.DBRW($C$1,$C$2,$C$3,$C$4,$C$6,$C$5,$C$7,AT$1,AT$2,$A298)</f>
        <v>0</v>
      </c>
      <c r="AU298" s="38">
        <f>_xll.DBRW($C$1,$C$2,$C$3,$C$4,$C$6,$C$5,$C$7,AU$1,AU$2,$A298)</f>
        <v>0</v>
      </c>
    </row>
    <row r="299" spans="1:47" ht="15.75" hidden="1" outlineLevel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  <c r="I299" s="38">
        <f>_xll.DBRW($C$1,$C$2,$C$3,$C$4,$C$6,$C$5,$C$7,I$1,I$2,$A299)</f>
        <v>0</v>
      </c>
      <c r="J299" s="38">
        <f>_xll.DBRW($C$1,$C$2,$C$3,$C$4,$C$6,$C$5,$C$7,J$1,J$2,$A299)</f>
        <v>0</v>
      </c>
      <c r="K299" s="38">
        <f>_xll.DBRW($C$1,$C$2,$C$3,$C$4,$C$6,$C$5,$C$7,K$1,K$2,$A299)</f>
        <v>0</v>
      </c>
      <c r="L299" s="38">
        <f>_xll.DBRW($C$1,$C$2,$C$3,$C$4,$C$6,$C$5,$C$7,L$1,L$2,$A299)</f>
        <v>0</v>
      </c>
      <c r="M299" s="38">
        <f>_xll.DBRW($C$1,$C$2,$C$3,$C$4,$C$6,$C$5,$C$7,M$1,M$2,$A299)</f>
        <v>0</v>
      </c>
      <c r="N299" s="38">
        <f>_xll.DBRW($C$1,$C$2,$C$3,$C$4,$C$6,$C$5,$C$7,N$1,N$2,$A299)</f>
        <v>0</v>
      </c>
      <c r="O299" s="38">
        <f>_xll.DBRW($C$1,$C$2,$C$3,$C$4,$C$6,$C$5,$C$7,O$1,O$2,$A299)</f>
        <v>0</v>
      </c>
      <c r="P299" s="38">
        <f>_xll.DBRW($C$1,$C$2,$C$3,$C$4,$C$6,$C$5,$C$7,P$1,P$2,$A299)</f>
        <v>0</v>
      </c>
      <c r="Q299" s="38">
        <f>_xll.DBRW($C$1,$C$2,$C$3,$C$4,$C$6,$C$5,$C$7,Q$1,Q$2,$A299)</f>
        <v>0</v>
      </c>
      <c r="R299" s="38">
        <f>_xll.DBRW($C$1,$C$2,$C$3,$C$4,$C$6,$C$5,$C$7,R$1,R$2,$A299)</f>
        <v>0</v>
      </c>
      <c r="S299" s="38">
        <f>_xll.DBRW($C$1,$C$2,$C$3,$C$4,$C$6,$C$5,$C$7,S$1,S$2,$A299)</f>
        <v>0</v>
      </c>
      <c r="T299" s="38">
        <f>_xll.DBRW($C$1,$C$2,$C$3,$C$4,$C$6,$C$5,$C$7,T$1,T$2,$A299)</f>
        <v>0</v>
      </c>
      <c r="U299" s="38">
        <f>_xll.DBRW($C$1,$C$2,$C$3,$C$4,$C$6,$C$5,$C$7,U$1,U$2,$A299)</f>
        <v>0</v>
      </c>
      <c r="V299" s="38">
        <f>_xll.DBRW($C$1,$C$2,$C$3,$C$4,$C$6,$C$5,$C$7,V$1,V$2,$A299)</f>
        <v>0</v>
      </c>
      <c r="W299" s="38">
        <f>_xll.DBRW($C$1,$C$2,$C$3,$C$4,$C$6,$C$5,$C$7,W$1,W$2,$A299)</f>
        <v>0</v>
      </c>
      <c r="X299" s="38">
        <f>_xll.DBRW($C$1,$C$2,$C$3,$C$4,$C$6,$C$5,$C$7,X$1,X$2,$A299)</f>
        <v>0</v>
      </c>
      <c r="Y299" s="38">
        <f>_xll.DBRW($C$1,$C$2,$C$3,$C$4,$C$6,$C$5,$C$7,Y$1,Y$2,$A299)</f>
        <v>0</v>
      </c>
      <c r="Z299" s="38">
        <f>_xll.DBRW($C$1,$C$2,$C$3,$C$4,$C$6,$C$5,$C$7,Z$1,Z$2,$A299)</f>
        <v>0</v>
      </c>
      <c r="AA299" s="38">
        <f>_xll.DBRW($C$1,$C$2,$C$3,$C$4,$C$6,$C$5,$C$7,AA$1,AA$2,$A299)</f>
        <v>0</v>
      </c>
      <c r="AB299" s="38">
        <f>_xll.DBRW($C$1,$C$2,$C$3,$C$4,$C$6,$C$5,$C$7,AB$1,AB$2,$A299)</f>
        <v>0</v>
      </c>
      <c r="AC299" s="38">
        <f>_xll.DBRW($C$1,$C$2,$C$3,$C$4,$C$6,$C$5,$C$7,AC$1,AC$2,$A299)</f>
        <v>0</v>
      </c>
      <c r="AD299" s="38">
        <f>_xll.DBRW($C$1,$C$2,$C$3,$C$4,$C$6,$C$5,$C$7,AD$1,AD$2,$A299)</f>
        <v>0</v>
      </c>
      <c r="AE299" s="38">
        <f>_xll.DBRW($C$1,$C$2,$C$3,$C$4,$C$6,$C$5,$C$7,AE$1,AE$2,$A299)</f>
        <v>0</v>
      </c>
      <c r="AF299" s="38">
        <f>_xll.DBRW($C$1,$C$2,$C$3,$C$4,$C$6,$C$5,$C$7,AF$1,AF$2,$A299)</f>
        <v>0</v>
      </c>
      <c r="AG299" s="38">
        <f>_xll.DBRW($C$1,$C$2,$C$3,$C$4,$C$6,$C$5,$C$7,AG$1,AG$2,$A299)</f>
        <v>0</v>
      </c>
      <c r="AH299" s="38">
        <f>_xll.DBRW($C$1,$C$2,$C$3,$C$4,$C$6,$C$5,$C$7,AH$1,AH$2,$A299)</f>
        <v>0</v>
      </c>
      <c r="AI299" s="38">
        <f>_xll.DBRW($C$1,$C$2,$C$3,$C$4,$C$6,$C$5,$C$7,AI$1,AI$2,$A299)</f>
        <v>0</v>
      </c>
      <c r="AJ299" s="38">
        <f>_xll.DBRW($C$1,$C$2,$C$3,$C$4,$C$6,$C$5,$C$7,AJ$1,AJ$2,$A299)</f>
        <v>0</v>
      </c>
      <c r="AK299" s="38">
        <f>_xll.DBRW($C$1,$C$2,$C$3,$C$4,$C$6,$C$5,$C$7,AK$1,AK$2,$A299)</f>
        <v>0</v>
      </c>
      <c r="AL299" s="38">
        <f>_xll.DBRW($C$1,$C$2,$C$3,$C$4,$C$6,$C$5,$C$7,AL$1,AL$2,$A299)</f>
        <v>0</v>
      </c>
      <c r="AM299" s="38">
        <f>_xll.DBRW($C$1,$C$2,$C$3,$C$4,$C$6,$C$5,$C$7,AM$1,AM$2,$A299)</f>
        <v>0</v>
      </c>
      <c r="AN299" s="38">
        <f>_xll.DBRW($C$1,$C$2,$C$3,$C$4,$C$6,$C$5,$C$7,AN$1,AN$2,$A299)</f>
        <v>0</v>
      </c>
      <c r="AO299" s="38">
        <f>_xll.DBRW($C$1,$C$2,$C$3,$C$4,$C$6,$C$5,$C$7,AO$1,AO$2,$A299)</f>
        <v>0</v>
      </c>
      <c r="AP299" s="38">
        <f>_xll.DBRW($C$1,$C$2,$C$3,$C$4,$C$6,$C$5,$C$7,AP$1,AP$2,$A299)</f>
        <v>0</v>
      </c>
      <c r="AQ299" s="38">
        <f>_xll.DBRW($C$1,$C$2,$C$3,$C$4,$C$6,$C$5,$C$7,AQ$1,AQ$2,$A299)</f>
        <v>0</v>
      </c>
      <c r="AR299" s="38">
        <f>_xll.DBRW($C$1,$C$2,$C$3,$C$4,$C$6,$C$5,$C$7,AR$1,AR$2,$A299)</f>
        <v>0</v>
      </c>
      <c r="AS299" s="38">
        <f>_xll.DBRW($C$1,$C$2,$C$3,$C$4,$C$6,$C$5,$C$7,AS$1,AS$2,$A299)</f>
        <v>0</v>
      </c>
      <c r="AT299" s="38">
        <f>_xll.DBRW($C$1,$C$2,$C$3,$C$4,$C$6,$C$5,$C$7,AT$1,AT$2,$A299)</f>
        <v>0</v>
      </c>
      <c r="AU299" s="38">
        <f>_xll.DBRW($C$1,$C$2,$C$3,$C$4,$C$6,$C$5,$C$7,AU$1,AU$2,$A299)</f>
        <v>0</v>
      </c>
    </row>
    <row r="300" spans="1:47" ht="15.75" hidden="1" outlineLevel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  <c r="I300" s="38">
        <f>_xll.DBRW($C$1,$C$2,$C$3,$C$4,$C$6,$C$5,$C$7,I$1,I$2,$A300)</f>
        <v>0</v>
      </c>
      <c r="J300" s="38">
        <f>_xll.DBRW($C$1,$C$2,$C$3,$C$4,$C$6,$C$5,$C$7,J$1,J$2,$A300)</f>
        <v>0</v>
      </c>
      <c r="K300" s="38">
        <f>_xll.DBRW($C$1,$C$2,$C$3,$C$4,$C$6,$C$5,$C$7,K$1,K$2,$A300)</f>
        <v>0</v>
      </c>
      <c r="L300" s="38">
        <f>_xll.DBRW($C$1,$C$2,$C$3,$C$4,$C$6,$C$5,$C$7,L$1,L$2,$A300)</f>
        <v>0</v>
      </c>
      <c r="M300" s="38">
        <f>_xll.DBRW($C$1,$C$2,$C$3,$C$4,$C$6,$C$5,$C$7,M$1,M$2,$A300)</f>
        <v>0</v>
      </c>
      <c r="N300" s="38">
        <f>_xll.DBRW($C$1,$C$2,$C$3,$C$4,$C$6,$C$5,$C$7,N$1,N$2,$A300)</f>
        <v>0</v>
      </c>
      <c r="O300" s="38">
        <f>_xll.DBRW($C$1,$C$2,$C$3,$C$4,$C$6,$C$5,$C$7,O$1,O$2,$A300)</f>
        <v>0</v>
      </c>
      <c r="P300" s="38">
        <f>_xll.DBRW($C$1,$C$2,$C$3,$C$4,$C$6,$C$5,$C$7,P$1,P$2,$A300)</f>
        <v>0</v>
      </c>
      <c r="Q300" s="38">
        <f>_xll.DBRW($C$1,$C$2,$C$3,$C$4,$C$6,$C$5,$C$7,Q$1,Q$2,$A300)</f>
        <v>0</v>
      </c>
      <c r="R300" s="38">
        <f>_xll.DBRW($C$1,$C$2,$C$3,$C$4,$C$6,$C$5,$C$7,R$1,R$2,$A300)</f>
        <v>0</v>
      </c>
      <c r="S300" s="38">
        <f>_xll.DBRW($C$1,$C$2,$C$3,$C$4,$C$6,$C$5,$C$7,S$1,S$2,$A300)</f>
        <v>0</v>
      </c>
      <c r="T300" s="38">
        <f>_xll.DBRW($C$1,$C$2,$C$3,$C$4,$C$6,$C$5,$C$7,T$1,T$2,$A300)</f>
        <v>0</v>
      </c>
      <c r="U300" s="38">
        <f>_xll.DBRW($C$1,$C$2,$C$3,$C$4,$C$6,$C$5,$C$7,U$1,U$2,$A300)</f>
        <v>0</v>
      </c>
      <c r="V300" s="38">
        <f>_xll.DBRW($C$1,$C$2,$C$3,$C$4,$C$6,$C$5,$C$7,V$1,V$2,$A300)</f>
        <v>0</v>
      </c>
      <c r="W300" s="38">
        <f>_xll.DBRW($C$1,$C$2,$C$3,$C$4,$C$6,$C$5,$C$7,W$1,W$2,$A300)</f>
        <v>0</v>
      </c>
      <c r="X300" s="38">
        <f>_xll.DBRW($C$1,$C$2,$C$3,$C$4,$C$6,$C$5,$C$7,X$1,X$2,$A300)</f>
        <v>0</v>
      </c>
      <c r="Y300" s="38">
        <f>_xll.DBRW($C$1,$C$2,$C$3,$C$4,$C$6,$C$5,$C$7,Y$1,Y$2,$A300)</f>
        <v>0</v>
      </c>
      <c r="Z300" s="38">
        <f>_xll.DBRW($C$1,$C$2,$C$3,$C$4,$C$6,$C$5,$C$7,Z$1,Z$2,$A300)</f>
        <v>0</v>
      </c>
      <c r="AA300" s="38">
        <f>_xll.DBRW($C$1,$C$2,$C$3,$C$4,$C$6,$C$5,$C$7,AA$1,AA$2,$A300)</f>
        <v>0</v>
      </c>
      <c r="AB300" s="38">
        <f>_xll.DBRW($C$1,$C$2,$C$3,$C$4,$C$6,$C$5,$C$7,AB$1,AB$2,$A300)</f>
        <v>0</v>
      </c>
      <c r="AC300" s="38">
        <f>_xll.DBRW($C$1,$C$2,$C$3,$C$4,$C$6,$C$5,$C$7,AC$1,AC$2,$A300)</f>
        <v>0</v>
      </c>
      <c r="AD300" s="38">
        <f>_xll.DBRW($C$1,$C$2,$C$3,$C$4,$C$6,$C$5,$C$7,AD$1,AD$2,$A300)</f>
        <v>0</v>
      </c>
      <c r="AE300" s="38">
        <f>_xll.DBRW($C$1,$C$2,$C$3,$C$4,$C$6,$C$5,$C$7,AE$1,AE$2,$A300)</f>
        <v>0</v>
      </c>
      <c r="AF300" s="38">
        <f>_xll.DBRW($C$1,$C$2,$C$3,$C$4,$C$6,$C$5,$C$7,AF$1,AF$2,$A300)</f>
        <v>0</v>
      </c>
      <c r="AG300" s="38">
        <f>_xll.DBRW($C$1,$C$2,$C$3,$C$4,$C$6,$C$5,$C$7,AG$1,AG$2,$A300)</f>
        <v>0</v>
      </c>
      <c r="AH300" s="38">
        <f>_xll.DBRW($C$1,$C$2,$C$3,$C$4,$C$6,$C$5,$C$7,AH$1,AH$2,$A300)</f>
        <v>0</v>
      </c>
      <c r="AI300" s="38">
        <f>_xll.DBRW($C$1,$C$2,$C$3,$C$4,$C$6,$C$5,$C$7,AI$1,AI$2,$A300)</f>
        <v>0</v>
      </c>
      <c r="AJ300" s="38">
        <f>_xll.DBRW($C$1,$C$2,$C$3,$C$4,$C$6,$C$5,$C$7,AJ$1,AJ$2,$A300)</f>
        <v>0</v>
      </c>
      <c r="AK300" s="38">
        <f>_xll.DBRW($C$1,$C$2,$C$3,$C$4,$C$6,$C$5,$C$7,AK$1,AK$2,$A300)</f>
        <v>0</v>
      </c>
      <c r="AL300" s="38">
        <f>_xll.DBRW($C$1,$C$2,$C$3,$C$4,$C$6,$C$5,$C$7,AL$1,AL$2,$A300)</f>
        <v>0</v>
      </c>
      <c r="AM300" s="38">
        <f>_xll.DBRW($C$1,$C$2,$C$3,$C$4,$C$6,$C$5,$C$7,AM$1,AM$2,$A300)</f>
        <v>0</v>
      </c>
      <c r="AN300" s="38">
        <f>_xll.DBRW($C$1,$C$2,$C$3,$C$4,$C$6,$C$5,$C$7,AN$1,AN$2,$A300)</f>
        <v>0</v>
      </c>
      <c r="AO300" s="38">
        <f>_xll.DBRW($C$1,$C$2,$C$3,$C$4,$C$6,$C$5,$C$7,AO$1,AO$2,$A300)</f>
        <v>0</v>
      </c>
      <c r="AP300" s="38">
        <f>_xll.DBRW($C$1,$C$2,$C$3,$C$4,$C$6,$C$5,$C$7,AP$1,AP$2,$A300)</f>
        <v>0</v>
      </c>
      <c r="AQ300" s="38">
        <f>_xll.DBRW($C$1,$C$2,$C$3,$C$4,$C$6,$C$5,$C$7,AQ$1,AQ$2,$A300)</f>
        <v>0</v>
      </c>
      <c r="AR300" s="38">
        <f>_xll.DBRW($C$1,$C$2,$C$3,$C$4,$C$6,$C$5,$C$7,AR$1,AR$2,$A300)</f>
        <v>0</v>
      </c>
      <c r="AS300" s="38">
        <f>_xll.DBRW($C$1,$C$2,$C$3,$C$4,$C$6,$C$5,$C$7,AS$1,AS$2,$A300)</f>
        <v>0</v>
      </c>
      <c r="AT300" s="38">
        <f>_xll.DBRW($C$1,$C$2,$C$3,$C$4,$C$6,$C$5,$C$7,AT$1,AT$2,$A300)</f>
        <v>0</v>
      </c>
      <c r="AU300" s="38">
        <f>_xll.DBRW($C$1,$C$2,$C$3,$C$4,$C$6,$C$5,$C$7,AU$1,AU$2,$A300)</f>
        <v>0</v>
      </c>
    </row>
    <row r="301" spans="1:47" ht="15.75" hidden="1" outlineLevel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  <c r="I301" s="38">
        <f>_xll.DBRW($C$1,$C$2,$C$3,$C$4,$C$6,$C$5,$C$7,I$1,I$2,$A301)</f>
        <v>0</v>
      </c>
      <c r="J301" s="38">
        <f>_xll.DBRW($C$1,$C$2,$C$3,$C$4,$C$6,$C$5,$C$7,J$1,J$2,$A301)</f>
        <v>0</v>
      </c>
      <c r="K301" s="38">
        <f>_xll.DBRW($C$1,$C$2,$C$3,$C$4,$C$6,$C$5,$C$7,K$1,K$2,$A301)</f>
        <v>0</v>
      </c>
      <c r="L301" s="38">
        <f>_xll.DBRW($C$1,$C$2,$C$3,$C$4,$C$6,$C$5,$C$7,L$1,L$2,$A301)</f>
        <v>0</v>
      </c>
      <c r="M301" s="38">
        <f>_xll.DBRW($C$1,$C$2,$C$3,$C$4,$C$6,$C$5,$C$7,M$1,M$2,$A301)</f>
        <v>0</v>
      </c>
      <c r="N301" s="38">
        <f>_xll.DBRW($C$1,$C$2,$C$3,$C$4,$C$6,$C$5,$C$7,N$1,N$2,$A301)</f>
        <v>0</v>
      </c>
      <c r="O301" s="38">
        <f>_xll.DBRW($C$1,$C$2,$C$3,$C$4,$C$6,$C$5,$C$7,O$1,O$2,$A301)</f>
        <v>0</v>
      </c>
      <c r="P301" s="38">
        <f>_xll.DBRW($C$1,$C$2,$C$3,$C$4,$C$6,$C$5,$C$7,P$1,P$2,$A301)</f>
        <v>0</v>
      </c>
      <c r="Q301" s="38">
        <f>_xll.DBRW($C$1,$C$2,$C$3,$C$4,$C$6,$C$5,$C$7,Q$1,Q$2,$A301)</f>
        <v>0</v>
      </c>
      <c r="R301" s="38">
        <f>_xll.DBRW($C$1,$C$2,$C$3,$C$4,$C$6,$C$5,$C$7,R$1,R$2,$A301)</f>
        <v>0</v>
      </c>
      <c r="S301" s="38">
        <f>_xll.DBRW($C$1,$C$2,$C$3,$C$4,$C$6,$C$5,$C$7,S$1,S$2,$A301)</f>
        <v>0</v>
      </c>
      <c r="T301" s="38">
        <f>_xll.DBRW($C$1,$C$2,$C$3,$C$4,$C$6,$C$5,$C$7,T$1,T$2,$A301)</f>
        <v>0</v>
      </c>
      <c r="U301" s="38">
        <f>_xll.DBRW($C$1,$C$2,$C$3,$C$4,$C$6,$C$5,$C$7,U$1,U$2,$A301)</f>
        <v>0</v>
      </c>
      <c r="V301" s="38">
        <f>_xll.DBRW($C$1,$C$2,$C$3,$C$4,$C$6,$C$5,$C$7,V$1,V$2,$A301)</f>
        <v>0</v>
      </c>
      <c r="W301" s="38">
        <f>_xll.DBRW($C$1,$C$2,$C$3,$C$4,$C$6,$C$5,$C$7,W$1,W$2,$A301)</f>
        <v>0</v>
      </c>
      <c r="X301" s="38">
        <f>_xll.DBRW($C$1,$C$2,$C$3,$C$4,$C$6,$C$5,$C$7,X$1,X$2,$A301)</f>
        <v>0</v>
      </c>
      <c r="Y301" s="38">
        <f>_xll.DBRW($C$1,$C$2,$C$3,$C$4,$C$6,$C$5,$C$7,Y$1,Y$2,$A301)</f>
        <v>0</v>
      </c>
      <c r="Z301" s="38">
        <f>_xll.DBRW($C$1,$C$2,$C$3,$C$4,$C$6,$C$5,$C$7,Z$1,Z$2,$A301)</f>
        <v>0</v>
      </c>
      <c r="AA301" s="38">
        <f>_xll.DBRW($C$1,$C$2,$C$3,$C$4,$C$6,$C$5,$C$7,AA$1,AA$2,$A301)</f>
        <v>0</v>
      </c>
      <c r="AB301" s="38">
        <f>_xll.DBRW($C$1,$C$2,$C$3,$C$4,$C$6,$C$5,$C$7,AB$1,AB$2,$A301)</f>
        <v>0</v>
      </c>
      <c r="AC301" s="38">
        <f>_xll.DBRW($C$1,$C$2,$C$3,$C$4,$C$6,$C$5,$C$7,AC$1,AC$2,$A301)</f>
        <v>0</v>
      </c>
      <c r="AD301" s="38">
        <f>_xll.DBRW($C$1,$C$2,$C$3,$C$4,$C$6,$C$5,$C$7,AD$1,AD$2,$A301)</f>
        <v>0</v>
      </c>
      <c r="AE301" s="38">
        <f>_xll.DBRW($C$1,$C$2,$C$3,$C$4,$C$6,$C$5,$C$7,AE$1,AE$2,$A301)</f>
        <v>0</v>
      </c>
      <c r="AF301" s="38">
        <f>_xll.DBRW($C$1,$C$2,$C$3,$C$4,$C$6,$C$5,$C$7,AF$1,AF$2,$A301)</f>
        <v>0</v>
      </c>
      <c r="AG301" s="38">
        <f>_xll.DBRW($C$1,$C$2,$C$3,$C$4,$C$6,$C$5,$C$7,AG$1,AG$2,$A301)</f>
        <v>0</v>
      </c>
      <c r="AH301" s="38">
        <f>_xll.DBRW($C$1,$C$2,$C$3,$C$4,$C$6,$C$5,$C$7,AH$1,AH$2,$A301)</f>
        <v>0</v>
      </c>
      <c r="AI301" s="38">
        <f>_xll.DBRW($C$1,$C$2,$C$3,$C$4,$C$6,$C$5,$C$7,AI$1,AI$2,$A301)</f>
        <v>0</v>
      </c>
      <c r="AJ301" s="38">
        <f>_xll.DBRW($C$1,$C$2,$C$3,$C$4,$C$6,$C$5,$C$7,AJ$1,AJ$2,$A301)</f>
        <v>0</v>
      </c>
      <c r="AK301" s="38">
        <f>_xll.DBRW($C$1,$C$2,$C$3,$C$4,$C$6,$C$5,$C$7,AK$1,AK$2,$A301)</f>
        <v>0</v>
      </c>
      <c r="AL301" s="38">
        <f>_xll.DBRW($C$1,$C$2,$C$3,$C$4,$C$6,$C$5,$C$7,AL$1,AL$2,$A301)</f>
        <v>0</v>
      </c>
      <c r="AM301" s="38">
        <f>_xll.DBRW($C$1,$C$2,$C$3,$C$4,$C$6,$C$5,$C$7,AM$1,AM$2,$A301)</f>
        <v>0</v>
      </c>
      <c r="AN301" s="38">
        <f>_xll.DBRW($C$1,$C$2,$C$3,$C$4,$C$6,$C$5,$C$7,AN$1,AN$2,$A301)</f>
        <v>0</v>
      </c>
      <c r="AO301" s="38">
        <f>_xll.DBRW($C$1,$C$2,$C$3,$C$4,$C$6,$C$5,$C$7,AO$1,AO$2,$A301)</f>
        <v>0</v>
      </c>
      <c r="AP301" s="38">
        <f>_xll.DBRW($C$1,$C$2,$C$3,$C$4,$C$6,$C$5,$C$7,AP$1,AP$2,$A301)</f>
        <v>0</v>
      </c>
      <c r="AQ301" s="38">
        <f>_xll.DBRW($C$1,$C$2,$C$3,$C$4,$C$6,$C$5,$C$7,AQ$1,AQ$2,$A301)</f>
        <v>0</v>
      </c>
      <c r="AR301" s="38">
        <f>_xll.DBRW($C$1,$C$2,$C$3,$C$4,$C$6,$C$5,$C$7,AR$1,AR$2,$A301)</f>
        <v>0</v>
      </c>
      <c r="AS301" s="38">
        <f>_xll.DBRW($C$1,$C$2,$C$3,$C$4,$C$6,$C$5,$C$7,AS$1,AS$2,$A301)</f>
        <v>0</v>
      </c>
      <c r="AT301" s="38">
        <f>_xll.DBRW($C$1,$C$2,$C$3,$C$4,$C$6,$C$5,$C$7,AT$1,AT$2,$A301)</f>
        <v>0</v>
      </c>
      <c r="AU301" s="38">
        <f>_xll.DBRW($C$1,$C$2,$C$3,$C$4,$C$6,$C$5,$C$7,AU$1,AU$2,$A301)</f>
        <v>0</v>
      </c>
    </row>
    <row r="302" spans="1:47" ht="15.75" hidden="1" outlineLevel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  <c r="I302" s="38">
        <f>_xll.DBRW($C$1,$C$2,$C$3,$C$4,$C$6,$C$5,$C$7,I$1,I$2,$A302)</f>
        <v>0</v>
      </c>
      <c r="J302" s="38">
        <f>_xll.DBRW($C$1,$C$2,$C$3,$C$4,$C$6,$C$5,$C$7,J$1,J$2,$A302)</f>
        <v>0</v>
      </c>
      <c r="K302" s="38">
        <f>_xll.DBRW($C$1,$C$2,$C$3,$C$4,$C$6,$C$5,$C$7,K$1,K$2,$A302)</f>
        <v>0</v>
      </c>
      <c r="L302" s="38">
        <f>_xll.DBRW($C$1,$C$2,$C$3,$C$4,$C$6,$C$5,$C$7,L$1,L$2,$A302)</f>
        <v>0</v>
      </c>
      <c r="M302" s="38">
        <f>_xll.DBRW($C$1,$C$2,$C$3,$C$4,$C$6,$C$5,$C$7,M$1,M$2,$A302)</f>
        <v>0</v>
      </c>
      <c r="N302" s="38">
        <f>_xll.DBRW($C$1,$C$2,$C$3,$C$4,$C$6,$C$5,$C$7,N$1,N$2,$A302)</f>
        <v>0</v>
      </c>
      <c r="O302" s="38">
        <f>_xll.DBRW($C$1,$C$2,$C$3,$C$4,$C$6,$C$5,$C$7,O$1,O$2,$A302)</f>
        <v>0</v>
      </c>
      <c r="P302" s="38">
        <f>_xll.DBRW($C$1,$C$2,$C$3,$C$4,$C$6,$C$5,$C$7,P$1,P$2,$A302)</f>
        <v>0</v>
      </c>
      <c r="Q302" s="38">
        <f>_xll.DBRW($C$1,$C$2,$C$3,$C$4,$C$6,$C$5,$C$7,Q$1,Q$2,$A302)</f>
        <v>0</v>
      </c>
      <c r="R302" s="38">
        <f>_xll.DBRW($C$1,$C$2,$C$3,$C$4,$C$6,$C$5,$C$7,R$1,R$2,$A302)</f>
        <v>0</v>
      </c>
      <c r="S302" s="38">
        <f>_xll.DBRW($C$1,$C$2,$C$3,$C$4,$C$6,$C$5,$C$7,S$1,S$2,$A302)</f>
        <v>0</v>
      </c>
      <c r="T302" s="38">
        <f>_xll.DBRW($C$1,$C$2,$C$3,$C$4,$C$6,$C$5,$C$7,T$1,T$2,$A302)</f>
        <v>0</v>
      </c>
      <c r="U302" s="38">
        <f>_xll.DBRW($C$1,$C$2,$C$3,$C$4,$C$6,$C$5,$C$7,U$1,U$2,$A302)</f>
        <v>0</v>
      </c>
      <c r="V302" s="38">
        <f>_xll.DBRW($C$1,$C$2,$C$3,$C$4,$C$6,$C$5,$C$7,V$1,V$2,$A302)</f>
        <v>0</v>
      </c>
      <c r="W302" s="38">
        <f>_xll.DBRW($C$1,$C$2,$C$3,$C$4,$C$6,$C$5,$C$7,W$1,W$2,$A302)</f>
        <v>0</v>
      </c>
      <c r="X302" s="38">
        <f>_xll.DBRW($C$1,$C$2,$C$3,$C$4,$C$6,$C$5,$C$7,X$1,X$2,$A302)</f>
        <v>0</v>
      </c>
      <c r="Y302" s="38">
        <f>_xll.DBRW($C$1,$C$2,$C$3,$C$4,$C$6,$C$5,$C$7,Y$1,Y$2,$A302)</f>
        <v>0</v>
      </c>
      <c r="Z302" s="38">
        <f>_xll.DBRW($C$1,$C$2,$C$3,$C$4,$C$6,$C$5,$C$7,Z$1,Z$2,$A302)</f>
        <v>0</v>
      </c>
      <c r="AA302" s="38">
        <f>_xll.DBRW($C$1,$C$2,$C$3,$C$4,$C$6,$C$5,$C$7,AA$1,AA$2,$A302)</f>
        <v>0</v>
      </c>
      <c r="AB302" s="38">
        <f>_xll.DBRW($C$1,$C$2,$C$3,$C$4,$C$6,$C$5,$C$7,AB$1,AB$2,$A302)</f>
        <v>0</v>
      </c>
      <c r="AC302" s="38">
        <f>_xll.DBRW($C$1,$C$2,$C$3,$C$4,$C$6,$C$5,$C$7,AC$1,AC$2,$A302)</f>
        <v>0</v>
      </c>
      <c r="AD302" s="38">
        <f>_xll.DBRW($C$1,$C$2,$C$3,$C$4,$C$6,$C$5,$C$7,AD$1,AD$2,$A302)</f>
        <v>0</v>
      </c>
      <c r="AE302" s="38">
        <f>_xll.DBRW($C$1,$C$2,$C$3,$C$4,$C$6,$C$5,$C$7,AE$1,AE$2,$A302)</f>
        <v>0</v>
      </c>
      <c r="AF302" s="38">
        <f>_xll.DBRW($C$1,$C$2,$C$3,$C$4,$C$6,$C$5,$C$7,AF$1,AF$2,$A302)</f>
        <v>0</v>
      </c>
      <c r="AG302" s="38">
        <f>_xll.DBRW($C$1,$C$2,$C$3,$C$4,$C$6,$C$5,$C$7,AG$1,AG$2,$A302)</f>
        <v>0</v>
      </c>
      <c r="AH302" s="38">
        <f>_xll.DBRW($C$1,$C$2,$C$3,$C$4,$C$6,$C$5,$C$7,AH$1,AH$2,$A302)</f>
        <v>0</v>
      </c>
      <c r="AI302" s="38">
        <f>_xll.DBRW($C$1,$C$2,$C$3,$C$4,$C$6,$C$5,$C$7,AI$1,AI$2,$A302)</f>
        <v>0</v>
      </c>
      <c r="AJ302" s="38">
        <f>_xll.DBRW($C$1,$C$2,$C$3,$C$4,$C$6,$C$5,$C$7,AJ$1,AJ$2,$A302)</f>
        <v>0</v>
      </c>
      <c r="AK302" s="38">
        <f>_xll.DBRW($C$1,$C$2,$C$3,$C$4,$C$6,$C$5,$C$7,AK$1,AK$2,$A302)</f>
        <v>0</v>
      </c>
      <c r="AL302" s="38">
        <f>_xll.DBRW($C$1,$C$2,$C$3,$C$4,$C$6,$C$5,$C$7,AL$1,AL$2,$A302)</f>
        <v>0</v>
      </c>
      <c r="AM302" s="38">
        <f>_xll.DBRW($C$1,$C$2,$C$3,$C$4,$C$6,$C$5,$C$7,AM$1,AM$2,$A302)</f>
        <v>0</v>
      </c>
      <c r="AN302" s="38">
        <f>_xll.DBRW($C$1,$C$2,$C$3,$C$4,$C$6,$C$5,$C$7,AN$1,AN$2,$A302)</f>
        <v>0</v>
      </c>
      <c r="AO302" s="38">
        <f>_xll.DBRW($C$1,$C$2,$C$3,$C$4,$C$6,$C$5,$C$7,AO$1,AO$2,$A302)</f>
        <v>0</v>
      </c>
      <c r="AP302" s="38">
        <f>_xll.DBRW($C$1,$C$2,$C$3,$C$4,$C$6,$C$5,$C$7,AP$1,AP$2,$A302)</f>
        <v>0</v>
      </c>
      <c r="AQ302" s="38">
        <f>_xll.DBRW($C$1,$C$2,$C$3,$C$4,$C$6,$C$5,$C$7,AQ$1,AQ$2,$A302)</f>
        <v>0</v>
      </c>
      <c r="AR302" s="38">
        <f>_xll.DBRW($C$1,$C$2,$C$3,$C$4,$C$6,$C$5,$C$7,AR$1,AR$2,$A302)</f>
        <v>0</v>
      </c>
      <c r="AS302" s="38">
        <f>_xll.DBRW($C$1,$C$2,$C$3,$C$4,$C$6,$C$5,$C$7,AS$1,AS$2,$A302)</f>
        <v>0</v>
      </c>
      <c r="AT302" s="38">
        <f>_xll.DBRW($C$1,$C$2,$C$3,$C$4,$C$6,$C$5,$C$7,AT$1,AT$2,$A302)</f>
        <v>0</v>
      </c>
      <c r="AU302" s="38">
        <f>_xll.DBRW($C$1,$C$2,$C$3,$C$4,$C$6,$C$5,$C$7,AU$1,AU$2,$A302)</f>
        <v>0</v>
      </c>
    </row>
    <row r="303" spans="1:47" ht="15.75" hidden="1" outlineLevel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  <c r="I303" s="38">
        <f>_xll.DBRW($C$1,$C$2,$C$3,$C$4,$C$6,$C$5,$C$7,I$1,I$2,$A303)</f>
        <v>0</v>
      </c>
      <c r="J303" s="38">
        <f>_xll.DBRW($C$1,$C$2,$C$3,$C$4,$C$6,$C$5,$C$7,J$1,J$2,$A303)</f>
        <v>0</v>
      </c>
      <c r="K303" s="38">
        <f>_xll.DBRW($C$1,$C$2,$C$3,$C$4,$C$6,$C$5,$C$7,K$1,K$2,$A303)</f>
        <v>0</v>
      </c>
      <c r="L303" s="38">
        <f>_xll.DBRW($C$1,$C$2,$C$3,$C$4,$C$6,$C$5,$C$7,L$1,L$2,$A303)</f>
        <v>0</v>
      </c>
      <c r="M303" s="38">
        <f>_xll.DBRW($C$1,$C$2,$C$3,$C$4,$C$6,$C$5,$C$7,M$1,M$2,$A303)</f>
        <v>0</v>
      </c>
      <c r="N303" s="38">
        <f>_xll.DBRW($C$1,$C$2,$C$3,$C$4,$C$6,$C$5,$C$7,N$1,N$2,$A303)</f>
        <v>0</v>
      </c>
      <c r="O303" s="38">
        <f>_xll.DBRW($C$1,$C$2,$C$3,$C$4,$C$6,$C$5,$C$7,O$1,O$2,$A303)</f>
        <v>0</v>
      </c>
      <c r="P303" s="38">
        <f>_xll.DBRW($C$1,$C$2,$C$3,$C$4,$C$6,$C$5,$C$7,P$1,P$2,$A303)</f>
        <v>0</v>
      </c>
      <c r="Q303" s="38">
        <f>_xll.DBRW($C$1,$C$2,$C$3,$C$4,$C$6,$C$5,$C$7,Q$1,Q$2,$A303)</f>
        <v>0</v>
      </c>
      <c r="R303" s="38">
        <f>_xll.DBRW($C$1,$C$2,$C$3,$C$4,$C$6,$C$5,$C$7,R$1,R$2,$A303)</f>
        <v>0</v>
      </c>
      <c r="S303" s="38">
        <f>_xll.DBRW($C$1,$C$2,$C$3,$C$4,$C$6,$C$5,$C$7,S$1,S$2,$A303)</f>
        <v>0</v>
      </c>
      <c r="T303" s="38">
        <f>_xll.DBRW($C$1,$C$2,$C$3,$C$4,$C$6,$C$5,$C$7,T$1,T$2,$A303)</f>
        <v>0</v>
      </c>
      <c r="U303" s="38">
        <f>_xll.DBRW($C$1,$C$2,$C$3,$C$4,$C$6,$C$5,$C$7,U$1,U$2,$A303)</f>
        <v>0</v>
      </c>
      <c r="V303" s="38">
        <f>_xll.DBRW($C$1,$C$2,$C$3,$C$4,$C$6,$C$5,$C$7,V$1,V$2,$A303)</f>
        <v>0</v>
      </c>
      <c r="W303" s="38">
        <f>_xll.DBRW($C$1,$C$2,$C$3,$C$4,$C$6,$C$5,$C$7,W$1,W$2,$A303)</f>
        <v>0</v>
      </c>
      <c r="X303" s="38">
        <f>_xll.DBRW($C$1,$C$2,$C$3,$C$4,$C$6,$C$5,$C$7,X$1,X$2,$A303)</f>
        <v>0</v>
      </c>
      <c r="Y303" s="38">
        <f>_xll.DBRW($C$1,$C$2,$C$3,$C$4,$C$6,$C$5,$C$7,Y$1,Y$2,$A303)</f>
        <v>0</v>
      </c>
      <c r="Z303" s="38">
        <f>_xll.DBRW($C$1,$C$2,$C$3,$C$4,$C$6,$C$5,$C$7,Z$1,Z$2,$A303)</f>
        <v>0</v>
      </c>
      <c r="AA303" s="38">
        <f>_xll.DBRW($C$1,$C$2,$C$3,$C$4,$C$6,$C$5,$C$7,AA$1,AA$2,$A303)</f>
        <v>0</v>
      </c>
      <c r="AB303" s="38">
        <f>_xll.DBRW($C$1,$C$2,$C$3,$C$4,$C$6,$C$5,$C$7,AB$1,AB$2,$A303)</f>
        <v>0</v>
      </c>
      <c r="AC303" s="38">
        <f>_xll.DBRW($C$1,$C$2,$C$3,$C$4,$C$6,$C$5,$C$7,AC$1,AC$2,$A303)</f>
        <v>0</v>
      </c>
      <c r="AD303" s="38">
        <f>_xll.DBRW($C$1,$C$2,$C$3,$C$4,$C$6,$C$5,$C$7,AD$1,AD$2,$A303)</f>
        <v>0</v>
      </c>
      <c r="AE303" s="38">
        <f>_xll.DBRW($C$1,$C$2,$C$3,$C$4,$C$6,$C$5,$C$7,AE$1,AE$2,$A303)</f>
        <v>0</v>
      </c>
      <c r="AF303" s="38">
        <f>_xll.DBRW($C$1,$C$2,$C$3,$C$4,$C$6,$C$5,$C$7,AF$1,AF$2,$A303)</f>
        <v>0</v>
      </c>
      <c r="AG303" s="38">
        <f>_xll.DBRW($C$1,$C$2,$C$3,$C$4,$C$6,$C$5,$C$7,AG$1,AG$2,$A303)</f>
        <v>0</v>
      </c>
      <c r="AH303" s="38">
        <f>_xll.DBRW($C$1,$C$2,$C$3,$C$4,$C$6,$C$5,$C$7,AH$1,AH$2,$A303)</f>
        <v>0</v>
      </c>
      <c r="AI303" s="38">
        <f>_xll.DBRW($C$1,$C$2,$C$3,$C$4,$C$6,$C$5,$C$7,AI$1,AI$2,$A303)</f>
        <v>0</v>
      </c>
      <c r="AJ303" s="38">
        <f>_xll.DBRW($C$1,$C$2,$C$3,$C$4,$C$6,$C$5,$C$7,AJ$1,AJ$2,$A303)</f>
        <v>0</v>
      </c>
      <c r="AK303" s="38">
        <f>_xll.DBRW($C$1,$C$2,$C$3,$C$4,$C$6,$C$5,$C$7,AK$1,AK$2,$A303)</f>
        <v>0</v>
      </c>
      <c r="AL303" s="38">
        <f>_xll.DBRW($C$1,$C$2,$C$3,$C$4,$C$6,$C$5,$C$7,AL$1,AL$2,$A303)</f>
        <v>0</v>
      </c>
      <c r="AM303" s="38">
        <f>_xll.DBRW($C$1,$C$2,$C$3,$C$4,$C$6,$C$5,$C$7,AM$1,AM$2,$A303)</f>
        <v>0</v>
      </c>
      <c r="AN303" s="38">
        <f>_xll.DBRW($C$1,$C$2,$C$3,$C$4,$C$6,$C$5,$C$7,AN$1,AN$2,$A303)</f>
        <v>0</v>
      </c>
      <c r="AO303" s="38">
        <f>_xll.DBRW($C$1,$C$2,$C$3,$C$4,$C$6,$C$5,$C$7,AO$1,AO$2,$A303)</f>
        <v>0</v>
      </c>
      <c r="AP303" s="38">
        <f>_xll.DBRW($C$1,$C$2,$C$3,$C$4,$C$6,$C$5,$C$7,AP$1,AP$2,$A303)</f>
        <v>0</v>
      </c>
      <c r="AQ303" s="38">
        <f>_xll.DBRW($C$1,$C$2,$C$3,$C$4,$C$6,$C$5,$C$7,AQ$1,AQ$2,$A303)</f>
        <v>0</v>
      </c>
      <c r="AR303" s="38">
        <f>_xll.DBRW($C$1,$C$2,$C$3,$C$4,$C$6,$C$5,$C$7,AR$1,AR$2,$A303)</f>
        <v>0</v>
      </c>
      <c r="AS303" s="38">
        <f>_xll.DBRW($C$1,$C$2,$C$3,$C$4,$C$6,$C$5,$C$7,AS$1,AS$2,$A303)</f>
        <v>0</v>
      </c>
      <c r="AT303" s="38">
        <f>_xll.DBRW($C$1,$C$2,$C$3,$C$4,$C$6,$C$5,$C$7,AT$1,AT$2,$A303)</f>
        <v>0</v>
      </c>
      <c r="AU303" s="38">
        <f>_xll.DBRW($C$1,$C$2,$C$3,$C$4,$C$6,$C$5,$C$7,AU$1,AU$2,$A303)</f>
        <v>0</v>
      </c>
    </row>
    <row r="304" spans="1:47" ht="15.75" hidden="1" outlineLevel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608877747.48729169</v>
      </c>
      <c r="G304" s="38">
        <f>_xll.DBRW($C$1,$C$2,$C$3,$C$4,$C$6,$C$5,$C$7,G$1,G$2,$A304)</f>
        <v>514440456.0718891</v>
      </c>
      <c r="H304" s="38">
        <f>_xll.DBRW($C$1,$C$2,$C$3,$C$4,$C$6,$C$5,$C$7,H$1,H$2,$A304)</f>
        <v>506012685.11174709</v>
      </c>
      <c r="I304" s="38">
        <f>_xll.DBRW($C$1,$C$2,$C$3,$C$4,$C$6,$C$5,$C$7,I$1,I$2,$A304)</f>
        <v>34385923.13666667</v>
      </c>
      <c r="J304" s="38">
        <f>_xll.DBRW($C$1,$C$2,$C$3,$C$4,$C$6,$C$5,$C$7,J$1,J$2,$A304)</f>
        <v>81504074.972104102</v>
      </c>
      <c r="K304" s="38">
        <f>_xll.DBRW($C$1,$C$2,$C$3,$C$4,$C$6,$C$5,$C$7,K$1,K$2,$A304)</f>
        <v>131743071.95210409</v>
      </c>
      <c r="L304" s="38">
        <f>_xll.DBRW($C$1,$C$2,$C$3,$C$4,$C$6,$C$5,$C$7,L$1,L$2,$A304)</f>
        <v>162816263.46965075</v>
      </c>
      <c r="M304" s="38">
        <f>_xll.DBRW($C$1,$C$2,$C$3,$C$4,$C$6,$C$5,$C$7,M$1,M$2,$A304)</f>
        <v>215605835.29753003</v>
      </c>
      <c r="N304" s="38">
        <f>_xll.DBRW($C$1,$C$2,$C$3,$C$4,$C$6,$C$5,$C$7,N$1,N$2,$A304)</f>
        <v>263446022.1765613</v>
      </c>
      <c r="O304" s="38">
        <f>_xll.DBRW($C$1,$C$2,$C$3,$C$4,$C$6,$C$5,$C$7,O$1,O$2,$A304)</f>
        <v>7687640261.2105618</v>
      </c>
      <c r="P304" s="38">
        <f>_xll.DBRW($C$1,$C$2,$C$3,$C$4,$C$6,$C$5,$C$7,P$1,P$2,$A304)</f>
        <v>327549462.58966351</v>
      </c>
      <c r="Q304" s="38">
        <f>_xll.DBRW($C$1,$C$2,$C$3,$C$4,$C$6,$C$5,$C$7,Q$1,Q$2,$A304)</f>
        <v>405858639.10424161</v>
      </c>
      <c r="R304" s="38">
        <f>_xll.DBRW($C$1,$C$2,$C$3,$C$4,$C$6,$C$5,$C$7,R$1,R$2,$A304)</f>
        <v>399889279.90424156</v>
      </c>
      <c r="S304" s="38">
        <f>_xll.DBRW($C$1,$C$2,$C$3,$C$4,$C$6,$C$5,$C$7,S$1,S$2,$A304)</f>
        <v>452335208.50039017</v>
      </c>
      <c r="T304" s="38">
        <f>_xll.DBRW($C$1,$C$2,$C$3,$C$4,$C$6,$C$5,$C$7,T$1,T$2,$A304)</f>
        <v>494035323.8976022</v>
      </c>
      <c r="U304" s="38">
        <f>_xll.DBRW($C$1,$C$2,$C$3,$C$4,$C$6,$C$5,$C$7,U$1,U$2,$A304)</f>
        <v>494035323.8976022</v>
      </c>
      <c r="V304" s="38">
        <f>_xll.DBRW($C$1,$C$2,$C$3,$C$4,$C$6,$C$5,$C$7,V$1,V$2,$A304)</f>
        <v>0</v>
      </c>
      <c r="W304" s="38">
        <f>_xll.DBRW($C$1,$C$2,$C$3,$C$4,$C$6,$C$5,$C$7,W$1,W$2,$A304)</f>
        <v>0</v>
      </c>
      <c r="X304" s="38">
        <f>_xll.DBRW($C$1,$C$2,$C$3,$C$4,$C$6,$C$5,$C$7,X$1,X$2,$A304)</f>
        <v>0</v>
      </c>
      <c r="Y304" s="38">
        <f>_xll.DBRW($C$1,$C$2,$C$3,$C$4,$C$6,$C$5,$C$7,Y$1,Y$2,$A304)</f>
        <v>0</v>
      </c>
      <c r="Z304" s="38">
        <f>_xll.DBRW($C$1,$C$2,$C$3,$C$4,$C$6,$C$5,$C$7,Z$1,Z$2,$A304)</f>
        <v>0</v>
      </c>
      <c r="AA304" s="38">
        <f>_xll.DBRW($C$1,$C$2,$C$3,$C$4,$C$6,$C$5,$C$7,AA$1,AA$2,$A304)</f>
        <v>0</v>
      </c>
      <c r="AB304" s="38">
        <f>_xll.DBRW($C$1,$C$2,$C$3,$C$4,$C$6,$C$5,$C$7,AB$1,AB$2,$A304)</f>
        <v>0</v>
      </c>
      <c r="AC304" s="38">
        <f>_xll.DBRW($C$1,$C$2,$C$3,$C$4,$C$6,$C$5,$C$7,AC$1,AC$2,$A304)</f>
        <v>0</v>
      </c>
      <c r="AD304" s="38">
        <f>_xll.DBRW($C$1,$C$2,$C$3,$C$4,$C$6,$C$5,$C$7,AD$1,AD$2,$A304)</f>
        <v>0</v>
      </c>
      <c r="AE304" s="38">
        <f>_xll.DBRW($C$1,$C$2,$C$3,$C$4,$C$6,$C$5,$C$7,AE$1,AE$2,$A304)</f>
        <v>0</v>
      </c>
      <c r="AF304" s="38">
        <f>_xll.DBRW($C$1,$C$2,$C$3,$C$4,$C$6,$C$5,$C$7,AF$1,AF$2,$A304)</f>
        <v>0</v>
      </c>
      <c r="AG304" s="38">
        <f>_xll.DBRW($C$1,$C$2,$C$3,$C$4,$C$6,$C$5,$C$7,AG$1,AG$2,$A304)</f>
        <v>0</v>
      </c>
      <c r="AH304" s="38">
        <f>_xll.DBRW($C$1,$C$2,$C$3,$C$4,$C$6,$C$5,$C$7,AH$1,AH$2,$A304)</f>
        <v>0</v>
      </c>
      <c r="AI304" s="38">
        <f>_xll.DBRW($C$1,$C$2,$C$3,$C$4,$C$6,$C$5,$C$7,AI$1,AI$2,$A304)</f>
        <v>0</v>
      </c>
      <c r="AJ304" s="38">
        <f>_xll.DBRW($C$1,$C$2,$C$3,$C$4,$C$6,$C$5,$C$7,AJ$1,AJ$2,$A304)</f>
        <v>0</v>
      </c>
      <c r="AK304" s="38">
        <f>_xll.DBRW($C$1,$C$2,$C$3,$C$4,$C$6,$C$5,$C$7,AK$1,AK$2,$A304)</f>
        <v>0</v>
      </c>
      <c r="AL304" s="38">
        <f>_xll.DBRW($C$1,$C$2,$C$3,$C$4,$C$6,$C$5,$C$7,AL$1,AL$2,$A304)</f>
        <v>0</v>
      </c>
      <c r="AM304" s="38">
        <f>_xll.DBRW($C$1,$C$2,$C$3,$C$4,$C$6,$C$5,$C$7,AM$1,AM$2,$A304)</f>
        <v>0</v>
      </c>
      <c r="AN304" s="38">
        <f>_xll.DBRW($C$1,$C$2,$C$3,$C$4,$C$6,$C$5,$C$7,AN$1,AN$2,$A304)</f>
        <v>0</v>
      </c>
      <c r="AO304" s="38">
        <f>_xll.DBRW($C$1,$C$2,$C$3,$C$4,$C$6,$C$5,$C$7,AO$1,AO$2,$A304)</f>
        <v>0</v>
      </c>
      <c r="AP304" s="38">
        <f>_xll.DBRW($C$1,$C$2,$C$3,$C$4,$C$6,$C$5,$C$7,AP$1,AP$2,$A304)</f>
        <v>0</v>
      </c>
      <c r="AQ304" s="38">
        <f>_xll.DBRW($C$1,$C$2,$C$3,$C$4,$C$6,$C$5,$C$7,AQ$1,AQ$2,$A304)</f>
        <v>0</v>
      </c>
      <c r="AR304" s="38">
        <f>_xll.DBRW($C$1,$C$2,$C$3,$C$4,$C$6,$C$5,$C$7,AR$1,AR$2,$A304)</f>
        <v>0</v>
      </c>
      <c r="AS304" s="38">
        <f>_xll.DBRW($C$1,$C$2,$C$3,$C$4,$C$6,$C$5,$C$7,AS$1,AS$2,$A304)</f>
        <v>0</v>
      </c>
      <c r="AT304" s="38">
        <f>_xll.DBRW($C$1,$C$2,$C$3,$C$4,$C$6,$C$5,$C$7,AT$1,AT$2,$A304)</f>
        <v>0</v>
      </c>
      <c r="AU304" s="38">
        <f>_xll.DBRW($C$1,$C$2,$C$3,$C$4,$C$6,$C$5,$C$7,AU$1,AU$2,$A304)</f>
        <v>0</v>
      </c>
    </row>
    <row r="305" spans="1:47" ht="15.75" hidden="1" outlineLevel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4517892</v>
      </c>
      <c r="G305" s="38">
        <f>_xll.DBRW($C$1,$C$2,$C$3,$C$4,$C$6,$C$5,$C$7,G$1,G$2,$A305)</f>
        <v>3282246</v>
      </c>
      <c r="H305" s="38">
        <f>_xll.DBRW($C$1,$C$2,$C$3,$C$4,$C$6,$C$5,$C$7,H$1,H$2,$A305)</f>
        <v>4450495</v>
      </c>
      <c r="I305" s="38">
        <f>_xll.DBRW($C$1,$C$2,$C$3,$C$4,$C$6,$C$5,$C$7,I$1,I$2,$A305)</f>
        <v>460319</v>
      </c>
      <c r="J305" s="38">
        <f>_xll.DBRW($C$1,$C$2,$C$3,$C$4,$C$6,$C$5,$C$7,J$1,J$2,$A305)</f>
        <v>903694.35</v>
      </c>
      <c r="K305" s="38">
        <f>_xll.DBRW($C$1,$C$2,$C$3,$C$4,$C$6,$C$5,$C$7,K$1,K$2,$A305)</f>
        <v>1440090.04</v>
      </c>
      <c r="L305" s="38">
        <f>_xll.DBRW($C$1,$C$2,$C$3,$C$4,$C$6,$C$5,$C$7,L$1,L$2,$A305)</f>
        <v>1923956.54</v>
      </c>
      <c r="M305" s="38">
        <f>_xll.DBRW($C$1,$C$2,$C$3,$C$4,$C$6,$C$5,$C$7,M$1,M$2,$A305)</f>
        <v>2524747.48</v>
      </c>
      <c r="N305" s="38">
        <f>_xll.DBRW($C$1,$C$2,$C$3,$C$4,$C$6,$C$5,$C$7,N$1,N$2,$A305)</f>
        <v>3059615.6</v>
      </c>
      <c r="O305" s="38">
        <f>_xll.DBRW($C$1,$C$2,$C$3,$C$4,$C$6,$C$5,$C$7,O$1,O$2,$A305)</f>
        <v>2169911731.5999999</v>
      </c>
      <c r="P305" s="38">
        <f>_xll.DBRW($C$1,$C$2,$C$3,$C$4,$C$6,$C$5,$C$7,P$1,P$2,$A305)</f>
        <v>6018020.5999999046</v>
      </c>
      <c r="Q305" s="38">
        <f>_xll.DBRW($C$1,$C$2,$C$3,$C$4,$C$6,$C$5,$C$7,Q$1,Q$2,$A305)</f>
        <v>7615235.4499999043</v>
      </c>
      <c r="R305" s="38">
        <f>_xll.DBRW($C$1,$C$2,$C$3,$C$4,$C$6,$C$5,$C$7,R$1,R$2,$A305)</f>
        <v>8081680.3699999042</v>
      </c>
      <c r="S305" s="38">
        <f>_xll.DBRW($C$1,$C$2,$C$3,$C$4,$C$6,$C$5,$C$7,S$1,S$2,$A305)</f>
        <v>9325345.3699999042</v>
      </c>
      <c r="T305" s="38">
        <f>_xll.DBRW($C$1,$C$2,$C$3,$C$4,$C$6,$C$5,$C$7,T$1,T$2,$A305)</f>
        <v>10285844.339999905</v>
      </c>
      <c r="U305" s="38">
        <f>_xll.DBRW($C$1,$C$2,$C$3,$C$4,$C$6,$C$5,$C$7,U$1,U$2,$A305)</f>
        <v>10285844.339999905</v>
      </c>
      <c r="V305" s="38">
        <f>_xll.DBRW($C$1,$C$2,$C$3,$C$4,$C$6,$C$5,$C$7,V$1,V$2,$A305)</f>
        <v>0</v>
      </c>
      <c r="W305" s="38">
        <f>_xll.DBRW($C$1,$C$2,$C$3,$C$4,$C$6,$C$5,$C$7,W$1,W$2,$A305)</f>
        <v>0</v>
      </c>
      <c r="X305" s="38">
        <f>_xll.DBRW($C$1,$C$2,$C$3,$C$4,$C$6,$C$5,$C$7,X$1,X$2,$A305)</f>
        <v>0</v>
      </c>
      <c r="Y305" s="38">
        <f>_xll.DBRW($C$1,$C$2,$C$3,$C$4,$C$6,$C$5,$C$7,Y$1,Y$2,$A305)</f>
        <v>0</v>
      </c>
      <c r="Z305" s="38">
        <f>_xll.DBRW($C$1,$C$2,$C$3,$C$4,$C$6,$C$5,$C$7,Z$1,Z$2,$A305)</f>
        <v>0</v>
      </c>
      <c r="AA305" s="38">
        <f>_xll.DBRW($C$1,$C$2,$C$3,$C$4,$C$6,$C$5,$C$7,AA$1,AA$2,$A305)</f>
        <v>0</v>
      </c>
      <c r="AB305" s="38">
        <f>_xll.DBRW($C$1,$C$2,$C$3,$C$4,$C$6,$C$5,$C$7,AB$1,AB$2,$A305)</f>
        <v>0</v>
      </c>
      <c r="AC305" s="38">
        <f>_xll.DBRW($C$1,$C$2,$C$3,$C$4,$C$6,$C$5,$C$7,AC$1,AC$2,$A305)</f>
        <v>0</v>
      </c>
      <c r="AD305" s="38">
        <f>_xll.DBRW($C$1,$C$2,$C$3,$C$4,$C$6,$C$5,$C$7,AD$1,AD$2,$A305)</f>
        <v>0</v>
      </c>
      <c r="AE305" s="38">
        <f>_xll.DBRW($C$1,$C$2,$C$3,$C$4,$C$6,$C$5,$C$7,AE$1,AE$2,$A305)</f>
        <v>0</v>
      </c>
      <c r="AF305" s="38">
        <f>_xll.DBRW($C$1,$C$2,$C$3,$C$4,$C$6,$C$5,$C$7,AF$1,AF$2,$A305)</f>
        <v>0</v>
      </c>
      <c r="AG305" s="38">
        <f>_xll.DBRW($C$1,$C$2,$C$3,$C$4,$C$6,$C$5,$C$7,AG$1,AG$2,$A305)</f>
        <v>0</v>
      </c>
      <c r="AH305" s="38">
        <f>_xll.DBRW($C$1,$C$2,$C$3,$C$4,$C$6,$C$5,$C$7,AH$1,AH$2,$A305)</f>
        <v>0</v>
      </c>
      <c r="AI305" s="38">
        <f>_xll.DBRW($C$1,$C$2,$C$3,$C$4,$C$6,$C$5,$C$7,AI$1,AI$2,$A305)</f>
        <v>0</v>
      </c>
      <c r="AJ305" s="38">
        <f>_xll.DBRW($C$1,$C$2,$C$3,$C$4,$C$6,$C$5,$C$7,AJ$1,AJ$2,$A305)</f>
        <v>0</v>
      </c>
      <c r="AK305" s="38">
        <f>_xll.DBRW($C$1,$C$2,$C$3,$C$4,$C$6,$C$5,$C$7,AK$1,AK$2,$A305)</f>
        <v>0</v>
      </c>
      <c r="AL305" s="38">
        <f>_xll.DBRW($C$1,$C$2,$C$3,$C$4,$C$6,$C$5,$C$7,AL$1,AL$2,$A305)</f>
        <v>0</v>
      </c>
      <c r="AM305" s="38">
        <f>_xll.DBRW($C$1,$C$2,$C$3,$C$4,$C$6,$C$5,$C$7,AM$1,AM$2,$A305)</f>
        <v>0</v>
      </c>
      <c r="AN305" s="38">
        <f>_xll.DBRW($C$1,$C$2,$C$3,$C$4,$C$6,$C$5,$C$7,AN$1,AN$2,$A305)</f>
        <v>0</v>
      </c>
      <c r="AO305" s="38">
        <f>_xll.DBRW($C$1,$C$2,$C$3,$C$4,$C$6,$C$5,$C$7,AO$1,AO$2,$A305)</f>
        <v>0</v>
      </c>
      <c r="AP305" s="38">
        <f>_xll.DBRW($C$1,$C$2,$C$3,$C$4,$C$6,$C$5,$C$7,AP$1,AP$2,$A305)</f>
        <v>0</v>
      </c>
      <c r="AQ305" s="38">
        <f>_xll.DBRW($C$1,$C$2,$C$3,$C$4,$C$6,$C$5,$C$7,AQ$1,AQ$2,$A305)</f>
        <v>0</v>
      </c>
      <c r="AR305" s="38">
        <f>_xll.DBRW($C$1,$C$2,$C$3,$C$4,$C$6,$C$5,$C$7,AR$1,AR$2,$A305)</f>
        <v>0</v>
      </c>
      <c r="AS305" s="38">
        <f>_xll.DBRW($C$1,$C$2,$C$3,$C$4,$C$6,$C$5,$C$7,AS$1,AS$2,$A305)</f>
        <v>0</v>
      </c>
      <c r="AT305" s="38">
        <f>_xll.DBRW($C$1,$C$2,$C$3,$C$4,$C$6,$C$5,$C$7,AT$1,AT$2,$A305)</f>
        <v>0</v>
      </c>
      <c r="AU305" s="38">
        <f>_xll.DBRW($C$1,$C$2,$C$3,$C$4,$C$6,$C$5,$C$7,AU$1,AU$2,$A305)</f>
        <v>0</v>
      </c>
    </row>
    <row r="306" spans="1:47" ht="15.75" hidden="1" outlineLevel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76885571.487599999</v>
      </c>
      <c r="G306" s="38">
        <f>_xll.DBRW($C$1,$C$2,$C$3,$C$4,$C$6,$C$5,$C$7,G$1,G$2,$A306)</f>
        <v>36107108.574848324</v>
      </c>
      <c r="H306" s="38">
        <f>_xll.DBRW($C$1,$C$2,$C$3,$C$4,$C$6,$C$5,$C$7,H$1,H$2,$A306)</f>
        <v>12823762.880000001</v>
      </c>
      <c r="I306" s="38">
        <f>_xll.DBRW($C$1,$C$2,$C$3,$C$4,$C$6,$C$5,$C$7,I$1,I$2,$A306)</f>
        <v>743809.16666666674</v>
      </c>
      <c r="J306" s="38">
        <f>_xll.DBRW($C$1,$C$2,$C$3,$C$4,$C$6,$C$5,$C$7,J$1,J$2,$A306)</f>
        <v>2192305.4366666665</v>
      </c>
      <c r="K306" s="38">
        <f>_xll.DBRW($C$1,$C$2,$C$3,$C$4,$C$6,$C$5,$C$7,K$1,K$2,$A306)</f>
        <v>6710994.3666666662</v>
      </c>
      <c r="L306" s="38">
        <f>_xll.DBRW($C$1,$C$2,$C$3,$C$4,$C$6,$C$5,$C$7,L$1,L$2,$A306)</f>
        <v>7394959.5333333332</v>
      </c>
      <c r="M306" s="38">
        <f>_xll.DBRW($C$1,$C$2,$C$3,$C$4,$C$6,$C$5,$C$7,M$1,M$2,$A306)</f>
        <v>8776251.5333333332</v>
      </c>
      <c r="N306" s="38">
        <f>_xll.DBRW($C$1,$C$2,$C$3,$C$4,$C$6,$C$5,$C$7,N$1,N$2,$A306)</f>
        <v>9778335.5333333332</v>
      </c>
      <c r="O306" s="38">
        <f>_xll.DBRW($C$1,$C$2,$C$3,$C$4,$C$6,$C$5,$C$7,O$1,O$2,$A306)</f>
        <v>32840757.643333331</v>
      </c>
      <c r="P306" s="38">
        <f>_xll.DBRW($C$1,$C$2,$C$3,$C$4,$C$6,$C$5,$C$7,P$1,P$2,$A306)</f>
        <v>8862542.6266666614</v>
      </c>
      <c r="Q306" s="38">
        <f>_xll.DBRW($C$1,$C$2,$C$3,$C$4,$C$6,$C$5,$C$7,Q$1,Q$2,$A306)</f>
        <v>10195304.049213622</v>
      </c>
      <c r="R306" s="38">
        <f>_xll.DBRW($C$1,$C$2,$C$3,$C$4,$C$6,$C$5,$C$7,R$1,R$2,$A306)</f>
        <v>10841438.459213622</v>
      </c>
      <c r="S306" s="38">
        <f>_xll.DBRW($C$1,$C$2,$C$3,$C$4,$C$6,$C$5,$C$7,S$1,S$2,$A306)</f>
        <v>13171643.659213621</v>
      </c>
      <c r="T306" s="38">
        <f>_xll.DBRW($C$1,$C$2,$C$3,$C$4,$C$6,$C$5,$C$7,T$1,T$2,$A306)</f>
        <v>14568178.519213621</v>
      </c>
      <c r="U306" s="38">
        <f>_xll.DBRW($C$1,$C$2,$C$3,$C$4,$C$6,$C$5,$C$7,U$1,U$2,$A306)</f>
        <v>14568178.519213621</v>
      </c>
      <c r="V306" s="38">
        <f>_xll.DBRW($C$1,$C$2,$C$3,$C$4,$C$6,$C$5,$C$7,V$1,V$2,$A306)</f>
        <v>0</v>
      </c>
      <c r="W306" s="38">
        <f>_xll.DBRW($C$1,$C$2,$C$3,$C$4,$C$6,$C$5,$C$7,W$1,W$2,$A306)</f>
        <v>0</v>
      </c>
      <c r="X306" s="38">
        <f>_xll.DBRW($C$1,$C$2,$C$3,$C$4,$C$6,$C$5,$C$7,X$1,X$2,$A306)</f>
        <v>0</v>
      </c>
      <c r="Y306" s="38">
        <f>_xll.DBRW($C$1,$C$2,$C$3,$C$4,$C$6,$C$5,$C$7,Y$1,Y$2,$A306)</f>
        <v>0</v>
      </c>
      <c r="Z306" s="38">
        <f>_xll.DBRW($C$1,$C$2,$C$3,$C$4,$C$6,$C$5,$C$7,Z$1,Z$2,$A306)</f>
        <v>0</v>
      </c>
      <c r="AA306" s="38">
        <f>_xll.DBRW($C$1,$C$2,$C$3,$C$4,$C$6,$C$5,$C$7,AA$1,AA$2,$A306)</f>
        <v>0</v>
      </c>
      <c r="AB306" s="38">
        <f>_xll.DBRW($C$1,$C$2,$C$3,$C$4,$C$6,$C$5,$C$7,AB$1,AB$2,$A306)</f>
        <v>0</v>
      </c>
      <c r="AC306" s="38">
        <f>_xll.DBRW($C$1,$C$2,$C$3,$C$4,$C$6,$C$5,$C$7,AC$1,AC$2,$A306)</f>
        <v>0</v>
      </c>
      <c r="AD306" s="38">
        <f>_xll.DBRW($C$1,$C$2,$C$3,$C$4,$C$6,$C$5,$C$7,AD$1,AD$2,$A306)</f>
        <v>0</v>
      </c>
      <c r="AE306" s="38">
        <f>_xll.DBRW($C$1,$C$2,$C$3,$C$4,$C$6,$C$5,$C$7,AE$1,AE$2,$A306)</f>
        <v>0</v>
      </c>
      <c r="AF306" s="38">
        <f>_xll.DBRW($C$1,$C$2,$C$3,$C$4,$C$6,$C$5,$C$7,AF$1,AF$2,$A306)</f>
        <v>0</v>
      </c>
      <c r="AG306" s="38">
        <f>_xll.DBRW($C$1,$C$2,$C$3,$C$4,$C$6,$C$5,$C$7,AG$1,AG$2,$A306)</f>
        <v>0</v>
      </c>
      <c r="AH306" s="38">
        <f>_xll.DBRW($C$1,$C$2,$C$3,$C$4,$C$6,$C$5,$C$7,AH$1,AH$2,$A306)</f>
        <v>0</v>
      </c>
      <c r="AI306" s="38">
        <f>_xll.DBRW($C$1,$C$2,$C$3,$C$4,$C$6,$C$5,$C$7,AI$1,AI$2,$A306)</f>
        <v>0</v>
      </c>
      <c r="AJ306" s="38">
        <f>_xll.DBRW($C$1,$C$2,$C$3,$C$4,$C$6,$C$5,$C$7,AJ$1,AJ$2,$A306)</f>
        <v>0</v>
      </c>
      <c r="AK306" s="38">
        <f>_xll.DBRW($C$1,$C$2,$C$3,$C$4,$C$6,$C$5,$C$7,AK$1,AK$2,$A306)</f>
        <v>0</v>
      </c>
      <c r="AL306" s="38">
        <f>_xll.DBRW($C$1,$C$2,$C$3,$C$4,$C$6,$C$5,$C$7,AL$1,AL$2,$A306)</f>
        <v>0</v>
      </c>
      <c r="AM306" s="38">
        <f>_xll.DBRW($C$1,$C$2,$C$3,$C$4,$C$6,$C$5,$C$7,AM$1,AM$2,$A306)</f>
        <v>0</v>
      </c>
      <c r="AN306" s="38">
        <f>_xll.DBRW($C$1,$C$2,$C$3,$C$4,$C$6,$C$5,$C$7,AN$1,AN$2,$A306)</f>
        <v>0</v>
      </c>
      <c r="AO306" s="38">
        <f>_xll.DBRW($C$1,$C$2,$C$3,$C$4,$C$6,$C$5,$C$7,AO$1,AO$2,$A306)</f>
        <v>0</v>
      </c>
      <c r="AP306" s="38">
        <f>_xll.DBRW($C$1,$C$2,$C$3,$C$4,$C$6,$C$5,$C$7,AP$1,AP$2,$A306)</f>
        <v>0</v>
      </c>
      <c r="AQ306" s="38">
        <f>_xll.DBRW($C$1,$C$2,$C$3,$C$4,$C$6,$C$5,$C$7,AQ$1,AQ$2,$A306)</f>
        <v>0</v>
      </c>
      <c r="AR306" s="38">
        <f>_xll.DBRW($C$1,$C$2,$C$3,$C$4,$C$6,$C$5,$C$7,AR$1,AR$2,$A306)</f>
        <v>0</v>
      </c>
      <c r="AS306" s="38">
        <f>_xll.DBRW($C$1,$C$2,$C$3,$C$4,$C$6,$C$5,$C$7,AS$1,AS$2,$A306)</f>
        <v>0</v>
      </c>
      <c r="AT306" s="38">
        <f>_xll.DBRW($C$1,$C$2,$C$3,$C$4,$C$6,$C$5,$C$7,AT$1,AT$2,$A306)</f>
        <v>0</v>
      </c>
      <c r="AU306" s="38">
        <f>_xll.DBRW($C$1,$C$2,$C$3,$C$4,$C$6,$C$5,$C$7,AU$1,AU$2,$A306)</f>
        <v>0</v>
      </c>
    </row>
    <row r="307" spans="1:47" ht="15.75" hidden="1" outlineLevel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10761862.4</v>
      </c>
      <c r="G307" s="38">
        <f>_xll.DBRW($C$1,$C$2,$C$3,$C$4,$C$6,$C$5,$C$7,G$1,G$2,$A307)</f>
        <v>12515330.18</v>
      </c>
      <c r="H307" s="38">
        <f>_xll.DBRW($C$1,$C$2,$C$3,$C$4,$C$6,$C$5,$C$7,H$1,H$2,$A307)</f>
        <v>28463341.280000001</v>
      </c>
      <c r="I307" s="38">
        <f>_xll.DBRW($C$1,$C$2,$C$3,$C$4,$C$6,$C$5,$C$7,I$1,I$2,$A307)</f>
        <v>2666198</v>
      </c>
      <c r="J307" s="38">
        <f>_xll.DBRW($C$1,$C$2,$C$3,$C$4,$C$6,$C$5,$C$7,J$1,J$2,$A307)</f>
        <v>6496997</v>
      </c>
      <c r="K307" s="38">
        <f>_xll.DBRW($C$1,$C$2,$C$3,$C$4,$C$6,$C$5,$C$7,K$1,K$2,$A307)</f>
        <v>10737217.84</v>
      </c>
      <c r="L307" s="38">
        <f>_xll.DBRW($C$1,$C$2,$C$3,$C$4,$C$6,$C$5,$C$7,L$1,L$2,$A307)</f>
        <v>14087003.84</v>
      </c>
      <c r="M307" s="38">
        <f>_xll.DBRW($C$1,$C$2,$C$3,$C$4,$C$6,$C$5,$C$7,M$1,M$2,$A307)</f>
        <v>18432631.66</v>
      </c>
      <c r="N307" s="38">
        <f>_xll.DBRW($C$1,$C$2,$C$3,$C$4,$C$6,$C$5,$C$7,N$1,N$2,$A307)</f>
        <v>22631463.66</v>
      </c>
      <c r="O307" s="38">
        <f>_xll.DBRW($C$1,$C$2,$C$3,$C$4,$C$6,$C$5,$C$7,O$1,O$2,$A307)</f>
        <v>767373752.65999997</v>
      </c>
      <c r="P307" s="38">
        <f>_xll.DBRW($C$1,$C$2,$C$3,$C$4,$C$6,$C$5,$C$7,P$1,P$2,$A307)</f>
        <v>30255924.253000021</v>
      </c>
      <c r="Q307" s="38">
        <f>_xll.DBRW($C$1,$C$2,$C$3,$C$4,$C$6,$C$5,$C$7,Q$1,Q$2,$A307)</f>
        <v>34555271.566859089</v>
      </c>
      <c r="R307" s="38">
        <f>_xll.DBRW($C$1,$C$2,$C$3,$C$4,$C$6,$C$5,$C$7,R$1,R$2,$A307)</f>
        <v>37140413.376859084</v>
      </c>
      <c r="S307" s="38">
        <f>_xll.DBRW($C$1,$C$2,$C$3,$C$4,$C$6,$C$5,$C$7,S$1,S$2,$A307)</f>
        <v>42840239.823859081</v>
      </c>
      <c r="T307" s="38">
        <f>_xll.DBRW($C$1,$C$2,$C$3,$C$4,$C$6,$C$5,$C$7,T$1,T$2,$A307)</f>
        <v>49067625.593859076</v>
      </c>
      <c r="U307" s="38">
        <f>_xll.DBRW($C$1,$C$2,$C$3,$C$4,$C$6,$C$5,$C$7,U$1,U$2,$A307)</f>
        <v>49067625.593859076</v>
      </c>
      <c r="V307" s="38">
        <f>_xll.DBRW($C$1,$C$2,$C$3,$C$4,$C$6,$C$5,$C$7,V$1,V$2,$A307)</f>
        <v>0</v>
      </c>
      <c r="W307" s="38">
        <f>_xll.DBRW($C$1,$C$2,$C$3,$C$4,$C$6,$C$5,$C$7,W$1,W$2,$A307)</f>
        <v>0</v>
      </c>
      <c r="X307" s="38">
        <f>_xll.DBRW($C$1,$C$2,$C$3,$C$4,$C$6,$C$5,$C$7,X$1,X$2,$A307)</f>
        <v>0</v>
      </c>
      <c r="Y307" s="38">
        <f>_xll.DBRW($C$1,$C$2,$C$3,$C$4,$C$6,$C$5,$C$7,Y$1,Y$2,$A307)</f>
        <v>0</v>
      </c>
      <c r="Z307" s="38">
        <f>_xll.DBRW($C$1,$C$2,$C$3,$C$4,$C$6,$C$5,$C$7,Z$1,Z$2,$A307)</f>
        <v>0</v>
      </c>
      <c r="AA307" s="38">
        <f>_xll.DBRW($C$1,$C$2,$C$3,$C$4,$C$6,$C$5,$C$7,AA$1,AA$2,$A307)</f>
        <v>0</v>
      </c>
      <c r="AB307" s="38">
        <f>_xll.DBRW($C$1,$C$2,$C$3,$C$4,$C$6,$C$5,$C$7,AB$1,AB$2,$A307)</f>
        <v>0</v>
      </c>
      <c r="AC307" s="38">
        <f>_xll.DBRW($C$1,$C$2,$C$3,$C$4,$C$6,$C$5,$C$7,AC$1,AC$2,$A307)</f>
        <v>0</v>
      </c>
      <c r="AD307" s="38">
        <f>_xll.DBRW($C$1,$C$2,$C$3,$C$4,$C$6,$C$5,$C$7,AD$1,AD$2,$A307)</f>
        <v>0</v>
      </c>
      <c r="AE307" s="38">
        <f>_xll.DBRW($C$1,$C$2,$C$3,$C$4,$C$6,$C$5,$C$7,AE$1,AE$2,$A307)</f>
        <v>0</v>
      </c>
      <c r="AF307" s="38">
        <f>_xll.DBRW($C$1,$C$2,$C$3,$C$4,$C$6,$C$5,$C$7,AF$1,AF$2,$A307)</f>
        <v>0</v>
      </c>
      <c r="AG307" s="38">
        <f>_xll.DBRW($C$1,$C$2,$C$3,$C$4,$C$6,$C$5,$C$7,AG$1,AG$2,$A307)</f>
        <v>0</v>
      </c>
      <c r="AH307" s="38">
        <f>_xll.DBRW($C$1,$C$2,$C$3,$C$4,$C$6,$C$5,$C$7,AH$1,AH$2,$A307)</f>
        <v>0</v>
      </c>
      <c r="AI307" s="38">
        <f>_xll.DBRW($C$1,$C$2,$C$3,$C$4,$C$6,$C$5,$C$7,AI$1,AI$2,$A307)</f>
        <v>0</v>
      </c>
      <c r="AJ307" s="38">
        <f>_xll.DBRW($C$1,$C$2,$C$3,$C$4,$C$6,$C$5,$C$7,AJ$1,AJ$2,$A307)</f>
        <v>0</v>
      </c>
      <c r="AK307" s="38">
        <f>_xll.DBRW($C$1,$C$2,$C$3,$C$4,$C$6,$C$5,$C$7,AK$1,AK$2,$A307)</f>
        <v>0</v>
      </c>
      <c r="AL307" s="38">
        <f>_xll.DBRW($C$1,$C$2,$C$3,$C$4,$C$6,$C$5,$C$7,AL$1,AL$2,$A307)</f>
        <v>0</v>
      </c>
      <c r="AM307" s="38">
        <f>_xll.DBRW($C$1,$C$2,$C$3,$C$4,$C$6,$C$5,$C$7,AM$1,AM$2,$A307)</f>
        <v>0</v>
      </c>
      <c r="AN307" s="38">
        <f>_xll.DBRW($C$1,$C$2,$C$3,$C$4,$C$6,$C$5,$C$7,AN$1,AN$2,$A307)</f>
        <v>0</v>
      </c>
      <c r="AO307" s="38">
        <f>_xll.DBRW($C$1,$C$2,$C$3,$C$4,$C$6,$C$5,$C$7,AO$1,AO$2,$A307)</f>
        <v>0</v>
      </c>
      <c r="AP307" s="38">
        <f>_xll.DBRW($C$1,$C$2,$C$3,$C$4,$C$6,$C$5,$C$7,AP$1,AP$2,$A307)</f>
        <v>0</v>
      </c>
      <c r="AQ307" s="38">
        <f>_xll.DBRW($C$1,$C$2,$C$3,$C$4,$C$6,$C$5,$C$7,AQ$1,AQ$2,$A307)</f>
        <v>0</v>
      </c>
      <c r="AR307" s="38">
        <f>_xll.DBRW($C$1,$C$2,$C$3,$C$4,$C$6,$C$5,$C$7,AR$1,AR$2,$A307)</f>
        <v>0</v>
      </c>
      <c r="AS307" s="38">
        <f>_xll.DBRW($C$1,$C$2,$C$3,$C$4,$C$6,$C$5,$C$7,AS$1,AS$2,$A307)</f>
        <v>0</v>
      </c>
      <c r="AT307" s="38">
        <f>_xll.DBRW($C$1,$C$2,$C$3,$C$4,$C$6,$C$5,$C$7,AT$1,AT$2,$A307)</f>
        <v>0</v>
      </c>
      <c r="AU307" s="38">
        <f>_xll.DBRW($C$1,$C$2,$C$3,$C$4,$C$6,$C$5,$C$7,AU$1,AU$2,$A307)</f>
        <v>0</v>
      </c>
    </row>
    <row r="308" spans="1:47" ht="15.75" customHeight="1" collapsed="1">
      <c r="A308" s="1" t="s">
        <v>127</v>
      </c>
      <c r="C308" s="143" t="s">
        <v>78</v>
      </c>
      <c r="E308" s="126" t="s">
        <v>79</v>
      </c>
      <c r="F308" s="127">
        <f t="shared" ref="F308:AU308" si="164">F297</f>
        <v>1485979982.9138541</v>
      </c>
      <c r="G308" s="127">
        <f t="shared" si="164"/>
        <v>1049420819.4605614</v>
      </c>
      <c r="H308" s="127">
        <f t="shared" si="164"/>
        <v>1189038664.9529171</v>
      </c>
      <c r="I308" s="127">
        <f t="shared" si="164"/>
        <v>54913638.724033333</v>
      </c>
      <c r="J308" s="127">
        <f t="shared" si="164"/>
        <v>157368106.82677075</v>
      </c>
      <c r="K308" s="127">
        <f t="shared" si="164"/>
        <v>244559251.24677074</v>
      </c>
      <c r="L308" s="127">
        <f t="shared" si="164"/>
        <v>325328929.87010407</v>
      </c>
      <c r="M308" s="127">
        <f t="shared" si="164"/>
        <v>414793770.15856338</v>
      </c>
      <c r="N308" s="127">
        <f t="shared" si="164"/>
        <v>503673238.45816666</v>
      </c>
      <c r="O308" s="127">
        <f t="shared" si="164"/>
        <v>10881733381.602167</v>
      </c>
      <c r="P308" s="127">
        <f t="shared" si="164"/>
        <v>726533343.12560081</v>
      </c>
      <c r="Q308" s="127">
        <f t="shared" si="164"/>
        <v>845512104.52658498</v>
      </c>
      <c r="R308" s="127">
        <f t="shared" si="164"/>
        <v>886491900.46658504</v>
      </c>
      <c r="S308" s="127">
        <f t="shared" si="164"/>
        <v>1119494692.1097336</v>
      </c>
      <c r="T308" s="127">
        <f t="shared" si="164"/>
        <v>1207155731.1397336</v>
      </c>
      <c r="U308" s="127">
        <f t="shared" si="164"/>
        <v>1207155731.1397336</v>
      </c>
      <c r="V308" s="127">
        <f t="shared" si="164"/>
        <v>0</v>
      </c>
      <c r="W308" s="127">
        <f t="shared" si="164"/>
        <v>0</v>
      </c>
      <c r="X308" s="127">
        <f t="shared" si="164"/>
        <v>0</v>
      </c>
      <c r="Y308" s="127">
        <f t="shared" si="164"/>
        <v>0</v>
      </c>
      <c r="Z308" s="127">
        <f t="shared" si="164"/>
        <v>0</v>
      </c>
      <c r="AA308" s="127">
        <f t="shared" si="164"/>
        <v>0</v>
      </c>
      <c r="AB308" s="127">
        <f t="shared" si="164"/>
        <v>0</v>
      </c>
      <c r="AC308" s="127">
        <f t="shared" si="164"/>
        <v>0</v>
      </c>
      <c r="AD308" s="127">
        <f t="shared" si="164"/>
        <v>0</v>
      </c>
      <c r="AE308" s="127">
        <f t="shared" si="164"/>
        <v>0</v>
      </c>
      <c r="AF308" s="127">
        <f t="shared" si="164"/>
        <v>0</v>
      </c>
      <c r="AG308" s="127">
        <f t="shared" si="164"/>
        <v>0</v>
      </c>
      <c r="AH308" s="127">
        <f t="shared" si="164"/>
        <v>0</v>
      </c>
      <c r="AI308" s="127">
        <f t="shared" si="164"/>
        <v>0</v>
      </c>
      <c r="AJ308" s="127">
        <f t="shared" si="164"/>
        <v>0</v>
      </c>
      <c r="AK308" s="127">
        <f t="shared" si="164"/>
        <v>0</v>
      </c>
      <c r="AL308" s="127">
        <f t="shared" si="164"/>
        <v>0</v>
      </c>
      <c r="AM308" s="127">
        <f t="shared" si="164"/>
        <v>0</v>
      </c>
      <c r="AN308" s="127">
        <f t="shared" si="164"/>
        <v>0</v>
      </c>
      <c r="AO308" s="127">
        <f t="shared" si="164"/>
        <v>0</v>
      </c>
      <c r="AP308" s="127">
        <f t="shared" si="164"/>
        <v>0</v>
      </c>
      <c r="AQ308" s="127">
        <f t="shared" si="164"/>
        <v>0</v>
      </c>
      <c r="AR308" s="127">
        <f t="shared" si="164"/>
        <v>0</v>
      </c>
      <c r="AS308" s="127">
        <f t="shared" si="164"/>
        <v>0</v>
      </c>
      <c r="AT308" s="127">
        <f t="shared" si="164"/>
        <v>0</v>
      </c>
      <c r="AU308" s="127">
        <f t="shared" si="164"/>
        <v>0</v>
      </c>
    </row>
    <row r="309" spans="1:47" ht="15.75" hidden="1" customHeight="1" outlineLevel="1">
      <c r="A309" s="1" t="s">
        <v>334</v>
      </c>
      <c r="C309" s="143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866</v>
      </c>
      <c r="G309" s="43">
        <f>_xll.DBRW($C$1,$C$2,$C$3,$C$4,$C$6,$C$5,$C$7,G$1,G$2,$A309)</f>
        <v>923</v>
      </c>
      <c r="H309" s="43">
        <f>_xll.DBRW($C$1,$C$2,$C$3,$C$4,$C$6,$C$5,$C$7,H$1,H$2,$A309)</f>
        <v>1014</v>
      </c>
      <c r="I309" s="43">
        <f>_xll.DBRW($C$1,$C$2,$C$3,$C$4,$C$6,$C$5,$C$7,I$1,I$2,$A309)</f>
        <v>86</v>
      </c>
      <c r="J309" s="43">
        <f>_xll.DBRW($C$1,$C$2,$C$3,$C$4,$C$6,$C$5,$C$7,J$1,J$2,$A309)</f>
        <v>168</v>
      </c>
      <c r="K309" s="43">
        <f>_xll.DBRW($C$1,$C$2,$C$3,$C$4,$C$6,$C$5,$C$7,K$1,K$2,$A309)</f>
        <v>252</v>
      </c>
      <c r="L309" s="43">
        <f>_xll.DBRW($C$1,$C$2,$C$3,$C$4,$C$6,$C$5,$C$7,L$1,L$2,$A309)</f>
        <v>336</v>
      </c>
      <c r="M309" s="43">
        <f>_xll.DBRW($C$1,$C$2,$C$3,$C$4,$C$6,$C$5,$C$7,M$1,M$2,$A309)</f>
        <v>420</v>
      </c>
      <c r="N309" s="43">
        <f>_xll.DBRW($C$1,$C$2,$C$3,$C$4,$C$6,$C$5,$C$7,N$1,N$2,$A309)</f>
        <v>504</v>
      </c>
      <c r="O309" s="43">
        <f>_xll.DBRW($C$1,$C$2,$C$3,$C$4,$C$6,$C$5,$C$7,O$1,O$2,$A309)</f>
        <v>588</v>
      </c>
      <c r="P309" s="43">
        <f>_xll.DBRW($C$1,$C$2,$C$3,$C$4,$C$6,$C$5,$C$7,P$1,P$2,$A309)</f>
        <v>672</v>
      </c>
      <c r="Q309" s="43">
        <f>_xll.DBRW($C$1,$C$2,$C$3,$C$4,$C$6,$C$5,$C$7,Q$1,Q$2,$A309)</f>
        <v>756</v>
      </c>
      <c r="R309" s="43">
        <f>_xll.DBRW($C$1,$C$2,$C$3,$C$4,$C$6,$C$5,$C$7,R$1,R$2,$A309)</f>
        <v>840</v>
      </c>
      <c r="S309" s="43">
        <f>_xll.DBRW($C$1,$C$2,$C$3,$C$4,$C$6,$C$5,$C$7,S$1,S$2,$A309)</f>
        <v>924</v>
      </c>
      <c r="T309" s="43">
        <f>_xll.DBRW($C$1,$C$2,$C$3,$C$4,$C$6,$C$5,$C$7,T$1,T$2,$A309)</f>
        <v>1008</v>
      </c>
      <c r="U309" s="43">
        <f>_xll.DBRW($C$1,$C$2,$C$3,$C$4,$C$6,$C$5,$C$7,U$1,U$2,$A309)</f>
        <v>1008</v>
      </c>
      <c r="V309" s="43">
        <f>_xll.DBRW($C$1,$C$2,$C$3,$C$4,$C$6,$C$5,$C$7,V$1,V$2,$A309)</f>
        <v>0</v>
      </c>
      <c r="W309" s="43">
        <f>_xll.DBRW($C$1,$C$2,$C$3,$C$4,$C$6,$C$5,$C$7,W$1,W$2,$A309)</f>
        <v>0</v>
      </c>
      <c r="X309" s="43">
        <f>_xll.DBRW($C$1,$C$2,$C$3,$C$4,$C$6,$C$5,$C$7,X$1,X$2,$A309)</f>
        <v>0</v>
      </c>
      <c r="Y309" s="43">
        <f>_xll.DBRW($C$1,$C$2,$C$3,$C$4,$C$6,$C$5,$C$7,Y$1,Y$2,$A309)</f>
        <v>0</v>
      </c>
      <c r="Z309" s="43">
        <f>_xll.DBRW($C$1,$C$2,$C$3,$C$4,$C$6,$C$5,$C$7,Z$1,Z$2,$A309)</f>
        <v>0</v>
      </c>
      <c r="AA309" s="43">
        <f>_xll.DBRW($C$1,$C$2,$C$3,$C$4,$C$6,$C$5,$C$7,AA$1,AA$2,$A309)</f>
        <v>0</v>
      </c>
      <c r="AB309" s="43">
        <f>_xll.DBRW($C$1,$C$2,$C$3,$C$4,$C$6,$C$5,$C$7,AB$1,AB$2,$A309)</f>
        <v>0</v>
      </c>
      <c r="AC309" s="43">
        <f>_xll.DBRW($C$1,$C$2,$C$3,$C$4,$C$6,$C$5,$C$7,AC$1,AC$2,$A309)</f>
        <v>0</v>
      </c>
      <c r="AD309" s="43">
        <f>_xll.DBRW($C$1,$C$2,$C$3,$C$4,$C$6,$C$5,$C$7,AD$1,AD$2,$A309)</f>
        <v>0</v>
      </c>
      <c r="AE309" s="43">
        <f>_xll.DBRW($C$1,$C$2,$C$3,$C$4,$C$6,$C$5,$C$7,AE$1,AE$2,$A309)</f>
        <v>0</v>
      </c>
      <c r="AF309" s="43">
        <f>_xll.DBRW($C$1,$C$2,$C$3,$C$4,$C$6,$C$5,$C$7,AF$1,AF$2,$A309)</f>
        <v>0</v>
      </c>
      <c r="AG309" s="43">
        <f>_xll.DBRW($C$1,$C$2,$C$3,$C$4,$C$6,$C$5,$C$7,AG$1,AG$2,$A309)</f>
        <v>0</v>
      </c>
      <c r="AH309" s="43">
        <f>_xll.DBRW($C$1,$C$2,$C$3,$C$4,$C$6,$C$5,$C$7,AH$1,AH$2,$A309)</f>
        <v>0</v>
      </c>
      <c r="AI309" s="43">
        <f>_xll.DBRW($C$1,$C$2,$C$3,$C$4,$C$6,$C$5,$C$7,AI$1,AI$2,$A309)</f>
        <v>0</v>
      </c>
      <c r="AJ309" s="43">
        <f>_xll.DBRW($C$1,$C$2,$C$3,$C$4,$C$6,$C$5,$C$7,AJ$1,AJ$2,$A309)</f>
        <v>0</v>
      </c>
      <c r="AK309" s="43">
        <f>_xll.DBRW($C$1,$C$2,$C$3,$C$4,$C$6,$C$5,$C$7,AK$1,AK$2,$A309)</f>
        <v>0</v>
      </c>
      <c r="AL309" s="43">
        <f>_xll.DBRW($C$1,$C$2,$C$3,$C$4,$C$6,$C$5,$C$7,AL$1,AL$2,$A309)</f>
        <v>0</v>
      </c>
      <c r="AM309" s="43">
        <f>_xll.DBRW($C$1,$C$2,$C$3,$C$4,$C$6,$C$5,$C$7,AM$1,AM$2,$A309)</f>
        <v>0</v>
      </c>
      <c r="AN309" s="43">
        <f>_xll.DBRW($C$1,$C$2,$C$3,$C$4,$C$6,$C$5,$C$7,AN$1,AN$2,$A309)</f>
        <v>0</v>
      </c>
      <c r="AO309" s="43">
        <f>_xll.DBRW($C$1,$C$2,$C$3,$C$4,$C$6,$C$5,$C$7,AO$1,AO$2,$A309)</f>
        <v>0</v>
      </c>
      <c r="AP309" s="43">
        <f>_xll.DBRW($C$1,$C$2,$C$3,$C$4,$C$6,$C$5,$C$7,AP$1,AP$2,$A309)</f>
        <v>0</v>
      </c>
      <c r="AQ309" s="43">
        <f>_xll.DBRW($C$1,$C$2,$C$3,$C$4,$C$6,$C$5,$C$7,AQ$1,AQ$2,$A309)</f>
        <v>0</v>
      </c>
      <c r="AR309" s="43">
        <f>_xll.DBRW($C$1,$C$2,$C$3,$C$4,$C$6,$C$5,$C$7,AR$1,AR$2,$A309)</f>
        <v>0</v>
      </c>
      <c r="AS309" s="43">
        <f>_xll.DBRW($C$1,$C$2,$C$3,$C$4,$C$6,$C$5,$C$7,AS$1,AS$2,$A309)</f>
        <v>0</v>
      </c>
      <c r="AT309" s="43">
        <f>_xll.DBRW($C$1,$C$2,$C$3,$C$4,$C$6,$C$5,$C$7,AT$1,AT$2,$A309)</f>
        <v>0</v>
      </c>
      <c r="AU309" s="43">
        <f>_xll.DBRW($C$1,$C$2,$C$3,$C$4,$C$6,$C$5,$C$7,AU$1,AU$2,$A309)</f>
        <v>0</v>
      </c>
    </row>
    <row r="310" spans="1:47" ht="15.75" hidden="1" customHeight="1" outlineLevel="1">
      <c r="A310" s="1" t="s">
        <v>335</v>
      </c>
      <c r="C310" s="143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1759</v>
      </c>
      <c r="G310" s="43">
        <f>_xll.DBRW($C$1,$C$2,$C$3,$C$4,$C$6,$C$5,$C$7,G$1,G$2,$A310)</f>
        <v>1815</v>
      </c>
      <c r="H310" s="43">
        <f>_xll.DBRW($C$1,$C$2,$C$3,$C$4,$C$6,$C$5,$C$7,H$1,H$2,$A310)</f>
        <v>1686</v>
      </c>
      <c r="I310" s="43">
        <f>_xll.DBRW($C$1,$C$2,$C$3,$C$4,$C$6,$C$5,$C$7,I$1,I$2,$A310)</f>
        <v>188</v>
      </c>
      <c r="J310" s="43">
        <f>_xll.DBRW($C$1,$C$2,$C$3,$C$4,$C$6,$C$5,$C$7,J$1,J$2,$A310)</f>
        <v>314</v>
      </c>
      <c r="K310" s="43">
        <f>_xll.DBRW($C$1,$C$2,$C$3,$C$4,$C$6,$C$5,$C$7,K$1,K$2,$A310)</f>
        <v>475</v>
      </c>
      <c r="L310" s="43">
        <f>_xll.DBRW($C$1,$C$2,$C$3,$C$4,$C$6,$C$5,$C$7,L$1,L$2,$A310)</f>
        <v>640</v>
      </c>
      <c r="M310" s="43">
        <f>_xll.DBRW($C$1,$C$2,$C$3,$C$4,$C$6,$C$5,$C$7,M$1,M$2,$A310)</f>
        <v>804</v>
      </c>
      <c r="N310" s="43">
        <f>_xll.DBRW($C$1,$C$2,$C$3,$C$4,$C$6,$C$5,$C$7,N$1,N$2,$A310)</f>
        <v>968</v>
      </c>
      <c r="O310" s="43">
        <f>_xll.DBRW($C$1,$C$2,$C$3,$C$4,$C$6,$C$5,$C$7,O$1,O$2,$A310)</f>
        <v>1131</v>
      </c>
      <c r="P310" s="43">
        <f>_xll.DBRW($C$1,$C$2,$C$3,$C$4,$C$6,$C$5,$C$7,P$1,P$2,$A310)</f>
        <v>1295</v>
      </c>
      <c r="Q310" s="43">
        <f>_xll.DBRW($C$1,$C$2,$C$3,$C$4,$C$6,$C$5,$C$7,Q$1,Q$2,$A310)</f>
        <v>1484</v>
      </c>
      <c r="R310" s="43">
        <f>_xll.DBRW($C$1,$C$2,$C$3,$C$4,$C$6,$C$5,$C$7,R$1,R$2,$A310)</f>
        <v>1673</v>
      </c>
      <c r="S310" s="43">
        <f>_xll.DBRW($C$1,$C$2,$C$3,$C$4,$C$6,$C$5,$C$7,S$1,S$2,$A310)</f>
        <v>1862</v>
      </c>
      <c r="T310" s="43">
        <f>_xll.DBRW($C$1,$C$2,$C$3,$C$4,$C$6,$C$5,$C$7,T$1,T$2,$A310)</f>
        <v>2051</v>
      </c>
      <c r="U310" s="43">
        <f>_xll.DBRW($C$1,$C$2,$C$3,$C$4,$C$6,$C$5,$C$7,U$1,U$2,$A310)</f>
        <v>2051</v>
      </c>
      <c r="V310" s="43">
        <f>_xll.DBRW($C$1,$C$2,$C$3,$C$4,$C$6,$C$5,$C$7,V$1,V$2,$A310)</f>
        <v>0</v>
      </c>
      <c r="W310" s="43">
        <f>_xll.DBRW($C$1,$C$2,$C$3,$C$4,$C$6,$C$5,$C$7,W$1,W$2,$A310)</f>
        <v>0</v>
      </c>
      <c r="X310" s="43">
        <f>_xll.DBRW($C$1,$C$2,$C$3,$C$4,$C$6,$C$5,$C$7,X$1,X$2,$A310)</f>
        <v>0</v>
      </c>
      <c r="Y310" s="43">
        <f>_xll.DBRW($C$1,$C$2,$C$3,$C$4,$C$6,$C$5,$C$7,Y$1,Y$2,$A310)</f>
        <v>0</v>
      </c>
      <c r="Z310" s="43">
        <f>_xll.DBRW($C$1,$C$2,$C$3,$C$4,$C$6,$C$5,$C$7,Z$1,Z$2,$A310)</f>
        <v>0</v>
      </c>
      <c r="AA310" s="43">
        <f>_xll.DBRW($C$1,$C$2,$C$3,$C$4,$C$6,$C$5,$C$7,AA$1,AA$2,$A310)</f>
        <v>0</v>
      </c>
      <c r="AB310" s="43">
        <f>_xll.DBRW($C$1,$C$2,$C$3,$C$4,$C$6,$C$5,$C$7,AB$1,AB$2,$A310)</f>
        <v>0</v>
      </c>
      <c r="AC310" s="43">
        <f>_xll.DBRW($C$1,$C$2,$C$3,$C$4,$C$6,$C$5,$C$7,AC$1,AC$2,$A310)</f>
        <v>0</v>
      </c>
      <c r="AD310" s="43">
        <f>_xll.DBRW($C$1,$C$2,$C$3,$C$4,$C$6,$C$5,$C$7,AD$1,AD$2,$A310)</f>
        <v>0</v>
      </c>
      <c r="AE310" s="43">
        <f>_xll.DBRW($C$1,$C$2,$C$3,$C$4,$C$6,$C$5,$C$7,AE$1,AE$2,$A310)</f>
        <v>0</v>
      </c>
      <c r="AF310" s="43">
        <f>_xll.DBRW($C$1,$C$2,$C$3,$C$4,$C$6,$C$5,$C$7,AF$1,AF$2,$A310)</f>
        <v>0</v>
      </c>
      <c r="AG310" s="43">
        <f>_xll.DBRW($C$1,$C$2,$C$3,$C$4,$C$6,$C$5,$C$7,AG$1,AG$2,$A310)</f>
        <v>0</v>
      </c>
      <c r="AH310" s="43">
        <f>_xll.DBRW($C$1,$C$2,$C$3,$C$4,$C$6,$C$5,$C$7,AH$1,AH$2,$A310)</f>
        <v>0</v>
      </c>
      <c r="AI310" s="43">
        <f>_xll.DBRW($C$1,$C$2,$C$3,$C$4,$C$6,$C$5,$C$7,AI$1,AI$2,$A310)</f>
        <v>0</v>
      </c>
      <c r="AJ310" s="43">
        <f>_xll.DBRW($C$1,$C$2,$C$3,$C$4,$C$6,$C$5,$C$7,AJ$1,AJ$2,$A310)</f>
        <v>0</v>
      </c>
      <c r="AK310" s="43">
        <f>_xll.DBRW($C$1,$C$2,$C$3,$C$4,$C$6,$C$5,$C$7,AK$1,AK$2,$A310)</f>
        <v>0</v>
      </c>
      <c r="AL310" s="43">
        <f>_xll.DBRW($C$1,$C$2,$C$3,$C$4,$C$6,$C$5,$C$7,AL$1,AL$2,$A310)</f>
        <v>0</v>
      </c>
      <c r="AM310" s="43">
        <f>_xll.DBRW($C$1,$C$2,$C$3,$C$4,$C$6,$C$5,$C$7,AM$1,AM$2,$A310)</f>
        <v>0</v>
      </c>
      <c r="AN310" s="43">
        <f>_xll.DBRW($C$1,$C$2,$C$3,$C$4,$C$6,$C$5,$C$7,AN$1,AN$2,$A310)</f>
        <v>0</v>
      </c>
      <c r="AO310" s="43">
        <f>_xll.DBRW($C$1,$C$2,$C$3,$C$4,$C$6,$C$5,$C$7,AO$1,AO$2,$A310)</f>
        <v>0</v>
      </c>
      <c r="AP310" s="43">
        <f>_xll.DBRW($C$1,$C$2,$C$3,$C$4,$C$6,$C$5,$C$7,AP$1,AP$2,$A310)</f>
        <v>0</v>
      </c>
      <c r="AQ310" s="43">
        <f>_xll.DBRW($C$1,$C$2,$C$3,$C$4,$C$6,$C$5,$C$7,AQ$1,AQ$2,$A310)</f>
        <v>0</v>
      </c>
      <c r="AR310" s="43">
        <f>_xll.DBRW($C$1,$C$2,$C$3,$C$4,$C$6,$C$5,$C$7,AR$1,AR$2,$A310)</f>
        <v>0</v>
      </c>
      <c r="AS310" s="43">
        <f>_xll.DBRW($C$1,$C$2,$C$3,$C$4,$C$6,$C$5,$C$7,AS$1,AS$2,$A310)</f>
        <v>0</v>
      </c>
      <c r="AT310" s="43">
        <f>_xll.DBRW($C$1,$C$2,$C$3,$C$4,$C$6,$C$5,$C$7,AT$1,AT$2,$A310)</f>
        <v>0</v>
      </c>
      <c r="AU310" s="43">
        <f>_xll.DBRW($C$1,$C$2,$C$3,$C$4,$C$6,$C$5,$C$7,AU$1,AU$2,$A310)</f>
        <v>0</v>
      </c>
    </row>
    <row r="311" spans="1:47" ht="15.75" hidden="1" customHeight="1" outlineLevel="1">
      <c r="A311" s="1" t="s">
        <v>348</v>
      </c>
      <c r="C311" s="143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I311" s="43">
        <f>_xll.DBRW($C$1,$C$2,$C$3,$C$4,$C$6,$C$5,$C$7,I$1,I$2,$A311)</f>
        <v>0</v>
      </c>
      <c r="J311" s="43">
        <f>_xll.DBRW($C$1,$C$2,$C$3,$C$4,$C$6,$C$5,$C$7,J$1,J$2,$A311)</f>
        <v>0</v>
      </c>
      <c r="K311" s="43">
        <f>_xll.DBRW($C$1,$C$2,$C$3,$C$4,$C$6,$C$5,$C$7,K$1,K$2,$A311)</f>
        <v>0</v>
      </c>
      <c r="L311" s="43">
        <f>_xll.DBRW($C$1,$C$2,$C$3,$C$4,$C$6,$C$5,$C$7,L$1,L$2,$A311)</f>
        <v>0</v>
      </c>
      <c r="M311" s="43">
        <f>_xll.DBRW($C$1,$C$2,$C$3,$C$4,$C$6,$C$5,$C$7,M$1,M$2,$A311)</f>
        <v>0</v>
      </c>
      <c r="N311" s="43">
        <f>_xll.DBRW($C$1,$C$2,$C$3,$C$4,$C$6,$C$5,$C$7,N$1,N$2,$A311)</f>
        <v>0</v>
      </c>
      <c r="O311" s="43">
        <f>_xll.DBRW($C$1,$C$2,$C$3,$C$4,$C$6,$C$5,$C$7,O$1,O$2,$A311)</f>
        <v>0</v>
      </c>
      <c r="P311" s="43">
        <f>_xll.DBRW($C$1,$C$2,$C$3,$C$4,$C$6,$C$5,$C$7,P$1,P$2,$A311)</f>
        <v>0</v>
      </c>
      <c r="Q311" s="43">
        <f>_xll.DBRW($C$1,$C$2,$C$3,$C$4,$C$6,$C$5,$C$7,Q$1,Q$2,$A311)</f>
        <v>0</v>
      </c>
      <c r="R311" s="43">
        <f>_xll.DBRW($C$1,$C$2,$C$3,$C$4,$C$6,$C$5,$C$7,R$1,R$2,$A311)</f>
        <v>0</v>
      </c>
      <c r="S311" s="43">
        <f>_xll.DBRW($C$1,$C$2,$C$3,$C$4,$C$6,$C$5,$C$7,S$1,S$2,$A311)</f>
        <v>0</v>
      </c>
      <c r="T311" s="43">
        <f>_xll.DBRW($C$1,$C$2,$C$3,$C$4,$C$6,$C$5,$C$7,T$1,T$2,$A311)</f>
        <v>0</v>
      </c>
      <c r="U311" s="43">
        <f>_xll.DBRW($C$1,$C$2,$C$3,$C$4,$C$6,$C$5,$C$7,U$1,U$2,$A311)</f>
        <v>0</v>
      </c>
      <c r="V311" s="43">
        <f>_xll.DBRW($C$1,$C$2,$C$3,$C$4,$C$6,$C$5,$C$7,V$1,V$2,$A311)</f>
        <v>0</v>
      </c>
      <c r="W311" s="43">
        <f>_xll.DBRW($C$1,$C$2,$C$3,$C$4,$C$6,$C$5,$C$7,W$1,W$2,$A311)</f>
        <v>0</v>
      </c>
      <c r="X311" s="43">
        <f>_xll.DBRW($C$1,$C$2,$C$3,$C$4,$C$6,$C$5,$C$7,X$1,X$2,$A311)</f>
        <v>0</v>
      </c>
      <c r="Y311" s="43">
        <f>_xll.DBRW($C$1,$C$2,$C$3,$C$4,$C$6,$C$5,$C$7,Y$1,Y$2,$A311)</f>
        <v>0</v>
      </c>
      <c r="Z311" s="43">
        <f>_xll.DBRW($C$1,$C$2,$C$3,$C$4,$C$6,$C$5,$C$7,Z$1,Z$2,$A311)</f>
        <v>0</v>
      </c>
      <c r="AA311" s="43">
        <f>_xll.DBRW($C$1,$C$2,$C$3,$C$4,$C$6,$C$5,$C$7,AA$1,AA$2,$A311)</f>
        <v>0</v>
      </c>
      <c r="AB311" s="43">
        <f>_xll.DBRW($C$1,$C$2,$C$3,$C$4,$C$6,$C$5,$C$7,AB$1,AB$2,$A311)</f>
        <v>0</v>
      </c>
      <c r="AC311" s="43">
        <f>_xll.DBRW($C$1,$C$2,$C$3,$C$4,$C$6,$C$5,$C$7,AC$1,AC$2,$A311)</f>
        <v>0</v>
      </c>
      <c r="AD311" s="43">
        <f>_xll.DBRW($C$1,$C$2,$C$3,$C$4,$C$6,$C$5,$C$7,AD$1,AD$2,$A311)</f>
        <v>0</v>
      </c>
      <c r="AE311" s="43">
        <f>_xll.DBRW($C$1,$C$2,$C$3,$C$4,$C$6,$C$5,$C$7,AE$1,AE$2,$A311)</f>
        <v>0</v>
      </c>
      <c r="AF311" s="43">
        <f>_xll.DBRW($C$1,$C$2,$C$3,$C$4,$C$6,$C$5,$C$7,AF$1,AF$2,$A311)</f>
        <v>0</v>
      </c>
      <c r="AG311" s="43">
        <f>_xll.DBRW($C$1,$C$2,$C$3,$C$4,$C$6,$C$5,$C$7,AG$1,AG$2,$A311)</f>
        <v>0</v>
      </c>
      <c r="AH311" s="43">
        <f>_xll.DBRW($C$1,$C$2,$C$3,$C$4,$C$6,$C$5,$C$7,AH$1,AH$2,$A311)</f>
        <v>0</v>
      </c>
      <c r="AI311" s="43">
        <f>_xll.DBRW($C$1,$C$2,$C$3,$C$4,$C$6,$C$5,$C$7,AI$1,AI$2,$A311)</f>
        <v>0</v>
      </c>
      <c r="AJ311" s="43">
        <f>_xll.DBRW($C$1,$C$2,$C$3,$C$4,$C$6,$C$5,$C$7,AJ$1,AJ$2,$A311)</f>
        <v>0</v>
      </c>
      <c r="AK311" s="43">
        <f>_xll.DBRW($C$1,$C$2,$C$3,$C$4,$C$6,$C$5,$C$7,AK$1,AK$2,$A311)</f>
        <v>0</v>
      </c>
      <c r="AL311" s="43">
        <f>_xll.DBRW($C$1,$C$2,$C$3,$C$4,$C$6,$C$5,$C$7,AL$1,AL$2,$A311)</f>
        <v>0</v>
      </c>
      <c r="AM311" s="43">
        <f>_xll.DBRW($C$1,$C$2,$C$3,$C$4,$C$6,$C$5,$C$7,AM$1,AM$2,$A311)</f>
        <v>0</v>
      </c>
      <c r="AN311" s="43">
        <f>_xll.DBRW($C$1,$C$2,$C$3,$C$4,$C$6,$C$5,$C$7,AN$1,AN$2,$A311)</f>
        <v>0</v>
      </c>
      <c r="AO311" s="43">
        <f>_xll.DBRW($C$1,$C$2,$C$3,$C$4,$C$6,$C$5,$C$7,AO$1,AO$2,$A311)</f>
        <v>0</v>
      </c>
      <c r="AP311" s="43">
        <f>_xll.DBRW($C$1,$C$2,$C$3,$C$4,$C$6,$C$5,$C$7,AP$1,AP$2,$A311)</f>
        <v>0</v>
      </c>
      <c r="AQ311" s="43">
        <f>_xll.DBRW($C$1,$C$2,$C$3,$C$4,$C$6,$C$5,$C$7,AQ$1,AQ$2,$A311)</f>
        <v>0</v>
      </c>
      <c r="AR311" s="43">
        <f>_xll.DBRW($C$1,$C$2,$C$3,$C$4,$C$6,$C$5,$C$7,AR$1,AR$2,$A311)</f>
        <v>0</v>
      </c>
      <c r="AS311" s="43">
        <f>_xll.DBRW($C$1,$C$2,$C$3,$C$4,$C$6,$C$5,$C$7,AS$1,AS$2,$A311)</f>
        <v>0</v>
      </c>
      <c r="AT311" s="43">
        <f>_xll.DBRW($C$1,$C$2,$C$3,$C$4,$C$6,$C$5,$C$7,AT$1,AT$2,$A311)</f>
        <v>0</v>
      </c>
      <c r="AU311" s="43">
        <f>_xll.DBRW($C$1,$C$2,$C$3,$C$4,$C$6,$C$5,$C$7,AU$1,AU$2,$A311)</f>
        <v>0</v>
      </c>
    </row>
    <row r="312" spans="1:47" ht="15.75" collapsed="1">
      <c r="A312" s="1" t="s">
        <v>127</v>
      </c>
      <c r="C312" s="143"/>
      <c r="E312" s="15" t="s">
        <v>80</v>
      </c>
      <c r="F312" s="44">
        <f t="shared" ref="F312:AU312" si="165">SUM(F309:F311)</f>
        <v>2625</v>
      </c>
      <c r="G312" s="44">
        <f t="shared" si="165"/>
        <v>2738</v>
      </c>
      <c r="H312" s="44">
        <f t="shared" si="165"/>
        <v>2700</v>
      </c>
      <c r="I312" s="44">
        <f t="shared" si="165"/>
        <v>274</v>
      </c>
      <c r="J312" s="44">
        <f t="shared" si="165"/>
        <v>482</v>
      </c>
      <c r="K312" s="44">
        <f t="shared" si="165"/>
        <v>727</v>
      </c>
      <c r="L312" s="44">
        <f t="shared" si="165"/>
        <v>976</v>
      </c>
      <c r="M312" s="44">
        <f t="shared" si="165"/>
        <v>1224</v>
      </c>
      <c r="N312" s="44">
        <f t="shared" si="165"/>
        <v>1472</v>
      </c>
      <c r="O312" s="44">
        <f t="shared" si="165"/>
        <v>1719</v>
      </c>
      <c r="P312" s="44">
        <f t="shared" si="165"/>
        <v>1967</v>
      </c>
      <c r="Q312" s="44">
        <f t="shared" si="165"/>
        <v>2240</v>
      </c>
      <c r="R312" s="44">
        <f t="shared" si="165"/>
        <v>2513</v>
      </c>
      <c r="S312" s="44">
        <f t="shared" si="165"/>
        <v>2786</v>
      </c>
      <c r="T312" s="44">
        <f t="shared" si="165"/>
        <v>3059</v>
      </c>
      <c r="U312" s="44">
        <f t="shared" si="165"/>
        <v>3059</v>
      </c>
      <c r="V312" s="44">
        <f t="shared" si="165"/>
        <v>0</v>
      </c>
      <c r="W312" s="44">
        <f t="shared" si="165"/>
        <v>0</v>
      </c>
      <c r="X312" s="44">
        <f t="shared" si="165"/>
        <v>0</v>
      </c>
      <c r="Y312" s="44">
        <f t="shared" si="165"/>
        <v>0</v>
      </c>
      <c r="Z312" s="44">
        <f t="shared" si="165"/>
        <v>0</v>
      </c>
      <c r="AA312" s="44">
        <f t="shared" si="165"/>
        <v>0</v>
      </c>
      <c r="AB312" s="44">
        <f t="shared" si="165"/>
        <v>0</v>
      </c>
      <c r="AC312" s="44">
        <f t="shared" si="165"/>
        <v>0</v>
      </c>
      <c r="AD312" s="44">
        <f t="shared" si="165"/>
        <v>0</v>
      </c>
      <c r="AE312" s="44">
        <f t="shared" si="165"/>
        <v>0</v>
      </c>
      <c r="AF312" s="44">
        <f t="shared" si="165"/>
        <v>0</v>
      </c>
      <c r="AG312" s="44">
        <f t="shared" si="165"/>
        <v>0</v>
      </c>
      <c r="AH312" s="44">
        <f t="shared" si="165"/>
        <v>0</v>
      </c>
      <c r="AI312" s="44">
        <f t="shared" si="165"/>
        <v>0</v>
      </c>
      <c r="AJ312" s="44">
        <f t="shared" si="165"/>
        <v>0</v>
      </c>
      <c r="AK312" s="44">
        <f t="shared" si="165"/>
        <v>0</v>
      </c>
      <c r="AL312" s="44">
        <f t="shared" si="165"/>
        <v>0</v>
      </c>
      <c r="AM312" s="44">
        <f t="shared" si="165"/>
        <v>0</v>
      </c>
      <c r="AN312" s="44">
        <f t="shared" si="165"/>
        <v>0</v>
      </c>
      <c r="AO312" s="44">
        <f t="shared" si="165"/>
        <v>0</v>
      </c>
      <c r="AP312" s="44">
        <f t="shared" si="165"/>
        <v>0</v>
      </c>
      <c r="AQ312" s="44">
        <f t="shared" si="165"/>
        <v>0</v>
      </c>
      <c r="AR312" s="44">
        <f t="shared" si="165"/>
        <v>0</v>
      </c>
      <c r="AS312" s="44">
        <f t="shared" si="165"/>
        <v>0</v>
      </c>
      <c r="AT312" s="44">
        <f t="shared" si="165"/>
        <v>0</v>
      </c>
      <c r="AU312" s="44">
        <f t="shared" si="165"/>
        <v>0</v>
      </c>
    </row>
    <row r="313" spans="1:47" ht="15.75" hidden="1" customHeight="1" outlineLevel="1">
      <c r="A313" s="1" t="s">
        <v>336</v>
      </c>
      <c r="C313" s="143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I313" s="43">
        <f>_xll.DBRW($C$1,$C$2,$C$3,$C$4,$C$6,$C$5,$C$7,I$1,I$2,$A313)</f>
        <v>0</v>
      </c>
      <c r="J313" s="43">
        <f>_xll.DBRW($C$1,$C$2,$C$3,$C$4,$C$6,$C$5,$C$7,J$1,J$2,$A313)</f>
        <v>0</v>
      </c>
      <c r="K313" s="43">
        <f>_xll.DBRW($C$1,$C$2,$C$3,$C$4,$C$6,$C$5,$C$7,K$1,K$2,$A313)</f>
        <v>0</v>
      </c>
      <c r="L313" s="43">
        <f>_xll.DBRW($C$1,$C$2,$C$3,$C$4,$C$6,$C$5,$C$7,L$1,L$2,$A313)</f>
        <v>0</v>
      </c>
      <c r="M313" s="43">
        <f>_xll.DBRW($C$1,$C$2,$C$3,$C$4,$C$6,$C$5,$C$7,M$1,M$2,$A313)</f>
        <v>0</v>
      </c>
      <c r="N313" s="43">
        <f>_xll.DBRW($C$1,$C$2,$C$3,$C$4,$C$6,$C$5,$C$7,N$1,N$2,$A313)</f>
        <v>0</v>
      </c>
      <c r="O313" s="43">
        <f>_xll.DBRW($C$1,$C$2,$C$3,$C$4,$C$6,$C$5,$C$7,O$1,O$2,$A313)</f>
        <v>0</v>
      </c>
      <c r="P313" s="43">
        <f>_xll.DBRW($C$1,$C$2,$C$3,$C$4,$C$6,$C$5,$C$7,P$1,P$2,$A313)</f>
        <v>0</v>
      </c>
      <c r="Q313" s="43">
        <f>_xll.DBRW($C$1,$C$2,$C$3,$C$4,$C$6,$C$5,$C$7,Q$1,Q$2,$A313)</f>
        <v>0</v>
      </c>
      <c r="R313" s="43">
        <f>_xll.DBRW($C$1,$C$2,$C$3,$C$4,$C$6,$C$5,$C$7,R$1,R$2,$A313)</f>
        <v>0</v>
      </c>
      <c r="S313" s="43">
        <f>_xll.DBRW($C$1,$C$2,$C$3,$C$4,$C$6,$C$5,$C$7,S$1,S$2,$A313)</f>
        <v>0</v>
      </c>
      <c r="T313" s="43">
        <f>_xll.DBRW($C$1,$C$2,$C$3,$C$4,$C$6,$C$5,$C$7,T$1,T$2,$A313)</f>
        <v>0</v>
      </c>
      <c r="U313" s="43">
        <f>_xll.DBRW($C$1,$C$2,$C$3,$C$4,$C$6,$C$5,$C$7,U$1,U$2,$A313)</f>
        <v>0</v>
      </c>
      <c r="V313" s="43">
        <f>_xll.DBRW($C$1,$C$2,$C$3,$C$4,$C$6,$C$5,$C$7,V$1,V$2,$A313)</f>
        <v>0</v>
      </c>
      <c r="W313" s="43">
        <f>_xll.DBRW($C$1,$C$2,$C$3,$C$4,$C$6,$C$5,$C$7,W$1,W$2,$A313)</f>
        <v>0</v>
      </c>
      <c r="X313" s="43">
        <f>_xll.DBRW($C$1,$C$2,$C$3,$C$4,$C$6,$C$5,$C$7,X$1,X$2,$A313)</f>
        <v>0</v>
      </c>
      <c r="Y313" s="43">
        <f>_xll.DBRW($C$1,$C$2,$C$3,$C$4,$C$6,$C$5,$C$7,Y$1,Y$2,$A313)</f>
        <v>0</v>
      </c>
      <c r="Z313" s="43">
        <f>_xll.DBRW($C$1,$C$2,$C$3,$C$4,$C$6,$C$5,$C$7,Z$1,Z$2,$A313)</f>
        <v>0</v>
      </c>
      <c r="AA313" s="43">
        <f>_xll.DBRW($C$1,$C$2,$C$3,$C$4,$C$6,$C$5,$C$7,AA$1,AA$2,$A313)</f>
        <v>0</v>
      </c>
      <c r="AB313" s="43">
        <f>_xll.DBRW($C$1,$C$2,$C$3,$C$4,$C$6,$C$5,$C$7,AB$1,AB$2,$A313)</f>
        <v>0</v>
      </c>
      <c r="AC313" s="43">
        <f>_xll.DBRW($C$1,$C$2,$C$3,$C$4,$C$6,$C$5,$C$7,AC$1,AC$2,$A313)</f>
        <v>0</v>
      </c>
      <c r="AD313" s="43">
        <f>_xll.DBRW($C$1,$C$2,$C$3,$C$4,$C$6,$C$5,$C$7,AD$1,AD$2,$A313)</f>
        <v>0</v>
      </c>
      <c r="AE313" s="43">
        <f>_xll.DBRW($C$1,$C$2,$C$3,$C$4,$C$6,$C$5,$C$7,AE$1,AE$2,$A313)</f>
        <v>0</v>
      </c>
      <c r="AF313" s="43">
        <f>_xll.DBRW($C$1,$C$2,$C$3,$C$4,$C$6,$C$5,$C$7,AF$1,AF$2,$A313)</f>
        <v>0</v>
      </c>
      <c r="AG313" s="43">
        <f>_xll.DBRW($C$1,$C$2,$C$3,$C$4,$C$6,$C$5,$C$7,AG$1,AG$2,$A313)</f>
        <v>0</v>
      </c>
      <c r="AH313" s="43">
        <f>_xll.DBRW($C$1,$C$2,$C$3,$C$4,$C$6,$C$5,$C$7,AH$1,AH$2,$A313)</f>
        <v>0</v>
      </c>
      <c r="AI313" s="43">
        <f>_xll.DBRW($C$1,$C$2,$C$3,$C$4,$C$6,$C$5,$C$7,AI$1,AI$2,$A313)</f>
        <v>0</v>
      </c>
      <c r="AJ313" s="43">
        <f>_xll.DBRW($C$1,$C$2,$C$3,$C$4,$C$6,$C$5,$C$7,AJ$1,AJ$2,$A313)</f>
        <v>0</v>
      </c>
      <c r="AK313" s="43">
        <f>_xll.DBRW($C$1,$C$2,$C$3,$C$4,$C$6,$C$5,$C$7,AK$1,AK$2,$A313)</f>
        <v>0</v>
      </c>
      <c r="AL313" s="43">
        <f>_xll.DBRW($C$1,$C$2,$C$3,$C$4,$C$6,$C$5,$C$7,AL$1,AL$2,$A313)</f>
        <v>0</v>
      </c>
      <c r="AM313" s="43">
        <f>_xll.DBRW($C$1,$C$2,$C$3,$C$4,$C$6,$C$5,$C$7,AM$1,AM$2,$A313)</f>
        <v>0</v>
      </c>
      <c r="AN313" s="43">
        <f>_xll.DBRW($C$1,$C$2,$C$3,$C$4,$C$6,$C$5,$C$7,AN$1,AN$2,$A313)</f>
        <v>0</v>
      </c>
      <c r="AO313" s="43">
        <f>_xll.DBRW($C$1,$C$2,$C$3,$C$4,$C$6,$C$5,$C$7,AO$1,AO$2,$A313)</f>
        <v>0</v>
      </c>
      <c r="AP313" s="43">
        <f>_xll.DBRW($C$1,$C$2,$C$3,$C$4,$C$6,$C$5,$C$7,AP$1,AP$2,$A313)</f>
        <v>0</v>
      </c>
      <c r="AQ313" s="43">
        <f>_xll.DBRW($C$1,$C$2,$C$3,$C$4,$C$6,$C$5,$C$7,AQ$1,AQ$2,$A313)</f>
        <v>0</v>
      </c>
      <c r="AR313" s="43">
        <f>_xll.DBRW($C$1,$C$2,$C$3,$C$4,$C$6,$C$5,$C$7,AR$1,AR$2,$A313)</f>
        <v>0</v>
      </c>
      <c r="AS313" s="43">
        <f>_xll.DBRW($C$1,$C$2,$C$3,$C$4,$C$6,$C$5,$C$7,AS$1,AS$2,$A313)</f>
        <v>0</v>
      </c>
      <c r="AT313" s="43">
        <f>_xll.DBRW($C$1,$C$2,$C$3,$C$4,$C$6,$C$5,$C$7,AT$1,AT$2,$A313)</f>
        <v>0</v>
      </c>
      <c r="AU313" s="43">
        <f>_xll.DBRW($C$1,$C$2,$C$3,$C$4,$C$6,$C$5,$C$7,AU$1,AU$2,$A313)</f>
        <v>0</v>
      </c>
    </row>
    <row r="314" spans="1:47" ht="15.75" hidden="1" customHeight="1" outlineLevel="1">
      <c r="A314" s="1" t="s">
        <v>349</v>
      </c>
      <c r="C314" s="143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I314" s="43">
        <f>_xll.DBRW($C$1,$C$2,$C$3,$C$4,$C$6,$C$5,$C$7,I$1,I$2,$A314)</f>
        <v>0</v>
      </c>
      <c r="J314" s="43">
        <f>_xll.DBRW($C$1,$C$2,$C$3,$C$4,$C$6,$C$5,$C$7,J$1,J$2,$A314)</f>
        <v>0</v>
      </c>
      <c r="K314" s="43">
        <f>_xll.DBRW($C$1,$C$2,$C$3,$C$4,$C$6,$C$5,$C$7,K$1,K$2,$A314)</f>
        <v>0</v>
      </c>
      <c r="L314" s="43">
        <f>_xll.DBRW($C$1,$C$2,$C$3,$C$4,$C$6,$C$5,$C$7,L$1,L$2,$A314)</f>
        <v>0</v>
      </c>
      <c r="M314" s="43">
        <f>_xll.DBRW($C$1,$C$2,$C$3,$C$4,$C$6,$C$5,$C$7,M$1,M$2,$A314)</f>
        <v>0</v>
      </c>
      <c r="N314" s="43">
        <f>_xll.DBRW($C$1,$C$2,$C$3,$C$4,$C$6,$C$5,$C$7,N$1,N$2,$A314)</f>
        <v>0</v>
      </c>
      <c r="O314" s="43">
        <f>_xll.DBRW($C$1,$C$2,$C$3,$C$4,$C$6,$C$5,$C$7,O$1,O$2,$A314)</f>
        <v>0</v>
      </c>
      <c r="P314" s="43">
        <f>_xll.DBRW($C$1,$C$2,$C$3,$C$4,$C$6,$C$5,$C$7,P$1,P$2,$A314)</f>
        <v>0</v>
      </c>
      <c r="Q314" s="43">
        <f>_xll.DBRW($C$1,$C$2,$C$3,$C$4,$C$6,$C$5,$C$7,Q$1,Q$2,$A314)</f>
        <v>0</v>
      </c>
      <c r="R314" s="43">
        <f>_xll.DBRW($C$1,$C$2,$C$3,$C$4,$C$6,$C$5,$C$7,R$1,R$2,$A314)</f>
        <v>0</v>
      </c>
      <c r="S314" s="43">
        <f>_xll.DBRW($C$1,$C$2,$C$3,$C$4,$C$6,$C$5,$C$7,S$1,S$2,$A314)</f>
        <v>0</v>
      </c>
      <c r="T314" s="43">
        <f>_xll.DBRW($C$1,$C$2,$C$3,$C$4,$C$6,$C$5,$C$7,T$1,T$2,$A314)</f>
        <v>0</v>
      </c>
      <c r="U314" s="43">
        <f>_xll.DBRW($C$1,$C$2,$C$3,$C$4,$C$6,$C$5,$C$7,U$1,U$2,$A314)</f>
        <v>0</v>
      </c>
      <c r="V314" s="43">
        <f>_xll.DBRW($C$1,$C$2,$C$3,$C$4,$C$6,$C$5,$C$7,V$1,V$2,$A314)</f>
        <v>0</v>
      </c>
      <c r="W314" s="43">
        <f>_xll.DBRW($C$1,$C$2,$C$3,$C$4,$C$6,$C$5,$C$7,W$1,W$2,$A314)</f>
        <v>0</v>
      </c>
      <c r="X314" s="43">
        <f>_xll.DBRW($C$1,$C$2,$C$3,$C$4,$C$6,$C$5,$C$7,X$1,X$2,$A314)</f>
        <v>0</v>
      </c>
      <c r="Y314" s="43">
        <f>_xll.DBRW($C$1,$C$2,$C$3,$C$4,$C$6,$C$5,$C$7,Y$1,Y$2,$A314)</f>
        <v>0</v>
      </c>
      <c r="Z314" s="43">
        <f>_xll.DBRW($C$1,$C$2,$C$3,$C$4,$C$6,$C$5,$C$7,Z$1,Z$2,$A314)</f>
        <v>0</v>
      </c>
      <c r="AA314" s="43">
        <f>_xll.DBRW($C$1,$C$2,$C$3,$C$4,$C$6,$C$5,$C$7,AA$1,AA$2,$A314)</f>
        <v>0</v>
      </c>
      <c r="AB314" s="43">
        <f>_xll.DBRW($C$1,$C$2,$C$3,$C$4,$C$6,$C$5,$C$7,AB$1,AB$2,$A314)</f>
        <v>0</v>
      </c>
      <c r="AC314" s="43">
        <f>_xll.DBRW($C$1,$C$2,$C$3,$C$4,$C$6,$C$5,$C$7,AC$1,AC$2,$A314)</f>
        <v>0</v>
      </c>
      <c r="AD314" s="43">
        <f>_xll.DBRW($C$1,$C$2,$C$3,$C$4,$C$6,$C$5,$C$7,AD$1,AD$2,$A314)</f>
        <v>0</v>
      </c>
      <c r="AE314" s="43">
        <f>_xll.DBRW($C$1,$C$2,$C$3,$C$4,$C$6,$C$5,$C$7,AE$1,AE$2,$A314)</f>
        <v>0</v>
      </c>
      <c r="AF314" s="43">
        <f>_xll.DBRW($C$1,$C$2,$C$3,$C$4,$C$6,$C$5,$C$7,AF$1,AF$2,$A314)</f>
        <v>0</v>
      </c>
      <c r="AG314" s="43">
        <f>_xll.DBRW($C$1,$C$2,$C$3,$C$4,$C$6,$C$5,$C$7,AG$1,AG$2,$A314)</f>
        <v>0</v>
      </c>
      <c r="AH314" s="43">
        <f>_xll.DBRW($C$1,$C$2,$C$3,$C$4,$C$6,$C$5,$C$7,AH$1,AH$2,$A314)</f>
        <v>0</v>
      </c>
      <c r="AI314" s="43">
        <f>_xll.DBRW($C$1,$C$2,$C$3,$C$4,$C$6,$C$5,$C$7,AI$1,AI$2,$A314)</f>
        <v>0</v>
      </c>
      <c r="AJ314" s="43">
        <f>_xll.DBRW($C$1,$C$2,$C$3,$C$4,$C$6,$C$5,$C$7,AJ$1,AJ$2,$A314)</f>
        <v>0</v>
      </c>
      <c r="AK314" s="43">
        <f>_xll.DBRW($C$1,$C$2,$C$3,$C$4,$C$6,$C$5,$C$7,AK$1,AK$2,$A314)</f>
        <v>0</v>
      </c>
      <c r="AL314" s="43">
        <f>_xll.DBRW($C$1,$C$2,$C$3,$C$4,$C$6,$C$5,$C$7,AL$1,AL$2,$A314)</f>
        <v>0</v>
      </c>
      <c r="AM314" s="43">
        <f>_xll.DBRW($C$1,$C$2,$C$3,$C$4,$C$6,$C$5,$C$7,AM$1,AM$2,$A314)</f>
        <v>0</v>
      </c>
      <c r="AN314" s="43">
        <f>_xll.DBRW($C$1,$C$2,$C$3,$C$4,$C$6,$C$5,$C$7,AN$1,AN$2,$A314)</f>
        <v>0</v>
      </c>
      <c r="AO314" s="43">
        <f>_xll.DBRW($C$1,$C$2,$C$3,$C$4,$C$6,$C$5,$C$7,AO$1,AO$2,$A314)</f>
        <v>0</v>
      </c>
      <c r="AP314" s="43">
        <f>_xll.DBRW($C$1,$C$2,$C$3,$C$4,$C$6,$C$5,$C$7,AP$1,AP$2,$A314)</f>
        <v>0</v>
      </c>
      <c r="AQ314" s="43">
        <f>_xll.DBRW($C$1,$C$2,$C$3,$C$4,$C$6,$C$5,$C$7,AQ$1,AQ$2,$A314)</f>
        <v>0</v>
      </c>
      <c r="AR314" s="43">
        <f>_xll.DBRW($C$1,$C$2,$C$3,$C$4,$C$6,$C$5,$C$7,AR$1,AR$2,$A314)</f>
        <v>0</v>
      </c>
      <c r="AS314" s="43">
        <f>_xll.DBRW($C$1,$C$2,$C$3,$C$4,$C$6,$C$5,$C$7,AS$1,AS$2,$A314)</f>
        <v>0</v>
      </c>
      <c r="AT314" s="43">
        <f>_xll.DBRW($C$1,$C$2,$C$3,$C$4,$C$6,$C$5,$C$7,AT$1,AT$2,$A314)</f>
        <v>0</v>
      </c>
      <c r="AU314" s="43">
        <f>_xll.DBRW($C$1,$C$2,$C$3,$C$4,$C$6,$C$5,$C$7,AU$1,AU$2,$A314)</f>
        <v>0</v>
      </c>
    </row>
    <row r="315" spans="1:47" ht="15.75" collapsed="1">
      <c r="A315" s="1" t="s">
        <v>127</v>
      </c>
      <c r="C315" s="143"/>
      <c r="E315" s="15" t="s">
        <v>81</v>
      </c>
      <c r="F315" s="44">
        <f t="shared" ref="F315:AU315" si="166">SUM(F313:F314)</f>
        <v>0</v>
      </c>
      <c r="G315" s="44">
        <f t="shared" si="166"/>
        <v>0</v>
      </c>
      <c r="H315" s="44">
        <f t="shared" si="166"/>
        <v>0</v>
      </c>
      <c r="I315" s="44">
        <f t="shared" si="166"/>
        <v>0</v>
      </c>
      <c r="J315" s="44">
        <f t="shared" si="166"/>
        <v>0</v>
      </c>
      <c r="K315" s="44">
        <f t="shared" si="166"/>
        <v>0</v>
      </c>
      <c r="L315" s="44">
        <f t="shared" si="166"/>
        <v>0</v>
      </c>
      <c r="M315" s="44">
        <f t="shared" si="166"/>
        <v>0</v>
      </c>
      <c r="N315" s="44">
        <f t="shared" si="166"/>
        <v>0</v>
      </c>
      <c r="O315" s="44">
        <f t="shared" si="166"/>
        <v>0</v>
      </c>
      <c r="P315" s="44">
        <f t="shared" si="166"/>
        <v>0</v>
      </c>
      <c r="Q315" s="44">
        <f t="shared" si="166"/>
        <v>0</v>
      </c>
      <c r="R315" s="44">
        <f t="shared" si="166"/>
        <v>0</v>
      </c>
      <c r="S315" s="44">
        <f t="shared" si="166"/>
        <v>0</v>
      </c>
      <c r="T315" s="44">
        <f t="shared" si="166"/>
        <v>0</v>
      </c>
      <c r="U315" s="44">
        <f t="shared" si="166"/>
        <v>0</v>
      </c>
      <c r="V315" s="44">
        <f t="shared" si="166"/>
        <v>0</v>
      </c>
      <c r="W315" s="44">
        <f t="shared" si="166"/>
        <v>0</v>
      </c>
      <c r="X315" s="44">
        <f t="shared" si="166"/>
        <v>0</v>
      </c>
      <c r="Y315" s="44">
        <f t="shared" si="166"/>
        <v>0</v>
      </c>
      <c r="Z315" s="44">
        <f t="shared" si="166"/>
        <v>0</v>
      </c>
      <c r="AA315" s="44">
        <f t="shared" si="166"/>
        <v>0</v>
      </c>
      <c r="AB315" s="44">
        <f t="shared" si="166"/>
        <v>0</v>
      </c>
      <c r="AC315" s="44">
        <f t="shared" si="166"/>
        <v>0</v>
      </c>
      <c r="AD315" s="44">
        <f t="shared" si="166"/>
        <v>0</v>
      </c>
      <c r="AE315" s="44">
        <f t="shared" si="166"/>
        <v>0</v>
      </c>
      <c r="AF315" s="44">
        <f t="shared" si="166"/>
        <v>0</v>
      </c>
      <c r="AG315" s="44">
        <f t="shared" si="166"/>
        <v>0</v>
      </c>
      <c r="AH315" s="44">
        <f t="shared" si="166"/>
        <v>0</v>
      </c>
      <c r="AI315" s="44">
        <f t="shared" si="166"/>
        <v>0</v>
      </c>
      <c r="AJ315" s="44">
        <f t="shared" si="166"/>
        <v>0</v>
      </c>
      <c r="AK315" s="44">
        <f t="shared" si="166"/>
        <v>0</v>
      </c>
      <c r="AL315" s="44">
        <f t="shared" si="166"/>
        <v>0</v>
      </c>
      <c r="AM315" s="44">
        <f t="shared" si="166"/>
        <v>0</v>
      </c>
      <c r="AN315" s="44">
        <f t="shared" si="166"/>
        <v>0</v>
      </c>
      <c r="AO315" s="44">
        <f t="shared" si="166"/>
        <v>0</v>
      </c>
      <c r="AP315" s="44">
        <f t="shared" si="166"/>
        <v>0</v>
      </c>
      <c r="AQ315" s="44">
        <f t="shared" si="166"/>
        <v>0</v>
      </c>
      <c r="AR315" s="44">
        <f t="shared" si="166"/>
        <v>0</v>
      </c>
      <c r="AS315" s="44">
        <f t="shared" si="166"/>
        <v>0</v>
      </c>
      <c r="AT315" s="44">
        <f t="shared" si="166"/>
        <v>0</v>
      </c>
      <c r="AU315" s="44">
        <f t="shared" si="166"/>
        <v>0</v>
      </c>
    </row>
    <row r="316" spans="1:47" ht="15.75" hidden="1" customHeight="1" outlineLevel="1">
      <c r="A316" s="1" t="s">
        <v>350</v>
      </c>
      <c r="C316" s="143"/>
      <c r="E316" s="9" t="str">
        <f>_xll.DBRW(Server&amp;"}ElementAttributes_Indicator",A316,"code_English")</f>
        <v>Nb_FTE_Operations_Others - Number of FTE Other Operation Staff</v>
      </c>
      <c r="F316" s="43">
        <f>_xll.DBRW($C$1,$C$2,$C$3,$C$4,$C$6,$C$5,$C$7,F$1,F$2,$A316)</f>
        <v>0</v>
      </c>
      <c r="G316" s="43">
        <f>_xll.DBRW($C$1,$C$2,$C$3,$C$4,$C$6,$C$5,$C$7,G$1,G$2,$A316)</f>
        <v>0</v>
      </c>
      <c r="H316" s="43">
        <f>_xll.DBRW($C$1,$C$2,$C$3,$C$4,$C$6,$C$5,$C$7,H$1,H$2,$A316)</f>
        <v>0</v>
      </c>
      <c r="I316" s="43">
        <f>_xll.DBRW($C$1,$C$2,$C$3,$C$4,$C$6,$C$5,$C$7,I$1,I$2,$A316)</f>
        <v>0</v>
      </c>
      <c r="J316" s="43">
        <f>_xll.DBRW($C$1,$C$2,$C$3,$C$4,$C$6,$C$5,$C$7,J$1,J$2,$A316)</f>
        <v>0</v>
      </c>
      <c r="K316" s="43">
        <f>_xll.DBRW($C$1,$C$2,$C$3,$C$4,$C$6,$C$5,$C$7,K$1,K$2,$A316)</f>
        <v>0</v>
      </c>
      <c r="L316" s="43">
        <f>_xll.DBRW($C$1,$C$2,$C$3,$C$4,$C$6,$C$5,$C$7,L$1,L$2,$A316)</f>
        <v>0</v>
      </c>
      <c r="M316" s="43">
        <f>_xll.DBRW($C$1,$C$2,$C$3,$C$4,$C$6,$C$5,$C$7,M$1,M$2,$A316)</f>
        <v>0</v>
      </c>
      <c r="N316" s="43">
        <f>_xll.DBRW($C$1,$C$2,$C$3,$C$4,$C$6,$C$5,$C$7,N$1,N$2,$A316)</f>
        <v>0</v>
      </c>
      <c r="O316" s="43">
        <f>_xll.DBRW($C$1,$C$2,$C$3,$C$4,$C$6,$C$5,$C$7,O$1,O$2,$A316)</f>
        <v>0</v>
      </c>
      <c r="P316" s="43">
        <f>_xll.DBRW($C$1,$C$2,$C$3,$C$4,$C$6,$C$5,$C$7,P$1,P$2,$A316)</f>
        <v>0</v>
      </c>
      <c r="Q316" s="43">
        <f>_xll.DBRW($C$1,$C$2,$C$3,$C$4,$C$6,$C$5,$C$7,Q$1,Q$2,$A316)</f>
        <v>0</v>
      </c>
      <c r="R316" s="43">
        <f>_xll.DBRW($C$1,$C$2,$C$3,$C$4,$C$6,$C$5,$C$7,R$1,R$2,$A316)</f>
        <v>0</v>
      </c>
      <c r="S316" s="43">
        <f>_xll.DBRW($C$1,$C$2,$C$3,$C$4,$C$6,$C$5,$C$7,S$1,S$2,$A316)</f>
        <v>0</v>
      </c>
      <c r="T316" s="43">
        <f>_xll.DBRW($C$1,$C$2,$C$3,$C$4,$C$6,$C$5,$C$7,T$1,T$2,$A316)</f>
        <v>0</v>
      </c>
      <c r="U316" s="43">
        <f>_xll.DBRW($C$1,$C$2,$C$3,$C$4,$C$6,$C$5,$C$7,U$1,U$2,$A316)</f>
        <v>0</v>
      </c>
      <c r="V316" s="43">
        <f>_xll.DBRW($C$1,$C$2,$C$3,$C$4,$C$6,$C$5,$C$7,V$1,V$2,$A316)</f>
        <v>0</v>
      </c>
      <c r="W316" s="43">
        <f>_xll.DBRW($C$1,$C$2,$C$3,$C$4,$C$6,$C$5,$C$7,W$1,W$2,$A316)</f>
        <v>0</v>
      </c>
      <c r="X316" s="43">
        <f>_xll.DBRW($C$1,$C$2,$C$3,$C$4,$C$6,$C$5,$C$7,X$1,X$2,$A316)</f>
        <v>0</v>
      </c>
      <c r="Y316" s="43">
        <f>_xll.DBRW($C$1,$C$2,$C$3,$C$4,$C$6,$C$5,$C$7,Y$1,Y$2,$A316)</f>
        <v>0</v>
      </c>
      <c r="Z316" s="43">
        <f>_xll.DBRW($C$1,$C$2,$C$3,$C$4,$C$6,$C$5,$C$7,Z$1,Z$2,$A316)</f>
        <v>0</v>
      </c>
      <c r="AA316" s="43">
        <f>_xll.DBRW($C$1,$C$2,$C$3,$C$4,$C$6,$C$5,$C$7,AA$1,AA$2,$A316)</f>
        <v>0</v>
      </c>
      <c r="AB316" s="43">
        <f>_xll.DBRW($C$1,$C$2,$C$3,$C$4,$C$6,$C$5,$C$7,AB$1,AB$2,$A316)</f>
        <v>0</v>
      </c>
      <c r="AC316" s="43">
        <f>_xll.DBRW($C$1,$C$2,$C$3,$C$4,$C$6,$C$5,$C$7,AC$1,AC$2,$A316)</f>
        <v>0</v>
      </c>
      <c r="AD316" s="43">
        <f>_xll.DBRW($C$1,$C$2,$C$3,$C$4,$C$6,$C$5,$C$7,AD$1,AD$2,$A316)</f>
        <v>0</v>
      </c>
      <c r="AE316" s="43">
        <f>_xll.DBRW($C$1,$C$2,$C$3,$C$4,$C$6,$C$5,$C$7,AE$1,AE$2,$A316)</f>
        <v>0</v>
      </c>
      <c r="AF316" s="43">
        <f>_xll.DBRW($C$1,$C$2,$C$3,$C$4,$C$6,$C$5,$C$7,AF$1,AF$2,$A316)</f>
        <v>0</v>
      </c>
      <c r="AG316" s="43">
        <f>_xll.DBRW($C$1,$C$2,$C$3,$C$4,$C$6,$C$5,$C$7,AG$1,AG$2,$A316)</f>
        <v>0</v>
      </c>
      <c r="AH316" s="43">
        <f>_xll.DBRW($C$1,$C$2,$C$3,$C$4,$C$6,$C$5,$C$7,AH$1,AH$2,$A316)</f>
        <v>0</v>
      </c>
      <c r="AI316" s="43">
        <f>_xll.DBRW($C$1,$C$2,$C$3,$C$4,$C$6,$C$5,$C$7,AI$1,AI$2,$A316)</f>
        <v>0</v>
      </c>
      <c r="AJ316" s="43">
        <f>_xll.DBRW($C$1,$C$2,$C$3,$C$4,$C$6,$C$5,$C$7,AJ$1,AJ$2,$A316)</f>
        <v>0</v>
      </c>
      <c r="AK316" s="43">
        <f>_xll.DBRW($C$1,$C$2,$C$3,$C$4,$C$6,$C$5,$C$7,AK$1,AK$2,$A316)</f>
        <v>0</v>
      </c>
      <c r="AL316" s="43">
        <f>_xll.DBRW($C$1,$C$2,$C$3,$C$4,$C$6,$C$5,$C$7,AL$1,AL$2,$A316)</f>
        <v>0</v>
      </c>
      <c r="AM316" s="43">
        <f>_xll.DBRW($C$1,$C$2,$C$3,$C$4,$C$6,$C$5,$C$7,AM$1,AM$2,$A316)</f>
        <v>0</v>
      </c>
      <c r="AN316" s="43">
        <f>_xll.DBRW($C$1,$C$2,$C$3,$C$4,$C$6,$C$5,$C$7,AN$1,AN$2,$A316)</f>
        <v>0</v>
      </c>
      <c r="AO316" s="43">
        <f>_xll.DBRW($C$1,$C$2,$C$3,$C$4,$C$6,$C$5,$C$7,AO$1,AO$2,$A316)</f>
        <v>0</v>
      </c>
      <c r="AP316" s="43">
        <f>_xll.DBRW($C$1,$C$2,$C$3,$C$4,$C$6,$C$5,$C$7,AP$1,AP$2,$A316)</f>
        <v>0</v>
      </c>
      <c r="AQ316" s="43">
        <f>_xll.DBRW($C$1,$C$2,$C$3,$C$4,$C$6,$C$5,$C$7,AQ$1,AQ$2,$A316)</f>
        <v>0</v>
      </c>
      <c r="AR316" s="43">
        <f>_xll.DBRW($C$1,$C$2,$C$3,$C$4,$C$6,$C$5,$C$7,AR$1,AR$2,$A316)</f>
        <v>0</v>
      </c>
      <c r="AS316" s="43">
        <f>_xll.DBRW($C$1,$C$2,$C$3,$C$4,$C$6,$C$5,$C$7,AS$1,AS$2,$A316)</f>
        <v>0</v>
      </c>
      <c r="AT316" s="43">
        <f>_xll.DBRW($C$1,$C$2,$C$3,$C$4,$C$6,$C$5,$C$7,AT$1,AT$2,$A316)</f>
        <v>0</v>
      </c>
      <c r="AU316" s="43">
        <f>_xll.DBRW($C$1,$C$2,$C$3,$C$4,$C$6,$C$5,$C$7,AU$1,AU$2,$A316)</f>
        <v>0</v>
      </c>
    </row>
    <row r="317" spans="1:47" ht="15.75" collapsed="1">
      <c r="A317" s="1" t="s">
        <v>127</v>
      </c>
      <c r="C317" s="143"/>
      <c r="E317" s="78" t="s">
        <v>82</v>
      </c>
      <c r="F317" s="44">
        <f t="shared" ref="F317:AU317" si="167">SUM(F316)</f>
        <v>0</v>
      </c>
      <c r="G317" s="44">
        <f t="shared" si="167"/>
        <v>0</v>
      </c>
      <c r="H317" s="44">
        <f t="shared" si="167"/>
        <v>0</v>
      </c>
      <c r="I317" s="44">
        <f t="shared" si="167"/>
        <v>0</v>
      </c>
      <c r="J317" s="44">
        <f t="shared" si="167"/>
        <v>0</v>
      </c>
      <c r="K317" s="44">
        <f t="shared" si="167"/>
        <v>0</v>
      </c>
      <c r="L317" s="44">
        <f t="shared" si="167"/>
        <v>0</v>
      </c>
      <c r="M317" s="44">
        <f t="shared" si="167"/>
        <v>0</v>
      </c>
      <c r="N317" s="44">
        <f t="shared" si="167"/>
        <v>0</v>
      </c>
      <c r="O317" s="44">
        <f t="shared" si="167"/>
        <v>0</v>
      </c>
      <c r="P317" s="44">
        <f t="shared" si="167"/>
        <v>0</v>
      </c>
      <c r="Q317" s="44">
        <f t="shared" si="167"/>
        <v>0</v>
      </c>
      <c r="R317" s="44">
        <f t="shared" si="167"/>
        <v>0</v>
      </c>
      <c r="S317" s="44">
        <f t="shared" si="167"/>
        <v>0</v>
      </c>
      <c r="T317" s="44">
        <f t="shared" si="167"/>
        <v>0</v>
      </c>
      <c r="U317" s="44">
        <f t="shared" si="167"/>
        <v>0</v>
      </c>
      <c r="V317" s="44">
        <f t="shared" si="167"/>
        <v>0</v>
      </c>
      <c r="W317" s="44">
        <f t="shared" si="167"/>
        <v>0</v>
      </c>
      <c r="X317" s="44">
        <f t="shared" si="167"/>
        <v>0</v>
      </c>
      <c r="Y317" s="44">
        <f t="shared" si="167"/>
        <v>0</v>
      </c>
      <c r="Z317" s="44">
        <f t="shared" si="167"/>
        <v>0</v>
      </c>
      <c r="AA317" s="44">
        <f t="shared" si="167"/>
        <v>0</v>
      </c>
      <c r="AB317" s="44">
        <f t="shared" si="167"/>
        <v>0</v>
      </c>
      <c r="AC317" s="44">
        <f t="shared" si="167"/>
        <v>0</v>
      </c>
      <c r="AD317" s="44">
        <f t="shared" si="167"/>
        <v>0</v>
      </c>
      <c r="AE317" s="44">
        <f t="shared" si="167"/>
        <v>0</v>
      </c>
      <c r="AF317" s="44">
        <f t="shared" si="167"/>
        <v>0</v>
      </c>
      <c r="AG317" s="44">
        <f t="shared" si="167"/>
        <v>0</v>
      </c>
      <c r="AH317" s="44">
        <f t="shared" si="167"/>
        <v>0</v>
      </c>
      <c r="AI317" s="44">
        <f t="shared" si="167"/>
        <v>0</v>
      </c>
      <c r="AJ317" s="44">
        <f t="shared" si="167"/>
        <v>0</v>
      </c>
      <c r="AK317" s="44">
        <f t="shared" si="167"/>
        <v>0</v>
      </c>
      <c r="AL317" s="44">
        <f t="shared" si="167"/>
        <v>0</v>
      </c>
      <c r="AM317" s="44">
        <f t="shared" si="167"/>
        <v>0</v>
      </c>
      <c r="AN317" s="44">
        <f t="shared" si="167"/>
        <v>0</v>
      </c>
      <c r="AO317" s="44">
        <f t="shared" si="167"/>
        <v>0</v>
      </c>
      <c r="AP317" s="44">
        <f t="shared" si="167"/>
        <v>0</v>
      </c>
      <c r="AQ317" s="44">
        <f t="shared" si="167"/>
        <v>0</v>
      </c>
      <c r="AR317" s="44">
        <f t="shared" si="167"/>
        <v>0</v>
      </c>
      <c r="AS317" s="44">
        <f t="shared" si="167"/>
        <v>0</v>
      </c>
      <c r="AT317" s="44">
        <f t="shared" si="167"/>
        <v>0</v>
      </c>
      <c r="AU317" s="44">
        <f t="shared" si="167"/>
        <v>0</v>
      </c>
    </row>
    <row r="318" spans="1:47" ht="15.75" hidden="1" customHeight="1" outlineLevel="1">
      <c r="A318" s="1" t="s">
        <v>351</v>
      </c>
      <c r="C318" s="143"/>
      <c r="E318" s="9" t="str">
        <f>_xll.DBRW(Server&amp;"}ElementAttributes_Indicator",A318,"code_English")</f>
        <v>Nb_FTE_Maintenance_Others - Number of FTE Other Maintenance Staff</v>
      </c>
      <c r="F318" s="43">
        <f>_xll.DBRW($C$1,$C$2,$C$3,$C$4,$C$6,$C$5,$C$7,F$1,F$2,$A318)</f>
        <v>0</v>
      </c>
      <c r="G318" s="43">
        <f>_xll.DBRW($C$1,$C$2,$C$3,$C$4,$C$6,$C$5,$C$7,G$1,G$2,$A318)</f>
        <v>0</v>
      </c>
      <c r="H318" s="43">
        <f>_xll.DBRW($C$1,$C$2,$C$3,$C$4,$C$6,$C$5,$C$7,H$1,H$2,$A318)</f>
        <v>0</v>
      </c>
      <c r="I318" s="43">
        <f>_xll.DBRW($C$1,$C$2,$C$3,$C$4,$C$6,$C$5,$C$7,I$1,I$2,$A318)</f>
        <v>0</v>
      </c>
      <c r="J318" s="43">
        <f>_xll.DBRW($C$1,$C$2,$C$3,$C$4,$C$6,$C$5,$C$7,J$1,J$2,$A318)</f>
        <v>0</v>
      </c>
      <c r="K318" s="43">
        <f>_xll.DBRW($C$1,$C$2,$C$3,$C$4,$C$6,$C$5,$C$7,K$1,K$2,$A318)</f>
        <v>0</v>
      </c>
      <c r="L318" s="43">
        <f>_xll.DBRW($C$1,$C$2,$C$3,$C$4,$C$6,$C$5,$C$7,L$1,L$2,$A318)</f>
        <v>0</v>
      </c>
      <c r="M318" s="43">
        <f>_xll.DBRW($C$1,$C$2,$C$3,$C$4,$C$6,$C$5,$C$7,M$1,M$2,$A318)</f>
        <v>0</v>
      </c>
      <c r="N318" s="43">
        <f>_xll.DBRW($C$1,$C$2,$C$3,$C$4,$C$6,$C$5,$C$7,N$1,N$2,$A318)</f>
        <v>0</v>
      </c>
      <c r="O318" s="43">
        <f>_xll.DBRW($C$1,$C$2,$C$3,$C$4,$C$6,$C$5,$C$7,O$1,O$2,$A318)</f>
        <v>0</v>
      </c>
      <c r="P318" s="43">
        <f>_xll.DBRW($C$1,$C$2,$C$3,$C$4,$C$6,$C$5,$C$7,P$1,P$2,$A318)</f>
        <v>0</v>
      </c>
      <c r="Q318" s="43">
        <f>_xll.DBRW($C$1,$C$2,$C$3,$C$4,$C$6,$C$5,$C$7,Q$1,Q$2,$A318)</f>
        <v>0</v>
      </c>
      <c r="R318" s="43">
        <f>_xll.DBRW($C$1,$C$2,$C$3,$C$4,$C$6,$C$5,$C$7,R$1,R$2,$A318)</f>
        <v>0</v>
      </c>
      <c r="S318" s="43">
        <f>_xll.DBRW($C$1,$C$2,$C$3,$C$4,$C$6,$C$5,$C$7,S$1,S$2,$A318)</f>
        <v>0</v>
      </c>
      <c r="T318" s="43">
        <f>_xll.DBRW($C$1,$C$2,$C$3,$C$4,$C$6,$C$5,$C$7,T$1,T$2,$A318)</f>
        <v>0</v>
      </c>
      <c r="U318" s="43">
        <f>_xll.DBRW($C$1,$C$2,$C$3,$C$4,$C$6,$C$5,$C$7,U$1,U$2,$A318)</f>
        <v>0</v>
      </c>
      <c r="V318" s="43">
        <f>_xll.DBRW($C$1,$C$2,$C$3,$C$4,$C$6,$C$5,$C$7,V$1,V$2,$A318)</f>
        <v>0</v>
      </c>
      <c r="W318" s="43">
        <f>_xll.DBRW($C$1,$C$2,$C$3,$C$4,$C$6,$C$5,$C$7,W$1,W$2,$A318)</f>
        <v>0</v>
      </c>
      <c r="X318" s="43">
        <f>_xll.DBRW($C$1,$C$2,$C$3,$C$4,$C$6,$C$5,$C$7,X$1,X$2,$A318)</f>
        <v>0</v>
      </c>
      <c r="Y318" s="43">
        <f>_xll.DBRW($C$1,$C$2,$C$3,$C$4,$C$6,$C$5,$C$7,Y$1,Y$2,$A318)</f>
        <v>0</v>
      </c>
      <c r="Z318" s="43">
        <f>_xll.DBRW($C$1,$C$2,$C$3,$C$4,$C$6,$C$5,$C$7,Z$1,Z$2,$A318)</f>
        <v>0</v>
      </c>
      <c r="AA318" s="43">
        <f>_xll.DBRW($C$1,$C$2,$C$3,$C$4,$C$6,$C$5,$C$7,AA$1,AA$2,$A318)</f>
        <v>0</v>
      </c>
      <c r="AB318" s="43">
        <f>_xll.DBRW($C$1,$C$2,$C$3,$C$4,$C$6,$C$5,$C$7,AB$1,AB$2,$A318)</f>
        <v>0</v>
      </c>
      <c r="AC318" s="43">
        <f>_xll.DBRW($C$1,$C$2,$C$3,$C$4,$C$6,$C$5,$C$7,AC$1,AC$2,$A318)</f>
        <v>0</v>
      </c>
      <c r="AD318" s="43">
        <f>_xll.DBRW($C$1,$C$2,$C$3,$C$4,$C$6,$C$5,$C$7,AD$1,AD$2,$A318)</f>
        <v>0</v>
      </c>
      <c r="AE318" s="43">
        <f>_xll.DBRW($C$1,$C$2,$C$3,$C$4,$C$6,$C$5,$C$7,AE$1,AE$2,$A318)</f>
        <v>0</v>
      </c>
      <c r="AF318" s="43">
        <f>_xll.DBRW($C$1,$C$2,$C$3,$C$4,$C$6,$C$5,$C$7,AF$1,AF$2,$A318)</f>
        <v>0</v>
      </c>
      <c r="AG318" s="43">
        <f>_xll.DBRW($C$1,$C$2,$C$3,$C$4,$C$6,$C$5,$C$7,AG$1,AG$2,$A318)</f>
        <v>0</v>
      </c>
      <c r="AH318" s="43">
        <f>_xll.DBRW($C$1,$C$2,$C$3,$C$4,$C$6,$C$5,$C$7,AH$1,AH$2,$A318)</f>
        <v>0</v>
      </c>
      <c r="AI318" s="43">
        <f>_xll.DBRW($C$1,$C$2,$C$3,$C$4,$C$6,$C$5,$C$7,AI$1,AI$2,$A318)</f>
        <v>0</v>
      </c>
      <c r="AJ318" s="43">
        <f>_xll.DBRW($C$1,$C$2,$C$3,$C$4,$C$6,$C$5,$C$7,AJ$1,AJ$2,$A318)</f>
        <v>0</v>
      </c>
      <c r="AK318" s="43">
        <f>_xll.DBRW($C$1,$C$2,$C$3,$C$4,$C$6,$C$5,$C$7,AK$1,AK$2,$A318)</f>
        <v>0</v>
      </c>
      <c r="AL318" s="43">
        <f>_xll.DBRW($C$1,$C$2,$C$3,$C$4,$C$6,$C$5,$C$7,AL$1,AL$2,$A318)</f>
        <v>0</v>
      </c>
      <c r="AM318" s="43">
        <f>_xll.DBRW($C$1,$C$2,$C$3,$C$4,$C$6,$C$5,$C$7,AM$1,AM$2,$A318)</f>
        <v>0</v>
      </c>
      <c r="AN318" s="43">
        <f>_xll.DBRW($C$1,$C$2,$C$3,$C$4,$C$6,$C$5,$C$7,AN$1,AN$2,$A318)</f>
        <v>0</v>
      </c>
      <c r="AO318" s="43">
        <f>_xll.DBRW($C$1,$C$2,$C$3,$C$4,$C$6,$C$5,$C$7,AO$1,AO$2,$A318)</f>
        <v>0</v>
      </c>
      <c r="AP318" s="43">
        <f>_xll.DBRW($C$1,$C$2,$C$3,$C$4,$C$6,$C$5,$C$7,AP$1,AP$2,$A318)</f>
        <v>0</v>
      </c>
      <c r="AQ318" s="43">
        <f>_xll.DBRW($C$1,$C$2,$C$3,$C$4,$C$6,$C$5,$C$7,AQ$1,AQ$2,$A318)</f>
        <v>0</v>
      </c>
      <c r="AR318" s="43">
        <f>_xll.DBRW($C$1,$C$2,$C$3,$C$4,$C$6,$C$5,$C$7,AR$1,AR$2,$A318)</f>
        <v>0</v>
      </c>
      <c r="AS318" s="43">
        <f>_xll.DBRW($C$1,$C$2,$C$3,$C$4,$C$6,$C$5,$C$7,AS$1,AS$2,$A318)</f>
        <v>0</v>
      </c>
      <c r="AT318" s="43">
        <f>_xll.DBRW($C$1,$C$2,$C$3,$C$4,$C$6,$C$5,$C$7,AT$1,AT$2,$A318)</f>
        <v>0</v>
      </c>
      <c r="AU318" s="43">
        <f>_xll.DBRW($C$1,$C$2,$C$3,$C$4,$C$6,$C$5,$C$7,AU$1,AU$2,$A318)</f>
        <v>0</v>
      </c>
    </row>
    <row r="319" spans="1:47" ht="15.75" collapsed="1">
      <c r="A319" s="1" t="s">
        <v>127</v>
      </c>
      <c r="C319" s="143"/>
      <c r="E319" s="78" t="s">
        <v>83</v>
      </c>
      <c r="F319" s="43">
        <f t="shared" ref="F319:AU319" si="168">SUM(F318)</f>
        <v>0</v>
      </c>
      <c r="G319" s="43">
        <f t="shared" si="168"/>
        <v>0</v>
      </c>
      <c r="H319" s="43">
        <f t="shared" si="168"/>
        <v>0</v>
      </c>
      <c r="I319" s="43">
        <f t="shared" si="168"/>
        <v>0</v>
      </c>
      <c r="J319" s="43">
        <f t="shared" si="168"/>
        <v>0</v>
      </c>
      <c r="K319" s="43">
        <f t="shared" si="168"/>
        <v>0</v>
      </c>
      <c r="L319" s="43">
        <f t="shared" si="168"/>
        <v>0</v>
      </c>
      <c r="M319" s="43">
        <f t="shared" si="168"/>
        <v>0</v>
      </c>
      <c r="N319" s="43">
        <f t="shared" si="168"/>
        <v>0</v>
      </c>
      <c r="O319" s="43">
        <f t="shared" si="168"/>
        <v>0</v>
      </c>
      <c r="P319" s="43">
        <f t="shared" si="168"/>
        <v>0</v>
      </c>
      <c r="Q319" s="43">
        <f t="shared" si="168"/>
        <v>0</v>
      </c>
      <c r="R319" s="43">
        <f t="shared" si="168"/>
        <v>0</v>
      </c>
      <c r="S319" s="43">
        <f t="shared" si="168"/>
        <v>0</v>
      </c>
      <c r="T319" s="43">
        <f t="shared" si="168"/>
        <v>0</v>
      </c>
      <c r="U319" s="43">
        <f t="shared" si="168"/>
        <v>0</v>
      </c>
      <c r="V319" s="43">
        <f t="shared" si="168"/>
        <v>0</v>
      </c>
      <c r="W319" s="43">
        <f t="shared" si="168"/>
        <v>0</v>
      </c>
      <c r="X319" s="43">
        <f t="shared" si="168"/>
        <v>0</v>
      </c>
      <c r="Y319" s="43">
        <f t="shared" si="168"/>
        <v>0</v>
      </c>
      <c r="Z319" s="43">
        <f t="shared" si="168"/>
        <v>0</v>
      </c>
      <c r="AA319" s="43">
        <f t="shared" si="168"/>
        <v>0</v>
      </c>
      <c r="AB319" s="43">
        <f t="shared" si="168"/>
        <v>0</v>
      </c>
      <c r="AC319" s="43">
        <f t="shared" si="168"/>
        <v>0</v>
      </c>
      <c r="AD319" s="43">
        <f t="shared" si="168"/>
        <v>0</v>
      </c>
      <c r="AE319" s="43">
        <f t="shared" si="168"/>
        <v>0</v>
      </c>
      <c r="AF319" s="43">
        <f t="shared" si="168"/>
        <v>0</v>
      </c>
      <c r="AG319" s="43">
        <f t="shared" si="168"/>
        <v>0</v>
      </c>
      <c r="AH319" s="43">
        <f t="shared" si="168"/>
        <v>0</v>
      </c>
      <c r="AI319" s="43">
        <f t="shared" si="168"/>
        <v>0</v>
      </c>
      <c r="AJ319" s="43">
        <f t="shared" si="168"/>
        <v>0</v>
      </c>
      <c r="AK319" s="43">
        <f t="shared" si="168"/>
        <v>0</v>
      </c>
      <c r="AL319" s="43">
        <f t="shared" si="168"/>
        <v>0</v>
      </c>
      <c r="AM319" s="43">
        <f t="shared" si="168"/>
        <v>0</v>
      </c>
      <c r="AN319" s="43">
        <f t="shared" si="168"/>
        <v>0</v>
      </c>
      <c r="AO319" s="43">
        <f t="shared" si="168"/>
        <v>0</v>
      </c>
      <c r="AP319" s="43">
        <f t="shared" si="168"/>
        <v>0</v>
      </c>
      <c r="AQ319" s="43">
        <f t="shared" si="168"/>
        <v>0</v>
      </c>
      <c r="AR319" s="43">
        <f t="shared" si="168"/>
        <v>0</v>
      </c>
      <c r="AS319" s="43">
        <f t="shared" si="168"/>
        <v>0</v>
      </c>
      <c r="AT319" s="43">
        <f t="shared" si="168"/>
        <v>0</v>
      </c>
      <c r="AU319" s="43">
        <f t="shared" si="168"/>
        <v>0</v>
      </c>
    </row>
    <row r="320" spans="1:47" ht="15.75" hidden="1" customHeight="1" outlineLevel="1">
      <c r="A320" s="1" t="s">
        <v>337</v>
      </c>
      <c r="C320" s="143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I320" s="43">
        <f>_xll.DBRW($C$1,$C$2,$C$3,$C$4,$C$6,$C$5,$C$7,I$1,I$2,$A320)</f>
        <v>0</v>
      </c>
      <c r="J320" s="43">
        <f>_xll.DBRW($C$1,$C$2,$C$3,$C$4,$C$6,$C$5,$C$7,J$1,J$2,$A320)</f>
        <v>0</v>
      </c>
      <c r="K320" s="43">
        <f>_xll.DBRW($C$1,$C$2,$C$3,$C$4,$C$6,$C$5,$C$7,K$1,K$2,$A320)</f>
        <v>0</v>
      </c>
      <c r="L320" s="43">
        <f>_xll.DBRW($C$1,$C$2,$C$3,$C$4,$C$6,$C$5,$C$7,L$1,L$2,$A320)</f>
        <v>0</v>
      </c>
      <c r="M320" s="43">
        <f>_xll.DBRW($C$1,$C$2,$C$3,$C$4,$C$6,$C$5,$C$7,M$1,M$2,$A320)</f>
        <v>0</v>
      </c>
      <c r="N320" s="43">
        <f>_xll.DBRW($C$1,$C$2,$C$3,$C$4,$C$6,$C$5,$C$7,N$1,N$2,$A320)</f>
        <v>0</v>
      </c>
      <c r="O320" s="43">
        <f>_xll.DBRW($C$1,$C$2,$C$3,$C$4,$C$6,$C$5,$C$7,O$1,O$2,$A320)</f>
        <v>0</v>
      </c>
      <c r="P320" s="43">
        <f>_xll.DBRW($C$1,$C$2,$C$3,$C$4,$C$6,$C$5,$C$7,P$1,P$2,$A320)</f>
        <v>0</v>
      </c>
      <c r="Q320" s="43">
        <f>_xll.DBRW($C$1,$C$2,$C$3,$C$4,$C$6,$C$5,$C$7,Q$1,Q$2,$A320)</f>
        <v>0</v>
      </c>
      <c r="R320" s="43">
        <f>_xll.DBRW($C$1,$C$2,$C$3,$C$4,$C$6,$C$5,$C$7,R$1,R$2,$A320)</f>
        <v>0</v>
      </c>
      <c r="S320" s="43">
        <f>_xll.DBRW($C$1,$C$2,$C$3,$C$4,$C$6,$C$5,$C$7,S$1,S$2,$A320)</f>
        <v>0</v>
      </c>
      <c r="T320" s="43">
        <f>_xll.DBRW($C$1,$C$2,$C$3,$C$4,$C$6,$C$5,$C$7,T$1,T$2,$A320)</f>
        <v>0</v>
      </c>
      <c r="U320" s="43">
        <f>_xll.DBRW($C$1,$C$2,$C$3,$C$4,$C$6,$C$5,$C$7,U$1,U$2,$A320)</f>
        <v>0</v>
      </c>
      <c r="V320" s="43">
        <f>_xll.DBRW($C$1,$C$2,$C$3,$C$4,$C$6,$C$5,$C$7,V$1,V$2,$A320)</f>
        <v>0</v>
      </c>
      <c r="W320" s="43">
        <f>_xll.DBRW($C$1,$C$2,$C$3,$C$4,$C$6,$C$5,$C$7,W$1,W$2,$A320)</f>
        <v>0</v>
      </c>
      <c r="X320" s="43">
        <f>_xll.DBRW($C$1,$C$2,$C$3,$C$4,$C$6,$C$5,$C$7,X$1,X$2,$A320)</f>
        <v>0</v>
      </c>
      <c r="Y320" s="43">
        <f>_xll.DBRW($C$1,$C$2,$C$3,$C$4,$C$6,$C$5,$C$7,Y$1,Y$2,$A320)</f>
        <v>0</v>
      </c>
      <c r="Z320" s="43">
        <f>_xll.DBRW($C$1,$C$2,$C$3,$C$4,$C$6,$C$5,$C$7,Z$1,Z$2,$A320)</f>
        <v>0</v>
      </c>
      <c r="AA320" s="43">
        <f>_xll.DBRW($C$1,$C$2,$C$3,$C$4,$C$6,$C$5,$C$7,AA$1,AA$2,$A320)</f>
        <v>0</v>
      </c>
      <c r="AB320" s="43">
        <f>_xll.DBRW($C$1,$C$2,$C$3,$C$4,$C$6,$C$5,$C$7,AB$1,AB$2,$A320)</f>
        <v>0</v>
      </c>
      <c r="AC320" s="43">
        <f>_xll.DBRW($C$1,$C$2,$C$3,$C$4,$C$6,$C$5,$C$7,AC$1,AC$2,$A320)</f>
        <v>0</v>
      </c>
      <c r="AD320" s="43">
        <f>_xll.DBRW($C$1,$C$2,$C$3,$C$4,$C$6,$C$5,$C$7,AD$1,AD$2,$A320)</f>
        <v>0</v>
      </c>
      <c r="AE320" s="43">
        <f>_xll.DBRW($C$1,$C$2,$C$3,$C$4,$C$6,$C$5,$C$7,AE$1,AE$2,$A320)</f>
        <v>0</v>
      </c>
      <c r="AF320" s="43">
        <f>_xll.DBRW($C$1,$C$2,$C$3,$C$4,$C$6,$C$5,$C$7,AF$1,AF$2,$A320)</f>
        <v>0</v>
      </c>
      <c r="AG320" s="43">
        <f>_xll.DBRW($C$1,$C$2,$C$3,$C$4,$C$6,$C$5,$C$7,AG$1,AG$2,$A320)</f>
        <v>0</v>
      </c>
      <c r="AH320" s="43">
        <f>_xll.DBRW($C$1,$C$2,$C$3,$C$4,$C$6,$C$5,$C$7,AH$1,AH$2,$A320)</f>
        <v>0</v>
      </c>
      <c r="AI320" s="43">
        <f>_xll.DBRW($C$1,$C$2,$C$3,$C$4,$C$6,$C$5,$C$7,AI$1,AI$2,$A320)</f>
        <v>0</v>
      </c>
      <c r="AJ320" s="43">
        <f>_xll.DBRW($C$1,$C$2,$C$3,$C$4,$C$6,$C$5,$C$7,AJ$1,AJ$2,$A320)</f>
        <v>0</v>
      </c>
      <c r="AK320" s="43">
        <f>_xll.DBRW($C$1,$C$2,$C$3,$C$4,$C$6,$C$5,$C$7,AK$1,AK$2,$A320)</f>
        <v>0</v>
      </c>
      <c r="AL320" s="43">
        <f>_xll.DBRW($C$1,$C$2,$C$3,$C$4,$C$6,$C$5,$C$7,AL$1,AL$2,$A320)</f>
        <v>0</v>
      </c>
      <c r="AM320" s="43">
        <f>_xll.DBRW($C$1,$C$2,$C$3,$C$4,$C$6,$C$5,$C$7,AM$1,AM$2,$A320)</f>
        <v>0</v>
      </c>
      <c r="AN320" s="43">
        <f>_xll.DBRW($C$1,$C$2,$C$3,$C$4,$C$6,$C$5,$C$7,AN$1,AN$2,$A320)</f>
        <v>0</v>
      </c>
      <c r="AO320" s="43">
        <f>_xll.DBRW($C$1,$C$2,$C$3,$C$4,$C$6,$C$5,$C$7,AO$1,AO$2,$A320)</f>
        <v>0</v>
      </c>
      <c r="AP320" s="43">
        <f>_xll.DBRW($C$1,$C$2,$C$3,$C$4,$C$6,$C$5,$C$7,AP$1,AP$2,$A320)</f>
        <v>0</v>
      </c>
      <c r="AQ320" s="43">
        <f>_xll.DBRW($C$1,$C$2,$C$3,$C$4,$C$6,$C$5,$C$7,AQ$1,AQ$2,$A320)</f>
        <v>0</v>
      </c>
      <c r="AR320" s="43">
        <f>_xll.DBRW($C$1,$C$2,$C$3,$C$4,$C$6,$C$5,$C$7,AR$1,AR$2,$A320)</f>
        <v>0</v>
      </c>
      <c r="AS320" s="43">
        <f>_xll.DBRW($C$1,$C$2,$C$3,$C$4,$C$6,$C$5,$C$7,AS$1,AS$2,$A320)</f>
        <v>0</v>
      </c>
      <c r="AT320" s="43">
        <f>_xll.DBRW($C$1,$C$2,$C$3,$C$4,$C$6,$C$5,$C$7,AT$1,AT$2,$A320)</f>
        <v>0</v>
      </c>
      <c r="AU320" s="43">
        <f>_xll.DBRW($C$1,$C$2,$C$3,$C$4,$C$6,$C$5,$C$7,AU$1,AU$2,$A320)</f>
        <v>0</v>
      </c>
    </row>
    <row r="321" spans="1:47" ht="15.75" collapsed="1">
      <c r="A321" s="1" t="s">
        <v>127</v>
      </c>
      <c r="C321" s="143"/>
      <c r="E321" s="83" t="s">
        <v>84</v>
      </c>
      <c r="F321" s="99">
        <f t="shared" ref="F321:AU321" si="169">SUM(F320)</f>
        <v>0</v>
      </c>
      <c r="G321" s="99">
        <f t="shared" si="169"/>
        <v>0</v>
      </c>
      <c r="H321" s="99">
        <f t="shared" si="169"/>
        <v>0</v>
      </c>
      <c r="I321" s="99">
        <f t="shared" si="169"/>
        <v>0</v>
      </c>
      <c r="J321" s="99">
        <f t="shared" si="169"/>
        <v>0</v>
      </c>
      <c r="K321" s="99">
        <f t="shared" si="169"/>
        <v>0</v>
      </c>
      <c r="L321" s="99">
        <f t="shared" si="169"/>
        <v>0</v>
      </c>
      <c r="M321" s="99">
        <f t="shared" si="169"/>
        <v>0</v>
      </c>
      <c r="N321" s="99">
        <f t="shared" si="169"/>
        <v>0</v>
      </c>
      <c r="O321" s="99">
        <f t="shared" si="169"/>
        <v>0</v>
      </c>
      <c r="P321" s="99">
        <f t="shared" si="169"/>
        <v>0</v>
      </c>
      <c r="Q321" s="99">
        <f t="shared" si="169"/>
        <v>0</v>
      </c>
      <c r="R321" s="99">
        <f t="shared" si="169"/>
        <v>0</v>
      </c>
      <c r="S321" s="99">
        <f t="shared" si="169"/>
        <v>0</v>
      </c>
      <c r="T321" s="99">
        <f t="shared" si="169"/>
        <v>0</v>
      </c>
      <c r="U321" s="99">
        <f t="shared" si="169"/>
        <v>0</v>
      </c>
      <c r="V321" s="99">
        <f t="shared" si="169"/>
        <v>0</v>
      </c>
      <c r="W321" s="99">
        <f t="shared" si="169"/>
        <v>0</v>
      </c>
      <c r="X321" s="99">
        <f t="shared" si="169"/>
        <v>0</v>
      </c>
      <c r="Y321" s="99">
        <f t="shared" si="169"/>
        <v>0</v>
      </c>
      <c r="Z321" s="99">
        <f t="shared" si="169"/>
        <v>0</v>
      </c>
      <c r="AA321" s="99">
        <f t="shared" si="169"/>
        <v>0</v>
      </c>
      <c r="AB321" s="99">
        <f t="shared" si="169"/>
        <v>0</v>
      </c>
      <c r="AC321" s="99">
        <f t="shared" si="169"/>
        <v>0</v>
      </c>
      <c r="AD321" s="99">
        <f t="shared" si="169"/>
        <v>0</v>
      </c>
      <c r="AE321" s="99">
        <f t="shared" si="169"/>
        <v>0</v>
      </c>
      <c r="AF321" s="99">
        <f t="shared" si="169"/>
        <v>0</v>
      </c>
      <c r="AG321" s="99">
        <f t="shared" si="169"/>
        <v>0</v>
      </c>
      <c r="AH321" s="99">
        <f t="shared" si="169"/>
        <v>0</v>
      </c>
      <c r="AI321" s="99">
        <f t="shared" si="169"/>
        <v>0</v>
      </c>
      <c r="AJ321" s="99">
        <f t="shared" si="169"/>
        <v>0</v>
      </c>
      <c r="AK321" s="99">
        <f t="shared" si="169"/>
        <v>0</v>
      </c>
      <c r="AL321" s="99">
        <f t="shared" si="169"/>
        <v>0</v>
      </c>
      <c r="AM321" s="99">
        <f t="shared" si="169"/>
        <v>0</v>
      </c>
      <c r="AN321" s="99">
        <f t="shared" si="169"/>
        <v>0</v>
      </c>
      <c r="AO321" s="99">
        <f t="shared" si="169"/>
        <v>0</v>
      </c>
      <c r="AP321" s="99">
        <f t="shared" si="169"/>
        <v>0</v>
      </c>
      <c r="AQ321" s="99">
        <f t="shared" si="169"/>
        <v>0</v>
      </c>
      <c r="AR321" s="99">
        <f t="shared" si="169"/>
        <v>0</v>
      </c>
      <c r="AS321" s="99">
        <f t="shared" si="169"/>
        <v>0</v>
      </c>
      <c r="AT321" s="99">
        <f t="shared" si="169"/>
        <v>0</v>
      </c>
      <c r="AU321" s="99">
        <f t="shared" si="169"/>
        <v>0</v>
      </c>
    </row>
    <row r="322" spans="1:47" ht="9" customHeight="1">
      <c r="A322" s="1" t="s">
        <v>127</v>
      </c>
      <c r="C322" s="143"/>
      <c r="E322" s="7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</row>
    <row r="323" spans="1:47" ht="15.75" hidden="1" customHeight="1" outlineLevel="1">
      <c r="A323" s="1" t="s">
        <v>338</v>
      </c>
      <c r="C323" s="143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344338650.40208399</v>
      </c>
      <c r="G323" s="10">
        <f>_xll.DBRW($C$1,$C$2,$C$3,$C$4,$C$6,$C$5,$C$7,G$1,G$2,$A323)</f>
        <v>266919485.82836398</v>
      </c>
      <c r="H323" s="10">
        <f>_xll.DBRW($C$1,$C$2,$C$3,$C$4,$C$6,$C$5,$C$7,H$1,H$2,$A323)</f>
        <v>261534645.25963145</v>
      </c>
      <c r="I323" s="10">
        <f>_xll.DBRW($C$1,$C$2,$C$3,$C$4,$C$6,$C$5,$C$7,I$1,I$2,$A323)</f>
        <v>15678635.919964166</v>
      </c>
      <c r="J323" s="10">
        <f>_xll.DBRW($C$1,$C$2,$C$3,$C$4,$C$6,$C$5,$C$7,J$1,J$2,$A323)</f>
        <v>41229416.328304976</v>
      </c>
      <c r="K323" s="10">
        <f>_xll.DBRW($C$1,$C$2,$C$3,$C$4,$C$6,$C$5,$C$7,K$1,K$2,$A323)</f>
        <v>65096332.844469473</v>
      </c>
      <c r="L323" s="10">
        <f>_xll.DBRW($C$1,$C$2,$C$3,$C$4,$C$6,$C$5,$C$7,L$1,L$2,$A323)</f>
        <v>81402151.063658744</v>
      </c>
      <c r="M323" s="10">
        <f>_xll.DBRW($C$1,$C$2,$C$3,$C$4,$C$6,$C$5,$C$7,M$1,M$2,$A323)</f>
        <v>104064031.82067914</v>
      </c>
      <c r="N323" s="10">
        <f>_xll.DBRW($C$1,$C$2,$C$3,$C$4,$C$6,$C$5,$C$7,N$1,N$2,$A323)</f>
        <v>126627027.76883337</v>
      </c>
      <c r="O323" s="10">
        <f>_xll.DBRW($C$1,$C$2,$C$3,$C$4,$C$6,$C$5,$C$7,O$1,O$2,$A323)</f>
        <v>139234533.81211436</v>
      </c>
      <c r="P323" s="10">
        <f>_xll.DBRW($C$1,$C$2,$C$3,$C$4,$C$6,$C$5,$C$7,P$1,P$2,$A323)</f>
        <v>161246551.06801823</v>
      </c>
      <c r="Q323" s="10">
        <f>_xll.DBRW($C$1,$C$2,$C$3,$C$4,$C$6,$C$5,$C$7,Q$1,Q$2,$A323)</f>
        <v>182746529.10328704</v>
      </c>
      <c r="R323" s="10">
        <f>_xll.DBRW($C$1,$C$2,$C$3,$C$4,$C$6,$C$5,$C$7,R$1,R$2,$A323)</f>
        <v>206761673.86464903</v>
      </c>
      <c r="S323" s="10">
        <f>_xll.DBRW($C$1,$C$2,$C$3,$C$4,$C$6,$C$5,$C$7,S$1,S$2,$A323)</f>
        <v>230337867.41758281</v>
      </c>
      <c r="T323" s="10">
        <f>_xll.DBRW($C$1,$C$2,$C$3,$C$4,$C$6,$C$5,$C$7,T$1,T$2,$A323)</f>
        <v>251476236.7891874</v>
      </c>
      <c r="U323" s="10">
        <f>_xll.DBRW($C$1,$C$2,$C$3,$C$4,$C$6,$C$5,$C$7,U$1,U$2,$A323)</f>
        <v>251476236.7891874</v>
      </c>
      <c r="V323" s="10">
        <f>_xll.DBRW($C$1,$C$2,$C$3,$C$4,$C$6,$C$5,$C$7,V$1,V$2,$A323)</f>
        <v>0</v>
      </c>
      <c r="W323" s="10">
        <f>_xll.DBRW($C$1,$C$2,$C$3,$C$4,$C$6,$C$5,$C$7,W$1,W$2,$A323)</f>
        <v>0</v>
      </c>
      <c r="X323" s="10">
        <f>_xll.DBRW($C$1,$C$2,$C$3,$C$4,$C$6,$C$5,$C$7,X$1,X$2,$A323)</f>
        <v>0</v>
      </c>
      <c r="Y323" s="10">
        <f>_xll.DBRW($C$1,$C$2,$C$3,$C$4,$C$6,$C$5,$C$7,Y$1,Y$2,$A323)</f>
        <v>0</v>
      </c>
      <c r="Z323" s="10">
        <f>_xll.DBRW($C$1,$C$2,$C$3,$C$4,$C$6,$C$5,$C$7,Z$1,Z$2,$A323)</f>
        <v>0</v>
      </c>
      <c r="AA323" s="10">
        <f>_xll.DBRW($C$1,$C$2,$C$3,$C$4,$C$6,$C$5,$C$7,AA$1,AA$2,$A323)</f>
        <v>0</v>
      </c>
      <c r="AB323" s="10">
        <f>_xll.DBRW($C$1,$C$2,$C$3,$C$4,$C$6,$C$5,$C$7,AB$1,AB$2,$A323)</f>
        <v>0</v>
      </c>
      <c r="AC323" s="10">
        <f>_xll.DBRW($C$1,$C$2,$C$3,$C$4,$C$6,$C$5,$C$7,AC$1,AC$2,$A323)</f>
        <v>0</v>
      </c>
      <c r="AD323" s="10">
        <f>_xll.DBRW($C$1,$C$2,$C$3,$C$4,$C$6,$C$5,$C$7,AD$1,AD$2,$A323)</f>
        <v>0</v>
      </c>
      <c r="AE323" s="10">
        <f>_xll.DBRW($C$1,$C$2,$C$3,$C$4,$C$6,$C$5,$C$7,AE$1,AE$2,$A323)</f>
        <v>0</v>
      </c>
      <c r="AF323" s="10">
        <f>_xll.DBRW($C$1,$C$2,$C$3,$C$4,$C$6,$C$5,$C$7,AF$1,AF$2,$A323)</f>
        <v>0</v>
      </c>
      <c r="AG323" s="10">
        <f>_xll.DBRW($C$1,$C$2,$C$3,$C$4,$C$6,$C$5,$C$7,AG$1,AG$2,$A323)</f>
        <v>0</v>
      </c>
      <c r="AH323" s="10">
        <f>_xll.DBRW($C$1,$C$2,$C$3,$C$4,$C$6,$C$5,$C$7,AH$1,AH$2,$A323)</f>
        <v>0</v>
      </c>
      <c r="AI323" s="10">
        <f>_xll.DBRW($C$1,$C$2,$C$3,$C$4,$C$6,$C$5,$C$7,AI$1,AI$2,$A323)</f>
        <v>0</v>
      </c>
      <c r="AJ323" s="10">
        <f>_xll.DBRW($C$1,$C$2,$C$3,$C$4,$C$6,$C$5,$C$7,AJ$1,AJ$2,$A323)</f>
        <v>0</v>
      </c>
      <c r="AK323" s="10">
        <f>_xll.DBRW($C$1,$C$2,$C$3,$C$4,$C$6,$C$5,$C$7,AK$1,AK$2,$A323)</f>
        <v>0</v>
      </c>
      <c r="AL323" s="10">
        <f>_xll.DBRW($C$1,$C$2,$C$3,$C$4,$C$6,$C$5,$C$7,AL$1,AL$2,$A323)</f>
        <v>0</v>
      </c>
      <c r="AM323" s="10">
        <f>_xll.DBRW($C$1,$C$2,$C$3,$C$4,$C$6,$C$5,$C$7,AM$1,AM$2,$A323)</f>
        <v>0</v>
      </c>
      <c r="AN323" s="10">
        <f>_xll.DBRW($C$1,$C$2,$C$3,$C$4,$C$6,$C$5,$C$7,AN$1,AN$2,$A323)</f>
        <v>0</v>
      </c>
      <c r="AO323" s="10">
        <f>_xll.DBRW($C$1,$C$2,$C$3,$C$4,$C$6,$C$5,$C$7,AO$1,AO$2,$A323)</f>
        <v>0</v>
      </c>
      <c r="AP323" s="10">
        <f>_xll.DBRW($C$1,$C$2,$C$3,$C$4,$C$6,$C$5,$C$7,AP$1,AP$2,$A323)</f>
        <v>0</v>
      </c>
      <c r="AQ323" s="10">
        <f>_xll.DBRW($C$1,$C$2,$C$3,$C$4,$C$6,$C$5,$C$7,AQ$1,AQ$2,$A323)</f>
        <v>0</v>
      </c>
      <c r="AR323" s="10">
        <f>_xll.DBRW($C$1,$C$2,$C$3,$C$4,$C$6,$C$5,$C$7,AR$1,AR$2,$A323)</f>
        <v>0</v>
      </c>
      <c r="AS323" s="10">
        <f>_xll.DBRW($C$1,$C$2,$C$3,$C$4,$C$6,$C$5,$C$7,AS$1,AS$2,$A323)</f>
        <v>0</v>
      </c>
      <c r="AT323" s="10">
        <f>_xll.DBRW($C$1,$C$2,$C$3,$C$4,$C$6,$C$5,$C$7,AT$1,AT$2,$A323)</f>
        <v>0</v>
      </c>
      <c r="AU323" s="10">
        <f>_xll.DBRW($C$1,$C$2,$C$3,$C$4,$C$6,$C$5,$C$7,AU$1,AU$2,$A323)</f>
        <v>0</v>
      </c>
    </row>
    <row r="324" spans="1:47" ht="15.75" collapsed="1">
      <c r="A324" s="1" t="s">
        <v>127</v>
      </c>
      <c r="C324" s="143"/>
      <c r="E324" s="126" t="s">
        <v>85</v>
      </c>
      <c r="F324" s="127">
        <f t="shared" ref="F324:T324" si="170">SUM(F323)</f>
        <v>344338650.40208399</v>
      </c>
      <c r="G324" s="127">
        <f t="shared" si="170"/>
        <v>266919485.82836398</v>
      </c>
      <c r="H324" s="127">
        <f t="shared" si="170"/>
        <v>261534645.25963145</v>
      </c>
      <c r="I324" s="127">
        <f t="shared" si="170"/>
        <v>15678635.919964166</v>
      </c>
      <c r="J324" s="127">
        <f t="shared" si="170"/>
        <v>41229416.328304976</v>
      </c>
      <c r="K324" s="127">
        <f t="shared" si="170"/>
        <v>65096332.844469473</v>
      </c>
      <c r="L324" s="127">
        <f t="shared" si="170"/>
        <v>81402151.063658744</v>
      </c>
      <c r="M324" s="127">
        <f t="shared" si="170"/>
        <v>104064031.82067914</v>
      </c>
      <c r="N324" s="127">
        <f t="shared" si="170"/>
        <v>126627027.76883337</v>
      </c>
      <c r="O324" s="127">
        <f t="shared" si="170"/>
        <v>139234533.81211436</v>
      </c>
      <c r="P324" s="127">
        <f t="shared" si="170"/>
        <v>161246551.06801823</v>
      </c>
      <c r="Q324" s="127">
        <f t="shared" si="170"/>
        <v>182746529.10328704</v>
      </c>
      <c r="R324" s="127">
        <f t="shared" si="170"/>
        <v>206761673.86464903</v>
      </c>
      <c r="S324" s="127">
        <f t="shared" si="170"/>
        <v>230337867.41758281</v>
      </c>
      <c r="T324" s="127">
        <f t="shared" si="170"/>
        <v>251476236.7891874</v>
      </c>
      <c r="U324" s="127">
        <f>SUM(U323)</f>
        <v>251476236.7891874</v>
      </c>
      <c r="V324" s="127">
        <f t="shared" ref="V324:AG324" si="171">SUM(V323)</f>
        <v>0</v>
      </c>
      <c r="W324" s="127">
        <f t="shared" si="171"/>
        <v>0</v>
      </c>
      <c r="X324" s="127">
        <f t="shared" si="171"/>
        <v>0</v>
      </c>
      <c r="Y324" s="127">
        <f t="shared" si="171"/>
        <v>0</v>
      </c>
      <c r="Z324" s="127">
        <f t="shared" si="171"/>
        <v>0</v>
      </c>
      <c r="AA324" s="127">
        <f t="shared" si="171"/>
        <v>0</v>
      </c>
      <c r="AB324" s="127">
        <f t="shared" si="171"/>
        <v>0</v>
      </c>
      <c r="AC324" s="127">
        <f t="shared" si="171"/>
        <v>0</v>
      </c>
      <c r="AD324" s="127">
        <f t="shared" si="171"/>
        <v>0</v>
      </c>
      <c r="AE324" s="127">
        <f t="shared" si="171"/>
        <v>0</v>
      </c>
      <c r="AF324" s="127">
        <f t="shared" si="171"/>
        <v>0</v>
      </c>
      <c r="AG324" s="127">
        <f t="shared" si="171"/>
        <v>0</v>
      </c>
      <c r="AH324" s="127">
        <f>SUM(AH323)</f>
        <v>0</v>
      </c>
      <c r="AI324" s="127">
        <f t="shared" ref="AI324:AT324" si="172">SUM(AI323)</f>
        <v>0</v>
      </c>
      <c r="AJ324" s="127">
        <f t="shared" si="172"/>
        <v>0</v>
      </c>
      <c r="AK324" s="127">
        <f t="shared" si="172"/>
        <v>0</v>
      </c>
      <c r="AL324" s="127">
        <f t="shared" si="172"/>
        <v>0</v>
      </c>
      <c r="AM324" s="127">
        <f t="shared" si="172"/>
        <v>0</v>
      </c>
      <c r="AN324" s="127">
        <f t="shared" si="172"/>
        <v>0</v>
      </c>
      <c r="AO324" s="127">
        <f t="shared" si="172"/>
        <v>0</v>
      </c>
      <c r="AP324" s="127">
        <f t="shared" si="172"/>
        <v>0</v>
      </c>
      <c r="AQ324" s="127">
        <f t="shared" si="172"/>
        <v>0</v>
      </c>
      <c r="AR324" s="127">
        <f t="shared" si="172"/>
        <v>0</v>
      </c>
      <c r="AS324" s="127">
        <f t="shared" si="172"/>
        <v>0</v>
      </c>
      <c r="AT324" s="127">
        <f t="shared" si="172"/>
        <v>0</v>
      </c>
      <c r="AU324" s="127">
        <f>SUM(AU323)</f>
        <v>0</v>
      </c>
    </row>
    <row r="325" spans="1:47" ht="15.75" hidden="1" customHeight="1" outlineLevel="1">
      <c r="A325" s="1" t="s">
        <v>339</v>
      </c>
      <c r="C325" s="143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6212942.1299999999</v>
      </c>
      <c r="G325" s="43">
        <f>_xll.DBRW($C$1,$C$2,$C$3,$C$4,$C$6,$C$5,$C$7,G$1,G$2,$A325)</f>
        <v>5098997.6999999993</v>
      </c>
      <c r="H325" s="43">
        <f>_xll.DBRW($C$1,$C$2,$C$3,$C$4,$C$6,$C$5,$C$7,H$1,H$2,$A325)</f>
        <v>5472927.7799999993</v>
      </c>
      <c r="I325" s="43">
        <f>_xll.DBRW($C$1,$C$2,$C$3,$C$4,$C$6,$C$5,$C$7,I$1,I$2,$A325)</f>
        <v>307394.31</v>
      </c>
      <c r="J325" s="43">
        <f>_xll.DBRW($C$1,$C$2,$C$3,$C$4,$C$6,$C$5,$C$7,J$1,J$2,$A325)</f>
        <v>970377.12999999989</v>
      </c>
      <c r="K325" s="43">
        <f>_xll.DBRW($C$1,$C$2,$C$3,$C$4,$C$6,$C$5,$C$7,K$1,K$2,$A325)</f>
        <v>1525830.66</v>
      </c>
      <c r="L325" s="43">
        <f>_xll.DBRW($C$1,$C$2,$C$3,$C$4,$C$6,$C$5,$C$7,L$1,L$2,$A325)</f>
        <v>2009583.27</v>
      </c>
      <c r="M325" s="43">
        <f>_xll.DBRW($C$1,$C$2,$C$3,$C$4,$C$6,$C$5,$C$7,M$1,M$2,$A325)</f>
        <v>2560716.17</v>
      </c>
      <c r="N325" s="43">
        <f>_xll.DBRW($C$1,$C$2,$C$3,$C$4,$C$6,$C$5,$C$7,N$1,N$2,$A325)</f>
        <v>3083415.1599999997</v>
      </c>
      <c r="O325" s="43">
        <f>_xll.DBRW($C$1,$C$2,$C$3,$C$4,$C$6,$C$5,$C$7,O$1,O$2,$A325)</f>
        <v>4173432.2899999996</v>
      </c>
      <c r="P325" s="43">
        <f>_xll.DBRW($C$1,$C$2,$C$3,$C$4,$C$6,$C$5,$C$7,P$1,P$2,$A325)</f>
        <v>5385839.04</v>
      </c>
      <c r="Q325" s="43">
        <f>_xll.DBRW($C$1,$C$2,$C$3,$C$4,$C$6,$C$5,$C$7,Q$1,Q$2,$A325)</f>
        <v>6150109.8100000005</v>
      </c>
      <c r="R325" s="43">
        <f>_xll.DBRW($C$1,$C$2,$C$3,$C$4,$C$6,$C$5,$C$7,R$1,R$2,$A325)</f>
        <v>6361649.5100000007</v>
      </c>
      <c r="S325" s="43">
        <f>_xll.DBRW($C$1,$C$2,$C$3,$C$4,$C$6,$C$5,$C$7,S$1,S$2,$A325)</f>
        <v>7407026.830000001</v>
      </c>
      <c r="T325" s="43">
        <f>_xll.DBRW($C$1,$C$2,$C$3,$C$4,$C$6,$C$5,$C$7,T$1,T$2,$A325)</f>
        <v>8054304.0200000014</v>
      </c>
      <c r="U325" s="43">
        <f>_xll.DBRW($C$1,$C$2,$C$3,$C$4,$C$6,$C$5,$C$7,U$1,U$2,$A325)</f>
        <v>8054304.0200000014</v>
      </c>
      <c r="V325" s="43">
        <f>_xll.DBRW($C$1,$C$2,$C$3,$C$4,$C$6,$C$5,$C$7,V$1,V$2,$A325)</f>
        <v>0</v>
      </c>
      <c r="W325" s="43">
        <f>_xll.DBRW($C$1,$C$2,$C$3,$C$4,$C$6,$C$5,$C$7,W$1,W$2,$A325)</f>
        <v>0</v>
      </c>
      <c r="X325" s="43">
        <f>_xll.DBRW($C$1,$C$2,$C$3,$C$4,$C$6,$C$5,$C$7,X$1,X$2,$A325)</f>
        <v>0</v>
      </c>
      <c r="Y325" s="43">
        <f>_xll.DBRW($C$1,$C$2,$C$3,$C$4,$C$6,$C$5,$C$7,Y$1,Y$2,$A325)</f>
        <v>0</v>
      </c>
      <c r="Z325" s="43">
        <f>_xll.DBRW($C$1,$C$2,$C$3,$C$4,$C$6,$C$5,$C$7,Z$1,Z$2,$A325)</f>
        <v>0</v>
      </c>
      <c r="AA325" s="43">
        <f>_xll.DBRW($C$1,$C$2,$C$3,$C$4,$C$6,$C$5,$C$7,AA$1,AA$2,$A325)</f>
        <v>0</v>
      </c>
      <c r="AB325" s="43">
        <f>_xll.DBRW($C$1,$C$2,$C$3,$C$4,$C$6,$C$5,$C$7,AB$1,AB$2,$A325)</f>
        <v>0</v>
      </c>
      <c r="AC325" s="43">
        <f>_xll.DBRW($C$1,$C$2,$C$3,$C$4,$C$6,$C$5,$C$7,AC$1,AC$2,$A325)</f>
        <v>0</v>
      </c>
      <c r="AD325" s="43">
        <f>_xll.DBRW($C$1,$C$2,$C$3,$C$4,$C$6,$C$5,$C$7,AD$1,AD$2,$A325)</f>
        <v>0</v>
      </c>
      <c r="AE325" s="43">
        <f>_xll.DBRW($C$1,$C$2,$C$3,$C$4,$C$6,$C$5,$C$7,AE$1,AE$2,$A325)</f>
        <v>0</v>
      </c>
      <c r="AF325" s="43">
        <f>_xll.DBRW($C$1,$C$2,$C$3,$C$4,$C$6,$C$5,$C$7,AF$1,AF$2,$A325)</f>
        <v>0</v>
      </c>
      <c r="AG325" s="43">
        <f>_xll.DBRW($C$1,$C$2,$C$3,$C$4,$C$6,$C$5,$C$7,AG$1,AG$2,$A325)</f>
        <v>0</v>
      </c>
      <c r="AH325" s="43">
        <f>_xll.DBRW($C$1,$C$2,$C$3,$C$4,$C$6,$C$5,$C$7,AH$1,AH$2,$A325)</f>
        <v>0</v>
      </c>
      <c r="AI325" s="43">
        <f>_xll.DBRW($C$1,$C$2,$C$3,$C$4,$C$6,$C$5,$C$7,AI$1,AI$2,$A325)</f>
        <v>0</v>
      </c>
      <c r="AJ325" s="43">
        <f>_xll.DBRW($C$1,$C$2,$C$3,$C$4,$C$6,$C$5,$C$7,AJ$1,AJ$2,$A325)</f>
        <v>0</v>
      </c>
      <c r="AK325" s="43">
        <f>_xll.DBRW($C$1,$C$2,$C$3,$C$4,$C$6,$C$5,$C$7,AK$1,AK$2,$A325)</f>
        <v>0</v>
      </c>
      <c r="AL325" s="43">
        <f>_xll.DBRW($C$1,$C$2,$C$3,$C$4,$C$6,$C$5,$C$7,AL$1,AL$2,$A325)</f>
        <v>0</v>
      </c>
      <c r="AM325" s="43">
        <f>_xll.DBRW($C$1,$C$2,$C$3,$C$4,$C$6,$C$5,$C$7,AM$1,AM$2,$A325)</f>
        <v>0</v>
      </c>
      <c r="AN325" s="43">
        <f>_xll.DBRW($C$1,$C$2,$C$3,$C$4,$C$6,$C$5,$C$7,AN$1,AN$2,$A325)</f>
        <v>0</v>
      </c>
      <c r="AO325" s="43">
        <f>_xll.DBRW($C$1,$C$2,$C$3,$C$4,$C$6,$C$5,$C$7,AO$1,AO$2,$A325)</f>
        <v>0</v>
      </c>
      <c r="AP325" s="43">
        <f>_xll.DBRW($C$1,$C$2,$C$3,$C$4,$C$6,$C$5,$C$7,AP$1,AP$2,$A325)</f>
        <v>0</v>
      </c>
      <c r="AQ325" s="43">
        <f>_xll.DBRW($C$1,$C$2,$C$3,$C$4,$C$6,$C$5,$C$7,AQ$1,AQ$2,$A325)</f>
        <v>0</v>
      </c>
      <c r="AR325" s="43">
        <f>_xll.DBRW($C$1,$C$2,$C$3,$C$4,$C$6,$C$5,$C$7,AR$1,AR$2,$A325)</f>
        <v>0</v>
      </c>
      <c r="AS325" s="43">
        <f>_xll.DBRW($C$1,$C$2,$C$3,$C$4,$C$6,$C$5,$C$7,AS$1,AS$2,$A325)</f>
        <v>0</v>
      </c>
      <c r="AT325" s="43">
        <f>_xll.DBRW($C$1,$C$2,$C$3,$C$4,$C$6,$C$5,$C$7,AT$1,AT$2,$A325)</f>
        <v>0</v>
      </c>
      <c r="AU325" s="43">
        <f>_xll.DBRW($C$1,$C$2,$C$3,$C$4,$C$6,$C$5,$C$7,AU$1,AU$2,$A325)</f>
        <v>0</v>
      </c>
    </row>
    <row r="326" spans="1:47" ht="15.75" collapsed="1">
      <c r="A326" s="1" t="s">
        <v>127</v>
      </c>
      <c r="C326" s="143"/>
      <c r="E326" s="15" t="s">
        <v>86</v>
      </c>
      <c r="F326" s="44">
        <f t="shared" ref="F326:T326" si="173">SUM(F325)</f>
        <v>6212942.1299999999</v>
      </c>
      <c r="G326" s="44">
        <f t="shared" si="173"/>
        <v>5098997.6999999993</v>
      </c>
      <c r="H326" s="44">
        <f t="shared" si="173"/>
        <v>5472927.7799999993</v>
      </c>
      <c r="I326" s="44">
        <f t="shared" si="173"/>
        <v>307394.31</v>
      </c>
      <c r="J326" s="44">
        <f t="shared" si="173"/>
        <v>970377.12999999989</v>
      </c>
      <c r="K326" s="44">
        <f t="shared" si="173"/>
        <v>1525830.66</v>
      </c>
      <c r="L326" s="44">
        <f t="shared" si="173"/>
        <v>2009583.27</v>
      </c>
      <c r="M326" s="44">
        <f t="shared" si="173"/>
        <v>2560716.17</v>
      </c>
      <c r="N326" s="44">
        <f t="shared" si="173"/>
        <v>3083415.1599999997</v>
      </c>
      <c r="O326" s="44">
        <f t="shared" si="173"/>
        <v>4173432.2899999996</v>
      </c>
      <c r="P326" s="44">
        <f t="shared" si="173"/>
        <v>5385839.04</v>
      </c>
      <c r="Q326" s="44">
        <f t="shared" si="173"/>
        <v>6150109.8100000005</v>
      </c>
      <c r="R326" s="44">
        <f t="shared" si="173"/>
        <v>6361649.5100000007</v>
      </c>
      <c r="S326" s="44">
        <f t="shared" si="173"/>
        <v>7407026.830000001</v>
      </c>
      <c r="T326" s="44">
        <f t="shared" si="173"/>
        <v>8054304.0200000014</v>
      </c>
      <c r="U326" s="44">
        <f>SUM(U325)</f>
        <v>8054304.0200000014</v>
      </c>
      <c r="V326" s="44">
        <f t="shared" ref="V326:AG326" si="174">SUM(V325)</f>
        <v>0</v>
      </c>
      <c r="W326" s="44">
        <f t="shared" si="174"/>
        <v>0</v>
      </c>
      <c r="X326" s="44">
        <f t="shared" si="174"/>
        <v>0</v>
      </c>
      <c r="Y326" s="44">
        <f t="shared" si="174"/>
        <v>0</v>
      </c>
      <c r="Z326" s="44">
        <f t="shared" si="174"/>
        <v>0</v>
      </c>
      <c r="AA326" s="44">
        <f t="shared" si="174"/>
        <v>0</v>
      </c>
      <c r="AB326" s="44">
        <f t="shared" si="174"/>
        <v>0</v>
      </c>
      <c r="AC326" s="44">
        <f t="shared" si="174"/>
        <v>0</v>
      </c>
      <c r="AD326" s="44">
        <f t="shared" si="174"/>
        <v>0</v>
      </c>
      <c r="AE326" s="44">
        <f t="shared" si="174"/>
        <v>0</v>
      </c>
      <c r="AF326" s="44">
        <f t="shared" si="174"/>
        <v>0</v>
      </c>
      <c r="AG326" s="44">
        <f t="shared" si="174"/>
        <v>0</v>
      </c>
      <c r="AH326" s="44">
        <f>SUM(AH325)</f>
        <v>0</v>
      </c>
      <c r="AI326" s="44">
        <f t="shared" ref="AI326:AT326" si="175">SUM(AI325)</f>
        <v>0</v>
      </c>
      <c r="AJ326" s="44">
        <f t="shared" si="175"/>
        <v>0</v>
      </c>
      <c r="AK326" s="44">
        <f t="shared" si="175"/>
        <v>0</v>
      </c>
      <c r="AL326" s="44">
        <f t="shared" si="175"/>
        <v>0</v>
      </c>
      <c r="AM326" s="44">
        <f t="shared" si="175"/>
        <v>0</v>
      </c>
      <c r="AN326" s="44">
        <f t="shared" si="175"/>
        <v>0</v>
      </c>
      <c r="AO326" s="44">
        <f t="shared" si="175"/>
        <v>0</v>
      </c>
      <c r="AP326" s="44">
        <f t="shared" si="175"/>
        <v>0</v>
      </c>
      <c r="AQ326" s="44">
        <f t="shared" si="175"/>
        <v>0</v>
      </c>
      <c r="AR326" s="44">
        <f t="shared" si="175"/>
        <v>0</v>
      </c>
      <c r="AS326" s="44">
        <f t="shared" si="175"/>
        <v>0</v>
      </c>
      <c r="AT326" s="44">
        <f t="shared" si="175"/>
        <v>0</v>
      </c>
      <c r="AU326" s="44">
        <f>SUM(AU325)</f>
        <v>0</v>
      </c>
    </row>
    <row r="327" spans="1:47" ht="15.75" hidden="1" customHeight="1" outlineLevel="1">
      <c r="A327" s="1" t="s">
        <v>340</v>
      </c>
      <c r="C327" s="143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0</v>
      </c>
      <c r="H327" s="43">
        <f>_xll.DBRW($C$1,$C$2,$C$3,$C$4,$C$6,$C$5,$C$7,H$1,H$2,$A327)</f>
        <v>0</v>
      </c>
      <c r="I327" s="43">
        <f>_xll.DBRW($C$1,$C$2,$C$3,$C$4,$C$6,$C$5,$C$7,I$1,I$2,$A327)</f>
        <v>0</v>
      </c>
      <c r="J327" s="43">
        <f>_xll.DBRW($C$1,$C$2,$C$3,$C$4,$C$6,$C$5,$C$7,J$1,J$2,$A327)</f>
        <v>0</v>
      </c>
      <c r="K327" s="43">
        <f>_xll.DBRW($C$1,$C$2,$C$3,$C$4,$C$6,$C$5,$C$7,K$1,K$2,$A327)</f>
        <v>0</v>
      </c>
      <c r="L327" s="43">
        <f>_xll.DBRW($C$1,$C$2,$C$3,$C$4,$C$6,$C$5,$C$7,L$1,L$2,$A327)</f>
        <v>0</v>
      </c>
      <c r="M327" s="43">
        <f>_xll.DBRW($C$1,$C$2,$C$3,$C$4,$C$6,$C$5,$C$7,M$1,M$2,$A327)</f>
        <v>0</v>
      </c>
      <c r="N327" s="43">
        <f>_xll.DBRW($C$1,$C$2,$C$3,$C$4,$C$6,$C$5,$C$7,N$1,N$2,$A327)</f>
        <v>0</v>
      </c>
      <c r="O327" s="43">
        <f>_xll.DBRW($C$1,$C$2,$C$3,$C$4,$C$6,$C$5,$C$7,O$1,O$2,$A327)</f>
        <v>3765036</v>
      </c>
      <c r="P327" s="43">
        <f>_xll.DBRW($C$1,$C$2,$C$3,$C$4,$C$6,$C$5,$C$7,P$1,P$2,$A327)</f>
        <v>109007572.23620959</v>
      </c>
      <c r="Q327" s="43">
        <f>_xll.DBRW($C$1,$C$2,$C$3,$C$4,$C$6,$C$5,$C$7,Q$1,Q$2,$A327)</f>
        <v>134546623.93906188</v>
      </c>
      <c r="R327" s="43">
        <f>_xll.DBRW($C$1,$C$2,$C$3,$C$4,$C$6,$C$5,$C$7,R$1,R$2,$A327)</f>
        <v>144187730.71906185</v>
      </c>
      <c r="S327" s="43">
        <f>_xll.DBRW($C$1,$C$2,$C$3,$C$4,$C$6,$C$5,$C$7,S$1,S$2,$A327)</f>
        <v>169348177.13376129</v>
      </c>
      <c r="T327" s="43">
        <f>_xll.DBRW($C$1,$C$2,$C$3,$C$4,$C$6,$C$5,$C$7,T$1,T$2,$A327)</f>
        <v>188385422.6052613</v>
      </c>
      <c r="U327" s="43">
        <f>_xll.DBRW($C$1,$C$2,$C$3,$C$4,$C$6,$C$5,$C$7,U$1,U$2,$A327)</f>
        <v>188385422.6052613</v>
      </c>
      <c r="V327" s="43">
        <f>_xll.DBRW($C$1,$C$2,$C$3,$C$4,$C$6,$C$5,$C$7,V$1,V$2,$A327)</f>
        <v>0</v>
      </c>
      <c r="W327" s="43">
        <f>_xll.DBRW($C$1,$C$2,$C$3,$C$4,$C$6,$C$5,$C$7,W$1,W$2,$A327)</f>
        <v>0</v>
      </c>
      <c r="X327" s="43">
        <f>_xll.DBRW($C$1,$C$2,$C$3,$C$4,$C$6,$C$5,$C$7,X$1,X$2,$A327)</f>
        <v>0</v>
      </c>
      <c r="Y327" s="43">
        <f>_xll.DBRW($C$1,$C$2,$C$3,$C$4,$C$6,$C$5,$C$7,Y$1,Y$2,$A327)</f>
        <v>0</v>
      </c>
      <c r="Z327" s="43">
        <f>_xll.DBRW($C$1,$C$2,$C$3,$C$4,$C$6,$C$5,$C$7,Z$1,Z$2,$A327)</f>
        <v>0</v>
      </c>
      <c r="AA327" s="43">
        <f>_xll.DBRW($C$1,$C$2,$C$3,$C$4,$C$6,$C$5,$C$7,AA$1,AA$2,$A327)</f>
        <v>0</v>
      </c>
      <c r="AB327" s="43">
        <f>_xll.DBRW($C$1,$C$2,$C$3,$C$4,$C$6,$C$5,$C$7,AB$1,AB$2,$A327)</f>
        <v>0</v>
      </c>
      <c r="AC327" s="43">
        <f>_xll.DBRW($C$1,$C$2,$C$3,$C$4,$C$6,$C$5,$C$7,AC$1,AC$2,$A327)</f>
        <v>0</v>
      </c>
      <c r="AD327" s="43">
        <f>_xll.DBRW($C$1,$C$2,$C$3,$C$4,$C$6,$C$5,$C$7,AD$1,AD$2,$A327)</f>
        <v>0</v>
      </c>
      <c r="AE327" s="43">
        <f>_xll.DBRW($C$1,$C$2,$C$3,$C$4,$C$6,$C$5,$C$7,AE$1,AE$2,$A327)</f>
        <v>0</v>
      </c>
      <c r="AF327" s="43">
        <f>_xll.DBRW($C$1,$C$2,$C$3,$C$4,$C$6,$C$5,$C$7,AF$1,AF$2,$A327)</f>
        <v>0</v>
      </c>
      <c r="AG327" s="43">
        <f>_xll.DBRW($C$1,$C$2,$C$3,$C$4,$C$6,$C$5,$C$7,AG$1,AG$2,$A327)</f>
        <v>0</v>
      </c>
      <c r="AH327" s="43">
        <f>_xll.DBRW($C$1,$C$2,$C$3,$C$4,$C$6,$C$5,$C$7,AH$1,AH$2,$A327)</f>
        <v>0</v>
      </c>
      <c r="AI327" s="43">
        <f>_xll.DBRW($C$1,$C$2,$C$3,$C$4,$C$6,$C$5,$C$7,AI$1,AI$2,$A327)</f>
        <v>0</v>
      </c>
      <c r="AJ327" s="43">
        <f>_xll.DBRW($C$1,$C$2,$C$3,$C$4,$C$6,$C$5,$C$7,AJ$1,AJ$2,$A327)</f>
        <v>0</v>
      </c>
      <c r="AK327" s="43">
        <f>_xll.DBRW($C$1,$C$2,$C$3,$C$4,$C$6,$C$5,$C$7,AK$1,AK$2,$A327)</f>
        <v>0</v>
      </c>
      <c r="AL327" s="43">
        <f>_xll.DBRW($C$1,$C$2,$C$3,$C$4,$C$6,$C$5,$C$7,AL$1,AL$2,$A327)</f>
        <v>0</v>
      </c>
      <c r="AM327" s="43">
        <f>_xll.DBRW($C$1,$C$2,$C$3,$C$4,$C$6,$C$5,$C$7,AM$1,AM$2,$A327)</f>
        <v>0</v>
      </c>
      <c r="AN327" s="43">
        <f>_xll.DBRW($C$1,$C$2,$C$3,$C$4,$C$6,$C$5,$C$7,AN$1,AN$2,$A327)</f>
        <v>0</v>
      </c>
      <c r="AO327" s="43">
        <f>_xll.DBRW($C$1,$C$2,$C$3,$C$4,$C$6,$C$5,$C$7,AO$1,AO$2,$A327)</f>
        <v>0</v>
      </c>
      <c r="AP327" s="43">
        <f>_xll.DBRW($C$1,$C$2,$C$3,$C$4,$C$6,$C$5,$C$7,AP$1,AP$2,$A327)</f>
        <v>0</v>
      </c>
      <c r="AQ327" s="43">
        <f>_xll.DBRW($C$1,$C$2,$C$3,$C$4,$C$6,$C$5,$C$7,AQ$1,AQ$2,$A327)</f>
        <v>0</v>
      </c>
      <c r="AR327" s="43">
        <f>_xll.DBRW($C$1,$C$2,$C$3,$C$4,$C$6,$C$5,$C$7,AR$1,AR$2,$A327)</f>
        <v>0</v>
      </c>
      <c r="AS327" s="43">
        <f>_xll.DBRW($C$1,$C$2,$C$3,$C$4,$C$6,$C$5,$C$7,AS$1,AS$2,$A327)</f>
        <v>0</v>
      </c>
      <c r="AT327" s="43">
        <f>_xll.DBRW($C$1,$C$2,$C$3,$C$4,$C$6,$C$5,$C$7,AT$1,AT$2,$A327)</f>
        <v>0</v>
      </c>
      <c r="AU327" s="43">
        <f>_xll.DBRW($C$1,$C$2,$C$3,$C$4,$C$6,$C$5,$C$7,AU$1,AU$2,$A327)</f>
        <v>0</v>
      </c>
    </row>
    <row r="328" spans="1:47" ht="15.75" collapsed="1">
      <c r="A328" s="1" t="s">
        <v>127</v>
      </c>
      <c r="C328" s="143"/>
      <c r="E328" s="15" t="s">
        <v>87</v>
      </c>
      <c r="F328" s="43">
        <f t="shared" ref="F328:T328" si="176">SUM(F327)</f>
        <v>0</v>
      </c>
      <c r="G328" s="43">
        <f t="shared" si="176"/>
        <v>0</v>
      </c>
      <c r="H328" s="43">
        <f t="shared" si="176"/>
        <v>0</v>
      </c>
      <c r="I328" s="43">
        <f t="shared" si="176"/>
        <v>0</v>
      </c>
      <c r="J328" s="43">
        <f t="shared" si="176"/>
        <v>0</v>
      </c>
      <c r="K328" s="43">
        <f t="shared" si="176"/>
        <v>0</v>
      </c>
      <c r="L328" s="43">
        <f t="shared" si="176"/>
        <v>0</v>
      </c>
      <c r="M328" s="43">
        <f t="shared" si="176"/>
        <v>0</v>
      </c>
      <c r="N328" s="43">
        <f t="shared" si="176"/>
        <v>0</v>
      </c>
      <c r="O328" s="43">
        <f t="shared" si="176"/>
        <v>3765036</v>
      </c>
      <c r="P328" s="43">
        <f t="shared" si="176"/>
        <v>109007572.23620959</v>
      </c>
      <c r="Q328" s="43">
        <f t="shared" si="176"/>
        <v>134546623.93906188</v>
      </c>
      <c r="R328" s="43">
        <f t="shared" si="176"/>
        <v>144187730.71906185</v>
      </c>
      <c r="S328" s="43">
        <f t="shared" si="176"/>
        <v>169348177.13376129</v>
      </c>
      <c r="T328" s="43">
        <f t="shared" si="176"/>
        <v>188385422.6052613</v>
      </c>
      <c r="U328" s="43">
        <f>SUM(U327)</f>
        <v>188385422.6052613</v>
      </c>
      <c r="V328" s="43">
        <f t="shared" ref="V328:AG328" si="177">SUM(V327)</f>
        <v>0</v>
      </c>
      <c r="W328" s="43">
        <f t="shared" si="177"/>
        <v>0</v>
      </c>
      <c r="X328" s="43">
        <f t="shared" si="177"/>
        <v>0</v>
      </c>
      <c r="Y328" s="43">
        <f t="shared" si="177"/>
        <v>0</v>
      </c>
      <c r="Z328" s="43">
        <f t="shared" si="177"/>
        <v>0</v>
      </c>
      <c r="AA328" s="43">
        <f t="shared" si="177"/>
        <v>0</v>
      </c>
      <c r="AB328" s="43">
        <f t="shared" si="177"/>
        <v>0</v>
      </c>
      <c r="AC328" s="43">
        <f t="shared" si="177"/>
        <v>0</v>
      </c>
      <c r="AD328" s="43">
        <f t="shared" si="177"/>
        <v>0</v>
      </c>
      <c r="AE328" s="43">
        <f t="shared" si="177"/>
        <v>0</v>
      </c>
      <c r="AF328" s="43">
        <f t="shared" si="177"/>
        <v>0</v>
      </c>
      <c r="AG328" s="43">
        <f t="shared" si="177"/>
        <v>0</v>
      </c>
      <c r="AH328" s="43">
        <f>SUM(AH327)</f>
        <v>0</v>
      </c>
      <c r="AI328" s="43">
        <f t="shared" ref="AI328:AT328" si="178">SUM(AI327)</f>
        <v>0</v>
      </c>
      <c r="AJ328" s="43">
        <f t="shared" si="178"/>
        <v>0</v>
      </c>
      <c r="AK328" s="43">
        <f t="shared" si="178"/>
        <v>0</v>
      </c>
      <c r="AL328" s="43">
        <f t="shared" si="178"/>
        <v>0</v>
      </c>
      <c r="AM328" s="43">
        <f t="shared" si="178"/>
        <v>0</v>
      </c>
      <c r="AN328" s="43">
        <f t="shared" si="178"/>
        <v>0</v>
      </c>
      <c r="AO328" s="43">
        <f t="shared" si="178"/>
        <v>0</v>
      </c>
      <c r="AP328" s="43">
        <f t="shared" si="178"/>
        <v>0</v>
      </c>
      <c r="AQ328" s="43">
        <f t="shared" si="178"/>
        <v>0</v>
      </c>
      <c r="AR328" s="43">
        <f t="shared" si="178"/>
        <v>0</v>
      </c>
      <c r="AS328" s="43">
        <f t="shared" si="178"/>
        <v>0</v>
      </c>
      <c r="AT328" s="43">
        <f t="shared" si="178"/>
        <v>0</v>
      </c>
      <c r="AU328" s="43">
        <f>SUM(AU327)</f>
        <v>0</v>
      </c>
    </row>
    <row r="329" spans="1:47" ht="15.75" hidden="1" customHeight="1" outlineLevel="1">
      <c r="A329" s="1" t="s">
        <v>341</v>
      </c>
      <c r="C329" s="143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260244199.50267342</v>
      </c>
      <c r="G329" s="43">
        <f>_xll.DBRW($C$1,$C$2,$C$3,$C$4,$C$6,$C$5,$C$7,G$1,G$2,$A329)</f>
        <v>212690794.87799019</v>
      </c>
      <c r="H329" s="43">
        <f>_xll.DBRW($C$1,$C$2,$C$3,$C$4,$C$6,$C$5,$C$7,H$1,H$2,$A329)</f>
        <v>61903338.448960006</v>
      </c>
      <c r="I329" s="43">
        <f>_xll.DBRW($C$1,$C$2,$C$3,$C$4,$C$6,$C$5,$C$7,I$1,I$2,$A329)</f>
        <v>3581154.7163333334</v>
      </c>
      <c r="J329" s="43">
        <f>_xll.DBRW($C$1,$C$2,$C$3,$C$4,$C$6,$C$5,$C$7,J$1,J$2,$A329)</f>
        <v>11367968.024333334</v>
      </c>
      <c r="K329" s="43">
        <f>_xll.DBRW($C$1,$C$2,$C$3,$C$4,$C$6,$C$5,$C$7,K$1,K$2,$A329)</f>
        <v>18057918.304333333</v>
      </c>
      <c r="L329" s="43">
        <f>_xll.DBRW($C$1,$C$2,$C$3,$C$4,$C$6,$C$5,$C$7,L$1,L$2,$A329)</f>
        <v>22836490.777666666</v>
      </c>
      <c r="M329" s="43">
        <f>_xll.DBRW($C$1,$C$2,$C$3,$C$4,$C$6,$C$5,$C$7,M$1,M$2,$A329)</f>
        <v>28651898.898666665</v>
      </c>
      <c r="N329" s="43">
        <f>_xll.DBRW($C$1,$C$2,$C$3,$C$4,$C$6,$C$5,$C$7,N$1,N$2,$A329)</f>
        <v>33585456.581333332</v>
      </c>
      <c r="O329" s="43">
        <f>_xll.DBRW($C$1,$C$2,$C$3,$C$4,$C$6,$C$5,$C$7,O$1,O$2,$A329)</f>
        <v>37121116.539333329</v>
      </c>
      <c r="P329" s="43">
        <f>_xll.DBRW($C$1,$C$2,$C$3,$C$4,$C$6,$C$5,$C$7,P$1,P$2,$A329)</f>
        <v>42964365.63933333</v>
      </c>
      <c r="Q329" s="43">
        <f>_xll.DBRW($C$1,$C$2,$C$3,$C$4,$C$6,$C$5,$C$7,Q$1,Q$2,$A329)</f>
        <v>48632259.79929103</v>
      </c>
      <c r="R329" s="43">
        <f>_xll.DBRW($C$1,$C$2,$C$3,$C$4,$C$6,$C$5,$C$7,R$1,R$2,$A329)</f>
        <v>52982496.741155028</v>
      </c>
      <c r="S329" s="43">
        <f>_xll.DBRW($C$1,$C$2,$C$3,$C$4,$C$6,$C$5,$C$7,S$1,S$2,$A329)</f>
        <v>60801457.605155028</v>
      </c>
      <c r="T329" s="43">
        <f>_xll.DBRW($C$1,$C$2,$C$3,$C$4,$C$6,$C$5,$C$7,T$1,T$2,$A329)</f>
        <v>69700681.525155023</v>
      </c>
      <c r="U329" s="43">
        <f>_xll.DBRW($C$1,$C$2,$C$3,$C$4,$C$6,$C$5,$C$7,U$1,U$2,$A329)</f>
        <v>69700681.525155023</v>
      </c>
      <c r="V329" s="43">
        <f>_xll.DBRW($C$1,$C$2,$C$3,$C$4,$C$6,$C$5,$C$7,V$1,V$2,$A329)</f>
        <v>0</v>
      </c>
      <c r="W329" s="43">
        <f>_xll.DBRW($C$1,$C$2,$C$3,$C$4,$C$6,$C$5,$C$7,W$1,W$2,$A329)</f>
        <v>0</v>
      </c>
      <c r="X329" s="43">
        <f>_xll.DBRW($C$1,$C$2,$C$3,$C$4,$C$6,$C$5,$C$7,X$1,X$2,$A329)</f>
        <v>0</v>
      </c>
      <c r="Y329" s="43">
        <f>_xll.DBRW($C$1,$C$2,$C$3,$C$4,$C$6,$C$5,$C$7,Y$1,Y$2,$A329)</f>
        <v>0</v>
      </c>
      <c r="Z329" s="43">
        <f>_xll.DBRW($C$1,$C$2,$C$3,$C$4,$C$6,$C$5,$C$7,Z$1,Z$2,$A329)</f>
        <v>0</v>
      </c>
      <c r="AA329" s="43">
        <f>_xll.DBRW($C$1,$C$2,$C$3,$C$4,$C$6,$C$5,$C$7,AA$1,AA$2,$A329)</f>
        <v>0</v>
      </c>
      <c r="AB329" s="43">
        <f>_xll.DBRW($C$1,$C$2,$C$3,$C$4,$C$6,$C$5,$C$7,AB$1,AB$2,$A329)</f>
        <v>0</v>
      </c>
      <c r="AC329" s="43">
        <f>_xll.DBRW($C$1,$C$2,$C$3,$C$4,$C$6,$C$5,$C$7,AC$1,AC$2,$A329)</f>
        <v>0</v>
      </c>
      <c r="AD329" s="43">
        <f>_xll.DBRW($C$1,$C$2,$C$3,$C$4,$C$6,$C$5,$C$7,AD$1,AD$2,$A329)</f>
        <v>0</v>
      </c>
      <c r="AE329" s="43">
        <f>_xll.DBRW($C$1,$C$2,$C$3,$C$4,$C$6,$C$5,$C$7,AE$1,AE$2,$A329)</f>
        <v>0</v>
      </c>
      <c r="AF329" s="43">
        <f>_xll.DBRW($C$1,$C$2,$C$3,$C$4,$C$6,$C$5,$C$7,AF$1,AF$2,$A329)</f>
        <v>0</v>
      </c>
      <c r="AG329" s="43">
        <f>_xll.DBRW($C$1,$C$2,$C$3,$C$4,$C$6,$C$5,$C$7,AG$1,AG$2,$A329)</f>
        <v>0</v>
      </c>
      <c r="AH329" s="43">
        <f>_xll.DBRW($C$1,$C$2,$C$3,$C$4,$C$6,$C$5,$C$7,AH$1,AH$2,$A329)</f>
        <v>0</v>
      </c>
      <c r="AI329" s="43">
        <f>_xll.DBRW($C$1,$C$2,$C$3,$C$4,$C$6,$C$5,$C$7,AI$1,AI$2,$A329)</f>
        <v>0</v>
      </c>
      <c r="AJ329" s="43">
        <f>_xll.DBRW($C$1,$C$2,$C$3,$C$4,$C$6,$C$5,$C$7,AJ$1,AJ$2,$A329)</f>
        <v>0</v>
      </c>
      <c r="AK329" s="43">
        <f>_xll.DBRW($C$1,$C$2,$C$3,$C$4,$C$6,$C$5,$C$7,AK$1,AK$2,$A329)</f>
        <v>0</v>
      </c>
      <c r="AL329" s="43">
        <f>_xll.DBRW($C$1,$C$2,$C$3,$C$4,$C$6,$C$5,$C$7,AL$1,AL$2,$A329)</f>
        <v>0</v>
      </c>
      <c r="AM329" s="43">
        <f>_xll.DBRW($C$1,$C$2,$C$3,$C$4,$C$6,$C$5,$C$7,AM$1,AM$2,$A329)</f>
        <v>0</v>
      </c>
      <c r="AN329" s="43">
        <f>_xll.DBRW($C$1,$C$2,$C$3,$C$4,$C$6,$C$5,$C$7,AN$1,AN$2,$A329)</f>
        <v>0</v>
      </c>
      <c r="AO329" s="43">
        <f>_xll.DBRW($C$1,$C$2,$C$3,$C$4,$C$6,$C$5,$C$7,AO$1,AO$2,$A329)</f>
        <v>0</v>
      </c>
      <c r="AP329" s="43">
        <f>_xll.DBRW($C$1,$C$2,$C$3,$C$4,$C$6,$C$5,$C$7,AP$1,AP$2,$A329)</f>
        <v>0</v>
      </c>
      <c r="AQ329" s="43">
        <f>_xll.DBRW($C$1,$C$2,$C$3,$C$4,$C$6,$C$5,$C$7,AQ$1,AQ$2,$A329)</f>
        <v>0</v>
      </c>
      <c r="AR329" s="43">
        <f>_xll.DBRW($C$1,$C$2,$C$3,$C$4,$C$6,$C$5,$C$7,AR$1,AR$2,$A329)</f>
        <v>0</v>
      </c>
      <c r="AS329" s="43">
        <f>_xll.DBRW($C$1,$C$2,$C$3,$C$4,$C$6,$C$5,$C$7,AS$1,AS$2,$A329)</f>
        <v>0</v>
      </c>
      <c r="AT329" s="43">
        <f>_xll.DBRW($C$1,$C$2,$C$3,$C$4,$C$6,$C$5,$C$7,AT$1,AT$2,$A329)</f>
        <v>0</v>
      </c>
      <c r="AU329" s="43">
        <f>_xll.DBRW($C$1,$C$2,$C$3,$C$4,$C$6,$C$5,$C$7,AU$1,AU$2,$A329)</f>
        <v>0</v>
      </c>
    </row>
    <row r="330" spans="1:47" ht="15.75" collapsed="1">
      <c r="A330" s="1" t="s">
        <v>127</v>
      </c>
      <c r="C330" s="143"/>
      <c r="E330" s="15" t="s">
        <v>88</v>
      </c>
      <c r="F330" s="44">
        <f t="shared" ref="F330:T340" si="179">SUM(F329)</f>
        <v>260244199.50267342</v>
      </c>
      <c r="G330" s="44">
        <f t="shared" si="179"/>
        <v>212690794.87799019</v>
      </c>
      <c r="H330" s="44">
        <f t="shared" si="179"/>
        <v>61903338.448960006</v>
      </c>
      <c r="I330" s="44">
        <f t="shared" si="179"/>
        <v>3581154.7163333334</v>
      </c>
      <c r="J330" s="44">
        <f t="shared" si="179"/>
        <v>11367968.024333334</v>
      </c>
      <c r="K330" s="44">
        <f t="shared" si="179"/>
        <v>18057918.304333333</v>
      </c>
      <c r="L330" s="44">
        <f t="shared" si="179"/>
        <v>22836490.777666666</v>
      </c>
      <c r="M330" s="44">
        <f t="shared" si="179"/>
        <v>28651898.898666665</v>
      </c>
      <c r="N330" s="44">
        <f t="shared" si="179"/>
        <v>33585456.581333332</v>
      </c>
      <c r="O330" s="44">
        <f t="shared" si="179"/>
        <v>37121116.539333329</v>
      </c>
      <c r="P330" s="44">
        <f t="shared" si="179"/>
        <v>42964365.63933333</v>
      </c>
      <c r="Q330" s="44">
        <f t="shared" si="179"/>
        <v>48632259.79929103</v>
      </c>
      <c r="R330" s="44">
        <f t="shared" si="179"/>
        <v>52982496.741155028</v>
      </c>
      <c r="S330" s="44">
        <f t="shared" si="179"/>
        <v>60801457.605155028</v>
      </c>
      <c r="T330" s="44">
        <f t="shared" si="179"/>
        <v>69700681.525155023</v>
      </c>
      <c r="U330" s="44">
        <f>SUM(U329)</f>
        <v>69700681.525155023</v>
      </c>
      <c r="V330" s="44">
        <f t="shared" ref="V330:AG340" si="180">SUM(V329)</f>
        <v>0</v>
      </c>
      <c r="W330" s="44">
        <f t="shared" si="180"/>
        <v>0</v>
      </c>
      <c r="X330" s="44">
        <f t="shared" si="180"/>
        <v>0</v>
      </c>
      <c r="Y330" s="44">
        <f t="shared" si="180"/>
        <v>0</v>
      </c>
      <c r="Z330" s="44">
        <f t="shared" si="180"/>
        <v>0</v>
      </c>
      <c r="AA330" s="44">
        <f t="shared" si="180"/>
        <v>0</v>
      </c>
      <c r="AB330" s="44">
        <f t="shared" si="180"/>
        <v>0</v>
      </c>
      <c r="AC330" s="44">
        <f t="shared" si="180"/>
        <v>0</v>
      </c>
      <c r="AD330" s="44">
        <f t="shared" si="180"/>
        <v>0</v>
      </c>
      <c r="AE330" s="44">
        <f t="shared" si="180"/>
        <v>0</v>
      </c>
      <c r="AF330" s="44">
        <f t="shared" si="180"/>
        <v>0</v>
      </c>
      <c r="AG330" s="44">
        <f t="shared" si="180"/>
        <v>0</v>
      </c>
      <c r="AH330" s="44">
        <f>SUM(AH329)</f>
        <v>0</v>
      </c>
      <c r="AI330" s="44">
        <f t="shared" ref="AI330:AT340" si="181">SUM(AI329)</f>
        <v>0</v>
      </c>
      <c r="AJ330" s="44">
        <f t="shared" si="181"/>
        <v>0</v>
      </c>
      <c r="AK330" s="44">
        <f t="shared" si="181"/>
        <v>0</v>
      </c>
      <c r="AL330" s="44">
        <f t="shared" si="181"/>
        <v>0</v>
      </c>
      <c r="AM330" s="44">
        <f t="shared" si="181"/>
        <v>0</v>
      </c>
      <c r="AN330" s="44">
        <f t="shared" si="181"/>
        <v>0</v>
      </c>
      <c r="AO330" s="44">
        <f t="shared" si="181"/>
        <v>0</v>
      </c>
      <c r="AP330" s="44">
        <f t="shared" si="181"/>
        <v>0</v>
      </c>
      <c r="AQ330" s="44">
        <f t="shared" si="181"/>
        <v>0</v>
      </c>
      <c r="AR330" s="44">
        <f t="shared" si="181"/>
        <v>0</v>
      </c>
      <c r="AS330" s="44">
        <f t="shared" si="181"/>
        <v>0</v>
      </c>
      <c r="AT330" s="44">
        <f t="shared" si="181"/>
        <v>0</v>
      </c>
      <c r="AU330" s="44">
        <f>SUM(AU329)</f>
        <v>0</v>
      </c>
    </row>
    <row r="331" spans="1:47" ht="15.6" hidden="1" customHeight="1" outlineLevel="1">
      <c r="A331" s="1" t="s">
        <v>354</v>
      </c>
      <c r="C331" s="143"/>
      <c r="E331" s="9" t="str">
        <f>_xll.DBRW(Server&amp;"}ElementAttributes_Indicator",A331,"code_English")</f>
        <v>Tot_nb_bus_coach - Total number of buses/coaches</v>
      </c>
      <c r="F331" s="43">
        <f>_xll.DBRW($C$1,$C$2,$C$3,$C$4,$C$6,$C$5,$C$7,F$1,F$2,$A331)</f>
        <v>0</v>
      </c>
      <c r="G331" s="43">
        <f>_xll.DBRW($C$1,$C$2,$C$3,$C$4,$C$6,$C$5,$C$7,G$1,G$2,$A331)</f>
        <v>0</v>
      </c>
      <c r="H331" s="43">
        <f>_xll.DBRW($C$1,$C$2,$C$3,$C$4,$C$6,$C$5,$C$7,H$1,H$2,$A331)</f>
        <v>0</v>
      </c>
      <c r="I331" s="43">
        <f>_xll.DBRW($C$1,$C$2,$C$3,$C$4,$C$6,$C$5,$C$7,I$1,I$2,$A331)</f>
        <v>0</v>
      </c>
      <c r="J331" s="43">
        <f>_xll.DBRW($C$1,$C$2,$C$3,$C$4,$C$6,$C$5,$C$7,J$1,J$2,$A331)</f>
        <v>0</v>
      </c>
      <c r="K331" s="43">
        <f>_xll.DBRW($C$1,$C$2,$C$3,$C$4,$C$6,$C$5,$C$7,K$1,K$2,$A331)</f>
        <v>0</v>
      </c>
      <c r="L331" s="43">
        <f>_xll.DBRW($C$1,$C$2,$C$3,$C$4,$C$6,$C$5,$C$7,L$1,L$2,$A331)</f>
        <v>0</v>
      </c>
      <c r="M331" s="43">
        <f>_xll.DBRW($C$1,$C$2,$C$3,$C$4,$C$6,$C$5,$C$7,M$1,M$2,$A331)</f>
        <v>0</v>
      </c>
      <c r="N331" s="43">
        <f>_xll.DBRW($C$1,$C$2,$C$3,$C$4,$C$6,$C$5,$C$7,N$1,N$2,$A331)</f>
        <v>0</v>
      </c>
      <c r="O331" s="43">
        <f>_xll.DBRW($C$1,$C$2,$C$3,$C$4,$C$6,$C$5,$C$7,O$1,O$2,$A331)</f>
        <v>0</v>
      </c>
      <c r="P331" s="43">
        <f>_xll.DBRW($C$1,$C$2,$C$3,$C$4,$C$6,$C$5,$C$7,P$1,P$2,$A331)</f>
        <v>0</v>
      </c>
      <c r="Q331" s="43">
        <f>_xll.DBRW($C$1,$C$2,$C$3,$C$4,$C$6,$C$5,$C$7,Q$1,Q$2,$A331)</f>
        <v>0</v>
      </c>
      <c r="R331" s="43">
        <f>_xll.DBRW($C$1,$C$2,$C$3,$C$4,$C$6,$C$5,$C$7,R$1,R$2,$A331)</f>
        <v>0</v>
      </c>
      <c r="S331" s="43">
        <f>_xll.DBRW($C$1,$C$2,$C$3,$C$4,$C$6,$C$5,$C$7,S$1,S$2,$A331)</f>
        <v>0</v>
      </c>
      <c r="T331" s="43">
        <f>_xll.DBRW($C$1,$C$2,$C$3,$C$4,$C$6,$C$5,$C$7,T$1,T$2,$A331)</f>
        <v>0</v>
      </c>
      <c r="U331" s="43">
        <f>_xll.DBRW($C$1,$C$2,$C$3,$C$4,$C$6,$C$5,$C$7,U$1,U$2,$A331)</f>
        <v>0</v>
      </c>
      <c r="V331" s="43">
        <f>_xll.DBRW($C$1,$C$2,$C$3,$C$4,$C$6,$C$5,$C$7,V$1,V$2,$A331)</f>
        <v>0</v>
      </c>
      <c r="W331" s="43">
        <f>_xll.DBRW($C$1,$C$2,$C$3,$C$4,$C$6,$C$5,$C$7,W$1,W$2,$A331)</f>
        <v>0</v>
      </c>
      <c r="X331" s="43">
        <f>_xll.DBRW($C$1,$C$2,$C$3,$C$4,$C$6,$C$5,$C$7,X$1,X$2,$A331)</f>
        <v>0</v>
      </c>
      <c r="Y331" s="43">
        <f>_xll.DBRW($C$1,$C$2,$C$3,$C$4,$C$6,$C$5,$C$7,Y$1,Y$2,$A331)</f>
        <v>0</v>
      </c>
      <c r="Z331" s="43">
        <f>_xll.DBRW($C$1,$C$2,$C$3,$C$4,$C$6,$C$5,$C$7,Z$1,Z$2,$A331)</f>
        <v>0</v>
      </c>
      <c r="AA331" s="43">
        <f>_xll.DBRW($C$1,$C$2,$C$3,$C$4,$C$6,$C$5,$C$7,AA$1,AA$2,$A331)</f>
        <v>0</v>
      </c>
      <c r="AB331" s="43">
        <f>_xll.DBRW($C$1,$C$2,$C$3,$C$4,$C$6,$C$5,$C$7,AB$1,AB$2,$A331)</f>
        <v>0</v>
      </c>
      <c r="AC331" s="43">
        <f>_xll.DBRW($C$1,$C$2,$C$3,$C$4,$C$6,$C$5,$C$7,AC$1,AC$2,$A331)</f>
        <v>0</v>
      </c>
      <c r="AD331" s="43">
        <f>_xll.DBRW($C$1,$C$2,$C$3,$C$4,$C$6,$C$5,$C$7,AD$1,AD$2,$A331)</f>
        <v>0</v>
      </c>
      <c r="AE331" s="43">
        <f>_xll.DBRW($C$1,$C$2,$C$3,$C$4,$C$6,$C$5,$C$7,AE$1,AE$2,$A331)</f>
        <v>0</v>
      </c>
      <c r="AF331" s="43">
        <f>_xll.DBRW($C$1,$C$2,$C$3,$C$4,$C$6,$C$5,$C$7,AF$1,AF$2,$A331)</f>
        <v>0</v>
      </c>
      <c r="AG331" s="43">
        <f>_xll.DBRW($C$1,$C$2,$C$3,$C$4,$C$6,$C$5,$C$7,AG$1,AG$2,$A331)</f>
        <v>0</v>
      </c>
      <c r="AH331" s="43">
        <f>_xll.DBRW($C$1,$C$2,$C$3,$C$4,$C$6,$C$5,$C$7,AH$1,AH$2,$A331)</f>
        <v>0</v>
      </c>
      <c r="AI331" s="43">
        <f>_xll.DBRW($C$1,$C$2,$C$3,$C$4,$C$6,$C$5,$C$7,AI$1,AI$2,$A331)</f>
        <v>0</v>
      </c>
      <c r="AJ331" s="43">
        <f>_xll.DBRW($C$1,$C$2,$C$3,$C$4,$C$6,$C$5,$C$7,AJ$1,AJ$2,$A331)</f>
        <v>0</v>
      </c>
      <c r="AK331" s="43">
        <f>_xll.DBRW($C$1,$C$2,$C$3,$C$4,$C$6,$C$5,$C$7,AK$1,AK$2,$A331)</f>
        <v>0</v>
      </c>
      <c r="AL331" s="43">
        <f>_xll.DBRW($C$1,$C$2,$C$3,$C$4,$C$6,$C$5,$C$7,AL$1,AL$2,$A331)</f>
        <v>0</v>
      </c>
      <c r="AM331" s="43">
        <f>_xll.DBRW($C$1,$C$2,$C$3,$C$4,$C$6,$C$5,$C$7,AM$1,AM$2,$A331)</f>
        <v>0</v>
      </c>
      <c r="AN331" s="43">
        <f>_xll.DBRW($C$1,$C$2,$C$3,$C$4,$C$6,$C$5,$C$7,AN$1,AN$2,$A331)</f>
        <v>0</v>
      </c>
      <c r="AO331" s="43">
        <f>_xll.DBRW($C$1,$C$2,$C$3,$C$4,$C$6,$C$5,$C$7,AO$1,AO$2,$A331)</f>
        <v>0</v>
      </c>
      <c r="AP331" s="43">
        <f>_xll.DBRW($C$1,$C$2,$C$3,$C$4,$C$6,$C$5,$C$7,AP$1,AP$2,$A331)</f>
        <v>0</v>
      </c>
      <c r="AQ331" s="43">
        <f>_xll.DBRW($C$1,$C$2,$C$3,$C$4,$C$6,$C$5,$C$7,AQ$1,AQ$2,$A331)</f>
        <v>0</v>
      </c>
      <c r="AR331" s="43">
        <f>_xll.DBRW($C$1,$C$2,$C$3,$C$4,$C$6,$C$5,$C$7,AR$1,AR$2,$A331)</f>
        <v>0</v>
      </c>
      <c r="AS331" s="43">
        <f>_xll.DBRW($C$1,$C$2,$C$3,$C$4,$C$6,$C$5,$C$7,AS$1,AS$2,$A331)</f>
        <v>0</v>
      </c>
      <c r="AT331" s="43">
        <f>_xll.DBRW($C$1,$C$2,$C$3,$C$4,$C$6,$C$5,$C$7,AT$1,AT$2,$A331)</f>
        <v>0</v>
      </c>
      <c r="AU331" s="43">
        <f>_xll.DBRW($C$1,$C$2,$C$3,$C$4,$C$6,$C$5,$C$7,AU$1,AU$2,$A331)</f>
        <v>0</v>
      </c>
    </row>
    <row r="332" spans="1:47" ht="15.75" collapsed="1">
      <c r="A332" s="1" t="s">
        <v>127</v>
      </c>
      <c r="C332" s="143"/>
      <c r="E332" s="15" t="s">
        <v>89</v>
      </c>
      <c r="F332" s="44">
        <f t="shared" si="179"/>
        <v>0</v>
      </c>
      <c r="G332" s="44">
        <f t="shared" si="179"/>
        <v>0</v>
      </c>
      <c r="H332" s="44">
        <f t="shared" si="179"/>
        <v>0</v>
      </c>
      <c r="I332" s="44">
        <f t="shared" si="179"/>
        <v>0</v>
      </c>
      <c r="J332" s="44">
        <f t="shared" si="179"/>
        <v>0</v>
      </c>
      <c r="K332" s="44">
        <f t="shared" si="179"/>
        <v>0</v>
      </c>
      <c r="L332" s="44">
        <f t="shared" si="179"/>
        <v>0</v>
      </c>
      <c r="M332" s="44">
        <f t="shared" si="179"/>
        <v>0</v>
      </c>
      <c r="N332" s="44">
        <f t="shared" si="179"/>
        <v>0</v>
      </c>
      <c r="O332" s="44">
        <f t="shared" si="179"/>
        <v>0</v>
      </c>
      <c r="P332" s="44">
        <f t="shared" si="179"/>
        <v>0</v>
      </c>
      <c r="Q332" s="44">
        <f t="shared" si="179"/>
        <v>0</v>
      </c>
      <c r="R332" s="44">
        <f t="shared" si="179"/>
        <v>0</v>
      </c>
      <c r="S332" s="44">
        <f t="shared" si="179"/>
        <v>0</v>
      </c>
      <c r="T332" s="44">
        <f t="shared" si="179"/>
        <v>0</v>
      </c>
      <c r="U332" s="44">
        <f>SUM(U331)</f>
        <v>0</v>
      </c>
      <c r="V332" s="44">
        <f t="shared" si="180"/>
        <v>0</v>
      </c>
      <c r="W332" s="44">
        <f t="shared" si="180"/>
        <v>0</v>
      </c>
      <c r="X332" s="44">
        <f t="shared" si="180"/>
        <v>0</v>
      </c>
      <c r="Y332" s="44">
        <f t="shared" si="180"/>
        <v>0</v>
      </c>
      <c r="Z332" s="44">
        <f t="shared" si="180"/>
        <v>0</v>
      </c>
      <c r="AA332" s="44">
        <f t="shared" si="180"/>
        <v>0</v>
      </c>
      <c r="AB332" s="44">
        <f t="shared" si="180"/>
        <v>0</v>
      </c>
      <c r="AC332" s="44">
        <f t="shared" si="180"/>
        <v>0</v>
      </c>
      <c r="AD332" s="44">
        <f t="shared" si="180"/>
        <v>0</v>
      </c>
      <c r="AE332" s="44">
        <f t="shared" si="180"/>
        <v>0</v>
      </c>
      <c r="AF332" s="44">
        <f t="shared" si="180"/>
        <v>0</v>
      </c>
      <c r="AG332" s="44">
        <f t="shared" si="180"/>
        <v>0</v>
      </c>
      <c r="AH332" s="44">
        <f>SUM(AH331)</f>
        <v>0</v>
      </c>
      <c r="AI332" s="44">
        <f t="shared" si="181"/>
        <v>0</v>
      </c>
      <c r="AJ332" s="44">
        <f t="shared" si="181"/>
        <v>0</v>
      </c>
      <c r="AK332" s="44">
        <f t="shared" si="181"/>
        <v>0</v>
      </c>
      <c r="AL332" s="44">
        <f t="shared" si="181"/>
        <v>0</v>
      </c>
      <c r="AM332" s="44">
        <f t="shared" si="181"/>
        <v>0</v>
      </c>
      <c r="AN332" s="44">
        <f t="shared" si="181"/>
        <v>0</v>
      </c>
      <c r="AO332" s="44">
        <f t="shared" si="181"/>
        <v>0</v>
      </c>
      <c r="AP332" s="44">
        <f t="shared" si="181"/>
        <v>0</v>
      </c>
      <c r="AQ332" s="44">
        <f t="shared" si="181"/>
        <v>0</v>
      </c>
      <c r="AR332" s="44">
        <f t="shared" si="181"/>
        <v>0</v>
      </c>
      <c r="AS332" s="44">
        <f t="shared" si="181"/>
        <v>0</v>
      </c>
      <c r="AT332" s="44">
        <f t="shared" si="181"/>
        <v>0</v>
      </c>
      <c r="AU332" s="44">
        <f>SUM(AU331)</f>
        <v>0</v>
      </c>
    </row>
    <row r="333" spans="1:47" ht="15.6" hidden="1" customHeight="1" outlineLevel="1">
      <c r="A333" s="1" t="s">
        <v>355</v>
      </c>
      <c r="C333" s="143"/>
      <c r="E333" s="9" t="str">
        <f>_xll.DBRW(Server&amp;"}ElementAttributes_Indicator",A333,"code_English")</f>
        <v>Tot_nb_light_vehicle - Total number of light vehicles</v>
      </c>
      <c r="F333" s="43">
        <f>_xll.DBRW($C$1,$C$2,$C$3,$C$4,$C$6,$C$5,$C$7,F$1,F$2,$A333)</f>
        <v>0</v>
      </c>
      <c r="G333" s="43">
        <f>_xll.DBRW($C$1,$C$2,$C$3,$C$4,$C$6,$C$5,$C$7,G$1,G$2,$A333)</f>
        <v>0</v>
      </c>
      <c r="H333" s="43">
        <f>_xll.DBRW($C$1,$C$2,$C$3,$C$4,$C$6,$C$5,$C$7,H$1,H$2,$A333)</f>
        <v>0</v>
      </c>
      <c r="I333" s="43">
        <f>_xll.DBRW($C$1,$C$2,$C$3,$C$4,$C$6,$C$5,$C$7,I$1,I$2,$A333)</f>
        <v>0</v>
      </c>
      <c r="J333" s="43">
        <f>_xll.DBRW($C$1,$C$2,$C$3,$C$4,$C$6,$C$5,$C$7,J$1,J$2,$A333)</f>
        <v>0</v>
      </c>
      <c r="K333" s="43">
        <f>_xll.DBRW($C$1,$C$2,$C$3,$C$4,$C$6,$C$5,$C$7,K$1,K$2,$A333)</f>
        <v>0</v>
      </c>
      <c r="L333" s="43">
        <f>_xll.DBRW($C$1,$C$2,$C$3,$C$4,$C$6,$C$5,$C$7,L$1,L$2,$A333)</f>
        <v>0</v>
      </c>
      <c r="M333" s="43">
        <f>_xll.DBRW($C$1,$C$2,$C$3,$C$4,$C$6,$C$5,$C$7,M$1,M$2,$A333)</f>
        <v>0</v>
      </c>
      <c r="N333" s="43">
        <f>_xll.DBRW($C$1,$C$2,$C$3,$C$4,$C$6,$C$5,$C$7,N$1,N$2,$A333)</f>
        <v>0</v>
      </c>
      <c r="O333" s="43">
        <f>_xll.DBRW($C$1,$C$2,$C$3,$C$4,$C$6,$C$5,$C$7,O$1,O$2,$A333)</f>
        <v>0</v>
      </c>
      <c r="P333" s="43">
        <f>_xll.DBRW($C$1,$C$2,$C$3,$C$4,$C$6,$C$5,$C$7,P$1,P$2,$A333)</f>
        <v>0</v>
      </c>
      <c r="Q333" s="43">
        <f>_xll.DBRW($C$1,$C$2,$C$3,$C$4,$C$6,$C$5,$C$7,Q$1,Q$2,$A333)</f>
        <v>0</v>
      </c>
      <c r="R333" s="43">
        <f>_xll.DBRW($C$1,$C$2,$C$3,$C$4,$C$6,$C$5,$C$7,R$1,R$2,$A333)</f>
        <v>0</v>
      </c>
      <c r="S333" s="43">
        <f>_xll.DBRW($C$1,$C$2,$C$3,$C$4,$C$6,$C$5,$C$7,S$1,S$2,$A333)</f>
        <v>0</v>
      </c>
      <c r="T333" s="43">
        <f>_xll.DBRW($C$1,$C$2,$C$3,$C$4,$C$6,$C$5,$C$7,T$1,T$2,$A333)</f>
        <v>0</v>
      </c>
      <c r="U333" s="43">
        <f>_xll.DBRW($C$1,$C$2,$C$3,$C$4,$C$6,$C$5,$C$7,U$1,U$2,$A333)</f>
        <v>0</v>
      </c>
      <c r="V333" s="43">
        <f>_xll.DBRW($C$1,$C$2,$C$3,$C$4,$C$6,$C$5,$C$7,V$1,V$2,$A333)</f>
        <v>0</v>
      </c>
      <c r="W333" s="43">
        <f>_xll.DBRW($C$1,$C$2,$C$3,$C$4,$C$6,$C$5,$C$7,W$1,W$2,$A333)</f>
        <v>0</v>
      </c>
      <c r="X333" s="43">
        <f>_xll.DBRW($C$1,$C$2,$C$3,$C$4,$C$6,$C$5,$C$7,X$1,X$2,$A333)</f>
        <v>0</v>
      </c>
      <c r="Y333" s="43">
        <f>_xll.DBRW($C$1,$C$2,$C$3,$C$4,$C$6,$C$5,$C$7,Y$1,Y$2,$A333)</f>
        <v>0</v>
      </c>
      <c r="Z333" s="43">
        <f>_xll.DBRW($C$1,$C$2,$C$3,$C$4,$C$6,$C$5,$C$7,Z$1,Z$2,$A333)</f>
        <v>0</v>
      </c>
      <c r="AA333" s="43">
        <f>_xll.DBRW($C$1,$C$2,$C$3,$C$4,$C$6,$C$5,$C$7,AA$1,AA$2,$A333)</f>
        <v>0</v>
      </c>
      <c r="AB333" s="43">
        <f>_xll.DBRW($C$1,$C$2,$C$3,$C$4,$C$6,$C$5,$C$7,AB$1,AB$2,$A333)</f>
        <v>0</v>
      </c>
      <c r="AC333" s="43">
        <f>_xll.DBRW($C$1,$C$2,$C$3,$C$4,$C$6,$C$5,$C$7,AC$1,AC$2,$A333)</f>
        <v>0</v>
      </c>
      <c r="AD333" s="43">
        <f>_xll.DBRW($C$1,$C$2,$C$3,$C$4,$C$6,$C$5,$C$7,AD$1,AD$2,$A333)</f>
        <v>0</v>
      </c>
      <c r="AE333" s="43">
        <f>_xll.DBRW($C$1,$C$2,$C$3,$C$4,$C$6,$C$5,$C$7,AE$1,AE$2,$A333)</f>
        <v>0</v>
      </c>
      <c r="AF333" s="43">
        <f>_xll.DBRW($C$1,$C$2,$C$3,$C$4,$C$6,$C$5,$C$7,AF$1,AF$2,$A333)</f>
        <v>0</v>
      </c>
      <c r="AG333" s="43">
        <f>_xll.DBRW($C$1,$C$2,$C$3,$C$4,$C$6,$C$5,$C$7,AG$1,AG$2,$A333)</f>
        <v>0</v>
      </c>
      <c r="AH333" s="43">
        <f>_xll.DBRW($C$1,$C$2,$C$3,$C$4,$C$6,$C$5,$C$7,AH$1,AH$2,$A333)</f>
        <v>0</v>
      </c>
      <c r="AI333" s="43">
        <f>_xll.DBRW($C$1,$C$2,$C$3,$C$4,$C$6,$C$5,$C$7,AI$1,AI$2,$A333)</f>
        <v>0</v>
      </c>
      <c r="AJ333" s="43">
        <f>_xll.DBRW($C$1,$C$2,$C$3,$C$4,$C$6,$C$5,$C$7,AJ$1,AJ$2,$A333)</f>
        <v>0</v>
      </c>
      <c r="AK333" s="43">
        <f>_xll.DBRW($C$1,$C$2,$C$3,$C$4,$C$6,$C$5,$C$7,AK$1,AK$2,$A333)</f>
        <v>0</v>
      </c>
      <c r="AL333" s="43">
        <f>_xll.DBRW($C$1,$C$2,$C$3,$C$4,$C$6,$C$5,$C$7,AL$1,AL$2,$A333)</f>
        <v>0</v>
      </c>
      <c r="AM333" s="43">
        <f>_xll.DBRW($C$1,$C$2,$C$3,$C$4,$C$6,$C$5,$C$7,AM$1,AM$2,$A333)</f>
        <v>0</v>
      </c>
      <c r="AN333" s="43">
        <f>_xll.DBRW($C$1,$C$2,$C$3,$C$4,$C$6,$C$5,$C$7,AN$1,AN$2,$A333)</f>
        <v>0</v>
      </c>
      <c r="AO333" s="43">
        <f>_xll.DBRW($C$1,$C$2,$C$3,$C$4,$C$6,$C$5,$C$7,AO$1,AO$2,$A333)</f>
        <v>0</v>
      </c>
      <c r="AP333" s="43">
        <f>_xll.DBRW($C$1,$C$2,$C$3,$C$4,$C$6,$C$5,$C$7,AP$1,AP$2,$A333)</f>
        <v>0</v>
      </c>
      <c r="AQ333" s="43">
        <f>_xll.DBRW($C$1,$C$2,$C$3,$C$4,$C$6,$C$5,$C$7,AQ$1,AQ$2,$A333)</f>
        <v>0</v>
      </c>
      <c r="AR333" s="43">
        <f>_xll.DBRW($C$1,$C$2,$C$3,$C$4,$C$6,$C$5,$C$7,AR$1,AR$2,$A333)</f>
        <v>0</v>
      </c>
      <c r="AS333" s="43">
        <f>_xll.DBRW($C$1,$C$2,$C$3,$C$4,$C$6,$C$5,$C$7,AS$1,AS$2,$A333)</f>
        <v>0</v>
      </c>
      <c r="AT333" s="43">
        <f>_xll.DBRW($C$1,$C$2,$C$3,$C$4,$C$6,$C$5,$C$7,AT$1,AT$2,$A333)</f>
        <v>0</v>
      </c>
      <c r="AU333" s="43">
        <f>_xll.DBRW($C$1,$C$2,$C$3,$C$4,$C$6,$C$5,$C$7,AU$1,AU$2,$A333)</f>
        <v>0</v>
      </c>
    </row>
    <row r="334" spans="1:47" ht="15.75" collapsed="1">
      <c r="A334" s="1" t="s">
        <v>127</v>
      </c>
      <c r="C334" s="143"/>
      <c r="E334" s="15" t="s">
        <v>90</v>
      </c>
      <c r="F334" s="44">
        <f t="shared" si="179"/>
        <v>0</v>
      </c>
      <c r="G334" s="44">
        <f t="shared" si="179"/>
        <v>0</v>
      </c>
      <c r="H334" s="44">
        <f t="shared" si="179"/>
        <v>0</v>
      </c>
      <c r="I334" s="44">
        <f t="shared" si="179"/>
        <v>0</v>
      </c>
      <c r="J334" s="44">
        <f t="shared" si="179"/>
        <v>0</v>
      </c>
      <c r="K334" s="44">
        <f t="shared" si="179"/>
        <v>0</v>
      </c>
      <c r="L334" s="44">
        <f t="shared" si="179"/>
        <v>0</v>
      </c>
      <c r="M334" s="44">
        <f t="shared" si="179"/>
        <v>0</v>
      </c>
      <c r="N334" s="44">
        <f t="shared" si="179"/>
        <v>0</v>
      </c>
      <c r="O334" s="44">
        <f t="shared" si="179"/>
        <v>0</v>
      </c>
      <c r="P334" s="44">
        <f t="shared" si="179"/>
        <v>0</v>
      </c>
      <c r="Q334" s="44">
        <f t="shared" si="179"/>
        <v>0</v>
      </c>
      <c r="R334" s="44">
        <f t="shared" si="179"/>
        <v>0</v>
      </c>
      <c r="S334" s="44">
        <f t="shared" si="179"/>
        <v>0</v>
      </c>
      <c r="T334" s="44">
        <f t="shared" si="179"/>
        <v>0</v>
      </c>
      <c r="U334" s="44">
        <f>SUM(U333)</f>
        <v>0</v>
      </c>
      <c r="V334" s="44">
        <f t="shared" si="180"/>
        <v>0</v>
      </c>
      <c r="W334" s="44">
        <f t="shared" si="180"/>
        <v>0</v>
      </c>
      <c r="X334" s="44">
        <f t="shared" si="180"/>
        <v>0</v>
      </c>
      <c r="Y334" s="44">
        <f t="shared" si="180"/>
        <v>0</v>
      </c>
      <c r="Z334" s="44">
        <f t="shared" si="180"/>
        <v>0</v>
      </c>
      <c r="AA334" s="44">
        <f t="shared" si="180"/>
        <v>0</v>
      </c>
      <c r="AB334" s="44">
        <f t="shared" si="180"/>
        <v>0</v>
      </c>
      <c r="AC334" s="44">
        <f t="shared" si="180"/>
        <v>0</v>
      </c>
      <c r="AD334" s="44">
        <f t="shared" si="180"/>
        <v>0</v>
      </c>
      <c r="AE334" s="44">
        <f t="shared" si="180"/>
        <v>0</v>
      </c>
      <c r="AF334" s="44">
        <f t="shared" si="180"/>
        <v>0</v>
      </c>
      <c r="AG334" s="44">
        <f t="shared" si="180"/>
        <v>0</v>
      </c>
      <c r="AH334" s="44">
        <f>SUM(AH333)</f>
        <v>0</v>
      </c>
      <c r="AI334" s="44">
        <f t="shared" si="181"/>
        <v>0</v>
      </c>
      <c r="AJ334" s="44">
        <f t="shared" si="181"/>
        <v>0</v>
      </c>
      <c r="AK334" s="44">
        <f t="shared" si="181"/>
        <v>0</v>
      </c>
      <c r="AL334" s="44">
        <f t="shared" si="181"/>
        <v>0</v>
      </c>
      <c r="AM334" s="44">
        <f t="shared" si="181"/>
        <v>0</v>
      </c>
      <c r="AN334" s="44">
        <f t="shared" si="181"/>
        <v>0</v>
      </c>
      <c r="AO334" s="44">
        <f t="shared" si="181"/>
        <v>0</v>
      </c>
      <c r="AP334" s="44">
        <f t="shared" si="181"/>
        <v>0</v>
      </c>
      <c r="AQ334" s="44">
        <f t="shared" si="181"/>
        <v>0</v>
      </c>
      <c r="AR334" s="44">
        <f t="shared" si="181"/>
        <v>0</v>
      </c>
      <c r="AS334" s="44">
        <f t="shared" si="181"/>
        <v>0</v>
      </c>
      <c r="AT334" s="44">
        <f t="shared" si="181"/>
        <v>0</v>
      </c>
      <c r="AU334" s="44">
        <f>SUM(AU333)</f>
        <v>0</v>
      </c>
    </row>
    <row r="335" spans="1:47" ht="15.6" hidden="1" customHeight="1" outlineLevel="1">
      <c r="A335" s="1" t="s">
        <v>356</v>
      </c>
      <c r="C335" s="143"/>
      <c r="E335" s="9" t="str">
        <f>_xll.DBRW(Server&amp;"}ElementAttributes_Indicator",A335,"code_English")</f>
        <v>Tot_nb_LRV - Total number of LRV</v>
      </c>
      <c r="F335" s="43">
        <f>_xll.DBRW($C$1,$C$2,$C$3,$C$4,$C$6,$C$5,$C$7,F$1,F$2,$A335)</f>
        <v>0</v>
      </c>
      <c r="G335" s="43">
        <f>_xll.DBRW($C$1,$C$2,$C$3,$C$4,$C$6,$C$5,$C$7,G$1,G$2,$A335)</f>
        <v>0</v>
      </c>
      <c r="H335" s="43">
        <f>_xll.DBRW($C$1,$C$2,$C$3,$C$4,$C$6,$C$5,$C$7,H$1,H$2,$A335)</f>
        <v>0</v>
      </c>
      <c r="I335" s="43">
        <f>_xll.DBRW($C$1,$C$2,$C$3,$C$4,$C$6,$C$5,$C$7,I$1,I$2,$A335)</f>
        <v>0</v>
      </c>
      <c r="J335" s="43">
        <f>_xll.DBRW($C$1,$C$2,$C$3,$C$4,$C$6,$C$5,$C$7,J$1,J$2,$A335)</f>
        <v>0</v>
      </c>
      <c r="K335" s="43">
        <f>_xll.DBRW($C$1,$C$2,$C$3,$C$4,$C$6,$C$5,$C$7,K$1,K$2,$A335)</f>
        <v>0</v>
      </c>
      <c r="L335" s="43">
        <f>_xll.DBRW($C$1,$C$2,$C$3,$C$4,$C$6,$C$5,$C$7,L$1,L$2,$A335)</f>
        <v>0</v>
      </c>
      <c r="M335" s="43">
        <f>_xll.DBRW($C$1,$C$2,$C$3,$C$4,$C$6,$C$5,$C$7,M$1,M$2,$A335)</f>
        <v>0</v>
      </c>
      <c r="N335" s="43">
        <f>_xll.DBRW($C$1,$C$2,$C$3,$C$4,$C$6,$C$5,$C$7,N$1,N$2,$A335)</f>
        <v>0</v>
      </c>
      <c r="O335" s="43">
        <f>_xll.DBRW($C$1,$C$2,$C$3,$C$4,$C$6,$C$5,$C$7,O$1,O$2,$A335)</f>
        <v>0</v>
      </c>
      <c r="P335" s="43">
        <f>_xll.DBRW($C$1,$C$2,$C$3,$C$4,$C$6,$C$5,$C$7,P$1,P$2,$A335)</f>
        <v>0</v>
      </c>
      <c r="Q335" s="43">
        <f>_xll.DBRW($C$1,$C$2,$C$3,$C$4,$C$6,$C$5,$C$7,Q$1,Q$2,$A335)</f>
        <v>0</v>
      </c>
      <c r="R335" s="43">
        <f>_xll.DBRW($C$1,$C$2,$C$3,$C$4,$C$6,$C$5,$C$7,R$1,R$2,$A335)</f>
        <v>0</v>
      </c>
      <c r="S335" s="43">
        <f>_xll.DBRW($C$1,$C$2,$C$3,$C$4,$C$6,$C$5,$C$7,S$1,S$2,$A335)</f>
        <v>0</v>
      </c>
      <c r="T335" s="43">
        <f>_xll.DBRW($C$1,$C$2,$C$3,$C$4,$C$6,$C$5,$C$7,T$1,T$2,$A335)</f>
        <v>0</v>
      </c>
      <c r="U335" s="43">
        <f>_xll.DBRW($C$1,$C$2,$C$3,$C$4,$C$6,$C$5,$C$7,U$1,U$2,$A335)</f>
        <v>0</v>
      </c>
      <c r="V335" s="43">
        <f>_xll.DBRW($C$1,$C$2,$C$3,$C$4,$C$6,$C$5,$C$7,V$1,V$2,$A335)</f>
        <v>0</v>
      </c>
      <c r="W335" s="43">
        <f>_xll.DBRW($C$1,$C$2,$C$3,$C$4,$C$6,$C$5,$C$7,W$1,W$2,$A335)</f>
        <v>0</v>
      </c>
      <c r="X335" s="43">
        <f>_xll.DBRW($C$1,$C$2,$C$3,$C$4,$C$6,$C$5,$C$7,X$1,X$2,$A335)</f>
        <v>0</v>
      </c>
      <c r="Y335" s="43">
        <f>_xll.DBRW($C$1,$C$2,$C$3,$C$4,$C$6,$C$5,$C$7,Y$1,Y$2,$A335)</f>
        <v>0</v>
      </c>
      <c r="Z335" s="43">
        <f>_xll.DBRW($C$1,$C$2,$C$3,$C$4,$C$6,$C$5,$C$7,Z$1,Z$2,$A335)</f>
        <v>0</v>
      </c>
      <c r="AA335" s="43">
        <f>_xll.DBRW($C$1,$C$2,$C$3,$C$4,$C$6,$C$5,$C$7,AA$1,AA$2,$A335)</f>
        <v>0</v>
      </c>
      <c r="AB335" s="43">
        <f>_xll.DBRW($C$1,$C$2,$C$3,$C$4,$C$6,$C$5,$C$7,AB$1,AB$2,$A335)</f>
        <v>0</v>
      </c>
      <c r="AC335" s="43">
        <f>_xll.DBRW($C$1,$C$2,$C$3,$C$4,$C$6,$C$5,$C$7,AC$1,AC$2,$A335)</f>
        <v>0</v>
      </c>
      <c r="AD335" s="43">
        <f>_xll.DBRW($C$1,$C$2,$C$3,$C$4,$C$6,$C$5,$C$7,AD$1,AD$2,$A335)</f>
        <v>0</v>
      </c>
      <c r="AE335" s="43">
        <f>_xll.DBRW($C$1,$C$2,$C$3,$C$4,$C$6,$C$5,$C$7,AE$1,AE$2,$A335)</f>
        <v>0</v>
      </c>
      <c r="AF335" s="43">
        <f>_xll.DBRW($C$1,$C$2,$C$3,$C$4,$C$6,$C$5,$C$7,AF$1,AF$2,$A335)</f>
        <v>0</v>
      </c>
      <c r="AG335" s="43">
        <f>_xll.DBRW($C$1,$C$2,$C$3,$C$4,$C$6,$C$5,$C$7,AG$1,AG$2,$A335)</f>
        <v>0</v>
      </c>
      <c r="AH335" s="43">
        <f>_xll.DBRW($C$1,$C$2,$C$3,$C$4,$C$6,$C$5,$C$7,AH$1,AH$2,$A335)</f>
        <v>0</v>
      </c>
      <c r="AI335" s="43">
        <f>_xll.DBRW($C$1,$C$2,$C$3,$C$4,$C$6,$C$5,$C$7,AI$1,AI$2,$A335)</f>
        <v>0</v>
      </c>
      <c r="AJ335" s="43">
        <f>_xll.DBRW($C$1,$C$2,$C$3,$C$4,$C$6,$C$5,$C$7,AJ$1,AJ$2,$A335)</f>
        <v>0</v>
      </c>
      <c r="AK335" s="43">
        <f>_xll.DBRW($C$1,$C$2,$C$3,$C$4,$C$6,$C$5,$C$7,AK$1,AK$2,$A335)</f>
        <v>0</v>
      </c>
      <c r="AL335" s="43">
        <f>_xll.DBRW($C$1,$C$2,$C$3,$C$4,$C$6,$C$5,$C$7,AL$1,AL$2,$A335)</f>
        <v>0</v>
      </c>
      <c r="AM335" s="43">
        <f>_xll.DBRW($C$1,$C$2,$C$3,$C$4,$C$6,$C$5,$C$7,AM$1,AM$2,$A335)</f>
        <v>0</v>
      </c>
      <c r="AN335" s="43">
        <f>_xll.DBRW($C$1,$C$2,$C$3,$C$4,$C$6,$C$5,$C$7,AN$1,AN$2,$A335)</f>
        <v>0</v>
      </c>
      <c r="AO335" s="43">
        <f>_xll.DBRW($C$1,$C$2,$C$3,$C$4,$C$6,$C$5,$C$7,AO$1,AO$2,$A335)</f>
        <v>0</v>
      </c>
      <c r="AP335" s="43">
        <f>_xll.DBRW($C$1,$C$2,$C$3,$C$4,$C$6,$C$5,$C$7,AP$1,AP$2,$A335)</f>
        <v>0</v>
      </c>
      <c r="AQ335" s="43">
        <f>_xll.DBRW($C$1,$C$2,$C$3,$C$4,$C$6,$C$5,$C$7,AQ$1,AQ$2,$A335)</f>
        <v>0</v>
      </c>
      <c r="AR335" s="43">
        <f>_xll.DBRW($C$1,$C$2,$C$3,$C$4,$C$6,$C$5,$C$7,AR$1,AR$2,$A335)</f>
        <v>0</v>
      </c>
      <c r="AS335" s="43">
        <f>_xll.DBRW($C$1,$C$2,$C$3,$C$4,$C$6,$C$5,$C$7,AS$1,AS$2,$A335)</f>
        <v>0</v>
      </c>
      <c r="AT335" s="43">
        <f>_xll.DBRW($C$1,$C$2,$C$3,$C$4,$C$6,$C$5,$C$7,AT$1,AT$2,$A335)</f>
        <v>0</v>
      </c>
      <c r="AU335" s="43">
        <f>_xll.DBRW($C$1,$C$2,$C$3,$C$4,$C$6,$C$5,$C$7,AU$1,AU$2,$A335)</f>
        <v>0</v>
      </c>
    </row>
    <row r="336" spans="1:47" ht="15.75" collapsed="1">
      <c r="A336" s="1" t="s">
        <v>127</v>
      </c>
      <c r="C336" s="143"/>
      <c r="E336" s="15" t="s">
        <v>91</v>
      </c>
      <c r="F336" s="44">
        <f t="shared" si="179"/>
        <v>0</v>
      </c>
      <c r="G336" s="44">
        <f t="shared" si="179"/>
        <v>0</v>
      </c>
      <c r="H336" s="44">
        <f t="shared" si="179"/>
        <v>0</v>
      </c>
      <c r="I336" s="44">
        <f t="shared" si="179"/>
        <v>0</v>
      </c>
      <c r="J336" s="44">
        <f t="shared" si="179"/>
        <v>0</v>
      </c>
      <c r="K336" s="44">
        <f t="shared" si="179"/>
        <v>0</v>
      </c>
      <c r="L336" s="44">
        <f t="shared" si="179"/>
        <v>0</v>
      </c>
      <c r="M336" s="44">
        <f t="shared" si="179"/>
        <v>0</v>
      </c>
      <c r="N336" s="44">
        <f t="shared" si="179"/>
        <v>0</v>
      </c>
      <c r="O336" s="44">
        <f t="shared" si="179"/>
        <v>0</v>
      </c>
      <c r="P336" s="44">
        <f t="shared" si="179"/>
        <v>0</v>
      </c>
      <c r="Q336" s="44">
        <f t="shared" si="179"/>
        <v>0</v>
      </c>
      <c r="R336" s="44">
        <f t="shared" si="179"/>
        <v>0</v>
      </c>
      <c r="S336" s="44">
        <f t="shared" si="179"/>
        <v>0</v>
      </c>
      <c r="T336" s="44">
        <f t="shared" si="179"/>
        <v>0</v>
      </c>
      <c r="U336" s="44">
        <f>SUM(U335)</f>
        <v>0</v>
      </c>
      <c r="V336" s="44">
        <f t="shared" si="180"/>
        <v>0</v>
      </c>
      <c r="W336" s="44">
        <f t="shared" si="180"/>
        <v>0</v>
      </c>
      <c r="X336" s="44">
        <f t="shared" si="180"/>
        <v>0</v>
      </c>
      <c r="Y336" s="44">
        <f t="shared" si="180"/>
        <v>0</v>
      </c>
      <c r="Z336" s="44">
        <f t="shared" si="180"/>
        <v>0</v>
      </c>
      <c r="AA336" s="44">
        <f t="shared" si="180"/>
        <v>0</v>
      </c>
      <c r="AB336" s="44">
        <f t="shared" si="180"/>
        <v>0</v>
      </c>
      <c r="AC336" s="44">
        <f t="shared" si="180"/>
        <v>0</v>
      </c>
      <c r="AD336" s="44">
        <f t="shared" si="180"/>
        <v>0</v>
      </c>
      <c r="AE336" s="44">
        <f t="shared" si="180"/>
        <v>0</v>
      </c>
      <c r="AF336" s="44">
        <f t="shared" si="180"/>
        <v>0</v>
      </c>
      <c r="AG336" s="44">
        <f t="shared" si="180"/>
        <v>0</v>
      </c>
      <c r="AH336" s="44">
        <f>SUM(AH335)</f>
        <v>0</v>
      </c>
      <c r="AI336" s="44">
        <f t="shared" si="181"/>
        <v>0</v>
      </c>
      <c r="AJ336" s="44">
        <f t="shared" si="181"/>
        <v>0</v>
      </c>
      <c r="AK336" s="44">
        <f t="shared" si="181"/>
        <v>0</v>
      </c>
      <c r="AL336" s="44">
        <f t="shared" si="181"/>
        <v>0</v>
      </c>
      <c r="AM336" s="44">
        <f t="shared" si="181"/>
        <v>0</v>
      </c>
      <c r="AN336" s="44">
        <f t="shared" si="181"/>
        <v>0</v>
      </c>
      <c r="AO336" s="44">
        <f t="shared" si="181"/>
        <v>0</v>
      </c>
      <c r="AP336" s="44">
        <f t="shared" si="181"/>
        <v>0</v>
      </c>
      <c r="AQ336" s="44">
        <f t="shared" si="181"/>
        <v>0</v>
      </c>
      <c r="AR336" s="44">
        <f t="shared" si="181"/>
        <v>0</v>
      </c>
      <c r="AS336" s="44">
        <f t="shared" si="181"/>
        <v>0</v>
      </c>
      <c r="AT336" s="44">
        <f t="shared" si="181"/>
        <v>0</v>
      </c>
      <c r="AU336" s="44">
        <f>SUM(AU335)</f>
        <v>0</v>
      </c>
    </row>
    <row r="337" spans="1:47" ht="15.6" hidden="1" customHeight="1" outlineLevel="1">
      <c r="A337" s="1" t="s">
        <v>357</v>
      </c>
      <c r="C337" s="143"/>
      <c r="E337" s="9" t="str">
        <f>_xll.DBRW(Server&amp;"}ElementAttributes_Indicator",A337,"code_English")</f>
        <v>Tot_nb_heavy_rail - Total number of heavy rail</v>
      </c>
      <c r="F337" s="43">
        <f>_xll.DBRW($C$1,$C$2,$C$3,$C$4,$C$6,$C$5,$C$7,F$1,F$2,$A337)</f>
        <v>0</v>
      </c>
      <c r="G337" s="43">
        <f>_xll.DBRW($C$1,$C$2,$C$3,$C$4,$C$6,$C$5,$C$7,G$1,G$2,$A337)</f>
        <v>0</v>
      </c>
      <c r="H337" s="43">
        <f>_xll.DBRW($C$1,$C$2,$C$3,$C$4,$C$6,$C$5,$C$7,H$1,H$2,$A337)</f>
        <v>0</v>
      </c>
      <c r="I337" s="43">
        <f>_xll.DBRW($C$1,$C$2,$C$3,$C$4,$C$6,$C$5,$C$7,I$1,I$2,$A337)</f>
        <v>0</v>
      </c>
      <c r="J337" s="43">
        <f>_xll.DBRW($C$1,$C$2,$C$3,$C$4,$C$6,$C$5,$C$7,J$1,J$2,$A337)</f>
        <v>0</v>
      </c>
      <c r="K337" s="43">
        <f>_xll.DBRW($C$1,$C$2,$C$3,$C$4,$C$6,$C$5,$C$7,K$1,K$2,$A337)</f>
        <v>0</v>
      </c>
      <c r="L337" s="43">
        <f>_xll.DBRW($C$1,$C$2,$C$3,$C$4,$C$6,$C$5,$C$7,L$1,L$2,$A337)</f>
        <v>0</v>
      </c>
      <c r="M337" s="43">
        <f>_xll.DBRW($C$1,$C$2,$C$3,$C$4,$C$6,$C$5,$C$7,M$1,M$2,$A337)</f>
        <v>0</v>
      </c>
      <c r="N337" s="43">
        <f>_xll.DBRW($C$1,$C$2,$C$3,$C$4,$C$6,$C$5,$C$7,N$1,N$2,$A337)</f>
        <v>0</v>
      </c>
      <c r="O337" s="43">
        <f>_xll.DBRW($C$1,$C$2,$C$3,$C$4,$C$6,$C$5,$C$7,O$1,O$2,$A337)</f>
        <v>0</v>
      </c>
      <c r="P337" s="43">
        <f>_xll.DBRW($C$1,$C$2,$C$3,$C$4,$C$6,$C$5,$C$7,P$1,P$2,$A337)</f>
        <v>0</v>
      </c>
      <c r="Q337" s="43">
        <f>_xll.DBRW($C$1,$C$2,$C$3,$C$4,$C$6,$C$5,$C$7,Q$1,Q$2,$A337)</f>
        <v>0</v>
      </c>
      <c r="R337" s="43">
        <f>_xll.DBRW($C$1,$C$2,$C$3,$C$4,$C$6,$C$5,$C$7,R$1,R$2,$A337)</f>
        <v>0</v>
      </c>
      <c r="S337" s="43">
        <f>_xll.DBRW($C$1,$C$2,$C$3,$C$4,$C$6,$C$5,$C$7,S$1,S$2,$A337)</f>
        <v>0</v>
      </c>
      <c r="T337" s="43">
        <f>_xll.DBRW($C$1,$C$2,$C$3,$C$4,$C$6,$C$5,$C$7,T$1,T$2,$A337)</f>
        <v>0</v>
      </c>
      <c r="U337" s="43">
        <f>_xll.DBRW($C$1,$C$2,$C$3,$C$4,$C$6,$C$5,$C$7,U$1,U$2,$A337)</f>
        <v>0</v>
      </c>
      <c r="V337" s="43">
        <f>_xll.DBRW($C$1,$C$2,$C$3,$C$4,$C$6,$C$5,$C$7,V$1,V$2,$A337)</f>
        <v>0</v>
      </c>
      <c r="W337" s="43">
        <f>_xll.DBRW($C$1,$C$2,$C$3,$C$4,$C$6,$C$5,$C$7,W$1,W$2,$A337)</f>
        <v>0</v>
      </c>
      <c r="X337" s="43">
        <f>_xll.DBRW($C$1,$C$2,$C$3,$C$4,$C$6,$C$5,$C$7,X$1,X$2,$A337)</f>
        <v>0</v>
      </c>
      <c r="Y337" s="43">
        <f>_xll.DBRW($C$1,$C$2,$C$3,$C$4,$C$6,$C$5,$C$7,Y$1,Y$2,$A337)</f>
        <v>0</v>
      </c>
      <c r="Z337" s="43">
        <f>_xll.DBRW($C$1,$C$2,$C$3,$C$4,$C$6,$C$5,$C$7,Z$1,Z$2,$A337)</f>
        <v>0</v>
      </c>
      <c r="AA337" s="43">
        <f>_xll.DBRW($C$1,$C$2,$C$3,$C$4,$C$6,$C$5,$C$7,AA$1,AA$2,$A337)</f>
        <v>0</v>
      </c>
      <c r="AB337" s="43">
        <f>_xll.DBRW($C$1,$C$2,$C$3,$C$4,$C$6,$C$5,$C$7,AB$1,AB$2,$A337)</f>
        <v>0</v>
      </c>
      <c r="AC337" s="43">
        <f>_xll.DBRW($C$1,$C$2,$C$3,$C$4,$C$6,$C$5,$C$7,AC$1,AC$2,$A337)</f>
        <v>0</v>
      </c>
      <c r="AD337" s="43">
        <f>_xll.DBRW($C$1,$C$2,$C$3,$C$4,$C$6,$C$5,$C$7,AD$1,AD$2,$A337)</f>
        <v>0</v>
      </c>
      <c r="AE337" s="43">
        <f>_xll.DBRW($C$1,$C$2,$C$3,$C$4,$C$6,$C$5,$C$7,AE$1,AE$2,$A337)</f>
        <v>0</v>
      </c>
      <c r="AF337" s="43">
        <f>_xll.DBRW($C$1,$C$2,$C$3,$C$4,$C$6,$C$5,$C$7,AF$1,AF$2,$A337)</f>
        <v>0</v>
      </c>
      <c r="AG337" s="43">
        <f>_xll.DBRW($C$1,$C$2,$C$3,$C$4,$C$6,$C$5,$C$7,AG$1,AG$2,$A337)</f>
        <v>0</v>
      </c>
      <c r="AH337" s="43">
        <f>_xll.DBRW($C$1,$C$2,$C$3,$C$4,$C$6,$C$5,$C$7,AH$1,AH$2,$A337)</f>
        <v>0</v>
      </c>
      <c r="AI337" s="43">
        <f>_xll.DBRW($C$1,$C$2,$C$3,$C$4,$C$6,$C$5,$C$7,AI$1,AI$2,$A337)</f>
        <v>0</v>
      </c>
      <c r="AJ337" s="43">
        <f>_xll.DBRW($C$1,$C$2,$C$3,$C$4,$C$6,$C$5,$C$7,AJ$1,AJ$2,$A337)</f>
        <v>0</v>
      </c>
      <c r="AK337" s="43">
        <f>_xll.DBRW($C$1,$C$2,$C$3,$C$4,$C$6,$C$5,$C$7,AK$1,AK$2,$A337)</f>
        <v>0</v>
      </c>
      <c r="AL337" s="43">
        <f>_xll.DBRW($C$1,$C$2,$C$3,$C$4,$C$6,$C$5,$C$7,AL$1,AL$2,$A337)</f>
        <v>0</v>
      </c>
      <c r="AM337" s="43">
        <f>_xll.DBRW($C$1,$C$2,$C$3,$C$4,$C$6,$C$5,$C$7,AM$1,AM$2,$A337)</f>
        <v>0</v>
      </c>
      <c r="AN337" s="43">
        <f>_xll.DBRW($C$1,$C$2,$C$3,$C$4,$C$6,$C$5,$C$7,AN$1,AN$2,$A337)</f>
        <v>0</v>
      </c>
      <c r="AO337" s="43">
        <f>_xll.DBRW($C$1,$C$2,$C$3,$C$4,$C$6,$C$5,$C$7,AO$1,AO$2,$A337)</f>
        <v>0</v>
      </c>
      <c r="AP337" s="43">
        <f>_xll.DBRW($C$1,$C$2,$C$3,$C$4,$C$6,$C$5,$C$7,AP$1,AP$2,$A337)</f>
        <v>0</v>
      </c>
      <c r="AQ337" s="43">
        <f>_xll.DBRW($C$1,$C$2,$C$3,$C$4,$C$6,$C$5,$C$7,AQ$1,AQ$2,$A337)</f>
        <v>0</v>
      </c>
      <c r="AR337" s="43">
        <f>_xll.DBRW($C$1,$C$2,$C$3,$C$4,$C$6,$C$5,$C$7,AR$1,AR$2,$A337)</f>
        <v>0</v>
      </c>
      <c r="AS337" s="43">
        <f>_xll.DBRW($C$1,$C$2,$C$3,$C$4,$C$6,$C$5,$C$7,AS$1,AS$2,$A337)</f>
        <v>0</v>
      </c>
      <c r="AT337" s="43">
        <f>_xll.DBRW($C$1,$C$2,$C$3,$C$4,$C$6,$C$5,$C$7,AT$1,AT$2,$A337)</f>
        <v>0</v>
      </c>
      <c r="AU337" s="43">
        <f>_xll.DBRW($C$1,$C$2,$C$3,$C$4,$C$6,$C$5,$C$7,AU$1,AU$2,$A337)</f>
        <v>0</v>
      </c>
    </row>
    <row r="338" spans="1:47" ht="15.75" collapsed="1">
      <c r="A338" s="1" t="s">
        <v>127</v>
      </c>
      <c r="C338" s="143"/>
      <c r="E338" s="15" t="s">
        <v>92</v>
      </c>
      <c r="F338" s="44">
        <f t="shared" si="179"/>
        <v>0</v>
      </c>
      <c r="G338" s="44">
        <f t="shared" si="179"/>
        <v>0</v>
      </c>
      <c r="H338" s="44">
        <f t="shared" si="179"/>
        <v>0</v>
      </c>
      <c r="I338" s="44">
        <f t="shared" si="179"/>
        <v>0</v>
      </c>
      <c r="J338" s="44">
        <f t="shared" si="179"/>
        <v>0</v>
      </c>
      <c r="K338" s="44">
        <f t="shared" si="179"/>
        <v>0</v>
      </c>
      <c r="L338" s="44">
        <f t="shared" si="179"/>
        <v>0</v>
      </c>
      <c r="M338" s="44">
        <f t="shared" si="179"/>
        <v>0</v>
      </c>
      <c r="N338" s="44">
        <f t="shared" si="179"/>
        <v>0</v>
      </c>
      <c r="O338" s="44">
        <f t="shared" si="179"/>
        <v>0</v>
      </c>
      <c r="P338" s="44">
        <f t="shared" si="179"/>
        <v>0</v>
      </c>
      <c r="Q338" s="44">
        <f t="shared" si="179"/>
        <v>0</v>
      </c>
      <c r="R338" s="44">
        <f t="shared" si="179"/>
        <v>0</v>
      </c>
      <c r="S338" s="44">
        <f t="shared" si="179"/>
        <v>0</v>
      </c>
      <c r="T338" s="44">
        <f t="shared" si="179"/>
        <v>0</v>
      </c>
      <c r="U338" s="44">
        <f>SUM(U337)</f>
        <v>0</v>
      </c>
      <c r="V338" s="44">
        <f t="shared" si="180"/>
        <v>0</v>
      </c>
      <c r="W338" s="44">
        <f t="shared" si="180"/>
        <v>0</v>
      </c>
      <c r="X338" s="44">
        <f t="shared" si="180"/>
        <v>0</v>
      </c>
      <c r="Y338" s="44">
        <f t="shared" si="180"/>
        <v>0</v>
      </c>
      <c r="Z338" s="44">
        <f t="shared" si="180"/>
        <v>0</v>
      </c>
      <c r="AA338" s="44">
        <f t="shared" si="180"/>
        <v>0</v>
      </c>
      <c r="AB338" s="44">
        <f t="shared" si="180"/>
        <v>0</v>
      </c>
      <c r="AC338" s="44">
        <f t="shared" si="180"/>
        <v>0</v>
      </c>
      <c r="AD338" s="44">
        <f t="shared" si="180"/>
        <v>0</v>
      </c>
      <c r="AE338" s="44">
        <f t="shared" si="180"/>
        <v>0</v>
      </c>
      <c r="AF338" s="44">
        <f t="shared" si="180"/>
        <v>0</v>
      </c>
      <c r="AG338" s="44">
        <f t="shared" si="180"/>
        <v>0</v>
      </c>
      <c r="AH338" s="44">
        <f>SUM(AH337)</f>
        <v>0</v>
      </c>
      <c r="AI338" s="44">
        <f t="shared" si="181"/>
        <v>0</v>
      </c>
      <c r="AJ338" s="44">
        <f t="shared" si="181"/>
        <v>0</v>
      </c>
      <c r="AK338" s="44">
        <f t="shared" si="181"/>
        <v>0</v>
      </c>
      <c r="AL338" s="44">
        <f t="shared" si="181"/>
        <v>0</v>
      </c>
      <c r="AM338" s="44">
        <f t="shared" si="181"/>
        <v>0</v>
      </c>
      <c r="AN338" s="44">
        <f t="shared" si="181"/>
        <v>0</v>
      </c>
      <c r="AO338" s="44">
        <f t="shared" si="181"/>
        <v>0</v>
      </c>
      <c r="AP338" s="44">
        <f t="shared" si="181"/>
        <v>0</v>
      </c>
      <c r="AQ338" s="44">
        <f t="shared" si="181"/>
        <v>0</v>
      </c>
      <c r="AR338" s="44">
        <f t="shared" si="181"/>
        <v>0</v>
      </c>
      <c r="AS338" s="44">
        <f t="shared" si="181"/>
        <v>0</v>
      </c>
      <c r="AT338" s="44">
        <f t="shared" si="181"/>
        <v>0</v>
      </c>
      <c r="AU338" s="44">
        <f>SUM(AU337)</f>
        <v>0</v>
      </c>
    </row>
    <row r="339" spans="1:47" ht="15.6" hidden="1" customHeight="1" outlineLevel="1">
      <c r="A339" s="1" t="s">
        <v>358</v>
      </c>
      <c r="C339" s="143"/>
      <c r="E339" s="9" t="str">
        <f>_xll.DBRW(Server&amp;"}ElementAttributes_Indicator",A339,"code_English")</f>
        <v>Tot_nb_BRT - Total number of BRT</v>
      </c>
      <c r="F339" s="43">
        <f>_xll.DBRW($C$1,$C$2,$C$3,$C$4,$C$6,$C$5,$C$7,F$1,F$2,$A339)</f>
        <v>0</v>
      </c>
      <c r="G339" s="43">
        <f>_xll.DBRW($C$1,$C$2,$C$3,$C$4,$C$6,$C$5,$C$7,G$1,G$2,$A339)</f>
        <v>0</v>
      </c>
      <c r="H339" s="43">
        <f>_xll.DBRW($C$1,$C$2,$C$3,$C$4,$C$6,$C$5,$C$7,H$1,H$2,$A339)</f>
        <v>0</v>
      </c>
      <c r="I339" s="43">
        <f>_xll.DBRW($C$1,$C$2,$C$3,$C$4,$C$6,$C$5,$C$7,I$1,I$2,$A339)</f>
        <v>0</v>
      </c>
      <c r="J339" s="43">
        <f>_xll.DBRW($C$1,$C$2,$C$3,$C$4,$C$6,$C$5,$C$7,J$1,J$2,$A339)</f>
        <v>0</v>
      </c>
      <c r="K339" s="43">
        <f>_xll.DBRW($C$1,$C$2,$C$3,$C$4,$C$6,$C$5,$C$7,K$1,K$2,$A339)</f>
        <v>0</v>
      </c>
      <c r="L339" s="43">
        <f>_xll.DBRW($C$1,$C$2,$C$3,$C$4,$C$6,$C$5,$C$7,L$1,L$2,$A339)</f>
        <v>0</v>
      </c>
      <c r="M339" s="43">
        <f>_xll.DBRW($C$1,$C$2,$C$3,$C$4,$C$6,$C$5,$C$7,M$1,M$2,$A339)</f>
        <v>0</v>
      </c>
      <c r="N339" s="43">
        <f>_xll.DBRW($C$1,$C$2,$C$3,$C$4,$C$6,$C$5,$C$7,N$1,N$2,$A339)</f>
        <v>0</v>
      </c>
      <c r="O339" s="43">
        <f>_xll.DBRW($C$1,$C$2,$C$3,$C$4,$C$6,$C$5,$C$7,O$1,O$2,$A339)</f>
        <v>0</v>
      </c>
      <c r="P339" s="43">
        <f>_xll.DBRW($C$1,$C$2,$C$3,$C$4,$C$6,$C$5,$C$7,P$1,P$2,$A339)</f>
        <v>0</v>
      </c>
      <c r="Q339" s="43">
        <f>_xll.DBRW($C$1,$C$2,$C$3,$C$4,$C$6,$C$5,$C$7,Q$1,Q$2,$A339)</f>
        <v>0</v>
      </c>
      <c r="R339" s="43">
        <f>_xll.DBRW($C$1,$C$2,$C$3,$C$4,$C$6,$C$5,$C$7,R$1,R$2,$A339)</f>
        <v>0</v>
      </c>
      <c r="S339" s="43">
        <f>_xll.DBRW($C$1,$C$2,$C$3,$C$4,$C$6,$C$5,$C$7,S$1,S$2,$A339)</f>
        <v>0</v>
      </c>
      <c r="T339" s="43">
        <f>_xll.DBRW($C$1,$C$2,$C$3,$C$4,$C$6,$C$5,$C$7,T$1,T$2,$A339)</f>
        <v>0</v>
      </c>
      <c r="U339" s="43">
        <f>_xll.DBRW($C$1,$C$2,$C$3,$C$4,$C$6,$C$5,$C$7,U$1,U$2,$A339)</f>
        <v>0</v>
      </c>
      <c r="V339" s="43">
        <f>_xll.DBRW($C$1,$C$2,$C$3,$C$4,$C$6,$C$5,$C$7,V$1,V$2,$A339)</f>
        <v>0</v>
      </c>
      <c r="W339" s="43">
        <f>_xll.DBRW($C$1,$C$2,$C$3,$C$4,$C$6,$C$5,$C$7,W$1,W$2,$A339)</f>
        <v>0</v>
      </c>
      <c r="X339" s="43">
        <f>_xll.DBRW($C$1,$C$2,$C$3,$C$4,$C$6,$C$5,$C$7,X$1,X$2,$A339)</f>
        <v>0</v>
      </c>
      <c r="Y339" s="43">
        <f>_xll.DBRW($C$1,$C$2,$C$3,$C$4,$C$6,$C$5,$C$7,Y$1,Y$2,$A339)</f>
        <v>0</v>
      </c>
      <c r="Z339" s="43">
        <f>_xll.DBRW($C$1,$C$2,$C$3,$C$4,$C$6,$C$5,$C$7,Z$1,Z$2,$A339)</f>
        <v>0</v>
      </c>
      <c r="AA339" s="43">
        <f>_xll.DBRW($C$1,$C$2,$C$3,$C$4,$C$6,$C$5,$C$7,AA$1,AA$2,$A339)</f>
        <v>0</v>
      </c>
      <c r="AB339" s="43">
        <f>_xll.DBRW($C$1,$C$2,$C$3,$C$4,$C$6,$C$5,$C$7,AB$1,AB$2,$A339)</f>
        <v>0</v>
      </c>
      <c r="AC339" s="43">
        <f>_xll.DBRW($C$1,$C$2,$C$3,$C$4,$C$6,$C$5,$C$7,AC$1,AC$2,$A339)</f>
        <v>0</v>
      </c>
      <c r="AD339" s="43">
        <f>_xll.DBRW($C$1,$C$2,$C$3,$C$4,$C$6,$C$5,$C$7,AD$1,AD$2,$A339)</f>
        <v>0</v>
      </c>
      <c r="AE339" s="43">
        <f>_xll.DBRW($C$1,$C$2,$C$3,$C$4,$C$6,$C$5,$C$7,AE$1,AE$2,$A339)</f>
        <v>0</v>
      </c>
      <c r="AF339" s="43">
        <f>_xll.DBRW($C$1,$C$2,$C$3,$C$4,$C$6,$C$5,$C$7,AF$1,AF$2,$A339)</f>
        <v>0</v>
      </c>
      <c r="AG339" s="43">
        <f>_xll.DBRW($C$1,$C$2,$C$3,$C$4,$C$6,$C$5,$C$7,AG$1,AG$2,$A339)</f>
        <v>0</v>
      </c>
      <c r="AH339" s="43">
        <f>_xll.DBRW($C$1,$C$2,$C$3,$C$4,$C$6,$C$5,$C$7,AH$1,AH$2,$A339)</f>
        <v>0</v>
      </c>
      <c r="AI339" s="43">
        <f>_xll.DBRW($C$1,$C$2,$C$3,$C$4,$C$6,$C$5,$C$7,AI$1,AI$2,$A339)</f>
        <v>0</v>
      </c>
      <c r="AJ339" s="43">
        <f>_xll.DBRW($C$1,$C$2,$C$3,$C$4,$C$6,$C$5,$C$7,AJ$1,AJ$2,$A339)</f>
        <v>0</v>
      </c>
      <c r="AK339" s="43">
        <f>_xll.DBRW($C$1,$C$2,$C$3,$C$4,$C$6,$C$5,$C$7,AK$1,AK$2,$A339)</f>
        <v>0</v>
      </c>
      <c r="AL339" s="43">
        <f>_xll.DBRW($C$1,$C$2,$C$3,$C$4,$C$6,$C$5,$C$7,AL$1,AL$2,$A339)</f>
        <v>0</v>
      </c>
      <c r="AM339" s="43">
        <f>_xll.DBRW($C$1,$C$2,$C$3,$C$4,$C$6,$C$5,$C$7,AM$1,AM$2,$A339)</f>
        <v>0</v>
      </c>
      <c r="AN339" s="43">
        <f>_xll.DBRW($C$1,$C$2,$C$3,$C$4,$C$6,$C$5,$C$7,AN$1,AN$2,$A339)</f>
        <v>0</v>
      </c>
      <c r="AO339" s="43">
        <f>_xll.DBRW($C$1,$C$2,$C$3,$C$4,$C$6,$C$5,$C$7,AO$1,AO$2,$A339)</f>
        <v>0</v>
      </c>
      <c r="AP339" s="43">
        <f>_xll.DBRW($C$1,$C$2,$C$3,$C$4,$C$6,$C$5,$C$7,AP$1,AP$2,$A339)</f>
        <v>0</v>
      </c>
      <c r="AQ339" s="43">
        <f>_xll.DBRW($C$1,$C$2,$C$3,$C$4,$C$6,$C$5,$C$7,AQ$1,AQ$2,$A339)</f>
        <v>0</v>
      </c>
      <c r="AR339" s="43">
        <f>_xll.DBRW($C$1,$C$2,$C$3,$C$4,$C$6,$C$5,$C$7,AR$1,AR$2,$A339)</f>
        <v>0</v>
      </c>
      <c r="AS339" s="43">
        <f>_xll.DBRW($C$1,$C$2,$C$3,$C$4,$C$6,$C$5,$C$7,AS$1,AS$2,$A339)</f>
        <v>0</v>
      </c>
      <c r="AT339" s="43">
        <f>_xll.DBRW($C$1,$C$2,$C$3,$C$4,$C$6,$C$5,$C$7,AT$1,AT$2,$A339)</f>
        <v>0</v>
      </c>
      <c r="AU339" s="43">
        <f>_xll.DBRW($C$1,$C$2,$C$3,$C$4,$C$6,$C$5,$C$7,AU$1,AU$2,$A339)</f>
        <v>0</v>
      </c>
    </row>
    <row r="340" spans="1:47" ht="15.75" collapsed="1">
      <c r="A340" s="1" t="s">
        <v>127</v>
      </c>
      <c r="C340" s="143"/>
      <c r="E340" s="15" t="s">
        <v>93</v>
      </c>
      <c r="F340" s="44">
        <f t="shared" si="179"/>
        <v>0</v>
      </c>
      <c r="G340" s="44">
        <f t="shared" si="179"/>
        <v>0</v>
      </c>
      <c r="H340" s="44">
        <f t="shared" si="179"/>
        <v>0</v>
      </c>
      <c r="I340" s="44">
        <f t="shared" si="179"/>
        <v>0</v>
      </c>
      <c r="J340" s="44">
        <f t="shared" si="179"/>
        <v>0</v>
      </c>
      <c r="K340" s="44">
        <f t="shared" si="179"/>
        <v>0</v>
      </c>
      <c r="L340" s="44">
        <f t="shared" si="179"/>
        <v>0</v>
      </c>
      <c r="M340" s="44">
        <f t="shared" si="179"/>
        <v>0</v>
      </c>
      <c r="N340" s="44">
        <f t="shared" si="179"/>
        <v>0</v>
      </c>
      <c r="O340" s="44">
        <f t="shared" si="179"/>
        <v>0</v>
      </c>
      <c r="P340" s="44">
        <f t="shared" si="179"/>
        <v>0</v>
      </c>
      <c r="Q340" s="44">
        <f t="shared" si="179"/>
        <v>0</v>
      </c>
      <c r="R340" s="44">
        <f t="shared" si="179"/>
        <v>0</v>
      </c>
      <c r="S340" s="44">
        <f t="shared" si="179"/>
        <v>0</v>
      </c>
      <c r="T340" s="44">
        <f t="shared" si="179"/>
        <v>0</v>
      </c>
      <c r="U340" s="44">
        <f>SUM(U339)</f>
        <v>0</v>
      </c>
      <c r="V340" s="44">
        <f t="shared" si="180"/>
        <v>0</v>
      </c>
      <c r="W340" s="44">
        <f t="shared" si="180"/>
        <v>0</v>
      </c>
      <c r="X340" s="44">
        <f t="shared" si="180"/>
        <v>0</v>
      </c>
      <c r="Y340" s="44">
        <f t="shared" si="180"/>
        <v>0</v>
      </c>
      <c r="Z340" s="44">
        <f t="shared" si="180"/>
        <v>0</v>
      </c>
      <c r="AA340" s="44">
        <f t="shared" si="180"/>
        <v>0</v>
      </c>
      <c r="AB340" s="44">
        <f t="shared" si="180"/>
        <v>0</v>
      </c>
      <c r="AC340" s="44">
        <f t="shared" si="180"/>
        <v>0</v>
      </c>
      <c r="AD340" s="44">
        <f t="shared" si="180"/>
        <v>0</v>
      </c>
      <c r="AE340" s="44">
        <f t="shared" si="180"/>
        <v>0</v>
      </c>
      <c r="AF340" s="44">
        <f t="shared" si="180"/>
        <v>0</v>
      </c>
      <c r="AG340" s="44">
        <f t="shared" si="180"/>
        <v>0</v>
      </c>
      <c r="AH340" s="44">
        <f>SUM(AH339)</f>
        <v>0</v>
      </c>
      <c r="AI340" s="44">
        <f t="shared" si="181"/>
        <v>0</v>
      </c>
      <c r="AJ340" s="44">
        <f t="shared" si="181"/>
        <v>0</v>
      </c>
      <c r="AK340" s="44">
        <f t="shared" si="181"/>
        <v>0</v>
      </c>
      <c r="AL340" s="44">
        <f t="shared" si="181"/>
        <v>0</v>
      </c>
      <c r="AM340" s="44">
        <f t="shared" si="181"/>
        <v>0</v>
      </c>
      <c r="AN340" s="44">
        <f t="shared" si="181"/>
        <v>0</v>
      </c>
      <c r="AO340" s="44">
        <f t="shared" si="181"/>
        <v>0</v>
      </c>
      <c r="AP340" s="44">
        <f t="shared" si="181"/>
        <v>0</v>
      </c>
      <c r="AQ340" s="44">
        <f t="shared" si="181"/>
        <v>0</v>
      </c>
      <c r="AR340" s="44">
        <f t="shared" si="181"/>
        <v>0</v>
      </c>
      <c r="AS340" s="44">
        <f t="shared" si="181"/>
        <v>0</v>
      </c>
      <c r="AT340" s="44">
        <f t="shared" si="181"/>
        <v>0</v>
      </c>
      <c r="AU340" s="44">
        <f>SUM(AU339)</f>
        <v>0</v>
      </c>
    </row>
    <row r="341" spans="1:47" ht="15.75" hidden="1" customHeight="1" outlineLevel="1">
      <c r="A341" s="1" t="s">
        <v>359</v>
      </c>
      <c r="C341" s="143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I341" s="43">
        <f>_xll.DBRW($C$1,$C$2,$C$3,$C$4,$C$6,$C$5,$C$7,I$1,I$2,$A341)</f>
        <v>0</v>
      </c>
      <c r="J341" s="43">
        <f>_xll.DBRW($C$1,$C$2,$C$3,$C$4,$C$6,$C$5,$C$7,J$1,J$2,$A341)</f>
        <v>0</v>
      </c>
      <c r="K341" s="43">
        <f>_xll.DBRW($C$1,$C$2,$C$3,$C$4,$C$6,$C$5,$C$7,K$1,K$2,$A341)</f>
        <v>0</v>
      </c>
      <c r="L341" s="43">
        <f>_xll.DBRW($C$1,$C$2,$C$3,$C$4,$C$6,$C$5,$C$7,L$1,L$2,$A341)</f>
        <v>0</v>
      </c>
      <c r="M341" s="43">
        <f>_xll.DBRW($C$1,$C$2,$C$3,$C$4,$C$6,$C$5,$C$7,M$1,M$2,$A341)</f>
        <v>0</v>
      </c>
      <c r="N341" s="43">
        <f>_xll.DBRW($C$1,$C$2,$C$3,$C$4,$C$6,$C$5,$C$7,N$1,N$2,$A341)</f>
        <v>0</v>
      </c>
      <c r="O341" s="43">
        <f>_xll.DBRW($C$1,$C$2,$C$3,$C$4,$C$6,$C$5,$C$7,O$1,O$2,$A341)</f>
        <v>0</v>
      </c>
      <c r="P341" s="43">
        <f>_xll.DBRW($C$1,$C$2,$C$3,$C$4,$C$6,$C$5,$C$7,P$1,P$2,$A341)</f>
        <v>0</v>
      </c>
      <c r="Q341" s="43">
        <f>_xll.DBRW($C$1,$C$2,$C$3,$C$4,$C$6,$C$5,$C$7,Q$1,Q$2,$A341)</f>
        <v>0</v>
      </c>
      <c r="R341" s="43">
        <f>_xll.DBRW($C$1,$C$2,$C$3,$C$4,$C$6,$C$5,$C$7,R$1,R$2,$A341)</f>
        <v>0</v>
      </c>
      <c r="S341" s="43">
        <f>_xll.DBRW($C$1,$C$2,$C$3,$C$4,$C$6,$C$5,$C$7,S$1,S$2,$A341)</f>
        <v>0</v>
      </c>
      <c r="T341" s="43">
        <f>_xll.DBRW($C$1,$C$2,$C$3,$C$4,$C$6,$C$5,$C$7,T$1,T$2,$A341)</f>
        <v>0</v>
      </c>
      <c r="U341" s="43">
        <f>_xll.DBRW($C$1,$C$2,$C$3,$C$4,$C$6,$C$5,$C$7,U$1,U$2,$A341)</f>
        <v>0</v>
      </c>
      <c r="V341" s="43">
        <f>_xll.DBRW($C$1,$C$2,$C$3,$C$4,$C$6,$C$5,$C$7,V$1,V$2,$A341)</f>
        <v>0</v>
      </c>
      <c r="W341" s="43">
        <f>_xll.DBRW($C$1,$C$2,$C$3,$C$4,$C$6,$C$5,$C$7,W$1,W$2,$A341)</f>
        <v>0</v>
      </c>
      <c r="X341" s="43">
        <f>_xll.DBRW($C$1,$C$2,$C$3,$C$4,$C$6,$C$5,$C$7,X$1,X$2,$A341)</f>
        <v>0</v>
      </c>
      <c r="Y341" s="43">
        <f>_xll.DBRW($C$1,$C$2,$C$3,$C$4,$C$6,$C$5,$C$7,Y$1,Y$2,$A341)</f>
        <v>0</v>
      </c>
      <c r="Z341" s="43">
        <f>_xll.DBRW($C$1,$C$2,$C$3,$C$4,$C$6,$C$5,$C$7,Z$1,Z$2,$A341)</f>
        <v>0</v>
      </c>
      <c r="AA341" s="43">
        <f>_xll.DBRW($C$1,$C$2,$C$3,$C$4,$C$6,$C$5,$C$7,AA$1,AA$2,$A341)</f>
        <v>0</v>
      </c>
      <c r="AB341" s="43">
        <f>_xll.DBRW($C$1,$C$2,$C$3,$C$4,$C$6,$C$5,$C$7,AB$1,AB$2,$A341)</f>
        <v>0</v>
      </c>
      <c r="AC341" s="43">
        <f>_xll.DBRW($C$1,$C$2,$C$3,$C$4,$C$6,$C$5,$C$7,AC$1,AC$2,$A341)</f>
        <v>0</v>
      </c>
      <c r="AD341" s="43">
        <f>_xll.DBRW($C$1,$C$2,$C$3,$C$4,$C$6,$C$5,$C$7,AD$1,AD$2,$A341)</f>
        <v>0</v>
      </c>
      <c r="AE341" s="43">
        <f>_xll.DBRW($C$1,$C$2,$C$3,$C$4,$C$6,$C$5,$C$7,AE$1,AE$2,$A341)</f>
        <v>0</v>
      </c>
      <c r="AF341" s="43">
        <f>_xll.DBRW($C$1,$C$2,$C$3,$C$4,$C$6,$C$5,$C$7,AF$1,AF$2,$A341)</f>
        <v>0</v>
      </c>
      <c r="AG341" s="43">
        <f>_xll.DBRW($C$1,$C$2,$C$3,$C$4,$C$6,$C$5,$C$7,AG$1,AG$2,$A341)</f>
        <v>0</v>
      </c>
      <c r="AH341" s="43">
        <f>_xll.DBRW($C$1,$C$2,$C$3,$C$4,$C$6,$C$5,$C$7,AH$1,AH$2,$A341)</f>
        <v>0</v>
      </c>
      <c r="AI341" s="43">
        <f>_xll.DBRW($C$1,$C$2,$C$3,$C$4,$C$6,$C$5,$C$7,AI$1,AI$2,$A341)</f>
        <v>0</v>
      </c>
      <c r="AJ341" s="43">
        <f>_xll.DBRW($C$1,$C$2,$C$3,$C$4,$C$6,$C$5,$C$7,AJ$1,AJ$2,$A341)</f>
        <v>0</v>
      </c>
      <c r="AK341" s="43">
        <f>_xll.DBRW($C$1,$C$2,$C$3,$C$4,$C$6,$C$5,$C$7,AK$1,AK$2,$A341)</f>
        <v>0</v>
      </c>
      <c r="AL341" s="43">
        <f>_xll.DBRW($C$1,$C$2,$C$3,$C$4,$C$6,$C$5,$C$7,AL$1,AL$2,$A341)</f>
        <v>0</v>
      </c>
      <c r="AM341" s="43">
        <f>_xll.DBRW($C$1,$C$2,$C$3,$C$4,$C$6,$C$5,$C$7,AM$1,AM$2,$A341)</f>
        <v>0</v>
      </c>
      <c r="AN341" s="43">
        <f>_xll.DBRW($C$1,$C$2,$C$3,$C$4,$C$6,$C$5,$C$7,AN$1,AN$2,$A341)</f>
        <v>0</v>
      </c>
      <c r="AO341" s="43">
        <f>_xll.DBRW($C$1,$C$2,$C$3,$C$4,$C$6,$C$5,$C$7,AO$1,AO$2,$A341)</f>
        <v>0</v>
      </c>
      <c r="AP341" s="43">
        <f>_xll.DBRW($C$1,$C$2,$C$3,$C$4,$C$6,$C$5,$C$7,AP$1,AP$2,$A341)</f>
        <v>0</v>
      </c>
      <c r="AQ341" s="43">
        <f>_xll.DBRW($C$1,$C$2,$C$3,$C$4,$C$6,$C$5,$C$7,AQ$1,AQ$2,$A341)</f>
        <v>0</v>
      </c>
      <c r="AR341" s="43">
        <f>_xll.DBRW($C$1,$C$2,$C$3,$C$4,$C$6,$C$5,$C$7,AR$1,AR$2,$A341)</f>
        <v>0</v>
      </c>
      <c r="AS341" s="43">
        <f>_xll.DBRW($C$1,$C$2,$C$3,$C$4,$C$6,$C$5,$C$7,AS$1,AS$2,$A341)</f>
        <v>0</v>
      </c>
      <c r="AT341" s="43">
        <f>_xll.DBRW($C$1,$C$2,$C$3,$C$4,$C$6,$C$5,$C$7,AT$1,AT$2,$A341)</f>
        <v>0</v>
      </c>
      <c r="AU341" s="43">
        <f>_xll.DBRW($C$1,$C$2,$C$3,$C$4,$C$6,$C$5,$C$7,AU$1,AU$2,$A341)</f>
        <v>0</v>
      </c>
    </row>
    <row r="342" spans="1:47" ht="15.75" collapsed="1">
      <c r="A342" s="1" t="s">
        <v>127</v>
      </c>
      <c r="C342" s="143"/>
      <c r="E342" s="98" t="s">
        <v>94</v>
      </c>
      <c r="F342" s="99">
        <f t="shared" ref="F342:T342" si="182">SUM(F341)</f>
        <v>0</v>
      </c>
      <c r="G342" s="99">
        <f t="shared" si="182"/>
        <v>0</v>
      </c>
      <c r="H342" s="99">
        <f t="shared" si="182"/>
        <v>0</v>
      </c>
      <c r="I342" s="99">
        <f t="shared" si="182"/>
        <v>0</v>
      </c>
      <c r="J342" s="99">
        <f t="shared" si="182"/>
        <v>0</v>
      </c>
      <c r="K342" s="99">
        <f t="shared" si="182"/>
        <v>0</v>
      </c>
      <c r="L342" s="99">
        <f t="shared" si="182"/>
        <v>0</v>
      </c>
      <c r="M342" s="99">
        <f t="shared" si="182"/>
        <v>0</v>
      </c>
      <c r="N342" s="99">
        <f t="shared" si="182"/>
        <v>0</v>
      </c>
      <c r="O342" s="99">
        <f t="shared" si="182"/>
        <v>0</v>
      </c>
      <c r="P342" s="99">
        <f t="shared" si="182"/>
        <v>0</v>
      </c>
      <c r="Q342" s="99">
        <f t="shared" si="182"/>
        <v>0</v>
      </c>
      <c r="R342" s="99">
        <f t="shared" si="182"/>
        <v>0</v>
      </c>
      <c r="S342" s="99">
        <f t="shared" si="182"/>
        <v>0</v>
      </c>
      <c r="T342" s="99">
        <f t="shared" si="182"/>
        <v>0</v>
      </c>
      <c r="U342" s="99">
        <f>SUM(U341)</f>
        <v>0</v>
      </c>
      <c r="V342" s="99">
        <f t="shared" ref="V342:AG342" si="183">SUM(V341)</f>
        <v>0</v>
      </c>
      <c r="W342" s="99">
        <f t="shared" si="183"/>
        <v>0</v>
      </c>
      <c r="X342" s="99">
        <f t="shared" si="183"/>
        <v>0</v>
      </c>
      <c r="Y342" s="99">
        <f t="shared" si="183"/>
        <v>0</v>
      </c>
      <c r="Z342" s="99">
        <f t="shared" si="183"/>
        <v>0</v>
      </c>
      <c r="AA342" s="99">
        <f t="shared" si="183"/>
        <v>0</v>
      </c>
      <c r="AB342" s="99">
        <f t="shared" si="183"/>
        <v>0</v>
      </c>
      <c r="AC342" s="99">
        <f t="shared" si="183"/>
        <v>0</v>
      </c>
      <c r="AD342" s="99">
        <f t="shared" si="183"/>
        <v>0</v>
      </c>
      <c r="AE342" s="99">
        <f t="shared" si="183"/>
        <v>0</v>
      </c>
      <c r="AF342" s="99">
        <f t="shared" si="183"/>
        <v>0</v>
      </c>
      <c r="AG342" s="99">
        <f t="shared" si="183"/>
        <v>0</v>
      </c>
      <c r="AH342" s="99">
        <f>SUM(AH341)</f>
        <v>0</v>
      </c>
      <c r="AI342" s="99">
        <f t="shared" ref="AI342:AT342" si="184">SUM(AI341)</f>
        <v>0</v>
      </c>
      <c r="AJ342" s="99">
        <f t="shared" si="184"/>
        <v>0</v>
      </c>
      <c r="AK342" s="99">
        <f t="shared" si="184"/>
        <v>0</v>
      </c>
      <c r="AL342" s="99">
        <f t="shared" si="184"/>
        <v>0</v>
      </c>
      <c r="AM342" s="99">
        <f t="shared" si="184"/>
        <v>0</v>
      </c>
      <c r="AN342" s="99">
        <f t="shared" si="184"/>
        <v>0</v>
      </c>
      <c r="AO342" s="99">
        <f t="shared" si="184"/>
        <v>0</v>
      </c>
      <c r="AP342" s="99">
        <f t="shared" si="184"/>
        <v>0</v>
      </c>
      <c r="AQ342" s="99">
        <f t="shared" si="184"/>
        <v>0</v>
      </c>
      <c r="AR342" s="99">
        <f t="shared" si="184"/>
        <v>0</v>
      </c>
      <c r="AS342" s="99">
        <f t="shared" si="184"/>
        <v>0</v>
      </c>
      <c r="AT342" s="99">
        <f t="shared" si="184"/>
        <v>0</v>
      </c>
      <c r="AU342" s="99">
        <f>SUM(AU341)</f>
        <v>0</v>
      </c>
    </row>
    <row r="343" spans="1:47" ht="9" customHeight="1">
      <c r="A343" s="1" t="s">
        <v>127</v>
      </c>
      <c r="C343" s="53"/>
      <c r="E343" s="7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</row>
    <row r="344" spans="1:47" ht="15.75" hidden="1" customHeight="1" outlineLevel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  <c r="I344" s="10">
        <f>_xll.DBRW($C$1,$C$2,$C$3,$C$4,$C$6,$C$5,$C$7,I$1,I$2,$A344)</f>
        <v>0</v>
      </c>
      <c r="J344" s="10">
        <f>_xll.DBRW($C$1,$C$2,$C$3,$C$4,$C$6,$C$5,$C$7,J$1,J$2,$A344)</f>
        <v>0</v>
      </c>
      <c r="K344" s="10">
        <f>_xll.DBRW($C$1,$C$2,$C$3,$C$4,$C$6,$C$5,$C$7,K$1,K$2,$A344)</f>
        <v>0</v>
      </c>
      <c r="L344" s="10">
        <f>_xll.DBRW($C$1,$C$2,$C$3,$C$4,$C$6,$C$5,$C$7,L$1,L$2,$A344)</f>
        <v>0</v>
      </c>
      <c r="M344" s="10">
        <f>_xll.DBRW($C$1,$C$2,$C$3,$C$4,$C$6,$C$5,$C$7,M$1,M$2,$A344)</f>
        <v>0</v>
      </c>
      <c r="N344" s="10">
        <f>_xll.DBRW($C$1,$C$2,$C$3,$C$4,$C$6,$C$5,$C$7,N$1,N$2,$A344)</f>
        <v>0</v>
      </c>
      <c r="O344" s="10">
        <f>_xll.DBRW($C$1,$C$2,$C$3,$C$4,$C$6,$C$5,$C$7,O$1,O$2,$A344)</f>
        <v>0</v>
      </c>
      <c r="P344" s="10">
        <f>_xll.DBRW($C$1,$C$2,$C$3,$C$4,$C$6,$C$5,$C$7,P$1,P$2,$A344)</f>
        <v>0</v>
      </c>
      <c r="Q344" s="10">
        <f>_xll.DBRW($C$1,$C$2,$C$3,$C$4,$C$6,$C$5,$C$7,Q$1,Q$2,$A344)</f>
        <v>0</v>
      </c>
      <c r="R344" s="10">
        <f>_xll.DBRW($C$1,$C$2,$C$3,$C$4,$C$6,$C$5,$C$7,R$1,R$2,$A344)</f>
        <v>0</v>
      </c>
      <c r="S344" s="10">
        <f>_xll.DBRW($C$1,$C$2,$C$3,$C$4,$C$6,$C$5,$C$7,S$1,S$2,$A344)</f>
        <v>0</v>
      </c>
      <c r="T344" s="10">
        <f>_xll.DBRW($C$1,$C$2,$C$3,$C$4,$C$6,$C$5,$C$7,T$1,T$2,$A344)</f>
        <v>0</v>
      </c>
      <c r="U344" s="10">
        <f>_xll.DBRW($C$1,$C$2,$C$3,$C$4,$C$6,$C$5,$C$7,U$1,U$2,$A344)</f>
        <v>0</v>
      </c>
      <c r="V344" s="10">
        <f>_xll.DBRW($C$1,$C$2,$C$3,$C$4,$C$6,$C$5,$C$7,V$1,V$2,$A344)</f>
        <v>0</v>
      </c>
      <c r="W344" s="10">
        <f>_xll.DBRW($C$1,$C$2,$C$3,$C$4,$C$6,$C$5,$C$7,W$1,W$2,$A344)</f>
        <v>0</v>
      </c>
      <c r="X344" s="10">
        <f>_xll.DBRW($C$1,$C$2,$C$3,$C$4,$C$6,$C$5,$C$7,X$1,X$2,$A344)</f>
        <v>0</v>
      </c>
      <c r="Y344" s="10">
        <f>_xll.DBRW($C$1,$C$2,$C$3,$C$4,$C$6,$C$5,$C$7,Y$1,Y$2,$A344)</f>
        <v>0</v>
      </c>
      <c r="Z344" s="10">
        <f>_xll.DBRW($C$1,$C$2,$C$3,$C$4,$C$6,$C$5,$C$7,Z$1,Z$2,$A344)</f>
        <v>0</v>
      </c>
      <c r="AA344" s="10">
        <f>_xll.DBRW($C$1,$C$2,$C$3,$C$4,$C$6,$C$5,$C$7,AA$1,AA$2,$A344)</f>
        <v>0</v>
      </c>
      <c r="AB344" s="10">
        <f>_xll.DBRW($C$1,$C$2,$C$3,$C$4,$C$6,$C$5,$C$7,AB$1,AB$2,$A344)</f>
        <v>0</v>
      </c>
      <c r="AC344" s="10">
        <f>_xll.DBRW($C$1,$C$2,$C$3,$C$4,$C$6,$C$5,$C$7,AC$1,AC$2,$A344)</f>
        <v>0</v>
      </c>
      <c r="AD344" s="10">
        <f>_xll.DBRW($C$1,$C$2,$C$3,$C$4,$C$6,$C$5,$C$7,AD$1,AD$2,$A344)</f>
        <v>0</v>
      </c>
      <c r="AE344" s="10">
        <f>_xll.DBRW($C$1,$C$2,$C$3,$C$4,$C$6,$C$5,$C$7,AE$1,AE$2,$A344)</f>
        <v>0</v>
      </c>
      <c r="AF344" s="10">
        <f>_xll.DBRW($C$1,$C$2,$C$3,$C$4,$C$6,$C$5,$C$7,AF$1,AF$2,$A344)</f>
        <v>0</v>
      </c>
      <c r="AG344" s="10">
        <f>_xll.DBRW($C$1,$C$2,$C$3,$C$4,$C$6,$C$5,$C$7,AG$1,AG$2,$A344)</f>
        <v>0</v>
      </c>
      <c r="AH344" s="10">
        <f>_xll.DBRW($C$1,$C$2,$C$3,$C$4,$C$6,$C$5,$C$7,AH$1,AH$2,$A344)</f>
        <v>0</v>
      </c>
      <c r="AI344" s="10">
        <f>_xll.DBRW($C$1,$C$2,$C$3,$C$4,$C$6,$C$5,$C$7,AI$1,AI$2,$A344)</f>
        <v>0</v>
      </c>
      <c r="AJ344" s="10">
        <f>_xll.DBRW($C$1,$C$2,$C$3,$C$4,$C$6,$C$5,$C$7,AJ$1,AJ$2,$A344)</f>
        <v>0</v>
      </c>
      <c r="AK344" s="10">
        <f>_xll.DBRW($C$1,$C$2,$C$3,$C$4,$C$6,$C$5,$C$7,AK$1,AK$2,$A344)</f>
        <v>0</v>
      </c>
      <c r="AL344" s="10">
        <f>_xll.DBRW($C$1,$C$2,$C$3,$C$4,$C$6,$C$5,$C$7,AL$1,AL$2,$A344)</f>
        <v>0</v>
      </c>
      <c r="AM344" s="10">
        <f>_xll.DBRW($C$1,$C$2,$C$3,$C$4,$C$6,$C$5,$C$7,AM$1,AM$2,$A344)</f>
        <v>0</v>
      </c>
      <c r="AN344" s="10">
        <f>_xll.DBRW($C$1,$C$2,$C$3,$C$4,$C$6,$C$5,$C$7,AN$1,AN$2,$A344)</f>
        <v>0</v>
      </c>
      <c r="AO344" s="10">
        <f>_xll.DBRW($C$1,$C$2,$C$3,$C$4,$C$6,$C$5,$C$7,AO$1,AO$2,$A344)</f>
        <v>0</v>
      </c>
      <c r="AP344" s="10">
        <f>_xll.DBRW($C$1,$C$2,$C$3,$C$4,$C$6,$C$5,$C$7,AP$1,AP$2,$A344)</f>
        <v>0</v>
      </c>
      <c r="AQ344" s="10">
        <f>_xll.DBRW($C$1,$C$2,$C$3,$C$4,$C$6,$C$5,$C$7,AQ$1,AQ$2,$A344)</f>
        <v>0</v>
      </c>
      <c r="AR344" s="10">
        <f>_xll.DBRW($C$1,$C$2,$C$3,$C$4,$C$6,$C$5,$C$7,AR$1,AR$2,$A344)</f>
        <v>0</v>
      </c>
      <c r="AS344" s="10">
        <f>_xll.DBRW($C$1,$C$2,$C$3,$C$4,$C$6,$C$5,$C$7,AS$1,AS$2,$A344)</f>
        <v>0</v>
      </c>
      <c r="AT344" s="10">
        <f>_xll.DBRW($C$1,$C$2,$C$3,$C$4,$C$6,$C$5,$C$7,AT$1,AT$2,$A344)</f>
        <v>0</v>
      </c>
      <c r="AU344" s="10">
        <f>_xll.DBRW($C$1,$C$2,$C$3,$C$4,$C$6,$C$5,$C$7,AU$1,AU$2,$A344)</f>
        <v>0</v>
      </c>
    </row>
    <row r="345" spans="1:47" ht="15.75" collapsed="1">
      <c r="A345" s="1" t="s">
        <v>127</v>
      </c>
      <c r="C345" s="143" t="s">
        <v>48</v>
      </c>
      <c r="E345" s="126" t="s">
        <v>95</v>
      </c>
      <c r="F345" s="127">
        <f t="shared" ref="F345:T345" si="185">SUM(F344)</f>
        <v>0</v>
      </c>
      <c r="G345" s="127">
        <f t="shared" si="185"/>
        <v>0</v>
      </c>
      <c r="H345" s="127">
        <f t="shared" si="185"/>
        <v>0</v>
      </c>
      <c r="I345" s="127">
        <f t="shared" si="185"/>
        <v>0</v>
      </c>
      <c r="J345" s="127">
        <f t="shared" si="185"/>
        <v>0</v>
      </c>
      <c r="K345" s="127">
        <f t="shared" si="185"/>
        <v>0</v>
      </c>
      <c r="L345" s="127">
        <f t="shared" si="185"/>
        <v>0</v>
      </c>
      <c r="M345" s="127">
        <f t="shared" si="185"/>
        <v>0</v>
      </c>
      <c r="N345" s="127">
        <f t="shared" si="185"/>
        <v>0</v>
      </c>
      <c r="O345" s="127">
        <f t="shared" si="185"/>
        <v>0</v>
      </c>
      <c r="P345" s="127">
        <f t="shared" si="185"/>
        <v>0</v>
      </c>
      <c r="Q345" s="127">
        <f t="shared" si="185"/>
        <v>0</v>
      </c>
      <c r="R345" s="127">
        <f t="shared" si="185"/>
        <v>0</v>
      </c>
      <c r="S345" s="127">
        <f t="shared" si="185"/>
        <v>0</v>
      </c>
      <c r="T345" s="127">
        <f t="shared" si="185"/>
        <v>0</v>
      </c>
      <c r="U345" s="127">
        <f>SUM(U344)</f>
        <v>0</v>
      </c>
      <c r="V345" s="127">
        <f>SUM(V344)</f>
        <v>0</v>
      </c>
      <c r="W345" s="127">
        <f t="shared" ref="W345:AG345" si="186">SUM(W344)</f>
        <v>0</v>
      </c>
      <c r="X345" s="127">
        <f t="shared" si="186"/>
        <v>0</v>
      </c>
      <c r="Y345" s="127">
        <f t="shared" si="186"/>
        <v>0</v>
      </c>
      <c r="Z345" s="127">
        <f t="shared" si="186"/>
        <v>0</v>
      </c>
      <c r="AA345" s="127">
        <f t="shared" si="186"/>
        <v>0</v>
      </c>
      <c r="AB345" s="127">
        <f t="shared" si="186"/>
        <v>0</v>
      </c>
      <c r="AC345" s="127">
        <f t="shared" si="186"/>
        <v>0</v>
      </c>
      <c r="AD345" s="127">
        <f t="shared" si="186"/>
        <v>0</v>
      </c>
      <c r="AE345" s="127">
        <f t="shared" si="186"/>
        <v>0</v>
      </c>
      <c r="AF345" s="127">
        <f t="shared" si="186"/>
        <v>0</v>
      </c>
      <c r="AG345" s="127">
        <f t="shared" si="186"/>
        <v>0</v>
      </c>
      <c r="AH345" s="127">
        <f>SUM(AH344)</f>
        <v>0</v>
      </c>
      <c r="AI345" s="127">
        <f>SUM(AI344)</f>
        <v>0</v>
      </c>
      <c r="AJ345" s="127">
        <f t="shared" ref="AJ345:AT345" si="187">SUM(AJ344)</f>
        <v>0</v>
      </c>
      <c r="AK345" s="127">
        <f t="shared" si="187"/>
        <v>0</v>
      </c>
      <c r="AL345" s="127">
        <f t="shared" si="187"/>
        <v>0</v>
      </c>
      <c r="AM345" s="127">
        <f t="shared" si="187"/>
        <v>0</v>
      </c>
      <c r="AN345" s="127">
        <f t="shared" si="187"/>
        <v>0</v>
      </c>
      <c r="AO345" s="127">
        <f t="shared" si="187"/>
        <v>0</v>
      </c>
      <c r="AP345" s="127">
        <f t="shared" si="187"/>
        <v>0</v>
      </c>
      <c r="AQ345" s="127">
        <f t="shared" si="187"/>
        <v>0</v>
      </c>
      <c r="AR345" s="127">
        <f t="shared" si="187"/>
        <v>0</v>
      </c>
      <c r="AS345" s="127">
        <f t="shared" si="187"/>
        <v>0</v>
      </c>
      <c r="AT345" s="127">
        <f t="shared" si="187"/>
        <v>0</v>
      </c>
      <c r="AU345" s="127">
        <f>SUM(AU344)</f>
        <v>0</v>
      </c>
    </row>
    <row r="346" spans="1:47" ht="15.75" hidden="1" customHeight="1" outlineLevel="1">
      <c r="A346" s="1" t="s">
        <v>361</v>
      </c>
      <c r="C346" s="143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I346" s="43">
        <f>_xll.DBRW($C$1,$C$2,$C$3,$C$4,$C$6,$C$5,$C$7,I$1,I$2,$A346)</f>
        <v>0</v>
      </c>
      <c r="J346" s="43">
        <f>_xll.DBRW($C$1,$C$2,$C$3,$C$4,$C$6,$C$5,$C$7,J$1,J$2,$A346)</f>
        <v>0</v>
      </c>
      <c r="K346" s="43">
        <f>_xll.DBRW($C$1,$C$2,$C$3,$C$4,$C$6,$C$5,$C$7,K$1,K$2,$A346)</f>
        <v>0</v>
      </c>
      <c r="L346" s="43">
        <f>_xll.DBRW($C$1,$C$2,$C$3,$C$4,$C$6,$C$5,$C$7,L$1,L$2,$A346)</f>
        <v>0</v>
      </c>
      <c r="M346" s="43">
        <f>_xll.DBRW($C$1,$C$2,$C$3,$C$4,$C$6,$C$5,$C$7,M$1,M$2,$A346)</f>
        <v>0</v>
      </c>
      <c r="N346" s="43">
        <f>_xll.DBRW($C$1,$C$2,$C$3,$C$4,$C$6,$C$5,$C$7,N$1,N$2,$A346)</f>
        <v>0</v>
      </c>
      <c r="O346" s="43">
        <f>_xll.DBRW($C$1,$C$2,$C$3,$C$4,$C$6,$C$5,$C$7,O$1,O$2,$A346)</f>
        <v>0</v>
      </c>
      <c r="P346" s="43">
        <f>_xll.DBRW($C$1,$C$2,$C$3,$C$4,$C$6,$C$5,$C$7,P$1,P$2,$A346)</f>
        <v>0</v>
      </c>
      <c r="Q346" s="43">
        <f>_xll.DBRW($C$1,$C$2,$C$3,$C$4,$C$6,$C$5,$C$7,Q$1,Q$2,$A346)</f>
        <v>0</v>
      </c>
      <c r="R346" s="43">
        <f>_xll.DBRW($C$1,$C$2,$C$3,$C$4,$C$6,$C$5,$C$7,R$1,R$2,$A346)</f>
        <v>0</v>
      </c>
      <c r="S346" s="43">
        <f>_xll.DBRW($C$1,$C$2,$C$3,$C$4,$C$6,$C$5,$C$7,S$1,S$2,$A346)</f>
        <v>0</v>
      </c>
      <c r="T346" s="43">
        <f>_xll.DBRW($C$1,$C$2,$C$3,$C$4,$C$6,$C$5,$C$7,T$1,T$2,$A346)</f>
        <v>0</v>
      </c>
      <c r="U346" s="43">
        <f>_xll.DBRW($C$1,$C$2,$C$3,$C$4,$C$6,$C$5,$C$7,U$1,U$2,$A346)</f>
        <v>0</v>
      </c>
      <c r="V346" s="43">
        <f>_xll.DBRW($C$1,$C$2,$C$3,$C$4,$C$6,$C$5,$C$7,V$1,V$2,$A346)</f>
        <v>0</v>
      </c>
      <c r="W346" s="43">
        <f>_xll.DBRW($C$1,$C$2,$C$3,$C$4,$C$6,$C$5,$C$7,W$1,W$2,$A346)</f>
        <v>0</v>
      </c>
      <c r="X346" s="43">
        <f>_xll.DBRW($C$1,$C$2,$C$3,$C$4,$C$6,$C$5,$C$7,X$1,X$2,$A346)</f>
        <v>0</v>
      </c>
      <c r="Y346" s="43">
        <f>_xll.DBRW($C$1,$C$2,$C$3,$C$4,$C$6,$C$5,$C$7,Y$1,Y$2,$A346)</f>
        <v>0</v>
      </c>
      <c r="Z346" s="43">
        <f>_xll.DBRW($C$1,$C$2,$C$3,$C$4,$C$6,$C$5,$C$7,Z$1,Z$2,$A346)</f>
        <v>0</v>
      </c>
      <c r="AA346" s="43">
        <f>_xll.DBRW($C$1,$C$2,$C$3,$C$4,$C$6,$C$5,$C$7,AA$1,AA$2,$A346)</f>
        <v>0</v>
      </c>
      <c r="AB346" s="43">
        <f>_xll.DBRW($C$1,$C$2,$C$3,$C$4,$C$6,$C$5,$C$7,AB$1,AB$2,$A346)</f>
        <v>0</v>
      </c>
      <c r="AC346" s="43">
        <f>_xll.DBRW($C$1,$C$2,$C$3,$C$4,$C$6,$C$5,$C$7,AC$1,AC$2,$A346)</f>
        <v>0</v>
      </c>
      <c r="AD346" s="43">
        <f>_xll.DBRW($C$1,$C$2,$C$3,$C$4,$C$6,$C$5,$C$7,AD$1,AD$2,$A346)</f>
        <v>0</v>
      </c>
      <c r="AE346" s="43">
        <f>_xll.DBRW($C$1,$C$2,$C$3,$C$4,$C$6,$C$5,$C$7,AE$1,AE$2,$A346)</f>
        <v>0</v>
      </c>
      <c r="AF346" s="43">
        <f>_xll.DBRW($C$1,$C$2,$C$3,$C$4,$C$6,$C$5,$C$7,AF$1,AF$2,$A346)</f>
        <v>0</v>
      </c>
      <c r="AG346" s="43">
        <f>_xll.DBRW($C$1,$C$2,$C$3,$C$4,$C$6,$C$5,$C$7,AG$1,AG$2,$A346)</f>
        <v>0</v>
      </c>
      <c r="AH346" s="43">
        <f>_xll.DBRW($C$1,$C$2,$C$3,$C$4,$C$6,$C$5,$C$7,AH$1,AH$2,$A346)</f>
        <v>0</v>
      </c>
      <c r="AI346" s="43">
        <f>_xll.DBRW($C$1,$C$2,$C$3,$C$4,$C$6,$C$5,$C$7,AI$1,AI$2,$A346)</f>
        <v>0</v>
      </c>
      <c r="AJ346" s="43">
        <f>_xll.DBRW($C$1,$C$2,$C$3,$C$4,$C$6,$C$5,$C$7,AJ$1,AJ$2,$A346)</f>
        <v>0</v>
      </c>
      <c r="AK346" s="43">
        <f>_xll.DBRW($C$1,$C$2,$C$3,$C$4,$C$6,$C$5,$C$7,AK$1,AK$2,$A346)</f>
        <v>0</v>
      </c>
      <c r="AL346" s="43">
        <f>_xll.DBRW($C$1,$C$2,$C$3,$C$4,$C$6,$C$5,$C$7,AL$1,AL$2,$A346)</f>
        <v>0</v>
      </c>
      <c r="AM346" s="43">
        <f>_xll.DBRW($C$1,$C$2,$C$3,$C$4,$C$6,$C$5,$C$7,AM$1,AM$2,$A346)</f>
        <v>0</v>
      </c>
      <c r="AN346" s="43">
        <f>_xll.DBRW($C$1,$C$2,$C$3,$C$4,$C$6,$C$5,$C$7,AN$1,AN$2,$A346)</f>
        <v>0</v>
      </c>
      <c r="AO346" s="43">
        <f>_xll.DBRW($C$1,$C$2,$C$3,$C$4,$C$6,$C$5,$C$7,AO$1,AO$2,$A346)</f>
        <v>0</v>
      </c>
      <c r="AP346" s="43">
        <f>_xll.DBRW($C$1,$C$2,$C$3,$C$4,$C$6,$C$5,$C$7,AP$1,AP$2,$A346)</f>
        <v>0</v>
      </c>
      <c r="AQ346" s="43">
        <f>_xll.DBRW($C$1,$C$2,$C$3,$C$4,$C$6,$C$5,$C$7,AQ$1,AQ$2,$A346)</f>
        <v>0</v>
      </c>
      <c r="AR346" s="43">
        <f>_xll.DBRW($C$1,$C$2,$C$3,$C$4,$C$6,$C$5,$C$7,AR$1,AR$2,$A346)</f>
        <v>0</v>
      </c>
      <c r="AS346" s="43">
        <f>_xll.DBRW($C$1,$C$2,$C$3,$C$4,$C$6,$C$5,$C$7,AS$1,AS$2,$A346)</f>
        <v>0</v>
      </c>
      <c r="AT346" s="43">
        <f>_xll.DBRW($C$1,$C$2,$C$3,$C$4,$C$6,$C$5,$C$7,AT$1,AT$2,$A346)</f>
        <v>0</v>
      </c>
      <c r="AU346" s="43">
        <f>_xll.DBRW($C$1,$C$2,$C$3,$C$4,$C$6,$C$5,$C$7,AU$1,AU$2,$A346)</f>
        <v>0</v>
      </c>
    </row>
    <row r="347" spans="1:47" ht="15.75" collapsed="1">
      <c r="A347" s="1" t="s">
        <v>127</v>
      </c>
      <c r="C347" s="143"/>
      <c r="E347" s="80" t="s">
        <v>366</v>
      </c>
      <c r="F347" s="44">
        <f t="shared" ref="F347:T347" si="188">SUM(F346)</f>
        <v>0</v>
      </c>
      <c r="G347" s="44">
        <f t="shared" si="188"/>
        <v>0</v>
      </c>
      <c r="H347" s="44">
        <f t="shared" si="188"/>
        <v>0</v>
      </c>
      <c r="I347" s="44">
        <f t="shared" si="188"/>
        <v>0</v>
      </c>
      <c r="J347" s="44">
        <f t="shared" si="188"/>
        <v>0</v>
      </c>
      <c r="K347" s="44">
        <f t="shared" si="188"/>
        <v>0</v>
      </c>
      <c r="L347" s="44">
        <f t="shared" si="188"/>
        <v>0</v>
      </c>
      <c r="M347" s="44">
        <f t="shared" si="188"/>
        <v>0</v>
      </c>
      <c r="N347" s="44">
        <f t="shared" si="188"/>
        <v>0</v>
      </c>
      <c r="O347" s="44">
        <f t="shared" si="188"/>
        <v>0</v>
      </c>
      <c r="P347" s="44">
        <f t="shared" si="188"/>
        <v>0</v>
      </c>
      <c r="Q347" s="44">
        <f t="shared" si="188"/>
        <v>0</v>
      </c>
      <c r="R347" s="44">
        <f t="shared" si="188"/>
        <v>0</v>
      </c>
      <c r="S347" s="44">
        <f t="shared" si="188"/>
        <v>0</v>
      </c>
      <c r="T347" s="44">
        <f t="shared" si="188"/>
        <v>0</v>
      </c>
      <c r="U347" s="44">
        <f>SUM(U346)</f>
        <v>0</v>
      </c>
      <c r="V347" s="44">
        <f>SUM(V346)</f>
        <v>0</v>
      </c>
      <c r="W347" s="44">
        <f t="shared" ref="W347:AG347" si="189">SUM(W346)</f>
        <v>0</v>
      </c>
      <c r="X347" s="44">
        <f t="shared" si="189"/>
        <v>0</v>
      </c>
      <c r="Y347" s="44">
        <f t="shared" si="189"/>
        <v>0</v>
      </c>
      <c r="Z347" s="44">
        <f t="shared" si="189"/>
        <v>0</v>
      </c>
      <c r="AA347" s="44">
        <f t="shared" si="189"/>
        <v>0</v>
      </c>
      <c r="AB347" s="44">
        <f t="shared" si="189"/>
        <v>0</v>
      </c>
      <c r="AC347" s="44">
        <f t="shared" si="189"/>
        <v>0</v>
      </c>
      <c r="AD347" s="44">
        <f t="shared" si="189"/>
        <v>0</v>
      </c>
      <c r="AE347" s="44">
        <f t="shared" si="189"/>
        <v>0</v>
      </c>
      <c r="AF347" s="44">
        <f t="shared" si="189"/>
        <v>0</v>
      </c>
      <c r="AG347" s="44">
        <f t="shared" si="189"/>
        <v>0</v>
      </c>
      <c r="AH347" s="44">
        <f>SUM(AH346)</f>
        <v>0</v>
      </c>
      <c r="AI347" s="44">
        <f>SUM(AI346)</f>
        <v>0</v>
      </c>
      <c r="AJ347" s="44">
        <f t="shared" ref="AJ347:AT347" si="190">SUM(AJ346)</f>
        <v>0</v>
      </c>
      <c r="AK347" s="44">
        <f t="shared" si="190"/>
        <v>0</v>
      </c>
      <c r="AL347" s="44">
        <f t="shared" si="190"/>
        <v>0</v>
      </c>
      <c r="AM347" s="44">
        <f t="shared" si="190"/>
        <v>0</v>
      </c>
      <c r="AN347" s="44">
        <f t="shared" si="190"/>
        <v>0</v>
      </c>
      <c r="AO347" s="44">
        <f t="shared" si="190"/>
        <v>0</v>
      </c>
      <c r="AP347" s="44">
        <f t="shared" si="190"/>
        <v>0</v>
      </c>
      <c r="AQ347" s="44">
        <f t="shared" si="190"/>
        <v>0</v>
      </c>
      <c r="AR347" s="44">
        <f t="shared" si="190"/>
        <v>0</v>
      </c>
      <c r="AS347" s="44">
        <f t="shared" si="190"/>
        <v>0</v>
      </c>
      <c r="AT347" s="44">
        <f t="shared" si="190"/>
        <v>0</v>
      </c>
      <c r="AU347" s="44">
        <f>SUM(AU346)</f>
        <v>0</v>
      </c>
    </row>
    <row r="348" spans="1:47" ht="15.75" hidden="1" customHeight="1" outlineLevel="1">
      <c r="A348" s="1" t="s">
        <v>362</v>
      </c>
      <c r="C348" s="143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I348" s="43">
        <f>_xll.DBRW($C$1,$C$2,$C$3,$C$4,$C$6,$C$5,$C$7,I$1,I$2,$A348)</f>
        <v>0</v>
      </c>
      <c r="J348" s="43">
        <f>_xll.DBRW($C$1,$C$2,$C$3,$C$4,$C$6,$C$5,$C$7,J$1,J$2,$A348)</f>
        <v>0</v>
      </c>
      <c r="K348" s="43">
        <f>_xll.DBRW($C$1,$C$2,$C$3,$C$4,$C$6,$C$5,$C$7,K$1,K$2,$A348)</f>
        <v>0</v>
      </c>
      <c r="L348" s="43">
        <f>_xll.DBRW($C$1,$C$2,$C$3,$C$4,$C$6,$C$5,$C$7,L$1,L$2,$A348)</f>
        <v>0</v>
      </c>
      <c r="M348" s="43">
        <f>_xll.DBRW($C$1,$C$2,$C$3,$C$4,$C$6,$C$5,$C$7,M$1,M$2,$A348)</f>
        <v>0</v>
      </c>
      <c r="N348" s="43">
        <f>_xll.DBRW($C$1,$C$2,$C$3,$C$4,$C$6,$C$5,$C$7,N$1,N$2,$A348)</f>
        <v>0</v>
      </c>
      <c r="O348" s="43">
        <f>_xll.DBRW($C$1,$C$2,$C$3,$C$4,$C$6,$C$5,$C$7,O$1,O$2,$A348)</f>
        <v>0</v>
      </c>
      <c r="P348" s="43">
        <f>_xll.DBRW($C$1,$C$2,$C$3,$C$4,$C$6,$C$5,$C$7,P$1,P$2,$A348)</f>
        <v>0</v>
      </c>
      <c r="Q348" s="43">
        <f>_xll.DBRW($C$1,$C$2,$C$3,$C$4,$C$6,$C$5,$C$7,Q$1,Q$2,$A348)</f>
        <v>0</v>
      </c>
      <c r="R348" s="43">
        <f>_xll.DBRW($C$1,$C$2,$C$3,$C$4,$C$6,$C$5,$C$7,R$1,R$2,$A348)</f>
        <v>0</v>
      </c>
      <c r="S348" s="43">
        <f>_xll.DBRW($C$1,$C$2,$C$3,$C$4,$C$6,$C$5,$C$7,S$1,S$2,$A348)</f>
        <v>0</v>
      </c>
      <c r="T348" s="43">
        <f>_xll.DBRW($C$1,$C$2,$C$3,$C$4,$C$6,$C$5,$C$7,T$1,T$2,$A348)</f>
        <v>0</v>
      </c>
      <c r="U348" s="43">
        <f>_xll.DBRW($C$1,$C$2,$C$3,$C$4,$C$6,$C$5,$C$7,U$1,U$2,$A348)</f>
        <v>0</v>
      </c>
      <c r="V348" s="43">
        <f>_xll.DBRW($C$1,$C$2,$C$3,$C$4,$C$6,$C$5,$C$7,V$1,V$2,$A348)</f>
        <v>0</v>
      </c>
      <c r="W348" s="43">
        <f>_xll.DBRW($C$1,$C$2,$C$3,$C$4,$C$6,$C$5,$C$7,W$1,W$2,$A348)</f>
        <v>0</v>
      </c>
      <c r="X348" s="43">
        <f>_xll.DBRW($C$1,$C$2,$C$3,$C$4,$C$6,$C$5,$C$7,X$1,X$2,$A348)</f>
        <v>0</v>
      </c>
      <c r="Y348" s="43">
        <f>_xll.DBRW($C$1,$C$2,$C$3,$C$4,$C$6,$C$5,$C$7,Y$1,Y$2,$A348)</f>
        <v>0</v>
      </c>
      <c r="Z348" s="43">
        <f>_xll.DBRW($C$1,$C$2,$C$3,$C$4,$C$6,$C$5,$C$7,Z$1,Z$2,$A348)</f>
        <v>0</v>
      </c>
      <c r="AA348" s="43">
        <f>_xll.DBRW($C$1,$C$2,$C$3,$C$4,$C$6,$C$5,$C$7,AA$1,AA$2,$A348)</f>
        <v>0</v>
      </c>
      <c r="AB348" s="43">
        <f>_xll.DBRW($C$1,$C$2,$C$3,$C$4,$C$6,$C$5,$C$7,AB$1,AB$2,$A348)</f>
        <v>0</v>
      </c>
      <c r="AC348" s="43">
        <f>_xll.DBRW($C$1,$C$2,$C$3,$C$4,$C$6,$C$5,$C$7,AC$1,AC$2,$A348)</f>
        <v>0</v>
      </c>
      <c r="AD348" s="43">
        <f>_xll.DBRW($C$1,$C$2,$C$3,$C$4,$C$6,$C$5,$C$7,AD$1,AD$2,$A348)</f>
        <v>0</v>
      </c>
      <c r="AE348" s="43">
        <f>_xll.DBRW($C$1,$C$2,$C$3,$C$4,$C$6,$C$5,$C$7,AE$1,AE$2,$A348)</f>
        <v>0</v>
      </c>
      <c r="AF348" s="43">
        <f>_xll.DBRW($C$1,$C$2,$C$3,$C$4,$C$6,$C$5,$C$7,AF$1,AF$2,$A348)</f>
        <v>0</v>
      </c>
      <c r="AG348" s="43">
        <f>_xll.DBRW($C$1,$C$2,$C$3,$C$4,$C$6,$C$5,$C$7,AG$1,AG$2,$A348)</f>
        <v>0</v>
      </c>
      <c r="AH348" s="43">
        <f>_xll.DBRW($C$1,$C$2,$C$3,$C$4,$C$6,$C$5,$C$7,AH$1,AH$2,$A348)</f>
        <v>0</v>
      </c>
      <c r="AI348" s="43">
        <f>_xll.DBRW($C$1,$C$2,$C$3,$C$4,$C$6,$C$5,$C$7,AI$1,AI$2,$A348)</f>
        <v>0</v>
      </c>
      <c r="AJ348" s="43">
        <f>_xll.DBRW($C$1,$C$2,$C$3,$C$4,$C$6,$C$5,$C$7,AJ$1,AJ$2,$A348)</f>
        <v>0</v>
      </c>
      <c r="AK348" s="43">
        <f>_xll.DBRW($C$1,$C$2,$C$3,$C$4,$C$6,$C$5,$C$7,AK$1,AK$2,$A348)</f>
        <v>0</v>
      </c>
      <c r="AL348" s="43">
        <f>_xll.DBRW($C$1,$C$2,$C$3,$C$4,$C$6,$C$5,$C$7,AL$1,AL$2,$A348)</f>
        <v>0</v>
      </c>
      <c r="AM348" s="43">
        <f>_xll.DBRW($C$1,$C$2,$C$3,$C$4,$C$6,$C$5,$C$7,AM$1,AM$2,$A348)</f>
        <v>0</v>
      </c>
      <c r="AN348" s="43">
        <f>_xll.DBRW($C$1,$C$2,$C$3,$C$4,$C$6,$C$5,$C$7,AN$1,AN$2,$A348)</f>
        <v>0</v>
      </c>
      <c r="AO348" s="43">
        <f>_xll.DBRW($C$1,$C$2,$C$3,$C$4,$C$6,$C$5,$C$7,AO$1,AO$2,$A348)</f>
        <v>0</v>
      </c>
      <c r="AP348" s="43">
        <f>_xll.DBRW($C$1,$C$2,$C$3,$C$4,$C$6,$C$5,$C$7,AP$1,AP$2,$A348)</f>
        <v>0</v>
      </c>
      <c r="AQ348" s="43">
        <f>_xll.DBRW($C$1,$C$2,$C$3,$C$4,$C$6,$C$5,$C$7,AQ$1,AQ$2,$A348)</f>
        <v>0</v>
      </c>
      <c r="AR348" s="43">
        <f>_xll.DBRW($C$1,$C$2,$C$3,$C$4,$C$6,$C$5,$C$7,AR$1,AR$2,$A348)</f>
        <v>0</v>
      </c>
      <c r="AS348" s="43">
        <f>_xll.DBRW($C$1,$C$2,$C$3,$C$4,$C$6,$C$5,$C$7,AS$1,AS$2,$A348)</f>
        <v>0</v>
      </c>
      <c r="AT348" s="43">
        <f>_xll.DBRW($C$1,$C$2,$C$3,$C$4,$C$6,$C$5,$C$7,AT$1,AT$2,$A348)</f>
        <v>0</v>
      </c>
      <c r="AU348" s="43">
        <f>_xll.DBRW($C$1,$C$2,$C$3,$C$4,$C$6,$C$5,$C$7,AU$1,AU$2,$A348)</f>
        <v>0</v>
      </c>
    </row>
    <row r="349" spans="1:47" ht="15.75" collapsed="1">
      <c r="C349" s="143"/>
      <c r="E349" s="83" t="s">
        <v>96</v>
      </c>
      <c r="F349" s="99">
        <f t="shared" ref="F349:T349" si="191">SUM(F348)</f>
        <v>0</v>
      </c>
      <c r="G349" s="99">
        <f t="shared" si="191"/>
        <v>0</v>
      </c>
      <c r="H349" s="99">
        <f t="shared" si="191"/>
        <v>0</v>
      </c>
      <c r="I349" s="99">
        <f t="shared" si="191"/>
        <v>0</v>
      </c>
      <c r="J349" s="99">
        <f t="shared" si="191"/>
        <v>0</v>
      </c>
      <c r="K349" s="99">
        <f t="shared" si="191"/>
        <v>0</v>
      </c>
      <c r="L349" s="99">
        <f t="shared" si="191"/>
        <v>0</v>
      </c>
      <c r="M349" s="99">
        <f t="shared" si="191"/>
        <v>0</v>
      </c>
      <c r="N349" s="99">
        <f t="shared" si="191"/>
        <v>0</v>
      </c>
      <c r="O349" s="99">
        <f t="shared" si="191"/>
        <v>0</v>
      </c>
      <c r="P349" s="99">
        <f t="shared" si="191"/>
        <v>0</v>
      </c>
      <c r="Q349" s="99">
        <f t="shared" si="191"/>
        <v>0</v>
      </c>
      <c r="R349" s="99">
        <f t="shared" si="191"/>
        <v>0</v>
      </c>
      <c r="S349" s="99">
        <f t="shared" si="191"/>
        <v>0</v>
      </c>
      <c r="T349" s="99">
        <f t="shared" si="191"/>
        <v>0</v>
      </c>
      <c r="U349" s="99">
        <f>SUM(U348)</f>
        <v>0</v>
      </c>
      <c r="V349" s="99">
        <f>SUM(V348)</f>
        <v>0</v>
      </c>
      <c r="W349" s="99">
        <f t="shared" ref="W349:AG349" si="192">SUM(W348)</f>
        <v>0</v>
      </c>
      <c r="X349" s="99">
        <f t="shared" si="192"/>
        <v>0</v>
      </c>
      <c r="Y349" s="99">
        <f t="shared" si="192"/>
        <v>0</v>
      </c>
      <c r="Z349" s="99">
        <f t="shared" si="192"/>
        <v>0</v>
      </c>
      <c r="AA349" s="99">
        <f t="shared" si="192"/>
        <v>0</v>
      </c>
      <c r="AB349" s="99">
        <f t="shared" si="192"/>
        <v>0</v>
      </c>
      <c r="AC349" s="99">
        <f t="shared" si="192"/>
        <v>0</v>
      </c>
      <c r="AD349" s="99">
        <f t="shared" si="192"/>
        <v>0</v>
      </c>
      <c r="AE349" s="99">
        <f t="shared" si="192"/>
        <v>0</v>
      </c>
      <c r="AF349" s="99">
        <f t="shared" si="192"/>
        <v>0</v>
      </c>
      <c r="AG349" s="99">
        <f t="shared" si="192"/>
        <v>0</v>
      </c>
      <c r="AH349" s="99">
        <f>SUM(AH348)</f>
        <v>0</v>
      </c>
      <c r="AI349" s="99">
        <f>SUM(AI348)</f>
        <v>0</v>
      </c>
      <c r="AJ349" s="99">
        <f t="shared" ref="AJ349:AT349" si="193">SUM(AJ348)</f>
        <v>0</v>
      </c>
      <c r="AK349" s="99">
        <f t="shared" si="193"/>
        <v>0</v>
      </c>
      <c r="AL349" s="99">
        <f t="shared" si="193"/>
        <v>0</v>
      </c>
      <c r="AM349" s="99">
        <f t="shared" si="193"/>
        <v>0</v>
      </c>
      <c r="AN349" s="99">
        <f t="shared" si="193"/>
        <v>0</v>
      </c>
      <c r="AO349" s="99">
        <f t="shared" si="193"/>
        <v>0</v>
      </c>
      <c r="AP349" s="99">
        <f t="shared" si="193"/>
        <v>0</v>
      </c>
      <c r="AQ349" s="99">
        <f t="shared" si="193"/>
        <v>0</v>
      </c>
      <c r="AR349" s="99">
        <f t="shared" si="193"/>
        <v>0</v>
      </c>
      <c r="AS349" s="99">
        <f t="shared" si="193"/>
        <v>0</v>
      </c>
      <c r="AT349" s="99">
        <f t="shared" si="193"/>
        <v>0</v>
      </c>
      <c r="AU349" s="99">
        <f>SUM(AU348)</f>
        <v>0</v>
      </c>
    </row>
    <row r="350" spans="1:47" ht="15.75">
      <c r="A350" s="1" t="s">
        <v>127</v>
      </c>
      <c r="C350" s="25"/>
      <c r="E350" s="50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</row>
    <row r="351" spans="1:47">
      <c r="A351" s="1" t="s">
        <v>127</v>
      </c>
      <c r="C351" s="53"/>
    </row>
    <row r="352" spans="1:47" ht="15.75" customHeight="1">
      <c r="A352" s="1" t="s">
        <v>127</v>
      </c>
      <c r="C352" s="143" t="s">
        <v>97</v>
      </c>
      <c r="E352" s="126" t="s">
        <v>98</v>
      </c>
      <c r="F352" s="128">
        <f t="shared" ref="F352:AU352" si="194">IFERROR((-F41/F30),"-")</f>
        <v>0.29505291463859434</v>
      </c>
      <c r="G352" s="128">
        <f t="shared" si="194"/>
        <v>0.28470058178994828</v>
      </c>
      <c r="H352" s="128">
        <f t="shared" si="194"/>
        <v>0.51926240906765508</v>
      </c>
      <c r="I352" s="128">
        <f t="shared" si="194"/>
        <v>0.60385433006164391</v>
      </c>
      <c r="J352" s="128">
        <f t="shared" si="194"/>
        <v>0.44542429278019996</v>
      </c>
      <c r="K352" s="128">
        <f t="shared" si="194"/>
        <v>0.50478030900925797</v>
      </c>
      <c r="L352" s="128">
        <f t="shared" si="194"/>
        <v>0.50693438070473673</v>
      </c>
      <c r="M352" s="128">
        <f t="shared" si="194"/>
        <v>0.49905568278933182</v>
      </c>
      <c r="N352" s="128">
        <f t="shared" si="194"/>
        <v>0.5010874713378709</v>
      </c>
      <c r="O352" s="128">
        <f t="shared" si="194"/>
        <v>0.5439637842933347</v>
      </c>
      <c r="P352" s="128">
        <f t="shared" si="194"/>
        <v>0.52243163972401796</v>
      </c>
      <c r="Q352" s="128">
        <f t="shared" si="194"/>
        <v>0.51259871691839742</v>
      </c>
      <c r="R352" s="128">
        <f t="shared" si="194"/>
        <v>0.54849428328190886</v>
      </c>
      <c r="S352" s="128">
        <f t="shared" si="194"/>
        <v>0.53118615282639592</v>
      </c>
      <c r="T352" s="128">
        <f t="shared" si="194"/>
        <v>0.50635095566694954</v>
      </c>
      <c r="U352" s="128">
        <f t="shared" si="194"/>
        <v>0.50635095566694954</v>
      </c>
      <c r="V352" s="128" t="str">
        <f t="shared" si="194"/>
        <v>-</v>
      </c>
      <c r="W352" s="128" t="str">
        <f t="shared" si="194"/>
        <v>-</v>
      </c>
      <c r="X352" s="128" t="str">
        <f t="shared" si="194"/>
        <v>-</v>
      </c>
      <c r="Y352" s="128" t="str">
        <f t="shared" si="194"/>
        <v>-</v>
      </c>
      <c r="Z352" s="128" t="str">
        <f t="shared" si="194"/>
        <v>-</v>
      </c>
      <c r="AA352" s="128" t="str">
        <f t="shared" si="194"/>
        <v>-</v>
      </c>
      <c r="AB352" s="128" t="str">
        <f t="shared" si="194"/>
        <v>-</v>
      </c>
      <c r="AC352" s="128" t="str">
        <f t="shared" si="194"/>
        <v>-</v>
      </c>
      <c r="AD352" s="128" t="str">
        <f t="shared" si="194"/>
        <v>-</v>
      </c>
      <c r="AE352" s="128" t="str">
        <f t="shared" si="194"/>
        <v>-</v>
      </c>
      <c r="AF352" s="128" t="str">
        <f t="shared" si="194"/>
        <v>-</v>
      </c>
      <c r="AG352" s="128" t="str">
        <f t="shared" si="194"/>
        <v>-</v>
      </c>
      <c r="AH352" s="128" t="str">
        <f t="shared" si="194"/>
        <v>-</v>
      </c>
      <c r="AI352" s="128" t="str">
        <f t="shared" si="194"/>
        <v>-</v>
      </c>
      <c r="AJ352" s="128" t="str">
        <f t="shared" si="194"/>
        <v>-</v>
      </c>
      <c r="AK352" s="128" t="str">
        <f t="shared" si="194"/>
        <v>-</v>
      </c>
      <c r="AL352" s="128" t="str">
        <f t="shared" si="194"/>
        <v>-</v>
      </c>
      <c r="AM352" s="128" t="str">
        <f t="shared" si="194"/>
        <v>-</v>
      </c>
      <c r="AN352" s="128" t="str">
        <f t="shared" si="194"/>
        <v>-</v>
      </c>
      <c r="AO352" s="128" t="str">
        <f t="shared" si="194"/>
        <v>-</v>
      </c>
      <c r="AP352" s="128" t="str">
        <f t="shared" si="194"/>
        <v>-</v>
      </c>
      <c r="AQ352" s="128" t="str">
        <f t="shared" si="194"/>
        <v>-</v>
      </c>
      <c r="AR352" s="128" t="str">
        <f t="shared" si="194"/>
        <v>-</v>
      </c>
      <c r="AS352" s="128" t="str">
        <f t="shared" si="194"/>
        <v>-</v>
      </c>
      <c r="AT352" s="128" t="str">
        <f t="shared" si="194"/>
        <v>-</v>
      </c>
      <c r="AU352" s="128" t="str">
        <f t="shared" si="194"/>
        <v>-</v>
      </c>
    </row>
    <row r="353" spans="1:47" ht="15.75">
      <c r="A353" s="1" t="s">
        <v>127</v>
      </c>
      <c r="C353" s="143"/>
      <c r="E353" s="15" t="s">
        <v>99</v>
      </c>
      <c r="F353" s="75">
        <f t="shared" ref="F353:AU353" si="195">IFERROR((-F80/F30),"-")</f>
        <v>0.12743495638535354</v>
      </c>
      <c r="G353" s="75">
        <f t="shared" si="195"/>
        <v>0.13010203024943554</v>
      </c>
      <c r="H353" s="75">
        <f t="shared" si="195"/>
        <v>0.24410197993071761</v>
      </c>
      <c r="I353" s="75">
        <f t="shared" si="195"/>
        <v>0.29946667583798758</v>
      </c>
      <c r="J353" s="75">
        <f t="shared" si="195"/>
        <v>0.19404103846342935</v>
      </c>
      <c r="K353" s="75">
        <f t="shared" si="195"/>
        <v>0.23353250356207728</v>
      </c>
      <c r="L353" s="75">
        <f t="shared" si="195"/>
        <v>0.23161440841215786</v>
      </c>
      <c r="M353" s="75">
        <f t="shared" si="195"/>
        <v>0.22392327024205602</v>
      </c>
      <c r="N353" s="75">
        <f t="shared" si="195"/>
        <v>0.22485102891982126</v>
      </c>
      <c r="O353" s="75">
        <f t="shared" si="195"/>
        <v>0.25040320820678436</v>
      </c>
      <c r="P353" s="75">
        <f t="shared" si="195"/>
        <v>0.22759317500915624</v>
      </c>
      <c r="Q353" s="75">
        <f t="shared" si="195"/>
        <v>0.22136241455286332</v>
      </c>
      <c r="R353" s="75">
        <f t="shared" si="195"/>
        <v>0.23585051236801385</v>
      </c>
      <c r="S353" s="75">
        <f t="shared" si="195"/>
        <v>0.22578590948347754</v>
      </c>
      <c r="T353" s="75">
        <f t="shared" si="195"/>
        <v>0.21304580206578469</v>
      </c>
      <c r="U353" s="75">
        <f t="shared" si="195"/>
        <v>0.21304580206578469</v>
      </c>
      <c r="V353" s="75" t="str">
        <f t="shared" si="195"/>
        <v>-</v>
      </c>
      <c r="W353" s="75" t="str">
        <f t="shared" si="195"/>
        <v>-</v>
      </c>
      <c r="X353" s="75" t="str">
        <f t="shared" si="195"/>
        <v>-</v>
      </c>
      <c r="Y353" s="75" t="str">
        <f t="shared" si="195"/>
        <v>-</v>
      </c>
      <c r="Z353" s="75" t="str">
        <f t="shared" si="195"/>
        <v>-</v>
      </c>
      <c r="AA353" s="75" t="str">
        <f t="shared" si="195"/>
        <v>-</v>
      </c>
      <c r="AB353" s="75" t="str">
        <f t="shared" si="195"/>
        <v>-</v>
      </c>
      <c r="AC353" s="75" t="str">
        <f t="shared" si="195"/>
        <v>-</v>
      </c>
      <c r="AD353" s="75" t="str">
        <f t="shared" si="195"/>
        <v>-</v>
      </c>
      <c r="AE353" s="75" t="str">
        <f t="shared" si="195"/>
        <v>-</v>
      </c>
      <c r="AF353" s="75" t="str">
        <f t="shared" si="195"/>
        <v>-</v>
      </c>
      <c r="AG353" s="75" t="str">
        <f t="shared" si="195"/>
        <v>-</v>
      </c>
      <c r="AH353" s="75" t="str">
        <f t="shared" si="195"/>
        <v>-</v>
      </c>
      <c r="AI353" s="75" t="str">
        <f t="shared" si="195"/>
        <v>-</v>
      </c>
      <c r="AJ353" s="75" t="str">
        <f t="shared" si="195"/>
        <v>-</v>
      </c>
      <c r="AK353" s="75" t="str">
        <f t="shared" si="195"/>
        <v>-</v>
      </c>
      <c r="AL353" s="75" t="str">
        <f t="shared" si="195"/>
        <v>-</v>
      </c>
      <c r="AM353" s="75" t="str">
        <f t="shared" si="195"/>
        <v>-</v>
      </c>
      <c r="AN353" s="75" t="str">
        <f t="shared" si="195"/>
        <v>-</v>
      </c>
      <c r="AO353" s="75" t="str">
        <f t="shared" si="195"/>
        <v>-</v>
      </c>
      <c r="AP353" s="75" t="str">
        <f t="shared" si="195"/>
        <v>-</v>
      </c>
      <c r="AQ353" s="75" t="str">
        <f t="shared" si="195"/>
        <v>-</v>
      </c>
      <c r="AR353" s="75" t="str">
        <f t="shared" si="195"/>
        <v>-</v>
      </c>
      <c r="AS353" s="75" t="str">
        <f t="shared" si="195"/>
        <v>-</v>
      </c>
      <c r="AT353" s="75" t="str">
        <f t="shared" si="195"/>
        <v>-</v>
      </c>
      <c r="AU353" s="75" t="str">
        <f t="shared" si="195"/>
        <v>-</v>
      </c>
    </row>
    <row r="354" spans="1:47" ht="15.75">
      <c r="A354" s="1" t="s">
        <v>127</v>
      </c>
      <c r="C354" s="143"/>
      <c r="E354" s="15" t="s">
        <v>100</v>
      </c>
      <c r="F354" s="75">
        <f t="shared" ref="F354:AU354" si="196">IFERROR((-F98/F30),"-")</f>
        <v>0.15463804817856874</v>
      </c>
      <c r="G354" s="75">
        <f t="shared" si="196"/>
        <v>0.12220652396469003</v>
      </c>
      <c r="H354" s="75">
        <f t="shared" si="196"/>
        <v>0.30889608419586795</v>
      </c>
      <c r="I354" s="75">
        <f t="shared" si="196"/>
        <v>0.4620087740832623</v>
      </c>
      <c r="J354" s="75">
        <f t="shared" si="196"/>
        <v>0.29018571238001062</v>
      </c>
      <c r="K354" s="75">
        <f t="shared" si="196"/>
        <v>0.37718985704443109</v>
      </c>
      <c r="L354" s="75">
        <f t="shared" si="196"/>
        <v>0.38481612170459889</v>
      </c>
      <c r="M354" s="75">
        <f t="shared" si="196"/>
        <v>0.38658927381514507</v>
      </c>
      <c r="N354" s="75">
        <f t="shared" si="196"/>
        <v>0.39054557749322771</v>
      </c>
      <c r="O354" s="75">
        <f t="shared" si="196"/>
        <v>0.45553203419915816</v>
      </c>
      <c r="P354" s="75">
        <f t="shared" si="196"/>
        <v>0.4136450296728732</v>
      </c>
      <c r="Q354" s="75">
        <f t="shared" si="196"/>
        <v>0.41234690603367713</v>
      </c>
      <c r="R354" s="75">
        <f t="shared" si="196"/>
        <v>0.46782191207278373</v>
      </c>
      <c r="S354" s="75">
        <f t="shared" si="196"/>
        <v>0.4515345868907038</v>
      </c>
      <c r="T354" s="75">
        <f t="shared" si="196"/>
        <v>0.42166009615128497</v>
      </c>
      <c r="U354" s="75">
        <f t="shared" si="196"/>
        <v>0.42166009615128497</v>
      </c>
      <c r="V354" s="75" t="str">
        <f t="shared" si="196"/>
        <v>-</v>
      </c>
      <c r="W354" s="75" t="str">
        <f t="shared" si="196"/>
        <v>-</v>
      </c>
      <c r="X354" s="75" t="str">
        <f t="shared" si="196"/>
        <v>-</v>
      </c>
      <c r="Y354" s="75" t="str">
        <f t="shared" si="196"/>
        <v>-</v>
      </c>
      <c r="Z354" s="75" t="str">
        <f t="shared" si="196"/>
        <v>-</v>
      </c>
      <c r="AA354" s="75" t="str">
        <f t="shared" si="196"/>
        <v>-</v>
      </c>
      <c r="AB354" s="75" t="str">
        <f t="shared" si="196"/>
        <v>-</v>
      </c>
      <c r="AC354" s="75" t="str">
        <f t="shared" si="196"/>
        <v>-</v>
      </c>
      <c r="AD354" s="75" t="str">
        <f t="shared" si="196"/>
        <v>-</v>
      </c>
      <c r="AE354" s="75" t="str">
        <f t="shared" si="196"/>
        <v>-</v>
      </c>
      <c r="AF354" s="75" t="str">
        <f t="shared" si="196"/>
        <v>-</v>
      </c>
      <c r="AG354" s="75" t="str">
        <f t="shared" si="196"/>
        <v>-</v>
      </c>
      <c r="AH354" s="75" t="str">
        <f t="shared" si="196"/>
        <v>-</v>
      </c>
      <c r="AI354" s="75" t="str">
        <f t="shared" si="196"/>
        <v>-</v>
      </c>
      <c r="AJ354" s="75" t="str">
        <f t="shared" si="196"/>
        <v>-</v>
      </c>
      <c r="AK354" s="75" t="str">
        <f t="shared" si="196"/>
        <v>-</v>
      </c>
      <c r="AL354" s="75" t="str">
        <f t="shared" si="196"/>
        <v>-</v>
      </c>
      <c r="AM354" s="75" t="str">
        <f t="shared" si="196"/>
        <v>-</v>
      </c>
      <c r="AN354" s="75" t="str">
        <f t="shared" si="196"/>
        <v>-</v>
      </c>
      <c r="AO354" s="75" t="str">
        <f t="shared" si="196"/>
        <v>-</v>
      </c>
      <c r="AP354" s="75" t="str">
        <f t="shared" si="196"/>
        <v>-</v>
      </c>
      <c r="AQ354" s="75" t="str">
        <f t="shared" si="196"/>
        <v>-</v>
      </c>
      <c r="AR354" s="75" t="str">
        <f t="shared" si="196"/>
        <v>-</v>
      </c>
      <c r="AS354" s="75" t="str">
        <f t="shared" si="196"/>
        <v>-</v>
      </c>
      <c r="AT354" s="75" t="str">
        <f t="shared" si="196"/>
        <v>-</v>
      </c>
      <c r="AU354" s="75" t="str">
        <f t="shared" si="196"/>
        <v>-</v>
      </c>
    </row>
    <row r="355" spans="1:47" ht="15.75">
      <c r="A355" s="1" t="s">
        <v>127</v>
      </c>
      <c r="C355" s="143"/>
      <c r="E355" s="15" t="s">
        <v>101</v>
      </c>
      <c r="F355" s="75">
        <f t="shared" ref="F355:AU355" si="197">IFERROR(-(F114/F30),"-")</f>
        <v>0.11140117841237501</v>
      </c>
      <c r="G355" s="75">
        <f t="shared" si="197"/>
        <v>0.12532614217232166</v>
      </c>
      <c r="H355" s="75">
        <f t="shared" si="197"/>
        <v>0.20358042099541876</v>
      </c>
      <c r="I355" s="75">
        <f t="shared" si="197"/>
        <v>0.19706120519398254</v>
      </c>
      <c r="J355" s="75">
        <f t="shared" si="197"/>
        <v>0.13914373697291224</v>
      </c>
      <c r="K355" s="75">
        <f t="shared" si="197"/>
        <v>0.15562807448008395</v>
      </c>
      <c r="L355" s="75">
        <f t="shared" si="197"/>
        <v>0.15177760852661998</v>
      </c>
      <c r="M355" s="75">
        <f t="shared" si="197"/>
        <v>0.14817396430767735</v>
      </c>
      <c r="N355" s="75">
        <f t="shared" si="197"/>
        <v>0.14487626805939921</v>
      </c>
      <c r="O355" s="75">
        <f t="shared" si="197"/>
        <v>0.15619232012780512</v>
      </c>
      <c r="P355" s="75">
        <f t="shared" si="197"/>
        <v>0.14009261762225192</v>
      </c>
      <c r="Q355" s="75">
        <f t="shared" si="197"/>
        <v>0.15156804443161631</v>
      </c>
      <c r="R355" s="75">
        <f t="shared" si="197"/>
        <v>0.15963982399084706</v>
      </c>
      <c r="S355" s="75">
        <f t="shared" si="197"/>
        <v>0.15060841017181811</v>
      </c>
      <c r="T355" s="75">
        <f t="shared" si="197"/>
        <v>0.14232210996146219</v>
      </c>
      <c r="U355" s="75">
        <f t="shared" si="197"/>
        <v>0.14232210996146219</v>
      </c>
      <c r="V355" s="75" t="str">
        <f t="shared" si="197"/>
        <v>-</v>
      </c>
      <c r="W355" s="75" t="str">
        <f t="shared" si="197"/>
        <v>-</v>
      </c>
      <c r="X355" s="75" t="str">
        <f t="shared" si="197"/>
        <v>-</v>
      </c>
      <c r="Y355" s="75" t="str">
        <f t="shared" si="197"/>
        <v>-</v>
      </c>
      <c r="Z355" s="75" t="str">
        <f t="shared" si="197"/>
        <v>-</v>
      </c>
      <c r="AA355" s="75" t="str">
        <f t="shared" si="197"/>
        <v>-</v>
      </c>
      <c r="AB355" s="75" t="str">
        <f t="shared" si="197"/>
        <v>-</v>
      </c>
      <c r="AC355" s="75" t="str">
        <f t="shared" si="197"/>
        <v>-</v>
      </c>
      <c r="AD355" s="75" t="str">
        <f t="shared" si="197"/>
        <v>-</v>
      </c>
      <c r="AE355" s="75" t="str">
        <f t="shared" si="197"/>
        <v>-</v>
      </c>
      <c r="AF355" s="75" t="str">
        <f t="shared" si="197"/>
        <v>-</v>
      </c>
      <c r="AG355" s="75" t="str">
        <f t="shared" si="197"/>
        <v>-</v>
      </c>
      <c r="AH355" s="75" t="str">
        <f t="shared" si="197"/>
        <v>-</v>
      </c>
      <c r="AI355" s="75" t="str">
        <f t="shared" si="197"/>
        <v>-</v>
      </c>
      <c r="AJ355" s="75" t="str">
        <f t="shared" si="197"/>
        <v>-</v>
      </c>
      <c r="AK355" s="75" t="str">
        <f t="shared" si="197"/>
        <v>-</v>
      </c>
      <c r="AL355" s="75" t="str">
        <f t="shared" si="197"/>
        <v>-</v>
      </c>
      <c r="AM355" s="75" t="str">
        <f t="shared" si="197"/>
        <v>-</v>
      </c>
      <c r="AN355" s="75" t="str">
        <f t="shared" si="197"/>
        <v>-</v>
      </c>
      <c r="AO355" s="75" t="str">
        <f t="shared" si="197"/>
        <v>-</v>
      </c>
      <c r="AP355" s="75" t="str">
        <f t="shared" si="197"/>
        <v>-</v>
      </c>
      <c r="AQ355" s="75" t="str">
        <f t="shared" si="197"/>
        <v>-</v>
      </c>
      <c r="AR355" s="75" t="str">
        <f t="shared" si="197"/>
        <v>-</v>
      </c>
      <c r="AS355" s="75" t="str">
        <f t="shared" si="197"/>
        <v>-</v>
      </c>
      <c r="AT355" s="75" t="str">
        <f t="shared" si="197"/>
        <v>-</v>
      </c>
      <c r="AU355" s="75" t="str">
        <f t="shared" si="197"/>
        <v>-</v>
      </c>
    </row>
    <row r="356" spans="1:47" ht="15.75">
      <c r="A356" s="1" t="s">
        <v>127</v>
      </c>
      <c r="C356" s="143"/>
      <c r="E356" s="15" t="s">
        <v>102</v>
      </c>
      <c r="F356" s="76">
        <f t="shared" ref="F356:AU356" si="198">IFERROR((-F186/F30),"-")</f>
        <v>0.18106825803538712</v>
      </c>
      <c r="G356" s="76">
        <f t="shared" si="198"/>
        <v>0.19035867924008715</v>
      </c>
      <c r="H356" s="76">
        <f t="shared" si="198"/>
        <v>0.43723028628606758</v>
      </c>
      <c r="I356" s="76">
        <f t="shared" si="198"/>
        <v>0.56662998408907506</v>
      </c>
      <c r="J356" s="76">
        <f t="shared" si="198"/>
        <v>0.40406184815548707</v>
      </c>
      <c r="K356" s="76">
        <f t="shared" si="198"/>
        <v>0.43984813523017147</v>
      </c>
      <c r="L356" s="76">
        <f t="shared" si="198"/>
        <v>0.4017522805681113</v>
      </c>
      <c r="M356" s="76">
        <f t="shared" si="198"/>
        <v>0.40374204085316978</v>
      </c>
      <c r="N356" s="76">
        <f t="shared" si="198"/>
        <v>0.41252427755355214</v>
      </c>
      <c r="O356" s="76">
        <f t="shared" si="198"/>
        <v>0.45375473468028349</v>
      </c>
      <c r="P356" s="76">
        <f t="shared" si="198"/>
        <v>0.42197011264069029</v>
      </c>
      <c r="Q356" s="76">
        <f t="shared" si="198"/>
        <v>0.41344706462300113</v>
      </c>
      <c r="R356" s="76">
        <f t="shared" si="198"/>
        <v>0.44091827650572002</v>
      </c>
      <c r="S356" s="76">
        <f t="shared" si="198"/>
        <v>0.43583111223896792</v>
      </c>
      <c r="T356" s="76">
        <f t="shared" si="198"/>
        <v>0.43809986568268855</v>
      </c>
      <c r="U356" s="76">
        <f t="shared" si="198"/>
        <v>0.43809986568268855</v>
      </c>
      <c r="V356" s="76" t="str">
        <f t="shared" si="198"/>
        <v>-</v>
      </c>
      <c r="W356" s="76" t="str">
        <f t="shared" si="198"/>
        <v>-</v>
      </c>
      <c r="X356" s="76" t="str">
        <f t="shared" si="198"/>
        <v>-</v>
      </c>
      <c r="Y356" s="76" t="str">
        <f t="shared" si="198"/>
        <v>-</v>
      </c>
      <c r="Z356" s="76" t="str">
        <f t="shared" si="198"/>
        <v>-</v>
      </c>
      <c r="AA356" s="76" t="str">
        <f t="shared" si="198"/>
        <v>-</v>
      </c>
      <c r="AB356" s="76" t="str">
        <f t="shared" si="198"/>
        <v>-</v>
      </c>
      <c r="AC356" s="76" t="str">
        <f t="shared" si="198"/>
        <v>-</v>
      </c>
      <c r="AD356" s="76" t="str">
        <f t="shared" si="198"/>
        <v>-</v>
      </c>
      <c r="AE356" s="76" t="str">
        <f t="shared" si="198"/>
        <v>-</v>
      </c>
      <c r="AF356" s="76" t="str">
        <f t="shared" si="198"/>
        <v>-</v>
      </c>
      <c r="AG356" s="76" t="str">
        <f t="shared" si="198"/>
        <v>-</v>
      </c>
      <c r="AH356" s="76" t="str">
        <f t="shared" si="198"/>
        <v>-</v>
      </c>
      <c r="AI356" s="76" t="str">
        <f t="shared" si="198"/>
        <v>-</v>
      </c>
      <c r="AJ356" s="76" t="str">
        <f t="shared" si="198"/>
        <v>-</v>
      </c>
      <c r="AK356" s="76" t="str">
        <f t="shared" si="198"/>
        <v>-</v>
      </c>
      <c r="AL356" s="76" t="str">
        <f t="shared" si="198"/>
        <v>-</v>
      </c>
      <c r="AM356" s="76" t="str">
        <f t="shared" si="198"/>
        <v>-</v>
      </c>
      <c r="AN356" s="76" t="str">
        <f t="shared" si="198"/>
        <v>-</v>
      </c>
      <c r="AO356" s="76" t="str">
        <f t="shared" si="198"/>
        <v>-</v>
      </c>
      <c r="AP356" s="76" t="str">
        <f t="shared" si="198"/>
        <v>-</v>
      </c>
      <c r="AQ356" s="76" t="str">
        <f t="shared" si="198"/>
        <v>-</v>
      </c>
      <c r="AR356" s="76" t="str">
        <f t="shared" si="198"/>
        <v>-</v>
      </c>
      <c r="AS356" s="76" t="str">
        <f t="shared" si="198"/>
        <v>-</v>
      </c>
      <c r="AT356" s="76" t="str">
        <f t="shared" si="198"/>
        <v>-</v>
      </c>
      <c r="AU356" s="76" t="str">
        <f t="shared" si="198"/>
        <v>-</v>
      </c>
    </row>
    <row r="357" spans="1:47" ht="15.75">
      <c r="A357" s="1" t="s">
        <v>127</v>
      </c>
      <c r="C357" s="143"/>
      <c r="E357" s="52" t="s">
        <v>103</v>
      </c>
      <c r="F357" s="77">
        <f t="shared" ref="F357:AU357" si="199">IFERROR(-F258/F30,"-")</f>
        <v>6.2257308442462099E-2</v>
      </c>
      <c r="G357" s="77">
        <f t="shared" si="199"/>
        <v>6.1708623271942348E-2</v>
      </c>
      <c r="H357" s="77">
        <f t="shared" si="199"/>
        <v>0.11840767578653726</v>
      </c>
      <c r="I357" s="77">
        <f t="shared" si="199"/>
        <v>0.24607428233315004</v>
      </c>
      <c r="J357" s="77">
        <f t="shared" si="199"/>
        <v>7.9969030481491093E-2</v>
      </c>
      <c r="K357" s="77">
        <f t="shared" si="199"/>
        <v>0.11240041651857438</v>
      </c>
      <c r="L357" s="77">
        <f t="shared" si="199"/>
        <v>0.1041636088863877</v>
      </c>
      <c r="M357" s="77">
        <f t="shared" si="199"/>
        <v>0.10749491874529482</v>
      </c>
      <c r="N357" s="77">
        <f t="shared" si="199"/>
        <v>0.10602302799391376</v>
      </c>
      <c r="O357" s="77">
        <f t="shared" si="199"/>
        <v>0.11657251621435477</v>
      </c>
      <c r="P357" s="77">
        <f t="shared" si="199"/>
        <v>9.9356084943317005E-2</v>
      </c>
      <c r="Q357" s="77">
        <f t="shared" si="199"/>
        <v>9.471678687006041E-2</v>
      </c>
      <c r="R357" s="77">
        <f t="shared" si="199"/>
        <v>9.8527321723960032E-2</v>
      </c>
      <c r="S357" s="77">
        <f t="shared" si="199"/>
        <v>0.10153273546426757</v>
      </c>
      <c r="T357" s="77">
        <f t="shared" si="199"/>
        <v>9.792599365466359E-2</v>
      </c>
      <c r="U357" s="77">
        <f t="shared" si="199"/>
        <v>9.792599365466359E-2</v>
      </c>
      <c r="V357" s="77" t="str">
        <f t="shared" si="199"/>
        <v>-</v>
      </c>
      <c r="W357" s="77" t="str">
        <f t="shared" si="199"/>
        <v>-</v>
      </c>
      <c r="X357" s="77" t="str">
        <f t="shared" si="199"/>
        <v>-</v>
      </c>
      <c r="Y357" s="77" t="str">
        <f t="shared" si="199"/>
        <v>-</v>
      </c>
      <c r="Z357" s="77" t="str">
        <f t="shared" si="199"/>
        <v>-</v>
      </c>
      <c r="AA357" s="77" t="str">
        <f t="shared" si="199"/>
        <v>-</v>
      </c>
      <c r="AB357" s="77" t="str">
        <f t="shared" si="199"/>
        <v>-</v>
      </c>
      <c r="AC357" s="77" t="str">
        <f t="shared" si="199"/>
        <v>-</v>
      </c>
      <c r="AD357" s="77" t="str">
        <f t="shared" si="199"/>
        <v>-</v>
      </c>
      <c r="AE357" s="77" t="str">
        <f t="shared" si="199"/>
        <v>-</v>
      </c>
      <c r="AF357" s="77" t="str">
        <f t="shared" si="199"/>
        <v>-</v>
      </c>
      <c r="AG357" s="77" t="str">
        <f t="shared" si="199"/>
        <v>-</v>
      </c>
      <c r="AH357" s="77" t="str">
        <f t="shared" si="199"/>
        <v>-</v>
      </c>
      <c r="AI357" s="77" t="str">
        <f t="shared" si="199"/>
        <v>-</v>
      </c>
      <c r="AJ357" s="77" t="str">
        <f t="shared" si="199"/>
        <v>-</v>
      </c>
      <c r="AK357" s="77" t="str">
        <f t="shared" si="199"/>
        <v>-</v>
      </c>
      <c r="AL357" s="77" t="str">
        <f t="shared" si="199"/>
        <v>-</v>
      </c>
      <c r="AM357" s="77" t="str">
        <f t="shared" si="199"/>
        <v>-</v>
      </c>
      <c r="AN357" s="77" t="str">
        <f t="shared" si="199"/>
        <v>-</v>
      </c>
      <c r="AO357" s="77" t="str">
        <f t="shared" si="199"/>
        <v>-</v>
      </c>
      <c r="AP357" s="77" t="str">
        <f t="shared" si="199"/>
        <v>-</v>
      </c>
      <c r="AQ357" s="77" t="str">
        <f t="shared" si="199"/>
        <v>-</v>
      </c>
      <c r="AR357" s="77" t="str">
        <f t="shared" si="199"/>
        <v>-</v>
      </c>
      <c r="AS357" s="77" t="str">
        <f t="shared" si="199"/>
        <v>-</v>
      </c>
      <c r="AT357" s="77" t="str">
        <f t="shared" si="199"/>
        <v>-</v>
      </c>
      <c r="AU357" s="77" t="str">
        <f t="shared" si="199"/>
        <v>-</v>
      </c>
    </row>
    <row r="358" spans="1:47" ht="9" customHeight="1">
      <c r="A358" s="1" t="s">
        <v>127</v>
      </c>
      <c r="C358" s="143"/>
      <c r="E358" s="7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</row>
    <row r="359" spans="1:47" ht="15.75">
      <c r="A359" s="1" t="s">
        <v>127</v>
      </c>
      <c r="C359" s="143"/>
      <c r="E359" s="126" t="str">
        <f>"Revenue "&amp;RIGHT(Context!$F$36,3)&amp;"/km"</f>
        <v>Revenue LCL/km</v>
      </c>
      <c r="F359" s="129">
        <f t="shared" ref="F359:AU359" si="200">IFERROR(F21/F308,"-")</f>
        <v>60.847655484281141</v>
      </c>
      <c r="G359" s="129">
        <f t="shared" si="200"/>
        <v>83.881867964971846</v>
      </c>
      <c r="H359" s="129">
        <f t="shared" si="200"/>
        <v>74.752955542416203</v>
      </c>
      <c r="I359" s="129">
        <f t="shared" si="200"/>
        <v>123.78761730474746</v>
      </c>
      <c r="J359" s="129">
        <f t="shared" si="200"/>
        <v>55.168193877483347</v>
      </c>
      <c r="K359" s="129">
        <f t="shared" si="200"/>
        <v>98.331724350148633</v>
      </c>
      <c r="L359" s="129">
        <f t="shared" si="200"/>
        <v>100.42130371179013</v>
      </c>
      <c r="M359" s="129">
        <f t="shared" si="200"/>
        <v>101.66898261865313</v>
      </c>
      <c r="N359" s="129">
        <f t="shared" si="200"/>
        <v>102.64256988846483</v>
      </c>
      <c r="O359" s="129">
        <f t="shared" si="200"/>
        <v>5.1444198058684432</v>
      </c>
      <c r="P359" s="129">
        <f t="shared" si="200"/>
        <v>97.52698972309868</v>
      </c>
      <c r="Q359" s="129">
        <f t="shared" si="200"/>
        <v>96.567919451496792</v>
      </c>
      <c r="R359" s="129">
        <f t="shared" si="200"/>
        <v>96.149460342697211</v>
      </c>
      <c r="S359" s="129">
        <f t="shared" si="200"/>
        <v>87.298088508535301</v>
      </c>
      <c r="T359" s="129">
        <f t="shared" si="200"/>
        <v>94.690262517287422</v>
      </c>
      <c r="U359" s="129">
        <f t="shared" si="200"/>
        <v>94.690262517287422</v>
      </c>
      <c r="V359" s="129" t="str">
        <f t="shared" si="200"/>
        <v>-</v>
      </c>
      <c r="W359" s="129" t="str">
        <f t="shared" si="200"/>
        <v>-</v>
      </c>
      <c r="X359" s="129" t="str">
        <f t="shared" si="200"/>
        <v>-</v>
      </c>
      <c r="Y359" s="129" t="str">
        <f t="shared" si="200"/>
        <v>-</v>
      </c>
      <c r="Z359" s="129" t="str">
        <f t="shared" si="200"/>
        <v>-</v>
      </c>
      <c r="AA359" s="129" t="str">
        <f t="shared" si="200"/>
        <v>-</v>
      </c>
      <c r="AB359" s="129" t="str">
        <f t="shared" si="200"/>
        <v>-</v>
      </c>
      <c r="AC359" s="129" t="str">
        <f t="shared" si="200"/>
        <v>-</v>
      </c>
      <c r="AD359" s="129" t="str">
        <f t="shared" si="200"/>
        <v>-</v>
      </c>
      <c r="AE359" s="129" t="str">
        <f t="shared" si="200"/>
        <v>-</v>
      </c>
      <c r="AF359" s="129" t="str">
        <f t="shared" si="200"/>
        <v>-</v>
      </c>
      <c r="AG359" s="129" t="str">
        <f t="shared" si="200"/>
        <v>-</v>
      </c>
      <c r="AH359" s="129" t="str">
        <f t="shared" si="200"/>
        <v>-</v>
      </c>
      <c r="AI359" s="129" t="str">
        <f t="shared" si="200"/>
        <v>-</v>
      </c>
      <c r="AJ359" s="129" t="str">
        <f t="shared" si="200"/>
        <v>-</v>
      </c>
      <c r="AK359" s="129" t="str">
        <f t="shared" si="200"/>
        <v>-</v>
      </c>
      <c r="AL359" s="129" t="str">
        <f t="shared" si="200"/>
        <v>-</v>
      </c>
      <c r="AM359" s="129" t="str">
        <f t="shared" si="200"/>
        <v>-</v>
      </c>
      <c r="AN359" s="129" t="str">
        <f t="shared" si="200"/>
        <v>-</v>
      </c>
      <c r="AO359" s="129" t="str">
        <f t="shared" si="200"/>
        <v>-</v>
      </c>
      <c r="AP359" s="129" t="str">
        <f t="shared" si="200"/>
        <v>-</v>
      </c>
      <c r="AQ359" s="129" t="str">
        <f t="shared" si="200"/>
        <v>-</v>
      </c>
      <c r="AR359" s="129" t="str">
        <f t="shared" si="200"/>
        <v>-</v>
      </c>
      <c r="AS359" s="129" t="str">
        <f t="shared" si="200"/>
        <v>-</v>
      </c>
      <c r="AT359" s="129" t="str">
        <f t="shared" si="200"/>
        <v>-</v>
      </c>
      <c r="AU359" s="129" t="str">
        <f t="shared" si="200"/>
        <v>-</v>
      </c>
    </row>
    <row r="360" spans="1:47" ht="15.75">
      <c r="A360" s="1" t="s">
        <v>127</v>
      </c>
      <c r="C360" s="143"/>
      <c r="E360" s="15" t="s">
        <v>104</v>
      </c>
      <c r="F360" s="56">
        <f t="shared" ref="F360:AU360" si="201">IFERROR(F324/F304,"-")</f>
        <v>0.56553002934184404</v>
      </c>
      <c r="G360" s="56">
        <f t="shared" si="201"/>
        <v>0.51885399501135665</v>
      </c>
      <c r="H360" s="56">
        <f t="shared" si="201"/>
        <v>0.51685393065170793</v>
      </c>
      <c r="I360" s="56">
        <f t="shared" si="201"/>
        <v>0.45596088427376258</v>
      </c>
      <c r="J360" s="56">
        <f t="shared" si="201"/>
        <v>0.50585711625358998</v>
      </c>
      <c r="K360" s="56">
        <f t="shared" si="201"/>
        <v>0.49411579584340948</v>
      </c>
      <c r="L360" s="56">
        <f t="shared" si="201"/>
        <v>0.49996326736015689</v>
      </c>
      <c r="M360" s="56">
        <f t="shared" si="201"/>
        <v>0.4826586983467942</v>
      </c>
      <c r="N360" s="56">
        <f t="shared" si="201"/>
        <v>0.48065644234312271</v>
      </c>
      <c r="O360" s="56">
        <f t="shared" si="201"/>
        <v>1.8111478825908186E-2</v>
      </c>
      <c r="P360" s="56">
        <f t="shared" si="201"/>
        <v>0.49228153144619657</v>
      </c>
      <c r="Q360" s="56">
        <f t="shared" si="201"/>
        <v>0.45027137898708131</v>
      </c>
      <c r="R360" s="56">
        <f t="shared" si="201"/>
        <v>0.51704730347900463</v>
      </c>
      <c r="S360" s="56">
        <f t="shared" si="201"/>
        <v>0.50921940872392679</v>
      </c>
      <c r="T360" s="56">
        <f t="shared" si="201"/>
        <v>0.50902480981564469</v>
      </c>
      <c r="U360" s="56">
        <f t="shared" si="201"/>
        <v>0.50902480981564469</v>
      </c>
      <c r="V360" s="56" t="str">
        <f t="shared" si="201"/>
        <v>-</v>
      </c>
      <c r="W360" s="56" t="str">
        <f t="shared" si="201"/>
        <v>-</v>
      </c>
      <c r="X360" s="56" t="str">
        <f t="shared" si="201"/>
        <v>-</v>
      </c>
      <c r="Y360" s="56" t="str">
        <f t="shared" si="201"/>
        <v>-</v>
      </c>
      <c r="Z360" s="56" t="str">
        <f t="shared" si="201"/>
        <v>-</v>
      </c>
      <c r="AA360" s="56" t="str">
        <f t="shared" si="201"/>
        <v>-</v>
      </c>
      <c r="AB360" s="56" t="str">
        <f t="shared" si="201"/>
        <v>-</v>
      </c>
      <c r="AC360" s="56" t="str">
        <f t="shared" si="201"/>
        <v>-</v>
      </c>
      <c r="AD360" s="56" t="str">
        <f t="shared" si="201"/>
        <v>-</v>
      </c>
      <c r="AE360" s="56" t="str">
        <f t="shared" si="201"/>
        <v>-</v>
      </c>
      <c r="AF360" s="56" t="str">
        <f t="shared" si="201"/>
        <v>-</v>
      </c>
      <c r="AG360" s="56" t="str">
        <f t="shared" si="201"/>
        <v>-</v>
      </c>
      <c r="AH360" s="56" t="str">
        <f t="shared" si="201"/>
        <v>-</v>
      </c>
      <c r="AI360" s="56" t="str">
        <f t="shared" si="201"/>
        <v>-</v>
      </c>
      <c r="AJ360" s="56" t="str">
        <f t="shared" si="201"/>
        <v>-</v>
      </c>
      <c r="AK360" s="56" t="str">
        <f t="shared" si="201"/>
        <v>-</v>
      </c>
      <c r="AL360" s="56" t="str">
        <f t="shared" si="201"/>
        <v>-</v>
      </c>
      <c r="AM360" s="56" t="str">
        <f t="shared" si="201"/>
        <v>-</v>
      </c>
      <c r="AN360" s="56" t="str">
        <f t="shared" si="201"/>
        <v>-</v>
      </c>
      <c r="AO360" s="56" t="str">
        <f t="shared" si="201"/>
        <v>-</v>
      </c>
      <c r="AP360" s="56" t="str">
        <f t="shared" si="201"/>
        <v>-</v>
      </c>
      <c r="AQ360" s="56" t="str">
        <f t="shared" si="201"/>
        <v>-</v>
      </c>
      <c r="AR360" s="56" t="str">
        <f t="shared" si="201"/>
        <v>-</v>
      </c>
      <c r="AS360" s="56" t="str">
        <f t="shared" si="201"/>
        <v>-</v>
      </c>
      <c r="AT360" s="56" t="str">
        <f t="shared" si="201"/>
        <v>-</v>
      </c>
      <c r="AU360" s="56" t="str">
        <f t="shared" si="201"/>
        <v>-</v>
      </c>
    </row>
    <row r="361" spans="1:47" ht="15.75">
      <c r="A361" s="1" t="s">
        <v>127</v>
      </c>
      <c r="C361" s="143"/>
      <c r="E361" s="15" t="s">
        <v>105</v>
      </c>
      <c r="F361" s="56">
        <f t="shared" ref="F361:AU361" si="202">IFERROR(F326/F305,"-")</f>
        <v>1.3751860668648122</v>
      </c>
      <c r="G361" s="56">
        <f t="shared" si="202"/>
        <v>1.5535086949607066</v>
      </c>
      <c r="H361" s="56">
        <f t="shared" si="202"/>
        <v>1.2297346205309745</v>
      </c>
      <c r="I361" s="56">
        <f t="shared" si="202"/>
        <v>0.66778540533847175</v>
      </c>
      <c r="J361" s="56">
        <f t="shared" si="202"/>
        <v>1.0737890858784278</v>
      </c>
      <c r="K361" s="56">
        <f t="shared" si="202"/>
        <v>1.0595383744199771</v>
      </c>
      <c r="L361" s="56">
        <f t="shared" si="202"/>
        <v>1.0445055427291512</v>
      </c>
      <c r="M361" s="56">
        <f t="shared" si="202"/>
        <v>1.0142464505004674</v>
      </c>
      <c r="N361" s="56">
        <f t="shared" si="202"/>
        <v>1.0077786111431775</v>
      </c>
      <c r="O361" s="56">
        <f t="shared" si="202"/>
        <v>1.9233189208681266E-3</v>
      </c>
      <c r="P361" s="56">
        <f t="shared" si="202"/>
        <v>0.89495191159699339</v>
      </c>
      <c r="Q361" s="56">
        <f t="shared" si="202"/>
        <v>0.80760599595119253</v>
      </c>
      <c r="R361" s="56">
        <f t="shared" si="202"/>
        <v>0.78716915526814835</v>
      </c>
      <c r="S361" s="56">
        <f t="shared" si="202"/>
        <v>0.79428981298952972</v>
      </c>
      <c r="T361" s="56">
        <f t="shared" si="202"/>
        <v>0.78304743429551804</v>
      </c>
      <c r="U361" s="56">
        <f t="shared" si="202"/>
        <v>0.78304743429551804</v>
      </c>
      <c r="V361" s="56" t="str">
        <f t="shared" si="202"/>
        <v>-</v>
      </c>
      <c r="W361" s="56" t="str">
        <f t="shared" si="202"/>
        <v>-</v>
      </c>
      <c r="X361" s="56" t="str">
        <f t="shared" si="202"/>
        <v>-</v>
      </c>
      <c r="Y361" s="56" t="str">
        <f t="shared" si="202"/>
        <v>-</v>
      </c>
      <c r="Z361" s="56" t="str">
        <f t="shared" si="202"/>
        <v>-</v>
      </c>
      <c r="AA361" s="56" t="str">
        <f t="shared" si="202"/>
        <v>-</v>
      </c>
      <c r="AB361" s="56" t="str">
        <f t="shared" si="202"/>
        <v>-</v>
      </c>
      <c r="AC361" s="56" t="str">
        <f t="shared" si="202"/>
        <v>-</v>
      </c>
      <c r="AD361" s="56" t="str">
        <f t="shared" si="202"/>
        <v>-</v>
      </c>
      <c r="AE361" s="56" t="str">
        <f t="shared" si="202"/>
        <v>-</v>
      </c>
      <c r="AF361" s="56" t="str">
        <f t="shared" si="202"/>
        <v>-</v>
      </c>
      <c r="AG361" s="56" t="str">
        <f t="shared" si="202"/>
        <v>-</v>
      </c>
      <c r="AH361" s="56" t="str">
        <f t="shared" si="202"/>
        <v>-</v>
      </c>
      <c r="AI361" s="56" t="str">
        <f t="shared" si="202"/>
        <v>-</v>
      </c>
      <c r="AJ361" s="56" t="str">
        <f t="shared" si="202"/>
        <v>-</v>
      </c>
      <c r="AK361" s="56" t="str">
        <f t="shared" si="202"/>
        <v>-</v>
      </c>
      <c r="AL361" s="56" t="str">
        <f t="shared" si="202"/>
        <v>-</v>
      </c>
      <c r="AM361" s="56" t="str">
        <f t="shared" si="202"/>
        <v>-</v>
      </c>
      <c r="AN361" s="56" t="str">
        <f t="shared" si="202"/>
        <v>-</v>
      </c>
      <c r="AO361" s="56" t="str">
        <f t="shared" si="202"/>
        <v>-</v>
      </c>
      <c r="AP361" s="56" t="str">
        <f t="shared" si="202"/>
        <v>-</v>
      </c>
      <c r="AQ361" s="56" t="str">
        <f t="shared" si="202"/>
        <v>-</v>
      </c>
      <c r="AR361" s="56" t="str">
        <f t="shared" si="202"/>
        <v>-</v>
      </c>
      <c r="AS361" s="56" t="str">
        <f t="shared" si="202"/>
        <v>-</v>
      </c>
      <c r="AT361" s="56" t="str">
        <f t="shared" si="202"/>
        <v>-</v>
      </c>
      <c r="AU361" s="56" t="str">
        <f t="shared" si="202"/>
        <v>-</v>
      </c>
    </row>
    <row r="362" spans="1:47" ht="15.75">
      <c r="A362" s="1" t="s">
        <v>127</v>
      </c>
      <c r="C362" s="143"/>
      <c r="E362" s="15" t="s">
        <v>106</v>
      </c>
      <c r="F362" s="56">
        <f t="shared" ref="F362:AU362" si="203">IFERROR(F328/F307,"-")</f>
        <v>0</v>
      </c>
      <c r="G362" s="56">
        <f t="shared" si="203"/>
        <v>0</v>
      </c>
      <c r="H362" s="56">
        <f t="shared" si="203"/>
        <v>0</v>
      </c>
      <c r="I362" s="56">
        <f t="shared" si="203"/>
        <v>0</v>
      </c>
      <c r="J362" s="56">
        <f t="shared" si="203"/>
        <v>0</v>
      </c>
      <c r="K362" s="56">
        <f t="shared" si="203"/>
        <v>0</v>
      </c>
      <c r="L362" s="56">
        <f t="shared" si="203"/>
        <v>0</v>
      </c>
      <c r="M362" s="56">
        <f t="shared" si="203"/>
        <v>0</v>
      </c>
      <c r="N362" s="56">
        <f t="shared" si="203"/>
        <v>0</v>
      </c>
      <c r="O362" s="56">
        <f t="shared" si="203"/>
        <v>4.9063914252331399E-3</v>
      </c>
      <c r="P362" s="56">
        <f t="shared" si="203"/>
        <v>3.6028505136610049</v>
      </c>
      <c r="Q362" s="56">
        <f t="shared" si="203"/>
        <v>3.8936642034120621</v>
      </c>
      <c r="R362" s="56">
        <f t="shared" si="203"/>
        <v>3.8822327919726463</v>
      </c>
      <c r="S362" s="56">
        <f t="shared" si="203"/>
        <v>3.9530165524294274</v>
      </c>
      <c r="T362" s="56">
        <f t="shared" si="203"/>
        <v>3.8393017865702097</v>
      </c>
      <c r="U362" s="56">
        <f t="shared" si="203"/>
        <v>3.8393017865702097</v>
      </c>
      <c r="V362" s="56" t="str">
        <f t="shared" si="203"/>
        <v>-</v>
      </c>
      <c r="W362" s="56" t="str">
        <f t="shared" si="203"/>
        <v>-</v>
      </c>
      <c r="X362" s="56" t="str">
        <f t="shared" si="203"/>
        <v>-</v>
      </c>
      <c r="Y362" s="56" t="str">
        <f t="shared" si="203"/>
        <v>-</v>
      </c>
      <c r="Z362" s="56" t="str">
        <f t="shared" si="203"/>
        <v>-</v>
      </c>
      <c r="AA362" s="56" t="str">
        <f t="shared" si="203"/>
        <v>-</v>
      </c>
      <c r="AB362" s="56" t="str">
        <f t="shared" si="203"/>
        <v>-</v>
      </c>
      <c r="AC362" s="56" t="str">
        <f t="shared" si="203"/>
        <v>-</v>
      </c>
      <c r="AD362" s="56" t="str">
        <f t="shared" si="203"/>
        <v>-</v>
      </c>
      <c r="AE362" s="56" t="str">
        <f t="shared" si="203"/>
        <v>-</v>
      </c>
      <c r="AF362" s="56" t="str">
        <f t="shared" si="203"/>
        <v>-</v>
      </c>
      <c r="AG362" s="56" t="str">
        <f t="shared" si="203"/>
        <v>-</v>
      </c>
      <c r="AH362" s="56" t="str">
        <f t="shared" si="203"/>
        <v>-</v>
      </c>
      <c r="AI362" s="56" t="str">
        <f t="shared" si="203"/>
        <v>-</v>
      </c>
      <c r="AJ362" s="56" t="str">
        <f t="shared" si="203"/>
        <v>-</v>
      </c>
      <c r="AK362" s="56" t="str">
        <f t="shared" si="203"/>
        <v>-</v>
      </c>
      <c r="AL362" s="56" t="str">
        <f t="shared" si="203"/>
        <v>-</v>
      </c>
      <c r="AM362" s="56" t="str">
        <f t="shared" si="203"/>
        <v>-</v>
      </c>
      <c r="AN362" s="56" t="str">
        <f t="shared" si="203"/>
        <v>-</v>
      </c>
      <c r="AO362" s="56" t="str">
        <f t="shared" si="203"/>
        <v>-</v>
      </c>
      <c r="AP362" s="56" t="str">
        <f t="shared" si="203"/>
        <v>-</v>
      </c>
      <c r="AQ362" s="56" t="str">
        <f t="shared" si="203"/>
        <v>-</v>
      </c>
      <c r="AR362" s="56" t="str">
        <f t="shared" si="203"/>
        <v>-</v>
      </c>
      <c r="AS362" s="56" t="str">
        <f t="shared" si="203"/>
        <v>-</v>
      </c>
      <c r="AT362" s="56" t="str">
        <f t="shared" si="203"/>
        <v>-</v>
      </c>
      <c r="AU362" s="56" t="str">
        <f t="shared" si="203"/>
        <v>-</v>
      </c>
    </row>
    <row r="363" spans="1:47" ht="15.75">
      <c r="A363" s="1" t="s">
        <v>127</v>
      </c>
      <c r="C363" s="143"/>
      <c r="E363" s="15" t="s">
        <v>107</v>
      </c>
      <c r="F363" s="56">
        <f t="shared" ref="F363:AU363" si="204">IFERROR(F330/F306,"-")</f>
        <v>3.3848249348662933</v>
      </c>
      <c r="G363" s="56">
        <f t="shared" si="204"/>
        <v>5.8905518407017343</v>
      </c>
      <c r="H363" s="56">
        <f t="shared" si="204"/>
        <v>4.8272366721241182</v>
      </c>
      <c r="I363" s="56">
        <f t="shared" si="204"/>
        <v>4.8146149265436584</v>
      </c>
      <c r="J363" s="56">
        <f t="shared" si="204"/>
        <v>5.1853942585746546</v>
      </c>
      <c r="K363" s="56">
        <f t="shared" si="204"/>
        <v>2.6907962244800179</v>
      </c>
      <c r="L363" s="56">
        <f t="shared" si="204"/>
        <v>3.0881157191908186</v>
      </c>
      <c r="M363" s="56">
        <f t="shared" si="204"/>
        <v>3.2647080350697633</v>
      </c>
      <c r="N363" s="56">
        <f t="shared" si="204"/>
        <v>3.4346803161789641</v>
      </c>
      <c r="O363" s="56">
        <f t="shared" si="204"/>
        <v>1.1303367888916203</v>
      </c>
      <c r="P363" s="56">
        <f t="shared" si="204"/>
        <v>4.8478599708008279</v>
      </c>
      <c r="Q363" s="56">
        <f t="shared" si="204"/>
        <v>4.7700646851274735</v>
      </c>
      <c r="R363" s="56">
        <f t="shared" si="204"/>
        <v>4.8870356955379597</v>
      </c>
      <c r="S363" s="56">
        <f t="shared" si="204"/>
        <v>4.6160873447729625</v>
      </c>
      <c r="T363" s="56">
        <f t="shared" si="204"/>
        <v>4.7844472411721526</v>
      </c>
      <c r="U363" s="56">
        <f t="shared" si="204"/>
        <v>4.7844472411721526</v>
      </c>
      <c r="V363" s="56" t="str">
        <f t="shared" si="204"/>
        <v>-</v>
      </c>
      <c r="W363" s="56" t="str">
        <f t="shared" si="204"/>
        <v>-</v>
      </c>
      <c r="X363" s="56" t="str">
        <f t="shared" si="204"/>
        <v>-</v>
      </c>
      <c r="Y363" s="56" t="str">
        <f t="shared" si="204"/>
        <v>-</v>
      </c>
      <c r="Z363" s="56" t="str">
        <f t="shared" si="204"/>
        <v>-</v>
      </c>
      <c r="AA363" s="56" t="str">
        <f t="shared" si="204"/>
        <v>-</v>
      </c>
      <c r="AB363" s="56" t="str">
        <f t="shared" si="204"/>
        <v>-</v>
      </c>
      <c r="AC363" s="56" t="str">
        <f t="shared" si="204"/>
        <v>-</v>
      </c>
      <c r="AD363" s="56" t="str">
        <f t="shared" si="204"/>
        <v>-</v>
      </c>
      <c r="AE363" s="56" t="str">
        <f t="shared" si="204"/>
        <v>-</v>
      </c>
      <c r="AF363" s="56" t="str">
        <f t="shared" si="204"/>
        <v>-</v>
      </c>
      <c r="AG363" s="56" t="str">
        <f t="shared" si="204"/>
        <v>-</v>
      </c>
      <c r="AH363" s="56" t="str">
        <f t="shared" si="204"/>
        <v>-</v>
      </c>
      <c r="AI363" s="56" t="str">
        <f t="shared" si="204"/>
        <v>-</v>
      </c>
      <c r="AJ363" s="56" t="str">
        <f t="shared" si="204"/>
        <v>-</v>
      </c>
      <c r="AK363" s="56" t="str">
        <f t="shared" si="204"/>
        <v>-</v>
      </c>
      <c r="AL363" s="56" t="str">
        <f t="shared" si="204"/>
        <v>-</v>
      </c>
      <c r="AM363" s="56" t="str">
        <f t="shared" si="204"/>
        <v>-</v>
      </c>
      <c r="AN363" s="56" t="str">
        <f t="shared" si="204"/>
        <v>-</v>
      </c>
      <c r="AO363" s="56" t="str">
        <f t="shared" si="204"/>
        <v>-</v>
      </c>
      <c r="AP363" s="56" t="str">
        <f t="shared" si="204"/>
        <v>-</v>
      </c>
      <c r="AQ363" s="56" t="str">
        <f t="shared" si="204"/>
        <v>-</v>
      </c>
      <c r="AR363" s="56" t="str">
        <f t="shared" si="204"/>
        <v>-</v>
      </c>
      <c r="AS363" s="56" t="str">
        <f t="shared" si="204"/>
        <v>-</v>
      </c>
      <c r="AT363" s="56" t="str">
        <f t="shared" si="204"/>
        <v>-</v>
      </c>
      <c r="AU363" s="56" t="str">
        <f t="shared" si="204"/>
        <v>-</v>
      </c>
    </row>
    <row r="364" spans="1:47" ht="15.75">
      <c r="A364" s="1" t="s">
        <v>127</v>
      </c>
      <c r="C364" s="143"/>
      <c r="E364" s="15" t="str">
        <f>"(E2) Cost "&amp;RIGHT(Context!$F$36,3)&amp;"/L (fuel)"</f>
        <v>(E2) Cost LCL/L (fuel)</v>
      </c>
      <c r="F364" s="56">
        <f t="shared" ref="F364:AU364" si="205">IFERROR(F88/F324,"-")</f>
        <v>-38.992458337865237</v>
      </c>
      <c r="G364" s="56">
        <f t="shared" si="205"/>
        <v>-38.559113954228629</v>
      </c>
      <c r="H364" s="56">
        <f t="shared" si="205"/>
        <v>-51.301858000305948</v>
      </c>
      <c r="I364" s="56">
        <f t="shared" si="205"/>
        <v>-85.689446581847179</v>
      </c>
      <c r="J364" s="56">
        <f t="shared" si="205"/>
        <v>-33.871715108206899</v>
      </c>
      <c r="K364" s="56">
        <f t="shared" si="205"/>
        <v>-67.260318517650319</v>
      </c>
      <c r="L364" s="56">
        <f t="shared" si="205"/>
        <v>-74.954889255917379</v>
      </c>
      <c r="M364" s="56">
        <f t="shared" si="205"/>
        <v>-75.133048305805815</v>
      </c>
      <c r="N364" s="56">
        <f t="shared" si="205"/>
        <v>-76.665096487792567</v>
      </c>
      <c r="O364" s="56">
        <f t="shared" si="205"/>
        <v>-82.833119861148475</v>
      </c>
      <c r="P364" s="56">
        <f t="shared" si="205"/>
        <v>-86.451821248751529</v>
      </c>
      <c r="Q364" s="56">
        <f t="shared" si="205"/>
        <v>-88.390583474777756</v>
      </c>
      <c r="R364" s="56">
        <f t="shared" si="205"/>
        <v>-88.365347298698751</v>
      </c>
      <c r="S364" s="56">
        <f t="shared" si="205"/>
        <v>-90.455108419483196</v>
      </c>
      <c r="T364" s="56">
        <f t="shared" si="205"/>
        <v>-92.623188923755578</v>
      </c>
      <c r="U364" s="56">
        <f t="shared" si="205"/>
        <v>-92.623188923755578</v>
      </c>
      <c r="V364" s="56" t="str">
        <f t="shared" si="205"/>
        <v>-</v>
      </c>
      <c r="W364" s="56" t="str">
        <f t="shared" si="205"/>
        <v>-</v>
      </c>
      <c r="X364" s="56" t="str">
        <f t="shared" si="205"/>
        <v>-</v>
      </c>
      <c r="Y364" s="56" t="str">
        <f t="shared" si="205"/>
        <v>-</v>
      </c>
      <c r="Z364" s="56" t="str">
        <f t="shared" si="205"/>
        <v>-</v>
      </c>
      <c r="AA364" s="56" t="str">
        <f t="shared" si="205"/>
        <v>-</v>
      </c>
      <c r="AB364" s="56" t="str">
        <f t="shared" si="205"/>
        <v>-</v>
      </c>
      <c r="AC364" s="56" t="str">
        <f t="shared" si="205"/>
        <v>-</v>
      </c>
      <c r="AD364" s="56" t="str">
        <f t="shared" si="205"/>
        <v>-</v>
      </c>
      <c r="AE364" s="56" t="str">
        <f t="shared" si="205"/>
        <v>-</v>
      </c>
      <c r="AF364" s="56" t="str">
        <f t="shared" si="205"/>
        <v>-</v>
      </c>
      <c r="AG364" s="56" t="str">
        <f t="shared" si="205"/>
        <v>-</v>
      </c>
      <c r="AH364" s="56" t="str">
        <f t="shared" si="205"/>
        <v>-</v>
      </c>
      <c r="AI364" s="56" t="str">
        <f t="shared" si="205"/>
        <v>-</v>
      </c>
      <c r="AJ364" s="56" t="str">
        <f t="shared" si="205"/>
        <v>-</v>
      </c>
      <c r="AK364" s="56" t="str">
        <f t="shared" si="205"/>
        <v>-</v>
      </c>
      <c r="AL364" s="56" t="str">
        <f t="shared" si="205"/>
        <v>-</v>
      </c>
      <c r="AM364" s="56" t="str">
        <f t="shared" si="205"/>
        <v>-</v>
      </c>
      <c r="AN364" s="56" t="str">
        <f t="shared" si="205"/>
        <v>-</v>
      </c>
      <c r="AO364" s="56" t="str">
        <f t="shared" si="205"/>
        <v>-</v>
      </c>
      <c r="AP364" s="56" t="str">
        <f t="shared" si="205"/>
        <v>-</v>
      </c>
      <c r="AQ364" s="56" t="str">
        <f t="shared" si="205"/>
        <v>-</v>
      </c>
      <c r="AR364" s="56" t="str">
        <f t="shared" si="205"/>
        <v>-</v>
      </c>
      <c r="AS364" s="56" t="str">
        <f t="shared" si="205"/>
        <v>-</v>
      </c>
      <c r="AT364" s="56" t="str">
        <f t="shared" si="205"/>
        <v>-</v>
      </c>
      <c r="AU364" s="56" t="str">
        <f t="shared" si="205"/>
        <v>-</v>
      </c>
    </row>
    <row r="365" spans="1:47" ht="15.75">
      <c r="A365" s="1" t="s">
        <v>127</v>
      </c>
      <c r="C365" s="143"/>
      <c r="E365" s="15" t="str">
        <f>"(E2) Cost "&amp;RIGHT(Context!$F$36,3)&amp;"/L (biofuel)"</f>
        <v>(E2) Cost LCL/L (biofuel)</v>
      </c>
      <c r="F365" s="56">
        <f t="shared" ref="F365:AU365" si="206">IFERROR(F91/F326,"-")</f>
        <v>-10.963839630999427</v>
      </c>
      <c r="G365" s="56">
        <f t="shared" si="206"/>
        <v>-12.268580676159161</v>
      </c>
      <c r="H365" s="56">
        <f t="shared" si="206"/>
        <v>-13.305360020665212</v>
      </c>
      <c r="I365" s="56">
        <f t="shared" si="206"/>
        <v>-1.7694308980540339</v>
      </c>
      <c r="J365" s="56">
        <f t="shared" si="206"/>
        <v>-13.662745359631467</v>
      </c>
      <c r="K365" s="56">
        <f t="shared" si="206"/>
        <v>-15.204425266955901</v>
      </c>
      <c r="L365" s="56">
        <f t="shared" si="206"/>
        <v>-18.309951838920313</v>
      </c>
      <c r="M365" s="56">
        <f t="shared" si="206"/>
        <v>-73.271889730754495</v>
      </c>
      <c r="N365" s="56">
        <f t="shared" si="206"/>
        <v>-73.399493453226725</v>
      </c>
      <c r="O365" s="56">
        <f t="shared" si="206"/>
        <v>-1.1954534884762646</v>
      </c>
      <c r="P365" s="56">
        <f t="shared" si="206"/>
        <v>-57.035276906455785</v>
      </c>
      <c r="Q365" s="56">
        <f t="shared" si="206"/>
        <v>-54.138429596592836</v>
      </c>
      <c r="R365" s="56">
        <f t="shared" si="206"/>
        <v>-1.1540156508873709</v>
      </c>
      <c r="S365" s="56">
        <f t="shared" si="206"/>
        <v>-1.1265439536689208</v>
      </c>
      <c r="T365" s="56">
        <f t="shared" si="206"/>
        <v>-64.048626329354747</v>
      </c>
      <c r="U365" s="56">
        <f t="shared" si="206"/>
        <v>-64.048626329354747</v>
      </c>
      <c r="V365" s="56" t="str">
        <f t="shared" si="206"/>
        <v>-</v>
      </c>
      <c r="W365" s="56" t="str">
        <f t="shared" si="206"/>
        <v>-</v>
      </c>
      <c r="X365" s="56" t="str">
        <f t="shared" si="206"/>
        <v>-</v>
      </c>
      <c r="Y365" s="56" t="str">
        <f t="shared" si="206"/>
        <v>-</v>
      </c>
      <c r="Z365" s="56" t="str">
        <f t="shared" si="206"/>
        <v>-</v>
      </c>
      <c r="AA365" s="56" t="str">
        <f t="shared" si="206"/>
        <v>-</v>
      </c>
      <c r="AB365" s="56" t="str">
        <f t="shared" si="206"/>
        <v>-</v>
      </c>
      <c r="AC365" s="56" t="str">
        <f t="shared" si="206"/>
        <v>-</v>
      </c>
      <c r="AD365" s="56" t="str">
        <f t="shared" si="206"/>
        <v>-</v>
      </c>
      <c r="AE365" s="56" t="str">
        <f t="shared" si="206"/>
        <v>-</v>
      </c>
      <c r="AF365" s="56" t="str">
        <f t="shared" si="206"/>
        <v>-</v>
      </c>
      <c r="AG365" s="56" t="str">
        <f t="shared" si="206"/>
        <v>-</v>
      </c>
      <c r="AH365" s="56" t="str">
        <f t="shared" si="206"/>
        <v>-</v>
      </c>
      <c r="AI365" s="56" t="str">
        <f t="shared" si="206"/>
        <v>-</v>
      </c>
      <c r="AJ365" s="56" t="str">
        <f t="shared" si="206"/>
        <v>-</v>
      </c>
      <c r="AK365" s="56" t="str">
        <f t="shared" si="206"/>
        <v>-</v>
      </c>
      <c r="AL365" s="56" t="str">
        <f t="shared" si="206"/>
        <v>-</v>
      </c>
      <c r="AM365" s="56" t="str">
        <f t="shared" si="206"/>
        <v>-</v>
      </c>
      <c r="AN365" s="56" t="str">
        <f t="shared" si="206"/>
        <v>-</v>
      </c>
      <c r="AO365" s="56" t="str">
        <f t="shared" si="206"/>
        <v>-</v>
      </c>
      <c r="AP365" s="56" t="str">
        <f t="shared" si="206"/>
        <v>-</v>
      </c>
      <c r="AQ365" s="56" t="str">
        <f t="shared" si="206"/>
        <v>-</v>
      </c>
      <c r="AR365" s="56" t="str">
        <f t="shared" si="206"/>
        <v>-</v>
      </c>
      <c r="AS365" s="56" t="str">
        <f t="shared" si="206"/>
        <v>-</v>
      </c>
      <c r="AT365" s="56" t="str">
        <f t="shared" si="206"/>
        <v>-</v>
      </c>
      <c r="AU365" s="56" t="str">
        <f t="shared" si="206"/>
        <v>-</v>
      </c>
    </row>
    <row r="366" spans="1:47" ht="15.75">
      <c r="A366" s="1" t="s">
        <v>127</v>
      </c>
      <c r="C366" s="143"/>
      <c r="E366" s="15" t="str">
        <f>"(E2) Cost "&amp;RIGHT(Context!$F$36,3)&amp;"/kWh (gas)"</f>
        <v>(E2) Cost LCL/kWh (gas)</v>
      </c>
      <c r="F366" s="56" t="str">
        <f t="shared" ref="F366:AU366" si="207">IFERROR(F94/F328,"-")</f>
        <v>-</v>
      </c>
      <c r="G366" s="56" t="str">
        <f t="shared" si="207"/>
        <v>-</v>
      </c>
      <c r="H366" s="56" t="str">
        <f t="shared" si="207"/>
        <v>-</v>
      </c>
      <c r="I366" s="56" t="str">
        <f t="shared" si="207"/>
        <v>-</v>
      </c>
      <c r="J366" s="56" t="str">
        <f t="shared" si="207"/>
        <v>-</v>
      </c>
      <c r="K366" s="56" t="str">
        <f t="shared" si="207"/>
        <v>-</v>
      </c>
      <c r="L366" s="56" t="str">
        <f t="shared" si="207"/>
        <v>-</v>
      </c>
      <c r="M366" s="56" t="str">
        <f t="shared" si="207"/>
        <v>-</v>
      </c>
      <c r="N366" s="56" t="str">
        <f t="shared" si="207"/>
        <v>-</v>
      </c>
      <c r="O366" s="56">
        <f t="shared" si="207"/>
        <v>-7.7981448999690839</v>
      </c>
      <c r="P366" s="56">
        <f t="shared" si="207"/>
        <v>-1.0288764447516501</v>
      </c>
      <c r="Q366" s="56">
        <f t="shared" si="207"/>
        <v>-0.971475581576836</v>
      </c>
      <c r="R366" s="56">
        <f t="shared" si="207"/>
        <v>-0.3153945045366332</v>
      </c>
      <c r="S366" s="56">
        <f t="shared" si="207"/>
        <v>-0.32789134785632107</v>
      </c>
      <c r="T366" s="56">
        <f t="shared" si="207"/>
        <v>-0.9942462987906846</v>
      </c>
      <c r="U366" s="56">
        <f t="shared" si="207"/>
        <v>-0.9942462987906846</v>
      </c>
      <c r="V366" s="56" t="str">
        <f t="shared" si="207"/>
        <v>-</v>
      </c>
      <c r="W366" s="56" t="str">
        <f t="shared" si="207"/>
        <v>-</v>
      </c>
      <c r="X366" s="56" t="str">
        <f t="shared" si="207"/>
        <v>-</v>
      </c>
      <c r="Y366" s="56" t="str">
        <f t="shared" si="207"/>
        <v>-</v>
      </c>
      <c r="Z366" s="56" t="str">
        <f t="shared" si="207"/>
        <v>-</v>
      </c>
      <c r="AA366" s="56" t="str">
        <f t="shared" si="207"/>
        <v>-</v>
      </c>
      <c r="AB366" s="56" t="str">
        <f t="shared" si="207"/>
        <v>-</v>
      </c>
      <c r="AC366" s="56" t="str">
        <f t="shared" si="207"/>
        <v>-</v>
      </c>
      <c r="AD366" s="56" t="str">
        <f t="shared" si="207"/>
        <v>-</v>
      </c>
      <c r="AE366" s="56" t="str">
        <f t="shared" si="207"/>
        <v>-</v>
      </c>
      <c r="AF366" s="56" t="str">
        <f t="shared" si="207"/>
        <v>-</v>
      </c>
      <c r="AG366" s="56" t="str">
        <f t="shared" si="207"/>
        <v>-</v>
      </c>
      <c r="AH366" s="56" t="str">
        <f t="shared" si="207"/>
        <v>-</v>
      </c>
      <c r="AI366" s="56" t="str">
        <f t="shared" si="207"/>
        <v>-</v>
      </c>
      <c r="AJ366" s="56" t="str">
        <f t="shared" si="207"/>
        <v>-</v>
      </c>
      <c r="AK366" s="56" t="str">
        <f t="shared" si="207"/>
        <v>-</v>
      </c>
      <c r="AL366" s="56" t="str">
        <f t="shared" si="207"/>
        <v>-</v>
      </c>
      <c r="AM366" s="56" t="str">
        <f t="shared" si="207"/>
        <v>-</v>
      </c>
      <c r="AN366" s="56" t="str">
        <f t="shared" si="207"/>
        <v>-</v>
      </c>
      <c r="AO366" s="56" t="str">
        <f t="shared" si="207"/>
        <v>-</v>
      </c>
      <c r="AP366" s="56" t="str">
        <f t="shared" si="207"/>
        <v>-</v>
      </c>
      <c r="AQ366" s="56" t="str">
        <f t="shared" si="207"/>
        <v>-</v>
      </c>
      <c r="AR366" s="56" t="str">
        <f t="shared" si="207"/>
        <v>-</v>
      </c>
      <c r="AS366" s="56" t="str">
        <f t="shared" si="207"/>
        <v>-</v>
      </c>
      <c r="AT366" s="56" t="str">
        <f t="shared" si="207"/>
        <v>-</v>
      </c>
      <c r="AU366" s="56" t="str">
        <f t="shared" si="207"/>
        <v>-</v>
      </c>
    </row>
    <row r="367" spans="1:47" ht="15.75">
      <c r="A367" s="1" t="s">
        <v>127</v>
      </c>
      <c r="C367" s="143"/>
      <c r="E367" s="15" t="str">
        <f>"(E2) Cost "&amp;RIGHT(Context!$F$36,3)&amp;"/kWh (electricity)"</f>
        <v>(E2) Cost LCL/kWh (electricity)</v>
      </c>
      <c r="F367" s="56">
        <f t="shared" ref="F367:AU367" si="208">IFERROR(F83/F330,"-")</f>
        <v>-0.46077161637244557</v>
      </c>
      <c r="G367" s="56">
        <f t="shared" si="208"/>
        <v>-0.67099687447154543</v>
      </c>
      <c r="H367" s="56">
        <f t="shared" si="208"/>
        <v>-1.7772562487322254</v>
      </c>
      <c r="I367" s="56">
        <f t="shared" si="208"/>
        <v>-1.1340076010337883</v>
      </c>
      <c r="J367" s="56">
        <f t="shared" si="208"/>
        <v>-3.0907068783262592</v>
      </c>
      <c r="K367" s="56">
        <f t="shared" si="208"/>
        <v>-3.0753320830493278</v>
      </c>
      <c r="L367" s="56">
        <f t="shared" si="208"/>
        <v>-3.1147147557260406</v>
      </c>
      <c r="M367" s="56">
        <f t="shared" si="208"/>
        <v>-2.9797291817881213</v>
      </c>
      <c r="N367" s="56">
        <f t="shared" si="208"/>
        <v>-2.8583044188107007</v>
      </c>
      <c r="O367" s="56">
        <f t="shared" si="208"/>
        <v>-0.73125779135541868</v>
      </c>
      <c r="P367" s="56">
        <f t="shared" si="208"/>
        <v>-3.0836118699611679</v>
      </c>
      <c r="Q367" s="56">
        <f t="shared" si="208"/>
        <v>-3.1981121369331751</v>
      </c>
      <c r="R367" s="56">
        <f t="shared" si="208"/>
        <v>-0.74712305030450055</v>
      </c>
      <c r="S367" s="56">
        <f t="shared" si="208"/>
        <v>-1.810590276241443</v>
      </c>
      <c r="T367" s="56">
        <f t="shared" si="208"/>
        <v>-2.9032432865404463</v>
      </c>
      <c r="U367" s="56">
        <f t="shared" si="208"/>
        <v>-2.9032432865404463</v>
      </c>
      <c r="V367" s="56" t="str">
        <f t="shared" si="208"/>
        <v>-</v>
      </c>
      <c r="W367" s="56" t="str">
        <f t="shared" si="208"/>
        <v>-</v>
      </c>
      <c r="X367" s="56" t="str">
        <f t="shared" si="208"/>
        <v>-</v>
      </c>
      <c r="Y367" s="56" t="str">
        <f t="shared" si="208"/>
        <v>-</v>
      </c>
      <c r="Z367" s="56" t="str">
        <f t="shared" si="208"/>
        <v>-</v>
      </c>
      <c r="AA367" s="56" t="str">
        <f t="shared" si="208"/>
        <v>-</v>
      </c>
      <c r="AB367" s="56" t="str">
        <f t="shared" si="208"/>
        <v>-</v>
      </c>
      <c r="AC367" s="56" t="str">
        <f t="shared" si="208"/>
        <v>-</v>
      </c>
      <c r="AD367" s="56" t="str">
        <f t="shared" si="208"/>
        <v>-</v>
      </c>
      <c r="AE367" s="56" t="str">
        <f t="shared" si="208"/>
        <v>-</v>
      </c>
      <c r="AF367" s="56" t="str">
        <f t="shared" si="208"/>
        <v>-</v>
      </c>
      <c r="AG367" s="56" t="str">
        <f t="shared" si="208"/>
        <v>-</v>
      </c>
      <c r="AH367" s="56" t="str">
        <f t="shared" si="208"/>
        <v>-</v>
      </c>
      <c r="AI367" s="56" t="str">
        <f t="shared" si="208"/>
        <v>-</v>
      </c>
      <c r="AJ367" s="56" t="str">
        <f t="shared" si="208"/>
        <v>-</v>
      </c>
      <c r="AK367" s="56" t="str">
        <f t="shared" si="208"/>
        <v>-</v>
      </c>
      <c r="AL367" s="56" t="str">
        <f t="shared" si="208"/>
        <v>-</v>
      </c>
      <c r="AM367" s="56" t="str">
        <f t="shared" si="208"/>
        <v>-</v>
      </c>
      <c r="AN367" s="56" t="str">
        <f t="shared" si="208"/>
        <v>-</v>
      </c>
      <c r="AO367" s="56" t="str">
        <f t="shared" si="208"/>
        <v>-</v>
      </c>
      <c r="AP367" s="56" t="str">
        <f t="shared" si="208"/>
        <v>-</v>
      </c>
      <c r="AQ367" s="56" t="str">
        <f t="shared" si="208"/>
        <v>-</v>
      </c>
      <c r="AR367" s="56" t="str">
        <f t="shared" si="208"/>
        <v>-</v>
      </c>
      <c r="AS367" s="56" t="str">
        <f t="shared" si="208"/>
        <v>-</v>
      </c>
      <c r="AT367" s="56" t="str">
        <f t="shared" si="208"/>
        <v>-</v>
      </c>
      <c r="AU367" s="56" t="str">
        <f t="shared" si="208"/>
        <v>-</v>
      </c>
    </row>
    <row r="368" spans="1:47" ht="15.75">
      <c r="A368" s="1" t="s">
        <v>127</v>
      </c>
      <c r="C368" s="143"/>
      <c r="E368" s="15" t="str">
        <f>"(D1) Payroll "&amp;RIGHT(Context!$F$36,3)&amp;"/FTE (Drivers)"</f>
        <v>(D1) Payroll LCL/FTE (Drivers)</v>
      </c>
      <c r="F368" s="56">
        <f t="shared" ref="F368:AU368" si="209">IFERROR(F41/F312,"-")</f>
        <v>-10037155.380410517</v>
      </c>
      <c r="G368" s="56">
        <f t="shared" si="209"/>
        <v>-9043383.9844880942</v>
      </c>
      <c r="H368" s="56">
        <f t="shared" si="209"/>
        <v>-8547395.9027624466</v>
      </c>
      <c r="I368" s="56">
        <f t="shared" si="209"/>
        <v>-6439457.0619361307</v>
      </c>
      <c r="J368" s="56">
        <f t="shared" si="209"/>
        <v>-4692012.4123523226</v>
      </c>
      <c r="K368" s="56">
        <f t="shared" si="209"/>
        <v>-8290205.4897802183</v>
      </c>
      <c r="L368" s="56">
        <f t="shared" si="209"/>
        <v>-8459513.6700930521</v>
      </c>
      <c r="M368" s="56">
        <f t="shared" si="209"/>
        <v>-8622020.3864627592</v>
      </c>
      <c r="N368" s="56">
        <f t="shared" si="209"/>
        <v>-8829875.4330766015</v>
      </c>
      <c r="O368" s="56">
        <f t="shared" si="209"/>
        <v>-8066725.1131477132</v>
      </c>
      <c r="P368" s="56">
        <f t="shared" si="209"/>
        <v>-9320367.5850946698</v>
      </c>
      <c r="Q368" s="56">
        <f t="shared" si="209"/>
        <v>-9322660.5438223314</v>
      </c>
      <c r="R368" s="56">
        <f t="shared" si="209"/>
        <v>-8577160.8748970237</v>
      </c>
      <c r="S368" s="56">
        <f t="shared" si="209"/>
        <v>-8884818.5800804086</v>
      </c>
      <c r="T368" s="56">
        <f t="shared" si="209"/>
        <v>-9513224.7408146523</v>
      </c>
      <c r="U368" s="56">
        <f t="shared" si="209"/>
        <v>-9513224.7408146523</v>
      </c>
      <c r="V368" s="56" t="str">
        <f t="shared" si="209"/>
        <v>-</v>
      </c>
      <c r="W368" s="56" t="str">
        <f t="shared" si="209"/>
        <v>-</v>
      </c>
      <c r="X368" s="56" t="str">
        <f t="shared" si="209"/>
        <v>-</v>
      </c>
      <c r="Y368" s="56" t="str">
        <f t="shared" si="209"/>
        <v>-</v>
      </c>
      <c r="Z368" s="56" t="str">
        <f t="shared" si="209"/>
        <v>-</v>
      </c>
      <c r="AA368" s="56" t="str">
        <f t="shared" si="209"/>
        <v>-</v>
      </c>
      <c r="AB368" s="56" t="str">
        <f t="shared" si="209"/>
        <v>-</v>
      </c>
      <c r="AC368" s="56" t="str">
        <f t="shared" si="209"/>
        <v>-</v>
      </c>
      <c r="AD368" s="56" t="str">
        <f t="shared" si="209"/>
        <v>-</v>
      </c>
      <c r="AE368" s="56" t="str">
        <f t="shared" si="209"/>
        <v>-</v>
      </c>
      <c r="AF368" s="56" t="str">
        <f t="shared" si="209"/>
        <v>-</v>
      </c>
      <c r="AG368" s="56" t="str">
        <f t="shared" si="209"/>
        <v>-</v>
      </c>
      <c r="AH368" s="56" t="str">
        <f t="shared" si="209"/>
        <v>-</v>
      </c>
      <c r="AI368" s="56" t="str">
        <f t="shared" si="209"/>
        <v>-</v>
      </c>
      <c r="AJ368" s="56" t="str">
        <f t="shared" si="209"/>
        <v>-</v>
      </c>
      <c r="AK368" s="56" t="str">
        <f t="shared" si="209"/>
        <v>-</v>
      </c>
      <c r="AL368" s="56" t="str">
        <f t="shared" si="209"/>
        <v>-</v>
      </c>
      <c r="AM368" s="56" t="str">
        <f t="shared" si="209"/>
        <v>-</v>
      </c>
      <c r="AN368" s="56" t="str">
        <f t="shared" si="209"/>
        <v>-</v>
      </c>
      <c r="AO368" s="56" t="str">
        <f t="shared" si="209"/>
        <v>-</v>
      </c>
      <c r="AP368" s="56" t="str">
        <f t="shared" si="209"/>
        <v>-</v>
      </c>
      <c r="AQ368" s="56" t="str">
        <f t="shared" si="209"/>
        <v>-</v>
      </c>
      <c r="AR368" s="56" t="str">
        <f t="shared" si="209"/>
        <v>-</v>
      </c>
      <c r="AS368" s="56" t="str">
        <f t="shared" si="209"/>
        <v>-</v>
      </c>
      <c r="AT368" s="56" t="str">
        <f t="shared" si="209"/>
        <v>-</v>
      </c>
      <c r="AU368" s="56" t="str">
        <f t="shared" si="209"/>
        <v>-</v>
      </c>
    </row>
    <row r="369" spans="1:47" ht="15.75">
      <c r="A369" s="1" t="s">
        <v>127</v>
      </c>
      <c r="C369" s="143"/>
      <c r="E369" s="15" t="s">
        <v>108</v>
      </c>
      <c r="F369" s="56">
        <f t="shared" ref="F369:AU369" si="210">IFERROR(F308/F312,"-")</f>
        <v>566087.61253861105</v>
      </c>
      <c r="G369" s="56">
        <f t="shared" si="210"/>
        <v>383280.06554439786</v>
      </c>
      <c r="H369" s="56">
        <f t="shared" si="210"/>
        <v>440384.69072330266</v>
      </c>
      <c r="I369" s="56">
        <f t="shared" si="210"/>
        <v>200414.73986873479</v>
      </c>
      <c r="J369" s="56">
        <f t="shared" si="210"/>
        <v>326489.84818832105</v>
      </c>
      <c r="K369" s="56">
        <f t="shared" si="210"/>
        <v>336395.11863379745</v>
      </c>
      <c r="L369" s="56">
        <f t="shared" si="210"/>
        <v>333328.82158822141</v>
      </c>
      <c r="M369" s="56">
        <f t="shared" si="210"/>
        <v>338883.79914915306</v>
      </c>
      <c r="N369" s="56">
        <f t="shared" si="210"/>
        <v>342169.31960473279</v>
      </c>
      <c r="O369" s="56">
        <f t="shared" si="210"/>
        <v>6330269.5646318598</v>
      </c>
      <c r="P369" s="56">
        <f t="shared" si="210"/>
        <v>369361.13021128665</v>
      </c>
      <c r="Q369" s="56">
        <f t="shared" si="210"/>
        <v>377460.7609493683</v>
      </c>
      <c r="R369" s="56">
        <f t="shared" si="210"/>
        <v>352762.39572884404</v>
      </c>
      <c r="S369" s="56">
        <f t="shared" si="210"/>
        <v>401828.67627772206</v>
      </c>
      <c r="T369" s="56">
        <f t="shared" si="210"/>
        <v>394624.29916303809</v>
      </c>
      <c r="U369" s="56">
        <f t="shared" si="210"/>
        <v>394624.29916303809</v>
      </c>
      <c r="V369" s="56" t="str">
        <f t="shared" si="210"/>
        <v>-</v>
      </c>
      <c r="W369" s="56" t="str">
        <f t="shared" si="210"/>
        <v>-</v>
      </c>
      <c r="X369" s="56" t="str">
        <f t="shared" si="210"/>
        <v>-</v>
      </c>
      <c r="Y369" s="56" t="str">
        <f t="shared" si="210"/>
        <v>-</v>
      </c>
      <c r="Z369" s="56" t="str">
        <f t="shared" si="210"/>
        <v>-</v>
      </c>
      <c r="AA369" s="56" t="str">
        <f t="shared" si="210"/>
        <v>-</v>
      </c>
      <c r="AB369" s="56" t="str">
        <f t="shared" si="210"/>
        <v>-</v>
      </c>
      <c r="AC369" s="56" t="str">
        <f t="shared" si="210"/>
        <v>-</v>
      </c>
      <c r="AD369" s="56" t="str">
        <f t="shared" si="210"/>
        <v>-</v>
      </c>
      <c r="AE369" s="56" t="str">
        <f t="shared" si="210"/>
        <v>-</v>
      </c>
      <c r="AF369" s="56" t="str">
        <f t="shared" si="210"/>
        <v>-</v>
      </c>
      <c r="AG369" s="56" t="str">
        <f t="shared" si="210"/>
        <v>-</v>
      </c>
      <c r="AH369" s="56" t="str">
        <f t="shared" si="210"/>
        <v>-</v>
      </c>
      <c r="AI369" s="56" t="str">
        <f t="shared" si="210"/>
        <v>-</v>
      </c>
      <c r="AJ369" s="56" t="str">
        <f t="shared" si="210"/>
        <v>-</v>
      </c>
      <c r="AK369" s="56" t="str">
        <f t="shared" si="210"/>
        <v>-</v>
      </c>
      <c r="AL369" s="56" t="str">
        <f t="shared" si="210"/>
        <v>-</v>
      </c>
      <c r="AM369" s="56" t="str">
        <f t="shared" si="210"/>
        <v>-</v>
      </c>
      <c r="AN369" s="56" t="str">
        <f t="shared" si="210"/>
        <v>-</v>
      </c>
      <c r="AO369" s="56" t="str">
        <f t="shared" si="210"/>
        <v>-</v>
      </c>
      <c r="AP369" s="56" t="str">
        <f t="shared" si="210"/>
        <v>-</v>
      </c>
      <c r="AQ369" s="56" t="str">
        <f t="shared" si="210"/>
        <v>-</v>
      </c>
      <c r="AR369" s="56" t="str">
        <f t="shared" si="210"/>
        <v>-</v>
      </c>
      <c r="AS369" s="56" t="str">
        <f t="shared" si="210"/>
        <v>-</v>
      </c>
      <c r="AT369" s="56" t="str">
        <f t="shared" si="210"/>
        <v>-</v>
      </c>
      <c r="AU369" s="56" t="str">
        <f t="shared" si="210"/>
        <v>-</v>
      </c>
    </row>
    <row r="370" spans="1:47" ht="15.75">
      <c r="A370" s="1" t="s">
        <v>127</v>
      </c>
      <c r="C370" s="143"/>
      <c r="E370" s="15" t="str">
        <f>"(M1) "&amp;RIGHT(Context!$F$36,3)&amp;"/veh"</f>
        <v>(M1) LCL/veh</v>
      </c>
      <c r="F370" s="56" t="str">
        <f t="shared" ref="F370:AU370" si="211">IFERROR(F80/(F332+F334+F336+F338+F340+F342),"-")</f>
        <v>-</v>
      </c>
      <c r="G370" s="56" t="str">
        <f t="shared" si="211"/>
        <v>-</v>
      </c>
      <c r="H370" s="56" t="str">
        <f t="shared" si="211"/>
        <v>-</v>
      </c>
      <c r="I370" s="56" t="str">
        <f t="shared" si="211"/>
        <v>-</v>
      </c>
      <c r="J370" s="56" t="str">
        <f t="shared" si="211"/>
        <v>-</v>
      </c>
      <c r="K370" s="56" t="str">
        <f t="shared" si="211"/>
        <v>-</v>
      </c>
      <c r="L370" s="56" t="str">
        <f t="shared" si="211"/>
        <v>-</v>
      </c>
      <c r="M370" s="56" t="str">
        <f t="shared" si="211"/>
        <v>-</v>
      </c>
      <c r="N370" s="56" t="str">
        <f t="shared" si="211"/>
        <v>-</v>
      </c>
      <c r="O370" s="56" t="str">
        <f t="shared" si="211"/>
        <v>-</v>
      </c>
      <c r="P370" s="56" t="str">
        <f t="shared" si="211"/>
        <v>-</v>
      </c>
      <c r="Q370" s="56" t="str">
        <f t="shared" si="211"/>
        <v>-</v>
      </c>
      <c r="R370" s="56" t="str">
        <f t="shared" si="211"/>
        <v>-</v>
      </c>
      <c r="S370" s="56" t="str">
        <f t="shared" si="211"/>
        <v>-</v>
      </c>
      <c r="T370" s="56" t="str">
        <f t="shared" si="211"/>
        <v>-</v>
      </c>
      <c r="U370" s="56" t="str">
        <f t="shared" si="211"/>
        <v>-</v>
      </c>
      <c r="V370" s="56" t="str">
        <f t="shared" si="211"/>
        <v>-</v>
      </c>
      <c r="W370" s="56" t="str">
        <f t="shared" si="211"/>
        <v>-</v>
      </c>
      <c r="X370" s="56" t="str">
        <f t="shared" si="211"/>
        <v>-</v>
      </c>
      <c r="Y370" s="56" t="str">
        <f t="shared" si="211"/>
        <v>-</v>
      </c>
      <c r="Z370" s="56" t="str">
        <f t="shared" si="211"/>
        <v>-</v>
      </c>
      <c r="AA370" s="56" t="str">
        <f t="shared" si="211"/>
        <v>-</v>
      </c>
      <c r="AB370" s="56" t="str">
        <f t="shared" si="211"/>
        <v>-</v>
      </c>
      <c r="AC370" s="56" t="str">
        <f t="shared" si="211"/>
        <v>-</v>
      </c>
      <c r="AD370" s="56" t="str">
        <f t="shared" si="211"/>
        <v>-</v>
      </c>
      <c r="AE370" s="56" t="str">
        <f t="shared" si="211"/>
        <v>-</v>
      </c>
      <c r="AF370" s="56" t="str">
        <f t="shared" si="211"/>
        <v>-</v>
      </c>
      <c r="AG370" s="56" t="str">
        <f t="shared" si="211"/>
        <v>-</v>
      </c>
      <c r="AH370" s="56" t="str">
        <f t="shared" si="211"/>
        <v>-</v>
      </c>
      <c r="AI370" s="56" t="str">
        <f t="shared" si="211"/>
        <v>-</v>
      </c>
      <c r="AJ370" s="56" t="str">
        <f t="shared" si="211"/>
        <v>-</v>
      </c>
      <c r="AK370" s="56" t="str">
        <f t="shared" si="211"/>
        <v>-</v>
      </c>
      <c r="AL370" s="56" t="str">
        <f t="shared" si="211"/>
        <v>-</v>
      </c>
      <c r="AM370" s="56" t="str">
        <f t="shared" si="211"/>
        <v>-</v>
      </c>
      <c r="AN370" s="56" t="str">
        <f t="shared" si="211"/>
        <v>-</v>
      </c>
      <c r="AO370" s="56" t="str">
        <f t="shared" si="211"/>
        <v>-</v>
      </c>
      <c r="AP370" s="56" t="str">
        <f t="shared" si="211"/>
        <v>-</v>
      </c>
      <c r="AQ370" s="56" t="str">
        <f t="shared" si="211"/>
        <v>-</v>
      </c>
      <c r="AR370" s="56" t="str">
        <f t="shared" si="211"/>
        <v>-</v>
      </c>
      <c r="AS370" s="56" t="str">
        <f t="shared" si="211"/>
        <v>-</v>
      </c>
      <c r="AT370" s="56" t="str">
        <f t="shared" si="211"/>
        <v>-</v>
      </c>
      <c r="AU370" s="56" t="str">
        <f t="shared" si="211"/>
        <v>-</v>
      </c>
    </row>
    <row r="371" spans="1:47" ht="15.75">
      <c r="A371" s="1" t="s">
        <v>127</v>
      </c>
      <c r="C371" s="143"/>
      <c r="E371" s="15" t="str">
        <f>"(M2) Payroll "&amp;RIGHT(Context!$F$36,3)&amp;"/FTE (Maintenance)"</f>
        <v>(M2) Payroll LCL/FTE (Maintenance)</v>
      </c>
      <c r="F371" s="56" t="str">
        <f>IFERROR(F44/F315,"-")</f>
        <v>-</v>
      </c>
      <c r="G371" s="56" t="str">
        <f t="shared" ref="G371:AU371" si="212">IFERROR(G44/G315,"-")</f>
        <v>-</v>
      </c>
      <c r="H371" s="56" t="str">
        <f t="shared" si="212"/>
        <v>-</v>
      </c>
      <c r="I371" s="56" t="str">
        <f t="shared" si="212"/>
        <v>-</v>
      </c>
      <c r="J371" s="56" t="str">
        <f t="shared" si="212"/>
        <v>-</v>
      </c>
      <c r="K371" s="56" t="str">
        <f t="shared" si="212"/>
        <v>-</v>
      </c>
      <c r="L371" s="56" t="str">
        <f t="shared" si="212"/>
        <v>-</v>
      </c>
      <c r="M371" s="56" t="str">
        <f t="shared" si="212"/>
        <v>-</v>
      </c>
      <c r="N371" s="56" t="str">
        <f t="shared" si="212"/>
        <v>-</v>
      </c>
      <c r="O371" s="56" t="str">
        <f t="shared" si="212"/>
        <v>-</v>
      </c>
      <c r="P371" s="56" t="str">
        <f t="shared" si="212"/>
        <v>-</v>
      </c>
      <c r="Q371" s="56" t="str">
        <f t="shared" si="212"/>
        <v>-</v>
      </c>
      <c r="R371" s="56" t="str">
        <f t="shared" si="212"/>
        <v>-</v>
      </c>
      <c r="S371" s="56" t="str">
        <f t="shared" si="212"/>
        <v>-</v>
      </c>
      <c r="T371" s="56" t="str">
        <f t="shared" si="212"/>
        <v>-</v>
      </c>
      <c r="U371" s="56" t="str">
        <f t="shared" si="212"/>
        <v>-</v>
      </c>
      <c r="V371" s="56" t="str">
        <f t="shared" si="212"/>
        <v>-</v>
      </c>
      <c r="W371" s="56" t="str">
        <f t="shared" si="212"/>
        <v>-</v>
      </c>
      <c r="X371" s="56" t="str">
        <f t="shared" si="212"/>
        <v>-</v>
      </c>
      <c r="Y371" s="56" t="str">
        <f t="shared" si="212"/>
        <v>-</v>
      </c>
      <c r="Z371" s="56" t="str">
        <f t="shared" si="212"/>
        <v>-</v>
      </c>
      <c r="AA371" s="56" t="str">
        <f t="shared" si="212"/>
        <v>-</v>
      </c>
      <c r="AB371" s="56" t="str">
        <f t="shared" si="212"/>
        <v>-</v>
      </c>
      <c r="AC371" s="56" t="str">
        <f t="shared" si="212"/>
        <v>-</v>
      </c>
      <c r="AD371" s="56" t="str">
        <f t="shared" si="212"/>
        <v>-</v>
      </c>
      <c r="AE371" s="56" t="str">
        <f t="shared" si="212"/>
        <v>-</v>
      </c>
      <c r="AF371" s="56" t="str">
        <f t="shared" si="212"/>
        <v>-</v>
      </c>
      <c r="AG371" s="56" t="str">
        <f t="shared" si="212"/>
        <v>-</v>
      </c>
      <c r="AH371" s="56" t="str">
        <f t="shared" si="212"/>
        <v>-</v>
      </c>
      <c r="AI371" s="56" t="str">
        <f t="shared" si="212"/>
        <v>-</v>
      </c>
      <c r="AJ371" s="56" t="str">
        <f t="shared" si="212"/>
        <v>-</v>
      </c>
      <c r="AK371" s="56" t="str">
        <f t="shared" si="212"/>
        <v>-</v>
      </c>
      <c r="AL371" s="56" t="str">
        <f t="shared" si="212"/>
        <v>-</v>
      </c>
      <c r="AM371" s="56" t="str">
        <f t="shared" si="212"/>
        <v>-</v>
      </c>
      <c r="AN371" s="56" t="str">
        <f t="shared" si="212"/>
        <v>-</v>
      </c>
      <c r="AO371" s="56" t="str">
        <f t="shared" si="212"/>
        <v>-</v>
      </c>
      <c r="AP371" s="56" t="str">
        <f t="shared" si="212"/>
        <v>-</v>
      </c>
      <c r="AQ371" s="56" t="str">
        <f t="shared" si="212"/>
        <v>-</v>
      </c>
      <c r="AR371" s="56" t="str">
        <f t="shared" si="212"/>
        <v>-</v>
      </c>
      <c r="AS371" s="56" t="str">
        <f t="shared" si="212"/>
        <v>-</v>
      </c>
      <c r="AT371" s="56" t="str">
        <f t="shared" si="212"/>
        <v>-</v>
      </c>
      <c r="AU371" s="56" t="str">
        <f t="shared" si="212"/>
        <v>-</v>
      </c>
    </row>
    <row r="372" spans="1:47" ht="15.75">
      <c r="A372" s="1" t="s">
        <v>127</v>
      </c>
      <c r="C372" s="143"/>
      <c r="E372" s="15" t="s">
        <v>109</v>
      </c>
      <c r="F372" s="56" t="str">
        <f t="shared" ref="F372:AU372" si="213">IFERROR(F315/(F332+F334+F336+F338+F340+F342),"-")</f>
        <v>-</v>
      </c>
      <c r="G372" s="56" t="str">
        <f t="shared" si="213"/>
        <v>-</v>
      </c>
      <c r="H372" s="56" t="str">
        <f t="shared" si="213"/>
        <v>-</v>
      </c>
      <c r="I372" s="56" t="str">
        <f t="shared" si="213"/>
        <v>-</v>
      </c>
      <c r="J372" s="56" t="str">
        <f t="shared" si="213"/>
        <v>-</v>
      </c>
      <c r="K372" s="56" t="str">
        <f t="shared" si="213"/>
        <v>-</v>
      </c>
      <c r="L372" s="56" t="str">
        <f t="shared" si="213"/>
        <v>-</v>
      </c>
      <c r="M372" s="56" t="str">
        <f t="shared" si="213"/>
        <v>-</v>
      </c>
      <c r="N372" s="56" t="str">
        <f t="shared" si="213"/>
        <v>-</v>
      </c>
      <c r="O372" s="56" t="str">
        <f t="shared" si="213"/>
        <v>-</v>
      </c>
      <c r="P372" s="56" t="str">
        <f t="shared" si="213"/>
        <v>-</v>
      </c>
      <c r="Q372" s="56" t="str">
        <f t="shared" si="213"/>
        <v>-</v>
      </c>
      <c r="R372" s="56" t="str">
        <f t="shared" si="213"/>
        <v>-</v>
      </c>
      <c r="S372" s="56" t="str">
        <f t="shared" si="213"/>
        <v>-</v>
      </c>
      <c r="T372" s="56" t="str">
        <f t="shared" si="213"/>
        <v>-</v>
      </c>
      <c r="U372" s="56" t="str">
        <f t="shared" si="213"/>
        <v>-</v>
      </c>
      <c r="V372" s="56" t="str">
        <f t="shared" si="213"/>
        <v>-</v>
      </c>
      <c r="W372" s="56" t="str">
        <f t="shared" si="213"/>
        <v>-</v>
      </c>
      <c r="X372" s="56" t="str">
        <f t="shared" si="213"/>
        <v>-</v>
      </c>
      <c r="Y372" s="56" t="str">
        <f t="shared" si="213"/>
        <v>-</v>
      </c>
      <c r="Z372" s="56" t="str">
        <f t="shared" si="213"/>
        <v>-</v>
      </c>
      <c r="AA372" s="56" t="str">
        <f t="shared" si="213"/>
        <v>-</v>
      </c>
      <c r="AB372" s="56" t="str">
        <f t="shared" si="213"/>
        <v>-</v>
      </c>
      <c r="AC372" s="56" t="str">
        <f t="shared" si="213"/>
        <v>-</v>
      </c>
      <c r="AD372" s="56" t="str">
        <f t="shared" si="213"/>
        <v>-</v>
      </c>
      <c r="AE372" s="56" t="str">
        <f t="shared" si="213"/>
        <v>-</v>
      </c>
      <c r="AF372" s="56" t="str">
        <f t="shared" si="213"/>
        <v>-</v>
      </c>
      <c r="AG372" s="56" t="str">
        <f t="shared" si="213"/>
        <v>-</v>
      </c>
      <c r="AH372" s="56" t="str">
        <f t="shared" si="213"/>
        <v>-</v>
      </c>
      <c r="AI372" s="56" t="str">
        <f t="shared" si="213"/>
        <v>-</v>
      </c>
      <c r="AJ372" s="56" t="str">
        <f t="shared" si="213"/>
        <v>-</v>
      </c>
      <c r="AK372" s="56" t="str">
        <f t="shared" si="213"/>
        <v>-</v>
      </c>
      <c r="AL372" s="56" t="str">
        <f t="shared" si="213"/>
        <v>-</v>
      </c>
      <c r="AM372" s="56" t="str">
        <f t="shared" si="213"/>
        <v>-</v>
      </c>
      <c r="AN372" s="56" t="str">
        <f t="shared" si="213"/>
        <v>-</v>
      </c>
      <c r="AO372" s="56" t="str">
        <f t="shared" si="213"/>
        <v>-</v>
      </c>
      <c r="AP372" s="56" t="str">
        <f t="shared" si="213"/>
        <v>-</v>
      </c>
      <c r="AQ372" s="56" t="str">
        <f t="shared" si="213"/>
        <v>-</v>
      </c>
      <c r="AR372" s="56" t="str">
        <f t="shared" si="213"/>
        <v>-</v>
      </c>
      <c r="AS372" s="56" t="str">
        <f t="shared" si="213"/>
        <v>-</v>
      </c>
      <c r="AT372" s="56" t="str">
        <f t="shared" si="213"/>
        <v>-</v>
      </c>
      <c r="AU372" s="56" t="str">
        <f t="shared" si="213"/>
        <v>-</v>
      </c>
    </row>
    <row r="373" spans="1:47" ht="15.75">
      <c r="C373" s="143"/>
      <c r="E373" s="15" t="str">
        <f>"(M4) "&amp;RIGHT(Context!$F$36,3)&amp;"/km"</f>
        <v>(M4) LCL/km</v>
      </c>
      <c r="F373" s="56">
        <f t="shared" ref="F373:AU373" si="214">IFERROR(F80/F308,"-")</f>
        <v>-7.6580052781068346</v>
      </c>
      <c r="G373" s="56">
        <f t="shared" si="214"/>
        <v>-10.78227634823957</v>
      </c>
      <c r="H373" s="56">
        <f t="shared" si="214"/>
        <v>-9.1240157324014213</v>
      </c>
      <c r="I373" s="56">
        <f t="shared" si="214"/>
        <v>-15.934407128736364</v>
      </c>
      <c r="J373" s="56">
        <f t="shared" si="214"/>
        <v>-6.2605020410068484</v>
      </c>
      <c r="K373" s="56">
        <f t="shared" si="214"/>
        <v>-11.401461901065581</v>
      </c>
      <c r="L373" s="56">
        <f t="shared" si="214"/>
        <v>-11.595416582244866</v>
      </c>
      <c r="M373" s="56">
        <f t="shared" si="214"/>
        <v>-11.415855447880633</v>
      </c>
      <c r="N373" s="56">
        <f t="shared" si="214"/>
        <v>-11.579634342990271</v>
      </c>
      <c r="O373" s="56">
        <f t="shared" si="214"/>
        <v>-0.58660391360937258</v>
      </c>
      <c r="P373" s="56">
        <f t="shared" si="214"/>
        <v>-10.99288320507744</v>
      </c>
      <c r="Q373" s="56">
        <f t="shared" si="214"/>
        <v>-10.665824379840364</v>
      </c>
      <c r="R373" s="56">
        <f t="shared" si="214"/>
        <v>-10.455047037725908</v>
      </c>
      <c r="S373" s="56">
        <f t="shared" si="214"/>
        <v>-9.3984823053821618</v>
      </c>
      <c r="T373" s="56">
        <f t="shared" si="214"/>
        <v>-10.142973251302791</v>
      </c>
      <c r="U373" s="56">
        <f t="shared" si="214"/>
        <v>-10.142973251302791</v>
      </c>
      <c r="V373" s="56" t="str">
        <f t="shared" si="214"/>
        <v>-</v>
      </c>
      <c r="W373" s="56" t="str">
        <f t="shared" si="214"/>
        <v>-</v>
      </c>
      <c r="X373" s="56" t="str">
        <f t="shared" si="214"/>
        <v>-</v>
      </c>
      <c r="Y373" s="56" t="str">
        <f t="shared" si="214"/>
        <v>-</v>
      </c>
      <c r="Z373" s="56" t="str">
        <f t="shared" si="214"/>
        <v>-</v>
      </c>
      <c r="AA373" s="56" t="str">
        <f t="shared" si="214"/>
        <v>-</v>
      </c>
      <c r="AB373" s="56" t="str">
        <f t="shared" si="214"/>
        <v>-</v>
      </c>
      <c r="AC373" s="56" t="str">
        <f t="shared" si="214"/>
        <v>-</v>
      </c>
      <c r="AD373" s="56" t="str">
        <f t="shared" si="214"/>
        <v>-</v>
      </c>
      <c r="AE373" s="56" t="str">
        <f t="shared" si="214"/>
        <v>-</v>
      </c>
      <c r="AF373" s="56" t="str">
        <f t="shared" si="214"/>
        <v>-</v>
      </c>
      <c r="AG373" s="56" t="str">
        <f t="shared" si="214"/>
        <v>-</v>
      </c>
      <c r="AH373" s="56" t="str">
        <f t="shared" si="214"/>
        <v>-</v>
      </c>
      <c r="AI373" s="56" t="str">
        <f t="shared" si="214"/>
        <v>-</v>
      </c>
      <c r="AJ373" s="56" t="str">
        <f t="shared" si="214"/>
        <v>-</v>
      </c>
      <c r="AK373" s="56" t="str">
        <f t="shared" si="214"/>
        <v>-</v>
      </c>
      <c r="AL373" s="56" t="str">
        <f t="shared" si="214"/>
        <v>-</v>
      </c>
      <c r="AM373" s="56" t="str">
        <f t="shared" si="214"/>
        <v>-</v>
      </c>
      <c r="AN373" s="56" t="str">
        <f t="shared" si="214"/>
        <v>-</v>
      </c>
      <c r="AO373" s="56" t="str">
        <f t="shared" si="214"/>
        <v>-</v>
      </c>
      <c r="AP373" s="56" t="str">
        <f t="shared" si="214"/>
        <v>-</v>
      </c>
      <c r="AQ373" s="56" t="str">
        <f t="shared" si="214"/>
        <v>-</v>
      </c>
      <c r="AR373" s="56" t="str">
        <f t="shared" si="214"/>
        <v>-</v>
      </c>
      <c r="AS373" s="56" t="str">
        <f t="shared" si="214"/>
        <v>-</v>
      </c>
      <c r="AT373" s="56" t="str">
        <f t="shared" si="214"/>
        <v>-</v>
      </c>
      <c r="AU373" s="56" t="str">
        <f t="shared" si="214"/>
        <v>-</v>
      </c>
    </row>
    <row r="374" spans="1:47" ht="15.75">
      <c r="A374" s="1" t="s">
        <v>127</v>
      </c>
      <c r="C374" s="143"/>
      <c r="E374" s="15" t="s">
        <v>372</v>
      </c>
      <c r="F374" s="56" t="str">
        <f t="shared" ref="F374:AU374" si="215">IFERROR(F298/F332,"-")</f>
        <v>-</v>
      </c>
      <c r="G374" s="56" t="str">
        <f t="shared" si="215"/>
        <v>-</v>
      </c>
      <c r="H374" s="56" t="str">
        <f t="shared" si="215"/>
        <v>-</v>
      </c>
      <c r="I374" s="56" t="str">
        <f t="shared" si="215"/>
        <v>-</v>
      </c>
      <c r="J374" s="56" t="str">
        <f t="shared" si="215"/>
        <v>-</v>
      </c>
      <c r="K374" s="56" t="str">
        <f t="shared" si="215"/>
        <v>-</v>
      </c>
      <c r="L374" s="56" t="str">
        <f t="shared" si="215"/>
        <v>-</v>
      </c>
      <c r="M374" s="56" t="str">
        <f t="shared" si="215"/>
        <v>-</v>
      </c>
      <c r="N374" s="56" t="str">
        <f t="shared" si="215"/>
        <v>-</v>
      </c>
      <c r="O374" s="56" t="str">
        <f t="shared" si="215"/>
        <v>-</v>
      </c>
      <c r="P374" s="56" t="str">
        <f t="shared" si="215"/>
        <v>-</v>
      </c>
      <c r="Q374" s="56" t="str">
        <f t="shared" si="215"/>
        <v>-</v>
      </c>
      <c r="R374" s="56" t="str">
        <f t="shared" si="215"/>
        <v>-</v>
      </c>
      <c r="S374" s="56" t="str">
        <f t="shared" si="215"/>
        <v>-</v>
      </c>
      <c r="T374" s="56" t="str">
        <f t="shared" si="215"/>
        <v>-</v>
      </c>
      <c r="U374" s="56" t="str">
        <f t="shared" si="215"/>
        <v>-</v>
      </c>
      <c r="V374" s="56" t="str">
        <f t="shared" si="215"/>
        <v>-</v>
      </c>
      <c r="W374" s="56" t="str">
        <f t="shared" si="215"/>
        <v>-</v>
      </c>
      <c r="X374" s="56" t="str">
        <f t="shared" si="215"/>
        <v>-</v>
      </c>
      <c r="Y374" s="56" t="str">
        <f t="shared" si="215"/>
        <v>-</v>
      </c>
      <c r="Z374" s="56" t="str">
        <f t="shared" si="215"/>
        <v>-</v>
      </c>
      <c r="AA374" s="56" t="str">
        <f t="shared" si="215"/>
        <v>-</v>
      </c>
      <c r="AB374" s="56" t="str">
        <f t="shared" si="215"/>
        <v>-</v>
      </c>
      <c r="AC374" s="56" t="str">
        <f t="shared" si="215"/>
        <v>-</v>
      </c>
      <c r="AD374" s="56" t="str">
        <f t="shared" si="215"/>
        <v>-</v>
      </c>
      <c r="AE374" s="56" t="str">
        <f t="shared" si="215"/>
        <v>-</v>
      </c>
      <c r="AF374" s="56" t="str">
        <f t="shared" si="215"/>
        <v>-</v>
      </c>
      <c r="AG374" s="56" t="str">
        <f t="shared" si="215"/>
        <v>-</v>
      </c>
      <c r="AH374" s="56" t="str">
        <f t="shared" si="215"/>
        <v>-</v>
      </c>
      <c r="AI374" s="56" t="str">
        <f t="shared" si="215"/>
        <v>-</v>
      </c>
      <c r="AJ374" s="56" t="str">
        <f t="shared" si="215"/>
        <v>-</v>
      </c>
      <c r="AK374" s="56" t="str">
        <f t="shared" si="215"/>
        <v>-</v>
      </c>
      <c r="AL374" s="56" t="str">
        <f t="shared" si="215"/>
        <v>-</v>
      </c>
      <c r="AM374" s="56" t="str">
        <f t="shared" si="215"/>
        <v>-</v>
      </c>
      <c r="AN374" s="56" t="str">
        <f t="shared" si="215"/>
        <v>-</v>
      </c>
      <c r="AO374" s="56" t="str">
        <f t="shared" si="215"/>
        <v>-</v>
      </c>
      <c r="AP374" s="56" t="str">
        <f t="shared" si="215"/>
        <v>-</v>
      </c>
      <c r="AQ374" s="56" t="str">
        <f t="shared" si="215"/>
        <v>-</v>
      </c>
      <c r="AR374" s="56" t="str">
        <f t="shared" si="215"/>
        <v>-</v>
      </c>
      <c r="AS374" s="56" t="str">
        <f t="shared" si="215"/>
        <v>-</v>
      </c>
      <c r="AT374" s="56" t="str">
        <f t="shared" si="215"/>
        <v>-</v>
      </c>
      <c r="AU374" s="56" t="str">
        <f t="shared" si="215"/>
        <v>-</v>
      </c>
    </row>
    <row r="375" spans="1:47" ht="15.75">
      <c r="A375" s="1" t="s">
        <v>127</v>
      </c>
      <c r="C375" s="143"/>
      <c r="E375" s="15" t="s">
        <v>373</v>
      </c>
      <c r="F375" s="56" t="str">
        <f t="shared" ref="F375:AU375" si="216">IFERROR(F299/F334,"-")</f>
        <v>-</v>
      </c>
      <c r="G375" s="56" t="str">
        <f t="shared" si="216"/>
        <v>-</v>
      </c>
      <c r="H375" s="56" t="str">
        <f t="shared" si="216"/>
        <v>-</v>
      </c>
      <c r="I375" s="56" t="str">
        <f t="shared" si="216"/>
        <v>-</v>
      </c>
      <c r="J375" s="56" t="str">
        <f t="shared" si="216"/>
        <v>-</v>
      </c>
      <c r="K375" s="56" t="str">
        <f t="shared" si="216"/>
        <v>-</v>
      </c>
      <c r="L375" s="56" t="str">
        <f t="shared" si="216"/>
        <v>-</v>
      </c>
      <c r="M375" s="56" t="str">
        <f t="shared" si="216"/>
        <v>-</v>
      </c>
      <c r="N375" s="56" t="str">
        <f t="shared" si="216"/>
        <v>-</v>
      </c>
      <c r="O375" s="56" t="str">
        <f t="shared" si="216"/>
        <v>-</v>
      </c>
      <c r="P375" s="56" t="str">
        <f t="shared" si="216"/>
        <v>-</v>
      </c>
      <c r="Q375" s="56" t="str">
        <f t="shared" si="216"/>
        <v>-</v>
      </c>
      <c r="R375" s="56" t="str">
        <f t="shared" si="216"/>
        <v>-</v>
      </c>
      <c r="S375" s="56" t="str">
        <f t="shared" si="216"/>
        <v>-</v>
      </c>
      <c r="T375" s="56" t="str">
        <f t="shared" si="216"/>
        <v>-</v>
      </c>
      <c r="U375" s="56" t="str">
        <f t="shared" si="216"/>
        <v>-</v>
      </c>
      <c r="V375" s="56" t="str">
        <f t="shared" si="216"/>
        <v>-</v>
      </c>
      <c r="W375" s="56" t="str">
        <f t="shared" si="216"/>
        <v>-</v>
      </c>
      <c r="X375" s="56" t="str">
        <f t="shared" si="216"/>
        <v>-</v>
      </c>
      <c r="Y375" s="56" t="str">
        <f t="shared" si="216"/>
        <v>-</v>
      </c>
      <c r="Z375" s="56" t="str">
        <f t="shared" si="216"/>
        <v>-</v>
      </c>
      <c r="AA375" s="56" t="str">
        <f t="shared" si="216"/>
        <v>-</v>
      </c>
      <c r="AB375" s="56" t="str">
        <f t="shared" si="216"/>
        <v>-</v>
      </c>
      <c r="AC375" s="56" t="str">
        <f t="shared" si="216"/>
        <v>-</v>
      </c>
      <c r="AD375" s="56" t="str">
        <f t="shared" si="216"/>
        <v>-</v>
      </c>
      <c r="AE375" s="56" t="str">
        <f t="shared" si="216"/>
        <v>-</v>
      </c>
      <c r="AF375" s="56" t="str">
        <f t="shared" si="216"/>
        <v>-</v>
      </c>
      <c r="AG375" s="56" t="str">
        <f t="shared" si="216"/>
        <v>-</v>
      </c>
      <c r="AH375" s="56" t="str">
        <f t="shared" si="216"/>
        <v>-</v>
      </c>
      <c r="AI375" s="56" t="str">
        <f t="shared" si="216"/>
        <v>-</v>
      </c>
      <c r="AJ375" s="56" t="str">
        <f t="shared" si="216"/>
        <v>-</v>
      </c>
      <c r="AK375" s="56" t="str">
        <f t="shared" si="216"/>
        <v>-</v>
      </c>
      <c r="AL375" s="56" t="str">
        <f t="shared" si="216"/>
        <v>-</v>
      </c>
      <c r="AM375" s="56" t="str">
        <f t="shared" si="216"/>
        <v>-</v>
      </c>
      <c r="AN375" s="56" t="str">
        <f t="shared" si="216"/>
        <v>-</v>
      </c>
      <c r="AO375" s="56" t="str">
        <f t="shared" si="216"/>
        <v>-</v>
      </c>
      <c r="AP375" s="56" t="str">
        <f t="shared" si="216"/>
        <v>-</v>
      </c>
      <c r="AQ375" s="56" t="str">
        <f t="shared" si="216"/>
        <v>-</v>
      </c>
      <c r="AR375" s="56" t="str">
        <f t="shared" si="216"/>
        <v>-</v>
      </c>
      <c r="AS375" s="56" t="str">
        <f t="shared" si="216"/>
        <v>-</v>
      </c>
      <c r="AT375" s="56" t="str">
        <f t="shared" si="216"/>
        <v>-</v>
      </c>
      <c r="AU375" s="56" t="str">
        <f t="shared" si="216"/>
        <v>-</v>
      </c>
    </row>
    <row r="376" spans="1:47" ht="15.75">
      <c r="A376" s="1" t="s">
        <v>127</v>
      </c>
      <c r="C376" s="143"/>
      <c r="E376" s="15" t="s">
        <v>374</v>
      </c>
      <c r="F376" s="56" t="str">
        <f t="shared" ref="F376:AU376" si="217">IFERROR(F300/F336,"-")</f>
        <v>-</v>
      </c>
      <c r="G376" s="56" t="str">
        <f t="shared" si="217"/>
        <v>-</v>
      </c>
      <c r="H376" s="56" t="str">
        <f t="shared" si="217"/>
        <v>-</v>
      </c>
      <c r="I376" s="56" t="str">
        <f t="shared" si="217"/>
        <v>-</v>
      </c>
      <c r="J376" s="56" t="str">
        <f t="shared" si="217"/>
        <v>-</v>
      </c>
      <c r="K376" s="56" t="str">
        <f t="shared" si="217"/>
        <v>-</v>
      </c>
      <c r="L376" s="56" t="str">
        <f t="shared" si="217"/>
        <v>-</v>
      </c>
      <c r="M376" s="56" t="str">
        <f t="shared" si="217"/>
        <v>-</v>
      </c>
      <c r="N376" s="56" t="str">
        <f t="shared" si="217"/>
        <v>-</v>
      </c>
      <c r="O376" s="56" t="str">
        <f t="shared" si="217"/>
        <v>-</v>
      </c>
      <c r="P376" s="56" t="str">
        <f t="shared" si="217"/>
        <v>-</v>
      </c>
      <c r="Q376" s="56" t="str">
        <f t="shared" si="217"/>
        <v>-</v>
      </c>
      <c r="R376" s="56" t="str">
        <f t="shared" si="217"/>
        <v>-</v>
      </c>
      <c r="S376" s="56" t="str">
        <f t="shared" si="217"/>
        <v>-</v>
      </c>
      <c r="T376" s="56" t="str">
        <f t="shared" si="217"/>
        <v>-</v>
      </c>
      <c r="U376" s="56" t="str">
        <f t="shared" si="217"/>
        <v>-</v>
      </c>
      <c r="V376" s="56" t="str">
        <f t="shared" si="217"/>
        <v>-</v>
      </c>
      <c r="W376" s="56" t="str">
        <f t="shared" si="217"/>
        <v>-</v>
      </c>
      <c r="X376" s="56" t="str">
        <f t="shared" si="217"/>
        <v>-</v>
      </c>
      <c r="Y376" s="56" t="str">
        <f t="shared" si="217"/>
        <v>-</v>
      </c>
      <c r="Z376" s="56" t="str">
        <f t="shared" si="217"/>
        <v>-</v>
      </c>
      <c r="AA376" s="56" t="str">
        <f t="shared" si="217"/>
        <v>-</v>
      </c>
      <c r="AB376" s="56" t="str">
        <f t="shared" si="217"/>
        <v>-</v>
      </c>
      <c r="AC376" s="56" t="str">
        <f t="shared" si="217"/>
        <v>-</v>
      </c>
      <c r="AD376" s="56" t="str">
        <f t="shared" si="217"/>
        <v>-</v>
      </c>
      <c r="AE376" s="56" t="str">
        <f t="shared" si="217"/>
        <v>-</v>
      </c>
      <c r="AF376" s="56" t="str">
        <f t="shared" si="217"/>
        <v>-</v>
      </c>
      <c r="AG376" s="56" t="str">
        <f t="shared" si="217"/>
        <v>-</v>
      </c>
      <c r="AH376" s="56" t="str">
        <f t="shared" si="217"/>
        <v>-</v>
      </c>
      <c r="AI376" s="56" t="str">
        <f t="shared" si="217"/>
        <v>-</v>
      </c>
      <c r="AJ376" s="56" t="str">
        <f t="shared" si="217"/>
        <v>-</v>
      </c>
      <c r="AK376" s="56" t="str">
        <f t="shared" si="217"/>
        <v>-</v>
      </c>
      <c r="AL376" s="56" t="str">
        <f t="shared" si="217"/>
        <v>-</v>
      </c>
      <c r="AM376" s="56" t="str">
        <f t="shared" si="217"/>
        <v>-</v>
      </c>
      <c r="AN376" s="56" t="str">
        <f t="shared" si="217"/>
        <v>-</v>
      </c>
      <c r="AO376" s="56" t="str">
        <f t="shared" si="217"/>
        <v>-</v>
      </c>
      <c r="AP376" s="56" t="str">
        <f t="shared" si="217"/>
        <v>-</v>
      </c>
      <c r="AQ376" s="56" t="str">
        <f t="shared" si="217"/>
        <v>-</v>
      </c>
      <c r="AR376" s="56" t="str">
        <f t="shared" si="217"/>
        <v>-</v>
      </c>
      <c r="AS376" s="56" t="str">
        <f t="shared" si="217"/>
        <v>-</v>
      </c>
      <c r="AT376" s="56" t="str">
        <f t="shared" si="217"/>
        <v>-</v>
      </c>
      <c r="AU376" s="56" t="str">
        <f t="shared" si="217"/>
        <v>-</v>
      </c>
    </row>
    <row r="377" spans="1:47" ht="15.75">
      <c r="A377" s="1" t="s">
        <v>127</v>
      </c>
      <c r="C377" s="143"/>
      <c r="E377" s="15" t="s">
        <v>375</v>
      </c>
      <c r="F377" s="56" t="str">
        <f t="shared" ref="F377:AU377" si="218">IFERROR(F301/F338,"-")</f>
        <v>-</v>
      </c>
      <c r="G377" s="56" t="str">
        <f t="shared" si="218"/>
        <v>-</v>
      </c>
      <c r="H377" s="56" t="str">
        <f t="shared" si="218"/>
        <v>-</v>
      </c>
      <c r="I377" s="56" t="str">
        <f t="shared" si="218"/>
        <v>-</v>
      </c>
      <c r="J377" s="56" t="str">
        <f t="shared" si="218"/>
        <v>-</v>
      </c>
      <c r="K377" s="56" t="str">
        <f t="shared" si="218"/>
        <v>-</v>
      </c>
      <c r="L377" s="56" t="str">
        <f t="shared" si="218"/>
        <v>-</v>
      </c>
      <c r="M377" s="56" t="str">
        <f t="shared" si="218"/>
        <v>-</v>
      </c>
      <c r="N377" s="56" t="str">
        <f t="shared" si="218"/>
        <v>-</v>
      </c>
      <c r="O377" s="56" t="str">
        <f t="shared" si="218"/>
        <v>-</v>
      </c>
      <c r="P377" s="56" t="str">
        <f t="shared" si="218"/>
        <v>-</v>
      </c>
      <c r="Q377" s="56" t="str">
        <f t="shared" si="218"/>
        <v>-</v>
      </c>
      <c r="R377" s="56" t="str">
        <f t="shared" si="218"/>
        <v>-</v>
      </c>
      <c r="S377" s="56" t="str">
        <f t="shared" si="218"/>
        <v>-</v>
      </c>
      <c r="T377" s="56" t="str">
        <f t="shared" si="218"/>
        <v>-</v>
      </c>
      <c r="U377" s="56" t="str">
        <f t="shared" si="218"/>
        <v>-</v>
      </c>
      <c r="V377" s="56" t="str">
        <f t="shared" si="218"/>
        <v>-</v>
      </c>
      <c r="W377" s="56" t="str">
        <f t="shared" si="218"/>
        <v>-</v>
      </c>
      <c r="X377" s="56" t="str">
        <f t="shared" si="218"/>
        <v>-</v>
      </c>
      <c r="Y377" s="56" t="str">
        <f t="shared" si="218"/>
        <v>-</v>
      </c>
      <c r="Z377" s="56" t="str">
        <f t="shared" si="218"/>
        <v>-</v>
      </c>
      <c r="AA377" s="56" t="str">
        <f t="shared" si="218"/>
        <v>-</v>
      </c>
      <c r="AB377" s="56" t="str">
        <f t="shared" si="218"/>
        <v>-</v>
      </c>
      <c r="AC377" s="56" t="str">
        <f t="shared" si="218"/>
        <v>-</v>
      </c>
      <c r="AD377" s="56" t="str">
        <f t="shared" si="218"/>
        <v>-</v>
      </c>
      <c r="AE377" s="56" t="str">
        <f t="shared" si="218"/>
        <v>-</v>
      </c>
      <c r="AF377" s="56" t="str">
        <f t="shared" si="218"/>
        <v>-</v>
      </c>
      <c r="AG377" s="56" t="str">
        <f t="shared" si="218"/>
        <v>-</v>
      </c>
      <c r="AH377" s="56" t="str">
        <f t="shared" si="218"/>
        <v>-</v>
      </c>
      <c r="AI377" s="56" t="str">
        <f t="shared" si="218"/>
        <v>-</v>
      </c>
      <c r="AJ377" s="56" t="str">
        <f t="shared" si="218"/>
        <v>-</v>
      </c>
      <c r="AK377" s="56" t="str">
        <f t="shared" si="218"/>
        <v>-</v>
      </c>
      <c r="AL377" s="56" t="str">
        <f t="shared" si="218"/>
        <v>-</v>
      </c>
      <c r="AM377" s="56" t="str">
        <f t="shared" si="218"/>
        <v>-</v>
      </c>
      <c r="AN377" s="56" t="str">
        <f t="shared" si="218"/>
        <v>-</v>
      </c>
      <c r="AO377" s="56" t="str">
        <f t="shared" si="218"/>
        <v>-</v>
      </c>
      <c r="AP377" s="56" t="str">
        <f t="shared" si="218"/>
        <v>-</v>
      </c>
      <c r="AQ377" s="56" t="str">
        <f t="shared" si="218"/>
        <v>-</v>
      </c>
      <c r="AR377" s="56" t="str">
        <f t="shared" si="218"/>
        <v>-</v>
      </c>
      <c r="AS377" s="56" t="str">
        <f t="shared" si="218"/>
        <v>-</v>
      </c>
      <c r="AT377" s="56" t="str">
        <f t="shared" si="218"/>
        <v>-</v>
      </c>
      <c r="AU377" s="56" t="str">
        <f t="shared" si="218"/>
        <v>-</v>
      </c>
    </row>
    <row r="378" spans="1:47" ht="15.75">
      <c r="A378" s="1" t="s">
        <v>127</v>
      </c>
      <c r="C378" s="143"/>
      <c r="E378" s="15" t="s">
        <v>376</v>
      </c>
      <c r="F378" s="56" t="str">
        <f t="shared" ref="F378:AU378" si="219">IFERROR(F302/F340,"-")</f>
        <v>-</v>
      </c>
      <c r="G378" s="56" t="str">
        <f t="shared" si="219"/>
        <v>-</v>
      </c>
      <c r="H378" s="56" t="str">
        <f t="shared" si="219"/>
        <v>-</v>
      </c>
      <c r="I378" s="56" t="str">
        <f t="shared" si="219"/>
        <v>-</v>
      </c>
      <c r="J378" s="56" t="str">
        <f t="shared" si="219"/>
        <v>-</v>
      </c>
      <c r="K378" s="56" t="str">
        <f t="shared" si="219"/>
        <v>-</v>
      </c>
      <c r="L378" s="56" t="str">
        <f t="shared" si="219"/>
        <v>-</v>
      </c>
      <c r="M378" s="56" t="str">
        <f t="shared" si="219"/>
        <v>-</v>
      </c>
      <c r="N378" s="56" t="str">
        <f t="shared" si="219"/>
        <v>-</v>
      </c>
      <c r="O378" s="56" t="str">
        <f t="shared" si="219"/>
        <v>-</v>
      </c>
      <c r="P378" s="56" t="str">
        <f t="shared" si="219"/>
        <v>-</v>
      </c>
      <c r="Q378" s="56" t="str">
        <f t="shared" si="219"/>
        <v>-</v>
      </c>
      <c r="R378" s="56" t="str">
        <f t="shared" si="219"/>
        <v>-</v>
      </c>
      <c r="S378" s="56" t="str">
        <f t="shared" si="219"/>
        <v>-</v>
      </c>
      <c r="T378" s="56" t="str">
        <f t="shared" si="219"/>
        <v>-</v>
      </c>
      <c r="U378" s="56" t="str">
        <f t="shared" si="219"/>
        <v>-</v>
      </c>
      <c r="V378" s="56" t="str">
        <f t="shared" si="219"/>
        <v>-</v>
      </c>
      <c r="W378" s="56" t="str">
        <f t="shared" si="219"/>
        <v>-</v>
      </c>
      <c r="X378" s="56" t="str">
        <f t="shared" si="219"/>
        <v>-</v>
      </c>
      <c r="Y378" s="56" t="str">
        <f t="shared" si="219"/>
        <v>-</v>
      </c>
      <c r="Z378" s="56" t="str">
        <f t="shared" si="219"/>
        <v>-</v>
      </c>
      <c r="AA378" s="56" t="str">
        <f t="shared" si="219"/>
        <v>-</v>
      </c>
      <c r="AB378" s="56" t="str">
        <f t="shared" si="219"/>
        <v>-</v>
      </c>
      <c r="AC378" s="56" t="str">
        <f t="shared" si="219"/>
        <v>-</v>
      </c>
      <c r="AD378" s="56" t="str">
        <f t="shared" si="219"/>
        <v>-</v>
      </c>
      <c r="AE378" s="56" t="str">
        <f t="shared" si="219"/>
        <v>-</v>
      </c>
      <c r="AF378" s="56" t="str">
        <f t="shared" si="219"/>
        <v>-</v>
      </c>
      <c r="AG378" s="56" t="str">
        <f t="shared" si="219"/>
        <v>-</v>
      </c>
      <c r="AH378" s="56" t="str">
        <f t="shared" si="219"/>
        <v>-</v>
      </c>
      <c r="AI378" s="56" t="str">
        <f t="shared" si="219"/>
        <v>-</v>
      </c>
      <c r="AJ378" s="56" t="str">
        <f t="shared" si="219"/>
        <v>-</v>
      </c>
      <c r="AK378" s="56" t="str">
        <f t="shared" si="219"/>
        <v>-</v>
      </c>
      <c r="AL378" s="56" t="str">
        <f t="shared" si="219"/>
        <v>-</v>
      </c>
      <c r="AM378" s="56" t="str">
        <f t="shared" si="219"/>
        <v>-</v>
      </c>
      <c r="AN378" s="56" t="str">
        <f t="shared" si="219"/>
        <v>-</v>
      </c>
      <c r="AO378" s="56" t="str">
        <f t="shared" si="219"/>
        <v>-</v>
      </c>
      <c r="AP378" s="56" t="str">
        <f t="shared" si="219"/>
        <v>-</v>
      </c>
      <c r="AQ378" s="56" t="str">
        <f t="shared" si="219"/>
        <v>-</v>
      </c>
      <c r="AR378" s="56" t="str">
        <f t="shared" si="219"/>
        <v>-</v>
      </c>
      <c r="AS378" s="56" t="str">
        <f t="shared" si="219"/>
        <v>-</v>
      </c>
      <c r="AT378" s="56" t="str">
        <f t="shared" si="219"/>
        <v>-</v>
      </c>
      <c r="AU378" s="56" t="str">
        <f t="shared" si="219"/>
        <v>-</v>
      </c>
    </row>
    <row r="379" spans="1:47" ht="15.75">
      <c r="A379" s="1" t="s">
        <v>127</v>
      </c>
      <c r="C379" s="143"/>
      <c r="E379" s="52" t="s">
        <v>377</v>
      </c>
      <c r="F379" s="58" t="str">
        <f t="shared" ref="F379:AU379" si="220">IFERROR(F303/F342,"-")</f>
        <v>-</v>
      </c>
      <c r="G379" s="58" t="str">
        <f t="shared" si="220"/>
        <v>-</v>
      </c>
      <c r="H379" s="58" t="str">
        <f t="shared" si="220"/>
        <v>-</v>
      </c>
      <c r="I379" s="58" t="str">
        <f t="shared" si="220"/>
        <v>-</v>
      </c>
      <c r="J379" s="58" t="str">
        <f t="shared" si="220"/>
        <v>-</v>
      </c>
      <c r="K379" s="58" t="str">
        <f t="shared" si="220"/>
        <v>-</v>
      </c>
      <c r="L379" s="58" t="str">
        <f t="shared" si="220"/>
        <v>-</v>
      </c>
      <c r="M379" s="58" t="str">
        <f t="shared" si="220"/>
        <v>-</v>
      </c>
      <c r="N379" s="58" t="str">
        <f t="shared" si="220"/>
        <v>-</v>
      </c>
      <c r="O379" s="58" t="str">
        <f t="shared" si="220"/>
        <v>-</v>
      </c>
      <c r="P379" s="58" t="str">
        <f t="shared" si="220"/>
        <v>-</v>
      </c>
      <c r="Q379" s="58" t="str">
        <f t="shared" si="220"/>
        <v>-</v>
      </c>
      <c r="R379" s="58" t="str">
        <f t="shared" si="220"/>
        <v>-</v>
      </c>
      <c r="S379" s="58" t="str">
        <f t="shared" si="220"/>
        <v>-</v>
      </c>
      <c r="T379" s="58" t="str">
        <f t="shared" si="220"/>
        <v>-</v>
      </c>
      <c r="U379" s="58" t="str">
        <f t="shared" si="220"/>
        <v>-</v>
      </c>
      <c r="V379" s="58" t="str">
        <f t="shared" si="220"/>
        <v>-</v>
      </c>
      <c r="W379" s="58" t="str">
        <f t="shared" si="220"/>
        <v>-</v>
      </c>
      <c r="X379" s="58" t="str">
        <f t="shared" si="220"/>
        <v>-</v>
      </c>
      <c r="Y379" s="58" t="str">
        <f t="shared" si="220"/>
        <v>-</v>
      </c>
      <c r="Z379" s="58" t="str">
        <f t="shared" si="220"/>
        <v>-</v>
      </c>
      <c r="AA379" s="58" t="str">
        <f t="shared" si="220"/>
        <v>-</v>
      </c>
      <c r="AB379" s="58" t="str">
        <f t="shared" si="220"/>
        <v>-</v>
      </c>
      <c r="AC379" s="58" t="str">
        <f t="shared" si="220"/>
        <v>-</v>
      </c>
      <c r="AD379" s="58" t="str">
        <f t="shared" si="220"/>
        <v>-</v>
      </c>
      <c r="AE379" s="58" t="str">
        <f t="shared" si="220"/>
        <v>-</v>
      </c>
      <c r="AF379" s="58" t="str">
        <f t="shared" si="220"/>
        <v>-</v>
      </c>
      <c r="AG379" s="58" t="str">
        <f t="shared" si="220"/>
        <v>-</v>
      </c>
      <c r="AH379" s="58" t="str">
        <f t="shared" si="220"/>
        <v>-</v>
      </c>
      <c r="AI379" s="58" t="str">
        <f t="shared" si="220"/>
        <v>-</v>
      </c>
      <c r="AJ379" s="58" t="str">
        <f t="shared" si="220"/>
        <v>-</v>
      </c>
      <c r="AK379" s="58" t="str">
        <f t="shared" si="220"/>
        <v>-</v>
      </c>
      <c r="AL379" s="58" t="str">
        <f t="shared" si="220"/>
        <v>-</v>
      </c>
      <c r="AM379" s="58" t="str">
        <f t="shared" si="220"/>
        <v>-</v>
      </c>
      <c r="AN379" s="58" t="str">
        <f t="shared" si="220"/>
        <v>-</v>
      </c>
      <c r="AO379" s="58" t="str">
        <f t="shared" si="220"/>
        <v>-</v>
      </c>
      <c r="AP379" s="58" t="str">
        <f t="shared" si="220"/>
        <v>-</v>
      </c>
      <c r="AQ379" s="58" t="str">
        <f t="shared" si="220"/>
        <v>-</v>
      </c>
      <c r="AR379" s="58" t="str">
        <f t="shared" si="220"/>
        <v>-</v>
      </c>
      <c r="AS379" s="58" t="str">
        <f t="shared" si="220"/>
        <v>-</v>
      </c>
      <c r="AT379" s="58" t="str">
        <f t="shared" si="220"/>
        <v>-</v>
      </c>
      <c r="AU379" s="58" t="str">
        <f t="shared" si="220"/>
        <v>-</v>
      </c>
    </row>
    <row r="380" spans="1:47"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</row>
    <row r="381" spans="1:47"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</row>
  </sheetData>
  <sheetProtection algorithmName="SHA-512" hashValue="Zu0+L1o71iMWOuNJMl7GPnZonISp/hMI8QgB0LtK0w8nCd7/DErnYFPYszyqclK+NUNevHTiSdnuWXGzCR3LJQ==" saltValue="m/3cbTAoImwwnjblqihnrg==" spinCount="100000" sheet="1" objects="1" scenarios="1"/>
  <mergeCells count="7">
    <mergeCell ref="C352:C379"/>
    <mergeCell ref="E9:AU11"/>
    <mergeCell ref="E17:E18"/>
    <mergeCell ref="C21:C276"/>
    <mergeCell ref="C281:C294"/>
    <mergeCell ref="C308:C342"/>
    <mergeCell ref="C345:C349"/>
  </mergeCells>
  <dataValidations count="1">
    <dataValidation allowBlank="1" showInputMessage="1" showErrorMessage="1" error="La valeur entrée n'est pas valide._x000a_Un utilisateur dispose de valeurs restreintes pouvant être entrées dans cette cellule." sqref="E9" xr:uid="{00000000-0002-0000-03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4</xdr:col>
                    <xdr:colOff>1209675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3391AA"/>
    <pageSetUpPr fitToPage="1"/>
  </sheetPr>
  <dimension ref="A1:P594"/>
  <sheetViews>
    <sheetView showGridLines="0" topLeftCell="B371" zoomScale="55" zoomScaleNormal="55" workbookViewId="0">
      <selection activeCell="H359" sqref="H359"/>
    </sheetView>
  </sheetViews>
  <sheetFormatPr baseColWidth="10" defaultColWidth="11.42578125" defaultRowHeight="14.25"/>
  <cols>
    <col min="1" max="1" width="40.5703125" style="1" hidden="1" customWidth="1"/>
    <col min="2" max="2" width="2.85546875" style="1" customWidth="1"/>
    <col min="3" max="3" width="35.5703125" style="1" hidden="1" customWidth="1"/>
    <col min="4" max="4" width="1.42578125" style="1" customWidth="1"/>
    <col min="5" max="5" width="140.7109375" style="1" bestFit="1" customWidth="1"/>
    <col min="6" max="6" width="12.85546875" style="2" bestFit="1" customWidth="1"/>
    <col min="7" max="7" width="19.5703125" style="2" bestFit="1" customWidth="1"/>
    <col min="8" max="8" width="12.85546875" style="2" bestFit="1" customWidth="1"/>
    <col min="9" max="9" width="11.42578125" style="1"/>
    <col min="10" max="10" width="19" style="1" bestFit="1" customWidth="1"/>
    <col min="11" max="11" width="17.85546875" style="1" bestFit="1" customWidth="1"/>
    <col min="12" max="16384" width="11.42578125" style="1"/>
  </cols>
  <sheetData>
    <row r="1" spans="1:16" ht="15.6" hidden="1" customHeight="1">
      <c r="A1" s="1" t="s">
        <v>7</v>
      </c>
      <c r="C1" s="1" t="str">
        <f>_xll.VIEW("tango_core_model:Report_PL",$C$2,$C$3,$C$4,$C$6,$C$5,$C$7,"!","!","!")</f>
        <v>tango_core_model:Report_PL</v>
      </c>
      <c r="F1" s="71" t="str">
        <f>Context!G31</f>
        <v>2023.08_YTD</v>
      </c>
      <c r="G1" s="71" t="str">
        <f>Context!G33</f>
        <v>2022.08_YTD</v>
      </c>
      <c r="H1" s="71" t="str">
        <f>Context!G34</f>
        <v>2023.08_YTD</v>
      </c>
    </row>
    <row r="2" spans="1:16" ht="13.5" hidden="1" customHeight="1">
      <c r="A2" s="3" t="s">
        <v>8</v>
      </c>
      <c r="B2" s="3"/>
      <c r="C2" s="1" t="s">
        <v>369</v>
      </c>
      <c r="F2" s="4" t="str">
        <f>z_Current_Phase</f>
        <v>ACT</v>
      </c>
      <c r="G2" s="4" t="str">
        <f>Context!F33</f>
        <v>ACT</v>
      </c>
      <c r="H2" s="4" t="str">
        <f>Context!F34</f>
        <v>BUDG_VC</v>
      </c>
    </row>
    <row r="3" spans="1:16" ht="13.5" hidden="1" customHeight="1">
      <c r="A3" s="3" t="s">
        <v>5</v>
      </c>
      <c r="B3" s="3"/>
      <c r="C3" s="1" t="str">
        <f>Context!F36</f>
        <v>LCL</v>
      </c>
    </row>
    <row r="4" spans="1:16" ht="13.5" hidden="1" customHeight="1">
      <c r="A4" s="3" t="s">
        <v>9</v>
      </c>
      <c r="B4" s="3"/>
      <c r="C4" s="1" t="str">
        <f>Context!F37</f>
        <v>Local_Gaap_Mgmt_tool</v>
      </c>
    </row>
    <row r="5" spans="1:16" ht="13.5" hidden="1" customHeight="1">
      <c r="A5" s="3" t="s">
        <v>10</v>
      </c>
      <c r="B5" s="3"/>
      <c r="C5" s="1" t="str">
        <f>z_Legal_Entity</f>
        <v>VTD_corp</v>
      </c>
    </row>
    <row r="6" spans="1:16" ht="11.45" hidden="1" customHeight="1">
      <c r="A6" s="3" t="s">
        <v>11</v>
      </c>
      <c r="B6" s="3"/>
      <c r="C6" s="1" t="s">
        <v>368</v>
      </c>
    </row>
    <row r="7" spans="1:16" ht="17.100000000000001" hidden="1" customHeight="1">
      <c r="A7" s="3" t="s">
        <v>12</v>
      </c>
      <c r="B7" s="3"/>
      <c r="C7" s="1" t="str">
        <f>Context!F29</f>
        <v>VTD_corp</v>
      </c>
    </row>
    <row r="8" spans="1:16" ht="13.5" customHeight="1">
      <c r="A8" s="3"/>
      <c r="B8" s="3"/>
    </row>
    <row r="9" spans="1:16" ht="14.4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11"/>
      <c r="N9" s="111"/>
      <c r="O9" s="111"/>
      <c r="P9" s="111"/>
    </row>
    <row r="10" spans="1:16" ht="15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11"/>
      <c r="N10" s="111"/>
      <c r="O10" s="111"/>
      <c r="P10" s="111"/>
    </row>
    <row r="11" spans="1:16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11"/>
      <c r="N11" s="111"/>
      <c r="O11" s="111"/>
      <c r="P11" s="111"/>
    </row>
    <row r="12" spans="1:16">
      <c r="A12" s="3"/>
      <c r="B12" s="3"/>
      <c r="E12" s="112">
        <f ca="1">NOW()</f>
        <v>45532.486404050927</v>
      </c>
    </row>
    <row r="17" spans="1:11" ht="15.6" customHeight="1">
      <c r="E17" s="140" t="str">
        <f>C7</f>
        <v>VTD_corp</v>
      </c>
      <c r="F17" s="59" t="str">
        <f>IF(OR(F2="ACT",F2="Actual"),"ACTUAL",IF(F2="BUDG_VC","BUDGET",IF(F2="Forecast 1 V current","FORECAST 1","FORECAST 2")))</f>
        <v>ACTUAL</v>
      </c>
      <c r="G17" s="59" t="str">
        <f>IF(OR(G2="ACT",G2="Actual"),"ACTUAL",IF(G2="BUDG_VC","BUDGET",IF(G2="Forecast 1 V current","FORECAST 1","FORECAST 2")))</f>
        <v>ACTUAL</v>
      </c>
      <c r="H17" s="59" t="str">
        <f>IF(OR(H2="ACT",H2="Actual"),"ACTUAL",IF(H2="BUDG_VC","BUDGET",IF(H2="Forecast 1 V current","FORECAST 1","FORECAST 2")))</f>
        <v>BUDGET</v>
      </c>
      <c r="J17" s="144" t="str">
        <f>"VAR "&amp;G17&amp;" "&amp;LEFT(G18,4)</f>
        <v>VAR ACTUAL 2022</v>
      </c>
      <c r="K17" s="144" t="str">
        <f>"VAR "&amp;H17&amp;" "&amp;LEFT(H18,4)</f>
        <v>VAR BUDGET 2023</v>
      </c>
    </row>
    <row r="18" spans="1:11" ht="15.75">
      <c r="E18" s="141"/>
      <c r="F18" s="60" t="str">
        <f>F1</f>
        <v>2023.08_YTD</v>
      </c>
      <c r="G18" s="60" t="str">
        <f>G1</f>
        <v>2022.08_YTD</v>
      </c>
      <c r="H18" s="60" t="str">
        <f>H1</f>
        <v>2023.08_YTD</v>
      </c>
      <c r="J18" s="144"/>
      <c r="K18" s="144"/>
    </row>
    <row r="19" spans="1:11" ht="7.5" customHeight="1">
      <c r="E19" s="7"/>
      <c r="F19" s="8"/>
      <c r="G19" s="8"/>
      <c r="H19" s="8"/>
    </row>
    <row r="20" spans="1:11" ht="15.6" hidden="1" customHeight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0</v>
      </c>
      <c r="G20" s="10">
        <f>_xll.DBRW($C$1,$C$2,$C$3,$C$4,$C$6,$C$5,$C$7,G$1,G$2,A20)</f>
        <v>70856609888.499008</v>
      </c>
      <c r="H20" s="10">
        <f>_xll.DBRW($C$1,$C$2,$C$3,$C$4,$C$6,$C$5,$C$7,H$1,H$2,A20)</f>
        <v>0</v>
      </c>
    </row>
    <row r="21" spans="1:11" ht="15.75" customHeight="1">
      <c r="A21" s="1" t="s">
        <v>127</v>
      </c>
      <c r="C21" s="143" t="s">
        <v>13</v>
      </c>
      <c r="E21" s="19" t="s">
        <v>14</v>
      </c>
      <c r="F21" s="36">
        <f>F20</f>
        <v>0</v>
      </c>
      <c r="G21" s="36">
        <f t="shared" ref="G21:H21" si="0">G20</f>
        <v>70856609888.499008</v>
      </c>
      <c r="H21" s="36">
        <f t="shared" si="0"/>
        <v>0</v>
      </c>
      <c r="J21" s="91">
        <f>F21-G21</f>
        <v>-70856609888.499008</v>
      </c>
      <c r="K21" s="91">
        <f>F24-H24</f>
        <v>0</v>
      </c>
    </row>
    <row r="22" spans="1:11" ht="7.5" customHeight="1">
      <c r="A22" s="1" t="s">
        <v>127</v>
      </c>
      <c r="C22" s="143"/>
      <c r="E22" s="7"/>
      <c r="F22" s="8"/>
      <c r="G22" s="8"/>
      <c r="H22" s="8"/>
    </row>
    <row r="23" spans="1:11" ht="15.75" hidden="1" customHeight="1">
      <c r="A23" s="1" t="s">
        <v>128</v>
      </c>
      <c r="C23" s="143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0</v>
      </c>
      <c r="G23" s="10">
        <f>_xll.DBRW($C$1,$C$2,$C$3,$C$4,$C$6,$C$5,$C$7,G$1,G$2,A23)</f>
        <v>35764625318.870003</v>
      </c>
      <c r="H23" s="10">
        <f>_xll.DBRW($C$1,$C$2,$C$3,$C$4,$C$6,$C$5,$C$7,H$1,H$2,A23)</f>
        <v>0</v>
      </c>
    </row>
    <row r="24" spans="1:11" ht="15.75" customHeight="1">
      <c r="A24" s="1" t="s">
        <v>127</v>
      </c>
      <c r="C24" s="143"/>
      <c r="E24" s="13" t="s">
        <v>15</v>
      </c>
      <c r="F24" s="30">
        <f t="shared" ref="F24:H24" si="1">F23</f>
        <v>0</v>
      </c>
      <c r="G24" s="30">
        <f t="shared" si="1"/>
        <v>35764625318.870003</v>
      </c>
      <c r="H24" s="30">
        <f t="shared" si="1"/>
        <v>0</v>
      </c>
      <c r="J24" s="30">
        <f>F24-G24</f>
        <v>-35764625318.870003</v>
      </c>
      <c r="K24" s="30">
        <f>F24-H24</f>
        <v>0</v>
      </c>
    </row>
    <row r="25" spans="1:11" ht="15.75" hidden="1" customHeight="1">
      <c r="A25" s="1" t="s">
        <v>129</v>
      </c>
      <c r="C25" s="143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0</v>
      </c>
      <c r="G25" s="31">
        <f>_xll.DBRW($C$1,$C$2,$C$3,$C$4,$C$6,$C$5,$C$7,G$1,G$2,A25)</f>
        <v>-1209700661.47</v>
      </c>
      <c r="H25" s="31">
        <f>_xll.DBRW($C$1,$C$2,$C$3,$C$4,$C$6,$C$5,$C$7,H$1,H$2,A25)</f>
        <v>0</v>
      </c>
      <c r="J25" s="30">
        <f t="shared" ref="J25:J26" si="2">F25-G25</f>
        <v>1209700661.47</v>
      </c>
      <c r="K25" s="30">
        <f t="shared" ref="K25:K26" si="3">F25-H25</f>
        <v>0</v>
      </c>
    </row>
    <row r="26" spans="1:11" ht="15.75">
      <c r="A26" s="1" t="s">
        <v>127</v>
      </c>
      <c r="C26" s="143"/>
      <c r="E26" s="13" t="s">
        <v>16</v>
      </c>
      <c r="F26" s="30">
        <f t="shared" ref="F26:H26" si="4">F25</f>
        <v>0</v>
      </c>
      <c r="G26" s="30">
        <f t="shared" si="4"/>
        <v>-1209700661.47</v>
      </c>
      <c r="H26" s="30">
        <f t="shared" si="4"/>
        <v>0</v>
      </c>
      <c r="J26" s="30">
        <f t="shared" si="2"/>
        <v>1209700661.47</v>
      </c>
      <c r="K26" s="30">
        <f t="shared" si="3"/>
        <v>0</v>
      </c>
    </row>
    <row r="27" spans="1:11" ht="15.75">
      <c r="A27" s="1" t="s">
        <v>127</v>
      </c>
      <c r="C27" s="143"/>
      <c r="E27" s="19" t="s">
        <v>17</v>
      </c>
      <c r="F27" s="36">
        <f t="shared" ref="F27:H27" si="5">F24+F26</f>
        <v>0</v>
      </c>
      <c r="G27" s="36">
        <f t="shared" si="5"/>
        <v>34554924657.400002</v>
      </c>
      <c r="H27" s="36">
        <f t="shared" si="5"/>
        <v>0</v>
      </c>
      <c r="J27" s="91">
        <f>F27-G27</f>
        <v>-34554924657.400002</v>
      </c>
      <c r="K27" s="91">
        <f>F30-H30</f>
        <v>0</v>
      </c>
    </row>
    <row r="28" spans="1:11" ht="9" customHeight="1">
      <c r="A28" s="1" t="s">
        <v>127</v>
      </c>
      <c r="C28" s="143"/>
      <c r="E28" s="7"/>
      <c r="F28" s="8"/>
      <c r="G28" s="8"/>
      <c r="H28" s="8"/>
    </row>
    <row r="29" spans="1:11" ht="15.75" hidden="1" customHeight="1">
      <c r="A29" s="1" t="s">
        <v>126</v>
      </c>
      <c r="C29" s="143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0</v>
      </c>
      <c r="G29" s="10">
        <f>_xll.DBRW($C$1,$C$2,$C$3,$C$4,$C$6,$C$5,$C$7,G$1,G$2,A29)</f>
        <v>70856609888.499008</v>
      </c>
      <c r="H29" s="10">
        <f>_xll.DBRW($C$1,$C$2,$C$3,$C$4,$C$6,$C$5,$C$7,H$1,H$2,A29)</f>
        <v>0</v>
      </c>
    </row>
    <row r="30" spans="1:11" ht="15.75">
      <c r="A30" s="70" t="s">
        <v>125</v>
      </c>
      <c r="C30" s="143"/>
      <c r="E30" s="13" t="s">
        <v>18</v>
      </c>
      <c r="F30" s="30">
        <f t="shared" ref="F30:H30" si="6">F29-F24</f>
        <v>0</v>
      </c>
      <c r="G30" s="30">
        <f t="shared" si="6"/>
        <v>35091984569.629005</v>
      </c>
      <c r="H30" s="30">
        <f t="shared" si="6"/>
        <v>0</v>
      </c>
      <c r="J30" s="30">
        <f>F30-G30</f>
        <v>-35091984569.629005</v>
      </c>
      <c r="K30" s="30">
        <f>F30-H30</f>
        <v>0</v>
      </c>
    </row>
    <row r="31" spans="1:11" ht="15.75" hidden="1" customHeight="1">
      <c r="A31" s="1" t="s">
        <v>130</v>
      </c>
      <c r="C31" s="143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0</v>
      </c>
      <c r="G31" s="31">
        <f>_xll.DBRW($C$1,$C$2,$C$3,$C$4,$C$6,$C$5,$C$7,G$1,G$2,A31)</f>
        <v>-17610074279.68161</v>
      </c>
      <c r="H31" s="31">
        <f>_xll.DBRW($C$1,$C$2,$C$3,$C$4,$C$6,$C$5,$C$7,H$1,H$2,A31)</f>
        <v>0</v>
      </c>
      <c r="J31" s="30">
        <f t="shared" ref="J31:J32" si="7">F31-G31</f>
        <v>17610074279.68161</v>
      </c>
      <c r="K31" s="30">
        <f t="shared" ref="K31:K32" si="8">F31-H31</f>
        <v>0</v>
      </c>
    </row>
    <row r="32" spans="1:11" ht="15.75" hidden="1" customHeight="1">
      <c r="A32" s="1" t="s">
        <v>131</v>
      </c>
      <c r="C32" s="143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0</v>
      </c>
      <c r="G32" s="31">
        <f>_xll.DBRW($C$1,$C$2,$C$3,$C$4,$C$6,$C$5,$C$7,G$1,G$2,A32)</f>
        <v>-16669053.249999998</v>
      </c>
      <c r="H32" s="31">
        <f>_xll.DBRW($C$1,$C$2,$C$3,$C$4,$C$6,$C$5,$C$7,H$1,H$2,A32)</f>
        <v>0</v>
      </c>
      <c r="J32" s="30">
        <f t="shared" si="7"/>
        <v>16669053.249999998</v>
      </c>
      <c r="K32" s="30">
        <f t="shared" si="8"/>
        <v>0</v>
      </c>
    </row>
    <row r="33" spans="1:11" ht="15.75" hidden="1" customHeight="1">
      <c r="A33" s="1" t="s">
        <v>132</v>
      </c>
      <c r="C33" s="143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0</v>
      </c>
      <c r="G33" s="31">
        <f>_xll.DBRW($C$1,$C$2,$C$3,$C$4,$C$6,$C$5,$C$7,G$1,G$2,A33)</f>
        <v>-724411481.47960043</v>
      </c>
      <c r="H33" s="31">
        <f>_xll.DBRW($C$1,$C$2,$C$3,$C$4,$C$6,$C$5,$C$7,H$1,H$2,A33)</f>
        <v>0</v>
      </c>
    </row>
    <row r="34" spans="1:11" ht="15.75" hidden="1" customHeight="1">
      <c r="A34" s="1" t="s">
        <v>133</v>
      </c>
      <c r="C34" s="143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0</v>
      </c>
      <c r="G34" s="31">
        <f>_xll.DBRW($C$1,$C$2,$C$3,$C$4,$C$6,$C$5,$C$7,G$1,G$2,A34)</f>
        <v>-35331</v>
      </c>
      <c r="H34" s="31">
        <f>_xll.DBRW($C$1,$C$2,$C$3,$C$4,$C$6,$C$5,$C$7,H$1,H$2,A34)</f>
        <v>0</v>
      </c>
    </row>
    <row r="35" spans="1:11" ht="15.75" hidden="1" customHeight="1">
      <c r="A35" s="1" t="s">
        <v>134</v>
      </c>
      <c r="C35" s="143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0</v>
      </c>
      <c r="G35" s="31">
        <f>_xll.DBRW($C$1,$C$2,$C$3,$C$4,$C$6,$C$5,$C$7,G$1,G$2,A35)</f>
        <v>4697007.0799999982</v>
      </c>
      <c r="H35" s="31">
        <f>_xll.DBRW($C$1,$C$2,$C$3,$C$4,$C$6,$C$5,$C$7,H$1,H$2,A35)</f>
        <v>0</v>
      </c>
    </row>
    <row r="36" spans="1:11" ht="15.75" hidden="1" customHeight="1">
      <c r="A36" s="1" t="s">
        <v>135</v>
      </c>
      <c r="C36" s="143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0</v>
      </c>
      <c r="G36" s="31">
        <f>_xll.DBRW($C$1,$C$2,$C$3,$C$4,$C$6,$C$5,$C$7,G$1,G$2,A36)</f>
        <v>3946748.82</v>
      </c>
      <c r="H36" s="31">
        <f>_xll.DBRW($C$1,$C$2,$C$3,$C$4,$C$6,$C$5,$C$7,H$1,H$2,A36)</f>
        <v>0</v>
      </c>
    </row>
    <row r="37" spans="1:11" ht="15.75" hidden="1" customHeight="1">
      <c r="A37" s="1" t="s">
        <v>136</v>
      </c>
      <c r="C37" s="143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5000</v>
      </c>
      <c r="H37" s="31">
        <f>_xll.DBRW($C$1,$C$2,$C$3,$C$4,$C$6,$C$5,$C$7,H$1,H$2,A37)</f>
        <v>0</v>
      </c>
    </row>
    <row r="38" spans="1:11" ht="15.75" hidden="1" customHeight="1">
      <c r="A38" s="1" t="s">
        <v>137</v>
      </c>
      <c r="C38" s="143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</row>
    <row r="39" spans="1:11" ht="15.75" hidden="1" customHeight="1">
      <c r="A39" s="1" t="s">
        <v>138</v>
      </c>
      <c r="C39" s="143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</row>
    <row r="40" spans="1:11" ht="15.75" hidden="1" customHeight="1">
      <c r="A40" s="1" t="s">
        <v>139</v>
      </c>
      <c r="C40" s="143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0</v>
      </c>
      <c r="G40" s="31">
        <f>_xll.DBRW($C$1,$C$2,$C$3,$C$4,$C$6,$C$5,$C$7,G$1,G$2,A40)</f>
        <v>9378349.6299999971</v>
      </c>
      <c r="H40" s="31">
        <f>_xll.DBRW($C$1,$C$2,$C$3,$C$4,$C$6,$C$5,$C$7,H$1,H$2,A40)</f>
        <v>0</v>
      </c>
    </row>
    <row r="41" spans="1:11" ht="15.75">
      <c r="A41" s="70" t="s">
        <v>124</v>
      </c>
      <c r="C41" s="143"/>
      <c r="E41" s="13" t="s">
        <v>19</v>
      </c>
      <c r="F41" s="30">
        <f t="shared" ref="F41:H41" si="9">SUM(F31:F40)</f>
        <v>0</v>
      </c>
      <c r="G41" s="30">
        <f t="shared" si="9"/>
        <v>-18333163039.881207</v>
      </c>
      <c r="H41" s="30">
        <f t="shared" si="9"/>
        <v>0</v>
      </c>
      <c r="J41" s="30">
        <f>F41-G41</f>
        <v>18333163039.881207</v>
      </c>
      <c r="K41" s="30">
        <f>F41-H41</f>
        <v>0</v>
      </c>
    </row>
    <row r="42" spans="1:11" ht="15.75" hidden="1" customHeight="1">
      <c r="A42" s="1" t="s">
        <v>140</v>
      </c>
      <c r="C42" s="143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0</v>
      </c>
      <c r="G42" s="31">
        <f>_xll.DBRW($C$1,$C$2,$C$3,$C$4,$C$6,$C$5,$C$7,G$1,G$2,A42)</f>
        <v>-2376904282.4945822</v>
      </c>
      <c r="H42" s="31">
        <f>_xll.DBRW($C$1,$C$2,$C$3,$C$4,$C$6,$C$5,$C$7,H$1,H$2,A42)</f>
        <v>0</v>
      </c>
      <c r="J42" s="30">
        <f t="shared" ref="J42:J43" si="10">F42-G42</f>
        <v>2376904282.4945822</v>
      </c>
      <c r="K42" s="30">
        <f t="shared" ref="K42:K43" si="11">F42-H42</f>
        <v>0</v>
      </c>
    </row>
    <row r="43" spans="1:11" ht="15.75" hidden="1" customHeight="1">
      <c r="A43" s="1" t="s">
        <v>141</v>
      </c>
      <c r="C43" s="143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0</v>
      </c>
      <c r="G43" s="31">
        <f>_xll.DBRW($C$1,$C$2,$C$3,$C$4,$C$6,$C$5,$C$7,G$1,G$2,A43)</f>
        <v>-4078000.96</v>
      </c>
      <c r="H43" s="31">
        <f>_xll.DBRW($C$1,$C$2,$C$3,$C$4,$C$6,$C$5,$C$7,H$1,H$2,A43)</f>
        <v>0</v>
      </c>
      <c r="J43" s="30">
        <f t="shared" si="10"/>
        <v>4078000.96</v>
      </c>
      <c r="K43" s="30">
        <f t="shared" si="11"/>
        <v>0</v>
      </c>
    </row>
    <row r="44" spans="1:11" ht="15.75" collapsed="1">
      <c r="A44" s="1" t="s">
        <v>127</v>
      </c>
      <c r="C44" s="143"/>
      <c r="E44" s="14" t="s">
        <v>20</v>
      </c>
      <c r="F44" s="32">
        <f>SUM(F42:F43)</f>
        <v>0</v>
      </c>
      <c r="G44" s="32">
        <f t="shared" ref="G44:H44" si="12">SUM(G42:G43)</f>
        <v>-2380982283.4545822</v>
      </c>
      <c r="H44" s="32">
        <f t="shared" si="12"/>
        <v>0</v>
      </c>
      <c r="J44" s="32">
        <f>F44-G44</f>
        <v>2380982283.4545822</v>
      </c>
      <c r="K44" s="32">
        <f>F44-H44</f>
        <v>0</v>
      </c>
    </row>
    <row r="45" spans="1:11" ht="15.75" hidden="1" customHeight="1">
      <c r="A45" s="1" t="s">
        <v>142</v>
      </c>
      <c r="C45" s="143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0</v>
      </c>
      <c r="G45" s="32">
        <f>_xll.DBRW($C$1,$C$2,$C$3,$C$4,$C$6,$C$5,$C$7,G$1,G$2,A45)</f>
        <v>-229741190.19319999</v>
      </c>
      <c r="H45" s="32">
        <f>_xll.DBRW($C$1,$C$2,$C$3,$C$4,$C$6,$C$5,$C$7,H$1,H$2,A45)</f>
        <v>0</v>
      </c>
      <c r="J45" s="32">
        <f t="shared" ref="J45:J79" si="13">F45-G45</f>
        <v>229741190.19319999</v>
      </c>
      <c r="K45" s="32">
        <f t="shared" ref="K45:K79" si="14">F45-H45</f>
        <v>0</v>
      </c>
    </row>
    <row r="46" spans="1:11" ht="15.75" hidden="1" customHeight="1">
      <c r="A46" s="1" t="s">
        <v>143</v>
      </c>
      <c r="C46" s="143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0</v>
      </c>
      <c r="G46" s="32">
        <f>_xll.DBRW($C$1,$C$2,$C$3,$C$4,$C$6,$C$5,$C$7,G$1,G$2,A46)</f>
        <v>-3343299029.5800004</v>
      </c>
      <c r="H46" s="32">
        <f>_xll.DBRW($C$1,$C$2,$C$3,$C$4,$C$6,$C$5,$C$7,H$1,H$2,A46)</f>
        <v>0</v>
      </c>
      <c r="J46" s="32">
        <f t="shared" si="13"/>
        <v>3343299029.5800004</v>
      </c>
      <c r="K46" s="32">
        <f t="shared" si="14"/>
        <v>0</v>
      </c>
    </row>
    <row r="47" spans="1:11" ht="15.75">
      <c r="A47" s="1" t="s">
        <v>127</v>
      </c>
      <c r="C47" s="143"/>
      <c r="E47" s="15" t="s">
        <v>21</v>
      </c>
      <c r="F47" s="33">
        <f t="shared" ref="F47:H47" si="15">SUM(F45:F46)</f>
        <v>0</v>
      </c>
      <c r="G47" s="33">
        <f t="shared" si="15"/>
        <v>-3573040219.7732005</v>
      </c>
      <c r="H47" s="33">
        <f t="shared" si="15"/>
        <v>0</v>
      </c>
      <c r="J47" s="33">
        <f t="shared" si="13"/>
        <v>3573040219.7732005</v>
      </c>
      <c r="K47" s="33">
        <f t="shared" si="14"/>
        <v>0</v>
      </c>
    </row>
    <row r="48" spans="1:11" ht="15.75" hidden="1" customHeight="1">
      <c r="A48" s="1" t="s">
        <v>144</v>
      </c>
      <c r="C48" s="143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0</v>
      </c>
      <c r="G48" s="32">
        <f>_xll.DBRW($C$1,$C$2,$C$3,$C$4,$C$6,$C$5,$C$7,G$1,G$2,A48)</f>
        <v>-61497532.64600002</v>
      </c>
      <c r="H48" s="32">
        <f>_xll.DBRW($C$1,$C$2,$C$3,$C$4,$C$6,$C$5,$C$7,H$1,H$2,A48)</f>
        <v>0</v>
      </c>
      <c r="J48" s="33">
        <f t="shared" si="13"/>
        <v>61497532.64600002</v>
      </c>
      <c r="K48" s="33">
        <f t="shared" si="14"/>
        <v>0</v>
      </c>
    </row>
    <row r="49" spans="1:11" ht="15.75">
      <c r="A49" s="1" t="s">
        <v>127</v>
      </c>
      <c r="C49" s="143"/>
      <c r="E49" s="15" t="s">
        <v>22</v>
      </c>
      <c r="F49" s="33">
        <f t="shared" ref="F49:H49" si="16">SUM(F48)</f>
        <v>0</v>
      </c>
      <c r="G49" s="33">
        <f t="shared" si="16"/>
        <v>-61497532.64600002</v>
      </c>
      <c r="H49" s="33">
        <f t="shared" si="16"/>
        <v>0</v>
      </c>
      <c r="J49" s="33">
        <f t="shared" si="13"/>
        <v>61497532.64600002</v>
      </c>
      <c r="K49" s="33">
        <f t="shared" si="14"/>
        <v>0</v>
      </c>
    </row>
    <row r="50" spans="1:11" ht="15.75" hidden="1" customHeight="1">
      <c r="A50" s="1" t="s">
        <v>145</v>
      </c>
      <c r="C50" s="143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0</v>
      </c>
      <c r="G50" s="32">
        <f>_xll.DBRW($C$1,$C$2,$C$3,$C$4,$C$6,$C$5,$C$7,G$1,G$2,A50)</f>
        <v>-808759879.87999976</v>
      </c>
      <c r="H50" s="32">
        <f>_xll.DBRW($C$1,$C$2,$C$3,$C$4,$C$6,$C$5,$C$7,H$1,H$2,A50)</f>
        <v>0</v>
      </c>
      <c r="J50" s="33">
        <f t="shared" si="13"/>
        <v>808759879.87999976</v>
      </c>
      <c r="K50" s="33">
        <f t="shared" si="14"/>
        <v>0</v>
      </c>
    </row>
    <row r="51" spans="1:11" ht="15.75">
      <c r="A51" s="1" t="s">
        <v>127</v>
      </c>
      <c r="C51" s="143"/>
      <c r="E51" s="15" t="s">
        <v>23</v>
      </c>
      <c r="F51" s="33">
        <f t="shared" ref="F51:H51" si="17">SUM(F50)</f>
        <v>0</v>
      </c>
      <c r="G51" s="33">
        <f t="shared" si="17"/>
        <v>-808759879.87999976</v>
      </c>
      <c r="H51" s="33">
        <f t="shared" si="17"/>
        <v>0</v>
      </c>
      <c r="J51" s="33">
        <f t="shared" si="13"/>
        <v>808759879.87999976</v>
      </c>
      <c r="K51" s="33">
        <f t="shared" si="14"/>
        <v>0</v>
      </c>
    </row>
    <row r="52" spans="1:11" ht="15.75" hidden="1" customHeight="1">
      <c r="A52" s="1" t="s">
        <v>146</v>
      </c>
      <c r="C52" s="143"/>
      <c r="E52" s="9" t="str">
        <f>_xll.DBRW(Server&amp;"}ElementAttributes_Indicator",A52,"code_English")</f>
        <v>PL1115_MF_31 - Tyres</v>
      </c>
      <c r="F52" s="32">
        <f>_xll.DBRW($C$1,$C$2,$C$3,$C$4,$C$6,$C$5,$C$7,F$1,F$2,A52)</f>
        <v>0</v>
      </c>
      <c r="G52" s="32">
        <f>_xll.DBRW($C$1,$C$2,$C$3,$C$4,$C$6,$C$5,$C$7,G$1,G$2,A52)</f>
        <v>-164247057.81000009</v>
      </c>
      <c r="H52" s="32">
        <f>_xll.DBRW($C$1,$C$2,$C$3,$C$4,$C$6,$C$5,$C$7,H$1,H$2,A52)</f>
        <v>0</v>
      </c>
      <c r="J52" s="33">
        <f t="shared" si="13"/>
        <v>164247057.81000009</v>
      </c>
      <c r="K52" s="33">
        <f t="shared" si="14"/>
        <v>0</v>
      </c>
    </row>
    <row r="53" spans="1:11" ht="15.75">
      <c r="A53" s="1" t="s">
        <v>146</v>
      </c>
      <c r="C53" s="143"/>
      <c r="E53" s="15" t="s">
        <v>24</v>
      </c>
      <c r="F53" s="33">
        <f t="shared" ref="F53:H53" si="18">SUM(F52)</f>
        <v>0</v>
      </c>
      <c r="G53" s="33">
        <f t="shared" si="18"/>
        <v>-164247057.81000009</v>
      </c>
      <c r="H53" s="33">
        <f t="shared" si="18"/>
        <v>0</v>
      </c>
      <c r="J53" s="33">
        <f t="shared" si="13"/>
        <v>164247057.81000009</v>
      </c>
      <c r="K53" s="33">
        <f t="shared" si="14"/>
        <v>0</v>
      </c>
    </row>
    <row r="54" spans="1:11" ht="15.75" hidden="1" customHeight="1">
      <c r="A54" s="1" t="s">
        <v>147</v>
      </c>
      <c r="C54" s="143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0</v>
      </c>
      <c r="G54" s="32">
        <f>_xll.DBRW($C$1,$C$2,$C$3,$C$4,$C$6,$C$5,$C$7,G$1,G$2,A54)</f>
        <v>-495739105.29999977</v>
      </c>
      <c r="H54" s="32">
        <f>_xll.DBRW($C$1,$C$2,$C$3,$C$4,$C$6,$C$5,$C$7,H$1,H$2,A54)</f>
        <v>0</v>
      </c>
      <c r="J54" s="33">
        <f t="shared" si="13"/>
        <v>495739105.29999977</v>
      </c>
      <c r="K54" s="33">
        <f t="shared" si="14"/>
        <v>0</v>
      </c>
    </row>
    <row r="55" spans="1:11" ht="15.75">
      <c r="A55" s="1" t="s">
        <v>147</v>
      </c>
      <c r="C55" s="143"/>
      <c r="E55" s="15" t="s">
        <v>25</v>
      </c>
      <c r="F55" s="33">
        <f t="shared" ref="F55:H55" si="19">SUM(F54)</f>
        <v>0</v>
      </c>
      <c r="G55" s="33">
        <f t="shared" si="19"/>
        <v>-495739105.29999977</v>
      </c>
      <c r="H55" s="33">
        <f t="shared" si="19"/>
        <v>0</v>
      </c>
      <c r="J55" s="33">
        <f t="shared" si="13"/>
        <v>495739105.29999977</v>
      </c>
      <c r="K55" s="33">
        <f t="shared" si="14"/>
        <v>0</v>
      </c>
    </row>
    <row r="56" spans="1:11" ht="15.75" hidden="1" customHeight="1">
      <c r="A56" s="1" t="s">
        <v>148</v>
      </c>
      <c r="C56" s="143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0</v>
      </c>
      <c r="G56" s="32">
        <f>_xll.DBRW($C$1,$C$2,$C$3,$C$4,$C$6,$C$5,$C$7,G$1,G$2,A56)</f>
        <v>-507341195.27040029</v>
      </c>
      <c r="H56" s="32">
        <f>_xll.DBRW($C$1,$C$2,$C$3,$C$4,$C$6,$C$5,$C$7,H$1,H$2,A56)</f>
        <v>0</v>
      </c>
      <c r="J56" s="32">
        <f t="shared" si="13"/>
        <v>507341195.27040029</v>
      </c>
      <c r="K56" s="32">
        <f t="shared" si="14"/>
        <v>0</v>
      </c>
    </row>
    <row r="57" spans="1:11" ht="15.75" hidden="1" customHeight="1">
      <c r="A57" s="1" t="s">
        <v>149</v>
      </c>
      <c r="C57" s="143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J57" s="32">
        <f t="shared" si="13"/>
        <v>0</v>
      </c>
      <c r="K57" s="32">
        <f t="shared" si="14"/>
        <v>0</v>
      </c>
    </row>
    <row r="58" spans="1:11" ht="15.75" hidden="1" customHeight="1">
      <c r="A58" s="1" t="s">
        <v>150</v>
      </c>
      <c r="C58" s="143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0</v>
      </c>
      <c r="G58" s="32">
        <f>_xll.DBRW($C$1,$C$2,$C$3,$C$4,$C$6,$C$5,$C$7,G$1,G$2,A58)</f>
        <v>-3307670.1599999997</v>
      </c>
      <c r="H58" s="32">
        <f>_xll.DBRW($C$1,$C$2,$C$3,$C$4,$C$6,$C$5,$C$7,H$1,H$2,A58)</f>
        <v>0</v>
      </c>
      <c r="J58" s="32">
        <f t="shared" si="13"/>
        <v>3307670.1599999997</v>
      </c>
      <c r="K58" s="32">
        <f t="shared" si="14"/>
        <v>0</v>
      </c>
    </row>
    <row r="59" spans="1:11" ht="15.75" hidden="1" customHeight="1">
      <c r="A59" s="1" t="s">
        <v>151</v>
      </c>
      <c r="C59" s="143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-2389.3200000000002</v>
      </c>
      <c r="H59" s="32">
        <f>_xll.DBRW($C$1,$C$2,$C$3,$C$4,$C$6,$C$5,$C$7,H$1,H$2,A59)</f>
        <v>0</v>
      </c>
      <c r="J59" s="32">
        <f t="shared" si="13"/>
        <v>2389.3200000000002</v>
      </c>
      <c r="K59" s="32">
        <f t="shared" si="14"/>
        <v>0</v>
      </c>
    </row>
    <row r="60" spans="1:11" ht="15.75" hidden="1" customHeight="1">
      <c r="A60" s="1" t="s">
        <v>152</v>
      </c>
      <c r="C60" s="143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J60" s="32">
        <f t="shared" si="13"/>
        <v>0</v>
      </c>
      <c r="K60" s="32">
        <f t="shared" si="14"/>
        <v>0</v>
      </c>
    </row>
    <row r="61" spans="1:11" ht="15.75" hidden="1" customHeight="1">
      <c r="A61" s="1" t="s">
        <v>153</v>
      </c>
      <c r="C61" s="143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J61" s="32">
        <f t="shared" si="13"/>
        <v>0</v>
      </c>
      <c r="K61" s="32">
        <f t="shared" si="14"/>
        <v>0</v>
      </c>
    </row>
    <row r="62" spans="1:11" ht="15.75" hidden="1" customHeight="1">
      <c r="A62" s="1" t="s">
        <v>154</v>
      </c>
      <c r="C62" s="143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607.32000000000005</v>
      </c>
      <c r="H62" s="32">
        <f>_xll.DBRW($C$1,$C$2,$C$3,$C$4,$C$6,$C$5,$C$7,H$1,H$2,A62)</f>
        <v>0</v>
      </c>
      <c r="J62" s="32">
        <f t="shared" si="13"/>
        <v>-607.32000000000005</v>
      </c>
      <c r="K62" s="32">
        <f t="shared" si="14"/>
        <v>0</v>
      </c>
    </row>
    <row r="63" spans="1:11" ht="15.75" hidden="1" customHeight="1">
      <c r="A63" s="1" t="s">
        <v>155</v>
      </c>
      <c r="C63" s="143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J63" s="32">
        <f t="shared" si="13"/>
        <v>0</v>
      </c>
      <c r="K63" s="32">
        <f t="shared" si="14"/>
        <v>0</v>
      </c>
    </row>
    <row r="64" spans="1:11" ht="15.75" hidden="1" customHeight="1">
      <c r="A64" s="1" t="s">
        <v>156</v>
      </c>
      <c r="C64" s="143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0</v>
      </c>
      <c r="G64" s="32">
        <f>_xll.DBRW($C$1,$C$2,$C$3,$C$4,$C$6,$C$5,$C$7,G$1,G$2,A64)</f>
        <v>-1815557.3600000003</v>
      </c>
      <c r="H64" s="32">
        <f>_xll.DBRW($C$1,$C$2,$C$3,$C$4,$C$6,$C$5,$C$7,H$1,H$2,A64)</f>
        <v>0</v>
      </c>
      <c r="J64" s="32">
        <f t="shared" si="13"/>
        <v>1815557.3600000003</v>
      </c>
      <c r="K64" s="32">
        <f t="shared" si="14"/>
        <v>0</v>
      </c>
    </row>
    <row r="65" spans="1:11" ht="15.75" hidden="1" customHeight="1">
      <c r="A65" s="1" t="s">
        <v>157</v>
      </c>
      <c r="C65" s="143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0</v>
      </c>
      <c r="G65" s="32">
        <f>_xll.DBRW($C$1,$C$2,$C$3,$C$4,$C$6,$C$5,$C$7,G$1,G$2,A65)</f>
        <v>0</v>
      </c>
      <c r="H65" s="32">
        <f>_xll.DBRW($C$1,$C$2,$C$3,$C$4,$C$6,$C$5,$C$7,H$1,H$2,A65)</f>
        <v>0</v>
      </c>
      <c r="J65" s="32">
        <f t="shared" si="13"/>
        <v>0</v>
      </c>
      <c r="K65" s="32">
        <f t="shared" si="14"/>
        <v>0</v>
      </c>
    </row>
    <row r="66" spans="1:11" ht="15.75" hidden="1" customHeight="1">
      <c r="A66" s="1" t="s">
        <v>158</v>
      </c>
      <c r="C66" s="143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0</v>
      </c>
      <c r="G66" s="32">
        <f>_xll.DBRW($C$1,$C$2,$C$3,$C$4,$C$6,$C$5,$C$7,G$1,G$2,A66)</f>
        <v>285963.03999999998</v>
      </c>
      <c r="H66" s="32">
        <f>_xll.DBRW($C$1,$C$2,$C$3,$C$4,$C$6,$C$5,$C$7,H$1,H$2,A66)</f>
        <v>0</v>
      </c>
      <c r="J66" s="32">
        <f t="shared" si="13"/>
        <v>-285963.03999999998</v>
      </c>
      <c r="K66" s="32">
        <f t="shared" si="14"/>
        <v>0</v>
      </c>
    </row>
    <row r="67" spans="1:11" ht="15.75" hidden="1" customHeight="1">
      <c r="A67" s="1" t="s">
        <v>159</v>
      </c>
      <c r="C67" s="143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0</v>
      </c>
      <c r="G67" s="32">
        <f>_xll.DBRW($C$1,$C$2,$C$3,$C$4,$C$6,$C$5,$C$7,G$1,G$2,A67)</f>
        <v>22521.059999999998</v>
      </c>
      <c r="H67" s="32">
        <f>_xll.DBRW($C$1,$C$2,$C$3,$C$4,$C$6,$C$5,$C$7,H$1,H$2,A67)</f>
        <v>0</v>
      </c>
      <c r="J67" s="32">
        <f t="shared" si="13"/>
        <v>-22521.059999999998</v>
      </c>
      <c r="K67" s="32">
        <f t="shared" si="14"/>
        <v>0</v>
      </c>
    </row>
    <row r="68" spans="1:11" ht="15.75" hidden="1" customHeight="1">
      <c r="A68" s="1" t="s">
        <v>160</v>
      </c>
      <c r="C68" s="143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-3042841.8199999984</v>
      </c>
      <c r="H68" s="32">
        <f>_xll.DBRW($C$1,$C$2,$C$3,$C$4,$C$6,$C$5,$C$7,H$1,H$2,A68)</f>
        <v>0</v>
      </c>
      <c r="J68" s="32">
        <f t="shared" si="13"/>
        <v>3042841.8199999984</v>
      </c>
      <c r="K68" s="32">
        <f t="shared" si="14"/>
        <v>0</v>
      </c>
    </row>
    <row r="69" spans="1:11" ht="15.75" hidden="1" customHeight="1">
      <c r="A69" s="1" t="s">
        <v>161</v>
      </c>
      <c r="C69" s="143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J69" s="32">
        <f t="shared" si="13"/>
        <v>0</v>
      </c>
      <c r="K69" s="32">
        <f t="shared" si="14"/>
        <v>0</v>
      </c>
    </row>
    <row r="70" spans="1:11" ht="15.75" hidden="1" customHeight="1">
      <c r="A70" s="1" t="s">
        <v>162</v>
      </c>
      <c r="C70" s="143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J70" s="32">
        <f t="shared" si="13"/>
        <v>0</v>
      </c>
      <c r="K70" s="32">
        <f t="shared" si="14"/>
        <v>0</v>
      </c>
    </row>
    <row r="71" spans="1:11" ht="15.75" hidden="1" customHeight="1">
      <c r="A71" s="1" t="s">
        <v>163</v>
      </c>
      <c r="C71" s="143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J71" s="32">
        <f t="shared" si="13"/>
        <v>0</v>
      </c>
      <c r="K71" s="32">
        <f t="shared" si="14"/>
        <v>0</v>
      </c>
    </row>
    <row r="72" spans="1:11" ht="15.75" hidden="1" customHeight="1">
      <c r="A72" s="1" t="s">
        <v>164</v>
      </c>
      <c r="C72" s="143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J72" s="32">
        <f t="shared" si="13"/>
        <v>0</v>
      </c>
      <c r="K72" s="32">
        <f t="shared" si="14"/>
        <v>0</v>
      </c>
    </row>
    <row r="73" spans="1:11" ht="15.75" hidden="1" customHeight="1">
      <c r="A73" s="1" t="s">
        <v>165</v>
      </c>
      <c r="C73" s="143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J73" s="32">
        <f t="shared" si="13"/>
        <v>0</v>
      </c>
      <c r="K73" s="32">
        <f t="shared" si="14"/>
        <v>0</v>
      </c>
    </row>
    <row r="74" spans="1:11" ht="15.75" hidden="1" customHeight="1">
      <c r="A74" s="1" t="s">
        <v>166</v>
      </c>
      <c r="C74" s="143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J74" s="32">
        <f t="shared" si="13"/>
        <v>0</v>
      </c>
      <c r="K74" s="32">
        <f t="shared" si="14"/>
        <v>0</v>
      </c>
    </row>
    <row r="75" spans="1:11" ht="15.75" hidden="1" customHeight="1">
      <c r="A75" s="1" t="s">
        <v>167</v>
      </c>
      <c r="C75" s="143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0</v>
      </c>
      <c r="G75" s="32">
        <f>_xll.DBRW($C$1,$C$2,$C$3,$C$4,$C$6,$C$5,$C$7,G$1,G$2,A75)</f>
        <v>12772019.019999998</v>
      </c>
      <c r="H75" s="32">
        <f>_xll.DBRW($C$1,$C$2,$C$3,$C$4,$C$6,$C$5,$C$7,H$1,H$2,A75)</f>
        <v>0</v>
      </c>
      <c r="J75" s="32">
        <f t="shared" si="13"/>
        <v>-12772019.019999998</v>
      </c>
      <c r="K75" s="32">
        <f t="shared" si="14"/>
        <v>0</v>
      </c>
    </row>
    <row r="76" spans="1:11" ht="15.75" hidden="1" customHeight="1">
      <c r="A76" s="1" t="s">
        <v>168</v>
      </c>
      <c r="C76" s="143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-1563.2200000000003</v>
      </c>
      <c r="H76" s="32">
        <f>_xll.DBRW($C$1,$C$2,$C$3,$C$4,$C$6,$C$5,$C$7,H$1,H$2,A76)</f>
        <v>0</v>
      </c>
      <c r="J76" s="32">
        <f t="shared" si="13"/>
        <v>1563.2200000000003</v>
      </c>
      <c r="K76" s="32">
        <f t="shared" si="14"/>
        <v>0</v>
      </c>
    </row>
    <row r="77" spans="1:11" ht="15.75" hidden="1" customHeight="1">
      <c r="A77" s="1" t="s">
        <v>169</v>
      </c>
      <c r="C77" s="143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J77" s="32">
        <f t="shared" si="13"/>
        <v>0</v>
      </c>
      <c r="K77" s="32">
        <f t="shared" si="14"/>
        <v>0</v>
      </c>
    </row>
    <row r="78" spans="1:11" ht="15.75" hidden="1" customHeight="1">
      <c r="A78" s="1" t="s">
        <v>170</v>
      </c>
      <c r="C78" s="143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J78" s="32">
        <f t="shared" si="13"/>
        <v>0</v>
      </c>
      <c r="K78" s="32">
        <f t="shared" si="14"/>
        <v>0</v>
      </c>
    </row>
    <row r="79" spans="1:11" ht="15.75">
      <c r="A79" s="1" t="s">
        <v>127</v>
      </c>
      <c r="C79" s="143"/>
      <c r="E79" s="14" t="s">
        <v>26</v>
      </c>
      <c r="F79" s="32">
        <f>SUM(F56:F78)</f>
        <v>0</v>
      </c>
      <c r="G79" s="32">
        <f t="shared" ref="G79:H79" si="20">SUM(G56:G78)</f>
        <v>-502430106.71040034</v>
      </c>
      <c r="H79" s="32">
        <f t="shared" si="20"/>
        <v>0</v>
      </c>
      <c r="J79" s="32">
        <f t="shared" si="13"/>
        <v>502430106.71040034</v>
      </c>
      <c r="K79" s="32">
        <f t="shared" si="14"/>
        <v>0</v>
      </c>
    </row>
    <row r="80" spans="1:11" ht="15.75" collapsed="1">
      <c r="A80" s="1" t="s">
        <v>127</v>
      </c>
      <c r="C80" s="143"/>
      <c r="E80" s="11" t="s">
        <v>27</v>
      </c>
      <c r="F80" s="34">
        <f t="shared" ref="F80:H80" si="21">F79+F55+F53+F51+F49+F47+F44</f>
        <v>0</v>
      </c>
      <c r="G80" s="34">
        <f t="shared" si="21"/>
        <v>-7986696185.5741825</v>
      </c>
      <c r="H80" s="34">
        <f t="shared" si="21"/>
        <v>0</v>
      </c>
      <c r="J80" s="30">
        <f>F80-G80</f>
        <v>7986696185.5741825</v>
      </c>
      <c r="K80" s="30">
        <f>F80-H80</f>
        <v>0</v>
      </c>
    </row>
    <row r="81" spans="1:11" ht="15.75" hidden="1" customHeight="1">
      <c r="A81" s="1" t="s">
        <v>171</v>
      </c>
      <c r="C81" s="143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0</v>
      </c>
      <c r="G81" s="31">
        <f>_xll.DBRW($C$1,$C$2,$C$3,$C$4,$C$6,$C$5,$C$7,G$1,G$2,A81)</f>
        <v>-132485427.87079997</v>
      </c>
      <c r="H81" s="31">
        <f>_xll.DBRW($C$1,$C$2,$C$3,$C$4,$C$6,$C$5,$C$7,H$1,H$2,A81)</f>
        <v>0</v>
      </c>
    </row>
    <row r="82" spans="1:11" ht="15.75" hidden="1" customHeight="1">
      <c r="A82" s="1" t="s">
        <v>172</v>
      </c>
      <c r="C82" s="143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</row>
    <row r="83" spans="1:11" ht="15.75" collapsed="1">
      <c r="A83" s="1" t="s">
        <v>127</v>
      </c>
      <c r="C83" s="143"/>
      <c r="E83" s="14" t="s">
        <v>28</v>
      </c>
      <c r="F83" s="32">
        <f t="shared" ref="F83:H83" si="22">SUM(F81:F82)</f>
        <v>0</v>
      </c>
      <c r="G83" s="32">
        <f t="shared" si="22"/>
        <v>-132485427.87079997</v>
      </c>
      <c r="H83" s="32">
        <f t="shared" si="22"/>
        <v>0</v>
      </c>
      <c r="J83" s="32">
        <f t="shared" ref="J83:J97" si="23">F83-G83</f>
        <v>132485427.87079997</v>
      </c>
      <c r="K83" s="32">
        <f t="shared" ref="K83:K97" si="24">F83-H83</f>
        <v>0</v>
      </c>
    </row>
    <row r="84" spans="1:11" ht="15.75" hidden="1" customHeight="1">
      <c r="A84" s="1" t="s">
        <v>173</v>
      </c>
      <c r="C84" s="143"/>
      <c r="E84" s="9" t="str">
        <f>_xll.DBRW(Server&amp;"}ElementAttributes_Indicator",A84,"code_English")</f>
        <v>PL1115_ET_80 - Fuel</v>
      </c>
      <c r="F84" s="32">
        <f>_xll.DBRW($C$1,$C$2,$C$3,$C$4,$C$6,$C$5,$C$7,F$1,F$2,A84)</f>
        <v>0</v>
      </c>
      <c r="G84" s="32">
        <f>_xll.DBRW($C$1,$C$2,$C$3,$C$4,$C$6,$C$5,$C$7,G$1,G$2,A84)</f>
        <v>-13992341687.789997</v>
      </c>
      <c r="H84" s="32">
        <f>_xll.DBRW($C$1,$C$2,$C$3,$C$4,$C$6,$C$5,$C$7,H$1,H$2,A84)</f>
        <v>0</v>
      </c>
      <c r="J84" s="32">
        <f t="shared" si="23"/>
        <v>13992341687.789997</v>
      </c>
      <c r="K84" s="32">
        <f t="shared" si="24"/>
        <v>0</v>
      </c>
    </row>
    <row r="85" spans="1:11" ht="15.75" hidden="1" customHeight="1">
      <c r="A85" s="1" t="s">
        <v>174</v>
      </c>
      <c r="C85" s="143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0</v>
      </c>
      <c r="G85" s="32">
        <f>_xll.DBRW($C$1,$C$2,$C$3,$C$4,$C$6,$C$5,$C$7,G$1,G$2,A85)</f>
        <v>-1287.32</v>
      </c>
      <c r="H85" s="32">
        <f>_xll.DBRW($C$1,$C$2,$C$3,$C$4,$C$6,$C$5,$C$7,H$1,H$2,A85)</f>
        <v>0</v>
      </c>
      <c r="J85" s="32">
        <f t="shared" si="23"/>
        <v>1287.32</v>
      </c>
      <c r="K85" s="32">
        <f t="shared" si="24"/>
        <v>0</v>
      </c>
    </row>
    <row r="86" spans="1:11" ht="15.75" hidden="1" customHeight="1">
      <c r="A86" s="1" t="s">
        <v>175</v>
      </c>
      <c r="C86" s="143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0</v>
      </c>
      <c r="G86" s="32">
        <f>_xll.DBRW($C$1,$C$2,$C$3,$C$4,$C$6,$C$5,$C$7,G$1,G$2,A86)</f>
        <v>28135030.870000008</v>
      </c>
      <c r="H86" s="32">
        <f>_xll.DBRW($C$1,$C$2,$C$3,$C$4,$C$6,$C$5,$C$7,H$1,H$2,A86)</f>
        <v>0</v>
      </c>
      <c r="J86" s="32">
        <f t="shared" si="23"/>
        <v>-28135030.870000008</v>
      </c>
      <c r="K86" s="32">
        <f t="shared" si="24"/>
        <v>0</v>
      </c>
    </row>
    <row r="87" spans="1:11" ht="15.75" hidden="1" customHeight="1">
      <c r="A87" s="1" t="s">
        <v>176</v>
      </c>
      <c r="C87" s="143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0</v>
      </c>
      <c r="G87" s="32">
        <f>_xll.DBRW($C$1,$C$2,$C$3,$C$4,$C$6,$C$5,$C$7,G$1,G$2,A87)</f>
        <v>24149934.329999994</v>
      </c>
      <c r="H87" s="32">
        <f>_xll.DBRW($C$1,$C$2,$C$3,$C$4,$C$6,$C$5,$C$7,H$1,H$2,A87)</f>
        <v>0</v>
      </c>
      <c r="J87" s="32">
        <f t="shared" si="23"/>
        <v>-24149934.329999994</v>
      </c>
      <c r="K87" s="32">
        <f t="shared" si="24"/>
        <v>0</v>
      </c>
    </row>
    <row r="88" spans="1:11" ht="15.75">
      <c r="C88" s="143"/>
      <c r="E88" s="80" t="s">
        <v>29</v>
      </c>
      <c r="F88" s="33">
        <f t="shared" ref="F88:H88" si="25">SUM(F84:F87)</f>
        <v>0</v>
      </c>
      <c r="G88" s="33">
        <f t="shared" si="25"/>
        <v>-13940058009.909996</v>
      </c>
      <c r="H88" s="33">
        <f t="shared" si="25"/>
        <v>0</v>
      </c>
      <c r="J88" s="33">
        <f t="shared" si="23"/>
        <v>13940058009.909996</v>
      </c>
      <c r="K88" s="33">
        <f t="shared" si="24"/>
        <v>0</v>
      </c>
    </row>
    <row r="89" spans="1:11" ht="15.75" hidden="1" customHeight="1">
      <c r="A89" s="1" t="s">
        <v>177</v>
      </c>
      <c r="C89" s="143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0</v>
      </c>
      <c r="G89" s="32">
        <f>_xll.DBRW($C$1,$C$2,$C$3,$C$4,$C$6,$C$5,$C$7,G$1,G$2,A89)</f>
        <v>-307247166.38</v>
      </c>
      <c r="H89" s="32">
        <f>_xll.DBRW($C$1,$C$2,$C$3,$C$4,$C$6,$C$5,$C$7,H$1,H$2,A89)</f>
        <v>0</v>
      </c>
      <c r="J89" s="33">
        <f t="shared" si="23"/>
        <v>307247166.38</v>
      </c>
      <c r="K89" s="33">
        <f t="shared" si="24"/>
        <v>0</v>
      </c>
    </row>
    <row r="90" spans="1:11" ht="15.75" hidden="1" customHeight="1">
      <c r="A90" s="1" t="s">
        <v>178</v>
      </c>
      <c r="C90" s="143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0</v>
      </c>
      <c r="G90" s="32">
        <f>_xll.DBRW($C$1,$C$2,$C$3,$C$4,$C$6,$C$5,$C$7,G$1,G$2,A90)</f>
        <v>64345.36</v>
      </c>
      <c r="H90" s="32">
        <f>_xll.DBRW($C$1,$C$2,$C$3,$C$4,$C$6,$C$5,$C$7,H$1,H$2,A90)</f>
        <v>0</v>
      </c>
      <c r="J90" s="33">
        <f t="shared" si="23"/>
        <v>-64345.36</v>
      </c>
      <c r="K90" s="33">
        <f t="shared" si="24"/>
        <v>0</v>
      </c>
    </row>
    <row r="91" spans="1:11" ht="15.75">
      <c r="A91" s="1" t="s">
        <v>177</v>
      </c>
      <c r="C91" s="143"/>
      <c r="E91" s="80" t="s">
        <v>30</v>
      </c>
      <c r="F91" s="33">
        <f t="shared" ref="F91:H91" si="26">SUM(F89:F90)</f>
        <v>0</v>
      </c>
      <c r="G91" s="33">
        <f t="shared" si="26"/>
        <v>-307182821.01999998</v>
      </c>
      <c r="H91" s="33">
        <f t="shared" si="26"/>
        <v>0</v>
      </c>
      <c r="J91" s="33">
        <f t="shared" si="23"/>
        <v>307182821.01999998</v>
      </c>
      <c r="K91" s="33">
        <f t="shared" si="24"/>
        <v>0</v>
      </c>
    </row>
    <row r="92" spans="1:11" ht="15.75" hidden="1" customHeight="1">
      <c r="A92" s="1" t="s">
        <v>179</v>
      </c>
      <c r="C92" s="143"/>
      <c r="E92" s="9" t="str">
        <f>_xll.DBRW(Server&amp;"}ElementAttributes_Indicator",A92,"code_English")</f>
        <v>PL1115_ET_82 - Gas</v>
      </c>
      <c r="F92" s="32">
        <f>_xll.DBRW($C$1,$C$2,$C$3,$C$4,$C$6,$C$5,$C$7,F$1,F$2,A92)</f>
        <v>0</v>
      </c>
      <c r="G92" s="32">
        <f>_xll.DBRW($C$1,$C$2,$C$3,$C$4,$C$6,$C$5,$C$7,G$1,G$2,A92)</f>
        <v>-112688013.24339995</v>
      </c>
      <c r="H92" s="32">
        <f>_xll.DBRW($C$1,$C$2,$C$3,$C$4,$C$6,$C$5,$C$7,H$1,H$2,A92)</f>
        <v>0</v>
      </c>
      <c r="J92" s="33">
        <f t="shared" si="23"/>
        <v>112688013.24339995</v>
      </c>
      <c r="K92" s="33">
        <f t="shared" si="24"/>
        <v>0</v>
      </c>
    </row>
    <row r="93" spans="1:11" ht="15.75" hidden="1" customHeight="1">
      <c r="A93" s="1" t="s">
        <v>180</v>
      </c>
      <c r="C93" s="143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532689.87</v>
      </c>
      <c r="H93" s="32">
        <f>_xll.DBRW($C$1,$C$2,$C$3,$C$4,$C$6,$C$5,$C$7,H$1,H$2,A93)</f>
        <v>0</v>
      </c>
      <c r="J93" s="33">
        <f t="shared" si="23"/>
        <v>-532689.87</v>
      </c>
      <c r="K93" s="33">
        <f t="shared" si="24"/>
        <v>0</v>
      </c>
    </row>
    <row r="94" spans="1:11" ht="15.75">
      <c r="A94" s="1" t="s">
        <v>127</v>
      </c>
      <c r="C94" s="143"/>
      <c r="E94" s="15" t="s">
        <v>31</v>
      </c>
      <c r="F94" s="33">
        <f t="shared" ref="F94:H94" si="27">SUM(F92:F93)</f>
        <v>0</v>
      </c>
      <c r="G94" s="33">
        <f t="shared" si="27"/>
        <v>-112155323.37339994</v>
      </c>
      <c r="H94" s="33">
        <f t="shared" si="27"/>
        <v>0</v>
      </c>
      <c r="J94" s="33">
        <f t="shared" si="23"/>
        <v>112155323.37339994</v>
      </c>
      <c r="K94" s="33">
        <f t="shared" si="24"/>
        <v>0</v>
      </c>
    </row>
    <row r="95" spans="1:11" ht="15.75" hidden="1" customHeight="1">
      <c r="A95" s="1" t="s">
        <v>181</v>
      </c>
      <c r="C95" s="143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0</v>
      </c>
      <c r="G95" s="32">
        <f>_xll.DBRW($C$1,$C$2,$C$3,$C$4,$C$6,$C$5,$C$7,G$1,G$2,A95)</f>
        <v>-23748647.469999999</v>
      </c>
      <c r="H95" s="32">
        <f>_xll.DBRW($C$1,$C$2,$C$3,$C$4,$C$6,$C$5,$C$7,H$1,H$2,A95)</f>
        <v>0</v>
      </c>
      <c r="J95" s="32">
        <f t="shared" si="23"/>
        <v>23748647.469999999</v>
      </c>
      <c r="K95" s="32">
        <f t="shared" si="24"/>
        <v>0</v>
      </c>
    </row>
    <row r="96" spans="1:11" ht="15.75" hidden="1" customHeight="1">
      <c r="A96" s="1" t="s">
        <v>182</v>
      </c>
      <c r="C96" s="143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0</v>
      </c>
      <c r="G96" s="32">
        <f>_xll.DBRW($C$1,$C$2,$C$3,$C$4,$C$6,$C$5,$C$7,G$1,G$2,A96)</f>
        <v>5231.0599999999995</v>
      </c>
      <c r="H96" s="32">
        <f>_xll.DBRW($C$1,$C$2,$C$3,$C$4,$C$6,$C$5,$C$7,H$1,H$2,A96)</f>
        <v>0</v>
      </c>
      <c r="J96" s="32">
        <f t="shared" si="23"/>
        <v>-5231.0599999999995</v>
      </c>
      <c r="K96" s="32">
        <f t="shared" si="24"/>
        <v>0</v>
      </c>
    </row>
    <row r="97" spans="1:11" ht="15.75">
      <c r="A97" s="1" t="s">
        <v>127</v>
      </c>
      <c r="C97" s="143"/>
      <c r="E97" s="14" t="s">
        <v>32</v>
      </c>
      <c r="F97" s="32">
        <f t="shared" ref="F97:H97" si="28">SUM(F95:F96)</f>
        <v>0</v>
      </c>
      <c r="G97" s="32">
        <f t="shared" si="28"/>
        <v>-23743416.41</v>
      </c>
      <c r="H97" s="32">
        <f t="shared" si="28"/>
        <v>0</v>
      </c>
      <c r="J97" s="32">
        <f t="shared" si="23"/>
        <v>23743416.41</v>
      </c>
      <c r="K97" s="32">
        <f t="shared" si="24"/>
        <v>0</v>
      </c>
    </row>
    <row r="98" spans="1:11" ht="15.75" collapsed="1">
      <c r="A98" s="1" t="s">
        <v>127</v>
      </c>
      <c r="C98" s="143"/>
      <c r="E98" s="11" t="s">
        <v>33</v>
      </c>
      <c r="F98" s="34">
        <f t="shared" ref="F98:H98" si="29">F83+F88+F91+F94+F97</f>
        <v>0</v>
      </c>
      <c r="G98" s="34">
        <f t="shared" si="29"/>
        <v>-14515624998.584196</v>
      </c>
      <c r="H98" s="34">
        <f t="shared" si="29"/>
        <v>0</v>
      </c>
      <c r="J98" s="30">
        <f>F98-G98</f>
        <v>14515624998.584196</v>
      </c>
      <c r="K98" s="30">
        <f>F98-H98</f>
        <v>0</v>
      </c>
    </row>
    <row r="99" spans="1:11" ht="15.75" hidden="1" customHeight="1">
      <c r="A99" s="1" t="s">
        <v>183</v>
      </c>
      <c r="C99" s="143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-339933904.25999999</v>
      </c>
      <c r="H99" s="31">
        <f>_xll.DBRW($C$1,$C$2,$C$3,$C$4,$C$6,$C$5,$C$7,H$1,H$2,A99)</f>
        <v>0</v>
      </c>
    </row>
    <row r="100" spans="1:11" ht="15.75" hidden="1" customHeight="1">
      <c r="A100" s="1" t="s">
        <v>184</v>
      </c>
      <c r="C100" s="143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</row>
    <row r="101" spans="1:11" ht="15.75" hidden="1" customHeight="1">
      <c r="A101" s="1" t="s">
        <v>185</v>
      </c>
      <c r="C101" s="143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0</v>
      </c>
      <c r="G101" s="31">
        <f>_xll.DBRW($C$1,$C$2,$C$3,$C$4,$C$6,$C$5,$C$7,G$1,G$2,A101)</f>
        <v>-419228234.86900014</v>
      </c>
      <c r="H101" s="31">
        <f>_xll.DBRW($C$1,$C$2,$C$3,$C$4,$C$6,$C$5,$C$7,H$1,H$2,A101)</f>
        <v>0</v>
      </c>
    </row>
    <row r="102" spans="1:11" ht="15.75" hidden="1" customHeight="1">
      <c r="A102" s="1" t="s">
        <v>186</v>
      </c>
      <c r="C102" s="143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-37798974.139999993</v>
      </c>
      <c r="H102" s="31">
        <f>_xll.DBRW($C$1,$C$2,$C$3,$C$4,$C$6,$C$5,$C$7,H$1,H$2,A102)</f>
        <v>0</v>
      </c>
    </row>
    <row r="103" spans="1:11" ht="15.75" hidden="1" customHeight="1">
      <c r="A103" s="1" t="s">
        <v>187</v>
      </c>
      <c r="C103" s="143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</row>
    <row r="104" spans="1:11" ht="15.75" hidden="1" customHeight="1">
      <c r="A104" s="1" t="s">
        <v>188</v>
      </c>
      <c r="C104" s="143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0</v>
      </c>
      <c r="G104" s="31">
        <f>_xll.DBRW($C$1,$C$2,$C$3,$C$4,$C$6,$C$5,$C$7,G$1,G$2,$A104)</f>
        <v>-4093039128.3300014</v>
      </c>
      <c r="H104" s="31">
        <f>_xll.DBRW($C$1,$C$2,$C$3,$C$4,$C$6,$C$5,$C$7,H$1,H$2,$A104)</f>
        <v>0</v>
      </c>
    </row>
    <row r="105" spans="1:11" ht="15.75" hidden="1" customHeight="1">
      <c r="A105" s="1" t="s">
        <v>189</v>
      </c>
      <c r="C105" s="143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0</v>
      </c>
      <c r="G105" s="31">
        <f>_xll.DBRW($C$1,$C$2,$C$3,$C$4,$C$6,$C$5,$C$7,G$1,G$2,$A105)</f>
        <v>35272060.330000006</v>
      </c>
      <c r="H105" s="31">
        <f>_xll.DBRW($C$1,$C$2,$C$3,$C$4,$C$6,$C$5,$C$7,H$1,H$2,$A105)</f>
        <v>0</v>
      </c>
    </row>
    <row r="106" spans="1:11" ht="15.75" hidden="1" customHeight="1">
      <c r="A106" s="1" t="s">
        <v>190</v>
      </c>
      <c r="C106" s="143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</row>
    <row r="107" spans="1:11" ht="15.75" hidden="1" customHeight="1">
      <c r="A107" s="1" t="s">
        <v>191</v>
      </c>
      <c r="C107" s="143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0</v>
      </c>
      <c r="G107" s="31">
        <f>_xll.DBRW($C$1,$C$2,$C$3,$C$4,$C$6,$C$5,$C$7,G$1,G$2,$A107)</f>
        <v>-27697756.240000006</v>
      </c>
      <c r="H107" s="31">
        <f>_xll.DBRW($C$1,$C$2,$C$3,$C$4,$C$6,$C$5,$C$7,H$1,H$2,$A107)</f>
        <v>0</v>
      </c>
    </row>
    <row r="108" spans="1:11" ht="15.75" hidden="1" customHeight="1">
      <c r="A108" s="1" t="s">
        <v>192</v>
      </c>
      <c r="C108" s="143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0</v>
      </c>
      <c r="G108" s="31">
        <f>_xll.DBRW($C$1,$C$2,$C$3,$C$4,$C$6,$C$5,$C$7,G$1,G$2,$A108)</f>
        <v>0</v>
      </c>
      <c r="H108" s="31">
        <f>_xll.DBRW($C$1,$C$2,$C$3,$C$4,$C$6,$C$5,$C$7,H$1,H$2,$A108)</f>
        <v>0</v>
      </c>
    </row>
    <row r="109" spans="1:11" ht="15.75" collapsed="1">
      <c r="A109" s="1" t="s">
        <v>127</v>
      </c>
      <c r="C109" s="143"/>
      <c r="E109" s="14" t="s">
        <v>34</v>
      </c>
      <c r="F109" s="32">
        <f t="shared" ref="F109:H109" si="30">SUM(F99:F108)</f>
        <v>0</v>
      </c>
      <c r="G109" s="32">
        <f t="shared" si="30"/>
        <v>-4882425937.5090017</v>
      </c>
      <c r="H109" s="32">
        <f t="shared" si="30"/>
        <v>0</v>
      </c>
      <c r="J109" s="32">
        <f t="shared" ref="J109" si="31">F109-G109</f>
        <v>4882425937.5090017</v>
      </c>
      <c r="K109" s="32">
        <f t="shared" ref="K109" si="32">F109-H109</f>
        <v>0</v>
      </c>
    </row>
    <row r="110" spans="1:11" ht="15.75" hidden="1" customHeight="1">
      <c r="A110" s="1" t="s">
        <v>193</v>
      </c>
      <c r="C110" s="143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0</v>
      </c>
      <c r="G110" s="32">
        <f>_xll.DBRW($C$1,$C$2,$C$3,$C$4,$C$6,$C$5,$C$7,G$1,G$2,$A110)</f>
        <v>-18894654.349999994</v>
      </c>
      <c r="H110" s="32">
        <f>_xll.DBRW($C$1,$C$2,$C$3,$C$4,$C$6,$C$5,$C$7,H$1,H$2,$A110)</f>
        <v>0</v>
      </c>
    </row>
    <row r="111" spans="1:11" ht="15.75" hidden="1" customHeight="1">
      <c r="A111" s="1" t="s">
        <v>194</v>
      </c>
      <c r="C111" s="143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0</v>
      </c>
      <c r="G111" s="32">
        <f>_xll.DBRW($C$1,$C$2,$C$3,$C$4,$C$6,$C$5,$C$7,G$1,G$2,$A111)</f>
        <v>-21158591.119999997</v>
      </c>
      <c r="H111" s="32">
        <f>_xll.DBRW($C$1,$C$2,$C$3,$C$4,$C$6,$C$5,$C$7,H$1,H$2,$A111)</f>
        <v>0</v>
      </c>
    </row>
    <row r="112" spans="1:11" ht="15.75" hidden="1" customHeight="1">
      <c r="A112" s="1" t="s">
        <v>195</v>
      </c>
      <c r="C112" s="143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0</v>
      </c>
      <c r="G112" s="32">
        <f>_xll.DBRW($C$1,$C$2,$C$3,$C$4,$C$6,$C$5,$C$7,G$1,G$2,$A112)</f>
        <v>6351207.0599999996</v>
      </c>
      <c r="H112" s="32">
        <f>_xll.DBRW($C$1,$C$2,$C$3,$C$4,$C$6,$C$5,$C$7,H$1,H$2,$A112)</f>
        <v>0</v>
      </c>
    </row>
    <row r="113" spans="1:11" ht="15.75">
      <c r="A113" s="1" t="s">
        <v>127</v>
      </c>
      <c r="C113" s="143"/>
      <c r="E113" s="15" t="s">
        <v>32</v>
      </c>
      <c r="F113" s="33">
        <f t="shared" ref="F113:H113" si="33">SUM(F110:F112)</f>
        <v>0</v>
      </c>
      <c r="G113" s="33">
        <f t="shared" si="33"/>
        <v>-33702038.409999989</v>
      </c>
      <c r="H113" s="33">
        <f t="shared" si="33"/>
        <v>0</v>
      </c>
      <c r="J113" s="108">
        <f t="shared" ref="J113" si="34">F113-G113</f>
        <v>33702038.409999989</v>
      </c>
      <c r="K113" s="108">
        <f t="shared" ref="K113" si="35">F113-H113</f>
        <v>0</v>
      </c>
    </row>
    <row r="114" spans="1:11" ht="15.75" collapsed="1">
      <c r="A114" s="1" t="s">
        <v>127</v>
      </c>
      <c r="C114" s="143"/>
      <c r="E114" s="11" t="s">
        <v>35</v>
      </c>
      <c r="F114" s="34">
        <f t="shared" ref="F114:H114" si="36">F113+F109</f>
        <v>0</v>
      </c>
      <c r="G114" s="34">
        <f t="shared" si="36"/>
        <v>-4916127975.9190016</v>
      </c>
      <c r="H114" s="34">
        <f t="shared" si="36"/>
        <v>0</v>
      </c>
      <c r="J114" s="109">
        <f>F114-G114</f>
        <v>4916127975.9190016</v>
      </c>
      <c r="K114" s="109">
        <f>F114-H114</f>
        <v>0</v>
      </c>
    </row>
    <row r="115" spans="1:11" ht="15.75" hidden="1" customHeight="1">
      <c r="A115" s="1" t="s">
        <v>196</v>
      </c>
      <c r="C115" s="143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-57676.27</v>
      </c>
      <c r="H115" s="31">
        <f>_xll.DBRW($C$1,$C$2,$C$3,$C$4,$C$6,$C$5,$C$7,H$1,H$2,$A115)</f>
        <v>0</v>
      </c>
    </row>
    <row r="116" spans="1:11" ht="15.75" hidden="1" customHeight="1">
      <c r="A116" s="1" t="s">
        <v>197</v>
      </c>
      <c r="C116" s="143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0</v>
      </c>
      <c r="G116" s="31">
        <f>_xll.DBRW($C$1,$C$2,$C$3,$C$4,$C$6,$C$5,$C$7,G$1,G$2,$A116)</f>
        <v>-21669565.869999997</v>
      </c>
      <c r="H116" s="31">
        <f>_xll.DBRW($C$1,$C$2,$C$3,$C$4,$C$6,$C$5,$C$7,H$1,H$2,$A116)</f>
        <v>0</v>
      </c>
    </row>
    <row r="117" spans="1:11" ht="15.75" hidden="1" customHeight="1">
      <c r="A117" s="1" t="s">
        <v>198</v>
      </c>
      <c r="C117" s="143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0</v>
      </c>
      <c r="G117" s="31">
        <f>_xll.DBRW($C$1,$C$2,$C$3,$C$4,$C$6,$C$5,$C$7,G$1,G$2,$A117)</f>
        <v>-2317832.44</v>
      </c>
      <c r="H117" s="31">
        <f>_xll.DBRW($C$1,$C$2,$C$3,$C$4,$C$6,$C$5,$C$7,H$1,H$2,$A117)</f>
        <v>0</v>
      </c>
    </row>
    <row r="118" spans="1:11" ht="15.75" hidden="1" customHeight="1">
      <c r="A118" s="1" t="s">
        <v>199</v>
      </c>
      <c r="C118" s="143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</row>
    <row r="119" spans="1:11" ht="15.75" hidden="1" customHeight="1">
      <c r="A119" s="1" t="s">
        <v>200</v>
      </c>
      <c r="C119" s="143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0</v>
      </c>
      <c r="G119" s="31">
        <f>_xll.DBRW($C$1,$C$2,$C$3,$C$4,$C$6,$C$5,$C$7,G$1,G$2,$A119)</f>
        <v>-49382418.530000016</v>
      </c>
      <c r="H119" s="31">
        <f>_xll.DBRW($C$1,$C$2,$C$3,$C$4,$C$6,$C$5,$C$7,H$1,H$2,$A119)</f>
        <v>0</v>
      </c>
    </row>
    <row r="120" spans="1:11" ht="15.75" hidden="1" customHeight="1">
      <c r="A120" s="1" t="s">
        <v>201</v>
      </c>
      <c r="C120" s="143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0</v>
      </c>
      <c r="G120" s="31">
        <f>_xll.DBRW($C$1,$C$2,$C$3,$C$4,$C$6,$C$5,$C$7,G$1,G$2,$A120)</f>
        <v>-326922440.05000007</v>
      </c>
      <c r="H120" s="31">
        <f>_xll.DBRW($C$1,$C$2,$C$3,$C$4,$C$6,$C$5,$C$7,H$1,H$2,$A120)</f>
        <v>0</v>
      </c>
    </row>
    <row r="121" spans="1:11" ht="15.75" hidden="1" customHeight="1">
      <c r="A121" s="1" t="s">
        <v>202</v>
      </c>
      <c r="C121" s="143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0</v>
      </c>
      <c r="G121" s="31">
        <f>_xll.DBRW($C$1,$C$2,$C$3,$C$4,$C$6,$C$5,$C$7,G$1,G$2,$A121)</f>
        <v>-1097976651.2631996</v>
      </c>
      <c r="H121" s="31">
        <f>_xll.DBRW($C$1,$C$2,$C$3,$C$4,$C$6,$C$5,$C$7,H$1,H$2,$A121)</f>
        <v>0</v>
      </c>
    </row>
    <row r="122" spans="1:11" ht="15.75" hidden="1" customHeight="1">
      <c r="A122" s="1" t="s">
        <v>203</v>
      </c>
      <c r="C122" s="143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0</v>
      </c>
      <c r="G122" s="31">
        <f>_xll.DBRW($C$1,$C$2,$C$3,$C$4,$C$6,$C$5,$C$7,G$1,G$2,$A122)</f>
        <v>11610930.959999999</v>
      </c>
      <c r="H122" s="31">
        <f>_xll.DBRW($C$1,$C$2,$C$3,$C$4,$C$6,$C$5,$C$7,H$1,H$2,$A122)</f>
        <v>0</v>
      </c>
    </row>
    <row r="123" spans="1:11" ht="15.75" hidden="1" customHeight="1">
      <c r="A123" s="1" t="s">
        <v>204</v>
      </c>
      <c r="C123" s="143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0</v>
      </c>
      <c r="G123" s="31">
        <f>_xll.DBRW($C$1,$C$2,$C$3,$C$4,$C$6,$C$5,$C$7,G$1,G$2,$A123)</f>
        <v>-2633826.4500000007</v>
      </c>
      <c r="H123" s="31">
        <f>_xll.DBRW($C$1,$C$2,$C$3,$C$4,$C$6,$C$5,$C$7,H$1,H$2,$A123)</f>
        <v>0</v>
      </c>
    </row>
    <row r="124" spans="1:11" ht="15.75" hidden="1" customHeight="1">
      <c r="A124" s="1" t="s">
        <v>205</v>
      </c>
      <c r="C124" s="143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-5561.12</v>
      </c>
      <c r="H124" s="31">
        <f>_xll.DBRW($C$1,$C$2,$C$3,$C$4,$C$6,$C$5,$C$7,H$1,H$2,$A124)</f>
        <v>0</v>
      </c>
    </row>
    <row r="125" spans="1:11" ht="15.75" hidden="1" customHeight="1">
      <c r="A125" s="1" t="s">
        <v>206</v>
      </c>
      <c r="C125" s="143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0</v>
      </c>
      <c r="G125" s="31">
        <f>_xll.DBRW($C$1,$C$2,$C$3,$C$4,$C$6,$C$5,$C$7,G$1,G$2,$A125)</f>
        <v>-1246469644.8800001</v>
      </c>
      <c r="H125" s="31">
        <f>_xll.DBRW($C$1,$C$2,$C$3,$C$4,$C$6,$C$5,$C$7,H$1,H$2,$A125)</f>
        <v>0</v>
      </c>
    </row>
    <row r="126" spans="1:11" ht="15.75" hidden="1" customHeight="1">
      <c r="A126" s="1" t="s">
        <v>207</v>
      </c>
      <c r="C126" s="143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0</v>
      </c>
      <c r="G126" s="31">
        <f>_xll.DBRW($C$1,$C$2,$C$3,$C$4,$C$6,$C$5,$C$7,G$1,G$2,$A126)</f>
        <v>8078106.3600000013</v>
      </c>
      <c r="H126" s="31">
        <f>_xll.DBRW($C$1,$C$2,$C$3,$C$4,$C$6,$C$5,$C$7,H$1,H$2,$A126)</f>
        <v>0</v>
      </c>
    </row>
    <row r="127" spans="1:11" ht="15.75" hidden="1" customHeight="1">
      <c r="A127" s="1" t="s">
        <v>208</v>
      </c>
      <c r="C127" s="143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1170.42</v>
      </c>
      <c r="H127" s="31">
        <f>_xll.DBRW($C$1,$C$2,$C$3,$C$4,$C$6,$C$5,$C$7,H$1,H$2,$A127)</f>
        <v>0</v>
      </c>
    </row>
    <row r="128" spans="1:11" ht="15.75" collapsed="1">
      <c r="A128" s="1" t="s">
        <v>127</v>
      </c>
      <c r="C128" s="143"/>
      <c r="E128" s="14" t="s">
        <v>36</v>
      </c>
      <c r="F128" s="32">
        <f t="shared" ref="F128:H128" si="37">SUM(F115:F127)</f>
        <v>0</v>
      </c>
      <c r="G128" s="32">
        <f t="shared" si="37"/>
        <v>-2727745409.1331992</v>
      </c>
      <c r="H128" s="32">
        <f t="shared" si="37"/>
        <v>0</v>
      </c>
      <c r="J128" s="32">
        <f t="shared" ref="J128" si="38">F128-G128</f>
        <v>2727745409.1331992</v>
      </c>
      <c r="K128" s="32">
        <f t="shared" ref="K128" si="39">F128-H128</f>
        <v>0</v>
      </c>
    </row>
    <row r="129" spans="1:11" ht="15.75" hidden="1" customHeight="1">
      <c r="A129" s="1" t="s">
        <v>209</v>
      </c>
      <c r="C129" s="143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0</v>
      </c>
      <c r="G129" s="32">
        <f>_xll.DBRW($C$1,$C$2,$C$3,$C$4,$C$6,$C$5,$C$7,G$1,G$2,$A129)</f>
        <v>-899284604.41999996</v>
      </c>
      <c r="H129" s="32">
        <f>_xll.DBRW($C$1,$C$2,$C$3,$C$4,$C$6,$C$5,$C$7,H$1,H$2,$A129)</f>
        <v>0</v>
      </c>
      <c r="J129" s="32">
        <f t="shared" ref="J129:J192" si="40">F129-G129</f>
        <v>899284604.41999996</v>
      </c>
      <c r="K129" s="32">
        <f t="shared" ref="K129:K192" si="41">F129-H129</f>
        <v>0</v>
      </c>
    </row>
    <row r="130" spans="1:11" ht="15.75" hidden="1" customHeight="1">
      <c r="A130" s="1" t="s">
        <v>210</v>
      </c>
      <c r="C130" s="143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0</v>
      </c>
      <c r="G130" s="32">
        <f>_xll.DBRW($C$1,$C$2,$C$3,$C$4,$C$6,$C$5,$C$7,G$1,G$2,$A130)</f>
        <v>1502474.5700000003</v>
      </c>
      <c r="H130" s="32">
        <f>_xll.DBRW($C$1,$C$2,$C$3,$C$4,$C$6,$C$5,$C$7,H$1,H$2,$A130)</f>
        <v>0</v>
      </c>
      <c r="J130" s="32">
        <f t="shared" si="40"/>
        <v>-1502474.5700000003</v>
      </c>
      <c r="K130" s="32">
        <f t="shared" si="41"/>
        <v>0</v>
      </c>
    </row>
    <row r="131" spans="1:11" ht="15.75" hidden="1" customHeight="1">
      <c r="A131" s="1" t="s">
        <v>211</v>
      </c>
      <c r="C131" s="143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0</v>
      </c>
      <c r="G131" s="32">
        <f>_xll.DBRW($C$1,$C$2,$C$3,$C$4,$C$6,$C$5,$C$7,G$1,G$2,$A131)</f>
        <v>-147361.94</v>
      </c>
      <c r="H131" s="32">
        <f>_xll.DBRW($C$1,$C$2,$C$3,$C$4,$C$6,$C$5,$C$7,H$1,H$2,$A131)</f>
        <v>0</v>
      </c>
      <c r="J131" s="32">
        <f t="shared" si="40"/>
        <v>147361.94</v>
      </c>
      <c r="K131" s="32">
        <f t="shared" si="41"/>
        <v>0</v>
      </c>
    </row>
    <row r="132" spans="1:11" ht="15.75" hidden="1" customHeight="1">
      <c r="A132" s="1" t="s">
        <v>212</v>
      </c>
      <c r="C132" s="143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0</v>
      </c>
      <c r="G132" s="32">
        <f>_xll.DBRW($C$1,$C$2,$C$3,$C$4,$C$6,$C$5,$C$7,G$1,G$2,$A132)</f>
        <v>-49756140.075200006</v>
      </c>
      <c r="H132" s="32">
        <f>_xll.DBRW($C$1,$C$2,$C$3,$C$4,$C$6,$C$5,$C$7,H$1,H$2,$A132)</f>
        <v>0</v>
      </c>
      <c r="J132" s="32">
        <f t="shared" si="40"/>
        <v>49756140.075200006</v>
      </c>
      <c r="K132" s="32">
        <f t="shared" si="41"/>
        <v>0</v>
      </c>
    </row>
    <row r="133" spans="1:11" ht="15.75" hidden="1" customHeight="1">
      <c r="A133" s="1" t="s">
        <v>213</v>
      </c>
      <c r="C133" s="143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0</v>
      </c>
      <c r="G133" s="32">
        <f>_xll.DBRW($C$1,$C$2,$C$3,$C$4,$C$6,$C$5,$C$7,G$1,G$2,$A133)</f>
        <v>-902072.71000000008</v>
      </c>
      <c r="H133" s="32">
        <f>_xll.DBRW($C$1,$C$2,$C$3,$C$4,$C$6,$C$5,$C$7,H$1,H$2,$A133)</f>
        <v>0</v>
      </c>
      <c r="J133" s="32">
        <f t="shared" si="40"/>
        <v>902072.71000000008</v>
      </c>
      <c r="K133" s="32">
        <f t="shared" si="41"/>
        <v>0</v>
      </c>
    </row>
    <row r="134" spans="1:11" ht="15.75" hidden="1" customHeight="1">
      <c r="A134" s="1" t="s">
        <v>214</v>
      </c>
      <c r="C134" s="143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0</v>
      </c>
      <c r="G134" s="32">
        <f>_xll.DBRW($C$1,$C$2,$C$3,$C$4,$C$6,$C$5,$C$7,G$1,G$2,$A134)</f>
        <v>-15718</v>
      </c>
      <c r="H134" s="32">
        <f>_xll.DBRW($C$1,$C$2,$C$3,$C$4,$C$6,$C$5,$C$7,H$1,H$2,$A134)</f>
        <v>0</v>
      </c>
      <c r="J134" s="32">
        <f t="shared" si="40"/>
        <v>15718</v>
      </c>
      <c r="K134" s="32">
        <f t="shared" si="41"/>
        <v>0</v>
      </c>
    </row>
    <row r="135" spans="1:11" ht="15.75" hidden="1" customHeight="1">
      <c r="A135" s="1" t="s">
        <v>215</v>
      </c>
      <c r="C135" s="143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0</v>
      </c>
      <c r="G135" s="32">
        <f>_xll.DBRW($C$1,$C$2,$C$3,$C$4,$C$6,$C$5,$C$7,G$1,G$2,$A135)</f>
        <v>43705.83</v>
      </c>
      <c r="H135" s="32">
        <f>_xll.DBRW($C$1,$C$2,$C$3,$C$4,$C$6,$C$5,$C$7,H$1,H$2,$A135)</f>
        <v>0</v>
      </c>
      <c r="J135" s="32">
        <f t="shared" si="40"/>
        <v>-43705.83</v>
      </c>
      <c r="K135" s="32">
        <f t="shared" si="41"/>
        <v>0</v>
      </c>
    </row>
    <row r="136" spans="1:11" ht="15.75" hidden="1" customHeight="1">
      <c r="A136" s="1" t="s">
        <v>216</v>
      </c>
      <c r="C136" s="143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320458.40999999997</v>
      </c>
      <c r="H136" s="32">
        <f>_xll.DBRW($C$1,$C$2,$C$3,$C$4,$C$6,$C$5,$C$7,H$1,H$2,$A136)</f>
        <v>0</v>
      </c>
      <c r="J136" s="32">
        <f t="shared" si="40"/>
        <v>-320458.40999999997</v>
      </c>
      <c r="K136" s="32">
        <f t="shared" si="41"/>
        <v>0</v>
      </c>
    </row>
    <row r="137" spans="1:11" ht="15.75">
      <c r="A137" s="1" t="s">
        <v>217</v>
      </c>
      <c r="C137" s="143"/>
      <c r="E137" s="14" t="s">
        <v>363</v>
      </c>
      <c r="F137" s="33">
        <f t="shared" ref="F137:H137" si="42">SUM(F129:F136)</f>
        <v>0</v>
      </c>
      <c r="G137" s="33">
        <f t="shared" si="42"/>
        <v>-948239258.33519995</v>
      </c>
      <c r="H137" s="33">
        <f t="shared" si="42"/>
        <v>0</v>
      </c>
      <c r="J137" s="33">
        <f t="shared" si="40"/>
        <v>948239258.33519995</v>
      </c>
      <c r="K137" s="33">
        <f t="shared" si="41"/>
        <v>0</v>
      </c>
    </row>
    <row r="138" spans="1:11" ht="15.75" hidden="1" customHeight="1">
      <c r="A138" s="1" t="s">
        <v>218</v>
      </c>
      <c r="C138" s="143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0</v>
      </c>
      <c r="G138" s="32">
        <f>_xll.DBRW($C$1,$C$2,$C$3,$C$4,$C$6,$C$5,$C$7,G$1,G$2,$A138)</f>
        <v>-5961376487.7405128</v>
      </c>
      <c r="H138" s="32">
        <f>_xll.DBRW($C$1,$C$2,$C$3,$C$4,$C$6,$C$5,$C$7,H$1,H$2,$A138)</f>
        <v>0</v>
      </c>
      <c r="J138" s="33">
        <f t="shared" si="40"/>
        <v>5961376487.7405128</v>
      </c>
      <c r="K138" s="33">
        <f t="shared" si="41"/>
        <v>0</v>
      </c>
    </row>
    <row r="139" spans="1:11" ht="15.75" hidden="1" customHeight="1">
      <c r="A139" s="1" t="s">
        <v>219</v>
      </c>
      <c r="C139" s="143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0</v>
      </c>
      <c r="G139" s="32">
        <f>_xll.DBRW($C$1,$C$2,$C$3,$C$4,$C$6,$C$5,$C$7,G$1,G$2,$A139)</f>
        <v>-13571188.8528</v>
      </c>
      <c r="H139" s="32">
        <f>_xll.DBRW($C$1,$C$2,$C$3,$C$4,$C$6,$C$5,$C$7,H$1,H$2,$A139)</f>
        <v>0</v>
      </c>
      <c r="J139" s="33">
        <f t="shared" si="40"/>
        <v>13571188.8528</v>
      </c>
      <c r="K139" s="33">
        <f t="shared" si="41"/>
        <v>0</v>
      </c>
    </row>
    <row r="140" spans="1:11" ht="15.75" hidden="1" customHeight="1">
      <c r="A140" s="1" t="s">
        <v>220</v>
      </c>
      <c r="C140" s="143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0</v>
      </c>
      <c r="G140" s="32">
        <f>_xll.DBRW($C$1,$C$2,$C$3,$C$4,$C$6,$C$5,$C$7,G$1,G$2,$A140)</f>
        <v>292598.41000000003</v>
      </c>
      <c r="H140" s="32">
        <f>_xll.DBRW($C$1,$C$2,$C$3,$C$4,$C$6,$C$5,$C$7,H$1,H$2,$A140)</f>
        <v>0</v>
      </c>
      <c r="J140" s="33">
        <f t="shared" si="40"/>
        <v>-292598.41000000003</v>
      </c>
      <c r="K140" s="33">
        <f t="shared" si="41"/>
        <v>0</v>
      </c>
    </row>
    <row r="141" spans="1:11" ht="15.75" hidden="1" customHeight="1">
      <c r="A141" s="1" t="s">
        <v>221</v>
      </c>
      <c r="C141" s="143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0</v>
      </c>
      <c r="G141" s="32">
        <f>_xll.DBRW($C$1,$C$2,$C$3,$C$4,$C$6,$C$5,$C$7,G$1,G$2,$A141)</f>
        <v>12832553.360000001</v>
      </c>
      <c r="H141" s="32">
        <f>_xll.DBRW($C$1,$C$2,$C$3,$C$4,$C$6,$C$5,$C$7,H$1,H$2,$A141)</f>
        <v>0</v>
      </c>
      <c r="J141" s="33">
        <f t="shared" si="40"/>
        <v>-12832553.360000001</v>
      </c>
      <c r="K141" s="33">
        <f t="shared" si="41"/>
        <v>0</v>
      </c>
    </row>
    <row r="142" spans="1:11" ht="15.75" hidden="1" customHeight="1">
      <c r="A142" s="1" t="s">
        <v>222</v>
      </c>
      <c r="C142" s="143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0</v>
      </c>
      <c r="G142" s="32">
        <f>_xll.DBRW($C$1,$C$2,$C$3,$C$4,$C$6,$C$5,$C$7,G$1,G$2,$A142)</f>
        <v>-786535.69000000006</v>
      </c>
      <c r="H142" s="32">
        <f>_xll.DBRW($C$1,$C$2,$C$3,$C$4,$C$6,$C$5,$C$7,H$1,H$2,$A142)</f>
        <v>0</v>
      </c>
      <c r="J142" s="33">
        <f t="shared" si="40"/>
        <v>786535.69000000006</v>
      </c>
      <c r="K142" s="33">
        <f t="shared" si="41"/>
        <v>0</v>
      </c>
    </row>
    <row r="143" spans="1:11" ht="15.75" hidden="1" customHeight="1">
      <c r="A143" s="1" t="s">
        <v>223</v>
      </c>
      <c r="C143" s="143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0</v>
      </c>
      <c r="G143" s="32">
        <f>_xll.DBRW($C$1,$C$2,$C$3,$C$4,$C$6,$C$5,$C$7,G$1,G$2,$A143)</f>
        <v>-884171.6568</v>
      </c>
      <c r="H143" s="32">
        <f>_xll.DBRW($C$1,$C$2,$C$3,$C$4,$C$6,$C$5,$C$7,H$1,H$2,$A143)</f>
        <v>0</v>
      </c>
      <c r="J143" s="33">
        <f t="shared" si="40"/>
        <v>884171.6568</v>
      </c>
      <c r="K143" s="33">
        <f t="shared" si="41"/>
        <v>0</v>
      </c>
    </row>
    <row r="144" spans="1:11" ht="15.75" hidden="1" customHeight="1">
      <c r="A144" s="1" t="s">
        <v>224</v>
      </c>
      <c r="C144" s="143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0</v>
      </c>
      <c r="G144" s="32">
        <f>_xll.DBRW($C$1,$C$2,$C$3,$C$4,$C$6,$C$5,$C$7,G$1,G$2,$A144)</f>
        <v>-12111084.679999998</v>
      </c>
      <c r="H144" s="32">
        <f>_xll.DBRW($C$1,$C$2,$C$3,$C$4,$C$6,$C$5,$C$7,H$1,H$2,$A144)</f>
        <v>0</v>
      </c>
      <c r="J144" s="33">
        <f t="shared" si="40"/>
        <v>12111084.679999998</v>
      </c>
      <c r="K144" s="33">
        <f t="shared" si="41"/>
        <v>0</v>
      </c>
    </row>
    <row r="145" spans="1:11" ht="15.75" hidden="1" customHeight="1">
      <c r="A145" s="1" t="s">
        <v>225</v>
      </c>
      <c r="C145" s="143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0</v>
      </c>
      <c r="G145" s="32">
        <f>_xll.DBRW($C$1,$C$2,$C$3,$C$4,$C$6,$C$5,$C$7,G$1,G$2,$A145)</f>
        <v>-1622575678.4292004</v>
      </c>
      <c r="H145" s="32">
        <f>_xll.DBRW($C$1,$C$2,$C$3,$C$4,$C$6,$C$5,$C$7,H$1,H$2,$A145)</f>
        <v>0</v>
      </c>
      <c r="J145" s="33">
        <f t="shared" si="40"/>
        <v>1622575678.4292004</v>
      </c>
      <c r="K145" s="33">
        <f t="shared" si="41"/>
        <v>0</v>
      </c>
    </row>
    <row r="146" spans="1:11" ht="15.75" hidden="1" customHeight="1">
      <c r="A146" s="1" t="s">
        <v>226</v>
      </c>
      <c r="C146" s="143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278</v>
      </c>
      <c r="H146" s="32">
        <f>_xll.DBRW($C$1,$C$2,$C$3,$C$4,$C$6,$C$5,$C$7,H$1,H$2,$A146)</f>
        <v>0</v>
      </c>
      <c r="J146" s="33">
        <f t="shared" si="40"/>
        <v>-278</v>
      </c>
      <c r="K146" s="33">
        <f t="shared" si="41"/>
        <v>0</v>
      </c>
    </row>
    <row r="147" spans="1:11" ht="15.75" hidden="1" customHeight="1">
      <c r="A147" s="1" t="s">
        <v>227</v>
      </c>
      <c r="C147" s="143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0</v>
      </c>
      <c r="G147" s="32">
        <f>_xll.DBRW($C$1,$C$2,$C$3,$C$4,$C$6,$C$5,$C$7,G$1,G$2,$A147)</f>
        <v>-22206557.544200003</v>
      </c>
      <c r="H147" s="32">
        <f>_xll.DBRW($C$1,$C$2,$C$3,$C$4,$C$6,$C$5,$C$7,H$1,H$2,$A147)</f>
        <v>0</v>
      </c>
      <c r="J147" s="33">
        <f t="shared" si="40"/>
        <v>22206557.544200003</v>
      </c>
      <c r="K147" s="33">
        <f t="shared" si="41"/>
        <v>0</v>
      </c>
    </row>
    <row r="148" spans="1:11" ht="15.75" hidden="1" customHeight="1">
      <c r="A148" s="1" t="s">
        <v>228</v>
      </c>
      <c r="C148" s="143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0</v>
      </c>
      <c r="G148" s="32">
        <f>_xll.DBRW($C$1,$C$2,$C$3,$C$4,$C$6,$C$5,$C$7,G$1,G$2,$A148)</f>
        <v>377042.29000000004</v>
      </c>
      <c r="H148" s="32">
        <f>_xll.DBRW($C$1,$C$2,$C$3,$C$4,$C$6,$C$5,$C$7,H$1,H$2,$A148)</f>
        <v>0</v>
      </c>
      <c r="J148" s="33">
        <f t="shared" si="40"/>
        <v>-377042.29000000004</v>
      </c>
      <c r="K148" s="33">
        <f t="shared" si="41"/>
        <v>0</v>
      </c>
    </row>
    <row r="149" spans="1:11" ht="15.75" hidden="1" customHeight="1">
      <c r="A149" s="1" t="s">
        <v>229</v>
      </c>
      <c r="C149" s="143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0</v>
      </c>
      <c r="G149" s="32">
        <f>_xll.DBRW($C$1,$C$2,$C$3,$C$4,$C$6,$C$5,$C$7,G$1,G$2,$A149)</f>
        <v>171609.13</v>
      </c>
      <c r="H149" s="32">
        <f>_xll.DBRW($C$1,$C$2,$C$3,$C$4,$C$6,$C$5,$C$7,H$1,H$2,$A149)</f>
        <v>0</v>
      </c>
      <c r="J149" s="33">
        <f t="shared" si="40"/>
        <v>-171609.13</v>
      </c>
      <c r="K149" s="33">
        <f t="shared" si="41"/>
        <v>0</v>
      </c>
    </row>
    <row r="150" spans="1:11" ht="15.75" hidden="1" customHeight="1">
      <c r="A150" s="1" t="s">
        <v>230</v>
      </c>
      <c r="C150" s="143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0</v>
      </c>
      <c r="G150" s="32">
        <f>_xll.DBRW($C$1,$C$2,$C$3,$C$4,$C$6,$C$5,$C$7,G$1,G$2,$A150)</f>
        <v>8324167.3099999949</v>
      </c>
      <c r="H150" s="32">
        <f>_xll.DBRW($C$1,$C$2,$C$3,$C$4,$C$6,$C$5,$C$7,H$1,H$2,$A150)</f>
        <v>0</v>
      </c>
      <c r="J150" s="33">
        <f t="shared" si="40"/>
        <v>-8324167.3099999949</v>
      </c>
      <c r="K150" s="33">
        <f t="shared" si="41"/>
        <v>0</v>
      </c>
    </row>
    <row r="151" spans="1:11" ht="15.75">
      <c r="A151" s="1" t="s">
        <v>127</v>
      </c>
      <c r="C151" s="143"/>
      <c r="E151" s="15" t="s">
        <v>37</v>
      </c>
      <c r="F151" s="33">
        <f t="shared" ref="F151:H151" si="43">SUM(F138:F150)</f>
        <v>0</v>
      </c>
      <c r="G151" s="33">
        <f t="shared" si="43"/>
        <v>-7611513456.0935135</v>
      </c>
      <c r="H151" s="33">
        <f t="shared" si="43"/>
        <v>0</v>
      </c>
      <c r="J151" s="33">
        <f t="shared" si="40"/>
        <v>7611513456.0935135</v>
      </c>
      <c r="K151" s="33">
        <f t="shared" si="41"/>
        <v>0</v>
      </c>
    </row>
    <row r="152" spans="1:11" ht="15.75" hidden="1" customHeight="1">
      <c r="A152" s="1" t="s">
        <v>231</v>
      </c>
      <c r="C152" s="143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0</v>
      </c>
      <c r="G152" s="32">
        <f>_xll.DBRW($C$1,$C$2,$C$3,$C$4,$C$6,$C$5,$C$7,G$1,G$2,$A152)</f>
        <v>-170978584.86159998</v>
      </c>
      <c r="H152" s="32">
        <f>_xll.DBRW($C$1,$C$2,$C$3,$C$4,$C$6,$C$5,$C$7,H$1,H$2,$A152)</f>
        <v>0</v>
      </c>
      <c r="J152" s="32">
        <f t="shared" si="40"/>
        <v>170978584.86159998</v>
      </c>
      <c r="K152" s="32">
        <f t="shared" si="41"/>
        <v>0</v>
      </c>
    </row>
    <row r="153" spans="1:11" ht="15.75" hidden="1" customHeight="1">
      <c r="A153" s="1" t="s">
        <v>232</v>
      </c>
      <c r="C153" s="143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0</v>
      </c>
      <c r="G153" s="32">
        <f>_xll.DBRW($C$1,$C$2,$C$3,$C$4,$C$6,$C$5,$C$7,G$1,G$2,$A153)</f>
        <v>2796150.07</v>
      </c>
      <c r="H153" s="32">
        <f>_xll.DBRW($C$1,$C$2,$C$3,$C$4,$C$6,$C$5,$C$7,H$1,H$2,$A153)</f>
        <v>0</v>
      </c>
      <c r="J153" s="32">
        <f t="shared" si="40"/>
        <v>-2796150.07</v>
      </c>
      <c r="K153" s="32">
        <f t="shared" si="41"/>
        <v>0</v>
      </c>
    </row>
    <row r="154" spans="1:11" ht="15.75" hidden="1" customHeight="1">
      <c r="A154" s="1" t="s">
        <v>233</v>
      </c>
      <c r="C154" s="143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0</v>
      </c>
      <c r="G154" s="32">
        <f>_xll.DBRW($C$1,$C$2,$C$3,$C$4,$C$6,$C$5,$C$7,G$1,G$2,$A154)</f>
        <v>-983550194.46000004</v>
      </c>
      <c r="H154" s="32">
        <f>_xll.DBRW($C$1,$C$2,$C$3,$C$4,$C$6,$C$5,$C$7,H$1,H$2,$A154)</f>
        <v>0</v>
      </c>
      <c r="J154" s="32">
        <f t="shared" si="40"/>
        <v>983550194.46000004</v>
      </c>
      <c r="K154" s="32">
        <f t="shared" si="41"/>
        <v>0</v>
      </c>
    </row>
    <row r="155" spans="1:11" ht="15.75" hidden="1" customHeight="1">
      <c r="A155" s="1" t="s">
        <v>234</v>
      </c>
      <c r="C155" s="143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0</v>
      </c>
      <c r="G155" s="32">
        <f>_xll.DBRW($C$1,$C$2,$C$3,$C$4,$C$6,$C$5,$C$7,G$1,G$2,$A155)</f>
        <v>-264745560.1100001</v>
      </c>
      <c r="H155" s="32">
        <f>_xll.DBRW($C$1,$C$2,$C$3,$C$4,$C$6,$C$5,$C$7,H$1,H$2,$A155)</f>
        <v>0</v>
      </c>
      <c r="J155" s="32">
        <f t="shared" si="40"/>
        <v>264745560.1100001</v>
      </c>
      <c r="K155" s="32">
        <f t="shared" si="41"/>
        <v>0</v>
      </c>
    </row>
    <row r="156" spans="1:11" ht="15.75" hidden="1" customHeight="1">
      <c r="A156" s="1" t="s">
        <v>235</v>
      </c>
      <c r="C156" s="143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0</v>
      </c>
      <c r="G156" s="32">
        <f>_xll.DBRW($C$1,$C$2,$C$3,$C$4,$C$6,$C$5,$C$7,G$1,G$2,$A156)</f>
        <v>-836690.67</v>
      </c>
      <c r="H156" s="32">
        <f>_xll.DBRW($C$1,$C$2,$C$3,$C$4,$C$6,$C$5,$C$7,H$1,H$2,$A156)</f>
        <v>0</v>
      </c>
      <c r="J156" s="32">
        <f t="shared" si="40"/>
        <v>836690.67</v>
      </c>
      <c r="K156" s="32">
        <f t="shared" si="41"/>
        <v>0</v>
      </c>
    </row>
    <row r="157" spans="1:11" ht="15.75" hidden="1" customHeight="1">
      <c r="A157" s="1" t="s">
        <v>236</v>
      </c>
      <c r="C157" s="143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0</v>
      </c>
      <c r="G157" s="32">
        <f>_xll.DBRW($C$1,$C$2,$C$3,$C$4,$C$6,$C$5,$C$7,G$1,G$2,$A157)</f>
        <v>-386978532.58000034</v>
      </c>
      <c r="H157" s="32">
        <f>_xll.DBRW($C$1,$C$2,$C$3,$C$4,$C$6,$C$5,$C$7,H$1,H$2,$A157)</f>
        <v>0</v>
      </c>
      <c r="J157" s="32">
        <f t="shared" si="40"/>
        <v>386978532.58000034</v>
      </c>
      <c r="K157" s="32">
        <f t="shared" si="41"/>
        <v>0</v>
      </c>
    </row>
    <row r="158" spans="1:11" ht="15.75" hidden="1" customHeight="1">
      <c r="A158" s="1" t="s">
        <v>237</v>
      </c>
      <c r="C158" s="143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0</v>
      </c>
      <c r="G158" s="32">
        <f>_xll.DBRW($C$1,$C$2,$C$3,$C$4,$C$6,$C$5,$C$7,G$1,G$2,$A158)</f>
        <v>3309329.85</v>
      </c>
      <c r="H158" s="32">
        <f>_xll.DBRW($C$1,$C$2,$C$3,$C$4,$C$6,$C$5,$C$7,H$1,H$2,$A158)</f>
        <v>0</v>
      </c>
      <c r="J158" s="32">
        <f t="shared" si="40"/>
        <v>-3309329.85</v>
      </c>
      <c r="K158" s="32">
        <f t="shared" si="41"/>
        <v>0</v>
      </c>
    </row>
    <row r="159" spans="1:11" ht="15.75" hidden="1" customHeight="1">
      <c r="A159" s="1" t="s">
        <v>238</v>
      </c>
      <c r="C159" s="143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J159" s="32">
        <f t="shared" si="40"/>
        <v>0</v>
      </c>
      <c r="K159" s="32">
        <f t="shared" si="41"/>
        <v>0</v>
      </c>
    </row>
    <row r="160" spans="1:11" ht="15.75" hidden="1" customHeight="1">
      <c r="A160" s="1" t="s">
        <v>239</v>
      </c>
      <c r="C160" s="143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0</v>
      </c>
      <c r="G160" s="32">
        <f>_xll.DBRW($C$1,$C$2,$C$3,$C$4,$C$6,$C$5,$C$7,G$1,G$2,$A160)</f>
        <v>-901696184.59999967</v>
      </c>
      <c r="H160" s="32">
        <f>_xll.DBRW($C$1,$C$2,$C$3,$C$4,$C$6,$C$5,$C$7,H$1,H$2,$A160)</f>
        <v>0</v>
      </c>
      <c r="J160" s="32">
        <f t="shared" si="40"/>
        <v>901696184.59999967</v>
      </c>
      <c r="K160" s="32">
        <f t="shared" si="41"/>
        <v>0</v>
      </c>
    </row>
    <row r="161" spans="1:11" ht="15.75" hidden="1" customHeight="1">
      <c r="A161" s="1" t="s">
        <v>240</v>
      </c>
      <c r="C161" s="143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0</v>
      </c>
      <c r="G161" s="32">
        <f>_xll.DBRW($C$1,$C$2,$C$3,$C$4,$C$6,$C$5,$C$7,G$1,G$2,$A161)</f>
        <v>-759849.79</v>
      </c>
      <c r="H161" s="32">
        <f>_xll.DBRW($C$1,$C$2,$C$3,$C$4,$C$6,$C$5,$C$7,H$1,H$2,$A161)</f>
        <v>0</v>
      </c>
      <c r="J161" s="32">
        <f t="shared" si="40"/>
        <v>759849.79</v>
      </c>
      <c r="K161" s="32">
        <f t="shared" si="41"/>
        <v>0</v>
      </c>
    </row>
    <row r="162" spans="1:11" ht="15.75" hidden="1" customHeight="1">
      <c r="A162" s="1" t="s">
        <v>241</v>
      </c>
      <c r="C162" s="143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0</v>
      </c>
      <c r="J162" s="32">
        <f t="shared" si="40"/>
        <v>0</v>
      </c>
      <c r="K162" s="32">
        <f t="shared" si="41"/>
        <v>0</v>
      </c>
    </row>
    <row r="163" spans="1:11" ht="15.75" hidden="1" customHeight="1">
      <c r="A163" s="1" t="s">
        <v>242</v>
      </c>
      <c r="C163" s="143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0</v>
      </c>
      <c r="G163" s="32">
        <f>_xll.DBRW($C$1,$C$2,$C$3,$C$4,$C$6,$C$5,$C$7,G$1,G$2,$A163)</f>
        <v>5526571.8600000013</v>
      </c>
      <c r="H163" s="32">
        <f>_xll.DBRW($C$1,$C$2,$C$3,$C$4,$C$6,$C$5,$C$7,H$1,H$2,$A163)</f>
        <v>0</v>
      </c>
      <c r="J163" s="32">
        <f t="shared" si="40"/>
        <v>-5526571.8600000013</v>
      </c>
      <c r="K163" s="32">
        <f t="shared" si="41"/>
        <v>0</v>
      </c>
    </row>
    <row r="164" spans="1:11" ht="15.75" hidden="1" customHeight="1">
      <c r="A164" s="1" t="s">
        <v>243</v>
      </c>
      <c r="C164" s="143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0</v>
      </c>
      <c r="G164" s="32">
        <f>_xll.DBRW($C$1,$C$2,$C$3,$C$4,$C$6,$C$5,$C$7,G$1,G$2,$A164)</f>
        <v>-338357418.86279988</v>
      </c>
      <c r="H164" s="32">
        <f>_xll.DBRW($C$1,$C$2,$C$3,$C$4,$C$6,$C$5,$C$7,H$1,H$2,$A164)</f>
        <v>0</v>
      </c>
      <c r="J164" s="32">
        <f t="shared" si="40"/>
        <v>338357418.86279988</v>
      </c>
      <c r="K164" s="32">
        <f t="shared" si="41"/>
        <v>0</v>
      </c>
    </row>
    <row r="165" spans="1:11" ht="15.75" hidden="1" customHeight="1">
      <c r="A165" s="1" t="s">
        <v>244</v>
      </c>
      <c r="C165" s="143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0</v>
      </c>
      <c r="G165" s="32">
        <f>_xll.DBRW($C$1,$C$2,$C$3,$C$4,$C$6,$C$5,$C$7,G$1,G$2,$A165)</f>
        <v>-624843.5199999999</v>
      </c>
      <c r="H165" s="32">
        <f>_xll.DBRW($C$1,$C$2,$C$3,$C$4,$C$6,$C$5,$C$7,H$1,H$2,$A165)</f>
        <v>0</v>
      </c>
      <c r="J165" s="32">
        <f t="shared" si="40"/>
        <v>624843.5199999999</v>
      </c>
      <c r="K165" s="32">
        <f t="shared" si="41"/>
        <v>0</v>
      </c>
    </row>
    <row r="166" spans="1:11" ht="15.75" hidden="1" customHeight="1">
      <c r="A166" s="1" t="s">
        <v>245</v>
      </c>
      <c r="C166" s="143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0</v>
      </c>
      <c r="G166" s="32">
        <f>_xll.DBRW($C$1,$C$2,$C$3,$C$4,$C$6,$C$5,$C$7,G$1,G$2,$A166)</f>
        <v>-19134337.285399996</v>
      </c>
      <c r="H166" s="32">
        <f>_xll.DBRW($C$1,$C$2,$C$3,$C$4,$C$6,$C$5,$C$7,H$1,H$2,$A166)</f>
        <v>0</v>
      </c>
      <c r="J166" s="32">
        <f t="shared" si="40"/>
        <v>19134337.285399996</v>
      </c>
      <c r="K166" s="32">
        <f t="shared" si="41"/>
        <v>0</v>
      </c>
    </row>
    <row r="167" spans="1:11" ht="15.75" hidden="1" customHeight="1">
      <c r="A167" s="1" t="s">
        <v>246</v>
      </c>
      <c r="C167" s="143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0</v>
      </c>
      <c r="G167" s="32">
        <f>_xll.DBRW($C$1,$C$2,$C$3,$C$4,$C$6,$C$5,$C$7,G$1,G$2,$A167)</f>
        <v>-2447596.02</v>
      </c>
      <c r="H167" s="32">
        <f>_xll.DBRW($C$1,$C$2,$C$3,$C$4,$C$6,$C$5,$C$7,H$1,H$2,$A167)</f>
        <v>0</v>
      </c>
      <c r="J167" s="32">
        <f t="shared" si="40"/>
        <v>2447596.02</v>
      </c>
      <c r="K167" s="32">
        <f t="shared" si="41"/>
        <v>0</v>
      </c>
    </row>
    <row r="168" spans="1:11" ht="15.75" hidden="1" customHeight="1">
      <c r="A168" s="1" t="s">
        <v>247</v>
      </c>
      <c r="C168" s="143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0</v>
      </c>
      <c r="G168" s="32">
        <f>_xll.DBRW($C$1,$C$2,$C$3,$C$4,$C$6,$C$5,$C$7,G$1,G$2,$A168)</f>
        <v>4547</v>
      </c>
      <c r="H168" s="32">
        <f>_xll.DBRW($C$1,$C$2,$C$3,$C$4,$C$6,$C$5,$C$7,H$1,H$2,$A168)</f>
        <v>0</v>
      </c>
      <c r="J168" s="32">
        <f t="shared" si="40"/>
        <v>-4547</v>
      </c>
      <c r="K168" s="32">
        <f t="shared" si="41"/>
        <v>0</v>
      </c>
    </row>
    <row r="169" spans="1:11" ht="15.6" hidden="1" customHeight="1">
      <c r="A169" s="1" t="s">
        <v>127</v>
      </c>
      <c r="C169" s="143"/>
      <c r="E169" s="15" t="s">
        <v>38</v>
      </c>
      <c r="F169" s="33">
        <f t="shared" ref="F169:H169" si="44">SUM(F152:F168)</f>
        <v>0</v>
      </c>
      <c r="G169" s="33">
        <f t="shared" si="44"/>
        <v>-3058473193.9797997</v>
      </c>
      <c r="H169" s="33">
        <f t="shared" si="44"/>
        <v>0</v>
      </c>
      <c r="J169" s="32">
        <f t="shared" si="40"/>
        <v>3058473193.9797997</v>
      </c>
      <c r="K169" s="32">
        <f t="shared" si="41"/>
        <v>0</v>
      </c>
    </row>
    <row r="170" spans="1:11" ht="15.75" hidden="1" customHeight="1">
      <c r="A170" s="1" t="s">
        <v>248</v>
      </c>
      <c r="C170" s="143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0</v>
      </c>
      <c r="G170" s="32">
        <f>_xll.DBRW($C$1,$C$2,$C$3,$C$4,$C$6,$C$5,$C$7,G$1,G$2,$A170)</f>
        <v>-312988.68</v>
      </c>
      <c r="H170" s="32">
        <f>_xll.DBRW($C$1,$C$2,$C$3,$C$4,$C$6,$C$5,$C$7,H$1,H$2,$A170)</f>
        <v>0</v>
      </c>
      <c r="J170" s="32">
        <f t="shared" si="40"/>
        <v>312988.68</v>
      </c>
      <c r="K170" s="32">
        <f t="shared" si="41"/>
        <v>0</v>
      </c>
    </row>
    <row r="171" spans="1:11" ht="15.75" hidden="1" customHeight="1">
      <c r="A171" s="1" t="s">
        <v>249</v>
      </c>
      <c r="C171" s="143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0</v>
      </c>
      <c r="G171" s="32">
        <f>_xll.DBRW($C$1,$C$2,$C$3,$C$4,$C$6,$C$5,$C$7,G$1,G$2,$A171)</f>
        <v>-50198823.990000024</v>
      </c>
      <c r="H171" s="32">
        <f>_xll.DBRW($C$1,$C$2,$C$3,$C$4,$C$6,$C$5,$C$7,H$1,H$2,$A171)</f>
        <v>0</v>
      </c>
      <c r="J171" s="32">
        <f t="shared" si="40"/>
        <v>50198823.990000024</v>
      </c>
      <c r="K171" s="32">
        <f t="shared" si="41"/>
        <v>0</v>
      </c>
    </row>
    <row r="172" spans="1:11" ht="15.75" hidden="1" customHeight="1">
      <c r="A172" s="1" t="s">
        <v>250</v>
      </c>
      <c r="C172" s="143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0</v>
      </c>
      <c r="G172" s="32">
        <f>_xll.DBRW($C$1,$C$2,$C$3,$C$4,$C$6,$C$5,$C$7,G$1,G$2,$A172)</f>
        <v>-416569766.45999974</v>
      </c>
      <c r="H172" s="32">
        <f>_xll.DBRW($C$1,$C$2,$C$3,$C$4,$C$6,$C$5,$C$7,H$1,H$2,$A172)</f>
        <v>0</v>
      </c>
      <c r="J172" s="32">
        <f t="shared" si="40"/>
        <v>416569766.45999974</v>
      </c>
      <c r="K172" s="32">
        <f t="shared" si="41"/>
        <v>0</v>
      </c>
    </row>
    <row r="173" spans="1:11" ht="15.75" hidden="1" customHeight="1">
      <c r="A173" s="1" t="s">
        <v>251</v>
      </c>
      <c r="C173" s="143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0</v>
      </c>
      <c r="G173" s="32">
        <f>_xll.DBRW($C$1,$C$2,$C$3,$C$4,$C$6,$C$5,$C$7,G$1,G$2,$A173)</f>
        <v>-1069417.23</v>
      </c>
      <c r="H173" s="32">
        <f>_xll.DBRW($C$1,$C$2,$C$3,$C$4,$C$6,$C$5,$C$7,H$1,H$2,$A173)</f>
        <v>0</v>
      </c>
      <c r="J173" s="32">
        <f t="shared" si="40"/>
        <v>1069417.23</v>
      </c>
      <c r="K173" s="32">
        <f t="shared" si="41"/>
        <v>0</v>
      </c>
    </row>
    <row r="174" spans="1:11" ht="15.75" hidden="1" customHeight="1">
      <c r="A174" s="1" t="s">
        <v>252</v>
      </c>
      <c r="C174" s="143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0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J174" s="32">
        <f t="shared" si="40"/>
        <v>0</v>
      </c>
      <c r="K174" s="32">
        <f t="shared" si="41"/>
        <v>0</v>
      </c>
    </row>
    <row r="175" spans="1:11" ht="15.75" hidden="1" customHeight="1">
      <c r="A175" s="1" t="s">
        <v>253</v>
      </c>
      <c r="C175" s="143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-54734.649999999994</v>
      </c>
      <c r="H175" s="32">
        <f>_xll.DBRW($C$1,$C$2,$C$3,$C$4,$C$6,$C$5,$C$7,H$1,H$2,$A175)</f>
        <v>0</v>
      </c>
      <c r="J175" s="32">
        <f t="shared" si="40"/>
        <v>54734.649999999994</v>
      </c>
      <c r="K175" s="32">
        <f t="shared" si="41"/>
        <v>0</v>
      </c>
    </row>
    <row r="176" spans="1:11" ht="15.75" hidden="1" customHeight="1">
      <c r="A176" s="1" t="s">
        <v>254</v>
      </c>
      <c r="C176" s="143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0</v>
      </c>
      <c r="G176" s="32">
        <f>_xll.DBRW($C$1,$C$2,$C$3,$C$4,$C$6,$C$5,$C$7,G$1,G$2,$A176)</f>
        <v>921888.74999999988</v>
      </c>
      <c r="H176" s="32">
        <f>_xll.DBRW($C$1,$C$2,$C$3,$C$4,$C$6,$C$5,$C$7,H$1,H$2,$A176)</f>
        <v>0</v>
      </c>
      <c r="J176" s="32">
        <f t="shared" si="40"/>
        <v>-921888.74999999988</v>
      </c>
      <c r="K176" s="32">
        <f t="shared" si="41"/>
        <v>0</v>
      </c>
    </row>
    <row r="177" spans="1:11" ht="15.75" hidden="1" customHeight="1">
      <c r="A177" s="1" t="s">
        <v>255</v>
      </c>
      <c r="C177" s="143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0</v>
      </c>
      <c r="G177" s="32">
        <f>_xll.DBRW($C$1,$C$2,$C$3,$C$4,$C$6,$C$5,$C$7,G$1,G$2,$A177)</f>
        <v>-2795590.98</v>
      </c>
      <c r="H177" s="32">
        <f>_xll.DBRW($C$1,$C$2,$C$3,$C$4,$C$6,$C$5,$C$7,H$1,H$2,$A177)</f>
        <v>0</v>
      </c>
      <c r="J177" s="32">
        <f t="shared" si="40"/>
        <v>2795590.98</v>
      </c>
      <c r="K177" s="32">
        <f t="shared" si="41"/>
        <v>0</v>
      </c>
    </row>
    <row r="178" spans="1:11" ht="15.75" hidden="1" customHeight="1">
      <c r="A178" s="1" t="s">
        <v>256</v>
      </c>
      <c r="C178" s="143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0</v>
      </c>
      <c r="G178" s="32">
        <f>_xll.DBRW($C$1,$C$2,$C$3,$C$4,$C$6,$C$5,$C$7,G$1,G$2,$A178)</f>
        <v>7252024.7299999977</v>
      </c>
      <c r="H178" s="32">
        <f>_xll.DBRW($C$1,$C$2,$C$3,$C$4,$C$6,$C$5,$C$7,H$1,H$2,$A178)</f>
        <v>0</v>
      </c>
      <c r="J178" s="32">
        <f t="shared" si="40"/>
        <v>-7252024.7299999977</v>
      </c>
      <c r="K178" s="32">
        <f t="shared" si="41"/>
        <v>0</v>
      </c>
    </row>
    <row r="179" spans="1:11" ht="15.75" hidden="1" customHeight="1">
      <c r="A179" s="1" t="s">
        <v>257</v>
      </c>
      <c r="C179" s="143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7917332.6600000001</v>
      </c>
      <c r="H179" s="32">
        <f>_xll.DBRW($C$1,$C$2,$C$3,$C$4,$C$6,$C$5,$C$7,H$1,H$2,$A179)</f>
        <v>0</v>
      </c>
      <c r="J179" s="32">
        <f t="shared" si="40"/>
        <v>-7917332.6600000001</v>
      </c>
      <c r="K179" s="32">
        <f t="shared" si="41"/>
        <v>0</v>
      </c>
    </row>
    <row r="180" spans="1:11" ht="15.75" hidden="1" customHeight="1">
      <c r="A180" s="1" t="s">
        <v>258</v>
      </c>
      <c r="C180" s="143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J180" s="32">
        <f t="shared" si="40"/>
        <v>0</v>
      </c>
      <c r="K180" s="32">
        <f t="shared" si="41"/>
        <v>0</v>
      </c>
    </row>
    <row r="181" spans="1:11" ht="15.75" hidden="1" customHeight="1">
      <c r="A181" s="1" t="s">
        <v>259</v>
      </c>
      <c r="C181" s="143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0</v>
      </c>
      <c r="G181" s="32">
        <f>_xll.DBRW($C$1,$C$2,$C$3,$C$4,$C$6,$C$5,$C$7,G$1,G$2,$A181)</f>
        <v>-9883058.1899999995</v>
      </c>
      <c r="H181" s="32">
        <f>_xll.DBRW($C$1,$C$2,$C$3,$C$4,$C$6,$C$5,$C$7,H$1,H$2,$A181)</f>
        <v>0</v>
      </c>
      <c r="J181" s="32">
        <f t="shared" si="40"/>
        <v>9883058.1899999995</v>
      </c>
      <c r="K181" s="32">
        <f t="shared" si="41"/>
        <v>0</v>
      </c>
    </row>
    <row r="182" spans="1:11" ht="15.75" hidden="1" customHeight="1">
      <c r="A182" s="1" t="s">
        <v>260</v>
      </c>
      <c r="C182" s="143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0</v>
      </c>
      <c r="G182" s="32">
        <f>_xll.DBRW($C$1,$C$2,$C$3,$C$4,$C$6,$C$5,$C$7,G$1,G$2,$A182)</f>
        <v>0</v>
      </c>
      <c r="H182" s="32">
        <f>_xll.DBRW($C$1,$C$2,$C$3,$C$4,$C$6,$C$5,$C$7,H$1,H$2,$A182)</f>
        <v>0</v>
      </c>
      <c r="J182" s="32">
        <f t="shared" si="40"/>
        <v>0</v>
      </c>
      <c r="K182" s="32">
        <f t="shared" si="41"/>
        <v>0</v>
      </c>
    </row>
    <row r="183" spans="1:11" ht="15.75" hidden="1" customHeight="1">
      <c r="A183" s="1" t="s">
        <v>261</v>
      </c>
      <c r="C183" s="143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0</v>
      </c>
      <c r="G183" s="32">
        <f>_xll.DBRW($C$1,$C$2,$C$3,$C$4,$C$6,$C$5,$C$7,G$1,G$2,$A183)</f>
        <v>2995769.9499999997</v>
      </c>
      <c r="H183" s="32">
        <f>_xll.DBRW($C$1,$C$2,$C$3,$C$4,$C$6,$C$5,$C$7,H$1,H$2,$A183)</f>
        <v>0</v>
      </c>
      <c r="J183" s="32">
        <f t="shared" si="40"/>
        <v>-2995769.9499999997</v>
      </c>
      <c r="K183" s="32">
        <f t="shared" si="41"/>
        <v>0</v>
      </c>
    </row>
    <row r="184" spans="1:11" ht="15.75" hidden="1" customHeight="1">
      <c r="A184" s="1" t="s">
        <v>262</v>
      </c>
      <c r="C184" s="143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0</v>
      </c>
      <c r="G184" s="32">
        <f>_xll.DBRW($C$1,$C$2,$C$3,$C$4,$C$6,$C$5,$C$7,G$1,G$2,$A184)</f>
        <v>0</v>
      </c>
      <c r="H184" s="32">
        <f>_xll.DBRW($C$1,$C$2,$C$3,$C$4,$C$6,$C$5,$C$7,H$1,H$2,$A184)</f>
        <v>0</v>
      </c>
      <c r="J184" s="32">
        <f t="shared" si="40"/>
        <v>0</v>
      </c>
      <c r="K184" s="32">
        <f t="shared" si="41"/>
        <v>0</v>
      </c>
    </row>
    <row r="185" spans="1:11" ht="15.6" hidden="1" customHeight="1">
      <c r="A185" s="1" t="s">
        <v>127</v>
      </c>
      <c r="C185" s="143"/>
      <c r="E185" s="14" t="s">
        <v>32</v>
      </c>
      <c r="F185" s="32">
        <f t="shared" ref="F185:H185" si="45">SUM(F170:F184)</f>
        <v>0</v>
      </c>
      <c r="G185" s="32">
        <f t="shared" si="45"/>
        <v>-461797364.08999974</v>
      </c>
      <c r="H185" s="32">
        <f t="shared" si="45"/>
        <v>0</v>
      </c>
      <c r="J185" s="32">
        <f t="shared" si="40"/>
        <v>461797364.08999974</v>
      </c>
      <c r="K185" s="32">
        <f t="shared" si="41"/>
        <v>0</v>
      </c>
    </row>
    <row r="186" spans="1:11" ht="15.6" hidden="1" customHeight="1" collapsed="1">
      <c r="A186" s="1" t="s">
        <v>127</v>
      </c>
      <c r="C186" s="143"/>
      <c r="E186" s="11" t="s">
        <v>39</v>
      </c>
      <c r="F186" s="34">
        <f t="shared" ref="F186:H186" si="46">F185+F169+F151+F137+F128</f>
        <v>0</v>
      </c>
      <c r="G186" s="34">
        <f t="shared" si="46"/>
        <v>-14807768681.631712</v>
      </c>
      <c r="H186" s="34">
        <f t="shared" si="46"/>
        <v>0</v>
      </c>
      <c r="J186" s="32">
        <f t="shared" si="40"/>
        <v>14807768681.631712</v>
      </c>
      <c r="K186" s="32">
        <f t="shared" si="41"/>
        <v>0</v>
      </c>
    </row>
    <row r="187" spans="1:11" ht="15.75" hidden="1" customHeight="1">
      <c r="A187" s="1" t="s">
        <v>263</v>
      </c>
      <c r="C187" s="143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J187" s="32">
        <f t="shared" si="40"/>
        <v>0</v>
      </c>
      <c r="K187" s="32">
        <f t="shared" si="41"/>
        <v>0</v>
      </c>
    </row>
    <row r="188" spans="1:11" ht="15.75" hidden="1" customHeight="1">
      <c r="A188" s="1" t="s">
        <v>264</v>
      </c>
      <c r="C188" s="143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J188" s="32">
        <f t="shared" si="40"/>
        <v>0</v>
      </c>
      <c r="K188" s="32">
        <f t="shared" si="41"/>
        <v>0</v>
      </c>
    </row>
    <row r="189" spans="1:11" ht="15.75" hidden="1" customHeight="1">
      <c r="A189" s="1" t="s">
        <v>265</v>
      </c>
      <c r="C189" s="143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J189" s="32">
        <f t="shared" si="40"/>
        <v>0</v>
      </c>
      <c r="K189" s="32">
        <f t="shared" si="41"/>
        <v>0</v>
      </c>
    </row>
    <row r="190" spans="1:11" ht="15.75" hidden="1" customHeight="1">
      <c r="A190" s="1" t="s">
        <v>266</v>
      </c>
      <c r="C190" s="143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J190" s="32">
        <f t="shared" si="40"/>
        <v>0</v>
      </c>
      <c r="K190" s="32">
        <f t="shared" si="41"/>
        <v>0</v>
      </c>
    </row>
    <row r="191" spans="1:11" ht="15.75" hidden="1" customHeight="1">
      <c r="A191" s="1" t="s">
        <v>267</v>
      </c>
      <c r="C191" s="143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J191" s="32">
        <f t="shared" si="40"/>
        <v>0</v>
      </c>
      <c r="K191" s="32">
        <f t="shared" si="41"/>
        <v>0</v>
      </c>
    </row>
    <row r="192" spans="1:11" ht="15.75" hidden="1" customHeight="1">
      <c r="A192" s="1" t="s">
        <v>268</v>
      </c>
      <c r="C192" s="143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J192" s="32">
        <f t="shared" si="40"/>
        <v>0</v>
      </c>
      <c r="K192" s="32">
        <f t="shared" si="41"/>
        <v>0</v>
      </c>
    </row>
    <row r="193" spans="1:11" ht="15.75" hidden="1" customHeight="1">
      <c r="A193" s="1" t="s">
        <v>269</v>
      </c>
      <c r="C193" s="143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J193" s="32">
        <f t="shared" ref="J193:J218" si="47">F193-G193</f>
        <v>0</v>
      </c>
      <c r="K193" s="32">
        <f t="shared" ref="K193:K218" si="48">F193-H193</f>
        <v>0</v>
      </c>
    </row>
    <row r="194" spans="1:11" ht="15.75" hidden="1" customHeight="1">
      <c r="A194" s="1" t="s">
        <v>270</v>
      </c>
      <c r="C194" s="143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J194" s="32">
        <f t="shared" si="47"/>
        <v>0</v>
      </c>
      <c r="K194" s="32">
        <f t="shared" si="48"/>
        <v>0</v>
      </c>
    </row>
    <row r="195" spans="1:11" ht="15.75" hidden="1" customHeight="1">
      <c r="A195" s="1" t="s">
        <v>271</v>
      </c>
      <c r="C195" s="143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J195" s="32">
        <f t="shared" si="47"/>
        <v>0</v>
      </c>
      <c r="K195" s="32">
        <f t="shared" si="48"/>
        <v>0</v>
      </c>
    </row>
    <row r="196" spans="1:11" ht="15.75" hidden="1" customHeight="1">
      <c r="A196" s="1" t="s">
        <v>272</v>
      </c>
      <c r="C196" s="143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J196" s="32">
        <f t="shared" si="47"/>
        <v>0</v>
      </c>
      <c r="K196" s="32">
        <f t="shared" si="48"/>
        <v>0</v>
      </c>
    </row>
    <row r="197" spans="1:11" ht="15.75" hidden="1" customHeight="1">
      <c r="A197" s="1" t="s">
        <v>273</v>
      </c>
      <c r="C197" s="143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J197" s="32">
        <f t="shared" si="47"/>
        <v>0</v>
      </c>
      <c r="K197" s="32">
        <f t="shared" si="48"/>
        <v>0</v>
      </c>
    </row>
    <row r="198" spans="1:11" ht="15.75" hidden="1" customHeight="1">
      <c r="A198" s="1" t="s">
        <v>274</v>
      </c>
      <c r="C198" s="143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J198" s="32">
        <f t="shared" si="47"/>
        <v>0</v>
      </c>
      <c r="K198" s="32">
        <f t="shared" si="48"/>
        <v>0</v>
      </c>
    </row>
    <row r="199" spans="1:11" ht="15.75" hidden="1" customHeight="1">
      <c r="A199" s="1" t="s">
        <v>275</v>
      </c>
      <c r="C199" s="143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J199" s="32">
        <f t="shared" si="47"/>
        <v>0</v>
      </c>
      <c r="K199" s="32">
        <f t="shared" si="48"/>
        <v>0</v>
      </c>
    </row>
    <row r="200" spans="1:11" ht="15.75" hidden="1" customHeight="1">
      <c r="A200" s="1" t="s">
        <v>276</v>
      </c>
      <c r="C200" s="143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J200" s="32">
        <f t="shared" si="47"/>
        <v>0</v>
      </c>
      <c r="K200" s="32">
        <f t="shared" si="48"/>
        <v>0</v>
      </c>
    </row>
    <row r="201" spans="1:11" ht="15.75" hidden="1" customHeight="1">
      <c r="A201" s="1" t="s">
        <v>277</v>
      </c>
      <c r="C201" s="143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J201" s="32">
        <f t="shared" si="47"/>
        <v>0</v>
      </c>
      <c r="K201" s="32">
        <f t="shared" si="48"/>
        <v>0</v>
      </c>
    </row>
    <row r="202" spans="1:11" ht="15.75" hidden="1" customHeight="1">
      <c r="A202" s="1" t="s">
        <v>278</v>
      </c>
      <c r="C202" s="143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J202" s="32">
        <f t="shared" si="47"/>
        <v>0</v>
      </c>
      <c r="K202" s="32">
        <f t="shared" si="48"/>
        <v>0</v>
      </c>
    </row>
    <row r="203" spans="1:11" ht="15.75" hidden="1" customHeight="1">
      <c r="A203" s="1" t="s">
        <v>279</v>
      </c>
      <c r="C203" s="143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J203" s="32">
        <f t="shared" si="47"/>
        <v>0</v>
      </c>
      <c r="K203" s="32">
        <f t="shared" si="48"/>
        <v>0</v>
      </c>
    </row>
    <row r="204" spans="1:11" ht="15.75" hidden="1" customHeight="1">
      <c r="A204" s="1" t="s">
        <v>280</v>
      </c>
      <c r="C204" s="143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J204" s="32">
        <f t="shared" si="47"/>
        <v>0</v>
      </c>
      <c r="K204" s="32">
        <f t="shared" si="48"/>
        <v>0</v>
      </c>
    </row>
    <row r="205" spans="1:11" ht="15.75" hidden="1" customHeight="1">
      <c r="A205" s="1" t="s">
        <v>281</v>
      </c>
      <c r="C205" s="143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J205" s="32">
        <f t="shared" si="47"/>
        <v>0</v>
      </c>
      <c r="K205" s="32">
        <f t="shared" si="48"/>
        <v>0</v>
      </c>
    </row>
    <row r="206" spans="1:11" ht="15.75" hidden="1" customHeight="1">
      <c r="A206" s="1" t="s">
        <v>282</v>
      </c>
      <c r="C206" s="143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J206" s="32">
        <f t="shared" si="47"/>
        <v>0</v>
      </c>
      <c r="K206" s="32">
        <f t="shared" si="48"/>
        <v>0</v>
      </c>
    </row>
    <row r="207" spans="1:11" ht="15.75" hidden="1" customHeight="1">
      <c r="A207" s="1" t="s">
        <v>283</v>
      </c>
      <c r="C207" s="143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J207" s="32">
        <f t="shared" si="47"/>
        <v>0</v>
      </c>
      <c r="K207" s="32">
        <f t="shared" si="48"/>
        <v>0</v>
      </c>
    </row>
    <row r="208" spans="1:11" ht="15.75" hidden="1" customHeight="1">
      <c r="A208" s="1" t="s">
        <v>284</v>
      </c>
      <c r="C208" s="143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J208" s="32">
        <f t="shared" si="47"/>
        <v>0</v>
      </c>
      <c r="K208" s="32">
        <f t="shared" si="48"/>
        <v>0</v>
      </c>
    </row>
    <row r="209" spans="1:11" ht="15.75" hidden="1" customHeight="1">
      <c r="A209" s="1" t="s">
        <v>285</v>
      </c>
      <c r="C209" s="143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J209" s="32">
        <f t="shared" si="47"/>
        <v>0</v>
      </c>
      <c r="K209" s="32">
        <f t="shared" si="48"/>
        <v>0</v>
      </c>
    </row>
    <row r="210" spans="1:11" ht="15.75" hidden="1" customHeight="1">
      <c r="A210" s="1" t="s">
        <v>286</v>
      </c>
      <c r="C210" s="143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J210" s="32">
        <f t="shared" si="47"/>
        <v>0</v>
      </c>
      <c r="K210" s="32">
        <f t="shared" si="48"/>
        <v>0</v>
      </c>
    </row>
    <row r="211" spans="1:11" ht="15.75" hidden="1" customHeight="1">
      <c r="A211" s="1" t="s">
        <v>287</v>
      </c>
      <c r="C211" s="143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J211" s="32">
        <f t="shared" si="47"/>
        <v>0</v>
      </c>
      <c r="K211" s="32">
        <f t="shared" si="48"/>
        <v>0</v>
      </c>
    </row>
    <row r="212" spans="1:11" ht="15.75" hidden="1" customHeight="1">
      <c r="A212" s="1" t="s">
        <v>288</v>
      </c>
      <c r="C212" s="143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J212" s="32">
        <f t="shared" si="47"/>
        <v>0</v>
      </c>
      <c r="K212" s="32">
        <f t="shared" si="48"/>
        <v>0</v>
      </c>
    </row>
    <row r="213" spans="1:11" ht="15.75" hidden="1" customHeight="1">
      <c r="A213" s="1" t="s">
        <v>289</v>
      </c>
      <c r="C213" s="143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J213" s="32">
        <f t="shared" si="47"/>
        <v>0</v>
      </c>
      <c r="K213" s="32">
        <f t="shared" si="48"/>
        <v>0</v>
      </c>
    </row>
    <row r="214" spans="1:11" ht="15.75" hidden="1" customHeight="1">
      <c r="A214" s="1" t="s">
        <v>290</v>
      </c>
      <c r="C214" s="143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J214" s="32">
        <f t="shared" si="47"/>
        <v>0</v>
      </c>
      <c r="K214" s="32">
        <f t="shared" si="48"/>
        <v>0</v>
      </c>
    </row>
    <row r="215" spans="1:11" ht="15.75" hidden="1" customHeight="1">
      <c r="A215" s="1" t="s">
        <v>291</v>
      </c>
      <c r="C215" s="143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J215" s="32">
        <f t="shared" si="47"/>
        <v>0</v>
      </c>
      <c r="K215" s="32">
        <f t="shared" si="48"/>
        <v>0</v>
      </c>
    </row>
    <row r="216" spans="1:11" ht="15.75" hidden="1" customHeight="1">
      <c r="A216" s="1" t="s">
        <v>292</v>
      </c>
      <c r="C216" s="143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J216" s="32">
        <f t="shared" si="47"/>
        <v>0</v>
      </c>
      <c r="K216" s="32">
        <f t="shared" si="48"/>
        <v>0</v>
      </c>
    </row>
    <row r="217" spans="1:11" ht="15.75" hidden="1" customHeight="1">
      <c r="A217" s="1" t="s">
        <v>293</v>
      </c>
      <c r="C217" s="143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J217" s="32">
        <f t="shared" si="47"/>
        <v>0</v>
      </c>
      <c r="K217" s="32">
        <f t="shared" si="48"/>
        <v>0</v>
      </c>
    </row>
    <row r="218" spans="1:11" ht="15.75" collapsed="1">
      <c r="A218" s="1" t="s">
        <v>127</v>
      </c>
      <c r="C218" s="143"/>
      <c r="E218" s="22" t="s">
        <v>40</v>
      </c>
      <c r="F218" s="35">
        <f t="shared" ref="F218:H218" si="49">SUM(F187:F217)</f>
        <v>0</v>
      </c>
      <c r="G218" s="35">
        <f t="shared" si="49"/>
        <v>0</v>
      </c>
      <c r="H218" s="35">
        <f t="shared" si="49"/>
        <v>0</v>
      </c>
      <c r="J218" s="32">
        <f t="shared" si="47"/>
        <v>0</v>
      </c>
      <c r="K218" s="32">
        <f t="shared" si="48"/>
        <v>0</v>
      </c>
    </row>
    <row r="219" spans="1:11" ht="15.75">
      <c r="A219" s="1" t="s">
        <v>127</v>
      </c>
      <c r="C219" s="143"/>
      <c r="E219" s="19" t="s">
        <v>41</v>
      </c>
      <c r="F219" s="36">
        <f t="shared" ref="F219:H219" si="50">F30+F41+F80+F98+F114+F186+F218</f>
        <v>0</v>
      </c>
      <c r="G219" s="36">
        <f t="shared" si="50"/>
        <v>-25467396311.961296</v>
      </c>
      <c r="H219" s="36">
        <f t="shared" si="50"/>
        <v>0</v>
      </c>
      <c r="J219" s="91">
        <f>F219-G219</f>
        <v>25467396311.961296</v>
      </c>
      <c r="K219" s="91">
        <f>F222-H222</f>
        <v>0</v>
      </c>
    </row>
    <row r="220" spans="1:11" ht="9" customHeight="1">
      <c r="A220" s="1" t="s">
        <v>127</v>
      </c>
      <c r="C220" s="143"/>
      <c r="E220" s="7"/>
      <c r="F220" s="8"/>
      <c r="G220" s="8"/>
      <c r="H220" s="8"/>
    </row>
    <row r="221" spans="1:11" ht="15.75">
      <c r="A221" s="1" t="s">
        <v>294</v>
      </c>
      <c r="C221" s="143"/>
      <c r="E221" s="19" t="s">
        <v>42</v>
      </c>
      <c r="F221" s="36">
        <f>F27+F219</f>
        <v>0</v>
      </c>
      <c r="G221" s="36">
        <f t="shared" ref="G221:H221" si="51">G27+G219</f>
        <v>9087528345.4387054</v>
      </c>
      <c r="H221" s="36">
        <f t="shared" si="51"/>
        <v>0</v>
      </c>
      <c r="J221" s="91">
        <f>F221-G221</f>
        <v>-9087528345.4387054</v>
      </c>
      <c r="K221" s="91">
        <f>F224-H224</f>
        <v>0</v>
      </c>
    </row>
    <row r="222" spans="1:11" ht="9" customHeight="1">
      <c r="A222" s="1" t="s">
        <v>127</v>
      </c>
      <c r="C222" s="143"/>
      <c r="E222" s="7"/>
      <c r="F222" s="8"/>
      <c r="G222" s="8"/>
      <c r="H222" s="8"/>
    </row>
    <row r="223" spans="1:11" ht="15.75" hidden="1" customHeight="1">
      <c r="A223" s="1" t="s">
        <v>295</v>
      </c>
      <c r="C223" s="143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0</v>
      </c>
      <c r="G223" s="10">
        <f>_xll.DBRW($C$1,$C$2,$C$3,$C$4,$C$6,$C$5,$C$7,G$1,G$2,$A223)</f>
        <v>-380270228.73999995</v>
      </c>
      <c r="H223" s="10">
        <f>_xll.DBRW($C$1,$C$2,$C$3,$C$4,$C$6,$C$5,$C$7,H$1,H$2,$A223)</f>
        <v>0</v>
      </c>
    </row>
    <row r="224" spans="1:11" ht="15.75" hidden="1" customHeight="1">
      <c r="A224" s="1" t="s">
        <v>296</v>
      </c>
      <c r="C224" s="143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</row>
    <row r="225" spans="1:11" ht="15.75" collapsed="1">
      <c r="A225" s="1" t="s">
        <v>127</v>
      </c>
      <c r="C225" s="143"/>
      <c r="E225" s="14" t="s">
        <v>43</v>
      </c>
      <c r="F225" s="37">
        <f t="shared" ref="F225:H225" si="52">F224+F223</f>
        <v>0</v>
      </c>
      <c r="G225" s="37">
        <f t="shared" si="52"/>
        <v>-380270228.73999995</v>
      </c>
      <c r="H225" s="37">
        <f t="shared" si="52"/>
        <v>0</v>
      </c>
      <c r="J225" s="32">
        <f t="shared" ref="J225" si="53">F225-G225</f>
        <v>380270228.73999995</v>
      </c>
      <c r="K225" s="32">
        <f t="shared" ref="K225" si="54">F225-H225</f>
        <v>0</v>
      </c>
    </row>
    <row r="226" spans="1:11" ht="15.75" hidden="1" customHeight="1">
      <c r="A226" s="1" t="s">
        <v>297</v>
      </c>
      <c r="C226" s="143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0</v>
      </c>
      <c r="G226" s="32">
        <f>_xll.DBRW($C$1,$C$2,$C$3,$C$4,$C$6,$C$5,$C$7,G$1,G$2,$A226)</f>
        <v>-11876784.460000001</v>
      </c>
      <c r="H226" s="32">
        <f>_xll.DBRW($C$1,$C$2,$C$3,$C$4,$C$6,$C$5,$C$7,H$1,H$2,$A226)</f>
        <v>0</v>
      </c>
      <c r="J226" s="32">
        <f t="shared" ref="J226:J257" si="55">F226-G226</f>
        <v>11876784.460000001</v>
      </c>
      <c r="K226" s="32">
        <f t="shared" ref="K226:K257" si="56">F226-H226</f>
        <v>0</v>
      </c>
    </row>
    <row r="227" spans="1:11" ht="15.75">
      <c r="A227" s="1" t="s">
        <v>127</v>
      </c>
      <c r="C227" s="143"/>
      <c r="E227" s="15" t="s">
        <v>44</v>
      </c>
      <c r="F227" s="38">
        <f t="shared" ref="F227:H227" si="57">F226</f>
        <v>0</v>
      </c>
      <c r="G227" s="38">
        <f t="shared" si="57"/>
        <v>-11876784.460000001</v>
      </c>
      <c r="H227" s="38">
        <f t="shared" si="57"/>
        <v>0</v>
      </c>
      <c r="J227" s="33">
        <f t="shared" si="55"/>
        <v>11876784.460000001</v>
      </c>
      <c r="K227" s="33">
        <f t="shared" si="56"/>
        <v>0</v>
      </c>
    </row>
    <row r="228" spans="1:11" ht="15.75" hidden="1" customHeight="1">
      <c r="A228" s="1" t="s">
        <v>298</v>
      </c>
      <c r="C228" s="143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0</v>
      </c>
      <c r="G228" s="32">
        <f>_xll.DBRW($C$1,$C$2,$C$3,$C$4,$C$6,$C$5,$C$7,G$1,G$2,$A228)</f>
        <v>-648272335.90199995</v>
      </c>
      <c r="H228" s="32">
        <f>_xll.DBRW($C$1,$C$2,$C$3,$C$4,$C$6,$C$5,$C$7,H$1,H$2,$A228)</f>
        <v>0</v>
      </c>
      <c r="J228" s="33">
        <f t="shared" si="55"/>
        <v>648272335.90199995</v>
      </c>
      <c r="K228" s="33">
        <f t="shared" si="56"/>
        <v>0</v>
      </c>
    </row>
    <row r="229" spans="1:11" ht="15.75">
      <c r="A229" s="1" t="s">
        <v>298</v>
      </c>
      <c r="C229" s="143"/>
      <c r="E229" s="15" t="s">
        <v>45</v>
      </c>
      <c r="F229" s="38">
        <f t="shared" ref="F229:H229" si="58">F228</f>
        <v>0</v>
      </c>
      <c r="G229" s="38">
        <f t="shared" si="58"/>
        <v>-648272335.90199995</v>
      </c>
      <c r="H229" s="38">
        <f t="shared" si="58"/>
        <v>0</v>
      </c>
      <c r="J229" s="33">
        <f t="shared" si="55"/>
        <v>648272335.90199995</v>
      </c>
      <c r="K229" s="33">
        <f t="shared" si="56"/>
        <v>0</v>
      </c>
    </row>
    <row r="230" spans="1:11" ht="15.75" hidden="1" customHeight="1">
      <c r="A230" s="1" t="s">
        <v>299</v>
      </c>
      <c r="C230" s="143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0</v>
      </c>
      <c r="G230" s="32">
        <f>_xll.DBRW($C$1,$C$2,$C$3,$C$4,$C$6,$C$5,$C$7,G$1,G$2,$A230)</f>
        <v>-567500999.47302818</v>
      </c>
      <c r="H230" s="32">
        <f>_xll.DBRW($C$1,$C$2,$C$3,$C$4,$C$6,$C$5,$C$7,H$1,H$2,$A230)</f>
        <v>0</v>
      </c>
      <c r="J230" s="33">
        <f t="shared" si="55"/>
        <v>567500999.47302818</v>
      </c>
      <c r="K230" s="33">
        <f t="shared" si="56"/>
        <v>0</v>
      </c>
    </row>
    <row r="231" spans="1:11" ht="15.75">
      <c r="A231" s="1" t="s">
        <v>127</v>
      </c>
      <c r="C231" s="143"/>
      <c r="E231" s="15" t="s">
        <v>46</v>
      </c>
      <c r="F231" s="38">
        <f t="shared" ref="F231:H231" si="59">F230</f>
        <v>0</v>
      </c>
      <c r="G231" s="38">
        <f t="shared" si="59"/>
        <v>-567500999.47302818</v>
      </c>
      <c r="H231" s="38">
        <f t="shared" si="59"/>
        <v>0</v>
      </c>
      <c r="J231" s="33">
        <f t="shared" si="55"/>
        <v>567500999.47302818</v>
      </c>
      <c r="K231" s="33">
        <f t="shared" si="56"/>
        <v>0</v>
      </c>
    </row>
    <row r="232" spans="1:11" ht="15.75" hidden="1" customHeight="1">
      <c r="A232" s="1" t="s">
        <v>300</v>
      </c>
      <c r="C232" s="143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0</v>
      </c>
      <c r="G232" s="32">
        <f>_xll.DBRW($C$1,$C$2,$C$3,$C$4,$C$6,$C$5,$C$7,G$1,G$2,$A232)</f>
        <v>-103073760.59900001</v>
      </c>
      <c r="H232" s="32">
        <f>_xll.DBRW($C$1,$C$2,$C$3,$C$4,$C$6,$C$5,$C$7,H$1,H$2,$A232)</f>
        <v>0</v>
      </c>
      <c r="J232" s="33">
        <f t="shared" si="55"/>
        <v>103073760.59900001</v>
      </c>
      <c r="K232" s="33">
        <f t="shared" si="56"/>
        <v>0</v>
      </c>
    </row>
    <row r="233" spans="1:11" ht="15.75">
      <c r="A233" s="1" t="s">
        <v>127</v>
      </c>
      <c r="C233" s="143"/>
      <c r="E233" s="15" t="s">
        <v>47</v>
      </c>
      <c r="F233" s="38">
        <f t="shared" ref="F233:H233" si="60">F232</f>
        <v>0</v>
      </c>
      <c r="G233" s="38">
        <f t="shared" si="60"/>
        <v>-103073760.59900001</v>
      </c>
      <c r="H233" s="38">
        <f t="shared" si="60"/>
        <v>0</v>
      </c>
      <c r="J233" s="33">
        <f t="shared" si="55"/>
        <v>103073760.59900001</v>
      </c>
      <c r="K233" s="33">
        <f t="shared" si="56"/>
        <v>0</v>
      </c>
    </row>
    <row r="234" spans="1:11" ht="15.75" hidden="1" customHeight="1">
      <c r="A234" s="1" t="s">
        <v>301</v>
      </c>
      <c r="C234" s="143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0</v>
      </c>
      <c r="G234" s="32">
        <f>_xll.DBRW($C$1,$C$2,$C$3,$C$4,$C$6,$C$5,$C$7,G$1,G$2,$A234)</f>
        <v>-920021495.8937999</v>
      </c>
      <c r="H234" s="32">
        <f>_xll.DBRW($C$1,$C$2,$C$3,$C$4,$C$6,$C$5,$C$7,H$1,H$2,$A234)</f>
        <v>0</v>
      </c>
      <c r="J234" s="33">
        <f t="shared" si="55"/>
        <v>920021495.8937999</v>
      </c>
      <c r="K234" s="33">
        <f t="shared" si="56"/>
        <v>0</v>
      </c>
    </row>
    <row r="235" spans="1:11" ht="15.75">
      <c r="A235" s="1" t="s">
        <v>127</v>
      </c>
      <c r="C235" s="143"/>
      <c r="E235" s="15" t="s">
        <v>48</v>
      </c>
      <c r="F235" s="38">
        <f t="shared" ref="F235:H235" si="61">F234</f>
        <v>0</v>
      </c>
      <c r="G235" s="38">
        <f t="shared" si="61"/>
        <v>-920021495.8937999</v>
      </c>
      <c r="H235" s="38">
        <f t="shared" si="61"/>
        <v>0</v>
      </c>
      <c r="J235" s="33">
        <f t="shared" si="55"/>
        <v>920021495.8937999</v>
      </c>
      <c r="K235" s="33">
        <f t="shared" si="56"/>
        <v>0</v>
      </c>
    </row>
    <row r="236" spans="1:11" ht="15.75" hidden="1" customHeight="1">
      <c r="A236" s="1" t="s">
        <v>302</v>
      </c>
      <c r="C236" s="143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0</v>
      </c>
      <c r="G236" s="32">
        <f>_xll.DBRW($C$1,$C$2,$C$3,$C$4,$C$6,$C$5,$C$7,G$1,G$2,$A236)</f>
        <v>-5325245.1900000004</v>
      </c>
      <c r="H236" s="32">
        <f>_xll.DBRW($C$1,$C$2,$C$3,$C$4,$C$6,$C$5,$C$7,H$1,H$2,$A236)</f>
        <v>0</v>
      </c>
      <c r="J236" s="33">
        <f t="shared" si="55"/>
        <v>5325245.1900000004</v>
      </c>
      <c r="K236" s="33">
        <f t="shared" si="56"/>
        <v>0</v>
      </c>
    </row>
    <row r="237" spans="1:11" ht="15.75">
      <c r="C237" s="143"/>
      <c r="E237" s="80" t="s">
        <v>49</v>
      </c>
      <c r="F237" s="38">
        <f t="shared" ref="F237:H237" si="62">F236</f>
        <v>0</v>
      </c>
      <c r="G237" s="38">
        <f t="shared" si="62"/>
        <v>-5325245.1900000004</v>
      </c>
      <c r="H237" s="38">
        <f t="shared" si="62"/>
        <v>0</v>
      </c>
      <c r="J237" s="33">
        <f t="shared" si="55"/>
        <v>5325245.1900000004</v>
      </c>
      <c r="K237" s="33">
        <f t="shared" si="56"/>
        <v>0</v>
      </c>
    </row>
    <row r="238" spans="1:11" ht="15.75" hidden="1" customHeight="1">
      <c r="A238" s="1" t="s">
        <v>303</v>
      </c>
      <c r="C238" s="143"/>
      <c r="E238" s="9" t="str">
        <f>_xll.DBRW(Server&amp;"}ElementAttributes_Indicator",A238,"code_English")</f>
        <v>PL0000_IT - IT</v>
      </c>
      <c r="F238" s="32">
        <f>_xll.DBRW($C$1,$C$2,$C$3,$C$4,$C$6,$C$5,$C$7,F$1,F$2,$A238)</f>
        <v>0</v>
      </c>
      <c r="G238" s="32">
        <f>_xll.DBRW($C$1,$C$2,$C$3,$C$4,$C$6,$C$5,$C$7,G$1,G$2,$A238)</f>
        <v>-119501725.55000003</v>
      </c>
      <c r="H238" s="32">
        <f>_xll.DBRW($C$1,$C$2,$C$3,$C$4,$C$6,$C$5,$C$7,H$1,H$2,$A238)</f>
        <v>0</v>
      </c>
      <c r="J238" s="33">
        <f t="shared" si="55"/>
        <v>119501725.55000003</v>
      </c>
      <c r="K238" s="33">
        <f t="shared" si="56"/>
        <v>0</v>
      </c>
    </row>
    <row r="239" spans="1:11" ht="15.75">
      <c r="C239" s="143"/>
      <c r="E239" s="80" t="s">
        <v>50</v>
      </c>
      <c r="F239" s="38">
        <f t="shared" ref="F239:H239" si="63">F238</f>
        <v>0</v>
      </c>
      <c r="G239" s="38">
        <f t="shared" si="63"/>
        <v>-119501725.55000003</v>
      </c>
      <c r="H239" s="38">
        <f t="shared" si="63"/>
        <v>0</v>
      </c>
      <c r="J239" s="33">
        <f t="shared" si="55"/>
        <v>119501725.55000003</v>
      </c>
      <c r="K239" s="33">
        <f t="shared" si="56"/>
        <v>0</v>
      </c>
    </row>
    <row r="240" spans="1:11" ht="15.75" hidden="1" customHeight="1">
      <c r="A240" s="1" t="s">
        <v>304</v>
      </c>
      <c r="C240" s="143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0</v>
      </c>
      <c r="G240" s="32">
        <f>_xll.DBRW($C$1,$C$2,$C$3,$C$4,$C$6,$C$5,$C$7,G$1,G$2,$A240)</f>
        <v>-472806408.98179996</v>
      </c>
      <c r="H240" s="32">
        <f>_xll.DBRW($C$1,$C$2,$C$3,$C$4,$C$6,$C$5,$C$7,H$1,H$2,$A240)</f>
        <v>0</v>
      </c>
      <c r="J240" s="33">
        <f t="shared" si="55"/>
        <v>472806408.98179996</v>
      </c>
      <c r="K240" s="33">
        <f t="shared" si="56"/>
        <v>0</v>
      </c>
    </row>
    <row r="241" spans="1:11" ht="15.75">
      <c r="C241" s="143"/>
      <c r="E241" s="80" t="s">
        <v>51</v>
      </c>
      <c r="F241" s="38">
        <f t="shared" ref="F241:H241" si="64">F240</f>
        <v>0</v>
      </c>
      <c r="G241" s="38">
        <f t="shared" si="64"/>
        <v>-472806408.98179996</v>
      </c>
      <c r="H241" s="38">
        <f t="shared" si="64"/>
        <v>0</v>
      </c>
      <c r="J241" s="33">
        <f t="shared" si="55"/>
        <v>472806408.98179996</v>
      </c>
      <c r="K241" s="33">
        <f t="shared" si="56"/>
        <v>0</v>
      </c>
    </row>
    <row r="242" spans="1:11" ht="15.75" hidden="1" customHeight="1">
      <c r="A242" s="1" t="s">
        <v>305</v>
      </c>
      <c r="C242" s="143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0</v>
      </c>
      <c r="G242" s="32">
        <f>_xll.DBRW($C$1,$C$2,$C$3,$C$4,$C$6,$C$5,$C$7,G$1,G$2,$A242)</f>
        <v>-40257768.120000005</v>
      </c>
      <c r="H242" s="32">
        <f>_xll.DBRW($C$1,$C$2,$C$3,$C$4,$C$6,$C$5,$C$7,H$1,H$2,$A242)</f>
        <v>0</v>
      </c>
      <c r="J242" s="33">
        <f t="shared" si="55"/>
        <v>40257768.120000005</v>
      </c>
      <c r="K242" s="33">
        <f t="shared" si="56"/>
        <v>0</v>
      </c>
    </row>
    <row r="243" spans="1:11" ht="15.75">
      <c r="C243" s="143"/>
      <c r="E243" s="80" t="s">
        <v>52</v>
      </c>
      <c r="F243" s="38">
        <f t="shared" ref="F243:H243" si="65">F242</f>
        <v>0</v>
      </c>
      <c r="G243" s="38">
        <f t="shared" si="65"/>
        <v>-40257768.120000005</v>
      </c>
      <c r="H243" s="38">
        <f t="shared" si="65"/>
        <v>0</v>
      </c>
      <c r="J243" s="33">
        <f t="shared" si="55"/>
        <v>40257768.120000005</v>
      </c>
      <c r="K243" s="33">
        <f t="shared" si="56"/>
        <v>0</v>
      </c>
    </row>
    <row r="244" spans="1:11" ht="15.75" hidden="1" customHeight="1">
      <c r="A244" s="1" t="s">
        <v>306</v>
      </c>
      <c r="C244" s="143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0</v>
      </c>
      <c r="G244" s="32">
        <f>_xll.DBRW($C$1,$C$2,$C$3,$C$4,$C$6,$C$5,$C$7,G$1,G$2,$A244)</f>
        <v>-142684174.28999999</v>
      </c>
      <c r="H244" s="32">
        <f>_xll.DBRW($C$1,$C$2,$C$3,$C$4,$C$6,$C$5,$C$7,H$1,H$2,$A244)</f>
        <v>0</v>
      </c>
      <c r="J244" s="33">
        <f t="shared" si="55"/>
        <v>142684174.28999999</v>
      </c>
      <c r="K244" s="33">
        <f t="shared" si="56"/>
        <v>0</v>
      </c>
    </row>
    <row r="245" spans="1:11" ht="15.75">
      <c r="C245" s="143"/>
      <c r="E245" s="80" t="s">
        <v>53</v>
      </c>
      <c r="F245" s="38">
        <f t="shared" ref="F245:H245" si="66">F244</f>
        <v>0</v>
      </c>
      <c r="G245" s="38">
        <f t="shared" si="66"/>
        <v>-142684174.28999999</v>
      </c>
      <c r="H245" s="38">
        <f t="shared" si="66"/>
        <v>0</v>
      </c>
      <c r="J245" s="33">
        <f t="shared" si="55"/>
        <v>142684174.28999999</v>
      </c>
      <c r="K245" s="33">
        <f t="shared" si="56"/>
        <v>0</v>
      </c>
    </row>
    <row r="246" spans="1:11" ht="15.75" hidden="1" customHeight="1">
      <c r="A246" s="1" t="s">
        <v>307</v>
      </c>
      <c r="C246" s="143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0</v>
      </c>
      <c r="G246" s="32">
        <f>_xll.DBRW($C$1,$C$2,$C$3,$C$4,$C$6,$C$5,$C$7,G$1,G$2,$A246)</f>
        <v>-790051.99000000011</v>
      </c>
      <c r="H246" s="32">
        <f>_xll.DBRW($C$1,$C$2,$C$3,$C$4,$C$6,$C$5,$C$7,H$1,H$2,$A246)</f>
        <v>0</v>
      </c>
      <c r="J246" s="33">
        <f t="shared" si="55"/>
        <v>790051.99000000011</v>
      </c>
      <c r="K246" s="33">
        <f t="shared" si="56"/>
        <v>0</v>
      </c>
    </row>
    <row r="247" spans="1:11" ht="15.75">
      <c r="C247" s="143"/>
      <c r="E247" s="80" t="s">
        <v>54</v>
      </c>
      <c r="F247" s="38">
        <f t="shared" ref="F247:H247" si="67">F246</f>
        <v>0</v>
      </c>
      <c r="G247" s="38">
        <f t="shared" si="67"/>
        <v>-790051.99000000011</v>
      </c>
      <c r="H247" s="38">
        <f t="shared" si="67"/>
        <v>0</v>
      </c>
      <c r="J247" s="33">
        <f t="shared" si="55"/>
        <v>790051.99000000011</v>
      </c>
      <c r="K247" s="33">
        <f t="shared" si="56"/>
        <v>0</v>
      </c>
    </row>
    <row r="248" spans="1:11" ht="15.75" hidden="1" customHeight="1">
      <c r="A248" s="1" t="s">
        <v>308</v>
      </c>
      <c r="C248" s="143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0</v>
      </c>
      <c r="G248" s="32">
        <f>_xll.DBRW($C$1,$C$2,$C$3,$C$4,$C$6,$C$5,$C$7,G$1,G$2,$A248)</f>
        <v>-15211763.569999997</v>
      </c>
      <c r="H248" s="32">
        <f>_xll.DBRW($C$1,$C$2,$C$3,$C$4,$C$6,$C$5,$C$7,H$1,H$2,$A248)</f>
        <v>0</v>
      </c>
      <c r="J248" s="33">
        <f t="shared" si="55"/>
        <v>15211763.569999997</v>
      </c>
      <c r="K248" s="33">
        <f t="shared" si="56"/>
        <v>0</v>
      </c>
    </row>
    <row r="249" spans="1:11" ht="15.75">
      <c r="C249" s="143"/>
      <c r="E249" s="80" t="s">
        <v>55</v>
      </c>
      <c r="F249" s="38">
        <f t="shared" ref="F249:H249" si="68">F248</f>
        <v>0</v>
      </c>
      <c r="G249" s="38">
        <f t="shared" si="68"/>
        <v>-15211763.569999997</v>
      </c>
      <c r="H249" s="38">
        <f t="shared" si="68"/>
        <v>0</v>
      </c>
      <c r="J249" s="33">
        <f t="shared" si="55"/>
        <v>15211763.569999997</v>
      </c>
      <c r="K249" s="33">
        <f t="shared" si="56"/>
        <v>0</v>
      </c>
    </row>
    <row r="250" spans="1:11" ht="15.75" hidden="1" customHeight="1">
      <c r="A250" s="1" t="s">
        <v>309</v>
      </c>
      <c r="C250" s="143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0</v>
      </c>
      <c r="G250" s="32">
        <f>_xll.DBRW($C$1,$C$2,$C$3,$C$4,$C$6,$C$5,$C$7,G$1,G$2,$A250)</f>
        <v>-18197819.210000005</v>
      </c>
      <c r="H250" s="32">
        <f>_xll.DBRW($C$1,$C$2,$C$3,$C$4,$C$6,$C$5,$C$7,H$1,H$2,$A250)</f>
        <v>0</v>
      </c>
      <c r="J250" s="33">
        <f t="shared" si="55"/>
        <v>18197819.210000005</v>
      </c>
      <c r="K250" s="33">
        <f t="shared" si="56"/>
        <v>0</v>
      </c>
    </row>
    <row r="251" spans="1:11" ht="15.75">
      <c r="C251" s="143"/>
      <c r="E251" s="80" t="s">
        <v>56</v>
      </c>
      <c r="F251" s="38">
        <f t="shared" ref="F251:H251" si="69">F250</f>
        <v>0</v>
      </c>
      <c r="G251" s="38">
        <f t="shared" si="69"/>
        <v>-18197819.210000005</v>
      </c>
      <c r="H251" s="38">
        <f t="shared" si="69"/>
        <v>0</v>
      </c>
      <c r="J251" s="33">
        <f t="shared" si="55"/>
        <v>18197819.210000005</v>
      </c>
      <c r="K251" s="33">
        <f t="shared" si="56"/>
        <v>0</v>
      </c>
    </row>
    <row r="252" spans="1:11" ht="15.75" hidden="1" customHeight="1">
      <c r="A252" s="1" t="s">
        <v>310</v>
      </c>
      <c r="C252" s="143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0</v>
      </c>
      <c r="G252" s="32">
        <f>_xll.DBRW($C$1,$C$2,$C$3,$C$4,$C$6,$C$5,$C$7,G$1,G$2,$A252)</f>
        <v>-264204.56</v>
      </c>
      <c r="H252" s="32">
        <f>_xll.DBRW($C$1,$C$2,$C$3,$C$4,$C$6,$C$5,$C$7,H$1,H$2,$A252)</f>
        <v>0</v>
      </c>
      <c r="J252" s="33">
        <f t="shared" si="55"/>
        <v>264204.56</v>
      </c>
      <c r="K252" s="33">
        <f t="shared" si="56"/>
        <v>0</v>
      </c>
    </row>
    <row r="253" spans="1:11" ht="15.75">
      <c r="C253" s="143"/>
      <c r="E253" s="80" t="s">
        <v>57</v>
      </c>
      <c r="F253" s="38">
        <f t="shared" ref="F253:H253" si="70">F252</f>
        <v>0</v>
      </c>
      <c r="G253" s="38">
        <f t="shared" si="70"/>
        <v>-264204.56</v>
      </c>
      <c r="H253" s="38">
        <f t="shared" si="70"/>
        <v>0</v>
      </c>
      <c r="J253" s="33">
        <f t="shared" si="55"/>
        <v>264204.56</v>
      </c>
      <c r="K253" s="33">
        <f t="shared" si="56"/>
        <v>0</v>
      </c>
    </row>
    <row r="254" spans="1:11" ht="15.75" hidden="1" customHeight="1">
      <c r="A254" s="1" t="s">
        <v>311</v>
      </c>
      <c r="C254" s="143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0</v>
      </c>
      <c r="G254" s="32">
        <f>_xll.DBRW($C$1,$C$2,$C$3,$C$4,$C$6,$C$5,$C$7,G$1,G$2,$A254)</f>
        <v>-40547433.200000286</v>
      </c>
      <c r="H254" s="32">
        <f>_xll.DBRW($C$1,$C$2,$C$3,$C$4,$C$6,$C$5,$C$7,H$1,H$2,$A254)</f>
        <v>0</v>
      </c>
      <c r="J254" s="33">
        <f t="shared" si="55"/>
        <v>40547433.200000286</v>
      </c>
      <c r="K254" s="33">
        <f t="shared" si="56"/>
        <v>0</v>
      </c>
    </row>
    <row r="255" spans="1:11" ht="15.75">
      <c r="C255" s="143"/>
      <c r="E255" s="80" t="s">
        <v>58</v>
      </c>
      <c r="F255" s="38">
        <f t="shared" ref="F255:H255" si="71">F254</f>
        <v>0</v>
      </c>
      <c r="G255" s="38">
        <f t="shared" si="71"/>
        <v>-40547433.200000286</v>
      </c>
      <c r="H255" s="38">
        <f t="shared" si="71"/>
        <v>0</v>
      </c>
      <c r="J255" s="33">
        <f t="shared" si="55"/>
        <v>40547433.200000286</v>
      </c>
      <c r="K255" s="33">
        <f t="shared" si="56"/>
        <v>0</v>
      </c>
    </row>
    <row r="256" spans="1:11" ht="15.75" hidden="1" customHeight="1">
      <c r="A256" s="1" t="s">
        <v>312</v>
      </c>
      <c r="C256" s="143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J256" s="32">
        <f t="shared" si="55"/>
        <v>0</v>
      </c>
      <c r="K256" s="32">
        <f t="shared" si="56"/>
        <v>0</v>
      </c>
    </row>
    <row r="257" spans="1:11" ht="15.75">
      <c r="A257" s="1" t="s">
        <v>127</v>
      </c>
      <c r="C257" s="143"/>
      <c r="E257" s="22" t="s">
        <v>59</v>
      </c>
      <c r="F257" s="35">
        <f t="shared" ref="F257:H257" si="72">F256</f>
        <v>0</v>
      </c>
      <c r="G257" s="35">
        <f t="shared" si="72"/>
        <v>0</v>
      </c>
      <c r="H257" s="35">
        <f t="shared" si="72"/>
        <v>0</v>
      </c>
      <c r="J257" s="32">
        <f t="shared" si="55"/>
        <v>0</v>
      </c>
      <c r="K257" s="32">
        <f t="shared" si="56"/>
        <v>0</v>
      </c>
    </row>
    <row r="258" spans="1:11" ht="15.75" collapsed="1">
      <c r="A258" s="1" t="s">
        <v>60</v>
      </c>
      <c r="C258" s="143"/>
      <c r="E258" s="11" t="s">
        <v>60</v>
      </c>
      <c r="F258" s="34">
        <f>F225+F227+F229+F231+F233+F235+F237+F239+F241+F243+F245+F247+F249+F251+F253+F255+F257</f>
        <v>0</v>
      </c>
      <c r="G258" s="34">
        <f t="shared" ref="G258:H258" si="73">G225+G227+G229+G231+G233+G235+G237+G239+G241+G243+G245+G247+G249+G251+G253+G255+G257</f>
        <v>-3486602199.7296281</v>
      </c>
      <c r="H258" s="34">
        <f t="shared" si="73"/>
        <v>0</v>
      </c>
      <c r="J258" s="30">
        <f>F258-G258</f>
        <v>3486602199.7296281</v>
      </c>
      <c r="K258" s="30">
        <f>F258-H258</f>
        <v>0</v>
      </c>
    </row>
    <row r="259" spans="1:11" ht="15.75" hidden="1" customHeight="1">
      <c r="A259" s="1" t="s">
        <v>313</v>
      </c>
      <c r="C259" s="143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0</v>
      </c>
      <c r="G259" s="31">
        <f>_xll.DBRW($C$1,$C$2,$C$3,$C$4,$C$6,$C$5,$C$7,G$1,G$2,$A259)</f>
        <v>11650799.34</v>
      </c>
      <c r="H259" s="31">
        <f>_xll.DBRW($C$1,$C$2,$C$3,$C$4,$C$6,$C$5,$C$7,H$1,H$2,$A259)</f>
        <v>0</v>
      </c>
    </row>
    <row r="260" spans="1:11" ht="15.75" hidden="1" customHeight="1">
      <c r="A260" s="1" t="s">
        <v>314</v>
      </c>
      <c r="C260" s="143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</row>
    <row r="261" spans="1:11" ht="15.75" collapsed="1">
      <c r="A261" s="1" t="s">
        <v>127</v>
      </c>
      <c r="C261" s="143"/>
      <c r="E261" s="11" t="s">
        <v>61</v>
      </c>
      <c r="F261" s="34">
        <f t="shared" ref="F261:H261" si="74">F259+F260</f>
        <v>0</v>
      </c>
      <c r="G261" s="34">
        <f t="shared" si="74"/>
        <v>11650799.34</v>
      </c>
      <c r="H261" s="34">
        <f t="shared" si="74"/>
        <v>0</v>
      </c>
      <c r="J261" s="30">
        <f>F261-G261</f>
        <v>-11650799.34</v>
      </c>
      <c r="K261" s="30">
        <f>F261-H261</f>
        <v>0</v>
      </c>
    </row>
    <row r="262" spans="1:11" ht="15.75" hidden="1" customHeight="1">
      <c r="A262" s="1" t="s">
        <v>315</v>
      </c>
      <c r="C262" s="143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0</v>
      </c>
      <c r="G262" s="31">
        <f>_xll.DBRW($C$1,$C$2,$C$3,$C$4,$C$6,$C$5,$C$7,G$1,G$2,$A262)</f>
        <v>-2792294668.7409997</v>
      </c>
      <c r="H262" s="31">
        <f>_xll.DBRW($C$1,$C$2,$C$3,$C$4,$C$6,$C$5,$C$7,H$1,H$2,$A262)</f>
        <v>0</v>
      </c>
    </row>
    <row r="263" spans="1:11" ht="15.75" hidden="1" customHeight="1">
      <c r="A263" s="1" t="s">
        <v>316</v>
      </c>
      <c r="C263" s="143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</row>
    <row r="264" spans="1:11" ht="15.75" hidden="1" customHeight="1">
      <c r="A264" s="1" t="s">
        <v>317</v>
      </c>
      <c r="C264" s="143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</row>
    <row r="265" spans="1:11" ht="15.75" hidden="1" customHeight="1">
      <c r="A265" s="1" t="s">
        <v>318</v>
      </c>
      <c r="C265" s="143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</row>
    <row r="266" spans="1:11" ht="15.75" collapsed="1">
      <c r="A266" s="1" t="s">
        <v>127</v>
      </c>
      <c r="C266" s="143"/>
      <c r="E266" s="11" t="s">
        <v>62</v>
      </c>
      <c r="F266" s="34">
        <f>SUM(F262:F265)</f>
        <v>0</v>
      </c>
      <c r="G266" s="34">
        <f>SUM(G262:G265)</f>
        <v>-2792294668.7409997</v>
      </c>
      <c r="H266" s="34">
        <f>SUM(H262:H265)</f>
        <v>0</v>
      </c>
      <c r="J266" s="30">
        <f>F266-G266</f>
        <v>2792294668.7409997</v>
      </c>
      <c r="K266" s="30">
        <f>F266-H266</f>
        <v>0</v>
      </c>
    </row>
    <row r="267" spans="1:11" ht="15.75" hidden="1" customHeight="1">
      <c r="A267" s="1" t="s">
        <v>319</v>
      </c>
      <c r="C267" s="143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0</v>
      </c>
      <c r="G267" s="31">
        <f>_xll.DBRW($C$1,$C$2,$C$3,$C$4,$C$6,$C$5,$C$7,G$1,G$2,$A267)</f>
        <v>-1065396025.825</v>
      </c>
      <c r="H267" s="31">
        <f>_xll.DBRW($C$1,$C$2,$C$3,$C$4,$C$6,$C$5,$C$7,H$1,H$2,$A267)</f>
        <v>0</v>
      </c>
    </row>
    <row r="268" spans="1:11" ht="15.75" hidden="1" customHeight="1">
      <c r="A268" s="1" t="s">
        <v>320</v>
      </c>
      <c r="C268" s="143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</row>
    <row r="269" spans="1:11" ht="15.75" hidden="1" customHeight="1">
      <c r="A269" s="1" t="s">
        <v>321</v>
      </c>
      <c r="C269" s="143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</row>
    <row r="270" spans="1:11" ht="15.75" hidden="1" customHeight="1">
      <c r="A270" s="1" t="s">
        <v>322</v>
      </c>
      <c r="C270" s="143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</row>
    <row r="271" spans="1:11" ht="15.75">
      <c r="A271" s="1" t="s">
        <v>323</v>
      </c>
      <c r="C271" s="143"/>
      <c r="E271" s="11" t="s">
        <v>63</v>
      </c>
      <c r="F271" s="34">
        <f t="shared" ref="F271:H271" si="75">SUM(F267:F270)</f>
        <v>0</v>
      </c>
      <c r="G271" s="34">
        <f t="shared" si="75"/>
        <v>-1065396025.825</v>
      </c>
      <c r="H271" s="34">
        <f t="shared" si="75"/>
        <v>0</v>
      </c>
      <c r="J271" s="30">
        <f>F271-G271</f>
        <v>1065396025.825</v>
      </c>
      <c r="K271" s="30">
        <f>F271-H271</f>
        <v>0</v>
      </c>
    </row>
    <row r="272" spans="1:11" ht="15.6" hidden="1" customHeight="1">
      <c r="A272" s="1" t="s">
        <v>324</v>
      </c>
      <c r="C272" s="143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0</v>
      </c>
      <c r="G272" s="31">
        <f>_xll.DBRW($C$1,$C$2,$C$3,$C$4,$C$6,$C$5,$C$7,G$1,G$2,$A272)</f>
        <v>1755340830.4830568</v>
      </c>
      <c r="H272" s="31">
        <f>_xll.DBRW($C$1,$C$2,$C$3,$C$4,$C$6,$C$5,$C$7,H$1,H$2,$A272)</f>
        <v>0</v>
      </c>
    </row>
    <row r="273" spans="1:11" ht="15.75" collapsed="1">
      <c r="A273" s="1" t="s">
        <v>127</v>
      </c>
      <c r="C273" s="143"/>
      <c r="E273" s="19" t="s">
        <v>64</v>
      </c>
      <c r="F273" s="36">
        <f>F272</f>
        <v>0</v>
      </c>
      <c r="G273" s="36">
        <f t="shared" ref="G273:H273" si="76">G272</f>
        <v>1755340830.4830568</v>
      </c>
      <c r="H273" s="36">
        <f t="shared" si="76"/>
        <v>0</v>
      </c>
      <c r="J273" s="91">
        <f>F273-G273</f>
        <v>-1755340830.4830568</v>
      </c>
      <c r="K273" s="91" t="e">
        <f>F276-H276</f>
        <v>#VALUE!</v>
      </c>
    </row>
    <row r="274" spans="1:11" ht="15.6" hidden="1" customHeight="1">
      <c r="A274" s="1" t="s">
        <v>325</v>
      </c>
      <c r="C274" s="143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0</v>
      </c>
      <c r="G274" s="31">
        <f>_xll.DBRW($C$1,$C$2,$C$3,$C$4,$C$6,$C$5,$C$7,G$1,G$2,$A274)</f>
        <v>1754888330.4830744</v>
      </c>
      <c r="H274" s="31">
        <f>_xll.DBRW($C$1,$C$2,$C$3,$C$4,$C$6,$C$5,$C$7,H$1,H$2,$A274)</f>
        <v>0</v>
      </c>
    </row>
    <row r="275" spans="1:11" ht="15.75" collapsed="1">
      <c r="A275" s="1" t="s">
        <v>127</v>
      </c>
      <c r="C275" s="143"/>
      <c r="E275" s="19" t="s">
        <v>65</v>
      </c>
      <c r="F275" s="36">
        <f>F274</f>
        <v>0</v>
      </c>
      <c r="G275" s="36">
        <f t="shared" ref="G275:H275" si="77">G274</f>
        <v>1754888330.4830744</v>
      </c>
      <c r="H275" s="36">
        <f t="shared" si="77"/>
        <v>0</v>
      </c>
      <c r="J275" s="91">
        <f>F275-G275</f>
        <v>-1754888330.4830744</v>
      </c>
      <c r="K275" s="91">
        <f>F278-H278</f>
        <v>0</v>
      </c>
    </row>
    <row r="276" spans="1:11" ht="15">
      <c r="A276" s="1" t="s">
        <v>127</v>
      </c>
      <c r="C276" s="143"/>
      <c r="E276" s="20" t="s">
        <v>66</v>
      </c>
      <c r="F276" s="21" t="str">
        <f>IFERROR(F275/F21,"-")</f>
        <v>-</v>
      </c>
      <c r="G276" s="21">
        <f t="shared" ref="G276:H276" si="78">IFERROR(G275/G21,"-")</f>
        <v>2.4766755469173479E-2</v>
      </c>
      <c r="H276" s="21" t="str">
        <f t="shared" si="78"/>
        <v>-</v>
      </c>
      <c r="J276" s="21" t="e">
        <f>F276-G276</f>
        <v>#VALUE!</v>
      </c>
      <c r="K276" s="21" t="e">
        <f>F276-H276</f>
        <v>#VALUE!</v>
      </c>
    </row>
    <row r="277" spans="1:11" ht="15">
      <c r="A277" s="1" t="s">
        <v>127</v>
      </c>
      <c r="C277" s="25"/>
      <c r="E277" s="26"/>
      <c r="F277" s="51">
        <f>ROUND(F275-F221-F258-F261-F266-F271,4)</f>
        <v>0</v>
      </c>
      <c r="G277" s="51">
        <f t="shared" ref="G277" si="79">ROUND(G275-G221-G258-G261-G266-G271,4)</f>
        <v>2080</v>
      </c>
      <c r="H277" s="51">
        <f>ROUND(H275-H221-H258-H261-H266-H271,4)</f>
        <v>0</v>
      </c>
    </row>
    <row r="278" spans="1:11" ht="15.75">
      <c r="A278" s="1" t="s">
        <v>127</v>
      </c>
      <c r="E278" s="7"/>
      <c r="F278" s="27"/>
      <c r="G278" s="27"/>
      <c r="H278" s="27"/>
    </row>
    <row r="279" spans="1:11" ht="15.6" hidden="1" customHeight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0</v>
      </c>
      <c r="G279" s="10">
        <f>_xll.DBRW($C$1,$C$2,$C$3,$C$4,$C$6,$C$5,$C$7,G$1,G$2,$A279)</f>
        <v>-2237278281.207058</v>
      </c>
      <c r="H279" s="10">
        <f>_xll.DBRW($C$1,$C$2,$C$3,$C$4,$C$6,$C$5,$C$7,H$1,H$2,$A279)</f>
        <v>0</v>
      </c>
    </row>
    <row r="280" spans="1:11" ht="15.6" hidden="1" customHeight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0</v>
      </c>
      <c r="G280" s="10">
        <f>_xll.DBRW($C$1,$C$2,$C$3,$C$4,$C$6,$C$5,$C$7,G$1,G$2,$A280)</f>
        <v>176545501.37272811</v>
      </c>
      <c r="H280" s="10">
        <f>_xll.DBRW($C$1,$C$2,$C$3,$C$4,$C$6,$C$5,$C$7,H$1,H$2,$A280)</f>
        <v>0</v>
      </c>
    </row>
    <row r="281" spans="1:11" ht="15.75" customHeight="1" collapsed="1">
      <c r="C281" s="143" t="s">
        <v>67</v>
      </c>
      <c r="E281" s="82" t="s">
        <v>68</v>
      </c>
      <c r="F281" s="39">
        <f t="shared" ref="F281:H281" si="80">SUM(F279:F280)</f>
        <v>0</v>
      </c>
      <c r="G281" s="39">
        <f t="shared" si="80"/>
        <v>-2060732779.8343298</v>
      </c>
      <c r="H281" s="39">
        <f t="shared" si="80"/>
        <v>0</v>
      </c>
      <c r="J281" s="93">
        <f t="shared" ref="J281" si="81">F281-G281</f>
        <v>2060732779.8343298</v>
      </c>
      <c r="K281" s="93">
        <f t="shared" ref="K281" si="82">F281-H281</f>
        <v>0</v>
      </c>
    </row>
    <row r="282" spans="1:11" ht="15.75" hidden="1" customHeight="1">
      <c r="A282" s="1" t="s">
        <v>328</v>
      </c>
      <c r="C282" s="143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0</v>
      </c>
      <c r="G282" s="32">
        <f>_xll.DBRW($C$1,$C$2,$C$3,$C$4,$C$6,$C$5,$C$7,G$1,G$2,$A282)</f>
        <v>-90913026.392003506</v>
      </c>
      <c r="H282" s="32">
        <f>_xll.DBRW($C$1,$C$2,$C$3,$C$4,$C$6,$C$5,$C$7,H$1,H$2,$A282)</f>
        <v>0</v>
      </c>
      <c r="J282" s="32">
        <f t="shared" ref="J282:J290" si="83">F282-G282</f>
        <v>90913026.392003506</v>
      </c>
      <c r="K282" s="32">
        <f t="shared" ref="K282:K290" si="84">F282-H282</f>
        <v>0</v>
      </c>
    </row>
    <row r="283" spans="1:11" ht="15.75" hidden="1" customHeight="1">
      <c r="A283" s="1" t="s">
        <v>329</v>
      </c>
      <c r="C283" s="143"/>
      <c r="E283" s="9" t="s">
        <v>365</v>
      </c>
      <c r="F283" s="32">
        <f>_xll.DBRW($C$1,$C$2,$C$3,$C$4,$C$6,$C$5,$C$7,F$1,F$2,$A283)</f>
        <v>0</v>
      </c>
      <c r="G283" s="32">
        <f>_xll.DBRW($C$1,$C$2,$C$3,$C$4,$C$6,$C$5,$C$7,G$1,G$2,$A283)</f>
        <v>9267746.3648338988</v>
      </c>
      <c r="H283" s="32">
        <f>_xll.DBRW($C$1,$C$2,$C$3,$C$4,$C$6,$C$5,$C$7,H$1,H$2,$A283)</f>
        <v>0</v>
      </c>
      <c r="J283" s="32">
        <f t="shared" si="83"/>
        <v>-9267746.3648338988</v>
      </c>
      <c r="K283" s="32">
        <f t="shared" si="84"/>
        <v>0</v>
      </c>
    </row>
    <row r="284" spans="1:11" ht="15.75" collapsed="1">
      <c r="C284" s="143"/>
      <c r="E284" s="80" t="s">
        <v>69</v>
      </c>
      <c r="F284" s="38">
        <f t="shared" ref="F284:H284" si="85">SUM(F282:F283)</f>
        <v>0</v>
      </c>
      <c r="G284" s="38">
        <f t="shared" si="85"/>
        <v>-81645280.027169615</v>
      </c>
      <c r="H284" s="38">
        <f t="shared" si="85"/>
        <v>0</v>
      </c>
      <c r="J284" s="33">
        <f t="shared" si="83"/>
        <v>81645280.027169615</v>
      </c>
      <c r="K284" s="33">
        <f t="shared" si="84"/>
        <v>0</v>
      </c>
    </row>
    <row r="285" spans="1:11" ht="15.75" hidden="1" customHeight="1">
      <c r="A285" s="1" t="s">
        <v>352</v>
      </c>
      <c r="C285" s="143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J285" s="33">
        <f t="shared" si="83"/>
        <v>0</v>
      </c>
      <c r="K285" s="33">
        <f t="shared" si="84"/>
        <v>0</v>
      </c>
    </row>
    <row r="286" spans="1:11" ht="15.75" hidden="1" customHeight="1">
      <c r="A286" s="1" t="s">
        <v>353</v>
      </c>
      <c r="C286" s="143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J286" s="33">
        <f t="shared" si="83"/>
        <v>0</v>
      </c>
      <c r="K286" s="33">
        <f t="shared" si="84"/>
        <v>0</v>
      </c>
    </row>
    <row r="287" spans="1:11" ht="15.75" collapsed="1">
      <c r="C287" s="143"/>
      <c r="E287" s="80" t="s">
        <v>70</v>
      </c>
      <c r="F287" s="38">
        <f>SUM(F285:F286)</f>
        <v>0</v>
      </c>
      <c r="G287" s="38">
        <f t="shared" ref="G287:H287" si="86">SUM(G285:G286)</f>
        <v>0</v>
      </c>
      <c r="H287" s="38">
        <f t="shared" si="86"/>
        <v>0</v>
      </c>
      <c r="J287" s="33">
        <f t="shared" si="83"/>
        <v>0</v>
      </c>
      <c r="K287" s="33">
        <f t="shared" si="84"/>
        <v>0</v>
      </c>
    </row>
    <row r="288" spans="1:11" ht="15.75" hidden="1" customHeight="1">
      <c r="A288" s="1" t="s">
        <v>330</v>
      </c>
      <c r="C288" s="143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0</v>
      </c>
      <c r="G288" s="32">
        <f>_xll.DBRW($C$1,$C$2,$C$3,$C$4,$C$6,$C$5,$C$7,G$1,G$2,$A288)</f>
        <v>-260961236.79004982</v>
      </c>
      <c r="H288" s="32">
        <f>_xll.DBRW($C$1,$C$2,$C$3,$C$4,$C$6,$C$5,$C$7,H$1,H$2,$A288)</f>
        <v>0</v>
      </c>
      <c r="J288" s="32">
        <f t="shared" si="83"/>
        <v>260961236.79004982</v>
      </c>
      <c r="K288" s="32">
        <f t="shared" si="84"/>
        <v>0</v>
      </c>
    </row>
    <row r="289" spans="1:11" ht="15.75" hidden="1" customHeight="1">
      <c r="A289" s="1" t="s">
        <v>331</v>
      </c>
      <c r="C289" s="143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0</v>
      </c>
      <c r="G289" s="32">
        <f>_xll.DBRW($C$1,$C$2,$C$3,$C$4,$C$6,$C$5,$C$7,G$1,G$2,$A289)</f>
        <v>344025068.33014774</v>
      </c>
      <c r="H289" s="32">
        <f>_xll.DBRW($C$1,$C$2,$C$3,$C$4,$C$6,$C$5,$C$7,H$1,H$2,$A289)</f>
        <v>0</v>
      </c>
      <c r="J289" s="32">
        <f t="shared" si="83"/>
        <v>-344025068.33014774</v>
      </c>
      <c r="K289" s="32">
        <f t="shared" si="84"/>
        <v>0</v>
      </c>
    </row>
    <row r="290" spans="1:11" ht="15.75" collapsed="1">
      <c r="C290" s="143"/>
      <c r="E290" s="83" t="s">
        <v>71</v>
      </c>
      <c r="F290" s="40">
        <f t="shared" ref="F290:H290" si="87">SUM(F288:F289)</f>
        <v>0</v>
      </c>
      <c r="G290" s="40">
        <f t="shared" si="87"/>
        <v>83063831.540097922</v>
      </c>
      <c r="H290" s="40">
        <f t="shared" si="87"/>
        <v>0</v>
      </c>
      <c r="J290" s="32">
        <f t="shared" si="83"/>
        <v>-83063831.540097922</v>
      </c>
      <c r="K290" s="32">
        <f t="shared" si="84"/>
        <v>0</v>
      </c>
    </row>
    <row r="291" spans="1:11" ht="15.75">
      <c r="A291" s="1" t="s">
        <v>127</v>
      </c>
      <c r="C291" s="143"/>
      <c r="E291" s="11" t="s">
        <v>72</v>
      </c>
      <c r="F291" s="34">
        <f t="shared" ref="F291:H291" si="88">F281+F284+F290</f>
        <v>0</v>
      </c>
      <c r="G291" s="34">
        <f t="shared" si="88"/>
        <v>-2059314228.3214016</v>
      </c>
      <c r="H291" s="34">
        <f t="shared" si="88"/>
        <v>0</v>
      </c>
      <c r="J291" s="30">
        <f>F291-G291</f>
        <v>2059314228.3214016</v>
      </c>
      <c r="K291" s="30">
        <f>F291-H291</f>
        <v>0</v>
      </c>
    </row>
    <row r="292" spans="1:11" ht="9" customHeight="1">
      <c r="A292" s="1" t="s">
        <v>127</v>
      </c>
      <c r="C292" s="143"/>
      <c r="E292" s="7"/>
      <c r="F292" s="8"/>
      <c r="G292" s="8"/>
      <c r="H292" s="8"/>
    </row>
    <row r="293" spans="1:11" ht="15.75" collapsed="1">
      <c r="A293" s="1" t="s">
        <v>332</v>
      </c>
      <c r="C293" s="143"/>
      <c r="E293" s="84" t="s">
        <v>73</v>
      </c>
      <c r="F293" s="39">
        <f>_xll.DBRW($C$1,$C$2,$C$3,$C$4,$C$6,$C$5,$C$7,F$1,F$2,$A293)</f>
        <v>0</v>
      </c>
      <c r="G293" s="39">
        <f>_xll.DBRW($C$1,$C$2,$C$3,$C$4,$C$6,$C$5,$C$7,G$1,G$2,$A293)</f>
        <v>32298497585.50243</v>
      </c>
      <c r="H293" s="39">
        <f>_xll.DBRW($C$1,$C$2,$C$3,$C$4,$C$6,$C$5,$C$7,H$1,H$2,$A293)</f>
        <v>0</v>
      </c>
      <c r="J293" s="94">
        <f t="shared" ref="J293" si="89">F293-G293</f>
        <v>-32298497585.50243</v>
      </c>
      <c r="K293" s="94">
        <f t="shared" ref="K293" si="90">F293-H293</f>
        <v>0</v>
      </c>
    </row>
    <row r="294" spans="1:11" ht="15.75">
      <c r="A294" s="1" t="s">
        <v>371</v>
      </c>
      <c r="C294" s="143"/>
      <c r="E294" s="11" t="str">
        <f>_xll.DBRW(Server&amp;"}ElementAttributes_Indicator",A294,"code_English")</f>
        <v>ROCE - RETURN ON CAPITAL EMPLOYED</v>
      </c>
      <c r="F294" s="41">
        <f>_xll.DBRW($C$1,$C$2,$C$3,$C$4,$C$6,$C$5,$C$7,F$1,F$2,$A294)</f>
        <v>0</v>
      </c>
      <c r="G294" s="41">
        <f>_xll.DBRW($C$1,$C$2,$C$3,$C$4,$C$6,$C$5,$C$7,G$1,G$2,$A294)</f>
        <v>172.86813998387726</v>
      </c>
      <c r="H294" s="41">
        <f>_xll.DBRW($C$1,$C$2,$C$3,$C$4,$C$6,$C$5,$C$7,H$1,H$2,$A294)</f>
        <v>0</v>
      </c>
      <c r="J294" s="30">
        <f>F294-G294</f>
        <v>-172.86813998387726</v>
      </c>
      <c r="K294" s="30">
        <f>F294-H294</f>
        <v>0</v>
      </c>
    </row>
    <row r="295" spans="1:11" ht="15.75">
      <c r="A295" s="1" t="s">
        <v>127</v>
      </c>
      <c r="C295" s="25"/>
      <c r="E295" s="61"/>
      <c r="F295" s="54"/>
      <c r="G295" s="54"/>
      <c r="H295" s="54"/>
    </row>
    <row r="296" spans="1:11" ht="15.75">
      <c r="A296" s="1" t="s">
        <v>127</v>
      </c>
      <c r="E296" s="18"/>
      <c r="F296" s="29"/>
      <c r="G296" s="29"/>
      <c r="H296" s="29"/>
    </row>
    <row r="297" spans="1:11" ht="15.6" hidden="1" customHeight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0</v>
      </c>
      <c r="G297" s="16">
        <f>_xll.DBRW($C$1,$C$2,$C$3,$C$4,$C$6,$C$5,$C$7,G$1,G$2,$A297)</f>
        <v>726533343.12560213</v>
      </c>
      <c r="H297" s="16">
        <f>_xll.DBRW($C$1,$C$2,$C$3,$C$4,$C$6,$C$5,$C$7,H$1,H$2,$A297)</f>
        <v>0</v>
      </c>
    </row>
    <row r="298" spans="1:11" ht="15.6" hidden="1" customHeight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</row>
    <row r="299" spans="1:11" ht="15.6" hidden="1" customHeight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</row>
    <row r="300" spans="1:11" ht="15.6" hidden="1" customHeight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</row>
    <row r="301" spans="1:11" ht="15.6" hidden="1" customHeight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</row>
    <row r="302" spans="1:11" ht="15.6" hidden="1" customHeight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</row>
    <row r="303" spans="1:11" ht="15.6" hidden="1" customHeight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</row>
    <row r="304" spans="1:11" ht="15.6" hidden="1" customHeight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0</v>
      </c>
      <c r="G304" s="38">
        <f>_xll.DBRW($C$1,$C$2,$C$3,$C$4,$C$6,$C$5,$C$7,G$1,G$2,$A304)</f>
        <v>327549462.58966351</v>
      </c>
      <c r="H304" s="38">
        <f>_xll.DBRW($C$1,$C$2,$C$3,$C$4,$C$6,$C$5,$C$7,H$1,H$2,$A304)</f>
        <v>0</v>
      </c>
    </row>
    <row r="305" spans="1:11" ht="15.6" hidden="1" customHeight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0</v>
      </c>
      <c r="G305" s="38">
        <f>_xll.DBRW($C$1,$C$2,$C$3,$C$4,$C$6,$C$5,$C$7,G$1,G$2,$A305)</f>
        <v>6018020.5999999996</v>
      </c>
      <c r="H305" s="38">
        <f>_xll.DBRW($C$1,$C$2,$C$3,$C$4,$C$6,$C$5,$C$7,H$1,H$2,$A305)</f>
        <v>0</v>
      </c>
    </row>
    <row r="306" spans="1:11" ht="15.6" hidden="1" customHeight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0</v>
      </c>
      <c r="G306" s="38">
        <f>_xll.DBRW($C$1,$C$2,$C$3,$C$4,$C$6,$C$5,$C$7,G$1,G$2,$A306)</f>
        <v>8862542.6266666669</v>
      </c>
      <c r="H306" s="38">
        <f>_xll.DBRW($C$1,$C$2,$C$3,$C$4,$C$6,$C$5,$C$7,H$1,H$2,$A306)</f>
        <v>0</v>
      </c>
    </row>
    <row r="307" spans="1:11" ht="15.6" hidden="1" customHeight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0</v>
      </c>
      <c r="G307" s="38">
        <f>_xll.DBRW($C$1,$C$2,$C$3,$C$4,$C$6,$C$5,$C$7,G$1,G$2,$A307)</f>
        <v>30255924.252999999</v>
      </c>
      <c r="H307" s="38">
        <f>_xll.DBRW($C$1,$C$2,$C$3,$C$4,$C$6,$C$5,$C$7,H$1,H$2,$A307)</f>
        <v>0</v>
      </c>
    </row>
    <row r="308" spans="1:11" ht="15.75" customHeight="1" collapsed="1">
      <c r="A308" s="1" t="s">
        <v>127</v>
      </c>
      <c r="C308" s="143" t="s">
        <v>78</v>
      </c>
      <c r="E308" s="17" t="s">
        <v>79</v>
      </c>
      <c r="F308" s="42">
        <f t="shared" ref="F308:H308" si="91">F297</f>
        <v>0</v>
      </c>
      <c r="G308" s="42">
        <f t="shared" si="91"/>
        <v>726533343.12560213</v>
      </c>
      <c r="H308" s="42">
        <f t="shared" si="91"/>
        <v>0</v>
      </c>
      <c r="J308" s="93">
        <f t="shared" ref="J308" si="92">F308-G308</f>
        <v>-726533343.12560213</v>
      </c>
      <c r="K308" s="93">
        <f t="shared" ref="K308" si="93">F308-H308</f>
        <v>0</v>
      </c>
    </row>
    <row r="309" spans="1:11" ht="15.75" hidden="1" customHeight="1">
      <c r="A309" s="1" t="s">
        <v>334</v>
      </c>
      <c r="C309" s="143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0</v>
      </c>
      <c r="G309" s="43">
        <f>_xll.DBRW($C$1,$C$2,$C$3,$C$4,$C$6,$C$5,$C$7,G$1,G$2,$A309)</f>
        <v>672</v>
      </c>
      <c r="H309" s="43">
        <f>_xll.DBRW($C$1,$C$2,$C$3,$C$4,$C$6,$C$5,$C$7,H$1,H$2,$A309)</f>
        <v>0</v>
      </c>
      <c r="J309" s="32">
        <f t="shared" ref="J309:J321" si="94">F309-G309</f>
        <v>-672</v>
      </c>
      <c r="K309" s="32">
        <f t="shared" ref="K309:K321" si="95">F309-H309</f>
        <v>0</v>
      </c>
    </row>
    <row r="310" spans="1:11" ht="15.75" hidden="1" customHeight="1">
      <c r="A310" s="1" t="s">
        <v>335</v>
      </c>
      <c r="C310" s="143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0</v>
      </c>
      <c r="G310" s="43">
        <f>_xll.DBRW($C$1,$C$2,$C$3,$C$4,$C$6,$C$5,$C$7,G$1,G$2,$A310)</f>
        <v>1295</v>
      </c>
      <c r="H310" s="43">
        <f>_xll.DBRW($C$1,$C$2,$C$3,$C$4,$C$6,$C$5,$C$7,H$1,H$2,$A310)</f>
        <v>0</v>
      </c>
      <c r="J310" s="32">
        <f t="shared" si="94"/>
        <v>-1295</v>
      </c>
      <c r="K310" s="32">
        <f t="shared" si="95"/>
        <v>0</v>
      </c>
    </row>
    <row r="311" spans="1:11" ht="15.75" hidden="1" customHeight="1">
      <c r="A311" s="1" t="s">
        <v>348</v>
      </c>
      <c r="C311" s="143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J311" s="32">
        <f t="shared" si="94"/>
        <v>0</v>
      </c>
      <c r="K311" s="32">
        <f t="shared" si="95"/>
        <v>0</v>
      </c>
    </row>
    <row r="312" spans="1:11" ht="15.75" collapsed="1">
      <c r="A312" s="1" t="s">
        <v>127</v>
      </c>
      <c r="C312" s="143"/>
      <c r="E312" s="15" t="s">
        <v>80</v>
      </c>
      <c r="F312" s="44">
        <f>SUM(F309:F311)</f>
        <v>0</v>
      </c>
      <c r="G312" s="44">
        <f t="shared" ref="G312:H312" si="96">SUM(G309:G311)</f>
        <v>1967</v>
      </c>
      <c r="H312" s="44">
        <f t="shared" si="96"/>
        <v>0</v>
      </c>
      <c r="J312" s="33">
        <f t="shared" si="94"/>
        <v>-1967</v>
      </c>
      <c r="K312" s="33">
        <f t="shared" si="95"/>
        <v>0</v>
      </c>
    </row>
    <row r="313" spans="1:11" ht="15.75" hidden="1" customHeight="1">
      <c r="A313" s="1" t="s">
        <v>336</v>
      </c>
      <c r="C313" s="143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J313" s="33">
        <f t="shared" si="94"/>
        <v>0</v>
      </c>
      <c r="K313" s="33">
        <f t="shared" si="95"/>
        <v>0</v>
      </c>
    </row>
    <row r="314" spans="1:11" ht="15.75" hidden="1" customHeight="1">
      <c r="A314" s="1" t="s">
        <v>349</v>
      </c>
      <c r="C314" s="143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J314" s="33">
        <f t="shared" si="94"/>
        <v>0</v>
      </c>
      <c r="K314" s="33">
        <f t="shared" si="95"/>
        <v>0</v>
      </c>
    </row>
    <row r="315" spans="1:11" ht="15.75" collapsed="1">
      <c r="A315" s="1" t="s">
        <v>127</v>
      </c>
      <c r="C315" s="143"/>
      <c r="E315" s="15" t="s">
        <v>81</v>
      </c>
      <c r="F315" s="44">
        <f>SUM(F313:F314)</f>
        <v>0</v>
      </c>
      <c r="G315" s="44">
        <f t="shared" ref="G315:H315" si="97">SUM(G313:G314)</f>
        <v>0</v>
      </c>
      <c r="H315" s="44">
        <f t="shared" si="97"/>
        <v>0</v>
      </c>
      <c r="J315" s="33">
        <f t="shared" si="94"/>
        <v>0</v>
      </c>
      <c r="K315" s="33">
        <f t="shared" si="95"/>
        <v>0</v>
      </c>
    </row>
    <row r="316" spans="1:11" ht="15.75" hidden="1" customHeight="1">
      <c r="A316" s="1" t="s">
        <v>350</v>
      </c>
      <c r="C316" s="143"/>
      <c r="E316" s="9" t="str">
        <f>_xll.DBRW(Server&amp;"}ElementAttributes_Indicator",A316,"code_English")</f>
        <v>Nb_FTE_Operations_Others - Number of FTE Other Operation Staff</v>
      </c>
      <c r="F316" s="44">
        <f>SUM(F314:F315)</f>
        <v>0</v>
      </c>
      <c r="G316" s="44">
        <f t="shared" ref="G316:H318" si="98">SUM(G314:G315)</f>
        <v>0</v>
      </c>
      <c r="H316" s="44">
        <f t="shared" si="98"/>
        <v>0</v>
      </c>
      <c r="J316" s="33">
        <f t="shared" si="94"/>
        <v>0</v>
      </c>
      <c r="K316" s="33">
        <f t="shared" si="95"/>
        <v>0</v>
      </c>
    </row>
    <row r="317" spans="1:11" ht="15.6" hidden="1" customHeight="1" collapsed="1">
      <c r="A317" s="1" t="s">
        <v>127</v>
      </c>
      <c r="C317" s="143"/>
      <c r="E317" s="78" t="s">
        <v>82</v>
      </c>
      <c r="F317" s="44">
        <f>SUM(F315:F316)</f>
        <v>0</v>
      </c>
      <c r="G317" s="44">
        <f t="shared" si="98"/>
        <v>0</v>
      </c>
      <c r="H317" s="44">
        <f t="shared" si="98"/>
        <v>0</v>
      </c>
      <c r="J317" s="33">
        <f t="shared" si="94"/>
        <v>0</v>
      </c>
      <c r="K317" s="33">
        <f t="shared" si="95"/>
        <v>0</v>
      </c>
    </row>
    <row r="318" spans="1:11" ht="15.75" hidden="1" customHeight="1">
      <c r="A318" s="1" t="s">
        <v>351</v>
      </c>
      <c r="C318" s="143"/>
      <c r="E318" s="9" t="str">
        <f>_xll.DBRW(Server&amp;"}ElementAttributes_Indicator",A318,"code_English")</f>
        <v>Nb_FTE_Maintenance_Others - Number of FTE Other Maintenance Staff</v>
      </c>
      <c r="F318" s="44">
        <f>SUM(F316:F317)</f>
        <v>0</v>
      </c>
      <c r="G318" s="44">
        <f t="shared" si="98"/>
        <v>0</v>
      </c>
      <c r="H318" s="44">
        <f t="shared" si="98"/>
        <v>0</v>
      </c>
      <c r="J318" s="33">
        <f t="shared" si="94"/>
        <v>0</v>
      </c>
      <c r="K318" s="33">
        <f t="shared" si="95"/>
        <v>0</v>
      </c>
    </row>
    <row r="319" spans="1:11" ht="15.75" collapsed="1">
      <c r="A319" s="1" t="s">
        <v>127</v>
      </c>
      <c r="C319" s="143"/>
      <c r="E319" s="78" t="s">
        <v>83</v>
      </c>
      <c r="F319" s="43">
        <f>SUM(F318)</f>
        <v>0</v>
      </c>
      <c r="G319" s="43">
        <f t="shared" ref="G319:H319" si="99">SUM(G318)</f>
        <v>0</v>
      </c>
      <c r="H319" s="43">
        <f t="shared" si="99"/>
        <v>0</v>
      </c>
      <c r="J319" s="33">
        <f t="shared" si="94"/>
        <v>0</v>
      </c>
      <c r="K319" s="33">
        <f t="shared" si="95"/>
        <v>0</v>
      </c>
    </row>
    <row r="320" spans="1:11" ht="15.75" hidden="1" customHeight="1">
      <c r="A320" s="1" t="s">
        <v>337</v>
      </c>
      <c r="C320" s="143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J320" s="32">
        <f t="shared" si="94"/>
        <v>0</v>
      </c>
      <c r="K320" s="32">
        <f t="shared" si="95"/>
        <v>0</v>
      </c>
    </row>
    <row r="321" spans="1:11" ht="15.75" collapsed="1">
      <c r="A321" s="1" t="s">
        <v>127</v>
      </c>
      <c r="C321" s="143"/>
      <c r="E321" s="79" t="s">
        <v>84</v>
      </c>
      <c r="F321" s="45">
        <f t="shared" ref="F321:H321" si="100">SUM(F320)</f>
        <v>0</v>
      </c>
      <c r="G321" s="45">
        <f t="shared" si="100"/>
        <v>0</v>
      </c>
      <c r="H321" s="45">
        <f t="shared" si="100"/>
        <v>0</v>
      </c>
      <c r="J321" s="95">
        <f t="shared" si="94"/>
        <v>0</v>
      </c>
      <c r="K321" s="95">
        <f t="shared" si="95"/>
        <v>0</v>
      </c>
    </row>
    <row r="322" spans="1:11" ht="9" customHeight="1">
      <c r="A322" s="1" t="s">
        <v>127</v>
      </c>
      <c r="C322" s="143"/>
      <c r="E322" s="7"/>
      <c r="F322" s="8"/>
      <c r="G322" s="8"/>
      <c r="H322" s="8"/>
    </row>
    <row r="323" spans="1:11" ht="15.75" hidden="1" customHeight="1">
      <c r="A323" s="1" t="s">
        <v>338</v>
      </c>
      <c r="C323" s="143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0</v>
      </c>
      <c r="G323" s="10">
        <f>_xll.DBRW($C$1,$C$2,$C$3,$C$4,$C$6,$C$5,$C$7,G$1,G$2,$A323)</f>
        <v>161246551.06801823</v>
      </c>
      <c r="H323" s="10">
        <f>_xll.DBRW($C$1,$C$2,$C$3,$C$4,$C$6,$C$5,$C$7,H$1,H$2,$A323)</f>
        <v>0</v>
      </c>
    </row>
    <row r="324" spans="1:11" ht="15.75" collapsed="1">
      <c r="A324" s="1" t="s">
        <v>127</v>
      </c>
      <c r="C324" s="143"/>
      <c r="E324" s="17" t="s">
        <v>85</v>
      </c>
      <c r="F324" s="42">
        <f t="shared" ref="F324:H324" si="101">SUM(F323)</f>
        <v>0</v>
      </c>
      <c r="G324" s="42">
        <f t="shared" si="101"/>
        <v>161246551.06801823</v>
      </c>
      <c r="H324" s="42">
        <f t="shared" si="101"/>
        <v>0</v>
      </c>
      <c r="J324" s="93">
        <f t="shared" ref="J324" si="102">F324-G324</f>
        <v>-161246551.06801823</v>
      </c>
      <c r="K324" s="93">
        <f t="shared" ref="K324" si="103">F324-H324</f>
        <v>0</v>
      </c>
    </row>
    <row r="325" spans="1:11" ht="15.75" hidden="1" customHeight="1">
      <c r="A325" s="1" t="s">
        <v>339</v>
      </c>
      <c r="C325" s="143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0</v>
      </c>
      <c r="G325" s="43">
        <f>_xll.DBRW($C$1,$C$2,$C$3,$C$4,$C$6,$C$5,$C$7,G$1,G$2,$A325)</f>
        <v>5385839.04</v>
      </c>
      <c r="H325" s="43">
        <f>_xll.DBRW($C$1,$C$2,$C$3,$C$4,$C$6,$C$5,$C$7,H$1,H$2,$A325)</f>
        <v>0</v>
      </c>
      <c r="J325" s="32">
        <f t="shared" ref="J325:J341" si="104">F325-G325</f>
        <v>-5385839.04</v>
      </c>
      <c r="K325" s="32">
        <f t="shared" ref="K325:K341" si="105">F325-H325</f>
        <v>0</v>
      </c>
    </row>
    <row r="326" spans="1:11" ht="15.75" collapsed="1">
      <c r="A326" s="1" t="s">
        <v>127</v>
      </c>
      <c r="C326" s="143"/>
      <c r="E326" s="15" t="s">
        <v>86</v>
      </c>
      <c r="F326" s="44">
        <f t="shared" ref="F326:H326" si="106">SUM(F325)</f>
        <v>0</v>
      </c>
      <c r="G326" s="44">
        <f t="shared" si="106"/>
        <v>5385839.04</v>
      </c>
      <c r="H326" s="44">
        <f t="shared" si="106"/>
        <v>0</v>
      </c>
      <c r="J326" s="33">
        <f t="shared" si="104"/>
        <v>-5385839.04</v>
      </c>
      <c r="K326" s="33">
        <f t="shared" si="105"/>
        <v>0</v>
      </c>
    </row>
    <row r="327" spans="1:11" ht="15.75" hidden="1" customHeight="1">
      <c r="A327" s="1" t="s">
        <v>340</v>
      </c>
      <c r="C327" s="143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109007572.23620957</v>
      </c>
      <c r="H327" s="43">
        <f>_xll.DBRW($C$1,$C$2,$C$3,$C$4,$C$6,$C$5,$C$7,H$1,H$2,$A327)</f>
        <v>0</v>
      </c>
      <c r="J327" s="33">
        <f t="shared" si="104"/>
        <v>-109007572.23620957</v>
      </c>
      <c r="K327" s="33">
        <f t="shared" si="105"/>
        <v>0</v>
      </c>
    </row>
    <row r="328" spans="1:11" ht="15.75" collapsed="1">
      <c r="A328" s="1" t="s">
        <v>127</v>
      </c>
      <c r="C328" s="143"/>
      <c r="E328" s="15" t="s">
        <v>87</v>
      </c>
      <c r="F328" s="43">
        <f t="shared" ref="F328:H328" si="107">SUM(F327)</f>
        <v>0</v>
      </c>
      <c r="G328" s="43">
        <f t="shared" si="107"/>
        <v>109007572.23620957</v>
      </c>
      <c r="H328" s="43">
        <f t="shared" si="107"/>
        <v>0</v>
      </c>
      <c r="J328" s="33">
        <f t="shared" si="104"/>
        <v>-109007572.23620957</v>
      </c>
      <c r="K328" s="33">
        <f t="shared" si="105"/>
        <v>0</v>
      </c>
    </row>
    <row r="329" spans="1:11" ht="15.75" hidden="1" customHeight="1">
      <c r="A329" s="1" t="s">
        <v>341</v>
      </c>
      <c r="C329" s="143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0</v>
      </c>
      <c r="G329" s="43">
        <f>_xll.DBRW($C$1,$C$2,$C$3,$C$4,$C$6,$C$5,$C$7,G$1,G$2,$A329)</f>
        <v>42964365.63933333</v>
      </c>
      <c r="H329" s="43">
        <f>_xll.DBRW($C$1,$C$2,$C$3,$C$4,$C$6,$C$5,$C$7,H$1,H$2,$A329)</f>
        <v>0</v>
      </c>
      <c r="J329" s="33">
        <f t="shared" si="104"/>
        <v>-42964365.63933333</v>
      </c>
      <c r="K329" s="33">
        <f t="shared" si="105"/>
        <v>0</v>
      </c>
    </row>
    <row r="330" spans="1:11" ht="15.75" collapsed="1">
      <c r="A330" s="1" t="s">
        <v>127</v>
      </c>
      <c r="C330" s="143"/>
      <c r="E330" s="15" t="s">
        <v>88</v>
      </c>
      <c r="F330" s="44">
        <f t="shared" ref="F330:H330" si="108">SUM(F329)</f>
        <v>0</v>
      </c>
      <c r="G330" s="44">
        <f t="shared" si="108"/>
        <v>42964365.63933333</v>
      </c>
      <c r="H330" s="44">
        <f t="shared" si="108"/>
        <v>0</v>
      </c>
      <c r="J330" s="33">
        <f t="shared" si="104"/>
        <v>-42964365.63933333</v>
      </c>
      <c r="K330" s="33">
        <f t="shared" si="105"/>
        <v>0</v>
      </c>
    </row>
    <row r="331" spans="1:11" ht="15.6" hidden="1" customHeight="1">
      <c r="A331" s="1" t="s">
        <v>354</v>
      </c>
      <c r="C331" s="143"/>
      <c r="E331" s="110" t="str">
        <f>_xll.DBRW(Server&amp;"}ElementAttributes_Indicator",A331,"code_English")</f>
        <v>Tot_nb_bus_coach - Total number of buses/coaches</v>
      </c>
      <c r="F331" s="44">
        <f>_xll.DBRW($C$1,$C$2,$C$3,$C$4,$C$6,$C$5,$C$7,F$1,F$2,$A331)</f>
        <v>0</v>
      </c>
      <c r="G331" s="44">
        <f>_xll.DBRW($C$1,$C$2,$C$3,$C$4,$C$6,$C$5,$C$7,G$1,G$2,$A331)</f>
        <v>0</v>
      </c>
      <c r="H331" s="44">
        <f>_xll.DBRW($C$1,$C$2,$C$3,$C$4,$C$6,$C$5,$C$7,H$1,H$2,$A331)</f>
        <v>0</v>
      </c>
      <c r="J331" s="33">
        <f t="shared" si="104"/>
        <v>0</v>
      </c>
      <c r="K331" s="33">
        <f t="shared" si="105"/>
        <v>0</v>
      </c>
    </row>
    <row r="332" spans="1:11" ht="15.75" collapsed="1">
      <c r="A332" s="1" t="s">
        <v>127</v>
      </c>
      <c r="C332" s="143"/>
      <c r="E332" s="15" t="s">
        <v>89</v>
      </c>
      <c r="F332" s="44">
        <f t="shared" ref="F332:H332" si="109">SUM(F331)</f>
        <v>0</v>
      </c>
      <c r="G332" s="44">
        <f t="shared" si="109"/>
        <v>0</v>
      </c>
      <c r="H332" s="44">
        <f t="shared" si="109"/>
        <v>0</v>
      </c>
      <c r="J332" s="33">
        <f t="shared" si="104"/>
        <v>0</v>
      </c>
      <c r="K332" s="33">
        <f t="shared" si="105"/>
        <v>0</v>
      </c>
    </row>
    <row r="333" spans="1:11" ht="15.6" hidden="1" customHeight="1">
      <c r="A333" s="1" t="s">
        <v>355</v>
      </c>
      <c r="C333" s="143"/>
      <c r="E333" s="110" t="str">
        <f>_xll.DBRW(Server&amp;"}ElementAttributes_Indicator",A333,"code_English")</f>
        <v>Tot_nb_light_vehicle - Total number of light vehicles</v>
      </c>
      <c r="F333" s="44">
        <f>_xll.DBRW($C$1,$C$2,$C$3,$C$4,$C$6,$C$5,$C$7,F$1,F$2,$A333)</f>
        <v>0</v>
      </c>
      <c r="G333" s="44">
        <f>_xll.DBRW($C$1,$C$2,$C$3,$C$4,$C$6,$C$5,$C$7,G$1,G$2,$A333)</f>
        <v>0</v>
      </c>
      <c r="H333" s="44">
        <f>_xll.DBRW($C$1,$C$2,$C$3,$C$4,$C$6,$C$5,$C$7,H$1,H$2,$A333)</f>
        <v>0</v>
      </c>
      <c r="J333" s="33">
        <f t="shared" si="104"/>
        <v>0</v>
      </c>
      <c r="K333" s="33">
        <f t="shared" si="105"/>
        <v>0</v>
      </c>
    </row>
    <row r="334" spans="1:11" ht="15.75" collapsed="1">
      <c r="A334" s="1" t="s">
        <v>127</v>
      </c>
      <c r="C334" s="143"/>
      <c r="E334" s="15" t="s">
        <v>90</v>
      </c>
      <c r="F334" s="44">
        <f t="shared" ref="F334:H334" si="110">SUM(F333)</f>
        <v>0</v>
      </c>
      <c r="G334" s="44">
        <f t="shared" si="110"/>
        <v>0</v>
      </c>
      <c r="H334" s="44">
        <f t="shared" si="110"/>
        <v>0</v>
      </c>
      <c r="J334" s="33">
        <f t="shared" si="104"/>
        <v>0</v>
      </c>
      <c r="K334" s="33">
        <f t="shared" si="105"/>
        <v>0</v>
      </c>
    </row>
    <row r="335" spans="1:11" ht="15.6" hidden="1" customHeight="1">
      <c r="A335" s="1" t="s">
        <v>356</v>
      </c>
      <c r="C335" s="143"/>
      <c r="E335" s="110" t="str">
        <f>_xll.DBRW(Server&amp;"}ElementAttributes_Indicator",A335,"code_English")</f>
        <v>Tot_nb_LRV - Total number of LRV</v>
      </c>
      <c r="F335" s="44">
        <f>_xll.DBRW($C$1,$C$2,$C$3,$C$4,$C$6,$C$5,$C$7,F$1,F$2,$A335)</f>
        <v>0</v>
      </c>
      <c r="G335" s="44">
        <f>_xll.DBRW($C$1,$C$2,$C$3,$C$4,$C$6,$C$5,$C$7,G$1,G$2,$A335)</f>
        <v>0</v>
      </c>
      <c r="H335" s="44">
        <f>_xll.DBRW($C$1,$C$2,$C$3,$C$4,$C$6,$C$5,$C$7,H$1,H$2,$A335)</f>
        <v>0</v>
      </c>
      <c r="J335" s="33">
        <f t="shared" si="104"/>
        <v>0</v>
      </c>
      <c r="K335" s="33">
        <f t="shared" si="105"/>
        <v>0</v>
      </c>
    </row>
    <row r="336" spans="1:11" ht="15.75" collapsed="1">
      <c r="A336" s="1" t="s">
        <v>127</v>
      </c>
      <c r="C336" s="143"/>
      <c r="E336" s="15" t="s">
        <v>91</v>
      </c>
      <c r="F336" s="44">
        <f t="shared" ref="F336:H336" si="111">SUM(F335)</f>
        <v>0</v>
      </c>
      <c r="G336" s="44">
        <f t="shared" si="111"/>
        <v>0</v>
      </c>
      <c r="H336" s="44">
        <f t="shared" si="111"/>
        <v>0</v>
      </c>
      <c r="J336" s="33">
        <f t="shared" si="104"/>
        <v>0</v>
      </c>
      <c r="K336" s="33">
        <f t="shared" si="105"/>
        <v>0</v>
      </c>
    </row>
    <row r="337" spans="1:11" ht="15.6" hidden="1" customHeight="1">
      <c r="A337" s="1" t="s">
        <v>357</v>
      </c>
      <c r="C337" s="143"/>
      <c r="E337" s="110" t="str">
        <f>_xll.DBRW(Server&amp;"}ElementAttributes_Indicator",A337,"code_English")</f>
        <v>Tot_nb_heavy_rail - Total number of heavy rail</v>
      </c>
      <c r="F337" s="44">
        <f>_xll.DBRW($C$1,$C$2,$C$3,$C$4,$C$6,$C$5,$C$7,F$1,F$2,$A337)</f>
        <v>0</v>
      </c>
      <c r="G337" s="44">
        <f>_xll.DBRW($C$1,$C$2,$C$3,$C$4,$C$6,$C$5,$C$7,G$1,G$2,$A337)</f>
        <v>0</v>
      </c>
      <c r="H337" s="44">
        <f>_xll.DBRW($C$1,$C$2,$C$3,$C$4,$C$6,$C$5,$C$7,H$1,H$2,$A337)</f>
        <v>0</v>
      </c>
      <c r="J337" s="33">
        <f t="shared" si="104"/>
        <v>0</v>
      </c>
      <c r="K337" s="33">
        <f t="shared" si="105"/>
        <v>0</v>
      </c>
    </row>
    <row r="338" spans="1:11" ht="15.75" collapsed="1">
      <c r="A338" s="1" t="s">
        <v>127</v>
      </c>
      <c r="C338" s="143"/>
      <c r="E338" s="15" t="s">
        <v>92</v>
      </c>
      <c r="F338" s="44">
        <f t="shared" ref="F338:H338" si="112">SUM(F337)</f>
        <v>0</v>
      </c>
      <c r="G338" s="44">
        <f t="shared" si="112"/>
        <v>0</v>
      </c>
      <c r="H338" s="44">
        <f t="shared" si="112"/>
        <v>0</v>
      </c>
      <c r="J338" s="33">
        <f t="shared" si="104"/>
        <v>0</v>
      </c>
      <c r="K338" s="33">
        <f t="shared" si="105"/>
        <v>0</v>
      </c>
    </row>
    <row r="339" spans="1:11" ht="15.6" hidden="1" customHeight="1">
      <c r="A339" s="1" t="s">
        <v>358</v>
      </c>
      <c r="C339" s="143"/>
      <c r="E339" s="110" t="str">
        <f>_xll.DBRW(Server&amp;"}ElementAttributes_Indicator",A339,"code_English")</f>
        <v>Tot_nb_BRT - Total number of BRT</v>
      </c>
      <c r="F339" s="44">
        <f>_xll.DBRW($C$1,$C$2,$C$3,$C$4,$C$6,$C$5,$C$7,F$1,F$2,$A339)</f>
        <v>0</v>
      </c>
      <c r="G339" s="44">
        <f>_xll.DBRW($C$1,$C$2,$C$3,$C$4,$C$6,$C$5,$C$7,G$1,G$2,$A339)</f>
        <v>0</v>
      </c>
      <c r="H339" s="44">
        <f>_xll.DBRW($C$1,$C$2,$C$3,$C$4,$C$6,$C$5,$C$7,H$1,H$2,$A339)</f>
        <v>0</v>
      </c>
      <c r="J339" s="33">
        <f t="shared" si="104"/>
        <v>0</v>
      </c>
      <c r="K339" s="33">
        <f t="shared" si="105"/>
        <v>0</v>
      </c>
    </row>
    <row r="340" spans="1:11" ht="15.75" collapsed="1">
      <c r="A340" s="1" t="s">
        <v>127</v>
      </c>
      <c r="C340" s="143"/>
      <c r="E340" s="15" t="s">
        <v>93</v>
      </c>
      <c r="F340" s="44">
        <f t="shared" ref="F340:H340" si="113">SUM(F339)</f>
        <v>0</v>
      </c>
      <c r="G340" s="44">
        <f t="shared" si="113"/>
        <v>0</v>
      </c>
      <c r="H340" s="44">
        <f t="shared" si="113"/>
        <v>0</v>
      </c>
      <c r="J340" s="33">
        <f t="shared" si="104"/>
        <v>0</v>
      </c>
      <c r="K340" s="33">
        <f t="shared" si="105"/>
        <v>0</v>
      </c>
    </row>
    <row r="341" spans="1:11" ht="15.75" hidden="1" customHeight="1">
      <c r="A341" s="1" t="s">
        <v>359</v>
      </c>
      <c r="C341" s="143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J341" s="32">
        <f t="shared" si="104"/>
        <v>0</v>
      </c>
      <c r="K341" s="32">
        <f t="shared" si="105"/>
        <v>0</v>
      </c>
    </row>
    <row r="342" spans="1:11" ht="15.75" collapsed="1">
      <c r="A342" s="1" t="s">
        <v>127</v>
      </c>
      <c r="C342" s="143"/>
      <c r="E342" s="98" t="s">
        <v>94</v>
      </c>
      <c r="F342" s="99">
        <f t="shared" ref="F342:H342" si="114">SUM(F341)</f>
        <v>0</v>
      </c>
      <c r="G342" s="99">
        <f t="shared" si="114"/>
        <v>0</v>
      </c>
      <c r="H342" s="99">
        <f t="shared" si="114"/>
        <v>0</v>
      </c>
      <c r="J342" s="95">
        <f t="shared" ref="J342" si="115">F342-G342</f>
        <v>0</v>
      </c>
      <c r="K342" s="95">
        <f t="shared" ref="K342" si="116">F342-H342</f>
        <v>0</v>
      </c>
    </row>
    <row r="343" spans="1:11" ht="9" customHeight="1">
      <c r="A343" s="1" t="s">
        <v>127</v>
      </c>
      <c r="C343" s="53"/>
      <c r="E343" s="7"/>
      <c r="F343" s="8"/>
      <c r="G343" s="8"/>
      <c r="H343" s="8"/>
    </row>
    <row r="344" spans="1:11" ht="15.75" hidden="1" customHeight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</row>
    <row r="345" spans="1:11" ht="15.75" collapsed="1">
      <c r="A345" s="1" t="s">
        <v>127</v>
      </c>
      <c r="C345" s="143" t="s">
        <v>48</v>
      </c>
      <c r="E345" s="17" t="s">
        <v>95</v>
      </c>
      <c r="F345" s="42">
        <f t="shared" ref="F345:H345" si="117">SUM(F344)</f>
        <v>0</v>
      </c>
      <c r="G345" s="42">
        <f t="shared" si="117"/>
        <v>0</v>
      </c>
      <c r="H345" s="42">
        <f t="shared" si="117"/>
        <v>0</v>
      </c>
      <c r="J345" s="93">
        <f t="shared" ref="J345" si="118">F345-G345</f>
        <v>0</v>
      </c>
      <c r="K345" s="93">
        <f t="shared" ref="K345" si="119">F345-H345</f>
        <v>0</v>
      </c>
    </row>
    <row r="346" spans="1:11" ht="15.75" hidden="1" customHeight="1">
      <c r="A346" s="1" t="s">
        <v>361</v>
      </c>
      <c r="C346" s="143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J346" s="32">
        <f t="shared" ref="J346:J349" si="120">F346-G346</f>
        <v>0</v>
      </c>
      <c r="K346" s="32">
        <f t="shared" ref="K346:K349" si="121">F346-H346</f>
        <v>0</v>
      </c>
    </row>
    <row r="347" spans="1:11" ht="15.75" collapsed="1">
      <c r="A347" s="1" t="s">
        <v>127</v>
      </c>
      <c r="C347" s="143"/>
      <c r="E347" s="80" t="s">
        <v>366</v>
      </c>
      <c r="F347" s="44">
        <f t="shared" ref="F347:H347" si="122">SUM(F346)</f>
        <v>0</v>
      </c>
      <c r="G347" s="44">
        <f t="shared" si="122"/>
        <v>0</v>
      </c>
      <c r="H347" s="44">
        <f t="shared" si="122"/>
        <v>0</v>
      </c>
      <c r="J347" s="33">
        <f t="shared" si="120"/>
        <v>0</v>
      </c>
      <c r="K347" s="33">
        <f t="shared" si="121"/>
        <v>0</v>
      </c>
    </row>
    <row r="348" spans="1:11" ht="15.75" hidden="1" customHeight="1">
      <c r="A348" s="1" t="s">
        <v>362</v>
      </c>
      <c r="C348" s="143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J348" s="32">
        <f t="shared" si="120"/>
        <v>0</v>
      </c>
      <c r="K348" s="32">
        <f t="shared" si="121"/>
        <v>0</v>
      </c>
    </row>
    <row r="349" spans="1:11" ht="15.75" collapsed="1">
      <c r="C349" s="143"/>
      <c r="E349" s="83" t="s">
        <v>96</v>
      </c>
      <c r="F349" s="45">
        <f t="shared" ref="F349:H349" si="123">SUM(F348)</f>
        <v>0</v>
      </c>
      <c r="G349" s="45">
        <f t="shared" si="123"/>
        <v>0</v>
      </c>
      <c r="H349" s="45">
        <f t="shared" si="123"/>
        <v>0</v>
      </c>
      <c r="J349" s="95">
        <f t="shared" si="120"/>
        <v>0</v>
      </c>
      <c r="K349" s="95">
        <f t="shared" si="121"/>
        <v>0</v>
      </c>
    </row>
    <row r="350" spans="1:11" ht="15.75">
      <c r="A350" s="1" t="s">
        <v>127</v>
      </c>
      <c r="C350" s="25"/>
      <c r="E350" s="50"/>
      <c r="F350" s="55"/>
      <c r="G350" s="55"/>
      <c r="H350" s="55"/>
    </row>
    <row r="351" spans="1:11">
      <c r="A351" s="1" t="s">
        <v>127</v>
      </c>
      <c r="C351" s="53"/>
    </row>
    <row r="352" spans="1:11" ht="15.75" customHeight="1">
      <c r="A352" s="1" t="s">
        <v>127</v>
      </c>
      <c r="C352" s="143" t="s">
        <v>97</v>
      </c>
      <c r="E352" s="17" t="s">
        <v>98</v>
      </c>
      <c r="F352" s="130">
        <f>IFERROR((-F41/F30),0)</f>
        <v>0</v>
      </c>
      <c r="G352" s="74">
        <f>IFERROR((-G41/G30),0)</f>
        <v>0.52243163972401763</v>
      </c>
      <c r="H352" s="130">
        <f>IFERROR((-H41/H30),0)</f>
        <v>0</v>
      </c>
      <c r="J352" s="93">
        <f t="shared" ref="J352" si="124">F352-G352</f>
        <v>-0.52243163972401763</v>
      </c>
      <c r="K352" s="93">
        <f t="shared" ref="K352" si="125">F352-H352</f>
        <v>0</v>
      </c>
    </row>
    <row r="353" spans="1:14" ht="15.75">
      <c r="A353" s="1" t="s">
        <v>127</v>
      </c>
      <c r="C353" s="143"/>
      <c r="E353" s="15" t="s">
        <v>99</v>
      </c>
      <c r="F353" s="131">
        <f>IFERROR((-F80/F30),0)</f>
        <v>0</v>
      </c>
      <c r="G353" s="75">
        <f>IFERROR((-G80/G30),0)</f>
        <v>0.22759317500915618</v>
      </c>
      <c r="H353" s="131">
        <f>IFERROR((-H80/H30),0)</f>
        <v>0</v>
      </c>
      <c r="J353" s="108">
        <f t="shared" ref="J353:J379" si="126">F353-G353</f>
        <v>-0.22759317500915618</v>
      </c>
      <c r="K353" s="108">
        <f t="shared" ref="K353:K379" si="127">F353-H353</f>
        <v>0</v>
      </c>
    </row>
    <row r="354" spans="1:14" ht="15.75">
      <c r="A354" s="1" t="s">
        <v>127</v>
      </c>
      <c r="C354" s="143"/>
      <c r="E354" s="15" t="s">
        <v>100</v>
      </c>
      <c r="F354" s="131">
        <f>IFERROR((-F98/F30),0)</f>
        <v>0</v>
      </c>
      <c r="G354" s="75">
        <f>IFERROR((-G98/G30),0)</f>
        <v>0.41364502967287314</v>
      </c>
      <c r="H354" s="131">
        <f>IFERROR((-H98/H30),0)</f>
        <v>0</v>
      </c>
      <c r="J354" s="104">
        <f t="shared" si="126"/>
        <v>-0.41364502967287314</v>
      </c>
      <c r="K354" s="104">
        <f t="shared" si="127"/>
        <v>0</v>
      </c>
    </row>
    <row r="355" spans="1:14" ht="15.75">
      <c r="A355" s="1" t="s">
        <v>127</v>
      </c>
      <c r="C355" s="143"/>
      <c r="E355" s="15" t="s">
        <v>101</v>
      </c>
      <c r="F355" s="131">
        <f>IFERROR((-F114/F30),0)</f>
        <v>0</v>
      </c>
      <c r="G355" s="75">
        <f>IFERROR((-G114/G30),0)</f>
        <v>0.14009261762225195</v>
      </c>
      <c r="H355" s="131">
        <f>IFERROR((-H114/H30),0)</f>
        <v>0</v>
      </c>
      <c r="J355" s="33">
        <f t="shared" si="126"/>
        <v>-0.14009261762225195</v>
      </c>
      <c r="K355" s="33">
        <f t="shared" si="127"/>
        <v>0</v>
      </c>
    </row>
    <row r="356" spans="1:14" ht="15.75">
      <c r="A356" s="1" t="s">
        <v>127</v>
      </c>
      <c r="C356" s="143"/>
      <c r="E356" s="15" t="s">
        <v>102</v>
      </c>
      <c r="F356" s="132">
        <f>IFERROR((-F186/F30),0)</f>
        <v>0</v>
      </c>
      <c r="G356" s="76">
        <f>IFERROR((-G186/G30),0)</f>
        <v>0.42197011264069012</v>
      </c>
      <c r="H356" s="132">
        <f>IFERROR((-H186/H30),0)</f>
        <v>0</v>
      </c>
      <c r="J356" s="33">
        <f t="shared" si="126"/>
        <v>-0.42197011264069012</v>
      </c>
      <c r="K356" s="33">
        <f t="shared" si="127"/>
        <v>0</v>
      </c>
    </row>
    <row r="357" spans="1:14" ht="15.75">
      <c r="A357" s="1" t="s">
        <v>127</v>
      </c>
      <c r="C357" s="143"/>
      <c r="E357" s="52" t="s">
        <v>103</v>
      </c>
      <c r="F357" s="133">
        <f>IFERROR(-F258/F30,0)</f>
        <v>0</v>
      </c>
      <c r="G357" s="77">
        <f>IFERROR(-G258/G30,0)</f>
        <v>9.9356084943316977E-2</v>
      </c>
      <c r="H357" s="133">
        <f>IFERROR(-H258/H30,0)</f>
        <v>0</v>
      </c>
      <c r="J357" s="32">
        <f t="shared" si="126"/>
        <v>-9.9356084943316977E-2</v>
      </c>
      <c r="K357" s="32">
        <f t="shared" si="127"/>
        <v>0</v>
      </c>
    </row>
    <row r="358" spans="1:14" ht="9" customHeight="1">
      <c r="A358" s="1" t="s">
        <v>127</v>
      </c>
      <c r="C358" s="143"/>
      <c r="E358" s="7"/>
      <c r="F358" s="8"/>
      <c r="G358" s="8"/>
      <c r="H358" s="8"/>
      <c r="J358" s="92"/>
      <c r="K358" s="92"/>
    </row>
    <row r="359" spans="1:14" ht="15.75">
      <c r="A359" s="1" t="s">
        <v>127</v>
      </c>
      <c r="C359" s="143"/>
      <c r="E359" s="17" t="str">
        <f>"Revenue "&amp;RIGHT(Context!$F$36,3)&amp;"/km"</f>
        <v>Revenue LCL/km</v>
      </c>
      <c r="F359" s="42">
        <f>IFERROR(F21/F308,0)</f>
        <v>0</v>
      </c>
      <c r="G359" s="57">
        <f>IFERROR(G21/G308,0)</f>
        <v>97.526989723098524</v>
      </c>
      <c r="H359" s="42">
        <f>IFERROR(H21/H308,0)</f>
        <v>0</v>
      </c>
      <c r="J359" s="32">
        <f t="shared" si="126"/>
        <v>-97.526989723098524</v>
      </c>
      <c r="K359" s="32">
        <f t="shared" si="127"/>
        <v>0</v>
      </c>
      <c r="N359" s="138"/>
    </row>
    <row r="360" spans="1:14" ht="15.75">
      <c r="A360" s="1" t="s">
        <v>127</v>
      </c>
      <c r="C360" s="143"/>
      <c r="E360" s="15" t="s">
        <v>104</v>
      </c>
      <c r="F360" s="44">
        <f>IFERROR(F324/F304,0)</f>
        <v>0</v>
      </c>
      <c r="G360" s="56">
        <f>IFERROR(G324/G304,0)</f>
        <v>0.49228153144619657</v>
      </c>
      <c r="H360" s="44">
        <f>IFERROR(H324/H304,0)</f>
        <v>0</v>
      </c>
      <c r="J360" s="104">
        <f t="shared" si="126"/>
        <v>-0.49228153144619657</v>
      </c>
      <c r="K360" s="104">
        <f t="shared" si="127"/>
        <v>0</v>
      </c>
    </row>
    <row r="361" spans="1:14" ht="15.75">
      <c r="A361" s="1" t="s">
        <v>127</v>
      </c>
      <c r="C361" s="143"/>
      <c r="E361" s="15" t="s">
        <v>105</v>
      </c>
      <c r="F361" s="44">
        <f>IFERROR(F326/F305,0)</f>
        <v>0</v>
      </c>
      <c r="G361" s="56">
        <f>IFERROR(G326/G305,0)</f>
        <v>0.89495191159697929</v>
      </c>
      <c r="H361" s="44">
        <f>IFERROR(H326/H305,0)</f>
        <v>0</v>
      </c>
      <c r="J361" s="33">
        <f t="shared" si="126"/>
        <v>-0.89495191159697929</v>
      </c>
      <c r="K361" s="33">
        <f t="shared" si="127"/>
        <v>0</v>
      </c>
    </row>
    <row r="362" spans="1:14" ht="15.75">
      <c r="A362" s="1" t="s">
        <v>127</v>
      </c>
      <c r="C362" s="143"/>
      <c r="E362" s="15" t="s">
        <v>106</v>
      </c>
      <c r="F362" s="44">
        <f>IFERROR(F328/F307,0)</f>
        <v>0</v>
      </c>
      <c r="G362" s="56">
        <f>IFERROR(G328/G307,0)</f>
        <v>3.6028505136610072</v>
      </c>
      <c r="H362" s="44">
        <f>IFERROR(H328/H307,0)</f>
        <v>0</v>
      </c>
      <c r="J362" s="33">
        <f t="shared" si="126"/>
        <v>-3.6028505136610072</v>
      </c>
      <c r="K362" s="33">
        <f t="shared" si="127"/>
        <v>0</v>
      </c>
    </row>
    <row r="363" spans="1:14" ht="15.75">
      <c r="A363" s="1" t="s">
        <v>127</v>
      </c>
      <c r="C363" s="143"/>
      <c r="E363" s="15" t="s">
        <v>107</v>
      </c>
      <c r="F363" s="44">
        <f>IFERROR(F330/F306,0)</f>
        <v>0</v>
      </c>
      <c r="G363" s="56">
        <f>IFERROR(G330/G306,0)</f>
        <v>4.8478599708008243</v>
      </c>
      <c r="H363" s="44">
        <f>IFERROR(H330/H306,0)</f>
        <v>0</v>
      </c>
      <c r="J363" s="33">
        <f t="shared" si="126"/>
        <v>-4.8478599708008243</v>
      </c>
      <c r="K363" s="33">
        <f t="shared" si="127"/>
        <v>0</v>
      </c>
    </row>
    <row r="364" spans="1:14" ht="15.75">
      <c r="A364" s="1" t="s">
        <v>127</v>
      </c>
      <c r="C364" s="143"/>
      <c r="E364" s="15" t="str">
        <f>"(E2) Cost "&amp;RIGHT(Context!$F$36,3)&amp;"/L (fuel)"</f>
        <v>(E2) Cost LCL/L (fuel)</v>
      </c>
      <c r="F364" s="44">
        <f>IFERROR(F88/F324,0)</f>
        <v>0</v>
      </c>
      <c r="G364" s="56">
        <f>IFERROR(G88/G324,0)</f>
        <v>-86.451821248751529</v>
      </c>
      <c r="H364" s="44">
        <f>IFERROR(H88/H324,0)</f>
        <v>0</v>
      </c>
      <c r="J364" s="33">
        <f t="shared" si="126"/>
        <v>86.451821248751529</v>
      </c>
      <c r="K364" s="33">
        <f t="shared" si="127"/>
        <v>0</v>
      </c>
    </row>
    <row r="365" spans="1:14" ht="15.75">
      <c r="A365" s="1" t="s">
        <v>127</v>
      </c>
      <c r="C365" s="143"/>
      <c r="E365" s="15" t="str">
        <f>"(E2) Cost "&amp;RIGHT(Context!$F$36,3)&amp;"/L (biofuel)"</f>
        <v>(E2) Cost LCL/L (biofuel)</v>
      </c>
      <c r="F365" s="44">
        <f>IFERROR(F91/F326,0)</f>
        <v>0</v>
      </c>
      <c r="G365" s="56">
        <f>IFERROR(G91/G326,0)</f>
        <v>-57.035276906455785</v>
      </c>
      <c r="H365" s="44">
        <f>IFERROR(H91/H326,0)</f>
        <v>0</v>
      </c>
      <c r="J365" s="33">
        <f t="shared" si="126"/>
        <v>57.035276906455785</v>
      </c>
      <c r="K365" s="33">
        <f t="shared" si="127"/>
        <v>0</v>
      </c>
    </row>
    <row r="366" spans="1:14" ht="15.75">
      <c r="A366" s="1" t="s">
        <v>127</v>
      </c>
      <c r="C366" s="143"/>
      <c r="E366" s="15" t="str">
        <f>"(E2) Cost "&amp;RIGHT(Context!$F$36,3)&amp;"/kWh (gas)"</f>
        <v>(E2) Cost LCL/kWh (gas)</v>
      </c>
      <c r="F366" s="44">
        <f>IFERROR(F94/F328,0)</f>
        <v>0</v>
      </c>
      <c r="G366" s="56">
        <f>IFERROR(G94/G328,0)</f>
        <v>-1.0288764447516496</v>
      </c>
      <c r="H366" s="44">
        <f>IFERROR(H94/H328,0)</f>
        <v>0</v>
      </c>
      <c r="J366" s="33">
        <f t="shared" si="126"/>
        <v>1.0288764447516496</v>
      </c>
      <c r="K366" s="33">
        <f t="shared" si="127"/>
        <v>0</v>
      </c>
    </row>
    <row r="367" spans="1:14" ht="15.75">
      <c r="A367" s="1" t="s">
        <v>127</v>
      </c>
      <c r="C367" s="143"/>
      <c r="E367" s="15" t="str">
        <f>"(E2) Cost "&amp;RIGHT(Context!$F$36,3)&amp;"/kWh (electricity)"</f>
        <v>(E2) Cost LCL/kWh (electricity)</v>
      </c>
      <c r="F367" s="44">
        <f>IFERROR(F83/F330,0)</f>
        <v>0</v>
      </c>
      <c r="G367" s="56">
        <f>IFERROR(G83/G330,0)</f>
        <v>-3.0836118699611674</v>
      </c>
      <c r="H367" s="44">
        <f>IFERROR(H83/H330,0)</f>
        <v>0</v>
      </c>
      <c r="J367" s="33">
        <f t="shared" si="126"/>
        <v>3.0836118699611674</v>
      </c>
      <c r="K367" s="33">
        <f t="shared" si="127"/>
        <v>0</v>
      </c>
    </row>
    <row r="368" spans="1:14" ht="15.75">
      <c r="A368" s="1" t="s">
        <v>127</v>
      </c>
      <c r="C368" s="143"/>
      <c r="E368" s="15" t="str">
        <f>"(D1) Payroll "&amp;RIGHT(Context!$F$36,3)&amp;"/FTE (Drivers)"</f>
        <v>(D1) Payroll LCL/FTE (Drivers)</v>
      </c>
      <c r="F368" s="44">
        <f>IFERROR(F41/F312,0)</f>
        <v>0</v>
      </c>
      <c r="G368" s="56">
        <f>IFERROR(G41/G312,0)</f>
        <v>-9320367.5850946661</v>
      </c>
      <c r="H368" s="44">
        <f>IFERROR(H41/H312,0)</f>
        <v>0</v>
      </c>
      <c r="J368" s="33">
        <f t="shared" si="126"/>
        <v>9320367.5850946661</v>
      </c>
      <c r="K368" s="33">
        <f t="shared" si="127"/>
        <v>0</v>
      </c>
    </row>
    <row r="369" spans="1:11" ht="15.75">
      <c r="A369" s="1" t="s">
        <v>127</v>
      </c>
      <c r="C369" s="143"/>
      <c r="E369" s="15" t="s">
        <v>108</v>
      </c>
      <c r="F369" s="44">
        <f>IFERROR(F308/F312,0)</f>
        <v>0</v>
      </c>
      <c r="G369" s="56">
        <f>IFERROR(G308/G312,0)</f>
        <v>369361.13021128729</v>
      </c>
      <c r="H369" s="44">
        <f>IFERROR(H308/H312,0)</f>
        <v>0</v>
      </c>
      <c r="J369" s="33">
        <f t="shared" si="126"/>
        <v>-369361.13021128729</v>
      </c>
      <c r="K369" s="33">
        <f t="shared" si="127"/>
        <v>0</v>
      </c>
    </row>
    <row r="370" spans="1:11" ht="15.75">
      <c r="A370" s="1" t="s">
        <v>127</v>
      </c>
      <c r="C370" s="143"/>
      <c r="E370" s="15" t="str">
        <f>"(M1) "&amp;RIGHT(Context!$F$36,3)&amp;"/veh"</f>
        <v>(M1) LCL/veh</v>
      </c>
      <c r="F370" s="44">
        <f>IFERROR(F80/(F332+F334+F336+F338+F340+F342),0)</f>
        <v>0</v>
      </c>
      <c r="G370" s="56">
        <f>IFERROR(G80/(G332+G334+G336+G338+G340+G342),0)</f>
        <v>0</v>
      </c>
      <c r="H370" s="44">
        <f>IFERROR(H80/(H332+H334+H336+H338+H340+H342),0)</f>
        <v>0</v>
      </c>
      <c r="J370" s="33">
        <f t="shared" si="126"/>
        <v>0</v>
      </c>
      <c r="K370" s="33">
        <f t="shared" si="127"/>
        <v>0</v>
      </c>
    </row>
    <row r="371" spans="1:11" ht="15.75">
      <c r="A371" s="1" t="s">
        <v>127</v>
      </c>
      <c r="C371" s="143"/>
      <c r="E371" s="15" t="str">
        <f>"(M2) Payroll "&amp;RIGHT(Context!$F$36,3)&amp;"/FTE (Maintenance)"</f>
        <v>(M2) Payroll LCL/FTE (Maintenance)</v>
      </c>
      <c r="F371" s="44">
        <f>IFERROR(F44/F315,0)</f>
        <v>0</v>
      </c>
      <c r="G371" s="56">
        <f>IFERROR(G44/G315,0)</f>
        <v>0</v>
      </c>
      <c r="H371" s="44">
        <f>IFERROR(H44/H315,0)</f>
        <v>0</v>
      </c>
      <c r="J371" s="33">
        <f t="shared" si="126"/>
        <v>0</v>
      </c>
      <c r="K371" s="33">
        <f t="shared" si="127"/>
        <v>0</v>
      </c>
    </row>
    <row r="372" spans="1:11" ht="15.75">
      <c r="A372" s="1" t="s">
        <v>127</v>
      </c>
      <c r="C372" s="143"/>
      <c r="E372" s="15" t="s">
        <v>109</v>
      </c>
      <c r="F372" s="44">
        <f>IFERROR(F315/(F332+F334+F336+F338+F340+F342),0)</f>
        <v>0</v>
      </c>
      <c r="G372" s="56">
        <f>IFERROR(G315/(G332+G334+G336+G338+G340+G342),0)</f>
        <v>0</v>
      </c>
      <c r="H372" s="44">
        <f>IFERROR(H315/(H332+H334+H336+H338+H340+H342),0)</f>
        <v>0</v>
      </c>
      <c r="J372" s="33">
        <f t="shared" si="126"/>
        <v>0</v>
      </c>
      <c r="K372" s="33">
        <f t="shared" si="127"/>
        <v>0</v>
      </c>
    </row>
    <row r="373" spans="1:11" ht="15.75">
      <c r="C373" s="143"/>
      <c r="E373" s="101" t="str">
        <f>"(M4) "&amp;RIGHT(Context!$F$36,3)&amp;"/km"</f>
        <v>(M4) LCL/km</v>
      </c>
      <c r="F373" s="44">
        <f>IFERROR(F80/F308,0)</f>
        <v>0</v>
      </c>
      <c r="G373" s="56">
        <f>IFERROR(G84/G308,0)</f>
        <v>-19.259049595155361</v>
      </c>
      <c r="H373" s="44">
        <f>IFERROR(H84/H308,0)</f>
        <v>0</v>
      </c>
      <c r="I373" s="103"/>
      <c r="J373" s="33"/>
      <c r="K373" s="33"/>
    </row>
    <row r="374" spans="1:11" ht="15.75">
      <c r="A374" s="1" t="s">
        <v>127</v>
      </c>
      <c r="C374" s="143"/>
      <c r="E374" s="101" t="s">
        <v>372</v>
      </c>
      <c r="F374" s="134">
        <f>IFERROR(F298/F332,0)</f>
        <v>0</v>
      </c>
      <c r="G374" s="102">
        <f>IFERROR(G298/G332,0)</f>
        <v>0</v>
      </c>
      <c r="H374" s="134">
        <f>IFERROR(H298/H332,0)</f>
        <v>0</v>
      </c>
      <c r="J374" s="33">
        <f t="shared" si="126"/>
        <v>0</v>
      </c>
      <c r="K374" s="33">
        <f t="shared" si="127"/>
        <v>0</v>
      </c>
    </row>
    <row r="375" spans="1:11" ht="15.75">
      <c r="A375" s="1" t="s">
        <v>127</v>
      </c>
      <c r="C375" s="143"/>
      <c r="E375" s="15" t="s">
        <v>373</v>
      </c>
      <c r="F375" s="44">
        <f>IFERROR(F299/F334,0)</f>
        <v>0</v>
      </c>
      <c r="G375" s="56">
        <f>IFERROR(G299/G334,0)</f>
        <v>0</v>
      </c>
      <c r="H375" s="44">
        <f>IFERROR(H299/H334,0)</f>
        <v>0</v>
      </c>
      <c r="J375" s="33">
        <f t="shared" si="126"/>
        <v>0</v>
      </c>
      <c r="K375" s="33">
        <f t="shared" si="127"/>
        <v>0</v>
      </c>
    </row>
    <row r="376" spans="1:11" ht="15.75">
      <c r="A376" s="1" t="s">
        <v>127</v>
      </c>
      <c r="C376" s="143"/>
      <c r="E376" s="15" t="s">
        <v>374</v>
      </c>
      <c r="F376" s="44">
        <f>IFERROR(F300/F336,0)</f>
        <v>0</v>
      </c>
      <c r="G376" s="56">
        <f>IFERROR(G300/G336,0)</f>
        <v>0</v>
      </c>
      <c r="H376" s="44">
        <f>IFERROR(H300/H336,0)</f>
        <v>0</v>
      </c>
      <c r="J376" s="33">
        <f t="shared" si="126"/>
        <v>0</v>
      </c>
      <c r="K376" s="33">
        <f t="shared" si="127"/>
        <v>0</v>
      </c>
    </row>
    <row r="377" spans="1:11" ht="15.75">
      <c r="A377" s="1" t="s">
        <v>127</v>
      </c>
      <c r="C377" s="143"/>
      <c r="E377" s="15" t="s">
        <v>375</v>
      </c>
      <c r="F377" s="44">
        <f>IFERROR(F301/F338,0)</f>
        <v>0</v>
      </c>
      <c r="G377" s="56">
        <f>IFERROR(G301/G338,0)</f>
        <v>0</v>
      </c>
      <c r="H377" s="44">
        <f>IFERROR(H301/H338,0)</f>
        <v>0</v>
      </c>
      <c r="J377" s="33">
        <f t="shared" si="126"/>
        <v>0</v>
      </c>
      <c r="K377" s="33">
        <f t="shared" si="127"/>
        <v>0</v>
      </c>
    </row>
    <row r="378" spans="1:11" ht="15.75">
      <c r="A378" s="1" t="s">
        <v>127</v>
      </c>
      <c r="C378" s="143"/>
      <c r="E378" s="15" t="s">
        <v>376</v>
      </c>
      <c r="F378" s="44">
        <f>IFERROR(F302/F340,0)</f>
        <v>0</v>
      </c>
      <c r="G378" s="56">
        <f>IFERROR(G302/G340,0)</f>
        <v>0</v>
      </c>
      <c r="H378" s="44">
        <f>IFERROR(H302/H340,0)</f>
        <v>0</v>
      </c>
      <c r="J378" s="33">
        <f t="shared" si="126"/>
        <v>0</v>
      </c>
      <c r="K378" s="33">
        <f t="shared" si="127"/>
        <v>0</v>
      </c>
    </row>
    <row r="379" spans="1:11" ht="15.75">
      <c r="A379" s="1" t="s">
        <v>127</v>
      </c>
      <c r="C379" s="143"/>
      <c r="E379" s="105" t="s">
        <v>377</v>
      </c>
      <c r="F379" s="135">
        <f>IFERROR(F303/F342,0)</f>
        <v>0</v>
      </c>
      <c r="G379" s="106">
        <f>IFERROR(G303/G342,0)</f>
        <v>0</v>
      </c>
      <c r="H379" s="135">
        <f>IFERROR(H303/H342,0)</f>
        <v>0</v>
      </c>
      <c r="J379" s="107">
        <f t="shared" si="126"/>
        <v>0</v>
      </c>
      <c r="K379" s="107">
        <f t="shared" si="127"/>
        <v>0</v>
      </c>
    </row>
    <row r="380" spans="1:11">
      <c r="F380" s="5"/>
      <c r="G380" s="5"/>
      <c r="H380" s="5"/>
    </row>
    <row r="381" spans="1:11">
      <c r="F381" s="5"/>
      <c r="G381" s="5"/>
      <c r="H381" s="5"/>
    </row>
    <row r="382" spans="1:11">
      <c r="F382" s="5"/>
      <c r="G382" s="5"/>
      <c r="H382" s="5"/>
    </row>
    <row r="383" spans="1:11">
      <c r="F383" s="5"/>
      <c r="G383" s="5"/>
      <c r="H383" s="5"/>
    </row>
    <row r="384" spans="1:11">
      <c r="F384" s="5"/>
      <c r="G384" s="5"/>
      <c r="H384" s="5"/>
    </row>
    <row r="385" spans="6:8">
      <c r="F385" s="5"/>
      <c r="G385" s="5"/>
      <c r="H385" s="5"/>
    </row>
    <row r="386" spans="6:8">
      <c r="F386" s="5"/>
      <c r="G386" s="5"/>
      <c r="H386" s="5"/>
    </row>
    <row r="387" spans="6:8">
      <c r="F387" s="5"/>
      <c r="G387" s="5"/>
      <c r="H387" s="5"/>
    </row>
    <row r="388" spans="6:8">
      <c r="F388" s="5"/>
      <c r="G388" s="5"/>
      <c r="H388" s="5"/>
    </row>
    <row r="389" spans="6:8">
      <c r="F389" s="5"/>
      <c r="G389" s="5"/>
      <c r="H389" s="5"/>
    </row>
    <row r="390" spans="6:8">
      <c r="F390" s="5"/>
      <c r="G390" s="5"/>
      <c r="H390" s="5"/>
    </row>
    <row r="391" spans="6:8">
      <c r="F391" s="5"/>
      <c r="G391" s="5"/>
      <c r="H391" s="5"/>
    </row>
    <row r="392" spans="6:8">
      <c r="F392" s="5"/>
      <c r="G392" s="5"/>
      <c r="H392" s="5"/>
    </row>
    <row r="393" spans="6:8">
      <c r="F393" s="5"/>
      <c r="G393" s="5"/>
      <c r="H393" s="5"/>
    </row>
    <row r="394" spans="6:8">
      <c r="F394" s="5"/>
      <c r="G394" s="5"/>
      <c r="H394" s="5"/>
    </row>
    <row r="395" spans="6:8">
      <c r="F395" s="5"/>
      <c r="G395" s="5"/>
      <c r="H395" s="5"/>
    </row>
    <row r="396" spans="6:8">
      <c r="F396" s="5"/>
      <c r="G396" s="5"/>
      <c r="H396" s="5"/>
    </row>
    <row r="397" spans="6:8">
      <c r="F397" s="5"/>
      <c r="G397" s="5"/>
      <c r="H397" s="5"/>
    </row>
    <row r="398" spans="6:8">
      <c r="F398" s="5"/>
      <c r="G398" s="5"/>
      <c r="H398" s="5"/>
    </row>
    <row r="399" spans="6:8">
      <c r="F399" s="5"/>
      <c r="G399" s="5"/>
      <c r="H399" s="5"/>
    </row>
    <row r="400" spans="6:8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</sheetData>
  <sheetProtection formatColumns="0" formatRows="0"/>
  <mergeCells count="9">
    <mergeCell ref="E9:L11"/>
    <mergeCell ref="C281:C294"/>
    <mergeCell ref="C352:C379"/>
    <mergeCell ref="J17:J18"/>
    <mergeCell ref="K17:K18"/>
    <mergeCell ref="E17:E18"/>
    <mergeCell ref="C21:C276"/>
    <mergeCell ref="C308:C342"/>
    <mergeCell ref="C345:C349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4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1228725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C11B1F-8B22-4C51-AFC4-ECEFA7D0F54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40</vt:i4>
      </vt:variant>
    </vt:vector>
  </HeadingPairs>
  <TitlesOfParts>
    <vt:vector size="45" baseType="lpstr">
      <vt:lpstr>Context</vt:lpstr>
      <vt:lpstr>Input</vt:lpstr>
      <vt:lpstr>Input_DBS</vt:lpstr>
      <vt:lpstr>Synthèse</vt:lpstr>
      <vt:lpstr>Restitution</vt:lpstr>
      <vt:lpstr>Current_Period_YTD</vt:lpstr>
      <vt:lpstr>DBSS_Absenteism</vt:lpstr>
      <vt:lpstr>DBSS_Biofuel</vt:lpstr>
      <vt:lpstr>DBSS_Drive_open_positions</vt:lpstr>
      <vt:lpstr>DBSS_Driver_Turnover</vt:lpstr>
      <vt:lpstr>DBSS_Elec</vt:lpstr>
      <vt:lpstr>DBSS_FTE</vt:lpstr>
      <vt:lpstr>DBSS_FTE_Maintenance_Others</vt:lpstr>
      <vt:lpstr>DBSS_FTE_Maintenance_Technicians</vt:lpstr>
      <vt:lpstr>DBSS_FTE_Operation_Drivers</vt:lpstr>
      <vt:lpstr>DBSS_Fuel</vt:lpstr>
      <vt:lpstr>DBSS_Gas</vt:lpstr>
      <vt:lpstr>DBSS_Km</vt:lpstr>
      <vt:lpstr>DBSS_nb_BRT</vt:lpstr>
      <vt:lpstr>DBSS_nb_Bus</vt:lpstr>
      <vt:lpstr>DBSS_nb_Ferries</vt:lpstr>
      <vt:lpstr>DBSS_nb_Heavy_rail</vt:lpstr>
      <vt:lpstr>DBSS_nb_light_vehicles</vt:lpstr>
      <vt:lpstr>DBSS_nb_LRV</vt:lpstr>
      <vt:lpstr>DBSS_Operations_other</vt:lpstr>
      <vt:lpstr>Default_Legal_Organization</vt:lpstr>
      <vt:lpstr>Default_Management_Organization</vt:lpstr>
      <vt:lpstr>Flag_Send_Data</vt:lpstr>
      <vt:lpstr>Input!Print_Area</vt:lpstr>
      <vt:lpstr>Input_DBS!Print_Area</vt:lpstr>
      <vt:lpstr>Restitution!Print_Area</vt:lpstr>
      <vt:lpstr>Synthèse!Print_Area</vt:lpstr>
      <vt:lpstr>Server</vt:lpstr>
      <vt:lpstr>xHost</vt:lpstr>
      <vt:lpstr>xServer</vt:lpstr>
      <vt:lpstr>z_Current_Period_N_1</vt:lpstr>
      <vt:lpstr>z_Current_Phase</vt:lpstr>
      <vt:lpstr>z_Current_Year</vt:lpstr>
      <vt:lpstr>z_Forecast_Phase</vt:lpstr>
      <vt:lpstr>z_Legal_Entity</vt:lpstr>
      <vt:lpstr>z_Source_Entity</vt:lpstr>
      <vt:lpstr>z_UM_Selected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Mila Barki</cp:lastModifiedBy>
  <cp:revision/>
  <dcterms:created xsi:type="dcterms:W3CDTF">2023-02-15T16:27:41Z</dcterms:created>
  <dcterms:modified xsi:type="dcterms:W3CDTF">2024-08-28T09:40:26Z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